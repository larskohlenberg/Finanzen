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3.xml" ContentType="application/vnd.openxmlformats-officedocument.spreadsheetml.worksheet+xml"/>
  <Override PartName="/xl/tables/table3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ecc902ad644c5b" /></Relationships>
</file>

<file path=xl/workbook.xml><?xml version="1.0" encoding="utf-8"?>
<x:workbook xmlns:x="http://schemas.openxmlformats.org/spreadsheetml/2006/main">
  <x:sheets>
    <x:sheet xmlns:r="http://schemas.openxmlformats.org/officeDocument/2006/relationships" name="00_Dashboard" sheetId="1" r:id="R6ddf5ee7bd6a4d3d"/>
    <x:sheet xmlns:r="http://schemas.openxmlformats.org/officeDocument/2006/relationships" name="01_Personen" sheetId="2" r:id="R47b47dffd3144946"/>
    <x:sheet xmlns:r="http://schemas.openxmlformats.org/officeDocument/2006/relationships" name="02_Kategorien" sheetId="3" r:id="R3111bbdf188d44a4"/>
    <x:sheet xmlns:r="http://schemas.openxmlformats.org/officeDocument/2006/relationships" name="03_Konten" sheetId="4" r:id="R878e5cdf68124963"/>
    <x:sheet xmlns:r="http://schemas.openxmlformats.org/officeDocument/2006/relationships" name="04_Immobilien" sheetId="5" r:id="R8c2a5c0293424c18"/>
    <x:sheet xmlns:r="http://schemas.openxmlformats.org/officeDocument/2006/relationships" name="05_Immobilien_Details" sheetId="6" r:id="R174b26e4b3da4d49"/>
    <x:sheet xmlns:r="http://schemas.openxmlformats.org/officeDocument/2006/relationships" name="06_Versicherungen" sheetId="7" r:id="Re02988192eff4014"/>
    <x:sheet xmlns:r="http://schemas.openxmlformats.org/officeDocument/2006/relationships" name="07_Rente" sheetId="8" r:id="R518446fcd2ff48aa"/>
    <x:sheet xmlns:r="http://schemas.openxmlformats.org/officeDocument/2006/relationships" name="10_Umsaetze_Roh" sheetId="9" r:id="Rcc2c51fb41a24333"/>
    <x:sheet xmlns:r="http://schemas.openxmlformats.org/officeDocument/2006/relationships" name="11_Umsaetze_Modell" sheetId="10" r:id="R9ea9c15e46c14168"/>
    <x:sheet xmlns:r="http://schemas.openxmlformats.org/officeDocument/2006/relationships" name="12_Regelzahlungen" sheetId="11" r:id="Rf24f568687e74175"/>
    <x:sheet xmlns:r="http://schemas.openxmlformats.org/officeDocument/2006/relationships" name="20_Vermoegen" sheetId="12" r:id="R7d1152cf4b0e40e8"/>
    <x:sheet xmlns:r="http://schemas.openxmlformats.org/officeDocument/2006/relationships" name="30_Cashflow" sheetId="13" r:id="R917e184c81c044aa"/>
    <x:sheet xmlns:r="http://schemas.openxmlformats.org/officeDocument/2006/relationships" name="40_Szenarien" sheetId="14" r:id="Rec2d4ff4485e460f"/>
    <x:sheet xmlns:r="http://schemas.openxmlformats.org/officeDocument/2006/relationships" name="41_Ereignisse" sheetId="15" r:id="Rbfdd032505c5486f"/>
    <x:sheet xmlns:r="http://schemas.openxmlformats.org/officeDocument/2006/relationships" name="42_Annahmen" sheetId="16" r:id="R9690beea9f71422c"/>
    <x:sheet xmlns:r="http://schemas.openxmlformats.org/officeDocument/2006/relationships" name="43_Zeitachse" sheetId="17" r:id="R9be95f9d584c4292"/>
    <x:sheet xmlns:r="http://schemas.openxmlformats.org/officeDocument/2006/relationships" name="44_Liquiditaet" sheetId="18" r:id="Rb7e2ab88f6244377"/>
    <x:sheet xmlns:r="http://schemas.openxmlformats.org/officeDocument/2006/relationships" name="60_Warnungen" sheetId="19" r:id="R786f9443e9b0461b"/>
    <x:sheet xmlns:r="http://schemas.openxmlformats.org/officeDocument/2006/relationships" name="73_Agent_Vorschlaege" sheetId="20" r:id="R120e2f412be04d6b"/>
    <x:sheet xmlns:r="http://schemas.openxmlformats.org/officeDocument/2006/relationships" name="90_Quellen" sheetId="21" r:id="Rf770930c9c2d444e"/>
    <x:sheet xmlns:r="http://schemas.openxmlformats.org/officeDocument/2006/relationships" name="98_Kontrollspur" sheetId="22" r:id="R9d17307301ba477e"/>
    <x:sheet xmlns:r="http://schemas.openxmlformats.org/officeDocument/2006/relationships" name="99_Checks" sheetId="23" r:id="Rcca004ee601748e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Red](#,##0.00);&quot;-&quot;"/>
    <x:numFmt numFmtId="202" formatCode="0.0%;[Red](0.0%);-"/>
  </x:numFmts>
  <x:fonts count="15">
    <x:font>
      <x:sz val="11"/>
      <x:name val="Carlito"/>
    </x:font>
    <x:font>
      <x:b/>
      <x:sz val="18"/>
      <x:color rgb="FFFFFFFF"/>
      <x:name val="Carlito"/>
    </x:font>
    <x:font>
      <x:sz val="11"/>
      <x:color rgb="FF334155"/>
      <x:name val="Carlito"/>
    </x:font>
    <x:font>
      <x:b/>
      <x:sz val="11"/>
      <x:color rgb="FFFFFFFF"/>
      <x:name val="Carlito"/>
    </x:font>
    <x:font>
      <x:b/>
      <x:sz val="12"/>
      <x:color rgb="FF111827"/>
      <x:name val="Carlito"/>
    </x:font>
    <x:font>
      <x:sz val="10"/>
      <x:color rgb="FF1D4ED8"/>
      <x:name val="Aptos"/>
    </x:font>
    <x:font>
      <x:b/>
      <x:sz val="10"/>
      <x:color rgb="FFFFFFFF"/>
      <x:name val="Aptos"/>
    </x:font>
    <x:font>
      <x:b/>
      <x:sz val="10"/>
      <x:color rgb="FFB45309"/>
      <x:name val="Aptos"/>
    </x:font>
    <x:font>
      <x:b/>
      <x:sz val="10"/>
      <x:color rgb="FF111827"/>
      <x:name val="Aptos"/>
    </x:font>
    <x:font>
      <x:sz val="10"/>
      <x:color rgb="FF111827"/>
      <x:name val="Aptos"/>
    </x:font>
    <x:font>
      <x:b/>
      <x:sz val="15"/>
      <x:color rgb="FFFFFFFF"/>
      <x:name val="Carlito"/>
    </x:font>
    <x:font>
      <x:sz val="10"/>
      <x:color rgb="FF334155"/>
      <x:name val="Carlito"/>
    </x:font>
    <x:font>
      <x:b/>
      <x:sz val="10"/>
      <x:color rgb="FF123047"/>
      <x:name val="Carlito"/>
    </x:font>
    <x:font>
      <x:b/>
      <x:sz val="12"/>
      <x:color rgb="FFFFFFFF"/>
      <x:name val="Carlito"/>
    </x:font>
    <x:font>
      <x:i/>
      <x:sz val="9"/>
      <x:color rgb="FF334155"/>
      <x:name val="Carlito"/>
    </x:font>
  </x:fonts>
  <x:fills count="9">
    <x:fill>
      <x:patternFill patternType="none"/>
    </x:fill>
    <x:fill>
      <x:patternFill patternType="gray125"/>
    </x:fill>
    <x:fill>
      <x:patternFill patternType="solid">
        <x:fgColor rgb="FF123047"/>
      </x:patternFill>
    </x:fill>
    <x:fill>
      <x:patternFill patternType="solid">
        <x:fgColor rgb="FFEAF2F8"/>
      </x:patternFill>
    </x:fill>
    <x:fill>
      <x:patternFill patternType="solid">
        <x:fgColor rgb="FFFFFFFF"/>
      </x:patternFill>
    </x:fill>
    <x:fill>
      <x:patternFill patternType="solid">
        <x:fgColor rgb="FF334155"/>
      </x:patternFill>
    </x:fill>
    <x:fill>
      <x:patternFill patternType="solid">
        <x:fgColor rgb="FF0F766E"/>
      </x:patternFill>
    </x:fill>
    <x:fill>
      <x:patternFill patternType="solid">
        <x:fgColor rgb="FFFEF3C7"/>
      </x:patternFill>
    </x:fill>
    <x:fill>
      <x:patternFill patternType="solid">
        <x:fgColor rgb="FFF3F6F8"/>
      </x:patternFill>
    </x:fill>
  </x:fills>
  <x:borders count="8">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 xfId="0" applyNumberFormat="1" applyFont="1" applyFill="1" applyBorder="1" applyAlignment="1">
      <x:alignment horizontal="center" vertical="center" wrapText="1"/>
    </x:xf>
    <x:xf numFmtId="0" fontId="5" fillId="7" borderId="1"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xf numFmtId="0" fontId="11" fillId="3" borderId="0" xfId="0" applyNumberFormat="1" applyFont="1" applyFill="1" applyBorder="1"/>
    <x:xf numFmtId="0" fontId="11" fillId="3" borderId="2" xfId="0" applyNumberFormat="1" applyFont="1" applyFill="1" applyBorder="1"/>
    <x:xf numFmtId="0" fontId="11" fillId="3" borderId="3" xfId="0" applyNumberFormat="1" applyFont="1" applyFill="1" applyBorder="1"/>
    <x:xf numFmtId="0" fontId="11" fillId="3" borderId="4" xfId="0" applyNumberFormat="1" applyFont="1" applyFill="1" applyBorder="1"/>
    <x:xf numFmtId="0" fontId="11" fillId="3" borderId="5" xfId="0" applyNumberFormat="1" applyFont="1" applyFill="1" applyBorder="1"/>
    <x:xf numFmtId="0" fontId="11" fillId="3" borderId="6" xfId="0" applyNumberFormat="1" applyFont="1" applyFill="1" applyBorder="1"/>
    <x:xf numFmtId="0" fontId="11" fillId="3" borderId="7" xfId="0" applyNumberFormat="1" applyFont="1" applyFill="1" applyBorder="1"/>
    <x:xf numFmtId="0" fontId="11" fillId="3" borderId="2"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4" xfId="0" applyNumberFormat="1" applyFont="1" applyFill="1" applyBorder="1" applyAlignment="1">
      <x:alignment wrapText="1"/>
    </x:xf>
    <x:xf numFmtId="0" fontId="11" fillId="3" borderId="5" xfId="0" applyNumberFormat="1" applyFont="1" applyFill="1" applyBorder="1" applyAlignment="1">
      <x:alignment wrapText="1"/>
    </x:xf>
    <x:xf numFmtId="0" fontId="11" fillId="3" borderId="6"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2"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4" xfId="0" applyNumberFormat="1" applyFont="1" applyFill="1" applyBorder="1" applyAlignment="1">
      <x:alignment vertical="center" wrapText="1"/>
    </x:xf>
    <x:xf numFmtId="0" fontId="11" fillId="3" borderId="5" xfId="0" applyNumberFormat="1" applyFont="1" applyFill="1" applyBorder="1" applyAlignment="1">
      <x:alignment vertical="center" wrapText="1"/>
    </x:xf>
    <x:xf numFmtId="0" fontId="11" fillId="3" borderId="6"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2" fillId="3" borderId="2" xfId="0" applyNumberFormat="1" applyFont="1" applyFill="1" applyBorder="1" applyAlignment="1">
      <x:alignment vertical="center" wrapText="1"/>
    </x:xf>
    <x:xf numFmtId="0" fontId="12" fillId="3" borderId="5" xfId="0" applyNumberFormat="1" applyFont="1" applyFill="1" applyBorder="1" applyAlignment="1">
      <x:alignment vertical="center" wrapText="1"/>
    </x:xf>
    <x:xf numFmtId="0" fontId="12" fillId="3" borderId="3" xfId="0" applyNumberFormat="1" applyFont="1" applyFill="1" applyBorder="1" applyAlignment="1">
      <x:alignment vertical="center" wrapText="1"/>
    </x:xf>
    <x:xf numFmtId="0" fontId="12" fillId="3" borderId="6"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0" fillId="8" borderId="0" xfId="0" applyNumberFormat="1" applyFont="1" applyFill="1" applyBorder="1"/>
    <x:xf numFmtId="0" fontId="14" fillId="8" borderId="0" xfId="0" applyNumberFormat="1" applyFont="1" applyFill="1" applyBorder="1"/>
    <x:xf numFmtId="200" fontId="5" fillId="0" borderId="1" xfId="0" applyNumberFormat="1" applyFont="1" applyFill="1" applyBorder="1" applyAlignment="1">
      <x:alignment vertical="center"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vertical="center" wrapText="1"/>
    </x:xf>
    <x:xf numFmtId="201" fontId="0" fillId="0" borderId="0" xfId="0" applyNumberFormat="1" applyFont="1" applyFill="1" applyBorder="1"/>
    <x:xf numFmtId="201" fontId="5" fillId="0" borderId="1" xfId="0" applyNumberFormat="1" applyFont="1" applyFill="1" applyBorder="1" applyAlignment="1">
      <x:alignment horizontal="right" vertical="center" wrapText="1"/>
    </x:xf>
    <x:xf numFmtId="201" fontId="0" fillId="0" borderId="0" xfId="0" applyNumberFormat="1" applyFont="1" applyFill="1" applyBorder="1" applyAlignment="1">
      <x:alignment horizontal="right"/>
    </x:xf>
    <x:xf numFmtId="202" fontId="5" fillId="0" borderId="1" xfId="0" applyNumberFormat="1" applyFont="1" applyFill="1" applyBorder="1" applyAlignment="1">
      <x:alignment vertical="center" wrapText="1"/>
    </x:xf>
    <x:xf numFmtId="202" fontId="0" fillId="0" borderId="0" xfId="0" applyNumberFormat="1" applyFont="1" applyFill="1" applyBorder="1"/>
    <x:xf numFmtId="202" fontId="5" fillId="0" borderId="1" xfId="0" applyNumberFormat="1" applyFont="1" applyFill="1" applyBorder="1" applyAlignment="1">
      <x:alignment horizontal="right" vertical="center" wrapText="1"/>
    </x:xf>
    <x:xf numFmtId="202" fontId="0" fillId="0" borderId="0" xfId="0" applyNumberFormat="1" applyFont="1" applyFill="1" applyBorder="1" applyAlignment="1">
      <x:alignment horizontal="right"/>
    </x:xf>
    <x:xf numFmtId="201"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cellXfs>
  <x:cellStyles count="1">
    <x:cellStyle name="Normal" xfId="0"/>
  </x:cellStyles>
  <x:dxfs count="8">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e8f5a9b2b043fb" /><Relationship Type="http://schemas.openxmlformats.org/officeDocument/2006/relationships/theme" Target="/xl/theme/theme1.xml" Id="R64aec7dcbd0c42b4" /><Relationship Type="http://schemas.microsoft.com/office/2022/11/relationships/FeaturePropertyBag" Target="/xl/featurePropertyBag/featurePropertyBag.xml" Id="R2287e7c609bc4780" /><Relationship Type="http://schemas.openxmlformats.org/officeDocument/2006/relationships/sharedStrings" Target="/xl/sharedStrings.xml" Id="R1c423137df4d4ea2" /><Relationship Type="http://schemas.openxmlformats.org/officeDocument/2006/relationships/worksheet" Target="/xl/worksheets/sheet1.xml" Id="R6ddf5ee7bd6a4d3d" /><Relationship Type="http://schemas.openxmlformats.org/officeDocument/2006/relationships/worksheet" Target="/xl/worksheets/sheet2.xml" Id="R47b47dffd3144946" /><Relationship Type="http://schemas.openxmlformats.org/officeDocument/2006/relationships/worksheet" Target="/xl/worksheets/sheet3.xml" Id="R3111bbdf188d44a4" /><Relationship Type="http://schemas.openxmlformats.org/officeDocument/2006/relationships/worksheet" Target="/xl/worksheets/sheet4.xml" Id="R878e5cdf68124963" /><Relationship Type="http://schemas.openxmlformats.org/officeDocument/2006/relationships/worksheet" Target="/xl/worksheets/sheet5.xml" Id="R8c2a5c0293424c18" /><Relationship Type="http://schemas.openxmlformats.org/officeDocument/2006/relationships/worksheet" Target="/xl/worksheets/sheet6.xml" Id="R174b26e4b3da4d49" /><Relationship Type="http://schemas.openxmlformats.org/officeDocument/2006/relationships/worksheet" Target="/xl/worksheets/sheet7.xml" Id="Re02988192eff4014" /><Relationship Type="http://schemas.openxmlformats.org/officeDocument/2006/relationships/worksheet" Target="/xl/worksheets/sheet8.xml" Id="R518446fcd2ff48aa" /><Relationship Type="http://schemas.openxmlformats.org/officeDocument/2006/relationships/worksheet" Target="/xl/worksheets/sheet9.xml" Id="Rcc2c51fb41a24333" /><Relationship Type="http://schemas.openxmlformats.org/officeDocument/2006/relationships/worksheet" Target="/xl/worksheets/sheet10.xml" Id="R9ea9c15e46c14168" /><Relationship Type="http://schemas.openxmlformats.org/officeDocument/2006/relationships/worksheet" Target="/xl/worksheets/sheet11.xml" Id="Rf24f568687e74175" /><Relationship Type="http://schemas.openxmlformats.org/officeDocument/2006/relationships/worksheet" Target="/xl/worksheets/sheet12.xml" Id="R7d1152cf4b0e40e8" /><Relationship Type="http://schemas.openxmlformats.org/officeDocument/2006/relationships/worksheet" Target="/xl/worksheets/sheet13.xml" Id="R917e184c81c044aa" /><Relationship Type="http://schemas.openxmlformats.org/officeDocument/2006/relationships/worksheet" Target="/xl/worksheets/sheet14.xml" Id="Rec2d4ff4485e460f" /><Relationship Type="http://schemas.openxmlformats.org/officeDocument/2006/relationships/worksheet" Target="/xl/worksheets/sheet15.xml" Id="Rbfdd032505c5486f" /><Relationship Type="http://schemas.openxmlformats.org/officeDocument/2006/relationships/worksheet" Target="/xl/worksheets/sheet16.xml" Id="R9690beea9f71422c" /><Relationship Type="http://schemas.openxmlformats.org/officeDocument/2006/relationships/worksheet" Target="/xl/worksheets/sheet17.xml" Id="R9be95f9d584c4292" /><Relationship Type="http://schemas.openxmlformats.org/officeDocument/2006/relationships/worksheet" Target="/xl/worksheets/sheet18.xml" Id="Rb7e2ab88f6244377" /><Relationship Type="http://schemas.openxmlformats.org/officeDocument/2006/relationships/worksheet" Target="/xl/worksheets/sheet19.xml" Id="R786f9443e9b0461b" /><Relationship Type="http://schemas.openxmlformats.org/officeDocument/2006/relationships/worksheet" Target="/xl/worksheets/sheet20.xml" Id="R120e2f412be04d6b" /><Relationship Type="http://schemas.openxmlformats.org/officeDocument/2006/relationships/worksheet" Target="/xl/worksheets/sheet21.xml" Id="Rf770930c9c2d444e" /><Relationship Type="http://schemas.openxmlformats.org/officeDocument/2006/relationships/worksheet" Target="/xl/worksheets/sheet22.xml" Id="R9d17307301ba477e" /><Relationship Type="http://schemas.openxmlformats.org/officeDocument/2006/relationships/worksheet" Target="/xl/worksheets/sheet23.xml" Id="Rcca004ee601748e3" /></Relationships>
</file>

<file path=xl/drawings/_rels/drawing1.xml.rels>&#65279;<?xml version="1.0" encoding="utf-8"?><Relationships xmlns="http://schemas.openxmlformats.org/package/2006/relationships"><Relationship Type="http://schemas.openxmlformats.org/officeDocument/2006/relationships/chart" Target="/xl/drawings/charts/chart1.xml" Id="R91877330094f440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Offene Checks nach Schweregrad</a:t>
            </a:r>
          </a:p>
        </c:rich>
      </c:tx>
      <c:overlay val="0"/>
    </c:title>
    <c:autoTitleDeleted val="0"/>
    <c:plotArea>
      <c:layout/>
      <c:barChart>
        <c:barDir val="col"/>
        <c:grouping val="clustered"/>
        <c:varyColors val="0"/>
        <c:ser>
          <c:idx val="0"/>
          <c:order val="0"/>
          <c:tx>
            <c:v>Offene Checks</c:v>
          </c:tx>
          <c:spPr>
            <a:solidFill xmlns:a="http://schemas.openxmlformats.org/drawingml/2006/main">
              <a:srgbClr val="0F766E"/>
            </a:solidFill>
          </c:spPr>
          <c:cat>
            <c:strLit>
              <c:ptCount val="3"/>
              <c:pt idx="0">
                <c:v>Fehler</c:v>
              </c:pt>
              <c:pt idx="1">
                <c:v>Warnung</c:v>
              </c:pt>
              <c:pt idx="2">
                <c:v>Hinweis</c:v>
              </c:pt>
            </c:strLit>
          </c:cat>
          <c:val>
            <c:numLit>
              <c:formatCode>General</c:formatCode>
              <c:ptCount val="3"/>
              <c:pt idx="0">
                <c:v>1</c:v>
              </c:pt>
              <c:pt idx="1">
                <c:v>4</c:v>
              </c:pt>
              <c:pt idx="2">
                <c:v>0</c:v>
              </c:pt>
            </c:numLit>
          </c:val>
        </c:ser>
        <c:dLbls>
          <c:showLegendKey val="0"/>
          <c:showVal val="1"/>
          <c:showCatName val="0"/>
          <c:showSerName val="0"/>
          <c:showPercent val="0"/>
          <c:showBubbleSize val="0"/>
          <c:showLeaderLines val="0"/>
        </c:dLbls>
        <c:gapWidth val="1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9</xdr:col>
      <xdr:colOff>0</xdr:colOff>
      <xdr:row>8</xdr:row>
      <xdr:rowOff>0</xdr:rowOff>
    </xdr:from>
    <xdr:ext cx="4000500" cy="2476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1877330094f440b"/>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00_Dashboard" displayName="T_00_Dashboard" ref="A9:D14" headerRowCount="1">
  <x:tableColumns count="4">
    <x:tableColumn id="1" name="Kennzahl"/>
    <x:tableColumn id="2" name="Wert"/>
    <x:tableColumn id="3" name="Status"/>
    <x:tableColumn id="4" name="Warum"/>
  </x:tableColumns>
  <x:tableStyleInfo name="TableStyleMedium2" showRowStripes="1"/>
</x:table>
</file>

<file path=xl/tables/table2.xml><?xml version="1.0" encoding="utf-8"?>
<x:table xmlns:x="http://schemas.openxmlformats.org/spreadsheetml/2006/main" id="2" name="T_Personen_und_Haushalt" displayName="T_Personen_und_Haushalt" ref="A6:H9" headerRowCount="1">
  <x:tableColumns count="8">
    <x:tableColumn id="1" name="Person_ID"/>
    <x:tableColumn id="2" name="Name_Rolle"/>
    <x:tableColumn id="3" name="Typ"/>
    <x:tableColumn id="4" name="Geburtsdatum"/>
    <x:tableColumn id="5" name="Alter_aktuell"/>
    <x:tableColumn id="6" name="Renteneintritt_alter"/>
    <x:tableColumn id="7" name="Status"/>
    <x:tableColumn id="8" name="Kommentar"/>
  </x:tableColumns>
  <x:tableStyleInfo name="TableStyleMedium2" showRowStripes="1"/>
</x:table>
</file>

<file path=xl/tables/table3.xml><?xml version="1.0" encoding="utf-8"?>
<x:table xmlns:x="http://schemas.openxmlformats.org/spreadsheetml/2006/main" id="3" name="T_Kategorien" displayName="T_Kategorien" ref="A6:G19" headerRowCount="1">
  <x:tableColumns count="7">
    <x:tableColumn id="1" name="Kategorie_ID"/>
    <x:tableColumn id="2" name="Name"/>
    <x:tableColumn id="3" name="Gruppe"/>
    <x:tableColumn id="4" name="Cashflow_Typ"/>
    <x:tableColumn id="5" name="Lebenshaltung_Relevant"/>
    <x:tableColumn id="6" name="Status"/>
    <x:tableColumn id="7" name="Kommentar"/>
  </x:tableColumns>
  <x:tableStyleInfo name="TableStyleMedium2" showRowStripes="1"/>
</x:table>
</file>

<file path=xl/tables/table4.xml><?xml version="1.0" encoding="utf-8"?>
<x:table xmlns:x="http://schemas.openxmlformats.org/spreadsheetml/2006/main" id="4" name="T_Konten" displayName="T_Konten" ref="A6:O7" headerRowCount="1">
  <x:tableColumns count="15">
    <x:tableColumn id="1" name="Konto_ID"/>
    <x:tableColumn id="2" name="Name"/>
    <x:tableColumn id="3" name="Anbieter"/>
    <x:tableColumn id="4" name="Kontoart"/>
    <x:tableColumn id="5" name="Person_ID"/>
    <x:tableColumn id="6" name="Eigentumsanteil"/>
    <x:tableColumn id="7" name="Maskierte_IBAN_Depotnummer"/>
    <x:tableColumn id="8" name="Aktueller_Stand"/>
    <x:tableColumn id="9" name="Standdatum"/>
    <x:tableColumn id="10" name="Quelle_ID"/>
    <x:tableColumn id="11" name="Liquide_relevant"/>
    <x:tableColumn id="12" name="Performance_relevant"/>
    <x:tableColumn id="13" name="Transferfaehig"/>
    <x:tableColumn id="14" name="Status"/>
    <x:tableColumn id="15" name="Kommentar"/>
  </x:tableColumns>
  <x:tableStyleInfo name="TableStyleMedium2" showRowStripes="1"/>
</x:table>
</file>

<file path=xl/tables/table5.xml><?xml version="1.0" encoding="utf-8"?>
<x:table xmlns:x="http://schemas.openxmlformats.org/spreadsheetml/2006/main" id="5" name="T_Immobilien_Platzhalter" displayName="T_Immobilien_Platzhalter" ref="A6:H7" headerRowCount="1">
  <x:tableColumns count="8">
    <x:tableColumn id="1" name="Objekt_ID"/>
    <x:tableColumn id="2" name="Name"/>
    <x:tableColumn id="3" name="Objektart"/>
    <x:tableColumn id="4" name="Person_ID"/>
    <x:tableColumn id="5" name="Quelle_ID"/>
    <x:tableColumn id="6" name="Status"/>
    <x:tableColumn id="7" name="Naechste_Aktion"/>
    <x:tableColumn id="8" name="Kommentar"/>
  </x:tableColumns>
  <x:tableStyleInfo name="TableStyleMedium2" showRowStripes="1"/>
</x:table>
</file>

<file path=xl/tables/table6.xml><?xml version="1.0" encoding="utf-8"?>
<x:table xmlns:x="http://schemas.openxmlformats.org/spreadsheetml/2006/main" id="6" name="T_Immobilien_Details_Platzhalter" displayName="T_Immobilien_Details_Platzhalter" ref="A6:H7" headerRowCount="1">
  <x:tableColumns count="8">
    <x:tableColumn id="1" name="Detail_ID"/>
    <x:tableColumn id="2" name="Objekt_ID"/>
    <x:tableColumn id="3" name="Detailtyp"/>
    <x:tableColumn id="4" name="Wert"/>
    <x:tableColumn id="5" name="Einheit"/>
    <x:tableColumn id="6" name="Quelle_ID"/>
    <x:tableColumn id="7" name="Status"/>
    <x:tableColumn id="8" name="Kommentar"/>
  </x:tableColumns>
  <x:tableStyleInfo name="TableStyleMedium2" showRowStripes="1"/>
</x:table>
</file>

<file path=xl/tables/table7.xml><?xml version="1.0" encoding="utf-8"?>
<x:table xmlns:x="http://schemas.openxmlformats.org/spreadsheetml/2006/main" id="7" name="T_Versicherungen_Platzhalter" displayName="T_Versicherungen_Platzhalter" ref="A6:I7" headerRowCount="1">
  <x:tableColumns count="9">
    <x:tableColumn id="1" name="Vertrag_ID"/>
    <x:tableColumn id="2" name="Name"/>
    <x:tableColumn id="3" name="Typ"/>
    <x:tableColumn id="4" name="Person_ID"/>
    <x:tableColumn id="5" name="Beitrag"/>
    <x:tableColumn id="6" name="Frequenz"/>
    <x:tableColumn id="7" name="Quelle_ID"/>
    <x:tableColumn id="8" name="Status"/>
    <x:tableColumn id="9" name="Kommentar"/>
  </x:tableColumns>
  <x:tableStyleInfo name="TableStyleMedium2" showRowStripes="1"/>
</x:table>
</file>

<file path=xl/tables/table8.xml><?xml version="1.0" encoding="utf-8"?>
<x:table xmlns:x="http://schemas.openxmlformats.org/spreadsheetml/2006/main" id="8" name="T_Rente_Platzhalter" displayName="T_Rente_Platzhalter" ref="A6:H7" headerRowCount="1">
  <x:tableColumns count="8">
    <x:tableColumn id="1" name="Rente_ID"/>
    <x:tableColumn id="2" name="Person_ID"/>
    <x:tableColumn id="3" name="Anspruchsart"/>
    <x:tableColumn id="4" name="Monatswert"/>
    <x:tableColumn id="5" name="Startdatum"/>
    <x:tableColumn id="6" name="Quelle_ID"/>
    <x:tableColumn id="7" name="Status"/>
    <x:tableColumn id="8" name="Kommentar"/>
  </x:tableColumns>
  <x:tableStyleInfo name="TableStyleMedium2" showRowStripes="1"/>
</x:table>
</file>

<file path=xl/tables/table9.xml><?xml version="1.0" encoding="utf-8"?>
<x:table xmlns:x="http://schemas.openxmlformats.org/spreadsheetml/2006/main" id="9" name="T_Importlaeufe" displayName="T_Importlaeufe" ref="A6:P7" headerRowCount="1">
  <x:tableColumns count="16">
    <x:tableColumn id="1" name="Import_ID"/>
    <x:tableColumn id="2" name="Importdatei"/>
    <x:tableColumn id="3" name="Quellkonto_ID"/>
    <x:tableColumn id="4" name="Quelle_ID"/>
    <x:tableColumn id="5" name="Zeitraum_von"/>
    <x:tableColumn id="6" name="Zeitraum_bis"/>
    <x:tableColumn id="7" name="Kontostand_Export"/>
    <x:tableColumn id="8" name="Kontostand_Datum"/>
    <x:tableColumn id="9" name="Importdatum"/>
    <x:tableColumn id="10" name="Zeilen_gesamt"/>
    <x:tableColumn id="11" name="Zeilen_importiert"/>
    <x:tableColumn id="12" name="Duplikate"/>
    <x:tableColumn id="13" name="Parse_Fehler"/>
    <x:tableColumn id="14" name="Status"/>
    <x:tableColumn id="15" name="Lauf_ID"/>
    <x:tableColumn id="16" name="Kommentar"/>
  </x:tableColumns>
  <x:tableStyleInfo name="TableStyleMedium2" showRowStripes="1"/>
</x:table>
</file>

<file path=xl/tables/table10.xml><?xml version="1.0" encoding="utf-8"?>
<x:table xmlns:x="http://schemas.openxmlformats.org/spreadsheetml/2006/main" id="10" name="T_Umsaetze_Roh" displayName="T_Umsaetze_Roh" ref="A12:V16" headerRowCount="1">
  <x:tableColumns count="22">
    <x:tableColumn id="1" name="Rohumsatz_ID"/>
    <x:tableColumn id="2" name="Import_ID"/>
    <x:tableColumn id="3" name="Quellkonto_ID"/>
    <x:tableColumn id="4" name="Importdatei"/>
    <x:tableColumn id="5" name="Importdatum"/>
    <x:tableColumn id="6" name="Zeilennummer_Import"/>
    <x:tableColumn id="7" name="Zeilenhash"/>
    <x:tableColumn id="8" name="Duplikat_Status"/>
    <x:tableColumn id="9" name="Parse_Status"/>
    <x:tableColumn id="10" name="Parse_Hinweis"/>
    <x:tableColumn id="11" name="Buchungsdatum"/>
    <x:tableColumn id="12" name="Wertstellung"/>
    <x:tableColumn id="13" name="Status_Bank"/>
    <x:tableColumn id="14" name="Zahlungspflichtiger"/>
    <x:tableColumn id="15" name="Zahlungsempfaenger"/>
    <x:tableColumn id="16" name="Verwendungszweck"/>
    <x:tableColumn id="17" name="Umsatztyp"/>
    <x:tableColumn id="18" name="IBAN"/>
    <x:tableColumn id="19" name="Betrag"/>
    <x:tableColumn id="20" name="Glaeubiger_ID"/>
    <x:tableColumn id="21" name="Mandatsreferenz"/>
    <x:tableColumn id="22" name="Kundenreferenz"/>
  </x:tableColumns>
  <x:tableStyleInfo name="TableStyleMedium2" showRowStripes="1"/>
</x:table>
</file>

<file path=xl/tables/table11.xml><?xml version="1.0" encoding="utf-8"?>
<x:table xmlns:x="http://schemas.openxmlformats.org/spreadsheetml/2006/main" id="11" name="T_Transferregeln" displayName="T_Transferregeln" ref="A6:R7" headerRowCount="1">
  <x:tableColumns count="18">
    <x:tableColumn id="1" name="Transfer_Regel_ID"/>
    <x:tableColumn id="2" name="Name"/>
    <x:tableColumn id="3" name="Aktiv"/>
    <x:tableColumn id="4" name="Prioritaet"/>
    <x:tableColumn id="5" name="Konto_ID"/>
    <x:tableColumn id="6" name="Zielkonto_ID"/>
    <x:tableColumn id="7" name="Gegenpartei_Muster"/>
    <x:tableColumn id="8" name="IBAN_Muster"/>
    <x:tableColumn id="9" name="Verwendungszweck_Muster"/>
    <x:tableColumn id="10" name="Betrag_Min"/>
    <x:tableColumn id="11" name="Betrag_Max"/>
    <x:tableColumn id="12" name="Datums_Toleranz_Tage"/>
    <x:tableColumn id="13" name="Transfer_Typ"/>
    <x:tableColumn id="14" name="Vorgeschlagene_Cashflow_Wirkung"/>
    <x:tableColumn id="15" name="Lebenshaltung_Relevant_Vorschlag"/>
    <x:tableColumn id="16" name="Status"/>
    <x:tableColumn id="17" name="auto_person_id"/>
    <x:tableColumn id="18" name="Kommentar"/>
  </x:tableColumns>
  <x:tableStyleInfo name="TableStyleMedium2" showRowStripes="1"/>
</x:table>
</file>

<file path=xl/tables/table12.xml><?xml version="1.0" encoding="utf-8"?>
<x:table xmlns:x="http://schemas.openxmlformats.org/spreadsheetml/2006/main" id="12" name="T_Modellumsaetze" displayName="T_Modellumsaetze" ref="A12:Y16" headerRowCount="1">
  <x:tableColumns count="25">
    <x:tableColumn id="1" name="Transaktion_ID"/>
    <x:tableColumn id="2" name="Rohumsatz_ID"/>
    <x:tableColumn id="3" name="Konto_ID"/>
    <x:tableColumn id="4" name="Zielkonto_ID"/>
    <x:tableColumn id="5" name="Kategorie_ID"/>
    <x:tableColumn id="6" name="Person_ID"/>
    <x:tableColumn id="7" name="Regel_ID"/>
    <x:tableColumn id="8" name="Regel_Match_Status"/>
    <x:tableColumn id="9" name="Regel_Match_Hinweis"/>
    <x:tableColumn id="10" name="Erwartetes_Zahldatum"/>
    <x:tableColumn id="11" name="Betragsabweichung"/>
    <x:tableColumn id="12" name="Tage_Abweichung"/>
    <x:tableColumn id="13" name="Betrag"/>
    <x:tableColumn id="14" name="Buchungsmonat"/>
    <x:tableColumn id="15" name="Cashflow_Wirkung"/>
    <x:tableColumn id="16" name="Szenario_Wirkung"/>
    <x:tableColumn id="17" name="Ist_Transfer"/>
    <x:tableColumn id="18" name="Transfer_Status"/>
    <x:tableColumn id="19" name="Transfer_Typ"/>
    <x:tableColumn id="20" name="Gegenbuchung_Transaktion_ID"/>
    <x:tableColumn id="21" name="Transfer_Regel_ID"/>
    <x:tableColumn id="22" name="Lebenshaltung_Relevant"/>
    <x:tableColumn id="23" name="Transfer_Pruefhinweis"/>
    <x:tableColumn id="24" name="Status"/>
    <x:tableColumn id="25" name="Kommentar"/>
  </x:tableColumns>
  <x:tableStyleInfo name="TableStyleMedium2" showRowStripes="1"/>
</x:table>
</file>

<file path=xl/tables/table13.xml><?xml version="1.0" encoding="utf-8"?>
<x:table xmlns:x="http://schemas.openxmlformats.org/spreadsheetml/2006/main" id="13" name="T_Regelzahlungen" displayName="T_Regelzahlungen" ref="A6:AA7" headerRowCount="1">
  <x:tableColumns count="27">
    <x:tableColumn id="1" name="Regel_ID"/>
    <x:tableColumn id="2" name="Name"/>
    <x:tableColumn id="3" name="Typ"/>
    <x:tableColumn id="4" name="Kategorie_ID"/>
    <x:tableColumn id="5" name="Person_ID"/>
    <x:tableColumn id="6" name="Konto_ID"/>
    <x:tableColumn id="7" name="Quelle_ID"/>
    <x:tableColumn id="8" name="Frequenz"/>
    <x:tableColumn id="9" name="Erwarteter_Betrag"/>
    <x:tableColumn id="10" name="Toleranz_Betrag"/>
    <x:tableColumn id="11" name="Toleranz_Prozent"/>
    <x:tableColumn id="12" name="Erwarteter_Tag"/>
    <x:tableColumn id="13" name="Gegenpartei_Muster"/>
    <x:tableColumn id="14" name="IBAN_Muster"/>
    <x:tableColumn id="15" name="Verwendungszweck_Muster"/>
    <x:tableColumn id="16" name="Betrag_Min"/>
    <x:tableColumn id="17" name="Betrag_Max"/>
    <x:tableColumn id="18" name="Betrag_Variabel"/>
    <x:tableColumn id="19" name="Faelligkeitstag"/>
    <x:tableColumn id="20" name="Faelligkeitstoleranz_Tage"/>
    <x:tableColumn id="21" name="Matching_Status"/>
    <x:tableColumn id="22" name="Auto_Matching_Erlaubt"/>
    <x:tableColumn id="23" name="Startdatum"/>
    <x:tableColumn id="24" name="Enddatum"/>
    <x:tableColumn id="25" name="Status"/>
    <x:tableColumn id="26" name="Szenario_Wirkung"/>
    <x:tableColumn id="27" name="Kommentar"/>
  </x:tableColumns>
  <x:tableStyleInfo name="TableStyleMedium2" showRowStripes="1"/>
</x:table>
</file>

<file path=xl/tables/table14.xml><?xml version="1.0" encoding="utf-8"?>
<x:table xmlns:x="http://schemas.openxmlformats.org/spreadsheetml/2006/main" id="14" name="T_Regelzahlung_Vorschlaege" displayName="T_Regelzahlung_Vorschlaege" ref="A12:W13" headerRowCount="1">
  <x:tableColumns count="23">
    <x:tableColumn id="1" name="Vorschlag_ID"/>
    <x:tableColumn id="2" name="Erkannt_am"/>
    <x:tableColumn id="3" name="Lauf_ID"/>
    <x:tableColumn id="4" name="Vorgeschlagener_Name"/>
    <x:tableColumn id="5" name="Vorgeschlagene_Frequenz"/>
    <x:tableColumn id="6" name="Treffer_Anzahl"/>
    <x:tableColumn id="7" name="Erstes_Datum"/>
    <x:tableColumn id="8" name="Letztes_Datum"/>
    <x:tableColumn id="9" name="Median_Betrag"/>
    <x:tableColumn id="10" name="Betrag_Min"/>
    <x:tableColumn id="11" name="Betrag_Max"/>
    <x:tableColumn id="12" name="Betrag_Variabilitaet"/>
    <x:tableColumn id="13" name="Typ"/>
    <x:tableColumn id="14" name="Kategorie_ID_Vorschlag"/>
    <x:tableColumn id="15" name="Person_ID_Vorschlag"/>
    <x:tableColumn id="16" name="Konto_ID"/>
    <x:tableColumn id="17" name="Gegenpartei_Muster"/>
    <x:tableColumn id="18" name="IBAN_Muster"/>
    <x:tableColumn id="19" name="Verwendungszweck_Muster"/>
    <x:tableColumn id="20" name="Konfidenz"/>
    <x:tableColumn id="21" name="Status"/>
    <x:tableColumn id="22" name="Erkennungs_Hinweis"/>
    <x:tableColumn id="23" name="Kommentar"/>
  </x:tableColumns>
  <x:tableStyleInfo name="TableStyleMedium2" showRowStripes="1"/>
</x:table>
</file>

<file path=xl/tables/table15.xml><?xml version="1.0" encoding="utf-8"?>
<x:table xmlns:x="http://schemas.openxmlformats.org/spreadsheetml/2006/main" id="15" name="T_Vermoegen_Sicht" displayName="T_Vermoegen_Sicht" ref="A6:H7" headerRowCount="1">
  <x:tableColumns count="8">
    <x:tableColumn id="1" name="Position_ID"/>
    <x:tableColumn id="2" name="Name"/>
    <x:tableColumn id="3" name="Kategorie"/>
    <x:tableColumn id="4" name="Wert"/>
    <x:tableColumn id="5" name="Einheit"/>
    <x:tableColumn id="6" name="Quelle_ID"/>
    <x:tableColumn id="7" name="Status"/>
    <x:tableColumn id="8" name="Kommentar"/>
  </x:tableColumns>
  <x:tableStyleInfo name="TableStyleMedium2" showRowStripes="1"/>
</x:table>
</file>

<file path=xl/tables/table16.xml><?xml version="1.0" encoding="utf-8"?>
<x:table xmlns:x="http://schemas.openxmlformats.org/spreadsheetml/2006/main" id="16" name="T_Cashflow" displayName="T_Cashflow" ref="A6:H9" headerRowCount="1">
  <x:tableColumns count="8">
    <x:tableColumn id="1" name="Kennzahl_ID"/>
    <x:tableColumn id="2" name="Kennzahl"/>
    <x:tableColumn id="3" name="Monat"/>
    <x:tableColumn id="4" name="Wert"/>
    <x:tableColumn id="5" name="Einheit"/>
    <x:tableColumn id="6" name="Datenbasis"/>
    <x:tableColumn id="7" name="Status"/>
    <x:tableColumn id="8" name="Kommentar"/>
  </x:tableColumns>
  <x:tableStyleInfo name="TableStyleMedium2" showRowStripes="1"/>
</x:table>
</file>

<file path=xl/tables/table17.xml><?xml version="1.0" encoding="utf-8"?>
<x:table xmlns:x="http://schemas.openxmlformats.org/spreadsheetml/2006/main" id="17" name="T_Szenarien" displayName="T_Szenarien" ref="A6:G9" headerRowCount="1">
  <x:tableColumns count="7">
    <x:tableColumn id="1" name="Szenario_ID"/>
    <x:tableColumn id="2" name="Name"/>
    <x:tableColumn id="3" name="Status"/>
    <x:tableColumn id="4" name="Startdatum"/>
    <x:tableColumn id="5" name="Enddatum"/>
    <x:tableColumn id="6" name="Datenstatus"/>
    <x:tableColumn id="7" name="Kommentar"/>
  </x:tableColumns>
  <x:tableStyleInfo name="TableStyleMedium2" showRowStripes="1"/>
</x:table>
</file>

<file path=xl/tables/table18.xml><?xml version="1.0" encoding="utf-8"?>
<x:table xmlns:x="http://schemas.openxmlformats.org/spreadsheetml/2006/main" id="18" name="T_Ereignisse_Platzhalter" displayName="T_Ereignisse_Platzhalter" ref="A6:H7" headerRowCount="1">
  <x:tableColumns count="8">
    <x:tableColumn id="1" name="Ereignis_ID"/>
    <x:tableColumn id="2" name="Name"/>
    <x:tableColumn id="3" name="Typ"/>
    <x:tableColumn id="4" name="Startdatum"/>
    <x:tableColumn id="5" name="Enddatum"/>
    <x:tableColumn id="6" name="Szenario_ID"/>
    <x:tableColumn id="7" name="Status"/>
    <x:tableColumn id="8" name="Kommentar"/>
  </x:tableColumns>
  <x:tableStyleInfo name="TableStyleMedium2" showRowStripes="1"/>
</x:table>
</file>

<file path=xl/tables/table19.xml><?xml version="1.0" encoding="utf-8"?>
<x:table xmlns:x="http://schemas.openxmlformats.org/spreadsheetml/2006/main" id="19" name="T_Annahmen" displayName="T_Annahmen" ref="A6:L9" headerRowCount="1">
  <x:tableColumns count="12">
    <x:tableColumn id="1" name="Annahme_ID"/>
    <x:tableColumn id="2" name="Name"/>
    <x:tableColumn id="3" name="Bereich"/>
    <x:tableColumn id="4" name="Wert"/>
    <x:tableColumn id="5" name="Einheit"/>
    <x:tableColumn id="6" name="Gueltig_ab"/>
    <x:tableColumn id="7" name="Gueltig_bis"/>
    <x:tableColumn id="8" name="Szenario_ID"/>
    <x:tableColumn id="9" name="Status"/>
    <x:tableColumn id="10" name="Quelle_ID"/>
    <x:tableColumn id="11" name="Ersetzt_Annahme_ID"/>
    <x:tableColumn id="12" name="Kommentar"/>
  </x:tableColumns>
  <x:tableStyleInfo name="TableStyleMedium2" showRowStripes="1"/>
</x:table>
</file>

<file path=xl/tables/table20.xml><?xml version="1.0" encoding="utf-8"?>
<x:table xmlns:x="http://schemas.openxmlformats.org/spreadsheetml/2006/main" id="20" name="T_Zeitachse" displayName="T_Zeitachse" ref="A6:G9" headerRowCount="1">
  <x:tableColumns count="7">
    <x:tableColumn id="1" name="Monat_ID"/>
    <x:tableColumn id="2" name="Szenario_ID"/>
    <x:tableColumn id="3" name="Monat"/>
    <x:tableColumn id="4" name="Netto_M"/>
    <x:tableColumn id="5" name="Kumulierte_Liquiditaet"/>
    <x:tableColumn id="6" name="Status"/>
    <x:tableColumn id="7" name="Kommentar"/>
  </x:tableColumns>
  <x:tableStyleInfo name="TableStyleMedium2" showRowStripes="1"/>
</x:table>
</file>

<file path=xl/tables/table21.xml><?xml version="1.0" encoding="utf-8"?>
<x:table xmlns:x="http://schemas.openxmlformats.org/spreadsheetml/2006/main" id="21" name="T_Liquiditaet" displayName="T_Liquiditaet" ref="A6:H9" headerRowCount="1">
  <x:tableColumns count="8">
    <x:tableColumn id="1" name="Kennzahl_ID"/>
    <x:tableColumn id="2" name="Kennzahl"/>
    <x:tableColumn id="3" name="Wert"/>
    <x:tableColumn id="4" name="Einheit"/>
    <x:tableColumn id="5" name="Szenario_ID"/>
    <x:tableColumn id="6" name="Datenbasis"/>
    <x:tableColumn id="7" name="Status"/>
    <x:tableColumn id="8" name="Kommentar"/>
  </x:tableColumns>
  <x:tableStyleInfo name="TableStyleMedium2" showRowStripes="1"/>
</x:table>
</file>

<file path=xl/tables/table22.xml><?xml version="1.0" encoding="utf-8"?>
<x:table xmlns:x="http://schemas.openxmlformats.org/spreadsheetml/2006/main" id="22" name="T_Warnungen_Aktuell" displayName="T_Warnungen_Aktuell" ref="A6:J9" headerRowCount="1">
  <x:tableColumns count="10">
    <x:tableColumn id="1" name="Warnungs_ID"/>
    <x:tableColumn id="2" name="Warnungs_Fingerprint"/>
    <x:tableColumn id="3" name="Check_ID"/>
    <x:tableColumn id="4" name="Schweregrad"/>
    <x:tableColumn id="5" name="Titel"/>
    <x:tableColumn id="6" name="Betroffene_Tabelle"/>
    <x:tableColumn id="7" name="Betroffene_ID"/>
    <x:tableColumn id="8" name="Status"/>
    <x:tableColumn id="9" name="Naechste_Aktion"/>
    <x:tableColumn id="10" name="Kommentar"/>
  </x:tableColumns>
  <x:tableStyleInfo name="TableStyleMedium2" showRowStripes="1"/>
</x:table>
</file>

<file path=xl/tables/table23.xml><?xml version="1.0" encoding="utf-8"?>
<x:table xmlns:x="http://schemas.openxmlformats.org/spreadsheetml/2006/main" id="23" name="T_Warnungen_Bearbeitung" displayName="T_Warnungen_Bearbeitung" ref="A14:E16" headerRowCount="1">
  <x:tableColumns count="5">
    <x:tableColumn id="1" name="Warnungs_Fingerprint"/>
    <x:tableColumn id="2" name="Bearbeitungsstatus"/>
    <x:tableColumn id="3" name="Owner"/>
    <x:tableColumn id="4" name="Faelligkeit"/>
    <x:tableColumn id="5" name="Kommentar"/>
  </x:tableColumns>
  <x:tableStyleInfo name="TableStyleMedium2" showRowStripes="1"/>
</x:table>
</file>

<file path=xl/tables/table24.xml><?xml version="1.0" encoding="utf-8"?>
<x:table xmlns:x="http://schemas.openxmlformats.org/spreadsheetml/2006/main" id="24" name="T_Warnungen_Zusammenfassung" displayName="T_Warnungen_Zusammenfassung" ref="A21:F23" headerRowCount="1">
  <x:tableColumns count="6">
    <x:tableColumn id="1" name="Warnungs_Fingerprint"/>
    <x:tableColumn id="2" name="Titel"/>
    <x:tableColumn id="3" name="Schweregrad"/>
    <x:tableColumn id="4" name="Bearbeitungsstatus"/>
    <x:tableColumn id="5" name="Naechste_Aktion"/>
    <x:tableColumn id="6" name="Status"/>
  </x:tableColumns>
  <x:tableStyleInfo name="TableStyleMedium2" showRowStripes="1"/>
</x:table>
</file>

<file path=xl/tables/table25.xml><?xml version="1.0" encoding="utf-8"?>
<x:table xmlns:x="http://schemas.openxmlformats.org/spreadsheetml/2006/main" id="25" name="T_Agent_Vorschlaege" displayName="T_Agent_Vorschlaege" ref="A6:O7" headerRowCount="1">
  <x:tableColumns count="15">
    <x:tableColumn id="1" name="Vorschlag_ID"/>
    <x:tableColumn id="2" name="Vorschlag_Fingerprint"/>
    <x:tableColumn id="3" name="Lauf_ID"/>
    <x:tableColumn id="4" name="Methodik_ID"/>
    <x:tableColumn id="5" name="Vorschlagstyp"/>
    <x:tableColumn id="6" name="Betroffene_Tabelle"/>
    <x:tableColumn id="7" name="Betroffene_ID"/>
    <x:tableColumn id="8" name="Empfohlene_Aktion"/>
    <x:tableColumn id="9" name="Begruendung"/>
    <x:tableColumn id="10" name="Konfidenz"/>
    <x:tableColumn id="11" name="Prioritaet"/>
    <x:tableColumn id="12" name="Status"/>
    <x:tableColumn id="13" name="Umsetzung_Eindeutig"/>
    <x:tableColumn id="14" name="Umsetzungsstatus"/>
    <x:tableColumn id="15" name="Kommentar"/>
  </x:tableColumns>
  <x:tableStyleInfo name="TableStyleMedium2" showRowStripes="1"/>
</x:table>
</file>

<file path=xl/tables/table26.xml><?xml version="1.0" encoding="utf-8"?>
<x:table xmlns:x="http://schemas.openxmlformats.org/spreadsheetml/2006/main" id="26" name="T_Quellen" displayName="T_Quellen" ref="A6:AC7" headerRowCount="1">
  <x:tableColumns count="29">
    <x:tableColumn id="1" name="Quelle_ID"/>
    <x:tableColumn id="2" name="Quellenart"/>
    <x:tableColumn id="3" name="Eltern_Quelle_ID"/>
    <x:tableColumn id="4" name="Eingangskanal"/>
    <x:tableColumn id="5" name="Originaldateiname"/>
    <x:tableColumn id="6" name="Dateiname_Modell"/>
    <x:tableColumn id="7" name="Dateipfad"/>
    <x:tableColumn id="8" name="Dateihash"/>
    <x:tableColumn id="9" name="Belegtyp"/>
    <x:tableColumn id="10" name="Quelle_Anbieter"/>
    <x:tableColumn id="11" name="Belegdatum"/>
    <x:tableColumn id="12" name="Standdatum"/>
    <x:tableColumn id="13" name="Abrufdatum"/>
    <x:tableColumn id="14" name="Wertname"/>
    <x:tableColumn id="15" name="Wert"/>
    <x:tableColumn id="16" name="Einheit"/>
    <x:tableColumn id="17" name="Zeitraum"/>
    <x:tableColumn id="18" name="Zeitraum_von"/>
    <x:tableColumn id="19" name="Zeitraum_bis"/>
    <x:tableColumn id="20" name="Seite_Abschnitt"/>
    <x:tableColumn id="21" name="Zielblatt"/>
    <x:tableColumn id="22" name="Ziel_ID"/>
    <x:tableColumn id="23" name="Person_ID"/>
    <x:tableColumn id="24" name="Objekt_ID"/>
    <x:tableColumn id="25" name="Szenario_Relevanz"/>
    <x:tableColumn id="26" name="Status"/>
    <x:tableColumn id="27" name="Unsicherheit"/>
    <x:tableColumn id="28" name="Kommentar"/>
    <x:tableColumn id="29" name="Geprueft_am"/>
  </x:tableColumns>
  <x:tableStyleInfo name="TableStyleMedium2" showRowStripes="1"/>
</x:table>
</file>

<file path=xl/tables/table27.xml><?xml version="1.0" encoding="utf-8"?>
<x:table xmlns:x="http://schemas.openxmlformats.org/spreadsheetml/2006/main" id="27" name="T_Build_Verifikation" displayName="T_Build_Verifikation" ref="A6:O7" headerRowCount="1">
  <x:tableColumns count="15">
    <x:tableColumn id="1" name="Build_ID"/>
    <x:tableColumn id="2" name="Builddatum"/>
    <x:tableColumn id="3" name="Spec_Version"/>
    <x:tableColumn id="4" name="Workbook_Dateiname"/>
    <x:tableColumn id="5" name="Workbook_Dateihash"/>
    <x:tableColumn id="6" name="Builder_Version"/>
    <x:tableColumn id="7" name="Verifier"/>
    <x:tableColumn id="8" name="Verifier_Status"/>
    <x:tableColumn id="9" name="Inspector_Pfad"/>
    <x:tableColumn id="10" name="Tests_Gesamt"/>
    <x:tableColumn id="11" name="Tests_Bestanden"/>
    <x:tableColumn id="12" name="Tests_Fehlgeschlagen"/>
    <x:tableColumn id="13" name="Offene_Befunde"/>
    <x:tableColumn id="14" name="Artefakt_ID"/>
    <x:tableColumn id="15" name="Kommentar"/>
  </x:tableColumns>
  <x:tableStyleInfo name="TableStyleMedium2" showRowStripes="1"/>
</x:table>
</file>

<file path=xl/tables/table28.xml><?xml version="1.0" encoding="utf-8"?>
<x:table xmlns:x="http://schemas.openxmlformats.org/spreadsheetml/2006/main" id="28" name="T_Agentenlaeufe" displayName="T_Agentenlaeufe" ref="A12:N13" headerRowCount="1">
  <x:tableColumns count="14">
    <x:tableColumn id="1" name="Lauf_ID"/>
    <x:tableColumn id="2" name="Laufdatum"/>
    <x:tableColumn id="3" name="Agentenrolle"/>
    <x:tableColumn id="4" name="Ausloeser_Typ"/>
    <x:tableColumn id="5" name="Methodik_ID"/>
    <x:tableColumn id="6" name="Erlaubte_Zielbereiche"/>
    <x:tableColumn id="7" name="Geaenderte_Tabellen"/>
    <x:tableColumn id="8" name="Erzeugte_Vorschlaege"/>
    <x:tableColumn id="9" name="Erzeugte_Warnhinweise"/>
    <x:tableColumn id="10" name="Ergebnis"/>
    <x:tableColumn id="11" name="Compliance_Status"/>
    <x:tableColumn id="12" name="Artefakt_ID"/>
    <x:tableColumn id="13" name="Fehler_Hinweis"/>
    <x:tableColumn id="14" name="Kommentar"/>
  </x:tableColumns>
  <x:tableStyleInfo name="TableStyleMedium2" showRowStripes="1"/>
</x:table>
</file>

<file path=xl/tables/table29.xml><?xml version="1.0" encoding="utf-8"?>
<x:table xmlns:x="http://schemas.openxmlformats.org/spreadsheetml/2006/main" id="29" name="T_Artefakt_Referenzen" displayName="T_Artefakt_Referenzen" ref="A18:J19" headerRowCount="1">
  <x:tableColumns count="10">
    <x:tableColumn id="1" name="Artefakt_ID"/>
    <x:tableColumn id="2" name="Artefakt_Typ"/>
    <x:tableColumn id="3" name="Pfad"/>
    <x:tableColumn id="4" name="Dateihash"/>
    <x:tableColumn id="5" name="Erzeugt_am"/>
    <x:tableColumn id="6" name="Erzeugt_durch"/>
    <x:tableColumn id="7" name="Bezug_ID"/>
    <x:tableColumn id="8" name="Aufbewahrung"/>
    <x:tableColumn id="9" name="Status"/>
    <x:tableColumn id="10" name="Kommentar"/>
  </x:tableColumns>
  <x:tableStyleInfo name="TableStyleMedium2" showRowStripes="1"/>
</x:table>
</file>

<file path=xl/tables/table30.xml><?xml version="1.0" encoding="utf-8"?>
<x:table xmlns:x="http://schemas.openxmlformats.org/spreadsheetml/2006/main" id="30" name="T_Checks" displayName="T_Checks" ref="A6:N11" headerRowCount="1">
  <x:tableColumns count="14">
    <x:tableColumn id="1" name="Check_ID"/>
    <x:tableColumn id="2" name="Checkgruppe"/>
    <x:tableColumn id="3" name="Beschreibung"/>
    <x:tableColumn id="4" name="Schweregrad"/>
    <x:tableColumn id="5" name="Status"/>
    <x:tableColumn id="6" name="Betroffene_Quelle_ID"/>
    <x:tableColumn id="7" name="Betroffene_Annahme_ID"/>
    <x:tableColumn id="8" name="Betroffener_Import_ID"/>
    <x:tableColumn id="9" name="Betroffener_Kontrollspur_ID"/>
    <x:tableColumn id="10" name="Betroffene_Tabelle"/>
    <x:tableColumn id="11" name="Betroffene_ID"/>
    <x:tableColumn id="12" name="Ausloeser"/>
    <x:tableColumn id="13" name="Naechste_Aktion"/>
    <x:tableColumn id="14" name="Kommenta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5e815f6ec3f4673" /><Relationship Type="http://schemas.openxmlformats.org/officeDocument/2006/relationships/table" Target="/xl/tables/table1.xml" Id="R09909dca168d4af9" /></Relationships>
</file>

<file path=xl/worksheets/_rels/sheet2.xml.rels>&#65279;<?xml version="1.0" encoding="utf-8"?><Relationships xmlns="http://schemas.openxmlformats.org/package/2006/relationships"><Relationship Type="http://schemas.openxmlformats.org/officeDocument/2006/relationships/table" Target="/xl/tables/table2.xml" Id="R7ef43548318e4d3b" /></Relationships>
</file>

<file path=xl/worksheets/_rels/sheet3.xml.rels>&#65279;<?xml version="1.0" encoding="utf-8"?><Relationships xmlns="http://schemas.openxmlformats.org/package/2006/relationships"><Relationship Type="http://schemas.openxmlformats.org/officeDocument/2006/relationships/table" Target="/xl/tables/table3.xml" Id="Rffe91f6e0af645a5" /></Relationships>
</file>

<file path=xl/worksheets/_rels/sheet4.xml.rels>&#65279;<?xml version="1.0" encoding="utf-8"?><Relationships xmlns="http://schemas.openxmlformats.org/package/2006/relationships"><Relationship Type="http://schemas.openxmlformats.org/officeDocument/2006/relationships/table" Target="/xl/tables/table4.xml" Id="R8826997dab3349ed" /></Relationships>
</file>

<file path=xl/worksheets/_rels/sheet5.xml.rels>&#65279;<?xml version="1.0" encoding="utf-8"?><Relationships xmlns="http://schemas.openxmlformats.org/package/2006/relationships"><Relationship Type="http://schemas.openxmlformats.org/officeDocument/2006/relationships/table" Target="/xl/tables/table5.xml" Id="R6fe6287022714407" /></Relationships>
</file>

<file path=xl/worksheets/_rels/sheet6.xml.rels>&#65279;<?xml version="1.0" encoding="utf-8"?><Relationships xmlns="http://schemas.openxmlformats.org/package/2006/relationships"><Relationship Type="http://schemas.openxmlformats.org/officeDocument/2006/relationships/table" Target="/xl/tables/table6.xml" Id="R9831d65bb39b4958" /></Relationships>
</file>

<file path=xl/worksheets/_rels/sheet7.xml.rels>&#65279;<?xml version="1.0" encoding="utf-8"?><Relationships xmlns="http://schemas.openxmlformats.org/package/2006/relationships"><Relationship Type="http://schemas.openxmlformats.org/officeDocument/2006/relationships/table" Target="/xl/tables/table7.xml" Id="R40eef4da46a04513" /></Relationships>
</file>

<file path=xl/worksheets/_rels/sheet8.xml.rels>&#65279;<?xml version="1.0" encoding="utf-8"?><Relationships xmlns="http://schemas.openxmlformats.org/package/2006/relationships"><Relationship Type="http://schemas.openxmlformats.org/officeDocument/2006/relationships/table" Target="/xl/tables/table8.xml" Id="Rc86e11bc06cb4fad" /></Relationships>
</file>

<file path=xl/worksheets/_rels/sheet9.xml.rels>&#65279;<?xml version="1.0" encoding="utf-8"?><Relationships xmlns="http://schemas.openxmlformats.org/package/2006/relationships"><Relationship Type="http://schemas.openxmlformats.org/officeDocument/2006/relationships/table" Target="/xl/tables/table9.xml" Id="R413bc8b7ff2e4451" /><Relationship Type="http://schemas.openxmlformats.org/officeDocument/2006/relationships/table" Target="/xl/tables/table10.xml" Id="Ra337aadbb13240a6" /></Relationships>
</file>

<file path=xl/worksheets/_rels/sheet10.xml.rels>&#65279;<?xml version="1.0" encoding="utf-8"?><Relationships xmlns="http://schemas.openxmlformats.org/package/2006/relationships"><Relationship Type="http://schemas.openxmlformats.org/officeDocument/2006/relationships/table" Target="/xl/tables/table11.xml" Id="R832ab60192214e06" /><Relationship Type="http://schemas.openxmlformats.org/officeDocument/2006/relationships/table" Target="/xl/tables/table12.xml" Id="R17609a36f9194010" /></Relationships>
</file>

<file path=xl/worksheets/_rels/sheet11.xml.rels>&#65279;<?xml version="1.0" encoding="utf-8"?><Relationships xmlns="http://schemas.openxmlformats.org/package/2006/relationships"><Relationship Type="http://schemas.openxmlformats.org/officeDocument/2006/relationships/table" Target="/xl/tables/table13.xml" Id="R6d4aaa10300347c0" /><Relationship Type="http://schemas.openxmlformats.org/officeDocument/2006/relationships/table" Target="/xl/tables/table14.xml" Id="R683f20a3660945b0" /></Relationships>
</file>

<file path=xl/worksheets/_rels/sheet12.xml.rels>&#65279;<?xml version="1.0" encoding="utf-8"?><Relationships xmlns="http://schemas.openxmlformats.org/package/2006/relationships"><Relationship Type="http://schemas.openxmlformats.org/officeDocument/2006/relationships/table" Target="/xl/tables/table15.xml" Id="R5da62c9800154753" /></Relationships>
</file>

<file path=xl/worksheets/_rels/sheet13.xml.rels>&#65279;<?xml version="1.0" encoding="utf-8"?><Relationships xmlns="http://schemas.openxmlformats.org/package/2006/relationships"><Relationship Type="http://schemas.openxmlformats.org/officeDocument/2006/relationships/table" Target="/xl/tables/table16.xml" Id="R3e2bc3453ea44bf9" /></Relationships>
</file>

<file path=xl/worksheets/_rels/sheet14.xml.rels>&#65279;<?xml version="1.0" encoding="utf-8"?><Relationships xmlns="http://schemas.openxmlformats.org/package/2006/relationships"><Relationship Type="http://schemas.openxmlformats.org/officeDocument/2006/relationships/table" Target="/xl/tables/table17.xml" Id="R14bcdb5320874b95" /></Relationships>
</file>

<file path=xl/worksheets/_rels/sheet15.xml.rels>&#65279;<?xml version="1.0" encoding="utf-8"?><Relationships xmlns="http://schemas.openxmlformats.org/package/2006/relationships"><Relationship Type="http://schemas.openxmlformats.org/officeDocument/2006/relationships/table" Target="/xl/tables/table18.xml" Id="Rfcb2e3f30dc748ca" /></Relationships>
</file>

<file path=xl/worksheets/_rels/sheet16.xml.rels>&#65279;<?xml version="1.0" encoding="utf-8"?><Relationships xmlns="http://schemas.openxmlformats.org/package/2006/relationships"><Relationship Type="http://schemas.openxmlformats.org/officeDocument/2006/relationships/table" Target="/xl/tables/table19.xml" Id="Reb1b9e7c5b8f4580" /></Relationships>
</file>

<file path=xl/worksheets/_rels/sheet17.xml.rels>&#65279;<?xml version="1.0" encoding="utf-8"?><Relationships xmlns="http://schemas.openxmlformats.org/package/2006/relationships"><Relationship Type="http://schemas.openxmlformats.org/officeDocument/2006/relationships/table" Target="/xl/tables/table20.xml" Id="Rd9edaa8be3574adf" /></Relationships>
</file>

<file path=xl/worksheets/_rels/sheet18.xml.rels>&#65279;<?xml version="1.0" encoding="utf-8"?><Relationships xmlns="http://schemas.openxmlformats.org/package/2006/relationships"><Relationship Type="http://schemas.openxmlformats.org/officeDocument/2006/relationships/table" Target="/xl/tables/table21.xml" Id="R9f7697f058454d0f" /></Relationships>
</file>

<file path=xl/worksheets/_rels/sheet19.xml.rels>&#65279;<?xml version="1.0" encoding="utf-8"?><Relationships xmlns="http://schemas.openxmlformats.org/package/2006/relationships"><Relationship Type="http://schemas.openxmlformats.org/officeDocument/2006/relationships/table" Target="/xl/tables/table22.xml" Id="R9543231b962b4c9c" /><Relationship Type="http://schemas.openxmlformats.org/officeDocument/2006/relationships/table" Target="/xl/tables/table23.xml" Id="Rf256c20cfa8a4c4e" /><Relationship Type="http://schemas.openxmlformats.org/officeDocument/2006/relationships/table" Target="/xl/tables/table24.xml" Id="Raad15652e0954be2" /></Relationships>
</file>

<file path=xl/worksheets/_rels/sheet20.xml.rels>&#65279;<?xml version="1.0" encoding="utf-8"?><Relationships xmlns="http://schemas.openxmlformats.org/package/2006/relationships"><Relationship Type="http://schemas.openxmlformats.org/officeDocument/2006/relationships/table" Target="/xl/tables/table25.xml" Id="R9e23a55fde7543ac" /></Relationships>
</file>

<file path=xl/worksheets/_rels/sheet21.xml.rels>&#65279;<?xml version="1.0" encoding="utf-8"?><Relationships xmlns="http://schemas.openxmlformats.org/package/2006/relationships"><Relationship Type="http://schemas.openxmlformats.org/officeDocument/2006/relationships/table" Target="/xl/tables/table26.xml" Id="Re7e641abcc7f40cd" /></Relationships>
</file>

<file path=xl/worksheets/_rels/sheet22.xml.rels>&#65279;<?xml version="1.0" encoding="utf-8"?><Relationships xmlns="http://schemas.openxmlformats.org/package/2006/relationships"><Relationship Type="http://schemas.openxmlformats.org/officeDocument/2006/relationships/table" Target="/xl/tables/table27.xml" Id="Rd773645f20e4433f" /><Relationship Type="http://schemas.openxmlformats.org/officeDocument/2006/relationships/table" Target="/xl/tables/table28.xml" Id="R02ffafd15a764274" /><Relationship Type="http://schemas.openxmlformats.org/officeDocument/2006/relationships/table" Target="/xl/tables/table29.xml" Id="R76ed7ce1ca0443d7" /></Relationships>
</file>

<file path=xl/worksheets/_rels/sheet23.xml.rels>&#65279;<?xml version="1.0" encoding="utf-8"?><Relationships xmlns="http://schemas.openxmlformats.org/package/2006/relationships"><Relationship Type="http://schemas.openxmlformats.org/officeDocument/2006/relationships/table" Target="/xl/tables/table30.xml" Id="R43a3a2ddaea942f8" /></Relationships>
</file>

<file path=xl/worksheets/sheet1.xml><?xml version="1.0" encoding="utf-8"?>
<x:worksheet xmlns:x="http://schemas.openxmlformats.org/spreadsheetml/2006/main">
  <x:sheetViews>
    <x:sheetView showGridLines="0" workbookViewId="0"/>
  </x:sheetViews>
  <x:sheetFormatPr defaultRowHeight="15"/>
  <x:cols>
    <x:col min="1" max="1" width="25.149999618530273" hidden="0" customWidth="1"/>
    <x:col min="2" max="2" width="22.700000762939453" hidden="0" customWidth="1"/>
    <x:col min="3" max="3" width="27.610000610351562" hidden="0" customWidth="1"/>
    <x:col min="4" max="4" width="39.880001068115234" hidden="0" customWidth="1"/>
    <x:col min="6" max="6" width="30.059999465942383" hidden="0" customWidth="1"/>
    <x:col min="7" max="7" width="12.880000114440918" hidden="0" customWidth="1"/>
    <x:col min="8" max="8" width="33.7400016784668" hidden="0" customWidth="1"/>
    <x:col min="10" max="10" width="14.109999656677246" hidden="0" customWidth="1"/>
    <x:col min="11" max="11" width="14.109999656677246" hidden="0" customWidth="1"/>
    <x:col min="12" max="12" width="14.109999656677246" hidden="0" customWidth="1"/>
    <x:col min="13" max="13" width="14.109999656677246" hidden="0" customWidth="1"/>
  </x:cols>
  <x:sheetData>
    <x:row r="1" ht="31.5" customHeight="1">
      <x:c r="A1" s="4" t="str">
        <x:v>Finanzmodell V1 Startmappe</x:v>
      </x:c>
      <x:c r="B1" s="4"/>
      <x:c r="C1" s="4"/>
      <x:c r="D1" s="4"/>
      <x:c r="E1" s="4"/>
      <x:c r="F1" s="4"/>
      <x:c r="G1" s="4"/>
      <x:c r="H1" s="4"/>
      <x:c r="I1" s="4"/>
      <x:c r="J1" s="4"/>
      <x:c r="K1" s="4"/>
      <x:c r="L1" s="4"/>
      <x:c r="M1" s="4"/>
    </x:row>
    <x:row r="2">
      <x:c r="A2" s="7" t="str">
        <x:v>Struktur-, Referenz- und Sichtbarkeitsnachweis nach Sparring FINAL_ARTIFACT. Finanzkennzahlen bleiben bis Task 3 bewusst ohne Ergebniswert.</x:v>
      </x:c>
      <x:c r="B2" s="7"/>
      <x:c r="C2" s="7"/>
      <x:c r="D2" s="7"/>
      <x:c r="E2" s="7"/>
      <x:c r="F2" s="7"/>
      <x:c r="G2" s="7"/>
      <x:c r="H2" s="7"/>
      <x:c r="I2" s="7"/>
      <x:c r="J2" s="7"/>
      <x:c r="K2" s="7"/>
      <x:c r="L2" s="7"/>
      <x:c r="M2" s="7"/>
    </x:row>
    <x:row r="4" ht="25.5" customHeight="1">
      <x:c r="A4" s="13" t="str">
        <x:v>Modellstatus</x:v>
      </x:c>
      <x:c r="B4" s="14" t="str">
        <x:f>IF(COUNTIF('99_Checks'!D:D,"Fehler")&gt;0,"Rot",IF(COUNTIF('99_Checks'!D:D,"Warnung")&gt;0,"Gelb","Gruen"))</x:f>
        <x:v>Rot</x:v>
      </x:c>
      <x:c r="C4" s="11" t="str">
        <x:v>Rueckgebunden an CHK-BLD-01, CHK003, CHK012</x:v>
      </x:c>
      <x:c r="J4" s="21" t="str">
        <x:v>Schweregrad</x:v>
      </x:c>
      <x:c r="K4" s="21" t="str">
        <x:v>Offene Checks</x:v>
      </x:c>
    </x:row>
    <x:row r="5" ht="48" customHeight="1">
      <x:c r="A5" s="13" t="str">
        <x:v>Kontrollstatus</x:v>
      </x:c>
      <x:c r="B5" s="14" t="str">
        <x:v>nicht_ausgefuehrt</x:v>
      </x:c>
      <x:c r="C5" s="11" t="str">
        <x:v>Build-Verifikation ist als Startzustand nicht ausgefuehrt</x:v>
      </x:c>
      <x:c r="J5" s="18" t="str">
        <x:v>Fehler</x:v>
      </x:c>
      <x:c r="K5" s="18" t="n">
        <x:f>COUNTIFS('99_Checks'!D:D,"Fehler",'99_Checks'!E:E,"offen")</x:f>
        <x:v>1</x:v>
      </x:c>
    </x:row>
    <x:row r="6" ht="48" customHeight="1">
      <x:c r="A6" s="13" t="str">
        <x:v>Naechste Aktion</x:v>
      </x:c>
      <x:c r="B6" s="14" t="str">
        <x:v>Build/Verifier ausfuehren und offene Kategorie pruefen</x:v>
      </x:c>
      <x:c r="C6" s="11" t="str">
        <x:v>Danach CSV-Parser und Task-3-Formeln</x:v>
      </x:c>
      <x:c r="J6" s="18" t="str">
        <x:v>Warnung</x:v>
      </x:c>
      <x:c r="K6" s="18" t="n">
        <x:f>COUNTIFS('99_Checks'!D:D,"Warnung",'99_Checks'!E:E,"offen")</x:f>
        <x:v>5</x:v>
      </x:c>
    </x:row>
    <x:row r="7">
      <x:c r="J7" s="18" t="str">
        <x:v>Hinweis</x:v>
      </x:c>
      <x:c r="K7" s="18" t="n">
        <x:f>COUNTIFS('99_Checks'!D:D,"Hinweis",'99_Checks'!E:E,"offen")</x:f>
        <x:v>0</x:v>
      </x:c>
    </x:row>
    <x:row r="9" ht="25.5" customHeight="1">
      <x:c r="A9" s="21" t="str">
        <x:v>Kennzahl</x:v>
      </x:c>
      <x:c r="B9" s="21" t="str">
        <x:v>Wert</x:v>
      </x:c>
      <x:c r="C9" s="21" t="str">
        <x:v>Status</x:v>
      </x:c>
      <x:c r="D9" s="21" t="str">
        <x:v>Warum</x:v>
      </x:c>
      <x:c r="F9" s="21" t="str">
        <x:v>Top-Warnung</x:v>
      </x:c>
      <x:c r="G9" s="21" t="str">
        <x:v>Schweregrad</x:v>
      </x:c>
      <x:c r="H9" s="21" t="str">
        <x:v>Naechste Aktion</x:v>
      </x:c>
    </x:row>
    <x:row r="10">
      <x:c r="A10" s="18" t="str">
        <x:v>Liquiditaet heute</x:v>
      </x:c>
      <x:c r="B10" s="23" t="str">
        <x:v>nicht_berechnet</x:v>
      </x:c>
      <x:c r="C10" s="18" t="str">
        <x:v>Zielstelle</x:v>
      </x:c>
      <x:c r="D10" s="18" t="str">
        <x:v>Task 1 zeigt Struktur, nicht Finanzwert</x:v>
      </x:c>
      <x:c r="F10" s="18" t="str">
        <x:v>Workbook-Verifikation noch nicht bestanden</x:v>
      </x:c>
      <x:c r="G10" s="18" t="str">
        <x:v>Fehler</x:v>
      </x:c>
      <x:c r="H10" s="18" t="str">
        <x:v>Build/Verifier ausfuehren</x:v>
      </x:c>
    </x:row>
    <x:row r="11">
      <x:c r="A11" s="18" t="str">
        <x:v>Freie Liquiditaet nach Reserve</x:v>
      </x:c>
      <x:c r="B11" s="23" t="str">
        <x:v>nicht_berechnet</x:v>
      </x:c>
      <x:c r="C11" s="18" t="str">
        <x:v>Zielstelle</x:v>
      </x:c>
      <x:c r="D11" s="18" t="str">
        <x:v>Task 3 berechnet aus Konten und Annahmen</x:v>
      </x:c>
      <x:c r="F11" s="18" t="str">
        <x:v>Buchung mit offener Kategorie</x:v>
      </x:c>
      <x:c r="G11" s="18" t="str">
        <x:v>Warnung</x:v>
      </x:c>
      <x:c r="H11" s="18" t="str">
        <x:v>Kategorie pruefen</x:v>
      </x:c>
    </x:row>
    <x:row r="12">
      <x:c r="A12" s="18" t="str">
        <x:v>Cashflow Monat gesamt</x:v>
      </x:c>
      <x:c r="B12" s="23" t="str">
        <x:v>nicht_berechnet</x:v>
      </x:c>
      <x:c r="C12" s="18" t="str">
        <x:v>Zielstelle</x:v>
      </x:c>
      <x:c r="D12" s="18" t="str">
        <x:v>Task 3 verknuepft Ist, Regelzahlungen und variable Annahmen</x:v>
      </x:c>
      <x:c r="F12" s="18" t="str">
        <x:v>Platzhalter-Annahme variable Ausgaben</x:v>
      </x:c>
      <x:c r="G12" s="18" t="str">
        <x:v>Warnung</x:v>
      </x:c>
      <x:c r="H12" s="18" t="str">
        <x:v>Annahme belegen oder ersetzen</x:v>
      </x:c>
    </x:row>
    <x:row r="13">
      <x:c r="A13" s="18" t="str">
        <x:v>Reichweite Standardszenario</x:v>
      </x:c>
      <x:c r="B13" s="23" t="str">
        <x:v>nicht_berechnet</x:v>
      </x:c>
      <x:c r="C13" s="18" t="str">
        <x:v>Zielstelle</x:v>
      </x:c>
      <x:c r="D13" s="18" t="str">
        <x:v>Task 3 baut Runway aus Zeitachse und Liquiditaet</x:v>
      </x:c>
    </x:row>
    <x:row r="14">
      <x:c r="A14" s="18" t="str">
        <x:v>Offene Checks</x:v>
      </x:c>
      <x:c r="B14" s="24" t="n">
        <x:f>COUNTIF('99_Checks'!E:E,"offen")</x:f>
        <x:v>6</x:v>
      </x:c>
      <x:c r="C14" s="18" t="str">
        <x:v>sichtbar</x:v>
      </x:c>
      <x:c r="D14" s="18" t="str">
        <x:v>Mindestens ein Fehler/Warnung begruendet Rot/Gelb</x:v>
      </x:c>
    </x:row>
    <x:row r="17" ht="25.5" customHeight="1">
      <x:c r="A17" s="21" t="str">
        <x:v>Format</x:v>
      </x:c>
      <x:c r="B17" s="21" t="str">
        <x:v>Bedeutung</x:v>
      </x:c>
    </x:row>
    <x:row r="18">
      <x:c r="A18" s="18" t="str">
        <x:v>Blaue Schrift</x:v>
      </x:c>
      <x:c r="B18" s="18" t="str">
        <x:v>hardcodierte Startdaten / editierbare Inputs</x:v>
      </x:c>
    </x:row>
    <x:row r="19">
      <x:c r="A19" s="25" t="str">
        <x:v>Schwarze Schrift</x:v>
      </x:c>
      <x:c r="B19" s="25" t="str">
        <x:v>Formeln oder berechnete Statusfelder</x:v>
      </x:c>
    </x:row>
    <x:row r="20">
      <x:c r="A20" s="22" t="str">
        <x:v>Gelbe Flaeche</x:v>
      </x:c>
      <x:c r="B20" s="22" t="str">
        <x:v>offen, Platzhalter oder pruefpflichtig</x:v>
      </x:c>
    </x:row>
  </x:sheetData>
  <x:mergeCells>
    <x:mergeCell ref="A1:M1"/>
    <x:mergeCell ref="A2:M2"/>
  </x:mergeCells>
  <x:conditionalFormatting sqref="B4:B6">
    <x:cfRule type="containsText" dxfId="0" priority="1" operator="containsText" text="Rot"/>
    <x:cfRule type="containsText" dxfId="1" priority="2" operator="containsText" text="Gelb"/>
    <x:cfRule type="containsText" dxfId="2" priority="3" operator="containsText" text="offen"/>
    <x:cfRule type="containsText" dxfId="3" priority="4" operator="containsText" text="nicht"/>
  </x:conditionalFormatting>
  <x:conditionalFormatting sqref="G10:G12">
    <x:cfRule type="containsText" dxfId="4" priority="5" operator="containsText" text="Rot"/>
    <x:cfRule type="containsText" dxfId="5" priority="6" operator="containsText" text="Gelb"/>
    <x:cfRule type="containsText" dxfId="6" priority="7" operator="containsText" text="offen"/>
    <x:cfRule type="containsText" dxfId="7" priority="8" operator="containsText" text="nicht"/>
  </x:conditionalFormatting>
  <x:pageMargins left="0.7" right="0.7" top="0.75" bottom="0.75" header="0.3" footer="0.3"/>
  <x:drawing xmlns:r="http://schemas.openxmlformats.org/officeDocument/2006/relationships" r:id="R15e815f6ec3f4673"/>
  <x:tableParts count="1">
    <x:tablePart xmlns:r="http://schemas.openxmlformats.org/officeDocument/2006/relationships" r:id="R09909dca168d4af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2.880000114440918" hidden="0" customWidth="1"/>
    <x:col min="6" max="6" width="12.880000114440918" hidden="0" customWidth="1"/>
    <x:col min="7" max="7" width="14.109999656677246" hidden="0" customWidth="1"/>
    <x:col min="8" max="8" width="27.610000610351562" hidden="0" customWidth="1"/>
  </x:cols>
  <x:sheetData>
    <x:row r="1" ht="25.5" customHeight="1">
      <x:c r="A1" s="28" t="str">
        <x:v>01_Personen</x:v>
      </x:c>
      <x:c r="B1" s="28"/>
      <x:c r="C1" s="28"/>
      <x:c r="D1" s="28"/>
      <x:c r="E1" s="28"/>
      <x:c r="F1" s="28"/>
      <x:c r="G1" s="28"/>
      <x:c r="H1" s="28"/>
    </x:row>
    <x:row r="2" ht="61.5" customHeight="1">
      <x:c r="A2" s="48" t="str">
        <x:v>Zweck</x:v>
      </x:c>
      <x:c r="B2" s="43" t="str">
        <x:v>Stammdatenanker fuer Personen, Rollen und H...</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Personen und Haushalt</x:v>
      </x:c>
      <x:c r="B4" s="54"/>
      <x:c r="C4" s="54"/>
      <x:c r="D4" s="54"/>
      <x:c r="E4" s="54"/>
      <x:c r="F4" s="54"/>
      <x:c r="G4" s="54"/>
      <x:c r="H4" s="54"/>
    </x:row>
    <x:row r="5">
      <x:c r="A5" s="56" t="str">
        <x:v>PK: Person_ID | Update: manuell | ID: P/HH</x:v>
      </x:c>
      <x:c r="B5" s="56"/>
      <x:c r="C5" s="56"/>
      <x:c r="D5" s="56"/>
      <x:c r="E5" s="56"/>
      <x:c r="F5" s="56"/>
      <x:c r="G5" s="56"/>
      <x:c r="H5" s="56"/>
    </x:row>
    <x:row r="6" ht="25.5" customHeight="1">
      <x:c r="A6" s="21" t="str">
        <x:v>Person_ID</x:v>
      </x:c>
      <x:c r="B6" s="21" t="str">
        <x:v>Name_Rolle</x:v>
      </x:c>
      <x:c r="C6" s="21" t="str">
        <x:v>Typ</x:v>
      </x:c>
      <x:c r="D6" s="21" t="str">
        <x:v>Geburtsdatum</x:v>
      </x:c>
      <x:c r="E6" s="21" t="str">
        <x:v>Alter_aktuell</x:v>
      </x:c>
      <x:c r="F6" s="21" t="str">
        <x:v>Renteneintritt_alter</x:v>
      </x:c>
      <x:c r="G6" s="21" t="str">
        <x:v>Status</x:v>
      </x:c>
      <x:c r="H6" s="21" t="str">
        <x:v>Kommentar</x:v>
      </x:c>
    </x:row>
    <x:row r="7">
      <x:c r="A7" s="18" t="str">
        <x:v>P01</x:v>
      </x:c>
      <x:c r="B7" s="18" t="str">
        <x:v>Nutzer</x:v>
      </x:c>
      <x:c r="C7" s="18" t="str">
        <x:v>Person</x:v>
      </x:c>
      <x:c r="D7" s="57" t="str"/>
      <x:c r="E7" s="18" t="str"/>
      <x:c r="F7" s="18" t="n">
        <x:v>67</x:v>
      </x:c>
      <x:c r="G7" s="18" t="str">
        <x:v>offen</x:v>
      </x:c>
      <x:c r="H7" s="18" t="str">
        <x:v>Geburtsdatum und Renteneintrittsalter nachtragen</x:v>
      </x:c>
    </x:row>
    <x:row r="8">
      <x:c r="A8" s="18" t="str">
        <x:v>P02</x:v>
      </x:c>
      <x:c r="B8" s="18" t="str">
        <x:v>Ehefrau</x:v>
      </x:c>
      <x:c r="C8" s="18" t="str">
        <x:v>Person</x:v>
      </x:c>
      <x:c r="D8" s="57" t="str"/>
      <x:c r="E8" s="18" t="str"/>
      <x:c r="F8" s="18" t="n">
        <x:v>67</x:v>
      </x:c>
      <x:c r="G8" s="18" t="str">
        <x:v>offen</x:v>
      </x:c>
      <x:c r="H8" s="18" t="str">
        <x:v>Basisdaten noch offen</x:v>
      </x:c>
    </x:row>
    <x:row r="9">
      <x:c r="A9" s="18" t="str">
        <x:v>HH</x:v>
      </x:c>
      <x:c r="B9" s="18" t="str">
        <x:v>Haushalt / Familie</x:v>
      </x:c>
      <x:c r="C9" s="18" t="str">
        <x:v>Haushalt</x:v>
      </x:c>
      <x:c r="D9" s="57" t="str"/>
      <x:c r="E9" s="18" t="str"/>
      <x:c r="F9" s="18" t="str"/>
      <x:c r="G9" s="18" t="str">
        <x:v>belegt</x:v>
      </x:c>
      <x:c r="H9" s="18" t="str">
        <x:v>Haushaltsanker fuer Auswertungen</x:v>
      </x:c>
    </x:row>
    <x:row r="10">
      <x:c r="D10" s="5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7ef43548318e4d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2.880000114440918" hidden="0" customWidth="1"/>
    <x:col min="5" max="5" width="12.880000114440918" hidden="0" customWidth="1"/>
    <x:col min="6" max="6" width="14.109999656677246" hidden="0" customWidth="1"/>
    <x:col min="7" max="7" width="27.610000610351562" hidden="0" customWidth="1"/>
  </x:cols>
  <x:sheetData>
    <x:row r="1" ht="25.5" customHeight="1">
      <x:c r="A1" s="28" t="str">
        <x:v>02_Kategorien</x:v>
      </x:c>
      <x:c r="B1" s="28"/>
      <x:c r="C1" s="28"/>
      <x:c r="D1" s="28"/>
      <x:c r="E1" s="28"/>
      <x:c r="F1" s="28"/>
      <x:c r="G1" s="28"/>
      <x:c r="H1" s="28"/>
    </x:row>
    <x:row r="2" ht="61.5" customHeight="1">
      <x:c r="A2" s="48" t="str">
        <x:v>Zweck</x:v>
      </x:c>
      <x:c r="B2" s="43" t="str">
        <x:v>Cashflow-Kategorien inklusive offener Pruef...</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Kategorien</x:v>
      </x:c>
      <x:c r="B4" s="54"/>
      <x:c r="C4" s="54"/>
      <x:c r="D4" s="54"/>
      <x:c r="E4" s="54"/>
      <x:c r="F4" s="54"/>
      <x:c r="G4" s="54"/>
    </x:row>
    <x:row r="5">
      <x:c r="A5" s="56" t="str">
        <x:v>PK: Kategorie_ID | Update: manuell_mit_audit | ID: KAT</x:v>
      </x:c>
      <x:c r="B5" s="56"/>
      <x:c r="C5" s="56"/>
      <x:c r="D5" s="56"/>
      <x:c r="E5" s="56"/>
      <x:c r="F5" s="56"/>
      <x:c r="G5" s="56"/>
    </x:row>
    <x:row r="6" ht="25.5" customHeight="1">
      <x:c r="A6" s="21" t="str">
        <x:v>Kategorie_ID</x:v>
      </x:c>
      <x:c r="B6" s="21" t="str">
        <x:v>Name</x:v>
      </x:c>
      <x:c r="C6" s="21" t="str">
        <x:v>Gruppe</x:v>
      </x:c>
      <x:c r="D6" s="21" t="str">
        <x:v>Cashflow_Typ</x:v>
      </x:c>
      <x:c r="E6" s="21" t="str">
        <x:v>Lebenshaltung_Relevant</x:v>
      </x:c>
      <x:c r="F6" s="21" t="str">
        <x:v>Status</x:v>
      </x:c>
      <x:c r="G6" s="21" t="str">
        <x:v>Kommentar</x:v>
      </x:c>
    </x:row>
    <x:row r="7">
      <x:c r="A7" s="18" t="str">
        <x:v>KAT001</x:v>
      </x:c>
      <x:c r="B7" s="18" t="str">
        <x:v>Einkommen</x:v>
      </x:c>
      <x:c r="C7" s="18" t="str">
        <x:v>Cashflow</x:v>
      </x:c>
      <x:c r="D7" s="18" t="str">
        <x:v>Einnahme</x:v>
      </x:c>
      <x:c r="E7" s="63" t="b">
        <x:v>1</x:v>
      </x:c>
      <x:c r="F7" s="18" t="str">
        <x:v>belegt</x:v>
      </x:c>
      <x:c r="G7" s="18" t="str">
        <x:v>Lohn, Rente, Kapitalertraege</x:v>
      </x:c>
    </x:row>
    <x:row r="8">
      <x:c r="A8" s="18" t="str">
        <x:v>KAT002</x:v>
      </x:c>
      <x:c r="B8" s="18" t="str">
        <x:v>Wohnen &amp; Immobilien</x:v>
      </x:c>
      <x:c r="C8" s="18" t="str">
        <x:v>Ausgaben</x:v>
      </x:c>
      <x:c r="D8" s="18" t="str">
        <x:v>Ausgabe</x:v>
      </x:c>
      <x:c r="E8" s="63" t="b">
        <x:v>1</x:v>
      </x:c>
      <x:c r="F8" s="18" t="str">
        <x:v>belegt</x:v>
      </x:c>
      <x:c r="G8" s="18" t="str">
        <x:v>Miete, Nebenkosten, Objektkosten</x:v>
      </x:c>
    </x:row>
    <x:row r="9">
      <x:c r="A9" s="18" t="str">
        <x:v>KAT003</x:v>
      </x:c>
      <x:c r="B9" s="18" t="str">
        <x:v>Lebenshaltung</x:v>
      </x:c>
      <x:c r="C9" s="18" t="str">
        <x:v>Ausgaben</x:v>
      </x:c>
      <x:c r="D9" s="18" t="str">
        <x:v>Ausgabe</x:v>
      </x:c>
      <x:c r="E9" s="63" t="b">
        <x:v>1</x:v>
      </x:c>
      <x:c r="F9" s="18" t="str">
        <x:v>belegt</x:v>
      </x:c>
      <x:c r="G9" s="18" t="str">
        <x:v>Lebensmittel, Alltag</x:v>
      </x:c>
    </x:row>
    <x:row r="10">
      <x:c r="A10" s="18" t="str">
        <x:v>KAT004</x:v>
      </x:c>
      <x:c r="B10" s="18" t="str">
        <x:v>Mobilitaet</x:v>
      </x:c>
      <x:c r="C10" s="18" t="str">
        <x:v>Ausgaben</x:v>
      </x:c>
      <x:c r="D10" s="18" t="str">
        <x:v>Ausgabe</x:v>
      </x:c>
      <x:c r="E10" s="63" t="b">
        <x:v>1</x:v>
      </x:c>
      <x:c r="F10" s="18" t="str">
        <x:v>belegt</x:v>
      </x:c>
      <x:c r="G10" s="18" t="str">
        <x:v>Auto, OPNV, Reisen nah</x:v>
      </x:c>
    </x:row>
    <x:row r="11">
      <x:c r="A11" s="18" t="str">
        <x:v>KAT005</x:v>
      </x:c>
      <x:c r="B11" s="18" t="str">
        <x:v>Versicherungen &amp; Vorsorge</x:v>
      </x:c>
      <x:c r="C11" s="18" t="str">
        <x:v>Ausgaben</x:v>
      </x:c>
      <x:c r="D11" s="18" t="str">
        <x:v>Ausgabe</x:v>
      </x:c>
      <x:c r="E11" s="63" t="b">
        <x:v>1</x:v>
      </x:c>
      <x:c r="F11" s="18" t="str">
        <x:v>belegt</x:v>
      </x:c>
      <x:c r="G11" s="18" t="str">
        <x:v>Versicherungen, Vorsorge</x:v>
      </x:c>
    </x:row>
    <x:row r="12">
      <x:c r="A12" s="18" t="str">
        <x:v>KAT006</x:v>
      </x:c>
      <x:c r="B12" s="18" t="str">
        <x:v>Gesundheit</x:v>
      </x:c>
      <x:c r="C12" s="18" t="str">
        <x:v>Ausgaben</x:v>
      </x:c>
      <x:c r="D12" s="18" t="str">
        <x:v>Ausgabe</x:v>
      </x:c>
      <x:c r="E12" s="63" t="b">
        <x:v>1</x:v>
      </x:c>
      <x:c r="F12" s="18" t="str">
        <x:v>belegt</x:v>
      </x:c>
      <x:c r="G12" s="18" t="str">
        <x:v>Gesundheitliche Ausgaben</x:v>
      </x:c>
    </x:row>
    <x:row r="13">
      <x:c r="A13" s="18" t="str">
        <x:v>KAT007</x:v>
      </x:c>
      <x:c r="B13" s="18" t="str">
        <x:v>Familie &amp; Haushalt</x:v>
      </x:c>
      <x:c r="C13" s="18" t="str">
        <x:v>Ausgaben</x:v>
      </x:c>
      <x:c r="D13" s="18" t="str">
        <x:v>Ausgabe</x:v>
      </x:c>
      <x:c r="E13" s="63" t="b">
        <x:v>1</x:v>
      </x:c>
      <x:c r="F13" s="18" t="str">
        <x:v>belegt</x:v>
      </x:c>
      <x:c r="G13" s="18" t="str">
        <x:v>Familien- und Haushaltskosten</x:v>
      </x:c>
    </x:row>
    <x:row r="14">
      <x:c r="A14" s="18" t="str">
        <x:v>KAT008</x:v>
      </x:c>
      <x:c r="B14" s="18" t="str">
        <x:v>Freizeit &amp; Reisen</x:v>
      </x:c>
      <x:c r="C14" s="18" t="str">
        <x:v>Ausgaben</x:v>
      </x:c>
      <x:c r="D14" s="18" t="str">
        <x:v>Ausgabe</x:v>
      </x:c>
      <x:c r="E14" s="63" t="b">
        <x:v>1</x:v>
      </x:c>
      <x:c r="F14" s="18" t="str">
        <x:v>belegt</x:v>
      </x:c>
      <x:c r="G14" s="18" t="str">
        <x:v>Freizeit, Urlaub</x:v>
      </x:c>
    </x:row>
    <x:row r="15">
      <x:c r="A15" s="18" t="str">
        <x:v>KAT009</x:v>
      </x:c>
      <x:c r="B15" s="18" t="str">
        <x:v>Steuern &amp; Abgaben</x:v>
      </x:c>
      <x:c r="C15" s="18" t="str">
        <x:v>Ausgaben</x:v>
      </x:c>
      <x:c r="D15" s="18" t="str">
        <x:v>Ausgabe</x:v>
      </x:c>
      <x:c r="E15" s="63" t="b">
        <x:v>1</x:v>
      </x:c>
      <x:c r="F15" s="18" t="str">
        <x:v>belegt</x:v>
      </x:c>
      <x:c r="G15" s="18" t="str">
        <x:v>Steuern und Abgaben</x:v>
      </x:c>
    </x:row>
    <x:row r="16">
      <x:c r="A16" s="18" t="str">
        <x:v>KAT010</x:v>
      </x:c>
      <x:c r="B16" s="18" t="str">
        <x:v>Sparen &amp; Investieren</x:v>
      </x:c>
      <x:c r="C16" s="18" t="str">
        <x:v>Transfer</x:v>
      </x:c>
      <x:c r="D16" s="18" t="str">
        <x:v>neutral</x:v>
      </x:c>
      <x:c r="E16" s="63" t="b">
        <x:v>0</x:v>
      </x:c>
      <x:c r="F16" s="18" t="str">
        <x:v>belegt</x:v>
      </x:c>
      <x:c r="G16" s="18" t="str">
        <x:v>Depot, Sparen, Anlage</x:v>
      </x:c>
    </x:row>
    <x:row r="17">
      <x:c r="A17" s="18" t="str">
        <x:v>KAT011</x:v>
      </x:c>
      <x:c r="B17" s="18" t="str">
        <x:v>Kredite &amp; Finanzierung</x:v>
      </x:c>
      <x:c r="C17" s="18" t="str">
        <x:v>Ausgaben</x:v>
      </x:c>
      <x:c r="D17" s="18" t="str">
        <x:v>Ausgabe</x:v>
      </x:c>
      <x:c r="E17" s="63" t="b">
        <x:v>1</x:v>
      </x:c>
      <x:c r="F17" s="18" t="str">
        <x:v>belegt</x:v>
      </x:c>
      <x:c r="G17" s="18" t="str">
        <x:v>Kredite, Zinsen, Tilgung</x:v>
      </x:c>
    </x:row>
    <x:row r="18">
      <x:c r="A18" s="18" t="str">
        <x:v>KAT012</x:v>
      </x:c>
      <x:c r="B18" s="18" t="str">
        <x:v>Interne Transfers</x:v>
      </x:c>
      <x:c r="C18" s="18" t="str">
        <x:v>Transfer</x:v>
      </x:c>
      <x:c r="D18" s="18" t="str">
        <x:v>neutral</x:v>
      </x:c>
      <x:c r="E18" s="63" t="b">
        <x:v>0</x:v>
      </x:c>
      <x:c r="F18" s="18" t="str">
        <x:v>belegt</x:v>
      </x:c>
      <x:c r="G18" s="18" t="str">
        <x:v>Umbuchungen zwischen eigenen Konten</x:v>
      </x:c>
    </x:row>
    <x:row r="19">
      <x:c r="A19" s="18" t="str">
        <x:v>KAT013</x:v>
      </x:c>
      <x:c r="B19" s="18" t="str">
        <x:v>Sonstiges / zu pruefen</x:v>
      </x:c>
      <x:c r="C19" s="18" t="str">
        <x:v>Offen</x:v>
      </x:c>
      <x:c r="D19" s="18" t="str">
        <x:v>unbekannt</x:v>
      </x:c>
      <x:c r="E19" s="63" t="b">
        <x:v>1</x:v>
      </x:c>
      <x:c r="F19" s="18" t="str">
        <x:v>offen</x:v>
      </x:c>
      <x:c r="G19" s="18" t="str">
        <x:v>Startkategorie fuer ungepruefte Buchungen</x:v>
      </x:c>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ffe91f6e0af645a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2.880000114440918" hidden="0" customWidth="1"/>
    <x:col min="5" max="5" width="14.109999656677246" hidden="0" customWidth="1"/>
    <x:col min="6" max="6" width="12.880000114440918" hidden="0" customWidth="1"/>
    <x:col min="7" max="7" width="12.880000114440918" hidden="0" customWidth="1"/>
    <x:col min="8" max="8" width="14.109999656677246" hidden="0" customWidth="1"/>
    <x:col min="9" max="9" width="14.109999656677246" hidden="0" customWidth="1"/>
    <x:col min="10" max="10" width="14.109999656677246" hidden="0" customWidth="1"/>
    <x:col min="11" max="11" width="12.880000114440918" hidden="0" customWidth="1"/>
    <x:col min="12" max="12" width="12.880000114440918" hidden="0" customWidth="1"/>
    <x:col min="13" max="13" width="12.880000114440918" hidden="0" customWidth="1"/>
    <x:col min="14" max="14" width="14.109999656677246" hidden="0" customWidth="1"/>
    <x:col min="15" max="15" width="27.610000610351562" hidden="0" customWidth="1"/>
  </x:cols>
  <x:sheetData>
    <x:row r="1" ht="25.5" customHeight="1">
      <x:c r="A1" s="28" t="str">
        <x:v>03_Konten</x:v>
      </x:c>
      <x:c r="B1" s="28"/>
      <x:c r="C1" s="28"/>
      <x:c r="D1" s="28"/>
      <x:c r="E1" s="28"/>
      <x:c r="F1" s="28"/>
      <x:c r="G1" s="28"/>
      <x:c r="H1" s="28"/>
    </x:row>
    <x:row r="2" ht="61.5" customHeight="1">
      <x:c r="A2" s="48" t="str">
        <x:v>Zweck</x:v>
      </x:c>
      <x:c r="B2" s="43" t="str">
        <x:v>Konten, Liquiditaetsrelevanz und Quellenbezug.</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Konten</x:v>
      </x:c>
      <x:c r="B4" s="54"/>
      <x:c r="C4" s="54"/>
      <x:c r="D4" s="54"/>
      <x:c r="E4" s="54"/>
      <x:c r="F4" s="54"/>
      <x:c r="G4" s="54"/>
      <x:c r="H4" s="54"/>
      <x:c r="I4" s="54"/>
      <x:c r="J4" s="54"/>
      <x:c r="K4" s="54"/>
      <x:c r="L4" s="54"/>
      <x:c r="M4" s="54"/>
      <x:c r="N4" s="54"/>
      <x:c r="O4" s="54"/>
    </x:row>
    <x:row r="5">
      <x:c r="A5" s="56" t="str">
        <x:v>PK: Konto_ID | Update: manuell_importgestuetzt | ID: KTO</x:v>
      </x:c>
      <x:c r="B5" s="56"/>
      <x:c r="C5" s="56"/>
      <x:c r="D5" s="56"/>
      <x:c r="E5" s="56"/>
      <x:c r="F5" s="56"/>
      <x:c r="G5" s="56"/>
      <x:c r="H5" s="56"/>
      <x:c r="I5" s="56"/>
      <x:c r="J5" s="56"/>
      <x:c r="K5" s="56"/>
      <x:c r="L5" s="56"/>
      <x:c r="M5" s="56"/>
      <x:c r="N5" s="56"/>
      <x:c r="O5" s="56"/>
    </x:row>
    <x:row r="6" ht="25.5" customHeight="1">
      <x:c r="A6" s="21" t="str">
        <x:v>Konto_ID</x:v>
      </x:c>
      <x:c r="B6" s="21" t="str">
        <x:v>Name</x:v>
      </x:c>
      <x:c r="C6" s="21" t="str">
        <x:v>Anbieter</x:v>
      </x:c>
      <x:c r="D6" s="21" t="str">
        <x:v>Kontoart</x:v>
      </x:c>
      <x:c r="E6" s="21" t="str">
        <x:v>Person_ID</x:v>
      </x:c>
      <x:c r="F6" s="21" t="str">
        <x:v>Eigentumsanteil</x:v>
      </x:c>
      <x:c r="G6" s="21" t="str">
        <x:v>Maskierte_IBAN_Depotnummer</x:v>
      </x:c>
      <x:c r="H6" s="21" t="str">
        <x:v>Aktueller_Stand</x:v>
      </x:c>
      <x:c r="I6" s="21" t="str">
        <x:v>Standdatum</x:v>
      </x:c>
      <x:c r="J6" s="21" t="str">
        <x:v>Quelle_ID</x:v>
      </x:c>
      <x:c r="K6" s="21" t="str">
        <x:v>Liquide_relevant</x:v>
      </x:c>
      <x:c r="L6" s="21" t="str">
        <x:v>Performance_relevant</x:v>
      </x:c>
      <x:c r="M6" s="21" t="str">
        <x:v>Transferfaehig</x:v>
      </x:c>
      <x:c r="N6" s="21" t="str">
        <x:v>Status</x:v>
      </x:c>
      <x:c r="O6" s="21" t="str">
        <x:v>Kommentar</x:v>
      </x:c>
    </x:row>
    <x:row r="7">
      <x:c r="A7" s="18" t="str">
        <x:v>KTO001</x:v>
      </x:c>
      <x:c r="B7" s="18" t="str">
        <x:v>Girokonto Startimport</x:v>
      </x:c>
      <x:c r="C7" s="18" t="str">
        <x:v>Bank</x:v>
      </x:c>
      <x:c r="D7" s="18" t="str">
        <x:v>Girokonto</x:v>
      </x:c>
      <x:c r="E7" s="18" t="str">
        <x:v>P01</x:v>
      </x:c>
      <x:c r="F7" s="18" t="n">
        <x:v>1</x:v>
      </x:c>
      <x:c r="G7" s="18" t="str">
        <x:v>DE** **** **** 1234</x:v>
      </x:c>
      <x:c r="H7" s="66" t="n">
        <x:v>4250</x:v>
      </x:c>
      <x:c r="I7" s="57" t="n">
        <x:v>46160</x:v>
      </x:c>
      <x:c r="J7" s="18" t="str">
        <x:v>SRC-20260518-001</x:v>
      </x:c>
      <x:c r="K7" s="63" t="b">
        <x:v>1</x:v>
      </x:c>
      <x:c r="L7" s="63" t="b">
        <x:v>0</x:v>
      </x:c>
      <x:c r="M7" s="63" t="b">
        <x:v>1</x:v>
      </x:c>
      <x:c r="N7" s="18" t="str">
        <x:v>belegt</x:v>
      </x:c>
      <x:c r="O7" s="18" t="str">
        <x:v>Startsaldo aus Import/Quelle; noch nicht verifiziert</x:v>
      </x:c>
    </x:row>
    <x:row r="8">
      <x:c r="H8" s="67"/>
      <x:c r="I8" s="58"/>
    </x:row>
  </x:sheetData>
  <x:mergeCells>
    <x:mergeCell ref="A1:H1"/>
    <x:mergeCell ref="A4:O4"/>
    <x:mergeCell ref="A5:O5"/>
  </x:mergeCells>
  <x:dataValidations count="1">
    <x:dataValidation type="list" allowBlank="1" showDropDown="0" sqref="N7:N57">
      <x:formula1>"offen,belegt,geprueft,geschaetzt,inaktiv"</x:formula1>
    </x:dataValidation>
  </x:dataValidations>
  <x:pageMargins left="0.7" right="0.7" top="0.75" bottom="0.75" header="0.3" footer="0.3"/>
  <x:tableParts count="1">
    <x:tablePart xmlns:r="http://schemas.openxmlformats.org/officeDocument/2006/relationships" r:id="R8826997dab3349e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4.109999656677246" hidden="0" customWidth="1"/>
    <x:col min="5" max="5" width="14.109999656677246" hidden="0" customWidth="1"/>
    <x:col min="6" max="6" width="14.109999656677246" hidden="0" customWidth="1"/>
    <x:col min="7" max="7" width="27.610000610351562" hidden="0" customWidth="1"/>
    <x:col min="8" max="8" width="27.610000610351562" hidden="0" customWidth="1"/>
  </x:cols>
  <x:sheetData>
    <x:row r="1" ht="25.5" customHeight="1">
      <x:c r="A1" s="28" t="str">
        <x:v>04_Immobilien</x:v>
      </x:c>
      <x:c r="B1" s="28"/>
      <x:c r="C1" s="28"/>
      <x:c r="D1" s="28"/>
      <x:c r="E1" s="28"/>
      <x:c r="F1" s="28"/>
      <x:c r="G1" s="28"/>
      <x:c r="H1" s="28"/>
    </x:row>
    <x:row r="2" ht="61.5" customHeight="1">
      <x:c r="A2" s="48" t="str">
        <x:v>Zweck</x:v>
      </x:c>
      <x:c r="B2" s="43" t="str">
        <x:v>Sichtbar vorbereitet; keine Wirkung auf V1-...</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Immobilien Platzhalter</x:v>
      </x:c>
      <x:c r="B4" s="54"/>
      <x:c r="C4" s="54"/>
      <x:c r="D4" s="54"/>
      <x:c r="E4" s="54"/>
      <x:c r="F4" s="54"/>
      <x:c r="G4" s="54"/>
      <x:c r="H4" s="54"/>
    </x:row>
    <x:row r="5">
      <x:c r="A5" s="56" t="str">
        <x:v>PK: Objekt_ID | Update: manuell | ID: OBJ</x:v>
      </x:c>
      <x:c r="B5" s="56"/>
      <x:c r="C5" s="56"/>
      <x:c r="D5" s="56"/>
      <x:c r="E5" s="56"/>
      <x:c r="F5" s="56"/>
      <x:c r="G5" s="56"/>
      <x:c r="H5" s="56"/>
    </x:row>
    <x:row r="6" ht="25.5" customHeight="1">
      <x:c r="A6" s="21" t="str">
        <x:v>Objekt_ID</x:v>
      </x:c>
      <x:c r="B6" s="21" t="str">
        <x:v>Name</x:v>
      </x:c>
      <x:c r="C6" s="21" t="str">
        <x:v>Objektart</x:v>
      </x:c>
      <x:c r="D6" s="21" t="str">
        <x:v>Person_ID</x:v>
      </x:c>
      <x:c r="E6" s="21" t="str">
        <x:v>Quelle_ID</x:v>
      </x:c>
      <x:c r="F6" s="21" t="str">
        <x:v>Status</x:v>
      </x:c>
      <x:c r="G6" s="21" t="str">
        <x:v>Naechste_Aktion</x:v>
      </x:c>
      <x:c r="H6" s="21" t="str">
        <x:v>Kommentar</x:v>
      </x:c>
    </x:row>
    <x:row r="7">
      <x:c r="A7" s="18" t="str">
        <x:v>OBJ001</x:v>
      </x:c>
      <x:c r="B7" s="18" t="str">
        <x:v>Immobilienstatus offen</x:v>
      </x:c>
      <x:c r="C7" s="18" t="str">
        <x:v>Platzhalter</x:v>
      </x:c>
      <x:c r="D7" s="18" t="str">
        <x:v>HH</x:v>
      </x:c>
      <x:c r="E7" s="18" t="str"/>
      <x:c r="F7" s="18" t="str">
        <x:v>offen</x:v>
      </x:c>
      <x:c r="G7" s="18" t="str">
        <x:v>Objektdaten spaeter erfassen</x:v>
      </x:c>
      <x:c r="H7" s="18" t="str">
        <x:v>Keine V1-Wirkung</x:v>
      </x:c>
    </x:row>
  </x:sheetData>
  <x:mergeCells>
    <x:mergeCell ref="A1:H1"/>
    <x:mergeCell ref="A4:H4"/>
    <x:mergeCell ref="A5:H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6fe628702271440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2.880000114440918" hidden="0" customWidth="1"/>
    <x:col min="4" max="4" width="14.109999656677246" hidden="0" customWidth="1"/>
    <x:col min="5" max="5" width="12.880000114440918" hidden="0" customWidth="1"/>
    <x:col min="6" max="6" width="14.109999656677246" hidden="0" customWidth="1"/>
    <x:col min="7" max="7" width="14.109999656677246" hidden="0" customWidth="1"/>
    <x:col min="8" max="8" width="27.610000610351562" hidden="0" customWidth="1"/>
  </x:cols>
  <x:sheetData>
    <x:row r="1" ht="25.5" customHeight="1">
      <x:c r="A1" s="28" t="str">
        <x:v>05_Immobilien_Details</x:v>
      </x:c>
      <x:c r="B1" s="28"/>
      <x:c r="C1" s="28"/>
      <x:c r="D1" s="28"/>
      <x:c r="E1" s="28"/>
      <x:c r="F1" s="28"/>
      <x:c r="G1" s="28"/>
      <x:c r="H1" s="28"/>
    </x:row>
    <x:row r="2" ht="61.5" customHeight="1">
      <x:c r="A2" s="48" t="str">
        <x:v>Zweck</x:v>
      </x:c>
      <x:c r="B2" s="43" t="str">
        <x:v>Darlehen, Ertraege und Kosten spaeter struk...</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Immobilien Details Platzhalter</x:v>
      </x:c>
      <x:c r="B4" s="54"/>
      <x:c r="C4" s="54"/>
      <x:c r="D4" s="54"/>
      <x:c r="E4" s="54"/>
      <x:c r="F4" s="54"/>
      <x:c r="G4" s="54"/>
      <x:c r="H4" s="54"/>
    </x:row>
    <x:row r="5">
      <x:c r="A5" s="56" t="str">
        <x:v>PK: Detail_ID | Update: manuell | ID: IMD</x:v>
      </x:c>
      <x:c r="B5" s="56"/>
      <x:c r="C5" s="56"/>
      <x:c r="D5" s="56"/>
      <x:c r="E5" s="56"/>
      <x:c r="F5" s="56"/>
      <x:c r="G5" s="56"/>
      <x:c r="H5" s="56"/>
    </x:row>
    <x:row r="6" ht="25.5" customHeight="1">
      <x:c r="A6" s="21" t="str">
        <x:v>Detail_ID</x:v>
      </x:c>
      <x:c r="B6" s="21" t="str">
        <x:v>Objekt_ID</x:v>
      </x:c>
      <x:c r="C6" s="21" t="str">
        <x:v>Detailtyp</x:v>
      </x:c>
      <x:c r="D6" s="21" t="str">
        <x:v>Wert</x:v>
      </x:c>
      <x:c r="E6" s="21" t="str">
        <x:v>Einheit</x:v>
      </x:c>
      <x:c r="F6" s="21" t="str">
        <x:v>Quelle_ID</x:v>
      </x:c>
      <x:c r="G6" s="21" t="str">
        <x:v>Status</x:v>
      </x:c>
      <x:c r="H6" s="21" t="str">
        <x:v>Kommentar</x:v>
      </x:c>
    </x:row>
    <x:row r="7">
      <x:c r="A7" s="18" t="str">
        <x:v>IMD001</x:v>
      </x:c>
      <x:c r="B7" s="18" t="str">
        <x:v>OBJ001</x:v>
      </x:c>
      <x:c r="C7" s="18" t="str">
        <x:v>noch_offen</x:v>
      </x:c>
      <x:c r="D7" s="66" t="str"/>
      <x:c r="E7" s="18" t="str"/>
      <x:c r="F7" s="18" t="str"/>
      <x:c r="G7" s="18" t="str">
        <x:v>offen</x:v>
      </x:c>
      <x:c r="H7" s="18" t="str">
        <x:v>Keine V1-Wirkung</x:v>
      </x:c>
    </x:row>
    <x:row r="8">
      <x:c r="D8" s="67"/>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9831d65bb39b495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4.109999656677246" hidden="0" customWidth="1"/>
    <x:col min="5" max="5" width="12.880000114440918" hidden="0" customWidth="1"/>
    <x:col min="6" max="6" width="12.880000114440918" hidden="0" customWidth="1"/>
    <x:col min="7" max="7" width="14.109999656677246" hidden="0" customWidth="1"/>
    <x:col min="8" max="8" width="14.109999656677246" hidden="0" customWidth="1"/>
    <x:col min="9" max="9" width="27.610000610351562" hidden="0" customWidth="1"/>
  </x:cols>
  <x:sheetData>
    <x:row r="1" ht="25.5" customHeight="1">
      <x:c r="A1" s="28" t="str">
        <x:v>06_Versicherungen</x:v>
      </x:c>
      <x:c r="B1" s="28"/>
      <x:c r="C1" s="28"/>
      <x:c r="D1" s="28"/>
      <x:c r="E1" s="28"/>
      <x:c r="F1" s="28"/>
      <x:c r="G1" s="28"/>
      <x:c r="H1" s="28"/>
    </x:row>
    <x:row r="2" ht="61.5" customHeight="1">
      <x:c r="A2" s="48" t="str">
        <x:v>Zweck</x:v>
      </x:c>
      <x:c r="B2" s="43" t="str">
        <x:v>Versicherungs- und Vorsorgevertraege spaete...</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Versicherungen Platzhalter</x:v>
      </x:c>
      <x:c r="B4" s="54"/>
      <x:c r="C4" s="54"/>
      <x:c r="D4" s="54"/>
      <x:c r="E4" s="54"/>
      <x:c r="F4" s="54"/>
      <x:c r="G4" s="54"/>
      <x:c r="H4" s="54"/>
      <x:c r="I4" s="54"/>
    </x:row>
    <x:row r="5">
      <x:c r="A5" s="56" t="str">
        <x:v>PK: Vertrag_ID | Update: manuell | ID: VRS</x:v>
      </x:c>
      <x:c r="B5" s="56"/>
      <x:c r="C5" s="56"/>
      <x:c r="D5" s="56"/>
      <x:c r="E5" s="56"/>
      <x:c r="F5" s="56"/>
      <x:c r="G5" s="56"/>
      <x:c r="H5" s="56"/>
      <x:c r="I5" s="56"/>
    </x:row>
    <x:row r="6" ht="25.5" customHeight="1">
      <x:c r="A6" s="21" t="str">
        <x:v>Vertrag_ID</x:v>
      </x:c>
      <x:c r="B6" s="21" t="str">
        <x:v>Name</x:v>
      </x:c>
      <x:c r="C6" s="21" t="str">
        <x:v>Typ</x:v>
      </x:c>
      <x:c r="D6" s="21" t="str">
        <x:v>Person_ID</x:v>
      </x:c>
      <x:c r="E6" s="21" t="str">
        <x:v>Beitrag</x:v>
      </x:c>
      <x:c r="F6" s="21" t="str">
        <x:v>Frequenz</x:v>
      </x:c>
      <x:c r="G6" s="21" t="str">
        <x:v>Quelle_ID</x:v>
      </x:c>
      <x:c r="H6" s="21" t="str">
        <x:v>Status</x:v>
      </x:c>
      <x:c r="I6" s="21" t="str">
        <x:v>Kommentar</x:v>
      </x:c>
    </x:row>
    <x:row r="7">
      <x:c r="A7" s="18" t="str">
        <x:v>VRS001</x:v>
      </x:c>
      <x:c r="B7" s="18" t="str">
        <x:v>Versicherungen offen</x:v>
      </x:c>
      <x:c r="C7" s="18" t="str">
        <x:v>Platzhalter</x:v>
      </x:c>
      <x:c r="D7" s="18" t="str">
        <x:v>HH</x:v>
      </x:c>
      <x:c r="E7" s="18" t="str"/>
      <x:c r="F7" s="18" t="str"/>
      <x:c r="G7" s="18" t="str"/>
      <x:c r="H7" s="18" t="str">
        <x:v>offen</x:v>
      </x:c>
      <x:c r="I7" s="18" t="str">
        <x:v>Keine V1-Wirkung</x:v>
      </x:c>
    </x:row>
  </x:sheetData>
  <x:mergeCells>
    <x:mergeCell ref="A1:H1"/>
    <x:mergeCell ref="A4:I4"/>
    <x:mergeCell ref="A5:I5"/>
  </x:mergeCells>
  <x:dataValidations count="1">
    <x:dataValidation type="list" allowBlank="1" showDropDown="0" sqref="H7:H57">
      <x:formula1>"offen,belegt,geprueft,geschaetzt,inaktiv"</x:formula1>
    </x:dataValidation>
  </x:dataValidations>
  <x:pageMargins left="0.7" right="0.7" top="0.75" bottom="0.75" header="0.3" footer="0.3"/>
  <x:tableParts count="1">
    <x:tablePart xmlns:r="http://schemas.openxmlformats.org/officeDocument/2006/relationships" r:id="R40eef4da46a045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2.880000114440918" hidden="0" customWidth="1"/>
    <x:col min="4" max="4" width="12.880000114440918" hidden="0" customWidth="1"/>
    <x:col min="5" max="5" width="12.880000114440918" hidden="0" customWidth="1"/>
    <x:col min="6" max="6" width="14.109999656677246" hidden="0" customWidth="1"/>
    <x:col min="7" max="7" width="14.109999656677246" hidden="0" customWidth="1"/>
    <x:col min="8" max="8" width="27.610000610351562" hidden="0" customWidth="1"/>
  </x:cols>
  <x:sheetData>
    <x:row r="1" ht="25.5" customHeight="1">
      <x:c r="A1" s="28" t="str">
        <x:v>07_Rente</x:v>
      </x:c>
      <x:c r="B1" s="28"/>
      <x:c r="C1" s="28"/>
      <x:c r="D1" s="28"/>
      <x:c r="E1" s="28"/>
      <x:c r="F1" s="28"/>
      <x:c r="G1" s="28"/>
      <x:c r="H1" s="28"/>
    </x:row>
    <x:row r="2" ht="61.5" customHeight="1">
      <x:c r="A2" s="48" t="str">
        <x:v>Zweck</x:v>
      </x:c>
      <x:c r="B2" s="43" t="str">
        <x:v>Rentenansprueche sichtbar vorbereiten, noch...</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Rente Platzhalter</x:v>
      </x:c>
      <x:c r="B4" s="54"/>
      <x:c r="C4" s="54"/>
      <x:c r="D4" s="54"/>
      <x:c r="E4" s="54"/>
      <x:c r="F4" s="54"/>
      <x:c r="G4" s="54"/>
      <x:c r="H4" s="54"/>
    </x:row>
    <x:row r="5">
      <x:c r="A5" s="56" t="str">
        <x:v>PK: Rente_ID | Update: manuell | ID: RTE</x:v>
      </x:c>
      <x:c r="B5" s="56"/>
      <x:c r="C5" s="56"/>
      <x:c r="D5" s="56"/>
      <x:c r="E5" s="56"/>
      <x:c r="F5" s="56"/>
      <x:c r="G5" s="56"/>
      <x:c r="H5" s="56"/>
    </x:row>
    <x:row r="6" ht="25.5" customHeight="1">
      <x:c r="A6" s="21" t="str">
        <x:v>Rente_ID</x:v>
      </x:c>
      <x:c r="B6" s="21" t="str">
        <x:v>Person_ID</x:v>
      </x:c>
      <x:c r="C6" s="21" t="str">
        <x:v>Anspruchsart</x:v>
      </x:c>
      <x:c r="D6" s="21" t="str">
        <x:v>Monatswert</x:v>
      </x:c>
      <x:c r="E6" s="21" t="str">
        <x:v>Startdatum</x:v>
      </x:c>
      <x:c r="F6" s="21" t="str">
        <x:v>Quelle_ID</x:v>
      </x:c>
      <x:c r="G6" s="21" t="str">
        <x:v>Status</x:v>
      </x:c>
      <x:c r="H6" s="21" t="str">
        <x:v>Kommentar</x:v>
      </x:c>
    </x:row>
    <x:row r="7">
      <x:c r="A7" s="18" t="str">
        <x:v>RTE001</x:v>
      </x:c>
      <x:c r="B7" s="18" t="str">
        <x:v>P01</x:v>
      </x:c>
      <x:c r="C7" s="18" t="str">
        <x:v>offen</x:v>
      </x:c>
      <x:c r="D7" s="66" t="str"/>
      <x:c r="E7" s="57" t="str"/>
      <x:c r="F7" s="18" t="str"/>
      <x:c r="G7" s="18" t="str">
        <x:v>offen</x:v>
      </x:c>
      <x:c r="H7" s="18" t="str">
        <x:v>Keine V1-Wirkung</x:v>
      </x:c>
    </x:row>
    <x:row r="8">
      <x:c r="D8" s="67"/>
      <x:c r="E8" s="5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c86e11bc06cb4fa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4.109999656677246" hidden="0" customWidth="1"/>
    <x:col min="4" max="4" width="12.880000114440918" hidden="0" customWidth="1"/>
    <x:col min="5" max="5" width="12.880000114440918" hidden="0" customWidth="1"/>
    <x:col min="6" max="6" width="12.880000114440918" hidden="0" customWidth="1"/>
    <x:col min="7" max="7" width="12.880000114440918" hidden="0" customWidth="1"/>
    <x:col min="8" max="8" width="12.880000114440918" hidden="0" customWidth="1"/>
    <x:col min="9" max="9" width="12.880000114440918" hidden="0" customWidth="1"/>
    <x:col min="10" max="10" width="27.610000610351562" hidden="0" customWidth="1"/>
    <x:col min="11" max="11" width="12.880000114440918" hidden="0" customWidth="1"/>
    <x:col min="12" max="12" width="14.109999656677246" hidden="0" customWidth="1"/>
    <x:col min="13" max="13" width="12.880000114440918" hidden="0" customWidth="1"/>
    <x:col min="14" max="14" width="12.880000114440918" hidden="0" customWidth="1"/>
    <x:col min="15" max="15" width="12.880000114440918" hidden="0" customWidth="1"/>
    <x:col min="16" max="16" width="12.880000114440918" hidden="0" customWidth="1"/>
    <x:col min="17" max="17" width="12.880000114440918" hidden="0" customWidth="1"/>
    <x:col min="18" max="18" width="12.880000114440918" hidden="0" customWidth="1"/>
    <x:col min="19" max="19" width="14.109999656677246" hidden="0" customWidth="1"/>
    <x:col min="20" max="20" width="14.109999656677246" hidden="0" customWidth="1"/>
    <x:col min="21" max="21" width="12.880000114440918" hidden="0" customWidth="1"/>
    <x:col min="22" max="22" width="12.880000114440918" hidden="0" customWidth="1"/>
  </x:cols>
  <x:sheetData>
    <x:row r="1" ht="25.5" customHeight="1">
      <x:c r="A1" s="28" t="str">
        <x:v>10_Umsaetze_Roh</x:v>
      </x:c>
      <x:c r="B1" s="28"/>
      <x:c r="C1" s="28"/>
      <x:c r="D1" s="28"/>
      <x:c r="E1" s="28"/>
      <x:c r="F1" s="28"/>
      <x:c r="G1" s="28"/>
      <x:c r="H1" s="28"/>
    </x:row>
    <x:row r="2" ht="61.5" customHeight="1">
      <x:c r="A2" s="48" t="str">
        <x:v>Zweck</x:v>
      </x:c>
      <x:c r="B2" s="43" t="str">
        <x:v>Importlauf-Metadaten fuer den Girokonto-Sta...</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Importlaeufe</x:v>
      </x:c>
      <x:c r="B4" s="54"/>
      <x:c r="C4" s="54"/>
      <x:c r="D4" s="54"/>
      <x:c r="E4" s="54"/>
      <x:c r="F4" s="54"/>
      <x:c r="G4" s="54"/>
      <x:c r="H4" s="54"/>
      <x:c r="I4" s="54"/>
      <x:c r="J4" s="54"/>
      <x:c r="K4" s="54"/>
      <x:c r="L4" s="54"/>
      <x:c r="M4" s="54"/>
      <x:c r="N4" s="54"/>
      <x:c r="O4" s="54"/>
      <x:c r="P4" s="54"/>
    </x:row>
    <x:row r="5">
      <x:c r="A5" s="56" t="str">
        <x:v>PK: Import_ID | Update: parser | ID: IMP</x:v>
      </x:c>
      <x:c r="B5" s="56"/>
      <x:c r="C5" s="56"/>
      <x:c r="D5" s="56"/>
      <x:c r="E5" s="56"/>
      <x:c r="F5" s="56"/>
      <x:c r="G5" s="56"/>
      <x:c r="H5" s="56"/>
      <x:c r="I5" s="56"/>
      <x:c r="J5" s="56"/>
      <x:c r="K5" s="56"/>
      <x:c r="L5" s="56"/>
      <x:c r="M5" s="56"/>
      <x:c r="N5" s="56"/>
      <x:c r="O5" s="56"/>
      <x:c r="P5" s="56"/>
    </x:row>
    <x:row r="6" ht="25.5" customHeight="1">
      <x:c r="A6" s="21" t="str">
        <x:v>Import_ID</x:v>
      </x:c>
      <x:c r="B6" s="21" t="str">
        <x:v>Importdatei</x:v>
      </x:c>
      <x:c r="C6" s="21" t="str">
        <x:v>Quellkonto_ID</x:v>
      </x:c>
      <x:c r="D6" s="21" t="str">
        <x:v>Quelle_ID</x:v>
      </x:c>
      <x:c r="E6" s="21" t="str">
        <x:v>Zeitraum_von</x:v>
      </x:c>
      <x:c r="F6" s="21" t="str">
        <x:v>Zeitraum_bis</x:v>
      </x:c>
      <x:c r="G6" s="21" t="str">
        <x:v>Kontostand_Export</x:v>
      </x:c>
      <x:c r="H6" s="21" t="str">
        <x:v>Kontostand_Datum</x:v>
      </x:c>
      <x:c r="I6" s="21" t="str">
        <x:v>Importdatum</x:v>
      </x:c>
      <x:c r="J6" s="21" t="str">
        <x:v>Zeilen_gesamt</x:v>
      </x:c>
      <x:c r="K6" s="21" t="str">
        <x:v>Zeilen_importiert</x:v>
      </x:c>
      <x:c r="L6" s="21" t="str">
        <x:v>Duplikate</x:v>
      </x:c>
      <x:c r="M6" s="21" t="str">
        <x:v>Parse_Fehler</x:v>
      </x:c>
      <x:c r="N6" s="21" t="str">
        <x:v>Status</x:v>
      </x:c>
      <x:c r="O6" s="21" t="str">
        <x:v>Lauf_ID</x:v>
      </x:c>
      <x:c r="P6" s="21" t="str">
        <x:v>Kommentar</x:v>
      </x:c>
    </x:row>
    <x:row r="7">
      <x:c r="A7" s="18" t="str">
        <x:v>IMP-20260518-001</x:v>
      </x:c>
      <x:c r="B7" s="18" t="str">
        <x:v>girokonto_startimport.csv</x:v>
      </x:c>
      <x:c r="C7" s="18" t="str">
        <x:v>KTO001</x:v>
      </x:c>
      <x:c r="D7" s="18" t="str">
        <x:v>SRC-20260518-001</x:v>
      </x:c>
      <x:c r="E7" s="57" t="n">
        <x:v>46143</x:v>
      </x:c>
      <x:c r="F7" s="57" t="n">
        <x:v>46160</x:v>
      </x:c>
      <x:c r="G7" s="66" t="n">
        <x:v>4250</x:v>
      </x:c>
      <x:c r="H7" s="57" t="n">
        <x:v>46160</x:v>
      </x:c>
      <x:c r="I7" s="57" t="n">
        <x:v>46163</x:v>
      </x:c>
      <x:c r="J7" s="18" t="n">
        <x:v>4</x:v>
      </x:c>
      <x:c r="K7" s="18" t="n">
        <x:v>4</x:v>
      </x:c>
      <x:c r="L7" s="18" t="n">
        <x:v>0</x:v>
      </x:c>
      <x:c r="M7" s="18" t="n">
        <x:v>0</x:v>
      </x:c>
      <x:c r="N7" s="18" t="str">
        <x:v>importiert_ungeprueft</x:v>
      </x:c>
      <x:c r="O7" s="18" t="str">
        <x:v>RUN-20260521-001</x:v>
      </x:c>
      <x:c r="P7" s="18" t="str">
        <x:v>Startimport als struktureller Slice; Parser noch nicht produktiv</x:v>
      </x:c>
    </x:row>
    <x:row r="8">
      <x:c r="E8" s="58"/>
      <x:c r="F8" s="58"/>
      <x:c r="G8" s="67"/>
      <x:c r="H8" s="58"/>
      <x:c r="I8" s="58"/>
    </x:row>
    <x:row r="10">
      <x:c r="A10" s="54" t="str">
        <x:v>Umsaetze Roh</x:v>
      </x:c>
      <x:c r="B10" s="54"/>
      <x:c r="C10" s="54"/>
      <x:c r="D10" s="54"/>
      <x:c r="E10" s="54"/>
      <x:c r="F10" s="54"/>
      <x:c r="G10" s="54"/>
      <x:c r="H10" s="54"/>
      <x:c r="I10" s="54"/>
      <x:c r="J10" s="54"/>
      <x:c r="K10" s="54"/>
      <x:c r="L10" s="54"/>
      <x:c r="M10" s="54"/>
      <x:c r="N10" s="54"/>
      <x:c r="O10" s="54"/>
      <x:c r="P10" s="54"/>
      <x:c r="Q10" s="54"/>
      <x:c r="R10" s="54"/>
      <x:c r="S10" s="54"/>
      <x:c r="T10" s="54"/>
      <x:c r="U10" s="54"/>
      <x:c r="V10" s="54"/>
    </x:row>
    <x:row r="11">
      <x:c r="A11" s="56" t="str">
        <x:v>PK: Rohumsatz_ID | Update: parser_append_only | ID: RAW</x:v>
      </x:c>
      <x:c r="B11" s="56"/>
      <x:c r="C11" s="56"/>
      <x:c r="D11" s="56"/>
      <x:c r="E11" s="56"/>
      <x:c r="F11" s="56"/>
      <x:c r="G11" s="56"/>
      <x:c r="H11" s="56"/>
      <x:c r="I11" s="56"/>
      <x:c r="J11" s="56"/>
      <x:c r="K11" s="56"/>
      <x:c r="L11" s="56"/>
      <x:c r="M11" s="56"/>
      <x:c r="N11" s="56"/>
      <x:c r="O11" s="56"/>
      <x:c r="P11" s="56"/>
      <x:c r="Q11" s="56"/>
      <x:c r="R11" s="56"/>
      <x:c r="S11" s="56"/>
      <x:c r="T11" s="56"/>
      <x:c r="U11" s="56"/>
      <x:c r="V11" s="56"/>
    </x:row>
    <x:row r="12" ht="25.5" customHeight="1">
      <x:c r="A12" s="21" t="str">
        <x:v>Rohumsatz_ID</x:v>
      </x:c>
      <x:c r="B12" s="21" t="str">
        <x:v>Import_ID</x:v>
      </x:c>
      <x:c r="C12" s="21" t="str">
        <x:v>Quellkonto_ID</x:v>
      </x:c>
      <x:c r="D12" s="21" t="str">
        <x:v>Importdatei</x:v>
      </x:c>
      <x:c r="E12" s="21" t="str">
        <x:v>Importdatum</x:v>
      </x:c>
      <x:c r="F12" s="21" t="str">
        <x:v>Zeilennummer_Import</x:v>
      </x:c>
      <x:c r="G12" s="21" t="str">
        <x:v>Zeilenhash</x:v>
      </x:c>
      <x:c r="H12" s="21" t="str">
        <x:v>Duplikat_Status</x:v>
      </x:c>
      <x:c r="I12" s="21" t="str">
        <x:v>Parse_Status</x:v>
      </x:c>
      <x:c r="J12" s="21" t="str">
        <x:v>Parse_Hinweis</x:v>
      </x:c>
      <x:c r="K12" s="21" t="str">
        <x:v>Buchungsdatum</x:v>
      </x:c>
      <x:c r="L12" s="21" t="str">
        <x:v>Wertstellung</x:v>
      </x:c>
      <x:c r="M12" s="21" t="str">
        <x:v>Status_Bank</x:v>
      </x:c>
      <x:c r="N12" s="21" t="str">
        <x:v>Zahlungspflichtiger</x:v>
      </x:c>
      <x:c r="O12" s="21" t="str">
        <x:v>Zahlungsempfaenger</x:v>
      </x:c>
      <x:c r="P12" s="21" t="str">
        <x:v>Verwendungszweck</x:v>
      </x:c>
      <x:c r="Q12" s="21" t="str">
        <x:v>Umsatztyp</x:v>
      </x:c>
      <x:c r="R12" s="21" t="str">
        <x:v>IBAN</x:v>
      </x:c>
      <x:c r="S12" s="21" t="str">
        <x:v>Betrag</x:v>
      </x:c>
      <x:c r="T12" s="21" t="str">
        <x:v>Glaeubiger_ID</x:v>
      </x:c>
      <x:c r="U12" s="21" t="str">
        <x:v>Mandatsreferenz</x:v>
      </x:c>
      <x:c r="V12" s="21" t="str">
        <x:v>Kundenreferenz</x:v>
      </x:c>
    </x:row>
    <x:row r="13">
      <x:c r="A13" s="18" t="str">
        <x:v>RAW-IMP-20260518-001-000001</x:v>
      </x:c>
      <x:c r="B13" s="18" t="str">
        <x:v>IMP-20260518-001</x:v>
      </x:c>
      <x:c r="C13" s="18" t="str">
        <x:v>KTO001</x:v>
      </x:c>
      <x:c r="D13" s="18" t="str">
        <x:v>girokonto_startimport.csv</x:v>
      </x:c>
      <x:c r="E13" s="57" t="n">
        <x:v>46163</x:v>
      </x:c>
      <x:c r="F13" s="18" t="n">
        <x:v>1</x:v>
      </x:c>
      <x:c r="G13" s="18" t="str">
        <x:v>dd8322873e342fe265953aeaca04736e7aacfb5e8ade2c24ffd64e860c3db30e</x:v>
      </x:c>
      <x:c r="H13" s="18" t="str">
        <x:v>neu</x:v>
      </x:c>
      <x:c r="I13" s="18" t="str">
        <x:v>ok</x:v>
      </x:c>
      <x:c r="J13" s="18" t="str"/>
      <x:c r="K13" s="57" t="n">
        <x:v>46144</x:v>
      </x:c>
      <x:c r="L13" s="57" t="n">
        <x:v>46144</x:v>
      </x:c>
      <x:c r="M13" s="18" t="str">
        <x:v>gebucht</x:v>
      </x:c>
      <x:c r="N13" s="18" t="str">
        <x:v>Arbeitgeber GmbH</x:v>
      </x:c>
      <x:c r="O13" s="18" t="str">
        <x:v>P01</x:v>
      </x:c>
      <x:c r="P13" s="18" t="str">
        <x:v>Gehalt Mai</x:v>
      </x:c>
      <x:c r="Q13" s="18" t="str">
        <x:v>Gutschrift</x:v>
      </x:c>
      <x:c r="R13" s="18" t="str">
        <x:v>DE**ARBEIT</x:v>
      </x:c>
      <x:c r="S13" s="66" t="n">
        <x:v>2500</x:v>
      </x:c>
      <x:c r="T13" s="18" t="str"/>
      <x:c r="U13" s="18" t="str"/>
      <x:c r="V13" s="18" t="str"/>
    </x:row>
    <x:row r="14">
      <x:c r="A14" s="18" t="str">
        <x:v>RAW-IMP-20260518-001-000002</x:v>
      </x:c>
      <x:c r="B14" s="18" t="str">
        <x:v>IMP-20260518-001</x:v>
      </x:c>
      <x:c r="C14" s="18" t="str">
        <x:v>KTO001</x:v>
      </x:c>
      <x:c r="D14" s="18" t="str">
        <x:v>girokonto_startimport.csv</x:v>
      </x:c>
      <x:c r="E14" s="57" t="n">
        <x:v>46163</x:v>
      </x:c>
      <x:c r="F14" s="18" t="n">
        <x:v>2</x:v>
      </x:c>
      <x:c r="G14" s="18" t="str">
        <x:v>e6332c504b58e95f465ca9eeef2d1b2640c0a2544292c9f3f3c0e7b7480731e3</x:v>
      </x:c>
      <x:c r="H14" s="18" t="str">
        <x:v>neu</x:v>
      </x:c>
      <x:c r="I14" s="18" t="str">
        <x:v>ok</x:v>
      </x:c>
      <x:c r="J14" s="18" t="str"/>
      <x:c r="K14" s="57" t="n">
        <x:v>46147</x:v>
      </x:c>
      <x:c r="L14" s="57" t="n">
        <x:v>46147</x:v>
      </x:c>
      <x:c r="M14" s="18" t="str">
        <x:v>gebucht</x:v>
      </x:c>
      <x:c r="N14" s="18" t="str">
        <x:v>P01</x:v>
      </x:c>
      <x:c r="O14" s="18" t="str">
        <x:v>Vermieter</x:v>
      </x:c>
      <x:c r="P14" s="18" t="str">
        <x:v>Miete Mai</x:v>
      </x:c>
      <x:c r="Q14" s="18" t="str">
        <x:v>Lastschrift</x:v>
      </x:c>
      <x:c r="R14" s="18" t="str">
        <x:v>DE**MIETE</x:v>
      </x:c>
      <x:c r="S14" s="66" t="n">
        <x:v>-1200</x:v>
      </x:c>
      <x:c r="T14" s="18" t="str"/>
      <x:c r="U14" s="18" t="str"/>
      <x:c r="V14" s="18" t="str"/>
    </x:row>
    <x:row r="15">
      <x:c r="A15" s="18" t="str">
        <x:v>RAW-IMP-20260518-001-000003</x:v>
      </x:c>
      <x:c r="B15" s="18" t="str">
        <x:v>IMP-20260518-001</x:v>
      </x:c>
      <x:c r="C15" s="18" t="str">
        <x:v>KTO001</x:v>
      </x:c>
      <x:c r="D15" s="18" t="str">
        <x:v>girokonto_startimport.csv</x:v>
      </x:c>
      <x:c r="E15" s="57" t="n">
        <x:v>46163</x:v>
      </x:c>
      <x:c r="F15" s="18" t="n">
        <x:v>3</x:v>
      </x:c>
      <x:c r="G15" s="18" t="str">
        <x:v>257a30b3d141b3babc6bf348ce4f5b0ccb25115bb242559c97190811d3f5f1e2</x:v>
      </x:c>
      <x:c r="H15" s="18" t="str">
        <x:v>neu</x:v>
      </x:c>
      <x:c r="I15" s="18" t="str">
        <x:v>ok</x:v>
      </x:c>
      <x:c r="J15" s="18" t="str"/>
      <x:c r="K15" s="57" t="n">
        <x:v>46150</x:v>
      </x:c>
      <x:c r="L15" s="57" t="n">
        <x:v>46150</x:v>
      </x:c>
      <x:c r="M15" s="18" t="str">
        <x:v>gebucht</x:v>
      </x:c>
      <x:c r="N15" s="18" t="str">
        <x:v>P01</x:v>
      </x:c>
      <x:c r="O15" s="18" t="str">
        <x:v>Supermarkt</x:v>
      </x:c>
      <x:c r="P15" s="18" t="str">
        <x:v>Kartenzahlung</x:v>
      </x:c>
      <x:c r="Q15" s="18" t="str">
        <x:v>Kartenzahlung</x:v>
      </x:c>
      <x:c r="R15" s="18" t="str"/>
      <x:c r="S15" s="66" t="n">
        <x:v>-186.42</x:v>
      </x:c>
      <x:c r="T15" s="18" t="str"/>
      <x:c r="U15" s="18" t="str"/>
      <x:c r="V15" s="18" t="str"/>
    </x:row>
    <x:row r="16">
      <x:c r="A16" s="18" t="str">
        <x:v>RAW-IMP-20260518-001-000004</x:v>
      </x:c>
      <x:c r="B16" s="18" t="str">
        <x:v>IMP-20260518-001</x:v>
      </x:c>
      <x:c r="C16" s="18" t="str">
        <x:v>KTO001</x:v>
      </x:c>
      <x:c r="D16" s="18" t="str">
        <x:v>girokonto_startimport.csv</x:v>
      </x:c>
      <x:c r="E16" s="57" t="n">
        <x:v>46163</x:v>
      </x:c>
      <x:c r="F16" s="18" t="n">
        <x:v>4</x:v>
      </x:c>
      <x:c r="G16" s="18" t="str">
        <x:v>42ff5bc420e9bfd01f7ff8b7f3996d7315dfa073d2bcec9cdbc0d84b680c313a</x:v>
      </x:c>
      <x:c r="H16" s="18" t="str">
        <x:v>neu</x:v>
      </x:c>
      <x:c r="I16" s="18" t="str">
        <x:v>ok</x:v>
      </x:c>
      <x:c r="J16" s="18" t="str">
        <x:v>Kategorie offen</x:v>
      </x:c>
      <x:c r="K16" s="57" t="n">
        <x:v>46154</x:v>
      </x:c>
      <x:c r="L16" s="57" t="n">
        <x:v>46154</x:v>
      </x:c>
      <x:c r="M16" s="18" t="str">
        <x:v>gebucht</x:v>
      </x:c>
      <x:c r="N16" s="18" t="str">
        <x:v>P01</x:v>
      </x:c>
      <x:c r="O16" s="18" t="str">
        <x:v>Unklare Gegenpartei</x:v>
      </x:c>
      <x:c r="P16" s="18" t="str">
        <x:v>Online Zahlung</x:v>
      </x:c>
      <x:c r="Q16" s="18" t="str">
        <x:v>Kartenzahlung</x:v>
      </x:c>
      <x:c r="R16" s="18" t="str"/>
      <x:c r="S16" s="66" t="n">
        <x:v>-74.9</x:v>
      </x:c>
      <x:c r="T16" s="18" t="str"/>
      <x:c r="U16" s="18" t="str"/>
      <x:c r="V16" s="18" t="str"/>
    </x:row>
    <x:row r="17">
      <x:c r="A17" t="str">
        <x:v>IMP-20260516-FULLDRAFT</x:v>
      </x:c>
      <x:c r="B17" t="str">
        <x:v>16-05-2026_Umsatzliste_Girokonto_DE98120300001061711675.csv</x:v>
      </x:c>
      <x:c r="C17" t="str">
        <x:v>KTO001</x:v>
      </x:c>
      <x:c r="D17" t="str">
        <x:v>SRC-20260516-FULLDRAFT</x:v>
      </x:c>
      <x:c r="E17" s="58" t="n">
        <x:v>45292</x:v>
      </x:c>
      <x:c r="F17" t="n">
        <x:v>46158</x:v>
      </x:c>
      <x:c r="G17" t="n">
        <x:v>790.93</x:v>
      </x:c>
      <x:c r="H17" t="n">
        <x:v>46158</x:v>
      </x:c>
      <x:c r="I17" t="n">
        <x:v>46163</x:v>
      </x:c>
      <x:c r="J17" t="n">
        <x:v>2578</x:v>
      </x:c>
      <x:c r="K17" s="58" t="n">
        <x:v>2578</x:v>
      </x:c>
      <x:c r="L17" s="58" t="n">
        <x:v>0</x:v>
      </x:c>
      <x:c r="M17" t="n">
        <x:v>0</x:v>
      </x:c>
      <x:c r="N17" t="str">
        <x:v>agent_draft</x:v>
      </x:c>
      <x:c r="O17" t="str">
        <x:v>RUN-20260521-FULLDRAFT</x:v>
      </x:c>
      <x:c r="P17" t="str">
        <x:v>Begrenzter Agent-Durchstich; noch kein Vollimport</x:v>
      </x:c>
      <x:c r="S17" s="67"/>
    </x:row>
    <x:row r="18">
      <x:c r="A18" t="str">
        <x:v>RAW-IMP-20260516-FULLDRAFT-000001</x:v>
      </x:c>
      <x:c r="B18" t="str">
        <x:v>IMP-20260516-FULLDRAFT</x:v>
      </x:c>
      <x:c r="C18" t="str">
        <x:v>KTO001</x:v>
      </x:c>
      <x:c r="D18" t="str">
        <x:v>16-05-2026_Umsatzliste_Girokonto_DE98120300001061711675.csv</x:v>
      </x:c>
      <x:c r="E18" t="n">
        <x:v>46163</x:v>
      </x:c>
      <x:c r="F18" t="n">
        <x:v>1</x:v>
      </x:c>
      <x:c r="G18" t="str">
        <x:v>3135cb09dab688e88f3ee1877dac3a26e0a200632bc8d7a8d54e84364ad87177</x:v>
      </x:c>
      <x:c r="H18" t="str">
        <x:v>neu</x:v>
      </x:c>
      <x:c r="I18" t="str">
        <x:v>ok</x:v>
      </x:c>
      <x:c r="J18"/>
      <x:c r="K18" t="n">
        <x:v>46157</x:v>
      </x:c>
      <x:c r="L18" t="n">
        <x:v>46157</x:v>
      </x:c>
      <x:c r="M18" t="str">
        <x:v>Gebucht</x:v>
      </x:c>
      <x:c r="N18" t="str">
        <x:v>Lars Kohlenberg</x:v>
      </x:c>
      <x:c r="O18" t="str">
        <x:v>Lars Kohlenberg</x:v>
      </x:c>
      <x:c r="P18" t="str">
        <x:v>Übertrag</x:v>
      </x:c>
      <x:c r="Q18" t="str">
        <x:v>Ausgang</x:v>
      </x:c>
      <x:c r="R18" t="str">
        <x:v>DE83100123458554221911</x:v>
      </x:c>
      <x:c r="S18" t="n">
        <x:v>-4501</x:v>
      </x:c>
      <x:c r="T18" t="str">
        <x:v>"</x:v>
      </x:c>
      <x:c r="U18" t="str">
        <x:v>"</x:v>
      </x:c>
      <x:c r="V18" t="str">
        <x:v>"</x:v>
      </x:c>
    </x:row>
    <x:row r="19">
      <x:c r="A19" t="str">
        <x:v>RAW-IMP-20260516-FULLDRAFT-000002</x:v>
      </x:c>
      <x:c r="B19" t="str">
        <x:v>IMP-20260516-FULLDRAFT</x:v>
      </x:c>
      <x:c r="C19" t="str">
        <x:v>KTO001</x:v>
      </x:c>
      <x:c r="D19" t="str">
        <x:v>16-05-2026_Umsatzliste_Girokonto_DE98120300001061711675.csv</x:v>
      </x:c>
      <x:c r="E19" t="n">
        <x:v>46163</x:v>
      </x:c>
      <x:c r="F19" t="n">
        <x:v>2</x:v>
      </x:c>
      <x:c r="G19" t="str">
        <x:v>d19c8d8fbd5ef4cf057b9c23ea6de01b02962f2530fbeaf1da76502645e164bb</x:v>
      </x:c>
      <x:c r="H19" t="str">
        <x:v>neu</x:v>
      </x:c>
      <x:c r="I19" t="str">
        <x:v>ok</x:v>
      </x:c>
      <x:c r="J19"/>
      <x:c r="K19" t="n">
        <x:v>46157</x:v>
      </x:c>
      <x:c r="L19" t="n">
        <x:v>46156</x:v>
      </x:c>
      <x:c r="M19" t="str">
        <x:v>Gebucht</x:v>
      </x:c>
      <x:c r="N19" t="str">
        <x:v>ISSUER</x:v>
      </x:c>
      <x:c r="O19" t="str">
        <x:v>REWE.Salzgitter.Ge/Salzgitter</x:v>
      </x:c>
      <x:c r="P19" t="str">
        <x:v>VISA Debitkartenumsatz vom 13.05.2026</x:v>
      </x:c>
      <x:c r="Q19" t="str">
        <x:v>Ausgang</x:v>
      </x:c>
      <x:c r="R19" t="str">
        <x:v>DE96120300009005290904</x:v>
      </x:c>
      <x:c r="S19" t="n">
        <x:v>-8.67</x:v>
      </x:c>
      <x:c r="T19" t="str">
        <x:v>"</x:v>
      </x:c>
      <x:c r="U19" t="str">
        <x:v>"</x:v>
      </x:c>
      <x:c r="V19" t="str">
        <x:v>486133342930522</x:v>
      </x:c>
    </x:row>
    <x:row r="20">
      <x:c r="A20" t="str">
        <x:v>RAW-IMP-20260516-FULLDRAFT-000003</x:v>
      </x:c>
      <x:c r="B20" t="str">
        <x:v>IMP-20260516-FULLDRAFT</x:v>
      </x:c>
      <x:c r="C20" t="str">
        <x:v>KTO001</x:v>
      </x:c>
      <x:c r="D20" t="str">
        <x:v>16-05-2026_Umsatzliste_Girokonto_DE98120300001061711675.csv</x:v>
      </x:c>
      <x:c r="E20" t="n">
        <x:v>46163</x:v>
      </x:c>
      <x:c r="F20" t="n">
        <x:v>3</x:v>
      </x:c>
      <x:c r="G20" t="str">
        <x:v>9a985eb15d268cb32f354c4bc21fb03962e9f41af06d06eff435c68c255a0095</x:v>
      </x:c>
      <x:c r="H20" t="str">
        <x:v>neu</x:v>
      </x:c>
      <x:c r="I20" t="str">
        <x:v>ok</x:v>
      </x:c>
      <x:c r="J20"/>
      <x:c r="K20" t="n">
        <x:v>46157</x:v>
      </x:c>
      <x:c r="L20" t="n">
        <x:v>46156</x:v>
      </x:c>
      <x:c r="M20" t="str">
        <x:v>Gebucht</x:v>
      </x:c>
      <x:c r="N20" t="str">
        <x:v>ISSUER</x:v>
      </x:c>
      <x:c r="O20" t="str">
        <x:v>REWE.Salzgitter.Ge/Salzgitter</x:v>
      </x:c>
      <x:c r="P20" t="str">
        <x:v>VISA Debitkartenumsatz vom 13.05.2026</x:v>
      </x:c>
      <x:c r="Q20" t="str">
        <x:v>Ausgang</x:v>
      </x:c>
      <x:c r="R20" t="str">
        <x:v>DE96120300009005290904</x:v>
      </x:c>
      <x:c r="S20" t="n">
        <x:v>-31.04</x:v>
      </x:c>
      <x:c r="T20" t="str">
        <x:v>"</x:v>
      </x:c>
      <x:c r="U20" t="str">
        <x:v>"</x:v>
      </x:c>
      <x:c r="V20" t="str">
        <x:v>486133668235980</x:v>
      </x:c>
    </x:row>
    <x:row r="21">
      <x:c r="A21" t="str">
        <x:v>RAW-IMP-20260516-FULLDRAFT-000004</x:v>
      </x:c>
      <x:c r="B21" t="str">
        <x:v>IMP-20260516-FULLDRAFT</x:v>
      </x:c>
      <x:c r="C21" t="str">
        <x:v>KTO001</x:v>
      </x:c>
      <x:c r="D21" t="str">
        <x:v>16-05-2026_Umsatzliste_Girokonto_DE98120300001061711675.csv</x:v>
      </x:c>
      <x:c r="E21" t="n">
        <x:v>46163</x:v>
      </x:c>
      <x:c r="F21" t="n">
        <x:v>4</x:v>
      </x:c>
      <x:c r="G21" t="str">
        <x:v>d8ca05b808bcbf1dfaa0bf96afa169e909e959e402e46ea66b499116a293089f</x:v>
      </x:c>
      <x:c r="H21" t="str">
        <x:v>neu</x:v>
      </x:c>
      <x:c r="I21" t="str">
        <x:v>ok</x:v>
      </x:c>
      <x:c r="J21"/>
      <x:c r="K21" t="n">
        <x:v>46157</x:v>
      </x:c>
      <x:c r="L21" t="n">
        <x:v>46157</x:v>
      </x:c>
      <x:c r="M21" t="str">
        <x:v>Gebucht</x:v>
      </x:c>
      <x:c r="N21" t="str">
        <x:v>Kohlenberg</x:v>
      </x:c>
      <x:c r="O21" t="str">
        <x:v>TANZSCHULE KWIATKOWSKI GBR</x:v>
      </x:c>
      <x:c r="P21" t="str">
        <x:v>R-SB0000078163-A0000004652,SB2143 2-2026 - 5.2026,Lars Kohlenberg</x:v>
      </x:c>
      <x:c r="Q21" t="str">
        <x:v>Ausgang</x:v>
      </x:c>
      <x:c r="R21" t="str">
        <x:v>DE61259501300096212535</x:v>
      </x:c>
      <x:c r="S21" t="n">
        <x:v>-98</x:v>
      </x:c>
      <x:c r="T21" t="str">
        <x:v>DE79ZZZ00002474666</x:v>
      </x:c>
      <x:c r="U21" t="str">
        <x:v>TM004652-000265</x:v>
      </x:c>
      <x:c r="V21" t="str">
        <x:v>R-SB00078163</x:v>
      </x:c>
    </x:row>
    <x:row r="22">
      <x:c r="A22" t="str">
        <x:v>RAW-IMP-20260516-FULLDRAFT-000005</x:v>
      </x:c>
      <x:c r="B22" t="str">
        <x:v>IMP-20260516-FULLDRAFT</x:v>
      </x:c>
      <x:c r="C22" t="str">
        <x:v>KTO001</x:v>
      </x:c>
      <x:c r="D22" t="str">
        <x:v>16-05-2026_Umsatzliste_Girokonto_DE98120300001061711675.csv</x:v>
      </x:c>
      <x:c r="E22" t="n">
        <x:v>46163</x:v>
      </x:c>
      <x:c r="F22" t="n">
        <x:v>5</x:v>
      </x:c>
      <x:c r="G22" t="str">
        <x:v>3dc3997505fe9a9174027c032a115a68c850f3a9d52461113a80e169dc9f7800</x:v>
      </x:c>
      <x:c r="H22" t="str">
        <x:v>neu</x:v>
      </x:c>
      <x:c r="I22" t="str">
        <x:v>ok</x:v>
      </x:c>
      <x:c r="J22"/>
      <x:c r="K22" t="n">
        <x:v>46157</x:v>
      </x:c>
      <x:c r="L22" t="n">
        <x:v>46156</x:v>
      </x:c>
      <x:c r="M22" t="str">
        <x:v>Gebucht</x:v>
      </x:c>
      <x:c r="N22" t="str">
        <x:v>Lars Kohlenberg</x:v>
      </x:c>
      <x:c r="O22" t="str">
        <x:v>Lars Kohlenberg</x:v>
      </x:c>
      <x:c r="P22" t="str">
        <x:v>UEbertrag</x:v>
      </x:c>
      <x:c r="Q22" t="str">
        <x:v>Eingang</x:v>
      </x:c>
      <x:c r="R22" t="str">
        <x:v>DE91270200001510365800</x:v>
      </x:c>
      <x:c r="S22" t="n">
        <x:v>5000</x:v>
      </x:c>
      <x:c r="T22" t="str">
        <x:v>"</x:v>
      </x:c>
      <x:c r="U22" t="str">
        <x:v>"</x:v>
      </x:c>
      <x:c r="V22" t="str">
        <x:v>"</x:v>
      </x:c>
    </x:row>
    <x:row r="23">
      <x:c r="A23" t="str">
        <x:v>RAW-IMP-20260516-FULLDRAFT-000006</x:v>
      </x:c>
      <x:c r="B23" t="str">
        <x:v>IMP-20260516-FULLDRAFT</x:v>
      </x:c>
      <x:c r="C23" t="str">
        <x:v>KTO001</x:v>
      </x:c>
      <x:c r="D23" t="str">
        <x:v>16-05-2026_Umsatzliste_Girokonto_DE98120300001061711675.csv</x:v>
      </x:c>
      <x:c r="E23" t="n">
        <x:v>46163</x:v>
      </x:c>
      <x:c r="F23" t="n">
        <x:v>6</x:v>
      </x:c>
      <x:c r="G23" t="str">
        <x:v>25cc5399aae4646728152f8a2eee5846b1e61c0f0f62583f6f9ca14c3d30baaf</x:v>
      </x:c>
      <x:c r="H23" t="str">
        <x:v>neu</x:v>
      </x:c>
      <x:c r="I23" t="str">
        <x:v>ok</x:v>
      </x:c>
      <x:c r="J23"/>
      <x:c r="K23" t="n">
        <x:v>46155</x:v>
      </x:c>
      <x:c r="L23" t="n">
        <x:v>46155</x:v>
      </x:c>
      <x:c r="M23" t="str">
        <x:v>Gebucht</x:v>
      </x:c>
      <x:c r="N23" t="str">
        <x:v>Lars Kohlenberg</x:v>
      </x:c>
      <x:c r="O23" t="str">
        <x:v>Landkreis Hildesheim</x:v>
      </x:c>
      <x:c r="P23" t="str">
        <x:v>521.30.600918.4</x:v>
      </x:c>
      <x:c r="Q23" t="str">
        <x:v>Ausgang</x:v>
      </x:c>
      <x:c r="R23" t="str">
        <x:v>DE08259501300000001614</x:v>
      </x:c>
      <x:c r="S23" t="n">
        <x:v>-128.5</x:v>
      </x:c>
      <x:c r="T23" t="str">
        <x:v>"</x:v>
      </x:c>
      <x:c r="U23" t="str">
        <x:v>"</x:v>
      </x:c>
      <x:c r="V23" t="str">
        <x:v>"</x:v>
      </x:c>
    </x:row>
    <x:row r="24">
      <x:c r="A24" t="str">
        <x:v>RAW-IMP-20260516-FULLDRAFT-000007</x:v>
      </x:c>
      <x:c r="B24" t="str">
        <x:v>IMP-20260516-FULLDRAFT</x:v>
      </x:c>
      <x:c r="C24" t="str">
        <x:v>KTO001</x:v>
      </x:c>
      <x:c r="D24" t="str">
        <x:v>16-05-2026_Umsatzliste_Girokonto_DE98120300001061711675.csv</x:v>
      </x:c>
      <x:c r="E24" t="n">
        <x:v>46163</x:v>
      </x:c>
      <x:c r="F24" t="n">
        <x:v>7</x:v>
      </x:c>
      <x:c r="G24" t="str">
        <x:v>21974a719e313b9e90a3f50d6b4289e865de99a76015735070f6a31c4f221769</x:v>
      </x:c>
      <x:c r="H24" t="str">
        <x:v>neu</x:v>
      </x:c>
      <x:c r="I24" t="str">
        <x:v>ok</x:v>
      </x:c>
      <x:c r="J24"/>
      <x:c r="K24" t="n">
        <x:v>46154</x:v>
      </x:c>
      <x:c r="L24" t="n">
        <x:v>46154</x:v>
      </x:c>
      <x:c r="M24" t="str">
        <x:v>Gebucht</x:v>
      </x:c>
      <x:c r="N24" t="str">
        <x:v>ISSUER</x:v>
      </x:c>
      <x:c r="O24" t="str">
        <x:v>REWE.Salzgitter.Ge/Salzgitter</x:v>
      </x:c>
      <x:c r="P24" t="str">
        <x:v>VISA Debitkartenumsatz vom 11.05.2026</x:v>
      </x:c>
      <x:c r="Q24" t="str">
        <x:v>Ausgang</x:v>
      </x:c>
      <x:c r="R24" t="str">
        <x:v>DE96120300009005290904</x:v>
      </x:c>
      <x:c r="S24" t="n">
        <x:v>-55.25</x:v>
      </x:c>
      <x:c r="T24" t="str">
        <x:v>"</x:v>
      </x:c>
      <x:c r="U24" t="str">
        <x:v>"</x:v>
      </x:c>
      <x:c r="V24" t="str">
        <x:v>486131575193119</x:v>
      </x:c>
    </x:row>
    <x:row r="25">
      <x:c r="A25" t="str">
        <x:v>RAW-IMP-20260516-FULLDRAFT-000008</x:v>
      </x:c>
      <x:c r="B25" t="str">
        <x:v>IMP-20260516-FULLDRAFT</x:v>
      </x:c>
      <x:c r="C25" t="str">
        <x:v>KTO001</x:v>
      </x:c>
      <x:c r="D25" t="str">
        <x:v>16-05-2026_Umsatzliste_Girokonto_DE98120300001061711675.csv</x:v>
      </x:c>
      <x:c r="E25" t="n">
        <x:v>46163</x:v>
      </x:c>
      <x:c r="F25" t="n">
        <x:v>8</x:v>
      </x:c>
      <x:c r="G25" t="str">
        <x:v>e43104909fb0b98cbf1b919dfdd101b95f7331e2664972e86aba3524ef30f3d9</x:v>
      </x:c>
      <x:c r="H25" t="str">
        <x:v>neu</x:v>
      </x:c>
      <x:c r="I25" t="str">
        <x:v>ok</x:v>
      </x:c>
      <x:c r="J25"/>
      <x:c r="K25" t="n">
        <x:v>46154</x:v>
      </x:c>
      <x:c r="L25" t="n">
        <x:v>46154</x:v>
      </x:c>
      <x:c r="M25" t="str">
        <x:v>Gebucht</x:v>
      </x:c>
      <x:c r="N25" t="str">
        <x:v>ISSUER</x:v>
      </x:c>
      <x:c r="O25" t="str">
        <x:v>Lidl.sagt.Danke/Salzgitter</x:v>
      </x:c>
      <x:c r="P25" t="str">
        <x:v>VISA Debitkartenumsatz vom 11.05.2026</x:v>
      </x:c>
      <x:c r="Q25" t="str">
        <x:v>Ausgang</x:v>
      </x:c>
      <x:c r="R25" t="str">
        <x:v>DE96120300009005290904</x:v>
      </x:c>
      <x:c r="S25" t="n">
        <x:v>-14.41</x:v>
      </x:c>
      <x:c r="T25" t="str">
        <x:v>"</x:v>
      </x:c>
      <x:c r="U25" t="str">
        <x:v>"</x:v>
      </x:c>
      <x:c r="V25" t="str">
        <x:v>486131551554527</x:v>
      </x:c>
    </x:row>
    <x:row r="26">
      <x:c r="A26" t="str">
        <x:v>RAW-IMP-20260516-FULLDRAFT-000009</x:v>
      </x:c>
      <x:c r="B26" t="str">
        <x:v>IMP-20260516-FULLDRAFT</x:v>
      </x:c>
      <x:c r="C26" t="str">
        <x:v>KTO001</x:v>
      </x:c>
      <x:c r="D26" t="str">
        <x:v>16-05-2026_Umsatzliste_Girokonto_DE98120300001061711675.csv</x:v>
      </x:c>
      <x:c r="E26" t="n">
        <x:v>46163</x:v>
      </x:c>
      <x:c r="F26" t="n">
        <x:v>9</x:v>
      </x:c>
      <x:c r="G26" t="str">
        <x:v>989d307ce32d45e8e8255c23cc7879b523d20a4a13d8afbfe5056443f101dc6a</x:v>
      </x:c>
      <x:c r="H26" t="str">
        <x:v>neu</x:v>
      </x:c>
      <x:c r="I26" t="str">
        <x:v>ok</x:v>
      </x:c>
      <x:c r="J26"/>
      <x:c r="K26" t="n">
        <x:v>46154</x:v>
      </x:c>
      <x:c r="L26" t="n">
        <x:v>46154</x:v>
      </x:c>
      <x:c r="M26" t="str">
        <x:v>Gebucht</x:v>
      </x:c>
      <x:c r="N26" t="str">
        <x:v>ISSUER</x:v>
      </x:c>
      <x:c r="O26" t="str">
        <x:v>REWE.Salzgitter.Ge/Salzgitter</x:v>
      </x:c>
      <x:c r="P26" t="str">
        <x:v>VISA Debitkartenumsatz vom 11.05.2026</x:v>
      </x:c>
      <x:c r="Q26" t="str">
        <x:v>Ausgang</x:v>
      </x:c>
      <x:c r="R26" t="str">
        <x:v>DE96120300009005290904</x:v>
      </x:c>
      <x:c r="S26" t="n">
        <x:v>-12.35</x:v>
      </x:c>
      <x:c r="T26" t="str">
        <x:v>"</x:v>
      </x:c>
      <x:c r="U26" t="str">
        <x:v>"</x:v>
      </x:c>
      <x:c r="V26" t="str">
        <x:v>486131244277638</x:v>
      </x:c>
    </x:row>
    <x:row r="27">
      <x:c r="A27" t="str">
        <x:v>RAW-IMP-20260516-FULLDRAFT-000010</x:v>
      </x:c>
      <x:c r="B27" t="str">
        <x:v>IMP-20260516-FULLDRAFT</x:v>
      </x:c>
      <x:c r="C27" t="str">
        <x:v>KTO001</x:v>
      </x:c>
      <x:c r="D27" t="str">
        <x:v>16-05-2026_Umsatzliste_Girokonto_DE98120300001061711675.csv</x:v>
      </x:c>
      <x:c r="E27" t="n">
        <x:v>46163</x:v>
      </x:c>
      <x:c r="F27" t="n">
        <x:v>10</x:v>
      </x:c>
      <x:c r="G27" t="str">
        <x:v>760d1e8aecd72b6ba812d028a00d2e4cfe9dee3e92d192aaf6e0924b33a45852</x:v>
      </x:c>
      <x:c r="H27" t="str">
        <x:v>neu</x:v>
      </x:c>
      <x:c r="I27" t="str">
        <x:v>ok</x:v>
      </x:c>
      <x:c r="J27"/>
      <x:c r="K27" t="n">
        <x:v>46154</x:v>
      </x:c>
      <x:c r="L27" t="n">
        <x:v>46154</x:v>
      </x:c>
      <x:c r="M27" t="str">
        <x:v>Gebucht</x:v>
      </x:c>
      <x:c r="N27" t="str">
        <x:v>Lars Kohlenberg</x:v>
      </x:c>
      <x:c r="O27" t="str">
        <x:v>Edgar Piereck</x:v>
      </x:c>
      <x:c r="P27" t="str">
        <x:v>Muay Thai, Lea Kohlenberg</x:v>
      </x:c>
      <x:c r="Q27" t="str">
        <x:v>Ausgang</x:v>
      </x:c>
      <x:c r="R27" t="str">
        <x:v>DE44269910662836475000</x:v>
      </x:c>
      <x:c r="S27" t="n">
        <x:v>-10</x:v>
      </x:c>
      <x:c r="T27" t="str">
        <x:v>"</x:v>
      </x:c>
      <x:c r="U27" t="str">
        <x:v>"</x:v>
      </x:c>
      <x:c r="V27" t="str">
        <x:v>"</x:v>
      </x:c>
    </x:row>
    <x:row r="28">
      <x:c r="A28" t="str">
        <x:v>RAW-IMP-20260516-FULLDRAFT-000011</x:v>
      </x:c>
      <x:c r="B28" t="str">
        <x:v>IMP-20260516-FULLDRAFT</x:v>
      </x:c>
      <x:c r="C28" t="str">
        <x:v>KTO001</x:v>
      </x:c>
      <x:c r="D28" t="str">
        <x:v>16-05-2026_Umsatzliste_Girokonto_DE98120300001061711675.csv</x:v>
      </x:c>
      <x:c r="E28" t="n">
        <x:v>46163</x:v>
      </x:c>
      <x:c r="F28" t="n">
        <x:v>11</x:v>
      </x:c>
      <x:c r="G28" t="str">
        <x:v>d1820b263ef9f3cc865f762a0c1d729553f32cc16756eeaf68d1a2a0b625dc8f</x:v>
      </x:c>
      <x:c r="H28" t="str">
        <x:v>neu</x:v>
      </x:c>
      <x:c r="I28" t="str">
        <x:v>ok</x:v>
      </x:c>
      <x:c r="J28"/>
      <x:c r="K28" t="n">
        <x:v>46153</x:v>
      </x:c>
      <x:c r="L28" t="n">
        <x:v>46153</x:v>
      </x:c>
      <x:c r="M28" t="str">
        <x:v>Gebucht</x:v>
      </x:c>
      <x:c r="N28" t="str">
        <x:v>ISSUER</x:v>
      </x:c>
      <x:c r="O28" t="str">
        <x:v>SANDERS.BACKSTUBE/BRAUNSCHWEIG</x:v>
      </x:c>
      <x:c r="P28" t="str">
        <x:v>VISA Debitkartenumsatz vom 09.05.2026</x:v>
      </x:c>
      <x:c r="Q28" t="str">
        <x:v>Ausgang</x:v>
      </x:c>
      <x:c r="R28" t="str">
        <x:v>DE96120300009005290904</x:v>
      </x:c>
      <x:c r="S28" t="n">
        <x:v>-7.53</x:v>
      </x:c>
      <x:c r="T28" t="str">
        <x:v>"</x:v>
      </x:c>
      <x:c r="U28" t="str">
        <x:v>"</x:v>
      </x:c>
      <x:c r="V28" t="str">
        <x:v>486129487622518</x:v>
      </x:c>
    </x:row>
    <x:row r="29">
      <x:c r="A29" t="str">
        <x:v>RAW-IMP-20260516-FULLDRAFT-000012</x:v>
      </x:c>
      <x:c r="B29" t="str">
        <x:v>IMP-20260516-FULLDRAFT</x:v>
      </x:c>
      <x:c r="C29" t="str">
        <x:v>KTO001</x:v>
      </x:c>
      <x:c r="D29" t="str">
        <x:v>16-05-2026_Umsatzliste_Girokonto_DE98120300001061711675.csv</x:v>
      </x:c>
      <x:c r="E29" t="n">
        <x:v>46163</x:v>
      </x:c>
      <x:c r="F29" t="n">
        <x:v>12</x:v>
      </x:c>
      <x:c r="G29" t="str">
        <x:v>8945aa51cc5ab5f8f78f32129b1abaffb8be8e17809ae2ccf2038b9cf0ffffc5</x:v>
      </x:c>
      <x:c r="H29" t="str">
        <x:v>neu</x:v>
      </x:c>
      <x:c r="I29" t="str">
        <x:v>ok</x:v>
      </x:c>
      <x:c r="J29"/>
      <x:c r="K29" t="n">
        <x:v>46153</x:v>
      </x:c>
      <x:c r="L29" t="n">
        <x:v>46153</x:v>
      </x:c>
      <x:c r="M29" t="str">
        <x:v>Gebucht</x:v>
      </x:c>
      <x:c r="N29" t="str">
        <x:v>ISSUER</x:v>
      </x:c>
      <x:c r="O29" t="str">
        <x:v>FRITTENWERK.WOLFSBURG/WOLFSBURG</x:v>
      </x:c>
      <x:c r="P29" t="str">
        <x:v>VISA Debitkartenumsatz vom 09.05.2026</x:v>
      </x:c>
      <x:c r="Q29" t="str">
        <x:v>Ausgang</x:v>
      </x:c>
      <x:c r="R29" t="str">
        <x:v>DE96120300009005290904</x:v>
      </x:c>
      <x:c r="S29" t="n">
        <x:v>-40.15</x:v>
      </x:c>
      <x:c r="T29" t="str">
        <x:v>"</x:v>
      </x:c>
      <x:c r="U29" t="str">
        <x:v>"</x:v>
      </x:c>
      <x:c r="V29" t="str">
        <x:v>486129376925016</x:v>
      </x:c>
    </x:row>
    <x:row r="30">
      <x:c r="A30" t="str">
        <x:v>RAW-IMP-20260516-FULLDRAFT-000013</x:v>
      </x:c>
      <x:c r="B30" t="str">
        <x:v>IMP-20260516-FULLDRAFT</x:v>
      </x:c>
      <x:c r="C30" t="str">
        <x:v>KTO001</x:v>
      </x:c>
      <x:c r="D30" t="str">
        <x:v>16-05-2026_Umsatzliste_Girokonto_DE98120300001061711675.csv</x:v>
      </x:c>
      <x:c r="E30" t="n">
        <x:v>46163</x:v>
      </x:c>
      <x:c r="F30" t="n">
        <x:v>13</x:v>
      </x:c>
      <x:c r="G30" t="str">
        <x:v>ce91ca66f69f010fcde27ff55155c62075ed0e4c51961be47fb820baf7bd9073</x:v>
      </x:c>
      <x:c r="H30" t="str">
        <x:v>neu</x:v>
      </x:c>
      <x:c r="I30" t="str">
        <x:v>ok</x:v>
      </x:c>
      <x:c r="J30"/>
      <x:c r="K30" t="n">
        <x:v>46153</x:v>
      </x:c>
      <x:c r="L30" t="n">
        <x:v>46153</x:v>
      </x:c>
      <x:c r="M30" t="str">
        <x:v>Gebucht</x:v>
      </x:c>
      <x:c r="N30" t="str">
        <x:v>ISSUER</x:v>
      </x:c>
      <x:c r="O30" t="str">
        <x:v>Starbucks.50974.FOC.Wol/Wolfsburg</x:v>
      </x:c>
      <x:c r="P30" t="str">
        <x:v>VISA Debitkartenumsatz vom 09.05.2026</x:v>
      </x:c>
      <x:c r="Q30" t="str">
        <x:v>Ausgang</x:v>
      </x:c>
      <x:c r="R30" t="str">
        <x:v>DE96120300009005290904</x:v>
      </x:c>
      <x:c r="S30" t="n">
        <x:v>-10.4</x:v>
      </x:c>
      <x:c r="T30" t="str">
        <x:v>"</x:v>
      </x:c>
      <x:c r="U30" t="str">
        <x:v>"</x:v>
      </x:c>
      <x:c r="V30" t="str">
        <x:v>486129416145602</x:v>
      </x:c>
    </x:row>
    <x:row r="31">
      <x:c r="A31" t="str">
        <x:v>RAW-IMP-20260516-FULLDRAFT-000014</x:v>
      </x:c>
      <x:c r="B31" t="str">
        <x:v>IMP-20260516-FULLDRAFT</x:v>
      </x:c>
      <x:c r="C31" t="str">
        <x:v>KTO001</x:v>
      </x:c>
      <x:c r="D31" t="str">
        <x:v>16-05-2026_Umsatzliste_Girokonto_DE98120300001061711675.csv</x:v>
      </x:c>
      <x:c r="E31" t="n">
        <x:v>46163</x:v>
      </x:c>
      <x:c r="F31" t="n">
        <x:v>14</x:v>
      </x:c>
      <x:c r="G31" t="str">
        <x:v>4e3cd88003a5627ecf1dd8aca7b2d634f47b35c85df8af0a230f5a924e7aa91e</x:v>
      </x:c>
      <x:c r="H31" t="str">
        <x:v>neu</x:v>
      </x:c>
      <x:c r="I31" t="str">
        <x:v>ok</x:v>
      </x:c>
      <x:c r="J31"/>
      <x:c r="K31" t="n">
        <x:v>46153</x:v>
      </x:c>
      <x:c r="L31" t="n">
        <x:v>46153</x:v>
      </x:c>
      <x:c r="M31" t="str">
        <x:v>Gebucht</x:v>
      </x:c>
      <x:c r="N31" t="str">
        <x:v>ISSUER</x:v>
      </x:c>
      <x:c r="O31" t="str">
        <x:v>REWE.Salzgitter.Ge/Salzgitter</x:v>
      </x:c>
      <x:c r="P31" t="str">
        <x:v>VISA Debitkartenumsatz vom 08.05.2026</x:v>
      </x:c>
      <x:c r="Q31" t="str">
        <x:v>Ausgang</x:v>
      </x:c>
      <x:c r="R31" t="str">
        <x:v>DE96120300009005290904</x:v>
      </x:c>
      <x:c r="S31" t="n">
        <x:v>-4.92</x:v>
      </x:c>
      <x:c r="T31" t="str">
        <x:v>"</x:v>
      </x:c>
      <x:c r="U31" t="str">
        <x:v>"</x:v>
      </x:c>
      <x:c r="V31" t="str">
        <x:v>486128335567192</x:v>
      </x:c>
    </x:row>
    <x:row r="32">
      <x:c r="A32" t="str">
        <x:v>RAW-IMP-20260516-FULLDRAFT-000015</x:v>
      </x:c>
      <x:c r="B32" t="str">
        <x:v>IMP-20260516-FULLDRAFT</x:v>
      </x:c>
      <x:c r="C32" t="str">
        <x:v>KTO001</x:v>
      </x:c>
      <x:c r="D32" t="str">
        <x:v>16-05-2026_Umsatzliste_Girokonto_DE98120300001061711675.csv</x:v>
      </x:c>
      <x:c r="E32" t="n">
        <x:v>46163</x:v>
      </x:c>
      <x:c r="F32" t="n">
        <x:v>15</x:v>
      </x:c>
      <x:c r="G32" t="str">
        <x:v>3010d655eb52398bef4798a4ab9713037a5f99b13821188a0d2e38d415805a79</x:v>
      </x:c>
      <x:c r="H32" t="str">
        <x:v>neu</x:v>
      </x:c>
      <x:c r="I32" t="str">
        <x:v>ok</x:v>
      </x:c>
      <x:c r="J32"/>
      <x:c r="K32" t="n">
        <x:v>46153</x:v>
      </x:c>
      <x:c r="L32" t="n">
        <x:v>46153</x:v>
      </x:c>
      <x:c r="M32" t="str">
        <x:v>Gebucht</x:v>
      </x:c>
      <x:c r="N32" t="str">
        <x:v>ISSUER</x:v>
      </x:c>
      <x:c r="O32" t="str">
        <x:v>Marc.OPolo.Einzelhandel/Wolfsburg</x:v>
      </x:c>
      <x:c r="P32" t="str">
        <x:v>VISA Debitkartenumsatz vom 09.05.2026</x:v>
      </x:c>
      <x:c r="Q32" t="str">
        <x:v>Ausgang</x:v>
      </x:c>
      <x:c r="R32" t="str">
        <x:v>DE96120300009005290904</x:v>
      </x:c>
      <x:c r="S32" t="n">
        <x:v>-108.72</x:v>
      </x:c>
      <x:c r="T32" t="str">
        <x:v>"</x:v>
      </x:c>
      <x:c r="U32" t="str">
        <x:v>"</x:v>
      </x:c>
      <x:c r="V32" t="str">
        <x:v>486129413299485</x:v>
      </x:c>
    </x:row>
    <x:row r="33">
      <x:c r="A33" t="str">
        <x:v>RAW-IMP-20260516-FULLDRAFT-000016</x:v>
      </x:c>
      <x:c r="B33" t="str">
        <x:v>IMP-20260516-FULLDRAFT</x:v>
      </x:c>
      <x:c r="C33" t="str">
        <x:v>KTO001</x:v>
      </x:c>
      <x:c r="D33" t="str">
        <x:v>16-05-2026_Umsatzliste_Girokonto_DE98120300001061711675.csv</x:v>
      </x:c>
      <x:c r="E33" t="n">
        <x:v>46163</x:v>
      </x:c>
      <x:c r="F33" t="n">
        <x:v>16</x:v>
      </x:c>
      <x:c r="G33" t="str">
        <x:v>d37790a4262a811544549b9e0839d5a145470cdac30eb1524b8cd7499935c8c3</x:v>
      </x:c>
      <x:c r="H33" t="str">
        <x:v>neu</x:v>
      </x:c>
      <x:c r="I33" t="str">
        <x:v>ok</x:v>
      </x:c>
      <x:c r="J33"/>
      <x:c r="K33" t="n">
        <x:v>46153</x:v>
      </x:c>
      <x:c r="L33" t="n">
        <x:v>46153</x:v>
      </x:c>
      <x:c r="M33" t="str">
        <x:v>Gebucht</x:v>
      </x:c>
      <x:c r="N33" t="str">
        <x:v>ISSUER</x:v>
      </x:c>
      <x:c r="O33" t="str">
        <x:v>Parken...Nordkopf/Wolfsburg</x:v>
      </x:c>
      <x:c r="P33" t="str">
        <x:v>VISA Debitkartenumsatz vom 09.05.2026</x:v>
      </x:c>
      <x:c r="Q33" t="str">
        <x:v>Ausgang</x:v>
      </x:c>
      <x:c r="R33" t="str">
        <x:v>DE96120300009005290904</x:v>
      </x:c>
      <x:c r="S33" t="n">
        <x:v>-4.7</x:v>
      </x:c>
      <x:c r="T33" t="str">
        <x:v>"</x:v>
      </x:c>
      <x:c r="U33" t="str">
        <x:v>"</x:v>
      </x:c>
      <x:c r="V33" t="str">
        <x:v>486129439136183</x:v>
      </x:c>
    </x:row>
    <x:row r="34">
      <x:c r="A34" t="str">
        <x:v>RAW-IMP-20260516-FULLDRAFT-000017</x:v>
      </x:c>
      <x:c r="B34" t="str">
        <x:v>IMP-20260516-FULLDRAFT</x:v>
      </x:c>
      <x:c r="C34" t="str">
        <x:v>KTO001</x:v>
      </x:c>
      <x:c r="D34" t="str">
        <x:v>16-05-2026_Umsatzliste_Girokonto_DE98120300001061711675.csv</x:v>
      </x:c>
      <x:c r="E34" t="n">
        <x:v>46163</x:v>
      </x:c>
      <x:c r="F34" t="n">
        <x:v>17</x:v>
      </x:c>
      <x:c r="G34" t="str">
        <x:v>8ad662815dcd9167714d2659a350bc7beb71ba22fe0329c3bd1f4ab0043e0a2a</x:v>
      </x:c>
      <x:c r="H34" t="str">
        <x:v>neu</x:v>
      </x:c>
      <x:c r="I34" t="str">
        <x:v>ok</x:v>
      </x:c>
      <x:c r="J34"/>
      <x:c r="K34" t="n">
        <x:v>46153</x:v>
      </x:c>
      <x:c r="L34" t="n">
        <x:v>46153</x:v>
      </x:c>
      <x:c r="M34" t="str">
        <x:v>Gebucht</x:v>
      </x:c>
      <x:c r="N34" t="str">
        <x:v>ISSUER</x:v>
      </x:c>
      <x:c r="O34" t="str">
        <x:v>REWE.Salzgitter.Ge/Salzgitter</x:v>
      </x:c>
      <x:c r="P34" t="str">
        <x:v>VISA Debitkartenumsatz vom 08.05.2026</x:v>
      </x:c>
      <x:c r="Q34" t="str">
        <x:v>Ausgang</x:v>
      </x:c>
      <x:c r="R34" t="str">
        <x:v>DE96120300009005290904</x:v>
      </x:c>
      <x:c r="S34" t="n">
        <x:v>-57.05</x:v>
      </x:c>
      <x:c r="T34" t="str">
        <x:v>"</x:v>
      </x:c>
      <x:c r="U34" t="str">
        <x:v>"</x:v>
      </x:c>
      <x:c r="V34" t="str">
        <x:v>486128583590942</x:v>
      </x:c>
    </x:row>
    <x:row r="35">
      <x:c r="A35" t="str">
        <x:v>RAW-IMP-20260516-FULLDRAFT-000018</x:v>
      </x:c>
      <x:c r="B35" t="str">
        <x:v>IMP-20260516-FULLDRAFT</x:v>
      </x:c>
      <x:c r="C35" t="str">
        <x:v>KTO001</x:v>
      </x:c>
      <x:c r="D35" t="str">
        <x:v>16-05-2026_Umsatzliste_Girokonto_DE98120300001061711675.csv</x:v>
      </x:c>
      <x:c r="E35" t="n">
        <x:v>46163</x:v>
      </x:c>
      <x:c r="F35" t="n">
        <x:v>18</x:v>
      </x:c>
      <x:c r="G35" t="str">
        <x:v>accce28e120623572d542a2feb26e77a84daeb3cd9f41294ec1feec58ef33f7c</x:v>
      </x:c>
      <x:c r="H35" t="str">
        <x:v>neu</x:v>
      </x:c>
      <x:c r="I35" t="str">
        <x:v>ok</x:v>
      </x:c>
      <x:c r="J35"/>
      <x:c r="K35" t="n">
        <x:v>46150</x:v>
      </x:c>
      <x:c r="L35" t="n">
        <x:v>46150</x:v>
      </x:c>
      <x:c r="M35" t="str">
        <x:v>Gebucht</x:v>
      </x:c>
      <x:c r="N35" t="str">
        <x:v>ISSUER</x:v>
      </x:c>
      <x:c r="O35" t="str">
        <x:v>AMZN.Mktp.DE.NH6WP3CA4/AMZN.COM.BILL</x:v>
      </x:c>
      <x:c r="P35" t="str">
        <x:v>VISA Debitkartenumsatz vom 08.05.2026</x:v>
      </x:c>
      <x:c r="Q35" t="str">
        <x:v>Ausgang</x:v>
      </x:c>
      <x:c r="R35" t="str">
        <x:v>DE96120300009005290904</x:v>
      </x:c>
      <x:c r="S35" t="n">
        <x:v>-58.16</x:v>
      </x:c>
      <x:c r="T35" t="str">
        <x:v>"</x:v>
      </x:c>
      <x:c r="U35" t="str">
        <x:v>"</x:v>
      </x:c>
      <x:c r="V35" t="str">
        <x:v>486127488336313</x:v>
      </x:c>
    </x:row>
    <x:row r="36">
      <x:c r="A36" t="str">
        <x:v>RAW-IMP-20260516-FULLDRAFT-000019</x:v>
      </x:c>
      <x:c r="B36" t="str">
        <x:v>IMP-20260516-FULLDRAFT</x:v>
      </x:c>
      <x:c r="C36" t="str">
        <x:v>KTO001</x:v>
      </x:c>
      <x:c r="D36" t="str">
        <x:v>16-05-2026_Umsatzliste_Girokonto_DE98120300001061711675.csv</x:v>
      </x:c>
      <x:c r="E36" t="n">
        <x:v>46163</x:v>
      </x:c>
      <x:c r="F36" t="n">
        <x:v>19</x:v>
      </x:c>
      <x:c r="G36" t="str">
        <x:v>4e347e844b3be64db0921cfc839dc1b7548a1c6182a3ee5a98b650ffda72d100</x:v>
      </x:c>
      <x:c r="H36" t="str">
        <x:v>neu</x:v>
      </x:c>
      <x:c r="I36" t="str">
        <x:v>ok</x:v>
      </x:c>
      <x:c r="J36"/>
      <x:c r="K36" t="n">
        <x:v>46149</x:v>
      </x:c>
      <x:c r="L36" t="n">
        <x:v>46149</x:v>
      </x:c>
      <x:c r="M36" t="str">
        <x:v>Gebucht</x:v>
      </x:c>
      <x:c r="N36" t="str">
        <x:v>ISSUER</x:v>
      </x:c>
      <x:c r="O36" t="str">
        <x:v>OPENAI..CHATGPT.SUBSCR/DUBLIN</x:v>
      </x:c>
      <x:c r="P36" t="str">
        <x:v>VISA Debitkartenumsatz vom 06.05.2026</x:v>
      </x:c>
      <x:c r="Q36" t="str">
        <x:v>Ausgang</x:v>
      </x:c>
      <x:c r="R36" t="str">
        <x:v>DE96120300009005290904</x:v>
      </x:c>
      <x:c r="S36" t="n">
        <x:v>-17.18</x:v>
      </x:c>
      <x:c r="T36" t="str">
        <x:v>"</x:v>
      </x:c>
      <x:c r="U36" t="str">
        <x:v>"</x:v>
      </x:c>
      <x:c r="V36" t="str">
        <x:v>486126382801085</x:v>
      </x:c>
    </x:row>
    <x:row r="37">
      <x:c r="A37" t="str">
        <x:v>RAW-IMP-20260516-FULLDRAFT-000020</x:v>
      </x:c>
      <x:c r="B37" t="str">
        <x:v>IMP-20260516-FULLDRAFT</x:v>
      </x:c>
      <x:c r="C37" t="str">
        <x:v>KTO001</x:v>
      </x:c>
      <x:c r="D37" t="str">
        <x:v>16-05-2026_Umsatzliste_Girokonto_DE98120300001061711675.csv</x:v>
      </x:c>
      <x:c r="E37" t="n">
        <x:v>46163</x:v>
      </x:c>
      <x:c r="F37" t="n">
        <x:v>20</x:v>
      </x:c>
      <x:c r="G37" t="str">
        <x:v>0279a5b84e8cb96a4b25c5c87bf4aacc92e0b61937d2b11dc4183b78ec6fcf1c</x:v>
      </x:c>
      <x:c r="H37" t="str">
        <x:v>neu</x:v>
      </x:c>
      <x:c r="I37" t="str">
        <x:v>ok</x:v>
      </x:c>
      <x:c r="J37"/>
      <x:c r="K37" t="n">
        <x:v>46148</x:v>
      </x:c>
      <x:c r="L37" t="n">
        <x:v>46148</x:v>
      </x:c>
      <x:c r="M37" t="str">
        <x:v>Gebucht</x:v>
      </x:c>
      <x:c r="N37" t="str">
        <x:v>VHV Allg. Versicherung AG</x:v>
      </x:c>
      <x:c r="O37" t="str">
        <x:v>Lars Kohlenberg</x:v>
      </x:c>
      <x:c r="P37" t="str">
        <x:v>Police K 809-411325/0002 44240156457</x:v>
      </x:c>
      <x:c r="Q37" t="str">
        <x:v>Eingang</x:v>
      </x:c>
      <x:c r="R37" t="str">
        <x:v>DE65250500000101411551</x:v>
      </x:c>
      <x:c r="S37" t="n">
        <x:v>12.06</x:v>
      </x:c>
      <x:c r="T37" t="str">
        <x:v>"</x:v>
      </x:c>
      <x:c r="U37" t="str">
        <x:v>"</x:v>
      </x:c>
      <x:c r="V37" t="str">
        <x:v>44240156457</x:v>
      </x:c>
    </x:row>
    <x:row r="38">
      <x:c r="A38" t="str">
        <x:v>RAW-IMP-20260516-FULLDRAFT-000021</x:v>
      </x:c>
      <x:c r="B38" t="str">
        <x:v>IMP-20260516-FULLDRAFT</x:v>
      </x:c>
      <x:c r="C38" t="str">
        <x:v>KTO001</x:v>
      </x:c>
      <x:c r="D38" t="str">
        <x:v>16-05-2026_Umsatzliste_Girokonto_DE98120300001061711675.csv</x:v>
      </x:c>
      <x:c r="E38" t="n">
        <x:v>46163</x:v>
      </x:c>
      <x:c r="F38" t="n">
        <x:v>21</x:v>
      </x:c>
      <x:c r="G38" t="str">
        <x:v>f85a7913a84d2c805a0c12b3c245a406dac42a74ed772ee271fada92910c79fb</x:v>
      </x:c>
      <x:c r="H38" t="str">
        <x:v>neu</x:v>
      </x:c>
      <x:c r="I38" t="str">
        <x:v>ok</x:v>
      </x:c>
      <x:c r="J38"/>
      <x:c r="K38" t="n">
        <x:v>46148</x:v>
      </x:c>
      <x:c r="L38" t="n">
        <x:v>46148</x:v>
      </x:c>
      <x:c r="M38" t="str">
        <x:v>Gebucht</x:v>
      </x:c>
      <x:c r="N38" t="str">
        <x:v>ISSUER</x:v>
      </x:c>
      <x:c r="O38" t="str">
        <x:v>Deutsche.Post.AG/Salzgitter</x:v>
      </x:c>
      <x:c r="P38" t="str">
        <x:v>VISA Debitkartenumsatz vom 05.05.2026</x:v>
      </x:c>
      <x:c r="Q38" t="str">
        <x:v>Ausgang</x:v>
      </x:c>
      <x:c r="R38" t="str">
        <x:v>DE96120300009005290904</x:v>
      </x:c>
      <x:c r="S38" t="n">
        <x:v>-1.9</x:v>
      </x:c>
      <x:c r="T38" t="str">
        <x:v>"</x:v>
      </x:c>
      <x:c r="U38" t="str">
        <x:v>"</x:v>
      </x:c>
      <x:c r="V38" t="str">
        <x:v>486125347872614</x:v>
      </x:c>
    </x:row>
    <x:row r="39">
      <x:c r="A39" t="str">
        <x:v>RAW-IMP-20260516-FULLDRAFT-000022</x:v>
      </x:c>
      <x:c r="B39" t="str">
        <x:v>IMP-20260516-FULLDRAFT</x:v>
      </x:c>
      <x:c r="C39" t="str">
        <x:v>KTO001</x:v>
      </x:c>
      <x:c r="D39" t="str">
        <x:v>16-05-2026_Umsatzliste_Girokonto_DE98120300001061711675.csv</x:v>
      </x:c>
      <x:c r="E39" t="n">
        <x:v>46163</x:v>
      </x:c>
      <x:c r="F39" t="n">
        <x:v>22</x:v>
      </x:c>
      <x:c r="G39" t="str">
        <x:v>d64de3cde1b834ed20a6ffd17dd19f58b2710531033f878cd0de8c2b9c8fc003</x:v>
      </x:c>
      <x:c r="H39" t="str">
        <x:v>neu</x:v>
      </x:c>
      <x:c r="I39" t="str">
        <x:v>ok</x:v>
      </x:c>
      <x:c r="J39"/>
      <x:c r="K39" t="n">
        <x:v>46148</x:v>
      </x:c>
      <x:c r="L39" t="n">
        <x:v>46148</x:v>
      </x:c>
      <x:c r="M39" t="str">
        <x:v>Gebucht</x:v>
      </x:c>
      <x:c r="N39" t="str">
        <x:v>ISSUER</x:v>
      </x:c>
      <x:c r="O39" t="str">
        <x:v>REWE.Salzgitter.Ge/Salzgitter</x:v>
      </x:c>
      <x:c r="P39" t="str">
        <x:v>VISA Debitkartenumsatz vom 05.05.2026</x:v>
      </x:c>
      <x:c r="Q39" t="str">
        <x:v>Ausgang</x:v>
      </x:c>
      <x:c r="R39" t="str">
        <x:v>DE96120300009005290904</x:v>
      </x:c>
      <x:c r="S39" t="n">
        <x:v>-7.2</x:v>
      </x:c>
      <x:c r="T39" t="str">
        <x:v>"</x:v>
      </x:c>
      <x:c r="U39" t="str">
        <x:v>"</x:v>
      </x:c>
      <x:c r="V39" t="str">
        <x:v>486125354474098</x:v>
      </x:c>
    </x:row>
    <x:row r="40">
      <x:c r="A40" t="str">
        <x:v>RAW-IMP-20260516-FULLDRAFT-000023</x:v>
      </x:c>
      <x:c r="B40" t="str">
        <x:v>IMP-20260516-FULLDRAFT</x:v>
      </x:c>
      <x:c r="C40" t="str">
        <x:v>KTO001</x:v>
      </x:c>
      <x:c r="D40" t="str">
        <x:v>16-05-2026_Umsatzliste_Girokonto_DE98120300001061711675.csv</x:v>
      </x:c>
      <x:c r="E40" t="n">
        <x:v>46163</x:v>
      </x:c>
      <x:c r="F40" t="n">
        <x:v>23</x:v>
      </x:c>
      <x:c r="G40" t="str">
        <x:v>01d0068979d3b8998caeadf12dfa735461cb6ffa87892aada80c2828c1b199ad</x:v>
      </x:c>
      <x:c r="H40" t="str">
        <x:v>neu</x:v>
      </x:c>
      <x:c r="I40" t="str">
        <x:v>ok</x:v>
      </x:c>
      <x:c r="J40"/>
      <x:c r="K40" t="n">
        <x:v>46148</x:v>
      </x:c>
      <x:c r="L40" t="n">
        <x:v>46148</x:v>
      </x:c>
      <x:c r="M40" t="str">
        <x:v>Gebucht</x:v>
      </x:c>
      <x:c r="N40" t="str">
        <x:v>Lars Kohlenberg                                                       Johannes-Wosnitza-Str. 8 38229 Salzgitter</x:v>
      </x:c>
      <x:c r="O40" t="str">
        <x:v>Telekom Deutschland GmbH</x:v>
      </x:c>
      <x:c r="P40" t="str">
        <x:v>Festnetz Vertragskonto 4763666565 RG 7273784183/24.04.2026</x:v>
      </x:c>
      <x:c r="Q40" t="str">
        <x:v>Ausgang</x:v>
      </x:c>
      <x:c r="R40" t="str">
        <x:v>DE07512108001095000911</x:v>
      </x:c>
      <x:c r="S40" t="n">
        <x:v>-65.93</x:v>
      </x:c>
      <x:c r="T40" t="str">
        <x:v>DE93ZZZ00000078611</x:v>
      </x:c>
      <x:c r="U40" t="str">
        <x:v>DE000201000200000000000000012966156</x:v>
      </x:c>
      <x:c r="V40" t="str">
        <x:v>Zahlbeleg 332722498721</x:v>
      </x:c>
    </x:row>
    <x:row r="41">
      <x:c r="A41" t="str">
        <x:v>RAW-IMP-20260516-FULLDRAFT-000024</x:v>
      </x:c>
      <x:c r="B41" t="str">
        <x:v>IMP-20260516-FULLDRAFT</x:v>
      </x:c>
      <x:c r="C41" t="str">
        <x:v>KTO001</x:v>
      </x:c>
      <x:c r="D41" t="str">
        <x:v>16-05-2026_Umsatzliste_Girokonto_DE98120300001061711675.csv</x:v>
      </x:c>
      <x:c r="E41" t="n">
        <x:v>46163</x:v>
      </x:c>
      <x:c r="F41" t="n">
        <x:v>24</x:v>
      </x:c>
      <x:c r="G41" t="str">
        <x:v>cc2a41dd328160b5f2caeb7042785a8a187e4adcd467aa769a39340420084a38</x:v>
      </x:c>
      <x:c r="H41" t="str">
        <x:v>neu</x:v>
      </x:c>
      <x:c r="I41" t="str">
        <x:v>ok</x:v>
      </x:c>
      <x:c r="J41"/>
      <x:c r="K41" t="n">
        <x:v>46147</x:v>
      </x:c>
      <x:c r="L41" t="n">
        <x:v>46147</x:v>
      </x:c>
      <x:c r="M41" t="str">
        <x:v>Gebucht</x:v>
      </x:c>
      <x:c r="N41" t="str">
        <x:v>ISSUER</x:v>
      </x:c>
      <x:c r="O41" t="str">
        <x:v>PAYPAL..VRB/1743473445</x:v>
      </x:c>
      <x:c r="P41" t="str">
        <x:v>VISA Debitkartenumsatz vom 04.05.2026</x:v>
      </x:c>
      <x:c r="Q41" t="str">
        <x:v>Ausgang</x:v>
      </x:c>
      <x:c r="R41" t="str">
        <x:v>DE96120300009005290904</x:v>
      </x:c>
      <x:c r="S41" t="n">
        <x:v>-30</x:v>
      </x:c>
      <x:c r="T41" t="str">
        <x:v>"</x:v>
      </x:c>
      <x:c r="U41" t="str">
        <x:v>"</x:v>
      </x:c>
      <x:c r="V41" t="str">
        <x:v>466124686531668</x:v>
      </x:c>
    </x:row>
    <x:row r="42">
      <x:c r="A42" t="str">
        <x:v>RAW-IMP-20260516-FULLDRAFT-000025</x:v>
      </x:c>
      <x:c r="B42" t="str">
        <x:v>IMP-20260516-FULLDRAFT</x:v>
      </x:c>
      <x:c r="C42" t="str">
        <x:v>KTO001</x:v>
      </x:c>
      <x:c r="D42" t="str">
        <x:v>16-05-2026_Umsatzliste_Girokonto_DE98120300001061711675.csv</x:v>
      </x:c>
      <x:c r="E42" t="n">
        <x:v>46163</x:v>
      </x:c>
      <x:c r="F42" t="n">
        <x:v>25</x:v>
      </x:c>
      <x:c r="G42" t="str">
        <x:v>85079ae6a5180c4e4839a8b715455d5a0b6370492dbea16f31f84fe0365cb1e2</x:v>
      </x:c>
      <x:c r="H42" t="str">
        <x:v>neu</x:v>
      </x:c>
      <x:c r="I42" t="str">
        <x:v>ok</x:v>
      </x:c>
      <x:c r="J42"/>
      <x:c r="K42" t="n">
        <x:v>46147</x:v>
      </x:c>
      <x:c r="L42" t="n">
        <x:v>46147</x:v>
      </x:c>
      <x:c r="M42" t="str">
        <x:v>Gebucht</x:v>
      </x:c>
      <x:c r="N42" t="str">
        <x:v>Lars Kohlenberg</x:v>
      </x:c>
      <x:c r="O42" t="str">
        <x:v>Lars Kohlenberg</x:v>
      </x:c>
      <x:c r="P42" t="str">
        <x:v>Sparplan</x:v>
      </x:c>
      <x:c r="Q42" t="str">
        <x:v>Ausgang</x:v>
      </x:c>
      <x:c r="R42" t="str">
        <x:v>DE83100123458554221911</x:v>
      </x:c>
      <x:c r="S42" t="n">
        <x:v>-5000</x:v>
      </x:c>
      <x:c r="T42" t="str">
        <x:v>"</x:v>
      </x:c>
      <x:c r="U42" t="str">
        <x:v>"</x:v>
      </x:c>
      <x:c r="V42" t="str">
        <x:v>"</x:v>
      </x:c>
    </x:row>
    <x:row r="43">
      <x:c r="A43" t="str">
        <x:v>RAW-IMP-20260516-FULLDRAFT-000026</x:v>
      </x:c>
      <x:c r="B43" t="str">
        <x:v>IMP-20260516-FULLDRAFT</x:v>
      </x:c>
      <x:c r="C43" t="str">
        <x:v>KTO001</x:v>
      </x:c>
      <x:c r="D43" t="str">
        <x:v>16-05-2026_Umsatzliste_Girokonto_DE98120300001061711675.csv</x:v>
      </x:c>
      <x:c r="E43" t="n">
        <x:v>46163</x:v>
      </x:c>
      <x:c r="F43" t="n">
        <x:v>26</x:v>
      </x:c>
      <x:c r="G43" t="str">
        <x:v>bcb45b53e560773b928db0dce0d99894ae9a7be5bb9c8788d5fef9cedb911acf</x:v>
      </x:c>
      <x:c r="H43" t="str">
        <x:v>neu</x:v>
      </x:c>
      <x:c r="I43" t="str">
        <x:v>ok</x:v>
      </x:c>
      <x:c r="J43"/>
      <x:c r="K43" t="n">
        <x:v>46147</x:v>
      </x:c>
      <x:c r="L43" t="n">
        <x:v>46147</x:v>
      </x:c>
      <x:c r="M43" t="str">
        <x:v>Gebucht</x:v>
      </x:c>
      <x:c r="N43" t="str">
        <x:v>Lars Kohlenberg</x:v>
      </x:c>
      <x:c r="O43" t="str">
        <x:v>Brüggehagen Arbeitsrecht</x:v>
      </x:c>
      <x:c r="P43" t="str">
        <x:v>Re Nr. 2600520, 166/26PP Kohlenberg./.Caritas</x:v>
      </x:c>
      <x:c r="Q43" t="str">
        <x:v>Ausgang</x:v>
      </x:c>
      <x:c r="R43" t="str">
        <x:v>DE11250501800000074690</x:v>
      </x:c>
      <x:c r="S43" t="n">
        <x:v>-249.9</x:v>
      </x:c>
      <x:c r="T43" t="str">
        <x:v>"</x:v>
      </x:c>
      <x:c r="U43" t="str">
        <x:v>"</x:v>
      </x:c>
      <x:c r="V43" t="str">
        <x:v>"</x:v>
      </x:c>
    </x:row>
    <x:row r="44">
      <x:c r="A44" t="str">
        <x:v>RAW-IMP-20260516-FULLDRAFT-000027</x:v>
      </x:c>
      <x:c r="B44" t="str">
        <x:v>IMP-20260516-FULLDRAFT</x:v>
      </x:c>
      <x:c r="C44" t="str">
        <x:v>KTO001</x:v>
      </x:c>
      <x:c r="D44" t="str">
        <x:v>16-05-2026_Umsatzliste_Girokonto_DE98120300001061711675.csv</x:v>
      </x:c>
      <x:c r="E44" t="n">
        <x:v>46163</x:v>
      </x:c>
      <x:c r="F44" t="n">
        <x:v>27</x:v>
      </x:c>
      <x:c r="G44" t="str">
        <x:v>7315a46ffbd161bc45377c5c0e5b96d631a7773ac5d46378338f3bf4123d712b</x:v>
      </x:c>
      <x:c r="H44" t="str">
        <x:v>neu</x:v>
      </x:c>
      <x:c r="I44" t="str">
        <x:v>ok</x:v>
      </x:c>
      <x:c r="J44"/>
      <x:c r="K44" t="n">
        <x:v>46147</x:v>
      </x:c>
      <x:c r="L44" t="n">
        <x:v>46147</x:v>
      </x:c>
      <x:c r="M44" t="str">
        <x:v>Gebucht</x:v>
      </x:c>
      <x:c r="N44" t="str">
        <x:v>ISSUER</x:v>
      </x:c>
      <x:c r="O44" t="str">
        <x:v>Amazon.de.N66DJ80T4/AMAZON.DE</x:v>
      </x:c>
      <x:c r="P44" t="str">
        <x:v>VISA Debitkartenumsatz vom 04.05.2026</x:v>
      </x:c>
      <x:c r="Q44" t="str">
        <x:v>Ausgang</x:v>
      </x:c>
      <x:c r="R44" t="str">
        <x:v>DE96120300009005290904</x:v>
      </x:c>
      <x:c r="S44" t="n">
        <x:v>-4.79</x:v>
      </x:c>
      <x:c r="T44" t="str">
        <x:v>"</x:v>
      </x:c>
      <x:c r="U44" t="str">
        <x:v>"</x:v>
      </x:c>
      <x:c r="V44" t="str">
        <x:v>486122460798889</x:v>
      </x:c>
    </x:row>
    <x:row r="45">
      <x:c r="A45" t="str">
        <x:v>RAW-IMP-20260516-FULLDRAFT-000028</x:v>
      </x:c>
      <x:c r="B45" t="str">
        <x:v>IMP-20260516-FULLDRAFT</x:v>
      </x:c>
      <x:c r="C45" t="str">
        <x:v>KTO001</x:v>
      </x:c>
      <x:c r="D45" t="str">
        <x:v>16-05-2026_Umsatzliste_Girokonto_DE98120300001061711675.csv</x:v>
      </x:c>
      <x:c r="E45" t="n">
        <x:v>46163</x:v>
      </x:c>
      <x:c r="F45" t="n">
        <x:v>28</x:v>
      </x:c>
      <x:c r="G45" t="str">
        <x:v>bc7bf0437669b9df3e103936d41fcf8902ca7457b955aa95ec5c4158991f74df</x:v>
      </x:c>
      <x:c r="H45" t="str">
        <x:v>neu</x:v>
      </x:c>
      <x:c r="I45" t="str">
        <x:v>ok</x:v>
      </x:c>
      <x:c r="J45"/>
      <x:c r="K45" t="n">
        <x:v>46147</x:v>
      </x:c>
      <x:c r="L45" t="n">
        <x:v>46147</x:v>
      </x:c>
      <x:c r="M45" t="str">
        <x:v>Gebucht</x:v>
      </x:c>
      <x:c r="N45" t="str">
        <x:v>Jan Niklas Kohlenberg</x:v>
      </x:c>
      <x:c r="O45" t="str">
        <x:v>Jan Niklas Kohlenberg</x:v>
      </x:c>
      <x:c r="P45" t="str">
        <x:v>Neues Fahrad und Zubehoer</x:v>
      </x:c>
      <x:c r="Q45" t="str">
        <x:v>Eingang</x:v>
      </x:c>
      <x:c r="R45" t="str">
        <x:v>DE43270200001527701534</x:v>
      </x:c>
      <x:c r="S45" t="n">
        <x:v>983.84</x:v>
      </x:c>
      <x:c r="T45" t="str">
        <x:v>"</x:v>
      </x:c>
      <x:c r="U45" t="str">
        <x:v>"</x:v>
      </x:c>
      <x:c r="V45" t="str">
        <x:v>"</x:v>
      </x:c>
    </x:row>
    <x:row r="46">
      <x:c r="A46" t="str">
        <x:v>RAW-IMP-20260516-FULLDRAFT-000029</x:v>
      </x:c>
      <x:c r="B46" t="str">
        <x:v>IMP-20260516-FULLDRAFT</x:v>
      </x:c>
      <x:c r="C46" t="str">
        <x:v>KTO001</x:v>
      </x:c>
      <x:c r="D46" t="str">
        <x:v>16-05-2026_Umsatzliste_Girokonto_DE98120300001061711675.csv</x:v>
      </x:c>
      <x:c r="E46" t="n">
        <x:v>46163</x:v>
      </x:c>
      <x:c r="F46" t="n">
        <x:v>29</x:v>
      </x:c>
      <x:c r="G46" t="str">
        <x:v>b3c474a18d1f9645dcffeada86fa5391c5f5fdffe6675b035769be7ebbbee688</x:v>
      </x:c>
      <x:c r="H46" t="str">
        <x:v>neu</x:v>
      </x:c>
      <x:c r="I46" t="str">
        <x:v>ok</x:v>
      </x:c>
      <x:c r="J46"/>
      <x:c r="K46" t="n">
        <x:v>46147</x:v>
      </x:c>
      <x:c r="L46" t="n">
        <x:v>46147</x:v>
      </x:c>
      <x:c r="M46" t="str">
        <x:v>Gebucht</x:v>
      </x:c>
      <x:c r="N46" t="str">
        <x:v>Lars Kohlenberg</x:v>
      </x:c>
      <x:c r="O46" t="str">
        <x:v>Lars Kohlenberg</x:v>
      </x:c>
      <x:c r="P46" t="str">
        <x:v>UEbertrag TR</x:v>
      </x:c>
      <x:c r="Q46" t="str">
        <x:v>Eingang</x:v>
      </x:c>
      <x:c r="R46" t="str">
        <x:v>DE91270200001510365800</x:v>
      </x:c>
      <x:c r="S46" t="n">
        <x:v>5000</x:v>
      </x:c>
      <x:c r="T46" t="str">
        <x:v>"</x:v>
      </x:c>
      <x:c r="U46" t="str">
        <x:v>"</x:v>
      </x:c>
      <x:c r="V46" t="str">
        <x:v>"</x:v>
      </x:c>
    </x:row>
    <x:row r="47">
      <x:c r="A47" t="str">
        <x:v>RAW-IMP-20260516-FULLDRAFT-000030</x:v>
      </x:c>
      <x:c r="B47" t="str">
        <x:v>IMP-20260516-FULLDRAFT</x:v>
      </x:c>
      <x:c r="C47" t="str">
        <x:v>KTO001</x:v>
      </x:c>
      <x:c r="D47" t="str">
        <x:v>16-05-2026_Umsatzliste_Girokonto_DE98120300001061711675.csv</x:v>
      </x:c>
      <x:c r="E47" t="n">
        <x:v>46163</x:v>
      </x:c>
      <x:c r="F47" t="n">
        <x:v>30</x:v>
      </x:c>
      <x:c r="G47" t="str">
        <x:v>3303f2c7ded0c15bf6eb698378540ae4bf31abb0677eafdb24f4dd1fbe21bc05</x:v>
      </x:c>
      <x:c r="H47" t="str">
        <x:v>neu</x:v>
      </x:c>
      <x:c r="I47" t="str">
        <x:v>ok</x:v>
      </x:c>
      <x:c r="J47"/>
      <x:c r="K47" t="n">
        <x:v>46147</x:v>
      </x:c>
      <x:c r="L47" t="n">
        <x:v>46147</x:v>
      </x:c>
      <x:c r="M47" t="str">
        <x:v>Gebucht</x:v>
      </x:c>
      <x:c r="N47" t="str">
        <x:v>Lars Kohlenberg</x:v>
      </x:c>
      <x:c r="O47" t="str">
        <x:v>VHV Allg. Versicherung AG</x:v>
      </x:c>
      <x:c r="P47" t="str">
        <x:v>VHV Versicherung UNFALLVERSICHERUNG U 013-072445/0000 Abrechnung: 01.05.26 - 01.06.26</x:v>
      </x:c>
      <x:c r="Q47" t="str">
        <x:v>Ausgang</x:v>
      </x:c>
      <x:c r="R47" t="str">
        <x:v>DE65250500000101411551</x:v>
      </x:c>
      <x:c r="S47" t="n">
        <x:v>-11.96</x:v>
      </x:c>
      <x:c r="T47" t="str">
        <x:v>DE32VHV00000150810</x:v>
      </x:c>
      <x:c r="U47" t="str">
        <x:v>0015012300010039</x:v>
      </x:c>
      <x:c r="V47" t="str">
        <x:v>31153843546</x:v>
      </x:c>
    </x:row>
    <x:row r="48">
      <x:c r="A48" t="str">
        <x:v>RAW-IMP-20260516-FULLDRAFT-000031</x:v>
      </x:c>
      <x:c r="B48" t="str">
        <x:v>IMP-20260516-FULLDRAFT</x:v>
      </x:c>
      <x:c r="C48" t="str">
        <x:v>KTO001</x:v>
      </x:c>
      <x:c r="D48" t="str">
        <x:v>16-05-2026_Umsatzliste_Girokonto_DE98120300001061711675.csv</x:v>
      </x:c>
      <x:c r="E48" t="n">
        <x:v>46163</x:v>
      </x:c>
      <x:c r="F48" t="n">
        <x:v>31</x:v>
      </x:c>
      <x:c r="G48" t="str">
        <x:v>10b32e7f76b5410c21aab4be34ea21d3608cce3b57ab6eecb2c61428bfd275a9</x:v>
      </x:c>
      <x:c r="H48" t="str">
        <x:v>neu</x:v>
      </x:c>
      <x:c r="I48" t="str">
        <x:v>ok</x:v>
      </x:c>
      <x:c r="J48"/>
      <x:c r="K48" t="n">
        <x:v>46147</x:v>
      </x:c>
      <x:c r="L48" t="n">
        <x:v>46147</x:v>
      </x:c>
      <x:c r="M48" t="str">
        <x:v>Gebucht</x:v>
      </x:c>
      <x:c r="N48" t="str">
        <x:v>Lars Kohlenberg                                                       Johannes-Wosnitza-Str., 8</x:v>
      </x:c>
      <x:c r="O48" t="str">
        <x:v>FUNKE Medien Niedersachsen GmbH                                       Hintern Bruedern 23</x:v>
      </x:c>
      <x:c r="P48" t="str">
        <x:v>SZ/00001050/VA/01.05.26-31.05.26/Rg-Nr.:6317100165/Kd-Nr:0053112791</x:v>
      </x:c>
      <x:c r="Q48" t="str">
        <x:v>Ausgang</x:v>
      </x:c>
      <x:c r="R48" t="str">
        <x:v>DE67250500000000146910</x:v>
      </x:c>
      <x:c r="S48" t="n">
        <x:v>-60.5</x:v>
      </x:c>
      <x:c r="T48" t="str">
        <x:v>DE8850000000483288</x:v>
      </x:c>
      <x:c r="U48" t="str">
        <x:v>0053112791-0500-01300001</x:v>
      </x:c>
      <x:c r="V48" t="str">
        <x:v>034007792599</x:v>
      </x:c>
    </x:row>
    <x:row r="49">
      <x:c r="A49" t="str">
        <x:v>RAW-IMP-20260516-FULLDRAFT-000032</x:v>
      </x:c>
      <x:c r="B49" t="str">
        <x:v>IMP-20260516-FULLDRAFT</x:v>
      </x:c>
      <x:c r="C49" t="str">
        <x:v>KTO001</x:v>
      </x:c>
      <x:c r="D49" t="str">
        <x:v>16-05-2026_Umsatzliste_Girokonto_DE98120300001061711675.csv</x:v>
      </x:c>
      <x:c r="E49" t="n">
        <x:v>46163</x:v>
      </x:c>
      <x:c r="F49" t="n">
        <x:v>32</x:v>
      </x:c>
      <x:c r="G49" t="str">
        <x:v>1d3d83335c93bce64a01cc9f96dfee63d7d46bdda03c9d190666f850fa49a39b</x:v>
      </x:c>
      <x:c r="H49" t="str">
        <x:v>neu</x:v>
      </x:c>
      <x:c r="I49" t="str">
        <x:v>ok</x:v>
      </x:c>
      <x:c r="J49"/>
      <x:c r="K49" t="n">
        <x:v>46147</x:v>
      </x:c>
      <x:c r="L49" t="n">
        <x:v>46147</x:v>
      </x:c>
      <x:c r="M49" t="str">
        <x:v>Gebucht</x:v>
      </x:c>
      <x:c r="N49" t="str">
        <x:v>KOHLENBERG, LARS</x:v>
      </x:c>
      <x:c r="O49" t="str">
        <x:v>VPV-LEBENSVERSICHERUNGS-AG</x:v>
      </x:c>
      <x:c r="P49" t="str">
        <x:v>VNR 301667726</x:v>
      </x:c>
      <x:c r="Q49" t="str">
        <x:v>Ausgang</x:v>
      </x:c>
      <x:c r="R49" t="str">
        <x:v>DE78600501010001166338</x:v>
      </x:c>
      <x:c r="S49" t="n">
        <x:v>-56.83</x:v>
      </x:c>
      <x:c r="T49" t="str">
        <x:v>DE96LAG00000064686</x:v>
      </x:c>
      <x:c r="U49" t="str">
        <x:v>ML700120510</x:v>
      </x:c>
      <x:c r="V49" t="str">
        <x:v>260504 471148529 ML700120510</x:v>
      </x:c>
    </x:row>
    <x:row r="50">
      <x:c r="A50" t="str">
        <x:v>RAW-IMP-20260516-FULLDRAFT-000033</x:v>
      </x:c>
      <x:c r="B50" t="str">
        <x:v>IMP-20260516-FULLDRAFT</x:v>
      </x:c>
      <x:c r="C50" t="str">
        <x:v>KTO001</x:v>
      </x:c>
      <x:c r="D50" t="str">
        <x:v>16-05-2026_Umsatzliste_Girokonto_DE98120300001061711675.csv</x:v>
      </x:c>
      <x:c r="E50" t="n">
        <x:v>46163</x:v>
      </x:c>
      <x:c r="F50" t="n">
        <x:v>33</x:v>
      </x:c>
      <x:c r="G50" t="str">
        <x:v>024038e0f1a7b221db73050a38727c6a089d703eb8a3060b3f259d0e1f3d0d96</x:v>
      </x:c>
      <x:c r="H50" t="str">
        <x:v>neu</x:v>
      </x:c>
      <x:c r="I50" t="str">
        <x:v>ok</x:v>
      </x:c>
      <x:c r="J50"/>
      <x:c r="K50" t="n">
        <x:v>46146</x:v>
      </x:c>
      <x:c r="L50" t="n">
        <x:v>46146</x:v>
      </x:c>
      <x:c r="M50" t="str">
        <x:v>Gebucht</x:v>
      </x:c>
      <x:c r="N50" t="str">
        <x:v>Lars Kohlenberg</x:v>
      </x:c>
      <x:c r="O50" t="str">
        <x:v>Lars Kohlenberg</x:v>
      </x:c>
      <x:c r="P50" t="str">
        <x:v>Initialüberweisung</x:v>
      </x:c>
      <x:c r="Q50" t="str">
        <x:v>Ausgang</x:v>
      </x:c>
      <x:c r="R50" t="str">
        <x:v>DE83100123458554221911</x:v>
      </x:c>
      <x:c r="S50" t="n">
        <x:v>-1</x:v>
      </x:c>
      <x:c r="T50" t="str">
        <x:v>"</x:v>
      </x:c>
      <x:c r="U50" t="str">
        <x:v>"</x:v>
      </x:c>
      <x:c r="V50" t="str">
        <x:v>"</x:v>
      </x:c>
    </x:row>
    <x:row r="51">
      <x:c r="A51" t="str">
        <x:v>RAW-IMP-20260516-FULLDRAFT-000034</x:v>
      </x:c>
      <x:c r="B51" t="str">
        <x:v>IMP-20260516-FULLDRAFT</x:v>
      </x:c>
      <x:c r="C51" t="str">
        <x:v>KTO001</x:v>
      </x:c>
      <x:c r="D51" t="str">
        <x:v>16-05-2026_Umsatzliste_Girokonto_DE98120300001061711675.csv</x:v>
      </x:c>
      <x:c r="E51" t="n">
        <x:v>46163</x:v>
      </x:c>
      <x:c r="F51" t="n">
        <x:v>34</x:v>
      </x:c>
      <x:c r="G51" t="str">
        <x:v>9952235a56333a48602467133c9995635ba6a4d54280af251dbc860e10dd8f19</x:v>
      </x:c>
      <x:c r="H51" t="str">
        <x:v>neu</x:v>
      </x:c>
      <x:c r="I51" t="str">
        <x:v>ok</x:v>
      </x:c>
      <x:c r="J51"/>
      <x:c r="K51" t="n">
        <x:v>46146</x:v>
      </x:c>
      <x:c r="L51" t="n">
        <x:v>46146</x:v>
      </x:c>
      <x:c r="M51" t="str">
        <x:v>Gebucht</x:v>
      </x:c>
      <x:c r="N51" t="str">
        <x:v>ISSUER</x:v>
      </x:c>
      <x:c r="O51" t="str">
        <x:v>V...S.Bike.GmbH/Goslar</x:v>
      </x:c>
      <x:c r="P51" t="str">
        <x:v>VISA Debitkartenumsatz vom 02.05.2026</x:v>
      </x:c>
      <x:c r="Q51" t="str">
        <x:v>Ausgang</x:v>
      </x:c>
      <x:c r="R51" t="str">
        <x:v>DE96120300009005290904</x:v>
      </x:c>
      <x:c r="S51" t="n">
        <x:v>-983.84</x:v>
      </x:c>
      <x:c r="T51" t="str">
        <x:v>"</x:v>
      </x:c>
      <x:c r="U51" t="str">
        <x:v>"</x:v>
      </x:c>
      <x:c r="V51" t="str">
        <x:v>486122414890673</x:v>
      </x:c>
    </x:row>
    <x:row r="52">
      <x:c r="A52" t="str">
        <x:v>RAW-IMP-20260516-FULLDRAFT-000035</x:v>
      </x:c>
      <x:c r="B52" t="str">
        <x:v>IMP-20260516-FULLDRAFT</x:v>
      </x:c>
      <x:c r="C52" t="str">
        <x:v>KTO001</x:v>
      </x:c>
      <x:c r="D52" t="str">
        <x:v>16-05-2026_Umsatzliste_Girokonto_DE98120300001061711675.csv</x:v>
      </x:c>
      <x:c r="E52" t="n">
        <x:v>46163</x:v>
      </x:c>
      <x:c r="F52" t="n">
        <x:v>35</x:v>
      </x:c>
      <x:c r="G52" t="str">
        <x:v>a81d27fc50920db937e30a6ef978d58a33b8b193a3c9cc71bfe8e25e33aa4b5f</x:v>
      </x:c>
      <x:c r="H52" t="str">
        <x:v>neu</x:v>
      </x:c>
      <x:c r="I52" t="str">
        <x:v>ok</x:v>
      </x:c>
      <x:c r="J52"/>
      <x:c r="K52" t="n">
        <x:v>46146</x:v>
      </x:c>
      <x:c r="L52" t="n">
        <x:v>46146</x:v>
      </x:c>
      <x:c r="M52" t="str">
        <x:v>Gebucht</x:v>
      </x:c>
      <x:c r="N52" t="str">
        <x:v>WILLI KOHLENBERG</x:v>
      </x:c>
      <x:c r="O52" t="str">
        <x:v>LARS KOHLENBERG</x:v>
      </x:c>
      <x:c r="P52" t="str">
        <x:v>MIETE 2/3 HAUS</x:v>
      </x:c>
      <x:c r="Q52" t="str">
        <x:v>Eingang</x:v>
      </x:c>
      <x:c r="R52" t="str">
        <x:v>DE84270800600651520400</x:v>
      </x:c>
      <x:c r="S52" t="n">
        <x:v>750</x:v>
      </x:c>
      <x:c r="T52" t="str">
        <x:v>"</x:v>
      </x:c>
      <x:c r="U52" t="str">
        <x:v>"</x:v>
      </x:c>
      <x:c r="V52" t="str">
        <x:v>"</x:v>
      </x:c>
    </x:row>
    <x:row r="53">
      <x:c r="A53" t="str">
        <x:v>RAW-IMP-20260516-FULLDRAFT-000036</x:v>
      </x:c>
      <x:c r="B53" t="str">
        <x:v>IMP-20260516-FULLDRAFT</x:v>
      </x:c>
      <x:c r="C53" t="str">
        <x:v>KTO001</x:v>
      </x:c>
      <x:c r="D53" t="str">
        <x:v>16-05-2026_Umsatzliste_Girokonto_DE98120300001061711675.csv</x:v>
      </x:c>
      <x:c r="E53" t="n">
        <x:v>46163</x:v>
      </x:c>
      <x:c r="F53" t="n">
        <x:v>36</x:v>
      </x:c>
      <x:c r="G53" t="str">
        <x:v>fc2df42c1c75ac96385d84765646bde281b73073feff3c46a181292d75130453</x:v>
      </x:c>
      <x:c r="H53" t="str">
        <x:v>neu</x:v>
      </x:c>
      <x:c r="I53" t="str">
        <x:v>ok</x:v>
      </x:c>
      <x:c r="J53"/>
      <x:c r="K53" t="n">
        <x:v>46146</x:v>
      </x:c>
      <x:c r="L53" t="n">
        <x:v>46146</x:v>
      </x:c>
      <x:c r="M53" t="str">
        <x:v>Gebucht</x:v>
      </x:c>
      <x:c r="N53" t="str">
        <x:v>ISSUER</x:v>
      </x:c>
      <x:c r="O53" t="str">
        <x:v>REWE.Salzgitter.Ge/Salzgitter</x:v>
      </x:c>
      <x:c r="P53" t="str">
        <x:v>VISA Debitkartenumsatz vom 02.05.2026</x:v>
      </x:c>
      <x:c r="Q53" t="str">
        <x:v>Ausgang</x:v>
      </x:c>
      <x:c r="R53" t="str">
        <x:v>DE96120300009005290904</x:v>
      </x:c>
      <x:c r="S53" t="n">
        <x:v>-88.15</x:v>
      </x:c>
      <x:c r="T53" t="str">
        <x:v>"</x:v>
      </x:c>
      <x:c r="U53" t="str">
        <x:v>"</x:v>
      </x:c>
      <x:c r="V53" t="str">
        <x:v>486122584403620</x:v>
      </x:c>
    </x:row>
    <x:row r="54">
      <x:c r="A54" t="str">
        <x:v>RAW-IMP-20260516-FULLDRAFT-000037</x:v>
      </x:c>
      <x:c r="B54" t="str">
        <x:v>IMP-20260516-FULLDRAFT</x:v>
      </x:c>
      <x:c r="C54" t="str">
        <x:v>KTO001</x:v>
      </x:c>
      <x:c r="D54" t="str">
        <x:v>16-05-2026_Umsatzliste_Girokonto_DE98120300001061711675.csv</x:v>
      </x:c>
      <x:c r="E54" t="n">
        <x:v>46163</x:v>
      </x:c>
      <x:c r="F54" t="n">
        <x:v>37</x:v>
      </x:c>
      <x:c r="G54" t="str">
        <x:v>7a36a239fddfe1417b70efc2b7294b818fb6d08b58a54aa0f98177636c98cf36</x:v>
      </x:c>
      <x:c r="H54" t="str">
        <x:v>neu</x:v>
      </x:c>
      <x:c r="I54" t="str">
        <x:v>ok</x:v>
      </x:c>
      <x:c r="J54"/>
      <x:c r="K54" t="n">
        <x:v>46146</x:v>
      </x:c>
      <x:c r="L54" t="n">
        <x:v>46146</x:v>
      </x:c>
      <x:c r="M54" t="str">
        <x:v>Gebucht</x:v>
      </x:c>
      <x:c r="N54" t="str">
        <x:v>ISSUER</x:v>
      </x:c>
      <x:c r="O54" t="str">
        <x:v>Google.CLOUD.JRCBFL/Dublin</x:v>
      </x:c>
      <x:c r="P54" t="str">
        <x:v>VISA Debitkartenumsatz</x:v>
      </x:c>
      <x:c r="Q54" t="str">
        <x:v>Ausgang</x:v>
      </x:c>
      <x:c r="R54" t="str">
        <x:v>DE96120300009005290904</x:v>
      </x:c>
      <x:c r="S54" t="n">
        <x:v>-0.08</x:v>
      </x:c>
      <x:c r="T54" t="str">
        <x:v>"</x:v>
      </x:c>
      <x:c r="U54" t="str">
        <x:v>"</x:v>
      </x:c>
      <x:c r="V54" t="str">
        <x:v>486121679594906</x:v>
      </x:c>
    </x:row>
    <x:row r="55">
      <x:c r="A55" t="str">
        <x:v>RAW-IMP-20260516-FULLDRAFT-000038</x:v>
      </x:c>
      <x:c r="B55" t="str">
        <x:v>IMP-20260516-FULLDRAFT</x:v>
      </x:c>
      <x:c r="C55" t="str">
        <x:v>KTO001</x:v>
      </x:c>
      <x:c r="D55" t="str">
        <x:v>16-05-2026_Umsatzliste_Girokonto_DE98120300001061711675.csv</x:v>
      </x:c>
      <x:c r="E55" t="n">
        <x:v>46163</x:v>
      </x:c>
      <x:c r="F55" t="n">
        <x:v>38</x:v>
      </x:c>
      <x:c r="G55" t="str">
        <x:v>886866de296b404f84ef5ef9d407684fb9c1570ad6f80d1dd168d9b42ada8c35</x:v>
      </x:c>
      <x:c r="H55" t="str">
        <x:v>neu</x:v>
      </x:c>
      <x:c r="I55" t="str">
        <x:v>ok</x:v>
      </x:c>
      <x:c r="J55"/>
      <x:c r="K55" t="n">
        <x:v>46146</x:v>
      </x:c>
      <x:c r="L55" t="n">
        <x:v>46146</x:v>
      </x:c>
      <x:c r="M55" t="str">
        <x:v>Gebucht</x:v>
      </x:c>
      <x:c r="N55" t="str">
        <x:v>ISSUER</x:v>
      </x:c>
      <x:c r="O55" t="str">
        <x:v>AMZN.Mktp.DE.NN3QN1DC4/AMZN.COM.BILL</x:v>
      </x:c>
      <x:c r="P55" t="str">
        <x:v>VISA Debitkartenumsatz vom 30.04.2026</x:v>
      </x:c>
      <x:c r="Q55" t="str">
        <x:v>Ausgang</x:v>
      </x:c>
      <x:c r="R55" t="str">
        <x:v>DE96120300009005290904</x:v>
      </x:c>
      <x:c r="S55" t="n">
        <x:v>-10.99</x:v>
      </x:c>
      <x:c r="T55" t="str">
        <x:v>"</x:v>
      </x:c>
      <x:c r="U55" t="str">
        <x:v>"</x:v>
      </x:c>
      <x:c r="V55" t="str">
        <x:v>486120184081494</x:v>
      </x:c>
    </x:row>
    <x:row r="56">
      <x:c r="A56" t="str">
        <x:v>RAW-IMP-20260516-FULLDRAFT-000039</x:v>
      </x:c>
      <x:c r="B56" t="str">
        <x:v>IMP-20260516-FULLDRAFT</x:v>
      </x:c>
      <x:c r="C56" t="str">
        <x:v>KTO001</x:v>
      </x:c>
      <x:c r="D56" t="str">
        <x:v>16-05-2026_Umsatzliste_Girokonto_DE98120300001061711675.csv</x:v>
      </x:c>
      <x:c r="E56" t="n">
        <x:v>46163</x:v>
      </x:c>
      <x:c r="F56" t="n">
        <x:v>39</x:v>
      </x:c>
      <x:c r="G56" t="str">
        <x:v>bc876e5f4d28b5e35e4ef4fcb3e5a1c337c4ff8666f59b87b5c285eef4de1adf</x:v>
      </x:c>
      <x:c r="H56" t="str">
        <x:v>neu</x:v>
      </x:c>
      <x:c r="I56" t="str">
        <x:v>ok</x:v>
      </x:c>
      <x:c r="J56"/>
      <x:c r="K56" t="n">
        <x:v>46146</x:v>
      </x:c>
      <x:c r="L56" t="n">
        <x:v>46146</x:v>
      </x:c>
      <x:c r="M56" t="str">
        <x:v>Gebucht</x:v>
      </x:c>
      <x:c r="N56" t="str">
        <x:v>ISSUER</x:v>
      </x:c>
      <x:c r="O56" t="str">
        <x:v>REWE.Salzgitter.Ge/Salzgitter</x:v>
      </x:c>
      <x:c r="P56" t="str">
        <x:v>VISA Debitkartenumsatz vom 30.04.2026</x:v>
      </x:c>
      <x:c r="Q56" t="str">
        <x:v>Ausgang</x:v>
      </x:c>
      <x:c r="R56" t="str">
        <x:v>DE96120300009005290904</x:v>
      </x:c>
      <x:c r="S56" t="n">
        <x:v>-8.3</x:v>
      </x:c>
      <x:c r="T56" t="str">
        <x:v>"</x:v>
      </x:c>
      <x:c r="U56" t="str">
        <x:v>"</x:v>
      </x:c>
      <x:c r="V56" t="str">
        <x:v>486120356852021</x:v>
      </x:c>
    </x:row>
    <x:row r="57">
      <x:c r="A57" t="str">
        <x:v>RAW-IMP-20260516-FULLDRAFT-000040</x:v>
      </x:c>
      <x:c r="B57" t="str">
        <x:v>IMP-20260516-FULLDRAFT</x:v>
      </x:c>
      <x:c r="C57" t="str">
        <x:v>KTO001</x:v>
      </x:c>
      <x:c r="D57" t="str">
        <x:v>16-05-2026_Umsatzliste_Girokonto_DE98120300001061711675.csv</x:v>
      </x:c>
      <x:c r="E57" t="n">
        <x:v>46163</x:v>
      </x:c>
      <x:c r="F57" t="n">
        <x:v>40</x:v>
      </x:c>
      <x:c r="G57" t="str">
        <x:v>3a572aa18cef9ee47d8d7676197ca1d562d623e37e61eed7f866b64a151a062c</x:v>
      </x:c>
      <x:c r="H57" t="str">
        <x:v>neu</x:v>
      </x:c>
      <x:c r="I57" t="str">
        <x:v>ok</x:v>
      </x:c>
      <x:c r="J57"/>
      <x:c r="K57" t="n">
        <x:v>46146</x:v>
      </x:c>
      <x:c r="L57" t="n">
        <x:v>46146</x:v>
      </x:c>
      <x:c r="M57" t="str">
        <x:v>Gebucht</x:v>
      </x:c>
      <x:c r="N57" t="str">
        <x:v>ISSUER</x:v>
      </x:c>
      <x:c r="O57" t="str">
        <x:v>Aral.Station.160540142/Salzgitter</x:v>
      </x:c>
      <x:c r="P57" t="str">
        <x:v>VISA Debitkartenumsatz vom 30.04.2026</x:v>
      </x:c>
      <x:c r="Q57" t="str">
        <x:v>Ausgang</x:v>
      </x:c>
      <x:c r="R57" t="str">
        <x:v>DE96120300009005290904</x:v>
      </x:c>
      <x:c r="S57" t="n">
        <x:v>-81.78</x:v>
      </x:c>
      <x:c r="T57" t="str">
        <x:v>"</x:v>
      </x:c>
      <x:c r="U57" t="str">
        <x:v>"</x:v>
      </x:c>
      <x:c r="V57" t="str">
        <x:v>486120336203636</x:v>
      </x:c>
    </x:row>
    <x:row r="58">
      <x:c r="A58" t="str">
        <x:v>RAW-IMP-20260516-FULLDRAFT-000041</x:v>
      </x:c>
      <x:c r="B58" t="str">
        <x:v>IMP-20260516-FULLDRAFT</x:v>
      </x:c>
      <x:c r="C58" t="str">
        <x:v>KTO001</x:v>
      </x:c>
      <x:c r="D58" t="str">
        <x:v>16-05-2026_Umsatzliste_Girokonto_DE98120300001061711675.csv</x:v>
      </x:c>
      <x:c r="E58" t="n">
        <x:v>46163</x:v>
      </x:c>
      <x:c r="F58" t="n">
        <x:v>41</x:v>
      </x:c>
      <x:c r="G58" t="str">
        <x:v>dc1ad96fbced24ac161fa3c6c8ef56d66710407b03f924a59a29707b0a20b345</x:v>
      </x:c>
      <x:c r="H58" t="str">
        <x:v>neu</x:v>
      </x:c>
      <x:c r="I58" t="str">
        <x:v>ok</x:v>
      </x:c>
      <x:c r="J58"/>
      <x:c r="K58" t="n">
        <x:v>46146</x:v>
      </x:c>
      <x:c r="L58" t="n">
        <x:v>46146</x:v>
      </x:c>
      <x:c r="M58" t="str">
        <x:v>Gebucht</x:v>
      </x:c>
      <x:c r="N58" t="str">
        <x:v>Kohlenberg, Lars</x:v>
      </x:c>
      <x:c r="O58" t="str">
        <x:v>IDEAL Lebensversicherung aG</x:v>
      </x:c>
      <x:c r="P58" t="str">
        <x:v>2011216280009 LV 051</x:v>
      </x:c>
      <x:c r="Q58" t="str">
        <x:v>Ausgang</x:v>
      </x:c>
      <x:c r="R58" t="str">
        <x:v>DE36100700000460303100</x:v>
      </x:c>
      <x:c r="S58" t="n">
        <x:v>-100.52</x:v>
      </x:c>
      <x:c r="T58" t="str">
        <x:v>DE40ZZZ00000559230</x:v>
      </x:c>
      <x:c r="U58" t="str">
        <x:v>2011216280009-001</x:v>
      </x:c>
      <x:c r="V58" t="str">
        <x:v>GL,KL,PD-20260501-1-2011216280009-0</x:v>
      </x:c>
    </x:row>
    <x:row r="59">
      <x:c r="A59" t="str">
        <x:v>RAW-IMP-20260516-FULLDRAFT-000042</x:v>
      </x:c>
      <x:c r="B59" t="str">
        <x:v>IMP-20260516-FULLDRAFT</x:v>
      </x:c>
      <x:c r="C59" t="str">
        <x:v>KTO001</x:v>
      </x:c>
      <x:c r="D59" t="str">
        <x:v>16-05-2026_Umsatzliste_Girokonto_DE98120300001061711675.csv</x:v>
      </x:c>
      <x:c r="E59" t="n">
        <x:v>46163</x:v>
      </x:c>
      <x:c r="F59" t="n">
        <x:v>42</x:v>
      </x:c>
      <x:c r="G59" t="str">
        <x:v>27b0671243a10d886523049cc7af7659cd2041c9cd7e7b4ed6557ca0635f98b4</x:v>
      </x:c>
      <x:c r="H59" t="str">
        <x:v>neu</x:v>
      </x:c>
      <x:c r="I59" t="str">
        <x:v>ok</x:v>
      </x:c>
      <x:c r="J59"/>
      <x:c r="K59" t="n">
        <x:v>46146</x:v>
      </x:c>
      <x:c r="L59" t="n">
        <x:v>46146</x:v>
      </x:c>
      <x:c r="M59" t="str">
        <x:v>Gebucht</x:v>
      </x:c>
      <x:c r="N59" t="str">
        <x:v>KOHLENBERG LARS</x:v>
      </x:c>
      <x:c r="O59" t="str">
        <x:v>VOLKSWOHL BUND Lebensversicherung a.G.</x:v>
      </x:c>
      <x:c r="P59" t="str">
        <x:v>009893595 LA000750566/ 009893595 LEBEN 73,09</x:v>
      </x:c>
      <x:c r="Q59" t="str">
        <x:v>Ausgang</x:v>
      </x:c>
      <x:c r="R59" t="str">
        <x:v>DE76440400370361155500</x:v>
      </x:c>
      <x:c r="S59" t="n">
        <x:v>-73.09</x:v>
      </x:c>
      <x:c r="T59" t="str">
        <x:v>DE13ZZZ00000141064</x:v>
      </x:c>
      <x:c r="U59" t="str">
        <x:v>LA000750566</x:v>
      </x:c>
      <x:c r="V59" t="str">
        <x:v>009893595/NVMA.G1173-299599</x:v>
      </x:c>
    </x:row>
    <x:row r="60">
      <x:c r="A60" t="str">
        <x:v>RAW-IMP-20260516-FULLDRAFT-000043</x:v>
      </x:c>
      <x:c r="B60" t="str">
        <x:v>IMP-20260516-FULLDRAFT</x:v>
      </x:c>
      <x:c r="C60" t="str">
        <x:v>KTO001</x:v>
      </x:c>
      <x:c r="D60" t="str">
        <x:v>16-05-2026_Umsatzliste_Girokonto_DE98120300001061711675.csv</x:v>
      </x:c>
      <x:c r="E60" t="n">
        <x:v>46163</x:v>
      </x:c>
      <x:c r="F60" t="n">
        <x:v>43</x:v>
      </x:c>
      <x:c r="G60" t="str">
        <x:v>8e0e89273e0d5d4df00fa210fa7913ec01ca2944b62112ab7b54b893e31a3a00</x:v>
      </x:c>
      <x:c r="H60" t="str">
        <x:v>neu</x:v>
      </x:c>
      <x:c r="I60" t="str">
        <x:v>ok</x:v>
      </x:c>
      <x:c r="J60"/>
      <x:c r="K60" t="n">
        <x:v>46146</x:v>
      </x:c>
      <x:c r="L60" t="n">
        <x:v>46146</x:v>
      </x:c>
      <x:c r="M60" t="str">
        <x:v>Gebucht</x:v>
      </x:c>
      <x:c r="N60" t="str">
        <x:v>Kohlenberg</x:v>
      </x:c>
      <x:c r="O60" t="str">
        <x:v>TANZSCHULE KWIATKOWSKI GBR</x:v>
      </x:c>
      <x:c r="P60" t="str">
        <x:v>R-SB0000078035-A0000004560,SB2151 9-2025 - 5.2026,Jan Kohlenberg</x:v>
      </x:c>
      <x:c r="Q60" t="str">
        <x:v>Ausgang</x:v>
      </x:c>
      <x:c r="R60" t="str">
        <x:v>DE61259501300096212535</x:v>
      </x:c>
      <x:c r="S60" t="n">
        <x:v>-49</x:v>
      </x:c>
      <x:c r="T60" t="str">
        <x:v>DE79ZZZ00002474666</x:v>
      </x:c>
      <x:c r="U60" t="str">
        <x:v>TM004560-000142</x:v>
      </x:c>
      <x:c r="V60" t="str">
        <x:v>R-SB00078035</x:v>
      </x:c>
    </x:row>
    <x:row r="61">
      <x:c r="A61" t="str">
        <x:v>RAW-IMP-20260516-FULLDRAFT-000044</x:v>
      </x:c>
      <x:c r="B61" t="str">
        <x:v>IMP-20260516-FULLDRAFT</x:v>
      </x:c>
      <x:c r="C61" t="str">
        <x:v>KTO001</x:v>
      </x:c>
      <x:c r="D61" t="str">
        <x:v>16-05-2026_Umsatzliste_Girokonto_DE98120300001061711675.csv</x:v>
      </x:c>
      <x:c r="E61" t="n">
        <x:v>46163</x:v>
      </x:c>
      <x:c r="F61" t="n">
        <x:v>44</x:v>
      </x:c>
      <x:c r="G61" t="str">
        <x:v>bc4ab7cb4ec11725aaacc4ed84202d9368ef591bf8b68eb7447a249ed09a8358</x:v>
      </x:c>
      <x:c r="H61" t="str">
        <x:v>neu</x:v>
      </x:c>
      <x:c r="I61" t="str">
        <x:v>ok</x:v>
      </x:c>
      <x:c r="J61"/>
      <x:c r="K61" t="n">
        <x:v>46146</x:v>
      </x:c>
      <x:c r="L61" t="n">
        <x:v>46146</x:v>
      </x:c>
      <x:c r="M61" t="str">
        <x:v>Gebucht</x:v>
      </x:c>
      <x:c r="N61" t="str">
        <x:v>Kohlenberg Lars</x:v>
      </x:c>
      <x:c r="O61" t="str">
        <x:v>Allianz Lebensversic</x:v>
      </x:c>
      <x:c r="P61" t="str">
        <x:v>Vertrag AL-1356867060 01.05.26 - 31.05.26 RiesRent InvAlphaBal</x:v>
      </x:c>
      <x:c r="Q61" t="str">
        <x:v>Ausgang</x:v>
      </x:c>
      <x:c r="R61" t="str">
        <x:v>DE52700202700015152448</x:v>
      </x:c>
      <x:c r="S61" t="n">
        <x:v>-162.17</x:v>
      </x:c>
      <x:c r="T61" t="str">
        <x:v>DE07ZZZ00000063475</x:v>
      </x:c>
      <x:c r="U61" t="str">
        <x:v>LA01L312001066775296</x:v>
      </x:c>
      <x:c r="V61" t="str">
        <x:v>AB226118-E02006934</x:v>
      </x:c>
    </x:row>
    <x:row r="62">
      <x:c r="A62" t="str">
        <x:v>RAW-IMP-20260516-FULLDRAFT-000045</x:v>
      </x:c>
      <x:c r="B62" t="str">
        <x:v>IMP-20260516-FULLDRAFT</x:v>
      </x:c>
      <x:c r="C62" t="str">
        <x:v>KTO001</x:v>
      </x:c>
      <x:c r="D62" t="str">
        <x:v>16-05-2026_Umsatzliste_Girokonto_DE98120300001061711675.csv</x:v>
      </x:c>
      <x:c r="E62" t="n">
        <x:v>46163</x:v>
      </x:c>
      <x:c r="F62" t="n">
        <x:v>45</x:v>
      </x:c>
      <x:c r="G62" t="str">
        <x:v>9be02386918174bf933ab9395205bdc40f3723c17c14f574fe03eec2c034074f</x:v>
      </x:c>
      <x:c r="H62" t="str">
        <x:v>neu</x:v>
      </x:c>
      <x:c r="I62" t="str">
        <x:v>ok</x:v>
      </x:c>
      <x:c r="J62"/>
      <x:c r="K62" t="n">
        <x:v>46146</x:v>
      </x:c>
      <x:c r="L62" t="n">
        <x:v>46146</x:v>
      </x:c>
      <x:c r="M62" t="str">
        <x:v>Gebucht</x:v>
      </x:c>
      <x:c r="N62" t="str">
        <x:v>Lars Kohlenberg                                                       Johannes-Wosnitza-Str. 8 38229 Salzgitter</x:v>
      </x:c>
      <x:c r="O62" t="str">
        <x:v>Heidelberger Lebensversicherung AG                                    Donrhofstrasse 36, 63263 Neu-Isenburg</x:v>
      </x:c>
      <x:c r="P62" t="str">
        <x:v>60012826 , 05.26</x:v>
      </x:c>
      <x:c r="Q62" t="str">
        <x:v>Ausgang</x:v>
      </x:c>
      <x:c r="R62" t="str">
        <x:v>DE38600501010002662604</x:v>
      </x:c>
      <x:c r="S62" t="n">
        <x:v>-452.71</x:v>
      </x:c>
      <x:c r="T62" t="str">
        <x:v>DE31HLE00000032682</x:v>
      </x:c>
      <x:c r="U62" t="str">
        <x:v>11-140000075706</x:v>
      </x:c>
      <x:c r="V62" t="str">
        <x:v>154048408943</x:v>
      </x:c>
    </x:row>
    <x:row r="63">
      <x:c r="A63" t="str">
        <x:v>RAW-IMP-20260516-FULLDRAFT-000046</x:v>
      </x:c>
      <x:c r="B63" t="str">
        <x:v>IMP-20260516-FULLDRAFT</x:v>
      </x:c>
      <x:c r="C63" t="str">
        <x:v>KTO001</x:v>
      </x:c>
      <x:c r="D63" t="str">
        <x:v>16-05-2026_Umsatzliste_Girokonto_DE98120300001061711675.csv</x:v>
      </x:c>
      <x:c r="E63" t="n">
        <x:v>46163</x:v>
      </x:c>
      <x:c r="F63" t="n">
        <x:v>46</x:v>
      </x:c>
      <x:c r="G63" t="str">
        <x:v>bbea5a8378c5083d6066093c6e3ecfb1e291fe2e634b0717ce640d036344e957</x:v>
      </x:c>
      <x:c r="H63" t="str">
        <x:v>neu</x:v>
      </x:c>
      <x:c r="I63" t="str">
        <x:v>ok</x:v>
      </x:c>
      <x:c r="J63"/>
      <x:c r="K63" t="n">
        <x:v>46146</x:v>
      </x:c>
      <x:c r="L63" t="n">
        <x:v>46146</x:v>
      </x:c>
      <x:c r="M63" t="str">
        <x:v>Gebucht</x:v>
      </x:c>
      <x:c r="N63" t="str">
        <x:v>KOHLENBERG, LARS</x:v>
      </x:c>
      <x:c r="O63" t="str">
        <x:v>Lars und Katrin Kohlenberg</x:v>
      </x:c>
      <x:c r="P63" t="str">
        <x:v>13207839 VERMOEGENSDEPOT SAMMELBUCHUNG SPARPLAN WKN A1C9ED, 847809</x:v>
      </x:c>
      <x:c r="Q63" t="str">
        <x:v>Ausgang</x:v>
      </x:c>
      <x:c r="R63" t="str">
        <x:v>DE27672300000506966162</x:v>
      </x:c>
      <x:c r="S63" t="n">
        <x:v>-600</x:v>
      </x:c>
      <x:c r="T63" t="str">
        <x:v>DE53ZZZ00000010849</x:v>
      </x:c>
      <x:c r="U63" t="str">
        <x:v>WPBF0000180845</x:v>
      </x:c>
      <x:c r="V63" t="str">
        <x:v>SPARSP 21048449</x:v>
      </x:c>
    </x:row>
    <x:row r="64">
      <x:c r="A64" t="str">
        <x:v>RAW-IMP-20260516-FULLDRAFT-000047</x:v>
      </x:c>
      <x:c r="B64" t="str">
        <x:v>IMP-20260516-FULLDRAFT</x:v>
      </x:c>
      <x:c r="C64" t="str">
        <x:v>KTO001</x:v>
      </x:c>
      <x:c r="D64" t="str">
        <x:v>16-05-2026_Umsatzliste_Girokonto_DE98120300001061711675.csv</x:v>
      </x:c>
      <x:c r="E64" t="n">
        <x:v>46163</x:v>
      </x:c>
      <x:c r="F64" t="n">
        <x:v>47</x:v>
      </x:c>
      <x:c r="G64" t="str">
        <x:v>d8bda6201fc2136da49ea41f633012fe00f2366c2d0bd9894878d76a721c0e9f</x:v>
      </x:c>
      <x:c r="H64" t="str">
        <x:v>neu</x:v>
      </x:c>
      <x:c r="I64" t="str">
        <x:v>ok</x:v>
      </x:c>
      <x:c r="J64"/>
      <x:c r="K64" t="n">
        <x:v>46146</x:v>
      </x:c>
      <x:c r="L64" t="n">
        <x:v>46145</x:v>
      </x:c>
      <x:c r="M64" t="str">
        <x:v>Gebucht</x:v>
      </x:c>
      <x:c r="N64" t="str">
        <x:v>Lars Kohlenberg</x:v>
      </x:c>
      <x:c r="O64" t="str">
        <x:v>Lea Sophie Kohlenberg</x:v>
      </x:c>
      <x:c r="P64" t="str">
        <x:v>iPhone 11 Verkauf</x:v>
      </x:c>
      <x:c r="Q64" t="str">
        <x:v>Ausgang</x:v>
      </x:c>
      <x:c r="R64" t="str">
        <x:v>DE89269910662833344000</x:v>
      </x:c>
      <x:c r="S64" t="n">
        <x:v>-60</x:v>
      </x:c>
      <x:c r="T64" t="str">
        <x:v>"</x:v>
      </x:c>
      <x:c r="U64" t="str">
        <x:v>"</x:v>
      </x:c>
      <x:c r="V64" t="str">
        <x:v>"</x:v>
      </x:c>
    </x:row>
    <x:row r="65">
      <x:c r="A65" t="str">
        <x:v>RAW-IMP-20260516-FULLDRAFT-000048</x:v>
      </x:c>
      <x:c r="B65" t="str">
        <x:v>IMP-20260516-FULLDRAFT</x:v>
      </x:c>
      <x:c r="C65" t="str">
        <x:v>KTO001</x:v>
      </x:c>
      <x:c r="D65" t="str">
        <x:v>16-05-2026_Umsatzliste_Girokonto_DE98120300001061711675.csv</x:v>
      </x:c>
      <x:c r="E65" t="n">
        <x:v>46163</x:v>
      </x:c>
      <x:c r="F65" t="n">
        <x:v>48</x:v>
      </x:c>
      <x:c r="G65" t="str">
        <x:v>7a22e8d666fa808d1753a305fa36bcc40c0f10bc6d91a6c2e8be54fa2b716b06</x:v>
      </x:c>
      <x:c r="H65" t="str">
        <x:v>neu</x:v>
      </x:c>
      <x:c r="I65" t="str">
        <x:v>ok</x:v>
      </x:c>
      <x:c r="J65"/>
      <x:c r="K65" t="n">
        <x:v>46146</x:v>
      </x:c>
      <x:c r="L65" t="n">
        <x:v>46146</x:v>
      </x:c>
      <x:c r="M65" t="str">
        <x:v>Gebucht</x:v>
      </x:c>
      <x:c r="N65" t="str">
        <x:v>Lars Kohlenberg</x:v>
      </x:c>
      <x:c r="O65" t="str">
        <x:v>KATRIN KOHLENBERG</x:v>
      </x:c>
      <x:c r="P65" t="str">
        <x:v>Apanage</x:v>
      </x:c>
      <x:c r="Q65" t="str">
        <x:v>Ausgang</x:v>
      </x:c>
      <x:c r="R65" t="str">
        <x:v>DE32270727240307336800</x:v>
      </x:c>
      <x:c r="S65" t="n">
        <x:v>-1800</x:v>
      </x:c>
      <x:c r="T65" t="str">
        <x:v>"</x:v>
      </x:c>
      <x:c r="U65" t="str">
        <x:v>"</x:v>
      </x:c>
      <x:c r="V65" t="str">
        <x:v>"</x:v>
      </x:c>
    </x:row>
    <x:row r="66">
      <x:c r="A66" t="str">
        <x:v>RAW-IMP-20260516-FULLDRAFT-000049</x:v>
      </x:c>
      <x:c r="B66" t="str">
        <x:v>IMP-20260516-FULLDRAFT</x:v>
      </x:c>
      <x:c r="C66" t="str">
        <x:v>KTO001</x:v>
      </x:c>
      <x:c r="D66" t="str">
        <x:v>16-05-2026_Umsatzliste_Girokonto_DE98120300001061711675.csv</x:v>
      </x:c>
      <x:c r="E66" t="n">
        <x:v>46163</x:v>
      </x:c>
      <x:c r="F66" t="n">
        <x:v>49</x:v>
      </x:c>
      <x:c r="G66" t="str">
        <x:v>c3559e15d3fd44211f58cbab0899e8f80925e87c8993e28adfbcbbf2e167fa5f</x:v>
      </x:c>
      <x:c r="H66" t="str">
        <x:v>neu</x:v>
      </x:c>
      <x:c r="I66" t="str">
        <x:v>ok</x:v>
      </x:c>
      <x:c r="J66"/>
      <x:c r="K66" t="n">
        <x:v>46146</x:v>
      </x:c>
      <x:c r="L66" t="n">
        <x:v>46146</x:v>
      </x:c>
      <x:c r="M66" t="str">
        <x:v>Gebucht</x:v>
      </x:c>
      <x:c r="N66" t="str">
        <x:v>Lars Kohlenberg</x:v>
      </x:c>
      <x:c r="O66" t="str">
        <x:v>LARS KOHLENBERG</x:v>
      </x:c>
      <x:c r="P66" t="str">
        <x:v>Sparrate 650,- + 750 EUR Mieteinnahmen</x:v>
      </x:c>
      <x:c r="Q66" t="str">
        <x:v>Ausgang</x:v>
      </x:c>
      <x:c r="R66" t="str">
        <x:v>DE91270200001510365800</x:v>
      </x:c>
      <x:c r="S66" t="n">
        <x:v>-1400</x:v>
      </x:c>
      <x:c r="T66" t="str">
        <x:v>"</x:v>
      </x:c>
      <x:c r="U66" t="str">
        <x:v>"</x:v>
      </x:c>
      <x:c r="V66" t="str">
        <x:v>"</x:v>
      </x:c>
    </x:row>
    <x:row r="67">
      <x:c r="A67" t="str">
        <x:v>RAW-IMP-20260516-FULLDRAFT-000050</x:v>
      </x:c>
      <x:c r="B67" t="str">
        <x:v>IMP-20260516-FULLDRAFT</x:v>
      </x:c>
      <x:c r="C67" t="str">
        <x:v>KTO001</x:v>
      </x:c>
      <x:c r="D67" t="str">
        <x:v>16-05-2026_Umsatzliste_Girokonto_DE98120300001061711675.csv</x:v>
      </x:c>
      <x:c r="E67" t="n">
        <x:v>46163</x:v>
      </x:c>
      <x:c r="F67" t="n">
        <x:v>50</x:v>
      </x:c>
      <x:c r="G67" t="str">
        <x:v>063d5d0ceb43a81f0c9dff5c3063ad5a13cbb3bff8b6a5d9e09742c4746bd8ee</x:v>
      </x:c>
      <x:c r="H67" t="str">
        <x:v>neu</x:v>
      </x:c>
      <x:c r="I67" t="str">
        <x:v>ok</x:v>
      </x:c>
      <x:c r="J67"/>
      <x:c r="K67" t="n">
        <x:v>46142</x:v>
      </x:c>
      <x:c r="L67" t="n">
        <x:v>46142</x:v>
      </x:c>
      <x:c r="M67" t="str">
        <x:v>Gebucht</x:v>
      </x:c>
      <x:c r="N67" t="str">
        <x:v>ISSUER</x:v>
      </x:c>
      <x:c r="O67" t="str">
        <x:v>Volksbank.eG/Gebhardsh.</x:v>
      </x:c>
      <x:c r="P67" t="str">
        <x:v>VISA Debitkartenumsatz vom 30.04.2026</x:v>
      </x:c>
      <x:c r="Q67" t="str">
        <x:v>Ausgang</x:v>
      </x:c>
      <x:c r="R67" t="str">
        <x:v>DE96120300009005290904</x:v>
      </x:c>
      <x:c r="S67" t="n">
        <x:v>-650</x:v>
      </x:c>
      <x:c r="T67" t="str">
        <x:v>"</x:v>
      </x:c>
      <x:c r="U67" t="str">
        <x:v>"</x:v>
      </x:c>
      <x:c r="V67" t="str">
        <x:v>486120319887821</x:v>
      </x:c>
    </x:row>
    <x:row r="68">
      <x:c r="A68" t="str">
        <x:v>RAW-IMP-20260516-FULLDRAFT-000051</x:v>
      </x:c>
      <x:c r="B68" t="str">
        <x:v>IMP-20260516-FULLDRAFT</x:v>
      </x:c>
      <x:c r="C68" t="str">
        <x:v>KTO001</x:v>
      </x:c>
      <x:c r="D68" t="str">
        <x:v>16-05-2026_Umsatzliste_Girokonto_DE98120300001061711675.csv</x:v>
      </x:c>
      <x:c r="E68" t="n">
        <x:v>46163</x:v>
      </x:c>
      <x:c r="F68" t="n">
        <x:v>51</x:v>
      </x:c>
      <x:c r="G68" t="str">
        <x:v>5b5259f6793857058b2f0b278bfbd746e1a47f4c8e4eed3c16ecd68176c3177c</x:v>
      </x:c>
      <x:c r="H68" t="str">
        <x:v>neu</x:v>
      </x:c>
      <x:c r="I68" t="str">
        <x:v>ok</x:v>
      </x:c>
      <x:c r="J68"/>
      <x:c r="K68" t="n">
        <x:v>46142</x:v>
      </x:c>
      <x:c r="L68" t="n">
        <x:v>46142</x:v>
      </x:c>
      <x:c r="M68" t="str">
        <x:v>Gebucht</x:v>
      </x:c>
      <x:c r="N68" t="str">
        <x:v>ISSUER</x:v>
      </x:c>
      <x:c r="O68" t="str">
        <x:v>PAYPAL..SPOTIFY.P41E797/35314369001</x:v>
      </x:c>
      <x:c r="P68" t="str">
        <x:v>VISA Debitkartenumsatz vom 29.04.2026</x:v>
      </x:c>
      <x:c r="Q68" t="str">
        <x:v>Ausgang</x:v>
      </x:c>
      <x:c r="R68" t="str">
        <x:v>DE96120300009005290904</x:v>
      </x:c>
      <x:c r="S68" t="n">
        <x:v>-21.99</x:v>
      </x:c>
      <x:c r="T68" t="str">
        <x:v>"</x:v>
      </x:c>
      <x:c r="U68" t="str">
        <x:v>"</x:v>
      </x:c>
      <x:c r="V68" t="str">
        <x:v>586119371237318</x:v>
      </x:c>
    </x:row>
    <x:row r="69">
      <x:c r="A69" t="str">
        <x:v>RAW-IMP-20260516-FULLDRAFT-000052</x:v>
      </x:c>
      <x:c r="B69" t="str">
        <x:v>IMP-20260516-FULLDRAFT</x:v>
      </x:c>
      <x:c r="C69" t="str">
        <x:v>KTO001</x:v>
      </x:c>
      <x:c r="D69" t="str">
        <x:v>16-05-2026_Umsatzliste_Girokonto_DE98120300001061711675.csv</x:v>
      </x:c>
      <x:c r="E69" t="n">
        <x:v>46163</x:v>
      </x:c>
      <x:c r="F69" t="n">
        <x:v>52</x:v>
      </x:c>
      <x:c r="G69" t="str">
        <x:v>5c0e0863e85fecc833fa6dc8f9a1f203042badd6704bca7114337e9555c31293</x:v>
      </x:c>
      <x:c r="H69" t="str">
        <x:v>neu</x:v>
      </x:c>
      <x:c r="I69" t="str">
        <x:v>ok</x:v>
      </x:c>
      <x:c r="J69"/>
      <x:c r="K69" t="n">
        <x:v>46142</x:v>
      </x:c>
      <x:c r="L69" t="n">
        <x:v>46142</x:v>
      </x:c>
      <x:c r="M69" t="str">
        <x:v>Gebucht</x:v>
      </x:c>
      <x:c r="N69" t="str">
        <x:v>ISSUER</x:v>
      </x:c>
      <x:c r="O69" t="str">
        <x:v>DERMALLORQU/02222</x:v>
      </x:c>
      <x:c r="P69" t="str">
        <x:v>VISA Debitkartenumsatz vom 27.04.2026</x:v>
      </x:c>
      <x:c r="Q69" t="str">
        <x:v>Ausgang</x:v>
      </x:c>
      <x:c r="R69" t="str">
        <x:v>DE96120300009005290904</x:v>
      </x:c>
      <x:c r="S69" t="n">
        <x:v>-64.65</x:v>
      </x:c>
      <x:c r="T69" t="str">
        <x:v>"</x:v>
      </x:c>
      <x:c r="U69" t="str">
        <x:v>"</x:v>
      </x:c>
      <x:c r="V69" t="str">
        <x:v>386117397537947</x:v>
      </x:c>
    </x:row>
    <x:row r="70">
      <x:c r="A70" t="str">
        <x:v>RAW-IMP-20260516-FULLDRAFT-000053</x:v>
      </x:c>
      <x:c r="B70" t="str">
        <x:v>IMP-20260516-FULLDRAFT</x:v>
      </x:c>
      <x:c r="C70" t="str">
        <x:v>KTO001</x:v>
      </x:c>
      <x:c r="D70" t="str">
        <x:v>16-05-2026_Umsatzliste_Girokonto_DE98120300001061711675.csv</x:v>
      </x:c>
      <x:c r="E70" t="n">
        <x:v>46163</x:v>
      </x:c>
      <x:c r="F70" t="n">
        <x:v>53</x:v>
      </x:c>
      <x:c r="G70" t="str">
        <x:v>0a727576e0c609a1004997a32f295038164cf8a0195b0bea8be089ebf88bd971</x:v>
      </x:c>
      <x:c r="H70" t="str">
        <x:v>neu</x:v>
      </x:c>
      <x:c r="I70" t="str">
        <x:v>ok</x:v>
      </x:c>
      <x:c r="J70"/>
      <x:c r="K70" t="n">
        <x:v>46142</x:v>
      </x:c>
      <x:c r="L70" t="n">
        <x:v>46142</x:v>
      </x:c>
      <x:c r="M70" t="str">
        <x:v>Gebucht</x:v>
      </x:c>
      <x:c r="N70" t="str">
        <x:v>Kohlenberg, Katrin</x:v>
      </x:c>
      <x:c r="O70" t="str">
        <x:v>WEVG Salzgitter GmbH + Co. KG</x:v>
      </x:c>
      <x:c r="P70" t="str">
        <x:v>Kd-Nr 79288 Einz 30.04.26 41710/140.00/Johannes-Wosni 100833/79.00/Johannes-Wosni</x:v>
      </x:c>
      <x:c r="Q70" t="str">
        <x:v>Ausgang</x:v>
      </x:c>
      <x:c r="R70" t="str">
        <x:v>DE19300700100394127500</x:v>
      </x:c>
      <x:c r="S70" t="n">
        <x:v>-219</x:v>
      </x:c>
      <x:c r="T70" t="str">
        <x:v>DE83WEV00000032716</x:v>
      </x:c>
      <x:c r="U70" t="str">
        <x:v>WEVG0000079288G1000178580</x:v>
      </x:c>
      <x:c r="V70" t="str">
        <x:v>14305002</x:v>
      </x:c>
    </x:row>
    <x:row r="71">
      <x:c r="A71" t="str">
        <x:v>RAW-IMP-20260516-FULLDRAFT-000054</x:v>
      </x:c>
      <x:c r="B71" t="str">
        <x:v>IMP-20260516-FULLDRAFT</x:v>
      </x:c>
      <x:c r="C71" t="str">
        <x:v>KTO001</x:v>
      </x:c>
      <x:c r="D71" t="str">
        <x:v>16-05-2026_Umsatzliste_Girokonto_DE98120300001061711675.csv</x:v>
      </x:c>
      <x:c r="E71" t="n">
        <x:v>46163</x:v>
      </x:c>
      <x:c r="F71" t="n">
        <x:v>54</x:v>
      </x:c>
      <x:c r="G71" t="str">
        <x:v>6cc36491d8c0a8fc517cdd0e9f8875f6cf228719ffe0708a4cd44587c841bcd3</x:v>
      </x:c>
      <x:c r="H71" t="str">
        <x:v>neu</x:v>
      </x:c>
      <x:c r="I71" t="str">
        <x:v>ok</x:v>
      </x:c>
      <x:c r="J71"/>
      <x:c r="K71" t="n">
        <x:v>46142</x:v>
      </x:c>
      <x:c r="L71" t="n">
        <x:v>46142</x:v>
      </x:c>
      <x:c r="M71" t="str">
        <x:v>Gebucht</x:v>
      </x:c>
      <x:c r="N71" t="str">
        <x:v>Lars Kohlenberg</x:v>
      </x:c>
      <x:c r="O71" t="str">
        <x:v>LARS KOHLENBERG</x:v>
      </x:c>
      <x:c r="P71" t="str">
        <x:v>Zins und Tilgung zu 2/3</x:v>
      </x:c>
      <x:c r="Q71" t="str">
        <x:v>Ausgang</x:v>
      </x:c>
      <x:c r="R71" t="str">
        <x:v>DE33269910668923736000</x:v>
      </x:c>
      <x:c r="S71" t="n">
        <x:v>-1153.94</x:v>
      </x:c>
      <x:c r="T71" t="str">
        <x:v>"</x:v>
      </x:c>
      <x:c r="U71" t="str">
        <x:v>"</x:v>
      </x:c>
      <x:c r="V71" t="str">
        <x:v>"</x:v>
      </x:c>
    </x:row>
    <x:row r="72">
      <x:c r="A72" t="str">
        <x:v>RAW-IMP-20260516-FULLDRAFT-000055</x:v>
      </x:c>
      <x:c r="B72" t="str">
        <x:v>IMP-20260516-FULLDRAFT</x:v>
      </x:c>
      <x:c r="C72" t="str">
        <x:v>KTO001</x:v>
      </x:c>
      <x:c r="D72" t="str">
        <x:v>16-05-2026_Umsatzliste_Girokonto_DE98120300001061711675.csv</x:v>
      </x:c>
      <x:c r="E72" t="n">
        <x:v>46163</x:v>
      </x:c>
      <x:c r="F72" t="n">
        <x:v>55</x:v>
      </x:c>
      <x:c r="G72" t="str">
        <x:v>4b29175ea3f53de1ef1c2da94c8d32a59bd970fb648e79ab9044c41b22f84db6</x:v>
      </x:c>
      <x:c r="H72" t="str">
        <x:v>neu</x:v>
      </x:c>
      <x:c r="I72" t="str">
        <x:v>ok</x:v>
      </x:c>
      <x:c r="J72"/>
      <x:c r="K72" t="n">
        <x:v>46142</x:v>
      </x:c>
      <x:c r="L72" t="n">
        <x:v>46142</x:v>
      </x:c>
      <x:c r="M72" t="str">
        <x:v>Gebucht</x:v>
      </x:c>
      <x:c r="N72" t="str">
        <x:v>Lars Kohlenberg</x:v>
      </x:c>
      <x:c r="O72" t="str">
        <x:v>Lea Sophie Kohlenberg</x:v>
      </x:c>
      <x:c r="P72" t="str">
        <x:v>Taschengeld</x:v>
      </x:c>
      <x:c r="Q72" t="str">
        <x:v>Ausgang</x:v>
      </x:c>
      <x:c r="R72" t="str">
        <x:v>DE89269910662833344000</x:v>
      </x:c>
      <x:c r="S72" t="n">
        <x:v>-20</x:v>
      </x:c>
      <x:c r="T72" t="str">
        <x:v>"</x:v>
      </x:c>
      <x:c r="U72" t="str">
        <x:v>"</x:v>
      </x:c>
      <x:c r="V72" t="str">
        <x:v>"</x:v>
      </x:c>
    </x:row>
    <x:row r="73">
      <x:c r="A73" t="str">
        <x:v>RAW-IMP-20260516-FULLDRAFT-000056</x:v>
      </x:c>
      <x:c r="B73" t="str">
        <x:v>IMP-20260516-FULLDRAFT</x:v>
      </x:c>
      <x:c r="C73" t="str">
        <x:v>KTO001</x:v>
      </x:c>
      <x:c r="D73" t="str">
        <x:v>16-05-2026_Umsatzliste_Girokonto_DE98120300001061711675.csv</x:v>
      </x:c>
      <x:c r="E73" t="n">
        <x:v>46163</x:v>
      </x:c>
      <x:c r="F73" t="n">
        <x:v>56</x:v>
      </x:c>
      <x:c r="G73" t="str">
        <x:v>ffc61c5a4ba4600906ebf4ab15dc76100d898e332864d71f62a74b42eede6dd3</x:v>
      </x:c>
      <x:c r="H73" t="str">
        <x:v>neu</x:v>
      </x:c>
      <x:c r="I73" t="str">
        <x:v>ok</x:v>
      </x:c>
      <x:c r="J73"/>
      <x:c r="K73" t="n">
        <x:v>46141</x:v>
      </x:c>
      <x:c r="L73" t="n">
        <x:v>46141</x:v>
      </x:c>
      <x:c r="M73" t="str">
        <x:v>Gebucht</x:v>
      </x:c>
      <x:c r="N73" t="str">
        <x:v>ISSUER</x:v>
      </x:c>
      <x:c r="O73" t="str">
        <x:v>LOEWENBAECKER.SCHAPER/SALZGITTER</x:v>
      </x:c>
      <x:c r="P73" t="str">
        <x:v>VISA Debitkartenumsatz vom 28.04.2026</x:v>
      </x:c>
      <x:c r="Q73" t="str">
        <x:v>Ausgang</x:v>
      </x:c>
      <x:c r="R73" t="str">
        <x:v>DE96120300009005290904</x:v>
      </x:c>
      <x:c r="S73" t="n">
        <x:v>-1.08</x:v>
      </x:c>
      <x:c r="T73" t="str">
        <x:v>"</x:v>
      </x:c>
      <x:c r="U73" t="str">
        <x:v>"</x:v>
      </x:c>
      <x:c r="V73" t="str">
        <x:v>486118386956927</x:v>
      </x:c>
    </x:row>
    <x:row r="74">
      <x:c r="A74" t="str">
        <x:v>RAW-IMP-20260516-FULLDRAFT-000057</x:v>
      </x:c>
      <x:c r="B74" t="str">
        <x:v>IMP-20260516-FULLDRAFT</x:v>
      </x:c>
      <x:c r="C74" t="str">
        <x:v>KTO001</x:v>
      </x:c>
      <x:c r="D74" t="str">
        <x:v>16-05-2026_Umsatzliste_Girokonto_DE98120300001061711675.csv</x:v>
      </x:c>
      <x:c r="E74" t="n">
        <x:v>46163</x:v>
      </x:c>
      <x:c r="F74" t="n">
        <x:v>57</x:v>
      </x:c>
      <x:c r="G74" t="str">
        <x:v>86f7efceb6c781aeb7fd2f9779ba803e525b286e11dd67bfb7f7cbbc310e9c8b</x:v>
      </x:c>
      <x:c r="H74" t="str">
        <x:v>neu</x:v>
      </x:c>
      <x:c r="I74" t="str">
        <x:v>ok</x:v>
      </x:c>
      <x:c r="J74"/>
      <x:c r="K74" t="n">
        <x:v>46141</x:v>
      </x:c>
      <x:c r="L74" t="n">
        <x:v>46141</x:v>
      </x:c>
      <x:c r="M74" t="str">
        <x:v>Gebucht</x:v>
      </x:c>
      <x:c r="N74" t="str">
        <x:v>ISSUER</x:v>
      </x:c>
      <x:c r="O74" t="str">
        <x:v>REWE.Salzgitter.Ge/Salzgitter</x:v>
      </x:c>
      <x:c r="P74" t="str">
        <x:v>VISA Debitkartenumsatz vom 28.04.2026</x:v>
      </x:c>
      <x:c r="Q74" t="str">
        <x:v>Ausgang</x:v>
      </x:c>
      <x:c r="R74" t="str">
        <x:v>DE96120300009005290904</x:v>
      </x:c>
      <x:c r="S74" t="n">
        <x:v>-9.49</x:v>
      </x:c>
      <x:c r="T74" t="str">
        <x:v>"</x:v>
      </x:c>
      <x:c r="U74" t="str">
        <x:v>"</x:v>
      </x:c>
      <x:c r="V74" t="str">
        <x:v>486118642496663</x:v>
      </x:c>
    </x:row>
    <x:row r="75">
      <x:c r="A75" t="str">
        <x:v>RAW-IMP-20260516-FULLDRAFT-000058</x:v>
      </x:c>
      <x:c r="B75" t="str">
        <x:v>IMP-20260516-FULLDRAFT</x:v>
      </x:c>
      <x:c r="C75" t="str">
        <x:v>KTO001</x:v>
      </x:c>
      <x:c r="D75" t="str">
        <x:v>16-05-2026_Umsatzliste_Girokonto_DE98120300001061711675.csv</x:v>
      </x:c>
      <x:c r="E75" t="n">
        <x:v>46163</x:v>
      </x:c>
      <x:c r="F75" t="n">
        <x:v>58</x:v>
      </x:c>
      <x:c r="G75" t="str">
        <x:v>87d28e9486645c238e3bfabcc212e6094ca4415026a687f1888891a61af64752</x:v>
      </x:c>
      <x:c r="H75" t="str">
        <x:v>neu</x:v>
      </x:c>
      <x:c r="I75" t="str">
        <x:v>ok</x:v>
      </x:c>
      <x:c r="J75"/>
      <x:c r="K75" t="n">
        <x:v>46141</x:v>
      </x:c>
      <x:c r="L75" t="n">
        <x:v>46141</x:v>
      </x:c>
      <x:c r="M75" t="str">
        <x:v>Gebucht</x:v>
      </x:c>
      <x:c r="N75" t="str">
        <x:v>ISSUER</x:v>
      </x:c>
      <x:c r="O75" t="str">
        <x:v>Prime.Video..NN43G3XP4/amzn.de.bill</x:v>
      </x:c>
      <x:c r="P75" t="str">
        <x:v>VISA Debitkartenumsatz vom 28.04.2026</x:v>
      </x:c>
      <x:c r="Q75" t="str">
        <x:v>Ausgang</x:v>
      </x:c>
      <x:c r="R75" t="str">
        <x:v>DE96120300009005290904</x:v>
      </x:c>
      <x:c r="S75" t="n">
        <x:v>-2.99</x:v>
      </x:c>
      <x:c r="T75" t="str">
        <x:v>"</x:v>
      </x:c>
      <x:c r="U75" t="str">
        <x:v>"</x:v>
      </x:c>
      <x:c r="V75" t="str">
        <x:v>486118695064969</x:v>
      </x:c>
    </x:row>
    <x:row r="76">
      <x:c r="A76" t="str">
        <x:v>RAW-IMP-20260516-FULLDRAFT-000059</x:v>
      </x:c>
      <x:c r="B76" t="str">
        <x:v>IMP-20260516-FULLDRAFT</x:v>
      </x:c>
      <x:c r="C76" t="str">
        <x:v>KTO001</x:v>
      </x:c>
      <x:c r="D76" t="str">
        <x:v>16-05-2026_Umsatzliste_Girokonto_DE98120300001061711675.csv</x:v>
      </x:c>
      <x:c r="E76" t="n">
        <x:v>46163</x:v>
      </x:c>
      <x:c r="F76" t="n">
        <x:v>59</x:v>
      </x:c>
      <x:c r="G76" t="str">
        <x:v>a6bdd28c62313a03f1eaf667d4b0164dc4d945fb93d7dd952f1a9883e789f411</x:v>
      </x:c>
      <x:c r="H76" t="str">
        <x:v>neu</x:v>
      </x:c>
      <x:c r="I76" t="str">
        <x:v>ok</x:v>
      </x:c>
      <x:c r="J76"/>
      <x:c r="K76" t="n">
        <x:v>46141</x:v>
      </x:c>
      <x:c r="L76" t="n">
        <x:v>46141</x:v>
      </x:c>
      <x:c r="M76" t="str">
        <x:v>Gebucht</x:v>
      </x:c>
      <x:c r="N76" t="str">
        <x:v>ISSUER</x:v>
      </x:c>
      <x:c r="O76" t="str">
        <x:v>REWE.Salzgitter.Ge/Salzgitter</x:v>
      </x:c>
      <x:c r="P76" t="str">
        <x:v>VISA Debitkartenumsatz vom 28.04.2026</x:v>
      </x:c>
      <x:c r="Q76" t="str">
        <x:v>Ausgang</x:v>
      </x:c>
      <x:c r="R76" t="str">
        <x:v>DE96120300009005290904</x:v>
      </x:c>
      <x:c r="S76" t="n">
        <x:v>-15.52</x:v>
      </x:c>
      <x:c r="T76" t="str">
        <x:v>"</x:v>
      </x:c>
      <x:c r="U76" t="str">
        <x:v>"</x:v>
      </x:c>
      <x:c r="V76" t="str">
        <x:v>486118385148749</x:v>
      </x:c>
    </x:row>
    <x:row r="77">
      <x:c r="A77" t="str">
        <x:v>RAW-IMP-20260516-FULLDRAFT-000060</x:v>
      </x:c>
      <x:c r="B77" t="str">
        <x:v>IMP-20260516-FULLDRAFT</x:v>
      </x:c>
      <x:c r="C77" t="str">
        <x:v>KTO001</x:v>
      </x:c>
      <x:c r="D77" t="str">
        <x:v>16-05-2026_Umsatzliste_Girokonto_DE98120300001061711675.csv</x:v>
      </x:c>
      <x:c r="E77" t="n">
        <x:v>46163</x:v>
      </x:c>
      <x:c r="F77" t="n">
        <x:v>60</x:v>
      </x:c>
      <x:c r="G77" t="str">
        <x:v>da8f6784adc9e8a8c56ad383ff03f4286001478c4f1a99b97da105b07db066db</x:v>
      </x:c>
      <x:c r="H77" t="str">
        <x:v>neu</x:v>
      </x:c>
      <x:c r="I77" t="str">
        <x:v>ok</x:v>
      </x:c>
      <x:c r="J77"/>
      <x:c r="K77" t="n">
        <x:v>46141</x:v>
      </x:c>
      <x:c r="L77" t="n">
        <x:v>46141</x:v>
      </x:c>
      <x:c r="M77" t="str">
        <x:v>Gebucht</x:v>
      </x:c>
      <x:c r="N77" t="str">
        <x:v>ISSUER</x:v>
      </x:c>
      <x:c r="O77" t="str">
        <x:v>OPENAI..CHATGPT.SUBSCR/DUBLIN</x:v>
      </x:c>
      <x:c r="P77" t="str">
        <x:v>VISA Debitkartenumsatz vom 28.04.2026</x:v>
      </x:c>
      <x:c r="Q77" t="str">
        <x:v>Ausgang</x:v>
      </x:c>
      <x:c r="R77" t="str">
        <x:v>DE96120300009005290904</x:v>
      </x:c>
      <x:c r="S77" t="n">
        <x:v>-8</x:v>
      </x:c>
      <x:c r="T77" t="str">
        <x:v>"</x:v>
      </x:c>
      <x:c r="U77" t="str">
        <x:v>"</x:v>
      </x:c>
      <x:c r="V77" t="str">
        <x:v>486118244825499</x:v>
      </x:c>
    </x:row>
    <x:row r="78">
      <x:c r="A78" t="str">
        <x:v>RAW-IMP-20260516-FULLDRAFT-000061</x:v>
      </x:c>
      <x:c r="B78" t="str">
        <x:v>IMP-20260516-FULLDRAFT</x:v>
      </x:c>
      <x:c r="C78" t="str">
        <x:v>KTO001</x:v>
      </x:c>
      <x:c r="D78" t="str">
        <x:v>16-05-2026_Umsatzliste_Girokonto_DE98120300001061711675.csv</x:v>
      </x:c>
      <x:c r="E78" t="n">
        <x:v>46163</x:v>
      </x:c>
      <x:c r="F78" t="n">
        <x:v>61</x:v>
      </x:c>
      <x:c r="G78" t="str">
        <x:v>d4a42116278d797c3392b7b6d624c18598495417c2a87dfc4f38497aa6dd711c</x:v>
      </x:c>
      <x:c r="H78" t="str">
        <x:v>neu</x:v>
      </x:c>
      <x:c r="I78" t="str">
        <x:v>ok</x:v>
      </x:c>
      <x:c r="J78"/>
      <x:c r="K78" t="n">
        <x:v>46140</x:v>
      </x:c>
      <x:c r="L78" t="n">
        <x:v>46140</x:v>
      </x:c>
      <x:c r="M78" t="str">
        <x:v>Gebucht</x:v>
      </x:c>
      <x:c r="N78" t="str">
        <x:v>ISSUER</x:v>
      </x:c>
      <x:c r="O78" t="str">
        <x:v>REWE.Salzgitter.Ge/Salzgitter</x:v>
      </x:c>
      <x:c r="P78" t="str">
        <x:v>VISA Debitkartenumsatz vom 27.04.2026</x:v>
      </x:c>
      <x:c r="Q78" t="str">
        <x:v>Ausgang</x:v>
      </x:c>
      <x:c r="R78" t="str">
        <x:v>DE96120300009005290904</x:v>
      </x:c>
      <x:c r="S78" t="n">
        <x:v>-14.37</x:v>
      </x:c>
      <x:c r="T78" t="str">
        <x:v>"</x:v>
      </x:c>
      <x:c r="U78" t="str">
        <x:v>"</x:v>
      </x:c>
      <x:c r="V78" t="str">
        <x:v>486117382016664</x:v>
      </x:c>
    </x:row>
    <x:row r="79">
      <x:c r="A79" t="str">
        <x:v>RAW-IMP-20260516-FULLDRAFT-000062</x:v>
      </x:c>
      <x:c r="B79" t="str">
        <x:v>IMP-20260516-FULLDRAFT</x:v>
      </x:c>
      <x:c r="C79" t="str">
        <x:v>KTO001</x:v>
      </x:c>
      <x:c r="D79" t="str">
        <x:v>16-05-2026_Umsatzliste_Girokonto_DE98120300001061711675.csv</x:v>
      </x:c>
      <x:c r="E79" t="n">
        <x:v>46163</x:v>
      </x:c>
      <x:c r="F79" t="n">
        <x:v>62</x:v>
      </x:c>
      <x:c r="G79" t="str">
        <x:v>216b6814e85f9b3f6e48d0a5ed813d2ac5173278ae554032f93ba02d4554c1a7</x:v>
      </x:c>
      <x:c r="H79" t="str">
        <x:v>neu</x:v>
      </x:c>
      <x:c r="I79" t="str">
        <x:v>ok</x:v>
      </x:c>
      <x:c r="J79"/>
      <x:c r="K79" t="n">
        <x:v>46139</x:v>
      </x:c>
      <x:c r="L79" t="n">
        <x:v>46139</x:v>
      </x:c>
      <x:c r="M79" t="str">
        <x:v>Gebucht</x:v>
      </x:c>
      <x:c r="N79" t="str">
        <x:v>Caritasverband fur die Diozese Hildesheim e.V.</x:v>
      </x:c>
      <x:c r="O79" t="str">
        <x:v>KOHLENBERG LARS</x:v>
      </x:c>
      <x:c r="P79" t="str">
        <x:v>GEHALT 4/26</x:v>
      </x:c>
      <x:c r="Q79" t="str">
        <x:v>Eingang</x:v>
      </x:c>
      <x:c r="R79" t="str">
        <x:v>DE46400602650023003301</x:v>
      </x:c>
      <x:c r="S79" t="n">
        <x:v>7818.53</x:v>
      </x:c>
      <x:c r="T79" t="str">
        <x:v>"</x:v>
      </x:c>
      <x:c r="U79" t="str">
        <x:v>"</x:v>
      </x:c>
      <x:c r="V79" t="str">
        <x:v>001001987662SALA231544003</x:v>
      </x:c>
    </x:row>
    <x:row r="80">
      <x:c r="A80" t="str">
        <x:v>RAW-IMP-20260516-FULLDRAFT-000063</x:v>
      </x:c>
      <x:c r="B80" t="str">
        <x:v>IMP-20260516-FULLDRAFT</x:v>
      </x:c>
      <x:c r="C80" t="str">
        <x:v>KTO001</x:v>
      </x:c>
      <x:c r="D80" t="str">
        <x:v>16-05-2026_Umsatzliste_Girokonto_DE98120300001061711675.csv</x:v>
      </x:c>
      <x:c r="E80" t="n">
        <x:v>46163</x:v>
      </x:c>
      <x:c r="F80" t="n">
        <x:v>63</x:v>
      </x:c>
      <x:c r="G80" t="str">
        <x:v>bf5ff39e8197f89a4f156d39bf306dd8d9d619bb083bc67d63a266de55372996</x:v>
      </x:c>
      <x:c r="H80" t="str">
        <x:v>neu</x:v>
      </x:c>
      <x:c r="I80" t="str">
        <x:v>ok</x:v>
      </x:c>
      <x:c r="J80"/>
      <x:c r="K80" t="n">
        <x:v>46139</x:v>
      </x:c>
      <x:c r="L80" t="n">
        <x:v>46139</x:v>
      </x:c>
      <x:c r="M80" t="str">
        <x:v>Gebucht</x:v>
      </x:c>
      <x:c r="N80" t="str">
        <x:v>ISSUER</x:v>
      </x:c>
      <x:c r="O80" t="str">
        <x:v>REWE.Salzgitter.Ge/Salzgitter</x:v>
      </x:c>
      <x:c r="P80" t="str">
        <x:v>VISA Debitkartenumsatz vom 24.04.2026</x:v>
      </x:c>
      <x:c r="Q80" t="str">
        <x:v>Ausgang</x:v>
      </x:c>
      <x:c r="R80" t="str">
        <x:v>DE96120300009005290904</x:v>
      </x:c>
      <x:c r="S80" t="n">
        <x:v>-27.61</x:v>
      </x:c>
      <x:c r="T80" t="str">
        <x:v>"</x:v>
      </x:c>
      <x:c r="U80" t="str">
        <x:v>"</x:v>
      </x:c>
      <x:c r="V80" t="str">
        <x:v>486114217031640</x:v>
      </x:c>
    </x:row>
    <x:row r="81">
      <x:c r="A81" t="str">
        <x:v>RAW-IMP-20260516-FULLDRAFT-000064</x:v>
      </x:c>
      <x:c r="B81" t="str">
        <x:v>IMP-20260516-FULLDRAFT</x:v>
      </x:c>
      <x:c r="C81" t="str">
        <x:v>KTO001</x:v>
      </x:c>
      <x:c r="D81" t="str">
        <x:v>16-05-2026_Umsatzliste_Girokonto_DE98120300001061711675.csv</x:v>
      </x:c>
      <x:c r="E81" t="n">
        <x:v>46163</x:v>
      </x:c>
      <x:c r="F81" t="n">
        <x:v>64</x:v>
      </x:c>
      <x:c r="G81" t="str">
        <x:v>e1aded8cd2267941bd55905549c3f18c63bece390a3ed0b57171b627c76c7591</x:v>
      </x:c>
      <x:c r="H81" t="str">
        <x:v>neu</x:v>
      </x:c>
      <x:c r="I81" t="str">
        <x:v>ok</x:v>
      </x:c>
      <x:c r="J81"/>
      <x:c r="K81" t="n">
        <x:v>46139</x:v>
      </x:c>
      <x:c r="L81" t="n">
        <x:v>46139</x:v>
      </x:c>
      <x:c r="M81" t="str">
        <x:v>Gebucht</x:v>
      </x:c>
      <x:c r="N81" t="str">
        <x:v>ISSUER</x:v>
      </x:c>
      <x:c r="O81" t="str">
        <x:v>PARKHAUS.STEINSTRASSE/BRAUNSCHWEIG</x:v>
      </x:c>
      <x:c r="P81" t="str">
        <x:v>VISA Debitkartenumsatz vom 25.04.2026</x:v>
      </x:c>
      <x:c r="Q81" t="str">
        <x:v>Ausgang</x:v>
      </x:c>
      <x:c r="R81" t="str">
        <x:v>DE96120300009005290904</x:v>
      </x:c>
      <x:c r="S81" t="n">
        <x:v>-5.4</x:v>
      </x:c>
      <x:c r="T81" t="str">
        <x:v>"</x:v>
      </x:c>
      <x:c r="U81" t="str">
        <x:v>"</x:v>
      </x:c>
      <x:c r="V81" t="str">
        <x:v>486115690081878</x:v>
      </x:c>
    </x:row>
    <x:row r="82">
      <x:c r="A82" t="str">
        <x:v>RAW-IMP-20260516-FULLDRAFT-000065</x:v>
      </x:c>
      <x:c r="B82" t="str">
        <x:v>IMP-20260516-FULLDRAFT</x:v>
      </x:c>
      <x:c r="C82" t="str">
        <x:v>KTO001</x:v>
      </x:c>
      <x:c r="D82" t="str">
        <x:v>16-05-2026_Umsatzliste_Girokonto_DE98120300001061711675.csv</x:v>
      </x:c>
      <x:c r="E82" t="n">
        <x:v>46163</x:v>
      </x:c>
      <x:c r="F82" t="n">
        <x:v>65</x:v>
      </x:c>
      <x:c r="G82" t="str">
        <x:v>8cbabb61e0ba96f1f907f0c083afe8fef25a6d550fb1b4acacb095b3db277c55</x:v>
      </x:c>
      <x:c r="H82" t="str">
        <x:v>neu</x:v>
      </x:c>
      <x:c r="I82" t="str">
        <x:v>ok</x:v>
      </x:c>
      <x:c r="J82"/>
      <x:c r="K82" t="n">
        <x:v>46139</x:v>
      </x:c>
      <x:c r="L82" t="n">
        <x:v>46139</x:v>
      </x:c>
      <x:c r="M82" t="str">
        <x:v>Gebucht</x:v>
      </x:c>
      <x:c r="N82" t="str">
        <x:v>ISSUER</x:v>
      </x:c>
      <x:c r="O82" t="str">
        <x:v>PARKHAUS.STEINSTRASSE/BRAUNSCHWEIG</x:v>
      </x:c>
      <x:c r="P82" t="str">
        <x:v>VISA Debitkartenumsatz vom 25.04.2026</x:v>
      </x:c>
      <x:c r="Q82" t="str">
        <x:v>Ausgang</x:v>
      </x:c>
      <x:c r="R82" t="str">
        <x:v>DE96120300009005290904</x:v>
      </x:c>
      <x:c r="S82" t="n">
        <x:v>-5.4</x:v>
      </x:c>
      <x:c r="T82" t="str">
        <x:v>"</x:v>
      </x:c>
      <x:c r="U82" t="str">
        <x:v>"</x:v>
      </x:c>
      <x:c r="V82" t="str">
        <x:v>486115689785532</x:v>
      </x:c>
    </x:row>
    <x:row r="83">
      <x:c r="A83" t="str">
        <x:v>RAW-IMP-20260516-FULLDRAFT-000066</x:v>
      </x:c>
      <x:c r="B83" t="str">
        <x:v>IMP-20260516-FULLDRAFT</x:v>
      </x:c>
      <x:c r="C83" t="str">
        <x:v>KTO001</x:v>
      </x:c>
      <x:c r="D83" t="str">
        <x:v>16-05-2026_Umsatzliste_Girokonto_DE98120300001061711675.csv</x:v>
      </x:c>
      <x:c r="E83" t="n">
        <x:v>46163</x:v>
      </x:c>
      <x:c r="F83" t="n">
        <x:v>66</x:v>
      </x:c>
      <x:c r="G83" t="str">
        <x:v>8f140b651c70523062afe65ec28fb0cc28133b062284ae8cf4a85f01c6a15cc0</x:v>
      </x:c>
      <x:c r="H83" t="str">
        <x:v>neu</x:v>
      </x:c>
      <x:c r="I83" t="str">
        <x:v>ok</x:v>
      </x:c>
      <x:c r="J83"/>
      <x:c r="K83" t="n">
        <x:v>46139</x:v>
      </x:c>
      <x:c r="L83" t="n">
        <x:v>46139</x:v>
      </x:c>
      <x:c r="M83" t="str">
        <x:v>Gebucht</x:v>
      </x:c>
      <x:c r="N83" t="str">
        <x:v>ISSUER</x:v>
      </x:c>
      <x:c r="O83" t="str">
        <x:v>G.rtnerei.Starke.Nachfo/Salzgitter</x:v>
      </x:c>
      <x:c r="P83" t="str">
        <x:v>VISA Debitkartenumsatz vom 24.04.2026</x:v>
      </x:c>
      <x:c r="Q83" t="str">
        <x:v>Ausgang</x:v>
      </x:c>
      <x:c r="R83" t="str">
        <x:v>DE96120300009005290904</x:v>
      </x:c>
      <x:c r="S83" t="n">
        <x:v>-25</x:v>
      </x:c>
      <x:c r="T83" t="str">
        <x:v>"</x:v>
      </x:c>
      <x:c r="U83" t="str">
        <x:v>"</x:v>
      </x:c>
      <x:c r="V83" t="str">
        <x:v>486114516989384</x:v>
      </x:c>
    </x:row>
    <x:row r="84">
      <x:c r="A84" t="str">
        <x:v>RAW-IMP-20260516-FULLDRAFT-000067</x:v>
      </x:c>
      <x:c r="B84" t="str">
        <x:v>IMP-20260516-FULLDRAFT</x:v>
      </x:c>
      <x:c r="C84" t="str">
        <x:v>KTO001</x:v>
      </x:c>
      <x:c r="D84" t="str">
        <x:v>16-05-2026_Umsatzliste_Girokonto_DE98120300001061711675.csv</x:v>
      </x:c>
      <x:c r="E84" t="n">
        <x:v>46163</x:v>
      </x:c>
      <x:c r="F84" t="n">
        <x:v>67</x:v>
      </x:c>
      <x:c r="G84" t="str">
        <x:v>090043916ff5ea11ddd144c387edd0d001b8131a873b7632d9e971b7ee61fc55</x:v>
      </x:c>
      <x:c r="H84" t="str">
        <x:v>neu</x:v>
      </x:c>
      <x:c r="I84" t="str">
        <x:v>ok</x:v>
      </x:c>
      <x:c r="J84"/>
      <x:c r="K84" t="n">
        <x:v>46139</x:v>
      </x:c>
      <x:c r="L84" t="n">
        <x:v>46139</x:v>
      </x:c>
      <x:c r="M84" t="str">
        <x:v>Gebucht</x:v>
      </x:c>
      <x:c r="N84" t="str">
        <x:v>ISSUER</x:v>
      </x:c>
      <x:c r="O84" t="str">
        <x:v>LOEWENBAECKER.SCHAPER/SALZGITTER</x:v>
      </x:c>
      <x:c r="P84" t="str">
        <x:v>VISA Debitkartenumsatz vom 24.04.2026</x:v>
      </x:c>
      <x:c r="Q84" t="str">
        <x:v>Ausgang</x:v>
      </x:c>
      <x:c r="R84" t="str">
        <x:v>DE96120300009005290904</x:v>
      </x:c>
      <x:c r="S84" t="n">
        <x:v>-2.7</x:v>
      </x:c>
      <x:c r="T84" t="str">
        <x:v>"</x:v>
      </x:c>
      <x:c r="U84" t="str">
        <x:v>"</x:v>
      </x:c>
      <x:c r="V84" t="str">
        <x:v>486114218128965</x:v>
      </x:c>
    </x:row>
    <x:row r="85">
      <x:c r="A85" t="str">
        <x:v>RAW-IMP-20260516-FULLDRAFT-000068</x:v>
      </x:c>
      <x:c r="B85" t="str">
        <x:v>IMP-20260516-FULLDRAFT</x:v>
      </x:c>
      <x:c r="C85" t="str">
        <x:v>KTO001</x:v>
      </x:c>
      <x:c r="D85" t="str">
        <x:v>16-05-2026_Umsatzliste_Girokonto_DE98120300001061711675.csv</x:v>
      </x:c>
      <x:c r="E85" t="n">
        <x:v>46163</x:v>
      </x:c>
      <x:c r="F85" t="n">
        <x:v>68</x:v>
      </x:c>
      <x:c r="G85" t="str">
        <x:v>24c29b28a6ff28fe58968711105491cc38f3223b3d313dd2534ce21985560da0</x:v>
      </x:c>
      <x:c r="H85" t="str">
        <x:v>neu</x:v>
      </x:c>
      <x:c r="I85" t="str">
        <x:v>ok</x:v>
      </x:c>
      <x:c r="J85"/>
      <x:c r="K85" t="n">
        <x:v>46136</x:v>
      </x:c>
      <x:c r="L85" t="n">
        <x:v>46136</x:v>
      </x:c>
      <x:c r="M85" t="str">
        <x:v>Gebucht</x:v>
      </x:c>
      <x:c r="N85" t="str">
        <x:v>ISSUER</x:v>
      </x:c>
      <x:c r="O85" t="str">
        <x:v>AMZN.Mktp.DE.NZ5QE3D64/AMZN.COM.BILL</x:v>
      </x:c>
      <x:c r="P85" t="str">
        <x:v>VISA Debitkartenumsatz vom 23.04.2026</x:v>
      </x:c>
      <x:c r="Q85" t="str">
        <x:v>Ausgang</x:v>
      </x:c>
      <x:c r="R85" t="str">
        <x:v>DE96120300009005290904</x:v>
      </x:c>
      <x:c r="S85" t="n">
        <x:v>-11.97</x:v>
      </x:c>
      <x:c r="T85" t="str">
        <x:v>"</x:v>
      </x:c>
      <x:c r="U85" t="str">
        <x:v>"</x:v>
      </x:c>
      <x:c r="V85" t="str">
        <x:v>486113466937052</x:v>
      </x:c>
    </x:row>
    <x:row r="86">
      <x:c r="A86" t="str">
        <x:v>RAW-IMP-20260516-FULLDRAFT-000069</x:v>
      </x:c>
      <x:c r="B86" t="str">
        <x:v>IMP-20260516-FULLDRAFT</x:v>
      </x:c>
      <x:c r="C86" t="str">
        <x:v>KTO001</x:v>
      </x:c>
      <x:c r="D86" t="str">
        <x:v>16-05-2026_Umsatzliste_Girokonto_DE98120300001061711675.csv</x:v>
      </x:c>
      <x:c r="E86" t="n">
        <x:v>46163</x:v>
      </x:c>
      <x:c r="F86" t="n">
        <x:v>69</x:v>
      </x:c>
      <x:c r="G86" t="str">
        <x:v>dc8e4288517919b620026908fb61a98f3e8dcef03025a8c04a1b901f4fc89e08</x:v>
      </x:c>
      <x:c r="H86" t="str">
        <x:v>neu</x:v>
      </x:c>
      <x:c r="I86" t="str">
        <x:v>ok</x:v>
      </x:c>
      <x:c r="J86"/>
      <x:c r="K86" t="n">
        <x:v>46136</x:v>
      </x:c>
      <x:c r="L86" t="n">
        <x:v>46136</x:v>
      </x:c>
      <x:c r="M86" t="str">
        <x:v>Gebucht</x:v>
      </x:c>
      <x:c r="N86" t="str">
        <x:v>ISSUER</x:v>
      </x:c>
      <x:c r="O86" t="str">
        <x:v>REWE.Salzgitter.Ge/Salzgitter</x:v>
      </x:c>
      <x:c r="P86" t="str">
        <x:v>VISA Debitkartenumsatz vom 23.04.2026</x:v>
      </x:c>
      <x:c r="Q86" t="str">
        <x:v>Ausgang</x:v>
      </x:c>
      <x:c r="R86" t="str">
        <x:v>DE96120300009005290904</x:v>
      </x:c>
      <x:c r="S86" t="n">
        <x:v>-32.19</x:v>
      </x:c>
      <x:c r="T86" t="str">
        <x:v>"</x:v>
      </x:c>
      <x:c r="U86" t="str">
        <x:v>"</x:v>
      </x:c>
      <x:c r="V86" t="str">
        <x:v>486113357179456</x:v>
      </x:c>
    </x:row>
    <x:row r="87">
      <x:c r="A87" t="str">
        <x:v>RAW-IMP-20260516-FULLDRAFT-000070</x:v>
      </x:c>
      <x:c r="B87" t="str">
        <x:v>IMP-20260516-FULLDRAFT</x:v>
      </x:c>
      <x:c r="C87" t="str">
        <x:v>KTO001</x:v>
      </x:c>
      <x:c r="D87" t="str">
        <x:v>16-05-2026_Umsatzliste_Girokonto_DE98120300001061711675.csv</x:v>
      </x:c>
      <x:c r="E87" t="n">
        <x:v>46163</x:v>
      </x:c>
      <x:c r="F87" t="n">
        <x:v>70</x:v>
      </x:c>
      <x:c r="G87" t="str">
        <x:v>56a12d8ab4fe49d132bd1549293f25980e4287a286d4327e71418bbe016f0e47</x:v>
      </x:c>
      <x:c r="H87" t="str">
        <x:v>neu</x:v>
      </x:c>
      <x:c r="I87" t="str">
        <x:v>ok</x:v>
      </x:c>
      <x:c r="J87"/>
      <x:c r="K87" t="n">
        <x:v>46136</x:v>
      </x:c>
      <x:c r="L87" t="n">
        <x:v>46136</x:v>
      </x:c>
      <x:c r="M87" t="str">
        <x:v>Gebucht</x:v>
      </x:c>
      <x:c r="N87" t="str">
        <x:v>ISSUER</x:v>
      </x:c>
      <x:c r="O87" t="str">
        <x:v>IONITY.GmbH/Munich</x:v>
      </x:c>
      <x:c r="P87" t="str">
        <x:v>VISA Debitkartenumsatz</x:v>
      </x:c>
      <x:c r="Q87" t="str">
        <x:v>Ausgang</x:v>
      </x:c>
      <x:c r="R87" t="str">
        <x:v>DE96120300009005290904</x:v>
      </x:c>
      <x:c r="S87" t="n">
        <x:v>-11.99</x:v>
      </x:c>
      <x:c r="T87" t="str">
        <x:v>"</x:v>
      </x:c>
      <x:c r="U87" t="str">
        <x:v>"</x:v>
      </x:c>
      <x:c r="V87" t="str">
        <x:v>486112806617042</x:v>
      </x:c>
    </x:row>
    <x:row r="88">
      <x:c r="A88" t="str">
        <x:v>RAW-IMP-20260516-FULLDRAFT-000071</x:v>
      </x:c>
      <x:c r="B88" t="str">
        <x:v>IMP-20260516-FULLDRAFT</x:v>
      </x:c>
      <x:c r="C88" t="str">
        <x:v>KTO001</x:v>
      </x:c>
      <x:c r="D88" t="str">
        <x:v>16-05-2026_Umsatzliste_Girokonto_DE98120300001061711675.csv</x:v>
      </x:c>
      <x:c r="E88" t="n">
        <x:v>46163</x:v>
      </x:c>
      <x:c r="F88" t="n">
        <x:v>71</x:v>
      </x:c>
      <x:c r="G88" t="str">
        <x:v>314e3df5f429d1bb2e1901c121cc6f966de0d746d0426855a235b3fd56cbb802</x:v>
      </x:c>
      <x:c r="H88" t="str">
        <x:v>neu</x:v>
      </x:c>
      <x:c r="I88" t="str">
        <x:v>ok</x:v>
      </x:c>
      <x:c r="J88"/>
      <x:c r="K88" t="n">
        <x:v>46136</x:v>
      </x:c>
      <x:c r="L88" t="n">
        <x:v>46136</x:v>
      </x:c>
      <x:c r="M88" t="str">
        <x:v>Gebucht</x:v>
      </x:c>
      <x:c r="N88" t="str">
        <x:v>ISSUER</x:v>
      </x:c>
      <x:c r="O88" t="str">
        <x:v>Ad.free.for..NZ0KO66O4/4.4.2012E.11</x:v>
      </x:c>
      <x:c r="P88" t="str">
        <x:v>VISA Debitkartenumsatz vom 23.04.2026</x:v>
      </x:c>
      <x:c r="Q88" t="str">
        <x:v>Ausgang</x:v>
      </x:c>
      <x:c r="R88" t="str">
        <x:v>DE96120300009005290904</x:v>
      </x:c>
      <x:c r="S88" t="n">
        <x:v>-2.99</x:v>
      </x:c>
      <x:c r="T88" t="str">
        <x:v>"</x:v>
      </x:c>
      <x:c r="U88" t="str">
        <x:v>"</x:v>
      </x:c>
      <x:c r="V88" t="str">
        <x:v>486113716614305</x:v>
      </x:c>
    </x:row>
    <x:row r="89">
      <x:c r="A89" t="str">
        <x:v>RAW-IMP-20260516-FULLDRAFT-000072</x:v>
      </x:c>
      <x:c r="B89" t="str">
        <x:v>IMP-20260516-FULLDRAFT</x:v>
      </x:c>
      <x:c r="C89" t="str">
        <x:v>KTO001</x:v>
      </x:c>
      <x:c r="D89" t="str">
        <x:v>16-05-2026_Umsatzliste_Girokonto_DE98120300001061711675.csv</x:v>
      </x:c>
      <x:c r="E89" t="n">
        <x:v>46163</x:v>
      </x:c>
      <x:c r="F89" t="n">
        <x:v>72</x:v>
      </x:c>
      <x:c r="G89" t="str">
        <x:v>4a348d2291795f8b9d7f2c3e2a9de810aa5bd0c35008bfccc2da2560aa5513a7</x:v>
      </x:c>
      <x:c r="H89" t="str">
        <x:v>neu</x:v>
      </x:c>
      <x:c r="I89" t="str">
        <x:v>ok</x:v>
      </x:c>
      <x:c r="J89"/>
      <x:c r="K89" t="n">
        <x:v>46135</x:v>
      </x:c>
      <x:c r="L89" t="n">
        <x:v>46135</x:v>
      </x:c>
      <x:c r="M89" t="str">
        <x:v>Gebucht</x:v>
      </x:c>
      <x:c r="N89" t="str">
        <x:v>ISSUER</x:v>
      </x:c>
      <x:c r="O89" t="str">
        <x:v>Globus.Baumarkt/Salzgitter</x:v>
      </x:c>
      <x:c r="P89" t="str">
        <x:v>VISA Debitkartenumsatz vom 22.04.2026</x:v>
      </x:c>
      <x:c r="Q89" t="str">
        <x:v>Ausgang</x:v>
      </x:c>
      <x:c r="R89" t="str">
        <x:v>DE96120300009005290904</x:v>
      </x:c>
      <x:c r="S89" t="n">
        <x:v>-7.79</x:v>
      </x:c>
      <x:c r="T89" t="str">
        <x:v>"</x:v>
      </x:c>
      <x:c r="U89" t="str">
        <x:v>"</x:v>
      </x:c>
      <x:c r="V89" t="str">
        <x:v>486112557370241</x:v>
      </x:c>
    </x:row>
    <x:row r="90">
      <x:c r="A90" t="str">
        <x:v>RAW-IMP-20260516-FULLDRAFT-000073</x:v>
      </x:c>
      <x:c r="B90" t="str">
        <x:v>IMP-20260516-FULLDRAFT</x:v>
      </x:c>
      <x:c r="C90" t="str">
        <x:v>KTO001</x:v>
      </x:c>
      <x:c r="D90" t="str">
        <x:v>16-05-2026_Umsatzliste_Girokonto_DE98120300001061711675.csv</x:v>
      </x:c>
      <x:c r="E90" t="n">
        <x:v>46163</x:v>
      </x:c>
      <x:c r="F90" t="n">
        <x:v>73</x:v>
      </x:c>
      <x:c r="G90" t="str">
        <x:v>00e0d6ae3a58c75b28953311a570e57f53acf27edd429adace9b38f84319bcde</x:v>
      </x:c>
      <x:c r="H90" t="str">
        <x:v>neu</x:v>
      </x:c>
      <x:c r="I90" t="str">
        <x:v>ok</x:v>
      </x:c>
      <x:c r="J90"/>
      <x:c r="K90" t="n">
        <x:v>46135</x:v>
      </x:c>
      <x:c r="L90" t="n">
        <x:v>46135</x:v>
      </x:c>
      <x:c r="M90" t="str">
        <x:v>Gebucht</x:v>
      </x:c>
      <x:c r="N90" t="str">
        <x:v>ISSUER</x:v>
      </x:c>
      <x:c r="O90" t="str">
        <x:v>AMZN.Mktp.DE.NZ48D8V34/AMZN.COM.BILL</x:v>
      </x:c>
      <x:c r="P90" t="str">
        <x:v>VISA Debitkartenumsatz vom 22.04.2026</x:v>
      </x:c>
      <x:c r="Q90" t="str">
        <x:v>Ausgang</x:v>
      </x:c>
      <x:c r="R90" t="str">
        <x:v>DE96120300009005290904</x:v>
      </x:c>
      <x:c r="S90" t="n">
        <x:v>-7.7</x:v>
      </x:c>
      <x:c r="T90" t="str">
        <x:v>"</x:v>
      </x:c>
      <x:c r="U90" t="str">
        <x:v>"</x:v>
      </x:c>
      <x:c r="V90" t="str">
        <x:v>486112455727858</x:v>
      </x:c>
    </x:row>
    <x:row r="91">
      <x:c r="A91" t="str">
        <x:v>RAW-IMP-20260516-FULLDRAFT-000074</x:v>
      </x:c>
      <x:c r="B91" t="str">
        <x:v>IMP-20260516-FULLDRAFT</x:v>
      </x:c>
      <x:c r="C91" t="str">
        <x:v>KTO001</x:v>
      </x:c>
      <x:c r="D91" t="str">
        <x:v>16-05-2026_Umsatzliste_Girokonto_DE98120300001061711675.csv</x:v>
      </x:c>
      <x:c r="E91" t="n">
        <x:v>46163</x:v>
      </x:c>
      <x:c r="F91" t="n">
        <x:v>74</x:v>
      </x:c>
      <x:c r="G91" t="str">
        <x:v>58e5a12f689d1f28b64f818f27da889c36fd5d3f66a9f100af6a7543ee1aa820</x:v>
      </x:c>
      <x:c r="H91" t="str">
        <x:v>neu</x:v>
      </x:c>
      <x:c r="I91" t="str">
        <x:v>ok</x:v>
      </x:c>
      <x:c r="J91"/>
      <x:c r="K91" t="n">
        <x:v>46135</x:v>
      </x:c>
      <x:c r="L91" t="n">
        <x:v>46135</x:v>
      </x:c>
      <x:c r="M91" t="str">
        <x:v>Gebucht</x:v>
      </x:c>
      <x:c r="N91" t="str">
        <x:v>ISSUER</x:v>
      </x:c>
      <x:c r="O91" t="str">
        <x:v>Lidl.sagt.Danke/Salzgitter</x:v>
      </x:c>
      <x:c r="P91" t="str">
        <x:v>VISA Debitkartenumsatz vom 22.04.2026</x:v>
      </x:c>
      <x:c r="Q91" t="str">
        <x:v>Ausgang</x:v>
      </x:c>
      <x:c r="R91" t="str">
        <x:v>DE96120300009005290904</x:v>
      </x:c>
      <x:c r="S91" t="n">
        <x:v>-38.01</x:v>
      </x:c>
      <x:c r="T91" t="str">
        <x:v>"</x:v>
      </x:c>
      <x:c r="U91" t="str">
        <x:v>"</x:v>
      </x:c>
      <x:c r="V91" t="str">
        <x:v>486112368059119</x:v>
      </x:c>
    </x:row>
    <x:row r="92">
      <x:c r="A92" t="str">
        <x:v>RAW-IMP-20260516-FULLDRAFT-000075</x:v>
      </x:c>
      <x:c r="B92" t="str">
        <x:v>IMP-20260516-FULLDRAFT</x:v>
      </x:c>
      <x:c r="C92" t="str">
        <x:v>KTO001</x:v>
      </x:c>
      <x:c r="D92" t="str">
        <x:v>16-05-2026_Umsatzliste_Girokonto_DE98120300001061711675.csv</x:v>
      </x:c>
      <x:c r="E92" t="n">
        <x:v>46163</x:v>
      </x:c>
      <x:c r="F92" t="n">
        <x:v>75</x:v>
      </x:c>
      <x:c r="G92" t="str">
        <x:v>c772bbc913b596f7fc69a17e59dfcbd16733b18fe047193a62d173081c3a9154</x:v>
      </x:c>
      <x:c r="H92" t="str">
        <x:v>neu</x:v>
      </x:c>
      <x:c r="I92" t="str">
        <x:v>ok</x:v>
      </x:c>
      <x:c r="J92"/>
      <x:c r="K92" t="n">
        <x:v>46135</x:v>
      </x:c>
      <x:c r="L92" t="n">
        <x:v>46135</x:v>
      </x:c>
      <x:c r="M92" t="str">
        <x:v>Gebucht</x:v>
      </x:c>
      <x:c r="N92" t="str">
        <x:v>Lars Kohlenberg</x:v>
      </x:c>
      <x:c r="O92" t="str">
        <x:v>Drillisch Online GmbH                                                 Lindleystrase 11, 60314 Frankfurt am Main</x:v>
      </x:c>
      <x:c r="P92" t="str">
        <x:v>C0851820 U792295653 B907179182 winSIM</x:v>
      </x:c>
      <x:c r="Q92" t="str">
        <x:v>Ausgang</x:v>
      </x:c>
      <x:c r="R92" t="str">
        <x:v>DE87300500000008996811</x:v>
      </x:c>
      <x:c r="S92" t="n">
        <x:v>-6.99</x:v>
      </x:c>
      <x:c r="T92" t="str">
        <x:v>DE40ZZZ00000206926</x:v>
      </x:c>
      <x:c r="U92" t="str">
        <x:v>FB1310D094B04186E02ACE7B8C6</x:v>
      </x:c>
      <x:c r="V92" t="str">
        <x:v>C0851820+U792295653</x:v>
      </x:c>
    </x:row>
    <x:row r="93">
      <x:c r="A93" t="str">
        <x:v>RAW-IMP-20260516-FULLDRAFT-000076</x:v>
      </x:c>
      <x:c r="B93" t="str">
        <x:v>IMP-20260516-FULLDRAFT</x:v>
      </x:c>
      <x:c r="C93" t="str">
        <x:v>KTO001</x:v>
      </x:c>
      <x:c r="D93" t="str">
        <x:v>16-05-2026_Umsatzliste_Girokonto_DE98120300001061711675.csv</x:v>
      </x:c>
      <x:c r="E93" t="n">
        <x:v>46163</x:v>
      </x:c>
      <x:c r="F93" t="n">
        <x:v>76</x:v>
      </x:c>
      <x:c r="G93" t="str">
        <x:v>7babfaa952c5417d8ab927499eb6f81a35fc545b2801cc144d65410ddb3d3e6e</x:v>
      </x:c>
      <x:c r="H93" t="str">
        <x:v>neu</x:v>
      </x:c>
      <x:c r="I93" t="str">
        <x:v>ok</x:v>
      </x:c>
      <x:c r="J93"/>
      <x:c r="K93" t="n">
        <x:v>46135</x:v>
      </x:c>
      <x:c r="L93" t="n">
        <x:v>46134</x:v>
      </x:c>
      <x:c r="M93" t="str">
        <x:v>Gebucht</x:v>
      </x:c>
      <x:c r="N93" t="str">
        <x:v>Lars Kohlenberg</x:v>
      </x:c>
      <x:c r="O93" t="str">
        <x:v>Lea Sophie Kohlenberg</x:v>
      </x:c>
      <x:c r="P93" t="str">
        <x:v>Rest vom Amazon Gutschein</x:v>
      </x:c>
      <x:c r="Q93" t="str">
        <x:v>Ausgang</x:v>
      </x:c>
      <x:c r="R93" t="str">
        <x:v>DE89269910662833344000</x:v>
      </x:c>
      <x:c r="S93" t="n">
        <x:v>-17</x:v>
      </x:c>
      <x:c r="T93" t="str">
        <x:v>"</x:v>
      </x:c>
      <x:c r="U93" t="str">
        <x:v>"</x:v>
      </x:c>
      <x:c r="V93" t="str">
        <x:v>"</x:v>
      </x:c>
    </x:row>
    <x:row r="94">
      <x:c r="A94" t="str">
        <x:v>RAW-IMP-20260516-FULLDRAFT-000077</x:v>
      </x:c>
      <x:c r="B94" t="str">
        <x:v>IMP-20260516-FULLDRAFT</x:v>
      </x:c>
      <x:c r="C94" t="str">
        <x:v>KTO001</x:v>
      </x:c>
      <x:c r="D94" t="str">
        <x:v>16-05-2026_Umsatzliste_Girokonto_DE98120300001061711675.csv</x:v>
      </x:c>
      <x:c r="E94" t="n">
        <x:v>46163</x:v>
      </x:c>
      <x:c r="F94" t="n">
        <x:v>77</x:v>
      </x:c>
      <x:c r="G94" t="str">
        <x:v>466b3f6c8f1197e9b8e3b9e5db60b866157596ec2c370a09452f0e4d2390b566</x:v>
      </x:c>
      <x:c r="H94" t="str">
        <x:v>neu</x:v>
      </x:c>
      <x:c r="I94" t="str">
        <x:v>ok</x:v>
      </x:c>
      <x:c r="J94"/>
      <x:c r="K94" t="n">
        <x:v>46134</x:v>
      </x:c>
      <x:c r="L94" t="n">
        <x:v>46134</x:v>
      </x:c>
      <x:c r="M94" t="str">
        <x:v>Gebucht</x:v>
      </x:c>
      <x:c r="N94" t="str">
        <x:v>ISSUER</x:v>
      </x:c>
      <x:c r="O94" t="str">
        <x:v>ANTHROPIC/ANTHROPIC.COM</x:v>
      </x:c>
      <x:c r="P94" t="str">
        <x:v>VISA Debitkartenumsatz vom 21.04.2026</x:v>
      </x:c>
      <x:c r="Q94" t="str">
        <x:v>Ausgang</x:v>
      </x:c>
      <x:c r="R94" t="str">
        <x:v>DE96120300009005290904</x:v>
      </x:c>
      <x:c r="S94" t="n">
        <x:v>-45.52</x:v>
      </x:c>
      <x:c r="T94" t="str">
        <x:v>"</x:v>
      </x:c>
      <x:c r="U94" t="str">
        <x:v>"</x:v>
      </x:c>
      <x:c r="V94" t="str">
        <x:v>386111593742557</x:v>
      </x:c>
    </x:row>
    <x:row r="95">
      <x:c r="A95" t="str">
        <x:v>RAW-IMP-20260516-FULLDRAFT-000078</x:v>
      </x:c>
      <x:c r="B95" t="str">
        <x:v>IMP-20260516-FULLDRAFT</x:v>
      </x:c>
      <x:c r="C95" t="str">
        <x:v>KTO001</x:v>
      </x:c>
      <x:c r="D95" t="str">
        <x:v>16-05-2026_Umsatzliste_Girokonto_DE98120300001061711675.csv</x:v>
      </x:c>
      <x:c r="E95" t="n">
        <x:v>46163</x:v>
      </x:c>
      <x:c r="F95" t="n">
        <x:v>78</x:v>
      </x:c>
      <x:c r="G95" t="str">
        <x:v>ccaa975462ff0a2b50827534e632bb17f27d346316bec5006f17db5343217f6c</x:v>
      </x:c>
      <x:c r="H95" t="str">
        <x:v>neu</x:v>
      </x:c>
      <x:c r="I95" t="str">
        <x:v>ok</x:v>
      </x:c>
      <x:c r="J95"/>
      <x:c r="K95" t="n">
        <x:v>46134</x:v>
      </x:c>
      <x:c r="L95" t="n">
        <x:v>46134</x:v>
      </x:c>
      <x:c r="M95" t="str">
        <x:v>Gebucht</x:v>
      </x:c>
      <x:c r="N95" t="str">
        <x:v>Lars Kohlenberg</x:v>
      </x:c>
      <x:c r="O95" t="str">
        <x:v>Drillisch Online GmbH                                                 Lindleystrase 11, 60314 Frankfurt am Main</x:v>
      </x:c>
      <x:c r="P95" t="str">
        <x:v>C0851820 U794112141 B907869853 winSIM</x:v>
      </x:c>
      <x:c r="Q95" t="str">
        <x:v>Ausgang</x:v>
      </x:c>
      <x:c r="R95" t="str">
        <x:v>DE87300500000008996811</x:v>
      </x:c>
      <x:c r="S95" t="n">
        <x:v>-6.99</x:v>
      </x:c>
      <x:c r="T95" t="str">
        <x:v>DE40ZZZ00000206926</x:v>
      </x:c>
      <x:c r="U95" t="str">
        <x:v>FB1310D094B04186E02ACE7B8C6</x:v>
      </x:c>
      <x:c r="V95" t="str">
        <x:v>C0851820+U794112141</x:v>
      </x:c>
    </x:row>
    <x:row r="96">
      <x:c r="A96" t="str">
        <x:v>RAW-IMP-20260516-FULLDRAFT-000079</x:v>
      </x:c>
      <x:c r="B96" t="str">
        <x:v>IMP-20260516-FULLDRAFT</x:v>
      </x:c>
      <x:c r="C96" t="str">
        <x:v>KTO001</x:v>
      </x:c>
      <x:c r="D96" t="str">
        <x:v>16-05-2026_Umsatzliste_Girokonto_DE98120300001061711675.csv</x:v>
      </x:c>
      <x:c r="E96" t="n">
        <x:v>46163</x:v>
      </x:c>
      <x:c r="F96" t="n">
        <x:v>79</x:v>
      </x:c>
      <x:c r="G96" t="str">
        <x:v>abb3e4368b52f21639c02ca8ee923f244e2b393aa5c7ee13875dc8f7f88545f9</x:v>
      </x:c>
      <x:c r="H96" t="str">
        <x:v>neu</x:v>
      </x:c>
      <x:c r="I96" t="str">
        <x:v>ok</x:v>
      </x:c>
      <x:c r="J96"/>
      <x:c r="K96" t="n">
        <x:v>46133</x:v>
      </x:c>
      <x:c r="L96" t="n">
        <x:v>46133</x:v>
      </x:c>
      <x:c r="M96" t="str">
        <x:v>Gebucht</x:v>
      </x:c>
      <x:c r="N96" t="str">
        <x:v>ISSUER</x:v>
      </x:c>
      <x:c r="O96" t="str">
        <x:v>E.CENTER.3443.SALZGITT/SALZGITTER</x:v>
      </x:c>
      <x:c r="P96" t="str">
        <x:v>VISA Debitkartenumsatz vom 20.04.2026</x:v>
      </x:c>
      <x:c r="Q96" t="str">
        <x:v>Ausgang</x:v>
      </x:c>
      <x:c r="R96" t="str">
        <x:v>DE96120300009005290904</x:v>
      </x:c>
      <x:c r="S96" t="n">
        <x:v>-3.95</x:v>
      </x:c>
      <x:c r="T96" t="str">
        <x:v>"</x:v>
      </x:c>
      <x:c r="U96" t="str">
        <x:v>"</x:v>
      </x:c>
      <x:c r="V96" t="str">
        <x:v>486110578259343</x:v>
      </x:c>
    </x:row>
    <x:row r="97">
      <x:c r="A97" t="str">
        <x:v>RAW-IMP-20260516-FULLDRAFT-000080</x:v>
      </x:c>
      <x:c r="B97" t="str">
        <x:v>IMP-20260516-FULLDRAFT</x:v>
      </x:c>
      <x:c r="C97" t="str">
        <x:v>KTO001</x:v>
      </x:c>
      <x:c r="D97" t="str">
        <x:v>16-05-2026_Umsatzliste_Girokonto_DE98120300001061711675.csv</x:v>
      </x:c>
      <x:c r="E97" t="n">
        <x:v>46163</x:v>
      </x:c>
      <x:c r="F97" t="n">
        <x:v>80</x:v>
      </x:c>
      <x:c r="G97" t="str">
        <x:v>0e3c7bb5de8df48856cb5c836fe0fb273eee7bc020db6ca46103a931b9b1e025</x:v>
      </x:c>
      <x:c r="H97" t="str">
        <x:v>neu</x:v>
      </x:c>
      <x:c r="I97" t="str">
        <x:v>ok</x:v>
      </x:c>
      <x:c r="J97"/>
      <x:c r="K97" t="n">
        <x:v>46133</x:v>
      </x:c>
      <x:c r="L97" t="n">
        <x:v>46133</x:v>
      </x:c>
      <x:c r="M97" t="str">
        <x:v>Gebucht</x:v>
      </x:c>
      <x:c r="N97" t="str">
        <x:v>Lars Kohlenberg</x:v>
      </x:c>
      <x:c r="O97" t="str">
        <x:v>Drillisch Online GmbH                                                 Lindleystrase 11, 60314 Frankfurt am Main</x:v>
      </x:c>
      <x:c r="P97" t="str">
        <x:v>C0851820 U791279359 B907379602 winSIM</x:v>
      </x:c>
      <x:c r="Q97" t="str">
        <x:v>Ausgang</x:v>
      </x:c>
      <x:c r="R97" t="str">
        <x:v>DE87300500000008996811</x:v>
      </x:c>
      <x:c r="S97" t="n">
        <x:v>-6.99</x:v>
      </x:c>
      <x:c r="T97" t="str">
        <x:v>DE40ZZZ00000206926</x:v>
      </x:c>
      <x:c r="U97" t="str">
        <x:v>FB1310D094B04186E02ACE7B8C6</x:v>
      </x:c>
      <x:c r="V97" t="str">
        <x:v>C0851820+U791279359</x:v>
      </x:c>
    </x:row>
    <x:row r="98">
      <x:c r="A98" t="str">
        <x:v>RAW-IMP-20260516-FULLDRAFT-000081</x:v>
      </x:c>
      <x:c r="B98" t="str">
        <x:v>IMP-20260516-FULLDRAFT</x:v>
      </x:c>
      <x:c r="C98" t="str">
        <x:v>KTO001</x:v>
      </x:c>
      <x:c r="D98" t="str">
        <x:v>16-05-2026_Umsatzliste_Girokonto_DE98120300001061711675.csv</x:v>
      </x:c>
      <x:c r="E98" t="n">
        <x:v>46163</x:v>
      </x:c>
      <x:c r="F98" t="n">
        <x:v>81</x:v>
      </x:c>
      <x:c r="G98" t="str">
        <x:v>30b76615fc87669b25d076789b7f8233769500ee7015bbd794dde71ebb3a1b9f</x:v>
      </x:c>
      <x:c r="H98" t="str">
        <x:v>neu</x:v>
      </x:c>
      <x:c r="I98" t="str">
        <x:v>ok</x:v>
      </x:c>
      <x:c r="J98"/>
      <x:c r="K98" t="n">
        <x:v>46132</x:v>
      </x:c>
      <x:c r="L98" t="n">
        <x:v>46132</x:v>
      </x:c>
      <x:c r="M98" t="str">
        <x:v>Gebucht</x:v>
      </x:c>
      <x:c r="N98" t="str">
        <x:v>ISSUER</x:v>
      </x:c>
      <x:c r="O98" t="str">
        <x:v>PAYPAL..HPDEUTSCHLA/4029357733</x:v>
      </x:c>
      <x:c r="P98" t="str">
        <x:v>VISA Debitkartenumsatz vom 19.04.2026</x:v>
      </x:c>
      <x:c r="Q98" t="str">
        <x:v>Ausgang</x:v>
      </x:c>
      <x:c r="R98" t="str">
        <x:v>DE96120300009005290904</x:v>
      </x:c>
      <x:c r="S98" t="n">
        <x:v>-4.99</x:v>
      </x:c>
      <x:c r="T98" t="str">
        <x:v>"</x:v>
      </x:c>
      <x:c r="U98" t="str">
        <x:v>"</x:v>
      </x:c>
      <x:c r="V98" t="str">
        <x:v>586109464410119</x:v>
      </x:c>
    </x:row>
    <x:row r="99">
      <x:c r="A99" t="str">
        <x:v>RAW-IMP-20260516-FULLDRAFT-000082</x:v>
      </x:c>
      <x:c r="B99" t="str">
        <x:v>IMP-20260516-FULLDRAFT</x:v>
      </x:c>
      <x:c r="C99" t="str">
        <x:v>KTO001</x:v>
      </x:c>
      <x:c r="D99" t="str">
        <x:v>16-05-2026_Umsatzliste_Girokonto_DE98120300001061711675.csv</x:v>
      </x:c>
      <x:c r="E99" t="n">
        <x:v>46163</x:v>
      </x:c>
      <x:c r="F99" t="n">
        <x:v>82</x:v>
      </x:c>
      <x:c r="G99" t="str">
        <x:v>30e2cd607747c241b224f5b872eb29aef9127764fd4efeab26d5f24ff9358c0d</x:v>
      </x:c>
      <x:c r="H99" t="str">
        <x:v>neu</x:v>
      </x:c>
      <x:c r="I99" t="str">
        <x:v>ok</x:v>
      </x:c>
      <x:c r="J99"/>
      <x:c r="K99" t="n">
        <x:v>46132</x:v>
      </x:c>
      <x:c r="L99" t="n">
        <x:v>46132</x:v>
      </x:c>
      <x:c r="M99" t="str">
        <x:v>Gebucht</x:v>
      </x:c>
      <x:c r="N99" t="str">
        <x:v>ISSUER</x:v>
      </x:c>
      <x:c r="O99" t="str">
        <x:v>LOEWENBAECKER.SCHAPER/SALZGITTER</x:v>
      </x:c>
      <x:c r="P99" t="str">
        <x:v>VISA Debitkartenumsatz vom 17.04.2026</x:v>
      </x:c>
      <x:c r="Q99" t="str">
        <x:v>Ausgang</x:v>
      </x:c>
      <x:c r="R99" t="str">
        <x:v>DE96120300009005290904</x:v>
      </x:c>
      <x:c r="S99" t="n">
        <x:v>-3.24</x:v>
      </x:c>
      <x:c r="T99" t="str">
        <x:v>"</x:v>
      </x:c>
      <x:c r="U99" t="str">
        <x:v>"</x:v>
      </x:c>
      <x:c r="V99" t="str">
        <x:v>486107257004812</x:v>
      </x:c>
    </x:row>
    <x:row r="100">
      <x:c r="A100" t="str">
        <x:v>RAW-IMP-20260516-FULLDRAFT-000083</x:v>
      </x:c>
      <x:c r="B100" t="str">
        <x:v>IMP-20260516-FULLDRAFT</x:v>
      </x:c>
      <x:c r="C100" t="str">
        <x:v>KTO001</x:v>
      </x:c>
      <x:c r="D100" t="str">
        <x:v>16-05-2026_Umsatzliste_Girokonto_DE98120300001061711675.csv</x:v>
      </x:c>
      <x:c r="E100" t="n">
        <x:v>46163</x:v>
      </x:c>
      <x:c r="F100" t="n">
        <x:v>83</x:v>
      </x:c>
      <x:c r="G100" t="str">
        <x:v>52a3f62e7ef84ef4a17701fdf3ecccbd145bea2d34ec49357fc2079fb372fda2</x:v>
      </x:c>
      <x:c r="H100" t="str">
        <x:v>neu</x:v>
      </x:c>
      <x:c r="I100" t="str">
        <x:v>ok</x:v>
      </x:c>
      <x:c r="J100"/>
      <x:c r="K100" t="n">
        <x:v>46132</x:v>
      </x:c>
      <x:c r="L100" t="n">
        <x:v>46132</x:v>
      </x:c>
      <x:c r="M100" t="str">
        <x:v>Gebucht</x:v>
      </x:c>
      <x:c r="N100" t="str">
        <x:v>ISSUER</x:v>
      </x:c>
      <x:c r="O100" t="str">
        <x:v>REWE.Salzgitter.Ge/Salzgitter</x:v>
      </x:c>
      <x:c r="P100" t="str">
        <x:v>VISA Debitkartenumsatz vom 17.04.2026</x:v>
      </x:c>
      <x:c r="Q100" t="str">
        <x:v>Ausgang</x:v>
      </x:c>
      <x:c r="R100" t="str">
        <x:v>DE96120300009005290904</x:v>
      </x:c>
      <x:c r="S100" t="n">
        <x:v>-14.11</x:v>
      </x:c>
      <x:c r="T100" t="str">
        <x:v>"</x:v>
      </x:c>
      <x:c r="U100" t="str">
        <x:v>"</x:v>
      </x:c>
      <x:c r="V100" t="str">
        <x:v>486107609934021</x:v>
      </x:c>
    </x:row>
    <x:row r="101">
      <x:c r="A101" t="str">
        <x:v>RAW-IMP-20260516-FULLDRAFT-000084</x:v>
      </x:c>
      <x:c r="B101" t="str">
        <x:v>IMP-20260516-FULLDRAFT</x:v>
      </x:c>
      <x:c r="C101" t="str">
        <x:v>KTO001</x:v>
      </x:c>
      <x:c r="D101" t="str">
        <x:v>16-05-2026_Umsatzliste_Girokonto_DE98120300001061711675.csv</x:v>
      </x:c>
      <x:c r="E101" t="n">
        <x:v>46163</x:v>
      </x:c>
      <x:c r="F101" t="n">
        <x:v>84</x:v>
      </x:c>
      <x:c r="G101" t="str">
        <x:v>712faead1f0732a73bdd9d0bc8ff131d82a87c18249a410b300ed2e1d730959e</x:v>
      </x:c>
      <x:c r="H101" t="str">
        <x:v>neu</x:v>
      </x:c>
      <x:c r="I101" t="str">
        <x:v>ok</x:v>
      </x:c>
      <x:c r="J101"/>
      <x:c r="K101" t="n">
        <x:v>46132</x:v>
      </x:c>
      <x:c r="L101" t="n">
        <x:v>46132</x:v>
      </x:c>
      <x:c r="M101" t="str">
        <x:v>Gebucht</x:v>
      </x:c>
      <x:c r="N101" t="str">
        <x:v>ISSUER</x:v>
      </x:c>
      <x:c r="O101" t="str">
        <x:v>PAYPAL..CTS.EVENTIM/1721060698</x:v>
      </x:c>
      <x:c r="P101" t="str">
        <x:v>VISA Debitkartenumsatz vom 17.04.2026</x:v>
      </x:c>
      <x:c r="Q101" t="str">
        <x:v>Ausgang</x:v>
      </x:c>
      <x:c r="R101" t="str">
        <x:v>DE96120300009005290904</x:v>
      </x:c>
      <x:c r="S101" t="n">
        <x:v>-223.95</x:v>
      </x:c>
      <x:c r="T101" t="str">
        <x:v>"</x:v>
      </x:c>
      <x:c r="U101" t="str">
        <x:v>"</x:v>
      </x:c>
      <x:c r="V101" t="str">
        <x:v>306107291927578</x:v>
      </x:c>
    </x:row>
    <x:row r="102">
      <x:c r="A102" t="str">
        <x:v>RAW-IMP-20260516-FULLDRAFT-000085</x:v>
      </x:c>
      <x:c r="B102" t="str">
        <x:v>IMP-20260516-FULLDRAFT</x:v>
      </x:c>
      <x:c r="C102" t="str">
        <x:v>KTO001</x:v>
      </x:c>
      <x:c r="D102" t="str">
        <x:v>16-05-2026_Umsatzliste_Girokonto_DE98120300001061711675.csv</x:v>
      </x:c>
      <x:c r="E102" t="n">
        <x:v>46163</x:v>
      </x:c>
      <x:c r="F102" t="n">
        <x:v>85</x:v>
      </x:c>
      <x:c r="G102" t="str">
        <x:v>9d76387dc40ab936d871d8d0f4287445534b4db322f232850ccdf0c7edc13bc5</x:v>
      </x:c>
      <x:c r="H102" t="str">
        <x:v>neu</x:v>
      </x:c>
      <x:c r="I102" t="str">
        <x:v>ok</x:v>
      </x:c>
      <x:c r="J102"/>
      <x:c r="K102" t="n">
        <x:v>46132</x:v>
      </x:c>
      <x:c r="L102" t="n">
        <x:v>46132</x:v>
      </x:c>
      <x:c r="M102" t="str">
        <x:v>Gebucht</x:v>
      </x:c>
      <x:c r="N102" t="str">
        <x:v>ISSUER</x:v>
      </x:c>
      <x:c r="O102" t="str">
        <x:v>REWE.Salzgitter.Ge/Salzgitter</x:v>
      </x:c>
      <x:c r="P102" t="str">
        <x:v>VISA Debitkartenumsatz vom 17.04.2026</x:v>
      </x:c>
      <x:c r="Q102" t="str">
        <x:v>Ausgang</x:v>
      </x:c>
      <x:c r="R102" t="str">
        <x:v>DE96120300009005290904</x:v>
      </x:c>
      <x:c r="S102" t="n">
        <x:v>-12.74</x:v>
      </x:c>
      <x:c r="T102" t="str">
        <x:v>"</x:v>
      </x:c>
      <x:c r="U102" t="str">
        <x:v>"</x:v>
      </x:c>
      <x:c r="V102" t="str">
        <x:v>486107256483322</x:v>
      </x:c>
    </x:row>
    <x:row r="103">
      <x:c r="A103" t="str">
        <x:v>RAW-IMP-20260516-FULLDRAFT-000086</x:v>
      </x:c>
      <x:c r="B103" t="str">
        <x:v>IMP-20260516-FULLDRAFT</x:v>
      </x:c>
      <x:c r="C103" t="str">
        <x:v>KTO001</x:v>
      </x:c>
      <x:c r="D103" t="str">
        <x:v>16-05-2026_Umsatzliste_Girokonto_DE98120300001061711675.csv</x:v>
      </x:c>
      <x:c r="E103" t="n">
        <x:v>46163</x:v>
      </x:c>
      <x:c r="F103" t="n">
        <x:v>86</x:v>
      </x:c>
      <x:c r="G103" t="str">
        <x:v>3ea74b68dc98fac7de0fed87e71d3ff47d7b149294ce4cce15a5af5b97787b37</x:v>
      </x:c>
      <x:c r="H103" t="str">
        <x:v>neu</x:v>
      </x:c>
      <x:c r="I103" t="str">
        <x:v>ok</x:v>
      </x:c>
      <x:c r="J103"/>
      <x:c r="K103" t="n">
        <x:v>46132</x:v>
      </x:c>
      <x:c r="L103" t="n">
        <x:v>46132</x:v>
      </x:c>
      <x:c r="M103" t="str">
        <x:v>Gebucht</x:v>
      </x:c>
      <x:c r="N103" t="str">
        <x:v>ISSUER</x:v>
      </x:c>
      <x:c r="O103" t="str">
        <x:v>PAYPAL..CTS.EVENTIM/1721060698</x:v>
      </x:c>
      <x:c r="P103" t="str">
        <x:v>VISA Debitkartenumsatz vom 17.04.2026</x:v>
      </x:c>
      <x:c r="Q103" t="str">
        <x:v>Ausgang</x:v>
      </x:c>
      <x:c r="R103" t="str">
        <x:v>DE96120300009005290904</x:v>
      </x:c>
      <x:c r="S103" t="n">
        <x:v>-325.85</x:v>
      </x:c>
      <x:c r="T103" t="str">
        <x:v>"</x:v>
      </x:c>
      <x:c r="U103" t="str">
        <x:v>"</x:v>
      </x:c>
      <x:c r="V103" t="str">
        <x:v>466107295082238</x:v>
      </x:c>
    </x:row>
    <x:row r="104">
      <x:c r="A104" t="str">
        <x:v>RAW-IMP-20260516-FULLDRAFT-000087</x:v>
      </x:c>
      <x:c r="B104" t="str">
        <x:v>IMP-20260516-FULLDRAFT</x:v>
      </x:c>
      <x:c r="C104" t="str">
        <x:v>KTO001</x:v>
      </x:c>
      <x:c r="D104" t="str">
        <x:v>16-05-2026_Umsatzliste_Girokonto_DE98120300001061711675.csv</x:v>
      </x:c>
      <x:c r="E104" t="n">
        <x:v>46163</x:v>
      </x:c>
      <x:c r="F104" t="n">
        <x:v>87</x:v>
      </x:c>
      <x:c r="G104" t="str">
        <x:v>e20c0745c128ce148c4c3a9b4a963f6a74bdbfb0943f98aa7fe80ab056667d2f</x:v>
      </x:c>
      <x:c r="H104" t="str">
        <x:v>neu</x:v>
      </x:c>
      <x:c r="I104" t="str">
        <x:v>ok</x:v>
      </x:c>
      <x:c r="J104"/>
      <x:c r="K104" t="n">
        <x:v>46132</x:v>
      </x:c>
      <x:c r="L104" t="n">
        <x:v>46132</x:v>
      </x:c>
      <x:c r="M104" t="str">
        <x:v>Gebucht</x:v>
      </x:c>
      <x:c r="N104" t="str">
        <x:v>Lars Kohlenberg</x:v>
      </x:c>
      <x:c r="O104" t="str">
        <x:v>Lars Kohlenberg</x:v>
      </x:c>
      <x:c r="P104" t="str">
        <x:v>Autostadt Konzerte</x:v>
      </x:c>
      <x:c r="Q104" t="str">
        <x:v>Eingang</x:v>
      </x:c>
      <x:c r="R104" t="str">
        <x:v>DE91270200001510365800</x:v>
      </x:c>
      <x:c r="S104" t="n">
        <x:v>500</x:v>
      </x:c>
      <x:c r="T104" t="str">
        <x:v>"</x:v>
      </x:c>
      <x:c r="U104" t="str">
        <x:v>"</x:v>
      </x:c>
      <x:c r="V104" t="str">
        <x:v>"</x:v>
      </x:c>
    </x:row>
    <x:row r="105">
      <x:c r="A105" t="str">
        <x:v>RAW-IMP-20260516-FULLDRAFT-000088</x:v>
      </x:c>
      <x:c r="B105" t="str">
        <x:v>IMP-20260516-FULLDRAFT</x:v>
      </x:c>
      <x:c r="C105" t="str">
        <x:v>KTO001</x:v>
      </x:c>
      <x:c r="D105" t="str">
        <x:v>16-05-2026_Umsatzliste_Girokonto_DE98120300001061711675.csv</x:v>
      </x:c>
      <x:c r="E105" t="n">
        <x:v>46163</x:v>
      </x:c>
      <x:c r="F105" t="n">
        <x:v>88</x:v>
      </x:c>
      <x:c r="G105" t="str">
        <x:v>0473076760c1f260fc3bd21ba68552266e844f94463e4363b09fc4cc7ed55461</x:v>
      </x:c>
      <x:c r="H105" t="str">
        <x:v>neu</x:v>
      </x:c>
      <x:c r="I105" t="str">
        <x:v>ok</x:v>
      </x:c>
      <x:c r="J105"/>
      <x:c r="K105" t="n">
        <x:v>46129</x:v>
      </x:c>
      <x:c r="L105" t="n">
        <x:v>46129</x:v>
      </x:c>
      <x:c r="M105" t="str">
        <x:v>Gebucht</x:v>
      </x:c>
      <x:c r="N105" t="str">
        <x:v>ISSUER</x:v>
      </x:c>
      <x:c r="O105" t="str">
        <x:v>CLAUDE.AI.SUBSCRIPTION/ANTHROPIC.COM</x:v>
      </x:c>
      <x:c r="P105" t="str">
        <x:v>VISA Debitkartenumsatz vom 16.04.2026</x:v>
      </x:c>
      <x:c r="Q105" t="str">
        <x:v>Ausgang</x:v>
      </x:c>
      <x:c r="R105" t="str">
        <x:v>DE96120300009005290904</x:v>
      </x:c>
      <x:c r="S105" t="n">
        <x:v>-21.42</x:v>
      </x:c>
      <x:c r="T105" t="str">
        <x:v>"</x:v>
      </x:c>
      <x:c r="U105" t="str">
        <x:v>"</x:v>
      </x:c>
      <x:c r="V105" t="str">
        <x:v>306106618404739</x:v>
      </x:c>
    </x:row>
    <x:row r="106">
      <x:c r="A106" t="str">
        <x:v>RAW-IMP-20260516-FULLDRAFT-000089</x:v>
      </x:c>
      <x:c r="B106" t="str">
        <x:v>IMP-20260516-FULLDRAFT</x:v>
      </x:c>
      <x:c r="C106" t="str">
        <x:v>KTO001</x:v>
      </x:c>
      <x:c r="D106" t="str">
        <x:v>16-05-2026_Umsatzliste_Girokonto_DE98120300001061711675.csv</x:v>
      </x:c>
      <x:c r="E106" t="n">
        <x:v>46163</x:v>
      </x:c>
      <x:c r="F106" t="n">
        <x:v>89</x:v>
      </x:c>
      <x:c r="G106" t="str">
        <x:v>8b34f2d6e40616e0bab256ee7dd85d915df14bf2759bb0c0d8d1ffd080d67d87</x:v>
      </x:c>
      <x:c r="H106" t="str">
        <x:v>neu</x:v>
      </x:c>
      <x:c r="I106" t="str">
        <x:v>ok</x:v>
      </x:c>
      <x:c r="J106"/>
      <x:c r="K106" t="n">
        <x:v>46129</x:v>
      </x:c>
      <x:c r="L106" t="n">
        <x:v>46129</x:v>
      </x:c>
      <x:c r="M106" t="str">
        <x:v>Gebucht</x:v>
      </x:c>
      <x:c r="N106" t="str">
        <x:v>ISSUER</x:v>
      </x:c>
      <x:c r="O106" t="str">
        <x:v>Globus.Baumarkt/Salzgitter</x:v>
      </x:c>
      <x:c r="P106" t="str">
        <x:v>VISA Debitkartenumsatz vom 16.04.2026</x:v>
      </x:c>
      <x:c r="Q106" t="str">
        <x:v>Ausgang</x:v>
      </x:c>
      <x:c r="R106" t="str">
        <x:v>DE96120300009005290904</x:v>
      </x:c>
      <x:c r="S106" t="n">
        <x:v>-37.78</x:v>
      </x:c>
      <x:c r="T106" t="str">
        <x:v>"</x:v>
      </x:c>
      <x:c r="U106" t="str">
        <x:v>"</x:v>
      </x:c>
      <x:c r="V106" t="str">
        <x:v>386106556623663</x:v>
      </x:c>
    </x:row>
    <x:row r="107">
      <x:c r="A107" t="str">
        <x:v>RAW-IMP-20260516-FULLDRAFT-000090</x:v>
      </x:c>
      <x:c r="B107" t="str">
        <x:v>IMP-20260516-FULLDRAFT</x:v>
      </x:c>
      <x:c r="C107" t="str">
        <x:v>KTO001</x:v>
      </x:c>
      <x:c r="D107" t="str">
        <x:v>16-05-2026_Umsatzliste_Girokonto_DE98120300001061711675.csv</x:v>
      </x:c>
      <x:c r="E107" t="n">
        <x:v>46163</x:v>
      </x:c>
      <x:c r="F107" t="n">
        <x:v>90</x:v>
      </x:c>
      <x:c r="G107" t="str">
        <x:v>fb661a5939caaf91a0477a8fdaa7d4cc49be7a79d8118bf969ead678e56338df</x:v>
      </x:c>
      <x:c r="H107" t="str">
        <x:v>neu</x:v>
      </x:c>
      <x:c r="I107" t="str">
        <x:v>ok</x:v>
      </x:c>
      <x:c r="J107"/>
      <x:c r="K107" t="n">
        <x:v>46129</x:v>
      </x:c>
      <x:c r="L107" t="n">
        <x:v>46129</x:v>
      </x:c>
      <x:c r="M107" t="str">
        <x:v>Gebucht</x:v>
      </x:c>
      <x:c r="N107" t="str">
        <x:v>Lars Kohlenberg</x:v>
      </x:c>
      <x:c r="O107" t="str">
        <x:v>Lars Kohlenberg</x:v>
      </x:c>
      <x:c r="P107" t="str">
        <x:v>UEbertrag</x:v>
      </x:c>
      <x:c r="Q107" t="str">
        <x:v>Eingang</x:v>
      </x:c>
      <x:c r="R107" t="str">
        <x:v>DE91270200001510365800</x:v>
      </x:c>
      <x:c r="S107" t="n">
        <x:v>400</x:v>
      </x:c>
      <x:c r="T107" t="str">
        <x:v>"</x:v>
      </x:c>
      <x:c r="U107" t="str">
        <x:v>"</x:v>
      </x:c>
      <x:c r="V107" t="str">
        <x:v>"</x:v>
      </x:c>
    </x:row>
    <x:row r="108">
      <x:c r="A108" t="str">
        <x:v>RAW-IMP-20260516-FULLDRAFT-000091</x:v>
      </x:c>
      <x:c r="B108" t="str">
        <x:v>IMP-20260516-FULLDRAFT</x:v>
      </x:c>
      <x:c r="C108" t="str">
        <x:v>KTO001</x:v>
      </x:c>
      <x:c r="D108" t="str">
        <x:v>16-05-2026_Umsatzliste_Girokonto_DE98120300001061711675.csv</x:v>
      </x:c>
      <x:c r="E108" t="n">
        <x:v>46163</x:v>
      </x:c>
      <x:c r="F108" t="n">
        <x:v>91</x:v>
      </x:c>
      <x:c r="G108" t="str">
        <x:v>41763cf0a8f547011c3d9baa72114bdec54c04a2e029ad54defdc9f873a66e27</x:v>
      </x:c>
      <x:c r="H108" t="str">
        <x:v>neu</x:v>
      </x:c>
      <x:c r="I108" t="str">
        <x:v>ok</x:v>
      </x:c>
      <x:c r="J108"/>
      <x:c r="K108" t="n">
        <x:v>46128</x:v>
      </x:c>
      <x:c r="L108" t="n">
        <x:v>46128</x:v>
      </x:c>
      <x:c r="M108" t="str">
        <x:v>Gebucht</x:v>
      </x:c>
      <x:c r="N108" t="str">
        <x:v>ISSUER</x:v>
      </x:c>
      <x:c r="O108" t="str">
        <x:v>Lidl.sagt.Danke/Salzgitter</x:v>
      </x:c>
      <x:c r="P108" t="str">
        <x:v>VISA Debitkartenumsatz vom 15.04.2026</x:v>
      </x:c>
      <x:c r="Q108" t="str">
        <x:v>Ausgang</x:v>
      </x:c>
      <x:c r="R108" t="str">
        <x:v>DE96120300009005290904</x:v>
      </x:c>
      <x:c r="S108" t="n">
        <x:v>-9.95</x:v>
      </x:c>
      <x:c r="T108" t="str">
        <x:v>"</x:v>
      </x:c>
      <x:c r="U108" t="str">
        <x:v>"</x:v>
      </x:c>
      <x:c r="V108" t="str">
        <x:v>486105484365207</x:v>
      </x:c>
    </x:row>
    <x:row r="109">
      <x:c r="A109" t="str">
        <x:v>RAW-IMP-20260516-FULLDRAFT-000092</x:v>
      </x:c>
      <x:c r="B109" t="str">
        <x:v>IMP-20260516-FULLDRAFT</x:v>
      </x:c>
      <x:c r="C109" t="str">
        <x:v>KTO001</x:v>
      </x:c>
      <x:c r="D109" t="str">
        <x:v>16-05-2026_Umsatzliste_Girokonto_DE98120300001061711675.csv</x:v>
      </x:c>
      <x:c r="E109" t="n">
        <x:v>46163</x:v>
      </x:c>
      <x:c r="F109" t="n">
        <x:v>92</x:v>
      </x:c>
      <x:c r="G109" t="str">
        <x:v>d6b243c7f122a3b471b925e5e462401bd38705cf67c1d75be7abe5701ca22cce</x:v>
      </x:c>
      <x:c r="H109" t="str">
        <x:v>neu</x:v>
      </x:c>
      <x:c r="I109" t="str">
        <x:v>ok</x:v>
      </x:c>
      <x:c r="J109"/>
      <x:c r="K109" t="n">
        <x:v>46127</x:v>
      </x:c>
      <x:c r="L109" t="n">
        <x:v>46127</x:v>
      </x:c>
      <x:c r="M109" t="str">
        <x:v>Gebucht</x:v>
      </x:c>
      <x:c r="N109" t="str">
        <x:v>ISSUER</x:v>
      </x:c>
      <x:c r="O109" t="str">
        <x:v>REWE.Salzgitter.Ge/Salzgitter</x:v>
      </x:c>
      <x:c r="P109" t="str">
        <x:v>VISA Debitkartenumsatz vom 14.04.2026</x:v>
      </x:c>
      <x:c r="Q109" t="str">
        <x:v>Ausgang</x:v>
      </x:c>
      <x:c r="R109" t="str">
        <x:v>DE96120300009005290904</x:v>
      </x:c>
      <x:c r="S109" t="n">
        <x:v>-14.71</x:v>
      </x:c>
      <x:c r="T109" t="str">
        <x:v>"</x:v>
      </x:c>
      <x:c r="U109" t="str">
        <x:v>"</x:v>
      </x:c>
      <x:c r="V109" t="str">
        <x:v>486104368335986</x:v>
      </x:c>
    </x:row>
    <x:row r="110">
      <x:c r="A110" t="str">
        <x:v>RAW-IMP-20260516-FULLDRAFT-000093</x:v>
      </x:c>
      <x:c r="B110" t="str">
        <x:v>IMP-20260516-FULLDRAFT</x:v>
      </x:c>
      <x:c r="C110" t="str">
        <x:v>KTO001</x:v>
      </x:c>
      <x:c r="D110" t="str">
        <x:v>16-05-2026_Umsatzliste_Girokonto_DE98120300001061711675.csv</x:v>
      </x:c>
      <x:c r="E110" t="n">
        <x:v>46163</x:v>
      </x:c>
      <x:c r="F110" t="n">
        <x:v>93</x:v>
      </x:c>
      <x:c r="G110" t="str">
        <x:v>5e558188b97a14733a01869b7ee224196bc61bd6d980ad4b1d1b8e8dbe2c839a</x:v>
      </x:c>
      <x:c r="H110" t="str">
        <x:v>neu</x:v>
      </x:c>
      <x:c r="I110" t="str">
        <x:v>ok</x:v>
      </x:c>
      <x:c r="J110"/>
      <x:c r="K110" t="n">
        <x:v>46127</x:v>
      </x:c>
      <x:c r="L110" t="n">
        <x:v>46127</x:v>
      </x:c>
      <x:c r="M110" t="str">
        <x:v>Gebucht</x:v>
      </x:c>
      <x:c r="N110" t="str">
        <x:v>Kohlenberg</x:v>
      </x:c>
      <x:c r="O110" t="str">
        <x:v>TANZSCHULE KWIATKOWSKI GBR</x:v>
      </x:c>
      <x:c r="P110" t="str">
        <x:v>R-SB0000077514-A0000004652,SB2143 2-2026 - 4.2026,Lars Kohlenberg</x:v>
      </x:c>
      <x:c r="Q110" t="str">
        <x:v>Ausgang</x:v>
      </x:c>
      <x:c r="R110" t="str">
        <x:v>DE61259501300096212535</x:v>
      </x:c>
      <x:c r="S110" t="n">
        <x:v>-98</x:v>
      </x:c>
      <x:c r="T110" t="str">
        <x:v>DE79ZZZ00002474666</x:v>
      </x:c>
      <x:c r="U110" t="str">
        <x:v>TM004652-000265</x:v>
      </x:c>
      <x:c r="V110" t="str">
        <x:v>R-SB00077514</x:v>
      </x:c>
    </x:row>
    <x:row r="111">
      <x:c r="A111" t="str">
        <x:v>RAW-IMP-20260516-FULLDRAFT-000094</x:v>
      </x:c>
      <x:c r="B111" t="str">
        <x:v>IMP-20260516-FULLDRAFT</x:v>
      </x:c>
      <x:c r="C111" t="str">
        <x:v>KTO001</x:v>
      </x:c>
      <x:c r="D111" t="str">
        <x:v>16-05-2026_Umsatzliste_Girokonto_DE98120300001061711675.csv</x:v>
      </x:c>
      <x:c r="E111" t="n">
        <x:v>46163</x:v>
      </x:c>
      <x:c r="F111" t="n">
        <x:v>94</x:v>
      </x:c>
      <x:c r="G111" t="str">
        <x:v>e422ead9e4d82b7ee9de57619c59788f4caa4ff3943943ffaed85e64f345184d</x:v>
      </x:c>
      <x:c r="H111" t="str">
        <x:v>neu</x:v>
      </x:c>
      <x:c r="I111" t="str">
        <x:v>ok</x:v>
      </x:c>
      <x:c r="J111"/>
      <x:c r="K111" t="n">
        <x:v>46126</x:v>
      </x:c>
      <x:c r="L111" t="n">
        <x:v>46126</x:v>
      </x:c>
      <x:c r="M111" t="str">
        <x:v>Gebucht</x:v>
      </x:c>
      <x:c r="N111" t="str">
        <x:v>ISSUER</x:v>
      </x:c>
      <x:c r="O111" t="str">
        <x:v>OPENROUTER..INC/OPENROUTER.AI</x:v>
      </x:c>
      <x:c r="P111" t="str">
        <x:v>VISA Debitkartenumsatz vom 13.04.2026 in Fremdwährung / Ursprungsbetrag in Fremdwährung 12,85 USD / Umrechnungsrate: 1 Euro=1,16712090 USD</x:v>
      </x:c>
      <x:c r="Q111" t="str">
        <x:v>Ausgang</x:v>
      </x:c>
      <x:c r="R111" t="str">
        <x:v>DE96120300009005290904</x:v>
      </x:c>
      <x:c r="S111" t="n">
        <x:v>-11.01</x:v>
      </x:c>
      <x:c r="T111" t="str">
        <x:v>"</x:v>
      </x:c>
      <x:c r="U111" t="str">
        <x:v>"</x:v>
      </x:c>
      <x:c r="V111" t="str">
        <x:v>346103352431625</x:v>
      </x:c>
    </x:row>
    <x:row r="112">
      <x:c r="A112" t="str">
        <x:v>RAW-IMP-20260516-FULLDRAFT-000095</x:v>
      </x:c>
      <x:c r="B112" t="str">
        <x:v>IMP-20260516-FULLDRAFT</x:v>
      </x:c>
      <x:c r="C112" t="str">
        <x:v>KTO001</x:v>
      </x:c>
      <x:c r="D112" t="str">
        <x:v>16-05-2026_Umsatzliste_Girokonto_DE98120300001061711675.csv</x:v>
      </x:c>
      <x:c r="E112" t="n">
        <x:v>46163</x:v>
      </x:c>
      <x:c r="F112" t="n">
        <x:v>95</x:v>
      </x:c>
      <x:c r="G112" t="str">
        <x:v>733b81eb04bd4cdc8e13b4a737cf22e94a591496927a304de96fb5b31bfc3216</x:v>
      </x:c>
      <x:c r="H112" t="str">
        <x:v>neu</x:v>
      </x:c>
      <x:c r="I112" t="str">
        <x:v>ok</x:v>
      </x:c>
      <x:c r="J112"/>
      <x:c r="K112" t="n">
        <x:v>46126</x:v>
      </x:c>
      <x:c r="L112" t="n">
        <x:v>46126</x:v>
      </x:c>
      <x:c r="M112" t="str">
        <x:v>Gebucht</x:v>
      </x:c>
      <x:c r="N112" t="str">
        <x:v>ISSUER</x:v>
      </x:c>
      <x:c r="O112" t="str">
        <x:v>REWE.Salzgitter.Ge/Salzgitter</x:v>
      </x:c>
      <x:c r="P112" t="str">
        <x:v>VISA Debitkartenumsatz vom 13.04.2026</x:v>
      </x:c>
      <x:c r="Q112" t="str">
        <x:v>Ausgang</x:v>
      </x:c>
      <x:c r="R112" t="str">
        <x:v>DE96120300009005290904</x:v>
      </x:c>
      <x:c r="S112" t="n">
        <x:v>-13.52</x:v>
      </x:c>
      <x:c r="T112" t="str">
        <x:v>"</x:v>
      </x:c>
      <x:c r="U112" t="str">
        <x:v>"</x:v>
      </x:c>
      <x:c r="V112" t="str">
        <x:v>486103401206605</x:v>
      </x:c>
    </x:row>
    <x:row r="113">
      <x:c r="A113" t="str">
        <x:v>RAW-IMP-20260516-FULLDRAFT-000096</x:v>
      </x:c>
      <x:c r="B113" t="str">
        <x:v>IMP-20260516-FULLDRAFT</x:v>
      </x:c>
      <x:c r="C113" t="str">
        <x:v>KTO001</x:v>
      </x:c>
      <x:c r="D113" t="str">
        <x:v>16-05-2026_Umsatzliste_Girokonto_DE98120300001061711675.csv</x:v>
      </x:c>
      <x:c r="E113" t="n">
        <x:v>46163</x:v>
      </x:c>
      <x:c r="F113" t="n">
        <x:v>96</x:v>
      </x:c>
      <x:c r="G113" t="str">
        <x:v>3dedd2552aa7d38d4f01ac62da96bb69aa0b36cba2aca65679950e7ba5d9ebc1</x:v>
      </x:c>
      <x:c r="H113" t="str">
        <x:v>neu</x:v>
      </x:c>
      <x:c r="I113" t="str">
        <x:v>ok</x:v>
      </x:c>
      <x:c r="J113"/>
      <x:c r="K113" t="n">
        <x:v>46126</x:v>
      </x:c>
      <x:c r="L113" t="n">
        <x:v>46126</x:v>
      </x:c>
      <x:c r="M113" t="str">
        <x:v>Gebucht</x:v>
      </x:c>
      <x:c r="N113" t="str">
        <x:v>ISSUER</x:v>
      </x:c>
      <x:c r="O113" t="str">
        <x:v>Amazon.de.NW4WH7FG4/AMAZON.DE</x:v>
      </x:c>
      <x:c r="P113" t="str">
        <x:v>VISA Debitkartenumsatz vom 13.04.2026</x:v>
      </x:c>
      <x:c r="Q113" t="str">
        <x:v>Ausgang</x:v>
      </x:c>
      <x:c r="R113" t="str">
        <x:v>DE96120300009005290904</x:v>
      </x:c>
      <x:c r="S113" t="n">
        <x:v>-5.8</x:v>
      </x:c>
      <x:c r="T113" t="str">
        <x:v>"</x:v>
      </x:c>
      <x:c r="U113" t="str">
        <x:v>"</x:v>
      </x:c>
      <x:c r="V113" t="str">
        <x:v>486103177134320</x:v>
      </x:c>
    </x:row>
    <x:row r="114">
      <x:c r="A114" t="str">
        <x:v>RAW-IMP-20260516-FULLDRAFT-000097</x:v>
      </x:c>
      <x:c r="B114" t="str">
        <x:v>IMP-20260516-FULLDRAFT</x:v>
      </x:c>
      <x:c r="C114" t="str">
        <x:v>KTO001</x:v>
      </x:c>
      <x:c r="D114" t="str">
        <x:v>16-05-2026_Umsatzliste_Girokonto_DE98120300001061711675.csv</x:v>
      </x:c>
      <x:c r="E114" t="n">
        <x:v>46163</x:v>
      </x:c>
      <x:c r="F114" t="n">
        <x:v>97</x:v>
      </x:c>
      <x:c r="G114" t="str">
        <x:v>98e3a57fcf0d131bc98bed0af5884efc0e5dad928383db4d44ec7b27d9f099cb</x:v>
      </x:c>
      <x:c r="H114" t="str">
        <x:v>neu</x:v>
      </x:c>
      <x:c r="I114" t="str">
        <x:v>ok</x:v>
      </x:c>
      <x:c r="J114"/>
      <x:c r="K114" t="n">
        <x:v>46126</x:v>
      </x:c>
      <x:c r="L114" t="n">
        <x:v>46125</x:v>
      </x:c>
      <x:c r="M114" t="str">
        <x:v>Gebucht</x:v>
      </x:c>
      <x:c r="N114" t="str">
        <x:v>ISSUER</x:v>
      </x:c>
      <x:c r="O114" t="str">
        <x:v>BOSPORUS.GRILL/SALZGITTER</x:v>
      </x:c>
      <x:c r="P114" t="str">
        <x:v>VISA Debitkartenumsatz vom 12.04.2026</x:v>
      </x:c>
      <x:c r="Q114" t="str">
        <x:v>Ausgang</x:v>
      </x:c>
      <x:c r="R114" t="str">
        <x:v>DE96120300009005290904</x:v>
      </x:c>
      <x:c r="S114" t="n">
        <x:v>-21</x:v>
      </x:c>
      <x:c r="T114" t="str">
        <x:v>"</x:v>
      </x:c>
      <x:c r="U114" t="str">
        <x:v>"</x:v>
      </x:c>
      <x:c r="V114" t="str">
        <x:v>486102606986240</x:v>
      </x:c>
    </x:row>
    <x:row r="115">
      <x:c r="A115" t="str">
        <x:v>RAW-IMP-20260516-FULLDRAFT-000098</x:v>
      </x:c>
      <x:c r="B115" t="str">
        <x:v>IMP-20260516-FULLDRAFT</x:v>
      </x:c>
      <x:c r="C115" t="str">
        <x:v>KTO001</x:v>
      </x:c>
      <x:c r="D115" t="str">
        <x:v>16-05-2026_Umsatzliste_Girokonto_DE98120300001061711675.csv</x:v>
      </x:c>
      <x:c r="E115" t="n">
        <x:v>46163</x:v>
      </x:c>
      <x:c r="F115" t="n">
        <x:v>98</x:v>
      </x:c>
      <x:c r="G115" t="str">
        <x:v>73ecd41b08892057257b96454bf0b2847d25d9c107e2fd716a7bd5d8cee4b1db</x:v>
      </x:c>
      <x:c r="H115" t="str">
        <x:v>neu</x:v>
      </x:c>
      <x:c r="I115" t="str">
        <x:v>ok</x:v>
      </x:c>
      <x:c r="J115"/>
      <x:c r="K115" t="n">
        <x:v>46126</x:v>
      </x:c>
      <x:c r="L115" t="n">
        <x:v>46125</x:v>
      </x:c>
      <x:c r="M115" t="str">
        <x:v>Gebucht</x:v>
      </x:c>
      <x:c r="N115" t="str">
        <x:v>ISSUER</x:v>
      </x:c>
      <x:c r="O115" t="str">
        <x:v>AMAZON..NI6Z45WR4/LUXEMBOURG</x:v>
      </x:c>
      <x:c r="P115" t="str">
        <x:v>VISA Debitkartenumsatz vom 12.04.2026</x:v>
      </x:c>
      <x:c r="Q115" t="str">
        <x:v>Ausgang</x:v>
      </x:c>
      <x:c r="R115" t="str">
        <x:v>DE96120300009005290904</x:v>
      </x:c>
      <x:c r="S115" t="n">
        <x:v>-16.99</x:v>
      </x:c>
      <x:c r="T115" t="str">
        <x:v>"</x:v>
      </x:c>
      <x:c r="U115" t="str">
        <x:v>"</x:v>
      </x:c>
      <x:c r="V115" t="str">
        <x:v>486101354467020</x:v>
      </x:c>
    </x:row>
    <x:row r="116">
      <x:c r="A116" t="str">
        <x:v>RAW-IMP-20260516-FULLDRAFT-000099</x:v>
      </x:c>
      <x:c r="B116" t="str">
        <x:v>IMP-20260516-FULLDRAFT</x:v>
      </x:c>
      <x:c r="C116" t="str">
        <x:v>KTO001</x:v>
      </x:c>
      <x:c r="D116" t="str">
        <x:v>16-05-2026_Umsatzliste_Girokonto_DE98120300001061711675.csv</x:v>
      </x:c>
      <x:c r="E116" t="n">
        <x:v>46163</x:v>
      </x:c>
      <x:c r="F116" t="n">
        <x:v>99</x:v>
      </x:c>
      <x:c r="G116" t="str">
        <x:v>912624e24fe50a6a81377ac7a97c6b7711e6e4fd84c14eea12ed3028d38d0ca2</x:v>
      </x:c>
      <x:c r="H116" t="str">
        <x:v>neu</x:v>
      </x:c>
      <x:c r="I116" t="str">
        <x:v>ok</x:v>
      </x:c>
      <x:c r="J116"/>
      <x:c r="K116" t="n">
        <x:v>46125</x:v>
      </x:c>
      <x:c r="L116" t="n">
        <x:v>46125</x:v>
      </x:c>
      <x:c r="M116" t="str">
        <x:v>Gebucht</x:v>
      </x:c>
      <x:c r="N116" t="str">
        <x:v>ISSUER</x:v>
      </x:c>
      <x:c r="O116" t="str">
        <x:v>THALIA.DEUTSCHLAND.1028/Salzgitter</x:v>
      </x:c>
      <x:c r="P116" t="str">
        <x:v>VISA Debitkartenumsatz vom 10.04.2026</x:v>
      </x:c>
      <x:c r="Q116" t="str">
        <x:v>Ausgang</x:v>
      </x:c>
      <x:c r="R116" t="str">
        <x:v>DE96120300009005290904</x:v>
      </x:c>
      <x:c r="S116" t="n">
        <x:v>-46</x:v>
      </x:c>
      <x:c r="T116" t="str">
        <x:v>"</x:v>
      </x:c>
      <x:c r="U116" t="str">
        <x:v>"</x:v>
      </x:c>
      <x:c r="V116" t="str">
        <x:v>486100558379473</x:v>
      </x:c>
    </x:row>
    <x:row r="117">
      <x:c r="A117" t="str">
        <x:v>RAW-IMP-20260516-FULLDRAFT-000100</x:v>
      </x:c>
      <x:c r="B117" t="str">
        <x:v>IMP-20260516-FULLDRAFT</x:v>
      </x:c>
      <x:c r="C117" t="str">
        <x:v>KTO001</x:v>
      </x:c>
      <x:c r="D117" t="str">
        <x:v>16-05-2026_Umsatzliste_Girokonto_DE98120300001061711675.csv</x:v>
      </x:c>
      <x:c r="E117" t="n">
        <x:v>46163</x:v>
      </x:c>
      <x:c r="F117" t="n">
        <x:v>100</x:v>
      </x:c>
      <x:c r="G117" t="str">
        <x:v>165d5b8c2a6901bf20903169159a3b0f3b759b4cd0b5f20984ca2ba5a5989992</x:v>
      </x:c>
      <x:c r="H117" t="str">
        <x:v>neu</x:v>
      </x:c>
      <x:c r="I117" t="str">
        <x:v>ok</x:v>
      </x:c>
      <x:c r="J117"/>
      <x:c r="K117" t="n">
        <x:v>46125</x:v>
      </x:c>
      <x:c r="L117" t="n">
        <x:v>46125</x:v>
      </x:c>
      <x:c r="M117" t="str">
        <x:v>Gebucht</x:v>
      </x:c>
      <x:c r="N117" t="str">
        <x:v>ISSUER</x:v>
      </x:c>
      <x:c r="O117" t="str">
        <x:v>AMZN.Mktp.DE.NI5IM7DV4/AMZN.COM.BILL</x:v>
      </x:c>
      <x:c r="P117" t="str">
        <x:v>VISA Debitkartenumsatz vom 11.04.2026</x:v>
      </x:c>
      <x:c r="Q117" t="str">
        <x:v>Ausgang</x:v>
      </x:c>
      <x:c r="R117" t="str">
        <x:v>DE96120300009005290904</x:v>
      </x:c>
      <x:c r="S117" t="n">
        <x:v>-23.69</x:v>
      </x:c>
      <x:c r="T117" t="str">
        <x:v>"</x:v>
      </x:c>
      <x:c r="U117" t="str">
        <x:v>"</x:v>
      </x:c>
      <x:c r="V117" t="str">
        <x:v>486100231255872</x:v>
      </x:c>
    </x:row>
    <x:row r="118">
      <x:c r="A118" t="str">
        <x:v>RAW-IMP-20260516-FULLDRAFT-000101</x:v>
      </x:c>
      <x:c r="B118" t="str">
        <x:v>IMP-20260516-FULLDRAFT</x:v>
      </x:c>
      <x:c r="C118" t="str">
        <x:v>KTO001</x:v>
      </x:c>
      <x:c r="D118" t="str">
        <x:v>16-05-2026_Umsatzliste_Girokonto_DE98120300001061711675.csv</x:v>
      </x:c>
      <x:c r="E118" t="n">
        <x:v>46163</x:v>
      </x:c>
      <x:c r="F118" t="n">
        <x:v>101</x:v>
      </x:c>
      <x:c r="G118" t="str">
        <x:v>692cc2d162173ac8546108d5ab7699935be50f5b148355b423e0cf47fcf4f2d6</x:v>
      </x:c>
      <x:c r="H118" t="str">
        <x:v>neu</x:v>
      </x:c>
      <x:c r="I118" t="str">
        <x:v>ok</x:v>
      </x:c>
      <x:c r="J118"/>
      <x:c r="K118" t="n">
        <x:v>46125</x:v>
      </x:c>
      <x:c r="L118" t="n">
        <x:v>46125</x:v>
      </x:c>
      <x:c r="M118" t="str">
        <x:v>Gebucht</x:v>
      </x:c>
      <x:c r="N118" t="str">
        <x:v>ISSUER</x:v>
      </x:c>
      <x:c r="O118" t="str">
        <x:v>UZR.C1.Cinema.Braunschw/Hamburg</x:v>
      </x:c>
      <x:c r="P118" t="str">
        <x:v>VISA Debitkartenumsatz vom 11.04.2026</x:v>
      </x:c>
      <x:c r="Q118" t="str">
        <x:v>Ausgang</x:v>
      </x:c>
      <x:c r="R118" t="str">
        <x:v>DE96120300009005290904</x:v>
      </x:c>
      <x:c r="S118" t="n">
        <x:v>-11.5</x:v>
      </x:c>
      <x:c r="T118" t="str">
        <x:v>"</x:v>
      </x:c>
      <x:c r="U118" t="str">
        <x:v>"</x:v>
      </x:c>
      <x:c r="V118" t="str">
        <x:v>486101649195987</x:v>
      </x:c>
    </x:row>
    <x:row r="119">
      <x:c r="A119" t="str">
        <x:v>RAW-IMP-20260516-FULLDRAFT-000102</x:v>
      </x:c>
      <x:c r="B119" t="str">
        <x:v>IMP-20260516-FULLDRAFT</x:v>
      </x:c>
      <x:c r="C119" t="str">
        <x:v>KTO001</x:v>
      </x:c>
      <x:c r="D119" t="str">
        <x:v>16-05-2026_Umsatzliste_Girokonto_DE98120300001061711675.csv</x:v>
      </x:c>
      <x:c r="E119" t="n">
        <x:v>46163</x:v>
      </x:c>
      <x:c r="F119" t="n">
        <x:v>102</x:v>
      </x:c>
      <x:c r="G119" t="str">
        <x:v>48c149db21559c4ebef9942b71d37b73d0a91717808463dc64d66d55c2703783</x:v>
      </x:c>
      <x:c r="H119" t="str">
        <x:v>neu</x:v>
      </x:c>
      <x:c r="I119" t="str">
        <x:v>ok</x:v>
      </x:c>
      <x:c r="J119"/>
      <x:c r="K119" t="n">
        <x:v>46125</x:v>
      </x:c>
      <x:c r="L119" t="n">
        <x:v>46125</x:v>
      </x:c>
      <x:c r="M119" t="str">
        <x:v>Gebucht</x:v>
      </x:c>
      <x:c r="N119" t="str">
        <x:v>ISSUER</x:v>
      </x:c>
      <x:c r="O119" t="str">
        <x:v>LOEWENBAECKER.SCHAPER/SALZGITTER</x:v>
      </x:c>
      <x:c r="P119" t="str">
        <x:v>VISA Debitkartenumsatz vom 11.04.2026</x:v>
      </x:c>
      <x:c r="Q119" t="str">
        <x:v>Ausgang</x:v>
      </x:c>
      <x:c r="R119" t="str">
        <x:v>DE96120300009005290904</x:v>
      </x:c>
      <x:c r="S119" t="n">
        <x:v>-10</x:v>
      </x:c>
      <x:c r="T119" t="str">
        <x:v>"</x:v>
      </x:c>
      <x:c r="U119" t="str">
        <x:v>"</x:v>
      </x:c>
      <x:c r="V119" t="str">
        <x:v>486101244398961</x:v>
      </x:c>
    </x:row>
    <x:row r="120">
      <x:c r="A120" t="str">
        <x:v>RAW-IMP-20260516-FULLDRAFT-000103</x:v>
      </x:c>
      <x:c r="B120" t="str">
        <x:v>IMP-20260516-FULLDRAFT</x:v>
      </x:c>
      <x:c r="C120" t="str">
        <x:v>KTO001</x:v>
      </x:c>
      <x:c r="D120" t="str">
        <x:v>16-05-2026_Umsatzliste_Girokonto_DE98120300001061711675.csv</x:v>
      </x:c>
      <x:c r="E120" t="n">
        <x:v>46163</x:v>
      </x:c>
      <x:c r="F120" t="n">
        <x:v>103</x:v>
      </x:c>
      <x:c r="G120" t="str">
        <x:v>e992a9a21a0584dc01be943b745f0db1434e132ceb84135b960f8d9aced107cc</x:v>
      </x:c>
      <x:c r="H120" t="str">
        <x:v>neu</x:v>
      </x:c>
      <x:c r="I120" t="str">
        <x:v>ok</x:v>
      </x:c>
      <x:c r="J120"/>
      <x:c r="K120" t="n">
        <x:v>46125</x:v>
      </x:c>
      <x:c r="L120" t="n">
        <x:v>46125</x:v>
      </x:c>
      <x:c r="M120" t="str">
        <x:v>Gebucht</x:v>
      </x:c>
      <x:c r="N120" t="str">
        <x:v>ISSUER</x:v>
      </x:c>
      <x:c r="O120" t="str">
        <x:v>Hornbach.Baumarkt.AG.FI/Braunschweig</x:v>
      </x:c>
      <x:c r="P120" t="str">
        <x:v>VISA Debitkartenumsatz vom 11.04.2026</x:v>
      </x:c>
      <x:c r="Q120" t="str">
        <x:v>Ausgang</x:v>
      </x:c>
      <x:c r="R120" t="str">
        <x:v>DE96120300009005290904</x:v>
      </x:c>
      <x:c r="S120" t="n">
        <x:v>-79.98</x:v>
      </x:c>
      <x:c r="T120" t="str">
        <x:v>"</x:v>
      </x:c>
      <x:c r="U120" t="str">
        <x:v>"</x:v>
      </x:c>
      <x:c r="V120" t="str">
        <x:v>486101572545152</x:v>
      </x:c>
    </x:row>
    <x:row r="121">
      <x:c r="A121" t="str">
        <x:v>RAW-IMP-20260516-FULLDRAFT-000104</x:v>
      </x:c>
      <x:c r="B121" t="str">
        <x:v>IMP-20260516-FULLDRAFT</x:v>
      </x:c>
      <x:c r="C121" t="str">
        <x:v>KTO001</x:v>
      </x:c>
      <x:c r="D121" t="str">
        <x:v>16-05-2026_Umsatzliste_Girokonto_DE98120300001061711675.csv</x:v>
      </x:c>
      <x:c r="E121" t="n">
        <x:v>46163</x:v>
      </x:c>
      <x:c r="F121" t="n">
        <x:v>104</x:v>
      </x:c>
      <x:c r="G121" t="str">
        <x:v>245c4144c9ddc6dbdc87ae66967b461bf9dcebe56f9b432f725cbcea5cf3c6d1</x:v>
      </x:c>
      <x:c r="H121" t="str">
        <x:v>neu</x:v>
      </x:c>
      <x:c r="I121" t="str">
        <x:v>ok</x:v>
      </x:c>
      <x:c r="J121"/>
      <x:c r="K121" t="n">
        <x:v>46125</x:v>
      </x:c>
      <x:c r="L121" t="n">
        <x:v>46125</x:v>
      </x:c>
      <x:c r="M121" t="str">
        <x:v>Gebucht</x:v>
      </x:c>
      <x:c r="N121" t="str">
        <x:v>ISSUER</x:v>
      </x:c>
      <x:c r="O121" t="str">
        <x:v>Astor.Filmtheater.Braun/Hamburg</x:v>
      </x:c>
      <x:c r="P121" t="str">
        <x:v>VISA Debitkartenumsatz vom 10.04.2026</x:v>
      </x:c>
      <x:c r="Q121" t="str">
        <x:v>Ausgang</x:v>
      </x:c>
      <x:c r="R121" t="str">
        <x:v>DE96120300009005290904</x:v>
      </x:c>
      <x:c r="S121" t="n">
        <x:v>-33</x:v>
      </x:c>
      <x:c r="T121" t="str">
        <x:v>"</x:v>
      </x:c>
      <x:c r="U121" t="str">
        <x:v>"</x:v>
      </x:c>
      <x:c r="V121" t="str">
        <x:v>486100277089878</x:v>
      </x:c>
    </x:row>
    <x:row r="122">
      <x:c r="A122" t="str">
        <x:v>RAW-IMP-20260516-FULLDRAFT-000105</x:v>
      </x:c>
      <x:c r="B122" t="str">
        <x:v>IMP-20260516-FULLDRAFT</x:v>
      </x:c>
      <x:c r="C122" t="str">
        <x:v>KTO001</x:v>
      </x:c>
      <x:c r="D122" t="str">
        <x:v>16-05-2026_Umsatzliste_Girokonto_DE98120300001061711675.csv</x:v>
      </x:c>
      <x:c r="E122" t="n">
        <x:v>46163</x:v>
      </x:c>
      <x:c r="F122" t="n">
        <x:v>105</x:v>
      </x:c>
      <x:c r="G122" t="str">
        <x:v>28d5b06a4c6489c08ee65a9f7e13ab5ad92fe046a1e172f74a4e9d324e5b414b</x:v>
      </x:c>
      <x:c r="H122" t="str">
        <x:v>neu</x:v>
      </x:c>
      <x:c r="I122" t="str">
        <x:v>ok</x:v>
      </x:c>
      <x:c r="J122"/>
      <x:c r="K122" t="n">
        <x:v>46122</x:v>
      </x:c>
      <x:c r="L122" t="n">
        <x:v>46122</x:v>
      </x:c>
      <x:c r="M122" t="str">
        <x:v>Gebucht</x:v>
      </x:c>
      <x:c r="N122" t="str">
        <x:v>Lars Kohlenberg</x:v>
      </x:c>
      <x:c r="O122" t="str">
        <x:v>Lea Sophie Kohlenberg</x:v>
      </x:c>
      <x:c r="P122" t="str">
        <x:v>Escape-Spiel</x:v>
      </x:c>
      <x:c r="Q122" t="str">
        <x:v>Ausgang</x:v>
      </x:c>
      <x:c r="R122" t="str">
        <x:v>DE89269910662833344000</x:v>
      </x:c>
      <x:c r="S122" t="n">
        <x:v>-25</x:v>
      </x:c>
      <x:c r="T122" t="str">
        <x:v>"</x:v>
      </x:c>
      <x:c r="U122" t="str">
        <x:v>"</x:v>
      </x:c>
      <x:c r="V122" t="str">
        <x:v>"</x:v>
      </x:c>
    </x:row>
    <x:row r="123">
      <x:c r="A123" t="str">
        <x:v>RAW-IMP-20260516-FULLDRAFT-000106</x:v>
      </x:c>
      <x:c r="B123" t="str">
        <x:v>IMP-20260516-FULLDRAFT</x:v>
      </x:c>
      <x:c r="C123" t="str">
        <x:v>KTO001</x:v>
      </x:c>
      <x:c r="D123" t="str">
        <x:v>16-05-2026_Umsatzliste_Girokonto_DE98120300001061711675.csv</x:v>
      </x:c>
      <x:c r="E123" t="n">
        <x:v>46163</x:v>
      </x:c>
      <x:c r="F123" t="n">
        <x:v>106</x:v>
      </x:c>
      <x:c r="G123" t="str">
        <x:v>4724a1ce2954e469499fd56870cee20c98ccb30a872d79d7824e1e5196160ade</x:v>
      </x:c>
      <x:c r="H123" t="str">
        <x:v>neu</x:v>
      </x:c>
      <x:c r="I123" t="str">
        <x:v>ok</x:v>
      </x:c>
      <x:c r="J123"/>
      <x:c r="K123" t="n">
        <x:v>46122</x:v>
      </x:c>
      <x:c r="L123" t="n">
        <x:v>46122</x:v>
      </x:c>
      <x:c r="M123" t="str">
        <x:v>Gebucht</x:v>
      </x:c>
      <x:c r="N123" t="str">
        <x:v>ISSUER</x:v>
      </x:c>
      <x:c r="O123" t="str">
        <x:v>AMZN.Mktp.DE.NI9T34HO4/AMZN.COM.BILL</x:v>
      </x:c>
      <x:c r="P123" t="str">
        <x:v>VISA Debitkartenumsatz vom 10.04.2026</x:v>
      </x:c>
      <x:c r="Q123" t="str">
        <x:v>Ausgang</x:v>
      </x:c>
      <x:c r="R123" t="str">
        <x:v>DE96120300009005290904</x:v>
      </x:c>
      <x:c r="S123" t="n">
        <x:v>-934.86</x:v>
      </x:c>
      <x:c r="T123" t="str">
        <x:v>"</x:v>
      </x:c>
      <x:c r="U123" t="str">
        <x:v>"</x:v>
      </x:c>
      <x:c r="V123" t="str">
        <x:v>486099339542653</x:v>
      </x:c>
    </x:row>
    <x:row r="124">
      <x:c r="A124" t="str">
        <x:v>RAW-IMP-20260516-FULLDRAFT-000107</x:v>
      </x:c>
      <x:c r="B124" t="str">
        <x:v>IMP-20260516-FULLDRAFT</x:v>
      </x:c>
      <x:c r="C124" t="str">
        <x:v>KTO001</x:v>
      </x:c>
      <x:c r="D124" t="str">
        <x:v>16-05-2026_Umsatzliste_Girokonto_DE98120300001061711675.csv</x:v>
      </x:c>
      <x:c r="E124" t="n">
        <x:v>46163</x:v>
      </x:c>
      <x:c r="F124" t="n">
        <x:v>107</x:v>
      </x:c>
      <x:c r="G124" t="str">
        <x:v>0dc2181d39fcb20169b56c736d7b7c9b1bab6e667dabd0c2f7031719cff1bdb5</x:v>
      </x:c>
      <x:c r="H124" t="str">
        <x:v>neu</x:v>
      </x:c>
      <x:c r="I124" t="str">
        <x:v>ok</x:v>
      </x:c>
      <x:c r="J124"/>
      <x:c r="K124" t="n">
        <x:v>46122</x:v>
      </x:c>
      <x:c r="L124" t="n">
        <x:v>46122</x:v>
      </x:c>
      <x:c r="M124" t="str">
        <x:v>Gebucht</x:v>
      </x:c>
      <x:c r="N124" t="str">
        <x:v>ISSUER</x:v>
      </x:c>
      <x:c r="O124" t="str">
        <x:v>REWE.Salzgitter.Ge/Salzgitter</x:v>
      </x:c>
      <x:c r="P124" t="str">
        <x:v>VISA Debitkartenumsatz vom 09.04.2026</x:v>
      </x:c>
      <x:c r="Q124" t="str">
        <x:v>Ausgang</x:v>
      </x:c>
      <x:c r="R124" t="str">
        <x:v>DE96120300009005290904</x:v>
      </x:c>
      <x:c r="S124" t="n">
        <x:v>-0.94</x:v>
      </x:c>
      <x:c r="T124" t="str">
        <x:v>"</x:v>
      </x:c>
      <x:c r="U124" t="str">
        <x:v>"</x:v>
      </x:c>
      <x:c r="V124" t="str">
        <x:v>486099580815359</x:v>
      </x:c>
    </x:row>
    <x:row r="125">
      <x:c r="A125" t="str">
        <x:v>RAW-IMP-20260516-FULLDRAFT-000108</x:v>
      </x:c>
      <x:c r="B125" t="str">
        <x:v>IMP-20260516-FULLDRAFT</x:v>
      </x:c>
      <x:c r="C125" t="str">
        <x:v>KTO001</x:v>
      </x:c>
      <x:c r="D125" t="str">
        <x:v>16-05-2026_Umsatzliste_Girokonto_DE98120300001061711675.csv</x:v>
      </x:c>
      <x:c r="E125" t="n">
        <x:v>46163</x:v>
      </x:c>
      <x:c r="F125" t="n">
        <x:v>108</x:v>
      </x:c>
      <x:c r="G125" t="str">
        <x:v>1c3aed4f16cdee884208dfd9161dc7291f6b819d38f9c9a1aacf85a75d5ed311</x:v>
      </x:c>
      <x:c r="H125" t="str">
        <x:v>neu</x:v>
      </x:c>
      <x:c r="I125" t="str">
        <x:v>ok</x:v>
      </x:c>
      <x:c r="J125"/>
      <x:c r="K125" t="n">
        <x:v>46122</x:v>
      </x:c>
      <x:c r="L125" t="n">
        <x:v>46122</x:v>
      </x:c>
      <x:c r="M125" t="str">
        <x:v>Gebucht</x:v>
      </x:c>
      <x:c r="N125" t="str">
        <x:v>ISSUER</x:v>
      </x:c>
      <x:c r="O125" t="str">
        <x:v>Lidl.sagt.Danke/Salzgitter</x:v>
      </x:c>
      <x:c r="P125" t="str">
        <x:v>VISA Debitkartenumsatz vom 09.04.2026</x:v>
      </x:c>
      <x:c r="Q125" t="str">
        <x:v>Ausgang</x:v>
      </x:c>
      <x:c r="R125" t="str">
        <x:v>DE96120300009005290904</x:v>
      </x:c>
      <x:c r="S125" t="n">
        <x:v>-12.24</x:v>
      </x:c>
      <x:c r="T125" t="str">
        <x:v>"</x:v>
      </x:c>
      <x:c r="U125" t="str">
        <x:v>"</x:v>
      </x:c>
      <x:c r="V125" t="str">
        <x:v>486099622067585</x:v>
      </x:c>
    </x:row>
    <x:row r="126">
      <x:c r="A126" t="str">
        <x:v>RAW-IMP-20260516-FULLDRAFT-000109</x:v>
      </x:c>
      <x:c r="B126" t="str">
        <x:v>IMP-20260516-FULLDRAFT</x:v>
      </x:c>
      <x:c r="C126" t="str">
        <x:v>KTO001</x:v>
      </x:c>
      <x:c r="D126" t="str">
        <x:v>16-05-2026_Umsatzliste_Girokonto_DE98120300001061711675.csv</x:v>
      </x:c>
      <x:c r="E126" t="n">
        <x:v>46163</x:v>
      </x:c>
      <x:c r="F126" t="n">
        <x:v>109</x:v>
      </x:c>
      <x:c r="G126" t="str">
        <x:v>76f2ec128d03a2bf30be6970995da5c21d6fa8ef072923ff5a29211bc014866c</x:v>
      </x:c>
      <x:c r="H126" t="str">
        <x:v>neu</x:v>
      </x:c>
      <x:c r="I126" t="str">
        <x:v>ok</x:v>
      </x:c>
      <x:c r="J126"/>
      <x:c r="K126" t="n">
        <x:v>46122</x:v>
      </x:c>
      <x:c r="L126" t="n">
        <x:v>46122</x:v>
      </x:c>
      <x:c r="M126" t="str">
        <x:v>Gebucht</x:v>
      </x:c>
      <x:c r="N126" t="str">
        <x:v>ISSUER</x:v>
      </x:c>
      <x:c r="O126" t="str">
        <x:v>AMZN.Mktp.DE.NI3Q84MS4/AMZN.COM.BILL</x:v>
      </x:c>
      <x:c r="P126" t="str">
        <x:v>VISA Debitkartenumsatz vom 09.04.2026</x:v>
      </x:c>
      <x:c r="Q126" t="str">
        <x:v>Ausgang</x:v>
      </x:c>
      <x:c r="R126" t="str">
        <x:v>DE96120300009005290904</x:v>
      </x:c>
      <x:c r="S126" t="n">
        <x:v>-19.95</x:v>
      </x:c>
      <x:c r="T126" t="str">
        <x:v>"</x:v>
      </x:c>
      <x:c r="U126" t="str">
        <x:v>"</x:v>
      </x:c>
      <x:c r="V126" t="str">
        <x:v>486099551309617</x:v>
      </x:c>
    </x:row>
    <x:row r="127">
      <x:c r="A127" t="str">
        <x:v>RAW-IMP-20260516-FULLDRAFT-000110</x:v>
      </x:c>
      <x:c r="B127" t="str">
        <x:v>IMP-20260516-FULLDRAFT</x:v>
      </x:c>
      <x:c r="C127" t="str">
        <x:v>KTO001</x:v>
      </x:c>
      <x:c r="D127" t="str">
        <x:v>16-05-2026_Umsatzliste_Girokonto_DE98120300001061711675.csv</x:v>
      </x:c>
      <x:c r="E127" t="n">
        <x:v>46163</x:v>
      </x:c>
      <x:c r="F127" t="n">
        <x:v>110</x:v>
      </x:c>
      <x:c r="G127" t="str">
        <x:v>3be5757631c3aef6fc3ad59bfac430d98a6e788e9de0cca19dbe0044cd3c1006</x:v>
      </x:c>
      <x:c r="H127" t="str">
        <x:v>neu</x:v>
      </x:c>
      <x:c r="I127" t="str">
        <x:v>ok</x:v>
      </x:c>
      <x:c r="J127"/>
      <x:c r="K127" t="n">
        <x:v>46121</x:v>
      </x:c>
      <x:c r="L127" t="n">
        <x:v>46121</x:v>
      </x:c>
      <x:c r="M127" t="str">
        <x:v>Gebucht</x:v>
      </x:c>
      <x:c r="N127" t="str">
        <x:v>ISSUER</x:v>
      </x:c>
      <x:c r="O127" t="str">
        <x:v>SHELL.2178/SALZGITTER</x:v>
      </x:c>
      <x:c r="P127" t="str">
        <x:v>VISA Debitkartenumsatz vom 08.04.2026</x:v>
      </x:c>
      <x:c r="Q127" t="str">
        <x:v>Ausgang</x:v>
      </x:c>
      <x:c r="R127" t="str">
        <x:v>DE96120300009005290904</x:v>
      </x:c>
      <x:c r="S127" t="n">
        <x:v>-43</x:v>
      </x:c>
      <x:c r="T127" t="str">
        <x:v>"</x:v>
      </x:c>
      <x:c r="U127" t="str">
        <x:v>"</x:v>
      </x:c>
      <x:c r="V127" t="str">
        <x:v>486098256877528</x:v>
      </x:c>
    </x:row>
    <x:row r="128">
      <x:c r="A128" t="str">
        <x:v>RAW-IMP-20260516-FULLDRAFT-000111</x:v>
      </x:c>
      <x:c r="B128" t="str">
        <x:v>IMP-20260516-FULLDRAFT</x:v>
      </x:c>
      <x:c r="C128" t="str">
        <x:v>KTO001</x:v>
      </x:c>
      <x:c r="D128" t="str">
        <x:v>16-05-2026_Umsatzliste_Girokonto_DE98120300001061711675.csv</x:v>
      </x:c>
      <x:c r="E128" t="n">
        <x:v>46163</x:v>
      </x:c>
      <x:c r="F128" t="n">
        <x:v>111</x:v>
      </x:c>
      <x:c r="G128" t="str">
        <x:v>275b4d3511519533d5cc3285a2f7f59792ea9f18581fa0867575d9111aeea018</x:v>
      </x:c>
      <x:c r="H128" t="str">
        <x:v>neu</x:v>
      </x:c>
      <x:c r="I128" t="str">
        <x:v>ok</x:v>
      </x:c>
      <x:c r="J128"/>
      <x:c r="K128" t="n">
        <x:v>46121</x:v>
      </x:c>
      <x:c r="L128" t="n">
        <x:v>46121</x:v>
      </x:c>
      <x:c r="M128" t="str">
        <x:v>Gebucht</x:v>
      </x:c>
      <x:c r="N128" t="str">
        <x:v>ISSUER</x:v>
      </x:c>
      <x:c r="O128" t="str">
        <x:v>ENTSORGUNGSZENTRUM.SAL/SALZGITTER</x:v>
      </x:c>
      <x:c r="P128" t="str">
        <x:v>VISA Debitkartenumsatz vom 08.04.2026</x:v>
      </x:c>
      <x:c r="Q128" t="str">
        <x:v>Ausgang</x:v>
      </x:c>
      <x:c r="R128" t="str">
        <x:v>DE96120300009005290904</x:v>
      </x:c>
      <x:c r="S128" t="n">
        <x:v>-7</x:v>
      </x:c>
      <x:c r="T128" t="str">
        <x:v>"</x:v>
      </x:c>
      <x:c r="U128" t="str">
        <x:v>"</x:v>
      </x:c>
      <x:c r="V128" t="str">
        <x:v>486098244956707</x:v>
      </x:c>
    </x:row>
    <x:row r="129">
      <x:c r="A129" t="str">
        <x:v>RAW-IMP-20260516-FULLDRAFT-000112</x:v>
      </x:c>
      <x:c r="B129" t="str">
        <x:v>IMP-20260516-FULLDRAFT</x:v>
      </x:c>
      <x:c r="C129" t="str">
        <x:v>KTO001</x:v>
      </x:c>
      <x:c r="D129" t="str">
        <x:v>16-05-2026_Umsatzliste_Girokonto_DE98120300001061711675.csv</x:v>
      </x:c>
      <x:c r="E129" t="n">
        <x:v>46163</x:v>
      </x:c>
      <x:c r="F129" t="n">
        <x:v>112</x:v>
      </x:c>
      <x:c r="G129" t="str">
        <x:v>5ffbdfc8633ff0610ba514fea441f948a9ffcd2bde9cf0a4441d2368e4125a9c</x:v>
      </x:c>
      <x:c r="H129" t="str">
        <x:v>neu</x:v>
      </x:c>
      <x:c r="I129" t="str">
        <x:v>ok</x:v>
      </x:c>
      <x:c r="J129"/>
      <x:c r="K129" t="n">
        <x:v>46121</x:v>
      </x:c>
      <x:c r="L129" t="n">
        <x:v>46121</x:v>
      </x:c>
      <x:c r="M129" t="str">
        <x:v>Gebucht</x:v>
      </x:c>
      <x:c r="N129" t="str">
        <x:v>ISSUER</x:v>
      </x:c>
      <x:c r="O129" t="str">
        <x:v>REWE.Salzgitter.Ge/Salzgitter</x:v>
      </x:c>
      <x:c r="P129" t="str">
        <x:v>VISA Debitkartenumsatz vom 08.04.2026</x:v>
      </x:c>
      <x:c r="Q129" t="str">
        <x:v>Ausgang</x:v>
      </x:c>
      <x:c r="R129" t="str">
        <x:v>DE96120300009005290904</x:v>
      </x:c>
      <x:c r="S129" t="n">
        <x:v>-19.76</x:v>
      </x:c>
      <x:c r="T129" t="str">
        <x:v>"</x:v>
      </x:c>
      <x:c r="U129" t="str">
        <x:v>"</x:v>
      </x:c>
      <x:c r="V129" t="str">
        <x:v>486098628232493</x:v>
      </x:c>
    </x:row>
    <x:row r="130">
      <x:c r="A130" t="str">
        <x:v>RAW-IMP-20260516-FULLDRAFT-000113</x:v>
      </x:c>
      <x:c r="B130" t="str">
        <x:v>IMP-20260516-FULLDRAFT</x:v>
      </x:c>
      <x:c r="C130" t="str">
        <x:v>KTO001</x:v>
      </x:c>
      <x:c r="D130" t="str">
        <x:v>16-05-2026_Umsatzliste_Girokonto_DE98120300001061711675.csv</x:v>
      </x:c>
      <x:c r="E130" t="n">
        <x:v>46163</x:v>
      </x:c>
      <x:c r="F130" t="n">
        <x:v>113</x:v>
      </x:c>
      <x:c r="G130" t="str">
        <x:v>246f7fadd8ec5dc2233a3c9b2cf6ec3194119234678009f6de9e0269d69c10c1</x:v>
      </x:c>
      <x:c r="H130" t="str">
        <x:v>neu</x:v>
      </x:c>
      <x:c r="I130" t="str">
        <x:v>ok</x:v>
      </x:c>
      <x:c r="J130"/>
      <x:c r="K130" t="n">
        <x:v>46121</x:v>
      </x:c>
      <x:c r="L130" t="n">
        <x:v>46121</x:v>
      </x:c>
      <x:c r="M130" t="str">
        <x:v>Gebucht</x:v>
      </x:c>
      <x:c r="N130" t="str">
        <x:v>ISSUER</x:v>
      </x:c>
      <x:c r="O130" t="str">
        <x:v>REWE.Salzgitter.Ge/Salzgitter</x:v>
      </x:c>
      <x:c r="P130" t="str">
        <x:v>VISA Debitkartenumsatz vom 08.04.2026</x:v>
      </x:c>
      <x:c r="Q130" t="str">
        <x:v>Ausgang</x:v>
      </x:c>
      <x:c r="R130" t="str">
        <x:v>DE96120300009005290904</x:v>
      </x:c>
      <x:c r="S130" t="n">
        <x:v>-6.08</x:v>
      </x:c>
      <x:c r="T130" t="str">
        <x:v>"</x:v>
      </x:c>
      <x:c r="U130" t="str">
        <x:v>"</x:v>
      </x:c>
      <x:c r="V130" t="str">
        <x:v>486098377461633</x:v>
      </x:c>
    </x:row>
    <x:row r="131">
      <x:c r="A131" t="str">
        <x:v>RAW-IMP-20260516-FULLDRAFT-000114</x:v>
      </x:c>
      <x:c r="B131" t="str">
        <x:v>IMP-20260516-FULLDRAFT</x:v>
      </x:c>
      <x:c r="C131" t="str">
        <x:v>KTO001</x:v>
      </x:c>
      <x:c r="D131" t="str">
        <x:v>16-05-2026_Umsatzliste_Girokonto_DE98120300001061711675.csv</x:v>
      </x:c>
      <x:c r="E131" t="n">
        <x:v>46163</x:v>
      </x:c>
      <x:c r="F131" t="n">
        <x:v>114</x:v>
      </x:c>
      <x:c r="G131" t="str">
        <x:v>f32dfb2cb060a35e9e756d4a9066224905d32dccc80201558ba9a7d22275fe81</x:v>
      </x:c>
      <x:c r="H131" t="str">
        <x:v>neu</x:v>
      </x:c>
      <x:c r="I131" t="str">
        <x:v>ok</x:v>
      </x:c>
      <x:c r="J131"/>
      <x:c r="K131" t="n">
        <x:v>46121</x:v>
      </x:c>
      <x:c r="L131" t="n">
        <x:v>46121</x:v>
      </x:c>
      <x:c r="M131" t="str">
        <x:v>Gebucht</x:v>
      </x:c>
      <x:c r="N131" t="str">
        <x:v>Lars Kohlenberg</x:v>
      </x:c>
      <x:c r="O131" t="str">
        <x:v>Lars Kohlenberg</x:v>
      </x:c>
      <x:c r="P131" t="str">
        <x:v>UEbertrag</x:v>
      </x:c>
      <x:c r="Q131" t="str">
        <x:v>Eingang</x:v>
      </x:c>
      <x:c r="R131" t="str">
        <x:v>DE91270200001510365800</x:v>
      </x:c>
      <x:c r="S131" t="n">
        <x:v>1000</x:v>
      </x:c>
      <x:c r="T131" t="str">
        <x:v>"</x:v>
      </x:c>
      <x:c r="U131" t="str">
        <x:v>"</x:v>
      </x:c>
      <x:c r="V131" t="str">
        <x:v>"</x:v>
      </x:c>
    </x:row>
    <x:row r="132">
      <x:c r="A132" t="str">
        <x:v>RAW-IMP-20260516-FULLDRAFT-000115</x:v>
      </x:c>
      <x:c r="B132" t="str">
        <x:v>IMP-20260516-FULLDRAFT</x:v>
      </x:c>
      <x:c r="C132" t="str">
        <x:v>KTO001</x:v>
      </x:c>
      <x:c r="D132" t="str">
        <x:v>16-05-2026_Umsatzliste_Girokonto_DE98120300001061711675.csv</x:v>
      </x:c>
      <x:c r="E132" t="n">
        <x:v>46163</x:v>
      </x:c>
      <x:c r="F132" t="n">
        <x:v>115</x:v>
      </x:c>
      <x:c r="G132" t="str">
        <x:v>9d3f79636d04f7594fb0f6f3ab643d7fac2b910f9eae1f760eb78c2bf7fc1fb8</x:v>
      </x:c>
      <x:c r="H132" t="str">
        <x:v>neu</x:v>
      </x:c>
      <x:c r="I132" t="str">
        <x:v>ok</x:v>
      </x:c>
      <x:c r="J132"/>
      <x:c r="K132" t="n">
        <x:v>46120</x:v>
      </x:c>
      <x:c r="L132" t="n">
        <x:v>46120</x:v>
      </x:c>
      <x:c r="M132" t="str">
        <x:v>Gebucht</x:v>
      </x:c>
      <x:c r="N132" t="str">
        <x:v>ISSUER</x:v>
      </x:c>
      <x:c r="O132" t="str">
        <x:v>AMAZON..NI2AE1NP4/LUXEMBOURG</x:v>
      </x:c>
      <x:c r="P132" t="str">
        <x:v>VISA Debitkartenumsatz vom 07.04.2026</x:v>
      </x:c>
      <x:c r="Q132" t="str">
        <x:v>Ausgang</x:v>
      </x:c>
      <x:c r="R132" t="str">
        <x:v>DE96120300009005290904</x:v>
      </x:c>
      <x:c r="S132" t="n">
        <x:v>-13.79</x:v>
      </x:c>
      <x:c r="T132" t="str">
        <x:v>"</x:v>
      </x:c>
      <x:c r="U132" t="str">
        <x:v>"</x:v>
      </x:c>
      <x:c r="V132" t="str">
        <x:v>486095403809831</x:v>
      </x:c>
    </x:row>
    <x:row r="133">
      <x:c r="A133" t="str">
        <x:v>RAW-IMP-20260516-FULLDRAFT-000116</x:v>
      </x:c>
      <x:c r="B133" t="str">
        <x:v>IMP-20260516-FULLDRAFT</x:v>
      </x:c>
      <x:c r="C133" t="str">
        <x:v>KTO001</x:v>
      </x:c>
      <x:c r="D133" t="str">
        <x:v>16-05-2026_Umsatzliste_Girokonto_DE98120300001061711675.csv</x:v>
      </x:c>
      <x:c r="E133" t="n">
        <x:v>46163</x:v>
      </x:c>
      <x:c r="F133" t="n">
        <x:v>116</x:v>
      </x:c>
      <x:c r="G133" t="str">
        <x:v>e93b38bdd458d6e61ffcbd4cfe8728db45368898dc08c09b9385c67307c07b61</x:v>
      </x:c>
      <x:c r="H133" t="str">
        <x:v>neu</x:v>
      </x:c>
      <x:c r="I133" t="str">
        <x:v>ok</x:v>
      </x:c>
      <x:c r="J133"/>
      <x:c r="K133" t="n">
        <x:v>46120</x:v>
      </x:c>
      <x:c r="L133" t="n">
        <x:v>46120</x:v>
      </x:c>
      <x:c r="M133" t="str">
        <x:v>Gebucht</x:v>
      </x:c>
      <x:c r="N133" t="str">
        <x:v>ISSUER</x:v>
      </x:c>
      <x:c r="O133" t="str">
        <x:v>REWE.Salzgitter.Ge/Salzgitter</x:v>
      </x:c>
      <x:c r="P133" t="str">
        <x:v>VISA Debitkartenumsatz vom 07.04.2026</x:v>
      </x:c>
      <x:c r="Q133" t="str">
        <x:v>Ausgang</x:v>
      </x:c>
      <x:c r="R133" t="str">
        <x:v>DE96120300009005290904</x:v>
      </x:c>
      <x:c r="S133" t="n">
        <x:v>-1.63</x:v>
      </x:c>
      <x:c r="T133" t="str">
        <x:v>"</x:v>
      </x:c>
      <x:c r="U133" t="str">
        <x:v>"</x:v>
      </x:c>
      <x:c r="V133" t="str">
        <x:v>486097394868139</x:v>
      </x:c>
    </x:row>
    <x:row r="134">
      <x:c r="A134" t="str">
        <x:v>RAW-IMP-20260516-FULLDRAFT-000117</x:v>
      </x:c>
      <x:c r="B134" t="str">
        <x:v>IMP-20260516-FULLDRAFT</x:v>
      </x:c>
      <x:c r="C134" t="str">
        <x:v>KTO001</x:v>
      </x:c>
      <x:c r="D134" t="str">
        <x:v>16-05-2026_Umsatzliste_Girokonto_DE98120300001061711675.csv</x:v>
      </x:c>
      <x:c r="E134" t="n">
        <x:v>46163</x:v>
      </x:c>
      <x:c r="F134" t="n">
        <x:v>117</x:v>
      </x:c>
      <x:c r="G134" t="str">
        <x:v>34bde3c3fa2663276701d9a6e249996ae617262d5ebe2ac9fd5dc8c74b4799fe</x:v>
      </x:c>
      <x:c r="H134" t="str">
        <x:v>neu</x:v>
      </x:c>
      <x:c r="I134" t="str">
        <x:v>ok</x:v>
      </x:c>
      <x:c r="J134"/>
      <x:c r="K134" t="n">
        <x:v>46120</x:v>
      </x:c>
      <x:c r="L134" t="n">
        <x:v>46120</x:v>
      </x:c>
      <x:c r="M134" t="str">
        <x:v>Gebucht</x:v>
      </x:c>
      <x:c r="N134" t="str">
        <x:v>ISSUER</x:v>
      </x:c>
      <x:c r="O134" t="str">
        <x:v>AMAZON..NI8VS3FH4/LUXEMBOURG</x:v>
      </x:c>
      <x:c r="P134" t="str">
        <x:v>VISA Debitkartenumsatz vom 07.04.2026</x:v>
      </x:c>
      <x:c r="Q134" t="str">
        <x:v>Ausgang</x:v>
      </x:c>
      <x:c r="R134" t="str">
        <x:v>DE96120300009005290904</x:v>
      </x:c>
      <x:c r="S134" t="n">
        <x:v>-156.05</x:v>
      </x:c>
      <x:c r="T134" t="str">
        <x:v>"</x:v>
      </x:c>
      <x:c r="U134" t="str">
        <x:v>"</x:v>
      </x:c>
      <x:c r="V134" t="str">
        <x:v>486095417191719</x:v>
      </x:c>
    </x:row>
    <x:row r="135">
      <x:c r="A135" t="str">
        <x:v>RAW-IMP-20260516-FULLDRAFT-000118</x:v>
      </x:c>
      <x:c r="B135" t="str">
        <x:v>IMP-20260516-FULLDRAFT</x:v>
      </x:c>
      <x:c r="C135" t="str">
        <x:v>KTO001</x:v>
      </x:c>
      <x:c r="D135" t="str">
        <x:v>16-05-2026_Umsatzliste_Girokonto_DE98120300001061711675.csv</x:v>
      </x:c>
      <x:c r="E135" t="n">
        <x:v>46163</x:v>
      </x:c>
      <x:c r="F135" t="n">
        <x:v>118</x:v>
      </x:c>
      <x:c r="G135" t="str">
        <x:v>ea2925b56fb7b51433d97bdfa56e7ecd5d01b385f283a7c5830ad534e91c9cba</x:v>
      </x:c>
      <x:c r="H135" t="str">
        <x:v>neu</x:v>
      </x:c>
      <x:c r="I135" t="str">
        <x:v>ok</x:v>
      </x:c>
      <x:c r="J135"/>
      <x:c r="K135" t="n">
        <x:v>46119</x:v>
      </x:c>
      <x:c r="L135" t="n">
        <x:v>46119</x:v>
      </x:c>
      <x:c r="M135" t="str">
        <x:v>Gebucht</x:v>
      </x:c>
      <x:c r="N135" t="str">
        <x:v>ISSUER</x:v>
      </x:c>
      <x:c r="O135" t="str">
        <x:v>PAYPAL..VRB/1743473445</x:v>
      </x:c>
      <x:c r="P135" t="str">
        <x:v>VISA Debitkartenumsatz vom 06.04.2026</x:v>
      </x:c>
      <x:c r="Q135" t="str">
        <x:v>Ausgang</x:v>
      </x:c>
      <x:c r="R135" t="str">
        <x:v>DE96120300009005290904</x:v>
      </x:c>
      <x:c r="S135" t="n">
        <x:v>-30</x:v>
      </x:c>
      <x:c r="T135" t="str">
        <x:v>"</x:v>
      </x:c>
      <x:c r="U135" t="str">
        <x:v>"</x:v>
      </x:c>
      <x:c r="V135" t="str">
        <x:v>386096328914102</x:v>
      </x:c>
    </x:row>
    <x:row r="136">
      <x:c r="A136" t="str">
        <x:v>RAW-IMP-20260516-FULLDRAFT-000119</x:v>
      </x:c>
      <x:c r="B136" t="str">
        <x:v>IMP-20260516-FULLDRAFT</x:v>
      </x:c>
      <x:c r="C136" t="str">
        <x:v>KTO001</x:v>
      </x:c>
      <x:c r="D136" t="str">
        <x:v>16-05-2026_Umsatzliste_Girokonto_DE98120300001061711675.csv</x:v>
      </x:c>
      <x:c r="E136" t="n">
        <x:v>46163</x:v>
      </x:c>
      <x:c r="F136" t="n">
        <x:v>119</x:v>
      </x:c>
      <x:c r="G136" t="str">
        <x:v>d4913d98b372b888b9f15c90da0ec97d500a7bdd1e53365a6d4340fb431a4b91</x:v>
      </x:c>
      <x:c r="H136" t="str">
        <x:v>neu</x:v>
      </x:c>
      <x:c r="I136" t="str">
        <x:v>ok</x:v>
      </x:c>
      <x:c r="J136"/>
      <x:c r="K136" t="n">
        <x:v>46119</x:v>
      </x:c>
      <x:c r="L136" t="n">
        <x:v>46119</x:v>
      </x:c>
      <x:c r="M136" t="str">
        <x:v>Gebucht</x:v>
      </x:c>
      <x:c r="N136" t="str">
        <x:v>ISSUER</x:v>
      </x:c>
      <x:c r="O136" t="str">
        <x:v>LOEWENBAECKER.SCHAPER/SALZGITTER</x:v>
      </x:c>
      <x:c r="P136" t="str">
        <x:v>VISA Debitkartenumsatz vom 02.04.2026</x:v>
      </x:c>
      <x:c r="Q136" t="str">
        <x:v>Ausgang</x:v>
      </x:c>
      <x:c r="R136" t="str">
        <x:v>DE96120300009005290904</x:v>
      </x:c>
      <x:c r="S136" t="n">
        <x:v>-3.24</x:v>
      </x:c>
      <x:c r="T136" t="str">
        <x:v>"</x:v>
      </x:c>
      <x:c r="U136" t="str">
        <x:v>"</x:v>
      </x:c>
      <x:c r="V136" t="str">
        <x:v>486092265378946</x:v>
      </x:c>
    </x:row>
    <x:row r="137">
      <x:c r="A137" t="str">
        <x:v>RAW-IMP-20260516-FULLDRAFT-000120</x:v>
      </x:c>
      <x:c r="B137" t="str">
        <x:v>IMP-20260516-FULLDRAFT</x:v>
      </x:c>
      <x:c r="C137" t="str">
        <x:v>KTO001</x:v>
      </x:c>
      <x:c r="D137" t="str">
        <x:v>16-05-2026_Umsatzliste_Girokonto_DE98120300001061711675.csv</x:v>
      </x:c>
      <x:c r="E137" t="n">
        <x:v>46163</x:v>
      </x:c>
      <x:c r="F137" t="n">
        <x:v>120</x:v>
      </x:c>
      <x:c r="G137" t="str">
        <x:v>2ab7bfe5bb1d866084b354f5015f0870609a32b629e766f16e392277efbbb239</x:v>
      </x:c>
      <x:c r="H137" t="str">
        <x:v>neu</x:v>
      </x:c>
      <x:c r="I137" t="str">
        <x:v>ok</x:v>
      </x:c>
      <x:c r="J137"/>
      <x:c r="K137" t="n">
        <x:v>46119</x:v>
      </x:c>
      <x:c r="L137" t="n">
        <x:v>46119</x:v>
      </x:c>
      <x:c r="M137" t="str">
        <x:v>Gebucht</x:v>
      </x:c>
      <x:c r="N137" t="str">
        <x:v>ISSUER</x:v>
      </x:c>
      <x:c r="O137" t="str">
        <x:v>DM.DROGERIE.SAGT.DANKE/Braunschweig</x:v>
      </x:c>
      <x:c r="P137" t="str">
        <x:v>VISA Debitkartenumsatz vom 02.04.2026</x:v>
      </x:c>
      <x:c r="Q137" t="str">
        <x:v>Ausgang</x:v>
      </x:c>
      <x:c r="R137" t="str">
        <x:v>DE96120300009005290904</x:v>
      </x:c>
      <x:c r="S137" t="n">
        <x:v>-7.4</x:v>
      </x:c>
      <x:c r="T137" t="str">
        <x:v>"</x:v>
      </x:c>
      <x:c r="U137" t="str">
        <x:v>"</x:v>
      </x:c>
      <x:c r="V137" t="str">
        <x:v>486092478818637</x:v>
      </x:c>
    </x:row>
    <x:row r="138">
      <x:c r="A138" t="str">
        <x:v>RAW-IMP-20260516-FULLDRAFT-000121</x:v>
      </x:c>
      <x:c r="B138" t="str">
        <x:v>IMP-20260516-FULLDRAFT</x:v>
      </x:c>
      <x:c r="C138" t="str">
        <x:v>KTO001</x:v>
      </x:c>
      <x:c r="D138" t="str">
        <x:v>16-05-2026_Umsatzliste_Girokonto_DE98120300001061711675.csv</x:v>
      </x:c>
      <x:c r="E138" t="n">
        <x:v>46163</x:v>
      </x:c>
      <x:c r="F138" t="n">
        <x:v>121</x:v>
      </x:c>
      <x:c r="G138" t="str">
        <x:v>8fe2ff64210e95da81342c7569588ede546e7547f38f4157a0bc70e9f5dbd1cd</x:v>
      </x:c>
      <x:c r="H138" t="str">
        <x:v>neu</x:v>
      </x:c>
      <x:c r="I138" t="str">
        <x:v>ok</x:v>
      </x:c>
      <x:c r="J138"/>
      <x:c r="K138" t="n">
        <x:v>46119</x:v>
      </x:c>
      <x:c r="L138" t="n">
        <x:v>46119</x:v>
      </x:c>
      <x:c r="M138" t="str">
        <x:v>Gebucht</x:v>
      </x:c>
      <x:c r="N138" t="str">
        <x:v>ISSUER</x:v>
      </x:c>
      <x:c r="O138" t="str">
        <x:v>REWE.Salzgitter.Ge/Salzgitter</x:v>
      </x:c>
      <x:c r="P138" t="str">
        <x:v>VISA Debitkartenumsatz vom 02.04.2026</x:v>
      </x:c>
      <x:c r="Q138" t="str">
        <x:v>Ausgang</x:v>
      </x:c>
      <x:c r="R138" t="str">
        <x:v>DE96120300009005290904</x:v>
      </x:c>
      <x:c r="S138" t="n">
        <x:v>-109.07</x:v>
      </x:c>
      <x:c r="T138" t="str">
        <x:v>"</x:v>
      </x:c>
      <x:c r="U138" t="str">
        <x:v>"</x:v>
      </x:c>
      <x:c r="V138" t="str">
        <x:v>486092546306804</x:v>
      </x:c>
    </x:row>
    <x:row r="139">
      <x:c r="A139" t="str">
        <x:v>RAW-IMP-20260516-FULLDRAFT-000122</x:v>
      </x:c>
      <x:c r="B139" t="str">
        <x:v>IMP-20260516-FULLDRAFT</x:v>
      </x:c>
      <x:c r="C139" t="str">
        <x:v>KTO001</x:v>
      </x:c>
      <x:c r="D139" t="str">
        <x:v>16-05-2026_Umsatzliste_Girokonto_DE98120300001061711675.csv</x:v>
      </x:c>
      <x:c r="E139" t="n">
        <x:v>46163</x:v>
      </x:c>
      <x:c r="F139" t="n">
        <x:v>122</x:v>
      </x:c>
      <x:c r="G139" t="str">
        <x:v>043985190fb20c7e37259dcab3f750580db0998fa8156620d0947b19c3ac142f</x:v>
      </x:c>
      <x:c r="H139" t="str">
        <x:v>neu</x:v>
      </x:c>
      <x:c r="I139" t="str">
        <x:v>ok</x:v>
      </x:c>
      <x:c r="J139"/>
      <x:c r="K139" t="n">
        <x:v>46119</x:v>
      </x:c>
      <x:c r="L139" t="n">
        <x:v>46119</x:v>
      </x:c>
      <x:c r="M139" t="str">
        <x:v>Gebucht</x:v>
      </x:c>
      <x:c r="N139" t="str">
        <x:v>ISSUER</x:v>
      </x:c>
      <x:c r="O139" t="str">
        <x:v>LOEWENBAECKER.SCHAPER/SALZGITTER</x:v>
      </x:c>
      <x:c r="P139" t="str">
        <x:v>VISA Debitkartenumsatz vom 04.04.2026</x:v>
      </x:c>
      <x:c r="Q139" t="str">
        <x:v>Ausgang</x:v>
      </x:c>
      <x:c r="R139" t="str">
        <x:v>DE96120300009005290904</x:v>
      </x:c>
      <x:c r="S139" t="n">
        <x:v>-2.88</x:v>
      </x:c>
      <x:c r="T139" t="str">
        <x:v>"</x:v>
      </x:c>
      <x:c r="U139" t="str">
        <x:v>"</x:v>
      </x:c>
      <x:c r="V139" t="str">
        <x:v>486094269277446</x:v>
      </x:c>
    </x:row>
    <x:row r="140">
      <x:c r="A140" t="str">
        <x:v>RAW-IMP-20260516-FULLDRAFT-000123</x:v>
      </x:c>
      <x:c r="B140" t="str">
        <x:v>IMP-20260516-FULLDRAFT</x:v>
      </x:c>
      <x:c r="C140" t="str">
        <x:v>KTO001</x:v>
      </x:c>
      <x:c r="D140" t="str">
        <x:v>16-05-2026_Umsatzliste_Girokonto_DE98120300001061711675.csv</x:v>
      </x:c>
      <x:c r="E140" t="n">
        <x:v>46163</x:v>
      </x:c>
      <x:c r="F140" t="n">
        <x:v>123</x:v>
      </x:c>
      <x:c r="G140" t="str">
        <x:v>785767f0247a81d5d4db3eaf61eda38cd13bdfc4c2d826acbbc5e0e71adb90e9</x:v>
      </x:c>
      <x:c r="H140" t="str">
        <x:v>neu</x:v>
      </x:c>
      <x:c r="I140" t="str">
        <x:v>ok</x:v>
      </x:c>
      <x:c r="J140"/>
      <x:c r="K140" t="n">
        <x:v>46119</x:v>
      </x:c>
      <x:c r="L140" t="n">
        <x:v>46119</x:v>
      </x:c>
      <x:c r="M140" t="str">
        <x:v>Gebucht</x:v>
      </x:c>
      <x:c r="N140" t="str">
        <x:v>ISSUER</x:v>
      </x:c>
      <x:c r="O140" t="str">
        <x:v>REWE.Acar.oHG/Salzgitter</x:v>
      </x:c>
      <x:c r="P140" t="str">
        <x:v>VISA Debitkartenumsatz vom 02.04.2026</x:v>
      </x:c>
      <x:c r="Q140" t="str">
        <x:v>Ausgang</x:v>
      </x:c>
      <x:c r="R140" t="str">
        <x:v>DE96120300009005290904</x:v>
      </x:c>
      <x:c r="S140" t="n">
        <x:v>-19.41</x:v>
      </x:c>
      <x:c r="T140" t="str">
        <x:v>"</x:v>
      </x:c>
      <x:c r="U140" t="str">
        <x:v>"</x:v>
      </x:c>
      <x:c r="V140" t="str">
        <x:v>486092561284427</x:v>
      </x:c>
    </x:row>
    <x:row r="141">
      <x:c r="A141" t="str">
        <x:v>RAW-IMP-20260516-FULLDRAFT-000124</x:v>
      </x:c>
      <x:c r="B141" t="str">
        <x:v>IMP-20260516-FULLDRAFT</x:v>
      </x:c>
      <x:c r="C141" t="str">
        <x:v>KTO001</x:v>
      </x:c>
      <x:c r="D141" t="str">
        <x:v>16-05-2026_Umsatzliste_Girokonto_DE98120300001061711675.csv</x:v>
      </x:c>
      <x:c r="E141" t="n">
        <x:v>46163</x:v>
      </x:c>
      <x:c r="F141" t="n">
        <x:v>124</x:v>
      </x:c>
      <x:c r="G141" t="str">
        <x:v>2104a366b2beb9c5b8df46d02329d48efff6129209d6a59521cb8f9dc54b448d</x:v>
      </x:c>
      <x:c r="H141" t="str">
        <x:v>neu</x:v>
      </x:c>
      <x:c r="I141" t="str">
        <x:v>ok</x:v>
      </x:c>
      <x:c r="J141"/>
      <x:c r="K141" t="n">
        <x:v>46119</x:v>
      </x:c>
      <x:c r="L141" t="n">
        <x:v>46119</x:v>
      </x:c>
      <x:c r="M141" t="str">
        <x:v>Gebucht</x:v>
      </x:c>
      <x:c r="N141" t="str">
        <x:v>ISSUER</x:v>
      </x:c>
      <x:c r="O141" t="str">
        <x:v>Werkers.Welt/Salzgitter</x:v>
      </x:c>
      <x:c r="P141" t="str">
        <x:v>VISA Debitkartenumsatz vom 02.04.2026</x:v>
      </x:c>
      <x:c r="Q141" t="str">
        <x:v>Ausgang</x:v>
      </x:c>
      <x:c r="R141" t="str">
        <x:v>DE96120300009005290904</x:v>
      </x:c>
      <x:c r="S141" t="n">
        <x:v>-68.97</x:v>
      </x:c>
      <x:c r="T141" t="str">
        <x:v>"</x:v>
      </x:c>
      <x:c r="U141" t="str">
        <x:v>"</x:v>
      </x:c>
      <x:c r="V141" t="str">
        <x:v>486092568697742</x:v>
      </x:c>
    </x:row>
    <x:row r="142">
      <x:c r="A142" t="str">
        <x:v>RAW-IMP-20260516-FULLDRAFT-000125</x:v>
      </x:c>
      <x:c r="B142" t="str">
        <x:v>IMP-20260516-FULLDRAFT</x:v>
      </x:c>
      <x:c r="C142" t="str">
        <x:v>KTO001</x:v>
      </x:c>
      <x:c r="D142" t="str">
        <x:v>16-05-2026_Umsatzliste_Girokonto_DE98120300001061711675.csv</x:v>
      </x:c>
      <x:c r="E142" t="n">
        <x:v>46163</x:v>
      </x:c>
      <x:c r="F142" t="n">
        <x:v>125</x:v>
      </x:c>
      <x:c r="G142" t="str">
        <x:v>3389ea164bbe5a31d504a8fea2e3771243da62e8055aa0363f6bf43700c6c637</x:v>
      </x:c>
      <x:c r="H142" t="str">
        <x:v>neu</x:v>
      </x:c>
      <x:c r="I142" t="str">
        <x:v>ok</x:v>
      </x:c>
      <x:c r="J142"/>
      <x:c r="K142" t="n">
        <x:v>46119</x:v>
      </x:c>
      <x:c r="L142" t="n">
        <x:v>46119</x:v>
      </x:c>
      <x:c r="M142" t="str">
        <x:v>Gebucht</x:v>
      </x:c>
      <x:c r="N142" t="str">
        <x:v>ISSUER</x:v>
      </x:c>
      <x:c r="O142" t="str">
        <x:v>METRO.SAGT.DANKE/BRAUNSCHWEIG</x:v>
      </x:c>
      <x:c r="P142" t="str">
        <x:v>VISA Debitkartenumsatz vom 02.04.2026</x:v>
      </x:c>
      <x:c r="Q142" t="str">
        <x:v>Ausgang</x:v>
      </x:c>
      <x:c r="R142" t="str">
        <x:v>DE96120300009005290904</x:v>
      </x:c>
      <x:c r="S142" t="n">
        <x:v>-41.36</x:v>
      </x:c>
      <x:c r="T142" t="str">
        <x:v>"</x:v>
      </x:c>
      <x:c r="U142" t="str">
        <x:v>"</x:v>
      </x:c>
      <x:c r="V142" t="str">
        <x:v>486092513940944</x:v>
      </x:c>
    </x:row>
    <x:row r="143">
      <x:c r="A143" t="str">
        <x:v>RAW-IMP-20260516-FULLDRAFT-000126</x:v>
      </x:c>
      <x:c r="B143" t="str">
        <x:v>IMP-20260516-FULLDRAFT</x:v>
      </x:c>
      <x:c r="C143" t="str">
        <x:v>KTO001</x:v>
      </x:c>
      <x:c r="D143" t="str">
        <x:v>16-05-2026_Umsatzliste_Girokonto_DE98120300001061711675.csv</x:v>
      </x:c>
      <x:c r="E143" t="n">
        <x:v>46163</x:v>
      </x:c>
      <x:c r="F143" t="n">
        <x:v>126</x:v>
      </x:c>
      <x:c r="G143" t="str">
        <x:v>f7bdd36a51762bf83792ee6e39dc364bd107c044e899993908419dfc51ebc460</x:v>
      </x:c>
      <x:c r="H143" t="str">
        <x:v>neu</x:v>
      </x:c>
      <x:c r="I143" t="str">
        <x:v>ok</x:v>
      </x:c>
      <x:c r="J143"/>
      <x:c r="K143" t="n">
        <x:v>46119</x:v>
      </x:c>
      <x:c r="L143" t="n">
        <x:v>46119</x:v>
      </x:c>
      <x:c r="M143" t="str">
        <x:v>Gebucht</x:v>
      </x:c>
      <x:c r="N143" t="str">
        <x:v>ISSUER</x:v>
      </x:c>
      <x:c r="O143" t="str">
        <x:v>NORD.LB...Braunschweigi/GEBHARDSHG</x:v>
      </x:c>
      <x:c r="P143" t="str">
        <x:v>VISA Debitkartenumsatz vom 04.04.2026</x:v>
      </x:c>
      <x:c r="Q143" t="str">
        <x:v>Ausgang</x:v>
      </x:c>
      <x:c r="R143" t="str">
        <x:v>DE96120300009005290904</x:v>
      </x:c>
      <x:c r="S143" t="n">
        <x:v>-90</x:v>
      </x:c>
      <x:c r="T143" t="str">
        <x:v>"</x:v>
      </x:c>
      <x:c r="U143" t="str">
        <x:v>"</x:v>
      </x:c>
      <x:c r="V143" t="str">
        <x:v>486094573196671</x:v>
      </x:c>
    </x:row>
    <x:row r="144">
      <x:c r="A144" t="str">
        <x:v>RAW-IMP-20260516-FULLDRAFT-000127</x:v>
      </x:c>
      <x:c r="B144" t="str">
        <x:v>IMP-20260516-FULLDRAFT</x:v>
      </x:c>
      <x:c r="C144" t="str">
        <x:v>KTO001</x:v>
      </x:c>
      <x:c r="D144" t="str">
        <x:v>16-05-2026_Umsatzliste_Girokonto_DE98120300001061711675.csv</x:v>
      </x:c>
      <x:c r="E144" t="n">
        <x:v>46163</x:v>
      </x:c>
      <x:c r="F144" t="n">
        <x:v>127</x:v>
      </x:c>
      <x:c r="G144" t="str">
        <x:v>df1792c5f1a0156daf78c496be03a7a7285c4a8d45f5400cc49d94d0bbaf12e6</x:v>
      </x:c>
      <x:c r="H144" t="str">
        <x:v>neu</x:v>
      </x:c>
      <x:c r="I144" t="str">
        <x:v>ok</x:v>
      </x:c>
      <x:c r="J144"/>
      <x:c r="K144" t="n">
        <x:v>46119</x:v>
      </x:c>
      <x:c r="L144" t="n">
        <x:v>46119</x:v>
      </x:c>
      <x:c r="M144" t="str">
        <x:v>Gebucht</x:v>
      </x:c>
      <x:c r="N144" t="str">
        <x:v>Lars Kohlenberg                                                       Johannes-Wosnitza-Str. 8 38229 Salzgitter</x:v>
      </x:c>
      <x:c r="O144" t="str">
        <x:v>Telekom Deutschland GmbH</x:v>
      </x:c>
      <x:c r="P144" t="str">
        <x:v>Festnetz Vertragskonto 4763666565 RG 7257610869/25.03.2026</x:v>
      </x:c>
      <x:c r="Q144" t="str">
        <x:v>Ausgang</x:v>
      </x:c>
      <x:c r="R144" t="str">
        <x:v>DE07512108001095000911</x:v>
      </x:c>
      <x:c r="S144" t="n">
        <x:v>-65.93</x:v>
      </x:c>
      <x:c r="T144" t="str">
        <x:v>DE93ZZZ00000078611</x:v>
      </x:c>
      <x:c r="U144" t="str">
        <x:v>DE000201000200000000000000012966156</x:v>
      </x:c>
      <x:c r="V144" t="str">
        <x:v>Zahlbeleg 338661549952</x:v>
      </x:c>
    </x:row>
    <x:row r="145">
      <x:c r="A145" t="str">
        <x:v>RAW-IMP-20260516-FULLDRAFT-000128</x:v>
      </x:c>
      <x:c r="B145" t="str">
        <x:v>IMP-20260516-FULLDRAFT</x:v>
      </x:c>
      <x:c r="C145" t="str">
        <x:v>KTO001</x:v>
      </x:c>
      <x:c r="D145" t="str">
        <x:v>16-05-2026_Umsatzliste_Girokonto_DE98120300001061711675.csv</x:v>
      </x:c>
      <x:c r="E145" t="n">
        <x:v>46163</x:v>
      </x:c>
      <x:c r="F145" t="n">
        <x:v>128</x:v>
      </x:c>
      <x:c r="G145" t="str">
        <x:v>7e575fe2bd7199b168b49d21a0183535066f978552a1d69861617181be887404</x:v>
      </x:c>
      <x:c r="H145" t="str">
        <x:v>neu</x:v>
      </x:c>
      <x:c r="I145" t="str">
        <x:v>ok</x:v>
      </x:c>
      <x:c r="J145"/>
      <x:c r="K145" t="n">
        <x:v>46114</x:v>
      </x:c>
      <x:c r="L145" t="n">
        <x:v>46114</x:v>
      </x:c>
      <x:c r="M145" t="str">
        <x:v>Gebucht</x:v>
      </x:c>
      <x:c r="N145" t="str">
        <x:v>ISSUER</x:v>
      </x:c>
      <x:c r="O145" t="str">
        <x:v>HOTEL.RATSKELLER.SZ/SALZGITTER</x:v>
      </x:c>
      <x:c r="P145" t="str">
        <x:v>VISA Debitkartenumsatz vom 01.04.2026</x:v>
      </x:c>
      <x:c r="Q145" t="str">
        <x:v>Ausgang</x:v>
      </x:c>
      <x:c r="R145" t="str">
        <x:v>DE96120300009005290904</x:v>
      </x:c>
      <x:c r="S145" t="n">
        <x:v>-36</x:v>
      </x:c>
      <x:c r="T145" t="str">
        <x:v>"</x:v>
      </x:c>
      <x:c r="U145" t="str">
        <x:v>"</x:v>
      </x:c>
      <x:c r="V145" t="str">
        <x:v>486091675806815</x:v>
      </x:c>
    </x:row>
    <x:row r="146">
      <x:c r="A146" t="str">
        <x:v>RAW-IMP-20260516-FULLDRAFT-000129</x:v>
      </x:c>
      <x:c r="B146" t="str">
        <x:v>IMP-20260516-FULLDRAFT</x:v>
      </x:c>
      <x:c r="C146" t="str">
        <x:v>KTO001</x:v>
      </x:c>
      <x:c r="D146" t="str">
        <x:v>16-05-2026_Umsatzliste_Girokonto_DE98120300001061711675.csv</x:v>
      </x:c>
      <x:c r="E146" t="n">
        <x:v>46163</x:v>
      </x:c>
      <x:c r="F146" t="n">
        <x:v>129</x:v>
      </x:c>
      <x:c r="G146" t="str">
        <x:v>c6c78b132e8d2daa73606201d4ebef3ad11b8c9c7a26fe54142c092c1a83fbdc</x:v>
      </x:c>
      <x:c r="H146" t="str">
        <x:v>neu</x:v>
      </x:c>
      <x:c r="I146" t="str">
        <x:v>ok</x:v>
      </x:c>
      <x:c r="J146"/>
      <x:c r="K146" t="n">
        <x:v>46114</x:v>
      </x:c>
      <x:c r="L146" t="n">
        <x:v>46114</x:v>
      </x:c>
      <x:c r="M146" t="str">
        <x:v>Gebucht</x:v>
      </x:c>
      <x:c r="N146" t="str">
        <x:v>ISSUER</x:v>
      </x:c>
      <x:c r="O146" t="str">
        <x:v>METRO.SAGT.DANKE/BRAUNSCHWEIG</x:v>
      </x:c>
      <x:c r="P146" t="str">
        <x:v>VISA Debitkartenumsatz vom 01.04.2026</x:v>
      </x:c>
      <x:c r="Q146" t="str">
        <x:v>Ausgang</x:v>
      </x:c>
      <x:c r="R146" t="str">
        <x:v>DE96120300009005290904</x:v>
      </x:c>
      <x:c r="S146" t="n">
        <x:v>-92.47</x:v>
      </x:c>
      <x:c r="T146" t="str">
        <x:v>"</x:v>
      </x:c>
      <x:c r="U146" t="str">
        <x:v>"</x:v>
      </x:c>
      <x:c r="V146" t="str">
        <x:v>486091445116624</x:v>
      </x:c>
    </x:row>
    <x:row r="147">
      <x:c r="A147" t="str">
        <x:v>RAW-IMP-20260516-FULLDRAFT-000130</x:v>
      </x:c>
      <x:c r="B147" t="str">
        <x:v>IMP-20260516-FULLDRAFT</x:v>
      </x:c>
      <x:c r="C147" t="str">
        <x:v>KTO001</x:v>
      </x:c>
      <x:c r="D147" t="str">
        <x:v>16-05-2026_Umsatzliste_Girokonto_DE98120300001061711675.csv</x:v>
      </x:c>
      <x:c r="E147" t="n">
        <x:v>46163</x:v>
      </x:c>
      <x:c r="F147" t="n">
        <x:v>130</x:v>
      </x:c>
      <x:c r="G147" t="str">
        <x:v>cfb3c777624ef919b01c7de05d2debcb658c120b93a8ff26b82e63ff6bce138a</x:v>
      </x:c>
      <x:c r="H147" t="str">
        <x:v>neu</x:v>
      </x:c>
      <x:c r="I147" t="str">
        <x:v>ok</x:v>
      </x:c>
      <x:c r="J147"/>
      <x:c r="K147" t="n">
        <x:v>46114</x:v>
      </x:c>
      <x:c r="L147" t="n">
        <x:v>46114</x:v>
      </x:c>
      <x:c r="M147" t="str">
        <x:v>Gebucht</x:v>
      </x:c>
      <x:c r="N147" t="str">
        <x:v>ISSUER</x:v>
      </x:c>
      <x:c r="O147" t="str">
        <x:v>Hornbach.Baumarkt.AG.FI/Braunschweig</x:v>
      </x:c>
      <x:c r="P147" t="str">
        <x:v>VISA Debitkartenumsatz vom 01.04.2026</x:v>
      </x:c>
      <x:c r="Q147" t="str">
        <x:v>Ausgang</x:v>
      </x:c>
      <x:c r="R147" t="str">
        <x:v>DE96120300009005290904</x:v>
      </x:c>
      <x:c r="S147" t="n">
        <x:v>-8.8</x:v>
      </x:c>
      <x:c r="T147" t="str">
        <x:v>"</x:v>
      </x:c>
      <x:c r="U147" t="str">
        <x:v>"</x:v>
      </x:c>
      <x:c r="V147" t="str">
        <x:v>486091419557197</x:v>
      </x:c>
    </x:row>
    <x:row r="148">
      <x:c r="A148" t="str">
        <x:v>RAW-IMP-20260516-FULLDRAFT-000131</x:v>
      </x:c>
      <x:c r="B148" t="str">
        <x:v>IMP-20260516-FULLDRAFT</x:v>
      </x:c>
      <x:c r="C148" t="str">
        <x:v>KTO001</x:v>
      </x:c>
      <x:c r="D148" t="str">
        <x:v>16-05-2026_Umsatzliste_Girokonto_DE98120300001061711675.csv</x:v>
      </x:c>
      <x:c r="E148" t="n">
        <x:v>46163</x:v>
      </x:c>
      <x:c r="F148" t="n">
        <x:v>131</x:v>
      </x:c>
      <x:c r="G148" t="str">
        <x:v>6ae3a4af9d8a6007a405fc3b8231625761759af7f5fb19214348c909a42e11c1</x:v>
      </x:c>
      <x:c r="H148" t="str">
        <x:v>neu</x:v>
      </x:c>
      <x:c r="I148" t="str">
        <x:v>ok</x:v>
      </x:c>
      <x:c r="J148"/>
      <x:c r="K148" t="n">
        <x:v>46114</x:v>
      </x:c>
      <x:c r="L148" t="n">
        <x:v>46114</x:v>
      </x:c>
      <x:c r="M148" t="str">
        <x:v>Gebucht</x:v>
      </x:c>
      <x:c r="N148" t="str">
        <x:v>Hornbach.Baumarkt.AG.FI/Braunschweig</x:v>
      </x:c>
      <x:c r="O148" t="str">
        <x:v>NOTPROVIDED</x:v>
      </x:c>
      <x:c r="P148" t="str">
        <x:v>20260402193635 Hornbach.Baumarkt.AG.FI DE</x:v>
      </x:c>
      <x:c r="Q148" t="str">
        <x:v>Eingang</x:v>
      </x:c>
      <x:c r="R148" t="str">
        <x:v>DE96120300009005290904</x:v>
      </x:c>
      <x:c r="S148" t="n">
        <x:v>32.53</x:v>
      </x:c>
      <x:c r="T148" t="str">
        <x:v>"</x:v>
      </x:c>
      <x:c r="U148" t="str">
        <x:v>"</x:v>
      </x:c>
      <x:c r="V148" t="str">
        <x:v>636092476622502</x:v>
      </x:c>
    </x:row>
    <x:row r="149">
      <x:c r="A149" t="str">
        <x:v>RAW-IMP-20260516-FULLDRAFT-000132</x:v>
      </x:c>
      <x:c r="B149" t="str">
        <x:v>IMP-20260516-FULLDRAFT</x:v>
      </x:c>
      <x:c r="C149" t="str">
        <x:v>KTO001</x:v>
      </x:c>
      <x:c r="D149" t="str">
        <x:v>16-05-2026_Umsatzliste_Girokonto_DE98120300001061711675.csv</x:v>
      </x:c>
      <x:c r="E149" t="n">
        <x:v>46163</x:v>
      </x:c>
      <x:c r="F149" t="n">
        <x:v>132</x:v>
      </x:c>
      <x:c r="G149" t="str">
        <x:v>85d87dbd393b32bfbcd7be46d0810a1583a6010a13072f2a5e0fc55b686bc145</x:v>
      </x:c>
      <x:c r="H149" t="str">
        <x:v>neu</x:v>
      </x:c>
      <x:c r="I149" t="str">
        <x:v>ok</x:v>
      </x:c>
      <x:c r="J149"/>
      <x:c r="K149" t="n">
        <x:v>46114</x:v>
      </x:c>
      <x:c r="L149" t="n">
        <x:v>46114</x:v>
      </x:c>
      <x:c r="M149" t="str">
        <x:v>Gebucht</x:v>
      </x:c>
      <x:c r="N149" t="str">
        <x:v>ISSUER</x:v>
      </x:c>
      <x:c r="O149" t="str">
        <x:v>WWW.AMAZON...NB3953AJ4/LUXEMBOURG</x:v>
      </x:c>
      <x:c r="P149" t="str">
        <x:v>VISA Debitkartenumsatz vom 01.04.2026</x:v>
      </x:c>
      <x:c r="Q149" t="str">
        <x:v>Ausgang</x:v>
      </x:c>
      <x:c r="R149" t="str">
        <x:v>DE96120300009005290904</x:v>
      </x:c>
      <x:c r="S149" t="n">
        <x:v>-11.78</x:v>
      </x:c>
      <x:c r="T149" t="str">
        <x:v>"</x:v>
      </x:c>
      <x:c r="U149" t="str">
        <x:v>"</x:v>
      </x:c>
      <x:c r="V149" t="str">
        <x:v>486091415669382</x:v>
      </x:c>
    </x:row>
    <x:row r="150">
      <x:c r="A150" t="str">
        <x:v>RAW-IMP-20260516-FULLDRAFT-000133</x:v>
      </x:c>
      <x:c r="B150" t="str">
        <x:v>IMP-20260516-FULLDRAFT</x:v>
      </x:c>
      <x:c r="C150" t="str">
        <x:v>KTO001</x:v>
      </x:c>
      <x:c r="D150" t="str">
        <x:v>16-05-2026_Umsatzliste_Girokonto_DE98120300001061711675.csv</x:v>
      </x:c>
      <x:c r="E150" t="n">
        <x:v>46163</x:v>
      </x:c>
      <x:c r="F150" t="n">
        <x:v>133</x:v>
      </x:c>
      <x:c r="G150" t="str">
        <x:v>884ed98263030a24203c8a95419663b8b549066e8b3290d557ff8d4481d167a1</x:v>
      </x:c>
      <x:c r="H150" t="str">
        <x:v>neu</x:v>
      </x:c>
      <x:c r="I150" t="str">
        <x:v>ok</x:v>
      </x:c>
      <x:c r="J150"/>
      <x:c r="K150" t="n">
        <x:v>46114</x:v>
      </x:c>
      <x:c r="L150" t="n">
        <x:v>46114</x:v>
      </x:c>
      <x:c r="M150" t="str">
        <x:v>Gebucht</x:v>
      </x:c>
      <x:c r="N150" t="str">
        <x:v>ISSUER</x:v>
      </x:c>
      <x:c r="O150" t="str">
        <x:v>Globus.Baumarkt/Salzgitter</x:v>
      </x:c>
      <x:c r="P150" t="str">
        <x:v>VISA Debitkartenumsatz vom 01.04.2026</x:v>
      </x:c>
      <x:c r="Q150" t="str">
        <x:v>Ausgang</x:v>
      </x:c>
      <x:c r="R150" t="str">
        <x:v>DE96120300009005290904</x:v>
      </x:c>
      <x:c r="S150" t="n">
        <x:v>-4.99</x:v>
      </x:c>
      <x:c r="T150" t="str">
        <x:v>"</x:v>
      </x:c>
      <x:c r="U150" t="str">
        <x:v>"</x:v>
      </x:c>
      <x:c r="V150" t="str">
        <x:v>486091455394898</x:v>
      </x:c>
    </x:row>
    <x:row r="151">
      <x:c r="A151" t="str">
        <x:v>RAW-IMP-20260516-FULLDRAFT-000134</x:v>
      </x:c>
      <x:c r="B151" t="str">
        <x:v>IMP-20260516-FULLDRAFT</x:v>
      </x:c>
      <x:c r="C151" t="str">
        <x:v>KTO001</x:v>
      </x:c>
      <x:c r="D151" t="str">
        <x:v>16-05-2026_Umsatzliste_Girokonto_DE98120300001061711675.csv</x:v>
      </x:c>
      <x:c r="E151" t="n">
        <x:v>46163</x:v>
      </x:c>
      <x:c r="F151" t="n">
        <x:v>134</x:v>
      </x:c>
      <x:c r="G151" t="str">
        <x:v>b489bad45cda1338c4bd341961fae453f4ad3a47cca17c1f733a71a5c0b2c7bd</x:v>
      </x:c>
      <x:c r="H151" t="str">
        <x:v>neu</x:v>
      </x:c>
      <x:c r="I151" t="str">
        <x:v>ok</x:v>
      </x:c>
      <x:c r="J151"/>
      <x:c r="K151" t="n">
        <x:v>46114</x:v>
      </x:c>
      <x:c r="L151" t="n">
        <x:v>46114</x:v>
      </x:c>
      <x:c r="M151" t="str">
        <x:v>Gebucht</x:v>
      </x:c>
      <x:c r="N151" t="str">
        <x:v>Globus.Baumarkt/Salzgitter</x:v>
      </x:c>
      <x:c r="O151" t="str">
        <x:v>NOTPROVIDED</x:v>
      </x:c>
      <x:c r="P151" t="str">
        <x:v>20260402164026 Globus.Baumarkt DE</x:v>
      </x:c>
      <x:c r="Q151" t="str">
        <x:v>Eingang</x:v>
      </x:c>
      <x:c r="R151" t="str">
        <x:v>DE96120300009005290904</x:v>
      </x:c>
      <x:c r="S151" t="n">
        <x:v>9.96</x:v>
      </x:c>
      <x:c r="T151" t="str">
        <x:v>"</x:v>
      </x:c>
      <x:c r="U151" t="str">
        <x:v>"</x:v>
      </x:c>
      <x:c r="V151" t="str">
        <x:v>486091453760644</x:v>
      </x:c>
    </x:row>
    <x:row r="152">
      <x:c r="A152" t="str">
        <x:v>RAW-IMP-20260516-FULLDRAFT-000135</x:v>
      </x:c>
      <x:c r="B152" t="str">
        <x:v>IMP-20260516-FULLDRAFT</x:v>
      </x:c>
      <x:c r="C152" t="str">
        <x:v>KTO001</x:v>
      </x:c>
      <x:c r="D152" t="str">
        <x:v>16-05-2026_Umsatzliste_Girokonto_DE98120300001061711675.csv</x:v>
      </x:c>
      <x:c r="E152" t="n">
        <x:v>46163</x:v>
      </x:c>
      <x:c r="F152" t="n">
        <x:v>135</x:v>
      </x:c>
      <x:c r="G152" t="str">
        <x:v>1b9bc7e6e981a96fad4c49ac860923452846784e764a02a7c400358ff7f614fe</x:v>
      </x:c>
      <x:c r="H152" t="str">
        <x:v>neu</x:v>
      </x:c>
      <x:c r="I152" t="str">
        <x:v>ok</x:v>
      </x:c>
      <x:c r="J152"/>
      <x:c r="K152" t="n">
        <x:v>46114</x:v>
      </x:c>
      <x:c r="L152" t="n">
        <x:v>46114</x:v>
      </x:c>
      <x:c r="M152" t="str">
        <x:v>Gebucht</x:v>
      </x:c>
      <x:c r="N152" t="str">
        <x:v>Lars Kohlenberg</x:v>
      </x:c>
      <x:c r="O152" t="str">
        <x:v>VHV Allg. Versicherung AG</x:v>
      </x:c>
      <x:c r="P152" t="str">
        <x:v>VHV Versicherung HAFTPFLICHTVERSICHERUNG H 306-298548/0000 Abrechnung: 01.04.26 - 01.07.26</x:v>
      </x:c>
      <x:c r="Q152" t="str">
        <x:v>Ausgang</x:v>
      </x:c>
      <x:c r="R152" t="str">
        <x:v>DE65250500000101411551</x:v>
      </x:c>
      <x:c r="S152" t="n">
        <x:v>-25.99</x:v>
      </x:c>
      <x:c r="T152" t="str">
        <x:v>DE32VHV00000150810</x:v>
      </x:c>
      <x:c r="U152" t="str">
        <x:v>0015012300010037</x:v>
      </x:c>
      <x:c r="V152" t="str">
        <x:v>31123866360</x:v>
      </x:c>
    </x:row>
    <x:row r="153">
      <x:c r="A153" t="str">
        <x:v>RAW-IMP-20260516-FULLDRAFT-000136</x:v>
      </x:c>
      <x:c r="B153" t="str">
        <x:v>IMP-20260516-FULLDRAFT</x:v>
      </x:c>
      <x:c r="C153" t="str">
        <x:v>KTO001</x:v>
      </x:c>
      <x:c r="D153" t="str">
        <x:v>16-05-2026_Umsatzliste_Girokonto_DE98120300001061711675.csv</x:v>
      </x:c>
      <x:c r="E153" t="n">
        <x:v>46163</x:v>
      </x:c>
      <x:c r="F153" t="n">
        <x:v>136</x:v>
      </x:c>
      <x:c r="G153" t="str">
        <x:v>87de5817aa874d3f8af9807d5a63f70c5c0b02596a8ce2bd97ac62a1481a1a13</x:v>
      </x:c>
      <x:c r="H153" t="str">
        <x:v>neu</x:v>
      </x:c>
      <x:c r="I153" t="str">
        <x:v>ok</x:v>
      </x:c>
      <x:c r="J153"/>
      <x:c r="K153" t="n">
        <x:v>46114</x:v>
      </x:c>
      <x:c r="L153" t="n">
        <x:v>46114</x:v>
      </x:c>
      <x:c r="M153" t="str">
        <x:v>Gebucht</x:v>
      </x:c>
      <x:c r="N153" t="str">
        <x:v>Lars Kohlenberg                                                       Johannes-Wosnitza-Str., 8</x:v>
      </x:c>
      <x:c r="O153" t="str">
        <x:v>FUNKE Medien Niedersachsen GmbH                                       Hintern Bruedern 23</x:v>
      </x:c>
      <x:c r="P153" t="str">
        <x:v>SZ/00001050/VA/01.04.26-30.04.26/Rg-Nr.:6317039962/Kd-Nr:0053112791</x:v>
      </x:c>
      <x:c r="Q153" t="str">
        <x:v>Ausgang</x:v>
      </x:c>
      <x:c r="R153" t="str">
        <x:v>DE67250500000000146910</x:v>
      </x:c>
      <x:c r="S153" t="n">
        <x:v>-60.5</x:v>
      </x:c>
      <x:c r="T153" t="str">
        <x:v>DE8850000000483288</x:v>
      </x:c>
      <x:c r="U153" t="str">
        <x:v>0053112791-0500-01300001</x:v>
      </x:c>
      <x:c r="V153" t="str">
        <x:v>031008838039</x:v>
      </x:c>
    </x:row>
    <x:row r="154">
      <x:c r="A154" t="str">
        <x:v>RAW-IMP-20260516-FULLDRAFT-000137</x:v>
      </x:c>
      <x:c r="B154" t="str">
        <x:v>IMP-20260516-FULLDRAFT</x:v>
      </x:c>
      <x:c r="C154" t="str">
        <x:v>KTO001</x:v>
      </x:c>
      <x:c r="D154" t="str">
        <x:v>16-05-2026_Umsatzliste_Girokonto_DE98120300001061711675.csv</x:v>
      </x:c>
      <x:c r="E154" t="n">
        <x:v>46163</x:v>
      </x:c>
      <x:c r="F154" t="n">
        <x:v>137</x:v>
      </x:c>
      <x:c r="G154" t="str">
        <x:v>2fe1e9f7110a4d3f551caef0afaaa097d5158b610d2d801d5f83eae1ed06b136</x:v>
      </x:c>
      <x:c r="H154" t="str">
        <x:v>neu</x:v>
      </x:c>
      <x:c r="I154" t="str">
        <x:v>ok</x:v>
      </x:c>
      <x:c r="J154"/>
      <x:c r="K154" t="n">
        <x:v>46114</x:v>
      </x:c>
      <x:c r="L154" t="n">
        <x:v>46114</x:v>
      </x:c>
      <x:c r="M154" t="str">
        <x:v>Gebucht</x:v>
      </x:c>
      <x:c r="N154" t="str">
        <x:v>Lars Kohlenberg</x:v>
      </x:c>
      <x:c r="O154" t="str">
        <x:v>VHV Allg. Versicherung AG</x:v>
      </x:c>
      <x:c r="P154" t="str">
        <x:v>VHV Versicherung UNFALLVERSICHERUNG U 013-072445/0000 Abrechnung: 01.04.26 - 01.05.26</x:v>
      </x:c>
      <x:c r="Q154" t="str">
        <x:v>Ausgang</x:v>
      </x:c>
      <x:c r="R154" t="str">
        <x:v>DE65250500000101411551</x:v>
      </x:c>
      <x:c r="S154" t="n">
        <x:v>-11.96</x:v>
      </x:c>
      <x:c r="T154" t="str">
        <x:v>DE32VHV00000150810</x:v>
      </x:c>
      <x:c r="U154" t="str">
        <x:v>0015012300010039</x:v>
      </x:c>
      <x:c r="V154" t="str">
        <x:v>31123866361</x:v>
      </x:c>
    </x:row>
    <x:row r="155">
      <x:c r="A155" t="str">
        <x:v>RAW-IMP-20260516-FULLDRAFT-000138</x:v>
      </x:c>
      <x:c r="B155" t="str">
        <x:v>IMP-20260516-FULLDRAFT</x:v>
      </x:c>
      <x:c r="C155" t="str">
        <x:v>KTO001</x:v>
      </x:c>
      <x:c r="D155" t="str">
        <x:v>16-05-2026_Umsatzliste_Girokonto_DE98120300001061711675.csv</x:v>
      </x:c>
      <x:c r="E155" t="n">
        <x:v>46163</x:v>
      </x:c>
      <x:c r="F155" t="n">
        <x:v>138</x:v>
      </x:c>
      <x:c r="G155" t="str">
        <x:v>8154b4acb1256a68bce28da91de2ade3b40d338f066a2ecb0bd0854f94f4c990</x:v>
      </x:c>
      <x:c r="H155" t="str">
        <x:v>neu</x:v>
      </x:c>
      <x:c r="I155" t="str">
        <x:v>ok</x:v>
      </x:c>
      <x:c r="J155"/>
      <x:c r="K155" t="n">
        <x:v>46113</x:v>
      </x:c>
      <x:c r="L155" t="n">
        <x:v>46113</x:v>
      </x:c>
      <x:c r="M155" t="str">
        <x:v>Gebucht</x:v>
      </x:c>
      <x:c r="N155" t="str">
        <x:v>WILLI KOHLENBERG</x:v>
      </x:c>
      <x:c r="O155" t="str">
        <x:v>LARS KOHLENBERG</x:v>
      </x:c>
      <x:c r="P155" t="str">
        <x:v>MIETE 2/3 HAUS</x:v>
      </x:c>
      <x:c r="Q155" t="str">
        <x:v>Eingang</x:v>
      </x:c>
      <x:c r="R155" t="str">
        <x:v>DE84270800600651520400</x:v>
      </x:c>
      <x:c r="S155" t="n">
        <x:v>750</x:v>
      </x:c>
      <x:c r="T155" t="str">
        <x:v>"</x:v>
      </x:c>
      <x:c r="U155" t="str">
        <x:v>"</x:v>
      </x:c>
      <x:c r="V155" t="str">
        <x:v>"</x:v>
      </x:c>
    </x:row>
    <x:row r="156">
      <x:c r="A156" t="str">
        <x:v>RAW-IMP-20260516-FULLDRAFT-000139</x:v>
      </x:c>
      <x:c r="B156" t="str">
        <x:v>IMP-20260516-FULLDRAFT</x:v>
      </x:c>
      <x:c r="C156" t="str">
        <x:v>KTO001</x:v>
      </x:c>
      <x:c r="D156" t="str">
        <x:v>16-05-2026_Umsatzliste_Girokonto_DE98120300001061711675.csv</x:v>
      </x:c>
      <x:c r="E156" t="n">
        <x:v>46163</x:v>
      </x:c>
      <x:c r="F156" t="n">
        <x:v>139</x:v>
      </x:c>
      <x:c r="G156" t="str">
        <x:v>137e792b0dc9c4dcd895ed99c4e9a5dbd29e44a8627464dfb3eef204ae353f86</x:v>
      </x:c>
      <x:c r="H156" t="str">
        <x:v>neu</x:v>
      </x:c>
      <x:c r="I156" t="str">
        <x:v>ok</x:v>
      </x:c>
      <x:c r="J156"/>
      <x:c r="K156" t="n">
        <x:v>46113</x:v>
      </x:c>
      <x:c r="L156" t="n">
        <x:v>46113</x:v>
      </x:c>
      <x:c r="M156" t="str">
        <x:v>Gebucht</x:v>
      </x:c>
      <x:c r="N156" t="str">
        <x:v>ISSUER</x:v>
      </x:c>
      <x:c r="O156" t="str">
        <x:v>REWE.Salzgitter.Ge/Salzgitter</x:v>
      </x:c>
      <x:c r="P156" t="str">
        <x:v>VISA Debitkartenumsatz vom 31.03.2026</x:v>
      </x:c>
      <x:c r="Q156" t="str">
        <x:v>Ausgang</x:v>
      </x:c>
      <x:c r="R156" t="str">
        <x:v>DE96120300009005290904</x:v>
      </x:c>
      <x:c r="S156" t="n">
        <x:v>-26.44</x:v>
      </x:c>
      <x:c r="T156" t="str">
        <x:v>"</x:v>
      </x:c>
      <x:c r="U156" t="str">
        <x:v>"</x:v>
      </x:c>
      <x:c r="V156" t="str">
        <x:v>486090619025657</x:v>
      </x:c>
    </x:row>
    <x:row r="157">
      <x:c r="A157" t="str">
        <x:v>RAW-IMP-20260516-FULLDRAFT-000140</x:v>
      </x:c>
      <x:c r="B157" t="str">
        <x:v>IMP-20260516-FULLDRAFT</x:v>
      </x:c>
      <x:c r="C157" t="str">
        <x:v>KTO001</x:v>
      </x:c>
      <x:c r="D157" t="str">
        <x:v>16-05-2026_Umsatzliste_Girokonto_DE98120300001061711675.csv</x:v>
      </x:c>
      <x:c r="E157" t="n">
        <x:v>46163</x:v>
      </x:c>
      <x:c r="F157" t="n">
        <x:v>140</x:v>
      </x:c>
      <x:c r="G157" t="str">
        <x:v>2b1d0db49466e3fa08c618480127a4087165e322f63ce305338503006e858fbb</x:v>
      </x:c>
      <x:c r="H157" t="str">
        <x:v>neu</x:v>
      </x:c>
      <x:c r="I157" t="str">
        <x:v>ok</x:v>
      </x:c>
      <x:c r="J157"/>
      <x:c r="K157" t="n">
        <x:v>46113</x:v>
      </x:c>
      <x:c r="L157" t="n">
        <x:v>46113</x:v>
      </x:c>
      <x:c r="M157" t="str">
        <x:v>Gebucht</x:v>
      </x:c>
      <x:c r="N157" t="str">
        <x:v>ISSUER</x:v>
      </x:c>
      <x:c r="O157" t="str">
        <x:v>REWE.Salzgitter.Ge/Salzgitter</x:v>
      </x:c>
      <x:c r="P157" t="str">
        <x:v>VISA Debitkartenumsatz vom 31.03.2026</x:v>
      </x:c>
      <x:c r="Q157" t="str">
        <x:v>Ausgang</x:v>
      </x:c>
      <x:c r="R157" t="str">
        <x:v>DE96120300009005290904</x:v>
      </x:c>
      <x:c r="S157" t="n">
        <x:v>-11.83</x:v>
      </x:c>
      <x:c r="T157" t="str">
        <x:v>"</x:v>
      </x:c>
      <x:c r="U157" t="str">
        <x:v>"</x:v>
      </x:c>
      <x:c r="V157" t="str">
        <x:v>486090385800296</x:v>
      </x:c>
    </x:row>
    <x:row r="158">
      <x:c r="A158" t="str">
        <x:v>RAW-IMP-20260516-FULLDRAFT-000141</x:v>
      </x:c>
      <x:c r="B158" t="str">
        <x:v>IMP-20260516-FULLDRAFT</x:v>
      </x:c>
      <x:c r="C158" t="str">
        <x:v>KTO001</x:v>
      </x:c>
      <x:c r="D158" t="str">
        <x:v>16-05-2026_Umsatzliste_Girokonto_DE98120300001061711675.csv</x:v>
      </x:c>
      <x:c r="E158" t="n">
        <x:v>46163</x:v>
      </x:c>
      <x:c r="F158" t="n">
        <x:v>141</x:v>
      </x:c>
      <x:c r="G158" t="str">
        <x:v>b20cbf000d54523b73f57c03fe7f10f07aaffde545f1d48e561d2f1ff29cd718</x:v>
      </x:c>
      <x:c r="H158" t="str">
        <x:v>neu</x:v>
      </x:c>
      <x:c r="I158" t="str">
        <x:v>ok</x:v>
      </x:c>
      <x:c r="J158"/>
      <x:c r="K158" t="n">
        <x:v>46113</x:v>
      </x:c>
      <x:c r="L158" t="n">
        <x:v>46113</x:v>
      </x:c>
      <x:c r="M158" t="str">
        <x:v>Gebucht</x:v>
      </x:c>
      <x:c r="N158" t="str">
        <x:v>Lars Kohlenberg</x:v>
      </x:c>
      <x:c r="O158" t="str">
        <x:v>LARS KOHLENBERG</x:v>
      </x:c>
      <x:c r="P158" t="str">
        <x:v>Sparrate 650,- + 750 EUR Mieteinnahmen</x:v>
      </x:c>
      <x:c r="Q158" t="str">
        <x:v>Ausgang</x:v>
      </x:c>
      <x:c r="R158" t="str">
        <x:v>DE91270200001510365800</x:v>
      </x:c>
      <x:c r="S158" t="n">
        <x:v>-1400</x:v>
      </x:c>
      <x:c r="T158" t="str">
        <x:v>"</x:v>
      </x:c>
      <x:c r="U158" t="str">
        <x:v>"</x:v>
      </x:c>
      <x:c r="V158" t="str">
        <x:v>"</x:v>
      </x:c>
    </x:row>
    <x:row r="159">
      <x:c r="A159" t="str">
        <x:v>RAW-IMP-20260516-FULLDRAFT-000142</x:v>
      </x:c>
      <x:c r="B159" t="str">
        <x:v>IMP-20260516-FULLDRAFT</x:v>
      </x:c>
      <x:c r="C159" t="str">
        <x:v>KTO001</x:v>
      </x:c>
      <x:c r="D159" t="str">
        <x:v>16-05-2026_Umsatzliste_Girokonto_DE98120300001061711675.csv</x:v>
      </x:c>
      <x:c r="E159" t="n">
        <x:v>46163</x:v>
      </x:c>
      <x:c r="F159" t="n">
        <x:v>142</x:v>
      </x:c>
      <x:c r="G159" t="str">
        <x:v>d1e282c0d97ff23ac60a935b8146d004c3107500d7c64fa3d67b741dc7c53d41</x:v>
      </x:c>
      <x:c r="H159" t="str">
        <x:v>neu</x:v>
      </x:c>
      <x:c r="I159" t="str">
        <x:v>ok</x:v>
      </x:c>
      <x:c r="J159"/>
      <x:c r="K159" t="n">
        <x:v>46113</x:v>
      </x:c>
      <x:c r="L159" t="n">
        <x:v>46113</x:v>
      </x:c>
      <x:c r="M159" t="str">
        <x:v>Gebucht</x:v>
      </x:c>
      <x:c r="N159" t="str">
        <x:v>Lars Kohlenberg</x:v>
      </x:c>
      <x:c r="O159" t="str">
        <x:v>KATRIN KOHLENBERG</x:v>
      </x:c>
      <x:c r="P159" t="str">
        <x:v>Apanage</x:v>
      </x:c>
      <x:c r="Q159" t="str">
        <x:v>Ausgang</x:v>
      </x:c>
      <x:c r="R159" t="str">
        <x:v>DE32270727240307336800</x:v>
      </x:c>
      <x:c r="S159" t="n">
        <x:v>-1800</x:v>
      </x:c>
      <x:c r="T159" t="str">
        <x:v>"</x:v>
      </x:c>
      <x:c r="U159" t="str">
        <x:v>"</x:v>
      </x:c>
      <x:c r="V159" t="str">
        <x:v>"</x:v>
      </x:c>
    </x:row>
    <x:row r="160">
      <x:c r="A160" t="str">
        <x:v>RAW-IMP-20260516-FULLDRAFT-000143</x:v>
      </x:c>
      <x:c r="B160" t="str">
        <x:v>IMP-20260516-FULLDRAFT</x:v>
      </x:c>
      <x:c r="C160" t="str">
        <x:v>KTO001</x:v>
      </x:c>
      <x:c r="D160" t="str">
        <x:v>16-05-2026_Umsatzliste_Girokonto_DE98120300001061711675.csv</x:v>
      </x:c>
      <x:c r="E160" t="n">
        <x:v>46163</x:v>
      </x:c>
      <x:c r="F160" t="n">
        <x:v>143</x:v>
      </x:c>
      <x:c r="G160" t="str">
        <x:v>69adf758d4d69d2374314d7c788e9b36d8fb44514822d509ce4041ab9060f21b</x:v>
      </x:c>
      <x:c r="H160" t="str">
        <x:v>neu</x:v>
      </x:c>
      <x:c r="I160" t="str">
        <x:v>ok</x:v>
      </x:c>
      <x:c r="J160"/>
      <x:c r="K160" t="n">
        <x:v>46113</x:v>
      </x:c>
      <x:c r="L160" t="n">
        <x:v>46113</x:v>
      </x:c>
      <x:c r="M160" t="str">
        <x:v>Gebucht</x:v>
      </x:c>
      <x:c r="N160" t="str">
        <x:v>Kohlenberg Lars</x:v>
      </x:c>
      <x:c r="O160" t="str">
        <x:v>Allianz Lebensversic</x:v>
      </x:c>
      <x:c r="P160" t="str">
        <x:v>Vertrag AL-1356867060 01.04.26 - 30.04.26 RiesRent InvAlphaBal</x:v>
      </x:c>
      <x:c r="Q160" t="str">
        <x:v>Ausgang</x:v>
      </x:c>
      <x:c r="R160" t="str">
        <x:v>DE52700202700015152448</x:v>
      </x:c>
      <x:c r="S160" t="n">
        <x:v>-162.17</x:v>
      </x:c>
      <x:c r="T160" t="str">
        <x:v>DE07ZZZ00000063475</x:v>
      </x:c>
      <x:c r="U160" t="str">
        <x:v>LA01L312001066775296</x:v>
      </x:c>
      <x:c r="V160" t="str">
        <x:v>AB226086-E00564273</x:v>
      </x:c>
    </x:row>
    <x:row r="161">
      <x:c r="A161" t="str">
        <x:v>RAW-IMP-20260516-FULLDRAFT-000144</x:v>
      </x:c>
      <x:c r="B161" t="str">
        <x:v>IMP-20260516-FULLDRAFT</x:v>
      </x:c>
      <x:c r="C161" t="str">
        <x:v>KTO001</x:v>
      </x:c>
      <x:c r="D161" t="str">
        <x:v>16-05-2026_Umsatzliste_Girokonto_DE98120300001061711675.csv</x:v>
      </x:c>
      <x:c r="E161" t="n">
        <x:v>46163</x:v>
      </x:c>
      <x:c r="F161" t="n">
        <x:v>144</x:v>
      </x:c>
      <x:c r="G161" t="str">
        <x:v>a3443288b3481398eab8e65bd451a78c29dc1386c49d330a0195cd7c7917fabe</x:v>
      </x:c>
      <x:c r="H161" t="str">
        <x:v>neu</x:v>
      </x:c>
      <x:c r="I161" t="str">
        <x:v>ok</x:v>
      </x:c>
      <x:c r="J161"/>
      <x:c r="K161" t="n">
        <x:v>46113</x:v>
      </x:c>
      <x:c r="L161" t="n">
        <x:v>46113</x:v>
      </x:c>
      <x:c r="M161" t="str">
        <x:v>Gebucht</x:v>
      </x:c>
      <x:c r="N161" t="str">
        <x:v>Lars Kohlenberg                                                       Johannes-Wosnitza-Str. 8 38229 Salzgitter</x:v>
      </x:c>
      <x:c r="O161" t="str">
        <x:v>Heidelberger Lebensversicherung AG                                    Donrhofstrasse 36, 63263 Neu-Isenburg</x:v>
      </x:c>
      <x:c r="P161" t="str">
        <x:v>60012826 , 04.26</x:v>
      </x:c>
      <x:c r="Q161" t="str">
        <x:v>Ausgang</x:v>
      </x:c>
      <x:c r="R161" t="str">
        <x:v>DE38600501010002662604</x:v>
      </x:c>
      <x:c r="S161" t="n">
        <x:v>-452.71</x:v>
      </x:c>
      <x:c r="T161" t="str">
        <x:v>DE31HLE00000032682</x:v>
      </x:c>
      <x:c r="U161" t="str">
        <x:v>11-140000075706</x:v>
      </x:c>
      <x:c r="V161" t="str">
        <x:v>110046975409</x:v>
      </x:c>
    </x:row>
    <x:row r="162">
      <x:c r="A162" t="str">
        <x:v>RAW-IMP-20260516-FULLDRAFT-000145</x:v>
      </x:c>
      <x:c r="B162" t="str">
        <x:v>IMP-20260516-FULLDRAFT</x:v>
      </x:c>
      <x:c r="C162" t="str">
        <x:v>KTO001</x:v>
      </x:c>
      <x:c r="D162" t="str">
        <x:v>16-05-2026_Umsatzliste_Girokonto_DE98120300001061711675.csv</x:v>
      </x:c>
      <x:c r="E162" t="n">
        <x:v>46163</x:v>
      </x:c>
      <x:c r="F162" t="n">
        <x:v>145</x:v>
      </x:c>
      <x:c r="G162" t="str">
        <x:v>69c2f6b0e1a9d36e7c892f97b5fa61afc03e58c191a95b57b2824ecb360fe7d7</x:v>
      </x:c>
      <x:c r="H162" t="str">
        <x:v>neu</x:v>
      </x:c>
      <x:c r="I162" t="str">
        <x:v>ok</x:v>
      </x:c>
      <x:c r="J162"/>
      <x:c r="K162" t="n">
        <x:v>46113</x:v>
      </x:c>
      <x:c r="L162" t="n">
        <x:v>46113</x:v>
      </x:c>
      <x:c r="M162" t="str">
        <x:v>Gebucht</x:v>
      </x:c>
      <x:c r="N162" t="str">
        <x:v>KOHLENBERG, LARS</x:v>
      </x:c>
      <x:c r="O162" t="str">
        <x:v>Lars und Katrin Kohlenberg</x:v>
      </x:c>
      <x:c r="P162" t="str">
        <x:v>13074769 VERMOEGENSDEPOT SAMMELBUCHUNG SPARPLAN WKN A1C9ED, 847809</x:v>
      </x:c>
      <x:c r="Q162" t="str">
        <x:v>Ausgang</x:v>
      </x:c>
      <x:c r="R162" t="str">
        <x:v>DE27672300000506966162</x:v>
      </x:c>
      <x:c r="S162" t="n">
        <x:v>-600</x:v>
      </x:c>
      <x:c r="T162" t="str">
        <x:v>DE53ZZZ00000010849</x:v>
      </x:c>
      <x:c r="U162" t="str">
        <x:v>WPBF0000180845</x:v>
      </x:c>
      <x:c r="V162" t="str">
        <x:v>SPARSP 20541855</x:v>
      </x:c>
    </x:row>
    <x:row r="163">
      <x:c r="A163" t="str">
        <x:v>RAW-IMP-20260516-FULLDRAFT-000146</x:v>
      </x:c>
      <x:c r="B163" t="str">
        <x:v>IMP-20260516-FULLDRAFT</x:v>
      </x:c>
      <x:c r="C163" t="str">
        <x:v>KTO001</x:v>
      </x:c>
      <x:c r="D163" t="str">
        <x:v>16-05-2026_Umsatzliste_Girokonto_DE98120300001061711675.csv</x:v>
      </x:c>
      <x:c r="E163" t="n">
        <x:v>46163</x:v>
      </x:c>
      <x:c r="F163" t="n">
        <x:v>146</x:v>
      </x:c>
      <x:c r="G163" t="str">
        <x:v>697abb59a082b51cda7c39704f2faed1a462fde4b5e7448684edf1bb11e8aa61</x:v>
      </x:c>
      <x:c r="H163" t="str">
        <x:v>neu</x:v>
      </x:c>
      <x:c r="I163" t="str">
        <x:v>ok</x:v>
      </x:c>
      <x:c r="J163"/>
      <x:c r="K163" t="n">
        <x:v>46113</x:v>
      </x:c>
      <x:c r="L163" t="n">
        <x:v>46113</x:v>
      </x:c>
      <x:c r="M163" t="str">
        <x:v>Gebucht</x:v>
      </x:c>
      <x:c r="N163" t="str">
        <x:v>KOHLENBERG, LARS</x:v>
      </x:c>
      <x:c r="O163" t="str">
        <x:v>VPV-LEBENSVERSICHERUNGS-AG</x:v>
      </x:c>
      <x:c r="P163" t="str">
        <x:v>VNR 301667726</x:v>
      </x:c>
      <x:c r="Q163" t="str">
        <x:v>Ausgang</x:v>
      </x:c>
      <x:c r="R163" t="str">
        <x:v>DE78600501010001166338</x:v>
      </x:c>
      <x:c r="S163" t="n">
        <x:v>-56.83</x:v>
      </x:c>
      <x:c r="T163" t="str">
        <x:v>DE96LAG00000064686</x:v>
      </x:c>
      <x:c r="U163" t="str">
        <x:v>ML700120510</x:v>
      </x:c>
      <x:c r="V163" t="str">
        <x:v>260330 470140583 ML700120510</x:v>
      </x:c>
    </x:row>
    <x:row r="164">
      <x:c r="A164" t="str">
        <x:v>RAW-IMP-20260516-FULLDRAFT-000147</x:v>
      </x:c>
      <x:c r="B164" t="str">
        <x:v>IMP-20260516-FULLDRAFT</x:v>
      </x:c>
      <x:c r="C164" t="str">
        <x:v>KTO001</x:v>
      </x:c>
      <x:c r="D164" t="str">
        <x:v>16-05-2026_Umsatzliste_Girokonto_DE98120300001061711675.csv</x:v>
      </x:c>
      <x:c r="E164" t="n">
        <x:v>46163</x:v>
      </x:c>
      <x:c r="F164" t="n">
        <x:v>147</x:v>
      </x:c>
      <x:c r="G164" t="str">
        <x:v>a04a00f2943fd8a970dd2332e06ca72727b8eb9a32e2221d2306faddfe1a8772</x:v>
      </x:c>
      <x:c r="H164" t="str">
        <x:v>neu</x:v>
      </x:c>
      <x:c r="I164" t="str">
        <x:v>ok</x:v>
      </x:c>
      <x:c r="J164"/>
      <x:c r="K164" t="n">
        <x:v>46113</x:v>
      </x:c>
      <x:c r="L164" t="n">
        <x:v>46113</x:v>
      </x:c>
      <x:c r="M164" t="str">
        <x:v>Gebucht</x:v>
      </x:c>
      <x:c r="N164" t="str">
        <x:v>Kohlenberg</x:v>
      </x:c>
      <x:c r="O164" t="str">
        <x:v>TANZSCHULE KWIATKOWSKI GBR</x:v>
      </x:c>
      <x:c r="P164" t="str">
        <x:v>R-SB0000077397-A0000004560,SB2151 9-2025 - 4.2026,Jan Kohlenberg</x:v>
      </x:c>
      <x:c r="Q164" t="str">
        <x:v>Ausgang</x:v>
      </x:c>
      <x:c r="R164" t="str">
        <x:v>DE61259501300096212535</x:v>
      </x:c>
      <x:c r="S164" t="n">
        <x:v>-49</x:v>
      </x:c>
      <x:c r="T164" t="str">
        <x:v>DE79ZZZ00002474666</x:v>
      </x:c>
      <x:c r="U164" t="str">
        <x:v>TM004560-000142</x:v>
      </x:c>
      <x:c r="V164" t="str">
        <x:v>R-SB00077397</x:v>
      </x:c>
    </x:row>
    <x:row r="165">
      <x:c r="A165" t="str">
        <x:v>RAW-IMP-20260516-FULLDRAFT-000148</x:v>
      </x:c>
      <x:c r="B165" t="str">
        <x:v>IMP-20260516-FULLDRAFT</x:v>
      </x:c>
      <x:c r="C165" t="str">
        <x:v>KTO001</x:v>
      </x:c>
      <x:c r="D165" t="str">
        <x:v>16-05-2026_Umsatzliste_Girokonto_DE98120300001061711675.csv</x:v>
      </x:c>
      <x:c r="E165" t="n">
        <x:v>46163</x:v>
      </x:c>
      <x:c r="F165" t="n">
        <x:v>148</x:v>
      </x:c>
      <x:c r="G165" t="str">
        <x:v>cff9f770b9675847400136439811d2f6d95ec1a7a190f89ef27801d3c3d010d9</x:v>
      </x:c>
      <x:c r="H165" t="str">
        <x:v>neu</x:v>
      </x:c>
      <x:c r="I165" t="str">
        <x:v>ok</x:v>
      </x:c>
      <x:c r="J165"/>
      <x:c r="K165" t="n">
        <x:v>46113</x:v>
      </x:c>
      <x:c r="L165" t="n">
        <x:v>46113</x:v>
      </x:c>
      <x:c r="M165" t="str">
        <x:v>Gebucht</x:v>
      </x:c>
      <x:c r="N165" t="str">
        <x:v>KOHLENBERG LARS</x:v>
      </x:c>
      <x:c r="O165" t="str">
        <x:v>VOLKSWOHL BUND Lebensversicherung a.G.</x:v>
      </x:c>
      <x:c r="P165" t="str">
        <x:v>009893595 LA000750566/ 009893595 LEBEN 73,09</x:v>
      </x:c>
      <x:c r="Q165" t="str">
        <x:v>Ausgang</x:v>
      </x:c>
      <x:c r="R165" t="str">
        <x:v>DE76440400370361155500</x:v>
      </x:c>
      <x:c r="S165" t="n">
        <x:v>-73.09</x:v>
      </x:c>
      <x:c r="T165" t="str">
        <x:v>DE13ZZZ00000141064</x:v>
      </x:c>
      <x:c r="U165" t="str">
        <x:v>LA000750566</x:v>
      </x:c>
      <x:c r="V165" t="str">
        <x:v>009893595/NVMA.G1169-301561</x:v>
      </x:c>
    </x:row>
    <x:row r="166">
      <x:c r="A166" t="str">
        <x:v>RAW-IMP-20260516-FULLDRAFT-000149</x:v>
      </x:c>
      <x:c r="B166" t="str">
        <x:v>IMP-20260516-FULLDRAFT</x:v>
      </x:c>
      <x:c r="C166" t="str">
        <x:v>KTO001</x:v>
      </x:c>
      <x:c r="D166" t="str">
        <x:v>16-05-2026_Umsatzliste_Girokonto_DE98120300001061711675.csv</x:v>
      </x:c>
      <x:c r="E166" t="n">
        <x:v>46163</x:v>
      </x:c>
      <x:c r="F166" t="n">
        <x:v>149</x:v>
      </x:c>
      <x:c r="G166" t="str">
        <x:v>177904db00afdeb7a65f4e77cb728234ee6e0f7260b253c20183c60d761c8f0c</x:v>
      </x:c>
      <x:c r="H166" t="str">
        <x:v>neu</x:v>
      </x:c>
      <x:c r="I166" t="str">
        <x:v>ok</x:v>
      </x:c>
      <x:c r="J166"/>
      <x:c r="K166" t="n">
        <x:v>46113</x:v>
      </x:c>
      <x:c r="L166" t="n">
        <x:v>46113</x:v>
      </x:c>
      <x:c r="M166" t="str">
        <x:v>Gebucht</x:v>
      </x:c>
      <x:c r="N166" t="str">
        <x:v>Kohlenberg, Lars</x:v>
      </x:c>
      <x:c r="O166" t="str">
        <x:v>IDEAL Lebensversicherung aG</x:v>
      </x:c>
      <x:c r="P166" t="str">
        <x:v>2011216280009 LV 041</x:v>
      </x:c>
      <x:c r="Q166" t="str">
        <x:v>Ausgang</x:v>
      </x:c>
      <x:c r="R166" t="str">
        <x:v>DE36100700000460303100</x:v>
      </x:c>
      <x:c r="S166" t="n">
        <x:v>-100.52</x:v>
      </x:c>
      <x:c r="T166" t="str">
        <x:v>DE40ZZZ00000559230</x:v>
      </x:c>
      <x:c r="U166" t="str">
        <x:v>2011216280009-001</x:v>
      </x:c>
      <x:c r="V166" t="str">
        <x:v>GL,KL,PD-20260401-1-2011216280009-0</x:v>
      </x:c>
    </x:row>
    <x:row r="167">
      <x:c r="A167" t="str">
        <x:v>RAW-IMP-20260516-FULLDRAFT-000150</x:v>
      </x:c>
      <x:c r="B167" t="str">
        <x:v>IMP-20260516-FULLDRAFT</x:v>
      </x:c>
      <x:c r="C167" t="str">
        <x:v>KTO001</x:v>
      </x:c>
      <x:c r="D167" t="str">
        <x:v>16-05-2026_Umsatzliste_Girokonto_DE98120300001061711675.csv</x:v>
      </x:c>
      <x:c r="E167" t="n">
        <x:v>46163</x:v>
      </x:c>
      <x:c r="F167" t="n">
        <x:v>150</x:v>
      </x:c>
      <x:c r="G167" t="str">
        <x:v>d62db24e874c59f274877dd597664b3fc26bb4723e74cd493270b0ca58362669</x:v>
      </x:c>
      <x:c r="H167" t="str">
        <x:v>neu</x:v>
      </x:c>
      <x:c r="I167" t="str">
        <x:v>ok</x:v>
      </x:c>
      <x:c r="J167"/>
      <x:c r="K167" t="n">
        <x:v>46113</x:v>
      </x:c>
      <x:c r="L167" t="n">
        <x:v>46113</x:v>
      </x:c>
      <x:c r="M167" t="str">
        <x:v>Gebucht</x:v>
      </x:c>
      <x:c r="N167" t="str">
        <x:v>DKB AG</x:v>
      </x:c>
      <x:c r="O167" t="str">
        <x:v>DKB AG</x:v>
      </x:c>
      <x:c r="P167" t="str">
        <x:v>Abrechnung 31.03.2026 siehe Anlage Abrechnung 31.03.2026 Information zur Abrechnung Kontostand am 31.03.2026                                        5.213,25 + Abrechnungszeitraum vom 01.01.2026 bis 31.03.2026 Zinsen für eingeräumte Kontoüberziehung                              0,48-  7,9100 v.H. Kred-Zins  bis 24.03.2026 Abrechnung 31.03.2026                                                0,48- Sollzinssätze am 30.03.2026  7,9100 v.H. für eingeräumte Kontoüberziehung (aktuell eingeräumte Kontoüberziehung       2.000,00)  7,9100 v.H. für geduldete Kontoüberziehung über die eingeräumte Kontoüberziehung hinaus Es handelt sich hierbei um eine umsatzsteuerfreie Leistung. Kontostand/Rechnungsabschluss am 31.03.2026                     5.212,77 + Rechnungsnummer: 20260331-BY111-00270866733</x:v>
      </x:c>
      <x:c r="Q167" t="str">
        <x:v>Ausgang</x:v>
      </x:c>
      <x:c r="R167" t="str">
        <x:v>0000000000</x:v>
      </x:c>
      <x:c r="S167" t="n">
        <x:v>-0.48</x:v>
      </x:c>
      <x:c r="T167" t="str">
        <x:v>"</x:v>
      </x:c>
      <x:c r="U167" t="str">
        <x:v>"</x:v>
      </x:c>
      <x:c r="V167" t="str">
        <x:v>"</x:v>
      </x:c>
    </x:row>
    <x:row r="168">
      <x:c r="A168" t="str">
        <x:v>RAW-IMP-20260516-FULLDRAFT-000151</x:v>
      </x:c>
      <x:c r="B168" t="str">
        <x:v>IMP-20260516-FULLDRAFT</x:v>
      </x:c>
      <x:c r="C168" t="str">
        <x:v>KTO001</x:v>
      </x:c>
      <x:c r="D168" t="str">
        <x:v>16-05-2026_Umsatzliste_Girokonto_DE98120300001061711675.csv</x:v>
      </x:c>
      <x:c r="E168" t="n">
        <x:v>46163</x:v>
      </x:c>
      <x:c r="F168" t="n">
        <x:v>151</x:v>
      </x:c>
      <x:c r="G168" t="str">
        <x:v>3795723e6910374452e7bd81f0e272b674e338bd6653a773c327374777fc61a7</x:v>
      </x:c>
      <x:c r="H168" t="str">
        <x:v>neu</x:v>
      </x:c>
      <x:c r="I168" t="str">
        <x:v>ok</x:v>
      </x:c>
      <x:c r="J168"/>
      <x:c r="K168" t="n">
        <x:v>46112</x:v>
      </x:c>
      <x:c r="L168" t="n">
        <x:v>46112</x:v>
      </x:c>
      <x:c r="M168" t="str">
        <x:v>Gebucht</x:v>
      </x:c>
      <x:c r="N168" t="str">
        <x:v>ISSUER</x:v>
      </x:c>
      <x:c r="O168" t="str">
        <x:v>E.CENTER.3443.SALZGITT/SALZGITTER</x:v>
      </x:c>
      <x:c r="P168" t="str">
        <x:v>VISA Debitkartenumsatz vom 30.03.2026</x:v>
      </x:c>
      <x:c r="Q168" t="str">
        <x:v>Ausgang</x:v>
      </x:c>
      <x:c r="R168" t="str">
        <x:v>DE96120300009005290904</x:v>
      </x:c>
      <x:c r="S168" t="n">
        <x:v>-2.15</x:v>
      </x:c>
      <x:c r="T168" t="str">
        <x:v>"</x:v>
      </x:c>
      <x:c r="U168" t="str">
        <x:v>"</x:v>
      </x:c>
      <x:c r="V168" t="str">
        <x:v>486089479134226</x:v>
      </x:c>
    </x:row>
    <x:row r="169">
      <x:c r="A169" t="str">
        <x:v>RAW-IMP-20260516-FULLDRAFT-000152</x:v>
      </x:c>
      <x:c r="B169" t="str">
        <x:v>IMP-20260516-FULLDRAFT</x:v>
      </x:c>
      <x:c r="C169" t="str">
        <x:v>KTO001</x:v>
      </x:c>
      <x:c r="D169" t="str">
        <x:v>16-05-2026_Umsatzliste_Girokonto_DE98120300001061711675.csv</x:v>
      </x:c>
      <x:c r="E169" t="n">
        <x:v>46163</x:v>
      </x:c>
      <x:c r="F169" t="n">
        <x:v>152</x:v>
      </x:c>
      <x:c r="G169" t="str">
        <x:v>62a8d141d6427ae034aee977ee308418446523de521624e1169eab1277c8d08f</x:v>
      </x:c>
      <x:c r="H169" t="str">
        <x:v>neu</x:v>
      </x:c>
      <x:c r="I169" t="str">
        <x:v>ok</x:v>
      </x:c>
      <x:c r="J169"/>
      <x:c r="K169" t="n">
        <x:v>46112</x:v>
      </x:c>
      <x:c r="L169" t="n">
        <x:v>46112</x:v>
      </x:c>
      <x:c r="M169" t="str">
        <x:v>Gebucht</x:v>
      </x:c>
      <x:c r="N169" t="str">
        <x:v>ISSUER</x:v>
      </x:c>
      <x:c r="O169" t="str">
        <x:v>Globus.Baumarkt/Salzgitter</x:v>
      </x:c>
      <x:c r="P169" t="str">
        <x:v>VISA Debitkartenumsatz vom 30.03.2026</x:v>
      </x:c>
      <x:c r="Q169" t="str">
        <x:v>Ausgang</x:v>
      </x:c>
      <x:c r="R169" t="str">
        <x:v>DE96120300009005290904</x:v>
      </x:c>
      <x:c r="S169" t="n">
        <x:v>-4.99</x:v>
      </x:c>
      <x:c r="T169" t="str">
        <x:v>"</x:v>
      </x:c>
      <x:c r="U169" t="str">
        <x:v>"</x:v>
      </x:c>
      <x:c r="V169" t="str">
        <x:v>486089475400692</x:v>
      </x:c>
    </x:row>
    <x:row r="170">
      <x:c r="A170" t="str">
        <x:v>RAW-IMP-20260516-FULLDRAFT-000153</x:v>
      </x:c>
      <x:c r="B170" t="str">
        <x:v>IMP-20260516-FULLDRAFT</x:v>
      </x:c>
      <x:c r="C170" t="str">
        <x:v>KTO001</x:v>
      </x:c>
      <x:c r="D170" t="str">
        <x:v>16-05-2026_Umsatzliste_Girokonto_DE98120300001061711675.csv</x:v>
      </x:c>
      <x:c r="E170" t="n">
        <x:v>46163</x:v>
      </x:c>
      <x:c r="F170" t="n">
        <x:v>153</x:v>
      </x:c>
      <x:c r="G170" t="str">
        <x:v>4d3a3dca9082085731bfa12c09bf8b089709039baba51043593800657d8b7dd1</x:v>
      </x:c>
      <x:c r="H170" t="str">
        <x:v>neu</x:v>
      </x:c>
      <x:c r="I170" t="str">
        <x:v>ok</x:v>
      </x:c>
      <x:c r="J170"/>
      <x:c r="K170" t="n">
        <x:v>46112</x:v>
      </x:c>
      <x:c r="L170" t="n">
        <x:v>46112</x:v>
      </x:c>
      <x:c r="M170" t="str">
        <x:v>Gebucht</x:v>
      </x:c>
      <x:c r="N170" t="str">
        <x:v>Globus.Baumarkt/Salzgitter</x:v>
      </x:c>
      <x:c r="O170" t="str">
        <x:v>NOTPROVIDED</x:v>
      </x:c>
      <x:c r="P170" t="str">
        <x:v>20260331184457 Globus.Baumarkt DE</x:v>
      </x:c>
      <x:c r="Q170" t="str">
        <x:v>Eingang</x:v>
      </x:c>
      <x:c r="R170" t="str">
        <x:v>DE96120300009005290904</x:v>
      </x:c>
      <x:c r="S170" t="n">
        <x:v>33.49</x:v>
      </x:c>
      <x:c r="T170" t="str">
        <x:v>"</x:v>
      </x:c>
      <x:c r="U170" t="str">
        <x:v>"</x:v>
      </x:c>
      <x:c r="V170" t="str">
        <x:v>486089471431343</x:v>
      </x:c>
    </x:row>
    <x:row r="171">
      <x:c r="A171" t="str">
        <x:v>RAW-IMP-20260516-FULLDRAFT-000154</x:v>
      </x:c>
      <x:c r="B171" t="str">
        <x:v>IMP-20260516-FULLDRAFT</x:v>
      </x:c>
      <x:c r="C171" t="str">
        <x:v>KTO001</x:v>
      </x:c>
      <x:c r="D171" t="str">
        <x:v>16-05-2026_Umsatzliste_Girokonto_DE98120300001061711675.csv</x:v>
      </x:c>
      <x:c r="E171" t="n">
        <x:v>46163</x:v>
      </x:c>
      <x:c r="F171" t="n">
        <x:v>154</x:v>
      </x:c>
      <x:c r="G171" t="str">
        <x:v>154e2128835072a7b8a071266bb365a47c76bfefc4a586083509eacbc818a2b5</x:v>
      </x:c>
      <x:c r="H171" t="str">
        <x:v>neu</x:v>
      </x:c>
      <x:c r="I171" t="str">
        <x:v>ok</x:v>
      </x:c>
      <x:c r="J171"/>
      <x:c r="K171" t="n">
        <x:v>46112</x:v>
      </x:c>
      <x:c r="L171" t="n">
        <x:v>46112</x:v>
      </x:c>
      <x:c r="M171" t="str">
        <x:v>Gebucht</x:v>
      </x:c>
      <x:c r="N171" t="str">
        <x:v>ISSUER</x:v>
      </x:c>
      <x:c r="O171" t="str">
        <x:v>Hagebaumarkt.Salzgitter/Salzgitter</x:v>
      </x:c>
      <x:c r="P171" t="str">
        <x:v>VISA Debitkartenumsatz vom 30.03.2026</x:v>
      </x:c>
      <x:c r="Q171" t="str">
        <x:v>Ausgang</x:v>
      </x:c>
      <x:c r="R171" t="str">
        <x:v>DE96120300009005290904</x:v>
      </x:c>
      <x:c r="S171" t="n">
        <x:v>-14.47</x:v>
      </x:c>
      <x:c r="T171" t="str">
        <x:v>"</x:v>
      </x:c>
      <x:c r="U171" t="str">
        <x:v>"</x:v>
      </x:c>
      <x:c r="V171" t="str">
        <x:v>486089287452927</x:v>
      </x:c>
    </x:row>
    <x:row r="172">
      <x:c r="A172" t="str">
        <x:v>RAW-IMP-20260516-FULLDRAFT-000155</x:v>
      </x:c>
      <x:c r="B172" t="str">
        <x:v>IMP-20260516-FULLDRAFT</x:v>
      </x:c>
      <x:c r="C172" t="str">
        <x:v>KTO001</x:v>
      </x:c>
      <x:c r="D172" t="str">
        <x:v>16-05-2026_Umsatzliste_Girokonto_DE98120300001061711675.csv</x:v>
      </x:c>
      <x:c r="E172" t="n">
        <x:v>46163</x:v>
      </x:c>
      <x:c r="F172" t="n">
        <x:v>155</x:v>
      </x:c>
      <x:c r="G172" t="str">
        <x:v>2f492dd16f09a81d777ab279e4c1c0c0356eed0a077ac81c5b4f42a26bb5e9fb</x:v>
      </x:c>
      <x:c r="H172" t="str">
        <x:v>neu</x:v>
      </x:c>
      <x:c r="I172" t="str">
        <x:v>ok</x:v>
      </x:c>
      <x:c r="J172"/>
      <x:c r="K172" t="n">
        <x:v>46112</x:v>
      </x:c>
      <x:c r="L172" t="n">
        <x:v>46112</x:v>
      </x:c>
      <x:c r="M172" t="str">
        <x:v>Gebucht</x:v>
      </x:c>
      <x:c r="N172" t="str">
        <x:v>Kohlenberg, Katrin</x:v>
      </x:c>
      <x:c r="O172" t="str">
        <x:v>WEVG Salzgitter GmbH + Co. KG</x:v>
      </x:c>
      <x:c r="P172" t="str">
        <x:v>Kd-Nr 79288 Einz 31.03.26 41710/140.00/Johannes-Wosni 100833/79.00/Johannes-Wosni</x:v>
      </x:c>
      <x:c r="Q172" t="str">
        <x:v>Ausgang</x:v>
      </x:c>
      <x:c r="R172" t="str">
        <x:v>DE19300700100394127500</x:v>
      </x:c>
      <x:c r="S172" t="n">
        <x:v>-219</x:v>
      </x:c>
      <x:c r="T172" t="str">
        <x:v>DE83WEV00000032716</x:v>
      </x:c>
      <x:c r="U172" t="str">
        <x:v>WEVG0000079288G1000178580</x:v>
      </x:c>
      <x:c r="V172" t="str">
        <x:v>14252522</x:v>
      </x:c>
    </x:row>
    <x:row r="173">
      <x:c r="A173" t="str">
        <x:v>RAW-IMP-20260516-FULLDRAFT-000156</x:v>
      </x:c>
      <x:c r="B173" t="str">
        <x:v>IMP-20260516-FULLDRAFT</x:v>
      </x:c>
      <x:c r="C173" t="str">
        <x:v>KTO001</x:v>
      </x:c>
      <x:c r="D173" t="str">
        <x:v>16-05-2026_Umsatzliste_Girokonto_DE98120300001061711675.csv</x:v>
      </x:c>
      <x:c r="E173" t="n">
        <x:v>46163</x:v>
      </x:c>
      <x:c r="F173" t="n">
        <x:v>156</x:v>
      </x:c>
      <x:c r="G173" t="str">
        <x:v>fd79b3586aac5f39926013390baede2aa7e0a5b7b88978be6e6a97b0d15ca7ef</x:v>
      </x:c>
      <x:c r="H173" t="str">
        <x:v>neu</x:v>
      </x:c>
      <x:c r="I173" t="str">
        <x:v>ok</x:v>
      </x:c>
      <x:c r="J173"/>
      <x:c r="K173" t="n">
        <x:v>46112</x:v>
      </x:c>
      <x:c r="L173" t="n">
        <x:v>46112</x:v>
      </x:c>
      <x:c r="M173" t="str">
        <x:v>Gebucht</x:v>
      </x:c>
      <x:c r="N173" t="str">
        <x:v>Lars Kohlenberg</x:v>
      </x:c>
      <x:c r="O173" t="str">
        <x:v>Lea Sophie Kohlenberg</x:v>
      </x:c>
      <x:c r="P173" t="str">
        <x:v>Taschengeld</x:v>
      </x:c>
      <x:c r="Q173" t="str">
        <x:v>Ausgang</x:v>
      </x:c>
      <x:c r="R173" t="str">
        <x:v>DE89269910662833344000</x:v>
      </x:c>
      <x:c r="S173" t="n">
        <x:v>-20</x:v>
      </x:c>
      <x:c r="T173" t="str">
        <x:v>"</x:v>
      </x:c>
      <x:c r="U173" t="str">
        <x:v>"</x:v>
      </x:c>
      <x:c r="V173" t="str">
        <x:v>"</x:v>
      </x:c>
    </x:row>
    <x:row r="174">
      <x:c r="A174" t="str">
        <x:v>RAW-IMP-20260516-FULLDRAFT-000157</x:v>
      </x:c>
      <x:c r="B174" t="str">
        <x:v>IMP-20260516-FULLDRAFT</x:v>
      </x:c>
      <x:c r="C174" t="str">
        <x:v>KTO001</x:v>
      </x:c>
      <x:c r="D174" t="str">
        <x:v>16-05-2026_Umsatzliste_Girokonto_DE98120300001061711675.csv</x:v>
      </x:c>
      <x:c r="E174" t="n">
        <x:v>46163</x:v>
      </x:c>
      <x:c r="F174" t="n">
        <x:v>157</x:v>
      </x:c>
      <x:c r="G174" t="str">
        <x:v>c270405501787b994248e1480b640966ebf1b40a67ed9afdfee6bd1aac14af3f</x:v>
      </x:c>
      <x:c r="H174" t="str">
        <x:v>neu</x:v>
      </x:c>
      <x:c r="I174" t="str">
        <x:v>ok</x:v>
      </x:c>
      <x:c r="J174"/>
      <x:c r="K174" t="n">
        <x:v>46111</x:v>
      </x:c>
      <x:c r="L174" t="n">
        <x:v>46111</x:v>
      </x:c>
      <x:c r="M174" t="str">
        <x:v>Gebucht</x:v>
      </x:c>
      <x:c r="N174" t="str">
        <x:v>1+1 Mail + Media GmbH</x:v>
      </x:c>
      <x:c r="O174" t="str">
        <x:v>Lars Kohlenberg</x:v>
      </x:c>
      <x:c r="P174" t="str">
        <x:v>KD-Nr. K7440512/ RG-Nr. 201544194077</x:v>
      </x:c>
      <x:c r="Q174" t="str">
        <x:v>Eingang</x:v>
      </x:c>
      <x:c r="R174" t="str">
        <x:v>DE76700800000881679702</x:v>
      </x:c>
      <x:c r="S174" t="n">
        <x:v>0.64</x:v>
      </x:c>
      <x:c r="T174" t="str">
        <x:v>"</x:v>
      </x:c>
      <x:c r="U174" t="str">
        <x:v>"</x:v>
      </x:c>
      <x:c r="V174" t="str">
        <x:v>"</x:v>
      </x:c>
    </x:row>
    <x:row r="175">
      <x:c r="A175" t="str">
        <x:v>RAW-IMP-20260516-FULLDRAFT-000158</x:v>
      </x:c>
      <x:c r="B175" t="str">
        <x:v>IMP-20260516-FULLDRAFT</x:v>
      </x:c>
      <x:c r="C175" t="str">
        <x:v>KTO001</x:v>
      </x:c>
      <x:c r="D175" t="str">
        <x:v>16-05-2026_Umsatzliste_Girokonto_DE98120300001061711675.csv</x:v>
      </x:c>
      <x:c r="E175" t="n">
        <x:v>46163</x:v>
      </x:c>
      <x:c r="F175" t="n">
        <x:v>158</x:v>
      </x:c>
      <x:c r="G175" t="str">
        <x:v>f6e9eb81006eab4acfbad03aeb74c85bdf82246260a36b7b16ff29fd6fb22491</x:v>
      </x:c>
      <x:c r="H175" t="str">
        <x:v>neu</x:v>
      </x:c>
      <x:c r="I175" t="str">
        <x:v>ok</x:v>
      </x:c>
      <x:c r="J175"/>
      <x:c r="K175" t="n">
        <x:v>46111</x:v>
      </x:c>
      <x:c r="L175" t="n">
        <x:v>46111</x:v>
      </x:c>
      <x:c r="M175" t="str">
        <x:v>Gebucht</x:v>
      </x:c>
      <x:c r="N175" t="str">
        <x:v>ISSUER</x:v>
      </x:c>
      <x:c r="O175" t="str">
        <x:v>PAYPAL..SPOTIFY.P40E37E/35314369001</x:v>
      </x:c>
      <x:c r="P175" t="str">
        <x:v>VISA Debitkartenumsatz vom 29.03.2026</x:v>
      </x:c>
      <x:c r="Q175" t="str">
        <x:v>Ausgang</x:v>
      </x:c>
      <x:c r="R175" t="str">
        <x:v>DE96120300009005290904</x:v>
      </x:c>
      <x:c r="S175" t="n">
        <x:v>-21.99</x:v>
      </x:c>
      <x:c r="T175" t="str">
        <x:v>"</x:v>
      </x:c>
      <x:c r="U175" t="str">
        <x:v>"</x:v>
      </x:c>
      <x:c r="V175" t="str">
        <x:v>466088371233797</x:v>
      </x:c>
    </x:row>
    <x:row r="176">
      <x:c r="A176" t="str">
        <x:v>RAW-IMP-20260516-FULLDRAFT-000159</x:v>
      </x:c>
      <x:c r="B176" t="str">
        <x:v>IMP-20260516-FULLDRAFT</x:v>
      </x:c>
      <x:c r="C176" t="str">
        <x:v>KTO001</x:v>
      </x:c>
      <x:c r="D176" t="str">
        <x:v>16-05-2026_Umsatzliste_Girokonto_DE98120300001061711675.csv</x:v>
      </x:c>
      <x:c r="E176" t="n">
        <x:v>46163</x:v>
      </x:c>
      <x:c r="F176" t="n">
        <x:v>159</x:v>
      </x:c>
      <x:c r="G176" t="str">
        <x:v>394a00224ca92d4cd5151cb31e1a5b490f8a74b4d249eaec04ad51cb64af5f4c</x:v>
      </x:c>
      <x:c r="H176" t="str">
        <x:v>neu</x:v>
      </x:c>
      <x:c r="I176" t="str">
        <x:v>ok</x:v>
      </x:c>
      <x:c r="J176"/>
      <x:c r="K176" t="n">
        <x:v>46111</x:v>
      </x:c>
      <x:c r="L176" t="n">
        <x:v>46111</x:v>
      </x:c>
      <x:c r="M176" t="str">
        <x:v>Gebucht</x:v>
      </x:c>
      <x:c r="N176" t="str">
        <x:v>ISSUER</x:v>
      </x:c>
      <x:c r="O176" t="str">
        <x:v>Globus.Baumarkt/Salzgitter</x:v>
      </x:c>
      <x:c r="P176" t="str">
        <x:v>VISA Debitkartenumsatz vom 28.03.2026</x:v>
      </x:c>
      <x:c r="Q176" t="str">
        <x:v>Ausgang</x:v>
      </x:c>
      <x:c r="R176" t="str">
        <x:v>DE96120300009005290904</x:v>
      </x:c>
      <x:c r="S176" t="n">
        <x:v>-53.9</x:v>
      </x:c>
      <x:c r="T176" t="str">
        <x:v>"</x:v>
      </x:c>
      <x:c r="U176" t="str">
        <x:v>"</x:v>
      </x:c>
      <x:c r="V176" t="str">
        <x:v>486087509089293</x:v>
      </x:c>
    </x:row>
    <x:row r="177">
      <x:c r="A177" t="str">
        <x:v>RAW-IMP-20260516-FULLDRAFT-000160</x:v>
      </x:c>
      <x:c r="B177" t="str">
        <x:v>IMP-20260516-FULLDRAFT</x:v>
      </x:c>
      <x:c r="C177" t="str">
        <x:v>KTO001</x:v>
      </x:c>
      <x:c r="D177" t="str">
        <x:v>16-05-2026_Umsatzliste_Girokonto_DE98120300001061711675.csv</x:v>
      </x:c>
      <x:c r="E177" t="n">
        <x:v>46163</x:v>
      </x:c>
      <x:c r="F177" t="n">
        <x:v>160</x:v>
      </x:c>
      <x:c r="G177" t="str">
        <x:v>8e3521c677e19932d3e1d54b82ce78bd63bc4b414e324c8181ecd00798e77756</x:v>
      </x:c>
      <x:c r="H177" t="str">
        <x:v>neu</x:v>
      </x:c>
      <x:c r="I177" t="str">
        <x:v>ok</x:v>
      </x:c>
      <x:c r="J177"/>
      <x:c r="K177" t="n">
        <x:v>46111</x:v>
      </x:c>
      <x:c r="L177" t="n">
        <x:v>46111</x:v>
      </x:c>
      <x:c r="M177" t="str">
        <x:v>Gebucht</x:v>
      </x:c>
      <x:c r="N177" t="str">
        <x:v>ISSUER</x:v>
      </x:c>
      <x:c r="O177" t="str">
        <x:v>Hornbach.Baumarkt.AG.FI/Braunschweig</x:v>
      </x:c>
      <x:c r="P177" t="str">
        <x:v>VISA Debitkartenumsatz vom 28.03.2026</x:v>
      </x:c>
      <x:c r="Q177" t="str">
        <x:v>Ausgang</x:v>
      </x:c>
      <x:c r="R177" t="str">
        <x:v>DE96120300009005290904</x:v>
      </x:c>
      <x:c r="S177" t="n">
        <x:v>-119.05</x:v>
      </x:c>
      <x:c r="T177" t="str">
        <x:v>"</x:v>
      </x:c>
      <x:c r="U177" t="str">
        <x:v>"</x:v>
      </x:c>
      <x:c r="V177" t="str">
        <x:v>486087482048187</x:v>
      </x:c>
    </x:row>
    <x:row r="178">
      <x:c r="A178" t="str">
        <x:v>RAW-IMP-20260516-FULLDRAFT-000161</x:v>
      </x:c>
      <x:c r="B178" t="str">
        <x:v>IMP-20260516-FULLDRAFT</x:v>
      </x:c>
      <x:c r="C178" t="str">
        <x:v>KTO001</x:v>
      </x:c>
      <x:c r="D178" t="str">
        <x:v>16-05-2026_Umsatzliste_Girokonto_DE98120300001061711675.csv</x:v>
      </x:c>
      <x:c r="E178" t="n">
        <x:v>46163</x:v>
      </x:c>
      <x:c r="F178" t="n">
        <x:v>161</x:v>
      </x:c>
      <x:c r="G178" t="str">
        <x:v>13e80d3bed932a926573b274bdf393a6d8e4cc82e57630966f38208166fb5915</x:v>
      </x:c>
      <x:c r="H178" t="str">
        <x:v>neu</x:v>
      </x:c>
      <x:c r="I178" t="str">
        <x:v>ok</x:v>
      </x:c>
      <x:c r="J178"/>
      <x:c r="K178" t="n">
        <x:v>46111</x:v>
      </x:c>
      <x:c r="L178" t="n">
        <x:v>46111</x:v>
      </x:c>
      <x:c r="M178" t="str">
        <x:v>Gebucht</x:v>
      </x:c>
      <x:c r="N178" t="str">
        <x:v>ISSUER</x:v>
      </x:c>
      <x:c r="O178" t="str">
        <x:v>REWE.Salzgitter.Ge/Salzgitter</x:v>
      </x:c>
      <x:c r="P178" t="str">
        <x:v>VISA Debitkartenumsatz vom 28.03.2026</x:v>
      </x:c>
      <x:c r="Q178" t="str">
        <x:v>Ausgang</x:v>
      </x:c>
      <x:c r="R178" t="str">
        <x:v>DE96120300009005290904</x:v>
      </x:c>
      <x:c r="S178" t="n">
        <x:v>-104.71</x:v>
      </x:c>
      <x:c r="T178" t="str">
        <x:v>"</x:v>
      </x:c>
      <x:c r="U178" t="str">
        <x:v>"</x:v>
      </x:c>
      <x:c r="V178" t="str">
        <x:v>486087603850089</x:v>
      </x:c>
    </x:row>
    <x:row r="179">
      <x:c r="A179" t="str">
        <x:v>RAW-IMP-20260516-FULLDRAFT-000162</x:v>
      </x:c>
      <x:c r="B179" t="str">
        <x:v>IMP-20260516-FULLDRAFT</x:v>
      </x:c>
      <x:c r="C179" t="str">
        <x:v>KTO001</x:v>
      </x:c>
      <x:c r="D179" t="str">
        <x:v>16-05-2026_Umsatzliste_Girokonto_DE98120300001061711675.csv</x:v>
      </x:c>
      <x:c r="E179" t="n">
        <x:v>46163</x:v>
      </x:c>
      <x:c r="F179" t="n">
        <x:v>162</x:v>
      </x:c>
      <x:c r="G179" t="str">
        <x:v>5f1ac749dd50c0caa99b1aac8be42e28729d3a0a367b251dd1eddf32d55ff1df</x:v>
      </x:c>
      <x:c r="H179" t="str">
        <x:v>neu</x:v>
      </x:c>
      <x:c r="I179" t="str">
        <x:v>ok</x:v>
      </x:c>
      <x:c r="J179"/>
      <x:c r="K179" t="n">
        <x:v>46111</x:v>
      </x:c>
      <x:c r="L179" t="n">
        <x:v>46111</x:v>
      </x:c>
      <x:c r="M179" t="str">
        <x:v>Gebucht</x:v>
      </x:c>
      <x:c r="N179" t="str">
        <x:v>ISSUER</x:v>
      </x:c>
      <x:c r="O179" t="str">
        <x:v>BOSPORUS.GRILL/SALZGITTER</x:v>
      </x:c>
      <x:c r="P179" t="str">
        <x:v>VISA Debitkartenumsatz vom 27.03.2026</x:v>
      </x:c>
      <x:c r="Q179" t="str">
        <x:v>Ausgang</x:v>
      </x:c>
      <x:c r="R179" t="str">
        <x:v>DE96120300009005290904</x:v>
      </x:c>
      <x:c r="S179" t="n">
        <x:v>-16.5</x:v>
      </x:c>
      <x:c r="T179" t="str">
        <x:v>"</x:v>
      </x:c>
      <x:c r="U179" t="str">
        <x:v>"</x:v>
      </x:c>
      <x:c r="V179" t="str">
        <x:v>486086677365656</x:v>
      </x:c>
    </x:row>
    <x:row r="180">
      <x:c r="A180" t="str">
        <x:v>RAW-IMP-20260516-FULLDRAFT-000163</x:v>
      </x:c>
      <x:c r="B180" t="str">
        <x:v>IMP-20260516-FULLDRAFT</x:v>
      </x:c>
      <x:c r="C180" t="str">
        <x:v>KTO001</x:v>
      </x:c>
      <x:c r="D180" t="str">
        <x:v>16-05-2026_Umsatzliste_Girokonto_DE98120300001061711675.csv</x:v>
      </x:c>
      <x:c r="E180" t="n">
        <x:v>46163</x:v>
      </x:c>
      <x:c r="F180" t="n">
        <x:v>163</x:v>
      </x:c>
      <x:c r="G180" t="str">
        <x:v>35fc837020b7ba606f12bfc348bd6ab908ea9d5e1d3c4e6080d8808f1eb6a7ea</x:v>
      </x:c>
      <x:c r="H180" t="str">
        <x:v>neu</x:v>
      </x:c>
      <x:c r="I180" t="str">
        <x:v>ok</x:v>
      </x:c>
      <x:c r="J180"/>
      <x:c r="K180" t="n">
        <x:v>46111</x:v>
      </x:c>
      <x:c r="L180" t="n">
        <x:v>46111</x:v>
      </x:c>
      <x:c r="M180" t="str">
        <x:v>Gebucht</x:v>
      </x:c>
      <x:c r="N180" t="str">
        <x:v>ISSUER</x:v>
      </x:c>
      <x:c r="O180" t="str">
        <x:v>MCDONALDS.01578/SALZBERGEN</x:v>
      </x:c>
      <x:c r="P180" t="str">
        <x:v>VISA Debitkartenumsatz vom 27.03.2026</x:v>
      </x:c>
      <x:c r="Q180" t="str">
        <x:v>Ausgang</x:v>
      </x:c>
      <x:c r="R180" t="str">
        <x:v>DE96120300009005290904</x:v>
      </x:c>
      <x:c r="S180" t="n">
        <x:v>-5.5</x:v>
      </x:c>
      <x:c r="T180" t="str">
        <x:v>"</x:v>
      </x:c>
      <x:c r="U180" t="str">
        <x:v>"</x:v>
      </x:c>
      <x:c r="V180" t="str">
        <x:v>486086520761816</x:v>
      </x:c>
    </x:row>
    <x:row r="181">
      <x:c r="A181" t="str">
        <x:v>RAW-IMP-20260516-FULLDRAFT-000164</x:v>
      </x:c>
      <x:c r="B181" t="str">
        <x:v>IMP-20260516-FULLDRAFT</x:v>
      </x:c>
      <x:c r="C181" t="str">
        <x:v>KTO001</x:v>
      </x:c>
      <x:c r="D181" t="str">
        <x:v>16-05-2026_Umsatzliste_Girokonto_DE98120300001061711675.csv</x:v>
      </x:c>
      <x:c r="E181" t="n">
        <x:v>46163</x:v>
      </x:c>
      <x:c r="F181" t="n">
        <x:v>164</x:v>
      </x:c>
      <x:c r="G181" t="str">
        <x:v>d9845ed6455e785fd302acbe497325a1afb4d492180854ea9ac29cef6502d53b</x:v>
      </x:c>
      <x:c r="H181" t="str">
        <x:v>neu</x:v>
      </x:c>
      <x:c r="I181" t="str">
        <x:v>ok</x:v>
      </x:c>
      <x:c r="J181"/>
      <x:c r="K181" t="n">
        <x:v>46111</x:v>
      </x:c>
      <x:c r="L181" t="n">
        <x:v>46111</x:v>
      </x:c>
      <x:c r="M181" t="str">
        <x:v>Gebucht</x:v>
      </x:c>
      <x:c r="N181" t="str">
        <x:v>ISSUER</x:v>
      </x:c>
      <x:c r="O181" t="str">
        <x:v>REWE.Salzgitter.Ge/Salzgitter</x:v>
      </x:c>
      <x:c r="P181" t="str">
        <x:v>VISA Debitkartenumsatz vom 28.03.2026</x:v>
      </x:c>
      <x:c r="Q181" t="str">
        <x:v>Ausgang</x:v>
      </x:c>
      <x:c r="R181" t="str">
        <x:v>DE96120300009005290904</x:v>
      </x:c>
      <x:c r="S181" t="n">
        <x:v>-15.37</x:v>
      </x:c>
      <x:c r="T181" t="str">
        <x:v>"</x:v>
      </x:c>
      <x:c r="U181" t="str">
        <x:v>"</x:v>
      </x:c>
      <x:c r="V181" t="str">
        <x:v>486087354996814</x:v>
      </x:c>
    </x:row>
    <x:row r="182">
      <x:c r="A182" t="str">
        <x:v>RAW-IMP-20260516-FULLDRAFT-000165</x:v>
      </x:c>
      <x:c r="B182" t="str">
        <x:v>IMP-20260516-FULLDRAFT</x:v>
      </x:c>
      <x:c r="C182" t="str">
        <x:v>KTO001</x:v>
      </x:c>
      <x:c r="D182" t="str">
        <x:v>16-05-2026_Umsatzliste_Girokonto_DE98120300001061711675.csv</x:v>
      </x:c>
      <x:c r="E182" t="n">
        <x:v>46163</x:v>
      </x:c>
      <x:c r="F182" t="n">
        <x:v>165</x:v>
      </x:c>
      <x:c r="G182" t="str">
        <x:v>da86ec1b6825621224cbf291c9ec6688608e75a2a03f734d6e047db98b31cf31</x:v>
      </x:c>
      <x:c r="H182" t="str">
        <x:v>neu</x:v>
      </x:c>
      <x:c r="I182" t="str">
        <x:v>ok</x:v>
      </x:c>
      <x:c r="J182"/>
      <x:c r="K182" t="n">
        <x:v>46111</x:v>
      </x:c>
      <x:c r="L182" t="n">
        <x:v>46111</x:v>
      </x:c>
      <x:c r="M182" t="str">
        <x:v>Gebucht</x:v>
      </x:c>
      <x:c r="N182" t="str">
        <x:v>ISSUER</x:v>
      </x:c>
      <x:c r="O182" t="str">
        <x:v>IONITY.GmbH/Munich</x:v>
      </x:c>
      <x:c r="P182" t="str">
        <x:v>VISA Debitkartenumsatz vom 27.03.2026</x:v>
      </x:c>
      <x:c r="Q182" t="str">
        <x:v>Ausgang</x:v>
      </x:c>
      <x:c r="R182" t="str">
        <x:v>DE96120300009005290904</x:v>
      </x:c>
      <x:c r="S182" t="n">
        <x:v>-18.92</x:v>
      </x:c>
      <x:c r="T182" t="str">
        <x:v>"</x:v>
      </x:c>
      <x:c r="U182" t="str">
        <x:v>"</x:v>
      </x:c>
      <x:c r="V182" t="str">
        <x:v>486086515180871</x:v>
      </x:c>
    </x:row>
    <x:row r="183">
      <x:c r="A183" t="str">
        <x:v>RAW-IMP-20260516-FULLDRAFT-000166</x:v>
      </x:c>
      <x:c r="B183" t="str">
        <x:v>IMP-20260516-FULLDRAFT</x:v>
      </x:c>
      <x:c r="C183" t="str">
        <x:v>KTO001</x:v>
      </x:c>
      <x:c r="D183" t="str">
        <x:v>16-05-2026_Umsatzliste_Girokonto_DE98120300001061711675.csv</x:v>
      </x:c>
      <x:c r="E183" t="n">
        <x:v>46163</x:v>
      </x:c>
      <x:c r="F183" t="n">
        <x:v>166</x:v>
      </x:c>
      <x:c r="G183" t="str">
        <x:v>53a2274333c8671a0e6f861bef8b8847bfa950bef2502453a9494effe3471ba2</x:v>
      </x:c>
      <x:c r="H183" t="str">
        <x:v>neu</x:v>
      </x:c>
      <x:c r="I183" t="str">
        <x:v>ok</x:v>
      </x:c>
      <x:c r="J183"/>
      <x:c r="K183" t="n">
        <x:v>46111</x:v>
      </x:c>
      <x:c r="L183" t="n">
        <x:v>46111</x:v>
      </x:c>
      <x:c r="M183" t="str">
        <x:v>Gebucht</x:v>
      </x:c>
      <x:c r="N183" t="str">
        <x:v>ISSUER</x:v>
      </x:c>
      <x:c r="O183" t="str">
        <x:v>IONITY.GmbH/Amsterdam</x:v>
      </x:c>
      <x:c r="P183" t="str">
        <x:v>VISA Debitkartenumsatz vom 27.03.2026</x:v>
      </x:c>
      <x:c r="Q183" t="str">
        <x:v>Ausgang</x:v>
      </x:c>
      <x:c r="R183" t="str">
        <x:v>DE96120300009005290904</x:v>
      </x:c>
      <x:c r="S183" t="n">
        <x:v>-8.85</x:v>
      </x:c>
      <x:c r="T183" t="str">
        <x:v>"</x:v>
      </x:c>
      <x:c r="U183" t="str">
        <x:v>"</x:v>
      </x:c>
      <x:c r="V183" t="str">
        <x:v>486086438048390</x:v>
      </x:c>
    </x:row>
    <x:row r="184">
      <x:c r="A184" t="str">
        <x:v>RAW-IMP-20260516-FULLDRAFT-000167</x:v>
      </x:c>
      <x:c r="B184" t="str">
        <x:v>IMP-20260516-FULLDRAFT</x:v>
      </x:c>
      <x:c r="C184" t="str">
        <x:v>KTO001</x:v>
      </x:c>
      <x:c r="D184" t="str">
        <x:v>16-05-2026_Umsatzliste_Girokonto_DE98120300001061711675.csv</x:v>
      </x:c>
      <x:c r="E184" t="n">
        <x:v>46163</x:v>
      </x:c>
      <x:c r="F184" t="n">
        <x:v>167</x:v>
      </x:c>
      <x:c r="G184" t="str">
        <x:v>7482aed5c417c9173f3dab5680d4b9e4d787dea7cb2c93a89b40b30b8aad26d1</x:v>
      </x:c>
      <x:c r="H184" t="str">
        <x:v>neu</x:v>
      </x:c>
      <x:c r="I184" t="str">
        <x:v>ok</x:v>
      </x:c>
      <x:c r="J184"/>
      <x:c r="K184" t="n">
        <x:v>46111</x:v>
      </x:c>
      <x:c r="L184" t="n">
        <x:v>46111</x:v>
      </x:c>
      <x:c r="M184" t="str">
        <x:v>Gebucht</x:v>
      </x:c>
      <x:c r="N184" t="str">
        <x:v>ISSUER</x:v>
      </x:c>
      <x:c r="O184" t="str">
        <x:v>IONITY.GmbH/Amsterdam</x:v>
      </x:c>
      <x:c r="P184" t="str">
        <x:v>VISA Debitkartenumsatz vom 27.03.2026</x:v>
      </x:c>
      <x:c r="Q184" t="str">
        <x:v>Ausgang</x:v>
      </x:c>
      <x:c r="R184" t="str">
        <x:v>DE96120300009005290904</x:v>
      </x:c>
      <x:c r="S184" t="n">
        <x:v>-1.17</x:v>
      </x:c>
      <x:c r="T184" t="str">
        <x:v>"</x:v>
      </x:c>
      <x:c r="U184" t="str">
        <x:v>"</x:v>
      </x:c>
      <x:c r="V184" t="str">
        <x:v>486086432722508</x:v>
      </x:c>
    </x:row>
    <x:row r="185">
      <x:c r="A185" t="str">
        <x:v>RAW-IMP-20260516-FULLDRAFT-000168</x:v>
      </x:c>
      <x:c r="B185" t="str">
        <x:v>IMP-20260516-FULLDRAFT</x:v>
      </x:c>
      <x:c r="C185" t="str">
        <x:v>KTO001</x:v>
      </x:c>
      <x:c r="D185" t="str">
        <x:v>16-05-2026_Umsatzliste_Girokonto_DE98120300001061711675.csv</x:v>
      </x:c>
      <x:c r="E185" t="n">
        <x:v>46163</x:v>
      </x:c>
      <x:c r="F185" t="n">
        <x:v>168</x:v>
      </x:c>
      <x:c r="G185" t="str">
        <x:v>6311e52197f6b089665ba1813ab6e03974be606043fa78af946dfbbae303daa9</x:v>
      </x:c>
      <x:c r="H185" t="str">
        <x:v>neu</x:v>
      </x:c>
      <x:c r="I185" t="str">
        <x:v>ok</x:v>
      </x:c>
      <x:c r="J185"/>
      <x:c r="K185" t="n">
        <x:v>46111</x:v>
      </x:c>
      <x:c r="L185" t="n">
        <x:v>46111</x:v>
      </x:c>
      <x:c r="M185" t="str">
        <x:v>Gebucht</x:v>
      </x:c>
      <x:c r="N185" t="str">
        <x:v>ISSUER</x:v>
      </x:c>
      <x:c r="O185" t="str">
        <x:v>IONITY.GmbH/Amsterdam</x:v>
      </x:c>
      <x:c r="P185" t="str">
        <x:v>VISA Debitkartenumsatz vom 27.03.2026</x:v>
      </x:c>
      <x:c r="Q185" t="str">
        <x:v>Ausgang</x:v>
      </x:c>
      <x:c r="R185" t="str">
        <x:v>DE96120300009005290904</x:v>
      </x:c>
      <x:c r="S185" t="n">
        <x:v>-1.4</x:v>
      </x:c>
      <x:c r="T185" t="str">
        <x:v>"</x:v>
      </x:c>
      <x:c r="U185" t="str">
        <x:v>"</x:v>
      </x:c>
      <x:c r="V185" t="str">
        <x:v>486086434701873</x:v>
      </x:c>
    </x:row>
    <x:row r="186">
      <x:c r="A186" t="str">
        <x:v>RAW-IMP-20260516-FULLDRAFT-000169</x:v>
      </x:c>
      <x:c r="B186" t="str">
        <x:v>IMP-20260516-FULLDRAFT</x:v>
      </x:c>
      <x:c r="C186" t="str">
        <x:v>KTO001</x:v>
      </x:c>
      <x:c r="D186" t="str">
        <x:v>16-05-2026_Umsatzliste_Girokonto_DE98120300001061711675.csv</x:v>
      </x:c>
      <x:c r="E186" t="n">
        <x:v>46163</x:v>
      </x:c>
      <x:c r="F186" t="n">
        <x:v>169</x:v>
      </x:c>
      <x:c r="G186" t="str">
        <x:v>b449594624e7cccbd02a84d1c6cf203470398743ff08f481b0452a637fb59bea</x:v>
      </x:c>
      <x:c r="H186" t="str">
        <x:v>neu</x:v>
      </x:c>
      <x:c r="I186" t="str">
        <x:v>ok</x:v>
      </x:c>
      <x:c r="J186"/>
      <x:c r="K186" t="n">
        <x:v>46111</x:v>
      </x:c>
      <x:c r="L186" t="n">
        <x:v>46111</x:v>
      </x:c>
      <x:c r="M186" t="str">
        <x:v>Gebucht</x:v>
      </x:c>
      <x:c r="N186" t="str">
        <x:v>ISSUER</x:v>
      </x:c>
      <x:c r="O186" t="str">
        <x:v>Prime.Video..3M28S7LA5/amzn.de.bill</x:v>
      </x:c>
      <x:c r="P186" t="str">
        <x:v>VISA Debitkartenumsatz vom 28.03.2026</x:v>
      </x:c>
      <x:c r="Q186" t="str">
        <x:v>Ausgang</x:v>
      </x:c>
      <x:c r="R186" t="str">
        <x:v>DE96120300009005290904</x:v>
      </x:c>
      <x:c r="S186" t="n">
        <x:v>-2.99</x:v>
      </x:c>
      <x:c r="T186" t="str">
        <x:v>"</x:v>
      </x:c>
      <x:c r="U186" t="str">
        <x:v>"</x:v>
      </x:c>
      <x:c r="V186" t="str">
        <x:v>486087661228443</x:v>
      </x:c>
    </x:row>
    <x:row r="187">
      <x:c r="A187" t="str">
        <x:v>RAW-IMP-20260516-FULLDRAFT-000170</x:v>
      </x:c>
      <x:c r="B187" t="str">
        <x:v>IMP-20260516-FULLDRAFT</x:v>
      </x:c>
      <x:c r="C187" t="str">
        <x:v>KTO001</x:v>
      </x:c>
      <x:c r="D187" t="str">
        <x:v>16-05-2026_Umsatzliste_Girokonto_DE98120300001061711675.csv</x:v>
      </x:c>
      <x:c r="E187" t="n">
        <x:v>46163</x:v>
      </x:c>
      <x:c r="F187" t="n">
        <x:v>170</x:v>
      </x:c>
      <x:c r="G187" t="str">
        <x:v>3f2be9aef7d58a6a63af1811b8f022c77bc0900eca5152fe822266961381097a</x:v>
      </x:c>
      <x:c r="H187" t="str">
        <x:v>neu</x:v>
      </x:c>
      <x:c r="I187" t="str">
        <x:v>ok</x:v>
      </x:c>
      <x:c r="J187"/>
      <x:c r="K187" t="n">
        <x:v>46111</x:v>
      </x:c>
      <x:c r="L187" t="n">
        <x:v>46111</x:v>
      </x:c>
      <x:c r="M187" t="str">
        <x:v>Gebucht</x:v>
      </x:c>
      <x:c r="N187" t="str">
        <x:v>ISSUER</x:v>
      </x:c>
      <x:c r="O187" t="str">
        <x:v>Poffertjes.van.Oma/Amersfoort</x:v>
      </x:c>
      <x:c r="P187" t="str">
        <x:v>VISA Debitkartenumsatz vom 27.03.2026</x:v>
      </x:c>
      <x:c r="Q187" t="str">
        <x:v>Ausgang</x:v>
      </x:c>
      <x:c r="R187" t="str">
        <x:v>DE96120300009005290904</x:v>
      </x:c>
      <x:c r="S187" t="n">
        <x:v>-14</x:v>
      </x:c>
      <x:c r="T187" t="str">
        <x:v>"</x:v>
      </x:c>
      <x:c r="U187" t="str">
        <x:v>"</x:v>
      </x:c>
      <x:c r="V187" t="str">
        <x:v>486086390896775</x:v>
      </x:c>
    </x:row>
    <x:row r="188">
      <x:c r="A188" t="str">
        <x:v>RAW-IMP-20260516-FULLDRAFT-000171</x:v>
      </x:c>
      <x:c r="B188" t="str">
        <x:v>IMP-20260516-FULLDRAFT</x:v>
      </x:c>
      <x:c r="C188" t="str">
        <x:v>KTO001</x:v>
      </x:c>
      <x:c r="D188" t="str">
        <x:v>16-05-2026_Umsatzliste_Girokonto_DE98120300001061711675.csv</x:v>
      </x:c>
      <x:c r="E188" t="n">
        <x:v>46163</x:v>
      </x:c>
      <x:c r="F188" t="n">
        <x:v>171</x:v>
      </x:c>
      <x:c r="G188" t="str">
        <x:v>88c9ccec1157bef316c749013193da0dd401a71f9b72f10e381ac8710409ef8c</x:v>
      </x:c>
      <x:c r="H188" t="str">
        <x:v>neu</x:v>
      </x:c>
      <x:c r="I188" t="str">
        <x:v>ok</x:v>
      </x:c>
      <x:c r="J188"/>
      <x:c r="K188" t="n">
        <x:v>46111</x:v>
      </x:c>
      <x:c r="L188" t="n">
        <x:v>46111</x:v>
      </x:c>
      <x:c r="M188" t="str">
        <x:v>Gebucht</x:v>
      </x:c>
      <x:c r="N188" t="str">
        <x:v>ISSUER</x:v>
      </x:c>
      <x:c r="O188" t="str">
        <x:v>Eemplein.PG.B.V./AMERSFOORT</x:v>
      </x:c>
      <x:c r="P188" t="str">
        <x:v>VISA Debitkartenumsatz vom 27.03.2026</x:v>
      </x:c>
      <x:c r="Q188" t="str">
        <x:v>Ausgang</x:v>
      </x:c>
      <x:c r="R188" t="str">
        <x:v>DE96120300009005290904</x:v>
      </x:c>
      <x:c r="S188" t="n">
        <x:v>-7.2</x:v>
      </x:c>
      <x:c r="T188" t="str">
        <x:v>"</x:v>
      </x:c>
      <x:c r="U188" t="str">
        <x:v>"</x:v>
      </x:c>
      <x:c r="V188" t="str">
        <x:v>486086405639580</x:v>
      </x:c>
    </x:row>
    <x:row r="189">
      <x:c r="A189" t="str">
        <x:v>RAW-IMP-20260516-FULLDRAFT-000172</x:v>
      </x:c>
      <x:c r="B189" t="str">
        <x:v>IMP-20260516-FULLDRAFT</x:v>
      </x:c>
      <x:c r="C189" t="str">
        <x:v>KTO001</x:v>
      </x:c>
      <x:c r="D189" t="str">
        <x:v>16-05-2026_Umsatzliste_Girokonto_DE98120300001061711675.csv</x:v>
      </x:c>
      <x:c r="E189" t="n">
        <x:v>46163</x:v>
      </x:c>
      <x:c r="F189" t="n">
        <x:v>172</x:v>
      </x:c>
      <x:c r="G189" t="str">
        <x:v>e21ebed8e506db29ed45545ff0db75647c82688f3f99a37f0c6419f16ae96506</x:v>
      </x:c>
      <x:c r="H189" t="str">
        <x:v>neu</x:v>
      </x:c>
      <x:c r="I189" t="str">
        <x:v>ok</x:v>
      </x:c>
      <x:c r="J189"/>
      <x:c r="K189" t="n">
        <x:v>46111</x:v>
      </x:c>
      <x:c r="L189" t="n">
        <x:v>46111</x:v>
      </x:c>
      <x:c r="M189" t="str">
        <x:v>Gebucht</x:v>
      </x:c>
      <x:c r="N189" t="str">
        <x:v>ISSUER</x:v>
      </x:c>
      <x:c r="O189" t="str">
        <x:v>McDonald.s.Apeldoorn/APELDOORN</x:v>
      </x:c>
      <x:c r="P189" t="str">
        <x:v>VISA Debitkartenumsatz vom 27.03.2026</x:v>
      </x:c>
      <x:c r="Q189" t="str">
        <x:v>Ausgang</x:v>
      </x:c>
      <x:c r="R189" t="str">
        <x:v>DE96120300009005290904</x:v>
      </x:c>
      <x:c r="S189" t="n">
        <x:v>-12.45</x:v>
      </x:c>
      <x:c r="T189" t="str">
        <x:v>"</x:v>
      </x:c>
      <x:c r="U189" t="str">
        <x:v>"</x:v>
      </x:c>
      <x:c r="V189" t="str">
        <x:v>486086443388760</x:v>
      </x:c>
    </x:row>
    <x:row r="190">
      <x:c r="A190" t="str">
        <x:v>RAW-IMP-20260516-FULLDRAFT-000173</x:v>
      </x:c>
      <x:c r="B190" t="str">
        <x:v>IMP-20260516-FULLDRAFT</x:v>
      </x:c>
      <x:c r="C190" t="str">
        <x:v>KTO001</x:v>
      </x:c>
      <x:c r="D190" t="str">
        <x:v>16-05-2026_Umsatzliste_Girokonto_DE98120300001061711675.csv</x:v>
      </x:c>
      <x:c r="E190" t="n">
        <x:v>46163</x:v>
      </x:c>
      <x:c r="F190" t="n">
        <x:v>173</x:v>
      </x:c>
      <x:c r="G190" t="str">
        <x:v>74e99fa962b78e9d188f9849bed89e083c4af929acd459d1982ec296ed30d292</x:v>
      </x:c>
      <x:c r="H190" t="str">
        <x:v>neu</x:v>
      </x:c>
      <x:c r="I190" t="str">
        <x:v>ok</x:v>
      </x:c>
      <x:c r="J190"/>
      <x:c r="K190" t="n">
        <x:v>46111</x:v>
      </x:c>
      <x:c r="L190" t="n">
        <x:v>46111</x:v>
      </x:c>
      <x:c r="M190" t="str">
        <x:v>Gebucht</x:v>
      </x:c>
      <x:c r="N190" t="str">
        <x:v>Lars Kohlenberg</x:v>
      </x:c>
      <x:c r="O190" t="str">
        <x:v>LARS KOHLENBERG</x:v>
      </x:c>
      <x:c r="P190" t="str">
        <x:v>Zins und Tilgung zu 2/3</x:v>
      </x:c>
      <x:c r="Q190" t="str">
        <x:v>Ausgang</x:v>
      </x:c>
      <x:c r="R190" t="str">
        <x:v>DE33269910668923736000</x:v>
      </x:c>
      <x:c r="S190" t="n">
        <x:v>-1153.94</x:v>
      </x:c>
      <x:c r="T190" t="str">
        <x:v>"</x:v>
      </x:c>
      <x:c r="U190" t="str">
        <x:v>"</x:v>
      </x:c>
      <x:c r="V190" t="str">
        <x:v>"</x:v>
      </x:c>
    </x:row>
    <x:row r="191">
      <x:c r="A191" t="str">
        <x:v>RAW-IMP-20260516-FULLDRAFT-000174</x:v>
      </x:c>
      <x:c r="B191" t="str">
        <x:v>IMP-20260516-FULLDRAFT</x:v>
      </x:c>
      <x:c r="C191" t="str">
        <x:v>KTO001</x:v>
      </x:c>
      <x:c r="D191" t="str">
        <x:v>16-05-2026_Umsatzliste_Girokonto_DE98120300001061711675.csv</x:v>
      </x:c>
      <x:c r="E191" t="n">
        <x:v>46163</x:v>
      </x:c>
      <x:c r="F191" t="n">
        <x:v>174</x:v>
      </x:c>
      <x:c r="G191" t="str">
        <x:v>0005e608c4610e7a69ac77c01d806c9825dccfad51f5d7444e05fe9c8763b5fb</x:v>
      </x:c>
      <x:c r="H191" t="str">
        <x:v>neu</x:v>
      </x:c>
      <x:c r="I191" t="str">
        <x:v>ok</x:v>
      </x:c>
      <x:c r="J191"/>
      <x:c r="K191" t="n">
        <x:v>46111</x:v>
      </x:c>
      <x:c r="L191" t="n">
        <x:v>46111</x:v>
      </x:c>
      <x:c r="M191" t="str">
        <x:v>Gebucht</x:v>
      </x:c>
      <x:c r="N191" t="str">
        <x:v>Lars Kohlenberg</x:v>
      </x:c>
      <x:c r="O191" t="str">
        <x:v>REINER HANS EISENHUT</x:v>
      </x:c>
      <x:c r="P191" t="str">
        <x:v>2770/Villa Pura Vida, 10.07.2027 - 24.06.27 / Kohlenberg</x:v>
      </x:c>
      <x:c r="Q191" t="str">
        <x:v>Ausgang</x:v>
      </x:c>
      <x:c r="R191" t="str">
        <x:v>ES0400810674650002302435</x:v>
      </x:c>
      <x:c r="S191" t="n">
        <x:v>-758</x:v>
      </x:c>
      <x:c r="T191" t="str">
        <x:v>"</x:v>
      </x:c>
      <x:c r="U191" t="str">
        <x:v>"</x:v>
      </x:c>
      <x:c r="V191" t="str">
        <x:v>"</x:v>
      </x:c>
    </x:row>
    <x:row r="192">
      <x:c r="A192" t="str">
        <x:v>RAW-IMP-20260516-FULLDRAFT-000175</x:v>
      </x:c>
      <x:c r="B192" t="str">
        <x:v>IMP-20260516-FULLDRAFT</x:v>
      </x:c>
      <x:c r="C192" t="str">
        <x:v>KTO001</x:v>
      </x:c>
      <x:c r="D192" t="str">
        <x:v>16-05-2026_Umsatzliste_Girokonto_DE98120300001061711675.csv</x:v>
      </x:c>
      <x:c r="E192" t="n">
        <x:v>46163</x:v>
      </x:c>
      <x:c r="F192" t="n">
        <x:v>175</x:v>
      </x:c>
      <x:c r="G192" t="str">
        <x:v>3b2a2316b56f5cbd4194e1cda581ced70456b64ea34d06df09d9de25afd7ddfa</x:v>
      </x:c>
      <x:c r="H192" t="str">
        <x:v>neu</x:v>
      </x:c>
      <x:c r="I192" t="str">
        <x:v>ok</x:v>
      </x:c>
      <x:c r="J192"/>
      <x:c r="K192" t="n">
        <x:v>46108</x:v>
      </x:c>
      <x:c r="L192" t="n">
        <x:v>46108</x:v>
      </x:c>
      <x:c r="M192" t="str">
        <x:v>Gebucht</x:v>
      </x:c>
      <x:c r="N192" t="str">
        <x:v>ISSUER</x:v>
      </x:c>
      <x:c r="O192" t="str">
        <x:v>Mol.Robo.Charge.B.V/31610924464</x:v>
      </x:c>
      <x:c r="P192" t="str">
        <x:v>VISA Debitkartenumsatz vom 26.03.2026</x:v>
      </x:c>
      <x:c r="Q192" t="str">
        <x:v>Ausgang</x:v>
      </x:c>
      <x:c r="R192" t="str">
        <x:v>DE96120300009005290904</x:v>
      </x:c>
      <x:c r="S192" t="n">
        <x:v>-12.45</x:v>
      </x:c>
      <x:c r="T192" t="str">
        <x:v>"</x:v>
      </x:c>
      <x:c r="U192" t="str">
        <x:v>"</x:v>
      </x:c>
      <x:c r="V192" t="str">
        <x:v>486085645010981</x:v>
      </x:c>
    </x:row>
    <x:row r="193">
      <x:c r="A193" t="str">
        <x:v>RAW-IMP-20260516-FULLDRAFT-000176</x:v>
      </x:c>
      <x:c r="B193" t="str">
        <x:v>IMP-20260516-FULLDRAFT</x:v>
      </x:c>
      <x:c r="C193" t="str">
        <x:v>KTO001</x:v>
      </x:c>
      <x:c r="D193" t="str">
        <x:v>16-05-2026_Umsatzliste_Girokonto_DE98120300001061711675.csv</x:v>
      </x:c>
      <x:c r="E193" t="n">
        <x:v>46163</x:v>
      </x:c>
      <x:c r="F193" t="n">
        <x:v>176</x:v>
      </x:c>
      <x:c r="G193" t="str">
        <x:v>5a09fc672d9f94b00b11e836d0c8530da0439b06d6241b1503e471d85b847571</x:v>
      </x:c>
      <x:c r="H193" t="str">
        <x:v>neu</x:v>
      </x:c>
      <x:c r="I193" t="str">
        <x:v>ok</x:v>
      </x:c>
      <x:c r="J193"/>
      <x:c r="K193" t="n">
        <x:v>46108</x:v>
      </x:c>
      <x:c r="L193" t="n">
        <x:v>46108</x:v>
      </x:c>
      <x:c r="M193" t="str">
        <x:v>Gebucht</x:v>
      </x:c>
      <x:c r="N193" t="str">
        <x:v>ISSUER</x:v>
      </x:c>
      <x:c r="O193" t="str">
        <x:v>CCV.GEMEENTE.ZWOLLE.KAT/ZWOLLE</x:v>
      </x:c>
      <x:c r="P193" t="str">
        <x:v>VISA Debitkartenumsatz vom 26.03.2026</x:v>
      </x:c>
      <x:c r="Q193" t="str">
        <x:v>Ausgang</x:v>
      </x:c>
      <x:c r="R193" t="str">
        <x:v>DE96120300009005290904</x:v>
      </x:c>
      <x:c r="S193" t="n">
        <x:v>-2.1</x:v>
      </x:c>
      <x:c r="T193" t="str">
        <x:v>"</x:v>
      </x:c>
      <x:c r="U193" t="str">
        <x:v>"</x:v>
      </x:c>
      <x:c r="V193" t="str">
        <x:v>486085495784529</x:v>
      </x:c>
    </x:row>
    <x:row r="194">
      <x:c r="A194" t="str">
        <x:v>RAW-IMP-20260516-FULLDRAFT-000177</x:v>
      </x:c>
      <x:c r="B194" t="str">
        <x:v>IMP-20260516-FULLDRAFT</x:v>
      </x:c>
      <x:c r="C194" t="str">
        <x:v>KTO001</x:v>
      </x:c>
      <x:c r="D194" t="str">
        <x:v>16-05-2026_Umsatzliste_Girokonto_DE98120300001061711675.csv</x:v>
      </x:c>
      <x:c r="E194" t="n">
        <x:v>46163</x:v>
      </x:c>
      <x:c r="F194" t="n">
        <x:v>177</x:v>
      </x:c>
      <x:c r="G194" t="str">
        <x:v>6414bc39ae64709673002087b5927f6a2ec2b20951d233d1d97da1d08a12e7cd</x:v>
      </x:c>
      <x:c r="H194" t="str">
        <x:v>neu</x:v>
      </x:c>
      <x:c r="I194" t="str">
        <x:v>ok</x:v>
      </x:c>
      <x:c r="J194"/>
      <x:c r="K194" t="n">
        <x:v>46108</x:v>
      </x:c>
      <x:c r="L194" t="n">
        <x:v>46108</x:v>
      </x:c>
      <x:c r="M194" t="str">
        <x:v>Gebucht</x:v>
      </x:c>
      <x:c r="N194" t="str">
        <x:v>Lars Kohlenberg</x:v>
      </x:c>
      <x:c r="O194" t="str">
        <x:v>Heise Medien GmbH + Co. KG</x:v>
      </x:c>
      <x:c r="P194" t="str">
        <x:v>Abo 4707748549 ct Gesamtbetrag EUR 185,90 incl. 7,00 MWST EUR 12,17</x:v>
      </x:c>
      <x:c r="Q194" t="str">
        <x:v>Ausgang</x:v>
      </x:c>
      <x:c r="R194" t="str">
        <x:v>DE96250100300457119308</x:v>
      </x:c>
      <x:c r="S194" t="n">
        <x:v>-185.9</x:v>
      </x:c>
      <x:c r="T194" t="str">
        <x:v>DE97ZZZ00000169525</x:v>
      </x:c>
      <x:c r="U194" t="str">
        <x:v>537-4707748549-2</x:v>
      </x:c>
      <x:c r="V194" t="str">
        <x:v>032000531144</x:v>
      </x:c>
    </x:row>
    <x:row r="195">
      <x:c r="A195" t="str">
        <x:v>RAW-IMP-20260516-FULLDRAFT-000178</x:v>
      </x:c>
      <x:c r="B195" t="str">
        <x:v>IMP-20260516-FULLDRAFT</x:v>
      </x:c>
      <x:c r="C195" t="str">
        <x:v>KTO001</x:v>
      </x:c>
      <x:c r="D195" t="str">
        <x:v>16-05-2026_Umsatzliste_Girokonto_DE98120300001061711675.csv</x:v>
      </x:c>
      <x:c r="E195" t="n">
        <x:v>46163</x:v>
      </x:c>
      <x:c r="F195" t="n">
        <x:v>178</x:v>
      </x:c>
      <x:c r="G195" t="str">
        <x:v>6027487330b98a60aad9cd3a41620f8a0f2b29427f1b83346f92ef9c4e8ca05e</x:v>
      </x:c>
      <x:c r="H195" t="str">
        <x:v>neu</x:v>
      </x:c>
      <x:c r="I195" t="str">
        <x:v>ok</x:v>
      </x:c>
      <x:c r="J195"/>
      <x:c r="K195" t="n">
        <x:v>46107</x:v>
      </x:c>
      <x:c r="L195" t="n">
        <x:v>46107</x:v>
      </x:c>
      <x:c r="M195" t="str">
        <x:v>Gebucht</x:v>
      </x:c>
      <x:c r="N195" t="str">
        <x:v>Caritasverband fur die Diozese Hildesheim e.V.</x:v>
      </x:c>
      <x:c r="O195" t="str">
        <x:v>KOHLENBERG LARS</x:v>
      </x:c>
      <x:c r="P195" t="str">
        <x:v>GEHALT 3/26</x:v>
      </x:c>
      <x:c r="Q195" t="str">
        <x:v>Eingang</x:v>
      </x:c>
      <x:c r="R195" t="str">
        <x:v>DE46400602650023003301</x:v>
      </x:c>
      <x:c r="S195" t="n">
        <x:v>7951.03</x:v>
      </x:c>
      <x:c r="T195" t="str">
        <x:v>"</x:v>
      </x:c>
      <x:c r="U195" t="str">
        <x:v>"</x:v>
      </x:c>
      <x:c r="V195" t="str">
        <x:v>001001987662SALA002104003</x:v>
      </x:c>
    </x:row>
    <x:row r="196">
      <x:c r="A196" t="str">
        <x:v>RAW-IMP-20260516-FULLDRAFT-000179</x:v>
      </x:c>
      <x:c r="B196" t="str">
        <x:v>IMP-20260516-FULLDRAFT</x:v>
      </x:c>
      <x:c r="C196" t="str">
        <x:v>KTO001</x:v>
      </x:c>
      <x:c r="D196" t="str">
        <x:v>16-05-2026_Umsatzliste_Girokonto_DE98120300001061711675.csv</x:v>
      </x:c>
      <x:c r="E196" t="n">
        <x:v>46163</x:v>
      </x:c>
      <x:c r="F196" t="n">
        <x:v>179</x:v>
      </x:c>
      <x:c r="G196" t="str">
        <x:v>0ed341dc8c87385a08f6c9178f55d3e15332b45fd68bbe9dbea494a7c8902b3a</x:v>
      </x:c>
      <x:c r="H196" t="str">
        <x:v>neu</x:v>
      </x:c>
      <x:c r="I196" t="str">
        <x:v>ok</x:v>
      </x:c>
      <x:c r="J196"/>
      <x:c r="K196" t="n">
        <x:v>46107</x:v>
      </x:c>
      <x:c r="L196" t="n">
        <x:v>46107</x:v>
      </x:c>
      <x:c r="M196" t="str">
        <x:v>Gebucht</x:v>
      </x:c>
      <x:c r="N196" t="str">
        <x:v>ISSUER</x:v>
      </x:c>
      <x:c r="O196" t="str">
        <x:v>1801.Eemhof.Albron/ZEEWOLDE</x:v>
      </x:c>
      <x:c r="P196" t="str">
        <x:v>VISA Debitkartenumsatz vom 25.03.2026</x:v>
      </x:c>
      <x:c r="Q196" t="str">
        <x:v>Ausgang</x:v>
      </x:c>
      <x:c r="R196" t="str">
        <x:v>DE96120300009005290904</x:v>
      </x:c>
      <x:c r="S196" t="n">
        <x:v>-9.22</x:v>
      </x:c>
      <x:c r="T196" t="str">
        <x:v>"</x:v>
      </x:c>
      <x:c r="U196" t="str">
        <x:v>"</x:v>
      </x:c>
      <x:c r="V196" t="str">
        <x:v>486084308849161</x:v>
      </x:c>
    </x:row>
    <x:row r="197">
      <x:c r="A197" t="str">
        <x:v>RAW-IMP-20260516-FULLDRAFT-000180</x:v>
      </x:c>
      <x:c r="B197" t="str">
        <x:v>IMP-20260516-FULLDRAFT</x:v>
      </x:c>
      <x:c r="C197" t="str">
        <x:v>KTO001</x:v>
      </x:c>
      <x:c r="D197" t="str">
        <x:v>16-05-2026_Umsatzliste_Girokonto_DE98120300001061711675.csv</x:v>
      </x:c>
      <x:c r="E197" t="n">
        <x:v>46163</x:v>
      </x:c>
      <x:c r="F197" t="n">
        <x:v>180</x:v>
      </x:c>
      <x:c r="G197" t="str">
        <x:v>4c03d8cf1f35e9ba0a675bd7488cafb84e5414ef5139e40ed2916c0416d805b4</x:v>
      </x:c>
      <x:c r="H197" t="str">
        <x:v>neu</x:v>
      </x:c>
      <x:c r="I197" t="str">
        <x:v>ok</x:v>
      </x:c>
      <x:c r="J197"/>
      <x:c r="K197" t="n">
        <x:v>46107</x:v>
      </x:c>
      <x:c r="L197" t="n">
        <x:v>46107</x:v>
      </x:c>
      <x:c r="M197" t="str">
        <x:v>Gebucht</x:v>
      </x:c>
      <x:c r="N197" t="str">
        <x:v>ISSUER</x:v>
      </x:c>
      <x:c r="O197" t="str">
        <x:v>Eemhof.KE3939/ZEEWOLDE</x:v>
      </x:c>
      <x:c r="P197" t="str">
        <x:v>VISA Debitkartenumsatz vom 25.03.2026</x:v>
      </x:c>
      <x:c r="Q197" t="str">
        <x:v>Ausgang</x:v>
      </x:c>
      <x:c r="R197" t="str">
        <x:v>DE96120300009005290904</x:v>
      </x:c>
      <x:c r="S197" t="n">
        <x:v>-15</x:v>
      </x:c>
      <x:c r="T197" t="str">
        <x:v>"</x:v>
      </x:c>
      <x:c r="U197" t="str">
        <x:v>"</x:v>
      </x:c>
      <x:c r="V197" t="str">
        <x:v>486084480471772</x:v>
      </x:c>
    </x:row>
    <x:row r="198">
      <x:c r="A198" t="str">
        <x:v>RAW-IMP-20260516-FULLDRAFT-000181</x:v>
      </x:c>
      <x:c r="B198" t="str">
        <x:v>IMP-20260516-FULLDRAFT</x:v>
      </x:c>
      <x:c r="C198" t="str">
        <x:v>KTO001</x:v>
      </x:c>
      <x:c r="D198" t="str">
        <x:v>16-05-2026_Umsatzliste_Girokonto_DE98120300001061711675.csv</x:v>
      </x:c>
      <x:c r="E198" t="n">
        <x:v>46163</x:v>
      </x:c>
      <x:c r="F198" t="n">
        <x:v>181</x:v>
      </x:c>
      <x:c r="G198" t="str">
        <x:v>c9387e74568e668b5e855e36238a06e47d4e622dacbee31f695c4e1d9276d7ae</x:v>
      </x:c>
      <x:c r="H198" t="str">
        <x:v>neu</x:v>
      </x:c>
      <x:c r="I198" t="str">
        <x:v>ok</x:v>
      </x:c>
      <x:c r="J198"/>
      <x:c r="K198" t="n">
        <x:v>46106</x:v>
      </x:c>
      <x:c r="L198" t="n">
        <x:v>46106</x:v>
      </x:c>
      <x:c r="M198" t="str">
        <x:v>Gebucht</x:v>
      </x:c>
      <x:c r="N198" t="str">
        <x:v>ISSUER</x:v>
      </x:c>
      <x:c r="O198" t="str">
        <x:v>ALBERT.HEIJN.1279/ZEEWOLDE</x:v>
      </x:c>
      <x:c r="P198" t="str">
        <x:v>VISA Debitkartenumsatz vom 24.03.2026</x:v>
      </x:c>
      <x:c r="Q198" t="str">
        <x:v>Ausgang</x:v>
      </x:c>
      <x:c r="R198" t="str">
        <x:v>DE96120300009005290904</x:v>
      </x:c>
      <x:c r="S198" t="n">
        <x:v>-40.97</x:v>
      </x:c>
      <x:c r="T198" t="str">
        <x:v>"</x:v>
      </x:c>
      <x:c r="U198" t="str">
        <x:v>"</x:v>
      </x:c>
      <x:c r="V198" t="str">
        <x:v>486083446484603</x:v>
      </x:c>
    </x:row>
    <x:row r="199">
      <x:c r="A199" t="str">
        <x:v>RAW-IMP-20260516-FULLDRAFT-000182</x:v>
      </x:c>
      <x:c r="B199" t="str">
        <x:v>IMP-20260516-FULLDRAFT</x:v>
      </x:c>
      <x:c r="C199" t="str">
        <x:v>KTO001</x:v>
      </x:c>
      <x:c r="D199" t="str">
        <x:v>16-05-2026_Umsatzliste_Girokonto_DE98120300001061711675.csv</x:v>
      </x:c>
      <x:c r="E199" t="n">
        <x:v>46163</x:v>
      </x:c>
      <x:c r="F199" t="n">
        <x:v>182</x:v>
      </x:c>
      <x:c r="G199" t="str">
        <x:v>ddc68486c98c3c9a0071e6d790975a53cf8b700fd2c9c4612bf76c0771bc68b5</x:v>
      </x:c>
      <x:c r="H199" t="str">
        <x:v>neu</x:v>
      </x:c>
      <x:c r="I199" t="str">
        <x:v>ok</x:v>
      </x:c>
      <x:c r="J199"/>
      <x:c r="K199" t="n">
        <x:v>46106</x:v>
      </x:c>
      <x:c r="L199" t="n">
        <x:v>46106</x:v>
      </x:c>
      <x:c r="M199" t="str">
        <x:v>Gebucht</x:v>
      </x:c>
      <x:c r="N199" t="str">
        <x:v>ISSUER</x:v>
      </x:c>
      <x:c r="O199" t="str">
        <x:v>1801.Eemhof.Albron/ZEEWOLDE</x:v>
      </x:c>
      <x:c r="P199" t="str">
        <x:v>VISA Debitkartenumsatz vom 24.03.2026</x:v>
      </x:c>
      <x:c r="Q199" t="str">
        <x:v>Ausgang</x:v>
      </x:c>
      <x:c r="R199" t="str">
        <x:v>DE96120300009005290904</x:v>
      </x:c>
      <x:c r="S199" t="n">
        <x:v>-13.69</x:v>
      </x:c>
      <x:c r="T199" t="str">
        <x:v>"</x:v>
      </x:c>
      <x:c r="U199" t="str">
        <x:v>"</x:v>
      </x:c>
      <x:c r="V199" t="str">
        <x:v>486083301981907</x:v>
      </x:c>
    </x:row>
    <x:row r="200">
      <x:c r="A200" t="str">
        <x:v>RAW-IMP-20260516-FULLDRAFT-000183</x:v>
      </x:c>
      <x:c r="B200" t="str">
        <x:v>IMP-20260516-FULLDRAFT</x:v>
      </x:c>
      <x:c r="C200" t="str">
        <x:v>KTO001</x:v>
      </x:c>
      <x:c r="D200" t="str">
        <x:v>16-05-2026_Umsatzliste_Girokonto_DE98120300001061711675.csv</x:v>
      </x:c>
      <x:c r="E200" t="n">
        <x:v>46163</x:v>
      </x:c>
      <x:c r="F200" t="n">
        <x:v>183</x:v>
      </x:c>
      <x:c r="G200" t="str">
        <x:v>1e1a7b25b2d3bd1a2059c1f8676582905449d8eddea1e3a3dad073584150c825</x:v>
      </x:c>
      <x:c r="H200" t="str">
        <x:v>neu</x:v>
      </x:c>
      <x:c r="I200" t="str">
        <x:v>ok</x:v>
      </x:c>
      <x:c r="J200"/>
      <x:c r="K200" t="n">
        <x:v>46106</x:v>
      </x:c>
      <x:c r="L200" t="n">
        <x:v>46106</x:v>
      </x:c>
      <x:c r="M200" t="str">
        <x:v>Gebucht</x:v>
      </x:c>
      <x:c r="N200" t="str">
        <x:v>ISSUER</x:v>
      </x:c>
      <x:c r="O200" t="str">
        <x:v>Batavia.Stad/LELYSTAD</x:v>
      </x:c>
      <x:c r="P200" t="str">
        <x:v>VISA Debitkartenumsatz vom 24.03.2026</x:v>
      </x:c>
      <x:c r="Q200" t="str">
        <x:v>Ausgang</x:v>
      </x:c>
      <x:c r="R200" t="str">
        <x:v>DE96120300009005290904</x:v>
      </x:c>
      <x:c r="S200" t="n">
        <x:v>-4.5</x:v>
      </x:c>
      <x:c r="T200" t="str">
        <x:v>"</x:v>
      </x:c>
      <x:c r="U200" t="str">
        <x:v>"</x:v>
      </x:c>
      <x:c r="V200" t="str">
        <x:v>486083572464806</x:v>
      </x:c>
    </x:row>
    <x:row r="201">
      <x:c r="A201" t="str">
        <x:v>RAW-IMP-20260516-FULLDRAFT-000184</x:v>
      </x:c>
      <x:c r="B201" t="str">
        <x:v>IMP-20260516-FULLDRAFT</x:v>
      </x:c>
      <x:c r="C201" t="str">
        <x:v>KTO001</x:v>
      </x:c>
      <x:c r="D201" t="str">
        <x:v>16-05-2026_Umsatzliste_Girokonto_DE98120300001061711675.csv</x:v>
      </x:c>
      <x:c r="E201" t="n">
        <x:v>46163</x:v>
      </x:c>
      <x:c r="F201" t="n">
        <x:v>184</x:v>
      </x:c>
      <x:c r="G201" t="str">
        <x:v>cbe729a18c7d0beb12dbbdf4a536fda91b9fb19a7613f0a54fd4d17a5c159306</x:v>
      </x:c>
      <x:c r="H201" t="str">
        <x:v>neu</x:v>
      </x:c>
      <x:c r="I201" t="str">
        <x:v>ok</x:v>
      </x:c>
      <x:c r="J201"/>
      <x:c r="K201" t="n">
        <x:v>46106</x:v>
      </x:c>
      <x:c r="L201" t="n">
        <x:v>46106</x:v>
      </x:c>
      <x:c r="M201" t="str">
        <x:v>Gebucht</x:v>
      </x:c>
      <x:c r="N201" t="str">
        <x:v>ISSUER</x:v>
      </x:c>
      <x:c r="O201" t="str">
        <x:v>SUBWAY50269/LELYSTAD</x:v>
      </x:c>
      <x:c r="P201" t="str">
        <x:v>VISA Debitkartenumsatz vom 24.03.2026</x:v>
      </x:c>
      <x:c r="Q201" t="str">
        <x:v>Ausgang</x:v>
      </x:c>
      <x:c r="R201" t="str">
        <x:v>DE96120300009005290904</x:v>
      </x:c>
      <x:c r="S201" t="n">
        <x:v>-20.37</x:v>
      </x:c>
      <x:c r="T201" t="str">
        <x:v>"</x:v>
      </x:c>
      <x:c r="U201" t="str">
        <x:v>"</x:v>
      </x:c>
      <x:c r="V201" t="str">
        <x:v>486083484476506</x:v>
      </x:c>
    </x:row>
    <x:row r="202">
      <x:c r="A202" t="str">
        <x:v>RAW-IMP-20260516-FULLDRAFT-000185</x:v>
      </x:c>
      <x:c r="B202" t="str">
        <x:v>IMP-20260516-FULLDRAFT</x:v>
      </x:c>
      <x:c r="C202" t="str">
        <x:v>KTO001</x:v>
      </x:c>
      <x:c r="D202" t="str">
        <x:v>16-05-2026_Umsatzliste_Girokonto_DE98120300001061711675.csv</x:v>
      </x:c>
      <x:c r="E202" t="n">
        <x:v>46163</x:v>
      </x:c>
      <x:c r="F202" t="n">
        <x:v>185</x:v>
      </x:c>
      <x:c r="G202" t="str">
        <x:v>da0d5f5febfc2780c8d74c91039ada903510bc4a5617f33e83b72db928e83b2c</x:v>
      </x:c>
      <x:c r="H202" t="str">
        <x:v>neu</x:v>
      </x:c>
      <x:c r="I202" t="str">
        <x:v>ok</x:v>
      </x:c>
      <x:c r="J202"/>
      <x:c r="K202" t="n">
        <x:v>46106</x:v>
      </x:c>
      <x:c r="L202" t="n">
        <x:v>46106</x:v>
      </x:c>
      <x:c r="M202" t="str">
        <x:v>Gebucht</x:v>
      </x:c>
      <x:c r="N202" t="str">
        <x:v>ISSUER</x:v>
      </x:c>
      <x:c r="O202" t="str">
        <x:v>adidas.Originals.Store/Lelystad</x:v>
      </x:c>
      <x:c r="P202" t="str">
        <x:v>VISA Debitkartenumsatz vom 24.03.2026</x:v>
      </x:c>
      <x:c r="Q202" t="str">
        <x:v>Ausgang</x:v>
      </x:c>
      <x:c r="R202" t="str">
        <x:v>DE96120300009005290904</x:v>
      </x:c>
      <x:c r="S202" t="n">
        <x:v>-73</x:v>
      </x:c>
      <x:c r="T202" t="str">
        <x:v>"</x:v>
      </x:c>
      <x:c r="U202" t="str">
        <x:v>"</x:v>
      </x:c>
      <x:c r="V202" t="str">
        <x:v>486083564010162</x:v>
      </x:c>
    </x:row>
    <x:row r="203">
      <x:c r="A203" t="str">
        <x:v>RAW-IMP-20260516-FULLDRAFT-000186</x:v>
      </x:c>
      <x:c r="B203" t="str">
        <x:v>IMP-20260516-FULLDRAFT</x:v>
      </x:c>
      <x:c r="C203" t="str">
        <x:v>KTO001</x:v>
      </x:c>
      <x:c r="D203" t="str">
        <x:v>16-05-2026_Umsatzliste_Girokonto_DE98120300001061711675.csv</x:v>
      </x:c>
      <x:c r="E203" t="n">
        <x:v>46163</x:v>
      </x:c>
      <x:c r="F203" t="n">
        <x:v>186</x:v>
      </x:c>
      <x:c r="G203" t="str">
        <x:v>cbf689aa190e4eb258202219262b34f2d1252ad84258c37c4483cab7ba0ff2d5</x:v>
      </x:c>
      <x:c r="H203" t="str">
        <x:v>neu</x:v>
      </x:c>
      <x:c r="I203" t="str">
        <x:v>ok</x:v>
      </x:c>
      <x:c r="J203"/>
      <x:c r="K203" t="n">
        <x:v>46106</x:v>
      </x:c>
      <x:c r="L203" t="n">
        <x:v>46106</x:v>
      </x:c>
      <x:c r="M203" t="str">
        <x:v>Gebucht</x:v>
      </x:c>
      <x:c r="N203" t="str">
        <x:v>Lars Kohlenberg</x:v>
      </x:c>
      <x:c r="O203" t="str">
        <x:v>Lars Kohlenberg</x:v>
      </x:c>
      <x:c r="P203" t="str">
        <x:v>UEbertrag</x:v>
      </x:c>
      <x:c r="Q203" t="str">
        <x:v>Eingang</x:v>
      </x:c>
      <x:c r="R203" t="str">
        <x:v>DE91270200001510365800</x:v>
      </x:c>
      <x:c r="S203" t="n">
        <x:v>200</x:v>
      </x:c>
      <x:c r="T203" t="str">
        <x:v>"</x:v>
      </x:c>
      <x:c r="U203" t="str">
        <x:v>"</x:v>
      </x:c>
      <x:c r="V203" t="str">
        <x:v>"</x:v>
      </x:c>
    </x:row>
    <x:row r="204">
      <x:c r="A204" t="str">
        <x:v>RAW-IMP-20260516-FULLDRAFT-000187</x:v>
      </x:c>
      <x:c r="B204" t="str">
        <x:v>IMP-20260516-FULLDRAFT</x:v>
      </x:c>
      <x:c r="C204" t="str">
        <x:v>KTO001</x:v>
      </x:c>
      <x:c r="D204" t="str">
        <x:v>16-05-2026_Umsatzliste_Girokonto_DE98120300001061711675.csv</x:v>
      </x:c>
      <x:c r="E204" t="n">
        <x:v>46163</x:v>
      </x:c>
      <x:c r="F204" t="n">
        <x:v>187</x:v>
      </x:c>
      <x:c r="G204" t="str">
        <x:v>296a807a262b853b65400dd280b82283cf90be99cb36adc3963c0a707342decf</x:v>
      </x:c>
      <x:c r="H204" t="str">
        <x:v>neu</x:v>
      </x:c>
      <x:c r="I204" t="str">
        <x:v>ok</x:v>
      </x:c>
      <x:c r="J204"/>
      <x:c r="K204" t="n">
        <x:v>46105</x:v>
      </x:c>
      <x:c r="L204" t="n">
        <x:v>46105</x:v>
      </x:c>
      <x:c r="M204" t="str">
        <x:v>Gebucht</x:v>
      </x:c>
      <x:c r="N204" t="str">
        <x:v>ISSUER</x:v>
      </x:c>
      <x:c r="O204" t="str">
        <x:v>MCDONALDS.01578/SALZBERGEN</x:v>
      </x:c>
      <x:c r="P204" t="str">
        <x:v>VISA Debitkartenumsatz vom 23.03.2026</x:v>
      </x:c>
      <x:c r="Q204" t="str">
        <x:v>Ausgang</x:v>
      </x:c>
      <x:c r="R204" t="str">
        <x:v>DE96120300009005290904</x:v>
      </x:c>
      <x:c r="S204" t="n">
        <x:v>-5.99</x:v>
      </x:c>
      <x:c r="T204" t="str">
        <x:v>"</x:v>
      </x:c>
      <x:c r="U204" t="str">
        <x:v>"</x:v>
      </x:c>
      <x:c r="V204" t="str">
        <x:v>486082363284156</x:v>
      </x:c>
    </x:row>
    <x:row r="205">
      <x:c r="A205" t="str">
        <x:v>RAW-IMP-20260516-FULLDRAFT-000188</x:v>
      </x:c>
      <x:c r="B205" t="str">
        <x:v>IMP-20260516-FULLDRAFT</x:v>
      </x:c>
      <x:c r="C205" t="str">
        <x:v>KTO001</x:v>
      </x:c>
      <x:c r="D205" t="str">
        <x:v>16-05-2026_Umsatzliste_Girokonto_DE98120300001061711675.csv</x:v>
      </x:c>
      <x:c r="E205" t="n">
        <x:v>46163</x:v>
      </x:c>
      <x:c r="F205" t="n">
        <x:v>188</x:v>
      </x:c>
      <x:c r="G205" t="str">
        <x:v>1ab16bf8cd8f76b605ca8e53ebdde5c54ec2dcb93d97a240440306239a3056fa</x:v>
      </x:c>
      <x:c r="H205" t="str">
        <x:v>neu</x:v>
      </x:c>
      <x:c r="I205" t="str">
        <x:v>ok</x:v>
      </x:c>
      <x:c r="J205"/>
      <x:c r="K205" t="n">
        <x:v>46105</x:v>
      </x:c>
      <x:c r="L205" t="n">
        <x:v>46105</x:v>
      </x:c>
      <x:c r="M205" t="str">
        <x:v>Gebucht</x:v>
      </x:c>
      <x:c r="N205" t="str">
        <x:v>ISSUER</x:v>
      </x:c>
      <x:c r="O205" t="str">
        <x:v>1801.Eemhof.Albron/ZEEWOLDE</x:v>
      </x:c>
      <x:c r="P205" t="str">
        <x:v>VISA Debitkartenumsatz vom 23.03.2026</x:v>
      </x:c>
      <x:c r="Q205" t="str">
        <x:v>Ausgang</x:v>
      </x:c>
      <x:c r="R205" t="str">
        <x:v>DE96120300009005290904</x:v>
      </x:c>
      <x:c r="S205" t="n">
        <x:v>-16.49</x:v>
      </x:c>
      <x:c r="T205" t="str">
        <x:v>"</x:v>
      </x:c>
      <x:c r="U205" t="str">
        <x:v>"</x:v>
      </x:c>
      <x:c r="V205" t="str">
        <x:v>486082553084371</x:v>
      </x:c>
    </x:row>
    <x:row r="206">
      <x:c r="A206" t="str">
        <x:v>RAW-IMP-20260516-FULLDRAFT-000189</x:v>
      </x:c>
      <x:c r="B206" t="str">
        <x:v>IMP-20260516-FULLDRAFT</x:v>
      </x:c>
      <x:c r="C206" t="str">
        <x:v>KTO001</x:v>
      </x:c>
      <x:c r="D206" t="str">
        <x:v>16-05-2026_Umsatzliste_Girokonto_DE98120300001061711675.csv</x:v>
      </x:c>
      <x:c r="E206" t="n">
        <x:v>46163</x:v>
      </x:c>
      <x:c r="F206" t="n">
        <x:v>189</x:v>
      </x:c>
      <x:c r="G206" t="str">
        <x:v>44f8b58b8f2ea01f4f0132a09a97826295475f08a54a99e07bfc99d5044a9f8f</x:v>
      </x:c>
      <x:c r="H206" t="str">
        <x:v>neu</x:v>
      </x:c>
      <x:c r="I206" t="str">
        <x:v>ok</x:v>
      </x:c>
      <x:c r="J206"/>
      <x:c r="K206" t="n">
        <x:v>46105</x:v>
      </x:c>
      <x:c r="L206" t="n">
        <x:v>46105</x:v>
      </x:c>
      <x:c r="M206" t="str">
        <x:v>Gebucht</x:v>
      </x:c>
      <x:c r="N206" t="str">
        <x:v>ISSUER</x:v>
      </x:c>
      <x:c r="O206" t="str">
        <x:v>IONITY.GmbH/Munich</x:v>
      </x:c>
      <x:c r="P206" t="str">
        <x:v>VISA Debitkartenumsatz</x:v>
      </x:c>
      <x:c r="Q206" t="str">
        <x:v>Ausgang</x:v>
      </x:c>
      <x:c r="R206" t="str">
        <x:v>DE96120300009005290904</x:v>
      </x:c>
      <x:c r="S206" t="n">
        <x:v>-11.99</x:v>
      </x:c>
      <x:c r="T206" t="str">
        <x:v>"</x:v>
      </x:c>
      <x:c r="U206" t="str">
        <x:v>"</x:v>
      </x:c>
      <x:c r="V206" t="str">
        <x:v>486082392648644</x:v>
      </x:c>
    </x:row>
    <x:row r="207">
      <x:c r="A207" t="str">
        <x:v>RAW-IMP-20260516-FULLDRAFT-000190</x:v>
      </x:c>
      <x:c r="B207" t="str">
        <x:v>IMP-20260516-FULLDRAFT</x:v>
      </x:c>
      <x:c r="C207" t="str">
        <x:v>KTO001</x:v>
      </x:c>
      <x:c r="D207" t="str">
        <x:v>16-05-2026_Umsatzliste_Girokonto_DE98120300001061711675.csv</x:v>
      </x:c>
      <x:c r="E207" t="n">
        <x:v>46163</x:v>
      </x:c>
      <x:c r="F207" t="n">
        <x:v>190</x:v>
      </x:c>
      <x:c r="G207" t="str">
        <x:v>07e55371e862f1b05b46f4931b5d5f93b22a173f631294425c69ab31314d23f7</x:v>
      </x:c>
      <x:c r="H207" t="str">
        <x:v>neu</x:v>
      </x:c>
      <x:c r="I207" t="str">
        <x:v>ok</x:v>
      </x:c>
      <x:c r="J207"/>
      <x:c r="K207" t="n">
        <x:v>46105</x:v>
      </x:c>
      <x:c r="L207" t="n">
        <x:v>46105</x:v>
      </x:c>
      <x:c r="M207" t="str">
        <x:v>Gebucht</x:v>
      </x:c>
      <x:c r="N207" t="str">
        <x:v>ISSUER</x:v>
      </x:c>
      <x:c r="O207" t="str">
        <x:v>IONITY.GmbH/Amsterdam</x:v>
      </x:c>
      <x:c r="P207" t="str">
        <x:v>VISA Debitkartenumsatz vom 23.03.2026</x:v>
      </x:c>
      <x:c r="Q207" t="str">
        <x:v>Ausgang</x:v>
      </x:c>
      <x:c r="R207" t="str">
        <x:v>DE96120300009005290904</x:v>
      </x:c>
      <x:c r="S207" t="n">
        <x:v>-10.18</x:v>
      </x:c>
      <x:c r="T207" t="str">
        <x:v>"</x:v>
      </x:c>
      <x:c r="U207" t="str">
        <x:v>"</x:v>
      </x:c>
      <x:c r="V207" t="str">
        <x:v>486082424607459</x:v>
      </x:c>
    </x:row>
    <x:row r="208">
      <x:c r="A208" t="str">
        <x:v>RAW-IMP-20260516-FULLDRAFT-000191</x:v>
      </x:c>
      <x:c r="B208" t="str">
        <x:v>IMP-20260516-FULLDRAFT</x:v>
      </x:c>
      <x:c r="C208" t="str">
        <x:v>KTO001</x:v>
      </x:c>
      <x:c r="D208" t="str">
        <x:v>16-05-2026_Umsatzliste_Girokonto_DE98120300001061711675.csv</x:v>
      </x:c>
      <x:c r="E208" t="n">
        <x:v>46163</x:v>
      </x:c>
      <x:c r="F208" t="n">
        <x:v>191</x:v>
      </x:c>
      <x:c r="G208" t="str">
        <x:v>7a18cfd2828add9b492957254dbb5f6a96c0009c35f7c3a6377f76a815752441</x:v>
      </x:c>
      <x:c r="H208" t="str">
        <x:v>neu</x:v>
      </x:c>
      <x:c r="I208" t="str">
        <x:v>ok</x:v>
      </x:c>
      <x:c r="J208"/>
      <x:c r="K208" t="n">
        <x:v>46105</x:v>
      </x:c>
      <x:c r="L208" t="n">
        <x:v>46105</x:v>
      </x:c>
      <x:c r="M208" t="str">
        <x:v>Gebucht</x:v>
      </x:c>
      <x:c r="N208" t="str">
        <x:v>ISSUER</x:v>
      </x:c>
      <x:c r="O208" t="str">
        <x:v>IONITY.GmbH/Munich</x:v>
      </x:c>
      <x:c r="P208" t="str">
        <x:v>VISA Debitkartenumsatz vom 23.03.2026</x:v>
      </x:c>
      <x:c r="Q208" t="str">
        <x:v>Ausgang</x:v>
      </x:c>
      <x:c r="R208" t="str">
        <x:v>DE96120300009005290904</x:v>
      </x:c>
      <x:c r="S208" t="n">
        <x:v>-20.27</x:v>
      </x:c>
      <x:c r="T208" t="str">
        <x:v>"</x:v>
      </x:c>
      <x:c r="U208" t="str">
        <x:v>"</x:v>
      </x:c>
      <x:c r="V208" t="str">
        <x:v>486082352611663</x:v>
      </x:c>
    </x:row>
    <x:row r="209">
      <x:c r="A209" t="str">
        <x:v>RAW-IMP-20260516-FULLDRAFT-000192</x:v>
      </x:c>
      <x:c r="B209" t="str">
        <x:v>IMP-20260516-FULLDRAFT</x:v>
      </x:c>
      <x:c r="C209" t="str">
        <x:v>KTO001</x:v>
      </x:c>
      <x:c r="D209" t="str">
        <x:v>16-05-2026_Umsatzliste_Girokonto_DE98120300001061711675.csv</x:v>
      </x:c>
      <x:c r="E209" t="n">
        <x:v>46163</x:v>
      </x:c>
      <x:c r="F209" t="n">
        <x:v>192</x:v>
      </x:c>
      <x:c r="G209" t="str">
        <x:v>8ad0543ba81ec8e3f91daeb53cc5e41fad5ac8ce88ea001ffac0fd97a128ab4b</x:v>
      </x:c>
      <x:c r="H209" t="str">
        <x:v>neu</x:v>
      </x:c>
      <x:c r="I209" t="str">
        <x:v>ok</x:v>
      </x:c>
      <x:c r="J209"/>
      <x:c r="K209" t="n">
        <x:v>46105</x:v>
      </x:c>
      <x:c r="L209" t="n">
        <x:v>46105</x:v>
      </x:c>
      <x:c r="M209" t="str">
        <x:v>Gebucht</x:v>
      </x:c>
      <x:c r="N209" t="str">
        <x:v>ISSUER</x:v>
      </x:c>
      <x:c r="O209" t="str">
        <x:v>Ad.free.for..A479B3DH5/4.4.2012E.11</x:v>
      </x:c>
      <x:c r="P209" t="str">
        <x:v>VISA Debitkartenumsatz vom 23.03.2026</x:v>
      </x:c>
      <x:c r="Q209" t="str">
        <x:v>Ausgang</x:v>
      </x:c>
      <x:c r="R209" t="str">
        <x:v>DE96120300009005290904</x:v>
      </x:c>
      <x:c r="S209" t="n">
        <x:v>-2.99</x:v>
      </x:c>
      <x:c r="T209" t="str">
        <x:v>"</x:v>
      </x:c>
      <x:c r="U209" t="str">
        <x:v>"</x:v>
      </x:c>
      <x:c r="V209" t="str">
        <x:v>486082728659760</x:v>
      </x:c>
    </x:row>
    <x:row r="210">
      <x:c r="A210" t="str">
        <x:v>RAW-IMP-20260516-FULLDRAFT-000193</x:v>
      </x:c>
      <x:c r="B210" t="str">
        <x:v>IMP-20260516-FULLDRAFT</x:v>
      </x:c>
      <x:c r="C210" t="str">
        <x:v>KTO001</x:v>
      </x:c>
      <x:c r="D210" t="str">
        <x:v>16-05-2026_Umsatzliste_Girokonto_DE98120300001061711675.csv</x:v>
      </x:c>
      <x:c r="E210" t="n">
        <x:v>46163</x:v>
      </x:c>
      <x:c r="F210" t="n">
        <x:v>193</x:v>
      </x:c>
      <x:c r="G210" t="str">
        <x:v>df09e5b46a9c0a1767db90da0760fb155d1bbab049353820ef70f30a82340b1b</x:v>
      </x:c>
      <x:c r="H210" t="str">
        <x:v>neu</x:v>
      </x:c>
      <x:c r="I210" t="str">
        <x:v>ok</x:v>
      </x:c>
      <x:c r="J210"/>
      <x:c r="K210" t="n">
        <x:v>46104</x:v>
      </x:c>
      <x:c r="L210" t="n">
        <x:v>46104</x:v>
      </x:c>
      <x:c r="M210" t="str">
        <x:v>Gebucht</x:v>
      </x:c>
      <x:c r="N210" t="str">
        <x:v>ISSUER</x:v>
      </x:c>
      <x:c r="O210" t="str">
        <x:v>Rossmann.1956/Salzgitter</x:v>
      </x:c>
      <x:c r="P210" t="str">
        <x:v>VISA Debitkartenumsatz vom 21.03.2026</x:v>
      </x:c>
      <x:c r="Q210" t="str">
        <x:v>Ausgang</x:v>
      </x:c>
      <x:c r="R210" t="str">
        <x:v>DE96120300009005290904</x:v>
      </x:c>
      <x:c r="S210" t="n">
        <x:v>-12.87</x:v>
      </x:c>
      <x:c r="T210" t="str">
        <x:v>"</x:v>
      </x:c>
      <x:c r="U210" t="str">
        <x:v>"</x:v>
      </x:c>
      <x:c r="V210" t="str">
        <x:v>486080394714946</x:v>
      </x:c>
    </x:row>
    <x:row r="211">
      <x:c r="A211" t="str">
        <x:v>RAW-IMP-20260516-FULLDRAFT-000194</x:v>
      </x:c>
      <x:c r="B211" t="str">
        <x:v>IMP-20260516-FULLDRAFT</x:v>
      </x:c>
      <x:c r="C211" t="str">
        <x:v>KTO001</x:v>
      </x:c>
      <x:c r="D211" t="str">
        <x:v>16-05-2026_Umsatzliste_Girokonto_DE98120300001061711675.csv</x:v>
      </x:c>
      <x:c r="E211" t="n">
        <x:v>46163</x:v>
      </x:c>
      <x:c r="F211" t="n">
        <x:v>194</x:v>
      </x:c>
      <x:c r="G211" t="str">
        <x:v>bd73dc187f37bbb2477161b82b080e3469af9334f145b987feadda4cb83389df</x:v>
      </x:c>
      <x:c r="H211" t="str">
        <x:v>neu</x:v>
      </x:c>
      <x:c r="I211" t="str">
        <x:v>ok</x:v>
      </x:c>
      <x:c r="J211"/>
      <x:c r="K211" t="n">
        <x:v>46104</x:v>
      </x:c>
      <x:c r="L211" t="n">
        <x:v>46104</x:v>
      </x:c>
      <x:c r="M211" t="str">
        <x:v>Gebucht</x:v>
      </x:c>
      <x:c r="N211" t="str">
        <x:v>ISSUER</x:v>
      </x:c>
      <x:c r="O211" t="str">
        <x:v>SPK.HILDESHEIM.GOSLAR.P/BREITESTR</x:v>
      </x:c>
      <x:c r="P211" t="str">
        <x:v>VISA Debitkartenumsatz vom 22.03.2026</x:v>
      </x:c>
      <x:c r="Q211" t="str">
        <x:v>Ausgang</x:v>
      </x:c>
      <x:c r="R211" t="str">
        <x:v>DE96120300009005290904</x:v>
      </x:c>
      <x:c r="S211" t="n">
        <x:v>-100</x:v>
      </x:c>
      <x:c r="T211" t="str">
        <x:v>"</x:v>
      </x:c>
      <x:c r="U211" t="str">
        <x:v>"</x:v>
      </x:c>
      <x:c r="V211" t="str">
        <x:v>486081615738506</x:v>
      </x:c>
    </x:row>
    <x:row r="212">
      <x:c r="A212" t="str">
        <x:v>RAW-IMP-20260516-FULLDRAFT-000195</x:v>
      </x:c>
      <x:c r="B212" t="str">
        <x:v>IMP-20260516-FULLDRAFT</x:v>
      </x:c>
      <x:c r="C212" t="str">
        <x:v>KTO001</x:v>
      </x:c>
      <x:c r="D212" t="str">
        <x:v>16-05-2026_Umsatzliste_Girokonto_DE98120300001061711675.csv</x:v>
      </x:c>
      <x:c r="E212" t="n">
        <x:v>46163</x:v>
      </x:c>
      <x:c r="F212" t="n">
        <x:v>195</x:v>
      </x:c>
      <x:c r="G212" t="str">
        <x:v>7491e0f97fc4c0fafc8c215b988b0422ed54cfa666756ae3e1971f02b9a0c381</x:v>
      </x:c>
      <x:c r="H212" t="str">
        <x:v>neu</x:v>
      </x:c>
      <x:c r="I212" t="str">
        <x:v>ok</x:v>
      </x:c>
      <x:c r="J212"/>
      <x:c r="K212" t="n">
        <x:v>46104</x:v>
      </x:c>
      <x:c r="L212" t="n">
        <x:v>46104</x:v>
      </x:c>
      <x:c r="M212" t="str">
        <x:v>Gebucht</x:v>
      </x:c>
      <x:c r="N212" t="str">
        <x:v>ISSUER</x:v>
      </x:c>
      <x:c r="O212" t="str">
        <x:v>REWE.Acar.oHG/Salzgitter</x:v>
      </x:c>
      <x:c r="P212" t="str">
        <x:v>VISA Debitkartenumsatz vom 21.03.2026</x:v>
      </x:c>
      <x:c r="Q212" t="str">
        <x:v>Ausgang</x:v>
      </x:c>
      <x:c r="R212" t="str">
        <x:v>DE96120300009005290904</x:v>
      </x:c>
      <x:c r="S212" t="n">
        <x:v>-134.01</x:v>
      </x:c>
      <x:c r="T212" t="str">
        <x:v>"</x:v>
      </x:c>
      <x:c r="U212" t="str">
        <x:v>"</x:v>
      </x:c>
      <x:c r="V212" t="str">
        <x:v>486080390944279</x:v>
      </x:c>
    </x:row>
    <x:row r="213">
      <x:c r="A213" t="str">
        <x:v>RAW-IMP-20260516-FULLDRAFT-000196</x:v>
      </x:c>
      <x:c r="B213" t="str">
        <x:v>IMP-20260516-FULLDRAFT</x:v>
      </x:c>
      <x:c r="C213" t="str">
        <x:v>KTO001</x:v>
      </x:c>
      <x:c r="D213" t="str">
        <x:v>16-05-2026_Umsatzliste_Girokonto_DE98120300001061711675.csv</x:v>
      </x:c>
      <x:c r="E213" t="n">
        <x:v>46163</x:v>
      </x:c>
      <x:c r="F213" t="n">
        <x:v>196</x:v>
      </x:c>
      <x:c r="G213" t="str">
        <x:v>6f727fa52593605017ad156b0bd4ad4a66fd81a57ff7244cd488e921c8b071e3</x:v>
      </x:c>
      <x:c r="H213" t="str">
        <x:v>neu</x:v>
      </x:c>
      <x:c r="I213" t="str">
        <x:v>ok</x:v>
      </x:c>
      <x:c r="J213"/>
      <x:c r="K213" t="n">
        <x:v>46104</x:v>
      </x:c>
      <x:c r="L213" t="n">
        <x:v>46104</x:v>
      </x:c>
      <x:c r="M213" t="str">
        <x:v>Gebucht</x:v>
      </x:c>
      <x:c r="N213" t="str">
        <x:v>ISSUER</x:v>
      </x:c>
      <x:c r="O213" t="str">
        <x:v>LOEWENBAECKER.SCHAPER/SALZGITTER</x:v>
      </x:c>
      <x:c r="P213" t="str">
        <x:v>VISA Debitkartenumsatz vom 20.03.2026</x:v>
      </x:c>
      <x:c r="Q213" t="str">
        <x:v>Ausgang</x:v>
      </x:c>
      <x:c r="R213" t="str">
        <x:v>DE96120300009005290904</x:v>
      </x:c>
      <x:c r="S213" t="n">
        <x:v>-2.7</x:v>
      </x:c>
      <x:c r="T213" t="str">
        <x:v>"</x:v>
      </x:c>
      <x:c r="U213" t="str">
        <x:v>"</x:v>
      </x:c>
      <x:c r="V213" t="str">
        <x:v>486079267281269</x:v>
      </x:c>
    </x:row>
    <x:row r="214">
      <x:c r="A214" t="str">
        <x:v>RAW-IMP-20260516-FULLDRAFT-000197</x:v>
      </x:c>
      <x:c r="B214" t="str">
        <x:v>IMP-20260516-FULLDRAFT</x:v>
      </x:c>
      <x:c r="C214" t="str">
        <x:v>KTO001</x:v>
      </x:c>
      <x:c r="D214" t="str">
        <x:v>16-05-2026_Umsatzliste_Girokonto_DE98120300001061711675.csv</x:v>
      </x:c>
      <x:c r="E214" t="n">
        <x:v>46163</x:v>
      </x:c>
      <x:c r="F214" t="n">
        <x:v>197</x:v>
      </x:c>
      <x:c r="G214" t="str">
        <x:v>8cb72f72540ecf1f323ee46f2576906d331e6073a5179c994bb75829993f8239</x:v>
      </x:c>
      <x:c r="H214" t="str">
        <x:v>neu</x:v>
      </x:c>
      <x:c r="I214" t="str">
        <x:v>ok</x:v>
      </x:c>
      <x:c r="J214"/>
      <x:c r="K214" t="n">
        <x:v>46104</x:v>
      </x:c>
      <x:c r="L214" t="n">
        <x:v>46104</x:v>
      </x:c>
      <x:c r="M214" t="str">
        <x:v>Gebucht</x:v>
      </x:c>
      <x:c r="N214" t="str">
        <x:v>ISSUER</x:v>
      </x:c>
      <x:c r="O214" t="str">
        <x:v>Badeland.Wolfsburg/Wolfsburg</x:v>
      </x:c>
      <x:c r="P214" t="str">
        <x:v>VISA Debitkartenumsatz vom 20.03.2026</x:v>
      </x:c>
      <x:c r="Q214" t="str">
        <x:v>Ausgang</x:v>
      </x:c>
      <x:c r="R214" t="str">
        <x:v>DE96120300009005290904</x:v>
      </x:c>
      <x:c r="S214" t="n">
        <x:v>-200</x:v>
      </x:c>
      <x:c r="T214" t="str">
        <x:v>"</x:v>
      </x:c>
      <x:c r="U214" t="str">
        <x:v>"</x:v>
      </x:c>
      <x:c r="V214" t="str">
        <x:v>486079369355219</x:v>
      </x:c>
    </x:row>
    <x:row r="215">
      <x:c r="A215" t="str">
        <x:v>RAW-IMP-20260516-FULLDRAFT-000198</x:v>
      </x:c>
      <x:c r="B215" t="str">
        <x:v>IMP-20260516-FULLDRAFT</x:v>
      </x:c>
      <x:c r="C215" t="str">
        <x:v>KTO001</x:v>
      </x:c>
      <x:c r="D215" t="str">
        <x:v>16-05-2026_Umsatzliste_Girokonto_DE98120300001061711675.csv</x:v>
      </x:c>
      <x:c r="E215" t="n">
        <x:v>46163</x:v>
      </x:c>
      <x:c r="F215" t="n">
        <x:v>198</x:v>
      </x:c>
      <x:c r="G215" t="str">
        <x:v>bab15b143deb5ebdf71edbade46c0e0fd9f4d741d160a673472d6c1ed1f3d43e</x:v>
      </x:c>
      <x:c r="H215" t="str">
        <x:v>neu</x:v>
      </x:c>
      <x:c r="I215" t="str">
        <x:v>ok</x:v>
      </x:c>
      <x:c r="J215"/>
      <x:c r="K215" t="n">
        <x:v>46104</x:v>
      </x:c>
      <x:c r="L215" t="n">
        <x:v>46104</x:v>
      </x:c>
      <x:c r="M215" t="str">
        <x:v>Gebucht</x:v>
      </x:c>
      <x:c r="N215" t="str">
        <x:v>ISSUER</x:v>
      </x:c>
      <x:c r="O215" t="str">
        <x:v>Lidl.sagt.Danke/Salzgitter</x:v>
      </x:c>
      <x:c r="P215" t="str">
        <x:v>VISA Debitkartenumsatz vom 21.03.2026</x:v>
      </x:c>
      <x:c r="Q215" t="str">
        <x:v>Ausgang</x:v>
      </x:c>
      <x:c r="R215" t="str">
        <x:v>DE96120300009005290904</x:v>
      </x:c>
      <x:c r="S215" t="n">
        <x:v>-70.46</x:v>
      </x:c>
      <x:c r="T215" t="str">
        <x:v>"</x:v>
      </x:c>
      <x:c r="U215" t="str">
        <x:v>"</x:v>
      </x:c>
      <x:c r="V215" t="str">
        <x:v>486080364037069</x:v>
      </x:c>
    </x:row>
    <x:row r="216">
      <x:c r="A216" t="str">
        <x:v>RAW-IMP-20260516-FULLDRAFT-000199</x:v>
      </x:c>
      <x:c r="B216" t="str">
        <x:v>IMP-20260516-FULLDRAFT</x:v>
      </x:c>
      <x:c r="C216" t="str">
        <x:v>KTO001</x:v>
      </x:c>
      <x:c r="D216" t="str">
        <x:v>16-05-2026_Umsatzliste_Girokonto_DE98120300001061711675.csv</x:v>
      </x:c>
      <x:c r="E216" t="n">
        <x:v>46163</x:v>
      </x:c>
      <x:c r="F216" t="n">
        <x:v>199</x:v>
      </x:c>
      <x:c r="G216" t="str">
        <x:v>2bb1bb16f2fb1db9adb42a62e1ab88d2b14cfcb35c0fcf73a4e0bc7a717098f9</x:v>
      </x:c>
      <x:c r="H216" t="str">
        <x:v>neu</x:v>
      </x:c>
      <x:c r="I216" t="str">
        <x:v>ok</x:v>
      </x:c>
      <x:c r="J216"/>
      <x:c r="K216" t="n">
        <x:v>46104</x:v>
      </x:c>
      <x:c r="L216" t="n">
        <x:v>46104</x:v>
      </x:c>
      <x:c r="M216" t="str">
        <x:v>Gebucht</x:v>
      </x:c>
      <x:c r="N216" t="str">
        <x:v>Lars Kohlenberg</x:v>
      </x:c>
      <x:c r="O216" t="str">
        <x:v>Drillisch Online GmbH                                                 Lindleystrase 11, 60314 Frankfurt am Main</x:v>
      </x:c>
      <x:c r="P216" t="str">
        <x:v>C0851820 U786492168 B898147930 winSIM</x:v>
      </x:c>
      <x:c r="Q216" t="str">
        <x:v>Ausgang</x:v>
      </x:c>
      <x:c r="R216" t="str">
        <x:v>DE87300500000008996811</x:v>
      </x:c>
      <x:c r="S216" t="n">
        <x:v>-6.99</x:v>
      </x:c>
      <x:c r="T216" t="str">
        <x:v>DE40ZZZ00000206926</x:v>
      </x:c>
      <x:c r="U216" t="str">
        <x:v>FB1310D094B04186E02ACE7B8C6</x:v>
      </x:c>
      <x:c r="V216" t="str">
        <x:v>C0851820+U786492168</x:v>
      </x:c>
    </x:row>
    <x:row r="217">
      <x:c r="A217" t="str">
        <x:v>RAW-IMP-20260516-FULLDRAFT-000200</x:v>
      </x:c>
      <x:c r="B217" t="str">
        <x:v>IMP-20260516-FULLDRAFT</x:v>
      </x:c>
      <x:c r="C217" t="str">
        <x:v>KTO001</x:v>
      </x:c>
      <x:c r="D217" t="str">
        <x:v>16-05-2026_Umsatzliste_Girokonto_DE98120300001061711675.csv</x:v>
      </x:c>
      <x:c r="E217" t="n">
        <x:v>46163</x:v>
      </x:c>
      <x:c r="F217" t="n">
        <x:v>200</x:v>
      </x:c>
      <x:c r="G217" t="str">
        <x:v>c031332cd173893039c754334f5bf4083c163f13356391c3fed2552819ce0556</x:v>
      </x:c>
      <x:c r="H217" t="str">
        <x:v>neu</x:v>
      </x:c>
      <x:c r="I217" t="str">
        <x:v>ok</x:v>
      </x:c>
      <x:c r="J217"/>
      <x:c r="K217" t="n">
        <x:v>46101</x:v>
      </x:c>
      <x:c r="L217" t="n">
        <x:v>46101</x:v>
      </x:c>
      <x:c r="M217" t="str">
        <x:v>Gebucht</x:v>
      </x:c>
      <x:c r="N217" t="str">
        <x:v>ISSUER</x:v>
      </x:c>
      <x:c r="O217" t="str">
        <x:v>PAYPAL..HPDEUTSCHLA/4029357733</x:v>
      </x:c>
      <x:c r="P217" t="str">
        <x:v>VISA Debitkartenumsatz vom 19.03.2026</x:v>
      </x:c>
      <x:c r="Q217" t="str">
        <x:v>Ausgang</x:v>
      </x:c>
      <x:c r="R217" t="str">
        <x:v>DE96120300009005290904</x:v>
      </x:c>
      <x:c r="S217" t="n">
        <x:v>-4.99</x:v>
      </x:c>
      <x:c r="T217" t="str">
        <x:v>"</x:v>
      </x:c>
      <x:c r="U217" t="str">
        <x:v>"</x:v>
      </x:c>
      <x:c r="V217" t="str">
        <x:v>356078573268800</x:v>
      </x:c>
    </x:row>
    <x:row r="218">
      <x:c r="A218" t="str">
        <x:v>RAW-IMP-20260516-FULLDRAFT-000201</x:v>
      </x:c>
      <x:c r="B218" t="str">
        <x:v>IMP-20260516-FULLDRAFT</x:v>
      </x:c>
      <x:c r="C218" t="str">
        <x:v>KTO001</x:v>
      </x:c>
      <x:c r="D218" t="str">
        <x:v>16-05-2026_Umsatzliste_Girokonto_DE98120300001061711675.csv</x:v>
      </x:c>
      <x:c r="E218" t="n">
        <x:v>46163</x:v>
      </x:c>
      <x:c r="F218" t="n">
        <x:v>201</x:v>
      </x:c>
      <x:c r="G218" t="str">
        <x:v>f9c771d0f7fa697f775b9e01bc2ea52f814ee1b239d882c35f6f6bd3081a1414</x:v>
      </x:c>
      <x:c r="H218" t="str">
        <x:v>neu</x:v>
      </x:c>
      <x:c r="I218" t="str">
        <x:v>ok</x:v>
      </x:c>
      <x:c r="J218"/>
      <x:c r="K218" t="n">
        <x:v>46101</x:v>
      </x:c>
      <x:c r="L218" t="n">
        <x:v>46101</x:v>
      </x:c>
      <x:c r="M218" t="str">
        <x:v>Gebucht</x:v>
      </x:c>
      <x:c r="N218" t="str">
        <x:v>BKK Salzgitter</x:v>
      </x:c>
      <x:c r="O218" t="str">
        <x:v>Kohlenberg, Lars</x:v>
      </x:c>
      <x:c r="P218" t="str">
        <x:v>Vorsorge 38.35</x:v>
      </x:c>
      <x:c r="Q218" t="str">
        <x:v>Eingang</x:v>
      </x:c>
      <x:c r="R218" t="str">
        <x:v>DE38200300000016399519</x:v>
      </x:c>
      <x:c r="S218" t="n">
        <x:v>38.35</x:v>
      </x:c>
      <x:c r="T218" t="str">
        <x:v>"</x:v>
      </x:c>
      <x:c r="U218" t="str">
        <x:v>"</x:v>
      </x:c>
      <x:c r="V218" t="str">
        <x:v>3620025933710060</x:v>
      </x:c>
    </x:row>
    <x:row r="219">
      <x:c r="A219" t="str">
        <x:v>RAW-IMP-20260516-FULLDRAFT-000202</x:v>
      </x:c>
      <x:c r="B219" t="str">
        <x:v>IMP-20260516-FULLDRAFT</x:v>
      </x:c>
      <x:c r="C219" t="str">
        <x:v>KTO001</x:v>
      </x:c>
      <x:c r="D219" t="str">
        <x:v>16-05-2026_Umsatzliste_Girokonto_DE98120300001061711675.csv</x:v>
      </x:c>
      <x:c r="E219" t="n">
        <x:v>46163</x:v>
      </x:c>
      <x:c r="F219" t="n">
        <x:v>202</x:v>
      </x:c>
      <x:c r="G219" t="str">
        <x:v>45269b6b148954df44b5d39d38b8719c8add98cc8aa55b19ddbfc6ce0080bae3</x:v>
      </x:c>
      <x:c r="H219" t="str">
        <x:v>neu</x:v>
      </x:c>
      <x:c r="I219" t="str">
        <x:v>ok</x:v>
      </x:c>
      <x:c r="J219"/>
      <x:c r="K219" t="n">
        <x:v>46101</x:v>
      </x:c>
      <x:c r="L219" t="n">
        <x:v>46101</x:v>
      </x:c>
      <x:c r="M219" t="str">
        <x:v>Gebucht</x:v>
      </x:c>
      <x:c r="N219" t="str">
        <x:v>ISSUER</x:v>
      </x:c>
      <x:c r="O219" t="str">
        <x:v>DM.DROGERIE.SAGT.DANKE/Salzgitter</x:v>
      </x:c>
      <x:c r="P219" t="str">
        <x:v>VISA Debitkartenumsatz vom 18.03.2026</x:v>
      </x:c>
      <x:c r="Q219" t="str">
        <x:v>Ausgang</x:v>
      </x:c>
      <x:c r="R219" t="str">
        <x:v>DE96120300009005290904</x:v>
      </x:c>
      <x:c r="S219" t="n">
        <x:v>-21.65</x:v>
      </x:c>
      <x:c r="T219" t="str">
        <x:v>"</x:v>
      </x:c>
      <x:c r="U219" t="str">
        <x:v>"</x:v>
      </x:c>
      <x:c r="V219" t="str">
        <x:v>486077578800649</x:v>
      </x:c>
    </x:row>
    <x:row r="220">
      <x:c r="A220" t="str">
        <x:v>RAW-IMP-20260516-FULLDRAFT-000203</x:v>
      </x:c>
      <x:c r="B220" t="str">
        <x:v>IMP-20260516-FULLDRAFT</x:v>
      </x:c>
      <x:c r="C220" t="str">
        <x:v>KTO001</x:v>
      </x:c>
      <x:c r="D220" t="str">
        <x:v>16-05-2026_Umsatzliste_Girokonto_DE98120300001061711675.csv</x:v>
      </x:c>
      <x:c r="E220" t="n">
        <x:v>46163</x:v>
      </x:c>
      <x:c r="F220" t="n">
        <x:v>203</x:v>
      </x:c>
      <x:c r="G220" t="str">
        <x:v>3601a9814254df7109fbbc5750bd8760b264aba18a6f1d32aaa80e2d9762a26c</x:v>
      </x:c>
      <x:c r="H220" t="str">
        <x:v>neu</x:v>
      </x:c>
      <x:c r="I220" t="str">
        <x:v>ok</x:v>
      </x:c>
      <x:c r="J220"/>
      <x:c r="K220" t="n">
        <x:v>46101</x:v>
      </x:c>
      <x:c r="L220" t="n">
        <x:v>46101</x:v>
      </x:c>
      <x:c r="M220" t="str">
        <x:v>Gebucht</x:v>
      </x:c>
      <x:c r="N220" t="str">
        <x:v>ISSUER</x:v>
      </x:c>
      <x:c r="O220" t="str">
        <x:v>REWE.Salzgitter.Ge/Salzgitter</x:v>
      </x:c>
      <x:c r="P220" t="str">
        <x:v>VISA Debitkartenumsatz vom 19.03.2026</x:v>
      </x:c>
      <x:c r="Q220" t="str">
        <x:v>Ausgang</x:v>
      </x:c>
      <x:c r="R220" t="str">
        <x:v>DE96120300009005290904</x:v>
      </x:c>
      <x:c r="S220" t="n">
        <x:v>-21.86</x:v>
      </x:c>
      <x:c r="T220" t="str">
        <x:v>"</x:v>
      </x:c>
      <x:c r="U220" t="str">
        <x:v>"</x:v>
      </x:c>
      <x:c r="V220" t="str">
        <x:v>486078577629554</x:v>
      </x:c>
    </x:row>
    <x:row r="221">
      <x:c r="A221" t="str">
        <x:v>RAW-IMP-20260516-FULLDRAFT-000204</x:v>
      </x:c>
      <x:c r="B221" t="str">
        <x:v>IMP-20260516-FULLDRAFT</x:v>
      </x:c>
      <x:c r="C221" t="str">
        <x:v>KTO001</x:v>
      </x:c>
      <x:c r="D221" t="str">
        <x:v>16-05-2026_Umsatzliste_Girokonto_DE98120300001061711675.csv</x:v>
      </x:c>
      <x:c r="E221" t="n">
        <x:v>46163</x:v>
      </x:c>
      <x:c r="F221" t="n">
        <x:v>204</x:v>
      </x:c>
      <x:c r="G221" t="str">
        <x:v>ab617a1c16baa29ba59d8256e47b200f8685187da516980eeb28299ff7f54f43</x:v>
      </x:c>
      <x:c r="H221" t="str">
        <x:v>neu</x:v>
      </x:c>
      <x:c r="I221" t="str">
        <x:v>ok</x:v>
      </x:c>
      <x:c r="J221"/>
      <x:c r="K221" t="n">
        <x:v>46101</x:v>
      </x:c>
      <x:c r="L221" t="n">
        <x:v>46101</x:v>
      </x:c>
      <x:c r="M221" t="str">
        <x:v>Gebucht</x:v>
      </x:c>
      <x:c r="N221" t="str">
        <x:v>Lars Kohlenberg</x:v>
      </x:c>
      <x:c r="O221" t="str">
        <x:v>Drillisch Online GmbH                                                 Lindleystrase 11, 60314 Frankfurt am Main</x:v>
      </x:c>
      <x:c r="P221" t="str">
        <x:v>C0851820 U785503115 B897101918 winSIM</x:v>
      </x:c>
      <x:c r="Q221" t="str">
        <x:v>Ausgang</x:v>
      </x:c>
      <x:c r="R221" t="str">
        <x:v>DE87300500000008996811</x:v>
      </x:c>
      <x:c r="S221" t="n">
        <x:v>-6.99</x:v>
      </x:c>
      <x:c r="T221" t="str">
        <x:v>DE40ZZZ00000206926</x:v>
      </x:c>
      <x:c r="U221" t="str">
        <x:v>FB1310D094B04186E02ACE7B8C6</x:v>
      </x:c>
      <x:c r="V221" t="str">
        <x:v>C0851820+U785503115</x:v>
      </x:c>
    </x:row>
    <x:row r="222">
      <x:c r="A222" t="str">
        <x:v>RAW-IMP-20260516-FULLDRAFT-000205</x:v>
      </x:c>
      <x:c r="B222" t="str">
        <x:v>IMP-20260516-FULLDRAFT</x:v>
      </x:c>
      <x:c r="C222" t="str">
        <x:v>KTO001</x:v>
      </x:c>
      <x:c r="D222" t="str">
        <x:v>16-05-2026_Umsatzliste_Girokonto_DE98120300001061711675.csv</x:v>
      </x:c>
      <x:c r="E222" t="n">
        <x:v>46163</x:v>
      </x:c>
      <x:c r="F222" t="n">
        <x:v>205</x:v>
      </x:c>
      <x:c r="G222" t="str">
        <x:v>b75129a5f3410497fda036ae6dab460b65e47d20897b6e7cdcf5d820cfd653ca</x:v>
      </x:c>
      <x:c r="H222" t="str">
        <x:v>neu</x:v>
      </x:c>
      <x:c r="I222" t="str">
        <x:v>ok</x:v>
      </x:c>
      <x:c r="J222"/>
      <x:c r="K222" t="n">
        <x:v>46100</x:v>
      </x:c>
      <x:c r="L222" t="n">
        <x:v>46100</x:v>
      </x:c>
      <x:c r="M222" t="str">
        <x:v>Gebucht</x:v>
      </x:c>
      <x:c r="N222" t="str">
        <x:v>ISSUER</x:v>
      </x:c>
      <x:c r="O222" t="str">
        <x:v>WWW.AMAZON...EE6PD9SD5/LUXEMBOURG</x:v>
      </x:c>
      <x:c r="P222" t="str">
        <x:v>VISA Debitkartenumsatz vom 18.03.2026</x:v>
      </x:c>
      <x:c r="Q222" t="str">
        <x:v>Ausgang</x:v>
      </x:c>
      <x:c r="R222" t="str">
        <x:v>DE96120300009005290904</x:v>
      </x:c>
      <x:c r="S222" t="n">
        <x:v>-30.14</x:v>
      </x:c>
      <x:c r="T222" t="str">
        <x:v>"</x:v>
      </x:c>
      <x:c r="U222" t="str">
        <x:v>"</x:v>
      </x:c>
      <x:c r="V222" t="str">
        <x:v>486077275740477</x:v>
      </x:c>
    </x:row>
    <x:row r="223">
      <x:c r="A223" t="str">
        <x:v>RAW-IMP-20260516-FULLDRAFT-000206</x:v>
      </x:c>
      <x:c r="B223" t="str">
        <x:v>IMP-20260516-FULLDRAFT</x:v>
      </x:c>
      <x:c r="C223" t="str">
        <x:v>KTO001</x:v>
      </x:c>
      <x:c r="D223" t="str">
        <x:v>16-05-2026_Umsatzliste_Girokonto_DE98120300001061711675.csv</x:v>
      </x:c>
      <x:c r="E223" t="n">
        <x:v>46163</x:v>
      </x:c>
      <x:c r="F223" t="n">
        <x:v>206</x:v>
      </x:c>
      <x:c r="G223" t="str">
        <x:v>b391051ef52cf0435386c3773e82a675cd834d65241f5458f09bf38d18939ef6</x:v>
      </x:c>
      <x:c r="H223" t="str">
        <x:v>neu</x:v>
      </x:c>
      <x:c r="I223" t="str">
        <x:v>ok</x:v>
      </x:c>
      <x:c r="J223"/>
      <x:c r="K223" t="n">
        <x:v>46100</x:v>
      </x:c>
      <x:c r="L223" t="n">
        <x:v>46100</x:v>
      </x:c>
      <x:c r="M223" t="str">
        <x:v>Gebucht</x:v>
      </x:c>
      <x:c r="N223" t="str">
        <x:v>ISSUER</x:v>
      </x:c>
      <x:c r="O223" t="str">
        <x:v>REWE.Salzgitter.Ge/Salzgitter</x:v>
      </x:c>
      <x:c r="P223" t="str">
        <x:v>VISA Debitkartenumsatz vom 18.03.2026</x:v>
      </x:c>
      <x:c r="Q223" t="str">
        <x:v>Ausgang</x:v>
      </x:c>
      <x:c r="R223" t="str">
        <x:v>DE96120300009005290904</x:v>
      </x:c>
      <x:c r="S223" t="n">
        <x:v>-7.77</x:v>
      </x:c>
      <x:c r="T223" t="str">
        <x:v>"</x:v>
      </x:c>
      <x:c r="U223" t="str">
        <x:v>"</x:v>
      </x:c>
      <x:c r="V223" t="str">
        <x:v>486077420545410</x:v>
      </x:c>
    </x:row>
    <x:row r="224">
      <x:c r="A224" t="str">
        <x:v>RAW-IMP-20260516-FULLDRAFT-000207</x:v>
      </x:c>
      <x:c r="B224" t="str">
        <x:v>IMP-20260516-FULLDRAFT</x:v>
      </x:c>
      <x:c r="C224" t="str">
        <x:v>KTO001</x:v>
      </x:c>
      <x:c r="D224" t="str">
        <x:v>16-05-2026_Umsatzliste_Girokonto_DE98120300001061711675.csv</x:v>
      </x:c>
      <x:c r="E224" t="n">
        <x:v>46163</x:v>
      </x:c>
      <x:c r="F224" t="n">
        <x:v>207</x:v>
      </x:c>
      <x:c r="G224" t="str">
        <x:v>8288b43b612aec44f2823ee2e08c200916752412fc7a52d8608420d3be0f3883</x:v>
      </x:c>
      <x:c r="H224" t="str">
        <x:v>neu</x:v>
      </x:c>
      <x:c r="I224" t="str">
        <x:v>ok</x:v>
      </x:c>
      <x:c r="J224"/>
      <x:c r="K224" t="n">
        <x:v>46100</x:v>
      </x:c>
      <x:c r="L224" t="n">
        <x:v>46100</x:v>
      </x:c>
      <x:c r="M224" t="str">
        <x:v>Gebucht</x:v>
      </x:c>
      <x:c r="N224" t="str">
        <x:v>Lars Kohlenberg</x:v>
      </x:c>
      <x:c r="O224" t="str">
        <x:v>Drillisch Online GmbH                                                 Lindleystrase 11, 60314 Frankfurt am Main</x:v>
      </x:c>
      <x:c r="P224" t="str">
        <x:v>C0851820 U785000993 B896729979 winSIM</x:v>
      </x:c>
      <x:c r="Q224" t="str">
        <x:v>Ausgang</x:v>
      </x:c>
      <x:c r="R224" t="str">
        <x:v>DE87300500000008996811</x:v>
      </x:c>
      <x:c r="S224" t="n">
        <x:v>-6.99</x:v>
      </x:c>
      <x:c r="T224" t="str">
        <x:v>DE40ZZZ00000206926</x:v>
      </x:c>
      <x:c r="U224" t="str">
        <x:v>FB1310D094B04186E02ACE7B8C6</x:v>
      </x:c>
      <x:c r="V224" t="str">
        <x:v>C0851820+U785000993</x:v>
      </x:c>
    </x:row>
    <x:row r="225">
      <x:c r="A225" t="str">
        <x:v>RAW-IMP-20260516-FULLDRAFT-000208</x:v>
      </x:c>
      <x:c r="B225" t="str">
        <x:v>IMP-20260516-FULLDRAFT</x:v>
      </x:c>
      <x:c r="C225" t="str">
        <x:v>KTO001</x:v>
      </x:c>
      <x:c r="D225" t="str">
        <x:v>16-05-2026_Umsatzliste_Girokonto_DE98120300001061711675.csv</x:v>
      </x:c>
      <x:c r="E225" t="n">
        <x:v>46163</x:v>
      </x:c>
      <x:c r="F225" t="n">
        <x:v>208</x:v>
      </x:c>
      <x:c r="G225" t="str">
        <x:v>10e613b055a3fc78504c14e5b2129ebeb7f435a5e7d5643af3f5fae72d3f3aef</x:v>
      </x:c>
      <x:c r="H225" t="str">
        <x:v>neu</x:v>
      </x:c>
      <x:c r="I225" t="str">
        <x:v>ok</x:v>
      </x:c>
      <x:c r="J225"/>
      <x:c r="K225" t="n">
        <x:v>46099</x:v>
      </x:c>
      <x:c r="L225" t="n">
        <x:v>46099</x:v>
      </x:c>
      <x:c r="M225" t="str">
        <x:v>Gebucht</x:v>
      </x:c>
      <x:c r="N225" t="str">
        <x:v>ISSUER</x:v>
      </x:c>
      <x:c r="O225" t="str">
        <x:v>LOEWENBAECKER.SCHAPER/SALZGITTER</x:v>
      </x:c>
      <x:c r="P225" t="str">
        <x:v>VISA Debitkartenumsatz vom 17.03.2026</x:v>
      </x:c>
      <x:c r="Q225" t="str">
        <x:v>Ausgang</x:v>
      </x:c>
      <x:c r="R225" t="str">
        <x:v>DE96120300009005290904</x:v>
      </x:c>
      <x:c r="S225" t="n">
        <x:v>-2.5</x:v>
      </x:c>
      <x:c r="T225" t="str">
        <x:v>"</x:v>
      </x:c>
      <x:c r="U225" t="str">
        <x:v>"</x:v>
      </x:c>
      <x:c r="V225" t="str">
        <x:v>486076536261814</x:v>
      </x:c>
    </x:row>
    <x:row r="226">
      <x:c r="A226" t="str">
        <x:v>RAW-IMP-20260516-FULLDRAFT-000209</x:v>
      </x:c>
      <x:c r="B226" t="str">
        <x:v>IMP-20260516-FULLDRAFT</x:v>
      </x:c>
      <x:c r="C226" t="str">
        <x:v>KTO001</x:v>
      </x:c>
      <x:c r="D226" t="str">
        <x:v>16-05-2026_Umsatzliste_Girokonto_DE98120300001061711675.csv</x:v>
      </x:c>
      <x:c r="E226" t="n">
        <x:v>46163</x:v>
      </x:c>
      <x:c r="F226" t="n">
        <x:v>209</x:v>
      </x:c>
      <x:c r="G226" t="str">
        <x:v>a4a22445711f474287bd7af20871984e3e20075a94b5947d7eb6018b7eacbf2c</x:v>
      </x:c>
      <x:c r="H226" t="str">
        <x:v>neu</x:v>
      </x:c>
      <x:c r="I226" t="str">
        <x:v>ok</x:v>
      </x:c>
      <x:c r="J226"/>
      <x:c r="K226" t="n">
        <x:v>46099</x:v>
      </x:c>
      <x:c r="L226" t="n">
        <x:v>46099</x:v>
      </x:c>
      <x:c r="M226" t="str">
        <x:v>Gebucht</x:v>
      </x:c>
      <x:c r="N226" t="str">
        <x:v>ISSUER</x:v>
      </x:c>
      <x:c r="O226" t="str">
        <x:v>REWE.Salzgitter.Ge/Salzgitter</x:v>
      </x:c>
      <x:c r="P226" t="str">
        <x:v>VISA Debitkartenumsatz vom 17.03.2026</x:v>
      </x:c>
      <x:c r="Q226" t="str">
        <x:v>Ausgang</x:v>
      </x:c>
      <x:c r="R226" t="str">
        <x:v>DE96120300009005290904</x:v>
      </x:c>
      <x:c r="S226" t="n">
        <x:v>-3.69</x:v>
      </x:c>
      <x:c r="T226" t="str">
        <x:v>"</x:v>
      </x:c>
      <x:c r="U226" t="str">
        <x:v>"</x:v>
      </x:c>
      <x:c r="V226" t="str">
        <x:v>486076382799080</x:v>
      </x:c>
    </x:row>
    <x:row r="227">
      <x:c r="A227" t="str">
        <x:v>RAW-IMP-20260516-FULLDRAFT-000210</x:v>
      </x:c>
      <x:c r="B227" t="str">
        <x:v>IMP-20260516-FULLDRAFT</x:v>
      </x:c>
      <x:c r="C227" t="str">
        <x:v>KTO001</x:v>
      </x:c>
      <x:c r="D227" t="str">
        <x:v>16-05-2026_Umsatzliste_Girokonto_DE98120300001061711675.csv</x:v>
      </x:c>
      <x:c r="E227" t="n">
        <x:v>46163</x:v>
      </x:c>
      <x:c r="F227" t="n">
        <x:v>210</x:v>
      </x:c>
      <x:c r="G227" t="str">
        <x:v>86b41a4e5fc4a280022855f626d45317fd0670397e5ccfade0d2b690a5d07916</x:v>
      </x:c>
      <x:c r="H227" t="str">
        <x:v>neu</x:v>
      </x:c>
      <x:c r="I227" t="str">
        <x:v>ok</x:v>
      </x:c>
      <x:c r="J227"/>
      <x:c r="K227" t="n">
        <x:v>46099</x:v>
      </x:c>
      <x:c r="L227" t="n">
        <x:v>46099</x:v>
      </x:c>
      <x:c r="M227" t="str">
        <x:v>Gebucht</x:v>
      </x:c>
      <x:c r="N227" t="str">
        <x:v>ISSUER</x:v>
      </x:c>
      <x:c r="O227" t="str">
        <x:v>REWE.Salzgitter.Ge/Salzgitter</x:v>
      </x:c>
      <x:c r="P227" t="str">
        <x:v>VISA Debitkartenumsatz vom 17.03.2026</x:v>
      </x:c>
      <x:c r="Q227" t="str">
        <x:v>Ausgang</x:v>
      </x:c>
      <x:c r="R227" t="str">
        <x:v>DE96120300009005290904</x:v>
      </x:c>
      <x:c r="S227" t="n">
        <x:v>-4.36</x:v>
      </x:c>
      <x:c r="T227" t="str">
        <x:v>"</x:v>
      </x:c>
      <x:c r="U227" t="str">
        <x:v>"</x:v>
      </x:c>
      <x:c r="V227" t="str">
        <x:v>486076381897594</x:v>
      </x:c>
    </x:row>
    <x:row r="228">
      <x:c r="A228" t="str">
        <x:v>RAW-IMP-20260516-FULLDRAFT-000211</x:v>
      </x:c>
      <x:c r="B228" t="str">
        <x:v>IMP-20260516-FULLDRAFT</x:v>
      </x:c>
      <x:c r="C228" t="str">
        <x:v>KTO001</x:v>
      </x:c>
      <x:c r="D228" t="str">
        <x:v>16-05-2026_Umsatzliste_Girokonto_DE98120300001061711675.csv</x:v>
      </x:c>
      <x:c r="E228" t="n">
        <x:v>46163</x:v>
      </x:c>
      <x:c r="F228" t="n">
        <x:v>211</x:v>
      </x:c>
      <x:c r="G228" t="str">
        <x:v>0aab910aa6ebf31a7030165d5636247f49df266aed9578a67aeab05e8125ec45</x:v>
      </x:c>
      <x:c r="H228" t="str">
        <x:v>neu</x:v>
      </x:c>
      <x:c r="I228" t="str">
        <x:v>ok</x:v>
      </x:c>
      <x:c r="J228"/>
      <x:c r="K228" t="n">
        <x:v>46098</x:v>
      </x:c>
      <x:c r="L228" t="n">
        <x:v>46098</x:v>
      </x:c>
      <x:c r="M228" t="str">
        <x:v>Gebucht</x:v>
      </x:c>
      <x:c r="N228" t="str">
        <x:v>ISSUER</x:v>
      </x:c>
      <x:c r="O228" t="str">
        <x:v>CLAUDE.AI.SUBSCRIPTION/ANTHROPIC.COM</x:v>
      </x:c>
      <x:c r="P228" t="str">
        <x:v>VISA Debitkartenumsatz vom 16.03.2026</x:v>
      </x:c>
      <x:c r="Q228" t="str">
        <x:v>Ausgang</x:v>
      </x:c>
      <x:c r="R228" t="str">
        <x:v>DE96120300009005290904</x:v>
      </x:c>
      <x:c r="S228" t="n">
        <x:v>-21.42</x:v>
      </x:c>
      <x:c r="T228" t="str">
        <x:v>"</x:v>
      </x:c>
      <x:c r="U228" t="str">
        <x:v>"</x:v>
      </x:c>
      <x:c r="V228" t="str">
        <x:v>386075618639974</x:v>
      </x:c>
    </x:row>
    <x:row r="229">
      <x:c r="A229" t="str">
        <x:v>RAW-IMP-20260516-FULLDRAFT-000212</x:v>
      </x:c>
      <x:c r="B229" t="str">
        <x:v>IMP-20260516-FULLDRAFT</x:v>
      </x:c>
      <x:c r="C229" t="str">
        <x:v>KTO001</x:v>
      </x:c>
      <x:c r="D229" t="str">
        <x:v>16-05-2026_Umsatzliste_Girokonto_DE98120300001061711675.csv</x:v>
      </x:c>
      <x:c r="E229" t="n">
        <x:v>46163</x:v>
      </x:c>
      <x:c r="F229" t="n">
        <x:v>212</x:v>
      </x:c>
      <x:c r="G229" t="str">
        <x:v>e3fa8b1285ac49a4fcd6c22483dde5b7fc96891d682530aeb139f55e281d8ee1</x:v>
      </x:c>
      <x:c r="H229" t="str">
        <x:v>neu</x:v>
      </x:c>
      <x:c r="I229" t="str">
        <x:v>ok</x:v>
      </x:c>
      <x:c r="J229"/>
      <x:c r="K229" t="n">
        <x:v>46097</x:v>
      </x:c>
      <x:c r="L229" t="n">
        <x:v>46097</x:v>
      </x:c>
      <x:c r="M229" t="str">
        <x:v>Gebucht</x:v>
      </x:c>
      <x:c r="N229" t="str">
        <x:v>ISSUER</x:v>
      </x:c>
      <x:c r="O229" t="str">
        <x:v>Lieferando.de.lieferser/Amsterdam</x:v>
      </x:c>
      <x:c r="P229" t="str">
        <x:v>VISA Debitkartenumsatz vom 14.03.2026</x:v>
      </x:c>
      <x:c r="Q229" t="str">
        <x:v>Ausgang</x:v>
      </x:c>
      <x:c r="R229" t="str">
        <x:v>DE96120300009005290904</x:v>
      </x:c>
      <x:c r="S229" t="n">
        <x:v>-109.49</x:v>
      </x:c>
      <x:c r="T229" t="str">
        <x:v>"</x:v>
      </x:c>
      <x:c r="U229" t="str">
        <x:v>"</x:v>
      </x:c>
      <x:c r="V229" t="str">
        <x:v>486073613539375</x:v>
      </x:c>
    </x:row>
    <x:row r="230">
      <x:c r="A230" t="str">
        <x:v>RAW-IMP-20260516-FULLDRAFT-000213</x:v>
      </x:c>
      <x:c r="B230" t="str">
        <x:v>IMP-20260516-FULLDRAFT</x:v>
      </x:c>
      <x:c r="C230" t="str">
        <x:v>KTO001</x:v>
      </x:c>
      <x:c r="D230" t="str">
        <x:v>16-05-2026_Umsatzliste_Girokonto_DE98120300001061711675.csv</x:v>
      </x:c>
      <x:c r="E230" t="n">
        <x:v>46163</x:v>
      </x:c>
      <x:c r="F230" t="n">
        <x:v>213</x:v>
      </x:c>
      <x:c r="G230" t="str">
        <x:v>7a0e3263ec92a491dfc619e64402fea4352bf8e5d4e2401b871ea3aa8d3e38a6</x:v>
      </x:c>
      <x:c r="H230" t="str">
        <x:v>neu</x:v>
      </x:c>
      <x:c r="I230" t="str">
        <x:v>ok</x:v>
      </x:c>
      <x:c r="J230"/>
      <x:c r="K230" t="n">
        <x:v>46097</x:v>
      </x:c>
      <x:c r="L230" t="n">
        <x:v>46097</x:v>
      </x:c>
      <x:c r="M230" t="str">
        <x:v>Gebucht</x:v>
      </x:c>
      <x:c r="N230" t="str">
        <x:v>ISSUER</x:v>
      </x:c>
      <x:c r="O230" t="str">
        <x:v>Lidl.sagt.Danke/Salzgitter</x:v>
      </x:c>
      <x:c r="P230" t="str">
        <x:v>VISA Debitkartenumsatz vom 13.03.2026</x:v>
      </x:c>
      <x:c r="Q230" t="str">
        <x:v>Ausgang</x:v>
      </x:c>
      <x:c r="R230" t="str">
        <x:v>DE96120300009005290904</x:v>
      </x:c>
      <x:c r="S230" t="n">
        <x:v>-66.57</x:v>
      </x:c>
      <x:c r="T230" t="str">
        <x:v>"</x:v>
      </x:c>
      <x:c r="U230" t="str">
        <x:v>"</x:v>
      </x:c>
      <x:c r="V230" t="str">
        <x:v>486072383940913</x:v>
      </x:c>
    </x:row>
    <x:row r="231">
      <x:c r="A231" t="str">
        <x:v>RAW-IMP-20260516-FULLDRAFT-000214</x:v>
      </x:c>
      <x:c r="B231" t="str">
        <x:v>IMP-20260516-FULLDRAFT</x:v>
      </x:c>
      <x:c r="C231" t="str">
        <x:v>KTO001</x:v>
      </x:c>
      <x:c r="D231" t="str">
        <x:v>16-05-2026_Umsatzliste_Girokonto_DE98120300001061711675.csv</x:v>
      </x:c>
      <x:c r="E231" t="n">
        <x:v>46163</x:v>
      </x:c>
      <x:c r="F231" t="n">
        <x:v>214</x:v>
      </x:c>
      <x:c r="G231" t="str">
        <x:v>c239610a47ae1d2649d9c6ea8b0164e11a53dbea4089729d38f97c9cdf7f21b4</x:v>
      </x:c>
      <x:c r="H231" t="str">
        <x:v>neu</x:v>
      </x:c>
      <x:c r="I231" t="str">
        <x:v>ok</x:v>
      </x:c>
      <x:c r="J231"/>
      <x:c r="K231" t="n">
        <x:v>46097</x:v>
      </x:c>
      <x:c r="L231" t="n">
        <x:v>46097</x:v>
      </x:c>
      <x:c r="M231" t="str">
        <x:v>Gebucht</x:v>
      </x:c>
      <x:c r="N231" t="str">
        <x:v>ISSUER</x:v>
      </x:c>
      <x:c r="O231" t="str">
        <x:v>REWE.Salzgitter.Ge/Salzgitter</x:v>
      </x:c>
      <x:c r="P231" t="str">
        <x:v>VISA Debitkartenumsatz vom 13.03.2026</x:v>
      </x:c>
      <x:c r="Q231" t="str">
        <x:v>Ausgang</x:v>
      </x:c>
      <x:c r="R231" t="str">
        <x:v>DE96120300009005290904</x:v>
      </x:c>
      <x:c r="S231" t="n">
        <x:v>-81.68</x:v>
      </x:c>
      <x:c r="T231" t="str">
        <x:v>"</x:v>
      </x:c>
      <x:c r="U231" t="str">
        <x:v>"</x:v>
      </x:c>
      <x:c r="V231" t="str">
        <x:v>486072405376026</x:v>
      </x:c>
    </x:row>
    <x:row r="232">
      <x:c r="A232" t="str">
        <x:v>RAW-IMP-20260516-FULLDRAFT-000215</x:v>
      </x:c>
      <x:c r="B232" t="str">
        <x:v>IMP-20260516-FULLDRAFT</x:v>
      </x:c>
      <x:c r="C232" t="str">
        <x:v>KTO001</x:v>
      </x:c>
      <x:c r="D232" t="str">
        <x:v>16-05-2026_Umsatzliste_Girokonto_DE98120300001061711675.csv</x:v>
      </x:c>
      <x:c r="E232" t="n">
        <x:v>46163</x:v>
      </x:c>
      <x:c r="F232" t="n">
        <x:v>215</x:v>
      </x:c>
      <x:c r="G232" t="str">
        <x:v>870686e2093a0b49c0867b0dd79226672b289069154f9c5a7c394e724faae96c</x:v>
      </x:c>
      <x:c r="H232" t="str">
        <x:v>neu</x:v>
      </x:c>
      <x:c r="I232" t="str">
        <x:v>ok</x:v>
      </x:c>
      <x:c r="J232"/>
      <x:c r="K232" t="n">
        <x:v>46097</x:v>
      </x:c>
      <x:c r="L232" t="n">
        <x:v>46097</x:v>
      </x:c>
      <x:c r="M232" t="str">
        <x:v>Gebucht</x:v>
      </x:c>
      <x:c r="N232" t="str">
        <x:v>KOHLENBERG, LARS</x:v>
      </x:c>
      <x:c r="O232" t="str">
        <x:v>Schulverein Gymnasium, Salzgitter-Bad e.V.</x:v>
      </x:c>
      <x:c r="P232" t="str">
        <x:v>113/KOHLENBERG, LARS MITGLIEDSBEITRAG SCHULVEREIN GYMNASIUM SZ-BAD 2026</x:v>
      </x:c>
      <x:c r="Q232" t="str">
        <x:v>Ausgang</x:v>
      </x:c>
      <x:c r="R232" t="str">
        <x:v>DE84259501300178007662</x:v>
      </x:c>
      <x:c r="S232" t="n">
        <x:v>-12</x:v>
      </x:c>
      <x:c r="T232" t="str">
        <x:v>DE83ZZZ00001305841</x:v>
      </x:c>
      <x:c r="U232" t="str">
        <x:v>113-1</x:v>
      </x:c>
      <x:c r="V232" t="str">
        <x:v>113-1</x:v>
      </x:c>
    </x:row>
    <x:row r="233">
      <x:c r="A233" t="str">
        <x:v>RAW-IMP-20260516-FULLDRAFT-000216</x:v>
      </x:c>
      <x:c r="B233" t="str">
        <x:v>IMP-20260516-FULLDRAFT</x:v>
      </x:c>
      <x:c r="C233" t="str">
        <x:v>KTO001</x:v>
      </x:c>
      <x:c r="D233" t="str">
        <x:v>16-05-2026_Umsatzliste_Girokonto_DE98120300001061711675.csv</x:v>
      </x:c>
      <x:c r="E233" t="n">
        <x:v>46163</x:v>
      </x:c>
      <x:c r="F233" t="n">
        <x:v>216</x:v>
      </x:c>
      <x:c r="G233" t="str">
        <x:v>14aa662419678b33c7ebdde4f8fc9182cad40d28bfed6496e85801612a86685e</x:v>
      </x:c>
      <x:c r="H233" t="str">
        <x:v>neu</x:v>
      </x:c>
      <x:c r="I233" t="str">
        <x:v>ok</x:v>
      </x:c>
      <x:c r="J233"/>
      <x:c r="K233" t="n">
        <x:v>46097</x:v>
      </x:c>
      <x:c r="L233" t="n">
        <x:v>46097</x:v>
      </x:c>
      <x:c r="M233" t="str">
        <x:v>Gebucht</x:v>
      </x:c>
      <x:c r="N233" t="str">
        <x:v>Kohlenberg</x:v>
      </x:c>
      <x:c r="O233" t="str">
        <x:v>TANZSCHULE KWIATKOWSKI GBR</x:v>
      </x:c>
      <x:c r="P233" t="str">
        <x:v>R-SB0000076930-A0000004652,SB2143 2-2026 - 3.2026,Lars Kohlenberg</x:v>
      </x:c>
      <x:c r="Q233" t="str">
        <x:v>Ausgang</x:v>
      </x:c>
      <x:c r="R233" t="str">
        <x:v>DE61259501300096212535</x:v>
      </x:c>
      <x:c r="S233" t="n">
        <x:v>-98</x:v>
      </x:c>
      <x:c r="T233" t="str">
        <x:v>DE79ZZZ00002474666</x:v>
      </x:c>
      <x:c r="U233" t="str">
        <x:v>TM004652-000265</x:v>
      </x:c>
      <x:c r="V233" t="str">
        <x:v>R-SB00076930</x:v>
      </x:c>
    </x:row>
    <x:row r="234">
      <x:c r="A234" t="str">
        <x:v>RAW-IMP-20260516-FULLDRAFT-000217</x:v>
      </x:c>
      <x:c r="B234" t="str">
        <x:v>IMP-20260516-FULLDRAFT</x:v>
      </x:c>
      <x:c r="C234" t="str">
        <x:v>KTO001</x:v>
      </x:c>
      <x:c r="D234" t="str">
        <x:v>16-05-2026_Umsatzliste_Girokonto_DE98120300001061711675.csv</x:v>
      </x:c>
      <x:c r="E234" t="n">
        <x:v>46163</x:v>
      </x:c>
      <x:c r="F234" t="n">
        <x:v>217</x:v>
      </x:c>
      <x:c r="G234" t="str">
        <x:v>5cab66e2a2cb0988a37fa95a9b32f2098c5d6ad7d8f6f1f250c391c77dd49abe</x:v>
      </x:c>
      <x:c r="H234" t="str">
        <x:v>neu</x:v>
      </x:c>
      <x:c r="I234" t="str">
        <x:v>ok</x:v>
      </x:c>
      <x:c r="J234"/>
      <x:c r="K234" t="n">
        <x:v>46094</x:v>
      </x:c>
      <x:c r="L234" t="n">
        <x:v>46094</x:v>
      </x:c>
      <x:c r="M234" t="str">
        <x:v>Gebucht</x:v>
      </x:c>
      <x:c r="N234" t="str">
        <x:v>ISSUER</x:v>
      </x:c>
      <x:c r="O234" t="str">
        <x:v>Deutsche.Post.AG/Salzgitter</x:v>
      </x:c>
      <x:c r="P234" t="str">
        <x:v>VISA Debitkartenumsatz vom 12.03.2026</x:v>
      </x:c>
      <x:c r="Q234" t="str">
        <x:v>Ausgang</x:v>
      </x:c>
      <x:c r="R234" t="str">
        <x:v>DE96120300009005290904</x:v>
      </x:c>
      <x:c r="S234" t="n">
        <x:v>-3.3</x:v>
      </x:c>
      <x:c r="T234" t="str">
        <x:v>"</x:v>
      </x:c>
      <x:c r="U234" t="str">
        <x:v>"</x:v>
      </x:c>
      <x:c r="V234" t="str">
        <x:v>486071397040442</x:v>
      </x:c>
    </x:row>
    <x:row r="235">
      <x:c r="A235" t="str">
        <x:v>RAW-IMP-20260516-FULLDRAFT-000218</x:v>
      </x:c>
      <x:c r="B235" t="str">
        <x:v>IMP-20260516-FULLDRAFT</x:v>
      </x:c>
      <x:c r="C235" t="str">
        <x:v>KTO001</x:v>
      </x:c>
      <x:c r="D235" t="str">
        <x:v>16-05-2026_Umsatzliste_Girokonto_DE98120300001061711675.csv</x:v>
      </x:c>
      <x:c r="E235" t="n">
        <x:v>46163</x:v>
      </x:c>
      <x:c r="F235" t="n">
        <x:v>218</x:v>
      </x:c>
      <x:c r="G235" t="str">
        <x:v>b39c2a6f34015880def06c1748b326a0d2bf0c90da1aa74f83d6d2275dabd6d9</x:v>
      </x:c>
      <x:c r="H235" t="str">
        <x:v>neu</x:v>
      </x:c>
      <x:c r="I235" t="str">
        <x:v>ok</x:v>
      </x:c>
      <x:c r="J235"/>
      <x:c r="K235" t="n">
        <x:v>46094</x:v>
      </x:c>
      <x:c r="L235" t="n">
        <x:v>46094</x:v>
      </x:c>
      <x:c r="M235" t="str">
        <x:v>Gebucht</x:v>
      </x:c>
      <x:c r="N235" t="str">
        <x:v>ISSUER</x:v>
      </x:c>
      <x:c r="O235" t="str">
        <x:v>REWE.Salzgitter.Ge/Salzgitter</x:v>
      </x:c>
      <x:c r="P235" t="str">
        <x:v>VISA Debitkartenumsatz vom 12.03.2026</x:v>
      </x:c>
      <x:c r="Q235" t="str">
        <x:v>Ausgang</x:v>
      </x:c>
      <x:c r="R235" t="str">
        <x:v>DE96120300009005290904</x:v>
      </x:c>
      <x:c r="S235" t="n">
        <x:v>-20.43</x:v>
      </x:c>
      <x:c r="T235" t="str">
        <x:v>"</x:v>
      </x:c>
      <x:c r="U235" t="str">
        <x:v>"</x:v>
      </x:c>
      <x:c r="V235" t="str">
        <x:v>486071405980983</x:v>
      </x:c>
    </x:row>
    <x:row r="236">
      <x:c r="A236" t="str">
        <x:v>RAW-IMP-20260516-FULLDRAFT-000219</x:v>
      </x:c>
      <x:c r="B236" t="str">
        <x:v>IMP-20260516-FULLDRAFT</x:v>
      </x:c>
      <x:c r="C236" t="str">
        <x:v>KTO001</x:v>
      </x:c>
      <x:c r="D236" t="str">
        <x:v>16-05-2026_Umsatzliste_Girokonto_DE98120300001061711675.csv</x:v>
      </x:c>
      <x:c r="E236" t="n">
        <x:v>46163</x:v>
      </x:c>
      <x:c r="F236" t="n">
        <x:v>219</x:v>
      </x:c>
      <x:c r="G236" t="str">
        <x:v>26b759ecfd0f170ea7cd802de208e1da9f8052bf449c513f674fd7f4e2e94d8e</x:v>
      </x:c>
      <x:c r="H236" t="str">
        <x:v>neu</x:v>
      </x:c>
      <x:c r="I236" t="str">
        <x:v>ok</x:v>
      </x:c>
      <x:c r="J236"/>
      <x:c r="K236" t="n">
        <x:v>46093</x:v>
      </x:c>
      <x:c r="L236" t="n">
        <x:v>46093</x:v>
      </x:c>
      <x:c r="M236" t="str">
        <x:v>Gebucht</x:v>
      </x:c>
      <x:c r="N236" t="str">
        <x:v>ISSUER</x:v>
      </x:c>
      <x:c r="O236" t="str">
        <x:v>REWE.Salzgitter.Ge/Salzgitter</x:v>
      </x:c>
      <x:c r="P236" t="str">
        <x:v>VISA Debitkartenumsatz vom 11.03.2026</x:v>
      </x:c>
      <x:c r="Q236" t="str">
        <x:v>Ausgang</x:v>
      </x:c>
      <x:c r="R236" t="str">
        <x:v>DE96120300009005290904</x:v>
      </x:c>
      <x:c r="S236" t="n">
        <x:v>-9.71</x:v>
      </x:c>
      <x:c r="T236" t="str">
        <x:v>"</x:v>
      </x:c>
      <x:c r="U236" t="str">
        <x:v>"</x:v>
      </x:c>
      <x:c r="V236" t="str">
        <x:v>486070381412717</x:v>
      </x:c>
    </x:row>
    <x:row r="237">
      <x:c r="A237" t="str">
        <x:v>RAW-IMP-20260516-FULLDRAFT-000220</x:v>
      </x:c>
      <x:c r="B237" t="str">
        <x:v>IMP-20260516-FULLDRAFT</x:v>
      </x:c>
      <x:c r="C237" t="str">
        <x:v>KTO001</x:v>
      </x:c>
      <x:c r="D237" t="str">
        <x:v>16-05-2026_Umsatzliste_Girokonto_DE98120300001061711675.csv</x:v>
      </x:c>
      <x:c r="E237" t="n">
        <x:v>46163</x:v>
      </x:c>
      <x:c r="F237" t="n">
        <x:v>220</x:v>
      </x:c>
      <x:c r="G237" t="str">
        <x:v>d1fe44a1be2debc6724ae60a1cb738ef30b81b446be32210c0315a5d4a36a36f</x:v>
      </x:c>
      <x:c r="H237" t="str">
        <x:v>neu</x:v>
      </x:c>
      <x:c r="I237" t="str">
        <x:v>ok</x:v>
      </x:c>
      <x:c r="J237"/>
      <x:c r="K237" t="n">
        <x:v>46092</x:v>
      </x:c>
      <x:c r="L237" t="n">
        <x:v>46092</x:v>
      </x:c>
      <x:c r="M237" t="str">
        <x:v>Gebucht</x:v>
      </x:c>
      <x:c r="N237" t="str">
        <x:v>ISSUER</x:v>
      </x:c>
      <x:c r="O237" t="str">
        <x:v>REWE.Salzgitter.Ge/Salzgitter</x:v>
      </x:c>
      <x:c r="P237" t="str">
        <x:v>VISA Debitkartenumsatz vom 10.03.2026</x:v>
      </x:c>
      <x:c r="Q237" t="str">
        <x:v>Ausgang</x:v>
      </x:c>
      <x:c r="R237" t="str">
        <x:v>DE96120300009005290904</x:v>
      </x:c>
      <x:c r="S237" t="n">
        <x:v>-0.86</x:v>
      </x:c>
      <x:c r="T237" t="str">
        <x:v>"</x:v>
      </x:c>
      <x:c r="U237" t="str">
        <x:v>"</x:v>
      </x:c>
      <x:c r="V237" t="str">
        <x:v>486069718583197</x:v>
      </x:c>
    </x:row>
    <x:row r="238">
      <x:c r="A238" t="str">
        <x:v>RAW-IMP-20260516-FULLDRAFT-000221</x:v>
      </x:c>
      <x:c r="B238" t="str">
        <x:v>IMP-20260516-FULLDRAFT</x:v>
      </x:c>
      <x:c r="C238" t="str">
        <x:v>KTO001</x:v>
      </x:c>
      <x:c r="D238" t="str">
        <x:v>16-05-2026_Umsatzliste_Girokonto_DE98120300001061711675.csv</x:v>
      </x:c>
      <x:c r="E238" t="n">
        <x:v>46163</x:v>
      </x:c>
      <x:c r="F238" t="n">
        <x:v>221</x:v>
      </x:c>
      <x:c r="G238" t="str">
        <x:v>f0fb24147548142cf598c1d4147fe503f815b33eb45d1c0fa92d4bcb94655feb</x:v>
      </x:c>
      <x:c r="H238" t="str">
        <x:v>neu</x:v>
      </x:c>
      <x:c r="I238" t="str">
        <x:v>ok</x:v>
      </x:c>
      <x:c r="J238"/>
      <x:c r="K238" t="n">
        <x:v>46092</x:v>
      </x:c>
      <x:c r="L238" t="n">
        <x:v>46092</x:v>
      </x:c>
      <x:c r="M238" t="str">
        <x:v>Gebucht</x:v>
      </x:c>
      <x:c r="N238" t="str">
        <x:v>ISSUER</x:v>
      </x:c>
      <x:c r="O238" t="str">
        <x:v>HANOVA.GEWERBE.GMBH/HANNOVER</x:v>
      </x:c>
      <x:c r="P238" t="str">
        <x:v>VISA Debitkartenumsatz vom 10.03.2026</x:v>
      </x:c>
      <x:c r="Q238" t="str">
        <x:v>Ausgang</x:v>
      </x:c>
      <x:c r="R238" t="str">
        <x:v>DE96120300009005290904</x:v>
      </x:c>
      <x:c r="S238" t="n">
        <x:v>-5.9</x:v>
      </x:c>
      <x:c r="T238" t="str">
        <x:v>"</x:v>
      </x:c>
      <x:c r="U238" t="str">
        <x:v>"</x:v>
      </x:c>
      <x:c r="V238" t="str">
        <x:v>486069602216272</x:v>
      </x:c>
    </x:row>
    <x:row r="239">
      <x:c r="A239" t="str">
        <x:v>RAW-IMP-20260516-FULLDRAFT-000222</x:v>
      </x:c>
      <x:c r="B239" t="str">
        <x:v>IMP-20260516-FULLDRAFT</x:v>
      </x:c>
      <x:c r="C239" t="str">
        <x:v>KTO001</x:v>
      </x:c>
      <x:c r="D239" t="str">
        <x:v>16-05-2026_Umsatzliste_Girokonto_DE98120300001061711675.csv</x:v>
      </x:c>
      <x:c r="E239" t="n">
        <x:v>46163</x:v>
      </x:c>
      <x:c r="F239" t="n">
        <x:v>222</x:v>
      </x:c>
      <x:c r="G239" t="str">
        <x:v>d15ecacd79e280769fd5e7d9f49a2aecccc7762694069302057db90885b8aa49</x:v>
      </x:c>
      <x:c r="H239" t="str">
        <x:v>neu</x:v>
      </x:c>
      <x:c r="I239" t="str">
        <x:v>ok</x:v>
      </x:c>
      <x:c r="J239"/>
      <x:c r="K239" t="n">
        <x:v>46090</x:v>
      </x:c>
      <x:c r="L239" t="n">
        <x:v>46090</x:v>
      </x:c>
      <x:c r="M239" t="str">
        <x:v>Gebucht</x:v>
      </x:c>
      <x:c r="N239" t="str">
        <x:v>ISSUER</x:v>
      </x:c>
      <x:c r="O239" t="str">
        <x:v>UZR.Fehtlon.Restaurant/Vechelde</x:v>
      </x:c>
      <x:c r="P239" t="str">
        <x:v>VISA Debitkartenumsatz vom 08.03.2026</x:v>
      </x:c>
      <x:c r="Q239" t="str">
        <x:v>Ausgang</x:v>
      </x:c>
      <x:c r="R239" t="str">
        <x:v>DE96120300009005290904</x:v>
      </x:c>
      <x:c r="S239" t="n">
        <x:v>-24</x:v>
      </x:c>
      <x:c r="T239" t="str">
        <x:v>"</x:v>
      </x:c>
      <x:c r="U239" t="str">
        <x:v>"</x:v>
      </x:c>
      <x:c r="V239" t="str">
        <x:v>486067446043059</x:v>
      </x:c>
    </x:row>
    <x:row r="240">
      <x:c r="A240" t="str">
        <x:v>RAW-IMP-20260516-FULLDRAFT-000223</x:v>
      </x:c>
      <x:c r="B240" t="str">
        <x:v>IMP-20260516-FULLDRAFT</x:v>
      </x:c>
      <x:c r="C240" t="str">
        <x:v>KTO001</x:v>
      </x:c>
      <x:c r="D240" t="str">
        <x:v>16-05-2026_Umsatzliste_Girokonto_DE98120300001061711675.csv</x:v>
      </x:c>
      <x:c r="E240" t="n">
        <x:v>46163</x:v>
      </x:c>
      <x:c r="F240" t="n">
        <x:v>223</x:v>
      </x:c>
      <x:c r="G240" t="str">
        <x:v>ce04716835e82ebfedfb0f5129c8856cc59a4024e8cc8cd5115b61138a2a2634</x:v>
      </x:c>
      <x:c r="H240" t="str">
        <x:v>neu</x:v>
      </x:c>
      <x:c r="I240" t="str">
        <x:v>ok</x:v>
      </x:c>
      <x:c r="J240"/>
      <x:c r="K240" t="n">
        <x:v>46090</x:v>
      </x:c>
      <x:c r="L240" t="n">
        <x:v>46090</x:v>
      </x:c>
      <x:c r="M240" t="str">
        <x:v>Gebucht</x:v>
      </x:c>
      <x:c r="N240" t="str">
        <x:v>ISSUER</x:v>
      </x:c>
      <x:c r="O240" t="str">
        <x:v>SANDERS.BACKSTUBE.GMBH/LENGEDE</x:v>
      </x:c>
      <x:c r="P240" t="str">
        <x:v>VISA Debitkartenumsatz vom 08.03.2026</x:v>
      </x:c>
      <x:c r="Q240" t="str">
        <x:v>Ausgang</x:v>
      </x:c>
      <x:c r="R240" t="str">
        <x:v>DE96120300009005290904</x:v>
      </x:c>
      <x:c r="S240" t="n">
        <x:v>-15.27</x:v>
      </x:c>
      <x:c r="T240" t="str">
        <x:v>"</x:v>
      </x:c>
      <x:c r="U240" t="str">
        <x:v>"</x:v>
      </x:c>
      <x:c r="V240" t="str">
        <x:v>486067332703256</x:v>
      </x:c>
    </x:row>
    <x:row r="241">
      <x:c r="A241" t="str">
        <x:v>RAW-IMP-20260516-FULLDRAFT-000224</x:v>
      </x:c>
      <x:c r="B241" t="str">
        <x:v>IMP-20260516-FULLDRAFT</x:v>
      </x:c>
      <x:c r="C241" t="str">
        <x:v>KTO001</x:v>
      </x:c>
      <x:c r="D241" t="str">
        <x:v>16-05-2026_Umsatzliste_Girokonto_DE98120300001061711675.csv</x:v>
      </x:c>
      <x:c r="E241" t="n">
        <x:v>46163</x:v>
      </x:c>
      <x:c r="F241" t="n">
        <x:v>224</x:v>
      </x:c>
      <x:c r="G241" t="str">
        <x:v>600d6e70bc40bc68a491890f45c1439ff941e3ba74d783c11a31c8c3edd01329</x:v>
      </x:c>
      <x:c r="H241" t="str">
        <x:v>neu</x:v>
      </x:c>
      <x:c r="I241" t="str">
        <x:v>ok</x:v>
      </x:c>
      <x:c r="J241"/>
      <x:c r="K241" t="n">
        <x:v>46090</x:v>
      </x:c>
      <x:c r="L241" t="n">
        <x:v>46090</x:v>
      </x:c>
      <x:c r="M241" t="str">
        <x:v>Gebucht</x:v>
      </x:c>
      <x:c r="N241" t="str">
        <x:v>ISSUER</x:v>
      </x:c>
      <x:c r="O241" t="str">
        <x:v>LOEWENBAECKER.SCHAPER/SALZGITTER</x:v>
      </x:c>
      <x:c r="P241" t="str">
        <x:v>VISA Debitkartenumsatz vom 07.03.2026</x:v>
      </x:c>
      <x:c r="Q241" t="str">
        <x:v>Ausgang</x:v>
      </x:c>
      <x:c r="R241" t="str">
        <x:v>DE96120300009005290904</x:v>
      </x:c>
      <x:c r="S241" t="n">
        <x:v>-5.4</x:v>
      </x:c>
      <x:c r="T241" t="str">
        <x:v>"</x:v>
      </x:c>
      <x:c r="U241" t="str">
        <x:v>"</x:v>
      </x:c>
      <x:c r="V241" t="str">
        <x:v>486066260935200</x:v>
      </x:c>
    </x:row>
    <x:row r="242">
      <x:c r="A242" t="str">
        <x:v>RAW-IMP-20260516-FULLDRAFT-000225</x:v>
      </x:c>
      <x:c r="B242" t="str">
        <x:v>IMP-20260516-FULLDRAFT</x:v>
      </x:c>
      <x:c r="C242" t="str">
        <x:v>KTO001</x:v>
      </x:c>
      <x:c r="D242" t="str">
        <x:v>16-05-2026_Umsatzliste_Girokonto_DE98120300001061711675.csv</x:v>
      </x:c>
      <x:c r="E242" t="n">
        <x:v>46163</x:v>
      </x:c>
      <x:c r="F242" t="n">
        <x:v>225</x:v>
      </x:c>
      <x:c r="G242" t="str">
        <x:v>3de58a6033980307b9ca49ea63b80e5edfc536d05159f8fb3c86ad6db8fe8ad5</x:v>
      </x:c>
      <x:c r="H242" t="str">
        <x:v>neu</x:v>
      </x:c>
      <x:c r="I242" t="str">
        <x:v>ok</x:v>
      </x:c>
      <x:c r="J242"/>
      <x:c r="K242" t="n">
        <x:v>46090</x:v>
      </x:c>
      <x:c r="L242" t="n">
        <x:v>46090</x:v>
      </x:c>
      <x:c r="M242" t="str">
        <x:v>Gebucht</x:v>
      </x:c>
      <x:c r="N242" t="str">
        <x:v>ISSUER</x:v>
      </x:c>
      <x:c r="O242" t="str">
        <x:v>PAYPAL..VRB/1743473445</x:v>
      </x:c>
      <x:c r="P242" t="str">
        <x:v>VISA Debitkartenumsatz vom 05.03.2026</x:v>
      </x:c>
      <x:c r="Q242" t="str">
        <x:v>Ausgang</x:v>
      </x:c>
      <x:c r="R242" t="str">
        <x:v>DE96120300009005290904</x:v>
      </x:c>
      <x:c r="S242" t="n">
        <x:v>-30</x:v>
      </x:c>
      <x:c r="T242" t="str">
        <x:v>"</x:v>
      </x:c>
      <x:c r="U242" t="str">
        <x:v>"</x:v>
      </x:c>
      <x:c r="V242" t="str">
        <x:v>346065260286893</x:v>
      </x:c>
    </x:row>
    <x:row r="243">
      <x:c r="A243" t="str">
        <x:v>RAW-IMP-20260516-FULLDRAFT-000226</x:v>
      </x:c>
      <x:c r="B243" t="str">
        <x:v>IMP-20260516-FULLDRAFT</x:v>
      </x:c>
      <x:c r="C243" t="str">
        <x:v>KTO001</x:v>
      </x:c>
      <x:c r="D243" t="str">
        <x:v>16-05-2026_Umsatzliste_Girokonto_DE98120300001061711675.csv</x:v>
      </x:c>
      <x:c r="E243" t="n">
        <x:v>46163</x:v>
      </x:c>
      <x:c r="F243" t="n">
        <x:v>226</x:v>
      </x:c>
      <x:c r="G243" t="str">
        <x:v>c64c7b9b02c15beae9e99892dd227cc44bfe5115fce8f7d14ac5200211181ebe</x:v>
      </x:c>
      <x:c r="H243" t="str">
        <x:v>neu</x:v>
      </x:c>
      <x:c r="I243" t="str">
        <x:v>ok</x:v>
      </x:c>
      <x:c r="J243"/>
      <x:c r="K243" t="n">
        <x:v>46090</x:v>
      </x:c>
      <x:c r="L243" t="n">
        <x:v>46090</x:v>
      </x:c>
      <x:c r="M243" t="str">
        <x:v>Gebucht</x:v>
      </x:c>
      <x:c r="N243" t="str">
        <x:v>ISSUER</x:v>
      </x:c>
      <x:c r="O243" t="str">
        <x:v>REWE.Salzgitter.Ge/Salzgitter</x:v>
      </x:c>
      <x:c r="P243" t="str">
        <x:v>VISA Debitkartenumsatz vom 06.03.2026</x:v>
      </x:c>
      <x:c r="Q243" t="str">
        <x:v>Ausgang</x:v>
      </x:c>
      <x:c r="R243" t="str">
        <x:v>DE96120300009005290904</x:v>
      </x:c>
      <x:c r="S243" t="n">
        <x:v>-17.79</x:v>
      </x:c>
      <x:c r="T243" t="str">
        <x:v>"</x:v>
      </x:c>
      <x:c r="U243" t="str">
        <x:v>"</x:v>
      </x:c>
      <x:c r="V243" t="str">
        <x:v>486065663300574</x:v>
      </x:c>
    </x:row>
    <x:row r="244">
      <x:c r="A244" t="str">
        <x:v>RAW-IMP-20260516-FULLDRAFT-000227</x:v>
      </x:c>
      <x:c r="B244" t="str">
        <x:v>IMP-20260516-FULLDRAFT</x:v>
      </x:c>
      <x:c r="C244" t="str">
        <x:v>KTO001</x:v>
      </x:c>
      <x:c r="D244" t="str">
        <x:v>16-05-2026_Umsatzliste_Girokonto_DE98120300001061711675.csv</x:v>
      </x:c>
      <x:c r="E244" t="n">
        <x:v>46163</x:v>
      </x:c>
      <x:c r="F244" t="n">
        <x:v>227</x:v>
      </x:c>
      <x:c r="G244" t="str">
        <x:v>6c7d109e78d639620393142794f911c1abf20455a4912eec895e87c2c274c9be</x:v>
      </x:c>
      <x:c r="H244" t="str">
        <x:v>neu</x:v>
      </x:c>
      <x:c r="I244" t="str">
        <x:v>ok</x:v>
      </x:c>
      <x:c r="J244"/>
      <x:c r="K244" t="n">
        <x:v>46090</x:v>
      </x:c>
      <x:c r="L244" t="n">
        <x:v>46090</x:v>
      </x:c>
      <x:c r="M244" t="str">
        <x:v>Gebucht</x:v>
      </x:c>
      <x:c r="N244" t="str">
        <x:v>ISSUER</x:v>
      </x:c>
      <x:c r="O244" t="str">
        <x:v>REWE.Salzgitter.Ge/Salzgitter</x:v>
      </x:c>
      <x:c r="P244" t="str">
        <x:v>VISA Debitkartenumsatz vom 07.03.2026</x:v>
      </x:c>
      <x:c r="Q244" t="str">
        <x:v>Ausgang</x:v>
      </x:c>
      <x:c r="R244" t="str">
        <x:v>DE96120300009005290904</x:v>
      </x:c>
      <x:c r="S244" t="n">
        <x:v>-92.36</x:v>
      </x:c>
      <x:c r="T244" t="str">
        <x:v>"</x:v>
      </x:c>
      <x:c r="U244" t="str">
        <x:v>"</x:v>
      </x:c>
      <x:c r="V244" t="str">
        <x:v>486066354098931</x:v>
      </x:c>
    </x:row>
    <x:row r="245">
      <x:c r="A245" t="str">
        <x:v>RAW-IMP-20260516-FULLDRAFT-000228</x:v>
      </x:c>
      <x:c r="B245" t="str">
        <x:v>IMP-20260516-FULLDRAFT</x:v>
      </x:c>
      <x:c r="C245" t="str">
        <x:v>KTO001</x:v>
      </x:c>
      <x:c r="D245" t="str">
        <x:v>16-05-2026_Umsatzliste_Girokonto_DE98120300001061711675.csv</x:v>
      </x:c>
      <x:c r="E245" t="n">
        <x:v>46163</x:v>
      </x:c>
      <x:c r="F245" t="n">
        <x:v>228</x:v>
      </x:c>
      <x:c r="G245" t="str">
        <x:v>6b5f849fc8d733d24d363f6e37b33eb996632768d307e94a842a8896cf4faa6d</x:v>
      </x:c>
      <x:c r="H245" t="str">
        <x:v>neu</x:v>
      </x:c>
      <x:c r="I245" t="str">
        <x:v>ok</x:v>
      </x:c>
      <x:c r="J245"/>
      <x:c r="K245" t="n">
        <x:v>46090</x:v>
      </x:c>
      <x:c r="L245" t="n">
        <x:v>46090</x:v>
      </x:c>
      <x:c r="M245" t="str">
        <x:v>Gebucht</x:v>
      </x:c>
      <x:c r="N245" t="str">
        <x:v>ISSUER</x:v>
      </x:c>
      <x:c r="O245" t="str">
        <x:v>PH.GRUENER.LOEWE/BRAUNDSCHWEIG</x:v>
      </x:c>
      <x:c r="P245" t="str">
        <x:v>VISA Debitkartenumsatz vom 06.03.2026</x:v>
      </x:c>
      <x:c r="Q245" t="str">
        <x:v>Ausgang</x:v>
      </x:c>
      <x:c r="R245" t="str">
        <x:v>DE96120300009005290904</x:v>
      </x:c>
      <x:c r="S245" t="n">
        <x:v>-7.5</x:v>
      </x:c>
      <x:c r="T245" t="str">
        <x:v>"</x:v>
      </x:c>
      <x:c r="U245" t="str">
        <x:v>"</x:v>
      </x:c>
      <x:c r="V245" t="str">
        <x:v>486065546643682</x:v>
      </x:c>
    </x:row>
    <x:row r="246">
      <x:c r="A246" t="str">
        <x:v>RAW-IMP-20260516-FULLDRAFT-000229</x:v>
      </x:c>
      <x:c r="B246" t="str">
        <x:v>IMP-20260516-FULLDRAFT</x:v>
      </x:c>
      <x:c r="C246" t="str">
        <x:v>KTO001</x:v>
      </x:c>
      <x:c r="D246" t="str">
        <x:v>16-05-2026_Umsatzliste_Girokonto_DE98120300001061711675.csv</x:v>
      </x:c>
      <x:c r="E246" t="n">
        <x:v>46163</x:v>
      </x:c>
      <x:c r="F246" t="n">
        <x:v>229</x:v>
      </x:c>
      <x:c r="G246" t="str">
        <x:v>cf8c7e2181c09bf2fc150d4d229ae3f9598a03c9ae6cba7aef5d81b7ab340bbc</x:v>
      </x:c>
      <x:c r="H246" t="str">
        <x:v>neu</x:v>
      </x:c>
      <x:c r="I246" t="str">
        <x:v>ok</x:v>
      </x:c>
      <x:c r="J246"/>
      <x:c r="K246" t="n">
        <x:v>46090</x:v>
      </x:c>
      <x:c r="L246" t="n">
        <x:v>46088</x:v>
      </x:c>
      <x:c r="M246" t="str">
        <x:v>Gebucht</x:v>
      </x:c>
      <x:c r="N246" t="str">
        <x:v>Lars Kohlenberg</x:v>
      </x:c>
      <x:c r="O246" t="str">
        <x:v>Lars Kohlenberg</x:v>
      </x:c>
      <x:c r="P246" t="str">
        <x:v>Übertrag</x:v>
      </x:c>
      <x:c r="Q246" t="str">
        <x:v>Ausgang</x:v>
      </x:c>
      <x:c r="R246" t="str">
        <x:v>DE91270200001510365800</x:v>
      </x:c>
      <x:c r="S246" t="n">
        <x:v>-1000</x:v>
      </x:c>
      <x:c r="T246" t="str">
        <x:v>"</x:v>
      </x:c>
      <x:c r="U246" t="str">
        <x:v>"</x:v>
      </x:c>
      <x:c r="V246" t="str">
        <x:v>"</x:v>
      </x:c>
    </x:row>
    <x:row r="247">
      <x:c r="A247" t="str">
        <x:v>RAW-IMP-20260516-FULLDRAFT-000230</x:v>
      </x:c>
      <x:c r="B247" t="str">
        <x:v>IMP-20260516-FULLDRAFT</x:v>
      </x:c>
      <x:c r="C247" t="str">
        <x:v>KTO001</x:v>
      </x:c>
      <x:c r="D247" t="str">
        <x:v>16-05-2026_Umsatzliste_Girokonto_DE98120300001061711675.csv</x:v>
      </x:c>
      <x:c r="E247" t="n">
        <x:v>46163</x:v>
      </x:c>
      <x:c r="F247" t="n">
        <x:v>230</x:v>
      </x:c>
      <x:c r="G247" t="str">
        <x:v>f6596b9a54dbb85074ee3dae75ffb275403c464f1a6090ce00a729b1f6a69181</x:v>
      </x:c>
      <x:c r="H247" t="str">
        <x:v>neu</x:v>
      </x:c>
      <x:c r="I247" t="str">
        <x:v>ok</x:v>
      </x:c>
      <x:c r="J247"/>
      <x:c r="K247" t="n">
        <x:v>46087</x:v>
      </x:c>
      <x:c r="L247" t="n">
        <x:v>46087</x:v>
      </x:c>
      <x:c r="M247" t="str">
        <x:v>Gebucht</x:v>
      </x:c>
      <x:c r="N247" t="str">
        <x:v>ISSUER</x:v>
      </x:c>
      <x:c r="O247" t="str">
        <x:v>EDEKA.POTRATZ/HILDESHEIM</x:v>
      </x:c>
      <x:c r="P247" t="str">
        <x:v>VISA Debitkartenumsatz vom 05.03.2026</x:v>
      </x:c>
      <x:c r="Q247" t="str">
        <x:v>Ausgang</x:v>
      </x:c>
      <x:c r="R247" t="str">
        <x:v>DE96120300009005290904</x:v>
      </x:c>
      <x:c r="S247" t="n">
        <x:v>-1.55</x:v>
      </x:c>
      <x:c r="T247" t="str">
        <x:v>"</x:v>
      </x:c>
      <x:c r="U247" t="str">
        <x:v>"</x:v>
      </x:c>
      <x:c r="V247" t="str">
        <x:v>486064417168575</x:v>
      </x:c>
    </x:row>
    <x:row r="248">
      <x:c r="A248" t="str">
        <x:v>RAW-IMP-20260516-FULLDRAFT-000231</x:v>
      </x:c>
      <x:c r="B248" t="str">
        <x:v>IMP-20260516-FULLDRAFT</x:v>
      </x:c>
      <x:c r="C248" t="str">
        <x:v>KTO001</x:v>
      </x:c>
      <x:c r="D248" t="str">
        <x:v>16-05-2026_Umsatzliste_Girokonto_DE98120300001061711675.csv</x:v>
      </x:c>
      <x:c r="E248" t="n">
        <x:v>46163</x:v>
      </x:c>
      <x:c r="F248" t="n">
        <x:v>231</x:v>
      </x:c>
      <x:c r="G248" t="str">
        <x:v>8c0f14522a94cd9d0ff829aea0c06261b9810671b5439f76ff3541d16f79049e</x:v>
      </x:c>
      <x:c r="H248" t="str">
        <x:v>neu</x:v>
      </x:c>
      <x:c r="I248" t="str">
        <x:v>ok</x:v>
      </x:c>
      <x:c r="J248"/>
      <x:c r="K248" t="n">
        <x:v>46087</x:v>
      </x:c>
      <x:c r="L248" t="n">
        <x:v>46087</x:v>
      </x:c>
      <x:c r="M248" t="str">
        <x:v>Gebucht</x:v>
      </x:c>
      <x:c r="N248" t="str">
        <x:v>ISSUER</x:v>
      </x:c>
      <x:c r="O248" t="str">
        <x:v>EDEKA.POTRATZ/HILDESHEIM</x:v>
      </x:c>
      <x:c r="P248" t="str">
        <x:v>VISA Debitkartenumsatz vom 05.03.2026</x:v>
      </x:c>
      <x:c r="Q248" t="str">
        <x:v>Ausgang</x:v>
      </x:c>
      <x:c r="R248" t="str">
        <x:v>DE96120300009005290904</x:v>
      </x:c>
      <x:c r="S248" t="n">
        <x:v>-3.79</x:v>
      </x:c>
      <x:c r="T248" t="str">
        <x:v>"</x:v>
      </x:c>
      <x:c r="U248" t="str">
        <x:v>"</x:v>
      </x:c>
      <x:c r="V248" t="str">
        <x:v>486064416213356</x:v>
      </x:c>
    </x:row>
    <x:row r="249">
      <x:c r="A249" t="str">
        <x:v>RAW-IMP-20260516-FULLDRAFT-000232</x:v>
      </x:c>
      <x:c r="B249" t="str">
        <x:v>IMP-20260516-FULLDRAFT</x:v>
      </x:c>
      <x:c r="C249" t="str">
        <x:v>KTO001</x:v>
      </x:c>
      <x:c r="D249" t="str">
        <x:v>16-05-2026_Umsatzliste_Girokonto_DE98120300001061711675.csv</x:v>
      </x:c>
      <x:c r="E249" t="n">
        <x:v>46163</x:v>
      </x:c>
      <x:c r="F249" t="n">
        <x:v>232</x:v>
      </x:c>
      <x:c r="G249" t="str">
        <x:v>b15960871c8bf998ffbcff70830868a65f65ae39c5915c0d0464812b5f4268aa</x:v>
      </x:c>
      <x:c r="H249" t="str">
        <x:v>neu</x:v>
      </x:c>
      <x:c r="I249" t="str">
        <x:v>ok</x:v>
      </x:c>
      <x:c r="J249"/>
      <x:c r="K249" t="n">
        <x:v>46086</x:v>
      </x:c>
      <x:c r="L249" t="n">
        <x:v>46086</x:v>
      </x:c>
      <x:c r="M249" t="str">
        <x:v>Gebucht</x:v>
      </x:c>
      <x:c r="N249" t="str">
        <x:v>WEVG Salzgitter GmbH + Co. KG</x:v>
      </x:c>
      <x:c r="O249" t="str">
        <x:v>Kohlenberg, Katrin</x:v>
      </x:c>
      <x:c r="P249" t="str">
        <x:v>Kd-Nr 79288 Ausz 04.03.26 41710/-166.92/Johannes-Wosn</x:v>
      </x:c>
      <x:c r="Q249" t="str">
        <x:v>Eingang</x:v>
      </x:c>
      <x:c r="R249" t="str">
        <x:v>DE19300700100394127500</x:v>
      </x:c>
      <x:c r="S249" t="n">
        <x:v>166.92</x:v>
      </x:c>
      <x:c r="T249" t="str">
        <x:v>"</x:v>
      </x:c>
      <x:c r="U249" t="str">
        <x:v>"</x:v>
      </x:c>
      <x:c r="V249" t="str">
        <x:v>14231780</x:v>
      </x:c>
    </x:row>
    <x:row r="250">
      <x:c r="A250" t="str">
        <x:v>RAW-IMP-20260516-FULLDRAFT-000233</x:v>
      </x:c>
      <x:c r="B250" t="str">
        <x:v>IMP-20260516-FULLDRAFT</x:v>
      </x:c>
      <x:c r="C250" t="str">
        <x:v>KTO001</x:v>
      </x:c>
      <x:c r="D250" t="str">
        <x:v>16-05-2026_Umsatzliste_Girokonto_DE98120300001061711675.csv</x:v>
      </x:c>
      <x:c r="E250" t="n">
        <x:v>46163</x:v>
      </x:c>
      <x:c r="F250" t="n">
        <x:v>233</x:v>
      </x:c>
      <x:c r="G250" t="str">
        <x:v>43482334db5f0a73930683586e9a45baa57bd73238423769a4da9b1dc9933770</x:v>
      </x:c>
      <x:c r="H250" t="str">
        <x:v>neu</x:v>
      </x:c>
      <x:c r="I250" t="str">
        <x:v>ok</x:v>
      </x:c>
      <x:c r="J250"/>
      <x:c r="K250" t="n">
        <x:v>46086</x:v>
      </x:c>
      <x:c r="L250" t="n">
        <x:v>46086</x:v>
      </x:c>
      <x:c r="M250" t="str">
        <x:v>Gebucht</x:v>
      </x:c>
      <x:c r="N250" t="str">
        <x:v>ISSUER</x:v>
      </x:c>
      <x:c r="O250" t="str">
        <x:v>PAYPAL..SPOTIFY.P3FFF45/35314369001</x:v>
      </x:c>
      <x:c r="P250" t="str">
        <x:v>VISA Debitkartenumsatz vom 04.03.2026</x:v>
      </x:c>
      <x:c r="Q250" t="str">
        <x:v>Ausgang</x:v>
      </x:c>
      <x:c r="R250" t="str">
        <x:v>DE96120300009005290904</x:v>
      </x:c>
      <x:c r="S250" t="n">
        <x:v>-12.99</x:v>
      </x:c>
      <x:c r="T250" t="str">
        <x:v>"</x:v>
      </x:c>
      <x:c r="U250" t="str">
        <x:v>"</x:v>
      </x:c>
      <x:c r="V250" t="str">
        <x:v>356063217295885</x:v>
      </x:c>
    </x:row>
    <x:row r="251">
      <x:c r="A251" t="str">
        <x:v>RAW-IMP-20260516-FULLDRAFT-000234</x:v>
      </x:c>
      <x:c r="B251" t="str">
        <x:v>IMP-20260516-FULLDRAFT</x:v>
      </x:c>
      <x:c r="C251" t="str">
        <x:v>KTO001</x:v>
      </x:c>
      <x:c r="D251" t="str">
        <x:v>16-05-2026_Umsatzliste_Girokonto_DE98120300001061711675.csv</x:v>
      </x:c>
      <x:c r="E251" t="n">
        <x:v>46163</x:v>
      </x:c>
      <x:c r="F251" t="n">
        <x:v>234</x:v>
      </x:c>
      <x:c r="G251" t="str">
        <x:v>510f618adf1cf2187322a60c58b732dc73b45c58b57812c965901f17c8df72b5</x:v>
      </x:c>
      <x:c r="H251" t="str">
        <x:v>neu</x:v>
      </x:c>
      <x:c r="I251" t="str">
        <x:v>ok</x:v>
      </x:c>
      <x:c r="J251"/>
      <x:c r="K251" t="n">
        <x:v>46086</x:v>
      </x:c>
      <x:c r="L251" t="n">
        <x:v>46086</x:v>
      </x:c>
      <x:c r="M251" t="str">
        <x:v>Gebucht</x:v>
      </x:c>
      <x:c r="N251" t="str">
        <x:v>Lars Kohlenberg                                                       Johannes-Wosnitza-Str. 8 38229 Salzgitter</x:v>
      </x:c>
      <x:c r="O251" t="str">
        <x:v>Telekom Deutschland GmbH</x:v>
      </x:c>
      <x:c r="P251" t="str">
        <x:v>Festnetz Vertragskonto 4763666565 RG 7241315061/24.02.2026</x:v>
      </x:c>
      <x:c r="Q251" t="str">
        <x:v>Ausgang</x:v>
      </x:c>
      <x:c r="R251" t="str">
        <x:v>DE07512108001095000911</x:v>
      </x:c>
      <x:c r="S251" t="n">
        <x:v>-65.93</x:v>
      </x:c>
      <x:c r="T251" t="str">
        <x:v>DE93ZZZ00000078611</x:v>
      </x:c>
      <x:c r="U251" t="str">
        <x:v>DE000201000200000000000000012966156</x:v>
      </x:c>
      <x:c r="V251" t="str">
        <x:v>Zahlbeleg 341961188384</x:v>
      </x:c>
    </x:row>
    <x:row r="252">
      <x:c r="A252" t="str">
        <x:v>RAW-IMP-20260516-FULLDRAFT-000235</x:v>
      </x:c>
      <x:c r="B252" t="str">
        <x:v>IMP-20260516-FULLDRAFT</x:v>
      </x:c>
      <x:c r="C252" t="str">
        <x:v>KTO001</x:v>
      </x:c>
      <x:c r="D252" t="str">
        <x:v>16-05-2026_Umsatzliste_Girokonto_DE98120300001061711675.csv</x:v>
      </x:c>
      <x:c r="E252" t="n">
        <x:v>46163</x:v>
      </x:c>
      <x:c r="F252" t="n">
        <x:v>235</x:v>
      </x:c>
      <x:c r="G252" t="str">
        <x:v>853791aeb8df1896801918d3b84adc1315cac8b6ac49fccb008e950f4c982007</x:v>
      </x:c>
      <x:c r="H252" t="str">
        <x:v>neu</x:v>
      </x:c>
      <x:c r="I252" t="str">
        <x:v>ok</x:v>
      </x:c>
      <x:c r="J252"/>
      <x:c r="K252" t="n">
        <x:v>46085</x:v>
      </x:c>
      <x:c r="L252" t="n">
        <x:v>46085</x:v>
      </x:c>
      <x:c r="M252" t="str">
        <x:v>Gebucht</x:v>
      </x:c>
      <x:c r="N252" t="str">
        <x:v>ISSUER</x:v>
      </x:c>
      <x:c r="O252" t="str">
        <x:v>MCDONALDS.01799/GOSLAR</x:v>
      </x:c>
      <x:c r="P252" t="str">
        <x:v>VISA Debitkartenumsatz vom 03.03.2026</x:v>
      </x:c>
      <x:c r="Q252" t="str">
        <x:v>Ausgang</x:v>
      </x:c>
      <x:c r="R252" t="str">
        <x:v>DE96120300009005290904</x:v>
      </x:c>
      <x:c r="S252" t="n">
        <x:v>-5</x:v>
      </x:c>
      <x:c r="T252" t="str">
        <x:v>"</x:v>
      </x:c>
      <x:c r="U252" t="str">
        <x:v>"</x:v>
      </x:c>
      <x:c r="V252" t="str">
        <x:v>486062478011636</x:v>
      </x:c>
    </x:row>
    <x:row r="253">
      <x:c r="A253" t="str">
        <x:v>RAW-IMP-20260516-FULLDRAFT-000236</x:v>
      </x:c>
      <x:c r="B253" t="str">
        <x:v>IMP-20260516-FULLDRAFT</x:v>
      </x:c>
      <x:c r="C253" t="str">
        <x:v>KTO001</x:v>
      </x:c>
      <x:c r="D253" t="str">
        <x:v>16-05-2026_Umsatzliste_Girokonto_DE98120300001061711675.csv</x:v>
      </x:c>
      <x:c r="E253" t="n">
        <x:v>46163</x:v>
      </x:c>
      <x:c r="F253" t="n">
        <x:v>236</x:v>
      </x:c>
      <x:c r="G253" t="str">
        <x:v>66dc92ed946e756c2eaaa7efe155918447b5a1e66f3d51eb9a83cde8fc927af8</x:v>
      </x:c>
      <x:c r="H253" t="str">
        <x:v>neu</x:v>
      </x:c>
      <x:c r="I253" t="str">
        <x:v>ok</x:v>
      </x:c>
      <x:c r="J253"/>
      <x:c r="K253" t="n">
        <x:v>46084</x:v>
      </x:c>
      <x:c r="L253" t="n">
        <x:v>46084</x:v>
      </x:c>
      <x:c r="M253" t="str">
        <x:v>Gebucht</x:v>
      </x:c>
      <x:c r="N253" t="str">
        <x:v>ISSUER</x:v>
      </x:c>
      <x:c r="O253" t="str">
        <x:v>NP.MARKT.1050/SALZGITTER</x:v>
      </x:c>
      <x:c r="P253" t="str">
        <x:v>VISA Debitkartenumsatz vom 02.03.2026</x:v>
      </x:c>
      <x:c r="Q253" t="str">
        <x:v>Ausgang</x:v>
      </x:c>
      <x:c r="R253" t="str">
        <x:v>DE96120300009005290904</x:v>
      </x:c>
      <x:c r="S253" t="n">
        <x:v>-1.1</x:v>
      </x:c>
      <x:c r="T253" t="str">
        <x:v>"</x:v>
      </x:c>
      <x:c r="U253" t="str">
        <x:v>"</x:v>
      </x:c>
      <x:c r="V253" t="str">
        <x:v>486061623462951</x:v>
      </x:c>
    </x:row>
    <x:row r="254">
      <x:c r="A254" t="str">
        <x:v>RAW-IMP-20260516-FULLDRAFT-000237</x:v>
      </x:c>
      <x:c r="B254" t="str">
        <x:v>IMP-20260516-FULLDRAFT</x:v>
      </x:c>
      <x:c r="C254" t="str">
        <x:v>KTO001</x:v>
      </x:c>
      <x:c r="D254" t="str">
        <x:v>16-05-2026_Umsatzliste_Girokonto_DE98120300001061711675.csv</x:v>
      </x:c>
      <x:c r="E254" t="n">
        <x:v>46163</x:v>
      </x:c>
      <x:c r="F254" t="n">
        <x:v>237</x:v>
      </x:c>
      <x:c r="G254" t="str">
        <x:v>13ba1f8b205def92bb97e00d480288441920ce4839a57c0a96ea26e4abdcf144</x:v>
      </x:c>
      <x:c r="H254" t="str">
        <x:v>neu</x:v>
      </x:c>
      <x:c r="I254" t="str">
        <x:v>ok</x:v>
      </x:c>
      <x:c r="J254"/>
      <x:c r="K254" t="n">
        <x:v>46084</x:v>
      </x:c>
      <x:c r="L254" t="n">
        <x:v>46084</x:v>
      </x:c>
      <x:c r="M254" t="str">
        <x:v>Gebucht</x:v>
      </x:c>
      <x:c r="N254" t="str">
        <x:v>ISSUER</x:v>
      </x:c>
      <x:c r="O254" t="str">
        <x:v>Lidl.sagt.Danke/Salzgitter</x:v>
      </x:c>
      <x:c r="P254" t="str">
        <x:v>VISA Debitkartenumsatz vom 02.03.2026</x:v>
      </x:c>
      <x:c r="Q254" t="str">
        <x:v>Ausgang</x:v>
      </x:c>
      <x:c r="R254" t="str">
        <x:v>DE96120300009005290904</x:v>
      </x:c>
      <x:c r="S254" t="n">
        <x:v>-35.68</x:v>
      </x:c>
      <x:c r="T254" t="str">
        <x:v>"</x:v>
      </x:c>
      <x:c r="U254" t="str">
        <x:v>"</x:v>
      </x:c>
      <x:c r="V254" t="str">
        <x:v>486061635842101</x:v>
      </x:c>
    </x:row>
    <x:row r="255">
      <x:c r="A255" t="str">
        <x:v>RAW-IMP-20260516-FULLDRAFT-000238</x:v>
      </x:c>
      <x:c r="B255" t="str">
        <x:v>IMP-20260516-FULLDRAFT</x:v>
      </x:c>
      <x:c r="C255" t="str">
        <x:v>KTO001</x:v>
      </x:c>
      <x:c r="D255" t="str">
        <x:v>16-05-2026_Umsatzliste_Girokonto_DE98120300001061711675.csv</x:v>
      </x:c>
      <x:c r="E255" t="n">
        <x:v>46163</x:v>
      </x:c>
      <x:c r="F255" t="n">
        <x:v>238</x:v>
      </x:c>
      <x:c r="G255" t="str">
        <x:v>371fa5b2a13fd3e9058498193818382eb5b5553106c28913c5e187533ac80617</x:v>
      </x:c>
      <x:c r="H255" t="str">
        <x:v>neu</x:v>
      </x:c>
      <x:c r="I255" t="str">
        <x:v>ok</x:v>
      </x:c>
      <x:c r="J255"/>
      <x:c r="K255" t="n">
        <x:v>46084</x:v>
      </x:c>
      <x:c r="L255" t="n">
        <x:v>46084</x:v>
      </x:c>
      <x:c r="M255" t="str">
        <x:v>Gebucht</x:v>
      </x:c>
      <x:c r="N255" t="str">
        <x:v>Lars Kohlenberg</x:v>
      </x:c>
      <x:c r="O255" t="str">
        <x:v>VHV Allg. Versicherung AG</x:v>
      </x:c>
      <x:c r="P255" t="str">
        <x:v>VHV Versicherung UNFALLVERSICHERUNG U 013-072445/0000 Abrechnung: 01.03.26 - 01.04.26</x:v>
      </x:c>
      <x:c r="Q255" t="str">
        <x:v>Ausgang</x:v>
      </x:c>
      <x:c r="R255" t="str">
        <x:v>DE65250500000101411551</x:v>
      </x:c>
      <x:c r="S255" t="n">
        <x:v>-11.96</x:v>
      </x:c>
      <x:c r="T255" t="str">
        <x:v>DE32VHV00000150810</x:v>
      </x:c>
      <x:c r="U255" t="str">
        <x:v>0015012300010039</x:v>
      </x:c>
      <x:c r="V255" t="str">
        <x:v>31424198265</x:v>
      </x:c>
    </x:row>
    <x:row r="256">
      <x:c r="A256" t="str">
        <x:v>RAW-IMP-20260516-FULLDRAFT-000239</x:v>
      </x:c>
      <x:c r="B256" t="str">
        <x:v>IMP-20260516-FULLDRAFT</x:v>
      </x:c>
      <x:c r="C256" t="str">
        <x:v>KTO001</x:v>
      </x:c>
      <x:c r="D256" t="str">
        <x:v>16-05-2026_Umsatzliste_Girokonto_DE98120300001061711675.csv</x:v>
      </x:c>
      <x:c r="E256" t="n">
        <x:v>46163</x:v>
      </x:c>
      <x:c r="F256" t="n">
        <x:v>239</x:v>
      </x:c>
      <x:c r="G256" t="str">
        <x:v>2d9a7eff13939106269772eed27660bb9dfeb9ca83d65981856e43cb147ffc85</x:v>
      </x:c>
      <x:c r="H256" t="str">
        <x:v>neu</x:v>
      </x:c>
      <x:c r="I256" t="str">
        <x:v>ok</x:v>
      </x:c>
      <x:c r="J256"/>
      <x:c r="K256" t="n">
        <x:v>46084</x:v>
      </x:c>
      <x:c r="L256" t="n">
        <x:v>46084</x:v>
      </x:c>
      <x:c r="M256" t="str">
        <x:v>Gebucht</x:v>
      </x:c>
      <x:c r="N256" t="str">
        <x:v>KOHLENBERG, LARS</x:v>
      </x:c>
      <x:c r="O256" t="str">
        <x:v>VPV-LEBENSVERSICHERUNGS-AG</x:v>
      </x:c>
      <x:c r="P256" t="str">
        <x:v>VNR 301667726</x:v>
      </x:c>
      <x:c r="Q256" t="str">
        <x:v>Ausgang</x:v>
      </x:c>
      <x:c r="R256" t="str">
        <x:v>DE78600501010001166338</x:v>
      </x:c>
      <x:c r="S256" t="n">
        <x:v>-56.83</x:v>
      </x:c>
      <x:c r="T256" t="str">
        <x:v>DE96LAG00000064686</x:v>
      </x:c>
      <x:c r="U256" t="str">
        <x:v>ML700120510</x:v>
      </x:c>
      <x:c r="V256" t="str">
        <x:v>260302 469197928 ML700120510</x:v>
      </x:c>
    </x:row>
    <x:row r="257">
      <x:c r="A257" t="str">
        <x:v>RAW-IMP-20260516-FULLDRAFT-000240</x:v>
      </x:c>
      <x:c r="B257" t="str">
        <x:v>IMP-20260516-FULLDRAFT</x:v>
      </x:c>
      <x:c r="C257" t="str">
        <x:v>KTO001</x:v>
      </x:c>
      <x:c r="D257" t="str">
        <x:v>16-05-2026_Umsatzliste_Girokonto_DE98120300001061711675.csv</x:v>
      </x:c>
      <x:c r="E257" t="n">
        <x:v>46163</x:v>
      </x:c>
      <x:c r="F257" t="n">
        <x:v>240</x:v>
      </x:c>
      <x:c r="G257" t="str">
        <x:v>c2107571bff78b5bc90496063d091a682c2998d577ad60824e08e5b8c88e3286</x:v>
      </x:c>
      <x:c r="H257" t="str">
        <x:v>neu</x:v>
      </x:c>
      <x:c r="I257" t="str">
        <x:v>ok</x:v>
      </x:c>
      <x:c r="J257"/>
      <x:c r="K257" t="n">
        <x:v>46084</x:v>
      </x:c>
      <x:c r="L257" t="n">
        <x:v>46084</x:v>
      </x:c>
      <x:c r="M257" t="str">
        <x:v>Gebucht</x:v>
      </x:c>
      <x:c r="N257" t="str">
        <x:v>Lars Kohlenberg                                                       Johannes-Wosnitza-Str. 8,38229 Salzgitter</x:v>
      </x:c>
      <x:c r="O257" t="str">
        <x:v>1+1 Mail + Media GmbH                                                 Elgendorfer Str. 57, 56410 Montabaur</x:v>
      </x:c>
      <x:c r="P257" t="str">
        <x:v>KD-Nr. K7440512/ RG-Nr. 201543879325</x:v>
      </x:c>
      <x:c r="Q257" t="str">
        <x:v>Ausgang</x:v>
      </x:c>
      <x:c r="R257" t="str">
        <x:v>DE76700800000881679702</x:v>
      </x:c>
      <x:c r="S257" t="n">
        <x:v>-8.99</x:v>
      </x:c>
      <x:c r="T257" t="str">
        <x:v>DE07ZZZ00000569718</x:v>
      </x:c>
      <x:c r="U257" t="str">
        <x:v>0090001393062</x:v>
      </x:c>
      <x:c r="V257" t="str">
        <x:v>005887867896</x:v>
      </x:c>
    </x:row>
    <x:row r="258">
      <x:c r="A258" t="str">
        <x:v>RAW-IMP-20260516-FULLDRAFT-000241</x:v>
      </x:c>
      <x:c r="B258" t="str">
        <x:v>IMP-20260516-FULLDRAFT</x:v>
      </x:c>
      <x:c r="C258" t="str">
        <x:v>KTO001</x:v>
      </x:c>
      <x:c r="D258" t="str">
        <x:v>16-05-2026_Umsatzliste_Girokonto_DE98120300001061711675.csv</x:v>
      </x:c>
      <x:c r="E258" t="n">
        <x:v>46163</x:v>
      </x:c>
      <x:c r="F258" t="n">
        <x:v>241</x:v>
      </x:c>
      <x:c r="G258" t="str">
        <x:v>8c306623ae2d4353bd395a4cf774f6d68ee5cfd5dd4dbf7379853c4f347b8588</x:v>
      </x:c>
      <x:c r="H258" t="str">
        <x:v>neu</x:v>
      </x:c>
      <x:c r="I258" t="str">
        <x:v>ok</x:v>
      </x:c>
      <x:c r="J258"/>
      <x:c r="K258" t="n">
        <x:v>46084</x:v>
      </x:c>
      <x:c r="L258" t="n">
        <x:v>46084</x:v>
      </x:c>
      <x:c r="M258" t="str">
        <x:v>Gebucht</x:v>
      </x:c>
      <x:c r="N258" t="str">
        <x:v>Lars Kohlenberg                                                       Johannes-Wosnitza-Str. 8</x:v>
      </x:c>
      <x:c r="O258" t="str">
        <x:v>FUNKE Medien Nieders.GmbH</x:v>
      </x:c>
      <x:c r="P258" t="str">
        <x:v>SZ/00001050/VA/01.03.26-31.03.26/Rg-Nr.:6316977084/Kd-Nr:0053112791</x:v>
      </x:c>
      <x:c r="Q258" t="str">
        <x:v>Ausgang</x:v>
      </x:c>
      <x:c r="R258" t="str">
        <x:v>DE67250500000000146910</x:v>
      </x:c>
      <x:c r="S258" t="n">
        <x:v>-60.5</x:v>
      </x:c>
      <x:c r="T258" t="str">
        <x:v>DE8850000000483288</x:v>
      </x:c>
      <x:c r="U258" t="str">
        <x:v>0053112791-0500-01300001</x:v>
      </x:c>
      <x:c r="V258" t="str">
        <x:v>033007461562</x:v>
      </x:c>
    </x:row>
    <x:row r="259">
      <x:c r="A259" t="str">
        <x:v>RAW-IMP-20260516-FULLDRAFT-000242</x:v>
      </x:c>
      <x:c r="B259" t="str">
        <x:v>IMP-20260516-FULLDRAFT</x:v>
      </x:c>
      <x:c r="C259" t="str">
        <x:v>KTO001</x:v>
      </x:c>
      <x:c r="D259" t="str">
        <x:v>16-05-2026_Umsatzliste_Girokonto_DE98120300001061711675.csv</x:v>
      </x:c>
      <x:c r="E259" t="n">
        <x:v>46163</x:v>
      </x:c>
      <x:c r="F259" t="n">
        <x:v>242</x:v>
      </x:c>
      <x:c r="G259" t="str">
        <x:v>6c00527559437d68248fa811a497ca51c36843eef0ac0bb2207ada34a0d12534</x:v>
      </x:c>
      <x:c r="H259" t="str">
        <x:v>neu</x:v>
      </x:c>
      <x:c r="I259" t="str">
        <x:v>ok</x:v>
      </x:c>
      <x:c r="J259"/>
      <x:c r="K259" t="n">
        <x:v>46083</x:v>
      </x:c>
      <x:c r="L259" t="n">
        <x:v>46083</x:v>
      </x:c>
      <x:c r="M259" t="str">
        <x:v>Gebucht</x:v>
      </x:c>
      <x:c r="N259" t="str">
        <x:v>WILLI KOHLENBERG</x:v>
      </x:c>
      <x:c r="O259" t="str">
        <x:v>LARS KOHLENBERG</x:v>
      </x:c>
      <x:c r="P259" t="str">
        <x:v>MIETE 2/3 HAUS</x:v>
      </x:c>
      <x:c r="Q259" t="str">
        <x:v>Eingang</x:v>
      </x:c>
      <x:c r="R259" t="str">
        <x:v>DE84270800600651520400</x:v>
      </x:c>
      <x:c r="S259" t="n">
        <x:v>750</x:v>
      </x:c>
      <x:c r="T259" t="str">
        <x:v>"</x:v>
      </x:c>
      <x:c r="U259" t="str">
        <x:v>"</x:v>
      </x:c>
      <x:c r="V259" t="str">
        <x:v>"</x:v>
      </x:c>
    </x:row>
    <x:row r="260">
      <x:c r="A260" t="str">
        <x:v>RAW-IMP-20260516-FULLDRAFT-000243</x:v>
      </x:c>
      <x:c r="B260" t="str">
        <x:v>IMP-20260516-FULLDRAFT</x:v>
      </x:c>
      <x:c r="C260" t="str">
        <x:v>KTO001</x:v>
      </x:c>
      <x:c r="D260" t="str">
        <x:v>16-05-2026_Umsatzliste_Girokonto_DE98120300001061711675.csv</x:v>
      </x:c>
      <x:c r="E260" t="n">
        <x:v>46163</x:v>
      </x:c>
      <x:c r="F260" t="n">
        <x:v>243</x:v>
      </x:c>
      <x:c r="G260" t="str">
        <x:v>daed7d4d427ac8aaff9d239f39c8b1db368719cbe9678fca284fa1aaa237f95d</x:v>
      </x:c>
      <x:c r="H260" t="str">
        <x:v>neu</x:v>
      </x:c>
      <x:c r="I260" t="str">
        <x:v>ok</x:v>
      </x:c>
      <x:c r="J260"/>
      <x:c r="K260" t="n">
        <x:v>46083</x:v>
      </x:c>
      <x:c r="L260" t="n">
        <x:v>46083</x:v>
      </x:c>
      <x:c r="M260" t="str">
        <x:v>Gebucht</x:v>
      </x:c>
      <x:c r="N260" t="str">
        <x:v>ISSUER</x:v>
      </x:c>
      <x:c r="O260" t="str">
        <x:v>DM.DROGERIE.SAGT.DANKE/Braunschweig</x:v>
      </x:c>
      <x:c r="P260" t="str">
        <x:v>VISA Debitkartenumsatz vom 28.02.2026</x:v>
      </x:c>
      <x:c r="Q260" t="str">
        <x:v>Ausgang</x:v>
      </x:c>
      <x:c r="R260" t="str">
        <x:v>DE96120300009005290904</x:v>
      </x:c>
      <x:c r="S260" t="n">
        <x:v>-4.7</x:v>
      </x:c>
      <x:c r="T260" t="str">
        <x:v>"</x:v>
      </x:c>
      <x:c r="U260" t="str">
        <x:v>"</x:v>
      </x:c>
      <x:c r="V260" t="str">
        <x:v>486059373321301</x:v>
      </x:c>
    </x:row>
    <x:row r="261">
      <x:c r="A261" t="str">
        <x:v>RAW-IMP-20260516-FULLDRAFT-000244</x:v>
      </x:c>
      <x:c r="B261" t="str">
        <x:v>IMP-20260516-FULLDRAFT</x:v>
      </x:c>
      <x:c r="C261" t="str">
        <x:v>KTO001</x:v>
      </x:c>
      <x:c r="D261" t="str">
        <x:v>16-05-2026_Umsatzliste_Girokonto_DE98120300001061711675.csv</x:v>
      </x:c>
      <x:c r="E261" t="n">
        <x:v>46163</x:v>
      </x:c>
      <x:c r="F261" t="n">
        <x:v>244</x:v>
      </x:c>
      <x:c r="G261" t="str">
        <x:v>d0a2a25ce96e1c7bc11cac6e7c57b1bca3d4efbc0fc130c5bdd6ce51be9f0d79</x:v>
      </x:c>
      <x:c r="H261" t="str">
        <x:v>neu</x:v>
      </x:c>
      <x:c r="I261" t="str">
        <x:v>ok</x:v>
      </x:c>
      <x:c r="J261"/>
      <x:c r="K261" t="n">
        <x:v>46083</x:v>
      </x:c>
      <x:c r="L261" t="n">
        <x:v>46083</x:v>
      </x:c>
      <x:c r="M261" t="str">
        <x:v>Gebucht</x:v>
      </x:c>
      <x:c r="N261" t="str">
        <x:v>ISSUER</x:v>
      </x:c>
      <x:c r="O261" t="str">
        <x:v>Chemnitzer.Strasse.17/SZ.LEBENST</x:v>
      </x:c>
      <x:c r="P261" t="str">
        <x:v>VISA Debitkartenumsatz vom 28.02.2026</x:v>
      </x:c>
      <x:c r="Q261" t="str">
        <x:v>Ausgang</x:v>
      </x:c>
      <x:c r="R261" t="str">
        <x:v>DE96120300009005290904</x:v>
      </x:c>
      <x:c r="S261" t="n">
        <x:v>-500</x:v>
      </x:c>
      <x:c r="T261" t="str">
        <x:v>"</x:v>
      </x:c>
      <x:c r="U261" t="str">
        <x:v>"</x:v>
      </x:c>
      <x:c r="V261" t="str">
        <x:v>486059635989362</x:v>
      </x:c>
    </x:row>
    <x:row r="262">
      <x:c r="A262" t="str">
        <x:v>RAW-IMP-20260516-FULLDRAFT-000245</x:v>
      </x:c>
      <x:c r="B262" t="str">
        <x:v>IMP-20260516-FULLDRAFT</x:v>
      </x:c>
      <x:c r="C262" t="str">
        <x:v>KTO001</x:v>
      </x:c>
      <x:c r="D262" t="str">
        <x:v>16-05-2026_Umsatzliste_Girokonto_DE98120300001061711675.csv</x:v>
      </x:c>
      <x:c r="E262" t="n">
        <x:v>46163</x:v>
      </x:c>
      <x:c r="F262" t="n">
        <x:v>245</x:v>
      </x:c>
      <x:c r="G262" t="str">
        <x:v>7ea4478a0bf7821f3feba6613870a9f531e934f662eca6e97b856fe53db68f02</x:v>
      </x:c>
      <x:c r="H262" t="str">
        <x:v>neu</x:v>
      </x:c>
      <x:c r="I262" t="str">
        <x:v>ok</x:v>
      </x:c>
      <x:c r="J262"/>
      <x:c r="K262" t="n">
        <x:v>46083</x:v>
      </x:c>
      <x:c r="L262" t="n">
        <x:v>46083</x:v>
      </x:c>
      <x:c r="M262" t="str">
        <x:v>Gebucht</x:v>
      </x:c>
      <x:c r="N262" t="str">
        <x:v>ISSUER</x:v>
      </x:c>
      <x:c r="O262" t="str">
        <x:v>PLAY.OFF.BRAUNSCHWEIG/BRAUNSCHWEIG</x:v>
      </x:c>
      <x:c r="P262" t="str">
        <x:v>VISA Debitkartenumsatz vom 28.02.2026</x:v>
      </x:c>
      <x:c r="Q262" t="str">
        <x:v>Ausgang</x:v>
      </x:c>
      <x:c r="R262" t="str">
        <x:v>DE96120300009005290904</x:v>
      </x:c>
      <x:c r="S262" t="n">
        <x:v>-62</x:v>
      </x:c>
      <x:c r="T262" t="str">
        <x:v>"</x:v>
      </x:c>
      <x:c r="U262" t="str">
        <x:v>"</x:v>
      </x:c>
      <x:c r="V262" t="str">
        <x:v>486059441978068</x:v>
      </x:c>
    </x:row>
    <x:row r="263">
      <x:c r="A263" t="str">
        <x:v>RAW-IMP-20260516-FULLDRAFT-000246</x:v>
      </x:c>
      <x:c r="B263" t="str">
        <x:v>IMP-20260516-FULLDRAFT</x:v>
      </x:c>
      <x:c r="C263" t="str">
        <x:v>KTO001</x:v>
      </x:c>
      <x:c r="D263" t="str">
        <x:v>16-05-2026_Umsatzliste_Girokonto_DE98120300001061711675.csv</x:v>
      </x:c>
      <x:c r="E263" t="n">
        <x:v>46163</x:v>
      </x:c>
      <x:c r="F263" t="n">
        <x:v>246</x:v>
      </x:c>
      <x:c r="G263" t="str">
        <x:v>b4c6c461473e86012ceb70aaeb1491516632f7b6b25abce4fb0d24fe8f5dec2e</x:v>
      </x:c>
      <x:c r="H263" t="str">
        <x:v>neu</x:v>
      </x:c>
      <x:c r="I263" t="str">
        <x:v>ok</x:v>
      </x:c>
      <x:c r="J263"/>
      <x:c r="K263" t="n">
        <x:v>46083</x:v>
      </x:c>
      <x:c r="L263" t="n">
        <x:v>46083</x:v>
      </x:c>
      <x:c r="M263" t="str">
        <x:v>Gebucht</x:v>
      </x:c>
      <x:c r="N263" t="str">
        <x:v>ISSUER</x:v>
      </x:c>
      <x:c r="O263" t="str">
        <x:v>NP.MARKT.1088/SALZGITTER</x:v>
      </x:c>
      <x:c r="P263" t="str">
        <x:v>VISA Debitkartenumsatz vom 28.02.2026</x:v>
      </x:c>
      <x:c r="Q263" t="str">
        <x:v>Ausgang</x:v>
      </x:c>
      <x:c r="R263" t="str">
        <x:v>DE96120300009005290904</x:v>
      </x:c>
      <x:c r="S263" t="n">
        <x:v>-2.99</x:v>
      </x:c>
      <x:c r="T263" t="str">
        <x:v>"</x:v>
      </x:c>
      <x:c r="U263" t="str">
        <x:v>"</x:v>
      </x:c>
      <x:c r="V263" t="str">
        <x:v>486059561482308</x:v>
      </x:c>
    </x:row>
    <x:row r="264">
      <x:c r="A264" t="str">
        <x:v>RAW-IMP-20260516-FULLDRAFT-000247</x:v>
      </x:c>
      <x:c r="B264" t="str">
        <x:v>IMP-20260516-FULLDRAFT</x:v>
      </x:c>
      <x:c r="C264" t="str">
        <x:v>KTO001</x:v>
      </x:c>
      <x:c r="D264" t="str">
        <x:v>16-05-2026_Umsatzliste_Girokonto_DE98120300001061711675.csv</x:v>
      </x:c>
      <x:c r="E264" t="n">
        <x:v>46163</x:v>
      </x:c>
      <x:c r="F264" t="n">
        <x:v>247</x:v>
      </x:c>
      <x:c r="G264" t="str">
        <x:v>e808622cfcb9c06b4c017cfd598c204ec65e7fc62724e9981e70ccdb4a166c46</x:v>
      </x:c>
      <x:c r="H264" t="str">
        <x:v>neu</x:v>
      </x:c>
      <x:c r="I264" t="str">
        <x:v>ok</x:v>
      </x:c>
      <x:c r="J264"/>
      <x:c r="K264" t="n">
        <x:v>46083</x:v>
      </x:c>
      <x:c r="L264" t="n">
        <x:v>46083</x:v>
      </x:c>
      <x:c r="M264" t="str">
        <x:v>Gebucht</x:v>
      </x:c>
      <x:c r="N264" t="str">
        <x:v>ISSUER</x:v>
      </x:c>
      <x:c r="O264" t="str">
        <x:v>TG.Eiermarkt/Braunschweig</x:v>
      </x:c>
      <x:c r="P264" t="str">
        <x:v>VISA Debitkartenumsatz vom 28.02.2026</x:v>
      </x:c>
      <x:c r="Q264" t="str">
        <x:v>Ausgang</x:v>
      </x:c>
      <x:c r="R264" t="str">
        <x:v>DE96120300009005290904</x:v>
      </x:c>
      <x:c r="S264" t="n">
        <x:v>-4.2</x:v>
      </x:c>
      <x:c r="T264" t="str">
        <x:v>"</x:v>
      </x:c>
      <x:c r="U264" t="str">
        <x:v>"</x:v>
      </x:c>
      <x:c r="V264" t="str">
        <x:v>486059479576749</x:v>
      </x:c>
    </x:row>
    <x:row r="265">
      <x:c r="A265" t="str">
        <x:v>RAW-IMP-20260516-FULLDRAFT-000248</x:v>
      </x:c>
      <x:c r="B265" t="str">
        <x:v>IMP-20260516-FULLDRAFT</x:v>
      </x:c>
      <x:c r="C265" t="str">
        <x:v>KTO001</x:v>
      </x:c>
      <x:c r="D265" t="str">
        <x:v>16-05-2026_Umsatzliste_Girokonto_DE98120300001061711675.csv</x:v>
      </x:c>
      <x:c r="E265" t="n">
        <x:v>46163</x:v>
      </x:c>
      <x:c r="F265" t="n">
        <x:v>248</x:v>
      </x:c>
      <x:c r="G265" t="str">
        <x:v>f16ef15e5854baed776b5d220059e9f6fc8fde4bdab3254c5c512ef497129698</x:v>
      </x:c>
      <x:c r="H265" t="str">
        <x:v>neu</x:v>
      </x:c>
      <x:c r="I265" t="str">
        <x:v>ok</x:v>
      </x:c>
      <x:c r="J265"/>
      <x:c r="K265" t="n">
        <x:v>46083</x:v>
      </x:c>
      <x:c r="L265" t="n">
        <x:v>46083</x:v>
      </x:c>
      <x:c r="M265" t="str">
        <x:v>Gebucht</x:v>
      </x:c>
      <x:c r="N265" t="str">
        <x:v>ISSUER</x:v>
      </x:c>
      <x:c r="O265" t="str">
        <x:v>LOEWENBAECKER.SCHAPER/SALZGITTER</x:v>
      </x:c>
      <x:c r="P265" t="str">
        <x:v>VISA Debitkartenumsatz vom 28.02.2026</x:v>
      </x:c>
      <x:c r="Q265" t="str">
        <x:v>Ausgang</x:v>
      </x:c>
      <x:c r="R265" t="str">
        <x:v>DE96120300009005290904</x:v>
      </x:c>
      <x:c r="S265" t="n">
        <x:v>-2.7</x:v>
      </x:c>
      <x:c r="T265" t="str">
        <x:v>"</x:v>
      </x:c>
      <x:c r="U265" t="str">
        <x:v>"</x:v>
      </x:c>
      <x:c r="V265" t="str">
        <x:v>486059263903070</x:v>
      </x:c>
    </x:row>
    <x:row r="266">
      <x:c r="A266" t="str">
        <x:v>RAW-IMP-20260516-FULLDRAFT-000249</x:v>
      </x:c>
      <x:c r="B266" t="str">
        <x:v>IMP-20260516-FULLDRAFT</x:v>
      </x:c>
      <x:c r="C266" t="str">
        <x:v>KTO001</x:v>
      </x:c>
      <x:c r="D266" t="str">
        <x:v>16-05-2026_Umsatzliste_Girokonto_DE98120300001061711675.csv</x:v>
      </x:c>
      <x:c r="E266" t="n">
        <x:v>46163</x:v>
      </x:c>
      <x:c r="F266" t="n">
        <x:v>249</x:v>
      </x:c>
      <x:c r="G266" t="str">
        <x:v>9da2bc883cd9c15293458df8b4f58196b23ac9f575ad3c3a118898c495be04f2</x:v>
      </x:c>
      <x:c r="H266" t="str">
        <x:v>neu</x:v>
      </x:c>
      <x:c r="I266" t="str">
        <x:v>ok</x:v>
      </x:c>
      <x:c r="J266"/>
      <x:c r="K266" t="n">
        <x:v>46083</x:v>
      </x:c>
      <x:c r="L266" t="n">
        <x:v>46083</x:v>
      </x:c>
      <x:c r="M266" t="str">
        <x:v>Gebucht</x:v>
      </x:c>
      <x:c r="N266" t="str">
        <x:v>ISSUER</x:v>
      </x:c>
      <x:c r="O266" t="str">
        <x:v>REWE.Braunschweig/Braunschweig</x:v>
      </x:c>
      <x:c r="P266" t="str">
        <x:v>VISA Debitkartenumsatz vom 28.02.2026</x:v>
      </x:c>
      <x:c r="Q266" t="str">
        <x:v>Ausgang</x:v>
      </x:c>
      <x:c r="R266" t="str">
        <x:v>DE96120300009005290904</x:v>
      </x:c>
      <x:c r="S266" t="n">
        <x:v>-6.17</x:v>
      </x:c>
      <x:c r="T266" t="str">
        <x:v>"</x:v>
      </x:c>
      <x:c r="U266" t="str">
        <x:v>"</x:v>
      </x:c>
      <x:c r="V266" t="str">
        <x:v>486059389649602</x:v>
      </x:c>
    </x:row>
    <x:row r="267">
      <x:c r="A267" t="str">
        <x:v>RAW-IMP-20260516-FULLDRAFT-000250</x:v>
      </x:c>
      <x:c r="B267" t="str">
        <x:v>IMP-20260516-FULLDRAFT</x:v>
      </x:c>
      <x:c r="C267" t="str">
        <x:v>KTO001</x:v>
      </x:c>
      <x:c r="D267" t="str">
        <x:v>16-05-2026_Umsatzliste_Girokonto_DE98120300001061711675.csv</x:v>
      </x:c>
      <x:c r="E267" t="n">
        <x:v>46163</x:v>
      </x:c>
      <x:c r="F267" t="n">
        <x:v>250</x:v>
      </x:c>
      <x:c r="G267" t="str">
        <x:v>a542f10fb0db56a36cc7bc9855a4f8b2b724ea14696bcff3bc702f2b0c870bdc</x:v>
      </x:c>
      <x:c r="H267" t="str">
        <x:v>neu</x:v>
      </x:c>
      <x:c r="I267" t="str">
        <x:v>ok</x:v>
      </x:c>
      <x:c r="J267"/>
      <x:c r="K267" t="n">
        <x:v>46083</x:v>
      </x:c>
      <x:c r="L267" t="n">
        <x:v>46083</x:v>
      </x:c>
      <x:c r="M267" t="str">
        <x:v>Gebucht</x:v>
      </x:c>
      <x:c r="N267" t="str">
        <x:v>ISSUER</x:v>
      </x:c>
      <x:c r="O267" t="str">
        <x:v>REWE.Salzgitter.Ge/Salzgitter</x:v>
      </x:c>
      <x:c r="P267" t="str">
        <x:v>VISA Debitkartenumsatz vom 28.02.2026</x:v>
      </x:c>
      <x:c r="Q267" t="str">
        <x:v>Ausgang</x:v>
      </x:c>
      <x:c r="R267" t="str">
        <x:v>DE96120300009005290904</x:v>
      </x:c>
      <x:c r="S267" t="n">
        <x:v>-58.25</x:v>
      </x:c>
      <x:c r="T267" t="str">
        <x:v>"</x:v>
      </x:c>
      <x:c r="U267" t="str">
        <x:v>"</x:v>
      </x:c>
      <x:c r="V267" t="str">
        <x:v>486059651203758</x:v>
      </x:c>
    </x:row>
    <x:row r="268">
      <x:c r="A268" t="str">
        <x:v>RAW-IMP-20260516-FULLDRAFT-000251</x:v>
      </x:c>
      <x:c r="B268" t="str">
        <x:v>IMP-20260516-FULLDRAFT</x:v>
      </x:c>
      <x:c r="C268" t="str">
        <x:v>KTO001</x:v>
      </x:c>
      <x:c r="D268" t="str">
        <x:v>16-05-2026_Umsatzliste_Girokonto_DE98120300001061711675.csv</x:v>
      </x:c>
      <x:c r="E268" t="n">
        <x:v>46163</x:v>
      </x:c>
      <x:c r="F268" t="n">
        <x:v>251</x:v>
      </x:c>
      <x:c r="G268" t="str">
        <x:v>15906452e84bd2e77ed06da9f8f08cb2b794f41669bbd147529a2b7b62e2704a</x:v>
      </x:c>
      <x:c r="H268" t="str">
        <x:v>neu</x:v>
      </x:c>
      <x:c r="I268" t="str">
        <x:v>ok</x:v>
      </x:c>
      <x:c r="J268"/>
      <x:c r="K268" t="n">
        <x:v>46083</x:v>
      </x:c>
      <x:c r="L268" t="n">
        <x:v>46083</x:v>
      </x:c>
      <x:c r="M268" t="str">
        <x:v>Gebucht</x:v>
      </x:c>
      <x:c r="N268" t="str">
        <x:v>KOHLENBERG, LARS</x:v>
      </x:c>
      <x:c r="O268" t="str">
        <x:v>Lars und Katrin Kohlenberg</x:v>
      </x:c>
      <x:c r="P268" t="str">
        <x:v>12938395 VERMOEGENSDEPOT SAMMELBUCHUNG SPARPLAN WKN A1C9ED, 847809</x:v>
      </x:c>
      <x:c r="Q268" t="str">
        <x:v>Ausgang</x:v>
      </x:c>
      <x:c r="R268" t="str">
        <x:v>DE27672300000506966162</x:v>
      </x:c>
      <x:c r="S268" t="n">
        <x:v>-600</x:v>
      </x:c>
      <x:c r="T268" t="str">
        <x:v>DE53ZZZ00000010849</x:v>
      </x:c>
      <x:c r="U268" t="str">
        <x:v>WPBF0000180845</x:v>
      </x:c>
      <x:c r="V268" t="str">
        <x:v>SPARSP 20336257</x:v>
      </x:c>
    </x:row>
    <x:row r="269">
      <x:c r="A269" t="str">
        <x:v>RAW-IMP-20260516-FULLDRAFT-000252</x:v>
      </x:c>
      <x:c r="B269" t="str">
        <x:v>IMP-20260516-FULLDRAFT</x:v>
      </x:c>
      <x:c r="C269" t="str">
        <x:v>KTO001</x:v>
      </x:c>
      <x:c r="D269" t="str">
        <x:v>16-05-2026_Umsatzliste_Girokonto_DE98120300001061711675.csv</x:v>
      </x:c>
      <x:c r="E269" t="n">
        <x:v>46163</x:v>
      </x:c>
      <x:c r="F269" t="n">
        <x:v>252</x:v>
      </x:c>
      <x:c r="G269" t="str">
        <x:v>8b3e49edf3676f6d76fac3428d2c6ebe7d6246755f8819a321044e6a3b67e3cb</x:v>
      </x:c>
      <x:c r="H269" t="str">
        <x:v>neu</x:v>
      </x:c>
      <x:c r="I269" t="str">
        <x:v>ok</x:v>
      </x:c>
      <x:c r="J269"/>
      <x:c r="K269" t="n">
        <x:v>46083</x:v>
      </x:c>
      <x:c r="L269" t="n">
        <x:v>46083</x:v>
      </x:c>
      <x:c r="M269" t="str">
        <x:v>Gebucht</x:v>
      </x:c>
      <x:c r="N269" t="str">
        <x:v>Lars Kohlenberg                                                       Johannes-Wosnitza-Str. 8 38229 Salzgitter</x:v>
      </x:c>
      <x:c r="O269" t="str">
        <x:v>Heidelberger Lebensversicherung AG                                    Donrhofstrasse 36, 63263 Neu-Isenburg</x:v>
      </x:c>
      <x:c r="P269" t="str">
        <x:v>60012826 , 03.26</x:v>
      </x:c>
      <x:c r="Q269" t="str">
        <x:v>Ausgang</x:v>
      </x:c>
      <x:c r="R269" t="str">
        <x:v>DE38600501010002662604</x:v>
      </x:c>
      <x:c r="S269" t="n">
        <x:v>-452.71</x:v>
      </x:c>
      <x:c r="T269" t="str">
        <x:v>DE31HLE00000032682</x:v>
      </x:c>
      <x:c r="U269" t="str">
        <x:v>11-140000075706</x:v>
      </x:c>
      <x:c r="V269" t="str">
        <x:v>110046467513</x:v>
      </x:c>
    </x:row>
    <x:row r="270">
      <x:c r="A270" t="str">
        <x:v>RAW-IMP-20260516-FULLDRAFT-000253</x:v>
      </x:c>
      <x:c r="B270" t="str">
        <x:v>IMP-20260516-FULLDRAFT</x:v>
      </x:c>
      <x:c r="C270" t="str">
        <x:v>KTO001</x:v>
      </x:c>
      <x:c r="D270" t="str">
        <x:v>16-05-2026_Umsatzliste_Girokonto_DE98120300001061711675.csv</x:v>
      </x:c>
      <x:c r="E270" t="n">
        <x:v>46163</x:v>
      </x:c>
      <x:c r="F270" t="n">
        <x:v>253</x:v>
      </x:c>
      <x:c r="G270" t="str">
        <x:v>d298affb2745a63992b4f958e71c645647182703a27bf9c8b578b8622a2aed27</x:v>
      </x:c>
      <x:c r="H270" t="str">
        <x:v>neu</x:v>
      </x:c>
      <x:c r="I270" t="str">
        <x:v>ok</x:v>
      </x:c>
      <x:c r="J270"/>
      <x:c r="K270" t="n">
        <x:v>46083</x:v>
      </x:c>
      <x:c r="L270" t="n">
        <x:v>46083</x:v>
      </x:c>
      <x:c r="M270" t="str">
        <x:v>Gebucht</x:v>
      </x:c>
      <x:c r="N270" t="str">
        <x:v>Kohlenberg, Lars</x:v>
      </x:c>
      <x:c r="O270" t="str">
        <x:v>IDEAL Lebensversicherung aG</x:v>
      </x:c>
      <x:c r="P270" t="str">
        <x:v>2011216280009 LV 031</x:v>
      </x:c>
      <x:c r="Q270" t="str">
        <x:v>Ausgang</x:v>
      </x:c>
      <x:c r="R270" t="str">
        <x:v>DE36100700000460303100</x:v>
      </x:c>
      <x:c r="S270" t="n">
        <x:v>-100.52</x:v>
      </x:c>
      <x:c r="T270" t="str">
        <x:v>DE40ZZZ00000559230</x:v>
      </x:c>
      <x:c r="U270" t="str">
        <x:v>2011216280009-001</x:v>
      </x:c>
      <x:c r="V270" t="str">
        <x:v>GL,KL,PD-20260301-1-2011216280009-0</x:v>
      </x:c>
    </x:row>
    <x:row r="271">
      <x:c r="A271" t="str">
        <x:v>RAW-IMP-20260516-FULLDRAFT-000254</x:v>
      </x:c>
      <x:c r="B271" t="str">
        <x:v>IMP-20260516-FULLDRAFT</x:v>
      </x:c>
      <x:c r="C271" t="str">
        <x:v>KTO001</x:v>
      </x:c>
      <x:c r="D271" t="str">
        <x:v>16-05-2026_Umsatzliste_Girokonto_DE98120300001061711675.csv</x:v>
      </x:c>
      <x:c r="E271" t="n">
        <x:v>46163</x:v>
      </x:c>
      <x:c r="F271" t="n">
        <x:v>254</x:v>
      </x:c>
      <x:c r="G271" t="str">
        <x:v>e9c48360d3d0b1e1e3ea331e5a1d4346d2e11b876fae8122c82613413c4e87f7</x:v>
      </x:c>
      <x:c r="H271" t="str">
        <x:v>neu</x:v>
      </x:c>
      <x:c r="I271" t="str">
        <x:v>ok</x:v>
      </x:c>
      <x:c r="J271"/>
      <x:c r="K271" t="n">
        <x:v>46083</x:v>
      </x:c>
      <x:c r="L271" t="n">
        <x:v>46083</x:v>
      </x:c>
      <x:c r="M271" t="str">
        <x:v>Gebucht</x:v>
      </x:c>
      <x:c r="N271" t="str">
        <x:v>Kohlenberg</x:v>
      </x:c>
      <x:c r="O271" t="str">
        <x:v>TANZSCHULE KWIATKOWSKI GBR</x:v>
      </x:c>
      <x:c r="P271" t="str">
        <x:v>R-SB0000076813-A0000004560,SB2151 9-2025 - 3.2026,Jan Kohlenberg</x:v>
      </x:c>
      <x:c r="Q271" t="str">
        <x:v>Ausgang</x:v>
      </x:c>
      <x:c r="R271" t="str">
        <x:v>DE61259501300096212535</x:v>
      </x:c>
      <x:c r="S271" t="n">
        <x:v>-49</x:v>
      </x:c>
      <x:c r="T271" t="str">
        <x:v>DE79ZZZ00002474666</x:v>
      </x:c>
      <x:c r="U271" t="str">
        <x:v>TM004560-000142</x:v>
      </x:c>
      <x:c r="V271" t="str">
        <x:v>R-SB00076813</x:v>
      </x:c>
    </x:row>
    <x:row r="272">
      <x:c r="A272" t="str">
        <x:v>RAW-IMP-20260516-FULLDRAFT-000255</x:v>
      </x:c>
      <x:c r="B272" t="str">
        <x:v>IMP-20260516-FULLDRAFT</x:v>
      </x:c>
      <x:c r="C272" t="str">
        <x:v>KTO001</x:v>
      </x:c>
      <x:c r="D272" t="str">
        <x:v>16-05-2026_Umsatzliste_Girokonto_DE98120300001061711675.csv</x:v>
      </x:c>
      <x:c r="E272" t="n">
        <x:v>46163</x:v>
      </x:c>
      <x:c r="F272" t="n">
        <x:v>255</x:v>
      </x:c>
      <x:c r="G272" t="str">
        <x:v>308eaed22160ee3679257226af4c66bd2ed5f0c085ae560e563c3d6461dee9e2</x:v>
      </x:c>
      <x:c r="H272" t="str">
        <x:v>neu</x:v>
      </x:c>
      <x:c r="I272" t="str">
        <x:v>ok</x:v>
      </x:c>
      <x:c r="J272"/>
      <x:c r="K272" t="n">
        <x:v>46083</x:v>
      </x:c>
      <x:c r="L272" t="n">
        <x:v>46083</x:v>
      </x:c>
      <x:c r="M272" t="str">
        <x:v>Gebucht</x:v>
      </x:c>
      <x:c r="N272" t="str">
        <x:v>Kohlenberg, Katrin</x:v>
      </x:c>
      <x:c r="O272" t="str">
        <x:v>WEVG Salzgitter GmbH + Co. KG</x:v>
      </x:c>
      <x:c r="P272" t="str">
        <x:v>Kd-Nr 79288 Einz 28.02.26 100833/79.00/Johannes-Wosni</x:v>
      </x:c>
      <x:c r="Q272" t="str">
        <x:v>Ausgang</x:v>
      </x:c>
      <x:c r="R272" t="str">
        <x:v>DE19300700100394127500</x:v>
      </x:c>
      <x:c r="S272" t="n">
        <x:v>-79</x:v>
      </x:c>
      <x:c r="T272" t="str">
        <x:v>DE83WEV00000032716</x:v>
      </x:c>
      <x:c r="U272" t="str">
        <x:v>WEVG0000079288G1000178580</x:v>
      </x:c>
      <x:c r="V272" t="str">
        <x:v>14199119</x:v>
      </x:c>
    </x:row>
    <x:row r="273">
      <x:c r="A273" t="str">
        <x:v>RAW-IMP-20260516-FULLDRAFT-000256</x:v>
      </x:c>
      <x:c r="B273" t="str">
        <x:v>IMP-20260516-FULLDRAFT</x:v>
      </x:c>
      <x:c r="C273" t="str">
        <x:v>KTO001</x:v>
      </x:c>
      <x:c r="D273" t="str">
        <x:v>16-05-2026_Umsatzliste_Girokonto_DE98120300001061711675.csv</x:v>
      </x:c>
      <x:c r="E273" t="n">
        <x:v>46163</x:v>
      </x:c>
      <x:c r="F273" t="n">
        <x:v>256</x:v>
      </x:c>
      <x:c r="G273" t="str">
        <x:v>b71bac7c77673ba55df00c763681ef5737cf1b7bd3ffa10b8a031ef7392deb32</x:v>
      </x:c>
      <x:c r="H273" t="str">
        <x:v>neu</x:v>
      </x:c>
      <x:c r="I273" t="str">
        <x:v>ok</x:v>
      </x:c>
      <x:c r="J273"/>
      <x:c r="K273" t="n">
        <x:v>46083</x:v>
      </x:c>
      <x:c r="L273" t="n">
        <x:v>46083</x:v>
      </x:c>
      <x:c r="M273" t="str">
        <x:v>Gebucht</x:v>
      </x:c>
      <x:c r="N273" t="str">
        <x:v>KOHLENBERG LARS</x:v>
      </x:c>
      <x:c r="O273" t="str">
        <x:v>VOLKSWOHL BUND Lebensversicherung a.G.</x:v>
      </x:c>
      <x:c r="P273" t="str">
        <x:v>009893595 LA000750566/ 009893595 LEBEN 73,09</x:v>
      </x:c>
      <x:c r="Q273" t="str">
        <x:v>Ausgang</x:v>
      </x:c>
      <x:c r="R273" t="str">
        <x:v>DE76440400370361155500</x:v>
      </x:c>
      <x:c r="S273" t="n">
        <x:v>-73.09</x:v>
      </x:c>
      <x:c r="T273" t="str">
        <x:v>DE13ZZZ00000141064</x:v>
      </x:c>
      <x:c r="U273" t="str">
        <x:v>LA000750566</x:v>
      </x:c>
      <x:c r="V273" t="str">
        <x:v>009893595/NVMA.G1165-303362</x:v>
      </x:c>
    </x:row>
    <x:row r="274">
      <x:c r="A274" t="str">
        <x:v>RAW-IMP-20260516-FULLDRAFT-000257</x:v>
      </x:c>
      <x:c r="B274" t="str">
        <x:v>IMP-20260516-FULLDRAFT</x:v>
      </x:c>
      <x:c r="C274" t="str">
        <x:v>KTO001</x:v>
      </x:c>
      <x:c r="D274" t="str">
        <x:v>16-05-2026_Umsatzliste_Girokonto_DE98120300001061711675.csv</x:v>
      </x:c>
      <x:c r="E274" t="n">
        <x:v>46163</x:v>
      </x:c>
      <x:c r="F274" t="n">
        <x:v>257</x:v>
      </x:c>
      <x:c r="G274" t="str">
        <x:v>d19b9c95c1f55f641e87aa9980976ca0ccaf6e40d8456f3336477fa6d1f5dce3</x:v>
      </x:c>
      <x:c r="H274" t="str">
        <x:v>neu</x:v>
      </x:c>
      <x:c r="I274" t="str">
        <x:v>ok</x:v>
      </x:c>
      <x:c r="J274"/>
      <x:c r="K274" t="n">
        <x:v>46083</x:v>
      </x:c>
      <x:c r="L274" t="n">
        <x:v>46083</x:v>
      </x:c>
      <x:c r="M274" t="str">
        <x:v>Gebucht</x:v>
      </x:c>
      <x:c r="N274" t="str">
        <x:v>Kohlenberg Lars</x:v>
      </x:c>
      <x:c r="O274" t="str">
        <x:v>Allianz Lebensversic</x:v>
      </x:c>
      <x:c r="P274" t="str">
        <x:v>Vertrag AL-1356867060 01.03.26 - 31.03.26 RiesRent InvAlphaBal</x:v>
      </x:c>
      <x:c r="Q274" t="str">
        <x:v>Ausgang</x:v>
      </x:c>
      <x:c r="R274" t="str">
        <x:v>DE52700202700015152448</x:v>
      </x:c>
      <x:c r="S274" t="n">
        <x:v>-162.17</x:v>
      </x:c>
      <x:c r="T274" t="str">
        <x:v>DE07ZZZ00000063475</x:v>
      </x:c>
      <x:c r="U274" t="str">
        <x:v>LA01L312001066775296</x:v>
      </x:c>
      <x:c r="V274" t="str">
        <x:v>AB226056-E00765467</x:v>
      </x:c>
    </x:row>
    <x:row r="275">
      <x:c r="A275" t="str">
        <x:v>RAW-IMP-20260516-FULLDRAFT-000258</x:v>
      </x:c>
      <x:c r="B275" t="str">
        <x:v>IMP-20260516-FULLDRAFT</x:v>
      </x:c>
      <x:c r="C275" t="str">
        <x:v>KTO001</x:v>
      </x:c>
      <x:c r="D275" t="str">
        <x:v>16-05-2026_Umsatzliste_Girokonto_DE98120300001061711675.csv</x:v>
      </x:c>
      <x:c r="E275" t="n">
        <x:v>46163</x:v>
      </x:c>
      <x:c r="F275" t="n">
        <x:v>258</x:v>
      </x:c>
      <x:c r="G275" t="str">
        <x:v>44d34e47bcc5600d79384e25eca2139608a25aed9face63e8aeeca59562c77f9</x:v>
      </x:c>
      <x:c r="H275" t="str">
        <x:v>neu</x:v>
      </x:c>
      <x:c r="I275" t="str">
        <x:v>ok</x:v>
      </x:c>
      <x:c r="J275"/>
      <x:c r="K275" t="n">
        <x:v>46083</x:v>
      </x:c>
      <x:c r="L275" t="n">
        <x:v>46083</x:v>
      </x:c>
      <x:c r="M275" t="str">
        <x:v>Gebucht</x:v>
      </x:c>
      <x:c r="N275" t="str">
        <x:v>Lars Kohlenberg</x:v>
      </x:c>
      <x:c r="O275" t="str">
        <x:v>KATRIN KOHLENBERG</x:v>
      </x:c>
      <x:c r="P275" t="str">
        <x:v>Apanage</x:v>
      </x:c>
      <x:c r="Q275" t="str">
        <x:v>Ausgang</x:v>
      </x:c>
      <x:c r="R275" t="str">
        <x:v>DE32270727240307336800</x:v>
      </x:c>
      <x:c r="S275" t="n">
        <x:v>-1800</x:v>
      </x:c>
      <x:c r="T275" t="str">
        <x:v>"</x:v>
      </x:c>
      <x:c r="U275" t="str">
        <x:v>"</x:v>
      </x:c>
      <x:c r="V275" t="str">
        <x:v>"</x:v>
      </x:c>
    </x:row>
    <x:row r="276">
      <x:c r="A276" t="str">
        <x:v>RAW-IMP-20260516-FULLDRAFT-000259</x:v>
      </x:c>
      <x:c r="B276" t="str">
        <x:v>IMP-20260516-FULLDRAFT</x:v>
      </x:c>
      <x:c r="C276" t="str">
        <x:v>KTO001</x:v>
      </x:c>
      <x:c r="D276" t="str">
        <x:v>16-05-2026_Umsatzliste_Girokonto_DE98120300001061711675.csv</x:v>
      </x:c>
      <x:c r="E276" t="n">
        <x:v>46163</x:v>
      </x:c>
      <x:c r="F276" t="n">
        <x:v>259</x:v>
      </x:c>
      <x:c r="G276" t="str">
        <x:v>781746542a2d7fea6453fb51c226287daa8a7d31ae2022158ebea8d9cb029d97</x:v>
      </x:c>
      <x:c r="H276" t="str">
        <x:v>neu</x:v>
      </x:c>
      <x:c r="I276" t="str">
        <x:v>ok</x:v>
      </x:c>
      <x:c r="J276"/>
      <x:c r="K276" t="n">
        <x:v>46083</x:v>
      </x:c>
      <x:c r="L276" t="n">
        <x:v>46083</x:v>
      </x:c>
      <x:c r="M276" t="str">
        <x:v>Gebucht</x:v>
      </x:c>
      <x:c r="N276" t="str">
        <x:v>Lars Kohlenberg</x:v>
      </x:c>
      <x:c r="O276" t="str">
        <x:v>LARS KOHLENBERG</x:v>
      </x:c>
      <x:c r="P276" t="str">
        <x:v>Sparrate 650,- + 750 EUR Mieteinnahmen</x:v>
      </x:c>
      <x:c r="Q276" t="str">
        <x:v>Ausgang</x:v>
      </x:c>
      <x:c r="R276" t="str">
        <x:v>DE91270200001510365800</x:v>
      </x:c>
      <x:c r="S276" t="n">
        <x:v>-1400</x:v>
      </x:c>
      <x:c r="T276" t="str">
        <x:v>"</x:v>
      </x:c>
      <x:c r="U276" t="str">
        <x:v>"</x:v>
      </x:c>
      <x:c r="V276" t="str">
        <x:v>"</x:v>
      </x:c>
    </x:row>
    <x:row r="277">
      <x:c r="A277" t="str">
        <x:v>RAW-IMP-20260516-FULLDRAFT-000260</x:v>
      </x:c>
      <x:c r="B277" t="str">
        <x:v>IMP-20260516-FULLDRAFT</x:v>
      </x:c>
      <x:c r="C277" t="str">
        <x:v>KTO001</x:v>
      </x:c>
      <x:c r="D277" t="str">
        <x:v>16-05-2026_Umsatzliste_Girokonto_DE98120300001061711675.csv</x:v>
      </x:c>
      <x:c r="E277" t="n">
        <x:v>46163</x:v>
      </x:c>
      <x:c r="F277" t="n">
        <x:v>260</x:v>
      </x:c>
      <x:c r="G277" t="str">
        <x:v>49cc083ceba42ae82b8392c839c1c8e27428629b86bb6fdd890ad968cc2e1edf</x:v>
      </x:c>
      <x:c r="H277" t="str">
        <x:v>neu</x:v>
      </x:c>
      <x:c r="I277" t="str">
        <x:v>ok</x:v>
      </x:c>
      <x:c r="J277"/>
      <x:c r="K277" t="n">
        <x:v>46083</x:v>
      </x:c>
      <x:c r="L277" t="n">
        <x:v>46081</x:v>
      </x:c>
      <x:c r="M277" t="str">
        <x:v>Gebucht</x:v>
      </x:c>
      <x:c r="N277" t="str">
        <x:v>Lars Kohlenberg</x:v>
      </x:c>
      <x:c r="O277" t="str">
        <x:v>Lea Sophie Kohlenberg</x:v>
      </x:c>
      <x:c r="P277" t="str">
        <x:v>Taschengeld</x:v>
      </x:c>
      <x:c r="Q277" t="str">
        <x:v>Ausgang</x:v>
      </x:c>
      <x:c r="R277" t="str">
        <x:v>DE89269910662833344000</x:v>
      </x:c>
      <x:c r="S277" t="n">
        <x:v>-20</x:v>
      </x:c>
      <x:c r="T277" t="str">
        <x:v>"</x:v>
      </x:c>
      <x:c r="U277" t="str">
        <x:v>"</x:v>
      </x:c>
      <x:c r="V277" t="str">
        <x:v>"</x:v>
      </x:c>
    </x:row>
    <x:row r="278">
      <x:c r="A278" t="str">
        <x:v>RAW-IMP-20260516-FULLDRAFT-000261</x:v>
      </x:c>
      <x:c r="B278" t="str">
        <x:v>IMP-20260516-FULLDRAFT</x:v>
      </x:c>
      <x:c r="C278" t="str">
        <x:v>KTO001</x:v>
      </x:c>
      <x:c r="D278" t="str">
        <x:v>16-05-2026_Umsatzliste_Girokonto_DE98120300001061711675.csv</x:v>
      </x:c>
      <x:c r="E278" t="n">
        <x:v>46163</x:v>
      </x:c>
      <x:c r="F278" t="n">
        <x:v>261</x:v>
      </x:c>
      <x:c r="G278" t="str">
        <x:v>0d7a9c7ec6a10a9b01e23541a1a741902ebfb4e1236da55d15b759238f02f6f1</x:v>
      </x:c>
      <x:c r="H278" t="str">
        <x:v>neu</x:v>
      </x:c>
      <x:c r="I278" t="str">
        <x:v>ok</x:v>
      </x:c>
      <x:c r="J278"/>
      <x:c r="K278" t="n">
        <x:v>46083</x:v>
      </x:c>
      <x:c r="L278" t="n">
        <x:v>46083</x:v>
      </x:c>
      <x:c r="M278" t="str">
        <x:v>Gebucht</x:v>
      </x:c>
      <x:c r="N278" t="str">
        <x:v>Lars Kohlenberg</x:v>
      </x:c>
      <x:c r="O278" t="str">
        <x:v>Lea kohlenberg</x:v>
      </x:c>
      <x:c r="P278" t="str">
        <x:v>Taschengeld</x:v>
      </x:c>
      <x:c r="Q278" t="str">
        <x:v>Ausgang</x:v>
      </x:c>
      <x:c r="R278" t="str">
        <x:v>DE89269910662833344000</x:v>
      </x:c>
      <x:c r="S278" t="n">
        <x:v>-10</x:v>
      </x:c>
      <x:c r="T278" t="str">
        <x:v>"</x:v>
      </x:c>
      <x:c r="U278" t="str">
        <x:v>"</x:v>
      </x:c>
      <x:c r="V278" t="str">
        <x:v>"</x:v>
      </x:c>
    </x:row>
    <x:row r="279">
      <x:c r="A279" t="str">
        <x:v>RAW-IMP-20260516-FULLDRAFT-000262</x:v>
      </x:c>
      <x:c r="B279" t="str">
        <x:v>IMP-20260516-FULLDRAFT</x:v>
      </x:c>
      <x:c r="C279" t="str">
        <x:v>KTO001</x:v>
      </x:c>
      <x:c r="D279" t="str">
        <x:v>16-05-2026_Umsatzliste_Girokonto_DE98120300001061711675.csv</x:v>
      </x:c>
      <x:c r="E279" t="n">
        <x:v>46163</x:v>
      </x:c>
      <x:c r="F279" t="n">
        <x:v>262</x:v>
      </x:c>
      <x:c r="G279" t="str">
        <x:v>2ed7a0fd76376c5d648cdb3a93be2cf115101114ce412313b38d37794f351efb</x:v>
      </x:c>
      <x:c r="H279" t="str">
        <x:v>neu</x:v>
      </x:c>
      <x:c r="I279" t="str">
        <x:v>ok</x:v>
      </x:c>
      <x:c r="J279"/>
      <x:c r="K279" t="n">
        <x:v>46083</x:v>
      </x:c>
      <x:c r="L279" t="n">
        <x:v>46083</x:v>
      </x:c>
      <x:c r="M279" t="str">
        <x:v>Gebucht</x:v>
      </x:c>
      <x:c r="N279" t="str">
        <x:v>Lars Kohlenberg</x:v>
      </x:c>
      <x:c r="O279" t="str">
        <x:v>LARS KOHLENBERG</x:v>
      </x:c>
      <x:c r="P279" t="str">
        <x:v>Zins und Tilgung zu 2/3</x:v>
      </x:c>
      <x:c r="Q279" t="str">
        <x:v>Ausgang</x:v>
      </x:c>
      <x:c r="R279" t="str">
        <x:v>DE33269910668923736000</x:v>
      </x:c>
      <x:c r="S279" t="n">
        <x:v>-1153.94</x:v>
      </x:c>
      <x:c r="T279" t="str">
        <x:v>"</x:v>
      </x:c>
      <x:c r="U279" t="str">
        <x:v>"</x:v>
      </x:c>
      <x:c r="V279" t="str">
        <x:v>"</x:v>
      </x:c>
    </x:row>
    <x:row r="280">
      <x:c r="A280" t="str">
        <x:v>RAW-IMP-20260516-FULLDRAFT-000263</x:v>
      </x:c>
      <x:c r="B280" t="str">
        <x:v>IMP-20260516-FULLDRAFT</x:v>
      </x:c>
      <x:c r="C280" t="str">
        <x:v>KTO001</x:v>
      </x:c>
      <x:c r="D280" t="str">
        <x:v>16-05-2026_Umsatzliste_Girokonto_DE98120300001061711675.csv</x:v>
      </x:c>
      <x:c r="E280" t="n">
        <x:v>46163</x:v>
      </x:c>
      <x:c r="F280" t="n">
        <x:v>263</x:v>
      </x:c>
      <x:c r="G280" t="str">
        <x:v>287a7cdcad607a84e83a91ad9c0adb19a962be207f864c9aff4f6c98bcbe69d6</x:v>
      </x:c>
      <x:c r="H280" t="str">
        <x:v>neu</x:v>
      </x:c>
      <x:c r="I280" t="str">
        <x:v>ok</x:v>
      </x:c>
      <x:c r="J280"/>
      <x:c r="K280" t="n">
        <x:v>46080</x:v>
      </x:c>
      <x:c r="L280" t="n">
        <x:v>46080</x:v>
      </x:c>
      <x:c r="M280" t="str">
        <x:v>Gebucht</x:v>
      </x:c>
      <x:c r="N280" t="str">
        <x:v>FUNKE Medien Niedersachse</x:v>
      </x:c>
      <x:c r="O280" t="str">
        <x:v>Lars Kohlberg                                                         Johannes-Wosnitza-Str. 8</x:v>
      </x:c>
      <x:c r="P280" t="str">
        <x:v>Rechnung LARS KOHLBERG 20.2.2026Gutschrift Ticketstorno Torsten</x:v>
      </x:c>
      <x:c r="Q280" t="str">
        <x:v>Eingang</x:v>
      </x:c>
      <x:c r="R280" t="str">
        <x:v>DE34250500000199944612</x:v>
      </x:c>
      <x:c r="S280" t="n">
        <x:v>89.6</x:v>
      </x:c>
      <x:c r="T280" t="str">
        <x:v>"</x:v>
      </x:c>
      <x:c r="U280" t="str">
        <x:v>"</x:v>
      </x:c>
      <x:c r="V280" t="str">
        <x:v>0021001448</x:v>
      </x:c>
    </x:row>
    <x:row r="281">
      <x:c r="A281" t="str">
        <x:v>RAW-IMP-20260516-FULLDRAFT-000264</x:v>
      </x:c>
      <x:c r="B281" t="str">
        <x:v>IMP-20260516-FULLDRAFT</x:v>
      </x:c>
      <x:c r="C281" t="str">
        <x:v>KTO001</x:v>
      </x:c>
      <x:c r="D281" t="str">
        <x:v>16-05-2026_Umsatzliste_Girokonto_DE98120300001061711675.csv</x:v>
      </x:c>
      <x:c r="E281" t="n">
        <x:v>46163</x:v>
      </x:c>
      <x:c r="F281" t="n">
        <x:v>264</x:v>
      </x:c>
      <x:c r="G281" t="str">
        <x:v>29322e81b0d62c846d5cbaff1360a1040eb9200cc11aa5e8e8111911014e4d8a</x:v>
      </x:c>
      <x:c r="H281" t="str">
        <x:v>neu</x:v>
      </x:c>
      <x:c r="I281" t="str">
        <x:v>ok</x:v>
      </x:c>
      <x:c r="J281"/>
      <x:c r="K281" t="n">
        <x:v>46080</x:v>
      </x:c>
      <x:c r="L281" t="n">
        <x:v>46080</x:v>
      </x:c>
      <x:c r="M281" t="str">
        <x:v>Gebucht</x:v>
      </x:c>
      <x:c r="N281" t="str">
        <x:v>ISSUER</x:v>
      </x:c>
      <x:c r="O281" t="str">
        <x:v>REWE.Salzgitter.Ge/Salzgitter</x:v>
      </x:c>
      <x:c r="P281" t="str">
        <x:v>VISA Debitkartenumsatz vom 26.02.2026</x:v>
      </x:c>
      <x:c r="Q281" t="str">
        <x:v>Ausgang</x:v>
      </x:c>
      <x:c r="R281" t="str">
        <x:v>DE96120300009005290904</x:v>
      </x:c>
      <x:c r="S281" t="n">
        <x:v>-10.67</x:v>
      </x:c>
      <x:c r="T281" t="str">
        <x:v>"</x:v>
      </x:c>
      <x:c r="U281" t="str">
        <x:v>"</x:v>
      </x:c>
      <x:c r="V281" t="str">
        <x:v>486057232906336</x:v>
      </x:c>
    </x:row>
    <x:row r="282">
      <x:c r="A282" t="str">
        <x:v>RAW-IMP-20260516-FULLDRAFT-000265</x:v>
      </x:c>
      <x:c r="B282" t="str">
        <x:v>IMP-20260516-FULLDRAFT</x:v>
      </x:c>
      <x:c r="C282" t="str">
        <x:v>KTO001</x:v>
      </x:c>
      <x:c r="D282" t="str">
        <x:v>16-05-2026_Umsatzliste_Girokonto_DE98120300001061711675.csv</x:v>
      </x:c>
      <x:c r="E282" t="n">
        <x:v>46163</x:v>
      </x:c>
      <x:c r="F282" t="n">
        <x:v>265</x:v>
      </x:c>
      <x:c r="G282" t="str">
        <x:v>f1cb2eebffde3face85ae62364cfe8d5a74f4cd0c83e55d39aba8788033fe64e</x:v>
      </x:c>
      <x:c r="H282" t="str">
        <x:v>neu</x:v>
      </x:c>
      <x:c r="I282" t="str">
        <x:v>ok</x:v>
      </x:c>
      <x:c r="J282"/>
      <x:c r="K282" t="n">
        <x:v>46079</x:v>
      </x:c>
      <x:c r="L282" t="n">
        <x:v>46079</x:v>
      </x:c>
      <x:c r="M282" t="str">
        <x:v>Gebucht</x:v>
      </x:c>
      <x:c r="N282" t="str">
        <x:v>ISSUER</x:v>
      </x:c>
      <x:c r="O282" t="str">
        <x:v>PARKHOTEL.FULDA/FULDA</x:v>
      </x:c>
      <x:c r="P282" t="str">
        <x:v>VISA Debitkartenumsatz vom 25.02.2026</x:v>
      </x:c>
      <x:c r="Q282" t="str">
        <x:v>Ausgang</x:v>
      </x:c>
      <x:c r="R282" t="str">
        <x:v>DE96120300009005290904</x:v>
      </x:c>
      <x:c r="S282" t="n">
        <x:v>-10</x:v>
      </x:c>
      <x:c r="T282" t="str">
        <x:v>"</x:v>
      </x:c>
      <x:c r="U282" t="str">
        <x:v>"</x:v>
      </x:c>
      <x:c r="V282" t="str">
        <x:v>486056448485079</x:v>
      </x:c>
    </x:row>
    <x:row r="283">
      <x:c r="A283" t="str">
        <x:v>RAW-IMP-20260516-FULLDRAFT-000266</x:v>
      </x:c>
      <x:c r="B283" t="str">
        <x:v>IMP-20260516-FULLDRAFT</x:v>
      </x:c>
      <x:c r="C283" t="str">
        <x:v>KTO001</x:v>
      </x:c>
      <x:c r="D283" t="str">
        <x:v>16-05-2026_Umsatzliste_Girokonto_DE98120300001061711675.csv</x:v>
      </x:c>
      <x:c r="E283" t="n">
        <x:v>46163</x:v>
      </x:c>
      <x:c r="F283" t="n">
        <x:v>266</x:v>
      </x:c>
      <x:c r="G283" t="str">
        <x:v>fd238be4809777afae8eb57c1aba3398e3e47cee33dc5a139171d8410d716c70</x:v>
      </x:c>
      <x:c r="H283" t="str">
        <x:v>neu</x:v>
      </x:c>
      <x:c r="I283" t="str">
        <x:v>ok</x:v>
      </x:c>
      <x:c r="J283"/>
      <x:c r="K283" t="n">
        <x:v>46078</x:v>
      </x:c>
      <x:c r="L283" t="n">
        <x:v>46078</x:v>
      </x:c>
      <x:c r="M283" t="str">
        <x:v>Gebucht</x:v>
      </x:c>
      <x:c r="N283" t="str">
        <x:v>Caritasverband fur die Diozese Hildesheim e.V.</x:v>
      </x:c>
      <x:c r="O283" t="str">
        <x:v>KOHLENBERG LARS</x:v>
      </x:c>
      <x:c r="P283" t="str">
        <x:v>GEHALT 2/26</x:v>
      </x:c>
      <x:c r="Q283" t="str">
        <x:v>Eingang</x:v>
      </x:c>
      <x:c r="R283" t="str">
        <x:v>DE46400602650023003301</x:v>
      </x:c>
      <x:c r="S283" t="n">
        <x:v>7818.53</x:v>
      </x:c>
      <x:c r="T283" t="str">
        <x:v>"</x:v>
      </x:c>
      <x:c r="U283" t="str">
        <x:v>"</x:v>
      </x:c>
      <x:c r="V283" t="str">
        <x:v>001001987662SALA002044003</x:v>
      </x:c>
    </x:row>
    <x:row r="284">
      <x:c r="A284" t="str">
        <x:v>RAW-IMP-20260516-FULLDRAFT-000267</x:v>
      </x:c>
      <x:c r="B284" t="str">
        <x:v>IMP-20260516-FULLDRAFT</x:v>
      </x:c>
      <x:c r="C284" t="str">
        <x:v>KTO001</x:v>
      </x:c>
      <x:c r="D284" t="str">
        <x:v>16-05-2026_Umsatzliste_Girokonto_DE98120300001061711675.csv</x:v>
      </x:c>
      <x:c r="E284" t="n">
        <x:v>46163</x:v>
      </x:c>
      <x:c r="F284" t="n">
        <x:v>267</x:v>
      </x:c>
      <x:c r="G284" t="str">
        <x:v>4109b18ef5d32b46d604c165fed5628025e0b0017a6ff1d2781a70766a9a13c6</x:v>
      </x:c>
      <x:c r="H284" t="str">
        <x:v>neu</x:v>
      </x:c>
      <x:c r="I284" t="str">
        <x:v>ok</x:v>
      </x:c>
      <x:c r="J284"/>
      <x:c r="K284" t="n">
        <x:v>46078</x:v>
      </x:c>
      <x:c r="L284" t="n">
        <x:v>46078</x:v>
      </x:c>
      <x:c r="M284" t="str">
        <x:v>Gebucht</x:v>
      </x:c>
      <x:c r="N284" t="str">
        <x:v>Caritasverband fur die Diozese Hildesheim e.V.</x:v>
      </x:c>
      <x:c r="O284" t="str">
        <x:v>Lars Kohlenberg</x:v>
      </x:c>
      <x:c r="P284" t="str">
        <x:v>13.08.2025 1.00 Erst. Parkticket</x:v>
      </x:c>
      <x:c r="Q284" t="str">
        <x:v>Eingang</x:v>
      </x:c>
      <x:c r="R284" t="str">
        <x:v>DE73400602650023003300</x:v>
      </x:c>
      <x:c r="S284" t="n">
        <x:v>1</x:v>
      </x:c>
      <x:c r="T284" t="str">
        <x:v>"</x:v>
      </x:c>
      <x:c r="U284" t="str">
        <x:v>"</x:v>
      </x:c>
      <x:c r="V284" t="str">
        <x:v>8</x:v>
      </x:c>
    </x:row>
    <x:row r="285">
      <x:c r="A285" t="str">
        <x:v>RAW-IMP-20260516-FULLDRAFT-000268</x:v>
      </x:c>
      <x:c r="B285" t="str">
        <x:v>IMP-20260516-FULLDRAFT</x:v>
      </x:c>
      <x:c r="C285" t="str">
        <x:v>KTO001</x:v>
      </x:c>
      <x:c r="D285" t="str">
        <x:v>16-05-2026_Umsatzliste_Girokonto_DE98120300001061711675.csv</x:v>
      </x:c>
      <x:c r="E285" t="n">
        <x:v>46163</x:v>
      </x:c>
      <x:c r="F285" t="n">
        <x:v>268</x:v>
      </x:c>
      <x:c r="G285" t="str">
        <x:v>abce2e1be55db9357813170a34b643f1d449e3ceaf0d46cac13b314cc916c33b</x:v>
      </x:c>
      <x:c r="H285" t="str">
        <x:v>neu</x:v>
      </x:c>
      <x:c r="I285" t="str">
        <x:v>ok</x:v>
      </x:c>
      <x:c r="J285"/>
      <x:c r="K285" t="n">
        <x:v>46078</x:v>
      </x:c>
      <x:c r="L285" t="n">
        <x:v>46078</x:v>
      </x:c>
      <x:c r="M285" t="str">
        <x:v>Gebucht</x:v>
      </x:c>
      <x:c r="N285" t="str">
        <x:v>ISSUER</x:v>
      </x:c>
      <x:c r="O285" t="str">
        <x:v>PARKHOTEL.FULDA/FULDA</x:v>
      </x:c>
      <x:c r="P285" t="str">
        <x:v>VISA Debitkartenumsatz vom 24.02.2026</x:v>
      </x:c>
      <x:c r="Q285" t="str">
        <x:v>Ausgang</x:v>
      </x:c>
      <x:c r="R285" t="str">
        <x:v>DE96120300009005290904</x:v>
      </x:c>
      <x:c r="S285" t="n">
        <x:v>-6</x:v>
      </x:c>
      <x:c r="T285" t="str">
        <x:v>"</x:v>
      </x:c>
      <x:c r="U285" t="str">
        <x:v>"</x:v>
      </x:c>
      <x:c r="V285" t="str">
        <x:v>486055774097965</x:v>
      </x:c>
    </x:row>
    <x:row r="286">
      <x:c r="A286" t="str">
        <x:v>RAW-IMP-20260516-FULLDRAFT-000269</x:v>
      </x:c>
      <x:c r="B286" t="str">
        <x:v>IMP-20260516-FULLDRAFT</x:v>
      </x:c>
      <x:c r="C286" t="str">
        <x:v>KTO001</x:v>
      </x:c>
      <x:c r="D286" t="str">
        <x:v>16-05-2026_Umsatzliste_Girokonto_DE98120300001061711675.csv</x:v>
      </x:c>
      <x:c r="E286" t="n">
        <x:v>46163</x:v>
      </x:c>
      <x:c r="F286" t="n">
        <x:v>269</x:v>
      </x:c>
      <x:c r="G286" t="str">
        <x:v>c4b90d26e3b3ac10ad0f7a163df6ccd178cbe6cfa5b73f855a623f6c45659a88</x:v>
      </x:c>
      <x:c r="H286" t="str">
        <x:v>neu</x:v>
      </x:c>
      <x:c r="I286" t="str">
        <x:v>ok</x:v>
      </x:c>
      <x:c r="J286"/>
      <x:c r="K286" t="n">
        <x:v>46078</x:v>
      </x:c>
      <x:c r="L286" t="n">
        <x:v>46078</x:v>
      </x:c>
      <x:c r="M286" t="str">
        <x:v>Gebucht</x:v>
      </x:c>
      <x:c r="N286" t="str">
        <x:v>ISSUER</x:v>
      </x:c>
      <x:c r="O286" t="str">
        <x:v>NYX.AutohofHoppeGmbHC/Knuellwald</x:v>
      </x:c>
      <x:c r="P286" t="str">
        <x:v>VISA Debitkartenumsatz vom 24.02.2026</x:v>
      </x:c>
      <x:c r="Q286" t="str">
        <x:v>Ausgang</x:v>
      </x:c>
      <x:c r="R286" t="str">
        <x:v>DE96120300009005290904</x:v>
      </x:c>
      <x:c r="S286" t="n">
        <x:v>-1</x:v>
      </x:c>
      <x:c r="T286" t="str">
        <x:v>"</x:v>
      </x:c>
      <x:c r="U286" t="str">
        <x:v>"</x:v>
      </x:c>
      <x:c r="V286" t="str">
        <x:v>486055551102049</x:v>
      </x:c>
    </x:row>
    <x:row r="287">
      <x:c r="A287" t="str">
        <x:v>RAW-IMP-20260516-FULLDRAFT-000270</x:v>
      </x:c>
      <x:c r="B287" t="str">
        <x:v>IMP-20260516-FULLDRAFT</x:v>
      </x:c>
      <x:c r="C287" t="str">
        <x:v>KTO001</x:v>
      </x:c>
      <x:c r="D287" t="str">
        <x:v>16-05-2026_Umsatzliste_Girokonto_DE98120300001061711675.csv</x:v>
      </x:c>
      <x:c r="E287" t="n">
        <x:v>46163</x:v>
      </x:c>
      <x:c r="F287" t="n">
        <x:v>270</x:v>
      </x:c>
      <x:c r="G287" t="str">
        <x:v>6886653ccf2f7f26378b9fbba87e5d7aae3e443821706df8a0161b30eed9fd61</x:v>
      </x:c>
      <x:c r="H287" t="str">
        <x:v>neu</x:v>
      </x:c>
      <x:c r="I287" t="str">
        <x:v>ok</x:v>
      </x:c>
      <x:c r="J287"/>
      <x:c r="K287" t="n">
        <x:v>46077</x:v>
      </x:c>
      <x:c r="L287" t="n">
        <x:v>46077</x:v>
      </x:c>
      <x:c r="M287" t="str">
        <x:v>Gebucht</x:v>
      </x:c>
      <x:c r="N287" t="str">
        <x:v>ISSUER</x:v>
      </x:c>
      <x:c r="O287" t="str">
        <x:v>REWE.Salzgitter.Ge/Salzgitter</x:v>
      </x:c>
      <x:c r="P287" t="str">
        <x:v>VISA Debitkartenumsatz vom 23.02.2026</x:v>
      </x:c>
      <x:c r="Q287" t="str">
        <x:v>Ausgang</x:v>
      </x:c>
      <x:c r="R287" t="str">
        <x:v>DE96120300009005290904</x:v>
      </x:c>
      <x:c r="S287" t="n">
        <x:v>-2.28</x:v>
      </x:c>
      <x:c r="T287" t="str">
        <x:v>"</x:v>
      </x:c>
      <x:c r="U287" t="str">
        <x:v>"</x:v>
      </x:c>
      <x:c r="V287" t="str">
        <x:v>486054688044477</x:v>
      </x:c>
    </x:row>
    <x:row r="288">
      <x:c r="A288" t="str">
        <x:v>RAW-IMP-20260516-FULLDRAFT-000271</x:v>
      </x:c>
      <x:c r="B288" t="str">
        <x:v>IMP-20260516-FULLDRAFT</x:v>
      </x:c>
      <x:c r="C288" t="str">
        <x:v>KTO001</x:v>
      </x:c>
      <x:c r="D288" t="str">
        <x:v>16-05-2026_Umsatzliste_Girokonto_DE98120300001061711675.csv</x:v>
      </x:c>
      <x:c r="E288" t="n">
        <x:v>46163</x:v>
      </x:c>
      <x:c r="F288" t="n">
        <x:v>271</x:v>
      </x:c>
      <x:c r="G288" t="str">
        <x:v>3c1395ce655afbb13d04f21af792d3ce55b7643e5ffda1b700d10dabd0f83acb</x:v>
      </x:c>
      <x:c r="H288" t="str">
        <x:v>neu</x:v>
      </x:c>
      <x:c r="I288" t="str">
        <x:v>ok</x:v>
      </x:c>
      <x:c r="J288"/>
      <x:c r="K288" t="n">
        <x:v>46077</x:v>
      </x:c>
      <x:c r="L288" t="n">
        <x:v>46077</x:v>
      </x:c>
      <x:c r="M288" t="str">
        <x:v>Gebucht</x:v>
      </x:c>
      <x:c r="N288" t="str">
        <x:v>ISSUER</x:v>
      </x:c>
      <x:c r="O288" t="str">
        <x:v>Ad.free.for..5W6C57YH5/4.4.2012E.11</x:v>
      </x:c>
      <x:c r="P288" t="str">
        <x:v>VISA Debitkartenumsatz vom 23.02.2026</x:v>
      </x:c>
      <x:c r="Q288" t="str">
        <x:v>Ausgang</x:v>
      </x:c>
      <x:c r="R288" t="str">
        <x:v>DE96120300009005290904</x:v>
      </x:c>
      <x:c r="S288" t="n">
        <x:v>-2.99</x:v>
      </x:c>
      <x:c r="T288" t="str">
        <x:v>"</x:v>
      </x:c>
      <x:c r="U288" t="str">
        <x:v>"</x:v>
      </x:c>
      <x:c r="V288" t="str">
        <x:v>486054712806305</x:v>
      </x:c>
    </x:row>
    <x:row r="289">
      <x:c r="A289" t="str">
        <x:v>RAW-IMP-20260516-FULLDRAFT-000272</x:v>
      </x:c>
      <x:c r="B289" t="str">
        <x:v>IMP-20260516-FULLDRAFT</x:v>
      </x:c>
      <x:c r="C289" t="str">
        <x:v>KTO001</x:v>
      </x:c>
      <x:c r="D289" t="str">
        <x:v>16-05-2026_Umsatzliste_Girokonto_DE98120300001061711675.csv</x:v>
      </x:c>
      <x:c r="E289" t="n">
        <x:v>46163</x:v>
      </x:c>
      <x:c r="F289" t="n">
        <x:v>272</x:v>
      </x:c>
      <x:c r="G289" t="str">
        <x:v>ccbb70040bb70eb460ff78ac97f6ebe5af8f2ae3b4e0ad294d3fe8e834bc0ad5</x:v>
      </x:c>
      <x:c r="H289" t="str">
        <x:v>neu</x:v>
      </x:c>
      <x:c r="I289" t="str">
        <x:v>ok</x:v>
      </x:c>
      <x:c r="J289"/>
      <x:c r="K289" t="n">
        <x:v>46077</x:v>
      </x:c>
      <x:c r="L289" t="n">
        <x:v>46077</x:v>
      </x:c>
      <x:c r="M289" t="str">
        <x:v>Gebucht</x:v>
      </x:c>
      <x:c r="N289" t="str">
        <x:v>Lars Kohlenberg</x:v>
      </x:c>
      <x:c r="O289" t="str">
        <x:v>Lars Kohlenberg</x:v>
      </x:c>
      <x:c r="P289" t="str">
        <x:v>UEbertrag</x:v>
      </x:c>
      <x:c r="Q289" t="str">
        <x:v>Eingang</x:v>
      </x:c>
      <x:c r="R289" t="str">
        <x:v>DE91270200001510365800</x:v>
      </x:c>
      <x:c r="S289" t="n">
        <x:v>300</x:v>
      </x:c>
      <x:c r="T289" t="str">
        <x:v>"</x:v>
      </x:c>
      <x:c r="U289" t="str">
        <x:v>"</x:v>
      </x:c>
      <x:c r="V289" t="str">
        <x:v>"</x:v>
      </x:c>
    </x:row>
    <x:row r="290">
      <x:c r="A290" t="str">
        <x:v>RAW-IMP-20260516-FULLDRAFT-000273</x:v>
      </x:c>
      <x:c r="B290" t="str">
        <x:v>IMP-20260516-FULLDRAFT</x:v>
      </x:c>
      <x:c r="C290" t="str">
        <x:v>KTO001</x:v>
      </x:c>
      <x:c r="D290" t="str">
        <x:v>16-05-2026_Umsatzliste_Girokonto_DE98120300001061711675.csv</x:v>
      </x:c>
      <x:c r="E290" t="n">
        <x:v>46163</x:v>
      </x:c>
      <x:c r="F290" t="n">
        <x:v>273</x:v>
      </x:c>
      <x:c r="G290" t="str">
        <x:v>1f9bbc134080c83e566f747f6e14440d511c3b3bdbc388d7b64ae5ddce778c39</x:v>
      </x:c>
      <x:c r="H290" t="str">
        <x:v>neu</x:v>
      </x:c>
      <x:c r="I290" t="str">
        <x:v>ok</x:v>
      </x:c>
      <x:c r="J290"/>
      <x:c r="K290" t="n">
        <x:v>46076</x:v>
      </x:c>
      <x:c r="L290" t="n">
        <x:v>46076</x:v>
      </x:c>
      <x:c r="M290" t="str">
        <x:v>Gebucht</x:v>
      </x:c>
      <x:c r="N290" t="str">
        <x:v>ISSUER</x:v>
      </x:c>
      <x:c r="O290" t="str">
        <x:v>MARKUS.FINKE/SALZGITTER</x:v>
      </x:c>
      <x:c r="P290" t="str">
        <x:v>VISA Debitkartenumsatz vom 21.02.2026</x:v>
      </x:c>
      <x:c r="Q290" t="str">
        <x:v>Ausgang</x:v>
      </x:c>
      <x:c r="R290" t="str">
        <x:v>DE96120300009005290904</x:v>
      </x:c>
      <x:c r="S290" t="n">
        <x:v>-270</x:v>
      </x:c>
      <x:c r="T290" t="str">
        <x:v>"</x:v>
      </x:c>
      <x:c r="U290" t="str">
        <x:v>"</x:v>
      </x:c>
      <x:c r="V290" t="str">
        <x:v>486052347688518</x:v>
      </x:c>
    </x:row>
    <x:row r="291">
      <x:c r="A291" t="str">
        <x:v>RAW-IMP-20260516-FULLDRAFT-000274</x:v>
      </x:c>
      <x:c r="B291" t="str">
        <x:v>IMP-20260516-FULLDRAFT</x:v>
      </x:c>
      <x:c r="C291" t="str">
        <x:v>KTO001</x:v>
      </x:c>
      <x:c r="D291" t="str">
        <x:v>16-05-2026_Umsatzliste_Girokonto_DE98120300001061711675.csv</x:v>
      </x:c>
      <x:c r="E291" t="n">
        <x:v>46163</x:v>
      </x:c>
      <x:c r="F291" t="n">
        <x:v>274</x:v>
      </x:c>
      <x:c r="G291" t="str">
        <x:v>2abfa7c5e162e85d6bf43ea6d5aa302b5eadd99d54a1bcd6fc836e9631ff1312</x:v>
      </x:c>
      <x:c r="H291" t="str">
        <x:v>neu</x:v>
      </x:c>
      <x:c r="I291" t="str">
        <x:v>ok</x:v>
      </x:c>
      <x:c r="J291"/>
      <x:c r="K291" t="n">
        <x:v>46076</x:v>
      </x:c>
      <x:c r="L291" t="n">
        <x:v>46076</x:v>
      </x:c>
      <x:c r="M291" t="str">
        <x:v>Gebucht</x:v>
      </x:c>
      <x:c r="N291" t="str">
        <x:v>ISSUER</x:v>
      </x:c>
      <x:c r="O291" t="str">
        <x:v>DM.Drogerie.Markt/Salzgitter</x:v>
      </x:c>
      <x:c r="P291" t="str">
        <x:v>VISA Debitkartenumsatz vom 21.02.2026</x:v>
      </x:c>
      <x:c r="Q291" t="str">
        <x:v>Ausgang</x:v>
      </x:c>
      <x:c r="R291" t="str">
        <x:v>DE96120300009005290904</x:v>
      </x:c>
      <x:c r="S291" t="n">
        <x:v>-6.09</x:v>
      </x:c>
      <x:c r="T291" t="str">
        <x:v>"</x:v>
      </x:c>
      <x:c r="U291" t="str">
        <x:v>"</x:v>
      </x:c>
      <x:c r="V291" t="str">
        <x:v>486052306852178</x:v>
      </x:c>
    </x:row>
    <x:row r="292">
      <x:c r="A292" t="str">
        <x:v>RAW-IMP-20260516-FULLDRAFT-000275</x:v>
      </x:c>
      <x:c r="B292" t="str">
        <x:v>IMP-20260516-FULLDRAFT</x:v>
      </x:c>
      <x:c r="C292" t="str">
        <x:v>KTO001</x:v>
      </x:c>
      <x:c r="D292" t="str">
        <x:v>16-05-2026_Umsatzliste_Girokonto_DE98120300001061711675.csv</x:v>
      </x:c>
      <x:c r="E292" t="n">
        <x:v>46163</x:v>
      </x:c>
      <x:c r="F292" t="n">
        <x:v>275</x:v>
      </x:c>
      <x:c r="G292" t="str">
        <x:v>84fee489f86970ff9db34d6698e0f7da9721e6eb0f31db3301f040253c0aa3e2</x:v>
      </x:c>
      <x:c r="H292" t="str">
        <x:v>neu</x:v>
      </x:c>
      <x:c r="I292" t="str">
        <x:v>ok</x:v>
      </x:c>
      <x:c r="J292"/>
      <x:c r="K292" t="n">
        <x:v>46076</x:v>
      </x:c>
      <x:c r="L292" t="n">
        <x:v>46076</x:v>
      </x:c>
      <x:c r="M292" t="str">
        <x:v>Gebucht</x:v>
      </x:c>
      <x:c r="N292" t="str">
        <x:v>ISSUER</x:v>
      </x:c>
      <x:c r="O292" t="str">
        <x:v>KAUFLAND.SALZGITTER.CIT/SALZGITTER</x:v>
      </x:c>
      <x:c r="P292" t="str">
        <x:v>VISA Debitkartenumsatz vom 21.02.2026</x:v>
      </x:c>
      <x:c r="Q292" t="str">
        <x:v>Ausgang</x:v>
      </x:c>
      <x:c r="R292" t="str">
        <x:v>DE96120300009005290904</x:v>
      </x:c>
      <x:c r="S292" t="n">
        <x:v>-11.83</x:v>
      </x:c>
      <x:c r="T292" t="str">
        <x:v>"</x:v>
      </x:c>
      <x:c r="U292" t="str">
        <x:v>"</x:v>
      </x:c>
      <x:c r="V292" t="str">
        <x:v>486052313182390</x:v>
      </x:c>
    </x:row>
    <x:row r="293">
      <x:c r="A293" t="str">
        <x:v>RAW-IMP-20260516-FULLDRAFT-000276</x:v>
      </x:c>
      <x:c r="B293" t="str">
        <x:v>IMP-20260516-FULLDRAFT</x:v>
      </x:c>
      <x:c r="C293" t="str">
        <x:v>KTO001</x:v>
      </x:c>
      <x:c r="D293" t="str">
        <x:v>16-05-2026_Umsatzliste_Girokonto_DE98120300001061711675.csv</x:v>
      </x:c>
      <x:c r="E293" t="n">
        <x:v>46163</x:v>
      </x:c>
      <x:c r="F293" t="n">
        <x:v>276</x:v>
      </x:c>
      <x:c r="G293" t="str">
        <x:v>27dc9d9a43e12893b1fe839a24c84b6cd73f792af8123a9a78eb5a883dcf7cb1</x:v>
      </x:c>
      <x:c r="H293" t="str">
        <x:v>neu</x:v>
      </x:c>
      <x:c r="I293" t="str">
        <x:v>ok</x:v>
      </x:c>
      <x:c r="J293"/>
      <x:c r="K293" t="n">
        <x:v>46076</x:v>
      </x:c>
      <x:c r="L293" t="n">
        <x:v>46076</x:v>
      </x:c>
      <x:c r="M293" t="str">
        <x:v>Gebucht</x:v>
      </x:c>
      <x:c r="N293" t="str">
        <x:v>Lars Kohlenberg</x:v>
      </x:c>
      <x:c r="O293" t="str">
        <x:v>Drillisch Online GmbH                                                 Lindleystrase 11, 60314 Frankfurt am Main</x:v>
      </x:c>
      <x:c r="P293" t="str">
        <x:v>C0851820 U779136230 B890051024 winSIM</x:v>
      </x:c>
      <x:c r="Q293" t="str">
        <x:v>Ausgang</x:v>
      </x:c>
      <x:c r="R293" t="str">
        <x:v>DE87300500000008996811</x:v>
      </x:c>
      <x:c r="S293" t="n">
        <x:v>-6.99</x:v>
      </x:c>
      <x:c r="T293" t="str">
        <x:v>DE40ZZZ00000206926</x:v>
      </x:c>
      <x:c r="U293" t="str">
        <x:v>FB1310D094B04186E02ACE7B8C6</x:v>
      </x:c>
      <x:c r="V293" t="str">
        <x:v>C0851820+U779136230</x:v>
      </x:c>
    </x:row>
    <x:row r="294">
      <x:c r="A294" t="str">
        <x:v>RAW-IMP-20260516-FULLDRAFT-000277</x:v>
      </x:c>
      <x:c r="B294" t="str">
        <x:v>IMP-20260516-FULLDRAFT</x:v>
      </x:c>
      <x:c r="C294" t="str">
        <x:v>KTO001</x:v>
      </x:c>
      <x:c r="D294" t="str">
        <x:v>16-05-2026_Umsatzliste_Girokonto_DE98120300001061711675.csv</x:v>
      </x:c>
      <x:c r="E294" t="n">
        <x:v>46163</x:v>
      </x:c>
      <x:c r="F294" t="n">
        <x:v>277</x:v>
      </x:c>
      <x:c r="G294" t="str">
        <x:v>75c71660e0e4590ba718b8d2957cec1a740edfea1b2a0c240d8da077cf383ce8</x:v>
      </x:c>
      <x:c r="H294" t="str">
        <x:v>neu</x:v>
      </x:c>
      <x:c r="I294" t="str">
        <x:v>ok</x:v>
      </x:c>
      <x:c r="J294"/>
      <x:c r="K294" t="n">
        <x:v>46073</x:v>
      </x:c>
      <x:c r="L294" t="n">
        <x:v>46073</x:v>
      </x:c>
      <x:c r="M294" t="str">
        <x:v>Gebucht</x:v>
      </x:c>
      <x:c r="N294" t="str">
        <x:v>ISSUER</x:v>
      </x:c>
      <x:c r="O294" t="str">
        <x:v>PAYPAL..HPDEUTSCHLA/4029357733</x:v>
      </x:c>
      <x:c r="P294" t="str">
        <x:v>VISA Debitkartenumsatz vom 19.02.2026</x:v>
      </x:c>
      <x:c r="Q294" t="str">
        <x:v>Ausgang</x:v>
      </x:c>
      <x:c r="R294" t="str">
        <x:v>DE96120300009005290904</x:v>
      </x:c>
      <x:c r="S294" t="n">
        <x:v>-4.99</x:v>
      </x:c>
      <x:c r="T294" t="str">
        <x:v>"</x:v>
      </x:c>
      <x:c r="U294" t="str">
        <x:v>"</x:v>
      </x:c>
      <x:c r="V294" t="str">
        <x:v>306050584618822</x:v>
      </x:c>
    </x:row>
    <x:row r="295">
      <x:c r="A295" t="str">
        <x:v>RAW-IMP-20260516-FULLDRAFT-000278</x:v>
      </x:c>
      <x:c r="B295" t="str">
        <x:v>IMP-20260516-FULLDRAFT</x:v>
      </x:c>
      <x:c r="C295" t="str">
        <x:v>KTO001</x:v>
      </x:c>
      <x:c r="D295" t="str">
        <x:v>16-05-2026_Umsatzliste_Girokonto_DE98120300001061711675.csv</x:v>
      </x:c>
      <x:c r="E295" t="n">
        <x:v>46163</x:v>
      </x:c>
      <x:c r="F295" t="n">
        <x:v>278</x:v>
      </x:c>
      <x:c r="G295" t="str">
        <x:v>21ded23185572c083ad3fc2d1c717d74f58fc9d9357bdd7c726612e39f80aafa</x:v>
      </x:c>
      <x:c r="H295" t="str">
        <x:v>neu</x:v>
      </x:c>
      <x:c r="I295" t="str">
        <x:v>ok</x:v>
      </x:c>
      <x:c r="J295"/>
      <x:c r="K295" t="n">
        <x:v>46073</x:v>
      </x:c>
      <x:c r="L295" t="n">
        <x:v>46073</x:v>
      </x:c>
      <x:c r="M295" t="str">
        <x:v>Gebucht</x:v>
      </x:c>
      <x:c r="N295" t="str">
        <x:v>ISSUER</x:v>
      </x:c>
      <x:c r="O295" t="str">
        <x:v>REWE.Salzgitter.Ge/Salzgitter</x:v>
      </x:c>
      <x:c r="P295" t="str">
        <x:v>VISA Debitkartenumsatz vom 19.02.2026</x:v>
      </x:c>
      <x:c r="Q295" t="str">
        <x:v>Ausgang</x:v>
      </x:c>
      <x:c r="R295" t="str">
        <x:v>DE96120300009005290904</x:v>
      </x:c>
      <x:c r="S295" t="n">
        <x:v>-19.11</x:v>
      </x:c>
      <x:c r="T295" t="str">
        <x:v>"</x:v>
      </x:c>
      <x:c r="U295" t="str">
        <x:v>"</x:v>
      </x:c>
      <x:c r="V295" t="str">
        <x:v>486050421113919</x:v>
      </x:c>
    </x:row>
    <x:row r="296">
      <x:c r="A296" t="str">
        <x:v>RAW-IMP-20260516-FULLDRAFT-000279</x:v>
      </x:c>
      <x:c r="B296" t="str">
        <x:v>IMP-20260516-FULLDRAFT</x:v>
      </x:c>
      <x:c r="C296" t="str">
        <x:v>KTO001</x:v>
      </x:c>
      <x:c r="D296" t="str">
        <x:v>16-05-2026_Umsatzliste_Girokonto_DE98120300001061711675.csv</x:v>
      </x:c>
      <x:c r="E296" t="n">
        <x:v>46163</x:v>
      </x:c>
      <x:c r="F296" t="n">
        <x:v>279</x:v>
      </x:c>
      <x:c r="G296" t="str">
        <x:v>0336ca5c7968ae13d6354865e62f56fe4aa0d3e276f05f50bf09b7dc03018bce</x:v>
      </x:c>
      <x:c r="H296" t="str">
        <x:v>neu</x:v>
      </x:c>
      <x:c r="I296" t="str">
        <x:v>ok</x:v>
      </x:c>
      <x:c r="J296"/>
      <x:c r="K296" t="n">
        <x:v>46073</x:v>
      </x:c>
      <x:c r="L296" t="n">
        <x:v>46073</x:v>
      </x:c>
      <x:c r="M296" t="str">
        <x:v>Gebucht</x:v>
      </x:c>
      <x:c r="N296" t="str">
        <x:v>Lars Kohlenberg</x:v>
      </x:c>
      <x:c r="O296" t="str">
        <x:v>Drillisch Online GmbH                                                 Lindleystrase 11, 60314 Frankfurt am Main</x:v>
      </x:c>
      <x:c r="P296" t="str">
        <x:v>C0851820 U777964113 B888459480 winSIM</x:v>
      </x:c>
      <x:c r="Q296" t="str">
        <x:v>Ausgang</x:v>
      </x:c>
      <x:c r="R296" t="str">
        <x:v>DE87300500000008996811</x:v>
      </x:c>
      <x:c r="S296" t="n">
        <x:v>-6.99</x:v>
      </x:c>
      <x:c r="T296" t="str">
        <x:v>DE40ZZZ00000206926</x:v>
      </x:c>
      <x:c r="U296" t="str">
        <x:v>FB1310D094B04186E02ACE7B8C6</x:v>
      </x:c>
      <x:c r="V296" t="str">
        <x:v>C0851820+U777964113</x:v>
      </x:c>
    </x:row>
    <x:row r="297">
      <x:c r="A297" t="str">
        <x:v>RAW-IMP-20260516-FULLDRAFT-000280</x:v>
      </x:c>
      <x:c r="B297" t="str">
        <x:v>IMP-20260516-FULLDRAFT</x:v>
      </x:c>
      <x:c r="C297" t="str">
        <x:v>KTO001</x:v>
      </x:c>
      <x:c r="D297" t="str">
        <x:v>16-05-2026_Umsatzliste_Girokonto_DE98120300001061711675.csv</x:v>
      </x:c>
      <x:c r="E297" t="n">
        <x:v>46163</x:v>
      </x:c>
      <x:c r="F297" t="n">
        <x:v>280</x:v>
      </x:c>
      <x:c r="G297" t="str">
        <x:v>1c7684c38dfd486709090c908032ebcea1f5ad04f401d3c10c1159111b769b0d</x:v>
      </x:c>
      <x:c r="H297" t="str">
        <x:v>neu</x:v>
      </x:c>
      <x:c r="I297" t="str">
        <x:v>ok</x:v>
      </x:c>
      <x:c r="J297"/>
      <x:c r="K297" t="n">
        <x:v>46072</x:v>
      </x:c>
      <x:c r="L297" t="n">
        <x:v>46072</x:v>
      </x:c>
      <x:c r="M297" t="str">
        <x:v>Gebucht</x:v>
      </x:c>
      <x:c r="N297" t="str">
        <x:v>Lars Kohlenberg</x:v>
      </x:c>
      <x:c r="O297" t="str">
        <x:v>Lars Kohlenberg</x:v>
      </x:c>
      <x:c r="P297" t="str">
        <x:v>UEbertrag</x:v>
      </x:c>
      <x:c r="Q297" t="str">
        <x:v>Eingang</x:v>
      </x:c>
      <x:c r="R297" t="str">
        <x:v>DE91270200001510365800</x:v>
      </x:c>
      <x:c r="S297" t="n">
        <x:v>400</x:v>
      </x:c>
      <x:c r="T297" t="str">
        <x:v>"</x:v>
      </x:c>
      <x:c r="U297" t="str">
        <x:v>"</x:v>
      </x:c>
      <x:c r="V297" t="str">
        <x:v>"</x:v>
      </x:c>
    </x:row>
    <x:row r="298">
      <x:c r="A298" t="str">
        <x:v>RAW-IMP-20260516-FULLDRAFT-000281</x:v>
      </x:c>
      <x:c r="B298" t="str">
        <x:v>IMP-20260516-FULLDRAFT</x:v>
      </x:c>
      <x:c r="C298" t="str">
        <x:v>KTO001</x:v>
      </x:c>
      <x:c r="D298" t="str">
        <x:v>16-05-2026_Umsatzliste_Girokonto_DE98120300001061711675.csv</x:v>
      </x:c>
      <x:c r="E298" t="n">
        <x:v>46163</x:v>
      </x:c>
      <x:c r="F298" t="n">
        <x:v>281</x:v>
      </x:c>
      <x:c r="G298" t="str">
        <x:v>71c68d3678289f8612151a5d016558fc8ebbb769b57c078059fa2c148b2afb09</x:v>
      </x:c>
      <x:c r="H298" t="str">
        <x:v>neu</x:v>
      </x:c>
      <x:c r="I298" t="str">
        <x:v>ok</x:v>
      </x:c>
      <x:c r="J298"/>
      <x:c r="K298" t="n">
        <x:v>46072</x:v>
      </x:c>
      <x:c r="L298" t="n">
        <x:v>46072</x:v>
      </x:c>
      <x:c r="M298" t="str">
        <x:v>Gebucht</x:v>
      </x:c>
      <x:c r="N298" t="str">
        <x:v>Lars Kohlenberg</x:v>
      </x:c>
      <x:c r="O298" t="str">
        <x:v>Drillisch Online GmbH                                                 Lindleystrase 11, 60314 Frankfurt am Main</x:v>
      </x:c>
      <x:c r="P298" t="str">
        <x:v>C0851820 U777032041 B888315931 winSIM</x:v>
      </x:c>
      <x:c r="Q298" t="str">
        <x:v>Ausgang</x:v>
      </x:c>
      <x:c r="R298" t="str">
        <x:v>DE87300500000008996811</x:v>
      </x:c>
      <x:c r="S298" t="n">
        <x:v>-6.99</x:v>
      </x:c>
      <x:c r="T298" t="str">
        <x:v>DE40ZZZ00000206926</x:v>
      </x:c>
      <x:c r="U298" t="str">
        <x:v>FB1310D094B04186E02ACE7B8C6</x:v>
      </x:c>
      <x:c r="V298" t="str">
        <x:v>C0851820+U777032041</x:v>
      </x:c>
    </x:row>
    <x:row r="299">
      <x:c r="A299" t="str">
        <x:v>RAW-IMP-20260516-FULLDRAFT-000282</x:v>
      </x:c>
      <x:c r="B299" t="str">
        <x:v>IMP-20260516-FULLDRAFT</x:v>
      </x:c>
      <x:c r="C299" t="str">
        <x:v>KTO001</x:v>
      </x:c>
      <x:c r="D299" t="str">
        <x:v>16-05-2026_Umsatzliste_Girokonto_DE98120300001061711675.csv</x:v>
      </x:c>
      <x:c r="E299" t="n">
        <x:v>46163</x:v>
      </x:c>
      <x:c r="F299" t="n">
        <x:v>282</x:v>
      </x:c>
      <x:c r="G299" t="str">
        <x:v>3ec76ec87a3eda18542e5dea5accccd016f32867c224153d5b6dc805de05298b</x:v>
      </x:c>
      <x:c r="H299" t="str">
        <x:v>neu</x:v>
      </x:c>
      <x:c r="I299" t="str">
        <x:v>ok</x:v>
      </x:c>
      <x:c r="J299"/>
      <x:c r="K299" t="n">
        <x:v>46071</x:v>
      </x:c>
      <x:c r="L299" t="n">
        <x:v>46071</x:v>
      </x:c>
      <x:c r="M299" t="str">
        <x:v>Gebucht</x:v>
      </x:c>
      <x:c r="N299" t="str">
        <x:v>ISSUER</x:v>
      </x:c>
      <x:c r="O299" t="str">
        <x:v>REWE.Salzgitter.Ge/Salzgitter</x:v>
      </x:c>
      <x:c r="P299" t="str">
        <x:v>VISA Debitkartenumsatz vom 17.02.2026</x:v>
      </x:c>
      <x:c r="Q299" t="str">
        <x:v>Ausgang</x:v>
      </x:c>
      <x:c r="R299" t="str">
        <x:v>DE96120300009005290904</x:v>
      </x:c>
      <x:c r="S299" t="n">
        <x:v>-13.75</x:v>
      </x:c>
      <x:c r="T299" t="str">
        <x:v>"</x:v>
      </x:c>
      <x:c r="U299" t="str">
        <x:v>"</x:v>
      </x:c>
      <x:c r="V299" t="str">
        <x:v>486048409802552</x:v>
      </x:c>
    </x:row>
    <x:row r="300">
      <x:c r="A300" t="str">
        <x:v>RAW-IMP-20260516-FULLDRAFT-000283</x:v>
      </x:c>
      <x:c r="B300" t="str">
        <x:v>IMP-20260516-FULLDRAFT</x:v>
      </x:c>
      <x:c r="C300" t="str">
        <x:v>KTO001</x:v>
      </x:c>
      <x:c r="D300" t="str">
        <x:v>16-05-2026_Umsatzliste_Girokonto_DE98120300001061711675.csv</x:v>
      </x:c>
      <x:c r="E300" t="n">
        <x:v>46163</x:v>
      </x:c>
      <x:c r="F300" t="n">
        <x:v>283</x:v>
      </x:c>
      <x:c r="G300" t="str">
        <x:v>7c8c96769c9a7c72d7d05d9f306f2ce29299e0e16c6eb916075d3a57ee2dff5f</x:v>
      </x:c>
      <x:c r="H300" t="str">
        <x:v>neu</x:v>
      </x:c>
      <x:c r="I300" t="str">
        <x:v>ok</x:v>
      </x:c>
      <x:c r="J300"/>
      <x:c r="K300" t="n">
        <x:v>46070</x:v>
      </x:c>
      <x:c r="L300" t="n">
        <x:v>46070</x:v>
      </x:c>
      <x:c r="M300" t="str">
        <x:v>Gebucht</x:v>
      </x:c>
      <x:c r="N300" t="str">
        <x:v>ISSUER</x:v>
      </x:c>
      <x:c r="O300" t="str">
        <x:v>CLAUDE.AI.SUBSCRIPTION/ANTHROPIC.COM</x:v>
      </x:c>
      <x:c r="P300" t="str">
        <x:v>VISA Debitkartenumsatz vom 16.02.2026</x:v>
      </x:c>
      <x:c r="Q300" t="str">
        <x:v>Ausgang</x:v>
      </x:c>
      <x:c r="R300" t="str">
        <x:v>DE96120300009005290904</x:v>
      </x:c>
      <x:c r="S300" t="n">
        <x:v>-21.42</x:v>
      </x:c>
      <x:c r="T300" t="str">
        <x:v>"</x:v>
      </x:c>
      <x:c r="U300" t="str">
        <x:v>"</x:v>
      </x:c>
      <x:c r="V300" t="str">
        <x:v>466047581429810</x:v>
      </x:c>
    </x:row>
    <x:row r="301">
      <x:c r="A301" t="str">
        <x:v>RAW-IMP-20260516-FULLDRAFT-000284</x:v>
      </x:c>
      <x:c r="B301" t="str">
        <x:v>IMP-20260516-FULLDRAFT</x:v>
      </x:c>
      <x:c r="C301" t="str">
        <x:v>KTO001</x:v>
      </x:c>
      <x:c r="D301" t="str">
        <x:v>16-05-2026_Umsatzliste_Girokonto_DE98120300001061711675.csv</x:v>
      </x:c>
      <x:c r="E301" t="n">
        <x:v>46163</x:v>
      </x:c>
      <x:c r="F301" t="n">
        <x:v>284</x:v>
      </x:c>
      <x:c r="G301" t="str">
        <x:v>76c622fb16b24da2b71215d47c9cf6ac73d3c75474dbfba2b27bb8b9bfe29439</x:v>
      </x:c>
      <x:c r="H301" t="str">
        <x:v>neu</x:v>
      </x:c>
      <x:c r="I301" t="str">
        <x:v>ok</x:v>
      </x:c>
      <x:c r="J301"/>
      <x:c r="K301" t="n">
        <x:v>46070</x:v>
      </x:c>
      <x:c r="L301" t="n">
        <x:v>46070</x:v>
      </x:c>
      <x:c r="M301" t="str">
        <x:v>Gebucht</x:v>
      </x:c>
      <x:c r="N301" t="str">
        <x:v>ISSUER</x:v>
      </x:c>
      <x:c r="O301" t="str">
        <x:v>SPC.Helios.Klinikum.Hil/Grunwald</x:v>
      </x:c>
      <x:c r="P301" t="str">
        <x:v>VISA Debitkartenumsatz vom 16.02.2026</x:v>
      </x:c>
      <x:c r="Q301" t="str">
        <x:v>Ausgang</x:v>
      </x:c>
      <x:c r="R301" t="str">
        <x:v>DE96120300009005290904</x:v>
      </x:c>
      <x:c r="S301" t="n">
        <x:v>-1.5</x:v>
      </x:c>
      <x:c r="T301" t="str">
        <x:v>"</x:v>
      </x:c>
      <x:c r="U301" t="str">
        <x:v>"</x:v>
      </x:c>
      <x:c r="V301" t="str">
        <x:v>486047357606319</x:v>
      </x:c>
    </x:row>
    <x:row r="302">
      <x:c r="A302" t="str">
        <x:v>RAW-IMP-20260516-FULLDRAFT-000285</x:v>
      </x:c>
      <x:c r="B302" t="str">
        <x:v>IMP-20260516-FULLDRAFT</x:v>
      </x:c>
      <x:c r="C302" t="str">
        <x:v>KTO001</x:v>
      </x:c>
      <x:c r="D302" t="str">
        <x:v>16-05-2026_Umsatzliste_Girokonto_DE98120300001061711675.csv</x:v>
      </x:c>
      <x:c r="E302" t="n">
        <x:v>46163</x:v>
      </x:c>
      <x:c r="F302" t="n">
        <x:v>285</x:v>
      </x:c>
      <x:c r="G302" t="str">
        <x:v>e2409d7ab9f951348d3d06cb16679bc7f4cd04d9e7ba2566864d11ad668cbf52</x:v>
      </x:c>
      <x:c r="H302" t="str">
        <x:v>neu</x:v>
      </x:c>
      <x:c r="I302" t="str">
        <x:v>ok</x:v>
      </x:c>
      <x:c r="J302"/>
      <x:c r="K302" t="n">
        <x:v>46070</x:v>
      </x:c>
      <x:c r="L302" t="n">
        <x:v>46070</x:v>
      </x:c>
      <x:c r="M302" t="str">
        <x:v>Gebucht</x:v>
      </x:c>
      <x:c r="N302" t="str">
        <x:v>Lars Kohlenberg</x:v>
      </x:c>
      <x:c r="O302" t="str">
        <x:v>Lars Kohlenberg</x:v>
      </x:c>
      <x:c r="P302" t="str">
        <x:v>UEbertrag</x:v>
      </x:c>
      <x:c r="Q302" t="str">
        <x:v>Eingang</x:v>
      </x:c>
      <x:c r="R302" t="str">
        <x:v>DE91270200001510365800</x:v>
      </x:c>
      <x:c r="S302" t="n">
        <x:v>300</x:v>
      </x:c>
      <x:c r="T302" t="str">
        <x:v>"</x:v>
      </x:c>
      <x:c r="U302" t="str">
        <x:v>"</x:v>
      </x:c>
      <x:c r="V302" t="str">
        <x:v>"</x:v>
      </x:c>
    </x:row>
    <x:row r="303">
      <x:c r="A303" t="str">
        <x:v>RAW-IMP-20260516-FULLDRAFT-000286</x:v>
      </x:c>
      <x:c r="B303" t="str">
        <x:v>IMP-20260516-FULLDRAFT</x:v>
      </x:c>
      <x:c r="C303" t="str">
        <x:v>KTO001</x:v>
      </x:c>
      <x:c r="D303" t="str">
        <x:v>16-05-2026_Umsatzliste_Girokonto_DE98120300001061711675.csv</x:v>
      </x:c>
      <x:c r="E303" t="n">
        <x:v>46163</x:v>
      </x:c>
      <x:c r="F303" t="n">
        <x:v>286</x:v>
      </x:c>
      <x:c r="G303" t="str">
        <x:v>2319a7ab95d6432ffca8255fc41621746d65561fb242784f44287a98b1c25c4a</x:v>
      </x:c>
      <x:c r="H303" t="str">
        <x:v>neu</x:v>
      </x:c>
      <x:c r="I303" t="str">
        <x:v>ok</x:v>
      </x:c>
      <x:c r="J303"/>
      <x:c r="K303" t="n">
        <x:v>46069</x:v>
      </x:c>
      <x:c r="L303" t="n">
        <x:v>46069</x:v>
      </x:c>
      <x:c r="M303" t="str">
        <x:v>Gebucht</x:v>
      </x:c>
      <x:c r="N303" t="str">
        <x:v>ISSUER</x:v>
      </x:c>
      <x:c r="O303" t="str">
        <x:v>MCDONALDS51248/GOSLAR</x:v>
      </x:c>
      <x:c r="P303" t="str">
        <x:v>VISA Debitkartenumsatz vom 15.02.2026</x:v>
      </x:c>
      <x:c r="Q303" t="str">
        <x:v>Ausgang</x:v>
      </x:c>
      <x:c r="R303" t="str">
        <x:v>DE96120300009005290904</x:v>
      </x:c>
      <x:c r="S303" t="n">
        <x:v>-7.19</x:v>
      </x:c>
      <x:c r="T303" t="str">
        <x:v>"</x:v>
      </x:c>
      <x:c r="U303" t="str">
        <x:v>"</x:v>
      </x:c>
      <x:c r="V303" t="str">
        <x:v>486046643782849</x:v>
      </x:c>
    </x:row>
    <x:row r="304">
      <x:c r="A304" t="str">
        <x:v>RAW-IMP-20260516-FULLDRAFT-000287</x:v>
      </x:c>
      <x:c r="B304" t="str">
        <x:v>IMP-20260516-FULLDRAFT</x:v>
      </x:c>
      <x:c r="C304" t="str">
        <x:v>KTO001</x:v>
      </x:c>
      <x:c r="D304" t="str">
        <x:v>16-05-2026_Umsatzliste_Girokonto_DE98120300001061711675.csv</x:v>
      </x:c>
      <x:c r="E304" t="n">
        <x:v>46163</x:v>
      </x:c>
      <x:c r="F304" t="n">
        <x:v>287</x:v>
      </x:c>
      <x:c r="G304" t="str">
        <x:v>5e2863196fcf88f19cded10638aedca47ffd307df867ba2635104528ee26dc51</x:v>
      </x:c>
      <x:c r="H304" t="str">
        <x:v>neu</x:v>
      </x:c>
      <x:c r="I304" t="str">
        <x:v>ok</x:v>
      </x:c>
      <x:c r="J304"/>
      <x:c r="K304" t="n">
        <x:v>46069</x:v>
      </x:c>
      <x:c r="L304" t="n">
        <x:v>46069</x:v>
      </x:c>
      <x:c r="M304" t="str">
        <x:v>Gebucht</x:v>
      </x:c>
      <x:c r="N304" t="str">
        <x:v>ISSUER</x:v>
      </x:c>
      <x:c r="O304" t="str">
        <x:v>MARKUS.FINKE/SALZGITTER</x:v>
      </x:c>
      <x:c r="P304" t="str">
        <x:v>VISA Debitkartenumsatz vom 14.02.2026</x:v>
      </x:c>
      <x:c r="Q304" t="str">
        <x:v>Ausgang</x:v>
      </x:c>
      <x:c r="R304" t="str">
        <x:v>DE96120300009005290904</x:v>
      </x:c>
      <x:c r="S304" t="n">
        <x:v>-340</x:v>
      </x:c>
      <x:c r="T304" t="str">
        <x:v>"</x:v>
      </x:c>
      <x:c r="U304" t="str">
        <x:v>"</x:v>
      </x:c>
      <x:c r="V304" t="str">
        <x:v>486045405045704</x:v>
      </x:c>
    </x:row>
    <x:row r="305">
      <x:c r="A305" t="str">
        <x:v>RAW-IMP-20260516-FULLDRAFT-000288</x:v>
      </x:c>
      <x:c r="B305" t="str">
        <x:v>IMP-20260516-FULLDRAFT</x:v>
      </x:c>
      <x:c r="C305" t="str">
        <x:v>KTO001</x:v>
      </x:c>
      <x:c r="D305" t="str">
        <x:v>16-05-2026_Umsatzliste_Girokonto_DE98120300001061711675.csv</x:v>
      </x:c>
      <x:c r="E305" t="n">
        <x:v>46163</x:v>
      </x:c>
      <x:c r="F305" t="n">
        <x:v>288</x:v>
      </x:c>
      <x:c r="G305" t="str">
        <x:v>56873c8bacdc7ae98c65c80a37c2ee0227a1a561728f8f4c87c6471b19956b13</x:v>
      </x:c>
      <x:c r="H305" t="str">
        <x:v>neu</x:v>
      </x:c>
      <x:c r="I305" t="str">
        <x:v>ok</x:v>
      </x:c>
      <x:c r="J305"/>
      <x:c r="K305" t="n">
        <x:v>46069</x:v>
      </x:c>
      <x:c r="L305" t="n">
        <x:v>46069</x:v>
      </x:c>
      <x:c r="M305" t="str">
        <x:v>Gebucht</x:v>
      </x:c>
      <x:c r="N305" t="str">
        <x:v>ISSUER</x:v>
      </x:c>
      <x:c r="O305" t="str">
        <x:v>REWE.Salzgitter.Ge/Salzgitter</x:v>
      </x:c>
      <x:c r="P305" t="str">
        <x:v>VISA Debitkartenumsatz vom 14.02.2026</x:v>
      </x:c>
      <x:c r="Q305" t="str">
        <x:v>Ausgang</x:v>
      </x:c>
      <x:c r="R305" t="str">
        <x:v>DE96120300009005290904</x:v>
      </x:c>
      <x:c r="S305" t="n">
        <x:v>-92.37</x:v>
      </x:c>
      <x:c r="T305" t="str">
        <x:v>"</x:v>
      </x:c>
      <x:c r="U305" t="str">
        <x:v>"</x:v>
      </x:c>
      <x:c r="V305" t="str">
        <x:v>486045576798746</x:v>
      </x:c>
    </x:row>
    <x:row r="306">
      <x:c r="A306" t="str">
        <x:v>RAW-IMP-20260516-FULLDRAFT-000289</x:v>
      </x:c>
      <x:c r="B306" t="str">
        <x:v>IMP-20260516-FULLDRAFT</x:v>
      </x:c>
      <x:c r="C306" t="str">
        <x:v>KTO001</x:v>
      </x:c>
      <x:c r="D306" t="str">
        <x:v>16-05-2026_Umsatzliste_Girokonto_DE98120300001061711675.csv</x:v>
      </x:c>
      <x:c r="E306" t="n">
        <x:v>46163</x:v>
      </x:c>
      <x:c r="F306" t="n">
        <x:v>289</x:v>
      </x:c>
      <x:c r="G306" t="str">
        <x:v>c2ccd0a36639d4421ccfdcf6cb35c7418232d45a98d89345df5885f1975b9526</x:v>
      </x:c>
      <x:c r="H306" t="str">
        <x:v>neu</x:v>
      </x:c>
      <x:c r="I306" t="str">
        <x:v>ok</x:v>
      </x:c>
      <x:c r="J306"/>
      <x:c r="K306" t="n">
        <x:v>46069</x:v>
      </x:c>
      <x:c r="L306" t="n">
        <x:v>46069</x:v>
      </x:c>
      <x:c r="M306" t="str">
        <x:v>Gebucht</x:v>
      </x:c>
      <x:c r="N306" t="str">
        <x:v>ISSUER</x:v>
      </x:c>
      <x:c r="O306" t="str">
        <x:v>Badeland.Wolfsburg/Wolfsburg</x:v>
      </x:c>
      <x:c r="P306" t="str">
        <x:v>VISA Debitkartenumsatz vom 13.02.2026</x:v>
      </x:c>
      <x:c r="Q306" t="str">
        <x:v>Ausgang</x:v>
      </x:c>
      <x:c r="R306" t="str">
        <x:v>DE96120300009005290904</x:v>
      </x:c>
      <x:c r="S306" t="n">
        <x:v>-144.49</x:v>
      </x:c>
      <x:c r="T306" t="str">
        <x:v>"</x:v>
      </x:c>
      <x:c r="U306" t="str">
        <x:v>"</x:v>
      </x:c>
      <x:c r="V306" t="str">
        <x:v>486044425665097</x:v>
      </x:c>
    </x:row>
    <x:row r="307">
      <x:c r="A307" t="str">
        <x:v>RAW-IMP-20260516-FULLDRAFT-000290</x:v>
      </x:c>
      <x:c r="B307" t="str">
        <x:v>IMP-20260516-FULLDRAFT</x:v>
      </x:c>
      <x:c r="C307" t="str">
        <x:v>KTO001</x:v>
      </x:c>
      <x:c r="D307" t="str">
        <x:v>16-05-2026_Umsatzliste_Girokonto_DE98120300001061711675.csv</x:v>
      </x:c>
      <x:c r="E307" t="n">
        <x:v>46163</x:v>
      </x:c>
      <x:c r="F307" t="n">
        <x:v>290</x:v>
      </x:c>
      <x:c r="G307" t="str">
        <x:v>614fad5c268016102924e30f635f40fad0b68a2af597daac4da7c0f194ef3649</x:v>
      </x:c>
      <x:c r="H307" t="str">
        <x:v>neu</x:v>
      </x:c>
      <x:c r="I307" t="str">
        <x:v>ok</x:v>
      </x:c>
      <x:c r="J307"/>
      <x:c r="K307" t="n">
        <x:v>46069</x:v>
      </x:c>
      <x:c r="L307" t="n">
        <x:v>46069</x:v>
      </x:c>
      <x:c r="M307" t="str">
        <x:v>Gebucht</x:v>
      </x:c>
      <x:c r="N307" t="str">
        <x:v>Kohlenberg</x:v>
      </x:c>
      <x:c r="O307" t="str">
        <x:v>TANZSCHULE KWIATKOWSKI GBR</x:v>
      </x:c>
      <x:c r="P307" t="str">
        <x:v>R-SB0000076257-A0000004652,SB2143 2-2026 - 2.2026,Lars Kohlenberg</x:v>
      </x:c>
      <x:c r="Q307" t="str">
        <x:v>Ausgang</x:v>
      </x:c>
      <x:c r="R307" t="str">
        <x:v>DE61259501300096212535</x:v>
      </x:c>
      <x:c r="S307" t="n">
        <x:v>-98</x:v>
      </x:c>
      <x:c r="T307" t="str">
        <x:v>DE79ZZZ00002474666</x:v>
      </x:c>
      <x:c r="U307" t="str">
        <x:v>TM004652-000265</x:v>
      </x:c>
      <x:c r="V307" t="str">
        <x:v>R-SB00076257</x:v>
      </x:c>
    </x:row>
    <x:row r="308">
      <x:c r="A308" t="str">
        <x:v>RAW-IMP-20260516-FULLDRAFT-000291</x:v>
      </x:c>
      <x:c r="B308" t="str">
        <x:v>IMP-20260516-FULLDRAFT</x:v>
      </x:c>
      <x:c r="C308" t="str">
        <x:v>KTO001</x:v>
      </x:c>
      <x:c r="D308" t="str">
        <x:v>16-05-2026_Umsatzliste_Girokonto_DE98120300001061711675.csv</x:v>
      </x:c>
      <x:c r="E308" t="n">
        <x:v>46163</x:v>
      </x:c>
      <x:c r="F308" t="n">
        <x:v>291</x:v>
      </x:c>
      <x:c r="G308" t="str">
        <x:v>cbdfdea2a1682173485014dd7f0f32850bfabd59adc7aec0b71c3522e5ed5a2f</x:v>
      </x:c>
      <x:c r="H308" t="str">
        <x:v>neu</x:v>
      </x:c>
      <x:c r="I308" t="str">
        <x:v>ok</x:v>
      </x:c>
      <x:c r="J308"/>
      <x:c r="K308" t="n">
        <x:v>46065</x:v>
      </x:c>
      <x:c r="L308" t="n">
        <x:v>46065</x:v>
      </x:c>
      <x:c r="M308" t="str">
        <x:v>Gebucht</x:v>
      </x:c>
      <x:c r="N308" t="str">
        <x:v>Iman Firat</x:v>
      </x:c>
      <x:c r="O308" t="str">
        <x:v>Lars Kohlenberg</x:v>
      </x:c>
      <x:c r="P308" t="str">
        <x:v>Ruckerstattung Monatsbeitrage</x:v>
      </x:c>
      <x:c r="Q308" t="str">
        <x:v>Eingang</x:v>
      </x:c>
      <x:c r="R308" t="str">
        <x:v>DE67269910662694298000</x:v>
      </x:c>
      <x:c r="S308" t="n">
        <x:v>99.8</x:v>
      </x:c>
      <x:c r="T308" t="str">
        <x:v>"</x:v>
      </x:c>
      <x:c r="U308" t="str">
        <x:v>"</x:v>
      </x:c>
      <x:c r="V308" t="str">
        <x:v>"</x:v>
      </x:c>
    </x:row>
    <x:row r="309">
      <x:c r="A309" t="str">
        <x:v>RAW-IMP-20260516-FULLDRAFT-000292</x:v>
      </x:c>
      <x:c r="B309" t="str">
        <x:v>IMP-20260516-FULLDRAFT</x:v>
      </x:c>
      <x:c r="C309" t="str">
        <x:v>KTO001</x:v>
      </x:c>
      <x:c r="D309" t="str">
        <x:v>16-05-2026_Umsatzliste_Girokonto_DE98120300001061711675.csv</x:v>
      </x:c>
      <x:c r="E309" t="n">
        <x:v>46163</x:v>
      </x:c>
      <x:c r="F309" t="n">
        <x:v>292</x:v>
      </x:c>
      <x:c r="G309" t="str">
        <x:v>ca69fd443db74ff4293ef3203ac6671be4fc7c6126eed4ee7d5f580782eec230</x:v>
      </x:c>
      <x:c r="H309" t="str">
        <x:v>neu</x:v>
      </x:c>
      <x:c r="I309" t="str">
        <x:v>ok</x:v>
      </x:c>
      <x:c r="J309"/>
      <x:c r="K309" t="n">
        <x:v>46065</x:v>
      </x:c>
      <x:c r="L309" t="n">
        <x:v>46065</x:v>
      </x:c>
      <x:c r="M309" t="str">
        <x:v>Gebucht</x:v>
      </x:c>
      <x:c r="N309" t="str">
        <x:v>ISSUER</x:v>
      </x:c>
      <x:c r="O309" t="str">
        <x:v>REWE.Salzgitter.Ge/Salzgitter</x:v>
      </x:c>
      <x:c r="P309" t="str">
        <x:v>VISA Debitkartenumsatz vom 11.02.2026</x:v>
      </x:c>
      <x:c r="Q309" t="str">
        <x:v>Ausgang</x:v>
      </x:c>
      <x:c r="R309" t="str">
        <x:v>DE96120300009005290904</x:v>
      </x:c>
      <x:c r="S309" t="n">
        <x:v>-2.84</x:v>
      </x:c>
      <x:c r="T309" t="str">
        <x:v>"</x:v>
      </x:c>
      <x:c r="U309" t="str">
        <x:v>"</x:v>
      </x:c>
      <x:c r="V309" t="str">
        <x:v>486042408425180</x:v>
      </x:c>
    </x:row>
    <x:row r="310">
      <x:c r="A310" t="str">
        <x:v>RAW-IMP-20260516-FULLDRAFT-000293</x:v>
      </x:c>
      <x:c r="B310" t="str">
        <x:v>IMP-20260516-FULLDRAFT</x:v>
      </x:c>
      <x:c r="C310" t="str">
        <x:v>KTO001</x:v>
      </x:c>
      <x:c r="D310" t="str">
        <x:v>16-05-2026_Umsatzliste_Girokonto_DE98120300001061711675.csv</x:v>
      </x:c>
      <x:c r="E310" t="n">
        <x:v>46163</x:v>
      </x:c>
      <x:c r="F310" t="n">
        <x:v>293</x:v>
      </x:c>
      <x:c r="G310" t="str">
        <x:v>d537e2ba58378dd9eae45468e939d213be134c25cb6217049cac4c857268972b</x:v>
      </x:c>
      <x:c r="H310" t="str">
        <x:v>neu</x:v>
      </x:c>
      <x:c r="I310" t="str">
        <x:v>ok</x:v>
      </x:c>
      <x:c r="J310"/>
      <x:c r="K310" t="n">
        <x:v>46064</x:v>
      </x:c>
      <x:c r="L310" t="n">
        <x:v>46064</x:v>
      </x:c>
      <x:c r="M310" t="str">
        <x:v>Gebucht</x:v>
      </x:c>
      <x:c r="N310" t="str">
        <x:v>ISSUER</x:v>
      </x:c>
      <x:c r="O310" t="str">
        <x:v>NP.MARKT.1088/SALZGITTER</x:v>
      </x:c>
      <x:c r="P310" t="str">
        <x:v>VISA Debitkartenumsatz vom 10.02.2026</x:v>
      </x:c>
      <x:c r="Q310" t="str">
        <x:v>Ausgang</x:v>
      </x:c>
      <x:c r="R310" t="str">
        <x:v>DE96120300009005290904</x:v>
      </x:c>
      <x:c r="S310" t="n">
        <x:v>-0.59</x:v>
      </x:c>
      <x:c r="T310" t="str">
        <x:v>"</x:v>
      </x:c>
      <x:c r="U310" t="str">
        <x:v>"</x:v>
      </x:c>
      <x:c r="V310" t="str">
        <x:v>486041457060205</x:v>
      </x:c>
    </x:row>
    <x:row r="311">
      <x:c r="A311" t="str">
        <x:v>RAW-IMP-20260516-FULLDRAFT-000294</x:v>
      </x:c>
      <x:c r="B311" t="str">
        <x:v>IMP-20260516-FULLDRAFT</x:v>
      </x:c>
      <x:c r="C311" t="str">
        <x:v>KTO001</x:v>
      </x:c>
      <x:c r="D311" t="str">
        <x:v>16-05-2026_Umsatzliste_Girokonto_DE98120300001061711675.csv</x:v>
      </x:c>
      <x:c r="E311" t="n">
        <x:v>46163</x:v>
      </x:c>
      <x:c r="F311" t="n">
        <x:v>294</x:v>
      </x:c>
      <x:c r="G311" t="str">
        <x:v>0d9f195a814ef0e9293def76d16715dbabfd1ef409151288f31572759bff56d8</x:v>
      </x:c>
      <x:c r="H311" t="str">
        <x:v>neu</x:v>
      </x:c>
      <x:c r="I311" t="str">
        <x:v>ok</x:v>
      </x:c>
      <x:c r="J311"/>
      <x:c r="K311" t="n">
        <x:v>46064</x:v>
      </x:c>
      <x:c r="L311" t="n">
        <x:v>46064</x:v>
      </x:c>
      <x:c r="M311" t="str">
        <x:v>Gebucht</x:v>
      </x:c>
      <x:c r="N311" t="str">
        <x:v>ISSUER</x:v>
      </x:c>
      <x:c r="O311" t="str">
        <x:v>REWE.Salzgitter.Ge/Salzgitter</x:v>
      </x:c>
      <x:c r="P311" t="str">
        <x:v>VISA Debitkartenumsatz vom 10.02.2026</x:v>
      </x:c>
      <x:c r="Q311" t="str">
        <x:v>Ausgang</x:v>
      </x:c>
      <x:c r="R311" t="str">
        <x:v>DE96120300009005290904</x:v>
      </x:c>
      <x:c r="S311" t="n">
        <x:v>-13.57</x:v>
      </x:c>
      <x:c r="T311" t="str">
        <x:v>"</x:v>
      </x:c>
      <x:c r="U311" t="str">
        <x:v>"</x:v>
      </x:c>
      <x:c r="V311" t="str">
        <x:v>486041646244100</x:v>
      </x:c>
    </x:row>
    <x:row r="312">
      <x:c r="A312" t="str">
        <x:v>RAW-IMP-20260516-FULLDRAFT-000295</x:v>
      </x:c>
      <x:c r="B312" t="str">
        <x:v>IMP-20260516-FULLDRAFT</x:v>
      </x:c>
      <x:c r="C312" t="str">
        <x:v>KTO001</x:v>
      </x:c>
      <x:c r="D312" t="str">
        <x:v>16-05-2026_Umsatzliste_Girokonto_DE98120300001061711675.csv</x:v>
      </x:c>
      <x:c r="E312" t="n">
        <x:v>46163</x:v>
      </x:c>
      <x:c r="F312" t="n">
        <x:v>295</x:v>
      </x:c>
      <x:c r="G312" t="str">
        <x:v>88c8d25866bc1cf77e368c1e9d10bdc09728d6edda56764e5d53420e947d14e9</x:v>
      </x:c>
      <x:c r="H312" t="str">
        <x:v>neu</x:v>
      </x:c>
      <x:c r="I312" t="str">
        <x:v>ok</x:v>
      </x:c>
      <x:c r="J312"/>
      <x:c r="K312" t="n">
        <x:v>46064</x:v>
      </x:c>
      <x:c r="L312" t="n">
        <x:v>46064</x:v>
      </x:c>
      <x:c r="M312" t="str">
        <x:v>Gebucht</x:v>
      </x:c>
      <x:c r="N312" t="str">
        <x:v>ISSUER</x:v>
      </x:c>
      <x:c r="O312" t="str">
        <x:v>REWE.Salzgitter.Ge/Salzgitter</x:v>
      </x:c>
      <x:c r="P312" t="str">
        <x:v>VISA Debitkartenumsatz vom 10.02.2026</x:v>
      </x:c>
      <x:c r="Q312" t="str">
        <x:v>Ausgang</x:v>
      </x:c>
      <x:c r="R312" t="str">
        <x:v>DE96120300009005290904</x:v>
      </x:c>
      <x:c r="S312" t="n">
        <x:v>-5.96</x:v>
      </x:c>
      <x:c r="T312" t="str">
        <x:v>"</x:v>
      </x:c>
      <x:c r="U312" t="str">
        <x:v>"</x:v>
      </x:c>
      <x:c r="V312" t="str">
        <x:v>486041429220947</x:v>
      </x:c>
    </x:row>
    <x:row r="313">
      <x:c r="A313" t="str">
        <x:v>RAW-IMP-20260516-FULLDRAFT-000296</x:v>
      </x:c>
      <x:c r="B313" t="str">
        <x:v>IMP-20260516-FULLDRAFT</x:v>
      </x:c>
      <x:c r="C313" t="str">
        <x:v>KTO001</x:v>
      </x:c>
      <x:c r="D313" t="str">
        <x:v>16-05-2026_Umsatzliste_Girokonto_DE98120300001061711675.csv</x:v>
      </x:c>
      <x:c r="E313" t="n">
        <x:v>46163</x:v>
      </x:c>
      <x:c r="F313" t="n">
        <x:v>296</x:v>
      </x:c>
      <x:c r="G313" t="str">
        <x:v>5bd6433e7a4f035059d1af3db5ef3aa71bed21ffcd6f13bf081e54f9eca661ce</x:v>
      </x:c>
      <x:c r="H313" t="str">
        <x:v>neu</x:v>
      </x:c>
      <x:c r="I313" t="str">
        <x:v>ok</x:v>
      </x:c>
      <x:c r="J313"/>
      <x:c r="K313" t="n">
        <x:v>46063</x:v>
      </x:c>
      <x:c r="L313" t="n">
        <x:v>46063</x:v>
      </x:c>
      <x:c r="M313" t="str">
        <x:v>Gebucht</x:v>
      </x:c>
      <x:c r="N313" t="str">
        <x:v>ISSUER</x:v>
      </x:c>
      <x:c r="O313" t="str">
        <x:v>MCDONALDS.00293/SALZGITTER</x:v>
      </x:c>
      <x:c r="P313" t="str">
        <x:v>VISA Debitkartenumsatz vom 09.02.2026</x:v>
      </x:c>
      <x:c r="Q313" t="str">
        <x:v>Ausgang</x:v>
      </x:c>
      <x:c r="R313" t="str">
        <x:v>DE96120300009005290904</x:v>
      </x:c>
      <x:c r="S313" t="n">
        <x:v>-4.99</x:v>
      </x:c>
      <x:c r="T313" t="str">
        <x:v>"</x:v>
      </x:c>
      <x:c r="U313" t="str">
        <x:v>"</x:v>
      </x:c>
      <x:c r="V313" t="str">
        <x:v>486040631150166</x:v>
      </x:c>
    </x:row>
    <x:row r="314">
      <x:c r="A314" t="str">
        <x:v>RAW-IMP-20260516-FULLDRAFT-000297</x:v>
      </x:c>
      <x:c r="B314" t="str">
        <x:v>IMP-20260516-FULLDRAFT</x:v>
      </x:c>
      <x:c r="C314" t="str">
        <x:v>KTO001</x:v>
      </x:c>
      <x:c r="D314" t="str">
        <x:v>16-05-2026_Umsatzliste_Girokonto_DE98120300001061711675.csv</x:v>
      </x:c>
      <x:c r="E314" t="n">
        <x:v>46163</x:v>
      </x:c>
      <x:c r="F314" t="n">
        <x:v>297</x:v>
      </x:c>
      <x:c r="G314" t="str">
        <x:v>d0099f98562dc0f530e979a94b2c80a67a09db353c5eca39eb608ae93456700a</x:v>
      </x:c>
      <x:c r="H314" t="str">
        <x:v>neu</x:v>
      </x:c>
      <x:c r="I314" t="str">
        <x:v>ok</x:v>
      </x:c>
      <x:c r="J314"/>
      <x:c r="K314" t="n">
        <x:v>46062</x:v>
      </x:c>
      <x:c r="L314" t="n">
        <x:v>46062</x:v>
      </x:c>
      <x:c r="M314" t="str">
        <x:v>Gebucht</x:v>
      </x:c>
      <x:c r="N314" t="str">
        <x:v>ISSUER</x:v>
      </x:c>
      <x:c r="O314" t="str">
        <x:v>Lidl.sagt.Danke/Salzgitter</x:v>
      </x:c>
      <x:c r="P314" t="str">
        <x:v>VISA Debitkartenumsatz vom 07.02.2026</x:v>
      </x:c>
      <x:c r="Q314" t="str">
        <x:v>Ausgang</x:v>
      </x:c>
      <x:c r="R314" t="str">
        <x:v>DE96120300009005290904</x:v>
      </x:c>
      <x:c r="S314" t="n">
        <x:v>-51.28</x:v>
      </x:c>
      <x:c r="T314" t="str">
        <x:v>"</x:v>
      </x:c>
      <x:c r="U314" t="str">
        <x:v>"</x:v>
      </x:c>
      <x:c r="V314" t="str">
        <x:v>486038422764822</x:v>
      </x:c>
    </x:row>
    <x:row r="315">
      <x:c r="A315" t="str">
        <x:v>RAW-IMP-20260516-FULLDRAFT-000298</x:v>
      </x:c>
      <x:c r="B315" t="str">
        <x:v>IMP-20260516-FULLDRAFT</x:v>
      </x:c>
      <x:c r="C315" t="str">
        <x:v>KTO001</x:v>
      </x:c>
      <x:c r="D315" t="str">
        <x:v>16-05-2026_Umsatzliste_Girokonto_DE98120300001061711675.csv</x:v>
      </x:c>
      <x:c r="E315" t="n">
        <x:v>46163</x:v>
      </x:c>
      <x:c r="F315" t="n">
        <x:v>298</x:v>
      </x:c>
      <x:c r="G315" t="str">
        <x:v>347e5422ee3cee418cd6fafda2ea5503c179d8b424c84c7cac512a0f977e5ce2</x:v>
      </x:c>
      <x:c r="H315" t="str">
        <x:v>neu</x:v>
      </x:c>
      <x:c r="I315" t="str">
        <x:v>ok</x:v>
      </x:c>
      <x:c r="J315"/>
      <x:c r="K315" t="n">
        <x:v>46062</x:v>
      </x:c>
      <x:c r="L315" t="n">
        <x:v>46062</x:v>
      </x:c>
      <x:c r="M315" t="str">
        <x:v>Gebucht</x:v>
      </x:c>
      <x:c r="N315" t="str">
        <x:v>ISSUER</x:v>
      </x:c>
      <x:c r="O315" t="str">
        <x:v>REWE.Acar.oHG/Salzgitter</x:v>
      </x:c>
      <x:c r="P315" t="str">
        <x:v>VISA Debitkartenumsatz vom 07.02.2026</x:v>
      </x:c>
      <x:c r="Q315" t="str">
        <x:v>Ausgang</x:v>
      </x:c>
      <x:c r="R315" t="str">
        <x:v>DE96120300009005290904</x:v>
      </x:c>
      <x:c r="S315" t="n">
        <x:v>-107.42</x:v>
      </x:c>
      <x:c r="T315" t="str">
        <x:v>"</x:v>
      </x:c>
      <x:c r="U315" t="str">
        <x:v>"</x:v>
      </x:c>
      <x:c r="V315" t="str">
        <x:v>486038449513272</x:v>
      </x:c>
    </x:row>
    <x:row r="316">
      <x:c r="A316" t="str">
        <x:v>RAW-IMP-20260516-FULLDRAFT-000299</x:v>
      </x:c>
      <x:c r="B316" t="str">
        <x:v>IMP-20260516-FULLDRAFT</x:v>
      </x:c>
      <x:c r="C316" t="str">
        <x:v>KTO001</x:v>
      </x:c>
      <x:c r="D316" t="str">
        <x:v>16-05-2026_Umsatzliste_Girokonto_DE98120300001061711675.csv</x:v>
      </x:c>
      <x:c r="E316" t="n">
        <x:v>46163</x:v>
      </x:c>
      <x:c r="F316" t="n">
        <x:v>299</x:v>
      </x:c>
      <x:c r="G316" t="str">
        <x:v>c28dbc590b1430840c975ea00013017b9c0cab67858b04e99202dce2713f1629</x:v>
      </x:c>
      <x:c r="H316" t="str">
        <x:v>neu</x:v>
      </x:c>
      <x:c r="I316" t="str">
        <x:v>ok</x:v>
      </x:c>
      <x:c r="J316"/>
      <x:c r="K316" t="n">
        <x:v>46062</x:v>
      </x:c>
      <x:c r="L316" t="n">
        <x:v>46062</x:v>
      </x:c>
      <x:c r="M316" t="str">
        <x:v>Gebucht</x:v>
      </x:c>
      <x:c r="N316" t="str">
        <x:v>ISSUER</x:v>
      </x:c>
      <x:c r="O316" t="str">
        <x:v>SumUp...Lillis.Cafe.UG/Salzgitter</x:v>
      </x:c>
      <x:c r="P316" t="str">
        <x:v>VISA Debitkartenumsatz vom 08.02.2026</x:v>
      </x:c>
      <x:c r="Q316" t="str">
        <x:v>Ausgang</x:v>
      </x:c>
      <x:c r="R316" t="str">
        <x:v>DE96120300009005290904</x:v>
      </x:c>
      <x:c r="S316" t="n">
        <x:v>-200</x:v>
      </x:c>
      <x:c r="T316" t="str">
        <x:v>"</x:v>
      </x:c>
      <x:c r="U316" t="str">
        <x:v>"</x:v>
      </x:c>
      <x:c r="V316" t="str">
        <x:v>486039441543163</x:v>
      </x:c>
    </x:row>
    <x:row r="317">
      <x:c r="A317" t="str">
        <x:v>RAW-IMP-20260516-FULLDRAFT-000300</x:v>
      </x:c>
      <x:c r="B317" t="str">
        <x:v>IMP-20260516-FULLDRAFT</x:v>
      </x:c>
      <x:c r="C317" t="str">
        <x:v>KTO001</x:v>
      </x:c>
      <x:c r="D317" t="str">
        <x:v>16-05-2026_Umsatzliste_Girokonto_DE98120300001061711675.csv</x:v>
      </x:c>
      <x:c r="E317" t="n">
        <x:v>46163</x:v>
      </x:c>
      <x:c r="F317" t="n">
        <x:v>300</x:v>
      </x:c>
      <x:c r="G317" t="str">
        <x:v>56bbd07c62fe50e57a09eaae7fba6a684addf4f68b8899d2e668e6cd374e13b5</x:v>
      </x:c>
      <x:c r="H317" t="str">
        <x:v>neu</x:v>
      </x:c>
      <x:c r="I317" t="str">
        <x:v>ok</x:v>
      </x:c>
      <x:c r="J317"/>
      <x:c r="K317" t="n">
        <x:v>46059</x:v>
      </x:c>
      <x:c r="L317" t="n">
        <x:v>46059</x:v>
      </x:c>
      <x:c r="M317" t="str">
        <x:v>Gebucht</x:v>
      </x:c>
      <x:c r="N317" t="str">
        <x:v>ISSUER</x:v>
      </x:c>
      <x:c r="O317" t="str">
        <x:v>PAYPAL..VRB/1743473445</x:v>
      </x:c>
      <x:c r="P317" t="str">
        <x:v>VISA Debitkartenumsatz vom 04.02.2026</x:v>
      </x:c>
      <x:c r="Q317" t="str">
        <x:v>Ausgang</x:v>
      </x:c>
      <x:c r="R317" t="str">
        <x:v>DE96120300009005290904</x:v>
      </x:c>
      <x:c r="S317" t="n">
        <x:v>-30</x:v>
      </x:c>
      <x:c r="T317" t="str">
        <x:v>"</x:v>
      </x:c>
      <x:c r="U317" t="str">
        <x:v>"</x:v>
      </x:c>
      <x:c r="V317" t="str">
        <x:v>346036207033837</x:v>
      </x:c>
    </x:row>
    <x:row r="318">
      <x:c r="A318" t="str">
        <x:v>RAW-IMP-20260516-FULLDRAFT-000301</x:v>
      </x:c>
      <x:c r="B318" t="str">
        <x:v>IMP-20260516-FULLDRAFT</x:v>
      </x:c>
      <x:c r="C318" t="str">
        <x:v>KTO001</x:v>
      </x:c>
      <x:c r="D318" t="str">
        <x:v>16-05-2026_Umsatzliste_Girokonto_DE98120300001061711675.csv</x:v>
      </x:c>
      <x:c r="E318" t="n">
        <x:v>46163</x:v>
      </x:c>
      <x:c r="F318" t="n">
        <x:v>301</x:v>
      </x:c>
      <x:c r="G318" t="str">
        <x:v>17514abb1bcd57373aecbd6f3554ffc651ce4bab8c8273b2d19e37cca4d61f93</x:v>
      </x:c>
      <x:c r="H318" t="str">
        <x:v>neu</x:v>
      </x:c>
      <x:c r="I318" t="str">
        <x:v>ok</x:v>
      </x:c>
      <x:c r="J318"/>
      <x:c r="K318" t="n">
        <x:v>46059</x:v>
      </x:c>
      <x:c r="L318" t="n">
        <x:v>46059</x:v>
      </x:c>
      <x:c r="M318" t="str">
        <x:v>Gebucht</x:v>
      </x:c>
      <x:c r="N318" t="str">
        <x:v>ISSUER</x:v>
      </x:c>
      <x:c r="O318" t="str">
        <x:v>REWE.Salzgitter.Ge/Salzgitter</x:v>
      </x:c>
      <x:c r="P318" t="str">
        <x:v>VISA Debitkartenumsatz vom 05.02.2026</x:v>
      </x:c>
      <x:c r="Q318" t="str">
        <x:v>Ausgang</x:v>
      </x:c>
      <x:c r="R318" t="str">
        <x:v>DE96120300009005290904</x:v>
      </x:c>
      <x:c r="S318" t="n">
        <x:v>-4.24</x:v>
      </x:c>
      <x:c r="T318" t="str">
        <x:v>"</x:v>
      </x:c>
      <x:c r="U318" t="str">
        <x:v>"</x:v>
      </x:c>
      <x:c r="V318" t="str">
        <x:v>486036631921454</x:v>
      </x:c>
    </x:row>
    <x:row r="319">
      <x:c r="A319" t="str">
        <x:v>RAW-IMP-20260516-FULLDRAFT-000302</x:v>
      </x:c>
      <x:c r="B319" t="str">
        <x:v>IMP-20260516-FULLDRAFT</x:v>
      </x:c>
      <x:c r="C319" t="str">
        <x:v>KTO001</x:v>
      </x:c>
      <x:c r="D319" t="str">
        <x:v>16-05-2026_Umsatzliste_Girokonto_DE98120300001061711675.csv</x:v>
      </x:c>
      <x:c r="E319" t="n">
        <x:v>46163</x:v>
      </x:c>
      <x:c r="F319" t="n">
        <x:v>302</x:v>
      </x:c>
      <x:c r="G319" t="str">
        <x:v>3d96c978d7ba63d088efe7dbe2b7929adddb7ddbcae7851d893150afc7c6953f</x:v>
      </x:c>
      <x:c r="H319" t="str">
        <x:v>neu</x:v>
      </x:c>
      <x:c r="I319" t="str">
        <x:v>ok</x:v>
      </x:c>
      <x:c r="J319"/>
      <x:c r="K319" t="n">
        <x:v>46059</x:v>
      </x:c>
      <x:c r="L319" t="n">
        <x:v>46059</x:v>
      </x:c>
      <x:c r="M319" t="str">
        <x:v>Gebucht</x:v>
      </x:c>
      <x:c r="N319" t="str">
        <x:v>Lars Kohlenberg</x:v>
      </x:c>
      <x:c r="O319" t="str">
        <x:v>Lars Kohlenberg</x:v>
      </x:c>
      <x:c r="P319" t="str">
        <x:v>UEbertrag</x:v>
      </x:c>
      <x:c r="Q319" t="str">
        <x:v>Eingang</x:v>
      </x:c>
      <x:c r="R319" t="str">
        <x:v>DE91270200001510365800</x:v>
      </x:c>
      <x:c r="S319" t="n">
        <x:v>500</x:v>
      </x:c>
      <x:c r="T319" t="str">
        <x:v>"</x:v>
      </x:c>
      <x:c r="U319" t="str">
        <x:v>"</x:v>
      </x:c>
      <x:c r="V319" t="str">
        <x:v>"</x:v>
      </x:c>
    </x:row>
    <x:row r="320">
      <x:c r="A320" t="str">
        <x:v>RAW-IMP-20260516-FULLDRAFT-000303</x:v>
      </x:c>
      <x:c r="B320" t="str">
        <x:v>IMP-20260516-FULLDRAFT</x:v>
      </x:c>
      <x:c r="C320" t="str">
        <x:v>KTO001</x:v>
      </x:c>
      <x:c r="D320" t="str">
        <x:v>16-05-2026_Umsatzliste_Girokonto_DE98120300001061711675.csv</x:v>
      </x:c>
      <x:c r="E320" t="n">
        <x:v>46163</x:v>
      </x:c>
      <x:c r="F320" t="n">
        <x:v>303</x:v>
      </x:c>
      <x:c r="G320" t="str">
        <x:v>e86fbed2e417ca72146b3bd779ac8ee6a91b855280ee10bb808309dd17679fca</x:v>
      </x:c>
      <x:c r="H320" t="str">
        <x:v>neu</x:v>
      </x:c>
      <x:c r="I320" t="str">
        <x:v>ok</x:v>
      </x:c>
      <x:c r="J320"/>
      <x:c r="K320" t="n">
        <x:v>46059</x:v>
      </x:c>
      <x:c r="L320" t="n">
        <x:v>46059</x:v>
      </x:c>
      <x:c r="M320" t="str">
        <x:v>Gebucht</x:v>
      </x:c>
      <x:c r="N320" t="str">
        <x:v>Kohlenberg Lars</x:v>
      </x:c>
      <x:c r="O320" t="str">
        <x:v>Verein fur Leibesubungen (VfL) Salder e.V.</x:v>
      </x:c>
      <x:c r="P320" t="str">
        <x:v>VfL Salder e.V., Kohlenberg, Jan Niklas, 3191, Beitrag 2026</x:v>
      </x:c>
      <x:c r="Q320" t="str">
        <x:v>Ausgang</x:v>
      </x:c>
      <x:c r="R320" t="str">
        <x:v>DE47270925550000226700</x:v>
      </x:c>
      <x:c r="S320" t="n">
        <x:v>-90</x:v>
      </x:c>
      <x:c r="T320" t="str">
        <x:v>DE72VFL00000575435</x:v>
      </x:c>
      <x:c r="U320" t="str">
        <x:v>11224</x:v>
      </x:c>
      <x:c r="V320" t="str">
        <x:v>91423749</x:v>
      </x:c>
    </x:row>
    <x:row r="321">
      <x:c r="A321" t="str">
        <x:v>RAW-IMP-20260516-FULLDRAFT-000304</x:v>
      </x:c>
      <x:c r="B321" t="str">
        <x:v>IMP-20260516-FULLDRAFT</x:v>
      </x:c>
      <x:c r="C321" t="str">
        <x:v>KTO001</x:v>
      </x:c>
      <x:c r="D321" t="str">
        <x:v>16-05-2026_Umsatzliste_Girokonto_DE98120300001061711675.csv</x:v>
      </x:c>
      <x:c r="E321" t="n">
        <x:v>46163</x:v>
      </x:c>
      <x:c r="F321" t="n">
        <x:v>304</x:v>
      </x:c>
      <x:c r="G321" t="str">
        <x:v>cc00b941772c7a298f34820f0a3abcb213ff5f2112ec3649d32906a89b186b46</x:v>
      </x:c>
      <x:c r="H321" t="str">
        <x:v>neu</x:v>
      </x:c>
      <x:c r="I321" t="str">
        <x:v>ok</x:v>
      </x:c>
      <x:c r="J321"/>
      <x:c r="K321" t="n">
        <x:v>46058</x:v>
      </x:c>
      <x:c r="L321" t="n">
        <x:v>46058</x:v>
      </x:c>
      <x:c r="M321" t="str">
        <x:v>Gebucht</x:v>
      </x:c>
      <x:c r="N321" t="str">
        <x:v>Lars Kohlenberg</x:v>
      </x:c>
      <x:c r="O321" t="str">
        <x:v>Jan Niklas Kohlenberg</x:v>
      </x:c>
      <x:c r="P321" t="str">
        <x:v>Spardose</x:v>
      </x:c>
      <x:c r="Q321" t="str">
        <x:v>Ausgang</x:v>
      </x:c>
      <x:c r="R321" t="str">
        <x:v>DE43270200001527701534</x:v>
      </x:c>
      <x:c r="S321" t="n">
        <x:v>-700</x:v>
      </x:c>
      <x:c r="T321" t="str">
        <x:v>"</x:v>
      </x:c>
      <x:c r="U321" t="str">
        <x:v>"</x:v>
      </x:c>
      <x:c r="V321" t="str">
        <x:v>"</x:v>
      </x:c>
    </x:row>
    <x:row r="322">
      <x:c r="A322" t="str">
        <x:v>RAW-IMP-20260516-FULLDRAFT-000305</x:v>
      </x:c>
      <x:c r="B322" t="str">
        <x:v>IMP-20260516-FULLDRAFT</x:v>
      </x:c>
      <x:c r="C322" t="str">
        <x:v>KTO001</x:v>
      </x:c>
      <x:c r="D322" t="str">
        <x:v>16-05-2026_Umsatzliste_Girokonto_DE98120300001061711675.csv</x:v>
      </x:c>
      <x:c r="E322" t="n">
        <x:v>46163</x:v>
      </x:c>
      <x:c r="F322" t="n">
        <x:v>305</x:v>
      </x:c>
      <x:c r="G322" t="str">
        <x:v>eab258d0b0ca69d357f977ee58dde5ae4a614b3bed93cd20d3a87ad63af83083</x:v>
      </x:c>
      <x:c r="H322" t="str">
        <x:v>neu</x:v>
      </x:c>
      <x:c r="I322" t="str">
        <x:v>ok</x:v>
      </x:c>
      <x:c r="J322"/>
      <x:c r="K322" t="n">
        <x:v>46058</x:v>
      </x:c>
      <x:c r="L322" t="n">
        <x:v>46058</x:v>
      </x:c>
      <x:c r="M322" t="str">
        <x:v>Gebucht</x:v>
      </x:c>
      <x:c r="N322" t="str">
        <x:v>Lars Kohlenberg</x:v>
      </x:c>
      <x:c r="O322" t="str">
        <x:v>Gymnasium Salzgitter Bad</x:v>
      </x:c>
      <x:c r="P322" t="str">
        <x:v>Jahrbuch 2025 Lea Kohlenberg 11a</x:v>
      </x:c>
      <x:c r="Q322" t="str">
        <x:v>Ausgang</x:v>
      </x:c>
      <x:c r="R322" t="str">
        <x:v>DE97259501300177005709</x:v>
      </x:c>
      <x:c r="S322" t="n">
        <x:v>-15</x:v>
      </x:c>
      <x:c r="T322" t="str">
        <x:v>"</x:v>
      </x:c>
      <x:c r="U322" t="str">
        <x:v>"</x:v>
      </x:c>
      <x:c r="V322" t="str">
        <x:v>"</x:v>
      </x:c>
    </x:row>
    <x:row r="323">
      <x:c r="A323" t="str">
        <x:v>RAW-IMP-20260516-FULLDRAFT-000306</x:v>
      </x:c>
      <x:c r="B323" t="str">
        <x:v>IMP-20260516-FULLDRAFT</x:v>
      </x:c>
      <x:c r="C323" t="str">
        <x:v>KTO001</x:v>
      </x:c>
      <x:c r="D323" t="str">
        <x:v>16-05-2026_Umsatzliste_Girokonto_DE98120300001061711675.csv</x:v>
      </x:c>
      <x:c r="E323" t="n">
        <x:v>46163</x:v>
      </x:c>
      <x:c r="F323" t="n">
        <x:v>306</x:v>
      </x:c>
      <x:c r="G323" t="str">
        <x:v>417fe35b0ec95e0a4e43200072218ce6cc1927ba55d0a6a4440028c0f5b3a086</x:v>
      </x:c>
      <x:c r="H323" t="str">
        <x:v>neu</x:v>
      </x:c>
      <x:c r="I323" t="str">
        <x:v>ok</x:v>
      </x:c>
      <x:c r="J323"/>
      <x:c r="K323" t="n">
        <x:v>46058</x:v>
      </x:c>
      <x:c r="L323" t="n">
        <x:v>46058</x:v>
      </x:c>
      <x:c r="M323" t="str">
        <x:v>Gebucht</x:v>
      </x:c>
      <x:c r="N323" t="str">
        <x:v>ISSUER</x:v>
      </x:c>
      <x:c r="O323" t="str">
        <x:v>AMZN.Mktp.DE.6N98U4J05/AMZN.COM.BILL</x:v>
      </x:c>
      <x:c r="P323" t="str">
        <x:v>VISA Debitkartenumsatz vom 04.02.2026</x:v>
      </x:c>
      <x:c r="Q323" t="str">
        <x:v>Ausgang</x:v>
      </x:c>
      <x:c r="R323" t="str">
        <x:v>DE96120300009005290904</x:v>
      </x:c>
      <x:c r="S323" t="n">
        <x:v>-36.99</x:v>
      </x:c>
      <x:c r="T323" t="str">
        <x:v>"</x:v>
      </x:c>
      <x:c r="U323" t="str">
        <x:v>"</x:v>
      </x:c>
      <x:c r="V323" t="str">
        <x:v>486034620608587</x:v>
      </x:c>
    </x:row>
    <x:row r="324">
      <x:c r="A324" t="str">
        <x:v>RAW-IMP-20260516-FULLDRAFT-000307</x:v>
      </x:c>
      <x:c r="B324" t="str">
        <x:v>IMP-20260516-FULLDRAFT</x:v>
      </x:c>
      <x:c r="C324" t="str">
        <x:v>KTO001</x:v>
      </x:c>
      <x:c r="D324" t="str">
        <x:v>16-05-2026_Umsatzliste_Girokonto_DE98120300001061711675.csv</x:v>
      </x:c>
      <x:c r="E324" t="n">
        <x:v>46163</x:v>
      </x:c>
      <x:c r="F324" t="n">
        <x:v>307</x:v>
      </x:c>
      <x:c r="G324" t="str">
        <x:v>8fe88d9e278fef27494597f5a08cbc4c090fb7cae19f47f09e235c4c825be3e2</x:v>
      </x:c>
      <x:c r="H324" t="str">
        <x:v>neu</x:v>
      </x:c>
      <x:c r="I324" t="str">
        <x:v>ok</x:v>
      </x:c>
      <x:c r="J324"/>
      <x:c r="K324" t="n">
        <x:v>46058</x:v>
      </x:c>
      <x:c r="L324" t="n">
        <x:v>46058</x:v>
      </x:c>
      <x:c r="M324" t="str">
        <x:v>Gebucht</x:v>
      </x:c>
      <x:c r="N324" t="str">
        <x:v>ISSUER</x:v>
      </x:c>
      <x:c r="O324" t="str">
        <x:v>PAYPAL..SPOTIFY.P3F051B/35314369001</x:v>
      </x:c>
      <x:c r="P324" t="str">
        <x:v>VISA Debitkartenumsatz vom 04.02.2026</x:v>
      </x:c>
      <x:c r="Q324" t="str">
        <x:v>Ausgang</x:v>
      </x:c>
      <x:c r="R324" t="str">
        <x:v>DE96120300009005290904</x:v>
      </x:c>
      <x:c r="S324" t="n">
        <x:v>-12.99</x:v>
      </x:c>
      <x:c r="T324" t="str">
        <x:v>"</x:v>
      </x:c>
      <x:c r="U324" t="str">
        <x:v>"</x:v>
      </x:c>
      <x:c r="V324" t="str">
        <x:v>356035217353195</x:v>
      </x:c>
    </x:row>
    <x:row r="325">
      <x:c r="A325" t="str">
        <x:v>RAW-IMP-20260516-FULLDRAFT-000308</x:v>
      </x:c>
      <x:c r="B325" t="str">
        <x:v>IMP-20260516-FULLDRAFT</x:v>
      </x:c>
      <x:c r="C325" t="str">
        <x:v>KTO001</x:v>
      </x:c>
      <x:c r="D325" t="str">
        <x:v>16-05-2026_Umsatzliste_Girokonto_DE98120300001061711675.csv</x:v>
      </x:c>
      <x:c r="E325" t="n">
        <x:v>46163</x:v>
      </x:c>
      <x:c r="F325" t="n">
        <x:v>308</x:v>
      </x:c>
      <x:c r="G325" t="str">
        <x:v>c77b86b4a72f8522cafbeec05b003d416f8ae4805e3cf49581c1f2dea55a63ea</x:v>
      </x:c>
      <x:c r="H325" t="str">
        <x:v>neu</x:v>
      </x:c>
      <x:c r="I325" t="str">
        <x:v>ok</x:v>
      </x:c>
      <x:c r="J325"/>
      <x:c r="K325" t="n">
        <x:v>46058</x:v>
      </x:c>
      <x:c r="L325" t="n">
        <x:v>46058</x:v>
      </x:c>
      <x:c r="M325" t="str">
        <x:v>Gebucht</x:v>
      </x:c>
      <x:c r="N325" t="str">
        <x:v>Lars Kohlenberg                                                       Johannes-Wosnitza-Str. 8 38229 Salzgitter</x:v>
      </x:c>
      <x:c r="O325" t="str">
        <x:v>Telekom Deutschland GmbH</x:v>
      </x:c>
      <x:c r="P325" t="str">
        <x:v>Festnetz Vertragskonto 4763666565 RG 7224933653/27.01.2026</x:v>
      </x:c>
      <x:c r="Q325" t="str">
        <x:v>Ausgang</x:v>
      </x:c>
      <x:c r="R325" t="str">
        <x:v>DE07512108001095000911</x:v>
      </x:c>
      <x:c r="S325" t="n">
        <x:v>-65.93</x:v>
      </x:c>
      <x:c r="T325" t="str">
        <x:v>DE93ZZZ00000078611</x:v>
      </x:c>
      <x:c r="U325" t="str">
        <x:v>DE000201000200000000000000012966156</x:v>
      </x:c>
      <x:c r="V325" t="str">
        <x:v>Zahlbeleg 312921985525</x:v>
      </x:c>
    </x:row>
    <x:row r="326">
      <x:c r="A326" t="str">
        <x:v>RAW-IMP-20260516-FULLDRAFT-000309</x:v>
      </x:c>
      <x:c r="B326" t="str">
        <x:v>IMP-20260516-FULLDRAFT</x:v>
      </x:c>
      <x:c r="C326" t="str">
        <x:v>KTO001</x:v>
      </x:c>
      <x:c r="D326" t="str">
        <x:v>16-05-2026_Umsatzliste_Girokonto_DE98120300001061711675.csv</x:v>
      </x:c>
      <x:c r="E326" t="n">
        <x:v>46163</x:v>
      </x:c>
      <x:c r="F326" t="n">
        <x:v>309</x:v>
      </x:c>
      <x:c r="G326" t="str">
        <x:v>b35d575d6c277c7ba960a75ee0872340bb154eb2328849cf7bea0715867ffeea</x:v>
      </x:c>
      <x:c r="H326" t="str">
        <x:v>neu</x:v>
      </x:c>
      <x:c r="I326" t="str">
        <x:v>ok</x:v>
      </x:c>
      <x:c r="J326"/>
      <x:c r="K326" t="n">
        <x:v>46057</x:v>
      </x:c>
      <x:c r="L326" t="n">
        <x:v>46057</x:v>
      </x:c>
      <x:c r="M326" t="str">
        <x:v>Gebucht</x:v>
      </x:c>
      <x:c r="N326" t="str">
        <x:v>ISSUER</x:v>
      </x:c>
      <x:c r="O326" t="str">
        <x:v>PAYPAL..SOLARSALE24/17682565906</x:v>
      </x:c>
      <x:c r="P326" t="str">
        <x:v>VISA Debitkartenumsatz vom 01.02.2026</x:v>
      </x:c>
      <x:c r="Q326" t="str">
        <x:v>Ausgang</x:v>
      </x:c>
      <x:c r="R326" t="str">
        <x:v>DE96120300009005290904</x:v>
      </x:c>
      <x:c r="S326" t="n">
        <x:v>-197.89</x:v>
      </x:c>
      <x:c r="T326" t="str">
        <x:v>"</x:v>
      </x:c>
      <x:c r="U326" t="str">
        <x:v>"</x:v>
      </x:c>
      <x:c r="V326" t="str">
        <x:v>586032590714270</x:v>
      </x:c>
    </x:row>
    <x:row r="327">
      <x:c r="A327" t="str">
        <x:v>RAW-IMP-20260516-FULLDRAFT-000310</x:v>
      </x:c>
      <x:c r="B327" t="str">
        <x:v>IMP-20260516-FULLDRAFT</x:v>
      </x:c>
      <x:c r="C327" t="str">
        <x:v>KTO001</x:v>
      </x:c>
      <x:c r="D327" t="str">
        <x:v>16-05-2026_Umsatzliste_Girokonto_DE98120300001061711675.csv</x:v>
      </x:c>
      <x:c r="E327" t="n">
        <x:v>46163</x:v>
      </x:c>
      <x:c r="F327" t="n">
        <x:v>310</x:v>
      </x:c>
      <x:c r="G327" t="str">
        <x:v>90930e1ecc5df0d927250d84ac23ad518f8bc920a731fd87a063efbe81687d8c</x:v>
      </x:c>
      <x:c r="H327" t="str">
        <x:v>neu</x:v>
      </x:c>
      <x:c r="I327" t="str">
        <x:v>ok</x:v>
      </x:c>
      <x:c r="J327"/>
      <x:c r="K327" t="n">
        <x:v>46057</x:v>
      </x:c>
      <x:c r="L327" t="n">
        <x:v>46057</x:v>
      </x:c>
      <x:c r="M327" t="str">
        <x:v>Gebucht</x:v>
      </x:c>
      <x:c r="N327" t="str">
        <x:v>ISSUER</x:v>
      </x:c>
      <x:c r="O327" t="str">
        <x:v>REWE.Salzgitter.Ge/Salzgitter</x:v>
      </x:c>
      <x:c r="P327" t="str">
        <x:v>VISA Debitkartenumsatz vom 03.02.2026</x:v>
      </x:c>
      <x:c r="Q327" t="str">
        <x:v>Ausgang</x:v>
      </x:c>
      <x:c r="R327" t="str">
        <x:v>DE96120300009005290904</x:v>
      </x:c>
      <x:c r="S327" t="n">
        <x:v>-3.49</x:v>
      </x:c>
      <x:c r="T327" t="str">
        <x:v>"</x:v>
      </x:c>
      <x:c r="U327" t="str">
        <x:v>"</x:v>
      </x:c>
      <x:c r="V327" t="str">
        <x:v>486034432447551</x:v>
      </x:c>
    </x:row>
    <x:row r="328">
      <x:c r="A328" t="str">
        <x:v>RAW-IMP-20260516-FULLDRAFT-000311</x:v>
      </x:c>
      <x:c r="B328" t="str">
        <x:v>IMP-20260516-FULLDRAFT</x:v>
      </x:c>
      <x:c r="C328" t="str">
        <x:v>KTO001</x:v>
      </x:c>
      <x:c r="D328" t="str">
        <x:v>16-05-2026_Umsatzliste_Girokonto_DE98120300001061711675.csv</x:v>
      </x:c>
      <x:c r="E328" t="n">
        <x:v>46163</x:v>
      </x:c>
      <x:c r="F328" t="n">
        <x:v>311</x:v>
      </x:c>
      <x:c r="G328" t="str">
        <x:v>92352d4c020f2468963814624e2588de28f01b4f435cc6b5d8e1a08c412846e7</x:v>
      </x:c>
      <x:c r="H328" t="str">
        <x:v>neu</x:v>
      </x:c>
      <x:c r="I328" t="str">
        <x:v>ok</x:v>
      </x:c>
      <x:c r="J328"/>
      <x:c r="K328" t="n">
        <x:v>46056</x:v>
      </x:c>
      <x:c r="L328" t="n">
        <x:v>46056</x:v>
      </x:c>
      <x:c r="M328" t="str">
        <x:v>Gebucht</x:v>
      </x:c>
      <x:c r="N328" t="str">
        <x:v>ISSUER</x:v>
      </x:c>
      <x:c r="O328" t="str">
        <x:v>UZR.C1.Cinema.Braunschw/Hamburg</x:v>
      </x:c>
      <x:c r="P328" t="str">
        <x:v>VISA Debitkartenumsatz vom 02.02.2026</x:v>
      </x:c>
      <x:c r="Q328" t="str">
        <x:v>Ausgang</x:v>
      </x:c>
      <x:c r="R328" t="str">
        <x:v>DE96120300009005290904</x:v>
      </x:c>
      <x:c r="S328" t="n">
        <x:v>-11.5</x:v>
      </x:c>
      <x:c r="T328" t="str">
        <x:v>"</x:v>
      </x:c>
      <x:c r="U328" t="str">
        <x:v>"</x:v>
      </x:c>
      <x:c r="V328" t="str">
        <x:v>486033529063292</x:v>
      </x:c>
    </x:row>
    <x:row r="329">
      <x:c r="A329" t="str">
        <x:v>RAW-IMP-20260516-FULLDRAFT-000312</x:v>
      </x:c>
      <x:c r="B329" t="str">
        <x:v>IMP-20260516-FULLDRAFT</x:v>
      </x:c>
      <x:c r="C329" t="str">
        <x:v>KTO001</x:v>
      </x:c>
      <x:c r="D329" t="str">
        <x:v>16-05-2026_Umsatzliste_Girokonto_DE98120300001061711675.csv</x:v>
      </x:c>
      <x:c r="E329" t="n">
        <x:v>46163</x:v>
      </x:c>
      <x:c r="F329" t="n">
        <x:v>312</x:v>
      </x:c>
      <x:c r="G329" t="str">
        <x:v>5298418b0ddd242f1cd6f4c198917c13c381d8216f3a57839733815981260c1e</x:v>
      </x:c>
      <x:c r="H329" t="str">
        <x:v>neu</x:v>
      </x:c>
      <x:c r="I329" t="str">
        <x:v>ok</x:v>
      </x:c>
      <x:c r="J329"/>
      <x:c r="K329" t="n">
        <x:v>46056</x:v>
      </x:c>
      <x:c r="L329" t="n">
        <x:v>46056</x:v>
      </x:c>
      <x:c r="M329" t="str">
        <x:v>Gebucht</x:v>
      </x:c>
      <x:c r="N329" t="str">
        <x:v>ISSUER</x:v>
      </x:c>
      <x:c r="O329" t="str">
        <x:v>pay.amazon.com/amazon.de</x:v>
      </x:c>
      <x:c r="P329" t="str">
        <x:v>VISA Debitkartenumsatz vom 02.02.2026</x:v>
      </x:c>
      <x:c r="Q329" t="str">
        <x:v>Ausgang</x:v>
      </x:c>
      <x:c r="R329" t="str">
        <x:v>DE96120300009005290904</x:v>
      </x:c>
      <x:c r="S329" t="n">
        <x:v>-32.1</x:v>
      </x:c>
      <x:c r="T329" t="str">
        <x:v>"</x:v>
      </x:c>
      <x:c r="U329" t="str">
        <x:v>"</x:v>
      </x:c>
      <x:c r="V329" t="str">
        <x:v>486033348310166</x:v>
      </x:c>
    </x:row>
    <x:row r="330">
      <x:c r="A330" t="str">
        <x:v>RAW-IMP-20260516-FULLDRAFT-000313</x:v>
      </x:c>
      <x:c r="B330" t="str">
        <x:v>IMP-20260516-FULLDRAFT</x:v>
      </x:c>
      <x:c r="C330" t="str">
        <x:v>KTO001</x:v>
      </x:c>
      <x:c r="D330" t="str">
        <x:v>16-05-2026_Umsatzliste_Girokonto_DE98120300001061711675.csv</x:v>
      </x:c>
      <x:c r="E330" t="n">
        <x:v>46163</x:v>
      </x:c>
      <x:c r="F330" t="n">
        <x:v>313</x:v>
      </x:c>
      <x:c r="G330" t="str">
        <x:v>cc7d6517278a11710d71b8b5ac62b2bff552e50ab3aa4dd86e7efe7b6b47346f</x:v>
      </x:c>
      <x:c r="H330" t="str">
        <x:v>neu</x:v>
      </x:c>
      <x:c r="I330" t="str">
        <x:v>ok</x:v>
      </x:c>
      <x:c r="J330"/>
      <x:c r="K330" t="n">
        <x:v>46056</x:v>
      </x:c>
      <x:c r="L330" t="n">
        <x:v>46056</x:v>
      </x:c>
      <x:c r="M330" t="str">
        <x:v>Gebucht</x:v>
      </x:c>
      <x:c r="N330" t="str">
        <x:v>ISSUER</x:v>
      </x:c>
      <x:c r="O330" t="str">
        <x:v>AMZN.Mktp.DE.265YN18E5/AMZN.COM.BILL</x:v>
      </x:c>
      <x:c r="P330" t="str">
        <x:v>VISA Debitkartenumsatz vom 02.02.2026</x:v>
      </x:c>
      <x:c r="Q330" t="str">
        <x:v>Ausgang</x:v>
      </x:c>
      <x:c r="R330" t="str">
        <x:v>DE96120300009005290904</x:v>
      </x:c>
      <x:c r="S330" t="n">
        <x:v>-8.99</x:v>
      </x:c>
      <x:c r="T330" t="str">
        <x:v>"</x:v>
      </x:c>
      <x:c r="U330" t="str">
        <x:v>"</x:v>
      </x:c>
      <x:c r="V330" t="str">
        <x:v>486033372786405</x:v>
      </x:c>
    </x:row>
    <x:row r="331">
      <x:c r="A331" t="str">
        <x:v>RAW-IMP-20260516-FULLDRAFT-000314</x:v>
      </x:c>
      <x:c r="B331" t="str">
        <x:v>IMP-20260516-FULLDRAFT</x:v>
      </x:c>
      <x:c r="C331" t="str">
        <x:v>KTO001</x:v>
      </x:c>
      <x:c r="D331" t="str">
        <x:v>16-05-2026_Umsatzliste_Girokonto_DE98120300001061711675.csv</x:v>
      </x:c>
      <x:c r="E331" t="n">
        <x:v>46163</x:v>
      </x:c>
      <x:c r="F331" t="n">
        <x:v>314</x:v>
      </x:c>
      <x:c r="G331" t="str">
        <x:v>f8d24327d157ac2c1c4b3be911f527ed6e407ce5d50a5696839928e4648242d4</x:v>
      </x:c>
      <x:c r="H331" t="str">
        <x:v>neu</x:v>
      </x:c>
      <x:c r="I331" t="str">
        <x:v>ok</x:v>
      </x:c>
      <x:c r="J331"/>
      <x:c r="K331" t="n">
        <x:v>46056</x:v>
      </x:c>
      <x:c r="L331" t="n">
        <x:v>46056</x:v>
      </x:c>
      <x:c r="M331" t="str">
        <x:v>Gebucht</x:v>
      </x:c>
      <x:c r="N331" t="str">
        <x:v>KOHLENBERG, LARS</x:v>
      </x:c>
      <x:c r="O331" t="str">
        <x:v>VPV-LEBENSVERSICHERUNGS-AG</x:v>
      </x:c>
      <x:c r="P331" t="str">
        <x:v>VNR 301667726</x:v>
      </x:c>
      <x:c r="Q331" t="str">
        <x:v>Ausgang</x:v>
      </x:c>
      <x:c r="R331" t="str">
        <x:v>DE78600501010001166338</x:v>
      </x:c>
      <x:c r="S331" t="n">
        <x:v>-56.83</x:v>
      </x:c>
      <x:c r="T331" t="str">
        <x:v>DE96LAG00000064686</x:v>
      </x:c>
      <x:c r="U331" t="str">
        <x:v>ML700120510</x:v>
      </x:c>
      <x:c r="V331" t="str">
        <x:v>260202 468240746 ML700120510</x:v>
      </x:c>
    </x:row>
    <x:row r="332">
      <x:c r="A332" t="str">
        <x:v>RAW-IMP-20260516-FULLDRAFT-000315</x:v>
      </x:c>
      <x:c r="B332" t="str">
        <x:v>IMP-20260516-FULLDRAFT</x:v>
      </x:c>
      <x:c r="C332" t="str">
        <x:v>KTO001</x:v>
      </x:c>
      <x:c r="D332" t="str">
        <x:v>16-05-2026_Umsatzliste_Girokonto_DE98120300001061711675.csv</x:v>
      </x:c>
      <x:c r="E332" t="n">
        <x:v>46163</x:v>
      </x:c>
      <x:c r="F332" t="n">
        <x:v>315</x:v>
      </x:c>
      <x:c r="G332" t="str">
        <x:v>9e5d3f5bc7b04c819278b20332e05431dc69ac220e67cf2a018e57a405d7d310</x:v>
      </x:c>
      <x:c r="H332" t="str">
        <x:v>neu</x:v>
      </x:c>
      <x:c r="I332" t="str">
        <x:v>ok</x:v>
      </x:c>
      <x:c r="J332"/>
      <x:c r="K332" t="n">
        <x:v>46056</x:v>
      </x:c>
      <x:c r="L332" t="n">
        <x:v>46056</x:v>
      </x:c>
      <x:c r="M332" t="str">
        <x:v>Gebucht</x:v>
      </x:c>
      <x:c r="N332" t="str">
        <x:v>Lars Kohlenberg</x:v>
      </x:c>
      <x:c r="O332" t="str">
        <x:v>VHV Allg. Versicherung AG</x:v>
      </x:c>
      <x:c r="P332" t="str">
        <x:v>VHV Versicherung UNFALLVERSICHERUNG U 013-072445/0000 Abrechnung: 01.02.26 - 01.03.26</x:v>
      </x:c>
      <x:c r="Q332" t="str">
        <x:v>Ausgang</x:v>
      </x:c>
      <x:c r="R332" t="str">
        <x:v>DE65250500000101411551</x:v>
      </x:c>
      <x:c r="S332" t="n">
        <x:v>-11.96</x:v>
      </x:c>
      <x:c r="T332" t="str">
        <x:v>DE32VHV00000150810</x:v>
      </x:c>
      <x:c r="U332" t="str">
        <x:v>0015012300010039</x:v>
      </x:c>
      <x:c r="V332" t="str">
        <x:v>31173544854</x:v>
      </x:c>
    </x:row>
    <x:row r="333">
      <x:c r="A333" t="str">
        <x:v>RAW-IMP-20260516-FULLDRAFT-000316</x:v>
      </x:c>
      <x:c r="B333" t="str">
        <x:v>IMP-20260516-FULLDRAFT</x:v>
      </x:c>
      <x:c r="C333" t="str">
        <x:v>KTO001</x:v>
      </x:c>
      <x:c r="D333" t="str">
        <x:v>16-05-2026_Umsatzliste_Girokonto_DE98120300001061711675.csv</x:v>
      </x:c>
      <x:c r="E333" t="n">
        <x:v>46163</x:v>
      </x:c>
      <x:c r="F333" t="n">
        <x:v>316</x:v>
      </x:c>
      <x:c r="G333" t="str">
        <x:v>abe13cb8c872a0d577509bf90609142ca25fcff9904c8c144d241dd76f51872a</x:v>
      </x:c>
      <x:c r="H333" t="str">
        <x:v>neu</x:v>
      </x:c>
      <x:c r="I333" t="str">
        <x:v>ok</x:v>
      </x:c>
      <x:c r="J333"/>
      <x:c r="K333" t="n">
        <x:v>46056</x:v>
      </x:c>
      <x:c r="L333" t="n">
        <x:v>46056</x:v>
      </x:c>
      <x:c r="M333" t="str">
        <x:v>Gebucht</x:v>
      </x:c>
      <x:c r="N333" t="str">
        <x:v>Lars Kohlenberg                                                       Johannes-Wosnitza-Str. 8</x:v>
      </x:c>
      <x:c r="O333" t="str">
        <x:v>FUNKE Medien Nieders.GmbH</x:v>
      </x:c>
      <x:c r="P333" t="str">
        <x:v>SZ/00001050/VA/01.02.26-28.02.26/Rg-Nr.:6316916376/Kd-Nr:0053112791</x:v>
      </x:c>
      <x:c r="Q333" t="str">
        <x:v>Ausgang</x:v>
      </x:c>
      <x:c r="R333" t="str">
        <x:v>DE67250500000000146910</x:v>
      </x:c>
      <x:c r="S333" t="n">
        <x:v>-60.5</x:v>
      </x:c>
      <x:c r="T333" t="str">
        <x:v>DE8850000000483288</x:v>
      </x:c>
      <x:c r="U333" t="str">
        <x:v>0053112791-0500-01300001</x:v>
      </x:c>
      <x:c r="V333" t="str">
        <x:v>032008900258</x:v>
      </x:c>
    </x:row>
    <x:row r="334">
      <x:c r="A334" t="str">
        <x:v>RAW-IMP-20260516-FULLDRAFT-000317</x:v>
      </x:c>
      <x:c r="B334" t="str">
        <x:v>IMP-20260516-FULLDRAFT</x:v>
      </x:c>
      <x:c r="C334" t="str">
        <x:v>KTO001</x:v>
      </x:c>
      <x:c r="D334" t="str">
        <x:v>16-05-2026_Umsatzliste_Girokonto_DE98120300001061711675.csv</x:v>
      </x:c>
      <x:c r="E334" t="n">
        <x:v>46163</x:v>
      </x:c>
      <x:c r="F334" t="n">
        <x:v>317</x:v>
      </x:c>
      <x:c r="G334" t="str">
        <x:v>64d6256796c7c93f9fe8c4411701f7fc51d371c113fc5ea20c77fb348929f1dc</x:v>
      </x:c>
      <x:c r="H334" t="str">
        <x:v>neu</x:v>
      </x:c>
      <x:c r="I334" t="str">
        <x:v>ok</x:v>
      </x:c>
      <x:c r="J334"/>
      <x:c r="K334" t="n">
        <x:v>46055</x:v>
      </x:c>
      <x:c r="L334" t="n">
        <x:v>46055</x:v>
      </x:c>
      <x:c r="M334" t="str">
        <x:v>Gebucht</x:v>
      </x:c>
      <x:c r="N334" t="str">
        <x:v>WILLI KOHLENBERG</x:v>
      </x:c>
      <x:c r="O334" t="str">
        <x:v>LARS KOHLENBERG</x:v>
      </x:c>
      <x:c r="P334" t="str">
        <x:v>MIETE 2/3 HAUS</x:v>
      </x:c>
      <x:c r="Q334" t="str">
        <x:v>Eingang</x:v>
      </x:c>
      <x:c r="R334" t="str">
        <x:v>DE84270800600651520400</x:v>
      </x:c>
      <x:c r="S334" t="n">
        <x:v>750</x:v>
      </x:c>
      <x:c r="T334" t="str">
        <x:v>"</x:v>
      </x:c>
      <x:c r="U334" t="str">
        <x:v>"</x:v>
      </x:c>
      <x:c r="V334" t="str">
        <x:v>"</x:v>
      </x:c>
    </x:row>
    <x:row r="335">
      <x:c r="A335" t="str">
        <x:v>RAW-IMP-20260516-FULLDRAFT-000318</x:v>
      </x:c>
      <x:c r="B335" t="str">
        <x:v>IMP-20260516-FULLDRAFT</x:v>
      </x:c>
      <x:c r="C335" t="str">
        <x:v>KTO001</x:v>
      </x:c>
      <x:c r="D335" t="str">
        <x:v>16-05-2026_Umsatzliste_Girokonto_DE98120300001061711675.csv</x:v>
      </x:c>
      <x:c r="E335" t="n">
        <x:v>46163</x:v>
      </x:c>
      <x:c r="F335" t="n">
        <x:v>318</x:v>
      </x:c>
      <x:c r="G335" t="str">
        <x:v>d64d5a0bace84b86cc38e9e9c2b2931d5d67acf6a6ec9e8b3506774dbd56c8fa</x:v>
      </x:c>
      <x:c r="H335" t="str">
        <x:v>neu</x:v>
      </x:c>
      <x:c r="I335" t="str">
        <x:v>ok</x:v>
      </x:c>
      <x:c r="J335"/>
      <x:c r="K335" t="n">
        <x:v>46055</x:v>
      </x:c>
      <x:c r="L335" t="n">
        <x:v>46055</x:v>
      </x:c>
      <x:c r="M335" t="str">
        <x:v>Gebucht</x:v>
      </x:c>
      <x:c r="N335" t="str">
        <x:v>ISSUER</x:v>
      </x:c>
      <x:c r="O335" t="str">
        <x:v>AMZN.Mktp.DE.1B5172EN5/AMZN.COM.BILL</x:v>
      </x:c>
      <x:c r="P335" t="str">
        <x:v>VISA Debitkartenumsatz vom 02.02.2026</x:v>
      </x:c>
      <x:c r="Q335" t="str">
        <x:v>Ausgang</x:v>
      </x:c>
      <x:c r="R335" t="str">
        <x:v>DE96120300009005290904</x:v>
      </x:c>
      <x:c r="S335" t="n">
        <x:v>-111.96</x:v>
      </x:c>
      <x:c r="T335" t="str">
        <x:v>"</x:v>
      </x:c>
      <x:c r="U335" t="str">
        <x:v>"</x:v>
      </x:c>
      <x:c r="V335" t="str">
        <x:v>486032593782137</x:v>
      </x:c>
    </x:row>
    <x:row r="336">
      <x:c r="A336" t="str">
        <x:v>RAW-IMP-20260516-FULLDRAFT-000319</x:v>
      </x:c>
      <x:c r="B336" t="str">
        <x:v>IMP-20260516-FULLDRAFT</x:v>
      </x:c>
      <x:c r="C336" t="str">
        <x:v>KTO001</x:v>
      </x:c>
      <x:c r="D336" t="str">
        <x:v>16-05-2026_Umsatzliste_Girokonto_DE98120300001061711675.csv</x:v>
      </x:c>
      <x:c r="E336" t="n">
        <x:v>46163</x:v>
      </x:c>
      <x:c r="F336" t="n">
        <x:v>319</x:v>
      </x:c>
      <x:c r="G336" t="str">
        <x:v>5f2f576b69c2d270037c35069b2f11005b11951534ae4340795c482b15c5f435</x:v>
      </x:c>
      <x:c r="H336" t="str">
        <x:v>neu</x:v>
      </x:c>
      <x:c r="I336" t="str">
        <x:v>ok</x:v>
      </x:c>
      <x:c r="J336"/>
      <x:c r="K336" t="n">
        <x:v>46055</x:v>
      </x:c>
      <x:c r="L336" t="n">
        <x:v>46055</x:v>
      </x:c>
      <x:c r="M336" t="str">
        <x:v>Gebucht</x:v>
      </x:c>
      <x:c r="N336" t="str">
        <x:v>ISSUER</x:v>
      </x:c>
      <x:c r="O336" t="str">
        <x:v>PLAY.OFF.BRAUNSCHWEIG/BRAUNSCHWEIG</x:v>
      </x:c>
      <x:c r="P336" t="str">
        <x:v>VISA Debitkartenumsatz vom 31.01.2026</x:v>
      </x:c>
      <x:c r="Q336" t="str">
        <x:v>Ausgang</x:v>
      </x:c>
      <x:c r="R336" t="str">
        <x:v>DE96120300009005290904</x:v>
      </x:c>
      <x:c r="S336" t="n">
        <x:v>-35</x:v>
      </x:c>
      <x:c r="T336" t="str">
        <x:v>"</x:v>
      </x:c>
      <x:c r="U336" t="str">
        <x:v>"</x:v>
      </x:c>
      <x:c r="V336" t="str">
        <x:v>486031416364950</x:v>
      </x:c>
    </x:row>
    <x:row r="337">
      <x:c r="A337" t="str">
        <x:v>RAW-IMP-20260516-FULLDRAFT-000320</x:v>
      </x:c>
      <x:c r="B337" t="str">
        <x:v>IMP-20260516-FULLDRAFT</x:v>
      </x:c>
      <x:c r="C337" t="str">
        <x:v>KTO001</x:v>
      </x:c>
      <x:c r="D337" t="str">
        <x:v>16-05-2026_Umsatzliste_Girokonto_DE98120300001061711675.csv</x:v>
      </x:c>
      <x:c r="E337" t="n">
        <x:v>46163</x:v>
      </x:c>
      <x:c r="F337" t="n">
        <x:v>320</x:v>
      </x:c>
      <x:c r="G337" t="str">
        <x:v>4c6338e50aaa56b269dfbf6054a88639fbb8f1b1d10e847633325b0920eb53c4</x:v>
      </x:c>
      <x:c r="H337" t="str">
        <x:v>neu</x:v>
      </x:c>
      <x:c r="I337" t="str">
        <x:v>ok</x:v>
      </x:c>
      <x:c r="J337"/>
      <x:c r="K337" t="n">
        <x:v>46055</x:v>
      </x:c>
      <x:c r="L337" t="n">
        <x:v>46055</x:v>
      </x:c>
      <x:c r="M337" t="str">
        <x:v>Gebucht</x:v>
      </x:c>
      <x:c r="N337" t="str">
        <x:v>ISSUER</x:v>
      </x:c>
      <x:c r="O337" t="str">
        <x:v>METRO.SAGT.DANKE/BRAUNSCHWEIG</x:v>
      </x:c>
      <x:c r="P337" t="str">
        <x:v>VISA Debitkartenumsatz vom 31.01.2026</x:v>
      </x:c>
      <x:c r="Q337" t="str">
        <x:v>Ausgang</x:v>
      </x:c>
      <x:c r="R337" t="str">
        <x:v>DE96120300009005290904</x:v>
      </x:c>
      <x:c r="S337" t="n">
        <x:v>-47.67</x:v>
      </x:c>
      <x:c r="T337" t="str">
        <x:v>"</x:v>
      </x:c>
      <x:c r="U337" t="str">
        <x:v>"</x:v>
      </x:c>
      <x:c r="V337" t="str">
        <x:v>486031440794166</x:v>
      </x:c>
    </x:row>
    <x:row r="338">
      <x:c r="A338" t="str">
        <x:v>RAW-IMP-20260516-FULLDRAFT-000321</x:v>
      </x:c>
      <x:c r="B338" t="str">
        <x:v>IMP-20260516-FULLDRAFT</x:v>
      </x:c>
      <x:c r="C338" t="str">
        <x:v>KTO001</x:v>
      </x:c>
      <x:c r="D338" t="str">
        <x:v>16-05-2026_Umsatzliste_Girokonto_DE98120300001061711675.csv</x:v>
      </x:c>
      <x:c r="E338" t="n">
        <x:v>46163</x:v>
      </x:c>
      <x:c r="F338" t="n">
        <x:v>321</x:v>
      </x:c>
      <x:c r="G338" t="str">
        <x:v>331dcec637dcdee39286dca86a170a857229291e7e8391d2a648ab3c72e8eab2</x:v>
      </x:c>
      <x:c r="H338" t="str">
        <x:v>neu</x:v>
      </x:c>
      <x:c r="I338" t="str">
        <x:v>ok</x:v>
      </x:c>
      <x:c r="J338"/>
      <x:c r="K338" t="n">
        <x:v>46055</x:v>
      </x:c>
      <x:c r="L338" t="n">
        <x:v>46055</x:v>
      </x:c>
      <x:c r="M338" t="str">
        <x:v>Gebucht</x:v>
      </x:c>
      <x:c r="N338" t="str">
        <x:v>ISSUER</x:v>
      </x:c>
      <x:c r="O338" t="str">
        <x:v>Konzert.Kasse.ECE.Schlo/Braunschweig</x:v>
      </x:c>
      <x:c r="P338" t="str">
        <x:v>VISA Debitkartenumsatz vom 31.01.2026</x:v>
      </x:c>
      <x:c r="Q338" t="str">
        <x:v>Ausgang</x:v>
      </x:c>
      <x:c r="R338" t="str">
        <x:v>DE96120300009005290904</x:v>
      </x:c>
      <x:c r="S338" t="n">
        <x:v>-100.4</x:v>
      </x:c>
      <x:c r="T338" t="str">
        <x:v>"</x:v>
      </x:c>
      <x:c r="U338" t="str">
        <x:v>"</x:v>
      </x:c>
      <x:c r="V338" t="str">
        <x:v>486031393354437</x:v>
      </x:c>
    </x:row>
    <x:row r="339">
      <x:c r="A339" t="str">
        <x:v>RAW-IMP-20260516-FULLDRAFT-000322</x:v>
      </x:c>
      <x:c r="B339" t="str">
        <x:v>IMP-20260516-FULLDRAFT</x:v>
      </x:c>
      <x:c r="C339" t="str">
        <x:v>KTO001</x:v>
      </x:c>
      <x:c r="D339" t="str">
        <x:v>16-05-2026_Umsatzliste_Girokonto_DE98120300001061711675.csv</x:v>
      </x:c>
      <x:c r="E339" t="n">
        <x:v>46163</x:v>
      </x:c>
      <x:c r="F339" t="n">
        <x:v>322</x:v>
      </x:c>
      <x:c r="G339" t="str">
        <x:v>3cd32c582f759acd2ae8ec3e596021d1db98b22530e9f55df1bc2cf794916ded</x:v>
      </x:c>
      <x:c r="H339" t="str">
        <x:v>neu</x:v>
      </x:c>
      <x:c r="I339" t="str">
        <x:v>ok</x:v>
      </x:c>
      <x:c r="J339"/>
      <x:c r="K339" t="n">
        <x:v>46055</x:v>
      </x:c>
      <x:c r="L339" t="n">
        <x:v>46055</x:v>
      </x:c>
      <x:c r="M339" t="str">
        <x:v>Gebucht</x:v>
      </x:c>
      <x:c r="N339" t="str">
        <x:v>ISSUER</x:v>
      </x:c>
      <x:c r="O339" t="str">
        <x:v>Rossmann.1956/Salzgitter</x:v>
      </x:c>
      <x:c r="P339" t="str">
        <x:v>VISA Debitkartenumsatz vom 30.01.2026</x:v>
      </x:c>
      <x:c r="Q339" t="str">
        <x:v>Ausgang</x:v>
      </x:c>
      <x:c r="R339" t="str">
        <x:v>DE96120300009005290904</x:v>
      </x:c>
      <x:c r="S339" t="n">
        <x:v>-5.17</x:v>
      </x:c>
      <x:c r="T339" t="str">
        <x:v>"</x:v>
      </x:c>
      <x:c r="U339" t="str">
        <x:v>"</x:v>
      </x:c>
      <x:c r="V339" t="str">
        <x:v>486030551209370</x:v>
      </x:c>
    </x:row>
    <x:row r="340">
      <x:c r="A340" t="str">
        <x:v>RAW-IMP-20260516-FULLDRAFT-000323</x:v>
      </x:c>
      <x:c r="B340" t="str">
        <x:v>IMP-20260516-FULLDRAFT</x:v>
      </x:c>
      <x:c r="C340" t="str">
        <x:v>KTO001</x:v>
      </x:c>
      <x:c r="D340" t="str">
        <x:v>16-05-2026_Umsatzliste_Girokonto_DE98120300001061711675.csv</x:v>
      </x:c>
      <x:c r="E340" t="n">
        <x:v>46163</x:v>
      </x:c>
      <x:c r="F340" t="n">
        <x:v>323</x:v>
      </x:c>
      <x:c r="G340" t="str">
        <x:v>eea0bc5e77d4dd69c3e1092b7263b1166776b3e95273c725a1e4418f4c3f16c7</x:v>
      </x:c>
      <x:c r="H340" t="str">
        <x:v>neu</x:v>
      </x:c>
      <x:c r="I340" t="str">
        <x:v>ok</x:v>
      </x:c>
      <x:c r="J340"/>
      <x:c r="K340" t="n">
        <x:v>46055</x:v>
      </x:c>
      <x:c r="L340" t="n">
        <x:v>46055</x:v>
      </x:c>
      <x:c r="M340" t="str">
        <x:v>Gebucht</x:v>
      </x:c>
      <x:c r="N340" t="str">
        <x:v>ISSUER</x:v>
      </x:c>
      <x:c r="O340" t="str">
        <x:v>REWE.Acar.oHG/Salzgitter</x:v>
      </x:c>
      <x:c r="P340" t="str">
        <x:v>VISA Debitkartenumsatz vom 30.01.2026</x:v>
      </x:c>
      <x:c r="Q340" t="str">
        <x:v>Ausgang</x:v>
      </x:c>
      <x:c r="R340" t="str">
        <x:v>DE96120300009005290904</x:v>
      </x:c>
      <x:c r="S340" t="n">
        <x:v>-29.99</x:v>
      </x:c>
      <x:c r="T340" t="str">
        <x:v>"</x:v>
      </x:c>
      <x:c r="U340" t="str">
        <x:v>"</x:v>
      </x:c>
      <x:c r="V340" t="str">
        <x:v>486030547363203</x:v>
      </x:c>
    </x:row>
    <x:row r="341">
      <x:c r="A341" t="str">
        <x:v>RAW-IMP-20260516-FULLDRAFT-000324</x:v>
      </x:c>
      <x:c r="B341" t="str">
        <x:v>IMP-20260516-FULLDRAFT</x:v>
      </x:c>
      <x:c r="C341" t="str">
        <x:v>KTO001</x:v>
      </x:c>
      <x:c r="D341" t="str">
        <x:v>16-05-2026_Umsatzliste_Girokonto_DE98120300001061711675.csv</x:v>
      </x:c>
      <x:c r="E341" t="n">
        <x:v>46163</x:v>
      </x:c>
      <x:c r="F341" t="n">
        <x:v>324</x:v>
      </x:c>
      <x:c r="G341" t="str">
        <x:v>8782576a42c6760a3a6e31bdfdd8fbb67c5a7d1a4dd140b82ab2813f02c3e654</x:v>
      </x:c>
      <x:c r="H341" t="str">
        <x:v>neu</x:v>
      </x:c>
      <x:c r="I341" t="str">
        <x:v>ok</x:v>
      </x:c>
      <x:c r="J341"/>
      <x:c r="K341" t="n">
        <x:v>46055</x:v>
      </x:c>
      <x:c r="L341" t="n">
        <x:v>46055</x:v>
      </x:c>
      <x:c r="M341" t="str">
        <x:v>Gebucht</x:v>
      </x:c>
      <x:c r="N341" t="str">
        <x:v>ISSUER</x:v>
      </x:c>
      <x:c r="O341" t="str">
        <x:v>E.CENTER.3443.SALZGITT/SALZGITTER</x:v>
      </x:c>
      <x:c r="P341" t="str">
        <x:v>VISA Debitkartenumsatz vom 31.01.2026</x:v>
      </x:c>
      <x:c r="Q341" t="str">
        <x:v>Ausgang</x:v>
      </x:c>
      <x:c r="R341" t="str">
        <x:v>DE96120300009005290904</x:v>
      </x:c>
      <x:c r="S341" t="n">
        <x:v>-10.76</x:v>
      </x:c>
      <x:c r="T341" t="str">
        <x:v>"</x:v>
      </x:c>
      <x:c r="U341" t="str">
        <x:v>"</x:v>
      </x:c>
      <x:c r="V341" t="str">
        <x:v>486031458790687</x:v>
      </x:c>
    </x:row>
    <x:row r="342">
      <x:c r="A342" t="str">
        <x:v>RAW-IMP-20260516-FULLDRAFT-000325</x:v>
      </x:c>
      <x:c r="B342" t="str">
        <x:v>IMP-20260516-FULLDRAFT</x:v>
      </x:c>
      <x:c r="C342" t="str">
        <x:v>KTO001</x:v>
      </x:c>
      <x:c r="D342" t="str">
        <x:v>16-05-2026_Umsatzliste_Girokonto_DE98120300001061711675.csv</x:v>
      </x:c>
      <x:c r="E342" t="n">
        <x:v>46163</x:v>
      </x:c>
      <x:c r="F342" t="n">
        <x:v>325</x:v>
      </x:c>
      <x:c r="G342" t="str">
        <x:v>48b9ecf32ba798d293b7e3b4765632be663794de9b2c036d6d3cd303b878ae7d</x:v>
      </x:c>
      <x:c r="H342" t="str">
        <x:v>neu</x:v>
      </x:c>
      <x:c r="I342" t="str">
        <x:v>ok</x:v>
      </x:c>
      <x:c r="J342"/>
      <x:c r="K342" t="n">
        <x:v>46055</x:v>
      </x:c>
      <x:c r="L342" t="n">
        <x:v>46055</x:v>
      </x:c>
      <x:c r="M342" t="str">
        <x:v>Gebucht</x:v>
      </x:c>
      <x:c r="N342" t="str">
        <x:v>ISSUER</x:v>
      </x:c>
      <x:c r="O342" t="str">
        <x:v>G.rtnerei.Starke.Nachfo/Salzgitter</x:v>
      </x:c>
      <x:c r="P342" t="str">
        <x:v>VISA Debitkartenumsatz vom 30.01.2026</x:v>
      </x:c>
      <x:c r="Q342" t="str">
        <x:v>Ausgang</x:v>
      </x:c>
      <x:c r="R342" t="str">
        <x:v>DE96120300009005290904</x:v>
      </x:c>
      <x:c r="S342" t="n">
        <x:v>-11</x:v>
      </x:c>
      <x:c r="T342" t="str">
        <x:v>"</x:v>
      </x:c>
      <x:c r="U342" t="str">
        <x:v>"</x:v>
      </x:c>
      <x:c r="V342" t="str">
        <x:v>486030538660464</x:v>
      </x:c>
    </x:row>
    <x:row r="343">
      <x:c r="A343" t="str">
        <x:v>RAW-IMP-20260516-FULLDRAFT-000326</x:v>
      </x:c>
      <x:c r="B343" t="str">
        <x:v>IMP-20260516-FULLDRAFT</x:v>
      </x:c>
      <x:c r="C343" t="str">
        <x:v>KTO001</x:v>
      </x:c>
      <x:c r="D343" t="str">
        <x:v>16-05-2026_Umsatzliste_Girokonto_DE98120300001061711675.csv</x:v>
      </x:c>
      <x:c r="E343" t="n">
        <x:v>46163</x:v>
      </x:c>
      <x:c r="F343" t="n">
        <x:v>326</x:v>
      </x:c>
      <x:c r="G343" t="str">
        <x:v>e1a52247f501ffacbed263c2b8f0b7f8d9fc4faab3546ea3dacefe60f204cf6c</x:v>
      </x:c>
      <x:c r="H343" t="str">
        <x:v>neu</x:v>
      </x:c>
      <x:c r="I343" t="str">
        <x:v>ok</x:v>
      </x:c>
      <x:c r="J343"/>
      <x:c r="K343" t="n">
        <x:v>46055</x:v>
      </x:c>
      <x:c r="L343" t="n">
        <x:v>46055</x:v>
      </x:c>
      <x:c r="M343" t="str">
        <x:v>Gebucht</x:v>
      </x:c>
      <x:c r="N343" t="str">
        <x:v>ISSUER</x:v>
      </x:c>
      <x:c r="O343" t="str">
        <x:v>REWE.Salzgitter.Ge/Salzgitter</x:v>
      </x:c>
      <x:c r="P343" t="str">
        <x:v>VISA Debitkartenumsatz vom 30.01.2026</x:v>
      </x:c>
      <x:c r="Q343" t="str">
        <x:v>Ausgang</x:v>
      </x:c>
      <x:c r="R343" t="str">
        <x:v>DE96120300009005290904</x:v>
      </x:c>
      <x:c r="S343" t="n">
        <x:v>-97.26</x:v>
      </x:c>
      <x:c r="T343" t="str">
        <x:v>"</x:v>
      </x:c>
      <x:c r="U343" t="str">
        <x:v>"</x:v>
      </x:c>
      <x:c r="V343" t="str">
        <x:v>486030384562255</x:v>
      </x:c>
    </x:row>
    <x:row r="344">
      <x:c r="A344" t="str">
        <x:v>RAW-IMP-20260516-FULLDRAFT-000327</x:v>
      </x:c>
      <x:c r="B344" t="str">
        <x:v>IMP-20260516-FULLDRAFT</x:v>
      </x:c>
      <x:c r="C344" t="str">
        <x:v>KTO001</x:v>
      </x:c>
      <x:c r="D344" t="str">
        <x:v>16-05-2026_Umsatzliste_Girokonto_DE98120300001061711675.csv</x:v>
      </x:c>
      <x:c r="E344" t="n">
        <x:v>46163</x:v>
      </x:c>
      <x:c r="F344" t="n">
        <x:v>327</x:v>
      </x:c>
      <x:c r="G344" t="str">
        <x:v>805d19334716070df056ed46240265ce781a26dcc96463a29dccde0613f5c106</x:v>
      </x:c>
      <x:c r="H344" t="str">
        <x:v>neu</x:v>
      </x:c>
      <x:c r="I344" t="str">
        <x:v>ok</x:v>
      </x:c>
      <x:c r="J344"/>
      <x:c r="K344" t="n">
        <x:v>46055</x:v>
      </x:c>
      <x:c r="L344" t="n">
        <x:v>46055</x:v>
      </x:c>
      <x:c r="M344" t="str">
        <x:v>Gebucht</x:v>
      </x:c>
      <x:c r="N344" t="str">
        <x:v>ISSUER</x:v>
      </x:c>
      <x:c r="O344" t="str">
        <x:v>DM.Drogerie.Markt/Braunschweig</x:v>
      </x:c>
      <x:c r="P344" t="str">
        <x:v>VISA Debitkartenumsatz vom 31.01.2026</x:v>
      </x:c>
      <x:c r="Q344" t="str">
        <x:v>Ausgang</x:v>
      </x:c>
      <x:c r="R344" t="str">
        <x:v>DE96120300009005290904</x:v>
      </x:c>
      <x:c r="S344" t="n">
        <x:v>-9.15</x:v>
      </x:c>
      <x:c r="T344" t="str">
        <x:v>"</x:v>
      </x:c>
      <x:c r="U344" t="str">
        <x:v>"</x:v>
      </x:c>
      <x:c r="V344" t="str">
        <x:v>486031381177066</x:v>
      </x:c>
    </x:row>
    <x:row r="345">
      <x:c r="A345" t="str">
        <x:v>RAW-IMP-20260516-FULLDRAFT-000328</x:v>
      </x:c>
      <x:c r="B345" t="str">
        <x:v>IMP-20260516-FULLDRAFT</x:v>
      </x:c>
      <x:c r="C345" t="str">
        <x:v>KTO001</x:v>
      </x:c>
      <x:c r="D345" t="str">
        <x:v>16-05-2026_Umsatzliste_Girokonto_DE98120300001061711675.csv</x:v>
      </x:c>
      <x:c r="E345" t="n">
        <x:v>46163</x:v>
      </x:c>
      <x:c r="F345" t="n">
        <x:v>328</x:v>
      </x:c>
      <x:c r="G345" t="str">
        <x:v>e359e083cbba2b51f15eec031034224917bc2af6e78a40dd659835ccd606e2d9</x:v>
      </x:c>
      <x:c r="H345" t="str">
        <x:v>neu</x:v>
      </x:c>
      <x:c r="I345" t="str">
        <x:v>ok</x:v>
      </x:c>
      <x:c r="J345"/>
      <x:c r="K345" t="n">
        <x:v>46055</x:v>
      </x:c>
      <x:c r="L345" t="n">
        <x:v>46055</x:v>
      </x:c>
      <x:c r="M345" t="str">
        <x:v>Gebucht</x:v>
      </x:c>
      <x:c r="N345" t="str">
        <x:v>ISSUER</x:v>
      </x:c>
      <x:c r="O345" t="str">
        <x:v>SP.SOLAKON/SCHWABISCH.HA</x:v>
      </x:c>
      <x:c r="P345" t="str">
        <x:v>VISA Debitkartenumsatz vom 31.01.2026</x:v>
      </x:c>
      <x:c r="Q345" t="str">
        <x:v>Ausgang</x:v>
      </x:c>
      <x:c r="R345" t="str">
        <x:v>DE96120300009005290904</x:v>
      </x:c>
      <x:c r="S345" t="n">
        <x:v>-1329.98</x:v>
      </x:c>
      <x:c r="T345" t="str">
        <x:v>"</x:v>
      </x:c>
      <x:c r="U345" t="str">
        <x:v>"</x:v>
      </x:c>
      <x:c r="V345" t="str">
        <x:v>486031357548772</x:v>
      </x:c>
    </x:row>
    <x:row r="346">
      <x:c r="A346" t="str">
        <x:v>RAW-IMP-20260516-FULLDRAFT-000329</x:v>
      </x:c>
      <x:c r="B346" t="str">
        <x:v>IMP-20260516-FULLDRAFT</x:v>
      </x:c>
      <x:c r="C346" t="str">
        <x:v>KTO001</x:v>
      </x:c>
      <x:c r="D346" t="str">
        <x:v>16-05-2026_Umsatzliste_Girokonto_DE98120300001061711675.csv</x:v>
      </x:c>
      <x:c r="E346" t="n">
        <x:v>46163</x:v>
      </x:c>
      <x:c r="F346" t="n">
        <x:v>329</x:v>
      </x:c>
      <x:c r="G346" t="str">
        <x:v>786539d414df0556134ce4e1fccc2acf16f500aeae9c7ca618cca70586f58b23</x:v>
      </x:c>
      <x:c r="H346" t="str">
        <x:v>neu</x:v>
      </x:c>
      <x:c r="I346" t="str">
        <x:v>ok</x:v>
      </x:c>
      <x:c r="J346"/>
      <x:c r="K346" t="n">
        <x:v>46055</x:v>
      </x:c>
      <x:c r="L346" t="n">
        <x:v>46055</x:v>
      </x:c>
      <x:c r="M346" t="str">
        <x:v>Gebucht</x:v>
      </x:c>
      <x:c r="N346" t="str">
        <x:v>ISSUER</x:v>
      </x:c>
      <x:c r="O346" t="str">
        <x:v>SPC.Reformhaus.Bacher/Erkrath</x:v>
      </x:c>
      <x:c r="P346" t="str">
        <x:v>VISA Debitkartenumsatz vom 31.01.2026</x:v>
      </x:c>
      <x:c r="Q346" t="str">
        <x:v>Ausgang</x:v>
      </x:c>
      <x:c r="R346" t="str">
        <x:v>DE96120300009005290904</x:v>
      </x:c>
      <x:c r="S346" t="n">
        <x:v>-5.99</x:v>
      </x:c>
      <x:c r="T346" t="str">
        <x:v>"</x:v>
      </x:c>
      <x:c r="U346" t="str">
        <x:v>"</x:v>
      </x:c>
      <x:c r="V346" t="str">
        <x:v>486031397652398</x:v>
      </x:c>
    </x:row>
    <x:row r="347">
      <x:c r="A347" t="str">
        <x:v>RAW-IMP-20260516-FULLDRAFT-000330</x:v>
      </x:c>
      <x:c r="B347" t="str">
        <x:v>IMP-20260516-FULLDRAFT</x:v>
      </x:c>
      <x:c r="C347" t="str">
        <x:v>KTO001</x:v>
      </x:c>
      <x:c r="D347" t="str">
        <x:v>16-05-2026_Umsatzliste_Girokonto_DE98120300001061711675.csv</x:v>
      </x:c>
      <x:c r="E347" t="n">
        <x:v>46163</x:v>
      </x:c>
      <x:c r="F347" t="n">
        <x:v>330</x:v>
      </x:c>
      <x:c r="G347" t="str">
        <x:v>41c68a817016cc0222abd5dbf9ed36d9ba9b0a52fd6fa98fc46c200121894626</x:v>
      </x:c>
      <x:c r="H347" t="str">
        <x:v>neu</x:v>
      </x:c>
      <x:c r="I347" t="str">
        <x:v>ok</x:v>
      </x:c>
      <x:c r="J347"/>
      <x:c r="K347" t="n">
        <x:v>46055</x:v>
      </x:c>
      <x:c r="L347" t="n">
        <x:v>46055</x:v>
      </x:c>
      <x:c r="M347" t="str">
        <x:v>Gebucht</x:v>
      </x:c>
      <x:c r="N347" t="str">
        <x:v>Lars Kohlenberg                                                       Johannes-Wosnitza-Str. 8 38229 Salzgitter</x:v>
      </x:c>
      <x:c r="O347" t="str">
        <x:v>Heidelberger Lebensversicherung AG                                    Donrhofstrasse 36, 63263 Neu-Isenburg</x:v>
      </x:c>
      <x:c r="P347" t="str">
        <x:v>60012826 , 02.26</x:v>
      </x:c>
      <x:c r="Q347" t="str">
        <x:v>Ausgang</x:v>
      </x:c>
      <x:c r="R347" t="str">
        <x:v>DE38600501010002662604</x:v>
      </x:c>
      <x:c r="S347" t="n">
        <x:v>-452.71</x:v>
      </x:c>
      <x:c r="T347" t="str">
        <x:v>DE31HLE00000032682</x:v>
      </x:c>
      <x:c r="U347" t="str">
        <x:v>11-140000075706</x:v>
      </x:c>
      <x:c r="V347" t="str">
        <x:v>156045077543</x:v>
      </x:c>
    </x:row>
    <x:row r="348">
      <x:c r="A348" t="str">
        <x:v>RAW-IMP-20260516-FULLDRAFT-000331</x:v>
      </x:c>
      <x:c r="B348" t="str">
        <x:v>IMP-20260516-FULLDRAFT</x:v>
      </x:c>
      <x:c r="C348" t="str">
        <x:v>KTO001</x:v>
      </x:c>
      <x:c r="D348" t="str">
        <x:v>16-05-2026_Umsatzliste_Girokonto_DE98120300001061711675.csv</x:v>
      </x:c>
      <x:c r="E348" t="n">
        <x:v>46163</x:v>
      </x:c>
      <x:c r="F348" t="n">
        <x:v>331</x:v>
      </x:c>
      <x:c r="G348" t="str">
        <x:v>7a5d42d455e560b8528b1ce1577ec336cbae27b08de20ff8a3d27ba33057cc73</x:v>
      </x:c>
      <x:c r="H348" t="str">
        <x:v>neu</x:v>
      </x:c>
      <x:c r="I348" t="str">
        <x:v>ok</x:v>
      </x:c>
      <x:c r="J348"/>
      <x:c r="K348" t="n">
        <x:v>46055</x:v>
      </x:c>
      <x:c r="L348" t="n">
        <x:v>46055</x:v>
      </x:c>
      <x:c r="M348" t="str">
        <x:v>Gebucht</x:v>
      </x:c>
      <x:c r="N348" t="str">
        <x:v>KOHLENBERG LARS</x:v>
      </x:c>
      <x:c r="O348" t="str">
        <x:v>VOLKSWOHL BUND Lebensversicherung a.G.</x:v>
      </x:c>
      <x:c r="P348" t="str">
        <x:v>009893595 LA000750566/ 009893595 LEBEN 73,09</x:v>
      </x:c>
      <x:c r="Q348" t="str">
        <x:v>Ausgang</x:v>
      </x:c>
      <x:c r="R348" t="str">
        <x:v>DE76440400370361155500</x:v>
      </x:c>
      <x:c r="S348" t="n">
        <x:v>-73.09</x:v>
      </x:c>
      <x:c r="T348" t="str">
        <x:v>DE13ZZZ00000141064</x:v>
      </x:c>
      <x:c r="U348" t="str">
        <x:v>LA000750566</x:v>
      </x:c>
      <x:c r="V348" t="str">
        <x:v>009893595/NVMA.G1161-304449</x:v>
      </x:c>
    </x:row>
    <x:row r="349">
      <x:c r="A349" t="str">
        <x:v>RAW-IMP-20260516-FULLDRAFT-000332</x:v>
      </x:c>
      <x:c r="B349" t="str">
        <x:v>IMP-20260516-FULLDRAFT</x:v>
      </x:c>
      <x:c r="C349" t="str">
        <x:v>KTO001</x:v>
      </x:c>
      <x:c r="D349" t="str">
        <x:v>16-05-2026_Umsatzliste_Girokonto_DE98120300001061711675.csv</x:v>
      </x:c>
      <x:c r="E349" t="n">
        <x:v>46163</x:v>
      </x:c>
      <x:c r="F349" t="n">
        <x:v>332</x:v>
      </x:c>
      <x:c r="G349" t="str">
        <x:v>a47bb51bc23fc96b7211eefe0d9740a61fbbd8cf74b9eec1552012a4eb1df6db</x:v>
      </x:c>
      <x:c r="H349" t="str">
        <x:v>neu</x:v>
      </x:c>
      <x:c r="I349" t="str">
        <x:v>ok</x:v>
      </x:c>
      <x:c r="J349"/>
      <x:c r="K349" t="n">
        <x:v>46055</x:v>
      </x:c>
      <x:c r="L349" t="n">
        <x:v>46055</x:v>
      </x:c>
      <x:c r="M349" t="str">
        <x:v>Gebucht</x:v>
      </x:c>
      <x:c r="N349" t="str">
        <x:v>KOHLENBERG, LARS</x:v>
      </x:c>
      <x:c r="O349" t="str">
        <x:v>Lars und Katrin Kohlenberg</x:v>
      </x:c>
      <x:c r="P349" t="str">
        <x:v>12806575 VERMOEGENSDEPOT SAMMELBUCHUNG SPARPLAN WKN A1C9ED, 847809</x:v>
      </x:c>
      <x:c r="Q349" t="str">
        <x:v>Ausgang</x:v>
      </x:c>
      <x:c r="R349" t="str">
        <x:v>DE27672300000506966162</x:v>
      </x:c>
      <x:c r="S349" t="n">
        <x:v>-600</x:v>
      </x:c>
      <x:c r="T349" t="str">
        <x:v>DE53ZZZ00000010849</x:v>
      </x:c>
      <x:c r="U349" t="str">
        <x:v>WPBF0000180845</x:v>
      </x:c>
      <x:c r="V349" t="str">
        <x:v>SPARSP 20110069</x:v>
      </x:c>
    </x:row>
    <x:row r="350">
      <x:c r="A350" t="str">
        <x:v>RAW-IMP-20260516-FULLDRAFT-000333</x:v>
      </x:c>
      <x:c r="B350" t="str">
        <x:v>IMP-20260516-FULLDRAFT</x:v>
      </x:c>
      <x:c r="C350" t="str">
        <x:v>KTO001</x:v>
      </x:c>
      <x:c r="D350" t="str">
        <x:v>16-05-2026_Umsatzliste_Girokonto_DE98120300001061711675.csv</x:v>
      </x:c>
      <x:c r="E350" t="n">
        <x:v>46163</x:v>
      </x:c>
      <x:c r="F350" t="n">
        <x:v>333</x:v>
      </x:c>
      <x:c r="G350" t="str">
        <x:v>41bea631eb924e479088146cfb0c5d0b8c760aa1891edb19c2bc0e9242367840</x:v>
      </x:c>
      <x:c r="H350" t="str">
        <x:v>neu</x:v>
      </x:c>
      <x:c r="I350" t="str">
        <x:v>ok</x:v>
      </x:c>
      <x:c r="J350"/>
      <x:c r="K350" t="n">
        <x:v>46055</x:v>
      </x:c>
      <x:c r="L350" t="n">
        <x:v>46055</x:v>
      </x:c>
      <x:c r="M350" t="str">
        <x:v>Gebucht</x:v>
      </x:c>
      <x:c r="N350" t="str">
        <x:v>Kohlenberg Lars</x:v>
      </x:c>
      <x:c r="O350" t="str">
        <x:v>Allianz Lebensversic</x:v>
      </x:c>
      <x:c r="P350" t="str">
        <x:v>Vertrag AL-1356867060 bisheriger Vertrag 33 029 619 6 01.02.26 - 28.02.26 RiesRent InvAlphaBal</x:v>
      </x:c>
      <x:c r="Q350" t="str">
        <x:v>Ausgang</x:v>
      </x:c>
      <x:c r="R350" t="str">
        <x:v>DE52700202700015152448</x:v>
      </x:c>
      <x:c r="S350" t="n">
        <x:v>-162.17</x:v>
      </x:c>
      <x:c r="T350" t="str">
        <x:v>DE07ZZZ00000063475</x:v>
      </x:c>
      <x:c r="U350" t="str">
        <x:v>LA01L312001066775296</x:v>
      </x:c>
      <x:c r="V350" t="str">
        <x:v>AB226028-E01722583</x:v>
      </x:c>
    </x:row>
    <x:row r="351">
      <x:c r="A351" t="str">
        <x:v>RAW-IMP-20260516-FULLDRAFT-000334</x:v>
      </x:c>
      <x:c r="B351" t="str">
        <x:v>IMP-20260516-FULLDRAFT</x:v>
      </x:c>
      <x:c r="C351" t="str">
        <x:v>KTO001</x:v>
      </x:c>
      <x:c r="D351" t="str">
        <x:v>16-05-2026_Umsatzliste_Girokonto_DE98120300001061711675.csv</x:v>
      </x:c>
      <x:c r="E351" t="n">
        <x:v>46163</x:v>
      </x:c>
      <x:c r="F351" t="n">
        <x:v>334</x:v>
      </x:c>
      <x:c r="G351" t="str">
        <x:v>4cceef64a26000e8991b9d57cba7bd6293b6847cf7580fd1db8724df5376e84f</x:v>
      </x:c>
      <x:c r="H351" t="str">
        <x:v>neu</x:v>
      </x:c>
      <x:c r="I351" t="str">
        <x:v>ok</x:v>
      </x:c>
      <x:c r="J351"/>
      <x:c r="K351" t="n">
        <x:v>46055</x:v>
      </x:c>
      <x:c r="L351" t="n">
        <x:v>46055</x:v>
      </x:c>
      <x:c r="M351" t="str">
        <x:v>Gebucht</x:v>
      </x:c>
      <x:c r="N351" t="str">
        <x:v>Kohlenberg</x:v>
      </x:c>
      <x:c r="O351" t="str">
        <x:v>TANZSCHULE KWIATKOWSKI GBR</x:v>
      </x:c>
      <x:c r="P351" t="str">
        <x:v>R-SB0000076240-A0000004560,SB2151 9-2025 - 2.2026,Jan Kohlenberg</x:v>
      </x:c>
      <x:c r="Q351" t="str">
        <x:v>Ausgang</x:v>
      </x:c>
      <x:c r="R351" t="str">
        <x:v>DE61259501300096212535</x:v>
      </x:c>
      <x:c r="S351" t="n">
        <x:v>-49</x:v>
      </x:c>
      <x:c r="T351" t="str">
        <x:v>DE79ZZZ00002474666</x:v>
      </x:c>
      <x:c r="U351" t="str">
        <x:v>TM004560-000142</x:v>
      </x:c>
      <x:c r="V351" t="str">
        <x:v>R-SB00076240</x:v>
      </x:c>
    </x:row>
    <x:row r="352">
      <x:c r="A352" t="str">
        <x:v>RAW-IMP-20260516-FULLDRAFT-000335</x:v>
      </x:c>
      <x:c r="B352" t="str">
        <x:v>IMP-20260516-FULLDRAFT</x:v>
      </x:c>
      <x:c r="C352" t="str">
        <x:v>KTO001</x:v>
      </x:c>
      <x:c r="D352" t="str">
        <x:v>16-05-2026_Umsatzliste_Girokonto_DE98120300001061711675.csv</x:v>
      </x:c>
      <x:c r="E352" t="n">
        <x:v>46163</x:v>
      </x:c>
      <x:c r="F352" t="n">
        <x:v>335</x:v>
      </x:c>
      <x:c r="G352" t="str">
        <x:v>f57bcc4566284548e39b880cb310950b09ab41239b55a1005039f80041af8c06</x:v>
      </x:c>
      <x:c r="H352" t="str">
        <x:v>neu</x:v>
      </x:c>
      <x:c r="I352" t="str">
        <x:v>ok</x:v>
      </x:c>
      <x:c r="J352"/>
      <x:c r="K352" t="n">
        <x:v>46055</x:v>
      </x:c>
      <x:c r="L352" t="n">
        <x:v>46055</x:v>
      </x:c>
      <x:c r="M352" t="str">
        <x:v>Gebucht</x:v>
      </x:c>
      <x:c r="N352" t="str">
        <x:v>Kohlenberg, Lars</x:v>
      </x:c>
      <x:c r="O352" t="str">
        <x:v>IDEAL Lebensversicherung aG</x:v>
      </x:c>
      <x:c r="P352" t="str">
        <x:v>2011216280009 LV 021</x:v>
      </x:c>
      <x:c r="Q352" t="str">
        <x:v>Ausgang</x:v>
      </x:c>
      <x:c r="R352" t="str">
        <x:v>DE36100700000460303100</x:v>
      </x:c>
      <x:c r="S352" t="n">
        <x:v>-100.52</x:v>
      </x:c>
      <x:c r="T352" t="str">
        <x:v>DE40ZZZ00000559230</x:v>
      </x:c>
      <x:c r="U352" t="str">
        <x:v>2011216280009-001</x:v>
      </x:c>
      <x:c r="V352" t="str">
        <x:v>GL,KL,PD-20260201-1-2011216280009-0</x:v>
      </x:c>
    </x:row>
    <x:row r="353">
      <x:c r="A353" t="str">
        <x:v>RAW-IMP-20260516-FULLDRAFT-000336</x:v>
      </x:c>
      <x:c r="B353" t="str">
        <x:v>IMP-20260516-FULLDRAFT</x:v>
      </x:c>
      <x:c r="C353" t="str">
        <x:v>KTO001</x:v>
      </x:c>
      <x:c r="D353" t="str">
        <x:v>16-05-2026_Umsatzliste_Girokonto_DE98120300001061711675.csv</x:v>
      </x:c>
      <x:c r="E353" t="n">
        <x:v>46163</x:v>
      </x:c>
      <x:c r="F353" t="n">
        <x:v>336</x:v>
      </x:c>
      <x:c r="G353" t="str">
        <x:v>acb7ad37e833dd693b5957512741cf764ae5d0cd663975f5a2b8bc046f73ddef</x:v>
      </x:c>
      <x:c r="H353" t="str">
        <x:v>neu</x:v>
      </x:c>
      <x:c r="I353" t="str">
        <x:v>ok</x:v>
      </x:c>
      <x:c r="J353"/>
      <x:c r="K353" t="n">
        <x:v>46055</x:v>
      </x:c>
      <x:c r="L353" t="n">
        <x:v>46055</x:v>
      </x:c>
      <x:c r="M353" t="str">
        <x:v>Gebucht</x:v>
      </x:c>
      <x:c r="N353" t="str">
        <x:v>Kohlenberg, Katrin</x:v>
      </x:c>
      <x:c r="O353" t="str">
        <x:v>WEVG Salzgitter GmbH + Co. KG</x:v>
      </x:c>
      <x:c r="P353" t="str">
        <x:v>Kd-Nr 79288 Einz 31.01.26 100833/110.91/Johannes-Wosn</x:v>
      </x:c>
      <x:c r="Q353" t="str">
        <x:v>Ausgang</x:v>
      </x:c>
      <x:c r="R353" t="str">
        <x:v>DE19300700100394127500</x:v>
      </x:c>
      <x:c r="S353" t="n">
        <x:v>-110.91</x:v>
      </x:c>
      <x:c r="T353" t="str">
        <x:v>DE83WEV00000032716</x:v>
      </x:c>
      <x:c r="U353" t="str">
        <x:v>WEVG0000079288G1000178580</x:v>
      </x:c>
      <x:c r="V353" t="str">
        <x:v>14136922</x:v>
      </x:c>
    </x:row>
    <x:row r="354">
      <x:c r="A354" t="str">
        <x:v>RAW-IMP-20260516-FULLDRAFT-000337</x:v>
      </x:c>
      <x:c r="B354" t="str">
        <x:v>IMP-20260516-FULLDRAFT</x:v>
      </x:c>
      <x:c r="C354" t="str">
        <x:v>KTO001</x:v>
      </x:c>
      <x:c r="D354" t="str">
        <x:v>16-05-2026_Umsatzliste_Girokonto_DE98120300001061711675.csv</x:v>
      </x:c>
      <x:c r="E354" t="n">
        <x:v>46163</x:v>
      </x:c>
      <x:c r="F354" t="n">
        <x:v>337</x:v>
      </x:c>
      <x:c r="G354" t="str">
        <x:v>08f55e5dabb63eee0436c314c36858b565ca92c7fe680ef4c01bed353bd72843</x:v>
      </x:c>
      <x:c r="H354" t="str">
        <x:v>neu</x:v>
      </x:c>
      <x:c r="I354" t="str">
        <x:v>ok</x:v>
      </x:c>
      <x:c r="J354"/>
      <x:c r="K354" t="n">
        <x:v>46055</x:v>
      </x:c>
      <x:c r="L354" t="n">
        <x:v>46055</x:v>
      </x:c>
      <x:c r="M354" t="str">
        <x:v>Gebucht</x:v>
      </x:c>
      <x:c r="N354" t="str">
        <x:v>Lars Kohlenberg</x:v>
      </x:c>
      <x:c r="O354" t="str">
        <x:v>KATRIN KOHLENBERG</x:v>
      </x:c>
      <x:c r="P354" t="str">
        <x:v>Apanage</x:v>
      </x:c>
      <x:c r="Q354" t="str">
        <x:v>Ausgang</x:v>
      </x:c>
      <x:c r="R354" t="str">
        <x:v>DE32270727240307336800</x:v>
      </x:c>
      <x:c r="S354" t="n">
        <x:v>-1800</x:v>
      </x:c>
      <x:c r="T354" t="str">
        <x:v>"</x:v>
      </x:c>
      <x:c r="U354" t="str">
        <x:v>"</x:v>
      </x:c>
      <x:c r="V354" t="str">
        <x:v>"</x:v>
      </x:c>
    </x:row>
    <x:row r="355">
      <x:c r="A355" t="str">
        <x:v>RAW-IMP-20260516-FULLDRAFT-000338</x:v>
      </x:c>
      <x:c r="B355" t="str">
        <x:v>IMP-20260516-FULLDRAFT</x:v>
      </x:c>
      <x:c r="C355" t="str">
        <x:v>KTO001</x:v>
      </x:c>
      <x:c r="D355" t="str">
        <x:v>16-05-2026_Umsatzliste_Girokonto_DE98120300001061711675.csv</x:v>
      </x:c>
      <x:c r="E355" t="n">
        <x:v>46163</x:v>
      </x:c>
      <x:c r="F355" t="n">
        <x:v>338</x:v>
      </x:c>
      <x:c r="G355" t="str">
        <x:v>af3e77d8c3744a2d73e2df3039ec1fd8a1871124d8f7510e8cd39618c5b7cd3e</x:v>
      </x:c>
      <x:c r="H355" t="str">
        <x:v>neu</x:v>
      </x:c>
      <x:c r="I355" t="str">
        <x:v>ok</x:v>
      </x:c>
      <x:c r="J355"/>
      <x:c r="K355" t="n">
        <x:v>46055</x:v>
      </x:c>
      <x:c r="L355" t="n">
        <x:v>46055</x:v>
      </x:c>
      <x:c r="M355" t="str">
        <x:v>Gebucht</x:v>
      </x:c>
      <x:c r="N355" t="str">
        <x:v>Lars Kohlenberg</x:v>
      </x:c>
      <x:c r="O355" t="str">
        <x:v>LARS KOHLENBERG</x:v>
      </x:c>
      <x:c r="P355" t="str">
        <x:v>Sparrate 650,- + 750 EUR Mieteinnahmen</x:v>
      </x:c>
      <x:c r="Q355" t="str">
        <x:v>Ausgang</x:v>
      </x:c>
      <x:c r="R355" t="str">
        <x:v>DE91270200001510365800</x:v>
      </x:c>
      <x:c r="S355" t="n">
        <x:v>-1400</x:v>
      </x:c>
      <x:c r="T355" t="str">
        <x:v>"</x:v>
      </x:c>
      <x:c r="U355" t="str">
        <x:v>"</x:v>
      </x:c>
      <x:c r="V355" t="str">
        <x:v>"</x:v>
      </x:c>
    </x:row>
    <x:row r="356">
      <x:c r="A356" t="str">
        <x:v>RAW-IMP-20260516-FULLDRAFT-000339</x:v>
      </x:c>
      <x:c r="B356" t="str">
        <x:v>IMP-20260516-FULLDRAFT</x:v>
      </x:c>
      <x:c r="C356" t="str">
        <x:v>KTO001</x:v>
      </x:c>
      <x:c r="D356" t="str">
        <x:v>16-05-2026_Umsatzliste_Girokonto_DE98120300001061711675.csv</x:v>
      </x:c>
      <x:c r="E356" t="n">
        <x:v>46163</x:v>
      </x:c>
      <x:c r="F356" t="n">
        <x:v>339</x:v>
      </x:c>
      <x:c r="G356" t="str">
        <x:v>4b211fb9cef99a003eb96a721585ddb4dbb56075051351099973c96e7a05fd84</x:v>
      </x:c>
      <x:c r="H356" t="str">
        <x:v>neu</x:v>
      </x:c>
      <x:c r="I356" t="str">
        <x:v>ok</x:v>
      </x:c>
      <x:c r="J356"/>
      <x:c r="K356" t="n">
        <x:v>46052</x:v>
      </x:c>
      <x:c r="L356" t="n">
        <x:v>46052</x:v>
      </x:c>
      <x:c r="M356" t="str">
        <x:v>Gebucht</x:v>
      </x:c>
      <x:c r="N356" t="str">
        <x:v>ISSUER</x:v>
      </x:c>
      <x:c r="O356" t="str">
        <x:v>Sehusa.Wasserwelt/Seesen</x:v>
      </x:c>
      <x:c r="P356" t="str">
        <x:v>VISA Debitkartenumsatz vom 29.01.2026</x:v>
      </x:c>
      <x:c r="Q356" t="str">
        <x:v>Ausgang</x:v>
      </x:c>
      <x:c r="R356" t="str">
        <x:v>DE96120300009005290904</x:v>
      </x:c>
      <x:c r="S356" t="n">
        <x:v>-105</x:v>
      </x:c>
      <x:c r="T356" t="str">
        <x:v>"</x:v>
      </x:c>
      <x:c r="U356" t="str">
        <x:v>"</x:v>
      </x:c>
      <x:c r="V356" t="str">
        <x:v>486029511088666</x:v>
      </x:c>
    </x:row>
    <x:row r="357">
      <x:c r="A357" t="str">
        <x:v>RAW-IMP-20260516-FULLDRAFT-000340</x:v>
      </x:c>
      <x:c r="B357" t="str">
        <x:v>IMP-20260516-FULLDRAFT</x:v>
      </x:c>
      <x:c r="C357" t="str">
        <x:v>KTO001</x:v>
      </x:c>
      <x:c r="D357" t="str">
        <x:v>16-05-2026_Umsatzliste_Girokonto_DE98120300001061711675.csv</x:v>
      </x:c>
      <x:c r="E357" t="n">
        <x:v>46163</x:v>
      </x:c>
      <x:c r="F357" t="n">
        <x:v>340</x:v>
      </x:c>
      <x:c r="G357" t="str">
        <x:v>07a1e4bc7de56016346940593f38ee801fa7b19d7492c532e3943a401d8b56a6</x:v>
      </x:c>
      <x:c r="H357" t="str">
        <x:v>neu</x:v>
      </x:c>
      <x:c r="I357" t="str">
        <x:v>ok</x:v>
      </x:c>
      <x:c r="J357"/>
      <x:c r="K357" t="n">
        <x:v>46052</x:v>
      </x:c>
      <x:c r="L357" t="n">
        <x:v>46052</x:v>
      </x:c>
      <x:c r="M357" t="str">
        <x:v>Gebucht</x:v>
      </x:c>
      <x:c r="N357" t="str">
        <x:v>ISSUER</x:v>
      </x:c>
      <x:c r="O357" t="str">
        <x:v>McDonalds.27600293/Salzgitter</x:v>
      </x:c>
      <x:c r="P357" t="str">
        <x:v>VISA Debitkartenumsatz vom 28.01.2026</x:v>
      </x:c>
      <x:c r="Q357" t="str">
        <x:v>Ausgang</x:v>
      </x:c>
      <x:c r="R357" t="str">
        <x:v>DE96120300009005290904</x:v>
      </x:c>
      <x:c r="S357" t="n">
        <x:v>-2.99</x:v>
      </x:c>
      <x:c r="T357" t="str">
        <x:v>"</x:v>
      </x:c>
      <x:c r="U357" t="str">
        <x:v>"</x:v>
      </x:c>
      <x:c r="V357" t="str">
        <x:v>486028385343936</x:v>
      </x:c>
    </x:row>
    <x:row r="358">
      <x:c r="A358" t="str">
        <x:v>RAW-IMP-20260516-FULLDRAFT-000341</x:v>
      </x:c>
      <x:c r="B358" t="str">
        <x:v>IMP-20260516-FULLDRAFT</x:v>
      </x:c>
      <x:c r="C358" t="str">
        <x:v>KTO001</x:v>
      </x:c>
      <x:c r="D358" t="str">
        <x:v>16-05-2026_Umsatzliste_Girokonto_DE98120300001061711675.csv</x:v>
      </x:c>
      <x:c r="E358" t="n">
        <x:v>46163</x:v>
      </x:c>
      <x:c r="F358" t="n">
        <x:v>341</x:v>
      </x:c>
      <x:c r="G358" t="str">
        <x:v>835e64cfb0cdf1a8d75f2b5b837a06e63bc0dd52e079da71baafb036e158e6f8</x:v>
      </x:c>
      <x:c r="H358" t="str">
        <x:v>neu</x:v>
      </x:c>
      <x:c r="I358" t="str">
        <x:v>ok</x:v>
      </x:c>
      <x:c r="J358"/>
      <x:c r="K358" t="n">
        <x:v>46052</x:v>
      </x:c>
      <x:c r="L358" t="n">
        <x:v>46052</x:v>
      </x:c>
      <x:c r="M358" t="str">
        <x:v>Gebucht</x:v>
      </x:c>
      <x:c r="N358" t="str">
        <x:v>ISSUER</x:v>
      </x:c>
      <x:c r="O358" t="str">
        <x:v>Stadtbad.Salzgitter.Leb/Salzgitter</x:v>
      </x:c>
      <x:c r="P358" t="str">
        <x:v>VISA Debitkartenumsatz vom 29.01.2026</x:v>
      </x:c>
      <x:c r="Q358" t="str">
        <x:v>Ausgang</x:v>
      </x:c>
      <x:c r="R358" t="str">
        <x:v>DE96120300009005290904</x:v>
      </x:c>
      <x:c r="S358" t="n">
        <x:v>-4.9</x:v>
      </x:c>
      <x:c r="T358" t="str">
        <x:v>"</x:v>
      </x:c>
      <x:c r="U358" t="str">
        <x:v>"</x:v>
      </x:c>
      <x:c r="V358" t="str">
        <x:v>486029362141512</x:v>
      </x:c>
    </x:row>
    <x:row r="359">
      <x:c r="A359" t="str">
        <x:v>RAW-IMP-20260516-FULLDRAFT-000342</x:v>
      </x:c>
      <x:c r="B359" t="str">
        <x:v>IMP-20260516-FULLDRAFT</x:v>
      </x:c>
      <x:c r="C359" t="str">
        <x:v>KTO001</x:v>
      </x:c>
      <x:c r="D359" t="str">
        <x:v>16-05-2026_Umsatzliste_Girokonto_DE98120300001061711675.csv</x:v>
      </x:c>
      <x:c r="E359" t="n">
        <x:v>46163</x:v>
      </x:c>
      <x:c r="F359" t="n">
        <x:v>342</x:v>
      </x:c>
      <x:c r="G359" t="str">
        <x:v>30da0ab2a973b250a80a909bf6b596b91e7553ae2de124bb2bf3e28dd1b63d78</x:v>
      </x:c>
      <x:c r="H359" t="str">
        <x:v>neu</x:v>
      </x:c>
      <x:c r="I359" t="str">
        <x:v>ok</x:v>
      </x:c>
      <x:c r="J359"/>
      <x:c r="K359" t="n">
        <x:v>46052</x:v>
      </x:c>
      <x:c r="L359" t="n">
        <x:v>46052</x:v>
      </x:c>
      <x:c r="M359" t="str">
        <x:v>Gebucht</x:v>
      </x:c>
      <x:c r="N359" t="str">
        <x:v>ISSUER</x:v>
      </x:c>
      <x:c r="O359" t="str">
        <x:v>Lidl.sagt.Danke/Salzgitter</x:v>
      </x:c>
      <x:c r="P359" t="str">
        <x:v>VISA Debitkartenumsatz vom 29.01.2026</x:v>
      </x:c>
      <x:c r="Q359" t="str">
        <x:v>Ausgang</x:v>
      </x:c>
      <x:c r="R359" t="str">
        <x:v>DE96120300009005290904</x:v>
      </x:c>
      <x:c r="S359" t="n">
        <x:v>-37.21</x:v>
      </x:c>
      <x:c r="T359" t="str">
        <x:v>"</x:v>
      </x:c>
      <x:c r="U359" t="str">
        <x:v>"</x:v>
      </x:c>
      <x:c r="V359" t="str">
        <x:v>486029413766682</x:v>
      </x:c>
    </x:row>
    <x:row r="360">
      <x:c r="A360" t="str">
        <x:v>RAW-IMP-20260516-FULLDRAFT-000343</x:v>
      </x:c>
      <x:c r="B360" t="str">
        <x:v>IMP-20260516-FULLDRAFT</x:v>
      </x:c>
      <x:c r="C360" t="str">
        <x:v>KTO001</x:v>
      </x:c>
      <x:c r="D360" t="str">
        <x:v>16-05-2026_Umsatzliste_Girokonto_DE98120300001061711675.csv</x:v>
      </x:c>
      <x:c r="E360" t="n">
        <x:v>46163</x:v>
      </x:c>
      <x:c r="F360" t="n">
        <x:v>343</x:v>
      </x:c>
      <x:c r="G360" t="str">
        <x:v>94d6dab7c177755726216afce0fe9b1177a026f8c6d268795b69f531f0c66a46</x:v>
      </x:c>
      <x:c r="H360" t="str">
        <x:v>neu</x:v>
      </x:c>
      <x:c r="I360" t="str">
        <x:v>ok</x:v>
      </x:c>
      <x:c r="J360"/>
      <x:c r="K360" t="n">
        <x:v>46052</x:v>
      </x:c>
      <x:c r="L360" t="n">
        <x:v>46052</x:v>
      </x:c>
      <x:c r="M360" t="str">
        <x:v>Gebucht</x:v>
      </x:c>
      <x:c r="N360" t="str">
        <x:v>Lars Kohlenberg</x:v>
      </x:c>
      <x:c r="O360" t="str">
        <x:v>Lea kohlenberg</x:v>
      </x:c>
      <x:c r="P360" t="str">
        <x:v>Taschengeld</x:v>
      </x:c>
      <x:c r="Q360" t="str">
        <x:v>Ausgang</x:v>
      </x:c>
      <x:c r="R360" t="str">
        <x:v>DE89269910662833344000</x:v>
      </x:c>
      <x:c r="S360" t="n">
        <x:v>-10</x:v>
      </x:c>
      <x:c r="T360" t="str">
        <x:v>"</x:v>
      </x:c>
      <x:c r="U360" t="str">
        <x:v>"</x:v>
      </x:c>
      <x:c r="V360" t="str">
        <x:v>"</x:v>
      </x:c>
    </x:row>
    <x:row r="361">
      <x:c r="A361" t="str">
        <x:v>RAW-IMP-20260516-FULLDRAFT-000344</x:v>
      </x:c>
      <x:c r="B361" t="str">
        <x:v>IMP-20260516-FULLDRAFT</x:v>
      </x:c>
      <x:c r="C361" t="str">
        <x:v>KTO001</x:v>
      </x:c>
      <x:c r="D361" t="str">
        <x:v>16-05-2026_Umsatzliste_Girokonto_DE98120300001061711675.csv</x:v>
      </x:c>
      <x:c r="E361" t="n">
        <x:v>46163</x:v>
      </x:c>
      <x:c r="F361" t="n">
        <x:v>344</x:v>
      </x:c>
      <x:c r="G361" t="str">
        <x:v>55c042522ea1c60f9dba579bb511353b7250db00b6da11e603961c477efb7999</x:v>
      </x:c>
      <x:c r="H361" t="str">
        <x:v>neu</x:v>
      </x:c>
      <x:c r="I361" t="str">
        <x:v>ok</x:v>
      </x:c>
      <x:c r="J361"/>
      <x:c r="K361" t="n">
        <x:v>46052</x:v>
      </x:c>
      <x:c r="L361" t="n">
        <x:v>46052</x:v>
      </x:c>
      <x:c r="M361" t="str">
        <x:v>Gebucht</x:v>
      </x:c>
      <x:c r="N361" t="str">
        <x:v>Lars Kohlenberg</x:v>
      </x:c>
      <x:c r="O361" t="str">
        <x:v>LARS KOHLENBERG</x:v>
      </x:c>
      <x:c r="P361" t="str">
        <x:v>Zins und Tilgung zu 2/3</x:v>
      </x:c>
      <x:c r="Q361" t="str">
        <x:v>Ausgang</x:v>
      </x:c>
      <x:c r="R361" t="str">
        <x:v>DE33269910668923736000</x:v>
      </x:c>
      <x:c r="S361" t="n">
        <x:v>-1153.94</x:v>
      </x:c>
      <x:c r="T361" t="str">
        <x:v>"</x:v>
      </x:c>
      <x:c r="U361" t="str">
        <x:v>"</x:v>
      </x:c>
      <x:c r="V361" t="str">
        <x:v>"</x:v>
      </x:c>
    </x:row>
    <x:row r="362">
      <x:c r="A362" t="str">
        <x:v>RAW-IMP-20260516-FULLDRAFT-000345</x:v>
      </x:c>
      <x:c r="B362" t="str">
        <x:v>IMP-20260516-FULLDRAFT</x:v>
      </x:c>
      <x:c r="C362" t="str">
        <x:v>KTO001</x:v>
      </x:c>
      <x:c r="D362" t="str">
        <x:v>16-05-2026_Umsatzliste_Girokonto_DE98120300001061711675.csv</x:v>
      </x:c>
      <x:c r="E362" t="n">
        <x:v>46163</x:v>
      </x:c>
      <x:c r="F362" t="n">
        <x:v>345</x:v>
      </x:c>
      <x:c r="G362" t="str">
        <x:v>5e54b6ab4fdda46814919221b1be005032603194f567bccb3ce15101fd3358f0</x:v>
      </x:c>
      <x:c r="H362" t="str">
        <x:v>neu</x:v>
      </x:c>
      <x:c r="I362" t="str">
        <x:v>ok</x:v>
      </x:c>
      <x:c r="J362"/>
      <x:c r="K362" t="n">
        <x:v>46052</x:v>
      </x:c>
      <x:c r="L362" t="n">
        <x:v>46052</x:v>
      </x:c>
      <x:c r="M362" t="str">
        <x:v>Gebucht</x:v>
      </x:c>
      <x:c r="N362" t="str">
        <x:v>Lars Kohlenberg                                                       Johannes-Wosnitza-Str. 8,38229 Salzgitter</x:v>
      </x:c>
      <x:c r="O362" t="str">
        <x:v>1+1 Mail + Media GmbH                                                 Elgendorfer Str. 57, 56410 Montabaur</x:v>
      </x:c>
      <x:c r="P362" t="str">
        <x:v>KD-Nr. K7440512/ RG-Nr. 201543566525</x:v>
      </x:c>
      <x:c r="Q362" t="str">
        <x:v>Ausgang</x:v>
      </x:c>
      <x:c r="R362" t="str">
        <x:v>DE76700800000881679702</x:v>
      </x:c>
      <x:c r="S362" t="n">
        <x:v>-8.99</x:v>
      </x:c>
      <x:c r="T362" t="str">
        <x:v>DE07ZZZ00000569718</x:v>
      </x:c>
      <x:c r="U362" t="str">
        <x:v>0090001393062</x:v>
      </x:c>
      <x:c r="V362" t="str">
        <x:v>005877944323</x:v>
      </x:c>
    </x:row>
    <x:row r="363">
      <x:c r="A363" t="str">
        <x:v>RAW-IMP-20260516-FULLDRAFT-000346</x:v>
      </x:c>
      <x:c r="B363" t="str">
        <x:v>IMP-20260516-FULLDRAFT</x:v>
      </x:c>
      <x:c r="C363" t="str">
        <x:v>KTO001</x:v>
      </x:c>
      <x:c r="D363" t="str">
        <x:v>16-05-2026_Umsatzliste_Girokonto_DE98120300001061711675.csv</x:v>
      </x:c>
      <x:c r="E363" t="n">
        <x:v>46163</x:v>
      </x:c>
      <x:c r="F363" t="n">
        <x:v>346</x:v>
      </x:c>
      <x:c r="G363" t="str">
        <x:v>d0d499c8c974510cd6d417e1185152f6360a02da4d173b4172133a8ddf238ed8</x:v>
      </x:c>
      <x:c r="H363" t="str">
        <x:v>neu</x:v>
      </x:c>
      <x:c r="I363" t="str">
        <x:v>ok</x:v>
      </x:c>
      <x:c r="J363"/>
      <x:c r="K363" t="n">
        <x:v>46051</x:v>
      </x:c>
      <x:c r="L363" t="n">
        <x:v>46051</x:v>
      </x:c>
      <x:c r="M363" t="str">
        <x:v>Gebucht</x:v>
      </x:c>
      <x:c r="N363" t="str">
        <x:v>ISSUER</x:v>
      </x:c>
      <x:c r="O363" t="str">
        <x:v>PAYPAL..CENTERPARCS/0104989519</x:v>
      </x:c>
      <x:c r="P363" t="str">
        <x:v>VISA Debitkartenumsatz vom 28.01.2026</x:v>
      </x:c>
      <x:c r="Q363" t="str">
        <x:v>Ausgang</x:v>
      </x:c>
      <x:c r="R363" t="str">
        <x:v>DE96120300009005290904</x:v>
      </x:c>
      <x:c r="S363" t="n">
        <x:v>-609.56</x:v>
      </x:c>
      <x:c r="T363" t="str">
        <x:v>"</x:v>
      </x:c>
      <x:c r="U363" t="str">
        <x:v>"</x:v>
      </x:c>
      <x:c r="V363" t="str">
        <x:v>346028620716270</x:v>
      </x:c>
    </x:row>
    <x:row r="364">
      <x:c r="A364" t="str">
        <x:v>RAW-IMP-20260516-FULLDRAFT-000347</x:v>
      </x:c>
      <x:c r="B364" t="str">
        <x:v>IMP-20260516-FULLDRAFT</x:v>
      </x:c>
      <x:c r="C364" t="str">
        <x:v>KTO001</x:v>
      </x:c>
      <x:c r="D364" t="str">
        <x:v>16-05-2026_Umsatzliste_Girokonto_DE98120300001061711675.csv</x:v>
      </x:c>
      <x:c r="E364" t="n">
        <x:v>46163</x:v>
      </x:c>
      <x:c r="F364" t="n">
        <x:v>347</x:v>
      </x:c>
      <x:c r="G364" t="str">
        <x:v>239b0254932217ec5e22959c940f0b378491c3790bff143744f461465b79b7f0</x:v>
      </x:c>
      <x:c r="H364" t="str">
        <x:v>neu</x:v>
      </x:c>
      <x:c r="I364" t="str">
        <x:v>ok</x:v>
      </x:c>
      <x:c r="J364"/>
      <x:c r="K364" t="n">
        <x:v>46050</x:v>
      </x:c>
      <x:c r="L364" t="n">
        <x:v>46050</x:v>
      </x:c>
      <x:c r="M364" t="str">
        <x:v>Gebucht</x:v>
      </x:c>
      <x:c r="N364" t="str">
        <x:v>Caritasverband fur die Diozese Hildesheim e.V.</x:v>
      </x:c>
      <x:c r="O364" t="str">
        <x:v>KOHLENBERG LARS</x:v>
      </x:c>
      <x:c r="P364" t="str">
        <x:v>GEHALT 1/26</x:v>
      </x:c>
      <x:c r="Q364" t="str">
        <x:v>Eingang</x:v>
      </x:c>
      <x:c r="R364" t="str">
        <x:v>DE46400602650023003301</x:v>
      </x:c>
      <x:c r="S364" t="n">
        <x:v>7818.53</x:v>
      </x:c>
      <x:c r="T364" t="str">
        <x:v>"</x:v>
      </x:c>
      <x:c r="U364" t="str">
        <x:v>"</x:v>
      </x:c>
      <x:c r="V364" t="str">
        <x:v>001001987662SALA002124003</x:v>
      </x:c>
    </x:row>
    <x:row r="365">
      <x:c r="A365" t="str">
        <x:v>RAW-IMP-20260516-FULLDRAFT-000348</x:v>
      </x:c>
      <x:c r="B365" t="str">
        <x:v>IMP-20260516-FULLDRAFT</x:v>
      </x:c>
      <x:c r="C365" t="str">
        <x:v>KTO001</x:v>
      </x:c>
      <x:c r="D365" t="str">
        <x:v>16-05-2026_Umsatzliste_Girokonto_DE98120300001061711675.csv</x:v>
      </x:c>
      <x:c r="E365" t="n">
        <x:v>46163</x:v>
      </x:c>
      <x:c r="F365" t="n">
        <x:v>348</x:v>
      </x:c>
      <x:c r="G365" t="str">
        <x:v>d74a248340811fcfe1b68b88f7780cba1d2b797ad4631c065f715f119141dd61</x:v>
      </x:c>
      <x:c r="H365" t="str">
        <x:v>neu</x:v>
      </x:c>
      <x:c r="I365" t="str">
        <x:v>ok</x:v>
      </x:c>
      <x:c r="J365"/>
      <x:c r="K365" t="n">
        <x:v>46050</x:v>
      </x:c>
      <x:c r="L365" t="n">
        <x:v>46050</x:v>
      </x:c>
      <x:c r="M365" t="str">
        <x:v>Gebucht</x:v>
      </x:c>
      <x:c r="N365" t="str">
        <x:v>ISSUER</x:v>
      </x:c>
      <x:c r="O365" t="str">
        <x:v>SPC.Reformhaus.Bacher/Erkrath</x:v>
      </x:c>
      <x:c r="P365" t="str">
        <x:v>VISA Debitkartenumsatz vom 27.01.2026</x:v>
      </x:c>
      <x:c r="Q365" t="str">
        <x:v>Ausgang</x:v>
      </x:c>
      <x:c r="R365" t="str">
        <x:v>DE96120300009005290904</x:v>
      </x:c>
      <x:c r="S365" t="n">
        <x:v>-5.99</x:v>
      </x:c>
      <x:c r="T365" t="str">
        <x:v>"</x:v>
      </x:c>
      <x:c r="U365" t="str">
        <x:v>"</x:v>
      </x:c>
      <x:c r="V365" t="str">
        <x:v>486027574526605</x:v>
      </x:c>
    </x:row>
    <x:row r="366">
      <x:c r="A366" t="str">
        <x:v>RAW-IMP-20260516-FULLDRAFT-000349</x:v>
      </x:c>
      <x:c r="B366" t="str">
        <x:v>IMP-20260516-FULLDRAFT</x:v>
      </x:c>
      <x:c r="C366" t="str">
        <x:v>KTO001</x:v>
      </x:c>
      <x:c r="D366" t="str">
        <x:v>16-05-2026_Umsatzliste_Girokonto_DE98120300001061711675.csv</x:v>
      </x:c>
      <x:c r="E366" t="n">
        <x:v>46163</x:v>
      </x:c>
      <x:c r="F366" t="n">
        <x:v>349</x:v>
      </x:c>
      <x:c r="G366" t="str">
        <x:v>c8132dac724496ae130abc4f44b3b1e78884329644e2bbe3ff78bbd7d71f83a0</x:v>
      </x:c>
      <x:c r="H366" t="str">
        <x:v>neu</x:v>
      </x:c>
      <x:c r="I366" t="str">
        <x:v>ok</x:v>
      </x:c>
      <x:c r="J366"/>
      <x:c r="K366" t="n">
        <x:v>46050</x:v>
      </x:c>
      <x:c r="L366" t="n">
        <x:v>46050</x:v>
      </x:c>
      <x:c r="M366" t="str">
        <x:v>Gebucht</x:v>
      </x:c>
      <x:c r="N366" t="str">
        <x:v>ISSUER</x:v>
      </x:c>
      <x:c r="O366" t="str">
        <x:v>REWE.Salzgitter.Ge/Salzgitter</x:v>
      </x:c>
      <x:c r="P366" t="str">
        <x:v>VISA Debitkartenumsatz vom 27.01.2026</x:v>
      </x:c>
      <x:c r="Q366" t="str">
        <x:v>Ausgang</x:v>
      </x:c>
      <x:c r="R366" t="str">
        <x:v>DE96120300009005290904</x:v>
      </x:c>
      <x:c r="S366" t="n">
        <x:v>-5.41</x:v>
      </x:c>
      <x:c r="T366" t="str">
        <x:v>"</x:v>
      </x:c>
      <x:c r="U366" t="str">
        <x:v>"</x:v>
      </x:c>
      <x:c r="V366" t="str">
        <x:v>486027588972396</x:v>
      </x:c>
    </x:row>
    <x:row r="367">
      <x:c r="A367" t="str">
        <x:v>RAW-IMP-20260516-FULLDRAFT-000350</x:v>
      </x:c>
      <x:c r="B367" t="str">
        <x:v>IMP-20260516-FULLDRAFT</x:v>
      </x:c>
      <x:c r="C367" t="str">
        <x:v>KTO001</x:v>
      </x:c>
      <x:c r="D367" t="str">
        <x:v>16-05-2026_Umsatzliste_Girokonto_DE98120300001061711675.csv</x:v>
      </x:c>
      <x:c r="E367" t="n">
        <x:v>46163</x:v>
      </x:c>
      <x:c r="F367" t="n">
        <x:v>350</x:v>
      </x:c>
      <x:c r="G367" t="str">
        <x:v>45b9feb713a39bf1914ec8eba1d5b2f7644de0a08bf0cc99ca1df756135e7322</x:v>
      </x:c>
      <x:c r="H367" t="str">
        <x:v>neu</x:v>
      </x:c>
      <x:c r="I367" t="str">
        <x:v>ok</x:v>
      </x:c>
      <x:c r="J367"/>
      <x:c r="K367" t="n">
        <x:v>46050</x:v>
      </x:c>
      <x:c r="L367" t="n">
        <x:v>46050</x:v>
      </x:c>
      <x:c r="M367" t="str">
        <x:v>Gebucht</x:v>
      </x:c>
      <x:c r="N367" t="str">
        <x:v>ISSUER</x:v>
      </x:c>
      <x:c r="O367" t="str">
        <x:v>Astor.Filmtheater.Braun/Hamburg</x:v>
      </x:c>
      <x:c r="P367" t="str">
        <x:v>VISA Debitkartenumsatz vom 27.01.2026</x:v>
      </x:c>
      <x:c r="Q367" t="str">
        <x:v>Ausgang</x:v>
      </x:c>
      <x:c r="R367" t="str">
        <x:v>DE96120300009005290904</x:v>
      </x:c>
      <x:c r="S367" t="n">
        <x:v>-22</x:v>
      </x:c>
      <x:c r="T367" t="str">
        <x:v>"</x:v>
      </x:c>
      <x:c r="U367" t="str">
        <x:v>"</x:v>
      </x:c>
      <x:c r="V367" t="str">
        <x:v>486027684725256</x:v>
      </x:c>
    </x:row>
    <x:row r="368">
      <x:c r="A368" t="str">
        <x:v>RAW-IMP-20260516-FULLDRAFT-000351</x:v>
      </x:c>
      <x:c r="B368" t="str">
        <x:v>IMP-20260516-FULLDRAFT</x:v>
      </x:c>
      <x:c r="C368" t="str">
        <x:v>KTO001</x:v>
      </x:c>
      <x:c r="D368" t="str">
        <x:v>16-05-2026_Umsatzliste_Girokonto_DE98120300001061711675.csv</x:v>
      </x:c>
      <x:c r="E368" t="n">
        <x:v>46163</x:v>
      </x:c>
      <x:c r="F368" t="n">
        <x:v>351</x:v>
      </x:c>
      <x:c r="G368" t="str">
        <x:v>cb63cc54f32f22da732ab2d2aa4cd774125226044fe6133b836bffdb0bf4d846</x:v>
      </x:c>
      <x:c r="H368" t="str">
        <x:v>neu</x:v>
      </x:c>
      <x:c r="I368" t="str">
        <x:v>ok</x:v>
      </x:c>
      <x:c r="J368"/>
      <x:c r="K368" t="n">
        <x:v>46050</x:v>
      </x:c>
      <x:c r="L368" t="n">
        <x:v>46050</x:v>
      </x:c>
      <x:c r="M368" t="str">
        <x:v>Gebucht</x:v>
      </x:c>
      <x:c r="N368" t="str">
        <x:v>ISSUER</x:v>
      </x:c>
      <x:c r="O368" t="str">
        <x:v>REWE.Salzgitter.Ge/Salzgitter</x:v>
      </x:c>
      <x:c r="P368" t="str">
        <x:v>VISA Debitkartenumsatz vom 27.01.2026</x:v>
      </x:c>
      <x:c r="Q368" t="str">
        <x:v>Ausgang</x:v>
      </x:c>
      <x:c r="R368" t="str">
        <x:v>DE96120300009005290904</x:v>
      </x:c>
      <x:c r="S368" t="n">
        <x:v>-0.65</x:v>
      </x:c>
      <x:c r="T368" t="str">
        <x:v>"</x:v>
      </x:c>
      <x:c r="U368" t="str">
        <x:v>"</x:v>
      </x:c>
      <x:c r="V368" t="str">
        <x:v>486027397580910</x:v>
      </x:c>
    </x:row>
    <x:row r="369">
      <x:c r="A369" t="str">
        <x:v>RAW-IMP-20260516-FULLDRAFT-000352</x:v>
      </x:c>
      <x:c r="B369" t="str">
        <x:v>IMP-20260516-FULLDRAFT</x:v>
      </x:c>
      <x:c r="C369" t="str">
        <x:v>KTO001</x:v>
      </x:c>
      <x:c r="D369" t="str">
        <x:v>16-05-2026_Umsatzliste_Girokonto_DE98120300001061711675.csv</x:v>
      </x:c>
      <x:c r="E369" t="n">
        <x:v>46163</x:v>
      </x:c>
      <x:c r="F369" t="n">
        <x:v>352</x:v>
      </x:c>
      <x:c r="G369" t="str">
        <x:v>2008f2ee2e5a56aa0f2e42b5ac5e75bbb8a1aec019270f2eb9c2b9902a3b8dcc</x:v>
      </x:c>
      <x:c r="H369" t="str">
        <x:v>neu</x:v>
      </x:c>
      <x:c r="I369" t="str">
        <x:v>ok</x:v>
      </x:c>
      <x:c r="J369"/>
      <x:c r="K369" t="n">
        <x:v>46049</x:v>
      </x:c>
      <x:c r="L369" t="n">
        <x:v>46049</x:v>
      </x:c>
      <x:c r="M369" t="str">
        <x:v>Gebucht</x:v>
      </x:c>
      <x:c r="N369" t="str">
        <x:v>ISSUER</x:v>
      </x:c>
      <x:c r="O369" t="str">
        <x:v>SPC.Helios.Klinikum.Hil/Grunwald</x:v>
      </x:c>
      <x:c r="P369" t="str">
        <x:v>VISA Debitkartenumsatz vom 26.01.2026</x:v>
      </x:c>
      <x:c r="Q369" t="str">
        <x:v>Ausgang</x:v>
      </x:c>
      <x:c r="R369" t="str">
        <x:v>DE96120300009005290904</x:v>
      </x:c>
      <x:c r="S369" t="n">
        <x:v>-1.5</x:v>
      </x:c>
      <x:c r="T369" t="str">
        <x:v>"</x:v>
      </x:c>
      <x:c r="U369" t="str">
        <x:v>"</x:v>
      </x:c>
      <x:c r="V369" t="str">
        <x:v>486026323055873</x:v>
      </x:c>
    </x:row>
    <x:row r="370">
      <x:c r="A370" t="str">
        <x:v>RAW-IMP-20260516-FULLDRAFT-000353</x:v>
      </x:c>
      <x:c r="B370" t="str">
        <x:v>IMP-20260516-FULLDRAFT</x:v>
      </x:c>
      <x:c r="C370" t="str">
        <x:v>KTO001</x:v>
      </x:c>
      <x:c r="D370" t="str">
        <x:v>16-05-2026_Umsatzliste_Girokonto_DE98120300001061711675.csv</x:v>
      </x:c>
      <x:c r="E370" t="n">
        <x:v>46163</x:v>
      </x:c>
      <x:c r="F370" t="n">
        <x:v>353</x:v>
      </x:c>
      <x:c r="G370" t="str">
        <x:v>9b3e15ee733d3e16d3d89b45d0220ef28d008758bfbe3df87d43664233d9db8c</x:v>
      </x:c>
      <x:c r="H370" t="str">
        <x:v>neu</x:v>
      </x:c>
      <x:c r="I370" t="str">
        <x:v>ok</x:v>
      </x:c>
      <x:c r="J370"/>
      <x:c r="K370" t="n">
        <x:v>46049</x:v>
      </x:c>
      <x:c r="L370" t="n">
        <x:v>46049</x:v>
      </x:c>
      <x:c r="M370" t="str">
        <x:v>Gebucht</x:v>
      </x:c>
      <x:c r="N370" t="str">
        <x:v>ISSUER</x:v>
      </x:c>
      <x:c r="O370" t="str">
        <x:v>Novotel.Venezia.Mestre/MILANO</x:v>
      </x:c>
      <x:c r="P370" t="str">
        <x:v>VISA Debitkartenumsatz vom 26.01.2026</x:v>
      </x:c>
      <x:c r="Q370" t="str">
        <x:v>Ausgang</x:v>
      </x:c>
      <x:c r="R370" t="str">
        <x:v>DE96120300009005290904</x:v>
      </x:c>
      <x:c r="S370" t="n">
        <x:v>-504.44</x:v>
      </x:c>
      <x:c r="T370" t="str">
        <x:v>"</x:v>
      </x:c>
      <x:c r="U370" t="str">
        <x:v>"</x:v>
      </x:c>
      <x:c r="V370" t="str">
        <x:v>486026393857772</x:v>
      </x:c>
    </x:row>
    <x:row r="371">
      <x:c r="A371" t="str">
        <x:v>RAW-IMP-20260516-FULLDRAFT-000354</x:v>
      </x:c>
      <x:c r="B371" t="str">
        <x:v>IMP-20260516-FULLDRAFT</x:v>
      </x:c>
      <x:c r="C371" t="str">
        <x:v>KTO001</x:v>
      </x:c>
      <x:c r="D371" t="str">
        <x:v>16-05-2026_Umsatzliste_Girokonto_DE98120300001061711675.csv</x:v>
      </x:c>
      <x:c r="E371" t="n">
        <x:v>46163</x:v>
      </x:c>
      <x:c r="F371" t="n">
        <x:v>354</x:v>
      </x:c>
      <x:c r="G371" t="str">
        <x:v>bdf8c1e0fd0344fdb839f6d6b786be6fc54f2cd293509fa973906014d42230d1</x:v>
      </x:c>
      <x:c r="H371" t="str">
        <x:v>neu</x:v>
      </x:c>
      <x:c r="I371" t="str">
        <x:v>ok</x:v>
      </x:c>
      <x:c r="J371"/>
      <x:c r="K371" t="n">
        <x:v>46049</x:v>
      </x:c>
      <x:c r="L371" t="n">
        <x:v>46049</x:v>
      </x:c>
      <x:c r="M371" t="str">
        <x:v>Gebucht</x:v>
      </x:c>
      <x:c r="N371" t="str">
        <x:v>ISSUER</x:v>
      </x:c>
      <x:c r="O371" t="str">
        <x:v>REWE.Salzgitter.Ge/Salzgitter</x:v>
      </x:c>
      <x:c r="P371" t="str">
        <x:v>VISA Debitkartenumsatz vom 26.01.2026</x:v>
      </x:c>
      <x:c r="Q371" t="str">
        <x:v>Ausgang</x:v>
      </x:c>
      <x:c r="R371" t="str">
        <x:v>DE96120300009005290904</x:v>
      </x:c>
      <x:c r="S371" t="n">
        <x:v>-7.64</x:v>
      </x:c>
      <x:c r="T371" t="str">
        <x:v>"</x:v>
      </x:c>
      <x:c r="U371" t="str">
        <x:v>"</x:v>
      </x:c>
      <x:c r="V371" t="str">
        <x:v>486026663564382</x:v>
      </x:c>
    </x:row>
    <x:row r="372">
      <x:c r="A372" t="str">
        <x:v>RAW-IMP-20260516-FULLDRAFT-000355</x:v>
      </x:c>
      <x:c r="B372" t="str">
        <x:v>IMP-20260516-FULLDRAFT</x:v>
      </x:c>
      <x:c r="C372" t="str">
        <x:v>KTO001</x:v>
      </x:c>
      <x:c r="D372" t="str">
        <x:v>16-05-2026_Umsatzliste_Girokonto_DE98120300001061711675.csv</x:v>
      </x:c>
      <x:c r="E372" t="n">
        <x:v>46163</x:v>
      </x:c>
      <x:c r="F372" t="n">
        <x:v>355</x:v>
      </x:c>
      <x:c r="G372" t="str">
        <x:v>59c726e7b1ed66eb5cdb3a3bb0c8ba64c3b56a4932ee50409278ed31685505a2</x:v>
      </x:c>
      <x:c r="H372" t="str">
        <x:v>neu</x:v>
      </x:c>
      <x:c r="I372" t="str">
        <x:v>ok</x:v>
      </x:c>
      <x:c r="J372"/>
      <x:c r="K372" t="n">
        <x:v>46049</x:v>
      </x:c>
      <x:c r="L372" t="n">
        <x:v>46049</x:v>
      </x:c>
      <x:c r="M372" t="str">
        <x:v>Gebucht</x:v>
      </x:c>
      <x:c r="N372" t="str">
        <x:v>ISSUER</x:v>
      </x:c>
      <x:c r="O372" t="str">
        <x:v>REWE.Salzgitter.Ge/Salzgitter</x:v>
      </x:c>
      <x:c r="P372" t="str">
        <x:v>VISA Debitkartenumsatz vom 26.01.2026</x:v>
      </x:c>
      <x:c r="Q372" t="str">
        <x:v>Ausgang</x:v>
      </x:c>
      <x:c r="R372" t="str">
        <x:v>DE96120300009005290904</x:v>
      </x:c>
      <x:c r="S372" t="n">
        <x:v>-14.51</x:v>
      </x:c>
      <x:c r="T372" t="str">
        <x:v>"</x:v>
      </x:c>
      <x:c r="U372" t="str">
        <x:v>"</x:v>
      </x:c>
      <x:c r="V372" t="str">
        <x:v>486026355863043</x:v>
      </x:c>
    </x:row>
    <x:row r="373">
      <x:c r="A373" t="str">
        <x:v>RAW-IMP-20260516-FULLDRAFT-000356</x:v>
      </x:c>
      <x:c r="B373" t="str">
        <x:v>IMP-20260516-FULLDRAFT</x:v>
      </x:c>
      <x:c r="C373" t="str">
        <x:v>KTO001</x:v>
      </x:c>
      <x:c r="D373" t="str">
        <x:v>16-05-2026_Umsatzliste_Girokonto_DE98120300001061711675.csv</x:v>
      </x:c>
      <x:c r="E373" t="n">
        <x:v>46163</x:v>
      </x:c>
      <x:c r="F373" t="n">
        <x:v>356</x:v>
      </x:c>
      <x:c r="G373" t="str">
        <x:v>bf9d047b06d8fd3d361f7f721f062f9ca126790b0a885208532db5bd11046568</x:v>
      </x:c>
      <x:c r="H373" t="str">
        <x:v>neu</x:v>
      </x:c>
      <x:c r="I373" t="str">
        <x:v>ok</x:v>
      </x:c>
      <x:c r="J373"/>
      <x:c r="K373" t="n">
        <x:v>46049</x:v>
      </x:c>
      <x:c r="L373" t="n">
        <x:v>46049</x:v>
      </x:c>
      <x:c r="M373" t="str">
        <x:v>Gebucht</x:v>
      </x:c>
      <x:c r="N373" t="str">
        <x:v>ISSUER</x:v>
      </x:c>
      <x:c r="O373" t="str">
        <x:v>PAYPAL..MSCCRUISES/0779673794</x:v>
      </x:c>
      <x:c r="P373" t="str">
        <x:v>VISA Debitkartenumsatz vom 26.01.2026</x:v>
      </x:c>
      <x:c r="Q373" t="str">
        <x:v>Ausgang</x:v>
      </x:c>
      <x:c r="R373" t="str">
        <x:v>DE96120300009005290904</x:v>
      </x:c>
      <x:c r="S373" t="n">
        <x:v>-1210</x:v>
      </x:c>
      <x:c r="T373" t="str">
        <x:v>"</x:v>
      </x:c>
      <x:c r="U373" t="str">
        <x:v>"</x:v>
      </x:c>
      <x:c r="V373" t="str">
        <x:v>356026373840829</x:v>
      </x:c>
    </x:row>
    <x:row r="374">
      <x:c r="A374" t="str">
        <x:v>RAW-IMP-20260516-FULLDRAFT-000357</x:v>
      </x:c>
      <x:c r="B374" t="str">
        <x:v>IMP-20260516-FULLDRAFT</x:v>
      </x:c>
      <x:c r="C374" t="str">
        <x:v>KTO001</x:v>
      </x:c>
      <x:c r="D374" t="str">
        <x:v>16-05-2026_Umsatzliste_Girokonto_DE98120300001061711675.csv</x:v>
      </x:c>
      <x:c r="E374" t="n">
        <x:v>46163</x:v>
      </x:c>
      <x:c r="F374" t="n">
        <x:v>357</x:v>
      </x:c>
      <x:c r="G374" t="str">
        <x:v>73c9c61be514f254ed8a4cf40230ea26d5f8925076dbd340c35778789bbaedd7</x:v>
      </x:c>
      <x:c r="H374" t="str">
        <x:v>neu</x:v>
      </x:c>
      <x:c r="I374" t="str">
        <x:v>ok</x:v>
      </x:c>
      <x:c r="J374"/>
      <x:c r="K374" t="n">
        <x:v>46049</x:v>
      </x:c>
      <x:c r="L374" t="n">
        <x:v>46049</x:v>
      </x:c>
      <x:c r="M374" t="str">
        <x:v>Gebucht</x:v>
      </x:c>
      <x:c r="N374" t="str">
        <x:v>Lars Kohlenberg</x:v>
      </x:c>
      <x:c r="O374" t="str">
        <x:v>Lars Kohlenberg</x:v>
      </x:c>
      <x:c r="P374" t="str">
        <x:v>UEbertrag Urlaub</x:v>
      </x:c>
      <x:c r="Q374" t="str">
        <x:v>Eingang</x:v>
      </x:c>
      <x:c r="R374" t="str">
        <x:v>DE91270200001510365800</x:v>
      </x:c>
      <x:c r="S374" t="n">
        <x:v>3000</x:v>
      </x:c>
      <x:c r="T374" t="str">
        <x:v>"</x:v>
      </x:c>
      <x:c r="U374" t="str">
        <x:v>"</x:v>
      </x:c>
      <x:c r="V374" t="str">
        <x:v>"</x:v>
      </x:c>
    </x:row>
    <x:row r="375">
      <x:c r="A375" t="str">
        <x:v>RAW-IMP-20260516-FULLDRAFT-000358</x:v>
      </x:c>
      <x:c r="B375" t="str">
        <x:v>IMP-20260516-FULLDRAFT</x:v>
      </x:c>
      <x:c r="C375" t="str">
        <x:v>KTO001</x:v>
      </x:c>
      <x:c r="D375" t="str">
        <x:v>16-05-2026_Umsatzliste_Girokonto_DE98120300001061711675.csv</x:v>
      </x:c>
      <x:c r="E375" t="n">
        <x:v>46163</x:v>
      </x:c>
      <x:c r="F375" t="n">
        <x:v>358</x:v>
      </x:c>
      <x:c r="G375" t="str">
        <x:v>8b2ef6789ba7095e388892f4016869fff0abc699a675f61ff871d455f84932eb</x:v>
      </x:c>
      <x:c r="H375" t="str">
        <x:v>neu</x:v>
      </x:c>
      <x:c r="I375" t="str">
        <x:v>ok</x:v>
      </x:c>
      <x:c r="J375"/>
      <x:c r="K375" t="n">
        <x:v>46048</x:v>
      </x:c>
      <x:c r="L375" t="n">
        <x:v>46048</x:v>
      </x:c>
      <x:c r="M375" t="str">
        <x:v>Gebucht</x:v>
      </x:c>
      <x:c r="N375" t="str">
        <x:v>ISSUER</x:v>
      </x:c>
      <x:c r="O375" t="str">
        <x:v>NORD.LB...Braunschweigi/GEBHARDSHG</x:v>
      </x:c>
      <x:c r="P375" t="str">
        <x:v>VISA Debitkartenumsatz vom 23.01.2026</x:v>
      </x:c>
      <x:c r="Q375" t="str">
        <x:v>Ausgang</x:v>
      </x:c>
      <x:c r="R375" t="str">
        <x:v>DE96120300009005290904</x:v>
      </x:c>
      <x:c r="S375" t="n">
        <x:v>-90</x:v>
      </x:c>
      <x:c r="T375" t="str">
        <x:v>"</x:v>
      </x:c>
      <x:c r="U375" t="str">
        <x:v>"</x:v>
      </x:c>
      <x:c r="V375" t="str">
        <x:v>486023651606101</x:v>
      </x:c>
    </x:row>
    <x:row r="376">
      <x:c r="A376" t="str">
        <x:v>RAW-IMP-20260516-FULLDRAFT-000359</x:v>
      </x:c>
      <x:c r="B376" t="str">
        <x:v>IMP-20260516-FULLDRAFT</x:v>
      </x:c>
      <x:c r="C376" t="str">
        <x:v>KTO001</x:v>
      </x:c>
      <x:c r="D376" t="str">
        <x:v>16-05-2026_Umsatzliste_Girokonto_DE98120300001061711675.csv</x:v>
      </x:c>
      <x:c r="E376" t="n">
        <x:v>46163</x:v>
      </x:c>
      <x:c r="F376" t="n">
        <x:v>359</x:v>
      </x:c>
      <x:c r="G376" t="str">
        <x:v>0a038bb0c9a062c5af73a40f7062de49be19e74cd35f3aa0c335cbac2bfc1029</x:v>
      </x:c>
      <x:c r="H376" t="str">
        <x:v>neu</x:v>
      </x:c>
      <x:c r="I376" t="str">
        <x:v>ok</x:v>
      </x:c>
      <x:c r="J376"/>
      <x:c r="K376" t="n">
        <x:v>46048</x:v>
      </x:c>
      <x:c r="L376" t="n">
        <x:v>46048</x:v>
      </x:c>
      <x:c r="M376" t="str">
        <x:v>Gebucht</x:v>
      </x:c>
      <x:c r="N376" t="str">
        <x:v>ISSUER</x:v>
      </x:c>
      <x:c r="O376" t="str">
        <x:v>Badeland.Wolfsburg/Wolfsburg</x:v>
      </x:c>
      <x:c r="P376" t="str">
        <x:v>VISA Debitkartenumsatz vom 23.01.2026</x:v>
      </x:c>
      <x:c r="Q376" t="str">
        <x:v>Ausgang</x:v>
      </x:c>
      <x:c r="R376" t="str">
        <x:v>DE96120300009005290904</x:v>
      </x:c>
      <x:c r="S376" t="n">
        <x:v>-40.1</x:v>
      </x:c>
      <x:c r="T376" t="str">
        <x:v>"</x:v>
      </x:c>
      <x:c r="U376" t="str">
        <x:v>"</x:v>
      </x:c>
      <x:c r="V376" t="str">
        <x:v>486023620274297</x:v>
      </x:c>
    </x:row>
    <x:row r="377">
      <x:c r="A377" t="str">
        <x:v>RAW-IMP-20260516-FULLDRAFT-000360</x:v>
      </x:c>
      <x:c r="B377" t="str">
        <x:v>IMP-20260516-FULLDRAFT</x:v>
      </x:c>
      <x:c r="C377" t="str">
        <x:v>KTO001</x:v>
      </x:c>
      <x:c r="D377" t="str">
        <x:v>16-05-2026_Umsatzliste_Girokonto_DE98120300001061711675.csv</x:v>
      </x:c>
      <x:c r="E377" t="n">
        <x:v>46163</x:v>
      </x:c>
      <x:c r="F377" t="n">
        <x:v>360</x:v>
      </x:c>
      <x:c r="G377" t="str">
        <x:v>e43873f6ef00fc13596e97e6a3b33f8214b58302a12474409726936669e86be2</x:v>
      </x:c>
      <x:c r="H377" t="str">
        <x:v>neu</x:v>
      </x:c>
      <x:c r="I377" t="str">
        <x:v>ok</x:v>
      </x:c>
      <x:c r="J377"/>
      <x:c r="K377" t="n">
        <x:v>46048</x:v>
      </x:c>
      <x:c r="L377" t="n">
        <x:v>46048</x:v>
      </x:c>
      <x:c r="M377" t="str">
        <x:v>Gebucht</x:v>
      </x:c>
      <x:c r="N377" t="str">
        <x:v>ISSUER</x:v>
      </x:c>
      <x:c r="O377" t="str">
        <x:v>Ad.free.for..NE0DY35E5/4.4.2012E.11</x:v>
      </x:c>
      <x:c r="P377" t="str">
        <x:v>VISA Debitkartenumsatz vom 23.01.2026</x:v>
      </x:c>
      <x:c r="Q377" t="str">
        <x:v>Ausgang</x:v>
      </x:c>
      <x:c r="R377" t="str">
        <x:v>DE96120300009005290904</x:v>
      </x:c>
      <x:c r="S377" t="n">
        <x:v>-2.99</x:v>
      </x:c>
      <x:c r="T377" t="str">
        <x:v>"</x:v>
      </x:c>
      <x:c r="U377" t="str">
        <x:v>"</x:v>
      </x:c>
      <x:c r="V377" t="str">
        <x:v>486023743025732</x:v>
      </x:c>
    </x:row>
    <x:row r="378">
      <x:c r="A378" t="str">
        <x:v>RAW-IMP-20260516-FULLDRAFT-000361</x:v>
      </x:c>
      <x:c r="B378" t="str">
        <x:v>IMP-20260516-FULLDRAFT</x:v>
      </x:c>
      <x:c r="C378" t="str">
        <x:v>KTO001</x:v>
      </x:c>
      <x:c r="D378" t="str">
        <x:v>16-05-2026_Umsatzliste_Girokonto_DE98120300001061711675.csv</x:v>
      </x:c>
      <x:c r="E378" t="n">
        <x:v>46163</x:v>
      </x:c>
      <x:c r="F378" t="n">
        <x:v>361</x:v>
      </x:c>
      <x:c r="G378" t="str">
        <x:v>f9031fbbdfebe793e47692b88e92e34f462ba6854b942af21331fbc162c480b4</x:v>
      </x:c>
      <x:c r="H378" t="str">
        <x:v>neu</x:v>
      </x:c>
      <x:c r="I378" t="str">
        <x:v>ok</x:v>
      </x:c>
      <x:c r="J378"/>
      <x:c r="K378" t="n">
        <x:v>46048</x:v>
      </x:c>
      <x:c r="L378" t="n">
        <x:v>46048</x:v>
      </x:c>
      <x:c r="M378" t="str">
        <x:v>Gebucht</x:v>
      </x:c>
      <x:c r="N378" t="str">
        <x:v>ISSUER</x:v>
      </x:c>
      <x:c r="O378" t="str">
        <x:v>TICKET..EISHO.TAGSALZG/SAARBURG</x:v>
      </x:c>
      <x:c r="P378" t="str">
        <x:v>VISA Debitkartenumsatz vom 25.01.2026</x:v>
      </x:c>
      <x:c r="Q378" t="str">
        <x:v>Ausgang</x:v>
      </x:c>
      <x:c r="R378" t="str">
        <x:v>DE96120300009005290904</x:v>
      </x:c>
      <x:c r="S378" t="n">
        <x:v>-24</x:v>
      </x:c>
      <x:c r="T378" t="str">
        <x:v>"</x:v>
      </x:c>
      <x:c r="U378" t="str">
        <x:v>"</x:v>
      </x:c>
      <x:c r="V378" t="str">
        <x:v>486025487850662</x:v>
      </x:c>
    </x:row>
    <x:row r="379">
      <x:c r="A379" t="str">
        <x:v>RAW-IMP-20260516-FULLDRAFT-000362</x:v>
      </x:c>
      <x:c r="B379" t="str">
        <x:v>IMP-20260516-FULLDRAFT</x:v>
      </x:c>
      <x:c r="C379" t="str">
        <x:v>KTO001</x:v>
      </x:c>
      <x:c r="D379" t="str">
        <x:v>16-05-2026_Umsatzliste_Girokonto_DE98120300001061711675.csv</x:v>
      </x:c>
      <x:c r="E379" t="n">
        <x:v>46163</x:v>
      </x:c>
      <x:c r="F379" t="n">
        <x:v>362</x:v>
      </x:c>
      <x:c r="G379" t="str">
        <x:v>c8921de6963f7dbd6c085202753f493c50954fc1942909ec53c5c05d8ee526a0</x:v>
      </x:c>
      <x:c r="H379" t="str">
        <x:v>neu</x:v>
      </x:c>
      <x:c r="I379" t="str">
        <x:v>ok</x:v>
      </x:c>
      <x:c r="J379"/>
      <x:c r="K379" t="n">
        <x:v>46048</x:v>
      </x:c>
      <x:c r="L379" t="n">
        <x:v>46048</x:v>
      </x:c>
      <x:c r="M379" t="str">
        <x:v>Gebucht</x:v>
      </x:c>
      <x:c r="N379" t="str">
        <x:v>ISSUER</x:v>
      </x:c>
      <x:c r="O379" t="str">
        <x:v>Badeland.Wolfsburg/Wolfsburg</x:v>
      </x:c>
      <x:c r="P379" t="str">
        <x:v>VISA Debitkartenumsatz vom 23.01.2026</x:v>
      </x:c>
      <x:c r="Q379" t="str">
        <x:v>Ausgang</x:v>
      </x:c>
      <x:c r="R379" t="str">
        <x:v>DE96120300009005290904</x:v>
      </x:c>
      <x:c r="S379" t="n">
        <x:v>-52.8</x:v>
      </x:c>
      <x:c r="T379" t="str">
        <x:v>"</x:v>
      </x:c>
      <x:c r="U379" t="str">
        <x:v>"</x:v>
      </x:c>
      <x:c r="V379" t="str">
        <x:v>486023409230749</x:v>
      </x:c>
    </x:row>
    <x:row r="380">
      <x:c r="A380" t="str">
        <x:v>RAW-IMP-20260516-FULLDRAFT-000363</x:v>
      </x:c>
      <x:c r="B380" t="str">
        <x:v>IMP-20260516-FULLDRAFT</x:v>
      </x:c>
      <x:c r="C380" t="str">
        <x:v>KTO001</x:v>
      </x:c>
      <x:c r="D380" t="str">
        <x:v>16-05-2026_Umsatzliste_Girokonto_DE98120300001061711675.csv</x:v>
      </x:c>
      <x:c r="E380" t="n">
        <x:v>46163</x:v>
      </x:c>
      <x:c r="F380" t="n">
        <x:v>363</x:v>
      </x:c>
      <x:c r="G380" t="str">
        <x:v>9340e7bfb25f3db7b1dbbaeb1a839a0680de37057efcd18fe35094574f31b333</x:v>
      </x:c>
      <x:c r="H380" t="str">
        <x:v>neu</x:v>
      </x:c>
      <x:c r="I380" t="str">
        <x:v>ok</x:v>
      </x:c>
      <x:c r="J380"/>
      <x:c r="K380" t="n">
        <x:v>46048</x:v>
      </x:c>
      <x:c r="L380" t="n">
        <x:v>46048</x:v>
      </x:c>
      <x:c r="M380" t="str">
        <x:v>Gebucht</x:v>
      </x:c>
      <x:c r="N380" t="str">
        <x:v>ISSUER</x:v>
      </x:c>
      <x:c r="O380" t="str">
        <x:v>AMZN.Mktp.DE.JR8LT16E5/AMZN.COM.BILL</x:v>
      </x:c>
      <x:c r="P380" t="str">
        <x:v>VISA Debitkartenumsatz vom 23.01.2026</x:v>
      </x:c>
      <x:c r="Q380" t="str">
        <x:v>Ausgang</x:v>
      </x:c>
      <x:c r="R380" t="str">
        <x:v>DE96120300009005290904</x:v>
      </x:c>
      <x:c r="S380" t="n">
        <x:v>-9.99</x:v>
      </x:c>
      <x:c r="T380" t="str">
        <x:v>"</x:v>
      </x:c>
      <x:c r="U380" t="str">
        <x:v>"</x:v>
      </x:c>
      <x:c r="V380" t="str">
        <x:v>486023401426424</x:v>
      </x:c>
    </x:row>
    <x:row r="381">
      <x:c r="A381" t="str">
        <x:v>RAW-IMP-20260516-FULLDRAFT-000364</x:v>
      </x:c>
      <x:c r="B381" t="str">
        <x:v>IMP-20260516-FULLDRAFT</x:v>
      </x:c>
      <x:c r="C381" t="str">
        <x:v>KTO001</x:v>
      </x:c>
      <x:c r="D381" t="str">
        <x:v>16-05-2026_Umsatzliste_Girokonto_DE98120300001061711675.csv</x:v>
      </x:c>
      <x:c r="E381" t="n">
        <x:v>46163</x:v>
      </x:c>
      <x:c r="F381" t="n">
        <x:v>364</x:v>
      </x:c>
      <x:c r="G381" t="str">
        <x:v>230e5ec423413556fb8684c1227e10143631298f5113b7c792875ce6db671705</x:v>
      </x:c>
      <x:c r="H381" t="str">
        <x:v>neu</x:v>
      </x:c>
      <x:c r="I381" t="str">
        <x:v>ok</x:v>
      </x:c>
      <x:c r="J381"/>
      <x:c r="K381" t="n">
        <x:v>46045</x:v>
      </x:c>
      <x:c r="L381" t="n">
        <x:v>46045</x:v>
      </x:c>
      <x:c r="M381" t="str">
        <x:v>Gebucht</x:v>
      </x:c>
      <x:c r="N381" t="str">
        <x:v>ISSUER</x:v>
      </x:c>
      <x:c r="O381" t="str">
        <x:v>AMZN.Mktp.DE.9T5S80XZ5/AMZN.COM.BILL</x:v>
      </x:c>
      <x:c r="P381" t="str">
        <x:v>VISA Debitkartenumsatz vom 23.01.2026</x:v>
      </x:c>
      <x:c r="Q381" t="str">
        <x:v>Ausgang</x:v>
      </x:c>
      <x:c r="R381" t="str">
        <x:v>DE96120300009005290904</x:v>
      </x:c>
      <x:c r="S381" t="n">
        <x:v>-8.99</x:v>
      </x:c>
      <x:c r="T381" t="str">
        <x:v>"</x:v>
      </x:c>
      <x:c r="U381" t="str">
        <x:v>"</x:v>
      </x:c>
      <x:c r="V381" t="str">
        <x:v>486021761164489</x:v>
      </x:c>
    </x:row>
    <x:row r="382">
      <x:c r="A382" t="str">
        <x:v>RAW-IMP-20260516-FULLDRAFT-000365</x:v>
      </x:c>
      <x:c r="B382" t="str">
        <x:v>IMP-20260516-FULLDRAFT</x:v>
      </x:c>
      <x:c r="C382" t="str">
        <x:v>KTO001</x:v>
      </x:c>
      <x:c r="D382" t="str">
        <x:v>16-05-2026_Umsatzliste_Girokonto_DE98120300001061711675.csv</x:v>
      </x:c>
      <x:c r="E382" t="n">
        <x:v>46163</x:v>
      </x:c>
      <x:c r="F382" t="n">
        <x:v>365</x:v>
      </x:c>
      <x:c r="G382" t="str">
        <x:v>6274d96cb3f623748acce71a241a352584b5071b45c687d04e96e5ffa12bcee1</x:v>
      </x:c>
      <x:c r="H382" t="str">
        <x:v>neu</x:v>
      </x:c>
      <x:c r="I382" t="str">
        <x:v>ok</x:v>
      </x:c>
      <x:c r="J382"/>
      <x:c r="K382" t="n">
        <x:v>46045</x:v>
      </x:c>
      <x:c r="L382" t="n">
        <x:v>46045</x:v>
      </x:c>
      <x:c r="M382" t="str">
        <x:v>Gebucht</x:v>
      </x:c>
      <x:c r="N382" t="str">
        <x:v>ISSUER</x:v>
      </x:c>
      <x:c r="O382" t="str">
        <x:v>REWE.Salzgitter.Ge/Salzgitter</x:v>
      </x:c>
      <x:c r="P382" t="str">
        <x:v>VISA Debitkartenumsatz vom 22.01.2026</x:v>
      </x:c>
      <x:c r="Q382" t="str">
        <x:v>Ausgang</x:v>
      </x:c>
      <x:c r="R382" t="str">
        <x:v>DE96120300009005290904</x:v>
      </x:c>
      <x:c r="S382" t="n">
        <x:v>-2.99</x:v>
      </x:c>
      <x:c r="T382" t="str">
        <x:v>"</x:v>
      </x:c>
      <x:c r="U382" t="str">
        <x:v>"</x:v>
      </x:c>
      <x:c r="V382" t="str">
        <x:v>486022403624903</x:v>
      </x:c>
    </x:row>
    <x:row r="383">
      <x:c r="A383" t="str">
        <x:v>RAW-IMP-20260516-FULLDRAFT-000366</x:v>
      </x:c>
      <x:c r="B383" t="str">
        <x:v>IMP-20260516-FULLDRAFT</x:v>
      </x:c>
      <x:c r="C383" t="str">
        <x:v>KTO001</x:v>
      </x:c>
      <x:c r="D383" t="str">
        <x:v>16-05-2026_Umsatzliste_Girokonto_DE98120300001061711675.csv</x:v>
      </x:c>
      <x:c r="E383" t="n">
        <x:v>46163</x:v>
      </x:c>
      <x:c r="F383" t="n">
        <x:v>366</x:v>
      </x:c>
      <x:c r="G383" t="str">
        <x:v>c83303b112f8e1138c2fbfc6876c890755008781acc8251fef0c8e6f88e1c700</x:v>
      </x:c>
      <x:c r="H383" t="str">
        <x:v>neu</x:v>
      </x:c>
      <x:c r="I383" t="str">
        <x:v>ok</x:v>
      </x:c>
      <x:c r="J383"/>
      <x:c r="K383" t="n">
        <x:v>46044</x:v>
      </x:c>
      <x:c r="L383" t="n">
        <x:v>46044</x:v>
      </x:c>
      <x:c r="M383" t="str">
        <x:v>Gebucht</x:v>
      </x:c>
      <x:c r="N383" t="str">
        <x:v>ISSUER</x:v>
      </x:c>
      <x:c r="O383" t="str">
        <x:v>REWE.Salzgitter.Ge/Salzgitter</x:v>
      </x:c>
      <x:c r="P383" t="str">
        <x:v>VISA Debitkartenumsatz vom 21.01.2026</x:v>
      </x:c>
      <x:c r="Q383" t="str">
        <x:v>Ausgang</x:v>
      </x:c>
      <x:c r="R383" t="str">
        <x:v>DE96120300009005290904</x:v>
      </x:c>
      <x:c r="S383" t="n">
        <x:v>-2.64</x:v>
      </x:c>
      <x:c r="T383" t="str">
        <x:v>"</x:v>
      </x:c>
      <x:c r="U383" t="str">
        <x:v>"</x:v>
      </x:c>
      <x:c r="V383" t="str">
        <x:v>486021351564838</x:v>
      </x:c>
    </x:row>
    <x:row r="384">
      <x:c r="A384" t="str">
        <x:v>RAW-IMP-20260516-FULLDRAFT-000367</x:v>
      </x:c>
      <x:c r="B384" t="str">
        <x:v>IMP-20260516-FULLDRAFT</x:v>
      </x:c>
      <x:c r="C384" t="str">
        <x:v>KTO001</x:v>
      </x:c>
      <x:c r="D384" t="str">
        <x:v>16-05-2026_Umsatzliste_Girokonto_DE98120300001061711675.csv</x:v>
      </x:c>
      <x:c r="E384" t="n">
        <x:v>46163</x:v>
      </x:c>
      <x:c r="F384" t="n">
        <x:v>367</x:v>
      </x:c>
      <x:c r="G384" t="str">
        <x:v>e2583efef6f756929d6427933c69d8e9302ab020e301a4b9922ce3a64bde14c3</x:v>
      </x:c>
      <x:c r="H384" t="str">
        <x:v>neu</x:v>
      </x:c>
      <x:c r="I384" t="str">
        <x:v>ok</x:v>
      </x:c>
      <x:c r="J384"/>
      <x:c r="K384" t="n">
        <x:v>46043</x:v>
      </x:c>
      <x:c r="L384" t="n">
        <x:v>46043</x:v>
      </x:c>
      <x:c r="M384" t="str">
        <x:v>Gebucht</x:v>
      </x:c>
      <x:c r="N384" t="str">
        <x:v>ISSUER</x:v>
      </x:c>
      <x:c r="O384" t="str">
        <x:v>AMZN.Mktp.DE.V75850NQ5/AMZN.COM.BILL</x:v>
      </x:c>
      <x:c r="P384" t="str">
        <x:v>VISA Debitkartenumsatz vom 20.01.2026</x:v>
      </x:c>
      <x:c r="Q384" t="str">
        <x:v>Ausgang</x:v>
      </x:c>
      <x:c r="R384" t="str">
        <x:v>DE96120300009005290904</x:v>
      </x:c>
      <x:c r="S384" t="n">
        <x:v>-44.27</x:v>
      </x:c>
      <x:c r="T384" t="str">
        <x:v>"</x:v>
      </x:c>
      <x:c r="U384" t="str">
        <x:v>"</x:v>
      </x:c>
      <x:c r="V384" t="str">
        <x:v>486017276024695</x:v>
      </x:c>
    </x:row>
    <x:row r="385">
      <x:c r="A385" t="str">
        <x:v>RAW-IMP-20260516-FULLDRAFT-000368</x:v>
      </x:c>
      <x:c r="B385" t="str">
        <x:v>IMP-20260516-FULLDRAFT</x:v>
      </x:c>
      <x:c r="C385" t="str">
        <x:v>KTO001</x:v>
      </x:c>
      <x:c r="D385" t="str">
        <x:v>16-05-2026_Umsatzliste_Girokonto_DE98120300001061711675.csv</x:v>
      </x:c>
      <x:c r="E385" t="n">
        <x:v>46163</x:v>
      </x:c>
      <x:c r="F385" t="n">
        <x:v>368</x:v>
      </x:c>
      <x:c r="G385" t="str">
        <x:v>d7d020a2fcd905e14bd1bfcef0227d7e4a7e9f19957e71b14b17fa6583c3b761</x:v>
      </x:c>
      <x:c r="H385" t="str">
        <x:v>neu</x:v>
      </x:c>
      <x:c r="I385" t="str">
        <x:v>ok</x:v>
      </x:c>
      <x:c r="J385"/>
      <x:c r="K385" t="n">
        <x:v>46043</x:v>
      </x:c>
      <x:c r="L385" t="n">
        <x:v>46043</x:v>
      </x:c>
      <x:c r="M385" t="str">
        <x:v>Gebucht</x:v>
      </x:c>
      <x:c r="N385" t="str">
        <x:v>Lars Kohlenberg</x:v>
      </x:c>
      <x:c r="O385" t="str">
        <x:v>Lars Kohlenberg</x:v>
      </x:c>
      <x:c r="P385" t="str">
        <x:v>UEbertrag</x:v>
      </x:c>
      <x:c r="Q385" t="str">
        <x:v>Eingang</x:v>
      </x:c>
      <x:c r="R385" t="str">
        <x:v>DE91270200001510365800</x:v>
      </x:c>
      <x:c r="S385" t="n">
        <x:v>300</x:v>
      </x:c>
      <x:c r="T385" t="str">
        <x:v>"</x:v>
      </x:c>
      <x:c r="U385" t="str">
        <x:v>"</x:v>
      </x:c>
      <x:c r="V385" t="str">
        <x:v>"</x:v>
      </x:c>
    </x:row>
    <x:row r="386">
      <x:c r="A386" t="str">
        <x:v>RAW-IMP-20260516-FULLDRAFT-000369</x:v>
      </x:c>
      <x:c r="B386" t="str">
        <x:v>IMP-20260516-FULLDRAFT</x:v>
      </x:c>
      <x:c r="C386" t="str">
        <x:v>KTO001</x:v>
      </x:c>
      <x:c r="D386" t="str">
        <x:v>16-05-2026_Umsatzliste_Girokonto_DE98120300001061711675.csv</x:v>
      </x:c>
      <x:c r="E386" t="n">
        <x:v>46163</x:v>
      </x:c>
      <x:c r="F386" t="n">
        <x:v>369</x:v>
      </x:c>
      <x:c r="G386" t="str">
        <x:v>c77f51ac7e1cdd2a3ee8948dab133bfd8d1d6387fbcd4455bd97553d1086f454</x:v>
      </x:c>
      <x:c r="H386" t="str">
        <x:v>neu</x:v>
      </x:c>
      <x:c r="I386" t="str">
        <x:v>ok</x:v>
      </x:c>
      <x:c r="J386"/>
      <x:c r="K386" t="n">
        <x:v>46043</x:v>
      </x:c>
      <x:c r="L386" t="n">
        <x:v>46043</x:v>
      </x:c>
      <x:c r="M386" t="str">
        <x:v>Gebucht</x:v>
      </x:c>
      <x:c r="N386" t="str">
        <x:v>Lars Kohlenberg</x:v>
      </x:c>
      <x:c r="O386" t="str">
        <x:v>Drillisch Online GmbH                                                 Lindleystrase 11, 60314 Frankfurt am Main</x:v>
      </x:c>
      <x:c r="P386" t="str">
        <x:v>C0851820 U773352187 B880019389 winSIM</x:v>
      </x:c>
      <x:c r="Q386" t="str">
        <x:v>Ausgang</x:v>
      </x:c>
      <x:c r="R386" t="str">
        <x:v>DE87300500000008996811</x:v>
      </x:c>
      <x:c r="S386" t="n">
        <x:v>-6.99</x:v>
      </x:c>
      <x:c r="T386" t="str">
        <x:v>DE40ZZZ00000206926</x:v>
      </x:c>
      <x:c r="U386" t="str">
        <x:v>FB1310D094B04186E02ACE7B8C6</x:v>
      </x:c>
      <x:c r="V386" t="str">
        <x:v>C0851820+U773352187</x:v>
      </x:c>
    </x:row>
    <x:row r="387">
      <x:c r="A387" t="str">
        <x:v>RAW-IMP-20260516-FULLDRAFT-000370</x:v>
      </x:c>
      <x:c r="B387" t="str">
        <x:v>IMP-20260516-FULLDRAFT</x:v>
      </x:c>
      <x:c r="C387" t="str">
        <x:v>KTO001</x:v>
      </x:c>
      <x:c r="D387" t="str">
        <x:v>16-05-2026_Umsatzliste_Girokonto_DE98120300001061711675.csv</x:v>
      </x:c>
      <x:c r="E387" t="n">
        <x:v>46163</x:v>
      </x:c>
      <x:c r="F387" t="n">
        <x:v>370</x:v>
      </x:c>
      <x:c r="G387" t="str">
        <x:v>5d4ba010eb24b901932984467c7005efbf0bbc5c682122cca88ec1a16f398e3f</x:v>
      </x:c>
      <x:c r="H387" t="str">
        <x:v>neu</x:v>
      </x:c>
      <x:c r="I387" t="str">
        <x:v>ok</x:v>
      </x:c>
      <x:c r="J387"/>
      <x:c r="K387" t="n">
        <x:v>46042</x:v>
      </x:c>
      <x:c r="L387" t="n">
        <x:v>46042</x:v>
      </x:c>
      <x:c r="M387" t="str">
        <x:v>Gebucht</x:v>
      </x:c>
      <x:c r="N387" t="str">
        <x:v>ISSUER</x:v>
      </x:c>
      <x:c r="O387" t="str">
        <x:v>PAYPAL..HPDEUTSCHLA/4029357733</x:v>
      </x:c>
      <x:c r="P387" t="str">
        <x:v>VISA Debitkartenumsatz vom 19.01.2026</x:v>
      </x:c>
      <x:c r="Q387" t="str">
        <x:v>Ausgang</x:v>
      </x:c>
      <x:c r="R387" t="str">
        <x:v>DE96120300009005290904</x:v>
      </x:c>
      <x:c r="S387" t="n">
        <x:v>-4.99</x:v>
      </x:c>
      <x:c r="T387" t="str">
        <x:v>"</x:v>
      </x:c>
      <x:c r="U387" t="str">
        <x:v>"</x:v>
      </x:c>
      <x:c r="V387" t="str">
        <x:v>306019580469893</x:v>
      </x:c>
    </x:row>
    <x:row r="388">
      <x:c r="A388" t="str">
        <x:v>RAW-IMP-20260516-FULLDRAFT-000371</x:v>
      </x:c>
      <x:c r="B388" t="str">
        <x:v>IMP-20260516-FULLDRAFT</x:v>
      </x:c>
      <x:c r="C388" t="str">
        <x:v>KTO001</x:v>
      </x:c>
      <x:c r="D388" t="str">
        <x:v>16-05-2026_Umsatzliste_Girokonto_DE98120300001061711675.csv</x:v>
      </x:c>
      <x:c r="E388" t="n">
        <x:v>46163</x:v>
      </x:c>
      <x:c r="F388" t="n">
        <x:v>371</x:v>
      </x:c>
      <x:c r="G388" t="str">
        <x:v>67af12a88ca5c4289e3f5ac5730497ca189d03b1ea8cad411f9aea5d73c6fac7</x:v>
      </x:c>
      <x:c r="H388" t="str">
        <x:v>neu</x:v>
      </x:c>
      <x:c r="I388" t="str">
        <x:v>ok</x:v>
      </x:c>
      <x:c r="J388"/>
      <x:c r="K388" t="n">
        <x:v>46042</x:v>
      </x:c>
      <x:c r="L388" t="n">
        <x:v>46042</x:v>
      </x:c>
      <x:c r="M388" t="str">
        <x:v>Gebucht</x:v>
      </x:c>
      <x:c r="N388" t="str">
        <x:v>ISSUER</x:v>
      </x:c>
      <x:c r="O388" t="str">
        <x:v>REWE.Salzgitter.Ge/Salzgitter</x:v>
      </x:c>
      <x:c r="P388" t="str">
        <x:v>VISA Debitkartenumsatz vom 19.01.2026</x:v>
      </x:c>
      <x:c r="Q388" t="str">
        <x:v>Ausgang</x:v>
      </x:c>
      <x:c r="R388" t="str">
        <x:v>DE96120300009005290904</x:v>
      </x:c>
      <x:c r="S388" t="n">
        <x:v>-11.44</x:v>
      </x:c>
      <x:c r="T388" t="str">
        <x:v>"</x:v>
      </x:c>
      <x:c r="U388" t="str">
        <x:v>"</x:v>
      </x:c>
      <x:c r="V388" t="str">
        <x:v>486019609772883</x:v>
      </x:c>
    </x:row>
    <x:row r="389">
      <x:c r="A389" t="str">
        <x:v>RAW-IMP-20260516-FULLDRAFT-000372</x:v>
      </x:c>
      <x:c r="B389" t="str">
        <x:v>IMP-20260516-FULLDRAFT</x:v>
      </x:c>
      <x:c r="C389" t="str">
        <x:v>KTO001</x:v>
      </x:c>
      <x:c r="D389" t="str">
        <x:v>16-05-2026_Umsatzliste_Girokonto_DE98120300001061711675.csv</x:v>
      </x:c>
      <x:c r="E389" t="n">
        <x:v>46163</x:v>
      </x:c>
      <x:c r="F389" t="n">
        <x:v>372</x:v>
      </x:c>
      <x:c r="G389" t="str">
        <x:v>b62debd81e4c8df440354bc8e8f0d5f9b5aa2d526fd721d15841d41888779964</x:v>
      </x:c>
      <x:c r="H389" t="str">
        <x:v>neu</x:v>
      </x:c>
      <x:c r="I389" t="str">
        <x:v>ok</x:v>
      </x:c>
      <x:c r="J389"/>
      <x:c r="K389" t="n">
        <x:v>46042</x:v>
      </x:c>
      <x:c r="L389" t="n">
        <x:v>46042</x:v>
      </x:c>
      <x:c r="M389" t="str">
        <x:v>Gebucht</x:v>
      </x:c>
      <x:c r="N389" t="str">
        <x:v>Lars Kohlenberg</x:v>
      </x:c>
      <x:c r="O389" t="str">
        <x:v>Lars Kohlenberg</x:v>
      </x:c>
      <x:c r="P389" t="str">
        <x:v>UEbertrag</x:v>
      </x:c>
      <x:c r="Q389" t="str">
        <x:v>Eingang</x:v>
      </x:c>
      <x:c r="R389" t="str">
        <x:v>DE91270200001510365800</x:v>
      </x:c>
      <x:c r="S389" t="n">
        <x:v>600</x:v>
      </x:c>
      <x:c r="T389" t="str">
        <x:v>"</x:v>
      </x:c>
      <x:c r="U389" t="str">
        <x:v>"</x:v>
      </x:c>
      <x:c r="V389" t="str">
        <x:v>"</x:v>
      </x:c>
    </x:row>
    <x:row r="390">
      <x:c r="A390" t="str">
        <x:v>RAW-IMP-20260516-FULLDRAFT-000373</x:v>
      </x:c>
      <x:c r="B390" t="str">
        <x:v>IMP-20260516-FULLDRAFT</x:v>
      </x:c>
      <x:c r="C390" t="str">
        <x:v>KTO001</x:v>
      </x:c>
      <x:c r="D390" t="str">
        <x:v>16-05-2026_Umsatzliste_Girokonto_DE98120300001061711675.csv</x:v>
      </x:c>
      <x:c r="E390" t="n">
        <x:v>46163</x:v>
      </x:c>
      <x:c r="F390" t="n">
        <x:v>373</x:v>
      </x:c>
      <x:c r="G390" t="str">
        <x:v>d689f67ae182548943ea34b17780e70d1c3f51108c33ac412f56c08509585a1a</x:v>
      </x:c>
      <x:c r="H390" t="str">
        <x:v>neu</x:v>
      </x:c>
      <x:c r="I390" t="str">
        <x:v>ok</x:v>
      </x:c>
      <x:c r="J390"/>
      <x:c r="K390" t="n">
        <x:v>46042</x:v>
      </x:c>
      <x:c r="L390" t="n">
        <x:v>46042</x:v>
      </x:c>
      <x:c r="M390" t="str">
        <x:v>Gebucht</x:v>
      </x:c>
      <x:c r="N390" t="str">
        <x:v>Lars Kohlenberg</x:v>
      </x:c>
      <x:c r="O390" t="str">
        <x:v>Drillisch Online GmbH                                                 Lindleystrase 11, 60314 Frankfurt am Main</x:v>
      </x:c>
      <x:c r="P390" t="str">
        <x:v>C0851820 U771517417 B882541929 winSIM</x:v>
      </x:c>
      <x:c r="Q390" t="str">
        <x:v>Ausgang</x:v>
      </x:c>
      <x:c r="R390" t="str">
        <x:v>DE87300500000008996811</x:v>
      </x:c>
      <x:c r="S390" t="n">
        <x:v>-6.99</x:v>
      </x:c>
      <x:c r="T390" t="str">
        <x:v>DE40ZZZ00000206926</x:v>
      </x:c>
      <x:c r="U390" t="str">
        <x:v>FB1310D094B04186E02ACE7B8C6</x:v>
      </x:c>
      <x:c r="V390" t="str">
        <x:v>C0851820+U771517417</x:v>
      </x:c>
    </x:row>
    <x:row r="391">
      <x:c r="A391" t="str">
        <x:v>RAW-IMP-20260516-FULLDRAFT-000374</x:v>
      </x:c>
      <x:c r="B391" t="str">
        <x:v>IMP-20260516-FULLDRAFT</x:v>
      </x:c>
      <x:c r="C391" t="str">
        <x:v>KTO001</x:v>
      </x:c>
      <x:c r="D391" t="str">
        <x:v>16-05-2026_Umsatzliste_Girokonto_DE98120300001061711675.csv</x:v>
      </x:c>
      <x:c r="E391" t="n">
        <x:v>46163</x:v>
      </x:c>
      <x:c r="F391" t="n">
        <x:v>374</x:v>
      </x:c>
      <x:c r="G391" t="str">
        <x:v>2ea50823a71707820da8755caed51c84420ad33502ee0f04aa7d3443feec73a1</x:v>
      </x:c>
      <x:c r="H391" t="str">
        <x:v>neu</x:v>
      </x:c>
      <x:c r="I391" t="str">
        <x:v>ok</x:v>
      </x:c>
      <x:c r="J391"/>
      <x:c r="K391" t="n">
        <x:v>46041</x:v>
      </x:c>
      <x:c r="L391" t="n">
        <x:v>46041</x:v>
      </x:c>
      <x:c r="M391" t="str">
        <x:v>Gebucht</x:v>
      </x:c>
      <x:c r="N391" t="str">
        <x:v>ISSUER</x:v>
      </x:c>
      <x:c r="O391" t="str">
        <x:v>REWE.Salzgitter.Ge/Salzgitter</x:v>
      </x:c>
      <x:c r="P391" t="str">
        <x:v>VISA Debitkartenumsatz vom 17.01.2026</x:v>
      </x:c>
      <x:c r="Q391" t="str">
        <x:v>Ausgang</x:v>
      </x:c>
      <x:c r="R391" t="str">
        <x:v>DE96120300009005290904</x:v>
      </x:c>
      <x:c r="S391" t="n">
        <x:v>-14.75</x:v>
      </x:c>
      <x:c r="T391" t="str">
        <x:v>"</x:v>
      </x:c>
      <x:c r="U391" t="str">
        <x:v>"</x:v>
      </x:c>
      <x:c r="V391" t="str">
        <x:v>486017307023943</x:v>
      </x:c>
    </x:row>
    <x:row r="392">
      <x:c r="A392" t="str">
        <x:v>RAW-IMP-20260516-FULLDRAFT-000375</x:v>
      </x:c>
      <x:c r="B392" t="str">
        <x:v>IMP-20260516-FULLDRAFT</x:v>
      </x:c>
      <x:c r="C392" t="str">
        <x:v>KTO001</x:v>
      </x:c>
      <x:c r="D392" t="str">
        <x:v>16-05-2026_Umsatzliste_Girokonto_DE98120300001061711675.csv</x:v>
      </x:c>
      <x:c r="E392" t="n">
        <x:v>46163</x:v>
      </x:c>
      <x:c r="F392" t="n">
        <x:v>375</x:v>
      </x:c>
      <x:c r="G392" t="str">
        <x:v>619a788162c8c9508cd8703175c7ccf4510196fe62c2d94a4e65c1b7d9b309ea</x:v>
      </x:c>
      <x:c r="H392" t="str">
        <x:v>neu</x:v>
      </x:c>
      <x:c r="I392" t="str">
        <x:v>ok</x:v>
      </x:c>
      <x:c r="J392"/>
      <x:c r="K392" t="n">
        <x:v>46041</x:v>
      </x:c>
      <x:c r="L392" t="n">
        <x:v>46041</x:v>
      </x:c>
      <x:c r="M392" t="str">
        <x:v>Gebucht</x:v>
      </x:c>
      <x:c r="N392" t="str">
        <x:v>ISSUER</x:v>
      </x:c>
      <x:c r="O392" t="str">
        <x:v>GLUECKAUF.APOTHEKE/SALZGITTER</x:v>
      </x:c>
      <x:c r="P392" t="str">
        <x:v>VISA Debitkartenumsatz vom 16.01.2026</x:v>
      </x:c>
      <x:c r="Q392" t="str">
        <x:v>Ausgang</x:v>
      </x:c>
      <x:c r="R392" t="str">
        <x:v>DE96120300009005290904</x:v>
      </x:c>
      <x:c r="S392" t="n">
        <x:v>-4</x:v>
      </x:c>
      <x:c r="T392" t="str">
        <x:v>"</x:v>
      </x:c>
      <x:c r="U392" t="str">
        <x:v>"</x:v>
      </x:c>
      <x:c r="V392" t="str">
        <x:v>486016309712161</x:v>
      </x:c>
    </x:row>
    <x:row r="393">
      <x:c r="A393" t="str">
        <x:v>RAW-IMP-20260516-FULLDRAFT-000376</x:v>
      </x:c>
      <x:c r="B393" t="str">
        <x:v>IMP-20260516-FULLDRAFT</x:v>
      </x:c>
      <x:c r="C393" t="str">
        <x:v>KTO001</x:v>
      </x:c>
      <x:c r="D393" t="str">
        <x:v>16-05-2026_Umsatzliste_Girokonto_DE98120300001061711675.csv</x:v>
      </x:c>
      <x:c r="E393" t="n">
        <x:v>46163</x:v>
      </x:c>
      <x:c r="F393" t="n">
        <x:v>376</x:v>
      </x:c>
      <x:c r="G393" t="str">
        <x:v>080a028eb163533b82ea2a96ba6622d163dac940080c4243b6a65626bb7b3052</x:v>
      </x:c>
      <x:c r="H393" t="str">
        <x:v>neu</x:v>
      </x:c>
      <x:c r="I393" t="str">
        <x:v>ok</x:v>
      </x:c>
      <x:c r="J393"/>
      <x:c r="K393" t="n">
        <x:v>46041</x:v>
      </x:c>
      <x:c r="L393" t="n">
        <x:v>46041</x:v>
      </x:c>
      <x:c r="M393" t="str">
        <x:v>Gebucht</x:v>
      </x:c>
      <x:c r="N393" t="str">
        <x:v>ISSUER</x:v>
      </x:c>
      <x:c r="O393" t="str">
        <x:v>LOEWENBAECKER.SCHAPER/SALZGITTER</x:v>
      </x:c>
      <x:c r="P393" t="str">
        <x:v>VISA Debitkartenumsatz vom 17.01.2026</x:v>
      </x:c>
      <x:c r="Q393" t="str">
        <x:v>Ausgang</x:v>
      </x:c>
      <x:c r="R393" t="str">
        <x:v>DE96120300009005290904</x:v>
      </x:c>
      <x:c r="S393" t="n">
        <x:v>-8.3</x:v>
      </x:c>
      <x:c r="T393" t="str">
        <x:v>"</x:v>
      </x:c>
      <x:c r="U393" t="str">
        <x:v>"</x:v>
      </x:c>
      <x:c r="V393" t="str">
        <x:v>486017309342989</x:v>
      </x:c>
    </x:row>
    <x:row r="394">
      <x:c r="A394" t="str">
        <x:v>RAW-IMP-20260516-FULLDRAFT-000377</x:v>
      </x:c>
      <x:c r="B394" t="str">
        <x:v>IMP-20260516-FULLDRAFT</x:v>
      </x:c>
      <x:c r="C394" t="str">
        <x:v>KTO001</x:v>
      </x:c>
      <x:c r="D394" t="str">
        <x:v>16-05-2026_Umsatzliste_Girokonto_DE98120300001061711675.csv</x:v>
      </x:c>
      <x:c r="E394" t="n">
        <x:v>46163</x:v>
      </x:c>
      <x:c r="F394" t="n">
        <x:v>377</x:v>
      </x:c>
      <x:c r="G394" t="str">
        <x:v>597bbfde7a478aec425305af95578389edb6dc58d40b8532d2b7e28967e92008</x:v>
      </x:c>
      <x:c r="H394" t="str">
        <x:v>neu</x:v>
      </x:c>
      <x:c r="I394" t="str">
        <x:v>ok</x:v>
      </x:c>
      <x:c r="J394"/>
      <x:c r="K394" t="n">
        <x:v>46041</x:v>
      </x:c>
      <x:c r="L394" t="n">
        <x:v>46041</x:v>
      </x:c>
      <x:c r="M394" t="str">
        <x:v>Gebucht</x:v>
      </x:c>
      <x:c r="N394" t="str">
        <x:v>ISSUER</x:v>
      </x:c>
      <x:c r="O394" t="str">
        <x:v>Lidl.sagt.Danke/Salzgitter</x:v>
      </x:c>
      <x:c r="P394" t="str">
        <x:v>VISA Debitkartenumsatz vom 17.01.2026</x:v>
      </x:c>
      <x:c r="Q394" t="str">
        <x:v>Ausgang</x:v>
      </x:c>
      <x:c r="R394" t="str">
        <x:v>DE96120300009005290904</x:v>
      </x:c>
      <x:c r="S394" t="n">
        <x:v>-60.02</x:v>
      </x:c>
      <x:c r="T394" t="str">
        <x:v>"</x:v>
      </x:c>
      <x:c r="U394" t="str">
        <x:v>"</x:v>
      </x:c>
      <x:c r="V394" t="str">
        <x:v>486017669479332</x:v>
      </x:c>
    </x:row>
    <x:row r="395">
      <x:c r="A395" t="str">
        <x:v>RAW-IMP-20260516-FULLDRAFT-000378</x:v>
      </x:c>
      <x:c r="B395" t="str">
        <x:v>IMP-20260516-FULLDRAFT</x:v>
      </x:c>
      <x:c r="C395" t="str">
        <x:v>KTO001</x:v>
      </x:c>
      <x:c r="D395" t="str">
        <x:v>16-05-2026_Umsatzliste_Girokonto_DE98120300001061711675.csv</x:v>
      </x:c>
      <x:c r="E395" t="n">
        <x:v>46163</x:v>
      </x:c>
      <x:c r="F395" t="n">
        <x:v>378</x:v>
      </x:c>
      <x:c r="G395" t="str">
        <x:v>e4bb6af90d5166a6a5b9e5089333ddc34cd5bd05fe72f7120d9e737f0c6ff3f2</x:v>
      </x:c>
      <x:c r="H395" t="str">
        <x:v>neu</x:v>
      </x:c>
      <x:c r="I395" t="str">
        <x:v>ok</x:v>
      </x:c>
      <x:c r="J395"/>
      <x:c r="K395" t="n">
        <x:v>46041</x:v>
      </x:c>
      <x:c r="L395" t="n">
        <x:v>46041</x:v>
      </x:c>
      <x:c r="M395" t="str">
        <x:v>Gebucht</x:v>
      </x:c>
      <x:c r="N395" t="str">
        <x:v>ISSUER</x:v>
      </x:c>
      <x:c r="O395" t="str">
        <x:v>Globus.Baumarkt/Salzgitter</x:v>
      </x:c>
      <x:c r="P395" t="str">
        <x:v>VISA Debitkartenumsatz vom 17.01.2026</x:v>
      </x:c>
      <x:c r="Q395" t="str">
        <x:v>Ausgang</x:v>
      </x:c>
      <x:c r="R395" t="str">
        <x:v>DE96120300009005290904</x:v>
      </x:c>
      <x:c r="S395" t="n">
        <x:v>-35.76</x:v>
      </x:c>
      <x:c r="T395" t="str">
        <x:v>"</x:v>
      </x:c>
      <x:c r="U395" t="str">
        <x:v>"</x:v>
      </x:c>
      <x:c r="V395" t="str">
        <x:v>486017553700080</x:v>
      </x:c>
    </x:row>
    <x:row r="396">
      <x:c r="A396" t="str">
        <x:v>RAW-IMP-20260516-FULLDRAFT-000379</x:v>
      </x:c>
      <x:c r="B396" t="str">
        <x:v>IMP-20260516-FULLDRAFT</x:v>
      </x:c>
      <x:c r="C396" t="str">
        <x:v>KTO001</x:v>
      </x:c>
      <x:c r="D396" t="str">
        <x:v>16-05-2026_Umsatzliste_Girokonto_DE98120300001061711675.csv</x:v>
      </x:c>
      <x:c r="E396" t="n">
        <x:v>46163</x:v>
      </x:c>
      <x:c r="F396" t="n">
        <x:v>379</x:v>
      </x:c>
      <x:c r="G396" t="str">
        <x:v>bfb25557b287cdf9e939628e7e8f9b847073f98987bec85226133e6e2c0947ff</x:v>
      </x:c>
      <x:c r="H396" t="str">
        <x:v>neu</x:v>
      </x:c>
      <x:c r="I396" t="str">
        <x:v>ok</x:v>
      </x:c>
      <x:c r="J396"/>
      <x:c r="K396" t="n">
        <x:v>46041</x:v>
      </x:c>
      <x:c r="L396" t="n">
        <x:v>46041</x:v>
      </x:c>
      <x:c r="M396" t="str">
        <x:v>Gebucht</x:v>
      </x:c>
      <x:c r="N396" t="str">
        <x:v>ISSUER</x:v>
      </x:c>
      <x:c r="O396" t="str">
        <x:v>REWE.Salzgitter.Ge/Salzgitter</x:v>
      </x:c>
      <x:c r="P396" t="str">
        <x:v>VISA Debitkartenumsatz vom 17.01.2026</x:v>
      </x:c>
      <x:c r="Q396" t="str">
        <x:v>Ausgang</x:v>
      </x:c>
      <x:c r="R396" t="str">
        <x:v>DE96120300009005290904</x:v>
      </x:c>
      <x:c r="S396" t="n">
        <x:v>-67.32</x:v>
      </x:c>
      <x:c r="T396" t="str">
        <x:v>"</x:v>
      </x:c>
      <x:c r="U396" t="str">
        <x:v>"</x:v>
      </x:c>
      <x:c r="V396" t="str">
        <x:v>486017576846413</x:v>
      </x:c>
    </x:row>
    <x:row r="397">
      <x:c r="A397" t="str">
        <x:v>RAW-IMP-20260516-FULLDRAFT-000380</x:v>
      </x:c>
      <x:c r="B397" t="str">
        <x:v>IMP-20260516-FULLDRAFT</x:v>
      </x:c>
      <x:c r="C397" t="str">
        <x:v>KTO001</x:v>
      </x:c>
      <x:c r="D397" t="str">
        <x:v>16-05-2026_Umsatzliste_Girokonto_DE98120300001061711675.csv</x:v>
      </x:c>
      <x:c r="E397" t="n">
        <x:v>46163</x:v>
      </x:c>
      <x:c r="F397" t="n">
        <x:v>380</x:v>
      </x:c>
      <x:c r="G397" t="str">
        <x:v>3f131441c748463692a5e2dbd4e8ed9d7c68485b3911e0d941ce7a328340e09a</x:v>
      </x:c>
      <x:c r="H397" t="str">
        <x:v>neu</x:v>
      </x:c>
      <x:c r="I397" t="str">
        <x:v>ok</x:v>
      </x:c>
      <x:c r="J397"/>
      <x:c r="K397" t="n">
        <x:v>46041</x:v>
      </x:c>
      <x:c r="L397" t="n">
        <x:v>46041</x:v>
      </x:c>
      <x:c r="M397" t="str">
        <x:v>Gebucht</x:v>
      </x:c>
      <x:c r="N397" t="str">
        <x:v>Lars Kohlenberg</x:v>
      </x:c>
      <x:c r="O397" t="str">
        <x:v>Drillisch Online GmbH                                                 Lindleystrase 11, 60314 Frankfurt am Main</x:v>
      </x:c>
      <x:c r="P397" t="str">
        <x:v>C0851820 U770575477 B881978424 winSIM</x:v>
      </x:c>
      <x:c r="Q397" t="str">
        <x:v>Ausgang</x:v>
      </x:c>
      <x:c r="R397" t="str">
        <x:v>DE87300500000008996811</x:v>
      </x:c>
      <x:c r="S397" t="n">
        <x:v>-6.99</x:v>
      </x:c>
      <x:c r="T397" t="str">
        <x:v>DE40ZZZ00000206926</x:v>
      </x:c>
      <x:c r="U397" t="str">
        <x:v>FB1310D094B04186E02ACE7B8C6</x:v>
      </x:c>
      <x:c r="V397" t="str">
        <x:v>C0851820+U770575477</x:v>
      </x:c>
    </x:row>
    <x:row r="398">
      <x:c r="A398" t="str">
        <x:v>RAW-IMP-20260516-FULLDRAFT-000381</x:v>
      </x:c>
      <x:c r="B398" t="str">
        <x:v>IMP-20260516-FULLDRAFT</x:v>
      </x:c>
      <x:c r="C398" t="str">
        <x:v>KTO001</x:v>
      </x:c>
      <x:c r="D398" t="str">
        <x:v>16-05-2026_Umsatzliste_Girokonto_DE98120300001061711675.csv</x:v>
      </x:c>
      <x:c r="E398" t="n">
        <x:v>46163</x:v>
      </x:c>
      <x:c r="F398" t="n">
        <x:v>381</x:v>
      </x:c>
      <x:c r="G398" t="str">
        <x:v>8c61e1032250bd5643de5dcc4e5015aa5bd114320c9b82f45616702c75ab5aa9</x:v>
      </x:c>
      <x:c r="H398" t="str">
        <x:v>neu</x:v>
      </x:c>
      <x:c r="I398" t="str">
        <x:v>ok</x:v>
      </x:c>
      <x:c r="J398"/>
      <x:c r="K398" t="n">
        <x:v>46041</x:v>
      </x:c>
      <x:c r="L398" t="n">
        <x:v>46039</x:v>
      </x:c>
      <x:c r="M398" t="str">
        <x:v>Gebucht</x:v>
      </x:c>
      <x:c r="N398" t="str">
        <x:v>DKB AG</x:v>
      </x:c>
      <x:c r="O398" t="str">
        <x:v>DKB AG</x:v>
      </x:c>
      <x:c r="P398" t="str">
        <x:v>Rechnung DEUTSCHE KREDITBANK AG Entgelt Girokarte für 2026/KartNr.******4414 LARS KOHLENBERG 20260119-BY111-00262919430</x:v>
      </x:c>
      <x:c r="Q398" t="str">
        <x:v>Ausgang</x:v>
      </x:c>
      <x:c r="R398" t="str">
        <x:v>0000000000</x:v>
      </x:c>
      <x:c r="S398" t="n">
        <x:v>-11.88</x:v>
      </x:c>
      <x:c r="T398" t="str">
        <x:v>"</x:v>
      </x:c>
      <x:c r="U398" t="str">
        <x:v>"</x:v>
      </x:c>
      <x:c r="V398" t="str">
        <x:v>"</x:v>
      </x:c>
    </x:row>
    <x:row r="399">
      <x:c r="A399" t="str">
        <x:v>RAW-IMP-20260516-FULLDRAFT-000382</x:v>
      </x:c>
      <x:c r="B399" t="str">
        <x:v>IMP-20260516-FULLDRAFT</x:v>
      </x:c>
      <x:c r="C399" t="str">
        <x:v>KTO001</x:v>
      </x:c>
      <x:c r="D399" t="str">
        <x:v>16-05-2026_Umsatzliste_Girokonto_DE98120300001061711675.csv</x:v>
      </x:c>
      <x:c r="E399" t="n">
        <x:v>46163</x:v>
      </x:c>
      <x:c r="F399" t="n">
        <x:v>382</x:v>
      </x:c>
      <x:c r="G399" t="str">
        <x:v>152d2e6a1832a11c04b97886a3b765fcfea138b6ccac03da0ea96e04a6574199</x:v>
      </x:c>
      <x:c r="H399" t="str">
        <x:v>neu</x:v>
      </x:c>
      <x:c r="I399" t="str">
        <x:v>ok</x:v>
      </x:c>
      <x:c r="J399"/>
      <x:c r="K399" t="n">
        <x:v>46038</x:v>
      </x:c>
      <x:c r="L399" t="n">
        <x:v>46038</x:v>
      </x:c>
      <x:c r="M399" t="str">
        <x:v>Gebucht</x:v>
      </x:c>
      <x:c r="N399" t="str">
        <x:v>ISSUER</x:v>
      </x:c>
      <x:c r="O399" t="str">
        <x:v>EDEKA.POTRATZ/HILDESHEIM</x:v>
      </x:c>
      <x:c r="P399" t="str">
        <x:v>VISA Debitkartenumsatz vom 15.01.2026</x:v>
      </x:c>
      <x:c r="Q399" t="str">
        <x:v>Ausgang</x:v>
      </x:c>
      <x:c r="R399" t="str">
        <x:v>DE96120300009005290904</x:v>
      </x:c>
      <x:c r="S399" t="n">
        <x:v>-6.16</x:v>
      </x:c>
      <x:c r="T399" t="str">
        <x:v>"</x:v>
      </x:c>
      <x:c r="U399" t="str">
        <x:v>"</x:v>
      </x:c>
      <x:c r="V399" t="str">
        <x:v>486015405946734</x:v>
      </x:c>
    </x:row>
    <x:row r="400">
      <x:c r="A400" t="str">
        <x:v>RAW-IMP-20260516-FULLDRAFT-000383</x:v>
      </x:c>
      <x:c r="B400" t="str">
        <x:v>IMP-20260516-FULLDRAFT</x:v>
      </x:c>
      <x:c r="C400" t="str">
        <x:v>KTO001</x:v>
      </x:c>
      <x:c r="D400" t="str">
        <x:v>16-05-2026_Umsatzliste_Girokonto_DE98120300001061711675.csv</x:v>
      </x:c>
      <x:c r="E400" t="n">
        <x:v>46163</x:v>
      </x:c>
      <x:c r="F400" t="n">
        <x:v>383</x:v>
      </x:c>
      <x:c r="G400" t="str">
        <x:v>a711cd623a3f0fb2fc5faa6ab3fb788885c631242380e3d17d96cdedd2cdb4bc</x:v>
      </x:c>
      <x:c r="H400" t="str">
        <x:v>neu</x:v>
      </x:c>
      <x:c r="I400" t="str">
        <x:v>ok</x:v>
      </x:c>
      <x:c r="J400"/>
      <x:c r="K400" t="n">
        <x:v>46038</x:v>
      </x:c>
      <x:c r="L400" t="n">
        <x:v>46038</x:v>
      </x:c>
      <x:c r="M400" t="str">
        <x:v>Gebucht</x:v>
      </x:c>
      <x:c r="N400" t="str">
        <x:v>ISSUER</x:v>
      </x:c>
      <x:c r="O400" t="str">
        <x:v>REWE.Salzgitter.Ge/Salzgitter</x:v>
      </x:c>
      <x:c r="P400" t="str">
        <x:v>VISA Debitkartenumsatz vom 15.01.2026</x:v>
      </x:c>
      <x:c r="Q400" t="str">
        <x:v>Ausgang</x:v>
      </x:c>
      <x:c r="R400" t="str">
        <x:v>DE96120300009005290904</x:v>
      </x:c>
      <x:c r="S400" t="n">
        <x:v>-8.64</x:v>
      </x:c>
      <x:c r="T400" t="str">
        <x:v>"</x:v>
      </x:c>
      <x:c r="U400" t="str">
        <x:v>"</x:v>
      </x:c>
      <x:c r="V400" t="str">
        <x:v>486015616931704</x:v>
      </x:c>
    </x:row>
    <x:row r="401">
      <x:c r="A401" t="str">
        <x:v>RAW-IMP-20260516-FULLDRAFT-000384</x:v>
      </x:c>
      <x:c r="B401" t="str">
        <x:v>IMP-20260516-FULLDRAFT</x:v>
      </x:c>
      <x:c r="C401" t="str">
        <x:v>KTO001</x:v>
      </x:c>
      <x:c r="D401" t="str">
        <x:v>16-05-2026_Umsatzliste_Girokonto_DE98120300001061711675.csv</x:v>
      </x:c>
      <x:c r="E401" t="n">
        <x:v>46163</x:v>
      </x:c>
      <x:c r="F401" t="n">
        <x:v>384</x:v>
      </x:c>
      <x:c r="G401" t="str">
        <x:v>ca1dd11446c608b1687407aaa8e19c4f0525c604d30fac5e9de02effb46226cb</x:v>
      </x:c>
      <x:c r="H401" t="str">
        <x:v>neu</x:v>
      </x:c>
      <x:c r="I401" t="str">
        <x:v>ok</x:v>
      </x:c>
      <x:c r="J401"/>
      <x:c r="K401" t="n">
        <x:v>46036</x:v>
      </x:c>
      <x:c r="L401" t="n">
        <x:v>46036</x:v>
      </x:c>
      <x:c r="M401" t="str">
        <x:v>Gebucht</x:v>
      </x:c>
      <x:c r="N401" t="str">
        <x:v>ISSUER</x:v>
      </x:c>
      <x:c r="O401" t="str">
        <x:v>REWE.Salzgitter.Ge/Salzgitter</x:v>
      </x:c>
      <x:c r="P401" t="str">
        <x:v>VISA Debitkartenumsatz vom 13.01.2026</x:v>
      </x:c>
      <x:c r="Q401" t="str">
        <x:v>Ausgang</x:v>
      </x:c>
      <x:c r="R401" t="str">
        <x:v>DE96120300009005290904</x:v>
      </x:c>
      <x:c r="S401" t="n">
        <x:v>-10.25</x:v>
      </x:c>
      <x:c r="T401" t="str">
        <x:v>"</x:v>
      </x:c>
      <x:c r="U401" t="str">
        <x:v>"</x:v>
      </x:c>
      <x:c r="V401" t="str">
        <x:v>486013706497972</x:v>
      </x:c>
    </x:row>
    <x:row r="402">
      <x:c r="A402" t="str">
        <x:v>RAW-IMP-20260516-FULLDRAFT-000385</x:v>
      </x:c>
      <x:c r="B402" t="str">
        <x:v>IMP-20260516-FULLDRAFT</x:v>
      </x:c>
      <x:c r="C402" t="str">
        <x:v>KTO001</x:v>
      </x:c>
      <x:c r="D402" t="str">
        <x:v>16-05-2026_Umsatzliste_Girokonto_DE98120300001061711675.csv</x:v>
      </x:c>
      <x:c r="E402" t="n">
        <x:v>46163</x:v>
      </x:c>
      <x:c r="F402" t="n">
        <x:v>385</x:v>
      </x:c>
      <x:c r="G402" t="str">
        <x:v>b089b85fda1ef48aa0fa4efd9291063424e6d6aa9270744f285305fd475580cc</x:v>
      </x:c>
      <x:c r="H402" t="str">
        <x:v>neu</x:v>
      </x:c>
      <x:c r="I402" t="str">
        <x:v>ok</x:v>
      </x:c>
      <x:c r="J402"/>
      <x:c r="K402" t="n">
        <x:v>46036</x:v>
      </x:c>
      <x:c r="L402" t="n">
        <x:v>46036</x:v>
      </x:c>
      <x:c r="M402" t="str">
        <x:v>Gebucht</x:v>
      </x:c>
      <x:c r="N402" t="str">
        <x:v>Lars Kohlenberg</x:v>
      </x:c>
      <x:c r="O402" t="str">
        <x:v>VHV Allg. Versicherung AG</x:v>
      </x:c>
      <x:c r="P402" t="str">
        <x:v>VHV Versicherung HAFTPFLICHTVERSICHERUNG H 306-298548/0000 Abrechnung: 01.01.26 - 01.04.26</x:v>
      </x:c>
      <x:c r="Q402" t="str">
        <x:v>Ausgang</x:v>
      </x:c>
      <x:c r="R402" t="str">
        <x:v>DE65250500000101411551</x:v>
      </x:c>
      <x:c r="S402" t="n">
        <x:v>-23.63</x:v>
      </x:c>
      <x:c r="T402" t="str">
        <x:v>DE32VHV00000150810</x:v>
      </x:c>
      <x:c r="U402" t="str">
        <x:v>0015012300010037</x:v>
      </x:c>
      <x:c r="V402" t="str">
        <x:v>31143940892</x:v>
      </x:c>
    </x:row>
    <x:row r="403">
      <x:c r="A403" t="str">
        <x:v>RAW-IMP-20260516-FULLDRAFT-000386</x:v>
      </x:c>
      <x:c r="B403" t="str">
        <x:v>IMP-20260516-FULLDRAFT</x:v>
      </x:c>
      <x:c r="C403" t="str">
        <x:v>KTO001</x:v>
      </x:c>
      <x:c r="D403" t="str">
        <x:v>16-05-2026_Umsatzliste_Girokonto_DE98120300001061711675.csv</x:v>
      </x:c>
      <x:c r="E403" t="n">
        <x:v>46163</x:v>
      </x:c>
      <x:c r="F403" t="n">
        <x:v>386</x:v>
      </x:c>
      <x:c r="G403" t="str">
        <x:v>c2365f6f9788807dab1b0f54149a07475956174a2b1e964dc13362da0e64111f</x:v>
      </x:c>
      <x:c r="H403" t="str">
        <x:v>neu</x:v>
      </x:c>
      <x:c r="I403" t="str">
        <x:v>ok</x:v>
      </x:c>
      <x:c r="J403"/>
      <x:c r="K403" t="n">
        <x:v>46036</x:v>
      </x:c>
      <x:c r="L403" t="n">
        <x:v>46036</x:v>
      </x:c>
      <x:c r="M403" t="str">
        <x:v>Gebucht</x:v>
      </x:c>
      <x:c r="N403" t="str">
        <x:v>Lars Kohlenberg</x:v>
      </x:c>
      <x:c r="O403" t="str">
        <x:v>VHV Allg. Versicherung AG</x:v>
      </x:c>
      <x:c r="P403" t="str">
        <x:v>VHV Versicherung KFZ-VERSICHERUNG SZ-KL 910 K 809-411325/0002 Abrechnung: 01.01.26 - 01.01.27</x:v>
      </x:c>
      <x:c r="Q403" t="str">
        <x:v>Ausgang</x:v>
      </x:c>
      <x:c r="R403" t="str">
        <x:v>DE65250500000101411551</x:v>
      </x:c>
      <x:c r="S403" t="n">
        <x:v>-438.68</x:v>
      </x:c>
      <x:c r="T403" t="str">
        <x:v>DE32VHV00000150810</x:v>
      </x:c>
      <x:c r="U403" t="str">
        <x:v>0015012300010038</x:v>
      </x:c>
      <x:c r="V403" t="str">
        <x:v>31143940894</x:v>
      </x:c>
    </x:row>
    <x:row r="404">
      <x:c r="A404" t="str">
        <x:v>RAW-IMP-20260516-FULLDRAFT-000387</x:v>
      </x:c>
      <x:c r="B404" t="str">
        <x:v>IMP-20260516-FULLDRAFT</x:v>
      </x:c>
      <x:c r="C404" t="str">
        <x:v>KTO001</x:v>
      </x:c>
      <x:c r="D404" t="str">
        <x:v>16-05-2026_Umsatzliste_Girokonto_DE98120300001061711675.csv</x:v>
      </x:c>
      <x:c r="E404" t="n">
        <x:v>46163</x:v>
      </x:c>
      <x:c r="F404" t="n">
        <x:v>387</x:v>
      </x:c>
      <x:c r="G404" t="str">
        <x:v>9a7dc56d3f081c0c71456ce31b2217bf9282164baf5d03ce77a1f1d8e5662358</x:v>
      </x:c>
      <x:c r="H404" t="str">
        <x:v>neu</x:v>
      </x:c>
      <x:c r="I404" t="str">
        <x:v>ok</x:v>
      </x:c>
      <x:c r="J404"/>
      <x:c r="K404" t="n">
        <x:v>46036</x:v>
      </x:c>
      <x:c r="L404" t="n">
        <x:v>46036</x:v>
      </x:c>
      <x:c r="M404" t="str">
        <x:v>Gebucht</x:v>
      </x:c>
      <x:c r="N404" t="str">
        <x:v>Lars Kohlenberg</x:v>
      </x:c>
      <x:c r="O404" t="str">
        <x:v>VHV Allg. Versicherung AG</x:v>
      </x:c>
      <x:c r="P404" t="str">
        <x:v>VHV Versicherung UNFALLVERSICHERUNG U 013-072445/0000 Abrechnung: 01.01.26 - 01.02.26</x:v>
      </x:c>
      <x:c r="Q404" t="str">
        <x:v>Ausgang</x:v>
      </x:c>
      <x:c r="R404" t="str">
        <x:v>DE65250500000101411551</x:v>
      </x:c>
      <x:c r="S404" t="n">
        <x:v>-11.96</x:v>
      </x:c>
      <x:c r="T404" t="str">
        <x:v>DE32VHV00000150810</x:v>
      </x:c>
      <x:c r="U404" t="str">
        <x:v>0015012300010039</x:v>
      </x:c>
      <x:c r="V404" t="str">
        <x:v>31143940893</x:v>
      </x:c>
    </x:row>
    <x:row r="405">
      <x:c r="A405" t="str">
        <x:v>RAW-IMP-20260516-FULLDRAFT-000388</x:v>
      </x:c>
      <x:c r="B405" t="str">
        <x:v>IMP-20260516-FULLDRAFT</x:v>
      </x:c>
      <x:c r="C405" t="str">
        <x:v>KTO001</x:v>
      </x:c>
      <x:c r="D405" t="str">
        <x:v>16-05-2026_Umsatzliste_Girokonto_DE98120300001061711675.csv</x:v>
      </x:c>
      <x:c r="E405" t="n">
        <x:v>46163</x:v>
      </x:c>
      <x:c r="F405" t="n">
        <x:v>388</x:v>
      </x:c>
      <x:c r="G405" t="str">
        <x:v>9a5b37412063ffb7e0111edc17428f068f788923c5090c20ebf765e3f46e43b9</x:v>
      </x:c>
      <x:c r="H405" t="str">
        <x:v>neu</x:v>
      </x:c>
      <x:c r="I405" t="str">
        <x:v>ok</x:v>
      </x:c>
      <x:c r="J405"/>
      <x:c r="K405" t="n">
        <x:v>46034</x:v>
      </x:c>
      <x:c r="L405" t="n">
        <x:v>46034</x:v>
      </x:c>
      <x:c r="M405" t="str">
        <x:v>Gebucht</x:v>
      </x:c>
      <x:c r="N405" t="str">
        <x:v>ISSUER</x:v>
      </x:c>
      <x:c r="O405" t="str">
        <x:v>NYX.MaxiSanistop/Lauenau</x:v>
      </x:c>
      <x:c r="P405" t="str">
        <x:v>VISA Debitkartenumsatz vom 09.01.2026</x:v>
      </x:c>
      <x:c r="Q405" t="str">
        <x:v>Ausgang</x:v>
      </x:c>
      <x:c r="R405" t="str">
        <x:v>DE96120300009005290904</x:v>
      </x:c>
      <x:c r="S405" t="n">
        <x:v>-1</x:v>
      </x:c>
      <x:c r="T405" t="str">
        <x:v>"</x:v>
      </x:c>
      <x:c r="U405" t="str">
        <x:v>"</x:v>
      </x:c>
      <x:c r="V405" t="str">
        <x:v>486009543476284</x:v>
      </x:c>
    </x:row>
    <x:row r="406">
      <x:c r="A406" t="str">
        <x:v>RAW-IMP-20260516-FULLDRAFT-000389</x:v>
      </x:c>
      <x:c r="B406" t="str">
        <x:v>IMP-20260516-FULLDRAFT</x:v>
      </x:c>
      <x:c r="C406" t="str">
        <x:v>KTO001</x:v>
      </x:c>
      <x:c r="D406" t="str">
        <x:v>16-05-2026_Umsatzliste_Girokonto_DE98120300001061711675.csv</x:v>
      </x:c>
      <x:c r="E406" t="n">
        <x:v>46163</x:v>
      </x:c>
      <x:c r="F406" t="n">
        <x:v>389</x:v>
      </x:c>
      <x:c r="G406" t="str">
        <x:v>be41737788ccbb1c830737b457084b82ec91fffd863887e9f5c292ca2db6dd83</x:v>
      </x:c>
      <x:c r="H406" t="str">
        <x:v>neu</x:v>
      </x:c>
      <x:c r="I406" t="str">
        <x:v>ok</x:v>
      </x:c>
      <x:c r="J406"/>
      <x:c r="K406" t="n">
        <x:v>46034</x:v>
      </x:c>
      <x:c r="L406" t="n">
        <x:v>46034</x:v>
      </x:c>
      <x:c r="M406" t="str">
        <x:v>Gebucht</x:v>
      </x:c>
      <x:c r="N406" t="str">
        <x:v>ISSUER</x:v>
      </x:c>
      <x:c r="O406" t="str">
        <x:v>REWE.Salzgitter.Ge/Salzgitter</x:v>
      </x:c>
      <x:c r="P406" t="str">
        <x:v>VISA Debitkartenumsatz vom 10.01.2026</x:v>
      </x:c>
      <x:c r="Q406" t="str">
        <x:v>Ausgang</x:v>
      </x:c>
      <x:c r="R406" t="str">
        <x:v>DE96120300009005290904</x:v>
      </x:c>
      <x:c r="S406" t="n">
        <x:v>-62.82</x:v>
      </x:c>
      <x:c r="T406" t="str">
        <x:v>"</x:v>
      </x:c>
      <x:c r="U406" t="str">
        <x:v>"</x:v>
      </x:c>
      <x:c r="V406" t="str">
        <x:v>486010444800294</x:v>
      </x:c>
    </x:row>
    <x:row r="407">
      <x:c r="A407" t="str">
        <x:v>RAW-IMP-20260516-FULLDRAFT-000390</x:v>
      </x:c>
      <x:c r="B407" t="str">
        <x:v>IMP-20260516-FULLDRAFT</x:v>
      </x:c>
      <x:c r="C407" t="str">
        <x:v>KTO001</x:v>
      </x:c>
      <x:c r="D407" t="str">
        <x:v>16-05-2026_Umsatzliste_Girokonto_DE98120300001061711675.csv</x:v>
      </x:c>
      <x:c r="E407" t="n">
        <x:v>46163</x:v>
      </x:c>
      <x:c r="F407" t="n">
        <x:v>390</x:v>
      </x:c>
      <x:c r="G407" t="str">
        <x:v>acd9da31d3632cdbad2f1bb1994dd8a30edb3c51d7592e16708d4d47f934bfe4</x:v>
      </x:c>
      <x:c r="H407" t="str">
        <x:v>neu</x:v>
      </x:c>
      <x:c r="I407" t="str">
        <x:v>ok</x:v>
      </x:c>
      <x:c r="J407"/>
      <x:c r="K407" t="n">
        <x:v>46031</x:v>
      </x:c>
      <x:c r="L407" t="n">
        <x:v>46031</x:v>
      </x:c>
      <x:c r="M407" t="str">
        <x:v>Gebucht</x:v>
      </x:c>
      <x:c r="N407" t="str">
        <x:v>ISSUER</x:v>
      </x:c>
      <x:c r="O407" t="str">
        <x:v>BISTRO.LOCCUM/REHBURG.LOCCU</x:v>
      </x:c>
      <x:c r="P407" t="str">
        <x:v>VISA Debitkartenumsatz vom 08.01.2026</x:v>
      </x:c>
      <x:c r="Q407" t="str">
        <x:v>Ausgang</x:v>
      </x:c>
      <x:c r="R407" t="str">
        <x:v>DE96120300009005290904</x:v>
      </x:c>
      <x:c r="S407" t="n">
        <x:v>-4</x:v>
      </x:c>
      <x:c r="T407" t="str">
        <x:v>"</x:v>
      </x:c>
      <x:c r="U407" t="str">
        <x:v>"</x:v>
      </x:c>
      <x:c r="V407" t="str">
        <x:v>486008741339823</x:v>
      </x:c>
    </x:row>
    <x:row r="408">
      <x:c r="A408" t="str">
        <x:v>RAW-IMP-20260516-FULLDRAFT-000391</x:v>
      </x:c>
      <x:c r="B408" t="str">
        <x:v>IMP-20260516-FULLDRAFT</x:v>
      </x:c>
      <x:c r="C408" t="str">
        <x:v>KTO001</x:v>
      </x:c>
      <x:c r="D408" t="str">
        <x:v>16-05-2026_Umsatzliste_Girokonto_DE98120300001061711675.csv</x:v>
      </x:c>
      <x:c r="E408" t="n">
        <x:v>46163</x:v>
      </x:c>
      <x:c r="F408" t="n">
        <x:v>391</x:v>
      </x:c>
      <x:c r="G408" t="str">
        <x:v>73c88ce3c2f2f66954066dcc3fb0bc6d3d470924b719ec12c5d7aa340f00e04f</x:v>
      </x:c>
      <x:c r="H408" t="str">
        <x:v>neu</x:v>
      </x:c>
      <x:c r="I408" t="str">
        <x:v>ok</x:v>
      </x:c>
      <x:c r="J408"/>
      <x:c r="K408" t="n">
        <x:v>46030</x:v>
      </x:c>
      <x:c r="L408" t="n">
        <x:v>46030</x:v>
      </x:c>
      <x:c r="M408" t="str">
        <x:v>Gebucht</x:v>
      </x:c>
      <x:c r="N408" t="str">
        <x:v>ISSUER</x:v>
      </x:c>
      <x:c r="O408" t="str">
        <x:v>REWE.Salzgitter.Ge/Salzgitter</x:v>
      </x:c>
      <x:c r="P408" t="str">
        <x:v>VISA Debitkartenumsatz vom 07.01.2026</x:v>
      </x:c>
      <x:c r="Q408" t="str">
        <x:v>Ausgang</x:v>
      </x:c>
      <x:c r="R408" t="str">
        <x:v>DE96120300009005290904</x:v>
      </x:c>
      <x:c r="S408" t="n">
        <x:v>-12.98</x:v>
      </x:c>
      <x:c r="T408" t="str">
        <x:v>"</x:v>
      </x:c>
      <x:c r="U408" t="str">
        <x:v>"</x:v>
      </x:c>
      <x:c r="V408" t="str">
        <x:v>486007659540828</x:v>
      </x:c>
    </x:row>
    <x:row r="409">
      <x:c r="A409" t="str">
        <x:v>RAW-IMP-20260516-FULLDRAFT-000392</x:v>
      </x:c>
      <x:c r="B409" t="str">
        <x:v>IMP-20260516-FULLDRAFT</x:v>
      </x:c>
      <x:c r="C409" t="str">
        <x:v>KTO001</x:v>
      </x:c>
      <x:c r="D409" t="str">
        <x:v>16-05-2026_Umsatzliste_Girokonto_DE98120300001061711675.csv</x:v>
      </x:c>
      <x:c r="E409" t="n">
        <x:v>46163</x:v>
      </x:c>
      <x:c r="F409" t="n">
        <x:v>392</x:v>
      </x:c>
      <x:c r="G409" t="str">
        <x:v>74e9c1cb44320e0196adfef865bc7c246b54e910e86eb0ad2edd30af2643938a</x:v>
      </x:c>
      <x:c r="H409" t="str">
        <x:v>neu</x:v>
      </x:c>
      <x:c r="I409" t="str">
        <x:v>ok</x:v>
      </x:c>
      <x:c r="J409"/>
      <x:c r="K409" t="n">
        <x:v>46030</x:v>
      </x:c>
      <x:c r="L409" t="n">
        <x:v>46030</x:v>
      </x:c>
      <x:c r="M409" t="str">
        <x:v>Gebucht</x:v>
      </x:c>
      <x:c r="N409" t="str">
        <x:v>ISSUER</x:v>
      </x:c>
      <x:c r="O409" t="str">
        <x:v>UZR.Da.Filippo.Hildeshe/Hildesheim</x:v>
      </x:c>
      <x:c r="P409" t="str">
        <x:v>VISA Debitkartenumsatz vom 07.01.2026</x:v>
      </x:c>
      <x:c r="Q409" t="str">
        <x:v>Ausgang</x:v>
      </x:c>
      <x:c r="R409" t="str">
        <x:v>DE96120300009005290904</x:v>
      </x:c>
      <x:c r="S409" t="n">
        <x:v>-17</x:v>
      </x:c>
      <x:c r="T409" t="str">
        <x:v>"</x:v>
      </x:c>
      <x:c r="U409" t="str">
        <x:v>"</x:v>
      </x:c>
      <x:c r="V409" t="str">
        <x:v>486007437470437</x:v>
      </x:c>
    </x:row>
    <x:row r="410">
      <x:c r="A410" t="str">
        <x:v>RAW-IMP-20260516-FULLDRAFT-000393</x:v>
      </x:c>
      <x:c r="B410" t="str">
        <x:v>IMP-20260516-FULLDRAFT</x:v>
      </x:c>
      <x:c r="C410" t="str">
        <x:v>KTO001</x:v>
      </x:c>
      <x:c r="D410" t="str">
        <x:v>16-05-2026_Umsatzliste_Girokonto_DE98120300001061711675.csv</x:v>
      </x:c>
      <x:c r="E410" t="n">
        <x:v>46163</x:v>
      </x:c>
      <x:c r="F410" t="n">
        <x:v>393</x:v>
      </x:c>
      <x:c r="G410" t="str">
        <x:v>616c9175258d44bafca5814f4923ddf9f0647fbeec5f79e0be11ba835c1d7aac</x:v>
      </x:c>
      <x:c r="H410" t="str">
        <x:v>neu</x:v>
      </x:c>
      <x:c r="I410" t="str">
        <x:v>ok</x:v>
      </x:c>
      <x:c r="J410"/>
      <x:c r="K410" t="n">
        <x:v>46029</x:v>
      </x:c>
      <x:c r="L410" t="n">
        <x:v>46029</x:v>
      </x:c>
      <x:c r="M410" t="str">
        <x:v>Gebucht</x:v>
      </x:c>
      <x:c r="N410" t="str">
        <x:v>ISSUER</x:v>
      </x:c>
      <x:c r="O410" t="str">
        <x:v>PAYPAL..VRB/1743473445</x:v>
      </x:c>
      <x:c r="P410" t="str">
        <x:v>VISA Debitkartenumsatz vom 05.01.2026</x:v>
      </x:c>
      <x:c r="Q410" t="str">
        <x:v>Ausgang</x:v>
      </x:c>
      <x:c r="R410" t="str">
        <x:v>DE96120300009005290904</x:v>
      </x:c>
      <x:c r="S410" t="n">
        <x:v>-30</x:v>
      </x:c>
      <x:c r="T410" t="str">
        <x:v>"</x:v>
      </x:c>
      <x:c r="U410" t="str">
        <x:v>"</x:v>
      </x:c>
      <x:c r="V410" t="str">
        <x:v>386006217435409</x:v>
      </x:c>
    </x:row>
    <x:row r="411">
      <x:c r="A411" t="str">
        <x:v>RAW-IMP-20260516-FULLDRAFT-000394</x:v>
      </x:c>
      <x:c r="B411" t="str">
        <x:v>IMP-20260516-FULLDRAFT</x:v>
      </x:c>
      <x:c r="C411" t="str">
        <x:v>KTO001</x:v>
      </x:c>
      <x:c r="D411" t="str">
        <x:v>16-05-2026_Umsatzliste_Girokonto_DE98120300001061711675.csv</x:v>
      </x:c>
      <x:c r="E411" t="n">
        <x:v>46163</x:v>
      </x:c>
      <x:c r="F411" t="n">
        <x:v>394</x:v>
      </x:c>
      <x:c r="G411" t="str">
        <x:v>1e54b5ee03dde49a377a63f104bb6a81468f111f52f3685f59f11238a1973cc6</x:v>
      </x:c>
      <x:c r="H411" t="str">
        <x:v>neu</x:v>
      </x:c>
      <x:c r="I411" t="str">
        <x:v>ok</x:v>
      </x:c>
      <x:c r="J411"/>
      <x:c r="K411" t="n">
        <x:v>46029</x:v>
      </x:c>
      <x:c r="L411" t="n">
        <x:v>46029</x:v>
      </x:c>
      <x:c r="M411" t="str">
        <x:v>Gebucht</x:v>
      </x:c>
      <x:c r="N411" t="str">
        <x:v>Lars Kohlenberg                                                       Johannes-Wosnitza-Str. 8 38229 Salzgitter</x:v>
      </x:c>
      <x:c r="O411" t="str">
        <x:v>Telekom Deutschland GmbH</x:v>
      </x:c>
      <x:c r="P411" t="str">
        <x:v>Festnetz Vertragskonto 4763666565 RG 7208574499/22.12.2025</x:v>
      </x:c>
      <x:c r="Q411" t="str">
        <x:v>Ausgang</x:v>
      </x:c>
      <x:c r="R411" t="str">
        <x:v>DE07512108001095000911</x:v>
      </x:c>
      <x:c r="S411" t="n">
        <x:v>-65.93</x:v>
      </x:c>
      <x:c r="T411" t="str">
        <x:v>DE93ZZZ00000078611</x:v>
      </x:c>
      <x:c r="U411" t="str">
        <x:v>DE000201000200000000000000012966156</x:v>
      </x:c>
      <x:c r="V411" t="str">
        <x:v>Zahlbeleg 386841036793</x:v>
      </x:c>
    </x:row>
    <x:row r="412">
      <x:c r="A412" t="str">
        <x:v>RAW-IMP-20260516-FULLDRAFT-000395</x:v>
      </x:c>
      <x:c r="B412" t="str">
        <x:v>IMP-20260516-FULLDRAFT</x:v>
      </x:c>
      <x:c r="C412" t="str">
        <x:v>KTO001</x:v>
      </x:c>
      <x:c r="D412" t="str">
        <x:v>16-05-2026_Umsatzliste_Girokonto_DE98120300001061711675.csv</x:v>
      </x:c>
      <x:c r="E412" t="n">
        <x:v>46163</x:v>
      </x:c>
      <x:c r="F412" t="n">
        <x:v>395</x:v>
      </x:c>
      <x:c r="G412" t="str">
        <x:v>041584b11c2a91e1544671466d0ccec571c9e34b7b1f6a4f637c94491fe3dcf7</x:v>
      </x:c>
      <x:c r="H412" t="str">
        <x:v>neu</x:v>
      </x:c>
      <x:c r="I412" t="str">
        <x:v>ok</x:v>
      </x:c>
      <x:c r="J412"/>
      <x:c r="K412" t="n">
        <x:v>46028</x:v>
      </x:c>
      <x:c r="L412" t="n">
        <x:v>46028</x:v>
      </x:c>
      <x:c r="M412" t="str">
        <x:v>Gebucht</x:v>
      </x:c>
      <x:c r="N412" t="str">
        <x:v>Lars Kohlenberg</x:v>
      </x:c>
      <x:c r="O412" t="str">
        <x:v>Iman Firat</x:v>
      </x:c>
      <x:c r="P412" t="str">
        <x:v>2230 Lea Kohlenberg</x:v>
      </x:c>
      <x:c r="Q412" t="str">
        <x:v>Ausgang</x:v>
      </x:c>
      <x:c r="R412" t="str">
        <x:v>DE67269910662694298000</x:v>
      </x:c>
      <x:c r="S412" t="n">
        <x:v>-49.9</x:v>
      </x:c>
      <x:c r="T412" t="str">
        <x:v>"</x:v>
      </x:c>
      <x:c r="U412" t="str">
        <x:v>"</x:v>
      </x:c>
      <x:c r="V412" t="str">
        <x:v>"</x:v>
      </x:c>
    </x:row>
    <x:row r="413">
      <x:c r="A413" t="str">
        <x:v>RAW-IMP-20260516-FULLDRAFT-000396</x:v>
      </x:c>
      <x:c r="B413" t="str">
        <x:v>IMP-20260516-FULLDRAFT</x:v>
      </x:c>
      <x:c r="C413" t="str">
        <x:v>KTO001</x:v>
      </x:c>
      <x:c r="D413" t="str">
        <x:v>16-05-2026_Umsatzliste_Girokonto_DE98120300001061711675.csv</x:v>
      </x:c>
      <x:c r="E413" t="n">
        <x:v>46163</x:v>
      </x:c>
      <x:c r="F413" t="n">
        <x:v>396</x:v>
      </x:c>
      <x:c r="G413" t="str">
        <x:v>0606f2b61637f96293f47d5ca2326e9304c51b1fc32bbd1d56aab9a52403c709</x:v>
      </x:c>
      <x:c r="H413" t="str">
        <x:v>neu</x:v>
      </x:c>
      <x:c r="I413" t="str">
        <x:v>ok</x:v>
      </x:c>
      <x:c r="J413"/>
      <x:c r="K413" t="n">
        <x:v>46027</x:v>
      </x:c>
      <x:c r="L413" t="n">
        <x:v>46027</x:v>
      </x:c>
      <x:c r="M413" t="str">
        <x:v>Gebucht</x:v>
      </x:c>
      <x:c r="N413" t="str">
        <x:v>ISSUER</x:v>
      </x:c>
      <x:c r="O413" t="str">
        <x:v>PAYPAL..JPMORGANMOB/4029357733</x:v>
      </x:c>
      <x:c r="P413" t="str">
        <x:v>VISA Debitkartenumsatz vom 02.01.2026</x:v>
      </x:c>
      <x:c r="Q413" t="str">
        <x:v>Ausgang</x:v>
      </x:c>
      <x:c r="R413" t="str">
        <x:v>DE96120300009005290904</x:v>
      </x:c>
      <x:c r="S413" t="n">
        <x:v>-121</x:v>
      </x:c>
      <x:c r="T413" t="str">
        <x:v>"</x:v>
      </x:c>
      <x:c r="U413" t="str">
        <x:v>"</x:v>
      </x:c>
      <x:c r="V413" t="str">
        <x:v>346002528946707</x:v>
      </x:c>
    </x:row>
    <x:row r="414">
      <x:c r="A414" t="str">
        <x:v>RAW-IMP-20260516-FULLDRAFT-000397</x:v>
      </x:c>
      <x:c r="B414" t="str">
        <x:v>IMP-20260516-FULLDRAFT</x:v>
      </x:c>
      <x:c r="C414" t="str">
        <x:v>KTO001</x:v>
      </x:c>
      <x:c r="D414" t="str">
        <x:v>16-05-2026_Umsatzliste_Girokonto_DE98120300001061711675.csv</x:v>
      </x:c>
      <x:c r="E414" t="n">
        <x:v>46163</x:v>
      </x:c>
      <x:c r="F414" t="n">
        <x:v>397</x:v>
      </x:c>
      <x:c r="G414" t="str">
        <x:v>7aa66f16d6566e02cd032df9a5a3f968348dcb2247c9a9e61e1af53824740517</x:v>
      </x:c>
      <x:c r="H414" t="str">
        <x:v>neu</x:v>
      </x:c>
      <x:c r="I414" t="str">
        <x:v>ok</x:v>
      </x:c>
      <x:c r="J414"/>
      <x:c r="K414" t="n">
        <x:v>46027</x:v>
      </x:c>
      <x:c r="L414" t="n">
        <x:v>46027</x:v>
      </x:c>
      <x:c r="M414" t="str">
        <x:v>Gebucht</x:v>
      </x:c>
      <x:c r="N414" t="str">
        <x:v>ISSUER</x:v>
      </x:c>
      <x:c r="O414" t="str">
        <x:v>REWE.Salzgitter.Ge/Salzgitter</x:v>
      </x:c>
      <x:c r="P414" t="str">
        <x:v>VISA Debitkartenumsatz vom 03.01.2026</x:v>
      </x:c>
      <x:c r="Q414" t="str">
        <x:v>Ausgang</x:v>
      </x:c>
      <x:c r="R414" t="str">
        <x:v>DE96120300009005290904</x:v>
      </x:c>
      <x:c r="S414" t="n">
        <x:v>-19.43</x:v>
      </x:c>
      <x:c r="T414" t="str">
        <x:v>"</x:v>
      </x:c>
      <x:c r="U414" t="str">
        <x:v>"</x:v>
      </x:c>
      <x:c r="V414" t="str">
        <x:v>486003542232104</x:v>
      </x:c>
    </x:row>
    <x:row r="415">
      <x:c r="A415" t="str">
        <x:v>RAW-IMP-20260516-FULLDRAFT-000398</x:v>
      </x:c>
      <x:c r="B415" t="str">
        <x:v>IMP-20260516-FULLDRAFT</x:v>
      </x:c>
      <x:c r="C415" t="str">
        <x:v>KTO001</x:v>
      </x:c>
      <x:c r="D415" t="str">
        <x:v>16-05-2026_Umsatzliste_Girokonto_DE98120300001061711675.csv</x:v>
      </x:c>
      <x:c r="E415" t="n">
        <x:v>46163</x:v>
      </x:c>
      <x:c r="F415" t="n">
        <x:v>398</x:v>
      </x:c>
      <x:c r="G415" t="str">
        <x:v>d19a8df6be477968b7980ba04bde63c1c761c439d45ab19cded7940ab83f726e</x:v>
      </x:c>
      <x:c r="H415" t="str">
        <x:v>neu</x:v>
      </x:c>
      <x:c r="I415" t="str">
        <x:v>ok</x:v>
      </x:c>
      <x:c r="J415"/>
      <x:c r="K415" t="n">
        <x:v>46027</x:v>
      </x:c>
      <x:c r="L415" t="n">
        <x:v>46027</x:v>
      </x:c>
      <x:c r="M415" t="str">
        <x:v>Gebucht</x:v>
      </x:c>
      <x:c r="N415" t="str">
        <x:v>ISSUER</x:v>
      </x:c>
      <x:c r="O415" t="str">
        <x:v>PAYPAL..SPOTIFY.P3E145E/35314369001</x:v>
      </x:c>
      <x:c r="P415" t="str">
        <x:v>VISA Debitkartenumsatz vom 04.01.2026</x:v>
      </x:c>
      <x:c r="Q415" t="str">
        <x:v>Ausgang</x:v>
      </x:c>
      <x:c r="R415" t="str">
        <x:v>DE96120300009005290904</x:v>
      </x:c>
      <x:c r="S415" t="n">
        <x:v>-12.99</x:v>
      </x:c>
      <x:c r="T415" t="str">
        <x:v>"</x:v>
      </x:c>
      <x:c r="U415" t="str">
        <x:v>"</x:v>
      </x:c>
      <x:c r="V415" t="str">
        <x:v>386004217295681</x:v>
      </x:c>
    </x:row>
    <x:row r="416">
      <x:c r="A416" t="str">
        <x:v>RAW-IMP-20260516-FULLDRAFT-000399</x:v>
      </x:c>
      <x:c r="B416" t="str">
        <x:v>IMP-20260516-FULLDRAFT</x:v>
      </x:c>
      <x:c r="C416" t="str">
        <x:v>KTO001</x:v>
      </x:c>
      <x:c r="D416" t="str">
        <x:v>16-05-2026_Umsatzliste_Girokonto_DE98120300001061711675.csv</x:v>
      </x:c>
      <x:c r="E416" t="n">
        <x:v>46163</x:v>
      </x:c>
      <x:c r="F416" t="n">
        <x:v>399</x:v>
      </x:c>
      <x:c r="G416" t="str">
        <x:v>50dc5e559804372905696b33cee988ff66fe1b61c091b045a4eeec38e9580fb4</x:v>
      </x:c>
      <x:c r="H416" t="str">
        <x:v>neu</x:v>
      </x:c>
      <x:c r="I416" t="str">
        <x:v>ok</x:v>
      </x:c>
      <x:c r="J416"/>
      <x:c r="K416" t="n">
        <x:v>46027</x:v>
      </x:c>
      <x:c r="L416" t="n">
        <x:v>46027</x:v>
      </x:c>
      <x:c r="M416" t="str">
        <x:v>Gebucht</x:v>
      </x:c>
      <x:c r="N416" t="str">
        <x:v>ISSUER</x:v>
      </x:c>
      <x:c r="O416" t="str">
        <x:v>Eat.Grill..Bar/Niedersachsen</x:v>
      </x:c>
      <x:c r="P416" t="str">
        <x:v>VISA Debitkartenumsatz vom 02.01.2026</x:v>
      </x:c>
      <x:c r="Q416" t="str">
        <x:v>Ausgang</x:v>
      </x:c>
      <x:c r="R416" t="str">
        <x:v>DE96120300009005290904</x:v>
      </x:c>
      <x:c r="S416" t="n">
        <x:v>-145</x:v>
      </x:c>
      <x:c r="T416" t="str">
        <x:v>"</x:v>
      </x:c>
      <x:c r="U416" t="str">
        <x:v>"</x:v>
      </x:c>
      <x:c r="V416" t="str">
        <x:v>486002718820336</x:v>
      </x:c>
    </x:row>
    <x:row r="417">
      <x:c r="A417" t="str">
        <x:v>RAW-IMP-20260516-FULLDRAFT-000400</x:v>
      </x:c>
      <x:c r="B417" t="str">
        <x:v>IMP-20260516-FULLDRAFT</x:v>
      </x:c>
      <x:c r="C417" t="str">
        <x:v>KTO001</x:v>
      </x:c>
      <x:c r="D417" t="str">
        <x:v>16-05-2026_Umsatzliste_Girokonto_DE98120300001061711675.csv</x:v>
      </x:c>
      <x:c r="E417" t="n">
        <x:v>46163</x:v>
      </x:c>
      <x:c r="F417" t="n">
        <x:v>400</x:v>
      </x:c>
      <x:c r="G417" t="str">
        <x:v>5b53d5bbce482ebc9930da9765dc5a8a9345b754e20c678fc23cba5259b837c3</x:v>
      </x:c>
      <x:c r="H417" t="str">
        <x:v>neu</x:v>
      </x:c>
      <x:c r="I417" t="str">
        <x:v>ok</x:v>
      </x:c>
      <x:c r="J417"/>
      <x:c r="K417" t="n">
        <x:v>46027</x:v>
      </x:c>
      <x:c r="L417" t="n">
        <x:v>46027</x:v>
      </x:c>
      <x:c r="M417" t="str">
        <x:v>Gebucht</x:v>
      </x:c>
      <x:c r="N417" t="str">
        <x:v>Lars Kohlenberg                                                       Johannes-Wosnitza-Str. 8</x:v>
      </x:c>
      <x:c r="O417" t="str">
        <x:v>FUNKE Medien Nieders.GmbH</x:v>
      </x:c>
      <x:c r="P417" t="str">
        <x:v>SZ/00001050/VA/01.01.26-31.01.26/Rg-Nr.:6316853979/Kd-Nr:0053112791</x:v>
      </x:c>
      <x:c r="Q417" t="str">
        <x:v>Ausgang</x:v>
      </x:c>
      <x:c r="R417" t="str">
        <x:v>DE67250500000000146910</x:v>
      </x:c>
      <x:c r="S417" t="n">
        <x:v>-60.5</x:v>
      </x:c>
      <x:c r="T417" t="str">
        <x:v>DE8850000000483288</x:v>
      </x:c>
      <x:c r="U417" t="str">
        <x:v>0053112791-0500-01300001</x:v>
      </x:c>
      <x:c r="V417" t="str">
        <x:v>033007313472</x:v>
      </x:c>
    </x:row>
    <x:row r="418">
      <x:c r="A418" t="str">
        <x:v>RAW-IMP-20260516-FULLDRAFT-000401</x:v>
      </x:c>
      <x:c r="B418" t="str">
        <x:v>IMP-20260516-FULLDRAFT</x:v>
      </x:c>
      <x:c r="C418" t="str">
        <x:v>KTO001</x:v>
      </x:c>
      <x:c r="D418" t="str">
        <x:v>16-05-2026_Umsatzliste_Girokonto_DE98120300001061711675.csv</x:v>
      </x:c>
      <x:c r="E418" t="n">
        <x:v>46163</x:v>
      </x:c>
      <x:c r="F418" t="n">
        <x:v>401</x:v>
      </x:c>
      <x:c r="G418" t="str">
        <x:v>07c88a4bd43fbc0daba91195c9a83ee2e3fbac5d5d155b6e5d25df8ab54c48eb</x:v>
      </x:c>
      <x:c r="H418" t="str">
        <x:v>neu</x:v>
      </x:c>
      <x:c r="I418" t="str">
        <x:v>ok</x:v>
      </x:c>
      <x:c r="J418"/>
      <x:c r="K418" t="n">
        <x:v>46027</x:v>
      </x:c>
      <x:c r="L418" t="n">
        <x:v>46027</x:v>
      </x:c>
      <x:c r="M418" t="str">
        <x:v>Gebucht</x:v>
      </x:c>
      <x:c r="N418" t="str">
        <x:v>KOHLENBERG, LARS</x:v>
      </x:c>
      <x:c r="O418" t="str">
        <x:v>VPV-LEBENSVERSICHERUNGS-AG</x:v>
      </x:c>
      <x:c r="P418" t="str">
        <x:v>VNR 301667726</x:v>
      </x:c>
      <x:c r="Q418" t="str">
        <x:v>Ausgang</x:v>
      </x:c>
      <x:c r="R418" t="str">
        <x:v>DE78600501010001166338</x:v>
      </x:c>
      <x:c r="S418" t="n">
        <x:v>-56.83</x:v>
      </x:c>
      <x:c r="T418" t="str">
        <x:v>DE96LAG00000064686</x:v>
      </x:c>
      <x:c r="U418" t="str">
        <x:v>ML700120510</x:v>
      </x:c>
      <x:c r="V418" t="str">
        <x:v>260102 467280699 ML700120510</x:v>
      </x:c>
    </x:row>
    <x:row r="419">
      <x:c r="A419" t="str">
        <x:v>RAW-IMP-20260516-FULLDRAFT-000402</x:v>
      </x:c>
      <x:c r="B419" t="str">
        <x:v>IMP-20260516-FULLDRAFT</x:v>
      </x:c>
      <x:c r="C419" t="str">
        <x:v>KTO001</x:v>
      </x:c>
      <x:c r="D419" t="str">
        <x:v>16-05-2026_Umsatzliste_Girokonto_DE98120300001061711675.csv</x:v>
      </x:c>
      <x:c r="E419" t="n">
        <x:v>46163</x:v>
      </x:c>
      <x:c r="F419" t="n">
        <x:v>402</x:v>
      </x:c>
      <x:c r="G419" t="str">
        <x:v>2304375cb347a23441898a1da22162f24fc80c2d51eb1d966a5939bda6fb50c9</x:v>
      </x:c>
      <x:c r="H419" t="str">
        <x:v>neu</x:v>
      </x:c>
      <x:c r="I419" t="str">
        <x:v>ok</x:v>
      </x:c>
      <x:c r="J419"/>
      <x:c r="K419" t="n">
        <x:v>46027</x:v>
      </x:c>
      <x:c r="L419" t="n">
        <x:v>46027</x:v>
      </x:c>
      <x:c r="M419" t="str">
        <x:v>Gebucht</x:v>
      </x:c>
      <x:c r="N419" t="str">
        <x:v>KOHLENBERG, LARS</x:v>
      </x:c>
      <x:c r="O419" t="str">
        <x:v>Lars und Katrin Kohlenberg</x:v>
      </x:c>
      <x:c r="P419" t="str">
        <x:v>12670620 VERMOEGENSDEPOT SAMMELBUCHUNG SPARPLAN WKN A1C9ED, 847809</x:v>
      </x:c>
      <x:c r="Q419" t="str">
        <x:v>Ausgang</x:v>
      </x:c>
      <x:c r="R419" t="str">
        <x:v>DE27672300000506966162</x:v>
      </x:c>
      <x:c r="S419" t="n">
        <x:v>-600</x:v>
      </x:c>
      <x:c r="T419" t="str">
        <x:v>DE53ZZZ00000010849</x:v>
      </x:c>
      <x:c r="U419" t="str">
        <x:v>WPBF0000180845</x:v>
      </x:c>
      <x:c r="V419" t="str">
        <x:v>SPARSP 19523031</x:v>
      </x:c>
    </x:row>
    <x:row r="420">
      <x:c r="A420" t="str">
        <x:v>RAW-IMP-20260516-FULLDRAFT-000403</x:v>
      </x:c>
      <x:c r="B420" t="str">
        <x:v>IMP-20260516-FULLDRAFT</x:v>
      </x:c>
      <x:c r="C420" t="str">
        <x:v>KTO001</x:v>
      </x:c>
      <x:c r="D420" t="str">
        <x:v>16-05-2026_Umsatzliste_Girokonto_DE98120300001061711675.csv</x:v>
      </x:c>
      <x:c r="E420" t="n">
        <x:v>46163</x:v>
      </x:c>
      <x:c r="F420" t="n">
        <x:v>403</x:v>
      </x:c>
      <x:c r="G420" t="str">
        <x:v>ce1bff649c06a62d15afe93ef4260c820c3da4ae114176ad684ca09a7f0ab922</x:v>
      </x:c>
      <x:c r="H420" t="str">
        <x:v>neu</x:v>
      </x:c>
      <x:c r="I420" t="str">
        <x:v>ok</x:v>
      </x:c>
      <x:c r="J420"/>
      <x:c r="K420" t="n">
        <x:v>46024</x:v>
      </x:c>
      <x:c r="L420" t="n">
        <x:v>46024</x:v>
      </x:c>
      <x:c r="M420" t="str">
        <x:v>Gebucht</x:v>
      </x:c>
      <x:c r="N420" t="str">
        <x:v>WILLI KOHLENBERG</x:v>
      </x:c>
      <x:c r="O420" t="str">
        <x:v>LARS KOHLENBERG</x:v>
      </x:c>
      <x:c r="P420" t="str">
        <x:v>MIETE 2/3 HAUS</x:v>
      </x:c>
      <x:c r="Q420" t="str">
        <x:v>Eingang</x:v>
      </x:c>
      <x:c r="R420" t="str">
        <x:v>DE84270800600651520400</x:v>
      </x:c>
      <x:c r="S420" t="n">
        <x:v>750</x:v>
      </x:c>
      <x:c r="T420" t="str">
        <x:v>"</x:v>
      </x:c>
      <x:c r="U420" t="str">
        <x:v>"</x:v>
      </x:c>
      <x:c r="V420" t="str">
        <x:v>"</x:v>
      </x:c>
    </x:row>
    <x:row r="421">
      <x:c r="A421" t="str">
        <x:v>RAW-IMP-20260516-FULLDRAFT-000404</x:v>
      </x:c>
      <x:c r="B421" t="str">
        <x:v>IMP-20260516-FULLDRAFT</x:v>
      </x:c>
      <x:c r="C421" t="str">
        <x:v>KTO001</x:v>
      </x:c>
      <x:c r="D421" t="str">
        <x:v>16-05-2026_Umsatzliste_Girokonto_DE98120300001061711675.csv</x:v>
      </x:c>
      <x:c r="E421" t="n">
        <x:v>46163</x:v>
      </x:c>
      <x:c r="F421" t="n">
        <x:v>404</x:v>
      </x:c>
      <x:c r="G421" t="str">
        <x:v>4e80d01444310e7725259a1efce128ecdc01f314d44f58b2dd624206c898f6f5</x:v>
      </x:c>
      <x:c r="H421" t="str">
        <x:v>neu</x:v>
      </x:c>
      <x:c r="I421" t="str">
        <x:v>ok</x:v>
      </x:c>
      <x:c r="J421"/>
      <x:c r="K421" t="n">
        <x:v>46024</x:v>
      </x:c>
      <x:c r="L421" t="n">
        <x:v>46022</x:v>
      </x:c>
      <x:c r="M421" t="str">
        <x:v>Gebucht</x:v>
      </x:c>
      <x:c r="N421" t="str">
        <x:v>ISSUER</x:v>
      </x:c>
      <x:c r="O421" t="str">
        <x:v>Lidl.sagt.Danke/Salzgitter</x:v>
      </x:c>
      <x:c r="P421" t="str">
        <x:v>VISA Debitkartenumsatz vom 30.12.2025</x:v>
      </x:c>
      <x:c r="Q421" t="str">
        <x:v>Ausgang</x:v>
      </x:c>
      <x:c r="R421" t="str">
        <x:v>DE96120300009005290904</x:v>
      </x:c>
      <x:c r="S421" t="n">
        <x:v>-31.1</x:v>
      </x:c>
      <x:c r="T421" t="str">
        <x:v>"</x:v>
      </x:c>
      <x:c r="U421" t="str">
        <x:v>"</x:v>
      </x:c>
      <x:c r="V421" t="str">
        <x:v>485364452504413</x:v>
      </x:c>
    </x:row>
    <x:row r="422">
      <x:c r="A422" t="str">
        <x:v>RAW-IMP-20260516-FULLDRAFT-000405</x:v>
      </x:c>
      <x:c r="B422" t="str">
        <x:v>IMP-20260516-FULLDRAFT</x:v>
      </x:c>
      <x:c r="C422" t="str">
        <x:v>KTO001</x:v>
      </x:c>
      <x:c r="D422" t="str">
        <x:v>16-05-2026_Umsatzliste_Girokonto_DE98120300001061711675.csv</x:v>
      </x:c>
      <x:c r="E422" t="n">
        <x:v>46163</x:v>
      </x:c>
      <x:c r="F422" t="n">
        <x:v>405</x:v>
      </x:c>
      <x:c r="G422" t="str">
        <x:v>25305c115db5f5bdb5766d9736bf576a80ab0e6a8d694a62fba6d093e369ba38</x:v>
      </x:c>
      <x:c r="H422" t="str">
        <x:v>neu</x:v>
      </x:c>
      <x:c r="I422" t="str">
        <x:v>ok</x:v>
      </x:c>
      <x:c r="J422"/>
      <x:c r="K422" t="n">
        <x:v>46024</x:v>
      </x:c>
      <x:c r="L422" t="n">
        <x:v>46022</x:v>
      </x:c>
      <x:c r="M422" t="str">
        <x:v>Gebucht</x:v>
      </x:c>
      <x:c r="N422" t="str">
        <x:v>ISSUER</x:v>
      </x:c>
      <x:c r="O422" t="str">
        <x:v>REWE.Salzgitter.Ge/Salzgitter</x:v>
      </x:c>
      <x:c r="P422" t="str">
        <x:v>VISA Debitkartenumsatz vom 30.12.2025</x:v>
      </x:c>
      <x:c r="Q422" t="str">
        <x:v>Ausgang</x:v>
      </x:c>
      <x:c r="R422" t="str">
        <x:v>DE96120300009005290904</x:v>
      </x:c>
      <x:c r="S422" t="n">
        <x:v>-170.96</x:v>
      </x:c>
      <x:c r="T422" t="str">
        <x:v>"</x:v>
      </x:c>
      <x:c r="U422" t="str">
        <x:v>"</x:v>
      </x:c>
      <x:c r="V422" t="str">
        <x:v>485364364037990</x:v>
      </x:c>
    </x:row>
    <x:row r="423">
      <x:c r="A423" t="str">
        <x:v>RAW-IMP-20260516-FULLDRAFT-000406</x:v>
      </x:c>
      <x:c r="B423" t="str">
        <x:v>IMP-20260516-FULLDRAFT</x:v>
      </x:c>
      <x:c r="C423" t="str">
        <x:v>KTO001</x:v>
      </x:c>
      <x:c r="D423" t="str">
        <x:v>16-05-2026_Umsatzliste_Girokonto_DE98120300001061711675.csv</x:v>
      </x:c>
      <x:c r="E423" t="n">
        <x:v>46163</x:v>
      </x:c>
      <x:c r="F423" t="n">
        <x:v>406</x:v>
      </x:c>
      <x:c r="G423" t="str">
        <x:v>d14892aec7139c0f08d694bad48b7c491f51fcc57c0a0d01685e70cd73af0f86</x:v>
      </x:c>
      <x:c r="H423" t="str">
        <x:v>neu</x:v>
      </x:c>
      <x:c r="I423" t="str">
        <x:v>ok</x:v>
      </x:c>
      <x:c r="J423"/>
      <x:c r="K423" t="n">
        <x:v>46024</x:v>
      </x:c>
      <x:c r="L423" t="n">
        <x:v>46024</x:v>
      </x:c>
      <x:c r="M423" t="str">
        <x:v>Gebucht</x:v>
      </x:c>
      <x:c r="N423" t="str">
        <x:v>ISSUER</x:v>
      </x:c>
      <x:c r="O423" t="str">
        <x:v>KAUFLAND.SALZGITTER.CIT/SALZGITTER</x:v>
      </x:c>
      <x:c r="P423" t="str">
        <x:v>VISA Debitkartenumsatz vom 30.12.2025</x:v>
      </x:c>
      <x:c r="Q423" t="str">
        <x:v>Ausgang</x:v>
      </x:c>
      <x:c r="R423" t="str">
        <x:v>DE96120300009005290904</x:v>
      </x:c>
      <x:c r="S423" t="n">
        <x:v>-49.84</x:v>
      </x:c>
      <x:c r="T423" t="str">
        <x:v>"</x:v>
      </x:c>
      <x:c r="U423" t="str">
        <x:v>"</x:v>
      </x:c>
      <x:c r="V423" t="str">
        <x:v>485364434041174</x:v>
      </x:c>
    </x:row>
    <x:row r="424">
      <x:c r="A424" t="str">
        <x:v>RAW-IMP-20260516-FULLDRAFT-000407</x:v>
      </x:c>
      <x:c r="B424" t="str">
        <x:v>IMP-20260516-FULLDRAFT</x:v>
      </x:c>
      <x:c r="C424" t="str">
        <x:v>KTO001</x:v>
      </x:c>
      <x:c r="D424" t="str">
        <x:v>16-05-2026_Umsatzliste_Girokonto_DE98120300001061711675.csv</x:v>
      </x:c>
      <x:c r="E424" t="n">
        <x:v>46163</x:v>
      </x:c>
      <x:c r="F424" t="n">
        <x:v>407</x:v>
      </x:c>
      <x:c r="G424" t="str">
        <x:v>7f0d9673c33fc7b5d36aa58c9a10f5872f618c37b0e771b07360b31d77be2b06</x:v>
      </x:c>
      <x:c r="H424" t="str">
        <x:v>neu</x:v>
      </x:c>
      <x:c r="I424" t="str">
        <x:v>ok</x:v>
      </x:c>
      <x:c r="J424"/>
      <x:c r="K424" t="n">
        <x:v>46024</x:v>
      </x:c>
      <x:c r="L424" t="n">
        <x:v>46024</x:v>
      </x:c>
      <x:c r="M424" t="str">
        <x:v>Gebucht</x:v>
      </x:c>
      <x:c r="N424" t="str">
        <x:v>Kohlenberg, Lars</x:v>
      </x:c>
      <x:c r="O424" t="str">
        <x:v>IDEAL Lebensversicherung aG</x:v>
      </x:c>
      <x:c r="P424" t="str">
        <x:v>2011216280009 LV 011</x:v>
      </x:c>
      <x:c r="Q424" t="str">
        <x:v>Ausgang</x:v>
      </x:c>
      <x:c r="R424" t="str">
        <x:v>DE36100700000460303100</x:v>
      </x:c>
      <x:c r="S424" t="n">
        <x:v>-100.52</x:v>
      </x:c>
      <x:c r="T424" t="str">
        <x:v>DE40ZZZ00000559230</x:v>
      </x:c>
      <x:c r="U424" t="str">
        <x:v>2011216280009-001</x:v>
      </x:c>
      <x:c r="V424" t="str">
        <x:v>GL,KL,PD-20260101-1-2011216280009-0</x:v>
      </x:c>
    </x:row>
    <x:row r="425">
      <x:c r="A425" t="str">
        <x:v>RAW-IMP-20260516-FULLDRAFT-000408</x:v>
      </x:c>
      <x:c r="B425" t="str">
        <x:v>IMP-20260516-FULLDRAFT</x:v>
      </x:c>
      <x:c r="C425" t="str">
        <x:v>KTO001</x:v>
      </x:c>
      <x:c r="D425" t="str">
        <x:v>16-05-2026_Umsatzliste_Girokonto_DE98120300001061711675.csv</x:v>
      </x:c>
      <x:c r="E425" t="n">
        <x:v>46163</x:v>
      </x:c>
      <x:c r="F425" t="n">
        <x:v>408</x:v>
      </x:c>
      <x:c r="G425" t="str">
        <x:v>d209e7840b58d38db7e4c2170bfd02c47b15850e7f7e6a3318f5237a9dd14772</x:v>
      </x:c>
      <x:c r="H425" t="str">
        <x:v>neu</x:v>
      </x:c>
      <x:c r="I425" t="str">
        <x:v>ok</x:v>
      </x:c>
      <x:c r="J425"/>
      <x:c r="K425" t="n">
        <x:v>46024</x:v>
      </x:c>
      <x:c r="L425" t="n">
        <x:v>46024</x:v>
      </x:c>
      <x:c r="M425" t="str">
        <x:v>Gebucht</x:v>
      </x:c>
      <x:c r="N425" t="str">
        <x:v>Kohlenberg</x:v>
      </x:c>
      <x:c r="O425" t="str">
        <x:v>TANZSCHULE KWIATKOWSKI GBR</x:v>
      </x:c>
      <x:c r="P425" t="str">
        <x:v>R-SB0000075681-A0000004560,SB2151 9-2025 - 1.2026,Jan Kohlenberg</x:v>
      </x:c>
      <x:c r="Q425" t="str">
        <x:v>Ausgang</x:v>
      </x:c>
      <x:c r="R425" t="str">
        <x:v>DE61259501300096212535</x:v>
      </x:c>
      <x:c r="S425" t="n">
        <x:v>-49</x:v>
      </x:c>
      <x:c r="T425" t="str">
        <x:v>DE79ZZZ00002474666</x:v>
      </x:c>
      <x:c r="U425" t="str">
        <x:v>TM004560-000142</x:v>
      </x:c>
      <x:c r="V425" t="str">
        <x:v>R-SB00075681</x:v>
      </x:c>
    </x:row>
    <x:row r="426">
      <x:c r="A426" t="str">
        <x:v>RAW-IMP-20260516-FULLDRAFT-000409</x:v>
      </x:c>
      <x:c r="B426" t="str">
        <x:v>IMP-20260516-FULLDRAFT</x:v>
      </x:c>
      <x:c r="C426" t="str">
        <x:v>KTO001</x:v>
      </x:c>
      <x:c r="D426" t="str">
        <x:v>16-05-2026_Umsatzliste_Girokonto_DE98120300001061711675.csv</x:v>
      </x:c>
      <x:c r="E426" t="n">
        <x:v>46163</x:v>
      </x:c>
      <x:c r="F426" t="n">
        <x:v>409</x:v>
      </x:c>
      <x:c r="G426" t="str">
        <x:v>df0a59157b9720160df33b35a714422ad6b70e5f561274aeea46f8c59847944f</x:v>
      </x:c>
      <x:c r="H426" t="str">
        <x:v>neu</x:v>
      </x:c>
      <x:c r="I426" t="str">
        <x:v>ok</x:v>
      </x:c>
      <x:c r="J426"/>
      <x:c r="K426" t="n">
        <x:v>46024</x:v>
      </x:c>
      <x:c r="L426" t="n">
        <x:v>46024</x:v>
      </x:c>
      <x:c r="M426" t="str">
        <x:v>Gebucht</x:v>
      </x:c>
      <x:c r="N426" t="str">
        <x:v>LARS KOHLENBERG</x:v>
      </x:c>
      <x:c r="O426" t="str">
        <x:v>Gothaer Krankenversicherung Aktiengesellschaft</x:v>
      </x:c>
      <x:c r="P426" t="str">
        <x:v>98.000.055668 ABBUCHUNG AM 02.01.2026 KV 207,82+</x:v>
      </x:c>
      <x:c r="Q426" t="str">
        <x:v>Ausgang</x:v>
      </x:c>
      <x:c r="R426" t="str">
        <x:v>DE08370100500079144506</x:v>
      </x:c>
      <x:c r="S426" t="n">
        <x:v>-207.82</x:v>
      </x:c>
      <x:c r="T426" t="str">
        <x:v>DE52ZZZ00000070522</x:v>
      </x:c>
      <x:c r="U426" t="str">
        <x:v>205411613</x:v>
      </x:c>
      <x:c r="V426" t="str">
        <x:v>S2025121501000992520</x:v>
      </x:c>
    </x:row>
    <x:row r="427">
      <x:c r="A427" t="str">
        <x:v>RAW-IMP-20260516-FULLDRAFT-000410</x:v>
      </x:c>
      <x:c r="B427" t="str">
        <x:v>IMP-20260516-FULLDRAFT</x:v>
      </x:c>
      <x:c r="C427" t="str">
        <x:v>KTO001</x:v>
      </x:c>
      <x:c r="D427" t="str">
        <x:v>16-05-2026_Umsatzliste_Girokonto_DE98120300001061711675.csv</x:v>
      </x:c>
      <x:c r="E427" t="n">
        <x:v>46163</x:v>
      </x:c>
      <x:c r="F427" t="n">
        <x:v>410</x:v>
      </x:c>
      <x:c r="G427" t="str">
        <x:v>7bde724a37fdd860e7b55e688d33c4b31b2525522bb54500f55b06c274c04de5</x:v>
      </x:c>
      <x:c r="H427" t="str">
        <x:v>neu</x:v>
      </x:c>
      <x:c r="I427" t="str">
        <x:v>ok</x:v>
      </x:c>
      <x:c r="J427"/>
      <x:c r="K427" t="n">
        <x:v>46024</x:v>
      </x:c>
      <x:c r="L427" t="n">
        <x:v>46024</x:v>
      </x:c>
      <x:c r="M427" t="str">
        <x:v>Gebucht</x:v>
      </x:c>
      <x:c r="N427" t="str">
        <x:v>KOHLENBERG LARS</x:v>
      </x:c>
      <x:c r="O427" t="str">
        <x:v>VOLKSWOHL BUND Lebensversicherung a.G.</x:v>
      </x:c>
      <x:c r="P427" t="str">
        <x:v>009893595 LA000750566/ 009893595 LEBEN 73,09</x:v>
      </x:c>
      <x:c r="Q427" t="str">
        <x:v>Ausgang</x:v>
      </x:c>
      <x:c r="R427" t="str">
        <x:v>DE76440400370361155500</x:v>
      </x:c>
      <x:c r="S427" t="n">
        <x:v>-73.09</x:v>
      </x:c>
      <x:c r="T427" t="str">
        <x:v>DE13ZZZ00000141064</x:v>
      </x:c>
      <x:c r="U427" t="str">
        <x:v>LA000750566</x:v>
      </x:c>
      <x:c r="V427" t="str">
        <x:v>009893595/NVMA.G1157-307827</x:v>
      </x:c>
    </x:row>
    <x:row r="428">
      <x:c r="A428" t="str">
        <x:v>RAW-IMP-20260516-FULLDRAFT-000411</x:v>
      </x:c>
      <x:c r="B428" t="str">
        <x:v>IMP-20260516-FULLDRAFT</x:v>
      </x:c>
      <x:c r="C428" t="str">
        <x:v>KTO001</x:v>
      </x:c>
      <x:c r="D428" t="str">
        <x:v>16-05-2026_Umsatzliste_Girokonto_DE98120300001061711675.csv</x:v>
      </x:c>
      <x:c r="E428" t="n">
        <x:v>46163</x:v>
      </x:c>
      <x:c r="F428" t="n">
        <x:v>411</x:v>
      </x:c>
      <x:c r="G428" t="str">
        <x:v>3c52c5c32071b4a43f9db1fd405f395cae1f16c56dd34e08310a4498d35fe067</x:v>
      </x:c>
      <x:c r="H428" t="str">
        <x:v>neu</x:v>
      </x:c>
      <x:c r="I428" t="str">
        <x:v>ok</x:v>
      </x:c>
      <x:c r="J428"/>
      <x:c r="K428" t="n">
        <x:v>46024</x:v>
      </x:c>
      <x:c r="L428" t="n">
        <x:v>46024</x:v>
      </x:c>
      <x:c r="M428" t="str">
        <x:v>Gebucht</x:v>
      </x:c>
      <x:c r="N428" t="str">
        <x:v>Lars Kohlenberg                                                       Johannes-Wosnitza-Str. 8 38229 Salzgitter</x:v>
      </x:c>
      <x:c r="O428" t="str">
        <x:v>Heidelberger Lebensversicherung AG                                    Donrhofstrasse 36, 63263 Neu-Isenburg</x:v>
      </x:c>
      <x:c r="P428" t="str">
        <x:v>60012826 , 01.26</x:v>
      </x:c>
      <x:c r="Q428" t="str">
        <x:v>Ausgang</x:v>
      </x:c>
      <x:c r="R428" t="str">
        <x:v>DE38600501010002662604</x:v>
      </x:c>
      <x:c r="S428" t="n">
        <x:v>-452.71</x:v>
      </x:c>
      <x:c r="T428" t="str">
        <x:v>DE31HLE00000032682</x:v>
      </x:c>
      <x:c r="U428" t="str">
        <x:v>11-140000075706</x:v>
      </x:c>
      <x:c r="V428" t="str">
        <x:v>158042126165</x:v>
      </x:c>
    </x:row>
    <x:row r="429">
      <x:c r="A429" t="str">
        <x:v>RAW-IMP-20260516-FULLDRAFT-000412</x:v>
      </x:c>
      <x:c r="B429" t="str">
        <x:v>IMP-20260516-FULLDRAFT</x:v>
      </x:c>
      <x:c r="C429" t="str">
        <x:v>KTO001</x:v>
      </x:c>
      <x:c r="D429" t="str">
        <x:v>16-05-2026_Umsatzliste_Girokonto_DE98120300001061711675.csv</x:v>
      </x:c>
      <x:c r="E429" t="n">
        <x:v>46163</x:v>
      </x:c>
      <x:c r="F429" t="n">
        <x:v>412</x:v>
      </x:c>
      <x:c r="G429" t="str">
        <x:v>6a6d6797e821ed91f1b2f5f412cf4efadb23643f33cb668b82ffed9f2e57c3e2</x:v>
      </x:c>
      <x:c r="H429" t="str">
        <x:v>neu</x:v>
      </x:c>
      <x:c r="I429" t="str">
        <x:v>ok</x:v>
      </x:c>
      <x:c r="J429"/>
      <x:c r="K429" t="n">
        <x:v>46024</x:v>
      </x:c>
      <x:c r="L429" t="n">
        <x:v>46024</x:v>
      </x:c>
      <x:c r="M429" t="str">
        <x:v>Gebucht</x:v>
      </x:c>
      <x:c r="N429" t="str">
        <x:v>Kohlenberg Lars</x:v>
      </x:c>
      <x:c r="O429" t="str">
        <x:v>Allianz Lebensvers. AG</x:v>
      </x:c>
      <x:c r="P429" t="str">
        <x:v>Vertrag AL-1356867060 bisheriger Vertrag 33 029 619 6 01.01.26 - 31.01.26 RiesRent InvAlphaBal</x:v>
      </x:c>
      <x:c r="Q429" t="str">
        <x:v>Ausgang</x:v>
      </x:c>
      <x:c r="R429" t="str">
        <x:v>DE52700202700015152448</x:v>
      </x:c>
      <x:c r="S429" t="n">
        <x:v>-162.17</x:v>
      </x:c>
      <x:c r="T429" t="str">
        <x:v>DE07ZZZ00000063475</x:v>
      </x:c>
      <x:c r="U429" t="str">
        <x:v>LA01L312001066775296</x:v>
      </x:c>
      <x:c r="V429" t="str">
        <x:v>AB225356-E01176961</x:v>
      </x:c>
    </x:row>
    <x:row r="430">
      <x:c r="A430" t="str">
        <x:v>RAW-IMP-20260516-FULLDRAFT-000413</x:v>
      </x:c>
      <x:c r="B430" t="str">
        <x:v>IMP-20260516-FULLDRAFT</x:v>
      </x:c>
      <x:c r="C430" t="str">
        <x:v>KTO001</x:v>
      </x:c>
      <x:c r="D430" t="str">
        <x:v>16-05-2026_Umsatzliste_Girokonto_DE98120300001061711675.csv</x:v>
      </x:c>
      <x:c r="E430" t="n">
        <x:v>46163</x:v>
      </x:c>
      <x:c r="F430" t="n">
        <x:v>413</x:v>
      </x:c>
      <x:c r="G430" t="str">
        <x:v>08cbd84af5a3305b37000f78be63abc4fe4826e3a8d5a3e7fbbdfaaa7c81fe3c</x:v>
      </x:c>
      <x:c r="H430" t="str">
        <x:v>neu</x:v>
      </x:c>
      <x:c r="I430" t="str">
        <x:v>ok</x:v>
      </x:c>
      <x:c r="J430"/>
      <x:c r="K430" t="n">
        <x:v>46024</x:v>
      </x:c>
      <x:c r="L430" t="n">
        <x:v>46024</x:v>
      </x:c>
      <x:c r="M430" t="str">
        <x:v>Gebucht</x:v>
      </x:c>
      <x:c r="N430" t="str">
        <x:v>Lars Kohlenberg</x:v>
      </x:c>
      <x:c r="O430" t="str">
        <x:v>LARS KOHLENBERG</x:v>
      </x:c>
      <x:c r="P430" t="str">
        <x:v>Sparrate 650,- + 750 EUR Mieteinnahmen</x:v>
      </x:c>
      <x:c r="Q430" t="str">
        <x:v>Ausgang</x:v>
      </x:c>
      <x:c r="R430" t="str">
        <x:v>DE91270200001510365800</x:v>
      </x:c>
      <x:c r="S430" t="n">
        <x:v>-1400</x:v>
      </x:c>
      <x:c r="T430" t="str">
        <x:v>"</x:v>
      </x:c>
      <x:c r="U430" t="str">
        <x:v>"</x:v>
      </x:c>
      <x:c r="V430" t="str">
        <x:v>"</x:v>
      </x:c>
    </x:row>
    <x:row r="431">
      <x:c r="A431" t="str">
        <x:v>RAW-IMP-20260516-FULLDRAFT-000414</x:v>
      </x:c>
      <x:c r="B431" t="str">
        <x:v>IMP-20260516-FULLDRAFT</x:v>
      </x:c>
      <x:c r="C431" t="str">
        <x:v>KTO001</x:v>
      </x:c>
      <x:c r="D431" t="str">
        <x:v>16-05-2026_Umsatzliste_Girokonto_DE98120300001061711675.csv</x:v>
      </x:c>
      <x:c r="E431" t="n">
        <x:v>46163</x:v>
      </x:c>
      <x:c r="F431" t="n">
        <x:v>414</x:v>
      </x:c>
      <x:c r="G431" t="str">
        <x:v>dc28209195b943445d18c6552130cebc613d219cff8ef209c766d53c6b100d44</x:v>
      </x:c>
      <x:c r="H431" t="str">
        <x:v>neu</x:v>
      </x:c>
      <x:c r="I431" t="str">
        <x:v>ok</x:v>
      </x:c>
      <x:c r="J431"/>
      <x:c r="K431" t="n">
        <x:v>46024</x:v>
      </x:c>
      <x:c r="L431" t="n">
        <x:v>46024</x:v>
      </x:c>
      <x:c r="M431" t="str">
        <x:v>Gebucht</x:v>
      </x:c>
      <x:c r="N431" t="str">
        <x:v>Lars Kohlenberg</x:v>
      </x:c>
      <x:c r="O431" t="str">
        <x:v>KATRIN KOHLENBERG</x:v>
      </x:c>
      <x:c r="P431" t="str">
        <x:v>Apanage</x:v>
      </x:c>
      <x:c r="Q431" t="str">
        <x:v>Ausgang</x:v>
      </x:c>
      <x:c r="R431" t="str">
        <x:v>DE32270727240307336800</x:v>
      </x:c>
      <x:c r="S431" t="n">
        <x:v>-1800</x:v>
      </x:c>
      <x:c r="T431" t="str">
        <x:v>"</x:v>
      </x:c>
      <x:c r="U431" t="str">
        <x:v>"</x:v>
      </x:c>
      <x:c r="V431" t="str">
        <x:v>"</x:v>
      </x:c>
    </x:row>
    <x:row r="432">
      <x:c r="A432" t="str">
        <x:v>RAW-IMP-20260516-FULLDRAFT-000415</x:v>
      </x:c>
      <x:c r="B432" t="str">
        <x:v>IMP-20260516-FULLDRAFT</x:v>
      </x:c>
      <x:c r="C432" t="str">
        <x:v>KTO001</x:v>
      </x:c>
      <x:c r="D432" t="str">
        <x:v>16-05-2026_Umsatzliste_Girokonto_DE98120300001061711675.csv</x:v>
      </x:c>
      <x:c r="E432" t="n">
        <x:v>46163</x:v>
      </x:c>
      <x:c r="F432" t="n">
        <x:v>415</x:v>
      </x:c>
      <x:c r="G432" t="str">
        <x:v>be19b33dff8a2f79e42b5b82ab69cde2202b06e56ab89cd959cbf5cec01e0429</x:v>
      </x:c>
      <x:c r="H432" t="str">
        <x:v>neu</x:v>
      </x:c>
      <x:c r="I432" t="str">
        <x:v>ok</x:v>
      </x:c>
      <x:c r="J432"/>
      <x:c r="K432" t="n">
        <x:v>46021</x:v>
      </x:c>
      <x:c r="L432" t="n">
        <x:v>46023</x:v>
      </x:c>
      <x:c r="M432" t="str">
        <x:v>Gebucht</x:v>
      </x:c>
      <x:c r="N432" t="str">
        <x:v>DKB AG</x:v>
      </x:c>
      <x:c r="O432" t="str">
        <x:v>DKB AG</x:v>
      </x:c>
      <x:c r="P432" t="str">
        <x:v>Abrechnung 30.12.2025 siehe Anlage Abrechnung 30.12.2025 Information zur Abrechnung Kontostand am 30.12.2025                                        5.263,78 + Abrechnungszeitraum vom 01.10.2025 bis 31.12.2025 Zinsen für eingeräumte Kontoüberziehung                              0,07-  7,9100 v.H. Kred-Zins  bis 22.12.2025 Abrechnung 31.12.2025                                                0,07- Sollzinssätze am 30.12.2025  7,9100 v.H. für eingeräumte Kontoüberziehung (aktuell eingeräumte Kontoüberziehung       2.000,00)  7,9100 v.H. für geduldete Kontoüberziehung über die eingeräumte Kontoüberziehung hinaus Es handelt sich hierbei um eine umsatzsteuerfreie Leistung. Kontostand/Rechnungsabschluss am 30.12.2025                     5.263,71 + Rechnungsnummer: 20251230-BY111-00258906847</x:v>
      </x:c>
      <x:c r="Q432" t="str">
        <x:v>Ausgang</x:v>
      </x:c>
      <x:c r="R432" t="str">
        <x:v>0000000000</x:v>
      </x:c>
      <x:c r="S432" t="n">
        <x:v>-0.07</x:v>
      </x:c>
      <x:c r="T432" t="str">
        <x:v>"</x:v>
      </x:c>
      <x:c r="U432" t="str">
        <x:v>"</x:v>
      </x:c>
      <x:c r="V432" t="str">
        <x:v>"</x:v>
      </x:c>
    </x:row>
    <x:row r="433">
      <x:c r="A433" t="str">
        <x:v>RAW-IMP-20260516-FULLDRAFT-000416</x:v>
      </x:c>
      <x:c r="B433" t="str">
        <x:v>IMP-20260516-FULLDRAFT</x:v>
      </x:c>
      <x:c r="C433" t="str">
        <x:v>KTO001</x:v>
      </x:c>
      <x:c r="D433" t="str">
        <x:v>16-05-2026_Umsatzliste_Girokonto_DE98120300001061711675.csv</x:v>
      </x:c>
      <x:c r="E433" t="n">
        <x:v>46163</x:v>
      </x:c>
      <x:c r="F433" t="n">
        <x:v>416</x:v>
      </x:c>
      <x:c r="G433" t="str">
        <x:v>faed2f944dd0714cdb8349a126b5a3b95f85e12628d21050b3be90e0c9e35988</x:v>
      </x:c>
      <x:c r="H433" t="str">
        <x:v>neu</x:v>
      </x:c>
      <x:c r="I433" t="str">
        <x:v>ok</x:v>
      </x:c>
      <x:c r="J433"/>
      <x:c r="K433" t="n">
        <x:v>46021</x:v>
      </x:c>
      <x:c r="L433" t="n">
        <x:v>46021</x:v>
      </x:c>
      <x:c r="M433" t="str">
        <x:v>Gebucht</x:v>
      </x:c>
      <x:c r="N433" t="str">
        <x:v>ISSUER</x:v>
      </x:c>
      <x:c r="O433" t="str">
        <x:v>REWE.Salzgitter.Ge/Salzgitter</x:v>
      </x:c>
      <x:c r="P433" t="str">
        <x:v>VISA Debitkartenumsatz vom 29.12.2025</x:v>
      </x:c>
      <x:c r="Q433" t="str">
        <x:v>Ausgang</x:v>
      </x:c>
      <x:c r="R433" t="str">
        <x:v>DE96120300009005290904</x:v>
      </x:c>
      <x:c r="S433" t="n">
        <x:v>-6.54</x:v>
      </x:c>
      <x:c r="T433" t="str">
        <x:v>"</x:v>
      </x:c>
      <x:c r="U433" t="str">
        <x:v>"</x:v>
      </x:c>
      <x:c r="V433" t="str">
        <x:v>485363686303117</x:v>
      </x:c>
    </x:row>
    <x:row r="434">
      <x:c r="A434" t="str">
        <x:v>RAW-IMP-20260516-FULLDRAFT-000417</x:v>
      </x:c>
      <x:c r="B434" t="str">
        <x:v>IMP-20260516-FULLDRAFT</x:v>
      </x:c>
      <x:c r="C434" t="str">
        <x:v>KTO001</x:v>
      </x:c>
      <x:c r="D434" t="str">
        <x:v>16-05-2026_Umsatzliste_Girokonto_DE98120300001061711675.csv</x:v>
      </x:c>
      <x:c r="E434" t="n">
        <x:v>46163</x:v>
      </x:c>
      <x:c r="F434" t="n">
        <x:v>417</x:v>
      </x:c>
      <x:c r="G434" t="str">
        <x:v>b677535d72a8ce17c9475472cd239a5beb9701f45c8c55c881c2ed38a55cbf6e</x:v>
      </x:c>
      <x:c r="H434" t="str">
        <x:v>neu</x:v>
      </x:c>
      <x:c r="I434" t="str">
        <x:v>ok</x:v>
      </x:c>
      <x:c r="J434"/>
      <x:c r="K434" t="n">
        <x:v>46021</x:v>
      </x:c>
      <x:c r="L434" t="n">
        <x:v>46021</x:v>
      </x:c>
      <x:c r="M434" t="str">
        <x:v>Gebucht</x:v>
      </x:c>
      <x:c r="N434" t="str">
        <x:v>Lars Kohlenberg</x:v>
      </x:c>
      <x:c r="O434" t="str">
        <x:v>Lea kohlenberg</x:v>
      </x:c>
      <x:c r="P434" t="str">
        <x:v>Taschengeld</x:v>
      </x:c>
      <x:c r="Q434" t="str">
        <x:v>Ausgang</x:v>
      </x:c>
      <x:c r="R434" t="str">
        <x:v>DE89269910662833344000</x:v>
      </x:c>
      <x:c r="S434" t="n">
        <x:v>-10</x:v>
      </x:c>
      <x:c r="T434" t="str">
        <x:v>"</x:v>
      </x:c>
      <x:c r="U434" t="str">
        <x:v>"</x:v>
      </x:c>
      <x:c r="V434" t="str">
        <x:v>"</x:v>
      </x:c>
    </x:row>
    <x:row r="435">
      <x:c r="A435" t="str">
        <x:v>RAW-IMP-20260516-FULLDRAFT-000418</x:v>
      </x:c>
      <x:c r="B435" t="str">
        <x:v>IMP-20260516-FULLDRAFT</x:v>
      </x:c>
      <x:c r="C435" t="str">
        <x:v>KTO001</x:v>
      </x:c>
      <x:c r="D435" t="str">
        <x:v>16-05-2026_Umsatzliste_Girokonto_DE98120300001061711675.csv</x:v>
      </x:c>
      <x:c r="E435" t="n">
        <x:v>46163</x:v>
      </x:c>
      <x:c r="F435" t="n">
        <x:v>418</x:v>
      </x:c>
      <x:c r="G435" t="str">
        <x:v>9e36ff5ea91f30b0425673769e054d813b018ef97c491fc581dac5c26a6656a6</x:v>
      </x:c>
      <x:c r="H435" t="str">
        <x:v>neu</x:v>
      </x:c>
      <x:c r="I435" t="str">
        <x:v>ok</x:v>
      </x:c>
      <x:c r="J435"/>
      <x:c r="K435" t="n">
        <x:v>46021</x:v>
      </x:c>
      <x:c r="L435" t="n">
        <x:v>46021</x:v>
      </x:c>
      <x:c r="M435" t="str">
        <x:v>Gebucht</x:v>
      </x:c>
      <x:c r="N435" t="str">
        <x:v>Lars Kohlenberg</x:v>
      </x:c>
      <x:c r="O435" t="str">
        <x:v>LARS KOHLENBERG</x:v>
      </x:c>
      <x:c r="P435" t="str">
        <x:v>Zins und Tilgung zu 2/3</x:v>
      </x:c>
      <x:c r="Q435" t="str">
        <x:v>Ausgang</x:v>
      </x:c>
      <x:c r="R435" t="str">
        <x:v>DE33269910668923736000</x:v>
      </x:c>
      <x:c r="S435" t="n">
        <x:v>-1153.94</x:v>
      </x:c>
      <x:c r="T435" t="str">
        <x:v>"</x:v>
      </x:c>
      <x:c r="U435" t="str">
        <x:v>"</x:v>
      </x:c>
      <x:c r="V435" t="str">
        <x:v>"</x:v>
      </x:c>
    </x:row>
    <x:row r="436">
      <x:c r="A436" t="str">
        <x:v>RAW-IMP-20260516-FULLDRAFT-000419</x:v>
      </x:c>
      <x:c r="B436" t="str">
        <x:v>IMP-20260516-FULLDRAFT</x:v>
      </x:c>
      <x:c r="C436" t="str">
        <x:v>KTO001</x:v>
      </x:c>
      <x:c r="D436" t="str">
        <x:v>16-05-2026_Umsatzliste_Girokonto_DE98120300001061711675.csv</x:v>
      </x:c>
      <x:c r="E436" t="n">
        <x:v>46163</x:v>
      </x:c>
      <x:c r="F436" t="n">
        <x:v>419</x:v>
      </x:c>
      <x:c r="G436" t="str">
        <x:v>2ef098147b9eaddeea0c7c4f28143864470f0c58b42170e92eba88cc8f7e0e8c</x:v>
      </x:c>
      <x:c r="H436" t="str">
        <x:v>neu</x:v>
      </x:c>
      <x:c r="I436" t="str">
        <x:v>ok</x:v>
      </x:c>
      <x:c r="J436"/>
      <x:c r="K436" t="n">
        <x:v>46021</x:v>
      </x:c>
      <x:c r="L436" t="n">
        <x:v>46021</x:v>
      </x:c>
      <x:c r="M436" t="str">
        <x:v>Gebucht</x:v>
      </x:c>
      <x:c r="N436" t="str">
        <x:v>Lars Kohlenberg                                                       Johannes-Wosnitza-Str. 8,38229 Salzgitter</x:v>
      </x:c>
      <x:c r="O436" t="str">
        <x:v>1+1 Mail + Media GmbH                                                 Elgendorfer Str. 57, 56410 Montabaur</x:v>
      </x:c>
      <x:c r="P436" t="str">
        <x:v>KD-Nr. K7440512/ RG-Nr. 201543280085</x:v>
      </x:c>
      <x:c r="Q436" t="str">
        <x:v>Ausgang</x:v>
      </x:c>
      <x:c r="R436" t="str">
        <x:v>DE76700800000881679702</x:v>
      </x:c>
      <x:c r="S436" t="n">
        <x:v>-8.99</x:v>
      </x:c>
      <x:c r="T436" t="str">
        <x:v>DE07ZZZ00000569718</x:v>
      </x:c>
      <x:c r="U436" t="str">
        <x:v>0090001393062</x:v>
      </x:c>
      <x:c r="V436" t="str">
        <x:v>005827902895</x:v>
      </x:c>
    </x:row>
    <x:row r="437">
      <x:c r="A437" t="str">
        <x:v>RAW-IMP-20260516-FULLDRAFT-000420</x:v>
      </x:c>
      <x:c r="B437" t="str">
        <x:v>IMP-20260516-FULLDRAFT</x:v>
      </x:c>
      <x:c r="C437" t="str">
        <x:v>KTO001</x:v>
      </x:c>
      <x:c r="D437" t="str">
        <x:v>16-05-2026_Umsatzliste_Girokonto_DE98120300001061711675.csv</x:v>
      </x:c>
      <x:c r="E437" t="n">
        <x:v>46163</x:v>
      </x:c>
      <x:c r="F437" t="n">
        <x:v>420</x:v>
      </x:c>
      <x:c r="G437" t="str">
        <x:v>abcbbd0c103eacab8181e594a8cb73febdfbfaea77cde3ee8392daf8f39e49b1</x:v>
      </x:c>
      <x:c r="H437" t="str">
        <x:v>neu</x:v>
      </x:c>
      <x:c r="I437" t="str">
        <x:v>ok</x:v>
      </x:c>
      <x:c r="J437"/>
      <x:c r="K437" t="n">
        <x:v>46021</x:v>
      </x:c>
      <x:c r="L437" t="n">
        <x:v>46021</x:v>
      </x:c>
      <x:c r="M437" t="str">
        <x:v>Gebucht</x:v>
      </x:c>
      <x:c r="N437" t="str">
        <x:v>Kohlenberg, Katrin</x:v>
      </x:c>
      <x:c r="O437" t="str">
        <x:v>WEVG Salzgitter GmbH + Co. KG</x:v>
      </x:c>
      <x:c r="P437" t="str">
        <x:v>Kd-Nr 79288 Einz 30.12.25 41710/137.00/Johannes-Wosni 100833/76.00/Johannes-Wosni</x:v>
      </x:c>
      <x:c r="Q437" t="str">
        <x:v>Ausgang</x:v>
      </x:c>
      <x:c r="R437" t="str">
        <x:v>DE19300700100394127500</x:v>
      </x:c>
      <x:c r="S437" t="n">
        <x:v>-213</x:v>
      </x:c>
      <x:c r="T437" t="str">
        <x:v>DE83WEV00000032716</x:v>
      </x:c>
      <x:c r="U437" t="str">
        <x:v>WEVG0000079288G1000178580</x:v>
      </x:c>
      <x:c r="V437" t="str">
        <x:v>14073059</x:v>
      </x:c>
    </x:row>
    <x:row r="438">
      <x:c r="A438" t="str">
        <x:v>RAW-IMP-20260516-FULLDRAFT-000421</x:v>
      </x:c>
      <x:c r="B438" t="str">
        <x:v>IMP-20260516-FULLDRAFT</x:v>
      </x:c>
      <x:c r="C438" t="str">
        <x:v>KTO001</x:v>
      </x:c>
      <x:c r="D438" t="str">
        <x:v>16-05-2026_Umsatzliste_Girokonto_DE98120300001061711675.csv</x:v>
      </x:c>
      <x:c r="E438" t="n">
        <x:v>46163</x:v>
      </x:c>
      <x:c r="F438" t="n">
        <x:v>421</x:v>
      </x:c>
      <x:c r="G438" t="str">
        <x:v>2033688facbefbb1651bf540d548cec23f5a4d6527a6d6d8ec9712cccbddbfad</x:v>
      </x:c>
      <x:c r="H438" t="str">
        <x:v>neu</x:v>
      </x:c>
      <x:c r="I438" t="str">
        <x:v>ok</x:v>
      </x:c>
      <x:c r="J438"/>
      <x:c r="K438" t="n">
        <x:v>46020</x:v>
      </x:c>
      <x:c r="L438" t="n">
        <x:v>46020</x:v>
      </x:c>
      <x:c r="M438" t="str">
        <x:v>Gebucht</x:v>
      </x:c>
      <x:c r="N438" t="str">
        <x:v>ISSUER</x:v>
      </x:c>
      <x:c r="O438" t="str">
        <x:v>3761.Salzgitter.Lebens/Salzgitter.Le</x:v>
      </x:c>
      <x:c r="P438" t="str">
        <x:v>VISA Debitkartenumsatz vom 24.12.2025</x:v>
      </x:c>
      <x:c r="Q438" t="str">
        <x:v>Ausgang</x:v>
      </x:c>
      <x:c r="R438" t="str">
        <x:v>DE96120300009005290904</x:v>
      </x:c>
      <x:c r="S438" t="n">
        <x:v>-4.99</x:v>
      </x:c>
      <x:c r="T438" t="str">
        <x:v>"</x:v>
      </x:c>
      <x:c r="U438" t="str">
        <x:v>"</x:v>
      </x:c>
      <x:c r="V438" t="str">
        <x:v>485358416824542</x:v>
      </x:c>
    </x:row>
    <x:row r="439">
      <x:c r="A439" t="str">
        <x:v>RAW-IMP-20260516-FULLDRAFT-000422</x:v>
      </x:c>
      <x:c r="B439" t="str">
        <x:v>IMP-20260516-FULLDRAFT</x:v>
      </x:c>
      <x:c r="C439" t="str">
        <x:v>KTO001</x:v>
      </x:c>
      <x:c r="D439" t="str">
        <x:v>16-05-2026_Umsatzliste_Girokonto_DE98120300001061711675.csv</x:v>
      </x:c>
      <x:c r="E439" t="n">
        <x:v>46163</x:v>
      </x:c>
      <x:c r="F439" t="n">
        <x:v>422</x:v>
      </x:c>
      <x:c r="G439" t="str">
        <x:v>7e9957af5b57b667798339bc8fcf52f8b4cd1ccb59565bf4f4d2f4216caad928</x:v>
      </x:c>
      <x:c r="H439" t="str">
        <x:v>neu</x:v>
      </x:c>
      <x:c r="I439" t="str">
        <x:v>ok</x:v>
      </x:c>
      <x:c r="J439"/>
      <x:c r="K439" t="n">
        <x:v>46020</x:v>
      </x:c>
      <x:c r="L439" t="n">
        <x:v>46020</x:v>
      </x:c>
      <x:c r="M439" t="str">
        <x:v>Gebucht</x:v>
      </x:c>
      <x:c r="N439" t="str">
        <x:v>ISSUER</x:v>
      </x:c>
      <x:c r="O439" t="str">
        <x:v>DM.Drogerie.Markt/Salzgitter</x:v>
      </x:c>
      <x:c r="P439" t="str">
        <x:v>VISA Debitkartenumsatz vom 24.12.2025</x:v>
      </x:c>
      <x:c r="Q439" t="str">
        <x:v>Ausgang</x:v>
      </x:c>
      <x:c r="R439" t="str">
        <x:v>DE96120300009005290904</x:v>
      </x:c>
      <x:c r="S439" t="n">
        <x:v>-40.44</x:v>
      </x:c>
      <x:c r="T439" t="str">
        <x:v>"</x:v>
      </x:c>
      <x:c r="U439" t="str">
        <x:v>"</x:v>
      </x:c>
      <x:c r="V439" t="str">
        <x:v>485358419188005</x:v>
      </x:c>
    </x:row>
    <x:row r="440">
      <x:c r="A440" t="str">
        <x:v>RAW-IMP-20260516-FULLDRAFT-000423</x:v>
      </x:c>
      <x:c r="B440" t="str">
        <x:v>IMP-20260516-FULLDRAFT</x:v>
      </x:c>
      <x:c r="C440" t="str">
        <x:v>KTO001</x:v>
      </x:c>
      <x:c r="D440" t="str">
        <x:v>16-05-2026_Umsatzliste_Girokonto_DE98120300001061711675.csv</x:v>
      </x:c>
      <x:c r="E440" t="n">
        <x:v>46163</x:v>
      </x:c>
      <x:c r="F440" t="n">
        <x:v>423</x:v>
      </x:c>
      <x:c r="G440" t="str">
        <x:v>fc0bb1d4e45d6ccb2304b7105aafb7e66ebb945bd3d24e472e85a690c1257e46</x:v>
      </x:c>
      <x:c r="H440" t="str">
        <x:v>neu</x:v>
      </x:c>
      <x:c r="I440" t="str">
        <x:v>ok</x:v>
      </x:c>
      <x:c r="J440"/>
      <x:c r="K440" t="n">
        <x:v>46020</x:v>
      </x:c>
      <x:c r="L440" t="n">
        <x:v>46020</x:v>
      </x:c>
      <x:c r="M440" t="str">
        <x:v>Gebucht</x:v>
      </x:c>
      <x:c r="N440" t="str">
        <x:v>ISSUER</x:v>
      </x:c>
      <x:c r="O440" t="str">
        <x:v>BOSPORUS.GRILL/SALZGITTER</x:v>
      </x:c>
      <x:c r="P440" t="str">
        <x:v>VISA Debitkartenumsatz vom 27.12.2025</x:v>
      </x:c>
      <x:c r="Q440" t="str">
        <x:v>Ausgang</x:v>
      </x:c>
      <x:c r="R440" t="str">
        <x:v>DE96120300009005290904</x:v>
      </x:c>
      <x:c r="S440" t="n">
        <x:v>-21</x:v>
      </x:c>
      <x:c r="T440" t="str">
        <x:v>"</x:v>
      </x:c>
      <x:c r="U440" t="str">
        <x:v>"</x:v>
      </x:c>
      <x:c r="V440" t="str">
        <x:v>485361655218623</x:v>
      </x:c>
    </x:row>
    <x:row r="441">
      <x:c r="A441" t="str">
        <x:v>RAW-IMP-20260516-FULLDRAFT-000424</x:v>
      </x:c>
      <x:c r="B441" t="str">
        <x:v>IMP-20260516-FULLDRAFT</x:v>
      </x:c>
      <x:c r="C441" t="str">
        <x:v>KTO001</x:v>
      </x:c>
      <x:c r="D441" t="str">
        <x:v>16-05-2026_Umsatzliste_Girokonto_DE98120300001061711675.csv</x:v>
      </x:c>
      <x:c r="E441" t="n">
        <x:v>46163</x:v>
      </x:c>
      <x:c r="F441" t="n">
        <x:v>424</x:v>
      </x:c>
      <x:c r="G441" t="str">
        <x:v>72955e5754880849db263560c9830f8bf729d9c9f99b1dc1793e510c8d5904fd</x:v>
      </x:c>
      <x:c r="H441" t="str">
        <x:v>neu</x:v>
      </x:c>
      <x:c r="I441" t="str">
        <x:v>ok</x:v>
      </x:c>
      <x:c r="J441"/>
      <x:c r="K441" t="n">
        <x:v>46020</x:v>
      </x:c>
      <x:c r="L441" t="n">
        <x:v>46015</x:v>
      </x:c>
      <x:c r="M441" t="str">
        <x:v>Gebucht</x:v>
      </x:c>
      <x:c r="N441" t="str">
        <x:v>ISSUER</x:v>
      </x:c>
      <x:c r="O441" t="str">
        <x:v>Ad.free.for..ZD0RQ4UN4/4.4.2012E.11</x:v>
      </x:c>
      <x:c r="P441" t="str">
        <x:v>VISA Debitkartenumsatz vom 23.12.2025</x:v>
      </x:c>
      <x:c r="Q441" t="str">
        <x:v>Ausgang</x:v>
      </x:c>
      <x:c r="R441" t="str">
        <x:v>DE96120300009005290904</x:v>
      </x:c>
      <x:c r="S441" t="n">
        <x:v>-2.99</x:v>
      </x:c>
      <x:c r="T441" t="str">
        <x:v>"</x:v>
      </x:c>
      <x:c r="U441" t="str">
        <x:v>"</x:v>
      </x:c>
      <x:c r="V441" t="str">
        <x:v>485357722847542</x:v>
      </x:c>
    </x:row>
    <x:row r="442">
      <x:c r="A442" t="str">
        <x:v>RAW-IMP-20260516-FULLDRAFT-000425</x:v>
      </x:c>
      <x:c r="B442" t="str">
        <x:v>IMP-20260516-FULLDRAFT</x:v>
      </x:c>
      <x:c r="C442" t="str">
        <x:v>KTO001</x:v>
      </x:c>
      <x:c r="D442" t="str">
        <x:v>16-05-2026_Umsatzliste_Girokonto_DE98120300001061711675.csv</x:v>
      </x:c>
      <x:c r="E442" t="n">
        <x:v>46163</x:v>
      </x:c>
      <x:c r="F442" t="n">
        <x:v>425</x:v>
      </x:c>
      <x:c r="G442" t="str">
        <x:v>01969a601ad67d3fe71d89e3ddda1b514658eaf8055bd216e1a177f54342f4d8</x:v>
      </x:c>
      <x:c r="H442" t="str">
        <x:v>neu</x:v>
      </x:c>
      <x:c r="I442" t="str">
        <x:v>ok</x:v>
      </x:c>
      <x:c r="J442"/>
      <x:c r="K442" t="n">
        <x:v>46020</x:v>
      </x:c>
      <x:c r="L442" t="n">
        <x:v>46020</x:v>
      </x:c>
      <x:c r="M442" t="str">
        <x:v>Gebucht</x:v>
      </x:c>
      <x:c r="N442" t="str">
        <x:v>ISSUER</x:v>
      </x:c>
      <x:c r="O442" t="str">
        <x:v>KAUFLAND.SALZGITTER.CIT/SALZGITTER</x:v>
      </x:c>
      <x:c r="P442" t="str">
        <x:v>VISA Debitkartenumsatz vom 24.12.2025</x:v>
      </x:c>
      <x:c r="Q442" t="str">
        <x:v>Ausgang</x:v>
      </x:c>
      <x:c r="R442" t="str">
        <x:v>DE96120300009005290904</x:v>
      </x:c>
      <x:c r="S442" t="n">
        <x:v>-17.47</x:v>
      </x:c>
      <x:c r="T442" t="str">
        <x:v>"</x:v>
      </x:c>
      <x:c r="U442" t="str">
        <x:v>"</x:v>
      </x:c>
      <x:c r="V442" t="str">
        <x:v>485358402617390</x:v>
      </x:c>
    </x:row>
    <x:row r="443">
      <x:c r="A443" t="str">
        <x:v>RAW-IMP-20260516-FULLDRAFT-000426</x:v>
      </x:c>
      <x:c r="B443" t="str">
        <x:v>IMP-20260516-FULLDRAFT</x:v>
      </x:c>
      <x:c r="C443" t="str">
        <x:v>KTO001</x:v>
      </x:c>
      <x:c r="D443" t="str">
        <x:v>16-05-2026_Umsatzliste_Girokonto_DE98120300001061711675.csv</x:v>
      </x:c>
      <x:c r="E443" t="n">
        <x:v>46163</x:v>
      </x:c>
      <x:c r="F443" t="n">
        <x:v>426</x:v>
      </x:c>
      <x:c r="G443" t="str">
        <x:v>68225ab745b25f3f0b2e352187f8efd3e78770231adf0f57063a296a98877acc</x:v>
      </x:c>
      <x:c r="H443" t="str">
        <x:v>neu</x:v>
      </x:c>
      <x:c r="I443" t="str">
        <x:v>ok</x:v>
      </x:c>
      <x:c r="J443"/>
      <x:c r="K443" t="n">
        <x:v>46020</x:v>
      </x:c>
      <x:c r="L443" t="n">
        <x:v>46015</x:v>
      </x:c>
      <x:c r="M443" t="str">
        <x:v>Gebucht</x:v>
      </x:c>
      <x:c r="N443" t="str">
        <x:v>ISSUER</x:v>
      </x:c>
      <x:c r="O443" t="str">
        <x:v>SPC.Reformhaus.Bacher/Erkrath</x:v>
      </x:c>
      <x:c r="P443" t="str">
        <x:v>VISA Debitkartenumsatz vom 23.12.2025</x:v>
      </x:c>
      <x:c r="Q443" t="str">
        <x:v>Ausgang</x:v>
      </x:c>
      <x:c r="R443" t="str">
        <x:v>DE96120300009005290904</x:v>
      </x:c>
      <x:c r="S443" t="n">
        <x:v>-20.36</x:v>
      </x:c>
      <x:c r="T443" t="str">
        <x:v>"</x:v>
      </x:c>
      <x:c r="U443" t="str">
        <x:v>"</x:v>
      </x:c>
      <x:c r="V443" t="str">
        <x:v>485357594808179</x:v>
      </x:c>
    </x:row>
    <x:row r="444">
      <x:c r="A444" t="str">
        <x:v>RAW-IMP-20260516-FULLDRAFT-000427</x:v>
      </x:c>
      <x:c r="B444" t="str">
        <x:v>IMP-20260516-FULLDRAFT</x:v>
      </x:c>
      <x:c r="C444" t="str">
        <x:v>KTO001</x:v>
      </x:c>
      <x:c r="D444" t="str">
        <x:v>16-05-2026_Umsatzliste_Girokonto_DE98120300001061711675.csv</x:v>
      </x:c>
      <x:c r="E444" t="n">
        <x:v>46163</x:v>
      </x:c>
      <x:c r="F444" t="n">
        <x:v>427</x:v>
      </x:c>
      <x:c r="G444" t="str">
        <x:v>c86d9384007fde80ba4ca54637060b624b36dc116d3470ae5b8f607392cb95a7</x:v>
      </x:c>
      <x:c r="H444" t="str">
        <x:v>neu</x:v>
      </x:c>
      <x:c r="I444" t="str">
        <x:v>ok</x:v>
      </x:c>
      <x:c r="J444"/>
      <x:c r="K444" t="n">
        <x:v>46020</x:v>
      </x:c>
      <x:c r="L444" t="n">
        <x:v>46020</x:v>
      </x:c>
      <x:c r="M444" t="str">
        <x:v>Gebucht</x:v>
      </x:c>
      <x:c r="N444" t="str">
        <x:v>ISSUER</x:v>
      </x:c>
      <x:c r="O444" t="str">
        <x:v>MEDIA.MARKT.TV.HIFI.EL/SALZGITTER</x:v>
      </x:c>
      <x:c r="P444" t="str">
        <x:v>VISA Debitkartenumsatz vom 24.12.2025</x:v>
      </x:c>
      <x:c r="Q444" t="str">
        <x:v>Ausgang</x:v>
      </x:c>
      <x:c r="R444" t="str">
        <x:v>DE96120300009005290904</x:v>
      </x:c>
      <x:c r="S444" t="n">
        <x:v>-419</x:v>
      </x:c>
      <x:c r="T444" t="str">
        <x:v>"</x:v>
      </x:c>
      <x:c r="U444" t="str">
        <x:v>"</x:v>
      </x:c>
      <x:c r="V444" t="str">
        <x:v>485358409387344</x:v>
      </x:c>
    </x:row>
    <x:row r="445">
      <x:c r="A445" t="str">
        <x:v>RAW-IMP-20260516-FULLDRAFT-000428</x:v>
      </x:c>
      <x:c r="B445" t="str">
        <x:v>IMP-20260516-FULLDRAFT</x:v>
      </x:c>
      <x:c r="C445" t="str">
        <x:v>KTO001</x:v>
      </x:c>
      <x:c r="D445" t="str">
        <x:v>16-05-2026_Umsatzliste_Girokonto_DE98120300001061711675.csv</x:v>
      </x:c>
      <x:c r="E445" t="n">
        <x:v>46163</x:v>
      </x:c>
      <x:c r="F445" t="n">
        <x:v>428</x:v>
      </x:c>
      <x:c r="G445" t="str">
        <x:v>9b171e0c00672d3905a924fe1fa3704a67af1e6ebc5d6e1a9357da90b4ff68d3</x:v>
      </x:c>
      <x:c r="H445" t="str">
        <x:v>neu</x:v>
      </x:c>
      <x:c r="I445" t="str">
        <x:v>ok</x:v>
      </x:c>
      <x:c r="J445"/>
      <x:c r="K445" t="n">
        <x:v>46020</x:v>
      </x:c>
      <x:c r="L445" t="n">
        <x:v>46020</x:v>
      </x:c>
      <x:c r="M445" t="str">
        <x:v>Gebucht</x:v>
      </x:c>
      <x:c r="N445" t="str">
        <x:v>ISSUER</x:v>
      </x:c>
      <x:c r="O445" t="str">
        <x:v>REWE.Acar.oHG/Salzgitter</x:v>
      </x:c>
      <x:c r="P445" t="str">
        <x:v>VISA Debitkartenumsatz vom 27.12.2025</x:v>
      </x:c>
      <x:c r="Q445" t="str">
        <x:v>Ausgang</x:v>
      </x:c>
      <x:c r="R445" t="str">
        <x:v>DE96120300009005290904</x:v>
      </x:c>
      <x:c r="S445" t="n">
        <x:v>-96.75</x:v>
      </x:c>
      <x:c r="T445" t="str">
        <x:v>"</x:v>
      </x:c>
      <x:c r="U445" t="str">
        <x:v>"</x:v>
      </x:c>
      <x:c r="V445" t="str">
        <x:v>485361470212905</x:v>
      </x:c>
    </x:row>
    <x:row r="446">
      <x:c r="A446" t="str">
        <x:v>RAW-IMP-20260516-FULLDRAFT-000429</x:v>
      </x:c>
      <x:c r="B446" t="str">
        <x:v>IMP-20260516-FULLDRAFT</x:v>
      </x:c>
      <x:c r="C446" t="str">
        <x:v>KTO001</x:v>
      </x:c>
      <x:c r="D446" t="str">
        <x:v>16-05-2026_Umsatzliste_Girokonto_DE98120300001061711675.csv</x:v>
      </x:c>
      <x:c r="E446" t="n">
        <x:v>46163</x:v>
      </x:c>
      <x:c r="F446" t="n">
        <x:v>429</x:v>
      </x:c>
      <x:c r="G446" t="str">
        <x:v>cb13b16965c9918e26c07ad997a028629c50dda92b6d05f325894eb0cb88e137</x:v>
      </x:c>
      <x:c r="H446" t="str">
        <x:v>neu</x:v>
      </x:c>
      <x:c r="I446" t="str">
        <x:v>ok</x:v>
      </x:c>
      <x:c r="J446"/>
      <x:c r="K446" t="n">
        <x:v>46020</x:v>
      </x:c>
      <x:c r="L446" t="n">
        <x:v>46015</x:v>
      </x:c>
      <x:c r="M446" t="str">
        <x:v>Gebucht</x:v>
      </x:c>
      <x:c r="N446" t="str">
        <x:v>ISSUER</x:v>
      </x:c>
      <x:c r="O446" t="str">
        <x:v>REWE.Acar.oHG/Salzgitter</x:v>
      </x:c>
      <x:c r="P446" t="str">
        <x:v>VISA Debitkartenumsatz vom 23.12.2025</x:v>
      </x:c>
      <x:c r="Q446" t="str">
        <x:v>Ausgang</x:v>
      </x:c>
      <x:c r="R446" t="str">
        <x:v>DE96120300009005290904</x:v>
      </x:c>
      <x:c r="S446" t="n">
        <x:v>-90.73</x:v>
      </x:c>
      <x:c r="T446" t="str">
        <x:v>"</x:v>
      </x:c>
      <x:c r="U446" t="str">
        <x:v>"</x:v>
      </x:c>
      <x:c r="V446" t="str">
        <x:v>485357619564412</x:v>
      </x:c>
    </x:row>
    <x:row r="447">
      <x:c r="A447" t="str">
        <x:v>RAW-IMP-20260516-FULLDRAFT-000430</x:v>
      </x:c>
      <x:c r="B447" t="str">
        <x:v>IMP-20260516-FULLDRAFT</x:v>
      </x:c>
      <x:c r="C447" t="str">
        <x:v>KTO001</x:v>
      </x:c>
      <x:c r="D447" t="str">
        <x:v>16-05-2026_Umsatzliste_Girokonto_DE98120300001061711675.csv</x:v>
      </x:c>
      <x:c r="E447" t="n">
        <x:v>46163</x:v>
      </x:c>
      <x:c r="F447" t="n">
        <x:v>430</x:v>
      </x:c>
      <x:c r="G447" t="str">
        <x:v>ec99f0113a20855bc197e0ceae9819cf9d913f2d0c269e9f704be0a046610a8e</x:v>
      </x:c>
      <x:c r="H447" t="str">
        <x:v>neu</x:v>
      </x:c>
      <x:c r="I447" t="str">
        <x:v>ok</x:v>
      </x:c>
      <x:c r="J447"/>
      <x:c r="K447" t="n">
        <x:v>46020</x:v>
      </x:c>
      <x:c r="L447" t="n">
        <x:v>46020</x:v>
      </x:c>
      <x:c r="M447" t="str">
        <x:v>Gebucht</x:v>
      </x:c>
      <x:c r="N447" t="str">
        <x:v>ISSUER</x:v>
      </x:c>
      <x:c r="O447" t="str">
        <x:v>BRAUNSCHWEIGER.IMMOBIL/SALZGITTER</x:v>
      </x:c>
      <x:c r="P447" t="str">
        <x:v>VISA Debitkartenumsatz vom 24.12.2025</x:v>
      </x:c>
      <x:c r="Q447" t="str">
        <x:v>Ausgang</x:v>
      </x:c>
      <x:c r="R447" t="str">
        <x:v>DE96120300009005290904</x:v>
      </x:c>
      <x:c r="S447" t="n">
        <x:v>-1.5</x:v>
      </x:c>
      <x:c r="T447" t="str">
        <x:v>"</x:v>
      </x:c>
      <x:c r="U447" t="str">
        <x:v>"</x:v>
      </x:c>
      <x:c r="V447" t="str">
        <x:v>485358420875713</x:v>
      </x:c>
    </x:row>
    <x:row r="448">
      <x:c r="A448" t="str">
        <x:v>RAW-IMP-20260516-FULLDRAFT-000431</x:v>
      </x:c>
      <x:c r="B448" t="str">
        <x:v>IMP-20260516-FULLDRAFT</x:v>
      </x:c>
      <x:c r="C448" t="str">
        <x:v>KTO001</x:v>
      </x:c>
      <x:c r="D448" t="str">
        <x:v>16-05-2026_Umsatzliste_Girokonto_DE98120300001061711675.csv</x:v>
      </x:c>
      <x:c r="E448" t="n">
        <x:v>46163</x:v>
      </x:c>
      <x:c r="F448" t="n">
        <x:v>431</x:v>
      </x:c>
      <x:c r="G448" t="str">
        <x:v>c448a1ae12ad441dffb8a19a21a6b3ab206341e5ed825cc0cc881a79d84aad16</x:v>
      </x:c>
      <x:c r="H448" t="str">
        <x:v>neu</x:v>
      </x:c>
      <x:c r="I448" t="str">
        <x:v>ok</x:v>
      </x:c>
      <x:c r="J448"/>
      <x:c r="K448" t="n">
        <x:v>46020</x:v>
      </x:c>
      <x:c r="L448" t="n">
        <x:v>46020</x:v>
      </x:c>
      <x:c r="M448" t="str">
        <x:v>Gebucht</x:v>
      </x:c>
      <x:c r="N448" t="str">
        <x:v>Lars Kohlenberg</x:v>
      </x:c>
      <x:c r="O448" t="str">
        <x:v>Bernd Tietje</x:v>
      </x:c>
      <x:c r="P448" t="str">
        <x:v>Doko Wochenende 12.-15.03.26</x:v>
      </x:c>
      <x:c r="Q448" t="str">
        <x:v>Ausgang</x:v>
      </x:c>
      <x:c r="R448" t="str">
        <x:v>DE71292657473600490100</x:v>
      </x:c>
      <x:c r="S448" t="n">
        <x:v>-143</x:v>
      </x:c>
      <x:c r="T448" t="str">
        <x:v>"</x:v>
      </x:c>
      <x:c r="U448" t="str">
        <x:v>"</x:v>
      </x:c>
      <x:c r="V448" t="str">
        <x:v>"</x:v>
      </x:c>
    </x:row>
    <x:row r="449">
      <x:c r="A449" t="str">
        <x:v>RAW-IMP-20260516-FULLDRAFT-000432</x:v>
      </x:c>
      <x:c r="B449" t="str">
        <x:v>IMP-20260516-FULLDRAFT</x:v>
      </x:c>
      <x:c r="C449" t="str">
        <x:v>KTO001</x:v>
      </x:c>
      <x:c r="D449" t="str">
        <x:v>16-05-2026_Umsatzliste_Girokonto_DE98120300001061711675.csv</x:v>
      </x:c>
      <x:c r="E449" t="n">
        <x:v>46163</x:v>
      </x:c>
      <x:c r="F449" t="n">
        <x:v>432</x:v>
      </x:c>
      <x:c r="G449" t="str">
        <x:v>8b605d03fd202abff28889cf0306626f5591323730859fddefe225d496e3fa41</x:v>
      </x:c>
      <x:c r="H449" t="str">
        <x:v>neu</x:v>
      </x:c>
      <x:c r="I449" t="str">
        <x:v>ok</x:v>
      </x:c>
      <x:c r="J449"/>
      <x:c r="K449" t="n">
        <x:v>46014</x:v>
      </x:c>
      <x:c r="L449" t="n">
        <x:v>46014</x:v>
      </x:c>
      <x:c r="M449" t="str">
        <x:v>Gebucht</x:v>
      </x:c>
      <x:c r="N449" t="str">
        <x:v>ISSUER</x:v>
      </x:c>
      <x:c r="O449" t="str">
        <x:v>Lidl.sagt.Danke/Salzgitter</x:v>
      </x:c>
      <x:c r="P449" t="str">
        <x:v>VISA Debitkartenumsatz vom 22.12.2025</x:v>
      </x:c>
      <x:c r="Q449" t="str">
        <x:v>Ausgang</x:v>
      </x:c>
      <x:c r="R449" t="str">
        <x:v>DE96120300009005290904</x:v>
      </x:c>
      <x:c r="S449" t="n">
        <x:v>-40.45</x:v>
      </x:c>
      <x:c r="T449" t="str">
        <x:v>"</x:v>
      </x:c>
      <x:c r="U449" t="str">
        <x:v>"</x:v>
      </x:c>
      <x:c r="V449" t="str">
        <x:v>485356692396410</x:v>
      </x:c>
    </x:row>
    <x:row r="450">
      <x:c r="A450" t="str">
        <x:v>RAW-IMP-20260516-FULLDRAFT-000433</x:v>
      </x:c>
      <x:c r="B450" t="str">
        <x:v>IMP-20260516-FULLDRAFT</x:v>
      </x:c>
      <x:c r="C450" t="str">
        <x:v>KTO001</x:v>
      </x:c>
      <x:c r="D450" t="str">
        <x:v>16-05-2026_Umsatzliste_Girokonto_DE98120300001061711675.csv</x:v>
      </x:c>
      <x:c r="E450" t="n">
        <x:v>46163</x:v>
      </x:c>
      <x:c r="F450" t="n">
        <x:v>433</x:v>
      </x:c>
      <x:c r="G450" t="str">
        <x:v>d90a224ca2db91e430c6c7859f2049bb23a6de223c551300812eea7f8f8f7e4f</x:v>
      </x:c>
      <x:c r="H450" t="str">
        <x:v>neu</x:v>
      </x:c>
      <x:c r="I450" t="str">
        <x:v>ok</x:v>
      </x:c>
      <x:c r="J450"/>
      <x:c r="K450" t="n">
        <x:v>46014</x:v>
      </x:c>
      <x:c r="L450" t="n">
        <x:v>46014</x:v>
      </x:c>
      <x:c r="M450" t="str">
        <x:v>Gebucht</x:v>
      </x:c>
      <x:c r="N450" t="str">
        <x:v>Caritasverband fur die Diozese Hildesheim e.V.</x:v>
      </x:c>
      <x:c r="O450" t="str">
        <x:v>KOHLENBERG LARS</x:v>
      </x:c>
      <x:c r="P450" t="str">
        <x:v>GEHALT 12/25</x:v>
      </x:c>
      <x:c r="Q450" t="str">
        <x:v>Eingang</x:v>
      </x:c>
      <x:c r="R450" t="str">
        <x:v>DE46400602650023003301</x:v>
      </x:c>
      <x:c r="S450" t="n">
        <x:v>7830.4</x:v>
      </x:c>
      <x:c r="T450" t="str">
        <x:v>"</x:v>
      </x:c>
      <x:c r="U450" t="str">
        <x:v>"</x:v>
      </x:c>
      <x:c r="V450" t="str">
        <x:v>001001987662SALA001944004</x:v>
      </x:c>
    </x:row>
    <x:row r="451">
      <x:c r="A451" t="str">
        <x:v>RAW-IMP-20260516-FULLDRAFT-000434</x:v>
      </x:c>
      <x:c r="B451" t="str">
        <x:v>IMP-20260516-FULLDRAFT</x:v>
      </x:c>
      <x:c r="C451" t="str">
        <x:v>KTO001</x:v>
      </x:c>
      <x:c r="D451" t="str">
        <x:v>16-05-2026_Umsatzliste_Girokonto_DE98120300001061711675.csv</x:v>
      </x:c>
      <x:c r="E451" t="n">
        <x:v>46163</x:v>
      </x:c>
      <x:c r="F451" t="n">
        <x:v>434</x:v>
      </x:c>
      <x:c r="G451" t="str">
        <x:v>3e030882153862cc5910b8c63dd9830c6b5e1e6487d2222a3c4d8c1fed842605</x:v>
      </x:c>
      <x:c r="H451" t="str">
        <x:v>neu</x:v>
      </x:c>
      <x:c r="I451" t="str">
        <x:v>ok</x:v>
      </x:c>
      <x:c r="J451"/>
      <x:c r="K451" t="n">
        <x:v>46014</x:v>
      </x:c>
      <x:c r="L451" t="n">
        <x:v>46014</x:v>
      </x:c>
      <x:c r="M451" t="str">
        <x:v>Gebucht</x:v>
      </x:c>
      <x:c r="N451" t="str">
        <x:v>ISSUER</x:v>
      </x:c>
      <x:c r="O451" t="str">
        <x:v>EDEKA.POTRATZ/HILDESHEIM</x:v>
      </x:c>
      <x:c r="P451" t="str">
        <x:v>VISA Debitkartenumsatz vom 22.12.2025</x:v>
      </x:c>
      <x:c r="Q451" t="str">
        <x:v>Ausgang</x:v>
      </x:c>
      <x:c r="R451" t="str">
        <x:v>DE96120300009005290904</x:v>
      </x:c>
      <x:c r="S451" t="n">
        <x:v>-4.53</x:v>
      </x:c>
      <x:c r="T451" t="str">
        <x:v>"</x:v>
      </x:c>
      <x:c r="U451" t="str">
        <x:v>"</x:v>
      </x:c>
      <x:c r="V451" t="str">
        <x:v>485356396482669</x:v>
      </x:c>
    </x:row>
    <x:row r="452">
      <x:c r="A452" t="str">
        <x:v>RAW-IMP-20260516-FULLDRAFT-000435</x:v>
      </x:c>
      <x:c r="B452" t="str">
        <x:v>IMP-20260516-FULLDRAFT</x:v>
      </x:c>
      <x:c r="C452" t="str">
        <x:v>KTO001</x:v>
      </x:c>
      <x:c r="D452" t="str">
        <x:v>16-05-2026_Umsatzliste_Girokonto_DE98120300001061711675.csv</x:v>
      </x:c>
      <x:c r="E452" t="n">
        <x:v>46163</x:v>
      </x:c>
      <x:c r="F452" t="n">
        <x:v>435</x:v>
      </x:c>
      <x:c r="G452" t="str">
        <x:v>24b379a3a1c89a628ec57df34730a1ac4a8c554557e3aa65f1e37288f7b6bb8c</x:v>
      </x:c>
      <x:c r="H452" t="str">
        <x:v>neu</x:v>
      </x:c>
      <x:c r="I452" t="str">
        <x:v>ok</x:v>
      </x:c>
      <x:c r="J452"/>
      <x:c r="K452" t="n">
        <x:v>46014</x:v>
      </x:c>
      <x:c r="L452" t="n">
        <x:v>46014</x:v>
      </x:c>
      <x:c r="M452" t="str">
        <x:v>Gebucht</x:v>
      </x:c>
      <x:c r="N452" t="str">
        <x:v>ISSUER</x:v>
      </x:c>
      <x:c r="O452" t="str">
        <x:v>AMZN.Mktp.DE.ZD39W9Q24/AMZN.COM.BILL</x:v>
      </x:c>
      <x:c r="P452" t="str">
        <x:v>VISA Debitkartenumsatz vom 22.12.2025</x:v>
      </x:c>
      <x:c r="Q452" t="str">
        <x:v>Ausgang</x:v>
      </x:c>
      <x:c r="R452" t="str">
        <x:v>DE96120300009005290904</x:v>
      </x:c>
      <x:c r="S452" t="n">
        <x:v>-33.62</x:v>
      </x:c>
      <x:c r="T452" t="str">
        <x:v>"</x:v>
      </x:c>
      <x:c r="U452" t="str">
        <x:v>"</x:v>
      </x:c>
      <x:c r="V452" t="str">
        <x:v>485355745482502</x:v>
      </x:c>
    </x:row>
    <x:row r="453">
      <x:c r="A453" t="str">
        <x:v>RAW-IMP-20260516-FULLDRAFT-000436</x:v>
      </x:c>
      <x:c r="B453" t="str">
        <x:v>IMP-20260516-FULLDRAFT</x:v>
      </x:c>
      <x:c r="C453" t="str">
        <x:v>KTO001</x:v>
      </x:c>
      <x:c r="D453" t="str">
        <x:v>16-05-2026_Umsatzliste_Girokonto_DE98120300001061711675.csv</x:v>
      </x:c>
      <x:c r="E453" t="n">
        <x:v>46163</x:v>
      </x:c>
      <x:c r="F453" t="n">
        <x:v>436</x:v>
      </x:c>
      <x:c r="G453" t="str">
        <x:v>cdc3e5cb9ae1636ae221f7034d69e6e58d7520d4cb16bbad2911a5f4d861e905</x:v>
      </x:c>
      <x:c r="H453" t="str">
        <x:v>neu</x:v>
      </x:c>
      <x:c r="I453" t="str">
        <x:v>ok</x:v>
      </x:c>
      <x:c r="J453"/>
      <x:c r="K453" t="n">
        <x:v>46014</x:v>
      </x:c>
      <x:c r="L453" t="n">
        <x:v>46014</x:v>
      </x:c>
      <x:c r="M453" t="str">
        <x:v>Gebucht</x:v>
      </x:c>
      <x:c r="N453" t="str">
        <x:v>ISSUER</x:v>
      </x:c>
      <x:c r="O453" t="str">
        <x:v>Volksbank.BRAWO.eG/BS.Bohlweg</x:v>
      </x:c>
      <x:c r="P453" t="str">
        <x:v>VISA Debitkartenumsatz vom 22.12.2025</x:v>
      </x:c>
      <x:c r="Q453" t="str">
        <x:v>Ausgang</x:v>
      </x:c>
      <x:c r="R453" t="str">
        <x:v>DE96120300009005290904</x:v>
      </x:c>
      <x:c r="S453" t="n">
        <x:v>-100</x:v>
      </x:c>
      <x:c r="T453" t="str">
        <x:v>"</x:v>
      </x:c>
      <x:c r="U453" t="str">
        <x:v>"</x:v>
      </x:c>
      <x:c r="V453" t="str">
        <x:v>485356620216603</x:v>
      </x:c>
    </x:row>
    <x:row r="454">
      <x:c r="A454" t="str">
        <x:v>RAW-IMP-20260516-FULLDRAFT-000437</x:v>
      </x:c>
      <x:c r="B454" t="str">
        <x:v>IMP-20260516-FULLDRAFT</x:v>
      </x:c>
      <x:c r="C454" t="str">
        <x:v>KTO001</x:v>
      </x:c>
      <x:c r="D454" t="str">
        <x:v>16-05-2026_Umsatzliste_Girokonto_DE98120300001061711675.csv</x:v>
      </x:c>
      <x:c r="E454" t="n">
        <x:v>46163</x:v>
      </x:c>
      <x:c r="F454" t="n">
        <x:v>437</x:v>
      </x:c>
      <x:c r="G454" t="str">
        <x:v>5f349f68efd62c56100f82376fcefe924c1214fb281a7475de0c076b1403771a</x:v>
      </x:c>
      <x:c r="H454" t="str">
        <x:v>neu</x:v>
      </x:c>
      <x:c r="I454" t="str">
        <x:v>ok</x:v>
      </x:c>
      <x:c r="J454"/>
      <x:c r="K454" t="n">
        <x:v>46014</x:v>
      </x:c>
      <x:c r="L454" t="n">
        <x:v>46014</x:v>
      </x:c>
      <x:c r="M454" t="str">
        <x:v>Gebucht</x:v>
      </x:c>
      <x:c r="N454" t="str">
        <x:v>Lars Kohlenberg</x:v>
      </x:c>
      <x:c r="O454" t="str">
        <x:v>Drillisch Online GmbH                                                 Lindleystrase 11, 60314 Frankfurt am Main</x:v>
      </x:c>
      <x:c r="P454" t="str">
        <x:v>C0851820 U766422008 B874681728 winSIM</x:v>
      </x:c>
      <x:c r="Q454" t="str">
        <x:v>Ausgang</x:v>
      </x:c>
      <x:c r="R454" t="str">
        <x:v>DE87300500000008996811</x:v>
      </x:c>
      <x:c r="S454" t="n">
        <x:v>-6.99</x:v>
      </x:c>
      <x:c r="T454" t="str">
        <x:v>DE40ZZZ00000206926</x:v>
      </x:c>
      <x:c r="U454" t="str">
        <x:v>FB1310D094B04186E02ACE7B8C6</x:v>
      </x:c>
      <x:c r="V454" t="str">
        <x:v>C0851820+U766422008</x:v>
      </x:c>
    </x:row>
    <x:row r="455">
      <x:c r="A455" t="str">
        <x:v>RAW-IMP-20260516-FULLDRAFT-000438</x:v>
      </x:c>
      <x:c r="B455" t="str">
        <x:v>IMP-20260516-FULLDRAFT</x:v>
      </x:c>
      <x:c r="C455" t="str">
        <x:v>KTO001</x:v>
      </x:c>
      <x:c r="D455" t="str">
        <x:v>16-05-2026_Umsatzliste_Girokonto_DE98120300001061711675.csv</x:v>
      </x:c>
      <x:c r="E455" t="n">
        <x:v>46163</x:v>
      </x:c>
      <x:c r="F455" t="n">
        <x:v>438</x:v>
      </x:c>
      <x:c r="G455" t="str">
        <x:v>fb372d60609e6cae0cbff17d175138fe27e00f78cb9fab69ae2e598b83e294a6</x:v>
      </x:c>
      <x:c r="H455" t="str">
        <x:v>neu</x:v>
      </x:c>
      <x:c r="I455" t="str">
        <x:v>ok</x:v>
      </x:c>
      <x:c r="J455"/>
      <x:c r="K455" t="n">
        <x:v>46013</x:v>
      </x:c>
      <x:c r="L455" t="n">
        <x:v>46013</x:v>
      </x:c>
      <x:c r="M455" t="str">
        <x:v>Gebucht</x:v>
      </x:c>
      <x:c r="N455" t="str">
        <x:v>ISSUER</x:v>
      </x:c>
      <x:c r="O455" t="str">
        <x:v>THALIA.BUCHHANDLUNG.NOR/Braunschweig</x:v>
      </x:c>
      <x:c r="P455" t="str">
        <x:v>VISA Debitkartenumsatz vom 20.12.2025</x:v>
      </x:c>
      <x:c r="Q455" t="str">
        <x:v>Ausgang</x:v>
      </x:c>
      <x:c r="R455" t="str">
        <x:v>DE96120300009005290904</x:v>
      </x:c>
      <x:c r="S455" t="n">
        <x:v>-36</x:v>
      </x:c>
      <x:c r="T455" t="str">
        <x:v>"</x:v>
      </x:c>
      <x:c r="U455" t="str">
        <x:v>"</x:v>
      </x:c>
      <x:c r="V455" t="str">
        <x:v>485354395220998</x:v>
      </x:c>
    </x:row>
    <x:row r="456">
      <x:c r="A456" t="str">
        <x:v>RAW-IMP-20260516-FULLDRAFT-000439</x:v>
      </x:c>
      <x:c r="B456" t="str">
        <x:v>IMP-20260516-FULLDRAFT</x:v>
      </x:c>
      <x:c r="C456" t="str">
        <x:v>KTO001</x:v>
      </x:c>
      <x:c r="D456" t="str">
        <x:v>16-05-2026_Umsatzliste_Girokonto_DE98120300001061711675.csv</x:v>
      </x:c>
      <x:c r="E456" t="n">
        <x:v>46163</x:v>
      </x:c>
      <x:c r="F456" t="n">
        <x:v>439</x:v>
      </x:c>
      <x:c r="G456" t="str">
        <x:v>77fbdb20fd68f9b9635afd7f70226b03ca808f922e9a23e75bdab5c9b2eeeb36</x:v>
      </x:c>
      <x:c r="H456" t="str">
        <x:v>neu</x:v>
      </x:c>
      <x:c r="I456" t="str">
        <x:v>ok</x:v>
      </x:c>
      <x:c r="J456"/>
      <x:c r="K456" t="n">
        <x:v>46013</x:v>
      </x:c>
      <x:c r="L456" t="n">
        <x:v>46013</x:v>
      </x:c>
      <x:c r="M456" t="str">
        <x:v>Gebucht</x:v>
      </x:c>
      <x:c r="N456" t="str">
        <x:v>ISSUER</x:v>
      </x:c>
      <x:c r="O456" t="str">
        <x:v>METRO.SAGT.DANKE/BRAUNSCHWEIG</x:v>
      </x:c>
      <x:c r="P456" t="str">
        <x:v>VISA Debitkartenumsatz vom 20.12.2025</x:v>
      </x:c>
      <x:c r="Q456" t="str">
        <x:v>Ausgang</x:v>
      </x:c>
      <x:c r="R456" t="str">
        <x:v>DE96120300009005290904</x:v>
      </x:c>
      <x:c r="S456" t="n">
        <x:v>-44.91</x:v>
      </x:c>
      <x:c r="T456" t="str">
        <x:v>"</x:v>
      </x:c>
      <x:c r="U456" t="str">
        <x:v>"</x:v>
      </x:c>
      <x:c r="V456" t="str">
        <x:v>485354449046836</x:v>
      </x:c>
    </x:row>
    <x:row r="457">
      <x:c r="A457" t="str">
        <x:v>RAW-IMP-20260516-FULLDRAFT-000440</x:v>
      </x:c>
      <x:c r="B457" t="str">
        <x:v>IMP-20260516-FULLDRAFT</x:v>
      </x:c>
      <x:c r="C457" t="str">
        <x:v>KTO001</x:v>
      </x:c>
      <x:c r="D457" t="str">
        <x:v>16-05-2026_Umsatzliste_Girokonto_DE98120300001061711675.csv</x:v>
      </x:c>
      <x:c r="E457" t="n">
        <x:v>46163</x:v>
      </x:c>
      <x:c r="F457" t="n">
        <x:v>440</x:v>
      </x:c>
      <x:c r="G457" t="str">
        <x:v>5237d7aad50e34f7cb2d505f0f6db32ec91ce55a577240120d882d2d5f9aa4ed</x:v>
      </x:c>
      <x:c r="H457" t="str">
        <x:v>neu</x:v>
      </x:c>
      <x:c r="I457" t="str">
        <x:v>ok</x:v>
      </x:c>
      <x:c r="J457"/>
      <x:c r="K457" t="n">
        <x:v>46013</x:v>
      </x:c>
      <x:c r="L457" t="n">
        <x:v>46013</x:v>
      </x:c>
      <x:c r="M457" t="str">
        <x:v>Gebucht</x:v>
      </x:c>
      <x:c r="N457" t="str">
        <x:v>ISSUER</x:v>
      </x:c>
      <x:c r="O457" t="str">
        <x:v>REWE.Salzgitter.Ge/Salzgitter</x:v>
      </x:c>
      <x:c r="P457" t="str">
        <x:v>VISA Debitkartenumsatz vom 19.12.2025</x:v>
      </x:c>
      <x:c r="Q457" t="str">
        <x:v>Ausgang</x:v>
      </x:c>
      <x:c r="R457" t="str">
        <x:v>DE96120300009005290904</x:v>
      </x:c>
      <x:c r="S457" t="n">
        <x:v>-27.56</x:v>
      </x:c>
      <x:c r="T457" t="str">
        <x:v>"</x:v>
      </x:c>
      <x:c r="U457" t="str">
        <x:v>"</x:v>
      </x:c>
      <x:c r="V457" t="str">
        <x:v>485353639029349</x:v>
      </x:c>
    </x:row>
    <x:row r="458">
      <x:c r="A458" t="str">
        <x:v>RAW-IMP-20260516-FULLDRAFT-000441</x:v>
      </x:c>
      <x:c r="B458" t="str">
        <x:v>IMP-20260516-FULLDRAFT</x:v>
      </x:c>
      <x:c r="C458" t="str">
        <x:v>KTO001</x:v>
      </x:c>
      <x:c r="D458" t="str">
        <x:v>16-05-2026_Umsatzliste_Girokonto_DE98120300001061711675.csv</x:v>
      </x:c>
      <x:c r="E458" t="n">
        <x:v>46163</x:v>
      </x:c>
      <x:c r="F458" t="n">
        <x:v>441</x:v>
      </x:c>
      <x:c r="G458" t="str">
        <x:v>bfcfef156ed717aefb9667e2b9004ffc29cd50e9f1c42b2fb440d959c3bfa6da</x:v>
      </x:c>
      <x:c r="H458" t="str">
        <x:v>neu</x:v>
      </x:c>
      <x:c r="I458" t="str">
        <x:v>ok</x:v>
      </x:c>
      <x:c r="J458"/>
      <x:c r="K458" t="n">
        <x:v>46013</x:v>
      </x:c>
      <x:c r="L458" t="n">
        <x:v>46013</x:v>
      </x:c>
      <x:c r="M458" t="str">
        <x:v>Gebucht</x:v>
      </x:c>
      <x:c r="N458" t="str">
        <x:v>ISSUER</x:v>
      </x:c>
      <x:c r="O458" t="str">
        <x:v>DESIGNFORUM/BRAUNSCHWEIG</x:v>
      </x:c>
      <x:c r="P458" t="str">
        <x:v>VISA Debitkartenumsatz vom 20.12.2025</x:v>
      </x:c>
      <x:c r="Q458" t="str">
        <x:v>Ausgang</x:v>
      </x:c>
      <x:c r="R458" t="str">
        <x:v>DE96120300009005290904</x:v>
      </x:c>
      <x:c r="S458" t="n">
        <x:v>-38.6</x:v>
      </x:c>
      <x:c r="T458" t="str">
        <x:v>"</x:v>
      </x:c>
      <x:c r="U458" t="str">
        <x:v>"</x:v>
      </x:c>
      <x:c r="V458" t="str">
        <x:v>485354336696604</x:v>
      </x:c>
    </x:row>
    <x:row r="459">
      <x:c r="A459" t="str">
        <x:v>RAW-IMP-20260516-FULLDRAFT-000442</x:v>
      </x:c>
      <x:c r="B459" t="str">
        <x:v>IMP-20260516-FULLDRAFT</x:v>
      </x:c>
      <x:c r="C459" t="str">
        <x:v>KTO001</x:v>
      </x:c>
      <x:c r="D459" t="str">
        <x:v>16-05-2026_Umsatzliste_Girokonto_DE98120300001061711675.csv</x:v>
      </x:c>
      <x:c r="E459" t="n">
        <x:v>46163</x:v>
      </x:c>
      <x:c r="F459" t="n">
        <x:v>442</x:v>
      </x:c>
      <x:c r="G459" t="str">
        <x:v>0fc9a9bbd050236ab5fcccc3d9e1b28d4051d7d1f79dc4f93511c7b484be5634</x:v>
      </x:c>
      <x:c r="H459" t="str">
        <x:v>neu</x:v>
      </x:c>
      <x:c r="I459" t="str">
        <x:v>ok</x:v>
      </x:c>
      <x:c r="J459"/>
      <x:c r="K459" t="n">
        <x:v>46013</x:v>
      </x:c>
      <x:c r="L459" t="n">
        <x:v>46013</x:v>
      </x:c>
      <x:c r="M459" t="str">
        <x:v>Gebucht</x:v>
      </x:c>
      <x:c r="N459" t="str">
        <x:v>ISSUER</x:v>
      </x:c>
      <x:c r="O459" t="str">
        <x:v>Rosentorstrasse.15/GOSLAR</x:v>
      </x:c>
      <x:c r="P459" t="str">
        <x:v>VISA Debitkartenumsatz vom 21.12.2025</x:v>
      </x:c>
      <x:c r="Q459" t="str">
        <x:v>Ausgang</x:v>
      </x:c>
      <x:c r="R459" t="str">
        <x:v>DE96120300009005290904</x:v>
      </x:c>
      <x:c r="S459" t="n">
        <x:v>-50</x:v>
      </x:c>
      <x:c r="T459" t="str">
        <x:v>"</x:v>
      </x:c>
      <x:c r="U459" t="str">
        <x:v>"</x:v>
      </x:c>
      <x:c r="V459" t="str">
        <x:v>485355568310706</x:v>
      </x:c>
    </x:row>
    <x:row r="460">
      <x:c r="A460" t="str">
        <x:v>RAW-IMP-20260516-FULLDRAFT-000443</x:v>
      </x:c>
      <x:c r="B460" t="str">
        <x:v>IMP-20260516-FULLDRAFT</x:v>
      </x:c>
      <x:c r="C460" t="str">
        <x:v>KTO001</x:v>
      </x:c>
      <x:c r="D460" t="str">
        <x:v>16-05-2026_Umsatzliste_Girokonto_DE98120300001061711675.csv</x:v>
      </x:c>
      <x:c r="E460" t="n">
        <x:v>46163</x:v>
      </x:c>
      <x:c r="F460" t="n">
        <x:v>443</x:v>
      </x:c>
      <x:c r="G460" t="str">
        <x:v>642cb706752c06ec825c3b93907ea3770272c36a95bc0e24ca8d83b2eb1b5347</x:v>
      </x:c>
      <x:c r="H460" t="str">
        <x:v>neu</x:v>
      </x:c>
      <x:c r="I460" t="str">
        <x:v>ok</x:v>
      </x:c>
      <x:c r="J460"/>
      <x:c r="K460" t="n">
        <x:v>46013</x:v>
      </x:c>
      <x:c r="L460" t="n">
        <x:v>46013</x:v>
      </x:c>
      <x:c r="M460" t="str">
        <x:v>Gebucht</x:v>
      </x:c>
      <x:c r="N460" t="str">
        <x:v>ISSUER</x:v>
      </x:c>
      <x:c r="O460" t="str">
        <x:v>Prime.Video.Shop/amzn.de.bill</x:v>
      </x:c>
      <x:c r="P460" t="str">
        <x:v>VISA Debitkartenumsatz vom 20.12.2025</x:v>
      </x:c>
      <x:c r="Q460" t="str">
        <x:v>Ausgang</x:v>
      </x:c>
      <x:c r="R460" t="str">
        <x:v>DE96120300009005290904</x:v>
      </x:c>
      <x:c r="S460" t="n">
        <x:v>-3.99</x:v>
      </x:c>
      <x:c r="T460" t="str">
        <x:v>"</x:v>
      </x:c>
      <x:c r="U460" t="str">
        <x:v>"</x:v>
      </x:c>
      <x:c r="V460" t="str">
        <x:v>485354644570637</x:v>
      </x:c>
    </x:row>
    <x:row r="461">
      <x:c r="A461" t="str">
        <x:v>RAW-IMP-20260516-FULLDRAFT-000444</x:v>
      </x:c>
      <x:c r="B461" t="str">
        <x:v>IMP-20260516-FULLDRAFT</x:v>
      </x:c>
      <x:c r="C461" t="str">
        <x:v>KTO001</x:v>
      </x:c>
      <x:c r="D461" t="str">
        <x:v>16-05-2026_Umsatzliste_Girokonto_DE98120300001061711675.csv</x:v>
      </x:c>
      <x:c r="E461" t="n">
        <x:v>46163</x:v>
      </x:c>
      <x:c r="F461" t="n">
        <x:v>444</x:v>
      </x:c>
      <x:c r="G461" t="str">
        <x:v>56ef242e021bd92156481c47962c64b6c213ad7833a2dc06c672717dab536393</x:v>
      </x:c>
      <x:c r="H461" t="str">
        <x:v>neu</x:v>
      </x:c>
      <x:c r="I461" t="str">
        <x:v>ok</x:v>
      </x:c>
      <x:c r="J461"/>
      <x:c r="K461" t="n">
        <x:v>46013</x:v>
      </x:c>
      <x:c r="L461" t="n">
        <x:v>46013</x:v>
      </x:c>
      <x:c r="M461" t="str">
        <x:v>Gebucht</x:v>
      </x:c>
      <x:c r="N461" t="str">
        <x:v>ISSUER</x:v>
      </x:c>
      <x:c r="O461" t="str">
        <x:v>PAYPAL..HPDEUTSCHLA/4029357733</x:v>
      </x:c>
      <x:c r="P461" t="str">
        <x:v>VISA Debitkartenumsatz vom 19.12.2025</x:v>
      </x:c>
      <x:c r="Q461" t="str">
        <x:v>Ausgang</x:v>
      </x:c>
      <x:c r="R461" t="str">
        <x:v>DE96120300009005290904</x:v>
      </x:c>
      <x:c r="S461" t="n">
        <x:v>-4.99</x:v>
      </x:c>
      <x:c r="T461" t="str">
        <x:v>"</x:v>
      </x:c>
      <x:c r="U461" t="str">
        <x:v>"</x:v>
      </x:c>
      <x:c r="V461" t="str">
        <x:v>465353582946073</x:v>
      </x:c>
    </x:row>
    <x:row r="462">
      <x:c r="A462" t="str">
        <x:v>RAW-IMP-20260516-FULLDRAFT-000445</x:v>
      </x:c>
      <x:c r="B462" t="str">
        <x:v>IMP-20260516-FULLDRAFT</x:v>
      </x:c>
      <x:c r="C462" t="str">
        <x:v>KTO001</x:v>
      </x:c>
      <x:c r="D462" t="str">
        <x:v>16-05-2026_Umsatzliste_Girokonto_DE98120300001061711675.csv</x:v>
      </x:c>
      <x:c r="E462" t="n">
        <x:v>46163</x:v>
      </x:c>
      <x:c r="F462" t="n">
        <x:v>445</x:v>
      </x:c>
      <x:c r="G462" t="str">
        <x:v>9316f6429449d5a340de604595cf08a3192f3be2bef7b7ca0b9f33462543ceb6</x:v>
      </x:c>
      <x:c r="H462" t="str">
        <x:v>neu</x:v>
      </x:c>
      <x:c r="I462" t="str">
        <x:v>ok</x:v>
      </x:c>
      <x:c r="J462"/>
      <x:c r="K462" t="n">
        <x:v>46013</x:v>
      </x:c>
      <x:c r="L462" t="n">
        <x:v>46013</x:v>
      </x:c>
      <x:c r="M462" t="str">
        <x:v>Gebucht</x:v>
      </x:c>
      <x:c r="N462" t="str">
        <x:v>ISSUER</x:v>
      </x:c>
      <x:c r="O462" t="str">
        <x:v>Amazon.de.ZP8OK9W44/AMAZON.DE</x:v>
      </x:c>
      <x:c r="P462" t="str">
        <x:v>VISA Debitkartenumsatz vom 19.12.2025</x:v>
      </x:c>
      <x:c r="Q462" t="str">
        <x:v>Ausgang</x:v>
      </x:c>
      <x:c r="R462" t="str">
        <x:v>DE96120300009005290904</x:v>
      </x:c>
      <x:c r="S462" t="n">
        <x:v>-19.49</x:v>
      </x:c>
      <x:c r="T462" t="str">
        <x:v>"</x:v>
      </x:c>
      <x:c r="U462" t="str">
        <x:v>"</x:v>
      </x:c>
      <x:c r="V462" t="str">
        <x:v>485353516109104</x:v>
      </x:c>
    </x:row>
    <x:row r="463">
      <x:c r="A463" t="str">
        <x:v>RAW-IMP-20260516-FULLDRAFT-000446</x:v>
      </x:c>
      <x:c r="B463" t="str">
        <x:v>IMP-20260516-FULLDRAFT</x:v>
      </x:c>
      <x:c r="C463" t="str">
        <x:v>KTO001</x:v>
      </x:c>
      <x:c r="D463" t="str">
        <x:v>16-05-2026_Umsatzliste_Girokonto_DE98120300001061711675.csv</x:v>
      </x:c>
      <x:c r="E463" t="n">
        <x:v>46163</x:v>
      </x:c>
      <x:c r="F463" t="n">
        <x:v>446</x:v>
      </x:c>
      <x:c r="G463" t="str">
        <x:v>0478a1ffbf18f79de4f489a12f002c8b63278a470dc7ed6a6b1b574e1b1a236f</x:v>
      </x:c>
      <x:c r="H463" t="str">
        <x:v>neu</x:v>
      </x:c>
      <x:c r="I463" t="str">
        <x:v>ok</x:v>
      </x:c>
      <x:c r="J463"/>
      <x:c r="K463" t="n">
        <x:v>46013</x:v>
      </x:c>
      <x:c r="L463" t="n">
        <x:v>46013</x:v>
      </x:c>
      <x:c r="M463" t="str">
        <x:v>Gebucht</x:v>
      </x:c>
      <x:c r="N463" t="str">
        <x:v>Lars Kohlenberg</x:v>
      </x:c>
      <x:c r="O463" t="str">
        <x:v>Drillisch Online GmbH                                                 Wilhelm-Rontgen-Strase 1-5, 63477 Maintal</x:v>
      </x:c>
      <x:c r="P463" t="str">
        <x:v>C0851820 U764558201 B875162880 winSIM</x:v>
      </x:c>
      <x:c r="Q463" t="str">
        <x:v>Ausgang</x:v>
      </x:c>
      <x:c r="R463" t="str">
        <x:v>DE87300500000008996811</x:v>
      </x:c>
      <x:c r="S463" t="n">
        <x:v>-6.99</x:v>
      </x:c>
      <x:c r="T463" t="str">
        <x:v>DE40ZZZ00000206926</x:v>
      </x:c>
      <x:c r="U463" t="str">
        <x:v>FB1310D094B04186E02ACE7B8C6</x:v>
      </x:c>
      <x:c r="V463" t="str">
        <x:v>C0851820+U764558201</x:v>
      </x:c>
    </x:row>
    <x:row r="464">
      <x:c r="A464" t="str">
        <x:v>RAW-IMP-20260516-FULLDRAFT-000447</x:v>
      </x:c>
      <x:c r="B464" t="str">
        <x:v>IMP-20260516-FULLDRAFT</x:v>
      </x:c>
      <x:c r="C464" t="str">
        <x:v>KTO001</x:v>
      </x:c>
      <x:c r="D464" t="str">
        <x:v>16-05-2026_Umsatzliste_Girokonto_DE98120300001061711675.csv</x:v>
      </x:c>
      <x:c r="E464" t="n">
        <x:v>46163</x:v>
      </x:c>
      <x:c r="F464" t="n">
        <x:v>447</x:v>
      </x:c>
      <x:c r="G464" t="str">
        <x:v>c68430eda63a9092ef77aeee828949516a6776d8802f7c0ada7b7d6bfc8619b7</x:v>
      </x:c>
      <x:c r="H464" t="str">
        <x:v>neu</x:v>
      </x:c>
      <x:c r="I464" t="str">
        <x:v>ok</x:v>
      </x:c>
      <x:c r="J464"/>
      <x:c r="K464" t="n">
        <x:v>46010</x:v>
      </x:c>
      <x:c r="L464" t="n">
        <x:v>46010</x:v>
      </x:c>
      <x:c r="M464" t="str">
        <x:v>Gebucht</x:v>
      </x:c>
      <x:c r="N464" t="str">
        <x:v>Lars Kohlenberg</x:v>
      </x:c>
      <x:c r="O464" t="str">
        <x:v>Drillisch Online GmbH                                                 Wilhelm-Rontgen-Strase 1-5, 63477 Maintal</x:v>
      </x:c>
      <x:c r="P464" t="str">
        <x:v>C0851820 U763755228 B874588906 winSIM</x:v>
      </x:c>
      <x:c r="Q464" t="str">
        <x:v>Ausgang</x:v>
      </x:c>
      <x:c r="R464" t="str">
        <x:v>DE87300500000008996811</x:v>
      </x:c>
      <x:c r="S464" t="n">
        <x:v>-6.99</x:v>
      </x:c>
      <x:c r="T464" t="str">
        <x:v>DE40ZZZ00000206926</x:v>
      </x:c>
      <x:c r="U464" t="str">
        <x:v>FB1310D094B04186E02ACE7B8C6</x:v>
      </x:c>
      <x:c r="V464" t="str">
        <x:v>C0851820+U763755228</x:v>
      </x:c>
    </x:row>
    <x:row r="465">
      <x:c r="A465" t="str">
        <x:v>RAW-IMP-20260516-FULLDRAFT-000448</x:v>
      </x:c>
      <x:c r="B465" t="str">
        <x:v>IMP-20260516-FULLDRAFT</x:v>
      </x:c>
      <x:c r="C465" t="str">
        <x:v>KTO001</x:v>
      </x:c>
      <x:c r="D465" t="str">
        <x:v>16-05-2026_Umsatzliste_Girokonto_DE98120300001061711675.csv</x:v>
      </x:c>
      <x:c r="E465" t="n">
        <x:v>46163</x:v>
      </x:c>
      <x:c r="F465" t="n">
        <x:v>448</x:v>
      </x:c>
      <x:c r="G465" t="str">
        <x:v>c600d59325549f4e0a8e9a40ac7685670c63343ef0723e7ec2f7c49669bac012</x:v>
      </x:c>
      <x:c r="H465" t="str">
        <x:v>neu</x:v>
      </x:c>
      <x:c r="I465" t="str">
        <x:v>ok</x:v>
      </x:c>
      <x:c r="J465"/>
      <x:c r="K465" t="n">
        <x:v>46007</x:v>
      </x:c>
      <x:c r="L465" t="n">
        <x:v>46007</x:v>
      </x:c>
      <x:c r="M465" t="str">
        <x:v>Gebucht</x:v>
      </x:c>
      <x:c r="N465" t="str">
        <x:v>ISSUER</x:v>
      </x:c>
      <x:c r="O465" t="str">
        <x:v>AMZN.Mktp.DE.ZE4AR9D04/AMZN.COM.BILL</x:v>
      </x:c>
      <x:c r="P465" t="str">
        <x:v>VISA Debitkartenumsatz vom 15.12.2025</x:v>
      </x:c>
      <x:c r="Q465" t="str">
        <x:v>Ausgang</x:v>
      </x:c>
      <x:c r="R465" t="str">
        <x:v>DE96120300009005290904</x:v>
      </x:c>
      <x:c r="S465" t="n">
        <x:v>-15.99</x:v>
      </x:c>
      <x:c r="T465" t="str">
        <x:v>"</x:v>
      </x:c>
      <x:c r="U465" t="str">
        <x:v>"</x:v>
      </x:c>
      <x:c r="V465" t="str">
        <x:v>485348707518386</x:v>
      </x:c>
    </x:row>
    <x:row r="466">
      <x:c r="A466" t="str">
        <x:v>RAW-IMP-20260516-FULLDRAFT-000449</x:v>
      </x:c>
      <x:c r="B466" t="str">
        <x:v>IMP-20260516-FULLDRAFT</x:v>
      </x:c>
      <x:c r="C466" t="str">
        <x:v>KTO001</x:v>
      </x:c>
      <x:c r="D466" t="str">
        <x:v>16-05-2026_Umsatzliste_Girokonto_DE98120300001061711675.csv</x:v>
      </x:c>
      <x:c r="E466" t="n">
        <x:v>46163</x:v>
      </x:c>
      <x:c r="F466" t="n">
        <x:v>449</x:v>
      </x:c>
      <x:c r="G466" t="str">
        <x:v>0edbc872e8cb3334925630c8df51a02562df9b03472851fad98b69404171f9df</x:v>
      </x:c>
      <x:c r="H466" t="str">
        <x:v>neu</x:v>
      </x:c>
      <x:c r="I466" t="str">
        <x:v>ok</x:v>
      </x:c>
      <x:c r="J466"/>
      <x:c r="K466" t="n">
        <x:v>46007</x:v>
      </x:c>
      <x:c r="L466" t="n">
        <x:v>46007</x:v>
      </x:c>
      <x:c r="M466" t="str">
        <x:v>Gebucht</x:v>
      </x:c>
      <x:c r="N466" t="str">
        <x:v>ISSUER</x:v>
      </x:c>
      <x:c r="O466" t="str">
        <x:v>PH.City.Parkdeck/Hildesheim</x:v>
      </x:c>
      <x:c r="P466" t="str">
        <x:v>VISA Debitkartenumsatz vom 15.12.2025</x:v>
      </x:c>
      <x:c r="Q466" t="str">
        <x:v>Ausgang</x:v>
      </x:c>
      <x:c r="R466" t="str">
        <x:v>DE96120300009005290904</x:v>
      </x:c>
      <x:c r="S466" t="n">
        <x:v>-4</x:v>
      </x:c>
      <x:c r="T466" t="str">
        <x:v>"</x:v>
      </x:c>
      <x:c r="U466" t="str">
        <x:v>"</x:v>
      </x:c>
      <x:c r="V466" t="str">
        <x:v>485349403646226</x:v>
      </x:c>
    </x:row>
    <x:row r="467">
      <x:c r="A467" t="str">
        <x:v>RAW-IMP-20260516-FULLDRAFT-000450</x:v>
      </x:c>
      <x:c r="B467" t="str">
        <x:v>IMP-20260516-FULLDRAFT</x:v>
      </x:c>
      <x:c r="C467" t="str">
        <x:v>KTO001</x:v>
      </x:c>
      <x:c r="D467" t="str">
        <x:v>16-05-2026_Umsatzliste_Girokonto_DE98120300001061711675.csv</x:v>
      </x:c>
      <x:c r="E467" t="n">
        <x:v>46163</x:v>
      </x:c>
      <x:c r="F467" t="n">
        <x:v>450</x:v>
      </x:c>
      <x:c r="G467" t="str">
        <x:v>e10022b907fda061bc84bbec80a893a4367ae5275fe50c40fa178ae15bede33b</x:v>
      </x:c>
      <x:c r="H467" t="str">
        <x:v>neu</x:v>
      </x:c>
      <x:c r="I467" t="str">
        <x:v>ok</x:v>
      </x:c>
      <x:c r="J467"/>
      <x:c r="K467" t="n">
        <x:v>46006</x:v>
      </x:c>
      <x:c r="L467" t="n">
        <x:v>46006</x:v>
      </x:c>
      <x:c r="M467" t="str">
        <x:v>Gebucht</x:v>
      </x:c>
      <x:c r="N467" t="str">
        <x:v>ISSUER</x:v>
      </x:c>
      <x:c r="O467" t="str">
        <x:v>E.CENTER.3443.SALZGITT/SALZGITTER</x:v>
      </x:c>
      <x:c r="P467" t="str">
        <x:v>VISA Debitkartenumsatz vom 13.12.2025</x:v>
      </x:c>
      <x:c r="Q467" t="str">
        <x:v>Ausgang</x:v>
      </x:c>
      <x:c r="R467" t="str">
        <x:v>DE96120300009005290904</x:v>
      </x:c>
      <x:c r="S467" t="n">
        <x:v>-13.41</x:v>
      </x:c>
      <x:c r="T467" t="str">
        <x:v>"</x:v>
      </x:c>
      <x:c r="U467" t="str">
        <x:v>"</x:v>
      </x:c>
      <x:c r="V467" t="str">
        <x:v>485347439918518</x:v>
      </x:c>
    </x:row>
    <x:row r="468">
      <x:c r="A468" t="str">
        <x:v>RAW-IMP-20260516-FULLDRAFT-000451</x:v>
      </x:c>
      <x:c r="B468" t="str">
        <x:v>IMP-20260516-FULLDRAFT</x:v>
      </x:c>
      <x:c r="C468" t="str">
        <x:v>KTO001</x:v>
      </x:c>
      <x:c r="D468" t="str">
        <x:v>16-05-2026_Umsatzliste_Girokonto_DE98120300001061711675.csv</x:v>
      </x:c>
      <x:c r="E468" t="n">
        <x:v>46163</x:v>
      </x:c>
      <x:c r="F468" t="n">
        <x:v>451</x:v>
      </x:c>
      <x:c r="G468" t="str">
        <x:v>a1b2f6b89f47ff0f4feb4618ec92f64a98f229d1a61c7360ece5c53567b0ee9f</x:v>
      </x:c>
      <x:c r="H468" t="str">
        <x:v>neu</x:v>
      </x:c>
      <x:c r="I468" t="str">
        <x:v>ok</x:v>
      </x:c>
      <x:c r="J468"/>
      <x:c r="K468" t="n">
        <x:v>46006</x:v>
      </x:c>
      <x:c r="L468" t="n">
        <x:v>46006</x:v>
      </x:c>
      <x:c r="M468" t="str">
        <x:v>Gebucht</x:v>
      </x:c>
      <x:c r="N468" t="str">
        <x:v>ISSUER</x:v>
      </x:c>
      <x:c r="O468" t="str">
        <x:v>REWE.Salzgitter.Ge/Salzgitter</x:v>
      </x:c>
      <x:c r="P468" t="str">
        <x:v>VISA Debitkartenumsatz vom 13.12.2025</x:v>
      </x:c>
      <x:c r="Q468" t="str">
        <x:v>Ausgang</x:v>
      </x:c>
      <x:c r="R468" t="str">
        <x:v>DE96120300009005290904</x:v>
      </x:c>
      <x:c r="S468" t="n">
        <x:v>-3.6</x:v>
      </x:c>
      <x:c r="T468" t="str">
        <x:v>"</x:v>
      </x:c>
      <x:c r="U468" t="str">
        <x:v>"</x:v>
      </x:c>
      <x:c r="V468" t="str">
        <x:v>485347302684677</x:v>
      </x:c>
    </x:row>
    <x:row r="469">
      <x:c r="A469" t="str">
        <x:v>RAW-IMP-20260516-FULLDRAFT-000452</x:v>
      </x:c>
      <x:c r="B469" t="str">
        <x:v>IMP-20260516-FULLDRAFT</x:v>
      </x:c>
      <x:c r="C469" t="str">
        <x:v>KTO001</x:v>
      </x:c>
      <x:c r="D469" t="str">
        <x:v>16-05-2026_Umsatzliste_Girokonto_DE98120300001061711675.csv</x:v>
      </x:c>
      <x:c r="E469" t="n">
        <x:v>46163</x:v>
      </x:c>
      <x:c r="F469" t="n">
        <x:v>452</x:v>
      </x:c>
      <x:c r="G469" t="str">
        <x:v>be68b27f640f3e716d24219cea519cc8403dac31ecfc16d4eb498afb30011784</x:v>
      </x:c>
      <x:c r="H469" t="str">
        <x:v>neu</x:v>
      </x:c>
      <x:c r="I469" t="str">
        <x:v>ok</x:v>
      </x:c>
      <x:c r="J469"/>
      <x:c r="K469" t="n">
        <x:v>46006</x:v>
      </x:c>
      <x:c r="L469" t="n">
        <x:v>46006</x:v>
      </x:c>
      <x:c r="M469" t="str">
        <x:v>Gebucht</x:v>
      </x:c>
      <x:c r="N469" t="str">
        <x:v>ISSUER</x:v>
      </x:c>
      <x:c r="O469" t="str">
        <x:v>REWE.Salzgitter.Ge/Salzgitter</x:v>
      </x:c>
      <x:c r="P469" t="str">
        <x:v>VISA Debitkartenumsatz vom 12.12.2025</x:v>
      </x:c>
      <x:c r="Q469" t="str">
        <x:v>Ausgang</x:v>
      </x:c>
      <x:c r="R469" t="str">
        <x:v>DE96120300009005290904</x:v>
      </x:c>
      <x:c r="S469" t="n">
        <x:v>-18.14</x:v>
      </x:c>
      <x:c r="T469" t="str">
        <x:v>"</x:v>
      </x:c>
      <x:c r="U469" t="str">
        <x:v>"</x:v>
      </x:c>
      <x:c r="V469" t="str">
        <x:v>485346685297144</x:v>
      </x:c>
    </x:row>
    <x:row r="470">
      <x:c r="A470" t="str">
        <x:v>RAW-IMP-20260516-FULLDRAFT-000453</x:v>
      </x:c>
      <x:c r="B470" t="str">
        <x:v>IMP-20260516-FULLDRAFT</x:v>
      </x:c>
      <x:c r="C470" t="str">
        <x:v>KTO001</x:v>
      </x:c>
      <x:c r="D470" t="str">
        <x:v>16-05-2026_Umsatzliste_Girokonto_DE98120300001061711675.csv</x:v>
      </x:c>
      <x:c r="E470" t="n">
        <x:v>46163</x:v>
      </x:c>
      <x:c r="F470" t="n">
        <x:v>453</x:v>
      </x:c>
      <x:c r="G470" t="str">
        <x:v>95d9b9aca6cfb54ddf6d949d62bd03e1721b66a9359ecfba0f9e586ed54fe69a</x:v>
      </x:c>
      <x:c r="H470" t="str">
        <x:v>neu</x:v>
      </x:c>
      <x:c r="I470" t="str">
        <x:v>ok</x:v>
      </x:c>
      <x:c r="J470"/>
      <x:c r="K470" t="n">
        <x:v>46003</x:v>
      </x:c>
      <x:c r="L470" t="n">
        <x:v>46003</x:v>
      </x:c>
      <x:c r="M470" t="str">
        <x:v>Gebucht</x:v>
      </x:c>
      <x:c r="N470" t="str">
        <x:v>ISSUER</x:v>
      </x:c>
      <x:c r="O470" t="str">
        <x:v>MCDONALDS.00293/SALZGITTER</x:v>
      </x:c>
      <x:c r="P470" t="str">
        <x:v>VISA Debitkartenumsatz vom 11.12.2025</x:v>
      </x:c>
      <x:c r="Q470" t="str">
        <x:v>Ausgang</x:v>
      </x:c>
      <x:c r="R470" t="str">
        <x:v>DE96120300009005290904</x:v>
      </x:c>
      <x:c r="S470" t="n">
        <x:v>-4.5</x:v>
      </x:c>
      <x:c r="T470" t="str">
        <x:v>"</x:v>
      </x:c>
      <x:c r="U470" t="str">
        <x:v>"</x:v>
      </x:c>
      <x:c r="V470" t="str">
        <x:v>485345412712619</x:v>
      </x:c>
    </x:row>
    <x:row r="471">
      <x:c r="A471" t="str">
        <x:v>RAW-IMP-20260516-FULLDRAFT-000454</x:v>
      </x:c>
      <x:c r="B471" t="str">
        <x:v>IMP-20260516-FULLDRAFT</x:v>
      </x:c>
      <x:c r="C471" t="str">
        <x:v>KTO001</x:v>
      </x:c>
      <x:c r="D471" t="str">
        <x:v>16-05-2026_Umsatzliste_Girokonto_DE98120300001061711675.csv</x:v>
      </x:c>
      <x:c r="E471" t="n">
        <x:v>46163</x:v>
      </x:c>
      <x:c r="F471" t="n">
        <x:v>454</x:v>
      </x:c>
      <x:c r="G471" t="str">
        <x:v>1c13b37404cb6a6ec4635b407457b78eacb1ae8352454e76ea19c8c594a2af2e</x:v>
      </x:c>
      <x:c r="H471" t="str">
        <x:v>neu</x:v>
      </x:c>
      <x:c r="I471" t="str">
        <x:v>ok</x:v>
      </x:c>
      <x:c r="J471"/>
      <x:c r="K471" t="n">
        <x:v>46002</x:v>
      </x:c>
      <x:c r="L471" t="n">
        <x:v>46002</x:v>
      </x:c>
      <x:c r="M471" t="str">
        <x:v>Gebucht</x:v>
      </x:c>
      <x:c r="N471" t="str">
        <x:v>ISSUER</x:v>
      </x:c>
      <x:c r="O471" t="str">
        <x:v>WITWE.BOLTE/HILDESHEIM</x:v>
      </x:c>
      <x:c r="P471" t="str">
        <x:v>VISA Debitkartenumsatz vom 10.12.2025</x:v>
      </x:c>
      <x:c r="Q471" t="str">
        <x:v>Ausgang</x:v>
      </x:c>
      <x:c r="R471" t="str">
        <x:v>DE96120300009005290904</x:v>
      </x:c>
      <x:c r="S471" t="n">
        <x:v>-6.3</x:v>
      </x:c>
      <x:c r="T471" t="str">
        <x:v>"</x:v>
      </x:c>
      <x:c r="U471" t="str">
        <x:v>"</x:v>
      </x:c>
      <x:c r="V471" t="str">
        <x:v>485344439041396</x:v>
      </x:c>
    </x:row>
    <x:row r="472">
      <x:c r="A472" t="str">
        <x:v>RAW-IMP-20260516-FULLDRAFT-000455</x:v>
      </x:c>
      <x:c r="B472" t="str">
        <x:v>IMP-20260516-FULLDRAFT</x:v>
      </x:c>
      <x:c r="C472" t="str">
        <x:v>KTO001</x:v>
      </x:c>
      <x:c r="D472" t="str">
        <x:v>16-05-2026_Umsatzliste_Girokonto_DE98120300001061711675.csv</x:v>
      </x:c>
      <x:c r="E472" t="n">
        <x:v>46163</x:v>
      </x:c>
      <x:c r="F472" t="n">
        <x:v>455</x:v>
      </x:c>
      <x:c r="G472" t="str">
        <x:v>e531d5fd3a85c606244df8e766ce52a936a4f51aedac0bc354a0fc3fb5bcab1c</x:v>
      </x:c>
      <x:c r="H472" t="str">
        <x:v>neu</x:v>
      </x:c>
      <x:c r="I472" t="str">
        <x:v>ok</x:v>
      </x:c>
      <x:c r="J472"/>
      <x:c r="K472" t="n">
        <x:v>46001</x:v>
      </x:c>
      <x:c r="L472" t="n">
        <x:v>46001</x:v>
      </x:c>
      <x:c r="M472" t="str">
        <x:v>Gebucht</x:v>
      </x:c>
      <x:c r="N472" t="str">
        <x:v>Refund.Globalblue.com/Stockholm</x:v>
      </x:c>
      <x:c r="O472" t="str">
        <x:v>NOTPROVIDED</x:v>
      </x:c>
      <x:c r="P472" t="str">
        <x:v>20251209164155 Refund.Globalblue.com SE</x:v>
      </x:c>
      <x:c r="Q472" t="str">
        <x:v>Eingang</x:v>
      </x:c>
      <x:c r="R472" t="str">
        <x:v>DE96120300009005290904</x:v>
      </x:c>
      <x:c r="S472" t="n">
        <x:v>7.57</x:v>
      </x:c>
      <x:c r="T472" t="str">
        <x:v>"</x:v>
      </x:c>
      <x:c r="U472" t="str">
        <x:v>"</x:v>
      </x:c>
      <x:c r="V472" t="str">
        <x:v>585343649621373</x:v>
      </x:c>
    </x:row>
    <x:row r="473">
      <x:c r="A473" t="str">
        <x:v>RAW-IMP-20260516-FULLDRAFT-000456</x:v>
      </x:c>
      <x:c r="B473" t="str">
        <x:v>IMP-20260516-FULLDRAFT</x:v>
      </x:c>
      <x:c r="C473" t="str">
        <x:v>KTO001</x:v>
      </x:c>
      <x:c r="D473" t="str">
        <x:v>16-05-2026_Umsatzliste_Girokonto_DE98120300001061711675.csv</x:v>
      </x:c>
      <x:c r="E473" t="n">
        <x:v>46163</x:v>
      </x:c>
      <x:c r="F473" t="n">
        <x:v>456</x:v>
      </x:c>
      <x:c r="G473" t="str">
        <x:v>c24ce4ab97fd710af1a04c1ad2693f8feb245f9e28997b8bbe9af22ab98503a5</x:v>
      </x:c>
      <x:c r="H473" t="str">
        <x:v>neu</x:v>
      </x:c>
      <x:c r="I473" t="str">
        <x:v>ok</x:v>
      </x:c>
      <x:c r="J473"/>
      <x:c r="K473" t="n">
        <x:v>45999</x:v>
      </x:c>
      <x:c r="L473" t="n">
        <x:v>45999</x:v>
      </x:c>
      <x:c r="M473" t="str">
        <x:v>Gebucht</x:v>
      </x:c>
      <x:c r="N473" t="str">
        <x:v>ISSUER</x:v>
      </x:c>
      <x:c r="O473" t="str">
        <x:v>BOSPORUS.GRILL/SALZGITTER</x:v>
      </x:c>
      <x:c r="P473" t="str">
        <x:v>VISA Debitkartenumsatz vom 07.12.2025</x:v>
      </x:c>
      <x:c r="Q473" t="str">
        <x:v>Ausgang</x:v>
      </x:c>
      <x:c r="R473" t="str">
        <x:v>DE96120300009005290904</x:v>
      </x:c>
      <x:c r="S473" t="n">
        <x:v>-21</x:v>
      </x:c>
      <x:c r="T473" t="str">
        <x:v>"</x:v>
      </x:c>
      <x:c r="U473" t="str">
        <x:v>"</x:v>
      </x:c>
      <x:c r="V473" t="str">
        <x:v>485341648794352</x:v>
      </x:c>
    </x:row>
    <x:row r="474">
      <x:c r="A474" t="str">
        <x:v>RAW-IMP-20260516-FULLDRAFT-000457</x:v>
      </x:c>
      <x:c r="B474" t="str">
        <x:v>IMP-20260516-FULLDRAFT</x:v>
      </x:c>
      <x:c r="C474" t="str">
        <x:v>KTO001</x:v>
      </x:c>
      <x:c r="D474" t="str">
        <x:v>16-05-2026_Umsatzliste_Girokonto_DE98120300001061711675.csv</x:v>
      </x:c>
      <x:c r="E474" t="n">
        <x:v>46163</x:v>
      </x:c>
      <x:c r="F474" t="n">
        <x:v>457</x:v>
      </x:c>
      <x:c r="G474" t="str">
        <x:v>6f80319b81ba7482f87b2a769e2088314b486e1d8d87a4052bb9ca777f685d7d</x:v>
      </x:c>
      <x:c r="H474" t="str">
        <x:v>neu</x:v>
      </x:c>
      <x:c r="I474" t="str">
        <x:v>ok</x:v>
      </x:c>
      <x:c r="J474"/>
      <x:c r="K474" t="n">
        <x:v>45999</x:v>
      </x:c>
      <x:c r="L474" t="n">
        <x:v>45999</x:v>
      </x:c>
      <x:c r="M474" t="str">
        <x:v>Gebucht</x:v>
      </x:c>
      <x:c r="N474" t="str">
        <x:v>ISSUER</x:v>
      </x:c>
      <x:c r="O474" t="str">
        <x:v>Prime.Video.Shop/amzn.de.bill</x:v>
      </x:c>
      <x:c r="P474" t="str">
        <x:v>VISA Debitkartenumsatz vom 07.12.2025</x:v>
      </x:c>
      <x:c r="Q474" t="str">
        <x:v>Ausgang</x:v>
      </x:c>
      <x:c r="R474" t="str">
        <x:v>DE96120300009005290904</x:v>
      </x:c>
      <x:c r="S474" t="n">
        <x:v>-0.99</x:v>
      </x:c>
      <x:c r="T474" t="str">
        <x:v>"</x:v>
      </x:c>
      <x:c r="U474" t="str">
        <x:v>"</x:v>
      </x:c>
      <x:c r="V474" t="str">
        <x:v>485341816023520</x:v>
      </x:c>
    </x:row>
    <x:row r="475">
      <x:c r="A475" t="str">
        <x:v>RAW-IMP-20260516-FULLDRAFT-000458</x:v>
      </x:c>
      <x:c r="B475" t="str">
        <x:v>IMP-20260516-FULLDRAFT</x:v>
      </x:c>
      <x:c r="C475" t="str">
        <x:v>KTO001</x:v>
      </x:c>
      <x:c r="D475" t="str">
        <x:v>16-05-2026_Umsatzliste_Girokonto_DE98120300001061711675.csv</x:v>
      </x:c>
      <x:c r="E475" t="n">
        <x:v>46163</x:v>
      </x:c>
      <x:c r="F475" t="n">
        <x:v>458</x:v>
      </x:c>
      <x:c r="G475" t="str">
        <x:v>2b2093823594df694276c17b5e45fd744675efa4c0906268f7b0fee421ead157</x:v>
      </x:c>
      <x:c r="H475" t="str">
        <x:v>neu</x:v>
      </x:c>
      <x:c r="I475" t="str">
        <x:v>ok</x:v>
      </x:c>
      <x:c r="J475"/>
      <x:c r="K475" t="n">
        <x:v>45999</x:v>
      </x:c>
      <x:c r="L475" t="n">
        <x:v>45999</x:v>
      </x:c>
      <x:c r="M475" t="str">
        <x:v>Gebucht</x:v>
      </x:c>
      <x:c r="N475" t="str">
        <x:v>ISSUER</x:v>
      </x:c>
      <x:c r="O475" t="str">
        <x:v>Gasthaus.Baehre.GmbH/Burgdorf</x:v>
      </x:c>
      <x:c r="P475" t="str">
        <x:v>VISA Debitkartenumsatz vom 05.12.2025</x:v>
      </x:c>
      <x:c r="Q475" t="str">
        <x:v>Ausgang</x:v>
      </x:c>
      <x:c r="R475" t="str">
        <x:v>DE96120300009005290904</x:v>
      </x:c>
      <x:c r="S475" t="n">
        <x:v>-50</x:v>
      </x:c>
      <x:c r="T475" t="str">
        <x:v>"</x:v>
      </x:c>
      <x:c r="U475" t="str">
        <x:v>"</x:v>
      </x:c>
      <x:c r="V475" t="str">
        <x:v>485339700057428</x:v>
      </x:c>
    </x:row>
    <x:row r="476">
      <x:c r="A476" t="str">
        <x:v>RAW-IMP-20260516-FULLDRAFT-000459</x:v>
      </x:c>
      <x:c r="B476" t="str">
        <x:v>IMP-20260516-FULLDRAFT</x:v>
      </x:c>
      <x:c r="C476" t="str">
        <x:v>KTO001</x:v>
      </x:c>
      <x:c r="D476" t="str">
        <x:v>16-05-2026_Umsatzliste_Girokonto_DE98120300001061711675.csv</x:v>
      </x:c>
      <x:c r="E476" t="n">
        <x:v>46163</x:v>
      </x:c>
      <x:c r="F476" t="n">
        <x:v>459</x:v>
      </x:c>
      <x:c r="G476" t="str">
        <x:v>3d68f5087dded705e6959128a7390a5cd2c37f0aecef3d13ba6b10cb094e6886</x:v>
      </x:c>
      <x:c r="H476" t="str">
        <x:v>neu</x:v>
      </x:c>
      <x:c r="I476" t="str">
        <x:v>ok</x:v>
      </x:c>
      <x:c r="J476"/>
      <x:c r="K476" t="n">
        <x:v>45999</x:v>
      </x:c>
      <x:c r="L476" t="n">
        <x:v>45999</x:v>
      </x:c>
      <x:c r="M476" t="str">
        <x:v>Gebucht</x:v>
      </x:c>
      <x:c r="N476" t="str">
        <x:v>ISSUER</x:v>
      </x:c>
      <x:c r="O476" t="str">
        <x:v>EDEKA.CRAMER/BURGDORF</x:v>
      </x:c>
      <x:c r="P476" t="str">
        <x:v>VISA Debitkartenumsatz vom 05.12.2025</x:v>
      </x:c>
      <x:c r="Q476" t="str">
        <x:v>Ausgang</x:v>
      </x:c>
      <x:c r="R476" t="str">
        <x:v>DE96120300009005290904</x:v>
      </x:c>
      <x:c r="S476" t="n">
        <x:v>-4.96</x:v>
      </x:c>
      <x:c r="T476" t="str">
        <x:v>"</x:v>
      </x:c>
      <x:c r="U476" t="str">
        <x:v>"</x:v>
      </x:c>
      <x:c r="V476" t="str">
        <x:v>485339585665513</x:v>
      </x:c>
    </x:row>
    <x:row r="477">
      <x:c r="A477" t="str">
        <x:v>RAW-IMP-20260516-FULLDRAFT-000460</x:v>
      </x:c>
      <x:c r="B477" t="str">
        <x:v>IMP-20260516-FULLDRAFT</x:v>
      </x:c>
      <x:c r="C477" t="str">
        <x:v>KTO001</x:v>
      </x:c>
      <x:c r="D477" t="str">
        <x:v>16-05-2026_Umsatzliste_Girokonto_DE98120300001061711675.csv</x:v>
      </x:c>
      <x:c r="E477" t="n">
        <x:v>46163</x:v>
      </x:c>
      <x:c r="F477" t="n">
        <x:v>460</x:v>
      </x:c>
      <x:c r="G477" t="str">
        <x:v>916fb8f2e10cba09f1f517d4bdf72bf1e48db9ce39162e5fef7706d508296dc9</x:v>
      </x:c>
      <x:c r="H477" t="str">
        <x:v>neu</x:v>
      </x:c>
      <x:c r="I477" t="str">
        <x:v>ok</x:v>
      </x:c>
      <x:c r="J477"/>
      <x:c r="K477" t="n">
        <x:v>45999</x:v>
      </x:c>
      <x:c r="L477" t="n">
        <x:v>45999</x:v>
      </x:c>
      <x:c r="M477" t="str">
        <x:v>Gebucht</x:v>
      </x:c>
      <x:c r="N477" t="str">
        <x:v>ISSUER</x:v>
      </x:c>
      <x:c r="O477" t="str">
        <x:v>EDEKA.POTRATZ/HILDESHEIM</x:v>
      </x:c>
      <x:c r="P477" t="str">
        <x:v>VISA Debitkartenumsatz vom 05.12.2025</x:v>
      </x:c>
      <x:c r="Q477" t="str">
        <x:v>Ausgang</x:v>
      </x:c>
      <x:c r="R477" t="str">
        <x:v>DE96120300009005290904</x:v>
      </x:c>
      <x:c r="S477" t="n">
        <x:v>-5.68</x:v>
      </x:c>
      <x:c r="T477" t="str">
        <x:v>"</x:v>
      </x:c>
      <x:c r="U477" t="str">
        <x:v>"</x:v>
      </x:c>
      <x:c r="V477" t="str">
        <x:v>485339478339479</x:v>
      </x:c>
    </x:row>
    <x:row r="478">
      <x:c r="A478" t="str">
        <x:v>RAW-IMP-20260516-FULLDRAFT-000461</x:v>
      </x:c>
      <x:c r="B478" t="str">
        <x:v>IMP-20260516-FULLDRAFT</x:v>
      </x:c>
      <x:c r="C478" t="str">
        <x:v>KTO001</x:v>
      </x:c>
      <x:c r="D478" t="str">
        <x:v>16-05-2026_Umsatzliste_Girokonto_DE98120300001061711675.csv</x:v>
      </x:c>
      <x:c r="E478" t="n">
        <x:v>46163</x:v>
      </x:c>
      <x:c r="F478" t="n">
        <x:v>461</x:v>
      </x:c>
      <x:c r="G478" t="str">
        <x:v>f8ecdfc54fc53e5ccd9a8f122d5ee529b0153143cd991cf2c89a7921abfcd8c7</x:v>
      </x:c>
      <x:c r="H478" t="str">
        <x:v>neu</x:v>
      </x:c>
      <x:c r="I478" t="str">
        <x:v>ok</x:v>
      </x:c>
      <x:c r="J478"/>
      <x:c r="K478" t="n">
        <x:v>45999</x:v>
      </x:c>
      <x:c r="L478" t="n">
        <x:v>45999</x:v>
      </x:c>
      <x:c r="M478" t="str">
        <x:v>Gebucht</x:v>
      </x:c>
      <x:c r="N478" t="str">
        <x:v>ISSUER</x:v>
      </x:c>
      <x:c r="O478" t="str">
        <x:v>REWE.Salzgitter.Ge/Salzgitter</x:v>
      </x:c>
      <x:c r="P478" t="str">
        <x:v>VISA Debitkartenumsatz vom 06.12.2025</x:v>
      </x:c>
      <x:c r="Q478" t="str">
        <x:v>Ausgang</x:v>
      </x:c>
      <x:c r="R478" t="str">
        <x:v>DE96120300009005290904</x:v>
      </x:c>
      <x:c r="S478" t="n">
        <x:v>-1.86</x:v>
      </x:c>
      <x:c r="T478" t="str">
        <x:v>"</x:v>
      </x:c>
      <x:c r="U478" t="str">
        <x:v>"</x:v>
      </x:c>
      <x:c r="V478" t="str">
        <x:v>485340271214644</x:v>
      </x:c>
    </x:row>
    <x:row r="479">
      <x:c r="A479" t="str">
        <x:v>RAW-IMP-20260516-FULLDRAFT-000462</x:v>
      </x:c>
      <x:c r="B479" t="str">
        <x:v>IMP-20260516-FULLDRAFT</x:v>
      </x:c>
      <x:c r="C479" t="str">
        <x:v>KTO001</x:v>
      </x:c>
      <x:c r="D479" t="str">
        <x:v>16-05-2026_Umsatzliste_Girokonto_DE98120300001061711675.csv</x:v>
      </x:c>
      <x:c r="E479" t="n">
        <x:v>46163</x:v>
      </x:c>
      <x:c r="F479" t="n">
        <x:v>462</x:v>
      </x:c>
      <x:c r="G479" t="str">
        <x:v>af9b12e79187ad8b6c70b1958d4f6b8c0e1e095067ff0e70b1fb9cc5a7a1f96c</x:v>
      </x:c>
      <x:c r="H479" t="str">
        <x:v>neu</x:v>
      </x:c>
      <x:c r="I479" t="str">
        <x:v>ok</x:v>
      </x:c>
      <x:c r="J479"/>
      <x:c r="K479" t="n">
        <x:v>45999</x:v>
      </x:c>
      <x:c r="L479" t="n">
        <x:v>45999</x:v>
      </x:c>
      <x:c r="M479" t="str">
        <x:v>Gebucht</x:v>
      </x:c>
      <x:c r="N479" t="str">
        <x:v>ISSUER</x:v>
      </x:c>
      <x:c r="O479" t="str">
        <x:v>Lidl.sagt.Danke/Salzgitter</x:v>
      </x:c>
      <x:c r="P479" t="str">
        <x:v>VISA Debitkartenumsatz vom 06.12.2025</x:v>
      </x:c>
      <x:c r="Q479" t="str">
        <x:v>Ausgang</x:v>
      </x:c>
      <x:c r="R479" t="str">
        <x:v>DE96120300009005290904</x:v>
      </x:c>
      <x:c r="S479" t="n">
        <x:v>-87.05</x:v>
      </x:c>
      <x:c r="T479" t="str">
        <x:v>"</x:v>
      </x:c>
      <x:c r="U479" t="str">
        <x:v>"</x:v>
      </x:c>
      <x:c r="V479" t="str">
        <x:v>485340317901788</x:v>
      </x:c>
    </x:row>
    <x:row r="480">
      <x:c r="A480" t="str">
        <x:v>RAW-IMP-20260516-FULLDRAFT-000463</x:v>
      </x:c>
      <x:c r="B480" t="str">
        <x:v>IMP-20260516-FULLDRAFT</x:v>
      </x:c>
      <x:c r="C480" t="str">
        <x:v>KTO001</x:v>
      </x:c>
      <x:c r="D480" t="str">
        <x:v>16-05-2026_Umsatzliste_Girokonto_DE98120300001061711675.csv</x:v>
      </x:c>
      <x:c r="E480" t="n">
        <x:v>46163</x:v>
      </x:c>
      <x:c r="F480" t="n">
        <x:v>463</x:v>
      </x:c>
      <x:c r="G480" t="str">
        <x:v>a87b06176937da5e6b8e13392493c28ea3e4a528407fe827142801884d161783</x:v>
      </x:c>
      <x:c r="H480" t="str">
        <x:v>neu</x:v>
      </x:c>
      <x:c r="I480" t="str">
        <x:v>ok</x:v>
      </x:c>
      <x:c r="J480"/>
      <x:c r="K480" t="n">
        <x:v>45999</x:v>
      </x:c>
      <x:c r="L480" t="n">
        <x:v>45999</x:v>
      </x:c>
      <x:c r="M480" t="str">
        <x:v>Gebucht</x:v>
      </x:c>
      <x:c r="N480" t="str">
        <x:v>ISSUER</x:v>
      </x:c>
      <x:c r="O480" t="str">
        <x:v>Prime.Video.Shop/amzn.de.bill</x:v>
      </x:c>
      <x:c r="P480" t="str">
        <x:v>VISA Debitkartenumsatz vom 07.12.2025</x:v>
      </x:c>
      <x:c r="Q480" t="str">
        <x:v>Ausgang</x:v>
      </x:c>
      <x:c r="R480" t="str">
        <x:v>DE96120300009005290904</x:v>
      </x:c>
      <x:c r="S480" t="n">
        <x:v>-0.99</x:v>
      </x:c>
      <x:c r="T480" t="str">
        <x:v>"</x:v>
      </x:c>
      <x:c r="U480" t="str">
        <x:v>"</x:v>
      </x:c>
      <x:c r="V480" t="str">
        <x:v>485341814228878</x:v>
      </x:c>
    </x:row>
    <x:row r="481">
      <x:c r="A481" t="str">
        <x:v>RAW-IMP-20260516-FULLDRAFT-000464</x:v>
      </x:c>
      <x:c r="B481" t="str">
        <x:v>IMP-20260516-FULLDRAFT</x:v>
      </x:c>
      <x:c r="C481" t="str">
        <x:v>KTO001</x:v>
      </x:c>
      <x:c r="D481" t="str">
        <x:v>16-05-2026_Umsatzliste_Girokonto_DE98120300001061711675.csv</x:v>
      </x:c>
      <x:c r="E481" t="n">
        <x:v>46163</x:v>
      </x:c>
      <x:c r="F481" t="n">
        <x:v>464</x:v>
      </x:c>
      <x:c r="G481" t="str">
        <x:v>04ccdd3b4c7a1c22b3287c50b09d59cabbab3595eaaa4991b5b56fa029ec8866</x:v>
      </x:c>
      <x:c r="H481" t="str">
        <x:v>neu</x:v>
      </x:c>
      <x:c r="I481" t="str">
        <x:v>ok</x:v>
      </x:c>
      <x:c r="J481"/>
      <x:c r="K481" t="n">
        <x:v>45999</x:v>
      </x:c>
      <x:c r="L481" t="n">
        <x:v>45999</x:v>
      </x:c>
      <x:c r="M481" t="str">
        <x:v>Gebucht</x:v>
      </x:c>
      <x:c r="N481" t="str">
        <x:v>Lars Kohlenberg</x:v>
      </x:c>
      <x:c r="O481" t="str">
        <x:v>Iman Firat</x:v>
      </x:c>
      <x:c r="P481" t="str">
        <x:v>2230 Lea Kohlenberg</x:v>
      </x:c>
      <x:c r="Q481" t="str">
        <x:v>Ausgang</x:v>
      </x:c>
      <x:c r="R481" t="str">
        <x:v>DE67269910662694298000</x:v>
      </x:c>
      <x:c r="S481" t="n">
        <x:v>-49.9</x:v>
      </x:c>
      <x:c r="T481" t="str">
        <x:v>"</x:v>
      </x:c>
      <x:c r="U481" t="str">
        <x:v>"</x:v>
      </x:c>
      <x:c r="V481" t="str">
        <x:v>"</x:v>
      </x:c>
    </x:row>
    <x:row r="482">
      <x:c r="A482" t="str">
        <x:v>RAW-IMP-20260516-FULLDRAFT-000465</x:v>
      </x:c>
      <x:c r="B482" t="str">
        <x:v>IMP-20260516-FULLDRAFT</x:v>
      </x:c>
      <x:c r="C482" t="str">
        <x:v>KTO001</x:v>
      </x:c>
      <x:c r="D482" t="str">
        <x:v>16-05-2026_Umsatzliste_Girokonto_DE98120300001061711675.csv</x:v>
      </x:c>
      <x:c r="E482" t="n">
        <x:v>46163</x:v>
      </x:c>
      <x:c r="F482" t="n">
        <x:v>465</x:v>
      </x:c>
      <x:c r="G482" t="str">
        <x:v>8f4220cd127d811cf8920fbb1e24906d94efbf77d04fc60f604161c2c65a8985</x:v>
      </x:c>
      <x:c r="H482" t="str">
        <x:v>neu</x:v>
      </x:c>
      <x:c r="I482" t="str">
        <x:v>ok</x:v>
      </x:c>
      <x:c r="J482"/>
      <x:c r="K482" t="n">
        <x:v>45996</x:v>
      </x:c>
      <x:c r="L482" t="n">
        <x:v>45996</x:v>
      </x:c>
      <x:c r="M482" t="str">
        <x:v>Gebucht</x:v>
      </x:c>
      <x:c r="N482" t="str">
        <x:v>ISSUER</x:v>
      </x:c>
      <x:c r="O482" t="str">
        <x:v>PAYPAL..SPOTIFY.P3D1190/35314369001</x:v>
      </x:c>
      <x:c r="P482" t="str">
        <x:v>VISA Debitkartenumsatz vom 04.12.2025</x:v>
      </x:c>
      <x:c r="Q482" t="str">
        <x:v>Ausgang</x:v>
      </x:c>
      <x:c r="R482" t="str">
        <x:v>DE96120300009005290904</x:v>
      </x:c>
      <x:c r="S482" t="n">
        <x:v>-12.99</x:v>
      </x:c>
      <x:c r="T482" t="str">
        <x:v>"</x:v>
      </x:c>
      <x:c r="U482" t="str">
        <x:v>"</x:v>
      </x:c>
      <x:c r="V482" t="str">
        <x:v>385338217300704</x:v>
      </x:c>
    </x:row>
    <x:row r="483">
      <x:c r="A483" t="str">
        <x:v>RAW-IMP-20260516-FULLDRAFT-000466</x:v>
      </x:c>
      <x:c r="B483" t="str">
        <x:v>IMP-20260516-FULLDRAFT</x:v>
      </x:c>
      <x:c r="C483" t="str">
        <x:v>KTO001</x:v>
      </x:c>
      <x:c r="D483" t="str">
        <x:v>16-05-2026_Umsatzliste_Girokonto_DE98120300001061711675.csv</x:v>
      </x:c>
      <x:c r="E483" t="n">
        <x:v>46163</x:v>
      </x:c>
      <x:c r="F483" t="n">
        <x:v>466</x:v>
      </x:c>
      <x:c r="G483" t="str">
        <x:v>591f12ea848ee247a8a22aeccf403bf3ecfdcd5e1518a037ecf96eb34a1e837b</x:v>
      </x:c>
      <x:c r="H483" t="str">
        <x:v>neu</x:v>
      </x:c>
      <x:c r="I483" t="str">
        <x:v>ok</x:v>
      </x:c>
      <x:c r="J483"/>
      <x:c r="K483" t="n">
        <x:v>45995</x:v>
      </x:c>
      <x:c r="L483" t="n">
        <x:v>45995</x:v>
      </x:c>
      <x:c r="M483" t="str">
        <x:v>Gebucht</x:v>
      </x:c>
      <x:c r="N483" t="str">
        <x:v>ISSUER</x:v>
      </x:c>
      <x:c r="O483" t="str">
        <x:v>WITWE.BOLTE/HILDESHEIM</x:v>
      </x:c>
      <x:c r="P483" t="str">
        <x:v>VISA Debitkartenumsatz vom 03.12.2025</x:v>
      </x:c>
      <x:c r="Q483" t="str">
        <x:v>Ausgang</x:v>
      </x:c>
      <x:c r="R483" t="str">
        <x:v>DE96120300009005290904</x:v>
      </x:c>
      <x:c r="S483" t="n">
        <x:v>-9.3</x:v>
      </x:c>
      <x:c r="T483" t="str">
        <x:v>"</x:v>
      </x:c>
      <x:c r="U483" t="str">
        <x:v>"</x:v>
      </x:c>
      <x:c r="V483" t="str">
        <x:v>485337411588704</x:v>
      </x:c>
    </x:row>
    <x:row r="484">
      <x:c r="A484" t="str">
        <x:v>RAW-IMP-20260516-FULLDRAFT-000467</x:v>
      </x:c>
      <x:c r="B484" t="str">
        <x:v>IMP-20260516-FULLDRAFT</x:v>
      </x:c>
      <x:c r="C484" t="str">
        <x:v>KTO001</x:v>
      </x:c>
      <x:c r="D484" t="str">
        <x:v>16-05-2026_Umsatzliste_Girokonto_DE98120300001061711675.csv</x:v>
      </x:c>
      <x:c r="E484" t="n">
        <x:v>46163</x:v>
      </x:c>
      <x:c r="F484" t="n">
        <x:v>467</x:v>
      </x:c>
      <x:c r="G484" t="str">
        <x:v>d6a5430ed1ad88bed3364665e55cc1c71cb4dfd4476cc9e2d191284a38736dc4</x:v>
      </x:c>
      <x:c r="H484" t="str">
        <x:v>neu</x:v>
      </x:c>
      <x:c r="I484" t="str">
        <x:v>ok</x:v>
      </x:c>
      <x:c r="J484"/>
      <x:c r="K484" t="n">
        <x:v>45994</x:v>
      </x:c>
      <x:c r="L484" t="n">
        <x:v>45994</x:v>
      </x:c>
      <x:c r="M484" t="str">
        <x:v>Gebucht</x:v>
      </x:c>
      <x:c r="N484" t="str">
        <x:v>ISSUER</x:v>
      </x:c>
      <x:c r="O484" t="str">
        <x:v>PAYPAL..POSTSHOP.WCDPVW/1702269026</x:v>
      </x:c>
      <x:c r="P484" t="str">
        <x:v>VISA Debitkartenumsatz vom 02.12.2025</x:v>
      </x:c>
      <x:c r="Q484" t="str">
        <x:v>Ausgang</x:v>
      </x:c>
      <x:c r="R484" t="str">
        <x:v>DE96120300009005290904</x:v>
      </x:c>
      <x:c r="S484" t="n">
        <x:v>-26.49</x:v>
      </x:c>
      <x:c r="T484" t="str">
        <x:v>"</x:v>
      </x:c>
      <x:c r="U484" t="str">
        <x:v>"</x:v>
      </x:c>
      <x:c r="V484" t="str">
        <x:v>345336719946550</x:v>
      </x:c>
    </x:row>
    <x:row r="485">
      <x:c r="A485" t="str">
        <x:v>RAW-IMP-20260516-FULLDRAFT-000468</x:v>
      </x:c>
      <x:c r="B485" t="str">
        <x:v>IMP-20260516-FULLDRAFT</x:v>
      </x:c>
      <x:c r="C485" t="str">
        <x:v>KTO001</x:v>
      </x:c>
      <x:c r="D485" t="str">
        <x:v>16-05-2026_Umsatzliste_Girokonto_DE98120300001061711675.csv</x:v>
      </x:c>
      <x:c r="E485" t="n">
        <x:v>46163</x:v>
      </x:c>
      <x:c r="F485" t="n">
        <x:v>468</x:v>
      </x:c>
      <x:c r="G485" t="str">
        <x:v>2cb18ed35a087bc2b71267bc1d019718d5979ecd778f79d0ecba3ebeff35f2d1</x:v>
      </x:c>
      <x:c r="H485" t="str">
        <x:v>neu</x:v>
      </x:c>
      <x:c r="I485" t="str">
        <x:v>ok</x:v>
      </x:c>
      <x:c r="J485"/>
      <x:c r="K485" t="n">
        <x:v>45994</x:v>
      </x:c>
      <x:c r="L485" t="n">
        <x:v>45994</x:v>
      </x:c>
      <x:c r="M485" t="str">
        <x:v>Gebucht</x:v>
      </x:c>
      <x:c r="N485" t="str">
        <x:v>ISSUER</x:v>
      </x:c>
      <x:c r="O485" t="str">
        <x:v>NIKE.Retail.B.V..Zweign/Berlin</x:v>
      </x:c>
      <x:c r="P485" t="str">
        <x:v>VISA Debitkartenumsatz vom 28.11.2025</x:v>
      </x:c>
      <x:c r="Q485" t="str">
        <x:v>Ausgang</x:v>
      </x:c>
      <x:c r="R485" t="str">
        <x:v>DE96120300009005290904</x:v>
      </x:c>
      <x:c r="S485" t="n">
        <x:v>-37.39</x:v>
      </x:c>
      <x:c r="T485" t="str">
        <x:v>"</x:v>
      </x:c>
      <x:c r="U485" t="str">
        <x:v>"</x:v>
      </x:c>
      <x:c r="V485" t="str">
        <x:v>485332801884894</x:v>
      </x:c>
    </x:row>
    <x:row r="486">
      <x:c r="A486" t="str">
        <x:v>RAW-IMP-20260516-FULLDRAFT-000469</x:v>
      </x:c>
      <x:c r="B486" t="str">
        <x:v>IMP-20260516-FULLDRAFT</x:v>
      </x:c>
      <x:c r="C486" t="str">
        <x:v>KTO001</x:v>
      </x:c>
      <x:c r="D486" t="str">
        <x:v>16-05-2026_Umsatzliste_Girokonto_DE98120300001061711675.csv</x:v>
      </x:c>
      <x:c r="E486" t="n">
        <x:v>46163</x:v>
      </x:c>
      <x:c r="F486" t="n">
        <x:v>469</x:v>
      </x:c>
      <x:c r="G486" t="str">
        <x:v>13f665dbd57a445dc3d2d775a619f0f532bb9e7654461df1a8bd8b35ae4ae2ce</x:v>
      </x:c>
      <x:c r="H486" t="str">
        <x:v>neu</x:v>
      </x:c>
      <x:c r="I486" t="str">
        <x:v>ok</x:v>
      </x:c>
      <x:c r="J486"/>
      <x:c r="K486" t="n">
        <x:v>45994</x:v>
      </x:c>
      <x:c r="L486" t="n">
        <x:v>45994</x:v>
      </x:c>
      <x:c r="M486" t="str">
        <x:v>Gebucht</x:v>
      </x:c>
      <x:c r="N486" t="str">
        <x:v>ISSUER</x:v>
      </x:c>
      <x:c r="O486" t="str">
        <x:v>EDEKA.POTRATZ/HILDESHEIM</x:v>
      </x:c>
      <x:c r="P486" t="str">
        <x:v>VISA Debitkartenumsatz vom 02.12.2025</x:v>
      </x:c>
      <x:c r="Q486" t="str">
        <x:v>Ausgang</x:v>
      </x:c>
      <x:c r="R486" t="str">
        <x:v>DE96120300009005290904</x:v>
      </x:c>
      <x:c r="S486" t="n">
        <x:v>-2.55</x:v>
      </x:c>
      <x:c r="T486" t="str">
        <x:v>"</x:v>
      </x:c>
      <x:c r="U486" t="str">
        <x:v>"</x:v>
      </x:c>
      <x:c r="V486" t="str">
        <x:v>485336425703635</x:v>
      </x:c>
    </x:row>
    <x:row r="487">
      <x:c r="A487" t="str">
        <x:v>RAW-IMP-20260516-FULLDRAFT-000470</x:v>
      </x:c>
      <x:c r="B487" t="str">
        <x:v>IMP-20260516-FULLDRAFT</x:v>
      </x:c>
      <x:c r="C487" t="str">
        <x:v>KTO001</x:v>
      </x:c>
      <x:c r="D487" t="str">
        <x:v>16-05-2026_Umsatzliste_Girokonto_DE98120300001061711675.csv</x:v>
      </x:c>
      <x:c r="E487" t="n">
        <x:v>46163</x:v>
      </x:c>
      <x:c r="F487" t="n">
        <x:v>470</x:v>
      </x:c>
      <x:c r="G487" t="str">
        <x:v>3738d31e62e9a466657f10e9b00fc97d5517d12cbf1c33770ae8b6869bd2582b</x:v>
      </x:c>
      <x:c r="H487" t="str">
        <x:v>neu</x:v>
      </x:c>
      <x:c r="I487" t="str">
        <x:v>ok</x:v>
      </x:c>
      <x:c r="J487"/>
      <x:c r="K487" t="n">
        <x:v>45994</x:v>
      </x:c>
      <x:c r="L487" t="n">
        <x:v>45994</x:v>
      </x:c>
      <x:c r="M487" t="str">
        <x:v>Gebucht</x:v>
      </x:c>
      <x:c r="N487" t="str">
        <x:v>Lars Kohlenberg                                                       Johannes-Wosnitza-Str. 8 38229 Salzgitter</x:v>
      </x:c>
      <x:c r="O487" t="str">
        <x:v>Telekom Deutschland GmbH</x:v>
      </x:c>
      <x:c r="P487" t="str">
        <x:v>Festnetz Vertragskonto 4763666565 RG 7892257772/24.11.2025</x:v>
      </x:c>
      <x:c r="Q487" t="str">
        <x:v>Ausgang</x:v>
      </x:c>
      <x:c r="R487" t="str">
        <x:v>DE07512108001095000911</x:v>
      </x:c>
      <x:c r="S487" t="n">
        <x:v>-61.93</x:v>
      </x:c>
      <x:c r="T487" t="str">
        <x:v>DE93ZZZ00000078611</x:v>
      </x:c>
      <x:c r="U487" t="str">
        <x:v>DE000201000200000000000000012966156</x:v>
      </x:c>
      <x:c r="V487" t="str">
        <x:v>Zahlbeleg 376281506624</x:v>
      </x:c>
    </x:row>
    <x:row r="488">
      <x:c r="A488" t="str">
        <x:v>RAW-IMP-20260516-FULLDRAFT-000471</x:v>
      </x:c>
      <x:c r="B488" t="str">
        <x:v>IMP-20260516-FULLDRAFT</x:v>
      </x:c>
      <x:c r="C488" t="str">
        <x:v>KTO001</x:v>
      </x:c>
      <x:c r="D488" t="str">
        <x:v>16-05-2026_Umsatzliste_Girokonto_DE98120300001061711675.csv</x:v>
      </x:c>
      <x:c r="E488" t="n">
        <x:v>46163</x:v>
      </x:c>
      <x:c r="F488" t="n">
        <x:v>471</x:v>
      </x:c>
      <x:c r="G488" t="str">
        <x:v>e08bb6cbdfc754bfad00b38b7084707c1cd3760d4b78a7793c77ad6438ad65c8</x:v>
      </x:c>
      <x:c r="H488" t="str">
        <x:v>neu</x:v>
      </x:c>
      <x:c r="I488" t="str">
        <x:v>ok</x:v>
      </x:c>
      <x:c r="J488"/>
      <x:c r="K488" t="n">
        <x:v>45993</x:v>
      </x:c>
      <x:c r="L488" t="n">
        <x:v>45993</x:v>
      </x:c>
      <x:c r="M488" t="str">
        <x:v>Gebucht</x:v>
      </x:c>
      <x:c r="N488" t="str">
        <x:v>ISSUER</x:v>
      </x:c>
      <x:c r="O488" t="str">
        <x:v>EDEKA.POTRATZ/HILDESHEIM</x:v>
      </x:c>
      <x:c r="P488" t="str">
        <x:v>VISA Debitkartenumsatz vom 01.12.2025</x:v>
      </x:c>
      <x:c r="Q488" t="str">
        <x:v>Ausgang</x:v>
      </x:c>
      <x:c r="R488" t="str">
        <x:v>DE96120300009005290904</x:v>
      </x:c>
      <x:c r="S488" t="n">
        <x:v>-5.33</x:v>
      </x:c>
      <x:c r="T488" t="str">
        <x:v>"</x:v>
      </x:c>
      <x:c r="U488" t="str">
        <x:v>"</x:v>
      </x:c>
      <x:c r="V488" t="str">
        <x:v>485335412257085</x:v>
      </x:c>
    </x:row>
    <x:row r="489">
      <x:c r="A489" t="str">
        <x:v>RAW-IMP-20260516-FULLDRAFT-000472</x:v>
      </x:c>
      <x:c r="B489" t="str">
        <x:v>IMP-20260516-FULLDRAFT</x:v>
      </x:c>
      <x:c r="C489" t="str">
        <x:v>KTO001</x:v>
      </x:c>
      <x:c r="D489" t="str">
        <x:v>16-05-2026_Umsatzliste_Girokonto_DE98120300001061711675.csv</x:v>
      </x:c>
      <x:c r="E489" t="n">
        <x:v>46163</x:v>
      </x:c>
      <x:c r="F489" t="n">
        <x:v>472</x:v>
      </x:c>
      <x:c r="G489" t="str">
        <x:v>b67a1d63e88aa29581ab6372ddb2fdc9c0ae6379f7203f9a3c7ffb63847786aa</x:v>
      </x:c>
      <x:c r="H489" t="str">
        <x:v>neu</x:v>
      </x:c>
      <x:c r="I489" t="str">
        <x:v>ok</x:v>
      </x:c>
      <x:c r="J489"/>
      <x:c r="K489" t="n">
        <x:v>45993</x:v>
      </x:c>
      <x:c r="L489" t="n">
        <x:v>45993</x:v>
      </x:c>
      <x:c r="M489" t="str">
        <x:v>Gebucht</x:v>
      </x:c>
      <x:c r="N489" t="str">
        <x:v>ISSUER</x:v>
      </x:c>
      <x:c r="O489" t="str">
        <x:v>METRO.SAGT.DANKE/BRAUNSCHWEIG</x:v>
      </x:c>
      <x:c r="P489" t="str">
        <x:v>VISA Debitkartenumsatz vom 01.12.2025</x:v>
      </x:c>
      <x:c r="Q489" t="str">
        <x:v>Ausgang</x:v>
      </x:c>
      <x:c r="R489" t="str">
        <x:v>DE96120300009005290904</x:v>
      </x:c>
      <x:c r="S489" t="n">
        <x:v>-41.73</x:v>
      </x:c>
      <x:c r="T489" t="str">
        <x:v>"</x:v>
      </x:c>
      <x:c r="U489" t="str">
        <x:v>"</x:v>
      </x:c>
      <x:c r="V489" t="str">
        <x:v>485335621427124</x:v>
      </x:c>
    </x:row>
    <x:row r="490">
      <x:c r="A490" t="str">
        <x:v>RAW-IMP-20260516-FULLDRAFT-000473</x:v>
      </x:c>
      <x:c r="B490" t="str">
        <x:v>IMP-20260516-FULLDRAFT</x:v>
      </x:c>
      <x:c r="C490" t="str">
        <x:v>KTO001</x:v>
      </x:c>
      <x:c r="D490" t="str">
        <x:v>16-05-2026_Umsatzliste_Girokonto_DE98120300001061711675.csv</x:v>
      </x:c>
      <x:c r="E490" t="n">
        <x:v>46163</x:v>
      </x:c>
      <x:c r="F490" t="n">
        <x:v>473</x:v>
      </x:c>
      <x:c r="G490" t="str">
        <x:v>84381521a3483a51fa357f3bca919072915eb21a81ed7d77923a52185291728f</x:v>
      </x:c>
      <x:c r="H490" t="str">
        <x:v>neu</x:v>
      </x:c>
      <x:c r="I490" t="str">
        <x:v>ok</x:v>
      </x:c>
      <x:c r="J490"/>
      <x:c r="K490" t="n">
        <x:v>45993</x:v>
      </x:c>
      <x:c r="L490" t="n">
        <x:v>45993</x:v>
      </x:c>
      <x:c r="M490" t="str">
        <x:v>Gebucht</x:v>
      </x:c>
      <x:c r="N490" t="str">
        <x:v>ISSUER</x:v>
      </x:c>
      <x:c r="O490" t="str">
        <x:v>Amazon.de.ZX8FC9AZ4/AMAZON.DE</x:v>
      </x:c>
      <x:c r="P490" t="str">
        <x:v>VISA Debitkartenumsatz vom 01.12.2025</x:v>
      </x:c>
      <x:c r="Q490" t="str">
        <x:v>Ausgang</x:v>
      </x:c>
      <x:c r="R490" t="str">
        <x:v>DE96120300009005290904</x:v>
      </x:c>
      <x:c r="S490" t="n">
        <x:v>-29</x:v>
      </x:c>
      <x:c r="T490" t="str">
        <x:v>"</x:v>
      </x:c>
      <x:c r="U490" t="str">
        <x:v>"</x:v>
      </x:c>
      <x:c r="V490" t="str">
        <x:v>485333835309332</x:v>
      </x:c>
    </x:row>
    <x:row r="491">
      <x:c r="A491" t="str">
        <x:v>RAW-IMP-20260516-FULLDRAFT-000474</x:v>
      </x:c>
      <x:c r="B491" t="str">
        <x:v>IMP-20260516-FULLDRAFT</x:v>
      </x:c>
      <x:c r="C491" t="str">
        <x:v>KTO001</x:v>
      </x:c>
      <x:c r="D491" t="str">
        <x:v>16-05-2026_Umsatzliste_Girokonto_DE98120300001061711675.csv</x:v>
      </x:c>
      <x:c r="E491" t="n">
        <x:v>46163</x:v>
      </x:c>
      <x:c r="F491" t="n">
        <x:v>474</x:v>
      </x:c>
      <x:c r="G491" t="str">
        <x:v>d9adcd758dc5e444ec1d52bcc7918e2fccda33449942652c76de4e02e2eee973</x:v>
      </x:c>
      <x:c r="H491" t="str">
        <x:v>neu</x:v>
      </x:c>
      <x:c r="I491" t="str">
        <x:v>ok</x:v>
      </x:c>
      <x:c r="J491"/>
      <x:c r="K491" t="n">
        <x:v>45993</x:v>
      </x:c>
      <x:c r="L491" t="n">
        <x:v>45993</x:v>
      </x:c>
      <x:c r="M491" t="str">
        <x:v>Gebucht</x:v>
      </x:c>
      <x:c r="N491" t="str">
        <x:v>ISSUER</x:v>
      </x:c>
      <x:c r="O491" t="str">
        <x:v>AMZN.Mktp.DE.ZX1MZ91D4/AMZN.COM.BILL</x:v>
      </x:c>
      <x:c r="P491" t="str">
        <x:v>VISA Debitkartenumsatz vom 01.12.2025</x:v>
      </x:c>
      <x:c r="Q491" t="str">
        <x:v>Ausgang</x:v>
      </x:c>
      <x:c r="R491" t="str">
        <x:v>DE96120300009005290904</x:v>
      </x:c>
      <x:c r="S491" t="n">
        <x:v>-44.98</x:v>
      </x:c>
      <x:c r="T491" t="str">
        <x:v>"</x:v>
      </x:c>
      <x:c r="U491" t="str">
        <x:v>"</x:v>
      </x:c>
      <x:c r="V491" t="str">
        <x:v>485334461098876</x:v>
      </x:c>
    </x:row>
    <x:row r="492">
      <x:c r="A492" t="str">
        <x:v>RAW-IMP-20260516-FULLDRAFT-000475</x:v>
      </x:c>
      <x:c r="B492" t="str">
        <x:v>IMP-20260516-FULLDRAFT</x:v>
      </x:c>
      <x:c r="C492" t="str">
        <x:v>KTO001</x:v>
      </x:c>
      <x:c r="D492" t="str">
        <x:v>16-05-2026_Umsatzliste_Girokonto_DE98120300001061711675.csv</x:v>
      </x:c>
      <x:c r="E492" t="n">
        <x:v>46163</x:v>
      </x:c>
      <x:c r="F492" t="n">
        <x:v>475</x:v>
      </x:c>
      <x:c r="G492" t="str">
        <x:v>e5db5c0429f73185b032d863de5d858704e7af86b43944023aac713b7f92fc9b</x:v>
      </x:c>
      <x:c r="H492" t="str">
        <x:v>neu</x:v>
      </x:c>
      <x:c r="I492" t="str">
        <x:v>ok</x:v>
      </x:c>
      <x:c r="J492"/>
      <x:c r="K492" t="n">
        <x:v>45993</x:v>
      </x:c>
      <x:c r="L492" t="n">
        <x:v>45993</x:v>
      </x:c>
      <x:c r="M492" t="str">
        <x:v>Gebucht</x:v>
      </x:c>
      <x:c r="N492" t="str">
        <x:v>ISSUER</x:v>
      </x:c>
      <x:c r="O492" t="str">
        <x:v>Chemnitzer.Strasse.17/SZ.LEBENST</x:v>
      </x:c>
      <x:c r="P492" t="str">
        <x:v>VISA Debitkartenumsatz vom 01.12.2025</x:v>
      </x:c>
      <x:c r="Q492" t="str">
        <x:v>Ausgang</x:v>
      </x:c>
      <x:c r="R492" t="str">
        <x:v>DE96120300009005290904</x:v>
      </x:c>
      <x:c r="S492" t="n">
        <x:v>-500</x:v>
      </x:c>
      <x:c r="T492" t="str">
        <x:v>"</x:v>
      </x:c>
      <x:c r="U492" t="str">
        <x:v>"</x:v>
      </x:c>
      <x:c r="V492" t="str">
        <x:v>485335631141918</x:v>
      </x:c>
    </x:row>
    <x:row r="493">
      <x:c r="A493" t="str">
        <x:v>RAW-IMP-20260516-FULLDRAFT-000476</x:v>
      </x:c>
      <x:c r="B493" t="str">
        <x:v>IMP-20260516-FULLDRAFT</x:v>
      </x:c>
      <x:c r="C493" t="str">
        <x:v>KTO001</x:v>
      </x:c>
      <x:c r="D493" t="str">
        <x:v>16-05-2026_Umsatzliste_Girokonto_DE98120300001061711675.csv</x:v>
      </x:c>
      <x:c r="E493" t="n">
        <x:v>46163</x:v>
      </x:c>
      <x:c r="F493" t="n">
        <x:v>476</x:v>
      </x:c>
      <x:c r="G493" t="str">
        <x:v>2ed6f32a88a0ec41ab22d303aa34d0001b48acc52f6dc9cab8bbb0676a01a738</x:v>
      </x:c>
      <x:c r="H493" t="str">
        <x:v>neu</x:v>
      </x:c>
      <x:c r="I493" t="str">
        <x:v>ok</x:v>
      </x:c>
      <x:c r="J493"/>
      <x:c r="K493" t="n">
        <x:v>45993</x:v>
      </x:c>
      <x:c r="L493" t="n">
        <x:v>45993</x:v>
      </x:c>
      <x:c r="M493" t="str">
        <x:v>Gebucht</x:v>
      </x:c>
      <x:c r="N493" t="str">
        <x:v>Lars Kohlenberg</x:v>
      </x:c>
      <x:c r="O493" t="str">
        <x:v>VHV Allg. Versicherung AG</x:v>
      </x:c>
      <x:c r="P493" t="str">
        <x:v>VHV Versicherung UNFALLVERSICHERUNG U 013-072445/0000 Abrechnung: 01.12.25 - 01.01.26</x:v>
      </x:c>
      <x:c r="Q493" t="str">
        <x:v>Ausgang</x:v>
      </x:c>
      <x:c r="R493" t="str">
        <x:v>DE65250500000101411551</x:v>
      </x:c>
      <x:c r="S493" t="n">
        <x:v>-11.96</x:v>
      </x:c>
      <x:c r="T493" t="str">
        <x:v>DE32VHV00000150810</x:v>
      </x:c>
      <x:c r="U493" t="str">
        <x:v>0015012300010039</x:v>
      </x:c>
      <x:c r="V493" t="str">
        <x:v>31123738918</x:v>
      </x:c>
    </x:row>
    <x:row r="494">
      <x:c r="A494" t="str">
        <x:v>RAW-IMP-20260516-FULLDRAFT-000477</x:v>
      </x:c>
      <x:c r="B494" t="str">
        <x:v>IMP-20260516-FULLDRAFT</x:v>
      </x:c>
      <x:c r="C494" t="str">
        <x:v>KTO001</x:v>
      </x:c>
      <x:c r="D494" t="str">
        <x:v>16-05-2026_Umsatzliste_Girokonto_DE98120300001061711675.csv</x:v>
      </x:c>
      <x:c r="E494" t="n">
        <x:v>46163</x:v>
      </x:c>
      <x:c r="F494" t="n">
        <x:v>477</x:v>
      </x:c>
      <x:c r="G494" t="str">
        <x:v>3dbea4cdde02d526368146e534250e6e70bce0bc7f391d21551eb9c333e6f497</x:v>
      </x:c>
      <x:c r="H494" t="str">
        <x:v>neu</x:v>
      </x:c>
      <x:c r="I494" t="str">
        <x:v>ok</x:v>
      </x:c>
      <x:c r="J494"/>
      <x:c r="K494" t="n">
        <x:v>45993</x:v>
      </x:c>
      <x:c r="L494" t="n">
        <x:v>45993</x:v>
      </x:c>
      <x:c r="M494" t="str">
        <x:v>Gebucht</x:v>
      </x:c>
      <x:c r="N494" t="str">
        <x:v>Lars Kohlenberg                                                       Johannes-Wosnitza-Str. 8</x:v>
      </x:c>
      <x:c r="O494" t="str">
        <x:v>FUNKE Medien Nieders.GmbH</x:v>
      </x:c>
      <x:c r="P494" t="str">
        <x:v>SZ/00001050/VA/01.12.25-31.12.25/Rg-Nr.:6316789671/Kd-Nr:0053112791</x:v>
      </x:c>
      <x:c r="Q494" t="str">
        <x:v>Ausgang</x:v>
      </x:c>
      <x:c r="R494" t="str">
        <x:v>DE67250500000000146910</x:v>
      </x:c>
      <x:c r="S494" t="n">
        <x:v>-60.5</x:v>
      </x:c>
      <x:c r="T494" t="str">
        <x:v>DE8850000000483288</x:v>
      </x:c>
      <x:c r="U494" t="str">
        <x:v>0053112791-0500-01300001</x:v>
      </x:c>
      <x:c r="V494" t="str">
        <x:v>033007238214</x:v>
      </x:c>
    </x:row>
    <x:row r="495">
      <x:c r="A495" t="str">
        <x:v>RAW-IMP-20260516-FULLDRAFT-000478</x:v>
      </x:c>
      <x:c r="B495" t="str">
        <x:v>IMP-20260516-FULLDRAFT</x:v>
      </x:c>
      <x:c r="C495" t="str">
        <x:v>KTO001</x:v>
      </x:c>
      <x:c r="D495" t="str">
        <x:v>16-05-2026_Umsatzliste_Girokonto_DE98120300001061711675.csv</x:v>
      </x:c>
      <x:c r="E495" t="n">
        <x:v>46163</x:v>
      </x:c>
      <x:c r="F495" t="n">
        <x:v>478</x:v>
      </x:c>
      <x:c r="G495" t="str">
        <x:v>115f1eee2c6acb5731b92dc38ea15df779c8d213feced119670a86dfe01177a1</x:v>
      </x:c>
      <x:c r="H495" t="str">
        <x:v>neu</x:v>
      </x:c>
      <x:c r="I495" t="str">
        <x:v>ok</x:v>
      </x:c>
      <x:c r="J495"/>
      <x:c r="K495" t="n">
        <x:v>45993</x:v>
      </x:c>
      <x:c r="L495" t="n">
        <x:v>45993</x:v>
      </x:c>
      <x:c r="M495" t="str">
        <x:v>Gebucht</x:v>
      </x:c>
      <x:c r="N495" t="str">
        <x:v>Lars Kohlenberg                                                       Johannes-Wosnitza-Str. 8,38229 Salzgitter</x:v>
      </x:c>
      <x:c r="O495" t="str">
        <x:v>1+1 Mail + Media GmbH                                                 Elgendorfer Str. 57, 56410 Montabaur</x:v>
      </x:c>
      <x:c r="P495" t="str">
        <x:v>KD-Nr. K7440512/ RG-Nr. 201542939014</x:v>
      </x:c>
      <x:c r="Q495" t="str">
        <x:v>Ausgang</x:v>
      </x:c>
      <x:c r="R495" t="str">
        <x:v>DE76700800000881679702</x:v>
      </x:c>
      <x:c r="S495" t="n">
        <x:v>-8.99</x:v>
      </x:c>
      <x:c r="T495" t="str">
        <x:v>DE07ZZZ00000569718</x:v>
      </x:c>
      <x:c r="U495" t="str">
        <x:v>0090001393062</x:v>
      </x:c>
      <x:c r="V495" t="str">
        <x:v>006451752646</x:v>
      </x:c>
    </x:row>
    <x:row r="496">
      <x:c r="A496" t="str">
        <x:v>RAW-IMP-20260516-FULLDRAFT-000479</x:v>
      </x:c>
      <x:c r="B496" t="str">
        <x:v>IMP-20260516-FULLDRAFT</x:v>
      </x:c>
      <x:c r="C496" t="str">
        <x:v>KTO001</x:v>
      </x:c>
      <x:c r="D496" t="str">
        <x:v>16-05-2026_Umsatzliste_Girokonto_DE98120300001061711675.csv</x:v>
      </x:c>
      <x:c r="E496" t="n">
        <x:v>46163</x:v>
      </x:c>
      <x:c r="F496" t="n">
        <x:v>479</x:v>
      </x:c>
      <x:c r="G496" t="str">
        <x:v>0a12c11226a013f98b0f1f1373a74d32a129407e4e06843647a263bf3539799c</x:v>
      </x:c>
      <x:c r="H496" t="str">
        <x:v>neu</x:v>
      </x:c>
      <x:c r="I496" t="str">
        <x:v>ok</x:v>
      </x:c>
      <x:c r="J496"/>
      <x:c r="K496" t="n">
        <x:v>45993</x:v>
      </x:c>
      <x:c r="L496" t="n">
        <x:v>45993</x:v>
      </x:c>
      <x:c r="M496" t="str">
        <x:v>Gebucht</x:v>
      </x:c>
      <x:c r="N496" t="str">
        <x:v>KOHLENBERG, LARS</x:v>
      </x:c>
      <x:c r="O496" t="str">
        <x:v>VPV-LEBENSVERSICHERUNGS-AG</x:v>
      </x:c>
      <x:c r="P496" t="str">
        <x:v>VNR 301667726</x:v>
      </x:c>
      <x:c r="Q496" t="str">
        <x:v>Ausgang</x:v>
      </x:c>
      <x:c r="R496" t="str">
        <x:v>DE78600501010001166338</x:v>
      </x:c>
      <x:c r="S496" t="n">
        <x:v>-56.83</x:v>
      </x:c>
      <x:c r="T496" t="str">
        <x:v>DE96LAG00000064686</x:v>
      </x:c>
      <x:c r="U496" t="str">
        <x:v>ML700120510</x:v>
      </x:c>
      <x:c r="V496" t="str">
        <x:v>251201 466292553 ML700120510</x:v>
      </x:c>
    </x:row>
    <x:row r="497">
      <x:c r="A497" t="str">
        <x:v>RAW-IMP-20260516-FULLDRAFT-000480</x:v>
      </x:c>
      <x:c r="B497" t="str">
        <x:v>IMP-20260516-FULLDRAFT</x:v>
      </x:c>
      <x:c r="C497" t="str">
        <x:v>KTO001</x:v>
      </x:c>
      <x:c r="D497" t="str">
        <x:v>16-05-2026_Umsatzliste_Girokonto_DE98120300001061711675.csv</x:v>
      </x:c>
      <x:c r="E497" t="n">
        <x:v>46163</x:v>
      </x:c>
      <x:c r="F497" t="n">
        <x:v>480</x:v>
      </x:c>
      <x:c r="G497" t="str">
        <x:v>2d5dbcfaa4620b91ab67f4297c03952a65fe273115bd9379b49e41dc601615b4</x:v>
      </x:c>
      <x:c r="H497" t="str">
        <x:v>neu</x:v>
      </x:c>
      <x:c r="I497" t="str">
        <x:v>ok</x:v>
      </x:c>
      <x:c r="J497"/>
      <x:c r="K497" t="n">
        <x:v>45993</x:v>
      </x:c>
      <x:c r="L497" t="n">
        <x:v>45993</x:v>
      </x:c>
      <x:c r="M497" t="str">
        <x:v>Gebucht</x:v>
      </x:c>
      <x:c r="N497" t="str">
        <x:v>Kohlenberg Lars</x:v>
      </x:c>
      <x:c r="O497" t="str">
        <x:v>Allianz Lebensvers. AG</x:v>
      </x:c>
      <x:c r="P497" t="str">
        <x:v>Vertrag AL-1356867060 bisheriger Vertrag 33 029 619 6 01.12.25 - 31.12.25 RiesRent InvAlphaBal</x:v>
      </x:c>
      <x:c r="Q497" t="str">
        <x:v>Ausgang</x:v>
      </x:c>
      <x:c r="R497" t="str">
        <x:v>DE52700202700015152448</x:v>
      </x:c>
      <x:c r="S497" t="n">
        <x:v>-141.13</x:v>
      </x:c>
      <x:c r="T497" t="str">
        <x:v>DE07ZZZ00000063475</x:v>
      </x:c>
      <x:c r="U497" t="str">
        <x:v>LA01L312001066775296</x:v>
      </x:c>
      <x:c r="V497" t="str">
        <x:v>AB225331-E00733414</x:v>
      </x:c>
    </x:row>
    <x:row r="498">
      <x:c r="A498" t="str">
        <x:v>RAW-IMP-20260516-FULLDRAFT-000481</x:v>
      </x:c>
      <x:c r="B498" t="str">
        <x:v>IMP-20260516-FULLDRAFT</x:v>
      </x:c>
      <x:c r="C498" t="str">
        <x:v>KTO001</x:v>
      </x:c>
      <x:c r="D498" t="str">
        <x:v>16-05-2026_Umsatzliste_Girokonto_DE98120300001061711675.csv</x:v>
      </x:c>
      <x:c r="E498" t="n">
        <x:v>46163</x:v>
      </x:c>
      <x:c r="F498" t="n">
        <x:v>481</x:v>
      </x:c>
      <x:c r="G498" t="str">
        <x:v>d953bc7cd765f412d02ae41bdb94e98b9c365eb1596669f6b40a6c5bc466e749</x:v>
      </x:c>
      <x:c r="H498" t="str">
        <x:v>neu</x:v>
      </x:c>
      <x:c r="I498" t="str">
        <x:v>ok</x:v>
      </x:c>
      <x:c r="J498"/>
      <x:c r="K498" t="n">
        <x:v>45992</x:v>
      </x:c>
      <x:c r="L498" t="n">
        <x:v>45992</x:v>
      </x:c>
      <x:c r="M498" t="str">
        <x:v>Gebucht</x:v>
      </x:c>
      <x:c r="N498" t="str">
        <x:v>WILLI KOHLENBERG</x:v>
      </x:c>
      <x:c r="O498" t="str">
        <x:v>LARS KOHLENBERG</x:v>
      </x:c>
      <x:c r="P498" t="str">
        <x:v>MIETE 2/3 HAUS</x:v>
      </x:c>
      <x:c r="Q498" t="str">
        <x:v>Eingang</x:v>
      </x:c>
      <x:c r="R498" t="str">
        <x:v>DE84270800600651520400</x:v>
      </x:c>
      <x:c r="S498" t="n">
        <x:v>750</x:v>
      </x:c>
      <x:c r="T498" t="str">
        <x:v>"</x:v>
      </x:c>
      <x:c r="U498" t="str">
        <x:v>"</x:v>
      </x:c>
      <x:c r="V498" t="str">
        <x:v>"</x:v>
      </x:c>
    </x:row>
    <x:row r="499">
      <x:c r="A499" t="str">
        <x:v>RAW-IMP-20260516-FULLDRAFT-000482</x:v>
      </x:c>
      <x:c r="B499" t="str">
        <x:v>IMP-20260516-FULLDRAFT</x:v>
      </x:c>
      <x:c r="C499" t="str">
        <x:v>KTO001</x:v>
      </x:c>
      <x:c r="D499" t="str">
        <x:v>16-05-2026_Umsatzliste_Girokonto_DE98120300001061711675.csv</x:v>
      </x:c>
      <x:c r="E499" t="n">
        <x:v>46163</x:v>
      </x:c>
      <x:c r="F499" t="n">
        <x:v>482</x:v>
      </x:c>
      <x:c r="G499" t="str">
        <x:v>48267c9cd9d91a0e7d89cbf3393460ec7876bd4d3043d4d86e5b305b35d5971e</x:v>
      </x:c>
      <x:c r="H499" t="str">
        <x:v>neu</x:v>
      </x:c>
      <x:c r="I499" t="str">
        <x:v>ok</x:v>
      </x:c>
      <x:c r="J499"/>
      <x:c r="K499" t="n">
        <x:v>45992</x:v>
      </x:c>
      <x:c r="L499" t="n">
        <x:v>45992</x:v>
      </x:c>
      <x:c r="M499" t="str">
        <x:v>Gebucht</x:v>
      </x:c>
      <x:c r="N499" t="str">
        <x:v>ISSUER</x:v>
      </x:c>
      <x:c r="O499" t="str">
        <x:v>THALIA.BUCHHANDLUNG.NOR/Braunschweig</x:v>
      </x:c>
      <x:c r="P499" t="str">
        <x:v>VISA Debitkartenumsatz vom 29.11.2025</x:v>
      </x:c>
      <x:c r="Q499" t="str">
        <x:v>Ausgang</x:v>
      </x:c>
      <x:c r="R499" t="str">
        <x:v>DE96120300009005290904</x:v>
      </x:c>
      <x:c r="S499" t="n">
        <x:v>-20.89</x:v>
      </x:c>
      <x:c r="T499" t="str">
        <x:v>"</x:v>
      </x:c>
      <x:c r="U499" t="str">
        <x:v>"</x:v>
      </x:c>
      <x:c r="V499" t="str">
        <x:v>485333358667911</x:v>
      </x:c>
    </x:row>
    <x:row r="500">
      <x:c r="A500" t="str">
        <x:v>RAW-IMP-20260516-FULLDRAFT-000483</x:v>
      </x:c>
      <x:c r="B500" t="str">
        <x:v>IMP-20260516-FULLDRAFT</x:v>
      </x:c>
      <x:c r="C500" t="str">
        <x:v>KTO001</x:v>
      </x:c>
      <x:c r="D500" t="str">
        <x:v>16-05-2026_Umsatzliste_Girokonto_DE98120300001061711675.csv</x:v>
      </x:c>
      <x:c r="E500" t="n">
        <x:v>46163</x:v>
      </x:c>
      <x:c r="F500" t="n">
        <x:v>483</x:v>
      </x:c>
      <x:c r="G500" t="str">
        <x:v>1b37e82453dc4fb25d39496cba25d19e84999cb7d759ca095a15ef725fac84d1</x:v>
      </x:c>
      <x:c r="H500" t="str">
        <x:v>neu</x:v>
      </x:c>
      <x:c r="I500" t="str">
        <x:v>ok</x:v>
      </x:c>
      <x:c r="J500"/>
      <x:c r="K500" t="n">
        <x:v>45992</x:v>
      </x:c>
      <x:c r="L500" t="n">
        <x:v>45992</x:v>
      </x:c>
      <x:c r="M500" t="str">
        <x:v>Gebucht</x:v>
      </x:c>
      <x:c r="N500" t="str">
        <x:v>ISSUER</x:v>
      </x:c>
      <x:c r="O500" t="str">
        <x:v>SPK.HILDESHEIM.GOSLAR.P/BREITESTR</x:v>
      </x:c>
      <x:c r="P500" t="str">
        <x:v>VISA Debitkartenumsatz vom 29.11.2025</x:v>
      </x:c>
      <x:c r="Q500" t="str">
        <x:v>Ausgang</x:v>
      </x:c>
      <x:c r="R500" t="str">
        <x:v>DE96120300009005290904</x:v>
      </x:c>
      <x:c r="S500" t="n">
        <x:v>-100</x:v>
      </x:c>
      <x:c r="T500" t="str">
        <x:v>"</x:v>
      </x:c>
      <x:c r="U500" t="str">
        <x:v>"</x:v>
      </x:c>
      <x:c r="V500" t="str">
        <x:v>485333657935861</x:v>
      </x:c>
    </x:row>
    <x:row r="501">
      <x:c r="A501" t="str">
        <x:v>RAW-IMP-20260516-FULLDRAFT-000484</x:v>
      </x:c>
      <x:c r="B501" t="str">
        <x:v>IMP-20260516-FULLDRAFT</x:v>
      </x:c>
      <x:c r="C501" t="str">
        <x:v>KTO001</x:v>
      </x:c>
      <x:c r="D501" t="str">
        <x:v>16-05-2026_Umsatzliste_Girokonto_DE98120300001061711675.csv</x:v>
      </x:c>
      <x:c r="E501" t="n">
        <x:v>46163</x:v>
      </x:c>
      <x:c r="F501" t="n">
        <x:v>484</x:v>
      </x:c>
      <x:c r="G501" t="str">
        <x:v>758bb1f8a3f1522afdefb8171a5c54d20f8989684b0a057f7344e3c6a9de9deb</x:v>
      </x:c>
      <x:c r="H501" t="str">
        <x:v>neu</x:v>
      </x:c>
      <x:c r="I501" t="str">
        <x:v>ok</x:v>
      </x:c>
      <x:c r="J501"/>
      <x:c r="K501" t="n">
        <x:v>45992</x:v>
      </x:c>
      <x:c r="L501" t="n">
        <x:v>45992</x:v>
      </x:c>
      <x:c r="M501" t="str">
        <x:v>Gebucht</x:v>
      </x:c>
      <x:c r="N501" t="str">
        <x:v>ISSUER</x:v>
      </x:c>
      <x:c r="O501" t="str">
        <x:v>Amazon.de.ZR6JN7K54/AMAZON.DE</x:v>
      </x:c>
      <x:c r="P501" t="str">
        <x:v>VISA Debitkartenumsatz vom 29.11.2025</x:v>
      </x:c>
      <x:c r="Q501" t="str">
        <x:v>Ausgang</x:v>
      </x:c>
      <x:c r="R501" t="str">
        <x:v>DE96120300009005290904</x:v>
      </x:c>
      <x:c r="S501" t="n">
        <x:v>-159</x:v>
      </x:c>
      <x:c r="T501" t="str">
        <x:v>"</x:v>
      </x:c>
      <x:c r="U501" t="str">
        <x:v>"</x:v>
      </x:c>
      <x:c r="V501" t="str">
        <x:v>485332545636967</x:v>
      </x:c>
    </x:row>
    <x:row r="502">
      <x:c r="A502" t="str">
        <x:v>RAW-IMP-20260516-FULLDRAFT-000485</x:v>
      </x:c>
      <x:c r="B502" t="str">
        <x:v>IMP-20260516-FULLDRAFT</x:v>
      </x:c>
      <x:c r="C502" t="str">
        <x:v>KTO001</x:v>
      </x:c>
      <x:c r="D502" t="str">
        <x:v>16-05-2026_Umsatzliste_Girokonto_DE98120300001061711675.csv</x:v>
      </x:c>
      <x:c r="E502" t="n">
        <x:v>46163</x:v>
      </x:c>
      <x:c r="F502" t="n">
        <x:v>485</x:v>
      </x:c>
      <x:c r="G502" t="str">
        <x:v>4ecc63735c5116d3ec46b74308197767c6520b9252db8f4c913eb9646f93dee5</x:v>
      </x:c>
      <x:c r="H502" t="str">
        <x:v>neu</x:v>
      </x:c>
      <x:c r="I502" t="str">
        <x:v>ok</x:v>
      </x:c>
      <x:c r="J502"/>
      <x:c r="K502" t="n">
        <x:v>45992</x:v>
      </x:c>
      <x:c r="L502" t="n">
        <x:v>45992</x:v>
      </x:c>
      <x:c r="M502" t="str">
        <x:v>Gebucht</x:v>
      </x:c>
      <x:c r="N502" t="str">
        <x:v>ISSUER</x:v>
      </x:c>
      <x:c r="O502" t="str">
        <x:v>SOESTRENE.GRENE.7019/BRAUNSCHWEIG</x:v>
      </x:c>
      <x:c r="P502" t="str">
        <x:v>VISA Debitkartenumsatz vom 29.11.2025</x:v>
      </x:c>
      <x:c r="Q502" t="str">
        <x:v>Ausgang</x:v>
      </x:c>
      <x:c r="R502" t="str">
        <x:v>DE96120300009005290904</x:v>
      </x:c>
      <x:c r="S502" t="n">
        <x:v>-4.58</x:v>
      </x:c>
      <x:c r="T502" t="str">
        <x:v>"</x:v>
      </x:c>
      <x:c r="U502" t="str">
        <x:v>"</x:v>
      </x:c>
      <x:c r="V502" t="str">
        <x:v>485333365840311</x:v>
      </x:c>
    </x:row>
    <x:row r="503">
      <x:c r="A503" t="str">
        <x:v>RAW-IMP-20260516-FULLDRAFT-000486</x:v>
      </x:c>
      <x:c r="B503" t="str">
        <x:v>IMP-20260516-FULLDRAFT</x:v>
      </x:c>
      <x:c r="C503" t="str">
        <x:v>KTO001</x:v>
      </x:c>
      <x:c r="D503" t="str">
        <x:v>16-05-2026_Umsatzliste_Girokonto_DE98120300001061711675.csv</x:v>
      </x:c>
      <x:c r="E503" t="n">
        <x:v>46163</x:v>
      </x:c>
      <x:c r="F503" t="n">
        <x:v>486</x:v>
      </x:c>
      <x:c r="G503" t="str">
        <x:v>5c90ac8fe362dc5bfb26f9f63f1c9cb3368898da0d6a38a04ba19607207e1054</x:v>
      </x:c>
      <x:c r="H503" t="str">
        <x:v>neu</x:v>
      </x:c>
      <x:c r="I503" t="str">
        <x:v>ok</x:v>
      </x:c>
      <x:c r="J503"/>
      <x:c r="K503" t="n">
        <x:v>45992</x:v>
      </x:c>
      <x:c r="L503" t="n">
        <x:v>45992</x:v>
      </x:c>
      <x:c r="M503" t="str">
        <x:v>Gebucht</x:v>
      </x:c>
      <x:c r="N503" t="str">
        <x:v>ISSUER</x:v>
      </x:c>
      <x:c r="O503" t="str">
        <x:v>BURGER.KING.15652.SOT/GOSLAR</x:v>
      </x:c>
      <x:c r="P503" t="str">
        <x:v>VISA Debitkartenumsatz vom 28.11.2025</x:v>
      </x:c>
      <x:c r="Q503" t="str">
        <x:v>Ausgang</x:v>
      </x:c>
      <x:c r="R503" t="str">
        <x:v>DE96120300009005290904</x:v>
      </x:c>
      <x:c r="S503" t="n">
        <x:v>-11.69</x:v>
      </x:c>
      <x:c r="T503" t="str">
        <x:v>"</x:v>
      </x:c>
      <x:c r="U503" t="str">
        <x:v>"</x:v>
      </x:c>
      <x:c r="V503" t="str">
        <x:v>485332454282798</x:v>
      </x:c>
    </x:row>
    <x:row r="504">
      <x:c r="A504" t="str">
        <x:v>RAW-IMP-20260516-FULLDRAFT-000487</x:v>
      </x:c>
      <x:c r="B504" t="str">
        <x:v>IMP-20260516-FULLDRAFT</x:v>
      </x:c>
      <x:c r="C504" t="str">
        <x:v>KTO001</x:v>
      </x:c>
      <x:c r="D504" t="str">
        <x:v>16-05-2026_Umsatzliste_Girokonto_DE98120300001061711675.csv</x:v>
      </x:c>
      <x:c r="E504" t="n">
        <x:v>46163</x:v>
      </x:c>
      <x:c r="F504" t="n">
        <x:v>487</x:v>
      </x:c>
      <x:c r="G504" t="str">
        <x:v>25b68817d93224df52c952ffd74274ee1fbfec77bdae3d1f0d7e1049c96f96fa</x:v>
      </x:c>
      <x:c r="H504" t="str">
        <x:v>neu</x:v>
      </x:c>
      <x:c r="I504" t="str">
        <x:v>ok</x:v>
      </x:c>
      <x:c r="J504"/>
      <x:c r="K504" t="n">
        <x:v>45992</x:v>
      </x:c>
      <x:c r="L504" t="n">
        <x:v>45992</x:v>
      </x:c>
      <x:c r="M504" t="str">
        <x:v>Gebucht</x:v>
      </x:c>
      <x:c r="N504" t="str">
        <x:v>ISSUER</x:v>
      </x:c>
      <x:c r="O504" t="str">
        <x:v>GALERIA.BRAUNSCHWEIG/BRAUNSCHWEIG</x:v>
      </x:c>
      <x:c r="P504" t="str">
        <x:v>VISA Debitkartenumsatz vom 29.11.2025</x:v>
      </x:c>
      <x:c r="Q504" t="str">
        <x:v>Ausgang</x:v>
      </x:c>
      <x:c r="R504" t="str">
        <x:v>DE96120300009005290904</x:v>
      </x:c>
      <x:c r="S504" t="n">
        <x:v>-143.91</x:v>
      </x:c>
      <x:c r="T504" t="str">
        <x:v>"</x:v>
      </x:c>
      <x:c r="U504" t="str">
        <x:v>"</x:v>
      </x:c>
      <x:c r="V504" t="str">
        <x:v>485333402049766</x:v>
      </x:c>
    </x:row>
    <x:row r="505">
      <x:c r="A505" t="str">
        <x:v>RAW-IMP-20260516-FULLDRAFT-000488</x:v>
      </x:c>
      <x:c r="B505" t="str">
        <x:v>IMP-20260516-FULLDRAFT</x:v>
      </x:c>
      <x:c r="C505" t="str">
        <x:v>KTO001</x:v>
      </x:c>
      <x:c r="D505" t="str">
        <x:v>16-05-2026_Umsatzliste_Girokonto_DE98120300001061711675.csv</x:v>
      </x:c>
      <x:c r="E505" t="n">
        <x:v>46163</x:v>
      </x:c>
      <x:c r="F505" t="n">
        <x:v>488</x:v>
      </x:c>
      <x:c r="G505" t="str">
        <x:v>d512f257e5df7458a80864c95f47310164a1d879ef5aebf7f3a62733a4ac24ce</x:v>
      </x:c>
      <x:c r="H505" t="str">
        <x:v>neu</x:v>
      </x:c>
      <x:c r="I505" t="str">
        <x:v>ok</x:v>
      </x:c>
      <x:c r="J505"/>
      <x:c r="K505" t="n">
        <x:v>45992</x:v>
      </x:c>
      <x:c r="L505" t="n">
        <x:v>45992</x:v>
      </x:c>
      <x:c r="M505" t="str">
        <x:v>Gebucht</x:v>
      </x:c>
      <x:c r="N505" t="str">
        <x:v>ISSUER</x:v>
      </x:c>
      <x:c r="O505" t="str">
        <x:v>Hornbach.Baumarkt.AG.FI/Braunschweig</x:v>
      </x:c>
      <x:c r="P505" t="str">
        <x:v>VISA Debitkartenumsatz vom 29.11.2025</x:v>
      </x:c>
      <x:c r="Q505" t="str">
        <x:v>Ausgang</x:v>
      </x:c>
      <x:c r="R505" t="str">
        <x:v>DE96120300009005290904</x:v>
      </x:c>
      <x:c r="S505" t="n">
        <x:v>-7.95</x:v>
      </x:c>
      <x:c r="T505" t="str">
        <x:v>"</x:v>
      </x:c>
      <x:c r="U505" t="str">
        <x:v>"</x:v>
      </x:c>
      <x:c r="V505" t="str">
        <x:v>485333444823964</x:v>
      </x:c>
    </x:row>
    <x:row r="506">
      <x:c r="A506" t="str">
        <x:v>RAW-IMP-20260516-FULLDRAFT-000489</x:v>
      </x:c>
      <x:c r="B506" t="str">
        <x:v>IMP-20260516-FULLDRAFT</x:v>
      </x:c>
      <x:c r="C506" t="str">
        <x:v>KTO001</x:v>
      </x:c>
      <x:c r="D506" t="str">
        <x:v>16-05-2026_Umsatzliste_Girokonto_DE98120300001061711675.csv</x:v>
      </x:c>
      <x:c r="E506" t="n">
        <x:v>46163</x:v>
      </x:c>
      <x:c r="F506" t="n">
        <x:v>489</x:v>
      </x:c>
      <x:c r="G506" t="str">
        <x:v>28d8b77fa0196ab9afd652879f25d40e044cc36751ee338b8451593526ed765b</x:v>
      </x:c>
      <x:c r="H506" t="str">
        <x:v>neu</x:v>
      </x:c>
      <x:c r="I506" t="str">
        <x:v>ok</x:v>
      </x:c>
      <x:c r="J506"/>
      <x:c r="K506" t="n">
        <x:v>45992</x:v>
      </x:c>
      <x:c r="L506" t="n">
        <x:v>45992</x:v>
      </x:c>
      <x:c r="M506" t="str">
        <x:v>Gebucht</x:v>
      </x:c>
      <x:c r="N506" t="str">
        <x:v>ISSUER</x:v>
      </x:c>
      <x:c r="O506" t="str">
        <x:v>H.M.DE0298/BRAUNSCHWEIG</x:v>
      </x:c>
      <x:c r="P506" t="str">
        <x:v>VISA Debitkartenumsatz vom 29.11.2025</x:v>
      </x:c>
      <x:c r="Q506" t="str">
        <x:v>Ausgang</x:v>
      </x:c>
      <x:c r="R506" t="str">
        <x:v>DE96120300009005290904</x:v>
      </x:c>
      <x:c r="S506" t="n">
        <x:v>-4.99</x:v>
      </x:c>
      <x:c r="T506" t="str">
        <x:v>"</x:v>
      </x:c>
      <x:c r="U506" t="str">
        <x:v>"</x:v>
      </x:c>
      <x:c r="V506" t="str">
        <x:v>485333380970970</x:v>
      </x:c>
    </x:row>
    <x:row r="507">
      <x:c r="A507" t="str">
        <x:v>RAW-IMP-20260516-FULLDRAFT-000490</x:v>
      </x:c>
      <x:c r="B507" t="str">
        <x:v>IMP-20260516-FULLDRAFT</x:v>
      </x:c>
      <x:c r="C507" t="str">
        <x:v>KTO001</x:v>
      </x:c>
      <x:c r="D507" t="str">
        <x:v>16-05-2026_Umsatzliste_Girokonto_DE98120300001061711675.csv</x:v>
      </x:c>
      <x:c r="E507" t="n">
        <x:v>46163</x:v>
      </x:c>
      <x:c r="F507" t="n">
        <x:v>490</x:v>
      </x:c>
      <x:c r="G507" t="str">
        <x:v>9d9d463de97fccd738b4eab8854f86f8cb5055f131313769a94c9cfe1f6fe9a9</x:v>
      </x:c>
      <x:c r="H507" t="str">
        <x:v>neu</x:v>
      </x:c>
      <x:c r="I507" t="str">
        <x:v>ok</x:v>
      </x:c>
      <x:c r="J507"/>
      <x:c r="K507" t="n">
        <x:v>45992</x:v>
      </x:c>
      <x:c r="L507" t="n">
        <x:v>45992</x:v>
      </x:c>
      <x:c r="M507" t="str">
        <x:v>Gebucht</x:v>
      </x:c>
      <x:c r="N507" t="str">
        <x:v>ISSUER</x:v>
      </x:c>
      <x:c r="O507" t="str">
        <x:v>METRO.SAGT.DANKE/BRAUNSCHWEIG</x:v>
      </x:c>
      <x:c r="P507" t="str">
        <x:v>VISA Debitkartenumsatz vom 29.11.2025</x:v>
      </x:c>
      <x:c r="Q507" t="str">
        <x:v>Ausgang</x:v>
      </x:c>
      <x:c r="R507" t="str">
        <x:v>DE96120300009005290904</x:v>
      </x:c>
      <x:c r="S507" t="n">
        <x:v>-45.36</x:v>
      </x:c>
      <x:c r="T507" t="str">
        <x:v>"</x:v>
      </x:c>
      <x:c r="U507" t="str">
        <x:v>"</x:v>
      </x:c>
      <x:c r="V507" t="str">
        <x:v>485333468475408</x:v>
      </x:c>
    </x:row>
    <x:row r="508">
      <x:c r="A508" t="str">
        <x:v>RAW-IMP-20260516-FULLDRAFT-000491</x:v>
      </x:c>
      <x:c r="B508" t="str">
        <x:v>IMP-20260516-FULLDRAFT</x:v>
      </x:c>
      <x:c r="C508" t="str">
        <x:v>KTO001</x:v>
      </x:c>
      <x:c r="D508" t="str">
        <x:v>16-05-2026_Umsatzliste_Girokonto_DE98120300001061711675.csv</x:v>
      </x:c>
      <x:c r="E508" t="n">
        <x:v>46163</x:v>
      </x:c>
      <x:c r="F508" t="n">
        <x:v>491</x:v>
      </x:c>
      <x:c r="G508" t="str">
        <x:v>84273c2ef3431170c5e2375a9abd74de9f26b40dc9afef0ce9dfd7968341ba0b</x:v>
      </x:c>
      <x:c r="H508" t="str">
        <x:v>neu</x:v>
      </x:c>
      <x:c r="I508" t="str">
        <x:v>ok</x:v>
      </x:c>
      <x:c r="J508"/>
      <x:c r="K508" t="n">
        <x:v>45992</x:v>
      </x:c>
      <x:c r="L508" t="n">
        <x:v>45992</x:v>
      </x:c>
      <x:c r="M508" t="str">
        <x:v>Gebucht</x:v>
      </x:c>
      <x:c r="N508" t="str">
        <x:v>ISSUER</x:v>
      </x:c>
      <x:c r="O508" t="str">
        <x:v>APPLE.COM.DE/0180.3000061</x:v>
      </x:c>
      <x:c r="P508" t="str">
        <x:v>VISA Debitkartenumsatz vom 29.11.2025</x:v>
      </x:c>
      <x:c r="Q508" t="str">
        <x:v>Ausgang</x:v>
      </x:c>
      <x:c r="R508" t="str">
        <x:v>DE96120300009005290904</x:v>
      </x:c>
      <x:c r="S508" t="n">
        <x:v>-40</x:v>
      </x:c>
      <x:c r="T508" t="str">
        <x:v>"</x:v>
      </x:c>
      <x:c r="U508" t="str">
        <x:v>"</x:v>
      </x:c>
      <x:c r="V508" t="str">
        <x:v>485332807652523</x:v>
      </x:c>
    </x:row>
    <x:row r="509">
      <x:c r="A509" t="str">
        <x:v>RAW-IMP-20260516-FULLDRAFT-000492</x:v>
      </x:c>
      <x:c r="B509" t="str">
        <x:v>IMP-20260516-FULLDRAFT</x:v>
      </x:c>
      <x:c r="C509" t="str">
        <x:v>KTO001</x:v>
      </x:c>
      <x:c r="D509" t="str">
        <x:v>16-05-2026_Umsatzliste_Girokonto_DE98120300001061711675.csv</x:v>
      </x:c>
      <x:c r="E509" t="n">
        <x:v>46163</x:v>
      </x:c>
      <x:c r="F509" t="n">
        <x:v>492</x:v>
      </x:c>
      <x:c r="G509" t="str">
        <x:v>c3978b8cc2fb6652131fd945c43388969f9a8f7f112bd123ce69c5d0d77a55cc</x:v>
      </x:c>
      <x:c r="H509" t="str">
        <x:v>neu</x:v>
      </x:c>
      <x:c r="I509" t="str">
        <x:v>ok</x:v>
      </x:c>
      <x:c r="J509"/>
      <x:c r="K509" t="n">
        <x:v>45992</x:v>
      </x:c>
      <x:c r="L509" t="n">
        <x:v>45992</x:v>
      </x:c>
      <x:c r="M509" t="str">
        <x:v>Gebucht</x:v>
      </x:c>
      <x:c r="N509" t="str">
        <x:v>ISSUER</x:v>
      </x:c>
      <x:c r="O509" t="str">
        <x:v>AMZN.Mktp.DE.ZR1T328G4/AMZN.COM.BILL</x:v>
      </x:c>
      <x:c r="P509" t="str">
        <x:v>VISA Debitkartenumsatz vom 28.11.2025</x:v>
      </x:c>
      <x:c r="Q509" t="str">
        <x:v>Ausgang</x:v>
      </x:c>
      <x:c r="R509" t="str">
        <x:v>DE96120300009005290904</x:v>
      </x:c>
      <x:c r="S509" t="n">
        <x:v>-28.99</x:v>
      </x:c>
      <x:c r="T509" t="str">
        <x:v>"</x:v>
      </x:c>
      <x:c r="U509" t="str">
        <x:v>"</x:v>
      </x:c>
      <x:c r="V509" t="str">
        <x:v>485332626171856</x:v>
      </x:c>
    </x:row>
    <x:row r="510">
      <x:c r="A510" t="str">
        <x:v>RAW-IMP-20260516-FULLDRAFT-000493</x:v>
      </x:c>
      <x:c r="B510" t="str">
        <x:v>IMP-20260516-FULLDRAFT</x:v>
      </x:c>
      <x:c r="C510" t="str">
        <x:v>KTO001</x:v>
      </x:c>
      <x:c r="D510" t="str">
        <x:v>16-05-2026_Umsatzliste_Girokonto_DE98120300001061711675.csv</x:v>
      </x:c>
      <x:c r="E510" t="n">
        <x:v>46163</x:v>
      </x:c>
      <x:c r="F510" t="n">
        <x:v>493</x:v>
      </x:c>
      <x:c r="G510" t="str">
        <x:v>2aa5020aeb828d96554d555d35bfcafe31ebfc49152935b51cb493a64ad75087</x:v>
      </x:c>
      <x:c r="H510" t="str">
        <x:v>neu</x:v>
      </x:c>
      <x:c r="I510" t="str">
        <x:v>ok</x:v>
      </x:c>
      <x:c r="J510"/>
      <x:c r="K510" t="n">
        <x:v>45992</x:v>
      </x:c>
      <x:c r="L510" t="n">
        <x:v>45992</x:v>
      </x:c>
      <x:c r="M510" t="str">
        <x:v>Gebucht</x:v>
      </x:c>
      <x:c r="N510" t="str">
        <x:v>ISSUER</x:v>
      </x:c>
      <x:c r="O510" t="str">
        <x:v>REWE.Salzgitter.Ge/Salzgitter</x:v>
      </x:c>
      <x:c r="P510" t="str">
        <x:v>VISA Debitkartenumsatz vom 28.11.2025</x:v>
      </x:c>
      <x:c r="Q510" t="str">
        <x:v>Ausgang</x:v>
      </x:c>
      <x:c r="R510" t="str">
        <x:v>DE96120300009005290904</x:v>
      </x:c>
      <x:c r="S510" t="n">
        <x:v>-356.26</x:v>
      </x:c>
      <x:c r="T510" t="str">
        <x:v>"</x:v>
      </x:c>
      <x:c r="U510" t="str">
        <x:v>"</x:v>
      </x:c>
      <x:c r="V510" t="str">
        <x:v>485332671321856</x:v>
      </x:c>
    </x:row>
    <x:row r="511">
      <x:c r="A511" t="str">
        <x:v>RAW-IMP-20260516-FULLDRAFT-000494</x:v>
      </x:c>
      <x:c r="B511" t="str">
        <x:v>IMP-20260516-FULLDRAFT</x:v>
      </x:c>
      <x:c r="C511" t="str">
        <x:v>KTO001</x:v>
      </x:c>
      <x:c r="D511" t="str">
        <x:v>16-05-2026_Umsatzliste_Girokonto_DE98120300001061711675.csv</x:v>
      </x:c>
      <x:c r="E511" t="n">
        <x:v>46163</x:v>
      </x:c>
      <x:c r="F511" t="n">
        <x:v>494</x:v>
      </x:c>
      <x:c r="G511" t="str">
        <x:v>27f86327eb1592c6243c5b7f0aa4e6ff230136b2bd69a581397e396b48db9989</x:v>
      </x:c>
      <x:c r="H511" t="str">
        <x:v>neu</x:v>
      </x:c>
      <x:c r="I511" t="str">
        <x:v>ok</x:v>
      </x:c>
      <x:c r="J511"/>
      <x:c r="K511" t="n">
        <x:v>45992</x:v>
      </x:c>
      <x:c r="L511" t="n">
        <x:v>45992</x:v>
      </x:c>
      <x:c r="M511" t="str">
        <x:v>Gebucht</x:v>
      </x:c>
      <x:c r="N511" t="str">
        <x:v>ISSUER</x:v>
      </x:c>
      <x:c r="O511" t="str">
        <x:v>REWE.Braunschweig/Braunschweig</x:v>
      </x:c>
      <x:c r="P511" t="str">
        <x:v>VISA Debitkartenumsatz vom 29.11.2025</x:v>
      </x:c>
      <x:c r="Q511" t="str">
        <x:v>Ausgang</x:v>
      </x:c>
      <x:c r="R511" t="str">
        <x:v>DE96120300009005290904</x:v>
      </x:c>
      <x:c r="S511" t="n">
        <x:v>-8.71</x:v>
      </x:c>
      <x:c r="T511" t="str">
        <x:v>"</x:v>
      </x:c>
      <x:c r="U511" t="str">
        <x:v>"</x:v>
      </x:c>
      <x:c r="V511" t="str">
        <x:v>485333428082041</x:v>
      </x:c>
    </x:row>
    <x:row r="512">
      <x:c r="A512" t="str">
        <x:v>RAW-IMP-20260516-FULLDRAFT-000495</x:v>
      </x:c>
      <x:c r="B512" t="str">
        <x:v>IMP-20260516-FULLDRAFT</x:v>
      </x:c>
      <x:c r="C512" t="str">
        <x:v>KTO001</x:v>
      </x:c>
      <x:c r="D512" t="str">
        <x:v>16-05-2026_Umsatzliste_Girokonto_DE98120300001061711675.csv</x:v>
      </x:c>
      <x:c r="E512" t="n">
        <x:v>46163</x:v>
      </x:c>
      <x:c r="F512" t="n">
        <x:v>495</x:v>
      </x:c>
      <x:c r="G512" t="str">
        <x:v>af517fc3f457f5849901d3c6b4647217b4ea2bb71175b395d31a5e8c324ca7ea</x:v>
      </x:c>
      <x:c r="H512" t="str">
        <x:v>neu</x:v>
      </x:c>
      <x:c r="I512" t="str">
        <x:v>ok</x:v>
      </x:c>
      <x:c r="J512"/>
      <x:c r="K512" t="n">
        <x:v>45992</x:v>
      </x:c>
      <x:c r="L512" t="n">
        <x:v>45992</x:v>
      </x:c>
      <x:c r="M512" t="str">
        <x:v>Gebucht</x:v>
      </x:c>
      <x:c r="N512" t="str">
        <x:v>ISSUER</x:v>
      </x:c>
      <x:c r="O512" t="str">
        <x:v>NORDSEE.GMBH/BRAUNSCHWEIG</x:v>
      </x:c>
      <x:c r="P512" t="str">
        <x:v>VISA Debitkartenumsatz vom 29.11.2025</x:v>
      </x:c>
      <x:c r="Q512" t="str">
        <x:v>Ausgang</x:v>
      </x:c>
      <x:c r="R512" t="str">
        <x:v>DE96120300009005290904</x:v>
      </x:c>
      <x:c r="S512" t="n">
        <x:v>-5.29</x:v>
      </x:c>
      <x:c r="T512" t="str">
        <x:v>"</x:v>
      </x:c>
      <x:c r="U512" t="str">
        <x:v>"</x:v>
      </x:c>
      <x:c r="V512" t="str">
        <x:v>485333404366390</x:v>
      </x:c>
    </x:row>
    <x:row r="513">
      <x:c r="A513" t="str">
        <x:v>RAW-IMP-20260516-FULLDRAFT-000496</x:v>
      </x:c>
      <x:c r="B513" t="str">
        <x:v>IMP-20260516-FULLDRAFT</x:v>
      </x:c>
      <x:c r="C513" t="str">
        <x:v>KTO001</x:v>
      </x:c>
      <x:c r="D513" t="str">
        <x:v>16-05-2026_Umsatzliste_Girokonto_DE98120300001061711675.csv</x:v>
      </x:c>
      <x:c r="E513" t="n">
        <x:v>46163</x:v>
      </x:c>
      <x:c r="F513" t="n">
        <x:v>496</x:v>
      </x:c>
      <x:c r="G513" t="str">
        <x:v>ba3973a4637ca8a5634032b85d2b4b1cf840a708ac1eed9bf442c397c2590a90</x:v>
      </x:c>
      <x:c r="H513" t="str">
        <x:v>neu</x:v>
      </x:c>
      <x:c r="I513" t="str">
        <x:v>ok</x:v>
      </x:c>
      <x:c r="J513"/>
      <x:c r="K513" t="n">
        <x:v>45992</x:v>
      </x:c>
      <x:c r="L513" t="n">
        <x:v>45992</x:v>
      </x:c>
      <x:c r="M513" t="str">
        <x:v>Gebucht</x:v>
      </x:c>
      <x:c r="N513" t="str">
        <x:v>ISSUER</x:v>
      </x:c>
      <x:c r="O513" t="str">
        <x:v>APPLE.COM.DE/0180.3000061</x:v>
      </x:c>
      <x:c r="P513" t="str">
        <x:v>VISA Debitkartenumsatz vom 29.11.2025</x:v>
      </x:c>
      <x:c r="Q513" t="str">
        <x:v>Ausgang</x:v>
      </x:c>
      <x:c r="R513" t="str">
        <x:v>DE96120300009005290904</x:v>
      </x:c>
      <x:c r="S513" t="n">
        <x:v>-9</x:v>
      </x:c>
      <x:c r="T513" t="str">
        <x:v>"</x:v>
      </x:c>
      <x:c r="U513" t="str">
        <x:v>"</x:v>
      </x:c>
      <x:c r="V513" t="str">
        <x:v>485332807647796</x:v>
      </x:c>
    </x:row>
    <x:row r="514">
      <x:c r="A514" t="str">
        <x:v>RAW-IMP-20260516-FULLDRAFT-000497</x:v>
      </x:c>
      <x:c r="B514" t="str">
        <x:v>IMP-20260516-FULLDRAFT</x:v>
      </x:c>
      <x:c r="C514" t="str">
        <x:v>KTO001</x:v>
      </x:c>
      <x:c r="D514" t="str">
        <x:v>16-05-2026_Umsatzliste_Girokonto_DE98120300001061711675.csv</x:v>
      </x:c>
      <x:c r="E514" t="n">
        <x:v>46163</x:v>
      </x:c>
      <x:c r="F514" t="n">
        <x:v>497</x:v>
      </x:c>
      <x:c r="G514" t="str">
        <x:v>0f2520e28ada6b1bc78ed75b5e1a08c224f94b05cf177193c78c52c390ea30d1</x:v>
      </x:c>
      <x:c r="H514" t="str">
        <x:v>neu</x:v>
      </x:c>
      <x:c r="I514" t="str">
        <x:v>ok</x:v>
      </x:c>
      <x:c r="J514"/>
      <x:c r="K514" t="n">
        <x:v>45992</x:v>
      </x:c>
      <x:c r="L514" t="n">
        <x:v>45992</x:v>
      </x:c>
      <x:c r="M514" t="str">
        <x:v>Gebucht</x:v>
      </x:c>
      <x:c r="N514" t="str">
        <x:v>Lars Kohlenberg</x:v>
      </x:c>
      <x:c r="O514" t="str">
        <x:v>LARS KOHLENBERG</x:v>
      </x:c>
      <x:c r="P514" t="str">
        <x:v>Sparrate 650,- + 750 EUR Mieteinnahmen</x:v>
      </x:c>
      <x:c r="Q514" t="str">
        <x:v>Ausgang</x:v>
      </x:c>
      <x:c r="R514" t="str">
        <x:v>DE91270200001510365800</x:v>
      </x:c>
      <x:c r="S514" t="n">
        <x:v>-1400</x:v>
      </x:c>
      <x:c r="T514" t="str">
        <x:v>"</x:v>
      </x:c>
      <x:c r="U514" t="str">
        <x:v>"</x:v>
      </x:c>
      <x:c r="V514" t="str">
        <x:v>"</x:v>
      </x:c>
    </x:row>
    <x:row r="515">
      <x:c r="A515" t="str">
        <x:v>RAW-IMP-20260516-FULLDRAFT-000498</x:v>
      </x:c>
      <x:c r="B515" t="str">
        <x:v>IMP-20260516-FULLDRAFT</x:v>
      </x:c>
      <x:c r="C515" t="str">
        <x:v>KTO001</x:v>
      </x:c>
      <x:c r="D515" t="str">
        <x:v>16-05-2026_Umsatzliste_Girokonto_DE98120300001061711675.csv</x:v>
      </x:c>
      <x:c r="E515" t="n">
        <x:v>46163</x:v>
      </x:c>
      <x:c r="F515" t="n">
        <x:v>498</x:v>
      </x:c>
      <x:c r="G515" t="str">
        <x:v>40bdc950fee40b5a4f097c9b330c66710350c5cb653bf5afa3cafee1969c69d7</x:v>
      </x:c>
      <x:c r="H515" t="str">
        <x:v>neu</x:v>
      </x:c>
      <x:c r="I515" t="str">
        <x:v>ok</x:v>
      </x:c>
      <x:c r="J515"/>
      <x:c r="K515" t="n">
        <x:v>45992</x:v>
      </x:c>
      <x:c r="L515" t="n">
        <x:v>45992</x:v>
      </x:c>
      <x:c r="M515" t="str">
        <x:v>Gebucht</x:v>
      </x:c>
      <x:c r="N515" t="str">
        <x:v>Lars Kohlenberg</x:v>
      </x:c>
      <x:c r="O515" t="str">
        <x:v>KATRIN KOHLENBERG</x:v>
      </x:c>
      <x:c r="P515" t="str">
        <x:v>Apanage</x:v>
      </x:c>
      <x:c r="Q515" t="str">
        <x:v>Ausgang</x:v>
      </x:c>
      <x:c r="R515" t="str">
        <x:v>DE32270727240307336800</x:v>
      </x:c>
      <x:c r="S515" t="n">
        <x:v>-1800</x:v>
      </x:c>
      <x:c r="T515" t="str">
        <x:v>"</x:v>
      </x:c>
      <x:c r="U515" t="str">
        <x:v>"</x:v>
      </x:c>
      <x:c r="V515" t="str">
        <x:v>"</x:v>
      </x:c>
    </x:row>
    <x:row r="516">
      <x:c r="A516" t="str">
        <x:v>RAW-IMP-20260516-FULLDRAFT-000499</x:v>
      </x:c>
      <x:c r="B516" t="str">
        <x:v>IMP-20260516-FULLDRAFT</x:v>
      </x:c>
      <x:c r="C516" t="str">
        <x:v>KTO001</x:v>
      </x:c>
      <x:c r="D516" t="str">
        <x:v>16-05-2026_Umsatzliste_Girokonto_DE98120300001061711675.csv</x:v>
      </x:c>
      <x:c r="E516" t="n">
        <x:v>46163</x:v>
      </x:c>
      <x:c r="F516" t="n">
        <x:v>499</x:v>
      </x:c>
      <x:c r="G516" t="str">
        <x:v>13bb9a90e5748be1ac6821697c46fff272e65745c489cbdd200b2b5773af6922</x:v>
      </x:c>
      <x:c r="H516" t="str">
        <x:v>neu</x:v>
      </x:c>
      <x:c r="I516" t="str">
        <x:v>ok</x:v>
      </x:c>
      <x:c r="J516"/>
      <x:c r="K516" t="n">
        <x:v>45992</x:v>
      </x:c>
      <x:c r="L516" t="n">
        <x:v>45992</x:v>
      </x:c>
      <x:c r="M516" t="str">
        <x:v>Gebucht</x:v>
      </x:c>
      <x:c r="N516" t="str">
        <x:v>KOHLENBERG LARS</x:v>
      </x:c>
      <x:c r="O516" t="str">
        <x:v>VOLKSWOHL BUND Lebensversicherung a.G.</x:v>
      </x:c>
      <x:c r="P516" t="str">
        <x:v>009893595 LA000750566/ 009893595 LEBEN 73,09</x:v>
      </x:c>
      <x:c r="Q516" t="str">
        <x:v>Ausgang</x:v>
      </x:c>
      <x:c r="R516" t="str">
        <x:v>DE76440400370361155500</x:v>
      </x:c>
      <x:c r="S516" t="n">
        <x:v>-73.09</x:v>
      </x:c>
      <x:c r="T516" t="str">
        <x:v>DE13ZZZ00000141064</x:v>
      </x:c>
      <x:c r="U516" t="str">
        <x:v>LA000750566</x:v>
      </x:c>
      <x:c r="V516" t="str">
        <x:v>009893595/NVMA.G1153-317900</x:v>
      </x:c>
    </x:row>
    <x:row r="517">
      <x:c r="A517" t="str">
        <x:v>RAW-IMP-20260516-FULLDRAFT-000500</x:v>
      </x:c>
      <x:c r="B517" t="str">
        <x:v>IMP-20260516-FULLDRAFT</x:v>
      </x:c>
      <x:c r="C517" t="str">
        <x:v>KTO001</x:v>
      </x:c>
      <x:c r="D517" t="str">
        <x:v>16-05-2026_Umsatzliste_Girokonto_DE98120300001061711675.csv</x:v>
      </x:c>
      <x:c r="E517" t="n">
        <x:v>46163</x:v>
      </x:c>
      <x:c r="F517" t="n">
        <x:v>500</x:v>
      </x:c>
      <x:c r="G517" t="str">
        <x:v>1e1d219afa7c04e85683b73f3b2323a733c67a5f7468b5e1d987446693302a3a</x:v>
      </x:c>
      <x:c r="H517" t="str">
        <x:v>neu</x:v>
      </x:c>
      <x:c r="I517" t="str">
        <x:v>ok</x:v>
      </x:c>
      <x:c r="J517"/>
      <x:c r="K517" t="n">
        <x:v>45992</x:v>
      </x:c>
      <x:c r="L517" t="n">
        <x:v>45992</x:v>
      </x:c>
      <x:c r="M517" t="str">
        <x:v>Gebucht</x:v>
      </x:c>
      <x:c r="N517" t="str">
        <x:v>KOHLENBERG, LARS</x:v>
      </x:c>
      <x:c r="O517" t="str">
        <x:v>Lars und Katrin Kohlenberg</x:v>
      </x:c>
      <x:c r="P517" t="str">
        <x:v>12535947 VERMOEGENSDEPOT SAMMELBUCHUNG SPARPLAN WKN A1C9ED, 847809</x:v>
      </x:c>
      <x:c r="Q517" t="str">
        <x:v>Ausgang</x:v>
      </x:c>
      <x:c r="R517" t="str">
        <x:v>DE27672300000506966162</x:v>
      </x:c>
      <x:c r="S517" t="n">
        <x:v>-600</x:v>
      </x:c>
      <x:c r="T517" t="str">
        <x:v>DE53ZZZ00000010849</x:v>
      </x:c>
      <x:c r="U517" t="str">
        <x:v>WPBF0000180845</x:v>
      </x:c>
      <x:c r="V517" t="str">
        <x:v>SPARSP 19274874</x:v>
      </x:c>
    </x:row>
    <x:row r="518">
      <x:c r="A518" t="str">
        <x:v>RAW-IMP-20260516-FULLDRAFT-000501</x:v>
      </x:c>
      <x:c r="B518" t="str">
        <x:v>IMP-20260516-FULLDRAFT</x:v>
      </x:c>
      <x:c r="C518" t="str">
        <x:v>KTO001</x:v>
      </x:c>
      <x:c r="D518" t="str">
        <x:v>16-05-2026_Umsatzliste_Girokonto_DE98120300001061711675.csv</x:v>
      </x:c>
      <x:c r="E518" t="n">
        <x:v>46163</x:v>
      </x:c>
      <x:c r="F518" t="n">
        <x:v>501</x:v>
      </x:c>
      <x:c r="G518" t="str">
        <x:v>a297b16a868202c78831756c2d2717982baa25a5761d347a354597156ebb2666</x:v>
      </x:c>
      <x:c r="H518" t="str">
        <x:v>neu</x:v>
      </x:c>
      <x:c r="I518" t="str">
        <x:v>ok</x:v>
      </x:c>
      <x:c r="J518"/>
      <x:c r="K518" t="n">
        <x:v>45992</x:v>
      </x:c>
      <x:c r="L518" t="n">
        <x:v>45992</x:v>
      </x:c>
      <x:c r="M518" t="str">
        <x:v>Gebucht</x:v>
      </x:c>
      <x:c r="N518" t="str">
        <x:v>Lars Kohlenberg                                                       Johannes-Wosnitza-Str. 8 38229 Salzgitter</x:v>
      </x:c>
      <x:c r="O518" t="str">
        <x:v>Heidelberger Lebensversicherung AG                                    Donrhofstrasse 36, 63263 Neu-Isenburg</x:v>
      </x:c>
      <x:c r="P518" t="str">
        <x:v>60012826 , 12.25</x:v>
      </x:c>
      <x:c r="Q518" t="str">
        <x:v>Ausgang</x:v>
      </x:c>
      <x:c r="R518" t="str">
        <x:v>DE38600501010002662604</x:v>
      </x:c>
      <x:c r="S518" t="n">
        <x:v>-452.71</x:v>
      </x:c>
      <x:c r="T518" t="str">
        <x:v>DE31HLE00000032682</x:v>
      </x:c>
      <x:c r="U518" t="str">
        <x:v>11-140000075706</x:v>
      </x:c>
      <x:c r="V518" t="str">
        <x:v>150050982290</x:v>
      </x:c>
    </x:row>
    <x:row r="519">
      <x:c r="A519" t="str">
        <x:v>RAW-IMP-20260516-FULLDRAFT-000502</x:v>
      </x:c>
      <x:c r="B519" t="str">
        <x:v>IMP-20260516-FULLDRAFT</x:v>
      </x:c>
      <x:c r="C519" t="str">
        <x:v>KTO001</x:v>
      </x:c>
      <x:c r="D519" t="str">
        <x:v>16-05-2026_Umsatzliste_Girokonto_DE98120300001061711675.csv</x:v>
      </x:c>
      <x:c r="E519" t="n">
        <x:v>46163</x:v>
      </x:c>
      <x:c r="F519" t="n">
        <x:v>502</x:v>
      </x:c>
      <x:c r="G519" t="str">
        <x:v>df48b6ec840b82533210f3c182fab13fd8a2a5f8c4dc0bf59241756cfcbe165f</x:v>
      </x:c>
      <x:c r="H519" t="str">
        <x:v>neu</x:v>
      </x:c>
      <x:c r="I519" t="str">
        <x:v>ok</x:v>
      </x:c>
      <x:c r="J519"/>
      <x:c r="K519" t="n">
        <x:v>45992</x:v>
      </x:c>
      <x:c r="L519" t="n">
        <x:v>45992</x:v>
      </x:c>
      <x:c r="M519" t="str">
        <x:v>Gebucht</x:v>
      </x:c>
      <x:c r="N519" t="str">
        <x:v>Kohlenberg, Katrin</x:v>
      </x:c>
      <x:c r="O519" t="str">
        <x:v>WEVG Salzgitter GmbH + Co. KG</x:v>
      </x:c>
      <x:c r="P519" t="str">
        <x:v>Kd-Nr 79288 Einz 30.11.25 41710/317.00/Johannes-Wosni 100833/76.00/Johannes-Wosni</x:v>
      </x:c>
      <x:c r="Q519" t="str">
        <x:v>Ausgang</x:v>
      </x:c>
      <x:c r="R519" t="str">
        <x:v>DE19300700100394127500</x:v>
      </x:c>
      <x:c r="S519" t="n">
        <x:v>-393</x:v>
      </x:c>
      <x:c r="T519" t="str">
        <x:v>DE83WEV00000032716</x:v>
      </x:c>
      <x:c r="U519" t="str">
        <x:v>WEVG0000079288G1000178580</x:v>
      </x:c>
      <x:c r="V519" t="str">
        <x:v>14020058</x:v>
      </x:c>
    </x:row>
    <x:row r="520">
      <x:c r="A520" t="str">
        <x:v>RAW-IMP-20260516-FULLDRAFT-000503</x:v>
      </x:c>
      <x:c r="B520" t="str">
        <x:v>IMP-20260516-FULLDRAFT</x:v>
      </x:c>
      <x:c r="C520" t="str">
        <x:v>KTO001</x:v>
      </x:c>
      <x:c r="D520" t="str">
        <x:v>16-05-2026_Umsatzliste_Girokonto_DE98120300001061711675.csv</x:v>
      </x:c>
      <x:c r="E520" t="n">
        <x:v>46163</x:v>
      </x:c>
      <x:c r="F520" t="n">
        <x:v>503</x:v>
      </x:c>
      <x:c r="G520" t="str">
        <x:v>2346c7bbf4d9acbfe6e440a137eff1d08fe0630f30098349409c14f70749adf0</x:v>
      </x:c>
      <x:c r="H520" t="str">
        <x:v>neu</x:v>
      </x:c>
      <x:c r="I520" t="str">
        <x:v>ok</x:v>
      </x:c>
      <x:c r="J520"/>
      <x:c r="K520" t="n">
        <x:v>45992</x:v>
      </x:c>
      <x:c r="L520" t="n">
        <x:v>45992</x:v>
      </x:c>
      <x:c r="M520" t="str">
        <x:v>Gebucht</x:v>
      </x:c>
      <x:c r="N520" t="str">
        <x:v>Kohlenberg</x:v>
      </x:c>
      <x:c r="O520" t="str">
        <x:v>TANZSCHULE KWIATKOWSKI GBR</x:v>
      </x:c>
      <x:c r="P520" t="str">
        <x:v>R-SB0000075151-A0000004560,SB2151 9-2025 - 12.2025,Jan Kohlenberg</x:v>
      </x:c>
      <x:c r="Q520" t="str">
        <x:v>Ausgang</x:v>
      </x:c>
      <x:c r="R520" t="str">
        <x:v>DE61259501300096212535</x:v>
      </x:c>
      <x:c r="S520" t="n">
        <x:v>-49</x:v>
      </x:c>
      <x:c r="T520" t="str">
        <x:v>DE79ZZZ00002474666</x:v>
      </x:c>
      <x:c r="U520" t="str">
        <x:v>TM004560-000142</x:v>
      </x:c>
      <x:c r="V520" t="str">
        <x:v>R-SB00075151</x:v>
      </x:c>
    </x:row>
    <x:row r="521">
      <x:c r="A521" t="str">
        <x:v>RAW-IMP-20260516-FULLDRAFT-000504</x:v>
      </x:c>
      <x:c r="B521" t="str">
        <x:v>IMP-20260516-FULLDRAFT</x:v>
      </x:c>
      <x:c r="C521" t="str">
        <x:v>KTO001</x:v>
      </x:c>
      <x:c r="D521" t="str">
        <x:v>16-05-2026_Umsatzliste_Girokonto_DE98120300001061711675.csv</x:v>
      </x:c>
      <x:c r="E521" t="n">
        <x:v>46163</x:v>
      </x:c>
      <x:c r="F521" t="n">
        <x:v>504</x:v>
      </x:c>
      <x:c r="G521" t="str">
        <x:v>13b29698245dd206cb04f13d1d60980d5c23f4b41e20d9fc072a4bef343419ea</x:v>
      </x:c>
      <x:c r="H521" t="str">
        <x:v>neu</x:v>
      </x:c>
      <x:c r="I521" t="str">
        <x:v>ok</x:v>
      </x:c>
      <x:c r="J521"/>
      <x:c r="K521" t="n">
        <x:v>45992</x:v>
      </x:c>
      <x:c r="L521" t="n">
        <x:v>45992</x:v>
      </x:c>
      <x:c r="M521" t="str">
        <x:v>Gebucht</x:v>
      </x:c>
      <x:c r="N521" t="str">
        <x:v>Kohlenberg, Lars</x:v>
      </x:c>
      <x:c r="O521" t="str">
        <x:v>IDEAL Lebensversicherung aG</x:v>
      </x:c>
      <x:c r="P521" t="str">
        <x:v>2011216280009 LV 121</x:v>
      </x:c>
      <x:c r="Q521" t="str">
        <x:v>Ausgang</x:v>
      </x:c>
      <x:c r="R521" t="str">
        <x:v>DE36100700000460303100</x:v>
      </x:c>
      <x:c r="S521" t="n">
        <x:v>-100.52</x:v>
      </x:c>
      <x:c r="T521" t="str">
        <x:v>DE40ZZZ00000559230</x:v>
      </x:c>
      <x:c r="U521" t="str">
        <x:v>2011216280009-001</x:v>
      </x:c>
      <x:c r="V521" t="str">
        <x:v>GL,KL,PD-20251201-1-2011216280009-0</x:v>
      </x:c>
    </x:row>
    <x:row r="522">
      <x:c r="A522" t="str">
        <x:v>RAW-IMP-20260516-FULLDRAFT-000505</x:v>
      </x:c>
      <x:c r="B522" t="str">
        <x:v>IMP-20260516-FULLDRAFT</x:v>
      </x:c>
      <x:c r="C522" t="str">
        <x:v>KTO001</x:v>
      </x:c>
      <x:c r="D522" t="str">
        <x:v>16-05-2026_Umsatzliste_Girokonto_DE98120300001061711675.csv</x:v>
      </x:c>
      <x:c r="E522" t="n">
        <x:v>46163</x:v>
      </x:c>
      <x:c r="F522" t="n">
        <x:v>505</x:v>
      </x:c>
      <x:c r="G522" t="str">
        <x:v>bb09252bad52cb33c3f9573c1b48155b9151d23d9dbcc2535f8eda6662481287</x:v>
      </x:c>
      <x:c r="H522" t="str">
        <x:v>neu</x:v>
      </x:c>
      <x:c r="I522" t="str">
        <x:v>ok</x:v>
      </x:c>
      <x:c r="J522"/>
      <x:c r="K522" t="n">
        <x:v>45992</x:v>
      </x:c>
      <x:c r="L522" t="n">
        <x:v>45992</x:v>
      </x:c>
      <x:c r="M522" t="str">
        <x:v>Gebucht</x:v>
      </x:c>
      <x:c r="N522" t="str">
        <x:v>Kohlenberg Lars</x:v>
      </x:c>
      <x:c r="O522" t="str">
        <x:v>Allianz Private Krankenv.</x:v>
      </x:c>
      <x:c r="P522" t="str">
        <x:v>Vertrag AK-1356648926 Private Krankenversicherung 01.12.25 - 30.11.26</x:v>
      </x:c>
      <x:c r="Q522" t="str">
        <x:v>Ausgang</x:v>
      </x:c>
      <x:c r="R522" t="str">
        <x:v>DE97700202700010011511</x:v>
      </x:c>
      <x:c r="S522" t="n">
        <x:v>-136.17</x:v>
      </x:c>
      <x:c r="T522" t="str">
        <x:v>DE40ZZZ00000063851</x:v>
      </x:c>
      <x:c r="U522" t="str">
        <x:v>VVKA000000000057412</x:v>
      </x:c>
      <x:c r="V522" t="str">
        <x:v>AB225330-E00672124</x:v>
      </x:c>
    </x:row>
    <x:row r="523">
      <x:c r="A523" t="str">
        <x:v>RAW-IMP-20260516-FULLDRAFT-000506</x:v>
      </x:c>
      <x:c r="B523" t="str">
        <x:v>IMP-20260516-FULLDRAFT</x:v>
      </x:c>
      <x:c r="C523" t="str">
        <x:v>KTO001</x:v>
      </x:c>
      <x:c r="D523" t="str">
        <x:v>16-05-2026_Umsatzliste_Girokonto_DE98120300001061711675.csv</x:v>
      </x:c>
      <x:c r="E523" t="n">
        <x:v>46163</x:v>
      </x:c>
      <x:c r="F523" t="n">
        <x:v>506</x:v>
      </x:c>
      <x:c r="G523" t="str">
        <x:v>752bf78fc8a7d95988bfcd22ba1bac231051df0cdbe705a776c1de150364a1e6</x:v>
      </x:c>
      <x:c r="H523" t="str">
        <x:v>neu</x:v>
      </x:c>
      <x:c r="I523" t="str">
        <x:v>ok</x:v>
      </x:c>
      <x:c r="J523"/>
      <x:c r="K523" t="n">
        <x:v>45992</x:v>
      </x:c>
      <x:c r="L523" t="n">
        <x:v>45992</x:v>
      </x:c>
      <x:c r="M523" t="str">
        <x:v>Gebucht</x:v>
      </x:c>
      <x:c r="N523" t="str">
        <x:v>Lars Kohlenberg</x:v>
      </x:c>
      <x:c r="O523" t="str">
        <x:v>Lea kohlenberg</x:v>
      </x:c>
      <x:c r="P523" t="str">
        <x:v>Taschengeld</x:v>
      </x:c>
      <x:c r="Q523" t="str">
        <x:v>Ausgang</x:v>
      </x:c>
      <x:c r="R523" t="str">
        <x:v>DE89269910662833344000</x:v>
      </x:c>
      <x:c r="S523" t="n">
        <x:v>-10</x:v>
      </x:c>
      <x:c r="T523" t="str">
        <x:v>"</x:v>
      </x:c>
      <x:c r="U523" t="str">
        <x:v>"</x:v>
      </x:c>
      <x:c r="V523" t="str">
        <x:v>"</x:v>
      </x:c>
    </x:row>
    <x:row r="524">
      <x:c r="A524" t="str">
        <x:v>RAW-IMP-20260516-FULLDRAFT-000507</x:v>
      </x:c>
      <x:c r="B524" t="str">
        <x:v>IMP-20260516-FULLDRAFT</x:v>
      </x:c>
      <x:c r="C524" t="str">
        <x:v>KTO001</x:v>
      </x:c>
      <x:c r="D524" t="str">
        <x:v>16-05-2026_Umsatzliste_Girokonto_DE98120300001061711675.csv</x:v>
      </x:c>
      <x:c r="E524" t="n">
        <x:v>46163</x:v>
      </x:c>
      <x:c r="F524" t="n">
        <x:v>507</x:v>
      </x:c>
      <x:c r="G524" t="str">
        <x:v>945650f5299da905309c89ad107c43f8b0cf465c26e3a6192b446df456718606</x:v>
      </x:c>
      <x:c r="H524" t="str">
        <x:v>neu</x:v>
      </x:c>
      <x:c r="I524" t="str">
        <x:v>ok</x:v>
      </x:c>
      <x:c r="J524"/>
      <x:c r="K524" t="n">
        <x:v>45992</x:v>
      </x:c>
      <x:c r="L524" t="n">
        <x:v>45992</x:v>
      </x:c>
      <x:c r="M524" t="str">
        <x:v>Gebucht</x:v>
      </x:c>
      <x:c r="N524" t="str">
        <x:v>Lars Kohlenberg</x:v>
      </x:c>
      <x:c r="O524" t="str">
        <x:v>LARS KOHLENBERG</x:v>
      </x:c>
      <x:c r="P524" t="str">
        <x:v>Zins und Tilgung zu 2/3</x:v>
      </x:c>
      <x:c r="Q524" t="str">
        <x:v>Ausgang</x:v>
      </x:c>
      <x:c r="R524" t="str">
        <x:v>DE33269910668923736000</x:v>
      </x:c>
      <x:c r="S524" t="n">
        <x:v>-1153.94</x:v>
      </x:c>
      <x:c r="T524" t="str">
        <x:v>"</x:v>
      </x:c>
      <x:c r="U524" t="str">
        <x:v>"</x:v>
      </x:c>
      <x:c r="V524" t="str">
        <x:v>"</x:v>
      </x:c>
    </x:row>
    <x:row r="525">
      <x:c r="A525" t="str">
        <x:v>RAW-IMP-20260516-FULLDRAFT-000508</x:v>
      </x:c>
      <x:c r="B525" t="str">
        <x:v>IMP-20260516-FULLDRAFT</x:v>
      </x:c>
      <x:c r="C525" t="str">
        <x:v>KTO001</x:v>
      </x:c>
      <x:c r="D525" t="str">
        <x:v>16-05-2026_Umsatzliste_Girokonto_DE98120300001061711675.csv</x:v>
      </x:c>
      <x:c r="E525" t="n">
        <x:v>46163</x:v>
      </x:c>
      <x:c r="F525" t="n">
        <x:v>508</x:v>
      </x:c>
      <x:c r="G525" t="str">
        <x:v>f1d819909a8696a61c04a262afbdb1969ccf5765c9c40dd56fe857884b7d5f09</x:v>
      </x:c>
      <x:c r="H525" t="str">
        <x:v>neu</x:v>
      </x:c>
      <x:c r="I525" t="str">
        <x:v>ok</x:v>
      </x:c>
      <x:c r="J525"/>
      <x:c r="K525" t="n">
        <x:v>45989</x:v>
      </x:c>
      <x:c r="L525" t="n">
        <x:v>45989</x:v>
      </x:c>
      <x:c r="M525" t="str">
        <x:v>Gebucht</x:v>
      </x:c>
      <x:c r="N525" t="str">
        <x:v>ISSUER</x:v>
      </x:c>
      <x:c r="O525" t="str">
        <x:v>EDEKA.POTRATZ/HILDESHEIM</x:v>
      </x:c>
      <x:c r="P525" t="str">
        <x:v>VISA Debitkartenumsatz vom 27.11.2025</x:v>
      </x:c>
      <x:c r="Q525" t="str">
        <x:v>Ausgang</x:v>
      </x:c>
      <x:c r="R525" t="str">
        <x:v>DE96120300009005290904</x:v>
      </x:c>
      <x:c r="S525" t="n">
        <x:v>-2.59</x:v>
      </x:c>
      <x:c r="T525" t="str">
        <x:v>"</x:v>
      </x:c>
      <x:c r="U525" t="str">
        <x:v>"</x:v>
      </x:c>
      <x:c r="V525" t="str">
        <x:v>485331620575942</x:v>
      </x:c>
    </x:row>
    <x:row r="526">
      <x:c r="A526" t="str">
        <x:v>RAW-IMP-20260516-FULLDRAFT-000509</x:v>
      </x:c>
      <x:c r="B526" t="str">
        <x:v>IMP-20260516-FULLDRAFT</x:v>
      </x:c>
      <x:c r="C526" t="str">
        <x:v>KTO001</x:v>
      </x:c>
      <x:c r="D526" t="str">
        <x:v>16-05-2026_Umsatzliste_Girokonto_DE98120300001061711675.csv</x:v>
      </x:c>
      <x:c r="E526" t="n">
        <x:v>46163</x:v>
      </x:c>
      <x:c r="F526" t="n">
        <x:v>509</x:v>
      </x:c>
      <x:c r="G526" t="str">
        <x:v>e07b54782a69662b09c72e2494fe1cb0b18aad2692a68e0ff8772eeadae51a42</x:v>
      </x:c>
      <x:c r="H526" t="str">
        <x:v>neu</x:v>
      </x:c>
      <x:c r="I526" t="str">
        <x:v>ok</x:v>
      </x:c>
      <x:c r="J526"/>
      <x:c r="K526" t="n">
        <x:v>45988</x:v>
      </x:c>
      <x:c r="L526" t="n">
        <x:v>45988</x:v>
      </x:c>
      <x:c r="M526" t="str">
        <x:v>Gebucht</x:v>
      </x:c>
      <x:c r="N526" t="str">
        <x:v>Caritasverband fur die Diozese Hildesheim e.V.</x:v>
      </x:c>
      <x:c r="O526" t="str">
        <x:v>KOHLENBERG LARS</x:v>
      </x:c>
      <x:c r="P526" t="str">
        <x:v>GEHALT 11/25</x:v>
      </x:c>
      <x:c r="Q526" t="str">
        <x:v>Eingang</x:v>
      </x:c>
      <x:c r="R526" t="str">
        <x:v>DE46400602650023003301</x:v>
      </x:c>
      <x:c r="S526" t="n">
        <x:v>7830.4</x:v>
      </x:c>
      <x:c r="T526" t="str">
        <x:v>"</x:v>
      </x:c>
      <x:c r="U526" t="str">
        <x:v>"</x:v>
      </x:c>
      <x:c r="V526" t="str">
        <x:v>001001987662SALA002204004</x:v>
      </x:c>
    </x:row>
    <x:row r="527">
      <x:c r="A527" t="str">
        <x:v>RAW-IMP-20260516-FULLDRAFT-000510</x:v>
      </x:c>
      <x:c r="B527" t="str">
        <x:v>IMP-20260516-FULLDRAFT</x:v>
      </x:c>
      <x:c r="C527" t="str">
        <x:v>KTO001</x:v>
      </x:c>
      <x:c r="D527" t="str">
        <x:v>16-05-2026_Umsatzliste_Girokonto_DE98120300001061711675.csv</x:v>
      </x:c>
      <x:c r="E527" t="n">
        <x:v>46163</x:v>
      </x:c>
      <x:c r="F527" t="n">
        <x:v>510</x:v>
      </x:c>
      <x:c r="G527" t="str">
        <x:v>5b8a2f8ccf266cb6651c1d7d035cf0aacf74d6764a9d8001e05d57f836d83e88</x:v>
      </x:c>
      <x:c r="H527" t="str">
        <x:v>neu</x:v>
      </x:c>
      <x:c r="I527" t="str">
        <x:v>ok</x:v>
      </x:c>
      <x:c r="J527"/>
      <x:c r="K527" t="n">
        <x:v>45988</x:v>
      </x:c>
      <x:c r="L527" t="n">
        <x:v>45988</x:v>
      </x:c>
      <x:c r="M527" t="str">
        <x:v>Gebucht</x:v>
      </x:c>
      <x:c r="N527" t="str">
        <x:v>ISSUER</x:v>
      </x:c>
      <x:c r="O527" t="str">
        <x:v>AMZN.Mktp.DE.ZL6JA9WS4/AMZN.COM.BILL</x:v>
      </x:c>
      <x:c r="P527" t="str">
        <x:v>VISA Debitkartenumsatz vom 26.11.2025</x:v>
      </x:c>
      <x:c r="Q527" t="str">
        <x:v>Ausgang</x:v>
      </x:c>
      <x:c r="R527" t="str">
        <x:v>DE96120300009005290904</x:v>
      </x:c>
      <x:c r="S527" t="n">
        <x:v>-36.02</x:v>
      </x:c>
      <x:c r="T527" t="str">
        <x:v>"</x:v>
      </x:c>
      <x:c r="U527" t="str">
        <x:v>"</x:v>
      </x:c>
      <x:c r="V527" t="str">
        <x:v>485327789107388</x:v>
      </x:c>
    </x:row>
    <x:row r="528">
      <x:c r="A528" t="str">
        <x:v>RAW-IMP-20260516-FULLDRAFT-000511</x:v>
      </x:c>
      <x:c r="B528" t="str">
        <x:v>IMP-20260516-FULLDRAFT</x:v>
      </x:c>
      <x:c r="C528" t="str">
        <x:v>KTO001</x:v>
      </x:c>
      <x:c r="D528" t="str">
        <x:v>16-05-2026_Umsatzliste_Girokonto_DE98120300001061711675.csv</x:v>
      </x:c>
      <x:c r="E528" t="n">
        <x:v>46163</x:v>
      </x:c>
      <x:c r="F528" t="n">
        <x:v>511</x:v>
      </x:c>
      <x:c r="G528" t="str">
        <x:v>98f446f351c593c5d5382db29d5ff5d92bd7911061f79f187da31ffee0afb554</x:v>
      </x:c>
      <x:c r="H528" t="str">
        <x:v>neu</x:v>
      </x:c>
      <x:c r="I528" t="str">
        <x:v>ok</x:v>
      </x:c>
      <x:c r="J528"/>
      <x:c r="K528" t="n">
        <x:v>45987</x:v>
      </x:c>
      <x:c r="L528" t="n">
        <x:v>45987</x:v>
      </x:c>
      <x:c r="M528" t="str">
        <x:v>Gebucht</x:v>
      </x:c>
      <x:c r="N528" t="str">
        <x:v>ISSUER</x:v>
      </x:c>
      <x:c r="O528" t="str">
        <x:v>PAYPAL..VRB/1743473445</x:v>
      </x:c>
      <x:c r="P528" t="str">
        <x:v>VISA Debitkartenumsatz vom 25.11.2025</x:v>
      </x:c>
      <x:c r="Q528" t="str">
        <x:v>Ausgang</x:v>
      </x:c>
      <x:c r="R528" t="str">
        <x:v>DE96120300009005290904</x:v>
      </x:c>
      <x:c r="S528" t="n">
        <x:v>-30</x:v>
      </x:c>
      <x:c r="T528" t="str">
        <x:v>"</x:v>
      </x:c>
      <x:c r="U528" t="str">
        <x:v>"</x:v>
      </x:c>
      <x:c r="V528" t="str">
        <x:v>585329710415321</x:v>
      </x:c>
    </x:row>
    <x:row r="529">
      <x:c r="A529" t="str">
        <x:v>RAW-IMP-20260516-FULLDRAFT-000512</x:v>
      </x:c>
      <x:c r="B529" t="str">
        <x:v>IMP-20260516-FULLDRAFT</x:v>
      </x:c>
      <x:c r="C529" t="str">
        <x:v>KTO001</x:v>
      </x:c>
      <x:c r="D529" t="str">
        <x:v>16-05-2026_Umsatzliste_Girokonto_DE98120300001061711675.csv</x:v>
      </x:c>
      <x:c r="E529" t="n">
        <x:v>46163</x:v>
      </x:c>
      <x:c r="F529" t="n">
        <x:v>512</x:v>
      </x:c>
      <x:c r="G529" t="str">
        <x:v>f0486caa781c85c3370132227ee022637b4ef73d52774baa7173ff44c8d94352</x:v>
      </x:c>
      <x:c r="H529" t="str">
        <x:v>neu</x:v>
      </x:c>
      <x:c r="I529" t="str">
        <x:v>ok</x:v>
      </x:c>
      <x:c r="J529"/>
      <x:c r="K529" t="n">
        <x:v>45986</x:v>
      </x:c>
      <x:c r="L529" t="n">
        <x:v>45986</x:v>
      </x:c>
      <x:c r="M529" t="str">
        <x:v>Gebucht</x:v>
      </x:c>
      <x:c r="N529" t="str">
        <x:v>ISSUER</x:v>
      </x:c>
      <x:c r="O529" t="str">
        <x:v>AMZN.Mktp.DE.ZL88L2MW4/AMZN.COM.BILL</x:v>
      </x:c>
      <x:c r="P529" t="str">
        <x:v>VISA Debitkartenumsatz vom 24.11.2025</x:v>
      </x:c>
      <x:c r="Q529" t="str">
        <x:v>Ausgang</x:v>
      </x:c>
      <x:c r="R529" t="str">
        <x:v>DE96120300009005290904</x:v>
      </x:c>
      <x:c r="S529" t="n">
        <x:v>-31.44</x:v>
      </x:c>
      <x:c r="T529" t="str">
        <x:v>"</x:v>
      </x:c>
      <x:c r="U529" t="str">
        <x:v>"</x:v>
      </x:c>
      <x:c r="V529" t="str">
        <x:v>485327313858448</x:v>
      </x:c>
    </x:row>
    <x:row r="530">
      <x:c r="A530" t="str">
        <x:v>RAW-IMP-20260516-FULLDRAFT-000513</x:v>
      </x:c>
      <x:c r="B530" t="str">
        <x:v>IMP-20260516-FULLDRAFT</x:v>
      </x:c>
      <x:c r="C530" t="str">
        <x:v>KTO001</x:v>
      </x:c>
      <x:c r="D530" t="str">
        <x:v>16-05-2026_Umsatzliste_Girokonto_DE98120300001061711675.csv</x:v>
      </x:c>
      <x:c r="E530" t="n">
        <x:v>46163</x:v>
      </x:c>
      <x:c r="F530" t="n">
        <x:v>513</x:v>
      </x:c>
      <x:c r="G530" t="str">
        <x:v>c7dab290bf8725088bc57f23fc56e888d45bac0c2c197c14a47d26869e43a25b</x:v>
      </x:c>
      <x:c r="H530" t="str">
        <x:v>neu</x:v>
      </x:c>
      <x:c r="I530" t="str">
        <x:v>ok</x:v>
      </x:c>
      <x:c r="J530"/>
      <x:c r="K530" t="n">
        <x:v>45985</x:v>
      </x:c>
      <x:c r="L530" t="n">
        <x:v>45985</x:v>
      </x:c>
      <x:c r="M530" t="str">
        <x:v>Gebucht</x:v>
      </x:c>
      <x:c r="N530" t="str">
        <x:v>ISSUER</x:v>
      </x:c>
      <x:c r="O530" t="str">
        <x:v>SANDERS.BACKSTUBE.GMBH/LENGEDE</x:v>
      </x:c>
      <x:c r="P530" t="str">
        <x:v>VISA Debitkartenumsatz vom 23.11.2025</x:v>
      </x:c>
      <x:c r="Q530" t="str">
        <x:v>Ausgang</x:v>
      </x:c>
      <x:c r="R530" t="str">
        <x:v>DE96120300009005290904</x:v>
      </x:c>
      <x:c r="S530" t="n">
        <x:v>-7.55</x:v>
      </x:c>
      <x:c r="T530" t="str">
        <x:v>"</x:v>
      </x:c>
      <x:c r="U530" t="str">
        <x:v>"</x:v>
      </x:c>
      <x:c r="V530" t="str">
        <x:v>485327302333434</x:v>
      </x:c>
    </x:row>
    <x:row r="531">
      <x:c r="A531" t="str">
        <x:v>RAW-IMP-20260516-FULLDRAFT-000514</x:v>
      </x:c>
      <x:c r="B531" t="str">
        <x:v>IMP-20260516-FULLDRAFT</x:v>
      </x:c>
      <x:c r="C531" t="str">
        <x:v>KTO001</x:v>
      </x:c>
      <x:c r="D531" t="str">
        <x:v>16-05-2026_Umsatzliste_Girokonto_DE98120300001061711675.csv</x:v>
      </x:c>
      <x:c r="E531" t="n">
        <x:v>46163</x:v>
      </x:c>
      <x:c r="F531" t="n">
        <x:v>514</x:v>
      </x:c>
      <x:c r="G531" t="str">
        <x:v>b7d18929277103a34d77b846b529fa90556eaffe3b1604429ef95959822210da</x:v>
      </x:c>
      <x:c r="H531" t="str">
        <x:v>neu</x:v>
      </x:c>
      <x:c r="I531" t="str">
        <x:v>ok</x:v>
      </x:c>
      <x:c r="J531"/>
      <x:c r="K531" t="n">
        <x:v>45985</x:v>
      </x:c>
      <x:c r="L531" t="n">
        <x:v>45985</x:v>
      </x:c>
      <x:c r="M531" t="str">
        <x:v>Gebucht</x:v>
      </x:c>
      <x:c r="N531" t="str">
        <x:v>ISSUER</x:v>
      </x:c>
      <x:c r="O531" t="str">
        <x:v>REWE.Salzgitter.Ge/Salzgitter</x:v>
      </x:c>
      <x:c r="P531" t="str">
        <x:v>VISA Debitkartenumsatz vom 21.11.2025</x:v>
      </x:c>
      <x:c r="Q531" t="str">
        <x:v>Ausgang</x:v>
      </x:c>
      <x:c r="R531" t="str">
        <x:v>DE96120300009005290904</x:v>
      </x:c>
      <x:c r="S531" t="n">
        <x:v>-21.39</x:v>
      </x:c>
      <x:c r="T531" t="str">
        <x:v>"</x:v>
      </x:c>
      <x:c r="U531" t="str">
        <x:v>"</x:v>
      </x:c>
      <x:c r="V531" t="str">
        <x:v>485325637204993</x:v>
      </x:c>
    </x:row>
    <x:row r="532">
      <x:c r="A532" t="str">
        <x:v>RAW-IMP-20260516-FULLDRAFT-000515</x:v>
      </x:c>
      <x:c r="B532" t="str">
        <x:v>IMP-20260516-FULLDRAFT</x:v>
      </x:c>
      <x:c r="C532" t="str">
        <x:v>KTO001</x:v>
      </x:c>
      <x:c r="D532" t="str">
        <x:v>16-05-2026_Umsatzliste_Girokonto_DE98120300001061711675.csv</x:v>
      </x:c>
      <x:c r="E532" t="n">
        <x:v>46163</x:v>
      </x:c>
      <x:c r="F532" t="n">
        <x:v>515</x:v>
      </x:c>
      <x:c r="G532" t="str">
        <x:v>0408693c092786c01654de16c806fc4028dbe3cdeff10f40e5e411bf727c1869</x:v>
      </x:c>
      <x:c r="H532" t="str">
        <x:v>neu</x:v>
      </x:c>
      <x:c r="I532" t="str">
        <x:v>ok</x:v>
      </x:c>
      <x:c r="J532"/>
      <x:c r="K532" t="n">
        <x:v>45985</x:v>
      </x:c>
      <x:c r="L532" t="n">
        <x:v>45985</x:v>
      </x:c>
      <x:c r="M532" t="str">
        <x:v>Gebucht</x:v>
      </x:c>
      <x:c r="N532" t="str">
        <x:v>ISSUER</x:v>
      </x:c>
      <x:c r="O532" t="str">
        <x:v>Amazon.de.Z30PX0IO4/AMAZON.DE</x:v>
      </x:c>
      <x:c r="P532" t="str">
        <x:v>VISA Debitkartenumsatz vom 21.11.2025</x:v>
      </x:c>
      <x:c r="Q532" t="str">
        <x:v>Ausgang</x:v>
      </x:c>
      <x:c r="R532" t="str">
        <x:v>DE96120300009005290904</x:v>
      </x:c>
      <x:c r="S532" t="n">
        <x:v>-9.99</x:v>
      </x:c>
      <x:c r="T532" t="str">
        <x:v>"</x:v>
      </x:c>
      <x:c r="U532" t="str">
        <x:v>"</x:v>
      </x:c>
      <x:c r="V532" t="str">
        <x:v>485320774373568</x:v>
      </x:c>
    </x:row>
    <x:row r="533">
      <x:c r="A533" t="str">
        <x:v>RAW-IMP-20260516-FULLDRAFT-000516</x:v>
      </x:c>
      <x:c r="B533" t="str">
        <x:v>IMP-20260516-FULLDRAFT</x:v>
      </x:c>
      <x:c r="C533" t="str">
        <x:v>KTO001</x:v>
      </x:c>
      <x:c r="D533" t="str">
        <x:v>16-05-2026_Umsatzliste_Girokonto_DE98120300001061711675.csv</x:v>
      </x:c>
      <x:c r="E533" t="n">
        <x:v>46163</x:v>
      </x:c>
      <x:c r="F533" t="n">
        <x:v>516</x:v>
      </x:c>
      <x:c r="G533" t="str">
        <x:v>1fdfcc7c3d63ed3a7cc3287cba298a2c6a20b439ab214452761f1cd05bbce0e1</x:v>
      </x:c>
      <x:c r="H533" t="str">
        <x:v>neu</x:v>
      </x:c>
      <x:c r="I533" t="str">
        <x:v>ok</x:v>
      </x:c>
      <x:c r="J533"/>
      <x:c r="K533" t="n">
        <x:v>45985</x:v>
      </x:c>
      <x:c r="L533" t="n">
        <x:v>45985</x:v>
      </x:c>
      <x:c r="M533" t="str">
        <x:v>Gebucht</x:v>
      </x:c>
      <x:c r="N533" t="str">
        <x:v>ISSUER</x:v>
      </x:c>
      <x:c r="O533" t="str">
        <x:v>EDEKA.POTRATZ/HILDESHEIM</x:v>
      </x:c>
      <x:c r="P533" t="str">
        <x:v>VISA Debitkartenumsatz vom 21.11.2025</x:v>
      </x:c>
      <x:c r="Q533" t="str">
        <x:v>Ausgang</x:v>
      </x:c>
      <x:c r="R533" t="str">
        <x:v>DE96120300009005290904</x:v>
      </x:c>
      <x:c r="S533" t="n">
        <x:v>-4.92</x:v>
      </x:c>
      <x:c r="T533" t="str">
        <x:v>"</x:v>
      </x:c>
      <x:c r="U533" t="str">
        <x:v>"</x:v>
      </x:c>
      <x:c r="V533" t="str">
        <x:v>485325409523271</x:v>
      </x:c>
    </x:row>
    <x:row r="534">
      <x:c r="A534" t="str">
        <x:v>RAW-IMP-20260516-FULLDRAFT-000517</x:v>
      </x:c>
      <x:c r="B534" t="str">
        <x:v>IMP-20260516-FULLDRAFT</x:v>
      </x:c>
      <x:c r="C534" t="str">
        <x:v>KTO001</x:v>
      </x:c>
      <x:c r="D534" t="str">
        <x:v>16-05-2026_Umsatzliste_Girokonto_DE98120300001061711675.csv</x:v>
      </x:c>
      <x:c r="E534" t="n">
        <x:v>46163</x:v>
      </x:c>
      <x:c r="F534" t="n">
        <x:v>517</x:v>
      </x:c>
      <x:c r="G534" t="str">
        <x:v>ec3178f7d575ccf524e71faed3fa61eec69b15ee5fdd89dd5717f4d073c1faed</x:v>
      </x:c>
      <x:c r="H534" t="str">
        <x:v>neu</x:v>
      </x:c>
      <x:c r="I534" t="str">
        <x:v>ok</x:v>
      </x:c>
      <x:c r="J534"/>
      <x:c r="K534" t="n">
        <x:v>45985</x:v>
      </x:c>
      <x:c r="L534" t="n">
        <x:v>45985</x:v>
      </x:c>
      <x:c r="M534" t="str">
        <x:v>Gebucht</x:v>
      </x:c>
      <x:c r="N534" t="str">
        <x:v>ISSUER</x:v>
      </x:c>
      <x:c r="O534" t="str">
        <x:v>EDEKA.POTRATZ/HILDESHEIM</x:v>
      </x:c>
      <x:c r="P534" t="str">
        <x:v>VISA Debitkartenumsatz vom 21.11.2025</x:v>
      </x:c>
      <x:c r="Q534" t="str">
        <x:v>Ausgang</x:v>
      </x:c>
      <x:c r="R534" t="str">
        <x:v>DE96120300009005290904</x:v>
      </x:c>
      <x:c r="S534" t="n">
        <x:v>-1.49</x:v>
      </x:c>
      <x:c r="T534" t="str">
        <x:v>"</x:v>
      </x:c>
      <x:c r="U534" t="str">
        <x:v>"</x:v>
      </x:c>
      <x:c r="V534" t="str">
        <x:v>485325410509602</x:v>
      </x:c>
    </x:row>
    <x:row r="535">
      <x:c r="A535" t="str">
        <x:v>RAW-IMP-20260516-FULLDRAFT-000518</x:v>
      </x:c>
      <x:c r="B535" t="str">
        <x:v>IMP-20260516-FULLDRAFT</x:v>
      </x:c>
      <x:c r="C535" t="str">
        <x:v>KTO001</x:v>
      </x:c>
      <x:c r="D535" t="str">
        <x:v>16-05-2026_Umsatzliste_Girokonto_DE98120300001061711675.csv</x:v>
      </x:c>
      <x:c r="E535" t="n">
        <x:v>46163</x:v>
      </x:c>
      <x:c r="F535" t="n">
        <x:v>518</x:v>
      </x:c>
      <x:c r="G535" t="str">
        <x:v>12f4565e5bdbd66e07aa491c97c2324d316d1fbcda4f72ae32af8114acbdbad6</x:v>
      </x:c>
      <x:c r="H535" t="str">
        <x:v>neu</x:v>
      </x:c>
      <x:c r="I535" t="str">
        <x:v>ok</x:v>
      </x:c>
      <x:c r="J535"/>
      <x:c r="K535" t="n">
        <x:v>45985</x:v>
      </x:c>
      <x:c r="L535" t="n">
        <x:v>45985</x:v>
      </x:c>
      <x:c r="M535" t="str">
        <x:v>Gebucht</x:v>
      </x:c>
      <x:c r="N535" t="str">
        <x:v>ISSUER</x:v>
      </x:c>
      <x:c r="O535" t="str">
        <x:v>Ditsch.Schloss.Arkaden/Braunschweig</x:v>
      </x:c>
      <x:c r="P535" t="str">
        <x:v>VISA Debitkartenumsatz vom 22.11.2025</x:v>
      </x:c>
      <x:c r="Q535" t="str">
        <x:v>Ausgang</x:v>
      </x:c>
      <x:c r="R535" t="str">
        <x:v>DE96120300009005290904</x:v>
      </x:c>
      <x:c r="S535" t="n">
        <x:v>-6.8</x:v>
      </x:c>
      <x:c r="T535" t="str">
        <x:v>"</x:v>
      </x:c>
      <x:c r="U535" t="str">
        <x:v>"</x:v>
      </x:c>
      <x:c r="V535" t="str">
        <x:v>485326393912883</x:v>
      </x:c>
    </x:row>
    <x:row r="536">
      <x:c r="A536" t="str">
        <x:v>RAW-IMP-20260516-FULLDRAFT-000519</x:v>
      </x:c>
      <x:c r="B536" t="str">
        <x:v>IMP-20260516-FULLDRAFT</x:v>
      </x:c>
      <x:c r="C536" t="str">
        <x:v>KTO001</x:v>
      </x:c>
      <x:c r="D536" t="str">
        <x:v>16-05-2026_Umsatzliste_Girokonto_DE98120300001061711675.csv</x:v>
      </x:c>
      <x:c r="E536" t="n">
        <x:v>46163</x:v>
      </x:c>
      <x:c r="F536" t="n">
        <x:v>519</x:v>
      </x:c>
      <x:c r="G536" t="str">
        <x:v>abed2bb249b14cd8e62348946ae2e54d4df10aef859ece6666e3675454338c70</x:v>
      </x:c>
      <x:c r="H536" t="str">
        <x:v>neu</x:v>
      </x:c>
      <x:c r="I536" t="str">
        <x:v>ok</x:v>
      </x:c>
      <x:c r="J536"/>
      <x:c r="K536" t="n">
        <x:v>45985</x:v>
      </x:c>
      <x:c r="L536" t="n">
        <x:v>45985</x:v>
      </x:c>
      <x:c r="M536" t="str">
        <x:v>Gebucht</x:v>
      </x:c>
      <x:c r="N536" t="str">
        <x:v>ISSUER</x:v>
      </x:c>
      <x:c r="O536" t="str">
        <x:v>Ad.free.for..ZL75B6EN4/4.4.2012E.11</x:v>
      </x:c>
      <x:c r="P536" t="str">
        <x:v>VISA Debitkartenumsatz vom 23.11.2025</x:v>
      </x:c>
      <x:c r="Q536" t="str">
        <x:v>Ausgang</x:v>
      </x:c>
      <x:c r="R536" t="str">
        <x:v>DE96120300009005290904</x:v>
      </x:c>
      <x:c r="S536" t="n">
        <x:v>-2.99</x:v>
      </x:c>
      <x:c r="T536" t="str">
        <x:v>"</x:v>
      </x:c>
      <x:c r="U536" t="str">
        <x:v>"</x:v>
      </x:c>
      <x:c r="V536" t="str">
        <x:v>485327708033587</x:v>
      </x:c>
    </x:row>
    <x:row r="537">
      <x:c r="A537" t="str">
        <x:v>RAW-IMP-20260516-FULLDRAFT-000520</x:v>
      </x:c>
      <x:c r="B537" t="str">
        <x:v>IMP-20260516-FULLDRAFT</x:v>
      </x:c>
      <x:c r="C537" t="str">
        <x:v>KTO001</x:v>
      </x:c>
      <x:c r="D537" t="str">
        <x:v>16-05-2026_Umsatzliste_Girokonto_DE98120300001061711675.csv</x:v>
      </x:c>
      <x:c r="E537" t="n">
        <x:v>46163</x:v>
      </x:c>
      <x:c r="F537" t="n">
        <x:v>520</x:v>
      </x:c>
      <x:c r="G537" t="str">
        <x:v>a2ad40ddf35705a2b570b1d0ac37a5b52dc51aa05bc6bbe2e03d2fdf459e4e91</x:v>
      </x:c>
      <x:c r="H537" t="str">
        <x:v>neu</x:v>
      </x:c>
      <x:c r="I537" t="str">
        <x:v>ok</x:v>
      </x:c>
      <x:c r="J537"/>
      <x:c r="K537" t="n">
        <x:v>45985</x:v>
      </x:c>
      <x:c r="L537" t="n">
        <x:v>45985</x:v>
      </x:c>
      <x:c r="M537" t="str">
        <x:v>Gebucht</x:v>
      </x:c>
      <x:c r="N537" t="str">
        <x:v>ISSUER</x:v>
      </x:c>
      <x:c r="O537" t="str">
        <x:v>APPLE.COM.BILL/08006645451</x:v>
      </x:c>
      <x:c r="P537" t="str">
        <x:v>VISA Debitkartenumsatz vom 21.11.2025</x:v>
      </x:c>
      <x:c r="Q537" t="str">
        <x:v>Ausgang</x:v>
      </x:c>
      <x:c r="R537" t="str">
        <x:v>DE96120300009005290904</x:v>
      </x:c>
      <x:c r="S537" t="n">
        <x:v>-2.99</x:v>
      </x:c>
      <x:c r="T537" t="str">
        <x:v>"</x:v>
      </x:c>
      <x:c r="U537" t="str">
        <x:v>"</x:v>
      </x:c>
      <x:c r="V537" t="str">
        <x:v>485325502114295</x:v>
      </x:c>
    </x:row>
    <x:row r="538">
      <x:c r="A538" t="str">
        <x:v>RAW-IMP-20260516-FULLDRAFT-000521</x:v>
      </x:c>
      <x:c r="B538" t="str">
        <x:v>IMP-20260516-FULLDRAFT</x:v>
      </x:c>
      <x:c r="C538" t="str">
        <x:v>KTO001</x:v>
      </x:c>
      <x:c r="D538" t="str">
        <x:v>16-05-2026_Umsatzliste_Girokonto_DE98120300001061711675.csv</x:v>
      </x:c>
      <x:c r="E538" t="n">
        <x:v>46163</x:v>
      </x:c>
      <x:c r="F538" t="n">
        <x:v>521</x:v>
      </x:c>
      <x:c r="G538" t="str">
        <x:v>286a9ee9a76b93f2e1f77adc985422e97f487a21ff8e78c0a3d8aa25c07157cb</x:v>
      </x:c>
      <x:c r="H538" t="str">
        <x:v>neu</x:v>
      </x:c>
      <x:c r="I538" t="str">
        <x:v>ok</x:v>
      </x:c>
      <x:c r="J538"/>
      <x:c r="K538" t="n">
        <x:v>45985</x:v>
      </x:c>
      <x:c r="L538" t="n">
        <x:v>45985</x:v>
      </x:c>
      <x:c r="M538" t="str">
        <x:v>Gebucht</x:v>
      </x:c>
      <x:c r="N538" t="str">
        <x:v>ISSUER</x:v>
      </x:c>
      <x:c r="O538" t="str">
        <x:v>Lidl.sagt.Danke/Salzgitter</x:v>
      </x:c>
      <x:c r="P538" t="str">
        <x:v>VISA Debitkartenumsatz vom 22.11.2025</x:v>
      </x:c>
      <x:c r="Q538" t="str">
        <x:v>Ausgang</x:v>
      </x:c>
      <x:c r="R538" t="str">
        <x:v>DE96120300009005290904</x:v>
      </x:c>
      <x:c r="S538" t="n">
        <x:v>-77.68</x:v>
      </x:c>
      <x:c r="T538" t="str">
        <x:v>"</x:v>
      </x:c>
      <x:c r="U538" t="str">
        <x:v>"</x:v>
      </x:c>
      <x:c r="V538" t="str">
        <x:v>485326436984533</x:v>
      </x:c>
    </x:row>
    <x:row r="539">
      <x:c r="A539" t="str">
        <x:v>RAW-IMP-20260516-FULLDRAFT-000522</x:v>
      </x:c>
      <x:c r="B539" t="str">
        <x:v>IMP-20260516-FULLDRAFT</x:v>
      </x:c>
      <x:c r="C539" t="str">
        <x:v>KTO001</x:v>
      </x:c>
      <x:c r="D539" t="str">
        <x:v>16-05-2026_Umsatzliste_Girokonto_DE98120300001061711675.csv</x:v>
      </x:c>
      <x:c r="E539" t="n">
        <x:v>46163</x:v>
      </x:c>
      <x:c r="F539" t="n">
        <x:v>522</x:v>
      </x:c>
      <x:c r="G539" t="str">
        <x:v>e95e92c3f3054d8629fed0c175fa6307f3257c09184c92281a2ea7e21c2aea3e</x:v>
      </x:c>
      <x:c r="H539" t="str">
        <x:v>neu</x:v>
      </x:c>
      <x:c r="I539" t="str">
        <x:v>ok</x:v>
      </x:c>
      <x:c r="J539"/>
      <x:c r="K539" t="n">
        <x:v>45985</x:v>
      </x:c>
      <x:c r="L539" t="n">
        <x:v>45985</x:v>
      </x:c>
      <x:c r="M539" t="str">
        <x:v>Gebucht</x:v>
      </x:c>
      <x:c r="N539" t="str">
        <x:v>ISSUER</x:v>
      </x:c>
      <x:c r="O539" t="str">
        <x:v>Humanic.62/Graz</x:v>
      </x:c>
      <x:c r="P539" t="str">
        <x:v>VISA Debitkartenumsatz vom 22.11.2025</x:v>
      </x:c>
      <x:c r="Q539" t="str">
        <x:v>Ausgang</x:v>
      </x:c>
      <x:c r="R539" t="str">
        <x:v>DE96120300009005290904</x:v>
      </x:c>
      <x:c r="S539" t="n">
        <x:v>-150</x:v>
      </x:c>
      <x:c r="T539" t="str">
        <x:v>"</x:v>
      </x:c>
      <x:c r="U539" t="str">
        <x:v>"</x:v>
      </x:c>
      <x:c r="V539" t="str">
        <x:v>485326359507627</x:v>
      </x:c>
    </x:row>
    <x:row r="540">
      <x:c r="A540" t="str">
        <x:v>RAW-IMP-20260516-FULLDRAFT-000523</x:v>
      </x:c>
      <x:c r="B540" t="str">
        <x:v>IMP-20260516-FULLDRAFT</x:v>
      </x:c>
      <x:c r="C540" t="str">
        <x:v>KTO001</x:v>
      </x:c>
      <x:c r="D540" t="str">
        <x:v>16-05-2026_Umsatzliste_Girokonto_DE98120300001061711675.csv</x:v>
      </x:c>
      <x:c r="E540" t="n">
        <x:v>46163</x:v>
      </x:c>
      <x:c r="F540" t="n">
        <x:v>523</x:v>
      </x:c>
      <x:c r="G540" t="str">
        <x:v>42ccc26867e5a898b44aa62ef04741f91215faa245f6703024e44eda3de146f7</x:v>
      </x:c>
      <x:c r="H540" t="str">
        <x:v>neu</x:v>
      </x:c>
      <x:c r="I540" t="str">
        <x:v>ok</x:v>
      </x:c>
      <x:c r="J540"/>
      <x:c r="K540" t="n">
        <x:v>45985</x:v>
      </x:c>
      <x:c r="L540" t="n">
        <x:v>45985</x:v>
      </x:c>
      <x:c r="M540" t="str">
        <x:v>Gebucht</x:v>
      </x:c>
      <x:c r="N540" t="str">
        <x:v>ISSUER</x:v>
      </x:c>
      <x:c r="O540" t="str">
        <x:v>Prime.Video.Shop/amzn.de.bill</x:v>
      </x:c>
      <x:c r="P540" t="str">
        <x:v>VISA Debitkartenumsatz vom 22.11.2025</x:v>
      </x:c>
      <x:c r="Q540" t="str">
        <x:v>Ausgang</x:v>
      </x:c>
      <x:c r="R540" t="str">
        <x:v>DE96120300009005290904</x:v>
      </x:c>
      <x:c r="S540" t="n">
        <x:v>-4.99</x:v>
      </x:c>
      <x:c r="T540" t="str">
        <x:v>"</x:v>
      </x:c>
      <x:c r="U540" t="str">
        <x:v>"</x:v>
      </x:c>
      <x:c r="V540" t="str">
        <x:v>485326706525536</x:v>
      </x:c>
    </x:row>
    <x:row r="541">
      <x:c r="A541" t="str">
        <x:v>RAW-IMP-20260516-FULLDRAFT-000524</x:v>
      </x:c>
      <x:c r="B541" t="str">
        <x:v>IMP-20260516-FULLDRAFT</x:v>
      </x:c>
      <x:c r="C541" t="str">
        <x:v>KTO001</x:v>
      </x:c>
      <x:c r="D541" t="str">
        <x:v>16-05-2026_Umsatzliste_Girokonto_DE98120300001061711675.csv</x:v>
      </x:c>
      <x:c r="E541" t="n">
        <x:v>46163</x:v>
      </x:c>
      <x:c r="F541" t="n">
        <x:v>524</x:v>
      </x:c>
      <x:c r="G541" t="str">
        <x:v>6c19cbd953f3689a28d410867edc1f1cd5d475e20832a6b6d4c84712428f7a70</x:v>
      </x:c>
      <x:c r="H541" t="str">
        <x:v>neu</x:v>
      </x:c>
      <x:c r="I541" t="str">
        <x:v>ok</x:v>
      </x:c>
      <x:c r="J541"/>
      <x:c r="K541" t="n">
        <x:v>45982</x:v>
      </x:c>
      <x:c r="L541" t="n">
        <x:v>45982</x:v>
      </x:c>
      <x:c r="M541" t="str">
        <x:v>Gebucht</x:v>
      </x:c>
      <x:c r="N541" t="str">
        <x:v>WingTsun GmbH u. Co. KG</x:v>
      </x:c>
      <x:c r="O541" t="str">
        <x:v>Lars Kohlenberg</x:v>
      </x:c>
      <x:c r="P541" t="str">
        <x:v>Jahresbeitrag7 06/2025 2506112481GT</x:v>
      </x:c>
      <x:c r="Q541" t="str">
        <x:v>Eingang</x:v>
      </x:c>
      <x:c r="R541" t="str">
        <x:v>DE62210501701004676738</x:v>
      </x:c>
      <x:c r="S541" t="n">
        <x:v>23.22</x:v>
      </x:c>
      <x:c r="T541" t="str">
        <x:v>"</x:v>
      </x:c>
      <x:c r="U541" t="str">
        <x:v>"</x:v>
      </x:c>
      <x:c r="V541" t="str">
        <x:v>9831d2365ccb4e1395fa4e34cf0dd0f2</x:v>
      </x:c>
    </x:row>
    <x:row r="542">
      <x:c r="A542" t="str">
        <x:v>RAW-IMP-20260516-FULLDRAFT-000525</x:v>
      </x:c>
      <x:c r="B542" t="str">
        <x:v>IMP-20260516-FULLDRAFT</x:v>
      </x:c>
      <x:c r="C542" t="str">
        <x:v>KTO001</x:v>
      </x:c>
      <x:c r="D542" t="str">
        <x:v>16-05-2026_Umsatzliste_Girokonto_DE98120300001061711675.csv</x:v>
      </x:c>
      <x:c r="E542" t="n">
        <x:v>46163</x:v>
      </x:c>
      <x:c r="F542" t="n">
        <x:v>525</x:v>
      </x:c>
      <x:c r="G542" t="str">
        <x:v>2c98011eb55293085b7b01415ced0dd051c5913950bbe9cefb2620d895e2b4e3</x:v>
      </x:c>
      <x:c r="H542" t="str">
        <x:v>neu</x:v>
      </x:c>
      <x:c r="I542" t="str">
        <x:v>ok</x:v>
      </x:c>
      <x:c r="J542"/>
      <x:c r="K542" t="n">
        <x:v>45982</x:v>
      </x:c>
      <x:c r="L542" t="n">
        <x:v>45982</x:v>
      </x:c>
      <x:c r="M542" t="str">
        <x:v>Gebucht</x:v>
      </x:c>
      <x:c r="N542" t="str">
        <x:v>ISSUER</x:v>
      </x:c>
      <x:c r="O542" t="str">
        <x:v>India.Tandoori.Haus/Hildesheim</x:v>
      </x:c>
      <x:c r="P542" t="str">
        <x:v>VISA Debitkartenumsatz vom 20.11.2025</x:v>
      </x:c>
      <x:c r="Q542" t="str">
        <x:v>Ausgang</x:v>
      </x:c>
      <x:c r="R542" t="str">
        <x:v>DE96120300009005290904</x:v>
      </x:c>
      <x:c r="S542" t="n">
        <x:v>-35</x:v>
      </x:c>
      <x:c r="T542" t="str">
        <x:v>"</x:v>
      </x:c>
      <x:c r="U542" t="str">
        <x:v>"</x:v>
      </x:c>
      <x:c r="V542" t="str">
        <x:v>485324441999837</x:v>
      </x:c>
    </x:row>
    <x:row r="543">
      <x:c r="A543" t="str">
        <x:v>RAW-IMP-20260516-FULLDRAFT-000526</x:v>
      </x:c>
      <x:c r="B543" t="str">
        <x:v>IMP-20260516-FULLDRAFT</x:v>
      </x:c>
      <x:c r="C543" t="str">
        <x:v>KTO001</x:v>
      </x:c>
      <x:c r="D543" t="str">
        <x:v>16-05-2026_Umsatzliste_Girokonto_DE98120300001061711675.csv</x:v>
      </x:c>
      <x:c r="E543" t="n">
        <x:v>46163</x:v>
      </x:c>
      <x:c r="F543" t="n">
        <x:v>526</x:v>
      </x:c>
      <x:c r="G543" t="str">
        <x:v>1dafbf1fae91192e90b2efdcde5d429b998904259ca2400800c04245b0036828</x:v>
      </x:c>
      <x:c r="H543" t="str">
        <x:v>neu</x:v>
      </x:c>
      <x:c r="I543" t="str">
        <x:v>ok</x:v>
      </x:c>
      <x:c r="J543"/>
      <x:c r="K543" t="n">
        <x:v>45982</x:v>
      </x:c>
      <x:c r="L543" t="n">
        <x:v>45982</x:v>
      </x:c>
      <x:c r="M543" t="str">
        <x:v>Gebucht</x:v>
      </x:c>
      <x:c r="N543" t="str">
        <x:v>Lars Kohlenberg</x:v>
      </x:c>
      <x:c r="O543" t="str">
        <x:v>Drillisch Online GmbH                                                 Wilhelm-Rontgen-Strase 1-5, 63477 Maintal</x:v>
      </x:c>
      <x:c r="P543" t="str">
        <x:v>C0851820 U759802410 B865987455 winSIM</x:v>
      </x:c>
      <x:c r="Q543" t="str">
        <x:v>Ausgang</x:v>
      </x:c>
      <x:c r="R543" t="str">
        <x:v>DE87300500000008996811</x:v>
      </x:c>
      <x:c r="S543" t="n">
        <x:v>-6.99</x:v>
      </x:c>
      <x:c r="T543" t="str">
        <x:v>DE40ZZZ00000206926</x:v>
      </x:c>
      <x:c r="U543" t="str">
        <x:v>FB1310D094B04186E02ACE7B8C6</x:v>
      </x:c>
      <x:c r="V543" t="str">
        <x:v>C0851820+U759802410</x:v>
      </x:c>
    </x:row>
    <x:row r="544">
      <x:c r="A544" t="str">
        <x:v>RAW-IMP-20260516-FULLDRAFT-000527</x:v>
      </x:c>
      <x:c r="B544" t="str">
        <x:v>IMP-20260516-FULLDRAFT</x:v>
      </x:c>
      <x:c r="C544" t="str">
        <x:v>KTO001</x:v>
      </x:c>
      <x:c r="D544" t="str">
        <x:v>16-05-2026_Umsatzliste_Girokonto_DE98120300001061711675.csv</x:v>
      </x:c>
      <x:c r="E544" t="n">
        <x:v>46163</x:v>
      </x:c>
      <x:c r="F544" t="n">
        <x:v>527</x:v>
      </x:c>
      <x:c r="G544" t="str">
        <x:v>ec5b3c261c9765f2ae67357c9bd1dc152bdd2f0450e7068a12f966b699568d74</x:v>
      </x:c>
      <x:c r="H544" t="str">
        <x:v>neu</x:v>
      </x:c>
      <x:c r="I544" t="str">
        <x:v>ok</x:v>
      </x:c>
      <x:c r="J544"/>
      <x:c r="K544" t="n">
        <x:v>45981</x:v>
      </x:c>
      <x:c r="L544" t="n">
        <x:v>45981</x:v>
      </x:c>
      <x:c r="M544" t="str">
        <x:v>Gebucht</x:v>
      </x:c>
      <x:c r="N544" t="str">
        <x:v>ISSUER</x:v>
      </x:c>
      <x:c r="O544" t="str">
        <x:v>PAYPAL..HPDEUTSCHLA/4029357733</x:v>
      </x:c>
      <x:c r="P544" t="str">
        <x:v>VISA Debitkartenumsatz vom 19.11.2025</x:v>
      </x:c>
      <x:c r="Q544" t="str">
        <x:v>Ausgang</x:v>
      </x:c>
      <x:c r="R544" t="str">
        <x:v>DE96120300009005290904</x:v>
      </x:c>
      <x:c r="S544" t="n">
        <x:v>-4.99</x:v>
      </x:c>
      <x:c r="T544" t="str">
        <x:v>"</x:v>
      </x:c>
      <x:c r="U544" t="str">
        <x:v>"</x:v>
      </x:c>
      <x:c r="V544" t="str">
        <x:v>305323585540534</x:v>
      </x:c>
    </x:row>
    <x:row r="545">
      <x:c r="A545" t="str">
        <x:v>RAW-IMP-20260516-FULLDRAFT-000528</x:v>
      </x:c>
      <x:c r="B545" t="str">
        <x:v>IMP-20260516-FULLDRAFT</x:v>
      </x:c>
      <x:c r="C545" t="str">
        <x:v>KTO001</x:v>
      </x:c>
      <x:c r="D545" t="str">
        <x:v>16-05-2026_Umsatzliste_Girokonto_DE98120300001061711675.csv</x:v>
      </x:c>
      <x:c r="E545" t="n">
        <x:v>46163</x:v>
      </x:c>
      <x:c r="F545" t="n">
        <x:v>528</x:v>
      </x:c>
      <x:c r="G545" t="str">
        <x:v>5754f01d0156bfe2ce2ba5e254e233f2b72c8ffdb8e0bc39311c232e7d71eb6f</x:v>
      </x:c>
      <x:c r="H545" t="str">
        <x:v>neu</x:v>
      </x:c>
      <x:c r="I545" t="str">
        <x:v>ok</x:v>
      </x:c>
      <x:c r="J545"/>
      <x:c r="K545" t="n">
        <x:v>45981</x:v>
      </x:c>
      <x:c r="L545" t="n">
        <x:v>45981</x:v>
      </x:c>
      <x:c r="M545" t="str">
        <x:v>Gebucht</x:v>
      </x:c>
      <x:c r="N545" t="str">
        <x:v>ISSUER</x:v>
      </x:c>
      <x:c r="O545" t="str">
        <x:v>EDEKA.POTRATZ/HILDESHEIM</x:v>
      </x:c>
      <x:c r="P545" t="str">
        <x:v>VISA Debitkartenumsatz vom 19.11.2025</x:v>
      </x:c>
      <x:c r="Q545" t="str">
        <x:v>Ausgang</x:v>
      </x:c>
      <x:c r="R545" t="str">
        <x:v>DE96120300009005290904</x:v>
      </x:c>
      <x:c r="S545" t="n">
        <x:v>-3.95</x:v>
      </x:c>
      <x:c r="T545" t="str">
        <x:v>"</x:v>
      </x:c>
      <x:c r="U545" t="str">
        <x:v>"</x:v>
      </x:c>
      <x:c r="V545" t="str">
        <x:v>485323602341364</x:v>
      </x:c>
    </x:row>
    <x:row r="546">
      <x:c r="A546" t="str">
        <x:v>RAW-IMP-20260516-FULLDRAFT-000529</x:v>
      </x:c>
      <x:c r="B546" t="str">
        <x:v>IMP-20260516-FULLDRAFT</x:v>
      </x:c>
      <x:c r="C546" t="str">
        <x:v>KTO001</x:v>
      </x:c>
      <x:c r="D546" t="str">
        <x:v>16-05-2026_Umsatzliste_Girokonto_DE98120300001061711675.csv</x:v>
      </x:c>
      <x:c r="E546" t="n">
        <x:v>46163</x:v>
      </x:c>
      <x:c r="F546" t="n">
        <x:v>529</x:v>
      </x:c>
      <x:c r="G546" t="str">
        <x:v>11d2d2b920d9cb801f18d134d2c125e8491a87b71c10db5b732ea450b824c8d3</x:v>
      </x:c>
      <x:c r="H546" t="str">
        <x:v>neu</x:v>
      </x:c>
      <x:c r="I546" t="str">
        <x:v>ok</x:v>
      </x:c>
      <x:c r="J546"/>
      <x:c r="K546" t="n">
        <x:v>45981</x:v>
      </x:c>
      <x:c r="L546" t="n">
        <x:v>45981</x:v>
      </x:c>
      <x:c r="M546" t="str">
        <x:v>Gebucht</x:v>
      </x:c>
      <x:c r="N546" t="str">
        <x:v>ISSUER</x:v>
      </x:c>
      <x:c r="O546" t="str">
        <x:v>WITWE.BOLTE/HILDESHEIM</x:v>
      </x:c>
      <x:c r="P546" t="str">
        <x:v>VISA Debitkartenumsatz vom 19.11.2025</x:v>
      </x:c>
      <x:c r="Q546" t="str">
        <x:v>Ausgang</x:v>
      </x:c>
      <x:c r="R546" t="str">
        <x:v>DE96120300009005290904</x:v>
      </x:c>
      <x:c r="S546" t="n">
        <x:v>-6.2</x:v>
      </x:c>
      <x:c r="T546" t="str">
        <x:v>"</x:v>
      </x:c>
      <x:c r="U546" t="str">
        <x:v>"</x:v>
      </x:c>
      <x:c r="V546" t="str">
        <x:v>485323403251432</x:v>
      </x:c>
    </x:row>
    <x:row r="547">
      <x:c r="A547" t="str">
        <x:v>RAW-IMP-20260516-FULLDRAFT-000530</x:v>
      </x:c>
      <x:c r="B547" t="str">
        <x:v>IMP-20260516-FULLDRAFT</x:v>
      </x:c>
      <x:c r="C547" t="str">
        <x:v>KTO001</x:v>
      </x:c>
      <x:c r="D547" t="str">
        <x:v>16-05-2026_Umsatzliste_Girokonto_DE98120300001061711675.csv</x:v>
      </x:c>
      <x:c r="E547" t="n">
        <x:v>46163</x:v>
      </x:c>
      <x:c r="F547" t="n">
        <x:v>530</x:v>
      </x:c>
      <x:c r="G547" t="str">
        <x:v>b61118f8d6945c2add1381f1fe3b79725a4186872037bf9c45f55df4e91bd84e</x:v>
      </x:c>
      <x:c r="H547" t="str">
        <x:v>neu</x:v>
      </x:c>
      <x:c r="I547" t="str">
        <x:v>ok</x:v>
      </x:c>
      <x:c r="J547"/>
      <x:c r="K547" t="n">
        <x:v>45981</x:v>
      </x:c>
      <x:c r="L547" t="n">
        <x:v>45981</x:v>
      </x:c>
      <x:c r="M547" t="str">
        <x:v>Gebucht</x:v>
      </x:c>
      <x:c r="N547" t="str">
        <x:v>Lars Kohlenberg</x:v>
      </x:c>
      <x:c r="O547" t="str">
        <x:v>Lars Kohlenberg</x:v>
      </x:c>
      <x:c r="P547" t="str">
        <x:v>UEbertrag</x:v>
      </x:c>
      <x:c r="Q547" t="str">
        <x:v>Eingang</x:v>
      </x:c>
      <x:c r="R547" t="str">
        <x:v>DE91270200001510365800</x:v>
      </x:c>
      <x:c r="S547" t="n">
        <x:v>500</x:v>
      </x:c>
      <x:c r="T547" t="str">
        <x:v>"</x:v>
      </x:c>
      <x:c r="U547" t="str">
        <x:v>"</x:v>
      </x:c>
      <x:c r="V547" t="str">
        <x:v>"</x:v>
      </x:c>
    </x:row>
    <x:row r="548">
      <x:c r="A548" t="str">
        <x:v>RAW-IMP-20260516-FULLDRAFT-000531</x:v>
      </x:c>
      <x:c r="B548" t="str">
        <x:v>IMP-20260516-FULLDRAFT</x:v>
      </x:c>
      <x:c r="C548" t="str">
        <x:v>KTO001</x:v>
      </x:c>
      <x:c r="D548" t="str">
        <x:v>16-05-2026_Umsatzliste_Girokonto_DE98120300001061711675.csv</x:v>
      </x:c>
      <x:c r="E548" t="n">
        <x:v>46163</x:v>
      </x:c>
      <x:c r="F548" t="n">
        <x:v>531</x:v>
      </x:c>
      <x:c r="G548" t="str">
        <x:v>a8654047e6fe032bdf1e06b21e18aa67aebb52a8cb7bb26e426aa9e4f79bf434</x:v>
      </x:c>
      <x:c r="H548" t="str">
        <x:v>neu</x:v>
      </x:c>
      <x:c r="I548" t="str">
        <x:v>ok</x:v>
      </x:c>
      <x:c r="J548"/>
      <x:c r="K548" t="n">
        <x:v>45981</x:v>
      </x:c>
      <x:c r="L548" t="n">
        <x:v>45981</x:v>
      </x:c>
      <x:c r="M548" t="str">
        <x:v>Gebucht</x:v>
      </x:c>
      <x:c r="N548" t="str">
        <x:v>Lars Kohlenberg</x:v>
      </x:c>
      <x:c r="O548" t="str">
        <x:v>Drillisch Online GmbH                                                 Wilhelm-Rontgen-Strase 1-5, 63477 Maintal</x:v>
      </x:c>
      <x:c r="P548" t="str">
        <x:v>C0851820 U757816122 B868059544 winSIM</x:v>
      </x:c>
      <x:c r="Q548" t="str">
        <x:v>Ausgang</x:v>
      </x:c>
      <x:c r="R548" t="str">
        <x:v>DE87300500000008996811</x:v>
      </x:c>
      <x:c r="S548" t="n">
        <x:v>-6.99</x:v>
      </x:c>
      <x:c r="T548" t="str">
        <x:v>DE40ZZZ00000206926</x:v>
      </x:c>
      <x:c r="U548" t="str">
        <x:v>FB1310D094B04186E02ACE7B8C6</x:v>
      </x:c>
      <x:c r="V548" t="str">
        <x:v>C0851820+U757816122</x:v>
      </x:c>
    </x:row>
    <x:row r="549">
      <x:c r="A549" t="str">
        <x:v>RAW-IMP-20260516-FULLDRAFT-000532</x:v>
      </x:c>
      <x:c r="B549" t="str">
        <x:v>IMP-20260516-FULLDRAFT</x:v>
      </x:c>
      <x:c r="C549" t="str">
        <x:v>KTO001</x:v>
      </x:c>
      <x:c r="D549" t="str">
        <x:v>16-05-2026_Umsatzliste_Girokonto_DE98120300001061711675.csv</x:v>
      </x:c>
      <x:c r="E549" t="n">
        <x:v>46163</x:v>
      </x:c>
      <x:c r="F549" t="n">
        <x:v>532</x:v>
      </x:c>
      <x:c r="G549" t="str">
        <x:v>39d670f3f3203999ff17df58cc77fc06d7aaa392a20510b3f3a279d528b32ca7</x:v>
      </x:c>
      <x:c r="H549" t="str">
        <x:v>neu</x:v>
      </x:c>
      <x:c r="I549" t="str">
        <x:v>ok</x:v>
      </x:c>
      <x:c r="J549"/>
      <x:c r="K549" t="n">
        <x:v>45980</x:v>
      </x:c>
      <x:c r="L549" t="n">
        <x:v>45980</x:v>
      </x:c>
      <x:c r="M549" t="str">
        <x:v>Gebucht</x:v>
      </x:c>
      <x:c r="N549" t="str">
        <x:v>ISSUER</x:v>
      </x:c>
      <x:c r="O549" t="str">
        <x:v>Contipark.09033037601.H/Hannover</x:v>
      </x:c>
      <x:c r="P549" t="str">
        <x:v>VISA Debitkartenumsatz vom 18.11.2025</x:v>
      </x:c>
      <x:c r="Q549" t="str">
        <x:v>Ausgang</x:v>
      </x:c>
      <x:c r="R549" t="str">
        <x:v>DE96120300009005290904</x:v>
      </x:c>
      <x:c r="S549" t="n">
        <x:v>-12</x:v>
      </x:c>
      <x:c r="T549" t="str">
        <x:v>"</x:v>
      </x:c>
      <x:c r="U549" t="str">
        <x:v>"</x:v>
      </x:c>
      <x:c r="V549" t="str">
        <x:v>485322796690412</x:v>
      </x:c>
    </x:row>
    <x:row r="550">
      <x:c r="A550" t="str">
        <x:v>RAW-IMP-20260516-FULLDRAFT-000533</x:v>
      </x:c>
      <x:c r="B550" t="str">
        <x:v>IMP-20260516-FULLDRAFT</x:v>
      </x:c>
      <x:c r="C550" t="str">
        <x:v>KTO001</x:v>
      </x:c>
      <x:c r="D550" t="str">
        <x:v>16-05-2026_Umsatzliste_Girokonto_DE98120300001061711675.csv</x:v>
      </x:c>
      <x:c r="E550" t="n">
        <x:v>46163</x:v>
      </x:c>
      <x:c r="F550" t="n">
        <x:v>533</x:v>
      </x:c>
      <x:c r="G550" t="str">
        <x:v>27158d198670151cf3c91a9b318de0aa351eca88638c9c02c8d4269dbded4b42</x:v>
      </x:c>
      <x:c r="H550" t="str">
        <x:v>neu</x:v>
      </x:c>
      <x:c r="I550" t="str">
        <x:v>ok</x:v>
      </x:c>
      <x:c r="J550"/>
      <x:c r="K550" t="n">
        <x:v>45980</x:v>
      </x:c>
      <x:c r="L550" t="n">
        <x:v>45980</x:v>
      </x:c>
      <x:c r="M550" t="str">
        <x:v>Gebucht</x:v>
      </x:c>
      <x:c r="N550" t="str">
        <x:v>Lars Kohlenberg                                                       Johannes-Wosnitza-Str. 8,38229 Salzgitter</x:v>
      </x:c>
      <x:c r="O550" t="str">
        <x:v>1+1 Mail + Media GmbH                                                 Elgendorfer Str. 57, 56410 Montabaur</x:v>
      </x:c>
      <x:c r="P550" t="str">
        <x:v>KD-Nr. K7440512/ RG-Nr. 201542833329</x:v>
      </x:c>
      <x:c r="Q550" t="str">
        <x:v>Ausgang</x:v>
      </x:c>
      <x:c r="R550" t="str">
        <x:v>DE76700800000881679702</x:v>
      </x:c>
      <x:c r="S550" t="n">
        <x:v>-23.94</x:v>
      </x:c>
      <x:c r="T550" t="str">
        <x:v>DE07ZZZ00000569718</x:v>
      </x:c>
      <x:c r="U550" t="str">
        <x:v>0090001393062</x:v>
      </x:c>
      <x:c r="V550" t="str">
        <x:v>005917061874</x:v>
      </x:c>
    </x:row>
    <x:row r="551">
      <x:c r="A551" t="str">
        <x:v>RAW-IMP-20260516-FULLDRAFT-000534</x:v>
      </x:c>
      <x:c r="B551" t="str">
        <x:v>IMP-20260516-FULLDRAFT</x:v>
      </x:c>
      <x:c r="C551" t="str">
        <x:v>KTO001</x:v>
      </x:c>
      <x:c r="D551" t="str">
        <x:v>16-05-2026_Umsatzliste_Girokonto_DE98120300001061711675.csv</x:v>
      </x:c>
      <x:c r="E551" t="n">
        <x:v>46163</x:v>
      </x:c>
      <x:c r="F551" t="n">
        <x:v>534</x:v>
      </x:c>
      <x:c r="G551" t="str">
        <x:v>f383388ee47a7b96aa9912aba8f5f455f0088741325966f6a5166d542cc6b553</x:v>
      </x:c>
      <x:c r="H551" t="str">
        <x:v>neu</x:v>
      </x:c>
      <x:c r="I551" t="str">
        <x:v>ok</x:v>
      </x:c>
      <x:c r="J551"/>
      <x:c r="K551" t="n">
        <x:v>45980</x:v>
      </x:c>
      <x:c r="L551" t="n">
        <x:v>45980</x:v>
      </x:c>
      <x:c r="M551" t="str">
        <x:v>Gebucht</x:v>
      </x:c>
      <x:c r="N551" t="str">
        <x:v>Lars Kohlenberg</x:v>
      </x:c>
      <x:c r="O551" t="str">
        <x:v>Drillisch Online GmbH                                                 Wilhelm-Rontgen-Strase 1-5, 63477 Maintal</x:v>
      </x:c>
      <x:c r="P551" t="str">
        <x:v>C0851820 U756977697 B865053924 winSIM</x:v>
      </x:c>
      <x:c r="Q551" t="str">
        <x:v>Ausgang</x:v>
      </x:c>
      <x:c r="R551" t="str">
        <x:v>DE87300500000008996811</x:v>
      </x:c>
      <x:c r="S551" t="n">
        <x:v>-6.99</x:v>
      </x:c>
      <x:c r="T551" t="str">
        <x:v>DE40ZZZ00000206926</x:v>
      </x:c>
      <x:c r="U551" t="str">
        <x:v>FB1310D094B04186E02ACE7B8C6</x:v>
      </x:c>
      <x:c r="V551" t="str">
        <x:v>C0851820+U756977697</x:v>
      </x:c>
    </x:row>
    <x:row r="552">
      <x:c r="A552" t="str">
        <x:v>RAW-IMP-20260516-FULLDRAFT-000535</x:v>
      </x:c>
      <x:c r="B552" t="str">
        <x:v>IMP-20260516-FULLDRAFT</x:v>
      </x:c>
      <x:c r="C552" t="str">
        <x:v>KTO001</x:v>
      </x:c>
      <x:c r="D552" t="str">
        <x:v>16-05-2026_Umsatzliste_Girokonto_DE98120300001061711675.csv</x:v>
      </x:c>
      <x:c r="E552" t="n">
        <x:v>46163</x:v>
      </x:c>
      <x:c r="F552" t="n">
        <x:v>535</x:v>
      </x:c>
      <x:c r="G552" t="str">
        <x:v>4d1d49fb494ff0f6457f1abb98b77a050586fb7ed3972dec88b8b9074d896c74</x:v>
      </x:c>
      <x:c r="H552" t="str">
        <x:v>neu</x:v>
      </x:c>
      <x:c r="I552" t="str">
        <x:v>ok</x:v>
      </x:c>
      <x:c r="J552"/>
      <x:c r="K552" t="n">
        <x:v>45979</x:v>
      </x:c>
      <x:c r="L552" t="n">
        <x:v>45979</x:v>
      </x:c>
      <x:c r="M552" t="str">
        <x:v>Gebucht</x:v>
      </x:c>
      <x:c r="N552" t="str">
        <x:v>ISSUER</x:v>
      </x:c>
      <x:c r="O552" t="str">
        <x:v>Aral.Station.160540142/Salzgitter</x:v>
      </x:c>
      <x:c r="P552" t="str">
        <x:v>VISA Debitkartenumsatz vom 15.11.2025</x:v>
      </x:c>
      <x:c r="Q552" t="str">
        <x:v>Ausgang</x:v>
      </x:c>
      <x:c r="R552" t="str">
        <x:v>DE96120300009005290904</x:v>
      </x:c>
      <x:c r="S552" t="n">
        <x:v>-14.99</x:v>
      </x:c>
      <x:c r="T552" t="str">
        <x:v>"</x:v>
      </x:c>
      <x:c r="U552" t="str">
        <x:v>"</x:v>
      </x:c>
      <x:c r="V552" t="str">
        <x:v>485319342081976</x:v>
      </x:c>
    </x:row>
    <x:row r="553">
      <x:c r="A553" t="str">
        <x:v>RAW-IMP-20260516-FULLDRAFT-000536</x:v>
      </x:c>
      <x:c r="B553" t="str">
        <x:v>IMP-20260516-FULLDRAFT</x:v>
      </x:c>
      <x:c r="C553" t="str">
        <x:v>KTO001</x:v>
      </x:c>
      <x:c r="D553" t="str">
        <x:v>16-05-2026_Umsatzliste_Girokonto_DE98120300001061711675.csv</x:v>
      </x:c>
      <x:c r="E553" t="n">
        <x:v>46163</x:v>
      </x:c>
      <x:c r="F553" t="n">
        <x:v>536</x:v>
      </x:c>
      <x:c r="G553" t="str">
        <x:v>76585bc1dfa41061337f7d784a9f0222ebfc95046dfc959c03d31333caffaf04</x:v>
      </x:c>
      <x:c r="H553" t="str">
        <x:v>neu</x:v>
      </x:c>
      <x:c r="I553" t="str">
        <x:v>ok</x:v>
      </x:c>
      <x:c r="J553"/>
      <x:c r="K553" t="n">
        <x:v>45978</x:v>
      </x:c>
      <x:c r="L553" t="n">
        <x:v>45978</x:v>
      </x:c>
      <x:c r="M553" t="str">
        <x:v>Gebucht</x:v>
      </x:c>
      <x:c r="N553" t="str">
        <x:v>ISSUER</x:v>
      </x:c>
      <x:c r="O553" t="str">
        <x:v>SumUp...Ni.Coffee.Coffe/Braunschweig</x:v>
      </x:c>
      <x:c r="P553" t="str">
        <x:v>VISA Debitkartenumsatz vom 15.11.2025</x:v>
      </x:c>
      <x:c r="Q553" t="str">
        <x:v>Ausgang</x:v>
      </x:c>
      <x:c r="R553" t="str">
        <x:v>DE96120300009005290904</x:v>
      </x:c>
      <x:c r="S553" t="n">
        <x:v>-11</x:v>
      </x:c>
      <x:c r="T553" t="str">
        <x:v>"</x:v>
      </x:c>
      <x:c r="U553" t="str">
        <x:v>"</x:v>
      </x:c>
      <x:c r="V553" t="str">
        <x:v>485319493491983</x:v>
      </x:c>
    </x:row>
    <x:row r="554">
      <x:c r="A554" t="str">
        <x:v>RAW-IMP-20260516-FULLDRAFT-000537</x:v>
      </x:c>
      <x:c r="B554" t="str">
        <x:v>IMP-20260516-FULLDRAFT</x:v>
      </x:c>
      <x:c r="C554" t="str">
        <x:v>KTO001</x:v>
      </x:c>
      <x:c r="D554" t="str">
        <x:v>16-05-2026_Umsatzliste_Girokonto_DE98120300001061711675.csv</x:v>
      </x:c>
      <x:c r="E554" t="n">
        <x:v>46163</x:v>
      </x:c>
      <x:c r="F554" t="n">
        <x:v>537</x:v>
      </x:c>
      <x:c r="G554" t="str">
        <x:v>d3d8b047498aeeec061d6be3b0fb68e5015b7b19aa513f400120478b7f6fb00f</x:v>
      </x:c>
      <x:c r="H554" t="str">
        <x:v>neu</x:v>
      </x:c>
      <x:c r="I554" t="str">
        <x:v>ok</x:v>
      </x:c>
      <x:c r="J554"/>
      <x:c r="K554" t="n">
        <x:v>45978</x:v>
      </x:c>
      <x:c r="L554" t="n">
        <x:v>45978</x:v>
      </x:c>
      <x:c r="M554" t="str">
        <x:v>Gebucht</x:v>
      </x:c>
      <x:c r="N554" t="str">
        <x:v>ISSUER</x:v>
      </x:c>
      <x:c r="O554" t="str">
        <x:v>METRO.SAGT.DANKE/BRAUNSCHWEIG</x:v>
      </x:c>
      <x:c r="P554" t="str">
        <x:v>VISA Debitkartenumsatz vom 15.11.2025</x:v>
      </x:c>
      <x:c r="Q554" t="str">
        <x:v>Ausgang</x:v>
      </x:c>
      <x:c r="R554" t="str">
        <x:v>DE96120300009005290904</x:v>
      </x:c>
      <x:c r="S554" t="n">
        <x:v>-124.97</x:v>
      </x:c>
      <x:c r="T554" t="str">
        <x:v>"</x:v>
      </x:c>
      <x:c r="U554" t="str">
        <x:v>"</x:v>
      </x:c>
      <x:c r="V554" t="str">
        <x:v>485319578053526</x:v>
      </x:c>
    </x:row>
    <x:row r="555">
      <x:c r="A555" t="str">
        <x:v>RAW-IMP-20260516-FULLDRAFT-000538</x:v>
      </x:c>
      <x:c r="B555" t="str">
        <x:v>IMP-20260516-FULLDRAFT</x:v>
      </x:c>
      <x:c r="C555" t="str">
        <x:v>KTO001</x:v>
      </x:c>
      <x:c r="D555" t="str">
        <x:v>16-05-2026_Umsatzliste_Girokonto_DE98120300001061711675.csv</x:v>
      </x:c>
      <x:c r="E555" t="n">
        <x:v>46163</x:v>
      </x:c>
      <x:c r="F555" t="n">
        <x:v>538</x:v>
      </x:c>
      <x:c r="G555" t="str">
        <x:v>12683a5cc8ba4747bc1f51bea78412a135ff815a6aeb4732f7d4aaea9286baa1</x:v>
      </x:c>
      <x:c r="H555" t="str">
        <x:v>neu</x:v>
      </x:c>
      <x:c r="I555" t="str">
        <x:v>ok</x:v>
      </x:c>
      <x:c r="J555"/>
      <x:c r="K555" t="n">
        <x:v>45978</x:v>
      </x:c>
      <x:c r="L555" t="n">
        <x:v>45978</x:v>
      </x:c>
      <x:c r="M555" t="str">
        <x:v>Gebucht</x:v>
      </x:c>
      <x:c r="N555" t="str">
        <x:v>ISSUER</x:v>
      </x:c>
      <x:c r="O555" t="str">
        <x:v>SATURN.ELECTRO.HANDELS/BRAUNSCHWEIG</x:v>
      </x:c>
      <x:c r="P555" t="str">
        <x:v>VISA Debitkartenumsatz vom 15.11.2025</x:v>
      </x:c>
      <x:c r="Q555" t="str">
        <x:v>Ausgang</x:v>
      </x:c>
      <x:c r="R555" t="str">
        <x:v>DE96120300009005290904</x:v>
      </x:c>
      <x:c r="S555" t="n">
        <x:v>-26</x:v>
      </x:c>
      <x:c r="T555" t="str">
        <x:v>"</x:v>
      </x:c>
      <x:c r="U555" t="str">
        <x:v>"</x:v>
      </x:c>
      <x:c r="V555" t="str">
        <x:v>485319538825950</x:v>
      </x:c>
    </x:row>
    <x:row r="556">
      <x:c r="A556" t="str">
        <x:v>RAW-IMP-20260516-FULLDRAFT-000539</x:v>
      </x:c>
      <x:c r="B556" t="str">
        <x:v>IMP-20260516-FULLDRAFT</x:v>
      </x:c>
      <x:c r="C556" t="str">
        <x:v>KTO001</x:v>
      </x:c>
      <x:c r="D556" t="str">
        <x:v>16-05-2026_Umsatzliste_Girokonto_DE98120300001061711675.csv</x:v>
      </x:c>
      <x:c r="E556" t="n">
        <x:v>46163</x:v>
      </x:c>
      <x:c r="F556" t="n">
        <x:v>539</x:v>
      </x:c>
      <x:c r="G556" t="str">
        <x:v>8ca336a83c8dabe8cbb7398be8a28f09b73fae54c8cbc44c0c3941562e7a6302</x:v>
      </x:c>
      <x:c r="H556" t="str">
        <x:v>neu</x:v>
      </x:c>
      <x:c r="I556" t="str">
        <x:v>ok</x:v>
      </x:c>
      <x:c r="J556"/>
      <x:c r="K556" t="n">
        <x:v>45978</x:v>
      </x:c>
      <x:c r="L556" t="n">
        <x:v>45978</x:v>
      </x:c>
      <x:c r="M556" t="str">
        <x:v>Gebucht</x:v>
      </x:c>
      <x:c r="N556" t="str">
        <x:v>ISSUER</x:v>
      </x:c>
      <x:c r="O556" t="str">
        <x:v>REWE.Salzgitter.Ge/Salzgitter</x:v>
      </x:c>
      <x:c r="P556" t="str">
        <x:v>VISA Debitkartenumsatz vom 15.11.2025</x:v>
      </x:c>
      <x:c r="Q556" t="str">
        <x:v>Ausgang</x:v>
      </x:c>
      <x:c r="R556" t="str">
        <x:v>DE96120300009005290904</x:v>
      </x:c>
      <x:c r="S556" t="n">
        <x:v>-37.51</x:v>
      </x:c>
      <x:c r="T556" t="str">
        <x:v>"</x:v>
      </x:c>
      <x:c r="U556" t="str">
        <x:v>"</x:v>
      </x:c>
      <x:c r="V556" t="str">
        <x:v>485319450472494</x:v>
      </x:c>
    </x:row>
    <x:row r="557">
      <x:c r="A557" t="str">
        <x:v>RAW-IMP-20260516-FULLDRAFT-000540</x:v>
      </x:c>
      <x:c r="B557" t="str">
        <x:v>IMP-20260516-FULLDRAFT</x:v>
      </x:c>
      <x:c r="C557" t="str">
        <x:v>KTO001</x:v>
      </x:c>
      <x:c r="D557" t="str">
        <x:v>16-05-2026_Umsatzliste_Girokonto_DE98120300001061711675.csv</x:v>
      </x:c>
      <x:c r="E557" t="n">
        <x:v>46163</x:v>
      </x:c>
      <x:c r="F557" t="n">
        <x:v>540</x:v>
      </x:c>
      <x:c r="G557" t="str">
        <x:v>403270d42ca8bca1d832dd15ecc11b8bb9b9d0dea2730c601cb73bdb13ffe770</x:v>
      </x:c>
      <x:c r="H557" t="str">
        <x:v>neu</x:v>
      </x:c>
      <x:c r="I557" t="str">
        <x:v>ok</x:v>
      </x:c>
      <x:c r="J557"/>
      <x:c r="K557" t="n">
        <x:v>45978</x:v>
      </x:c>
      <x:c r="L557" t="n">
        <x:v>45978</x:v>
      </x:c>
      <x:c r="M557" t="str">
        <x:v>Gebucht</x:v>
      </x:c>
      <x:c r="N557" t="str">
        <x:v>ISSUER</x:v>
      </x:c>
      <x:c r="O557" t="str">
        <x:v>TIEFGARAGE.MAGNI/BRAUNSCHWEIG</x:v>
      </x:c>
      <x:c r="P557" t="str">
        <x:v>VISA Debitkartenumsatz vom 15.11.2025</x:v>
      </x:c>
      <x:c r="Q557" t="str">
        <x:v>Ausgang</x:v>
      </x:c>
      <x:c r="R557" t="str">
        <x:v>DE96120300009005290904</x:v>
      </x:c>
      <x:c r="S557" t="n">
        <x:v>-2.4</x:v>
      </x:c>
      <x:c r="T557" t="str">
        <x:v>"</x:v>
      </x:c>
      <x:c r="U557" t="str">
        <x:v>"</x:v>
      </x:c>
      <x:c r="V557" t="str">
        <x:v>485319541423979</x:v>
      </x:c>
    </x:row>
    <x:row r="558">
      <x:c r="A558" t="str">
        <x:v>RAW-IMP-20260516-FULLDRAFT-000541</x:v>
      </x:c>
      <x:c r="B558" t="str">
        <x:v>IMP-20260516-FULLDRAFT</x:v>
      </x:c>
      <x:c r="C558" t="str">
        <x:v>KTO001</x:v>
      </x:c>
      <x:c r="D558" t="str">
        <x:v>16-05-2026_Umsatzliste_Girokonto_DE98120300001061711675.csv</x:v>
      </x:c>
      <x:c r="E558" t="n">
        <x:v>46163</x:v>
      </x:c>
      <x:c r="F558" t="n">
        <x:v>541</x:v>
      </x:c>
      <x:c r="G558" t="str">
        <x:v>4037389a215b9c88378c1466dd06556bd94586a0f5d6c3c80caa66d976caee85</x:v>
      </x:c>
      <x:c r="H558" t="str">
        <x:v>neu</x:v>
      </x:c>
      <x:c r="I558" t="str">
        <x:v>ok</x:v>
      </x:c>
      <x:c r="J558"/>
      <x:c r="K558" t="n">
        <x:v>45978</x:v>
      </x:c>
      <x:c r="L558" t="n">
        <x:v>45978</x:v>
      </x:c>
      <x:c r="M558" t="str">
        <x:v>Gebucht</x:v>
      </x:c>
      <x:c r="N558" t="str">
        <x:v>ISSUER</x:v>
      </x:c>
      <x:c r="O558" t="str">
        <x:v>GALERIA.BRAUNSCHWEIG/BRAUNSCHWEIG</x:v>
      </x:c>
      <x:c r="P558" t="str">
        <x:v>VISA Debitkartenumsatz vom 15.11.2025</x:v>
      </x:c>
      <x:c r="Q558" t="str">
        <x:v>Ausgang</x:v>
      </x:c>
      <x:c r="R558" t="str">
        <x:v>DE96120300009005290904</x:v>
      </x:c>
      <x:c r="S558" t="n">
        <x:v>-61.99</x:v>
      </x:c>
      <x:c r="T558" t="str">
        <x:v>"</x:v>
      </x:c>
      <x:c r="U558" t="str">
        <x:v>"</x:v>
      </x:c>
      <x:c r="V558" t="str">
        <x:v>485319524756698</x:v>
      </x:c>
    </x:row>
    <x:row r="559">
      <x:c r="A559" t="str">
        <x:v>RAW-IMP-20260516-FULLDRAFT-000542</x:v>
      </x:c>
      <x:c r="B559" t="str">
        <x:v>IMP-20260516-FULLDRAFT</x:v>
      </x:c>
      <x:c r="C559" t="str">
        <x:v>KTO001</x:v>
      </x:c>
      <x:c r="D559" t="str">
        <x:v>16-05-2026_Umsatzliste_Girokonto_DE98120300001061711675.csv</x:v>
      </x:c>
      <x:c r="E559" t="n">
        <x:v>46163</x:v>
      </x:c>
      <x:c r="F559" t="n">
        <x:v>542</x:v>
      </x:c>
      <x:c r="G559" t="str">
        <x:v>6f828974fdec522a1a75a5b78743deceb06bffe069a3a36086e6d78600f5ea8a</x:v>
      </x:c>
      <x:c r="H559" t="str">
        <x:v>neu</x:v>
      </x:c>
      <x:c r="I559" t="str">
        <x:v>ok</x:v>
      </x:c>
      <x:c r="J559"/>
      <x:c r="K559" t="n">
        <x:v>45978</x:v>
      </x:c>
      <x:c r="L559" t="n">
        <x:v>45978</x:v>
      </x:c>
      <x:c r="M559" t="str">
        <x:v>Gebucht</x:v>
      </x:c>
      <x:c r="N559" t="str">
        <x:v>ISSUER</x:v>
      </x:c>
      <x:c r="O559" t="str">
        <x:v>DM.Drogerie.Markt/Braunschweig</x:v>
      </x:c>
      <x:c r="P559" t="str">
        <x:v>VISA Debitkartenumsatz vom 15.11.2025</x:v>
      </x:c>
      <x:c r="Q559" t="str">
        <x:v>Ausgang</x:v>
      </x:c>
      <x:c r="R559" t="str">
        <x:v>DE96120300009005290904</x:v>
      </x:c>
      <x:c r="S559" t="n">
        <x:v>-60.1</x:v>
      </x:c>
      <x:c r="T559" t="str">
        <x:v>"</x:v>
      </x:c>
      <x:c r="U559" t="str">
        <x:v>"</x:v>
      </x:c>
      <x:c r="V559" t="str">
        <x:v>485319489658579</x:v>
      </x:c>
    </x:row>
    <x:row r="560">
      <x:c r="A560" t="str">
        <x:v>RAW-IMP-20260516-FULLDRAFT-000543</x:v>
      </x:c>
      <x:c r="B560" t="str">
        <x:v>IMP-20260516-FULLDRAFT</x:v>
      </x:c>
      <x:c r="C560" t="str">
        <x:v>KTO001</x:v>
      </x:c>
      <x:c r="D560" t="str">
        <x:v>16-05-2026_Umsatzliste_Girokonto_DE98120300001061711675.csv</x:v>
      </x:c>
      <x:c r="E560" t="n">
        <x:v>46163</x:v>
      </x:c>
      <x:c r="F560" t="n">
        <x:v>543</x:v>
      </x:c>
      <x:c r="G560" t="str">
        <x:v>8ec819d10ece2a3351080d248359c5654ea219b88aa0f8d2e0815809c2365ae9</x:v>
      </x:c>
      <x:c r="H560" t="str">
        <x:v>neu</x:v>
      </x:c>
      <x:c r="I560" t="str">
        <x:v>ok</x:v>
      </x:c>
      <x:c r="J560"/>
      <x:c r="K560" t="n">
        <x:v>45974</x:v>
      </x:c>
      <x:c r="L560" t="n">
        <x:v>45974</x:v>
      </x:c>
      <x:c r="M560" t="str">
        <x:v>Gebucht</x:v>
      </x:c>
      <x:c r="N560" t="str">
        <x:v>ISSUER</x:v>
      </x:c>
      <x:c r="O560" t="str">
        <x:v>PAYPAL..CTS.EVENTIM/4029357733</x:v>
      </x:c>
      <x:c r="P560" t="str">
        <x:v>VISA Debitkartenumsatz vom 12.11.2025</x:v>
      </x:c>
      <x:c r="Q560" t="str">
        <x:v>Ausgang</x:v>
      </x:c>
      <x:c r="R560" t="str">
        <x:v>DE96120300009005290904</x:v>
      </x:c>
      <x:c r="S560" t="n">
        <x:v>-405.55</x:v>
      </x:c>
      <x:c r="T560" t="str">
        <x:v>"</x:v>
      </x:c>
      <x:c r="U560" t="str">
        <x:v>"</x:v>
      </x:c>
      <x:c r="V560" t="str">
        <x:v>385316423737164</x:v>
      </x:c>
    </x:row>
    <x:row r="561">
      <x:c r="A561" t="str">
        <x:v>RAW-IMP-20260516-FULLDRAFT-000544</x:v>
      </x:c>
      <x:c r="B561" t="str">
        <x:v>IMP-20260516-FULLDRAFT</x:v>
      </x:c>
      <x:c r="C561" t="str">
        <x:v>KTO001</x:v>
      </x:c>
      <x:c r="D561" t="str">
        <x:v>16-05-2026_Umsatzliste_Girokonto_DE98120300001061711675.csv</x:v>
      </x:c>
      <x:c r="E561" t="n">
        <x:v>46163</x:v>
      </x:c>
      <x:c r="F561" t="n">
        <x:v>544</x:v>
      </x:c>
      <x:c r="G561" t="str">
        <x:v>e1c05527a27e7166781cab98df6076f80b463ffa98ec215b839c6cb595763216</x:v>
      </x:c>
      <x:c r="H561" t="str">
        <x:v>neu</x:v>
      </x:c>
      <x:c r="I561" t="str">
        <x:v>ok</x:v>
      </x:c>
      <x:c r="J561"/>
      <x:c r="K561" t="n">
        <x:v>45974</x:v>
      </x:c>
      <x:c r="L561" t="n">
        <x:v>45974</x:v>
      </x:c>
      <x:c r="M561" t="str">
        <x:v>Gebucht</x:v>
      </x:c>
      <x:c r="N561" t="str">
        <x:v>ISSUER</x:v>
      </x:c>
      <x:c r="O561" t="str">
        <x:v>E.CENTER.3443.SALZGITT/SALZGITTER</x:v>
      </x:c>
      <x:c r="P561" t="str">
        <x:v>VISA Debitkartenumsatz vom 12.11.2025</x:v>
      </x:c>
      <x:c r="Q561" t="str">
        <x:v>Ausgang</x:v>
      </x:c>
      <x:c r="R561" t="str">
        <x:v>DE96120300009005290904</x:v>
      </x:c>
      <x:c r="S561" t="n">
        <x:v>-34.65</x:v>
      </x:c>
      <x:c r="T561" t="str">
        <x:v>"</x:v>
      </x:c>
      <x:c r="U561" t="str">
        <x:v>"</x:v>
      </x:c>
      <x:c r="V561" t="str">
        <x:v>485316682097950</x:v>
      </x:c>
    </x:row>
    <x:row r="562">
      <x:c r="A562" t="str">
        <x:v>RAW-IMP-20260516-FULLDRAFT-000545</x:v>
      </x:c>
      <x:c r="B562" t="str">
        <x:v>IMP-20260516-FULLDRAFT</x:v>
      </x:c>
      <x:c r="C562" t="str">
        <x:v>KTO001</x:v>
      </x:c>
      <x:c r="D562" t="str">
        <x:v>16-05-2026_Umsatzliste_Girokonto_DE98120300001061711675.csv</x:v>
      </x:c>
      <x:c r="E562" t="n">
        <x:v>46163</x:v>
      </x:c>
      <x:c r="F562" t="n">
        <x:v>545</x:v>
      </x:c>
      <x:c r="G562" t="str">
        <x:v>526348318eb4e83dbda7dded329f4dcda64a2cbf70a58239fb56201df935dc5b</x:v>
      </x:c>
      <x:c r="H562" t="str">
        <x:v>neu</x:v>
      </x:c>
      <x:c r="I562" t="str">
        <x:v>ok</x:v>
      </x:c>
      <x:c r="J562"/>
      <x:c r="K562" t="n">
        <x:v>45974</x:v>
      </x:c>
      <x:c r="L562" t="n">
        <x:v>45974</x:v>
      </x:c>
      <x:c r="M562" t="str">
        <x:v>Gebucht</x:v>
      </x:c>
      <x:c r="N562" t="str">
        <x:v>ISSUER</x:v>
      </x:c>
      <x:c r="O562" t="str">
        <x:v>REWE.Salzgitter.Ge/Salzgitter</x:v>
      </x:c>
      <x:c r="P562" t="str">
        <x:v>VISA Debitkartenumsatz vom 12.11.2025</x:v>
      </x:c>
      <x:c r="Q562" t="str">
        <x:v>Ausgang</x:v>
      </x:c>
      <x:c r="R562" t="str">
        <x:v>DE96120300009005290904</x:v>
      </x:c>
      <x:c r="S562" t="n">
        <x:v>-22.55</x:v>
      </x:c>
      <x:c r="T562" t="str">
        <x:v>"</x:v>
      </x:c>
      <x:c r="U562" t="str">
        <x:v>"</x:v>
      </x:c>
      <x:c r="V562" t="str">
        <x:v>485316641762291</x:v>
      </x:c>
    </x:row>
    <x:row r="563">
      <x:c r="A563" t="str">
        <x:v>RAW-IMP-20260516-FULLDRAFT-000546</x:v>
      </x:c>
      <x:c r="B563" t="str">
        <x:v>IMP-20260516-FULLDRAFT</x:v>
      </x:c>
      <x:c r="C563" t="str">
        <x:v>KTO001</x:v>
      </x:c>
      <x:c r="D563" t="str">
        <x:v>16-05-2026_Umsatzliste_Girokonto_DE98120300001061711675.csv</x:v>
      </x:c>
      <x:c r="E563" t="n">
        <x:v>46163</x:v>
      </x:c>
      <x:c r="F563" t="n">
        <x:v>546</x:v>
      </x:c>
      <x:c r="G563" t="str">
        <x:v>c4c0776cae8f0446eb8b5c0826fb0c3dbbc8e7180763472746d76d7a1447657a</x:v>
      </x:c>
      <x:c r="H563" t="str">
        <x:v>neu</x:v>
      </x:c>
      <x:c r="I563" t="str">
        <x:v>ok</x:v>
      </x:c>
      <x:c r="J563"/>
      <x:c r="K563" t="n">
        <x:v>45972</x:v>
      </x:c>
      <x:c r="L563" t="n">
        <x:v>45972</x:v>
      </x:c>
      <x:c r="M563" t="str">
        <x:v>Gebucht</x:v>
      </x:c>
      <x:c r="N563" t="str">
        <x:v>ISSUER</x:v>
      </x:c>
      <x:c r="O563" t="str">
        <x:v>India.Tandoori.Haus/Hildesheim</x:v>
      </x:c>
      <x:c r="P563" t="str">
        <x:v>VISA Debitkartenumsatz vom 10.11.2025</x:v>
      </x:c>
      <x:c r="Q563" t="str">
        <x:v>Ausgang</x:v>
      </x:c>
      <x:c r="R563" t="str">
        <x:v>DE96120300009005290904</x:v>
      </x:c>
      <x:c r="S563" t="n">
        <x:v>-220.8</x:v>
      </x:c>
      <x:c r="T563" t="str">
        <x:v>"</x:v>
      </x:c>
      <x:c r="U563" t="str">
        <x:v>"</x:v>
      </x:c>
      <x:c r="V563" t="str">
        <x:v>485314450302501</x:v>
      </x:c>
    </x:row>
    <x:row r="564">
      <x:c r="A564" t="str">
        <x:v>RAW-IMP-20260516-FULLDRAFT-000547</x:v>
      </x:c>
      <x:c r="B564" t="str">
        <x:v>IMP-20260516-FULLDRAFT</x:v>
      </x:c>
      <x:c r="C564" t="str">
        <x:v>KTO001</x:v>
      </x:c>
      <x:c r="D564" t="str">
        <x:v>16-05-2026_Umsatzliste_Girokonto_DE98120300001061711675.csv</x:v>
      </x:c>
      <x:c r="E564" t="n">
        <x:v>46163</x:v>
      </x:c>
      <x:c r="F564" t="n">
        <x:v>547</x:v>
      </x:c>
      <x:c r="G564" t="str">
        <x:v>dfc1132cb2fc255817271569e94699a48625397c101cec3faaf7f682b8e60f9e</x:v>
      </x:c>
      <x:c r="H564" t="str">
        <x:v>neu</x:v>
      </x:c>
      <x:c r="I564" t="str">
        <x:v>ok</x:v>
      </x:c>
      <x:c r="J564"/>
      <x:c r="K564" t="n">
        <x:v>45972</x:v>
      </x:c>
      <x:c r="L564" t="n">
        <x:v>45972</x:v>
      </x:c>
      <x:c r="M564" t="str">
        <x:v>Gebucht</x:v>
      </x:c>
      <x:c r="N564" t="str">
        <x:v>ISSUER</x:v>
      </x:c>
      <x:c r="O564" t="str">
        <x:v>AMZN.Mktp.DE.O73DT92U5/800.279.6620</x:v>
      </x:c>
      <x:c r="P564" t="str">
        <x:v>VISA Debitkartenumsatz vom 10.11.2025</x:v>
      </x:c>
      <x:c r="Q564" t="str">
        <x:v>Ausgang</x:v>
      </x:c>
      <x:c r="R564" t="str">
        <x:v>DE96120300009005290904</x:v>
      </x:c>
      <x:c r="S564" t="n">
        <x:v>-66.25</x:v>
      </x:c>
      <x:c r="T564" t="str">
        <x:v>"</x:v>
      </x:c>
      <x:c r="U564" t="str">
        <x:v>"</x:v>
      </x:c>
      <x:c r="V564" t="str">
        <x:v>485313366896801</x:v>
      </x:c>
    </x:row>
    <x:row r="565">
      <x:c r="A565" t="str">
        <x:v>RAW-IMP-20260516-FULLDRAFT-000548</x:v>
      </x:c>
      <x:c r="B565" t="str">
        <x:v>IMP-20260516-FULLDRAFT</x:v>
      </x:c>
      <x:c r="C565" t="str">
        <x:v>KTO001</x:v>
      </x:c>
      <x:c r="D565" t="str">
        <x:v>16-05-2026_Umsatzliste_Girokonto_DE98120300001061711675.csv</x:v>
      </x:c>
      <x:c r="E565" t="n">
        <x:v>46163</x:v>
      </x:c>
      <x:c r="F565" t="n">
        <x:v>548</x:v>
      </x:c>
      <x:c r="G565" t="str">
        <x:v>8defbc720951ad868cda7a67ce49720efd94199b576739752ce598fdd03ce16f</x:v>
      </x:c>
      <x:c r="H565" t="str">
        <x:v>neu</x:v>
      </x:c>
      <x:c r="I565" t="str">
        <x:v>ok</x:v>
      </x:c>
      <x:c r="J565"/>
      <x:c r="K565" t="n">
        <x:v>45971</x:v>
      </x:c>
      <x:c r="L565" t="n">
        <x:v>45971</x:v>
      </x:c>
      <x:c r="M565" t="str">
        <x:v>Gebucht</x:v>
      </x:c>
      <x:c r="N565" t="str">
        <x:v>ISSUER</x:v>
      </x:c>
      <x:c r="O565" t="str">
        <x:v>LOEWENBAECKER.SCHAPER/SALZGITTER</x:v>
      </x:c>
      <x:c r="P565" t="str">
        <x:v>VISA Debitkartenumsatz vom 08.11.2025</x:v>
      </x:c>
      <x:c r="Q565" t="str">
        <x:v>Ausgang</x:v>
      </x:c>
      <x:c r="R565" t="str">
        <x:v>DE96120300009005290904</x:v>
      </x:c>
      <x:c r="S565" t="n">
        <x:v>-3.55</x:v>
      </x:c>
      <x:c r="T565" t="str">
        <x:v>"</x:v>
      </x:c>
      <x:c r="U565" t="str">
        <x:v>"</x:v>
      </x:c>
      <x:c r="V565" t="str">
        <x:v>485312323196295</x:v>
      </x:c>
    </x:row>
    <x:row r="566">
      <x:c r="A566" t="str">
        <x:v>RAW-IMP-20260516-FULLDRAFT-000549</x:v>
      </x:c>
      <x:c r="B566" t="str">
        <x:v>IMP-20260516-FULLDRAFT</x:v>
      </x:c>
      <x:c r="C566" t="str">
        <x:v>KTO001</x:v>
      </x:c>
      <x:c r="D566" t="str">
        <x:v>16-05-2026_Umsatzliste_Girokonto_DE98120300001061711675.csv</x:v>
      </x:c>
      <x:c r="E566" t="n">
        <x:v>46163</x:v>
      </x:c>
      <x:c r="F566" t="n">
        <x:v>549</x:v>
      </x:c>
      <x:c r="G566" t="str">
        <x:v>a22ebe9fa6b5b376e3ee167388e34340bae2653e584e479c8dd92b5ad14dc5ca</x:v>
      </x:c>
      <x:c r="H566" t="str">
        <x:v>neu</x:v>
      </x:c>
      <x:c r="I566" t="str">
        <x:v>ok</x:v>
      </x:c>
      <x:c r="J566"/>
      <x:c r="K566" t="n">
        <x:v>45971</x:v>
      </x:c>
      <x:c r="L566" t="n">
        <x:v>45971</x:v>
      </x:c>
      <x:c r="M566" t="str">
        <x:v>Gebucht</x:v>
      </x:c>
      <x:c r="N566" t="str">
        <x:v>ISSUER</x:v>
      </x:c>
      <x:c r="O566" t="str">
        <x:v>Ristorante Gallo Nero</x:v>
      </x:c>
      <x:c r="P566" t="str">
        <x:v>Girokartenumsatz</x:v>
      </x:c>
      <x:c r="Q566" t="str">
        <x:v>Ausgang</x:v>
      </x:c>
      <x:c r="R566" t="str">
        <x:v>DE19270925555870761100</x:v>
      </x:c>
      <x:c r="S566" t="n">
        <x:v>-40</x:v>
      </x:c>
      <x:c r="T566" t="str">
        <x:v>"</x:v>
      </x:c>
      <x:c r="U566" t="str">
        <x:v>"</x:v>
      </x:c>
      <x:c r="V566" t="str">
        <x:v>52079387005842071125204119</x:v>
      </x:c>
    </x:row>
    <x:row r="567">
      <x:c r="A567" t="str">
        <x:v>RAW-IMP-20260516-FULLDRAFT-000550</x:v>
      </x:c>
      <x:c r="B567" t="str">
        <x:v>IMP-20260516-FULLDRAFT</x:v>
      </x:c>
      <x:c r="C567" t="str">
        <x:v>KTO001</x:v>
      </x:c>
      <x:c r="D567" t="str">
        <x:v>16-05-2026_Umsatzliste_Girokonto_DE98120300001061711675.csv</x:v>
      </x:c>
      <x:c r="E567" t="n">
        <x:v>46163</x:v>
      </x:c>
      <x:c r="F567" t="n">
        <x:v>550</x:v>
      </x:c>
      <x:c r="G567" t="str">
        <x:v>3155d37bdce25ef05def3ec9e666267a2c07cc89cdca528a5d80636f9db3b3a0</x:v>
      </x:c>
      <x:c r="H567" t="str">
        <x:v>neu</x:v>
      </x:c>
      <x:c r="I567" t="str">
        <x:v>ok</x:v>
      </x:c>
      <x:c r="J567"/>
      <x:c r="K567" t="n">
        <x:v>45971</x:v>
      </x:c>
      <x:c r="L567" t="n">
        <x:v>45971</x:v>
      </x:c>
      <x:c r="M567" t="str">
        <x:v>Gebucht</x:v>
      </x:c>
      <x:c r="N567" t="str">
        <x:v>ISSUER</x:v>
      </x:c>
      <x:c r="O567" t="str">
        <x:v>REWE.Salzgitter.Ge/Salzgitter</x:v>
      </x:c>
      <x:c r="P567" t="str">
        <x:v>VISA Debitkartenumsatz vom 08.11.2025</x:v>
      </x:c>
      <x:c r="Q567" t="str">
        <x:v>Ausgang</x:v>
      </x:c>
      <x:c r="R567" t="str">
        <x:v>DE96120300009005290904</x:v>
      </x:c>
      <x:c r="S567" t="n">
        <x:v>-5.9</x:v>
      </x:c>
      <x:c r="T567" t="str">
        <x:v>"</x:v>
      </x:c>
      <x:c r="U567" t="str">
        <x:v>"</x:v>
      </x:c>
      <x:c r="V567" t="str">
        <x:v>485312624987334</x:v>
      </x:c>
    </x:row>
    <x:row r="568">
      <x:c r="A568" t="str">
        <x:v>RAW-IMP-20260516-FULLDRAFT-000551</x:v>
      </x:c>
      <x:c r="B568" t="str">
        <x:v>IMP-20260516-FULLDRAFT</x:v>
      </x:c>
      <x:c r="C568" t="str">
        <x:v>KTO001</x:v>
      </x:c>
      <x:c r="D568" t="str">
        <x:v>16-05-2026_Umsatzliste_Girokonto_DE98120300001061711675.csv</x:v>
      </x:c>
      <x:c r="E568" t="n">
        <x:v>46163</x:v>
      </x:c>
      <x:c r="F568" t="n">
        <x:v>551</x:v>
      </x:c>
      <x:c r="G568" t="str">
        <x:v>4d467e1568f3181c7cc026499edf21736208efc7a0cfe9e24d5202b05ef30fc8</x:v>
      </x:c>
      <x:c r="H568" t="str">
        <x:v>neu</x:v>
      </x:c>
      <x:c r="I568" t="str">
        <x:v>ok</x:v>
      </x:c>
      <x:c r="J568"/>
      <x:c r="K568" t="n">
        <x:v>45971</x:v>
      </x:c>
      <x:c r="L568" t="n">
        <x:v>45971</x:v>
      </x:c>
      <x:c r="M568" t="str">
        <x:v>Gebucht</x:v>
      </x:c>
      <x:c r="N568" t="str">
        <x:v>ISSUER</x:v>
      </x:c>
      <x:c r="O568" t="str">
        <x:v>EDEKA.POTRATZ/HILDESHEIM</x:v>
      </x:c>
      <x:c r="P568" t="str">
        <x:v>VISA Debitkartenumsatz vom 07.11.2025</x:v>
      </x:c>
      <x:c r="Q568" t="str">
        <x:v>Ausgang</x:v>
      </x:c>
      <x:c r="R568" t="str">
        <x:v>DE96120300009005290904</x:v>
      </x:c>
      <x:c r="S568" t="n">
        <x:v>-9.66</x:v>
      </x:c>
      <x:c r="T568" t="str">
        <x:v>"</x:v>
      </x:c>
      <x:c r="U568" t="str">
        <x:v>"</x:v>
      </x:c>
      <x:c r="V568" t="str">
        <x:v>485311448500059</x:v>
      </x:c>
    </x:row>
    <x:row r="569">
      <x:c r="A569" t="str">
        <x:v>RAW-IMP-20260516-FULLDRAFT-000552</x:v>
      </x:c>
      <x:c r="B569" t="str">
        <x:v>IMP-20260516-FULLDRAFT</x:v>
      </x:c>
      <x:c r="C569" t="str">
        <x:v>KTO001</x:v>
      </x:c>
      <x:c r="D569" t="str">
        <x:v>16-05-2026_Umsatzliste_Girokonto_DE98120300001061711675.csv</x:v>
      </x:c>
      <x:c r="E569" t="n">
        <x:v>46163</x:v>
      </x:c>
      <x:c r="F569" t="n">
        <x:v>552</x:v>
      </x:c>
      <x:c r="G569" t="str">
        <x:v>54e59afe27dc27eccaaf96d8d428d4034fc7ea60ec3095c21b9b806c9ec6ca17</x:v>
      </x:c>
      <x:c r="H569" t="str">
        <x:v>neu</x:v>
      </x:c>
      <x:c r="I569" t="str">
        <x:v>ok</x:v>
      </x:c>
      <x:c r="J569"/>
      <x:c r="K569" t="n">
        <x:v>45971</x:v>
      </x:c>
      <x:c r="L569" t="n">
        <x:v>45971</x:v>
      </x:c>
      <x:c r="M569" t="str">
        <x:v>Gebucht</x:v>
      </x:c>
      <x:c r="N569" t="str">
        <x:v>ISSUER</x:v>
      </x:c>
      <x:c r="O569" t="str">
        <x:v>REWE.Salzgitter.Ge/Salzgitter</x:v>
      </x:c>
      <x:c r="P569" t="str">
        <x:v>VISA Debitkartenumsatz vom 08.11.2025</x:v>
      </x:c>
      <x:c r="Q569" t="str">
        <x:v>Ausgang</x:v>
      </x:c>
      <x:c r="R569" t="str">
        <x:v>DE96120300009005290904</x:v>
      </x:c>
      <x:c r="S569" t="n">
        <x:v>-96.18</x:v>
      </x:c>
      <x:c r="T569" t="str">
        <x:v>"</x:v>
      </x:c>
      <x:c r="U569" t="str">
        <x:v>"</x:v>
      </x:c>
      <x:c r="V569" t="str">
        <x:v>485312415141891</x:v>
      </x:c>
    </x:row>
    <x:row r="570">
      <x:c r="A570" t="str">
        <x:v>RAW-IMP-20260516-FULLDRAFT-000553</x:v>
      </x:c>
      <x:c r="B570" t="str">
        <x:v>IMP-20260516-FULLDRAFT</x:v>
      </x:c>
      <x:c r="C570" t="str">
        <x:v>KTO001</x:v>
      </x:c>
      <x:c r="D570" t="str">
        <x:v>16-05-2026_Umsatzliste_Girokonto_DE98120300001061711675.csv</x:v>
      </x:c>
      <x:c r="E570" t="n">
        <x:v>46163</x:v>
      </x:c>
      <x:c r="F570" t="n">
        <x:v>553</x:v>
      </x:c>
      <x:c r="G570" t="str">
        <x:v>31d696d2c43943b6634321cc063a5a759c5c64d846dd3aa629fd03ede60ff5c6</x:v>
      </x:c>
      <x:c r="H570" t="str">
        <x:v>neu</x:v>
      </x:c>
      <x:c r="I570" t="str">
        <x:v>ok</x:v>
      </x:c>
      <x:c r="J570"/>
      <x:c r="K570" t="n">
        <x:v>45968</x:v>
      </x:c>
      <x:c r="L570" t="n">
        <x:v>45968</x:v>
      </x:c>
      <x:c r="M570" t="str">
        <x:v>Gebucht</x:v>
      </x:c>
      <x:c r="N570" t="str">
        <x:v>ISSUER</x:v>
      </x:c>
      <x:c r="O570" t="str">
        <x:v>REWE.Salzgitter.Ge/Salzgitter</x:v>
      </x:c>
      <x:c r="P570" t="str">
        <x:v>VISA Debitkartenumsatz vom 06.11.2025</x:v>
      </x:c>
      <x:c r="Q570" t="str">
        <x:v>Ausgang</x:v>
      </x:c>
      <x:c r="R570" t="str">
        <x:v>DE96120300009005290904</x:v>
      </x:c>
      <x:c r="S570" t="n">
        <x:v>-16.13</x:v>
      </x:c>
      <x:c r="T570" t="str">
        <x:v>"</x:v>
      </x:c>
      <x:c r="U570" t="str">
        <x:v>"</x:v>
      </x:c>
      <x:c r="V570" t="str">
        <x:v>485310600499793</x:v>
      </x:c>
    </x:row>
    <x:row r="571">
      <x:c r="A571" t="str">
        <x:v>RAW-IMP-20260516-FULLDRAFT-000554</x:v>
      </x:c>
      <x:c r="B571" t="str">
        <x:v>IMP-20260516-FULLDRAFT</x:v>
      </x:c>
      <x:c r="C571" t="str">
        <x:v>KTO001</x:v>
      </x:c>
      <x:c r="D571" t="str">
        <x:v>16-05-2026_Umsatzliste_Girokonto_DE98120300001061711675.csv</x:v>
      </x:c>
      <x:c r="E571" t="n">
        <x:v>46163</x:v>
      </x:c>
      <x:c r="F571" t="n">
        <x:v>554</x:v>
      </x:c>
      <x:c r="G571" t="str">
        <x:v>133bbff09a13ead64c9f929a075c3231478a6a04b5c3c49840c6572387b1a53f</x:v>
      </x:c>
      <x:c r="H571" t="str">
        <x:v>neu</x:v>
      </x:c>
      <x:c r="I571" t="str">
        <x:v>ok</x:v>
      </x:c>
      <x:c r="J571"/>
      <x:c r="K571" t="n">
        <x:v>45967</x:v>
      </x:c>
      <x:c r="L571" t="n">
        <x:v>45967</x:v>
      </x:c>
      <x:c r="M571" t="str">
        <x:v>Gebucht</x:v>
      </x:c>
      <x:c r="N571" t="str">
        <x:v>ISSUER</x:v>
      </x:c>
      <x:c r="O571" t="str">
        <x:v>AMZN.Mktp.DE.CD6RG06X5/800.279.6620</x:v>
      </x:c>
      <x:c r="P571" t="str">
        <x:v>VISA Debitkartenumsatz vom 05.11.2025</x:v>
      </x:c>
      <x:c r="Q571" t="str">
        <x:v>Ausgang</x:v>
      </x:c>
      <x:c r="R571" t="str">
        <x:v>DE96120300009005290904</x:v>
      </x:c>
      <x:c r="S571" t="n">
        <x:v>-68.08</x:v>
      </x:c>
      <x:c r="T571" t="str">
        <x:v>"</x:v>
      </x:c>
      <x:c r="U571" t="str">
        <x:v>"</x:v>
      </x:c>
      <x:c r="V571" t="str">
        <x:v>485309695138839</x:v>
      </x:c>
    </x:row>
    <x:row r="572">
      <x:c r="A572" t="str">
        <x:v>RAW-IMP-20260516-FULLDRAFT-000555</x:v>
      </x:c>
      <x:c r="B572" t="str">
        <x:v>IMP-20260516-FULLDRAFT</x:v>
      </x:c>
      <x:c r="C572" t="str">
        <x:v>KTO001</x:v>
      </x:c>
      <x:c r="D572" t="str">
        <x:v>16-05-2026_Umsatzliste_Girokonto_DE98120300001061711675.csv</x:v>
      </x:c>
      <x:c r="E572" t="n">
        <x:v>46163</x:v>
      </x:c>
      <x:c r="F572" t="n">
        <x:v>555</x:v>
      </x:c>
      <x:c r="G572" t="str">
        <x:v>af58fd539d410c4f94a8123810d1de1b774e26c4440379431ce4068e43005482</x:v>
      </x:c>
      <x:c r="H572" t="str">
        <x:v>neu</x:v>
      </x:c>
      <x:c r="I572" t="str">
        <x:v>ok</x:v>
      </x:c>
      <x:c r="J572"/>
      <x:c r="K572" t="n">
        <x:v>45967</x:v>
      </x:c>
      <x:c r="L572" t="n">
        <x:v>45967</x:v>
      </x:c>
      <x:c r="M572" t="str">
        <x:v>Gebucht</x:v>
      </x:c>
      <x:c r="N572" t="str">
        <x:v>Lars Kohlenberg</x:v>
      </x:c>
      <x:c r="O572" t="str">
        <x:v>Iman Firat</x:v>
      </x:c>
      <x:c r="P572" t="str">
        <x:v>2230 Lea Kohlenberg</x:v>
      </x:c>
      <x:c r="Q572" t="str">
        <x:v>Ausgang</x:v>
      </x:c>
      <x:c r="R572" t="str">
        <x:v>DE67269910662694298000</x:v>
      </x:c>
      <x:c r="S572" t="n">
        <x:v>-49.9</x:v>
      </x:c>
      <x:c r="T572" t="str">
        <x:v>"</x:v>
      </x:c>
      <x:c r="U572" t="str">
        <x:v>"</x:v>
      </x:c>
      <x:c r="V572" t="str">
        <x:v>"</x:v>
      </x:c>
    </x:row>
    <x:row r="573">
      <x:c r="A573" t="str">
        <x:v>RAW-IMP-20260516-FULLDRAFT-000556</x:v>
      </x:c>
      <x:c r="B573" t="str">
        <x:v>IMP-20260516-FULLDRAFT</x:v>
      </x:c>
      <x:c r="C573" t="str">
        <x:v>KTO001</x:v>
      </x:c>
      <x:c r="D573" t="str">
        <x:v>16-05-2026_Umsatzliste_Girokonto_DE98120300001061711675.csv</x:v>
      </x:c>
      <x:c r="E573" t="n">
        <x:v>46163</x:v>
      </x:c>
      <x:c r="F573" t="n">
        <x:v>556</x:v>
      </x:c>
      <x:c r="G573" t="str">
        <x:v>a3db2ce7cf049d6245a531b0ef820fa4b9f8c6f927b3998f6bdef464a0fe69e6</x:v>
      </x:c>
      <x:c r="H573" t="str">
        <x:v>neu</x:v>
      </x:c>
      <x:c r="I573" t="str">
        <x:v>ok</x:v>
      </x:c>
      <x:c r="J573"/>
      <x:c r="K573" t="n">
        <x:v>45966</x:v>
      </x:c>
      <x:c r="L573" t="n">
        <x:v>45966</x:v>
      </x:c>
      <x:c r="M573" t="str">
        <x:v>Gebucht</x:v>
      </x:c>
      <x:c r="N573" t="str">
        <x:v>ISSUER</x:v>
      </x:c>
      <x:c r="O573" t="str">
        <x:v>REWE.Salzgitter.Ge/Salzgitter</x:v>
      </x:c>
      <x:c r="P573" t="str">
        <x:v>VISA Debitkartenumsatz vom 04.11.2025</x:v>
      </x:c>
      <x:c r="Q573" t="str">
        <x:v>Ausgang</x:v>
      </x:c>
      <x:c r="R573" t="str">
        <x:v>DE96120300009005290904</x:v>
      </x:c>
      <x:c r="S573" t="n">
        <x:v>-1.39</x:v>
      </x:c>
      <x:c r="T573" t="str">
        <x:v>"</x:v>
      </x:c>
      <x:c r="U573" t="str">
        <x:v>"</x:v>
      </x:c>
      <x:c r="V573" t="str">
        <x:v>485308449678205</x:v>
      </x:c>
    </x:row>
    <x:row r="574">
      <x:c r="A574" t="str">
        <x:v>RAW-IMP-20260516-FULLDRAFT-000557</x:v>
      </x:c>
      <x:c r="B574" t="str">
        <x:v>IMP-20260516-FULLDRAFT</x:v>
      </x:c>
      <x:c r="C574" t="str">
        <x:v>KTO001</x:v>
      </x:c>
      <x:c r="D574" t="str">
        <x:v>16-05-2026_Umsatzliste_Girokonto_DE98120300001061711675.csv</x:v>
      </x:c>
      <x:c r="E574" t="n">
        <x:v>46163</x:v>
      </x:c>
      <x:c r="F574" t="n">
        <x:v>557</x:v>
      </x:c>
      <x:c r="G574" t="str">
        <x:v>71f6766f436189c5865b9013a03bf1edf8735dc4028dc6d03ffd95ef8a97af1d</x:v>
      </x:c>
      <x:c r="H574" t="str">
        <x:v>neu</x:v>
      </x:c>
      <x:c r="I574" t="str">
        <x:v>ok</x:v>
      </x:c>
      <x:c r="J574"/>
      <x:c r="K574" t="n">
        <x:v>45966</x:v>
      </x:c>
      <x:c r="L574" t="n">
        <x:v>45966</x:v>
      </x:c>
      <x:c r="M574" t="str">
        <x:v>Gebucht</x:v>
      </x:c>
      <x:c r="N574" t="str">
        <x:v>Lars Kohlenberg                                                       Johannes-Wosnitza-Str. 8 38229 Salzgitter</x:v>
      </x:c>
      <x:c r="O574" t="str">
        <x:v>Telekom Deutschland GmbH</x:v>
      </x:c>
      <x:c r="P574" t="str">
        <x:v>Festnetz Vertragskonto 4763666565 RG 7876045097/27.10.2025</x:v>
      </x:c>
      <x:c r="Q574" t="str">
        <x:v>Ausgang</x:v>
      </x:c>
      <x:c r="R574" t="str">
        <x:v>DE07512108001095000911</x:v>
      </x:c>
      <x:c r="S574" t="n">
        <x:v>-61.93</x:v>
      </x:c>
      <x:c r="T574" t="str">
        <x:v>DE93ZZZ00000078611</x:v>
      </x:c>
      <x:c r="U574" t="str">
        <x:v>DE000201000200000000000000012966156</x:v>
      </x:c>
      <x:c r="V574" t="str">
        <x:v>Zahlbeleg 351861087808</x:v>
      </x:c>
    </x:row>
    <x:row r="575">
      <x:c r="A575" t="str">
        <x:v>RAW-IMP-20260516-FULLDRAFT-000558</x:v>
      </x:c>
      <x:c r="B575" t="str">
        <x:v>IMP-20260516-FULLDRAFT</x:v>
      </x:c>
      <x:c r="C575" t="str">
        <x:v>KTO001</x:v>
      </x:c>
      <x:c r="D575" t="str">
        <x:v>16-05-2026_Umsatzliste_Girokonto_DE98120300001061711675.csv</x:v>
      </x:c>
      <x:c r="E575" t="n">
        <x:v>46163</x:v>
      </x:c>
      <x:c r="F575" t="n">
        <x:v>558</x:v>
      </x:c>
      <x:c r="G575" t="str">
        <x:v>5205ac1e59b5339926b1e7d5de46bb82818b51cd684ef81680a833e0646af230</x:v>
      </x:c>
      <x:c r="H575" t="str">
        <x:v>neu</x:v>
      </x:c>
      <x:c r="I575" t="str">
        <x:v>ok</x:v>
      </x:c>
      <x:c r="J575"/>
      <x:c r="K575" t="n">
        <x:v>45965</x:v>
      </x:c>
      <x:c r="L575" t="n">
        <x:v>45965</x:v>
      </x:c>
      <x:c r="M575" t="str">
        <x:v>Gebucht</x:v>
      </x:c>
      <x:c r="N575" t="str">
        <x:v>ISSUER</x:v>
      </x:c>
      <x:c r="O575" t="str">
        <x:v>SCHAEFERS.35995/SALZGITTER</x:v>
      </x:c>
      <x:c r="P575" t="str">
        <x:v>VISA Debitkartenumsatz vom 03.11.2025</x:v>
      </x:c>
      <x:c r="Q575" t="str">
        <x:v>Ausgang</x:v>
      </x:c>
      <x:c r="R575" t="str">
        <x:v>DE96120300009005290904</x:v>
      </x:c>
      <x:c r="S575" t="n">
        <x:v>-3.5</x:v>
      </x:c>
      <x:c r="T575" t="str">
        <x:v>"</x:v>
      </x:c>
      <x:c r="U575" t="str">
        <x:v>"</x:v>
      </x:c>
      <x:c r="V575" t="str">
        <x:v>485307590387980</x:v>
      </x:c>
    </x:row>
    <x:row r="576">
      <x:c r="A576" t="str">
        <x:v>RAW-IMP-20260516-FULLDRAFT-000559</x:v>
      </x:c>
      <x:c r="B576" t="str">
        <x:v>IMP-20260516-FULLDRAFT</x:v>
      </x:c>
      <x:c r="C576" t="str">
        <x:v>KTO001</x:v>
      </x:c>
      <x:c r="D576" t="str">
        <x:v>16-05-2026_Umsatzliste_Girokonto_DE98120300001061711675.csv</x:v>
      </x:c>
      <x:c r="E576" t="n">
        <x:v>46163</x:v>
      </x:c>
      <x:c r="F576" t="n">
        <x:v>559</x:v>
      </x:c>
      <x:c r="G576" t="str">
        <x:v>0def10ef0d23ad4ae68d49329a990b9d4155b8cef0e590a47da5655a176eb03e</x:v>
      </x:c>
      <x:c r="H576" t="str">
        <x:v>neu</x:v>
      </x:c>
      <x:c r="I576" t="str">
        <x:v>ok</x:v>
      </x:c>
      <x:c r="J576"/>
      <x:c r="K576" t="n">
        <x:v>45965</x:v>
      </x:c>
      <x:c r="L576" t="n">
        <x:v>45965</x:v>
      </x:c>
      <x:c r="M576" t="str">
        <x:v>Gebucht</x:v>
      </x:c>
      <x:c r="N576" t="str">
        <x:v>ISSUER</x:v>
      </x:c>
      <x:c r="O576" t="str">
        <x:v>DM.Drogerie.Markt/Salzgitter</x:v>
      </x:c>
      <x:c r="P576" t="str">
        <x:v>VISA Debitkartenumsatz vom 03.11.2025</x:v>
      </x:c>
      <x:c r="Q576" t="str">
        <x:v>Ausgang</x:v>
      </x:c>
      <x:c r="R576" t="str">
        <x:v>DE96120300009005290904</x:v>
      </x:c>
      <x:c r="S576" t="n">
        <x:v>-11.2</x:v>
      </x:c>
      <x:c r="T576" t="str">
        <x:v>"</x:v>
      </x:c>
      <x:c r="U576" t="str">
        <x:v>"</x:v>
      </x:c>
      <x:c r="V576" t="str">
        <x:v>485307594605688</x:v>
      </x:c>
    </x:row>
    <x:row r="577">
      <x:c r="A577" t="str">
        <x:v>RAW-IMP-20260516-FULLDRAFT-000560</x:v>
      </x:c>
      <x:c r="B577" t="str">
        <x:v>IMP-20260516-FULLDRAFT</x:v>
      </x:c>
      <x:c r="C577" t="str">
        <x:v>KTO001</x:v>
      </x:c>
      <x:c r="D577" t="str">
        <x:v>16-05-2026_Umsatzliste_Girokonto_DE98120300001061711675.csv</x:v>
      </x:c>
      <x:c r="E577" t="n">
        <x:v>46163</x:v>
      </x:c>
      <x:c r="F577" t="n">
        <x:v>560</x:v>
      </x:c>
      <x:c r="G577" t="str">
        <x:v>688c092d9c400c9469ef585fe1ab57b96fe07413c3cef094ed42732d13348d76</x:v>
      </x:c>
      <x:c r="H577" t="str">
        <x:v>neu</x:v>
      </x:c>
      <x:c r="I577" t="str">
        <x:v>ok</x:v>
      </x:c>
      <x:c r="J577"/>
      <x:c r="K577" t="n">
        <x:v>45965</x:v>
      </x:c>
      <x:c r="L577" t="n">
        <x:v>45965</x:v>
      </x:c>
      <x:c r="M577" t="str">
        <x:v>Gebucht</x:v>
      </x:c>
      <x:c r="N577" t="str">
        <x:v>ISSUER</x:v>
      </x:c>
      <x:c r="O577" t="str">
        <x:v>.Deutsche.Bank.AG/SZ.LEBENST</x:v>
      </x:c>
      <x:c r="P577" t="str">
        <x:v>VISA Debitkartenumsatz vom 03.11.2025</x:v>
      </x:c>
      <x:c r="Q577" t="str">
        <x:v>Ausgang</x:v>
      </x:c>
      <x:c r="R577" t="str">
        <x:v>DE96120300009005290904</x:v>
      </x:c>
      <x:c r="S577" t="n">
        <x:v>-500</x:v>
      </x:c>
      <x:c r="T577" t="str">
        <x:v>"</x:v>
      </x:c>
      <x:c r="U577" t="str">
        <x:v>"</x:v>
      </x:c>
      <x:c r="V577" t="str">
        <x:v>485307581777424</x:v>
      </x:c>
    </x:row>
    <x:row r="578">
      <x:c r="A578" t="str">
        <x:v>RAW-IMP-20260516-FULLDRAFT-000561</x:v>
      </x:c>
      <x:c r="B578" t="str">
        <x:v>IMP-20260516-FULLDRAFT</x:v>
      </x:c>
      <x:c r="C578" t="str">
        <x:v>KTO001</x:v>
      </x:c>
      <x:c r="D578" t="str">
        <x:v>16-05-2026_Umsatzliste_Girokonto_DE98120300001061711675.csv</x:v>
      </x:c>
      <x:c r="E578" t="n">
        <x:v>46163</x:v>
      </x:c>
      <x:c r="F578" t="n">
        <x:v>561</x:v>
      </x:c>
      <x:c r="G578" t="str">
        <x:v>c1364883204c5f077391f77cca17501578630995c7eae5fc4a6c6d0b48335534</x:v>
      </x:c>
      <x:c r="H578" t="str">
        <x:v>neu</x:v>
      </x:c>
      <x:c r="I578" t="str">
        <x:v>ok</x:v>
      </x:c>
      <x:c r="J578"/>
      <x:c r="K578" t="n">
        <x:v>45965</x:v>
      </x:c>
      <x:c r="L578" t="n">
        <x:v>45965</x:v>
      </x:c>
      <x:c r="M578" t="str">
        <x:v>Gebucht</x:v>
      </x:c>
      <x:c r="N578" t="str">
        <x:v>Lars Kohlenberg                                                       Johannes-Wosnitza-Str. 8</x:v>
      </x:c>
      <x:c r="O578" t="str">
        <x:v>FUNKE Medien Nieders.GmbH</x:v>
      </x:c>
      <x:c r="P578" t="str">
        <x:v>SZ/00001050/VA/01.11.25-30.11.25/Rg-Nr.:6316728408/Kd-Nr:0053112791</x:v>
      </x:c>
      <x:c r="Q578" t="str">
        <x:v>Ausgang</x:v>
      </x:c>
      <x:c r="R578" t="str">
        <x:v>DE67250500000000146910</x:v>
      </x:c>
      <x:c r="S578" t="n">
        <x:v>-60.5</x:v>
      </x:c>
      <x:c r="T578" t="str">
        <x:v>DE8850000000483288</x:v>
      </x:c>
      <x:c r="U578" t="str">
        <x:v>0053112791-0500-01300001</x:v>
      </x:c>
      <x:c r="V578" t="str">
        <x:v>035007815995</x:v>
      </x:c>
    </x:row>
    <x:row r="579">
      <x:c r="A579" t="str">
        <x:v>RAW-IMP-20260516-FULLDRAFT-000562</x:v>
      </x:c>
      <x:c r="B579" t="str">
        <x:v>IMP-20260516-FULLDRAFT</x:v>
      </x:c>
      <x:c r="C579" t="str">
        <x:v>KTO001</x:v>
      </x:c>
      <x:c r="D579" t="str">
        <x:v>16-05-2026_Umsatzliste_Girokonto_DE98120300001061711675.csv</x:v>
      </x:c>
      <x:c r="E579" t="n">
        <x:v>46163</x:v>
      </x:c>
      <x:c r="F579" t="n">
        <x:v>562</x:v>
      </x:c>
      <x:c r="G579" t="str">
        <x:v>0ac26143108d6c3073ae52f49f5a9cfb6de80ac0817d9c18eb5689d64b332e3d</x:v>
      </x:c>
      <x:c r="H579" t="str">
        <x:v>neu</x:v>
      </x:c>
      <x:c r="I579" t="str">
        <x:v>ok</x:v>
      </x:c>
      <x:c r="J579"/>
      <x:c r="K579" t="n">
        <x:v>45965</x:v>
      </x:c>
      <x:c r="L579" t="n">
        <x:v>45965</x:v>
      </x:c>
      <x:c r="M579" t="str">
        <x:v>Gebucht</x:v>
      </x:c>
      <x:c r="N579" t="str">
        <x:v>Lars Kohlenberg</x:v>
      </x:c>
      <x:c r="O579" t="str">
        <x:v>VHV Allg. Versicherung AG</x:v>
      </x:c>
      <x:c r="P579" t="str">
        <x:v>VHV Versicherung UNFALLVERSICHERUNG U 013-072445/0000 Abrechnung: 01.11.25 - 01.12.25</x:v>
      </x:c>
      <x:c r="Q579" t="str">
        <x:v>Ausgang</x:v>
      </x:c>
      <x:c r="R579" t="str">
        <x:v>DE65250500000101411551</x:v>
      </x:c>
      <x:c r="S579" t="n">
        <x:v>-11.96</x:v>
      </x:c>
      <x:c r="T579" t="str">
        <x:v>DE32VHV00000150810</x:v>
      </x:c>
      <x:c r="U579" t="str">
        <x:v>0015012300010039</x:v>
      </x:c>
      <x:c r="V579" t="str">
        <x:v>31143838662</x:v>
      </x:c>
    </x:row>
    <x:row r="580">
      <x:c r="A580" t="str">
        <x:v>RAW-IMP-20260516-FULLDRAFT-000563</x:v>
      </x:c>
      <x:c r="B580" t="str">
        <x:v>IMP-20260516-FULLDRAFT</x:v>
      </x:c>
      <x:c r="C580" t="str">
        <x:v>KTO001</x:v>
      </x:c>
      <x:c r="D580" t="str">
        <x:v>16-05-2026_Umsatzliste_Girokonto_DE98120300001061711675.csv</x:v>
      </x:c>
      <x:c r="E580" t="n">
        <x:v>46163</x:v>
      </x:c>
      <x:c r="F580" t="n">
        <x:v>563</x:v>
      </x:c>
      <x:c r="G580" t="str">
        <x:v>6e0bafbea99ffc285d7b9cdb9c885b4b38434a28e167688d3fe727a57c0756fe</x:v>
      </x:c>
      <x:c r="H580" t="str">
        <x:v>neu</x:v>
      </x:c>
      <x:c r="I580" t="str">
        <x:v>ok</x:v>
      </x:c>
      <x:c r="J580"/>
      <x:c r="K580" t="n">
        <x:v>45965</x:v>
      </x:c>
      <x:c r="L580" t="n">
        <x:v>45965</x:v>
      </x:c>
      <x:c r="M580" t="str">
        <x:v>Gebucht</x:v>
      </x:c>
      <x:c r="N580" t="str">
        <x:v>KOHLENBERG, LARS</x:v>
      </x:c>
      <x:c r="O580" t="str">
        <x:v>VPV-LEBENSVERSICHERUNGS-AG</x:v>
      </x:c>
      <x:c r="P580" t="str">
        <x:v>VNR 301667726</x:v>
      </x:c>
      <x:c r="Q580" t="str">
        <x:v>Ausgang</x:v>
      </x:c>
      <x:c r="R580" t="str">
        <x:v>DE78600501010001166338</x:v>
      </x:c>
      <x:c r="S580" t="n">
        <x:v>-56.83</x:v>
      </x:c>
      <x:c r="T580" t="str">
        <x:v>DE96LAG00000064686</x:v>
      </x:c>
      <x:c r="U580" t="str">
        <x:v>ML700120510</x:v>
      </x:c>
      <x:c r="V580" t="str">
        <x:v>251103 465321899 ML700120510</x:v>
      </x:c>
    </x:row>
    <x:row r="581">
      <x:c r="A581" t="str">
        <x:v>RAW-IMP-20260516-FULLDRAFT-000564</x:v>
      </x:c>
      <x:c r="B581" t="str">
        <x:v>IMP-20260516-FULLDRAFT</x:v>
      </x:c>
      <x:c r="C581" t="str">
        <x:v>KTO001</x:v>
      </x:c>
      <x:c r="D581" t="str">
        <x:v>16-05-2026_Umsatzliste_Girokonto_DE98120300001061711675.csv</x:v>
      </x:c>
      <x:c r="E581" t="n">
        <x:v>46163</x:v>
      </x:c>
      <x:c r="F581" t="n">
        <x:v>564</x:v>
      </x:c>
      <x:c r="G581" t="str">
        <x:v>daf63c3b2fd4682c7b24c28c5286a15dbf8d5e9c5722ae58643bffdf4c64a1c0</x:v>
      </x:c>
      <x:c r="H581" t="str">
        <x:v>neu</x:v>
      </x:c>
      <x:c r="I581" t="str">
        <x:v>ok</x:v>
      </x:c>
      <x:c r="J581"/>
      <x:c r="K581" t="n">
        <x:v>45964</x:v>
      </x:c>
      <x:c r="L581" t="n">
        <x:v>45964</x:v>
      </x:c>
      <x:c r="M581" t="str">
        <x:v>Gebucht</x:v>
      </x:c>
      <x:c r="N581" t="str">
        <x:v>WILLI KOHLENBERG</x:v>
      </x:c>
      <x:c r="O581" t="str">
        <x:v>LARS KOHLENBERG</x:v>
      </x:c>
      <x:c r="P581" t="str">
        <x:v>MIETE 2/3 HAUS</x:v>
      </x:c>
      <x:c r="Q581" t="str">
        <x:v>Eingang</x:v>
      </x:c>
      <x:c r="R581" t="str">
        <x:v>DE84270800600651520400</x:v>
      </x:c>
      <x:c r="S581" t="n">
        <x:v>750</x:v>
      </x:c>
      <x:c r="T581" t="str">
        <x:v>"</x:v>
      </x:c>
      <x:c r="U581" t="str">
        <x:v>"</x:v>
      </x:c>
      <x:c r="V581" t="str">
        <x:v>"</x:v>
      </x:c>
    </x:row>
    <x:row r="582">
      <x:c r="A582" t="str">
        <x:v>RAW-IMP-20260516-FULLDRAFT-000565</x:v>
      </x:c>
      <x:c r="B582" t="str">
        <x:v>IMP-20260516-FULLDRAFT</x:v>
      </x:c>
      <x:c r="C582" t="str">
        <x:v>KTO001</x:v>
      </x:c>
      <x:c r="D582" t="str">
        <x:v>16-05-2026_Umsatzliste_Girokonto_DE98120300001061711675.csv</x:v>
      </x:c>
      <x:c r="E582" t="n">
        <x:v>46163</x:v>
      </x:c>
      <x:c r="F582" t="n">
        <x:v>565</x:v>
      </x:c>
      <x:c r="G582" t="str">
        <x:v>c26270935008fb047374ad8ca24b854a48cad681a0563df194a5a26f580e6d8a</x:v>
      </x:c>
      <x:c r="H582" t="str">
        <x:v>neu</x:v>
      </x:c>
      <x:c r="I582" t="str">
        <x:v>ok</x:v>
      </x:c>
      <x:c r="J582"/>
      <x:c r="K582" t="n">
        <x:v>45964</x:v>
      </x:c>
      <x:c r="L582" t="n">
        <x:v>45964</x:v>
      </x:c>
      <x:c r="M582" t="str">
        <x:v>Gebucht</x:v>
      </x:c>
      <x:c r="N582" t="str">
        <x:v>ISSUER</x:v>
      </x:c>
      <x:c r="O582" t="str">
        <x:v>HERTZ.NORGE/LYSAKER</x:v>
      </x:c>
      <x:c r="P582" t="str">
        <x:v>VISA Debitkartenumsatz vom 31.10.2025 in Fremdwährung / Ursprungsbetrag in Fremdwährung 52,50 NOK / Umrechnungsrate: 1 Euro=11,66478670 NOK</x:v>
      </x:c>
      <x:c r="Q582" t="str">
        <x:v>Ausgang</x:v>
      </x:c>
      <x:c r="R582" t="str">
        <x:v>DE96120300009005290904</x:v>
      </x:c>
      <x:c r="S582" t="n">
        <x:v>-4.5</x:v>
      </x:c>
      <x:c r="T582" t="str">
        <x:v>"</x:v>
      </x:c>
      <x:c r="U582" t="str">
        <x:v>"</x:v>
      </x:c>
      <x:c r="V582" t="str">
        <x:v>485303653829037</x:v>
      </x:c>
    </x:row>
    <x:row r="583">
      <x:c r="A583" t="str">
        <x:v>RAW-IMP-20260516-FULLDRAFT-000566</x:v>
      </x:c>
      <x:c r="B583" t="str">
        <x:v>IMP-20260516-FULLDRAFT</x:v>
      </x:c>
      <x:c r="C583" t="str">
        <x:v>KTO001</x:v>
      </x:c>
      <x:c r="D583" t="str">
        <x:v>16-05-2026_Umsatzliste_Girokonto_DE98120300001061711675.csv</x:v>
      </x:c>
      <x:c r="E583" t="n">
        <x:v>46163</x:v>
      </x:c>
      <x:c r="F583" t="n">
        <x:v>566</x:v>
      </x:c>
      <x:c r="G583" t="str">
        <x:v>4d3077107ab8228667d3844e233abb81cadb55bee4ed601d7cd3bba909bfe7c7</x:v>
      </x:c>
      <x:c r="H583" t="str">
        <x:v>neu</x:v>
      </x:c>
      <x:c r="I583" t="str">
        <x:v>ok</x:v>
      </x:c>
      <x:c r="J583"/>
      <x:c r="K583" t="n">
        <x:v>45964</x:v>
      </x:c>
      <x:c r="L583" t="n">
        <x:v>45964</x:v>
      </x:c>
      <x:c r="M583" t="str">
        <x:v>Gebucht</x:v>
      </x:c>
      <x:c r="N583" t="str">
        <x:v>ISSUER</x:v>
      </x:c>
      <x:c r="O583" t="str">
        <x:v>REWE.Salzgitter.Ge/Salzgitter</x:v>
      </x:c>
      <x:c r="P583" t="str">
        <x:v>VISA Debitkartenumsatz vom 01.11.2025</x:v>
      </x:c>
      <x:c r="Q583" t="str">
        <x:v>Ausgang</x:v>
      </x:c>
      <x:c r="R583" t="str">
        <x:v>DE96120300009005290904</x:v>
      </x:c>
      <x:c r="S583" t="n">
        <x:v>-16.2</x:v>
      </x:c>
      <x:c r="T583" t="str">
        <x:v>"</x:v>
      </x:c>
      <x:c r="U583" t="str">
        <x:v>"</x:v>
      </x:c>
      <x:c r="V583" t="str">
        <x:v>485305433819291</x:v>
      </x:c>
    </x:row>
    <x:row r="584">
      <x:c r="A584" t="str">
        <x:v>RAW-IMP-20260516-FULLDRAFT-000567</x:v>
      </x:c>
      <x:c r="B584" t="str">
        <x:v>IMP-20260516-FULLDRAFT</x:v>
      </x:c>
      <x:c r="C584" t="str">
        <x:v>KTO001</x:v>
      </x:c>
      <x:c r="D584" t="str">
        <x:v>16-05-2026_Umsatzliste_Girokonto_DE98120300001061711675.csv</x:v>
      </x:c>
      <x:c r="E584" t="n">
        <x:v>46163</x:v>
      </x:c>
      <x:c r="F584" t="n">
        <x:v>567</x:v>
      </x:c>
      <x:c r="G584" t="str">
        <x:v>4105fcb50bd319cdf751e9fbed0c2b7e0f488b8f2827fc2cd6b43b699880236e</x:v>
      </x:c>
      <x:c r="H584" t="str">
        <x:v>neu</x:v>
      </x:c>
      <x:c r="I584" t="str">
        <x:v>ok</x:v>
      </x:c>
      <x:c r="J584"/>
      <x:c r="K584" t="n">
        <x:v>45964</x:v>
      </x:c>
      <x:c r="L584" t="n">
        <x:v>45964</x:v>
      </x:c>
      <x:c r="M584" t="str">
        <x:v>Gebucht</x:v>
      </x:c>
      <x:c r="N584" t="str">
        <x:v>ISSUER</x:v>
      </x:c>
      <x:c r="O584" t="str">
        <x:v>E.CENTER.3375/SALZGITTER</x:v>
      </x:c>
      <x:c r="P584" t="str">
        <x:v>VISA Debitkartenumsatz vom 01.11.2025</x:v>
      </x:c>
      <x:c r="Q584" t="str">
        <x:v>Ausgang</x:v>
      </x:c>
      <x:c r="R584" t="str">
        <x:v>DE96120300009005290904</x:v>
      </x:c>
      <x:c r="S584" t="n">
        <x:v>-15.66</x:v>
      </x:c>
      <x:c r="T584" t="str">
        <x:v>"</x:v>
      </x:c>
      <x:c r="U584" t="str">
        <x:v>"</x:v>
      </x:c>
      <x:c r="V584" t="str">
        <x:v>485305408340798</x:v>
      </x:c>
    </x:row>
    <x:row r="585">
      <x:c r="A585" t="str">
        <x:v>RAW-IMP-20260516-FULLDRAFT-000568</x:v>
      </x:c>
      <x:c r="B585" t="str">
        <x:v>IMP-20260516-FULLDRAFT</x:v>
      </x:c>
      <x:c r="C585" t="str">
        <x:v>KTO001</x:v>
      </x:c>
      <x:c r="D585" t="str">
        <x:v>16-05-2026_Umsatzliste_Girokonto_DE98120300001061711675.csv</x:v>
      </x:c>
      <x:c r="E585" t="n">
        <x:v>46163</x:v>
      </x:c>
      <x:c r="F585" t="n">
        <x:v>568</x:v>
      </x:c>
      <x:c r="G585" t="str">
        <x:v>0271fead1acbf0c84014f9bc477bec4dbb2e88721df316f2f796bec146720008</x:v>
      </x:c>
      <x:c r="H585" t="str">
        <x:v>neu</x:v>
      </x:c>
      <x:c r="I585" t="str">
        <x:v>ok</x:v>
      </x:c>
      <x:c r="J585"/>
      <x:c r="K585" t="n">
        <x:v>45964</x:v>
      </x:c>
      <x:c r="L585" t="n">
        <x:v>45964</x:v>
      </x:c>
      <x:c r="M585" t="str">
        <x:v>Gebucht</x:v>
      </x:c>
      <x:c r="N585" t="str">
        <x:v>ISSUER</x:v>
      </x:c>
      <x:c r="O585" t="str">
        <x:v>Lidl.sagt.Danke/Salzgitter</x:v>
      </x:c>
      <x:c r="P585" t="str">
        <x:v>VISA Debitkartenumsatz vom 01.11.2025</x:v>
      </x:c>
      <x:c r="Q585" t="str">
        <x:v>Ausgang</x:v>
      </x:c>
      <x:c r="R585" t="str">
        <x:v>DE96120300009005290904</x:v>
      </x:c>
      <x:c r="S585" t="n">
        <x:v>-51.23</x:v>
      </x:c>
      <x:c r="T585" t="str">
        <x:v>"</x:v>
      </x:c>
      <x:c r="U585" t="str">
        <x:v>"</x:v>
      </x:c>
      <x:c r="V585" t="str">
        <x:v>485305419936064</x:v>
      </x:c>
    </x:row>
    <x:row r="586">
      <x:c r="A586" t="str">
        <x:v>RAW-IMP-20260516-FULLDRAFT-000569</x:v>
      </x:c>
      <x:c r="B586" t="str">
        <x:v>IMP-20260516-FULLDRAFT</x:v>
      </x:c>
      <x:c r="C586" t="str">
        <x:v>KTO001</x:v>
      </x:c>
      <x:c r="D586" t="str">
        <x:v>16-05-2026_Umsatzliste_Girokonto_DE98120300001061711675.csv</x:v>
      </x:c>
      <x:c r="E586" t="n">
        <x:v>46163</x:v>
      </x:c>
      <x:c r="F586" t="n">
        <x:v>569</x:v>
      </x:c>
      <x:c r="G586" t="str">
        <x:v>65990107521349d4bda1eac90b59fa4163dfd96da5a083957f683d35f937e7e7</x:v>
      </x:c>
      <x:c r="H586" t="str">
        <x:v>neu</x:v>
      </x:c>
      <x:c r="I586" t="str">
        <x:v>ok</x:v>
      </x:c>
      <x:c r="J586"/>
      <x:c r="K586" t="n">
        <x:v>45964</x:v>
      </x:c>
      <x:c r="L586" t="n">
        <x:v>45964</x:v>
      </x:c>
      <x:c r="M586" t="str">
        <x:v>Gebucht</x:v>
      </x:c>
      <x:c r="N586" t="str">
        <x:v>HERTZ.NORGE/LYSAKER</x:v>
      </x:c>
      <x:c r="O586" t="str">
        <x:v>NOTPROVIDED</x:v>
      </x:c>
      <x:c r="P586" t="str">
        <x:v>20251101001746 HERTZ.NORGE NO Original 406.66 NOK Kurs 11.6856326</x:v>
      </x:c>
      <x:c r="Q586" t="str">
        <x:v>Eingang</x:v>
      </x:c>
      <x:c r="R586" t="str">
        <x:v>DE96120300009005290904</x:v>
      </x:c>
      <x:c r="S586" t="n">
        <x:v>34.8</x:v>
      </x:c>
      <x:c r="T586" t="str">
        <x:v>"</x:v>
      </x:c>
      <x:c r="U586" t="str">
        <x:v>"</x:v>
      </x:c>
      <x:c r="V586" t="str">
        <x:v>485304240076689</x:v>
      </x:c>
    </x:row>
    <x:row r="587">
      <x:c r="A587" t="str">
        <x:v>RAW-IMP-20260516-FULLDRAFT-000570</x:v>
      </x:c>
      <x:c r="B587" t="str">
        <x:v>IMP-20260516-FULLDRAFT</x:v>
      </x:c>
      <x:c r="C587" t="str">
        <x:v>KTO001</x:v>
      </x:c>
      <x:c r="D587" t="str">
        <x:v>16-05-2026_Umsatzliste_Girokonto_DE98120300001061711675.csv</x:v>
      </x:c>
      <x:c r="E587" t="n">
        <x:v>46163</x:v>
      </x:c>
      <x:c r="F587" t="n">
        <x:v>570</x:v>
      </x:c>
      <x:c r="G587" t="str">
        <x:v>da7331d44e91c6628d1a018ebb9130c8c707e9b386542bbb24b86a1699e5dd73</x:v>
      </x:c>
      <x:c r="H587" t="str">
        <x:v>neu</x:v>
      </x:c>
      <x:c r="I587" t="str">
        <x:v>ok</x:v>
      </x:c>
      <x:c r="J587"/>
      <x:c r="K587" t="n">
        <x:v>45964</x:v>
      </x:c>
      <x:c r="L587" t="n">
        <x:v>45964</x:v>
      </x:c>
      <x:c r="M587" t="str">
        <x:v>Gebucht</x:v>
      </x:c>
      <x:c r="N587" t="str">
        <x:v>KOHLENBERG LARS</x:v>
      </x:c>
      <x:c r="O587" t="str">
        <x:v>VOLKSWOHL BUND Lebensversicherung a.G.</x:v>
      </x:c>
      <x:c r="P587" t="str">
        <x:v>009893595 LA000750566/ 009893595 LEBEN 73,09</x:v>
      </x:c>
      <x:c r="Q587" t="str">
        <x:v>Ausgang</x:v>
      </x:c>
      <x:c r="R587" t="str">
        <x:v>DE76440400370361155500</x:v>
      </x:c>
      <x:c r="S587" t="n">
        <x:v>-73.09</x:v>
      </x:c>
      <x:c r="T587" t="str">
        <x:v>DE13ZZZ00000141064</x:v>
      </x:c>
      <x:c r="U587" t="str">
        <x:v>LA000750566</x:v>
      </x:c>
      <x:c r="V587" t="str">
        <x:v>009893595/NVMA.G1149-312504</x:v>
      </x:c>
    </x:row>
    <x:row r="588">
      <x:c r="A588" t="str">
        <x:v>RAW-IMP-20260516-FULLDRAFT-000571</x:v>
      </x:c>
      <x:c r="B588" t="str">
        <x:v>IMP-20260516-FULLDRAFT</x:v>
      </x:c>
      <x:c r="C588" t="str">
        <x:v>KTO001</x:v>
      </x:c>
      <x:c r="D588" t="str">
        <x:v>16-05-2026_Umsatzliste_Girokonto_DE98120300001061711675.csv</x:v>
      </x:c>
      <x:c r="E588" t="n">
        <x:v>46163</x:v>
      </x:c>
      <x:c r="F588" t="n">
        <x:v>571</x:v>
      </x:c>
      <x:c r="G588" t="str">
        <x:v>ae5b7385cde50b9b08edfa165401fec37f334cf2d940c99c7d1b36ece021601e</x:v>
      </x:c>
      <x:c r="H588" t="str">
        <x:v>neu</x:v>
      </x:c>
      <x:c r="I588" t="str">
        <x:v>ok</x:v>
      </x:c>
      <x:c r="J588"/>
      <x:c r="K588" t="n">
        <x:v>45964</x:v>
      </x:c>
      <x:c r="L588" t="n">
        <x:v>45964</x:v>
      </x:c>
      <x:c r="M588" t="str">
        <x:v>Gebucht</x:v>
      </x:c>
      <x:c r="N588" t="str">
        <x:v>Lars Kohlenberg</x:v>
      </x:c>
      <x:c r="O588" t="str">
        <x:v>FÖRDERVEREIN GYMNASIUM SALZGITTER-BAD E.V.</x:v>
      </x:c>
      <x:c r="P588" t="str">
        <x:v>Kohlenberg, Lea Sophie             Foerderbaustein 2025</x:v>
      </x:c>
      <x:c r="Q588" t="str">
        <x:v>Ausgang</x:v>
      </x:c>
      <x:c r="R588" t="str">
        <x:v>DE11259501300073001141</x:v>
      </x:c>
      <x:c r="S588" t="n">
        <x:v>-15</x:v>
      </x:c>
      <x:c r="T588" t="str">
        <x:v>DE57ZZZ00001133261</x:v>
      </x:c>
      <x:c r="U588" t="str">
        <x:v>MD001062</x:v>
      </x:c>
      <x:c r="V588" t="str">
        <x:v>MitglNr-0000001062</x:v>
      </x:c>
    </x:row>
    <x:row r="589">
      <x:c r="A589" t="str">
        <x:v>RAW-IMP-20260516-FULLDRAFT-000572</x:v>
      </x:c>
      <x:c r="B589" t="str">
        <x:v>IMP-20260516-FULLDRAFT</x:v>
      </x:c>
      <x:c r="C589" t="str">
        <x:v>KTO001</x:v>
      </x:c>
      <x:c r="D589" t="str">
        <x:v>16-05-2026_Umsatzliste_Girokonto_DE98120300001061711675.csv</x:v>
      </x:c>
      <x:c r="E589" t="n">
        <x:v>46163</x:v>
      </x:c>
      <x:c r="F589" t="n">
        <x:v>572</x:v>
      </x:c>
      <x:c r="G589" t="str">
        <x:v>8fe2a97dcc66e4fb0ccac31d95c5c051b927f3c2e3c14cf8a6e1351cc5e79330</x:v>
      </x:c>
      <x:c r="H589" t="str">
        <x:v>neu</x:v>
      </x:c>
      <x:c r="I589" t="str">
        <x:v>ok</x:v>
      </x:c>
      <x:c r="J589"/>
      <x:c r="K589" t="n">
        <x:v>45964</x:v>
      </x:c>
      <x:c r="L589" t="n">
        <x:v>45964</x:v>
      </x:c>
      <x:c r="M589" t="str">
        <x:v>Gebucht</x:v>
      </x:c>
      <x:c r="N589" t="str">
        <x:v>Kohlenberg, Lars</x:v>
      </x:c>
      <x:c r="O589" t="str">
        <x:v>IDEAL Lebensversicherung aG</x:v>
      </x:c>
      <x:c r="P589" t="str">
        <x:v>2011216280009 LV 111</x:v>
      </x:c>
      <x:c r="Q589" t="str">
        <x:v>Ausgang</x:v>
      </x:c>
      <x:c r="R589" t="str">
        <x:v>DE36100700000460303100</x:v>
      </x:c>
      <x:c r="S589" t="n">
        <x:v>-97.12</x:v>
      </x:c>
      <x:c r="T589" t="str">
        <x:v>DE40ZZZ00000559230</x:v>
      </x:c>
      <x:c r="U589" t="str">
        <x:v>2011216280009-001</x:v>
      </x:c>
      <x:c r="V589" t="str">
        <x:v>GL,KL,PD-20251101-1-2011216280009-0</x:v>
      </x:c>
    </x:row>
    <x:row r="590">
      <x:c r="A590" t="str">
        <x:v>RAW-IMP-20260516-FULLDRAFT-000573</x:v>
      </x:c>
      <x:c r="B590" t="str">
        <x:v>IMP-20260516-FULLDRAFT</x:v>
      </x:c>
      <x:c r="C590" t="str">
        <x:v>KTO001</x:v>
      </x:c>
      <x:c r="D590" t="str">
        <x:v>16-05-2026_Umsatzliste_Girokonto_DE98120300001061711675.csv</x:v>
      </x:c>
      <x:c r="E590" t="n">
        <x:v>46163</x:v>
      </x:c>
      <x:c r="F590" t="n">
        <x:v>573</x:v>
      </x:c>
      <x:c r="G590" t="str">
        <x:v>a7e86e79b2d3d7201a7c29e84d636d04a9c9ea0d1d68576fe0ea1af77c20faf5</x:v>
      </x:c>
      <x:c r="H590" t="str">
        <x:v>neu</x:v>
      </x:c>
      <x:c r="I590" t="str">
        <x:v>ok</x:v>
      </x:c>
      <x:c r="J590"/>
      <x:c r="K590" t="n">
        <x:v>45964</x:v>
      </x:c>
      <x:c r="L590" t="n">
        <x:v>45964</x:v>
      </x:c>
      <x:c r="M590" t="str">
        <x:v>Gebucht</x:v>
      </x:c>
      <x:c r="N590" t="str">
        <x:v>Kohlenberg                                                            Johannes-Wosnitza-Str. 8</x:v>
      </x:c>
      <x:c r="O590" t="str">
        <x:v>Helvetia Schweizerische Versicherungsgesellschaft AG</x:v>
      </x:c>
      <x:c r="P590" t="str">
        <x:v>Gewerbe 040.020.0437607.0 Zeitraum 01.11.2025-01.11.2026</x:v>
      </x:c>
      <x:c r="Q590" t="str">
        <x:v>Ausgang</x:v>
      </x:c>
      <x:c r="R590" t="str">
        <x:v>DE18500500000025192030</x:v>
      </x:c>
      <x:c r="S590" t="n">
        <x:v>-98.9</x:v>
      </x:c>
      <x:c r="T590" t="str">
        <x:v>DE28HV100000088608</x:v>
      </x:c>
      <x:c r="U590" t="str">
        <x:v>00003826590</x:v>
      </x:c>
      <x:c r="V590" t="str">
        <x:v>HV0400437607020251103000 020</x:v>
      </x:c>
    </x:row>
    <x:row r="591">
      <x:c r="A591" t="str">
        <x:v>RAW-IMP-20260516-FULLDRAFT-000574</x:v>
      </x:c>
      <x:c r="B591" t="str">
        <x:v>IMP-20260516-FULLDRAFT</x:v>
      </x:c>
      <x:c r="C591" t="str">
        <x:v>KTO001</x:v>
      </x:c>
      <x:c r="D591" t="str">
        <x:v>16-05-2026_Umsatzliste_Girokonto_DE98120300001061711675.csv</x:v>
      </x:c>
      <x:c r="E591" t="n">
        <x:v>46163</x:v>
      </x:c>
      <x:c r="F591" t="n">
        <x:v>574</x:v>
      </x:c>
      <x:c r="G591" t="str">
        <x:v>61c4dcc36e345956683e854c6145e147a7a1c72b65caa0d43a7cbb5dc20e828d</x:v>
      </x:c>
      <x:c r="H591" t="str">
        <x:v>neu</x:v>
      </x:c>
      <x:c r="I591" t="str">
        <x:v>ok</x:v>
      </x:c>
      <x:c r="J591"/>
      <x:c r="K591" t="n">
        <x:v>45964</x:v>
      </x:c>
      <x:c r="L591" t="n">
        <x:v>45964</x:v>
      </x:c>
      <x:c r="M591" t="str">
        <x:v>Gebucht</x:v>
      </x:c>
      <x:c r="N591" t="str">
        <x:v>Kohlenberg Lars</x:v>
      </x:c>
      <x:c r="O591" t="str">
        <x:v>Allianz Lebensvers. AG</x:v>
      </x:c>
      <x:c r="P591" t="str">
        <x:v>Vertrag AL-1356867060 bisheriger Vertrag 33 029 619 6 01.11.25 - 30.11.25 RiesRent InvAlphaBal</x:v>
      </x:c>
      <x:c r="Q591" t="str">
        <x:v>Ausgang</x:v>
      </x:c>
      <x:c r="R591" t="str">
        <x:v>DE52700202700015152448</x:v>
      </x:c>
      <x:c r="S591" t="n">
        <x:v>-162.17</x:v>
      </x:c>
      <x:c r="T591" t="str">
        <x:v>DE07ZZZ00000063475</x:v>
      </x:c>
      <x:c r="U591" t="str">
        <x:v>LA01L312001066775296</x:v>
      </x:c>
      <x:c r="V591" t="str">
        <x:v>AB225302-E01459090</x:v>
      </x:c>
    </x:row>
    <x:row r="592">
      <x:c r="A592" t="str">
        <x:v>RAW-IMP-20260516-FULLDRAFT-000575</x:v>
      </x:c>
      <x:c r="B592" t="str">
        <x:v>IMP-20260516-FULLDRAFT</x:v>
      </x:c>
      <x:c r="C592" t="str">
        <x:v>KTO001</x:v>
      </x:c>
      <x:c r="D592" t="str">
        <x:v>16-05-2026_Umsatzliste_Girokonto_DE98120300001061711675.csv</x:v>
      </x:c>
      <x:c r="E592" t="n">
        <x:v>46163</x:v>
      </x:c>
      <x:c r="F592" t="n">
        <x:v>575</x:v>
      </x:c>
      <x:c r="G592" t="str">
        <x:v>df597978e52b458a3232b1c07235fc6c5e52050fb3e98f66501765d29723ad29</x:v>
      </x:c>
      <x:c r="H592" t="str">
        <x:v>neu</x:v>
      </x:c>
      <x:c r="I592" t="str">
        <x:v>ok</x:v>
      </x:c>
      <x:c r="J592"/>
      <x:c r="K592" t="n">
        <x:v>45964</x:v>
      </x:c>
      <x:c r="L592" t="n">
        <x:v>45964</x:v>
      </x:c>
      <x:c r="M592" t="str">
        <x:v>Gebucht</x:v>
      </x:c>
      <x:c r="N592" t="str">
        <x:v>KOHLENBERG, LARS</x:v>
      </x:c>
      <x:c r="O592" t="str">
        <x:v>Lars und Katrin Kohlenberg</x:v>
      </x:c>
      <x:c r="P592" t="str">
        <x:v>12405355 VERMOEGENSDEPOT SAMMELBUCHUNG SPARPLAN WKN A1C9ED, 847809</x:v>
      </x:c>
      <x:c r="Q592" t="str">
        <x:v>Ausgang</x:v>
      </x:c>
      <x:c r="R592" t="str">
        <x:v>DE27672300000506966162</x:v>
      </x:c>
      <x:c r="S592" t="n">
        <x:v>-600</x:v>
      </x:c>
      <x:c r="T592" t="str">
        <x:v>DE53ZZZ00000010849</x:v>
      </x:c>
      <x:c r="U592" t="str">
        <x:v>WPBF0000180845</x:v>
      </x:c>
      <x:c r="V592" t="str">
        <x:v>SPARSP 19045595</x:v>
      </x:c>
    </x:row>
    <x:row r="593">
      <x:c r="A593" t="str">
        <x:v>RAW-IMP-20260516-FULLDRAFT-000576</x:v>
      </x:c>
      <x:c r="B593" t="str">
        <x:v>IMP-20260516-FULLDRAFT</x:v>
      </x:c>
      <x:c r="C593" t="str">
        <x:v>KTO001</x:v>
      </x:c>
      <x:c r="D593" t="str">
        <x:v>16-05-2026_Umsatzliste_Girokonto_DE98120300001061711675.csv</x:v>
      </x:c>
      <x:c r="E593" t="n">
        <x:v>46163</x:v>
      </x:c>
      <x:c r="F593" t="n">
        <x:v>576</x:v>
      </x:c>
      <x:c r="G593" t="str">
        <x:v>83cd3f73fd6fc6d0688c1f2d719500db9d83249bf2744a9f52ce686ac30e2468</x:v>
      </x:c>
      <x:c r="H593" t="str">
        <x:v>neu</x:v>
      </x:c>
      <x:c r="I593" t="str">
        <x:v>ok</x:v>
      </x:c>
      <x:c r="J593"/>
      <x:c r="K593" t="n">
        <x:v>45964</x:v>
      </x:c>
      <x:c r="L593" t="n">
        <x:v>45964</x:v>
      </x:c>
      <x:c r="M593" t="str">
        <x:v>Gebucht</x:v>
      </x:c>
      <x:c r="N593" t="str">
        <x:v>Lars Kohlenberg                                                       Johannes-Wosnitza-Str. 8 38229 Salzgitter</x:v>
      </x:c>
      <x:c r="O593" t="str">
        <x:v>Heidelberger Lebensversicherung AG                                    Donrhofstrasse 36, 63263 Neu-Isenburg</x:v>
      </x:c>
      <x:c r="P593" t="str">
        <x:v>60012826 , 11.25</x:v>
      </x:c>
      <x:c r="Q593" t="str">
        <x:v>Ausgang</x:v>
      </x:c>
      <x:c r="R593" t="str">
        <x:v>DE38600501010002662604</x:v>
      </x:c>
      <x:c r="S593" t="n">
        <x:v>-452.71</x:v>
      </x:c>
      <x:c r="T593" t="str">
        <x:v>DE31HLE00000032682</x:v>
      </x:c>
      <x:c r="U593" t="str">
        <x:v>11-140000075706</x:v>
      </x:c>
      <x:c r="V593" t="str">
        <x:v>156043581052</x:v>
      </x:c>
    </x:row>
    <x:row r="594">
      <x:c r="A594" t="str">
        <x:v>RAW-IMP-20260516-FULLDRAFT-000577</x:v>
      </x:c>
      <x:c r="B594" t="str">
        <x:v>IMP-20260516-FULLDRAFT</x:v>
      </x:c>
      <x:c r="C594" t="str">
        <x:v>KTO001</x:v>
      </x:c>
      <x:c r="D594" t="str">
        <x:v>16-05-2026_Umsatzliste_Girokonto_DE98120300001061711675.csv</x:v>
      </x:c>
      <x:c r="E594" t="n">
        <x:v>46163</x:v>
      </x:c>
      <x:c r="F594" t="n">
        <x:v>577</x:v>
      </x:c>
      <x:c r="G594" t="str">
        <x:v>0921121fbe4378c1e4097eb0403589e88d06fd9224b171f113adec4bcaddd693</x:v>
      </x:c>
      <x:c r="H594" t="str">
        <x:v>neu</x:v>
      </x:c>
      <x:c r="I594" t="str">
        <x:v>ok</x:v>
      </x:c>
      <x:c r="J594"/>
      <x:c r="K594" t="n">
        <x:v>45964</x:v>
      </x:c>
      <x:c r="L594" t="n">
        <x:v>45964</x:v>
      </x:c>
      <x:c r="M594" t="str">
        <x:v>Gebucht</x:v>
      </x:c>
      <x:c r="N594" t="str">
        <x:v>Lars Kohlenberg</x:v>
      </x:c>
      <x:c r="O594" t="str">
        <x:v>LARS KOHLENBERG</x:v>
      </x:c>
      <x:c r="P594" t="str">
        <x:v>Sparrate 650,- + 750 EUR Mieteinnahmen</x:v>
      </x:c>
      <x:c r="Q594" t="str">
        <x:v>Ausgang</x:v>
      </x:c>
      <x:c r="R594" t="str">
        <x:v>DE91270200001510365800</x:v>
      </x:c>
      <x:c r="S594" t="n">
        <x:v>-1400</x:v>
      </x:c>
      <x:c r="T594" t="str">
        <x:v>"</x:v>
      </x:c>
      <x:c r="U594" t="str">
        <x:v>"</x:v>
      </x:c>
      <x:c r="V594" t="str">
        <x:v>"</x:v>
      </x:c>
    </x:row>
    <x:row r="595">
      <x:c r="A595" t="str">
        <x:v>RAW-IMP-20260516-FULLDRAFT-000578</x:v>
      </x:c>
      <x:c r="B595" t="str">
        <x:v>IMP-20260516-FULLDRAFT</x:v>
      </x:c>
      <x:c r="C595" t="str">
        <x:v>KTO001</x:v>
      </x:c>
      <x:c r="D595" t="str">
        <x:v>16-05-2026_Umsatzliste_Girokonto_DE98120300001061711675.csv</x:v>
      </x:c>
      <x:c r="E595" t="n">
        <x:v>46163</x:v>
      </x:c>
      <x:c r="F595" t="n">
        <x:v>578</x:v>
      </x:c>
      <x:c r="G595" t="str">
        <x:v>3247e21a921ddf2d5a96fb7844dfb84602774fc6712f8cae8b22b959a64bb568</x:v>
      </x:c>
      <x:c r="H595" t="str">
        <x:v>neu</x:v>
      </x:c>
      <x:c r="I595" t="str">
        <x:v>ok</x:v>
      </x:c>
      <x:c r="J595"/>
      <x:c r="K595" t="n">
        <x:v>45964</x:v>
      </x:c>
      <x:c r="L595" t="n">
        <x:v>45964</x:v>
      </x:c>
      <x:c r="M595" t="str">
        <x:v>Gebucht</x:v>
      </x:c>
      <x:c r="N595" t="str">
        <x:v>Lars Kohlenberg</x:v>
      </x:c>
      <x:c r="O595" t="str">
        <x:v>KATRIN KOHLENBERG</x:v>
      </x:c>
      <x:c r="P595" t="str">
        <x:v>Apanage</x:v>
      </x:c>
      <x:c r="Q595" t="str">
        <x:v>Ausgang</x:v>
      </x:c>
      <x:c r="R595" t="str">
        <x:v>DE32270727240307336800</x:v>
      </x:c>
      <x:c r="S595" t="n">
        <x:v>-1800</x:v>
      </x:c>
      <x:c r="T595" t="str">
        <x:v>"</x:v>
      </x:c>
      <x:c r="U595" t="str">
        <x:v>"</x:v>
      </x:c>
      <x:c r="V595" t="str">
        <x:v>"</x:v>
      </x:c>
    </x:row>
    <x:row r="596">
      <x:c r="A596" t="str">
        <x:v>RAW-IMP-20260516-FULLDRAFT-000579</x:v>
      </x:c>
      <x:c r="B596" t="str">
        <x:v>IMP-20260516-FULLDRAFT</x:v>
      </x:c>
      <x:c r="C596" t="str">
        <x:v>KTO001</x:v>
      </x:c>
      <x:c r="D596" t="str">
        <x:v>16-05-2026_Umsatzliste_Girokonto_DE98120300001061711675.csv</x:v>
      </x:c>
      <x:c r="E596" t="n">
        <x:v>46163</x:v>
      </x:c>
      <x:c r="F596" t="n">
        <x:v>579</x:v>
      </x:c>
      <x:c r="G596" t="str">
        <x:v>95c73bc3db69a91e586766ca055840a5f5b71042638a7b416f1c37b67f8e983e</x:v>
      </x:c>
      <x:c r="H596" t="str">
        <x:v>neu</x:v>
      </x:c>
      <x:c r="I596" t="str">
        <x:v>ok</x:v>
      </x:c>
      <x:c r="J596"/>
      <x:c r="K596" t="n">
        <x:v>45961</x:v>
      </x:c>
      <x:c r="L596" t="n">
        <x:v>45961</x:v>
      </x:c>
      <x:c r="M596" t="str">
        <x:v>Gebucht</x:v>
      </x:c>
      <x:c r="N596" t="str">
        <x:v>ISSUER</x:v>
      </x:c>
      <x:c r="O596" t="str">
        <x:v>REWE.Salzgitter.Ge/Salzgitter</x:v>
      </x:c>
      <x:c r="P596" t="str">
        <x:v>VISA Debitkartenumsatz vom 30.10.2025</x:v>
      </x:c>
      <x:c r="Q596" t="str">
        <x:v>Ausgang</x:v>
      </x:c>
      <x:c r="R596" t="str">
        <x:v>DE96120300009005290904</x:v>
      </x:c>
      <x:c r="S596" t="n">
        <x:v>-129.58</x:v>
      </x:c>
      <x:c r="T596" t="str">
        <x:v>"</x:v>
      </x:c>
      <x:c r="U596" t="str">
        <x:v>"</x:v>
      </x:c>
      <x:c r="V596" t="str">
        <x:v>485303673636792</x:v>
      </x:c>
    </x:row>
    <x:row r="597">
      <x:c r="A597" t="str">
        <x:v>RAW-IMP-20260516-FULLDRAFT-000580</x:v>
      </x:c>
      <x:c r="B597" t="str">
        <x:v>IMP-20260516-FULLDRAFT</x:v>
      </x:c>
      <x:c r="C597" t="str">
        <x:v>KTO001</x:v>
      </x:c>
      <x:c r="D597" t="str">
        <x:v>16-05-2026_Umsatzliste_Girokonto_DE98120300001061711675.csv</x:v>
      </x:c>
      <x:c r="E597" t="n">
        <x:v>46163</x:v>
      </x:c>
      <x:c r="F597" t="n">
        <x:v>580</x:v>
      </x:c>
      <x:c r="G597" t="str">
        <x:v>ce1481e6555572198cd1e12f1a928d1aa76b9370912b9dd7959581f8d5e1c0f6</x:v>
      </x:c>
      <x:c r="H597" t="str">
        <x:v>neu</x:v>
      </x:c>
      <x:c r="I597" t="str">
        <x:v>ok</x:v>
      </x:c>
      <x:c r="J597"/>
      <x:c r="K597" t="n">
        <x:v>45961</x:v>
      </x:c>
      <x:c r="L597" t="n">
        <x:v>45961</x:v>
      </x:c>
      <x:c r="M597" t="str">
        <x:v>Gebucht</x:v>
      </x:c>
      <x:c r="N597" t="str">
        <x:v>Kohlenberg, Katrin</x:v>
      </x:c>
      <x:c r="O597" t="str">
        <x:v>WEVG Salzgitter GmbH + Co. KG</x:v>
      </x:c>
      <x:c r="P597" t="str">
        <x:v>Kd-Nr 79288 Einz 31.10.25 41710/317.00/Johannes-Wosni 100833/76.00/Johannes-Wosni</x:v>
      </x:c>
      <x:c r="Q597" t="str">
        <x:v>Ausgang</x:v>
      </x:c>
      <x:c r="R597" t="str">
        <x:v>DE19300700100394127500</x:v>
      </x:c>
      <x:c r="S597" t="n">
        <x:v>-393</x:v>
      </x:c>
      <x:c r="T597" t="str">
        <x:v>DE83WEV00000032716</x:v>
      </x:c>
      <x:c r="U597" t="str">
        <x:v>WEVG0000079288G1000178580</x:v>
      </x:c>
      <x:c r="V597" t="str">
        <x:v>13957312</x:v>
      </x:c>
    </x:row>
    <x:row r="598">
      <x:c r="A598" t="str">
        <x:v>RAW-IMP-20260516-FULLDRAFT-000581</x:v>
      </x:c>
      <x:c r="B598" t="str">
        <x:v>IMP-20260516-FULLDRAFT</x:v>
      </x:c>
      <x:c r="C598" t="str">
        <x:v>KTO001</x:v>
      </x:c>
      <x:c r="D598" t="str">
        <x:v>16-05-2026_Umsatzliste_Girokonto_DE98120300001061711675.csv</x:v>
      </x:c>
      <x:c r="E598" t="n">
        <x:v>46163</x:v>
      </x:c>
      <x:c r="F598" t="n">
        <x:v>581</x:v>
      </x:c>
      <x:c r="G598" t="str">
        <x:v>5e851adc8aff0a4bbaeae9e118f5dd2948a3b81eabac9a508f70b29168768b64</x:v>
      </x:c>
      <x:c r="H598" t="str">
        <x:v>neu</x:v>
      </x:c>
      <x:c r="I598" t="str">
        <x:v>ok</x:v>
      </x:c>
      <x:c r="J598"/>
      <x:c r="K598" t="n">
        <x:v>45961</x:v>
      </x:c>
      <x:c r="L598" t="n">
        <x:v>45961</x:v>
      </x:c>
      <x:c r="M598" t="str">
        <x:v>Gebucht</x:v>
      </x:c>
      <x:c r="N598" t="str">
        <x:v>Kohlenberg</x:v>
      </x:c>
      <x:c r="O598" t="str">
        <x:v>TANZSCHULE KWIATKOWSKI GBR</x:v>
      </x:c>
      <x:c r="P598" t="str">
        <x:v>R-SB0000074619-A0000004560,SB2151 9-2025 - 11.2025,Jan Kohlenberg</x:v>
      </x:c>
      <x:c r="Q598" t="str">
        <x:v>Ausgang</x:v>
      </x:c>
      <x:c r="R598" t="str">
        <x:v>DE61259501300096212535</x:v>
      </x:c>
      <x:c r="S598" t="n">
        <x:v>-49</x:v>
      </x:c>
      <x:c r="T598" t="str">
        <x:v>DE79ZZZ00002474666</x:v>
      </x:c>
      <x:c r="U598" t="str">
        <x:v>TM004560-000142</x:v>
      </x:c>
      <x:c r="V598" t="str">
        <x:v>R-SB00074619</x:v>
      </x:c>
    </x:row>
    <x:row r="599">
      <x:c r="A599" t="str">
        <x:v>RAW-IMP-20260516-FULLDRAFT-000582</x:v>
      </x:c>
      <x:c r="B599" t="str">
        <x:v>IMP-20260516-FULLDRAFT</x:v>
      </x:c>
      <x:c r="C599" t="str">
        <x:v>KTO001</x:v>
      </x:c>
      <x:c r="D599" t="str">
        <x:v>16-05-2026_Umsatzliste_Girokonto_DE98120300001061711675.csv</x:v>
      </x:c>
      <x:c r="E599" t="n">
        <x:v>46163</x:v>
      </x:c>
      <x:c r="F599" t="n">
        <x:v>582</x:v>
      </x:c>
      <x:c r="G599" t="str">
        <x:v>4500194fe87c472500abaeb9583a06623e2628fb12de688fa94725c7c9c45d06</x:v>
      </x:c>
      <x:c r="H599" t="str">
        <x:v>neu</x:v>
      </x:c>
      <x:c r="I599" t="str">
        <x:v>ok</x:v>
      </x:c>
      <x:c r="J599"/>
      <x:c r="K599" t="n">
        <x:v>45960</x:v>
      </x:c>
      <x:c r="L599" t="n">
        <x:v>45960</x:v>
      </x:c>
      <x:c r="M599" t="str">
        <x:v>Gebucht</x:v>
      </x:c>
      <x:c r="N599" t="str">
        <x:v>ISSUER</x:v>
      </x:c>
      <x:c r="O599" t="str">
        <x:v>PAYPAL..maik.schieren/Visa.Direct</x:v>
      </x:c>
      <x:c r="P599" t="str">
        <x:v>VISA Debitkartenumsatz vom 30.10.2025</x:v>
      </x:c>
      <x:c r="Q599" t="str">
        <x:v>Ausgang</x:v>
      </x:c>
      <x:c r="R599" t="str">
        <x:v>DE96120300009005290904</x:v>
      </x:c>
      <x:c r="S599" t="n">
        <x:v>-10</x:v>
      </x:c>
      <x:c r="T599" t="str">
        <x:v>"</x:v>
      </x:c>
      <x:c r="U599" t="str">
        <x:v>"</x:v>
      </x:c>
      <x:c r="V599" t="str">
        <x:v>465303420092829</x:v>
      </x:c>
    </x:row>
    <x:row r="600">
      <x:c r="A600" t="str">
        <x:v>RAW-IMP-20260516-FULLDRAFT-000583</x:v>
      </x:c>
      <x:c r="B600" t="str">
        <x:v>IMP-20260516-FULLDRAFT</x:v>
      </x:c>
      <x:c r="C600" t="str">
        <x:v>KTO001</x:v>
      </x:c>
      <x:c r="D600" t="str">
        <x:v>16-05-2026_Umsatzliste_Girokonto_DE98120300001061711675.csv</x:v>
      </x:c>
      <x:c r="E600" t="n">
        <x:v>46163</x:v>
      </x:c>
      <x:c r="F600" t="n">
        <x:v>583</x:v>
      </x:c>
      <x:c r="G600" t="str">
        <x:v>939d963a501110533e0be2946eedd895c7d77023d697e678c6008e6582c86821</x:v>
      </x:c>
      <x:c r="H600" t="str">
        <x:v>neu</x:v>
      </x:c>
      <x:c r="I600" t="str">
        <x:v>ok</x:v>
      </x:c>
      <x:c r="J600"/>
      <x:c r="K600" t="n">
        <x:v>45960</x:v>
      </x:c>
      <x:c r="L600" t="n">
        <x:v>45960</x:v>
      </x:c>
      <x:c r="M600" t="str">
        <x:v>Gebucht</x:v>
      </x:c>
      <x:c r="N600" t="str">
        <x:v>ISSUER</x:v>
      </x:c>
      <x:c r="O600" t="str">
        <x:v>WITWE.BOLTE/HILDESHEIM</x:v>
      </x:c>
      <x:c r="P600" t="str">
        <x:v>VISA Debitkartenumsatz vom 29.10.2025</x:v>
      </x:c>
      <x:c r="Q600" t="str">
        <x:v>Ausgang</x:v>
      </x:c>
      <x:c r="R600" t="str">
        <x:v>DE96120300009005290904</x:v>
      </x:c>
      <x:c r="S600" t="n">
        <x:v>-6.2</x:v>
      </x:c>
      <x:c r="T600" t="str">
        <x:v>"</x:v>
      </x:c>
      <x:c r="U600" t="str">
        <x:v>"</x:v>
      </x:c>
      <x:c r="V600" t="str">
        <x:v>485302482814815</x:v>
      </x:c>
    </x:row>
    <x:row r="601">
      <x:c r="A601" t="str">
        <x:v>RAW-IMP-20260516-FULLDRAFT-000584</x:v>
      </x:c>
      <x:c r="B601" t="str">
        <x:v>IMP-20260516-FULLDRAFT</x:v>
      </x:c>
      <x:c r="C601" t="str">
        <x:v>KTO001</x:v>
      </x:c>
      <x:c r="D601" t="str">
        <x:v>16-05-2026_Umsatzliste_Girokonto_DE98120300001061711675.csv</x:v>
      </x:c>
      <x:c r="E601" t="n">
        <x:v>46163</x:v>
      </x:c>
      <x:c r="F601" t="n">
        <x:v>584</x:v>
      </x:c>
      <x:c r="G601" t="str">
        <x:v>0b2d503603808f012547ded03c85ed7b940af724c8b1050c423ce54f99a4dab3</x:v>
      </x:c>
      <x:c r="H601" t="str">
        <x:v>neu</x:v>
      </x:c>
      <x:c r="I601" t="str">
        <x:v>ok</x:v>
      </x:c>
      <x:c r="J601"/>
      <x:c r="K601" t="n">
        <x:v>45960</x:v>
      </x:c>
      <x:c r="L601" t="n">
        <x:v>45960</x:v>
      </x:c>
      <x:c r="M601" t="str">
        <x:v>Gebucht</x:v>
      </x:c>
      <x:c r="N601" t="str">
        <x:v>Lars Kohlenberg</x:v>
      </x:c>
      <x:c r="O601" t="str">
        <x:v>Lea kohlenberg</x:v>
      </x:c>
      <x:c r="P601" t="str">
        <x:v>Taschengeld</x:v>
      </x:c>
      <x:c r="Q601" t="str">
        <x:v>Ausgang</x:v>
      </x:c>
      <x:c r="R601" t="str">
        <x:v>DE89269910662833344000</x:v>
      </x:c>
      <x:c r="S601" t="n">
        <x:v>-10</x:v>
      </x:c>
      <x:c r="T601" t="str">
        <x:v>"</x:v>
      </x:c>
      <x:c r="U601" t="str">
        <x:v>"</x:v>
      </x:c>
      <x:c r="V601" t="str">
        <x:v>"</x:v>
      </x:c>
    </x:row>
    <x:row r="602">
      <x:c r="A602" t="str">
        <x:v>RAW-IMP-20260516-FULLDRAFT-000585</x:v>
      </x:c>
      <x:c r="B602" t="str">
        <x:v>IMP-20260516-FULLDRAFT</x:v>
      </x:c>
      <x:c r="C602" t="str">
        <x:v>KTO001</x:v>
      </x:c>
      <x:c r="D602" t="str">
        <x:v>16-05-2026_Umsatzliste_Girokonto_DE98120300001061711675.csv</x:v>
      </x:c>
      <x:c r="E602" t="n">
        <x:v>46163</x:v>
      </x:c>
      <x:c r="F602" t="n">
        <x:v>585</x:v>
      </x:c>
      <x:c r="G602" t="str">
        <x:v>d70d9b6d9a86c51ca3e708a6a6206f3fa1cc846dfb3e8c9661670e15390789aa</x:v>
      </x:c>
      <x:c r="H602" t="str">
        <x:v>neu</x:v>
      </x:c>
      <x:c r="I602" t="str">
        <x:v>ok</x:v>
      </x:c>
      <x:c r="J602"/>
      <x:c r="K602" t="n">
        <x:v>45960</x:v>
      </x:c>
      <x:c r="L602" t="n">
        <x:v>45960</x:v>
      </x:c>
      <x:c r="M602" t="str">
        <x:v>Gebucht</x:v>
      </x:c>
      <x:c r="N602" t="str">
        <x:v>Lars Kohlenberg</x:v>
      </x:c>
      <x:c r="O602" t="str">
        <x:v>LARS KOHLENBERG</x:v>
      </x:c>
      <x:c r="P602" t="str">
        <x:v>Zins und Tilgung zu 2/3</x:v>
      </x:c>
      <x:c r="Q602" t="str">
        <x:v>Ausgang</x:v>
      </x:c>
      <x:c r="R602" t="str">
        <x:v>DE33269910668923736000</x:v>
      </x:c>
      <x:c r="S602" t="n">
        <x:v>-1153.94</x:v>
      </x:c>
      <x:c r="T602" t="str">
        <x:v>"</x:v>
      </x:c>
      <x:c r="U602" t="str">
        <x:v>"</x:v>
      </x:c>
      <x:c r="V602" t="str">
        <x:v>"</x:v>
      </x:c>
    </x:row>
    <x:row r="603">
      <x:c r="A603" t="str">
        <x:v>RAW-IMP-20260516-FULLDRAFT-000586</x:v>
      </x:c>
      <x:c r="B603" t="str">
        <x:v>IMP-20260516-FULLDRAFT</x:v>
      </x:c>
      <x:c r="C603" t="str">
        <x:v>KTO001</x:v>
      </x:c>
      <x:c r="D603" t="str">
        <x:v>16-05-2026_Umsatzliste_Girokonto_DE98120300001061711675.csv</x:v>
      </x:c>
      <x:c r="E603" t="n">
        <x:v>46163</x:v>
      </x:c>
      <x:c r="F603" t="n">
        <x:v>586</x:v>
      </x:c>
      <x:c r="G603" t="str">
        <x:v>9325cd5a551b3dcd99c2a8f87b06995eb8aa5007236c67b49e6da3910937abe3</x:v>
      </x:c>
      <x:c r="H603" t="str">
        <x:v>neu</x:v>
      </x:c>
      <x:c r="I603" t="str">
        <x:v>ok</x:v>
      </x:c>
      <x:c r="J603"/>
      <x:c r="K603" t="n">
        <x:v>45960</x:v>
      </x:c>
      <x:c r="L603" t="n">
        <x:v>45960</x:v>
      </x:c>
      <x:c r="M603" t="str">
        <x:v>Gebucht</x:v>
      </x:c>
      <x:c r="N603" t="str">
        <x:v>Lars Kohlenberg                                                       Johannes-Wosnitza-Str. 8,38229 Salzgitter</x:v>
      </x:c>
      <x:c r="O603" t="str">
        <x:v>1+1 Mail + Media GmbH                                                 Elgendorfer Str. 57, 56410 Montabaur</x:v>
      </x:c>
      <x:c r="P603" t="str">
        <x:v>KD-Nr. K7440512/ RG-Nr. 201542409175</x:v>
      </x:c>
      <x:c r="Q603" t="str">
        <x:v>Ausgang</x:v>
      </x:c>
      <x:c r="R603" t="str">
        <x:v>DE76700800000881679702</x:v>
      </x:c>
      <x:c r="S603" t="n">
        <x:v>-8.99</x:v>
      </x:c>
      <x:c r="T603" t="str">
        <x:v>DE07ZZZ00000569718</x:v>
      </x:c>
      <x:c r="U603" t="str">
        <x:v>0090001393062</x:v>
      </x:c>
      <x:c r="V603" t="str">
        <x:v>005936686250</x:v>
      </x:c>
    </x:row>
    <x:row r="604">
      <x:c r="A604" t="str">
        <x:v>RAW-IMP-20260516-FULLDRAFT-000587</x:v>
      </x:c>
      <x:c r="B604" t="str">
        <x:v>IMP-20260516-FULLDRAFT</x:v>
      </x:c>
      <x:c r="C604" t="str">
        <x:v>KTO001</x:v>
      </x:c>
      <x:c r="D604" t="str">
        <x:v>16-05-2026_Umsatzliste_Girokonto_DE98120300001061711675.csv</x:v>
      </x:c>
      <x:c r="E604" t="n">
        <x:v>46163</x:v>
      </x:c>
      <x:c r="F604" t="n">
        <x:v>587</x:v>
      </x:c>
      <x:c r="G604" t="str">
        <x:v>d20a01fb37158fa7b9c0315bc19928a484349bb52fdb3ff50828bc3331b11683</x:v>
      </x:c>
      <x:c r="H604" t="str">
        <x:v>neu</x:v>
      </x:c>
      <x:c r="I604" t="str">
        <x:v>ok</x:v>
      </x:c>
      <x:c r="J604"/>
      <x:c r="K604" t="n">
        <x:v>45959</x:v>
      </x:c>
      <x:c r="L604" t="n">
        <x:v>45959</x:v>
      </x:c>
      <x:c r="M604" t="str">
        <x:v>Gebucht</x:v>
      </x:c>
      <x:c r="N604" t="str">
        <x:v>Caritasverband fur die Diozese Hildesheim e.V.</x:v>
      </x:c>
      <x:c r="O604" t="str">
        <x:v>KOHLENBERG LARS</x:v>
      </x:c>
      <x:c r="P604" t="str">
        <x:v>GEHALT 10/25</x:v>
      </x:c>
      <x:c r="Q604" t="str">
        <x:v>Eingang</x:v>
      </x:c>
      <x:c r="R604" t="str">
        <x:v>DE46400602650023003301</x:v>
      </x:c>
      <x:c r="S604" t="n">
        <x:v>6955.12</x:v>
      </x:c>
      <x:c r="T604" t="str">
        <x:v>"</x:v>
      </x:c>
      <x:c r="U604" t="str">
        <x:v>"</x:v>
      </x:c>
      <x:c r="V604" t="str">
        <x:v>001001987662SALA202736004</x:v>
      </x:c>
    </x:row>
    <x:row r="605">
      <x:c r="A605" t="str">
        <x:v>RAW-IMP-20260516-FULLDRAFT-000588</x:v>
      </x:c>
      <x:c r="B605" t="str">
        <x:v>IMP-20260516-FULLDRAFT</x:v>
      </x:c>
      <x:c r="C605" t="str">
        <x:v>KTO001</x:v>
      </x:c>
      <x:c r="D605" t="str">
        <x:v>16-05-2026_Umsatzliste_Girokonto_DE98120300001061711675.csv</x:v>
      </x:c>
      <x:c r="E605" t="n">
        <x:v>46163</x:v>
      </x:c>
      <x:c r="F605" t="n">
        <x:v>588</x:v>
      </x:c>
      <x:c r="G605" t="str">
        <x:v>d35ef40a7be64254997c1d911643f99850fc41014554b8b8e6c7721a451fae97</x:v>
      </x:c>
      <x:c r="H605" t="str">
        <x:v>neu</x:v>
      </x:c>
      <x:c r="I605" t="str">
        <x:v>ok</x:v>
      </x:c>
      <x:c r="J605"/>
      <x:c r="K605" t="n">
        <x:v>45959</x:v>
      </x:c>
      <x:c r="L605" t="n">
        <x:v>45959</x:v>
      </x:c>
      <x:c r="M605" t="str">
        <x:v>Gebucht</x:v>
      </x:c>
      <x:c r="N605" t="str">
        <x:v>ISSUER</x:v>
      </x:c>
      <x:c r="O605" t="str">
        <x:v>EDEKA.POTRATZ/HILDESHEIM</x:v>
      </x:c>
      <x:c r="P605" t="str">
        <x:v>VISA Debitkartenumsatz vom 28.10.2025</x:v>
      </x:c>
      <x:c r="Q605" t="str">
        <x:v>Ausgang</x:v>
      </x:c>
      <x:c r="R605" t="str">
        <x:v>DE96120300009005290904</x:v>
      </x:c>
      <x:c r="S605" t="n">
        <x:v>-1.7</x:v>
      </x:c>
      <x:c r="T605" t="str">
        <x:v>"</x:v>
      </x:c>
      <x:c r="U605" t="str">
        <x:v>"</x:v>
      </x:c>
      <x:c r="V605" t="str">
        <x:v>485301416464179</x:v>
      </x:c>
    </x:row>
    <x:row r="606">
      <x:c r="A606" t="str">
        <x:v>RAW-IMP-20260516-FULLDRAFT-000589</x:v>
      </x:c>
      <x:c r="B606" t="str">
        <x:v>IMP-20260516-FULLDRAFT</x:v>
      </x:c>
      <x:c r="C606" t="str">
        <x:v>KTO001</x:v>
      </x:c>
      <x:c r="D606" t="str">
        <x:v>16-05-2026_Umsatzliste_Girokonto_DE98120300001061711675.csv</x:v>
      </x:c>
      <x:c r="E606" t="n">
        <x:v>46163</x:v>
      </x:c>
      <x:c r="F606" t="n">
        <x:v>589</x:v>
      </x:c>
      <x:c r="G606" t="str">
        <x:v>7720a0bbb677b55940dc34dc20bfc6e8391c1dda74cb9727d58f09215339bf11</x:v>
      </x:c>
      <x:c r="H606" t="str">
        <x:v>neu</x:v>
      </x:c>
      <x:c r="I606" t="str">
        <x:v>ok</x:v>
      </x:c>
      <x:c r="J606"/>
      <x:c r="K606" t="n">
        <x:v>45958</x:v>
      </x:c>
      <x:c r="L606" t="n">
        <x:v>45958</x:v>
      </x:c>
      <x:c r="M606" t="str">
        <x:v>Gebucht</x:v>
      </x:c>
      <x:c r="N606" t="str">
        <x:v>ISSUER</x:v>
      </x:c>
      <x:c r="O606" t="str">
        <x:v>REWE.Salzgitter.Ge/Salzgitter</x:v>
      </x:c>
      <x:c r="P606" t="str">
        <x:v>VISA Debitkartenumsatz vom 27.10.2025</x:v>
      </x:c>
      <x:c r="Q606" t="str">
        <x:v>Ausgang</x:v>
      </x:c>
      <x:c r="R606" t="str">
        <x:v>DE96120300009005290904</x:v>
      </x:c>
      <x:c r="S606" t="n">
        <x:v>-6.12</x:v>
      </x:c>
      <x:c r="T606" t="str">
        <x:v>"</x:v>
      </x:c>
      <x:c r="U606" t="str">
        <x:v>"</x:v>
      </x:c>
      <x:c r="V606" t="str">
        <x:v>485300631162253</x:v>
      </x:c>
    </x:row>
    <x:row r="607">
      <x:c r="A607" t="str">
        <x:v>RAW-IMP-20260516-FULLDRAFT-000590</x:v>
      </x:c>
      <x:c r="B607" t="str">
        <x:v>IMP-20260516-FULLDRAFT</x:v>
      </x:c>
      <x:c r="C607" t="str">
        <x:v>KTO001</x:v>
      </x:c>
      <x:c r="D607" t="str">
        <x:v>16-05-2026_Umsatzliste_Girokonto_DE98120300001061711675.csv</x:v>
      </x:c>
      <x:c r="E607" t="n">
        <x:v>46163</x:v>
      </x:c>
      <x:c r="F607" t="n">
        <x:v>590</x:v>
      </x:c>
      <x:c r="G607" t="str">
        <x:v>ab389d0da1a768f046b9a0622c45c62f91174abd5399bd03f1486f8a1c0fcea7</x:v>
      </x:c>
      <x:c r="H607" t="str">
        <x:v>neu</x:v>
      </x:c>
      <x:c r="I607" t="str">
        <x:v>ok</x:v>
      </x:c>
      <x:c r="J607"/>
      <x:c r="K607" t="n">
        <x:v>45957</x:v>
      </x:c>
      <x:c r="L607" t="n">
        <x:v>45957</x:v>
      </x:c>
      <x:c r="M607" t="str">
        <x:v>Gebucht</x:v>
      </x:c>
      <x:c r="N607" t="str">
        <x:v>ISSUER</x:v>
      </x:c>
      <x:c r="O607" t="str">
        <x:v>PAYPAL..VRB/4029357733</x:v>
      </x:c>
      <x:c r="P607" t="str">
        <x:v>VISA Debitkartenumsatz vom 26.10.2025</x:v>
      </x:c>
      <x:c r="Q607" t="str">
        <x:v>Ausgang</x:v>
      </x:c>
      <x:c r="R607" t="str">
        <x:v>DE96120300009005290904</x:v>
      </x:c>
      <x:c r="S607" t="n">
        <x:v>-30</x:v>
      </x:c>
      <x:c r="T607" t="str">
        <x:v>"</x:v>
      </x:c>
      <x:c r="U607" t="str">
        <x:v>"</x:v>
      </x:c>
      <x:c r="V607" t="str">
        <x:v>385299683551756</x:v>
      </x:c>
    </x:row>
    <x:row r="608">
      <x:c r="A608" t="str">
        <x:v>RAW-IMP-20260516-FULLDRAFT-000591</x:v>
      </x:c>
      <x:c r="B608" t="str">
        <x:v>IMP-20260516-FULLDRAFT</x:v>
      </x:c>
      <x:c r="C608" t="str">
        <x:v>KTO001</x:v>
      </x:c>
      <x:c r="D608" t="str">
        <x:v>16-05-2026_Umsatzliste_Girokonto_DE98120300001061711675.csv</x:v>
      </x:c>
      <x:c r="E608" t="n">
        <x:v>46163</x:v>
      </x:c>
      <x:c r="F608" t="n">
        <x:v>591</x:v>
      </x:c>
      <x:c r="G608" t="str">
        <x:v>6e85cad14229b4db1faa14b2b58dd5d28516f28073a28953cb9b2cff964a1763</x:v>
      </x:c>
      <x:c r="H608" t="str">
        <x:v>neu</x:v>
      </x:c>
      <x:c r="I608" t="str">
        <x:v>ok</x:v>
      </x:c>
      <x:c r="J608"/>
      <x:c r="K608" t="n">
        <x:v>45957</x:v>
      </x:c>
      <x:c r="L608" t="n">
        <x:v>45957</x:v>
      </x:c>
      <x:c r="M608" t="str">
        <x:v>Gebucht</x:v>
      </x:c>
      <x:c r="N608" t="str">
        <x:v>ISSUER</x:v>
      </x:c>
      <x:c r="O608" t="str">
        <x:v>BOSPORUS.GRILL/SALZGITTER</x:v>
      </x:c>
      <x:c r="P608" t="str">
        <x:v>VISA Debitkartenumsatz vom 26.10.2025</x:v>
      </x:c>
      <x:c r="Q608" t="str">
        <x:v>Ausgang</x:v>
      </x:c>
      <x:c r="R608" t="str">
        <x:v>DE96120300009005290904</x:v>
      </x:c>
      <x:c r="S608" t="n">
        <x:v>-27</x:v>
      </x:c>
      <x:c r="T608" t="str">
        <x:v>"</x:v>
      </x:c>
      <x:c r="U608" t="str">
        <x:v>"</x:v>
      </x:c>
      <x:c r="V608" t="str">
        <x:v>485299602562508</x:v>
      </x:c>
    </x:row>
    <x:row r="609">
      <x:c r="A609" t="str">
        <x:v>RAW-IMP-20260516-FULLDRAFT-000592</x:v>
      </x:c>
      <x:c r="B609" t="str">
        <x:v>IMP-20260516-FULLDRAFT</x:v>
      </x:c>
      <x:c r="C609" t="str">
        <x:v>KTO001</x:v>
      </x:c>
      <x:c r="D609" t="str">
        <x:v>16-05-2026_Umsatzliste_Girokonto_DE98120300001061711675.csv</x:v>
      </x:c>
      <x:c r="E609" t="n">
        <x:v>46163</x:v>
      </x:c>
      <x:c r="F609" t="n">
        <x:v>592</x:v>
      </x:c>
      <x:c r="G609" t="str">
        <x:v>64ef2684bb68ed5b9e8b29f0644ad8a597b258b41f651f4895eff14c2ce8f33e</x:v>
      </x:c>
      <x:c r="H609" t="str">
        <x:v>neu</x:v>
      </x:c>
      <x:c r="I609" t="str">
        <x:v>ok</x:v>
      </x:c>
      <x:c r="J609"/>
      <x:c r="K609" t="n">
        <x:v>45957</x:v>
      </x:c>
      <x:c r="L609" t="n">
        <x:v>45957</x:v>
      </x:c>
      <x:c r="M609" t="str">
        <x:v>Gebucht</x:v>
      </x:c>
      <x:c r="N609" t="str">
        <x:v>ISSUER</x:v>
      </x:c>
      <x:c r="O609" t="str">
        <x:v>AIDA.CRUISES/ROSTOCK</x:v>
      </x:c>
      <x:c r="P609" t="str">
        <x:v>VISA Debitkartenumsatz vom 26.10.2025</x:v>
      </x:c>
      <x:c r="Q609" t="str">
        <x:v>Ausgang</x:v>
      </x:c>
      <x:c r="R609" t="str">
        <x:v>DE96120300009005290904</x:v>
      </x:c>
      <x:c r="S609" t="n">
        <x:v>-691.6</x:v>
      </x:c>
      <x:c r="T609" t="str">
        <x:v>"</x:v>
      </x:c>
      <x:c r="U609" t="str">
        <x:v>"</x:v>
      </x:c>
      <x:c r="V609" t="str">
        <x:v>485299498489823</x:v>
      </x:c>
    </x:row>
    <x:row r="610">
      <x:c r="A610" t="str">
        <x:v>RAW-IMP-20260516-FULLDRAFT-000593</x:v>
      </x:c>
      <x:c r="B610" t="str">
        <x:v>IMP-20260516-FULLDRAFT</x:v>
      </x:c>
      <x:c r="C610" t="str">
        <x:v>KTO001</x:v>
      </x:c>
      <x:c r="D610" t="str">
        <x:v>16-05-2026_Umsatzliste_Girokonto_DE98120300001061711675.csv</x:v>
      </x:c>
      <x:c r="E610" t="n">
        <x:v>46163</x:v>
      </x:c>
      <x:c r="F610" t="n">
        <x:v>593</x:v>
      </x:c>
      <x:c r="G610" t="str">
        <x:v>90b830c50ab7f26944712c24a7a589206567994a91a6040230ed7990a6fb7ade</x:v>
      </x:c>
      <x:c r="H610" t="str">
        <x:v>neu</x:v>
      </x:c>
      <x:c r="I610" t="str">
        <x:v>ok</x:v>
      </x:c>
      <x:c r="J610"/>
      <x:c r="K610" t="n">
        <x:v>45957</x:v>
      </x:c>
      <x:c r="L610" t="n">
        <x:v>45957</x:v>
      </x:c>
      <x:c r="M610" t="str">
        <x:v>Gebucht</x:v>
      </x:c>
      <x:c r="N610" t="str">
        <x:v>Lars Kohlenberg</x:v>
      </x:c>
      <x:c r="O610" t="str">
        <x:v>Rechtsanwalt Olaf Moschner</x:v>
      </x:c>
      <x:c r="P610" t="str">
        <x:v>AZ 1118/23 Dunst/Kohlenberg</x:v>
      </x:c>
      <x:c r="Q610" t="str">
        <x:v>Ausgang</x:v>
      </x:c>
      <x:c r="R610" t="str">
        <x:v>DE48269513110015222888</x:v>
      </x:c>
      <x:c r="S610" t="n">
        <x:v>-163.5</x:v>
      </x:c>
      <x:c r="T610" t="str">
        <x:v>"</x:v>
      </x:c>
      <x:c r="U610" t="str">
        <x:v>"</x:v>
      </x:c>
      <x:c r="V610" t="str">
        <x:v>"</x:v>
      </x:c>
    </x:row>
    <x:row r="611">
      <x:c r="A611" t="str">
        <x:v>RAW-IMP-20260516-FULLDRAFT-000594</x:v>
      </x:c>
      <x:c r="B611" t="str">
        <x:v>IMP-20260516-FULLDRAFT</x:v>
      </x:c>
      <x:c r="C611" t="str">
        <x:v>KTO001</x:v>
      </x:c>
      <x:c r="D611" t="str">
        <x:v>16-05-2026_Umsatzliste_Girokonto_DE98120300001061711675.csv</x:v>
      </x:c>
      <x:c r="E611" t="n">
        <x:v>46163</x:v>
      </x:c>
      <x:c r="F611" t="n">
        <x:v>594</x:v>
      </x:c>
      <x:c r="G611" t="str">
        <x:v>88337a591dd1962653e238b6e4f259782a1fa6c3fd467231ab74dca6c11d0edc</x:v>
      </x:c>
      <x:c r="H611" t="str">
        <x:v>neu</x:v>
      </x:c>
      <x:c r="I611" t="str">
        <x:v>ok</x:v>
      </x:c>
      <x:c r="J611"/>
      <x:c r="K611" t="n">
        <x:v>45957</x:v>
      </x:c>
      <x:c r="L611" t="n">
        <x:v>45957</x:v>
      </x:c>
      <x:c r="M611" t="str">
        <x:v>Gebucht</x:v>
      </x:c>
      <x:c r="N611" t="str">
        <x:v>ISSUER</x:v>
      </x:c>
      <x:c r="O611" t="str">
        <x:v>Lueneburger.Heide.West/Bispingen</x:v>
      </x:c>
      <x:c r="P611" t="str">
        <x:v>VISA Debitkartenumsatz vom 26.10.2025</x:v>
      </x:c>
      <x:c r="Q611" t="str">
        <x:v>Ausgang</x:v>
      </x:c>
      <x:c r="R611" t="str">
        <x:v>DE96120300009005290904</x:v>
      </x:c>
      <x:c r="S611" t="n">
        <x:v>-1</x:v>
      </x:c>
      <x:c r="T611" t="str">
        <x:v>"</x:v>
      </x:c>
      <x:c r="U611" t="str">
        <x:v>"</x:v>
      </x:c>
      <x:c r="V611" t="str">
        <x:v>485299331963670</x:v>
      </x:c>
    </x:row>
    <x:row r="612">
      <x:c r="A612" t="str">
        <x:v>RAW-IMP-20260516-FULLDRAFT-000595</x:v>
      </x:c>
      <x:c r="B612" t="str">
        <x:v>IMP-20260516-FULLDRAFT</x:v>
      </x:c>
      <x:c r="C612" t="str">
        <x:v>KTO001</x:v>
      </x:c>
      <x:c r="D612" t="str">
        <x:v>16-05-2026_Umsatzliste_Girokonto_DE98120300001061711675.csv</x:v>
      </x:c>
      <x:c r="E612" t="n">
        <x:v>46163</x:v>
      </x:c>
      <x:c r="F612" t="n">
        <x:v>595</x:v>
      </x:c>
      <x:c r="G612" t="str">
        <x:v>6d3b323f0bf3c6eb096d65e5fd03859b372bfa8965350d9f312cbc976f383f31</x:v>
      </x:c>
      <x:c r="H612" t="str">
        <x:v>neu</x:v>
      </x:c>
      <x:c r="I612" t="str">
        <x:v>ok</x:v>
      </x:c>
      <x:c r="J612"/>
      <x:c r="K612" t="n">
        <x:v>45957</x:v>
      </x:c>
      <x:c r="L612" t="n">
        <x:v>45957</x:v>
      </x:c>
      <x:c r="M612" t="str">
        <x:v>Gebucht</x:v>
      </x:c>
      <x:c r="N612" t="str">
        <x:v>ISSUER</x:v>
      </x:c>
      <x:c r="O612" t="str">
        <x:v>INTERIOER.OUTLET/KRISTIANSAND</x:v>
      </x:c>
      <x:c r="P612" t="str">
        <x:v>VISA Debitkartenumsatz vom 24.10.2025 in Fremdwährung / Ursprungsbetrag in Fremdwährung 138,00 NOK / Umrechnungsrate: 1 Euro=11,61849060 NOK</x:v>
      </x:c>
      <x:c r="Q612" t="str">
        <x:v>Ausgang</x:v>
      </x:c>
      <x:c r="R612" t="str">
        <x:v>DE96120300009005290904</x:v>
      </x:c>
      <x:c r="S612" t="n">
        <x:v>-11.88</x:v>
      </x:c>
      <x:c r="T612" t="str">
        <x:v>"</x:v>
      </x:c>
      <x:c r="U612" t="str">
        <x:v>"</x:v>
      </x:c>
      <x:c r="V612" t="str">
        <x:v>485297550452743</x:v>
      </x:c>
    </x:row>
    <x:row r="613">
      <x:c r="A613" t="str">
        <x:v>RAW-IMP-20260516-FULLDRAFT-000596</x:v>
      </x:c>
      <x:c r="B613" t="str">
        <x:v>IMP-20260516-FULLDRAFT</x:v>
      </x:c>
      <x:c r="C613" t="str">
        <x:v>KTO001</x:v>
      </x:c>
      <x:c r="D613" t="str">
        <x:v>16-05-2026_Umsatzliste_Girokonto_DE98120300001061711675.csv</x:v>
      </x:c>
      <x:c r="E613" t="n">
        <x:v>46163</x:v>
      </x:c>
      <x:c r="F613" t="n">
        <x:v>596</x:v>
      </x:c>
      <x:c r="G613" t="str">
        <x:v>2061ea81f9624704f49c67e86f0de6b986ebbb35eae30fcd11518ebfcb4e67dd</x:v>
      </x:c>
      <x:c r="H613" t="str">
        <x:v>neu</x:v>
      </x:c>
      <x:c r="I613" t="str">
        <x:v>ok</x:v>
      </x:c>
      <x:c r="J613"/>
      <x:c r="K613" t="n">
        <x:v>45957</x:v>
      </x:c>
      <x:c r="L613" t="n">
        <x:v>45957</x:v>
      </x:c>
      <x:c r="M613" t="str">
        <x:v>Gebucht</x:v>
      </x:c>
      <x:c r="N613" t="str">
        <x:v>ISSUER</x:v>
      </x:c>
      <x:c r="O613" t="str">
        <x:v>INTERIOER.OUTLET/KRISTIANSAND</x:v>
      </x:c>
      <x:c r="P613" t="str">
        <x:v>VISA Debitkartenumsatz vom 24.10.2025 in Fremdwährung / Ursprungsbetrag in Fremdwährung 399,00 NOK / Umrechnungsrate: 1 Euro=11,61849060 NOK</x:v>
      </x:c>
      <x:c r="Q613" t="str">
        <x:v>Ausgang</x:v>
      </x:c>
      <x:c r="R613" t="str">
        <x:v>DE96120300009005290904</x:v>
      </x:c>
      <x:c r="S613" t="n">
        <x:v>-34.34</x:v>
      </x:c>
      <x:c r="T613" t="str">
        <x:v>"</x:v>
      </x:c>
      <x:c r="U613" t="str">
        <x:v>"</x:v>
      </x:c>
      <x:c r="V613" t="str">
        <x:v>485297547303384</x:v>
      </x:c>
    </x:row>
    <x:row r="614">
      <x:c r="A614" t="str">
        <x:v>RAW-IMP-20260516-FULLDRAFT-000597</x:v>
      </x:c>
      <x:c r="B614" t="str">
        <x:v>IMP-20260516-FULLDRAFT</x:v>
      </x:c>
      <x:c r="C614" t="str">
        <x:v>KTO001</x:v>
      </x:c>
      <x:c r="D614" t="str">
        <x:v>16-05-2026_Umsatzliste_Girokonto_DE98120300001061711675.csv</x:v>
      </x:c>
      <x:c r="E614" t="n">
        <x:v>46163</x:v>
      </x:c>
      <x:c r="F614" t="n">
        <x:v>597</x:v>
      </x:c>
      <x:c r="G614" t="str">
        <x:v>470b5eb5154d0e2d149f62fee4a28eb1151f3058d93798638ce5808ae660c94e</x:v>
      </x:c>
      <x:c r="H614" t="str">
        <x:v>neu</x:v>
      </x:c>
      <x:c r="I614" t="str">
        <x:v>ok</x:v>
      </x:c>
      <x:c r="J614"/>
      <x:c r="K614" t="n">
        <x:v>45957</x:v>
      </x:c>
      <x:c r="L614" t="n">
        <x:v>45957</x:v>
      </x:c>
      <x:c r="M614" t="str">
        <x:v>Gebucht</x:v>
      </x:c>
      <x:c r="N614" t="str">
        <x:v>ISSUER</x:v>
      </x:c>
      <x:c r="O614" t="str">
        <x:v>ICON.MARKENSGATE/KRISTIANSAND</x:v>
      </x:c>
      <x:c r="P614" t="str">
        <x:v>VISA Debitkartenumsatz vom 24.10.2025 in Fremdwährung / Ursprungsbetrag in Fremdwährung 299,00 NOK / Umrechnungsrate: 1 Euro=11,61849060 NOK</x:v>
      </x:c>
      <x:c r="Q614" t="str">
        <x:v>Ausgang</x:v>
      </x:c>
      <x:c r="R614" t="str">
        <x:v>DE96120300009005290904</x:v>
      </x:c>
      <x:c r="S614" t="n">
        <x:v>-25.73</x:v>
      </x:c>
      <x:c r="T614" t="str">
        <x:v>"</x:v>
      </x:c>
      <x:c r="U614" t="str">
        <x:v>"</x:v>
      </x:c>
      <x:c r="V614" t="str">
        <x:v>485297541686967</x:v>
      </x:c>
    </x:row>
    <x:row r="615">
      <x:c r="A615" t="str">
        <x:v>RAW-IMP-20260516-FULLDRAFT-000598</x:v>
      </x:c>
      <x:c r="B615" t="str">
        <x:v>IMP-20260516-FULLDRAFT</x:v>
      </x:c>
      <x:c r="C615" t="str">
        <x:v>KTO001</x:v>
      </x:c>
      <x:c r="D615" t="str">
        <x:v>16-05-2026_Umsatzliste_Girokonto_DE98120300001061711675.csv</x:v>
      </x:c>
      <x:c r="E615" t="n">
        <x:v>46163</x:v>
      </x:c>
      <x:c r="F615" t="n">
        <x:v>598</x:v>
      </x:c>
      <x:c r="G615" t="str">
        <x:v>7992841087830a9a10cae88a45a6d21e552024fd2936323cd11487ec045b3853</x:v>
      </x:c>
      <x:c r="H615" t="str">
        <x:v>neu</x:v>
      </x:c>
      <x:c r="I615" t="str">
        <x:v>ok</x:v>
      </x:c>
      <x:c r="J615"/>
      <x:c r="K615" t="n">
        <x:v>45957</x:v>
      </x:c>
      <x:c r="L615" t="n">
        <x:v>45957</x:v>
      </x:c>
      <x:c r="M615" t="str">
        <x:v>Gebucht</x:v>
      </x:c>
      <x:c r="N615" t="str">
        <x:v>ISSUER</x:v>
      </x:c>
      <x:c r="O615" t="str">
        <x:v>Rastst..Lueneburger.Hei/Bispingen</x:v>
      </x:c>
      <x:c r="P615" t="str">
        <x:v>VISA Debitkartenumsatz vom 26.10.2025</x:v>
      </x:c>
      <x:c r="Q615" t="str">
        <x:v>Ausgang</x:v>
      </x:c>
      <x:c r="R615" t="str">
        <x:v>DE96120300009005290904</x:v>
      </x:c>
      <x:c r="S615" t="n">
        <x:v>-3.7</x:v>
      </x:c>
      <x:c r="T615" t="str">
        <x:v>"</x:v>
      </x:c>
      <x:c r="U615" t="str">
        <x:v>"</x:v>
      </x:c>
      <x:c r="V615" t="str">
        <x:v>485299333262263</x:v>
      </x:c>
    </x:row>
    <x:row r="616">
      <x:c r="A616" t="str">
        <x:v>RAW-IMP-20260516-FULLDRAFT-000599</x:v>
      </x:c>
      <x:c r="B616" t="str">
        <x:v>IMP-20260516-FULLDRAFT</x:v>
      </x:c>
      <x:c r="C616" t="str">
        <x:v>KTO001</x:v>
      </x:c>
      <x:c r="D616" t="str">
        <x:v>16-05-2026_Umsatzliste_Girokonto_DE98120300001061711675.csv</x:v>
      </x:c>
      <x:c r="E616" t="n">
        <x:v>46163</x:v>
      </x:c>
      <x:c r="F616" t="n">
        <x:v>599</x:v>
      </x:c>
      <x:c r="G616" t="str">
        <x:v>bbf985deec9e5bc3a4c3f848ae94b9bde2c54cf43d00de515c4704f3e87a7d59</x:v>
      </x:c>
      <x:c r="H616" t="str">
        <x:v>neu</x:v>
      </x:c>
      <x:c r="I616" t="str">
        <x:v>ok</x:v>
      </x:c>
      <x:c r="J616"/>
      <x:c r="K616" t="n">
        <x:v>45957</x:v>
      </x:c>
      <x:c r="L616" t="n">
        <x:v>45956</x:v>
      </x:c>
      <x:c r="M616" t="str">
        <x:v>Gebucht</x:v>
      </x:c>
      <x:c r="N616" t="str">
        <x:v>Lars Kohlenberg</x:v>
      </x:c>
      <x:c r="O616" t="str">
        <x:v>Lea Sophie Kohlenberg</x:v>
      </x:c>
      <x:c r="P616" t="str">
        <x:v>Essensgeld letzte Woche</x:v>
      </x:c>
      <x:c r="Q616" t="str">
        <x:v>Ausgang</x:v>
      </x:c>
      <x:c r="R616" t="str">
        <x:v>DE89269910662833344000</x:v>
      </x:c>
      <x:c r="S616" t="n">
        <x:v>-35</x:v>
      </x:c>
      <x:c r="T616" t="str">
        <x:v>"</x:v>
      </x:c>
      <x:c r="U616" t="str">
        <x:v>"</x:v>
      </x:c>
      <x:c r="V616" t="str">
        <x:v>"</x:v>
      </x:c>
    </x:row>
    <x:row r="617">
      <x:c r="A617" t="str">
        <x:v>RAW-IMP-20260516-FULLDRAFT-000600</x:v>
      </x:c>
      <x:c r="B617" t="str">
        <x:v>IMP-20260516-FULLDRAFT</x:v>
      </x:c>
      <x:c r="C617" t="str">
        <x:v>KTO001</x:v>
      </x:c>
      <x:c r="D617" t="str">
        <x:v>16-05-2026_Umsatzliste_Girokonto_DE98120300001061711675.csv</x:v>
      </x:c>
      <x:c r="E617" t="n">
        <x:v>46163</x:v>
      </x:c>
      <x:c r="F617" t="n">
        <x:v>600</x:v>
      </x:c>
      <x:c r="G617" t="str">
        <x:v>230652262a9756de5bf9df9ca6c1c5d34f727aabd9969ff3a79ed9c605c6f546</x:v>
      </x:c>
      <x:c r="H617" t="str">
        <x:v>neu</x:v>
      </x:c>
      <x:c r="I617" t="str">
        <x:v>ok</x:v>
      </x:c>
      <x:c r="J617"/>
      <x:c r="K617" t="n">
        <x:v>45954</x:v>
      </x:c>
      <x:c r="L617" t="n">
        <x:v>45954</x:v>
      </x:c>
      <x:c r="M617" t="str">
        <x:v>Gebucht</x:v>
      </x:c>
      <x:c r="N617" t="str">
        <x:v>ISSUER</x:v>
      </x:c>
      <x:c r="O617" t="str">
        <x:v>ZETTLE..DMG.GALLERY/BERGEN</x:v>
      </x:c>
      <x:c r="P617" t="str">
        <x:v>VISA Debitkartenumsatz vom 23.10.2025 in Fremdwährung / Ursprungsbetrag in Fremdwährung 70,00 NOK / Umrechnungsrate: 1 Euro=11,64298870 NOK</x:v>
      </x:c>
      <x:c r="Q617" t="str">
        <x:v>Ausgang</x:v>
      </x:c>
      <x:c r="R617" t="str">
        <x:v>DE96120300009005290904</x:v>
      </x:c>
      <x:c r="S617" t="n">
        <x:v>-6.01</x:v>
      </x:c>
      <x:c r="T617" t="str">
        <x:v>"</x:v>
      </x:c>
      <x:c r="U617" t="str">
        <x:v>"</x:v>
      </x:c>
      <x:c r="V617" t="str">
        <x:v>485296459439489</x:v>
      </x:c>
    </x:row>
    <x:row r="618">
      <x:c r="A618" t="str">
        <x:v>RAW-IMP-20260516-FULLDRAFT-000601</x:v>
      </x:c>
      <x:c r="B618" t="str">
        <x:v>IMP-20260516-FULLDRAFT</x:v>
      </x:c>
      <x:c r="C618" t="str">
        <x:v>KTO001</x:v>
      </x:c>
      <x:c r="D618" t="str">
        <x:v>16-05-2026_Umsatzliste_Girokonto_DE98120300001061711675.csv</x:v>
      </x:c>
      <x:c r="E618" t="n">
        <x:v>46163</x:v>
      </x:c>
      <x:c r="F618" t="n">
        <x:v>601</x:v>
      </x:c>
      <x:c r="G618" t="str">
        <x:v>e869803ff5243ccdf621e630d10d98224260d24cc6b4f3011c879eb331e9cc14</x:v>
      </x:c>
      <x:c r="H618" t="str">
        <x:v>neu</x:v>
      </x:c>
      <x:c r="I618" t="str">
        <x:v>ok</x:v>
      </x:c>
      <x:c r="J618"/>
      <x:c r="K618" t="n">
        <x:v>45954</x:v>
      </x:c>
      <x:c r="L618" t="n">
        <x:v>45954</x:v>
      </x:c>
      <x:c r="M618" t="str">
        <x:v>Gebucht</x:v>
      </x:c>
      <x:c r="N618" t="str">
        <x:v>ISSUER</x:v>
      </x:c>
      <x:c r="O618" t="str">
        <x:v>KAFFEMISJONEN/BERGEN</x:v>
      </x:c>
      <x:c r="P618" t="str">
        <x:v>VISA Debitkartenumsatz vom 23.10.2025 in Fremdwährung / Ursprungsbetrag in Fremdwährung 246,00 NOK / Umrechnungsrate: 1 Euro=11,64298870 NOK</x:v>
      </x:c>
      <x:c r="Q618" t="str">
        <x:v>Ausgang</x:v>
      </x:c>
      <x:c r="R618" t="str">
        <x:v>DE96120300009005290904</x:v>
      </x:c>
      <x:c r="S618" t="n">
        <x:v>-21.13</x:v>
      </x:c>
      <x:c r="T618" t="str">
        <x:v>"</x:v>
      </x:c>
      <x:c r="U618" t="str">
        <x:v>"</x:v>
      </x:c>
      <x:c r="V618" t="str">
        <x:v>485296431967643</x:v>
      </x:c>
    </x:row>
    <x:row r="619">
      <x:c r="A619" t="str">
        <x:v>RAW-IMP-20260516-FULLDRAFT-000602</x:v>
      </x:c>
      <x:c r="B619" t="str">
        <x:v>IMP-20260516-FULLDRAFT</x:v>
      </x:c>
      <x:c r="C619" t="str">
        <x:v>KTO001</x:v>
      </x:c>
      <x:c r="D619" t="str">
        <x:v>16-05-2026_Umsatzliste_Girokonto_DE98120300001061711675.csv</x:v>
      </x:c>
      <x:c r="E619" t="n">
        <x:v>46163</x:v>
      </x:c>
      <x:c r="F619" t="n">
        <x:v>602</x:v>
      </x:c>
      <x:c r="G619" t="str">
        <x:v>0fa4c0937afd0284ae45b14e4357331e5b3d88163ec857b99a37edf9a9c1243b</x:v>
      </x:c>
      <x:c r="H619" t="str">
        <x:v>neu</x:v>
      </x:c>
      <x:c r="I619" t="str">
        <x:v>ok</x:v>
      </x:c>
      <x:c r="J619"/>
      <x:c r="K619" t="n">
        <x:v>45954</x:v>
      </x:c>
      <x:c r="L619" t="n">
        <x:v>45954</x:v>
      </x:c>
      <x:c r="M619" t="str">
        <x:v>Gebucht</x:v>
      </x:c>
      <x:c r="N619" t="str">
        <x:v>ISSUER</x:v>
      </x:c>
      <x:c r="O619" t="str">
        <x:v>FLOEIBANEN.AS/BERGEN</x:v>
      </x:c>
      <x:c r="P619" t="str">
        <x:v>VISA Debitkartenumsatz vom 23.10.2025 in Fremdwährung / Ursprungsbetrag in Fremdwährung 190,00 NOK / Umrechnungsrate: 1 Euro=11,64298870 NOK</x:v>
      </x:c>
      <x:c r="Q619" t="str">
        <x:v>Ausgang</x:v>
      </x:c>
      <x:c r="R619" t="str">
        <x:v>DE96120300009005290904</x:v>
      </x:c>
      <x:c r="S619" t="n">
        <x:v>-16.32</x:v>
      </x:c>
      <x:c r="T619" t="str">
        <x:v>"</x:v>
      </x:c>
      <x:c r="U619" t="str">
        <x:v>"</x:v>
      </x:c>
      <x:c r="V619" t="str">
        <x:v>485296368888406</x:v>
      </x:c>
    </x:row>
    <x:row r="620">
      <x:c r="A620" t="str">
        <x:v>RAW-IMP-20260516-FULLDRAFT-000603</x:v>
      </x:c>
      <x:c r="B620" t="str">
        <x:v>IMP-20260516-FULLDRAFT</x:v>
      </x:c>
      <x:c r="C620" t="str">
        <x:v>KTO001</x:v>
      </x:c>
      <x:c r="D620" t="str">
        <x:v>16-05-2026_Umsatzliste_Girokonto_DE98120300001061711675.csv</x:v>
      </x:c>
      <x:c r="E620" t="n">
        <x:v>46163</x:v>
      </x:c>
      <x:c r="F620" t="n">
        <x:v>603</x:v>
      </x:c>
      <x:c r="G620" t="str">
        <x:v>58b6302fef2c0d70d394dde2d6e546ca81ef2b9a4b7ee2693de8298842f73b91</x:v>
      </x:c>
      <x:c r="H620" t="str">
        <x:v>neu</x:v>
      </x:c>
      <x:c r="I620" t="str">
        <x:v>ok</x:v>
      </x:c>
      <x:c r="J620"/>
      <x:c r="K620" t="n">
        <x:v>45954</x:v>
      </x:c>
      <x:c r="L620" t="n">
        <x:v>45954</x:v>
      </x:c>
      <x:c r="M620" t="str">
        <x:v>Gebucht</x:v>
      </x:c>
      <x:c r="N620" t="str">
        <x:v>ISSUER</x:v>
      </x:c>
      <x:c r="O620" t="str">
        <x:v>KJETIL.SORENSEN.BRYGGEN/BERGEN</x:v>
      </x:c>
      <x:c r="P620" t="str">
        <x:v>VISA Debitkartenumsatz vom 23.10.2025 in Fremdwährung / Ursprungsbetrag in Fremdwährung 149,00 NOK / Umrechnungsrate: 1 Euro=11,64298870 NOK</x:v>
      </x:c>
      <x:c r="Q620" t="str">
        <x:v>Ausgang</x:v>
      </x:c>
      <x:c r="R620" t="str">
        <x:v>DE96120300009005290904</x:v>
      </x:c>
      <x:c r="S620" t="n">
        <x:v>-12.8</x:v>
      </x:c>
      <x:c r="T620" t="str">
        <x:v>"</x:v>
      </x:c>
      <x:c r="U620" t="str">
        <x:v>"</x:v>
      </x:c>
      <x:c r="V620" t="str">
        <x:v>485296333760382</x:v>
      </x:c>
    </x:row>
    <x:row r="621">
      <x:c r="A621" t="str">
        <x:v>RAW-IMP-20260516-FULLDRAFT-000604</x:v>
      </x:c>
      <x:c r="B621" t="str">
        <x:v>IMP-20260516-FULLDRAFT</x:v>
      </x:c>
      <x:c r="C621" t="str">
        <x:v>KTO001</x:v>
      </x:c>
      <x:c r="D621" t="str">
        <x:v>16-05-2026_Umsatzliste_Girokonto_DE98120300001061711675.csv</x:v>
      </x:c>
      <x:c r="E621" t="n">
        <x:v>46163</x:v>
      </x:c>
      <x:c r="F621" t="n">
        <x:v>604</x:v>
      </x:c>
      <x:c r="G621" t="str">
        <x:v>89c759a9b3510f92d97f58263814dbc89895cd704fdd7bc921b7363a30aa3da9</x:v>
      </x:c>
      <x:c r="H621" t="str">
        <x:v>neu</x:v>
      </x:c>
      <x:c r="I621" t="str">
        <x:v>ok</x:v>
      </x:c>
      <x:c r="J621"/>
      <x:c r="K621" t="n">
        <x:v>45954</x:v>
      </x:c>
      <x:c r="L621" t="n">
        <x:v>45954</x:v>
      </x:c>
      <x:c r="M621" t="str">
        <x:v>Gebucht</x:v>
      </x:c>
      <x:c r="N621" t="str">
        <x:v>ISSUER</x:v>
      </x:c>
      <x:c r="O621" t="str">
        <x:v>HERTZ.GERMANY/ESCHBORN</x:v>
      </x:c>
      <x:c r="P621" t="str">
        <x:v>VISA Debitkartenumsatz vom 20.10.2025</x:v>
      </x:c>
      <x:c r="Q621" t="str">
        <x:v>Ausgang</x:v>
      </x:c>
      <x:c r="R621" t="str">
        <x:v>DE96120300009005290904</x:v>
      </x:c>
      <x:c r="S621" t="n">
        <x:v>-134.79</x:v>
      </x:c>
      <x:c r="T621" t="str">
        <x:v>"</x:v>
      </x:c>
      <x:c r="U621" t="str">
        <x:v>"</x:v>
      </x:c>
      <x:c r="V621" t="str">
        <x:v>485293441062669</x:v>
      </x:c>
    </x:row>
    <x:row r="622">
      <x:c r="A622" t="str">
        <x:v>RAW-IMP-20260516-FULLDRAFT-000605</x:v>
      </x:c>
      <x:c r="B622" t="str">
        <x:v>IMP-20260516-FULLDRAFT</x:v>
      </x:c>
      <x:c r="C622" t="str">
        <x:v>KTO001</x:v>
      </x:c>
      <x:c r="D622" t="str">
        <x:v>16-05-2026_Umsatzliste_Girokonto_DE98120300001061711675.csv</x:v>
      </x:c>
      <x:c r="E622" t="n">
        <x:v>46163</x:v>
      </x:c>
      <x:c r="F622" t="n">
        <x:v>605</x:v>
      </x:c>
      <x:c r="G622" t="str">
        <x:v>5ae29a714a1634080014357da9be59c705aac1c8c6b93365eff16db8950834f0</x:v>
      </x:c>
      <x:c r="H622" t="str">
        <x:v>neu</x:v>
      </x:c>
      <x:c r="I622" t="str">
        <x:v>ok</x:v>
      </x:c>
      <x:c r="J622"/>
      <x:c r="K622" t="n">
        <x:v>45953</x:v>
      </x:c>
      <x:c r="L622" t="n">
        <x:v>45953</x:v>
      </x:c>
      <x:c r="M622" t="str">
        <x:v>Gebucht</x:v>
      </x:c>
      <x:c r="N622" t="str">
        <x:v>ISSUER</x:v>
      </x:c>
      <x:c r="O622" t="str">
        <x:v>HERTZ.NORGE/LYSAKER</x:v>
      </x:c>
      <x:c r="P622" t="str">
        <x:v>VISA Debitkartenumsatz vom 22.10.2025 in Fremdwährung / Ursprungsbetrag in Fremdwährung 584,66 NOK / Umrechnungsrate: 1 Euro=11,74149920 NOK</x:v>
      </x:c>
      <x:c r="Q622" t="str">
        <x:v>Ausgang</x:v>
      </x:c>
      <x:c r="R622" t="str">
        <x:v>DE96120300009005290904</x:v>
      </x:c>
      <x:c r="S622" t="n">
        <x:v>-49.79</x:v>
      </x:c>
      <x:c r="T622" t="str">
        <x:v>"</x:v>
      </x:c>
      <x:c r="U622" t="str">
        <x:v>"</x:v>
      </x:c>
      <x:c r="V622" t="str">
        <x:v>485294250865338</x:v>
      </x:c>
    </x:row>
    <x:row r="623">
      <x:c r="A623" t="str">
        <x:v>RAW-IMP-20260516-FULLDRAFT-000606</x:v>
      </x:c>
      <x:c r="B623" t="str">
        <x:v>IMP-20260516-FULLDRAFT</x:v>
      </x:c>
      <x:c r="C623" t="str">
        <x:v>KTO001</x:v>
      </x:c>
      <x:c r="D623" t="str">
        <x:v>16-05-2026_Umsatzliste_Girokonto_DE98120300001061711675.csv</x:v>
      </x:c>
      <x:c r="E623" t="n">
        <x:v>46163</x:v>
      </x:c>
      <x:c r="F623" t="n">
        <x:v>606</x:v>
      </x:c>
      <x:c r="G623" t="str">
        <x:v>d29531127c27a16e40a5f95681211d376d2b4a01679d7a3c2768df92fd8b6008</x:v>
      </x:c>
      <x:c r="H623" t="str">
        <x:v>neu</x:v>
      </x:c>
      <x:c r="I623" t="str">
        <x:v>ok</x:v>
      </x:c>
      <x:c r="J623"/>
      <x:c r="K623" t="n">
        <x:v>45953</x:v>
      </x:c>
      <x:c r="L623" t="n">
        <x:v>45953</x:v>
      </x:c>
      <x:c r="M623" t="str">
        <x:v>Gebucht</x:v>
      </x:c>
      <x:c r="N623" t="str">
        <x:v>ISSUER</x:v>
      </x:c>
      <x:c r="O623" t="str">
        <x:v>BOOK.HARDANGER.AS/EIDFJORD</x:v>
      </x:c>
      <x:c r="P623" t="str">
        <x:v>VISA Debitkartenumsatz vom 22.10.2025 in Fremdwährung / Ursprungsbetrag in Fremdwährung 1097,00 NOK / Umrechnungsrate: 1 Euro=11,66929230 NOK</x:v>
      </x:c>
      <x:c r="Q623" t="str">
        <x:v>Ausgang</x:v>
      </x:c>
      <x:c r="R623" t="str">
        <x:v>DE96120300009005290904</x:v>
      </x:c>
      <x:c r="S623" t="n">
        <x:v>-94.01</x:v>
      </x:c>
      <x:c r="T623" t="str">
        <x:v>"</x:v>
      </x:c>
      <x:c r="U623" t="str">
        <x:v>"</x:v>
      </x:c>
      <x:c r="V623" t="str">
        <x:v>305295250338194</x:v>
      </x:c>
    </x:row>
    <x:row r="624">
      <x:c r="A624" t="str">
        <x:v>RAW-IMP-20260516-FULLDRAFT-000607</x:v>
      </x:c>
      <x:c r="B624" t="str">
        <x:v>IMP-20260516-FULLDRAFT</x:v>
      </x:c>
      <x:c r="C624" t="str">
        <x:v>KTO001</x:v>
      </x:c>
      <x:c r="D624" t="str">
        <x:v>16-05-2026_Umsatzliste_Girokonto_DE98120300001061711675.csv</x:v>
      </x:c>
      <x:c r="E624" t="n">
        <x:v>46163</x:v>
      </x:c>
      <x:c r="F624" t="n">
        <x:v>607</x:v>
      </x:c>
      <x:c r="G624" t="str">
        <x:v>c4b7e6d5f686143510e36a25de882ad96530d9ca00eb8b433ce663965d654d79</x:v>
      </x:c>
      <x:c r="H624" t="str">
        <x:v>neu</x:v>
      </x:c>
      <x:c r="I624" t="str">
        <x:v>ok</x:v>
      </x:c>
      <x:c r="J624"/>
      <x:c r="K624" t="n">
        <x:v>45952</x:v>
      </x:c>
      <x:c r="L624" t="n">
        <x:v>45952</x:v>
      </x:c>
      <x:c r="M624" t="str">
        <x:v>Gebucht</x:v>
      </x:c>
      <x:c r="N624" t="str">
        <x:v>Lars Kohlenberg</x:v>
      </x:c>
      <x:c r="O624" t="str">
        <x:v>Thermondo GmbH</x:v>
      </x:c>
      <x:c r="P624" t="str">
        <x:v>Rechnung WC258K0G-001</x:v>
      </x:c>
      <x:c r="Q624" t="str">
        <x:v>Ausgang</x:v>
      </x:c>
      <x:c r="R624" t="str">
        <x:v>DE49100900002559239006</x:v>
      </x:c>
      <x:c r="S624" t="n">
        <x:v>-448.9</x:v>
      </x:c>
      <x:c r="T624" t="str">
        <x:v>"</x:v>
      </x:c>
      <x:c r="U624" t="str">
        <x:v>"</x:v>
      </x:c>
      <x:c r="V624" t="str">
        <x:v>"</x:v>
      </x:c>
    </x:row>
    <x:row r="625">
      <x:c r="A625" t="str">
        <x:v>RAW-IMP-20260516-FULLDRAFT-000608</x:v>
      </x:c>
      <x:c r="B625" t="str">
        <x:v>IMP-20260516-FULLDRAFT</x:v>
      </x:c>
      <x:c r="C625" t="str">
        <x:v>KTO001</x:v>
      </x:c>
      <x:c r="D625" t="str">
        <x:v>16-05-2026_Umsatzliste_Girokonto_DE98120300001061711675.csv</x:v>
      </x:c>
      <x:c r="E625" t="n">
        <x:v>46163</x:v>
      </x:c>
      <x:c r="F625" t="n">
        <x:v>608</x:v>
      </x:c>
      <x:c r="G625" t="str">
        <x:v>0ad3ac61166c1e7bae6e2f68dcbcbd5992eb87cc0568eb35e985e890e20cd1a4</x:v>
      </x:c>
      <x:c r="H625" t="str">
        <x:v>neu</x:v>
      </x:c>
      <x:c r="I625" t="str">
        <x:v>ok</x:v>
      </x:c>
      <x:c r="J625"/>
      <x:c r="K625" t="n">
        <x:v>45952</x:v>
      </x:c>
      <x:c r="L625" t="n">
        <x:v>45952</x:v>
      </x:c>
      <x:c r="M625" t="str">
        <x:v>Gebucht</x:v>
      </x:c>
      <x:c r="N625" t="str">
        <x:v>ISSUER</x:v>
      </x:c>
      <x:c r="O625" t="str">
        <x:v>Espresso.House.879/Haugesund</x:v>
      </x:c>
      <x:c r="P625" t="str">
        <x:v>VISA Debitkartenumsatz vom 21.10.2025 in Fremdwährung / Ursprungsbetrag in Fremdwährung 303,00 NOK / Umrechnungsrate: 1 Euro=11,74149920 NOK</x:v>
      </x:c>
      <x:c r="Q625" t="str">
        <x:v>Ausgang</x:v>
      </x:c>
      <x:c r="R625" t="str">
        <x:v>DE96120300009005290904</x:v>
      </x:c>
      <x:c r="S625" t="n">
        <x:v>-25.81</x:v>
      </x:c>
      <x:c r="T625" t="str">
        <x:v>"</x:v>
      </x:c>
      <x:c r="U625" t="str">
        <x:v>"</x:v>
      </x:c>
      <x:c r="V625" t="str">
        <x:v>485294501949135</x:v>
      </x:c>
    </x:row>
    <x:row r="626">
      <x:c r="A626" t="str">
        <x:v>RAW-IMP-20260516-FULLDRAFT-000609</x:v>
      </x:c>
      <x:c r="B626" t="str">
        <x:v>IMP-20260516-FULLDRAFT</x:v>
      </x:c>
      <x:c r="C626" t="str">
        <x:v>KTO001</x:v>
      </x:c>
      <x:c r="D626" t="str">
        <x:v>16-05-2026_Umsatzliste_Girokonto_DE98120300001061711675.csv</x:v>
      </x:c>
      <x:c r="E626" t="n">
        <x:v>46163</x:v>
      </x:c>
      <x:c r="F626" t="n">
        <x:v>609</x:v>
      </x:c>
      <x:c r="G626" t="str">
        <x:v>8748585df1aa24658e6bae6e4a4601fa580a37f00a27ef6077bc2965911fa80f</x:v>
      </x:c>
      <x:c r="H626" t="str">
        <x:v>neu</x:v>
      </x:c>
      <x:c r="I626" t="str">
        <x:v>ok</x:v>
      </x:c>
      <x:c r="J626"/>
      <x:c r="K626" t="n">
        <x:v>45952</x:v>
      </x:c>
      <x:c r="L626" t="n">
        <x:v>45952</x:v>
      </x:c>
      <x:c r="M626" t="str">
        <x:v>Gebucht</x:v>
      </x:c>
      <x:c r="N626" t="str">
        <x:v>ISSUER</x:v>
      </x:c>
      <x:c r="O626" t="str">
        <x:v>FJORDBUDA.HAUGESUND/HAUGESUND</x:v>
      </x:c>
      <x:c r="P626" t="str">
        <x:v>VISA Debitkartenumsatz vom 21.10.2025 in Fremdwährung / Ursprungsbetrag in Fremdwährung 128,00 NOK / Umrechnungsrate: 1 Euro=11,74149920 NOK</x:v>
      </x:c>
      <x:c r="Q626" t="str">
        <x:v>Ausgang</x:v>
      </x:c>
      <x:c r="R626" t="str">
        <x:v>DE96120300009005290904</x:v>
      </x:c>
      <x:c r="S626" t="n">
        <x:v>-10.9</x:v>
      </x:c>
      <x:c r="T626" t="str">
        <x:v>"</x:v>
      </x:c>
      <x:c r="U626" t="str">
        <x:v>"</x:v>
      </x:c>
      <x:c r="V626" t="str">
        <x:v>485294488848387</x:v>
      </x:c>
    </x:row>
    <x:row r="627">
      <x:c r="A627" t="str">
        <x:v>RAW-IMP-20260516-FULLDRAFT-000610</x:v>
      </x:c>
      <x:c r="B627" t="str">
        <x:v>IMP-20260516-FULLDRAFT</x:v>
      </x:c>
      <x:c r="C627" t="str">
        <x:v>KTO001</x:v>
      </x:c>
      <x:c r="D627" t="str">
        <x:v>16-05-2026_Umsatzliste_Girokonto_DE98120300001061711675.csv</x:v>
      </x:c>
      <x:c r="E627" t="n">
        <x:v>46163</x:v>
      </x:c>
      <x:c r="F627" t="n">
        <x:v>610</x:v>
      </x:c>
      <x:c r="G627" t="str">
        <x:v>0d1b3fa28b2b65946afb58f8f0195d007f904ecb1b8b6004c01f89c03916f725</x:v>
      </x:c>
      <x:c r="H627" t="str">
        <x:v>neu</x:v>
      </x:c>
      <x:c r="I627" t="str">
        <x:v>ok</x:v>
      </x:c>
      <x:c r="J627"/>
      <x:c r="K627" t="n">
        <x:v>45952</x:v>
      </x:c>
      <x:c r="L627" t="n">
        <x:v>45952</x:v>
      </x:c>
      <x:c r="M627" t="str">
        <x:v>Gebucht</x:v>
      </x:c>
      <x:c r="N627" t="str">
        <x:v>ISSUER</x:v>
      </x:c>
      <x:c r="O627" t="str">
        <x:v>APPLE.COM.BILL/CORK</x:v>
      </x:c>
      <x:c r="P627" t="str">
        <x:v>VISA Debitkartenumsatz vom 21.10.2025</x:v>
      </x:c>
      <x:c r="Q627" t="str">
        <x:v>Ausgang</x:v>
      </x:c>
      <x:c r="R627" t="str">
        <x:v>DE96120300009005290904</x:v>
      </x:c>
      <x:c r="S627" t="n">
        <x:v>-2.99</x:v>
      </x:c>
      <x:c r="T627" t="str">
        <x:v>"</x:v>
      </x:c>
      <x:c r="U627" t="str">
        <x:v>"</x:v>
      </x:c>
      <x:c r="V627" t="str">
        <x:v>485294466287145</x:v>
      </x:c>
    </x:row>
    <x:row r="628">
      <x:c r="A628" t="str">
        <x:v>RAW-IMP-20260516-FULLDRAFT-000611</x:v>
      </x:c>
      <x:c r="B628" t="str">
        <x:v>IMP-20260516-FULLDRAFT</x:v>
      </x:c>
      <x:c r="C628" t="str">
        <x:v>KTO001</x:v>
      </x:c>
      <x:c r="D628" t="str">
        <x:v>16-05-2026_Umsatzliste_Girokonto_DE98120300001061711675.csv</x:v>
      </x:c>
      <x:c r="E628" t="n">
        <x:v>46163</x:v>
      </x:c>
      <x:c r="F628" t="n">
        <x:v>611</x:v>
      </x:c>
      <x:c r="G628" t="str">
        <x:v>f2af97c9ab8101d3ad42fa4d5eb5ee350c3f9a8aa6654d6e8d7e273da5cfce4b</x:v>
      </x:c>
      <x:c r="H628" t="str">
        <x:v>neu</x:v>
      </x:c>
      <x:c r="I628" t="str">
        <x:v>ok</x:v>
      </x:c>
      <x:c r="J628"/>
      <x:c r="K628" t="n">
        <x:v>45952</x:v>
      </x:c>
      <x:c r="L628" t="n">
        <x:v>45952</x:v>
      </x:c>
      <x:c r="M628" t="str">
        <x:v>Gebucht</x:v>
      </x:c>
      <x:c r="N628" t="str">
        <x:v>Lars Kohlenberg</x:v>
      </x:c>
      <x:c r="O628" t="str">
        <x:v>Drillisch Online GmbH                                                 Wilhelm-Rontgen-Strase 1-5, 63477 Maintal</x:v>
      </x:c>
      <x:c r="P628" t="str">
        <x:v>C0851820 U752877079 B858765968 winSIM</x:v>
      </x:c>
      <x:c r="Q628" t="str">
        <x:v>Ausgang</x:v>
      </x:c>
      <x:c r="R628" t="str">
        <x:v>DE87300500000008996811</x:v>
      </x:c>
      <x:c r="S628" t="n">
        <x:v>-6.99</x:v>
      </x:c>
      <x:c r="T628" t="str">
        <x:v>DE40ZZZ00000206926</x:v>
      </x:c>
      <x:c r="U628" t="str">
        <x:v>FB1310D094B04186E02ACE7B8C6</x:v>
      </x:c>
      <x:c r="V628" t="str">
        <x:v>C0851820+U752877079</x:v>
      </x:c>
    </x:row>
    <x:row r="629">
      <x:c r="A629" t="str">
        <x:v>RAW-IMP-20260516-FULLDRAFT-000612</x:v>
      </x:c>
      <x:c r="B629" t="str">
        <x:v>IMP-20260516-FULLDRAFT</x:v>
      </x:c>
      <x:c r="C629" t="str">
        <x:v>KTO001</x:v>
      </x:c>
      <x:c r="D629" t="str">
        <x:v>16-05-2026_Umsatzliste_Girokonto_DE98120300001061711675.csv</x:v>
      </x:c>
      <x:c r="E629" t="n">
        <x:v>46163</x:v>
      </x:c>
      <x:c r="F629" t="n">
        <x:v>612</x:v>
      </x:c>
      <x:c r="G629" t="str">
        <x:v>79e97d2e15f3dfcfa75e745cae8eb559d197d2b66ec6e693ea7806d982a2d59d</x:v>
      </x:c>
      <x:c r="H629" t="str">
        <x:v>neu</x:v>
      </x:c>
      <x:c r="I629" t="str">
        <x:v>ok</x:v>
      </x:c>
      <x:c r="J629"/>
      <x:c r="K629" t="n">
        <x:v>45952</x:v>
      </x:c>
      <x:c r="L629" t="n">
        <x:v>45952</x:v>
      </x:c>
      <x:c r="M629" t="str">
        <x:v>Gebucht</x:v>
      </x:c>
      <x:c r="N629" t="str">
        <x:v>Lars Kohlenberg</x:v>
      </x:c>
      <x:c r="O629" t="str">
        <x:v>Drillisch Online GmbH                                                 Wilhelm-Rontgen-Strase 1-5, 63477 Maintal</x:v>
      </x:c>
      <x:c r="P629" t="str">
        <x:v>C0851820 U751317803 B859747877 winSIM</x:v>
      </x:c>
      <x:c r="Q629" t="str">
        <x:v>Ausgang</x:v>
      </x:c>
      <x:c r="R629" t="str">
        <x:v>DE87300500000008996811</x:v>
      </x:c>
      <x:c r="S629" t="n">
        <x:v>-6.99</x:v>
      </x:c>
      <x:c r="T629" t="str">
        <x:v>DE40ZZZ00000206926</x:v>
      </x:c>
      <x:c r="U629" t="str">
        <x:v>FB1310D094B04186E02ACE7B8C6</x:v>
      </x:c>
      <x:c r="V629" t="str">
        <x:v>C0851820+U751317803</x:v>
      </x:c>
    </x:row>
    <x:row r="630">
      <x:c r="A630" t="str">
        <x:v>RAW-IMP-20260516-FULLDRAFT-000613</x:v>
      </x:c>
      <x:c r="B630" t="str">
        <x:v>IMP-20260516-FULLDRAFT</x:v>
      </x:c>
      <x:c r="C630" t="str">
        <x:v>KTO001</x:v>
      </x:c>
      <x:c r="D630" t="str">
        <x:v>16-05-2026_Umsatzliste_Girokonto_DE98120300001061711675.csv</x:v>
      </x:c>
      <x:c r="E630" t="n">
        <x:v>46163</x:v>
      </x:c>
      <x:c r="F630" t="n">
        <x:v>613</x:v>
      </x:c>
      <x:c r="G630" t="str">
        <x:v>06cc4467ea680214a69a262fafed95faf99e15bafeb9aab51c00539102f42c85</x:v>
      </x:c>
      <x:c r="H630" t="str">
        <x:v>neu</x:v>
      </x:c>
      <x:c r="I630" t="str">
        <x:v>ok</x:v>
      </x:c>
      <x:c r="J630"/>
      <x:c r="K630" t="n">
        <x:v>45951</x:v>
      </x:c>
      <x:c r="L630" t="n">
        <x:v>45951</x:v>
      </x:c>
      <x:c r="M630" t="str">
        <x:v>Gebucht</x:v>
      </x:c>
      <x:c r="N630" t="str">
        <x:v>ISSUER</x:v>
      </x:c>
      <x:c r="O630" t="str">
        <x:v>PAYPAL..HPDEUTSCHLA/4029357733</x:v>
      </x:c>
      <x:c r="P630" t="str">
        <x:v>VISA Debitkartenumsatz vom 19.10.2025</x:v>
      </x:c>
      <x:c r="Q630" t="str">
        <x:v>Ausgang</x:v>
      </x:c>
      <x:c r="R630" t="str">
        <x:v>DE96120300009005290904</x:v>
      </x:c>
      <x:c r="S630" t="n">
        <x:v>-4.99</x:v>
      </x:c>
      <x:c r="T630" t="str">
        <x:v>"</x:v>
      </x:c>
      <x:c r="U630" t="str">
        <x:v>"</x:v>
      </x:c>
      <x:c r="V630" t="str">
        <x:v>385293035330368</x:v>
      </x:c>
    </x:row>
    <x:row r="631">
      <x:c r="A631" t="str">
        <x:v>RAW-IMP-20260516-FULLDRAFT-000614</x:v>
      </x:c>
      <x:c r="B631" t="str">
        <x:v>IMP-20260516-FULLDRAFT</x:v>
      </x:c>
      <x:c r="C631" t="str">
        <x:v>KTO001</x:v>
      </x:c>
      <x:c r="D631" t="str">
        <x:v>16-05-2026_Umsatzliste_Girokonto_DE98120300001061711675.csv</x:v>
      </x:c>
      <x:c r="E631" t="n">
        <x:v>46163</x:v>
      </x:c>
      <x:c r="F631" t="n">
        <x:v>614</x:v>
      </x:c>
      <x:c r="G631" t="str">
        <x:v>fbbbc1861afc8911d6c89cfb4af3de289e93d0eafe337bb01b20e87b5ec7a1a5</x:v>
      </x:c>
      <x:c r="H631" t="str">
        <x:v>neu</x:v>
      </x:c>
      <x:c r="I631" t="str">
        <x:v>ok</x:v>
      </x:c>
      <x:c r="J631"/>
      <x:c r="K631" t="n">
        <x:v>45951</x:v>
      </x:c>
      <x:c r="L631" t="n">
        <x:v>45951</x:v>
      </x:c>
      <x:c r="M631" t="str">
        <x:v>Gebucht</x:v>
      </x:c>
      <x:c r="N631" t="str">
        <x:v>Lars Kohlenberg</x:v>
      </x:c>
      <x:c r="O631" t="str">
        <x:v>Drillisch Online GmbH                                                 Wilhelm-Rontgen-Strase 1-5, 63477 Maintal</x:v>
      </x:c>
      <x:c r="P631" t="str">
        <x:v>C0851820 U750467865 B858313960 winSIM</x:v>
      </x:c>
      <x:c r="Q631" t="str">
        <x:v>Ausgang</x:v>
      </x:c>
      <x:c r="R631" t="str">
        <x:v>DE87300500000008996811</x:v>
      </x:c>
      <x:c r="S631" t="n">
        <x:v>-6.99</x:v>
      </x:c>
      <x:c r="T631" t="str">
        <x:v>DE40ZZZ00000206926</x:v>
      </x:c>
      <x:c r="U631" t="str">
        <x:v>FB1310D094B04186E02ACE7B8C6</x:v>
      </x:c>
      <x:c r="V631" t="str">
        <x:v>C0851820+U750467865</x:v>
      </x:c>
    </x:row>
    <x:row r="632">
      <x:c r="A632" t="str">
        <x:v>RAW-IMP-20260516-FULLDRAFT-000615</x:v>
      </x:c>
      <x:c r="B632" t="str">
        <x:v>IMP-20260516-FULLDRAFT</x:v>
      </x:c>
      <x:c r="C632" t="str">
        <x:v>KTO001</x:v>
      </x:c>
      <x:c r="D632" t="str">
        <x:v>16-05-2026_Umsatzliste_Girokonto_DE98120300001061711675.csv</x:v>
      </x:c>
      <x:c r="E632" t="n">
        <x:v>46163</x:v>
      </x:c>
      <x:c r="F632" t="n">
        <x:v>615</x:v>
      </x:c>
      <x:c r="G632" t="str">
        <x:v>d4a3c439f199efa6a34383ca4a598d80d1f411bddaea8d1458c096f1130e60f0</x:v>
      </x:c>
      <x:c r="H632" t="str">
        <x:v>neu</x:v>
      </x:c>
      <x:c r="I632" t="str">
        <x:v>ok</x:v>
      </x:c>
      <x:c r="J632"/>
      <x:c r="K632" t="n">
        <x:v>45950</x:v>
      </x:c>
      <x:c r="L632" t="n">
        <x:v>45950</x:v>
      </x:c>
      <x:c r="M632" t="str">
        <x:v>Gebucht</x:v>
      </x:c>
      <x:c r="N632" t="str">
        <x:v>ISSUER</x:v>
      </x:c>
      <x:c r="O632" t="str">
        <x:v>SP.HIGHLAND.PARK.RETAI/GLASGOW</x:v>
      </x:c>
      <x:c r="P632" t="str">
        <x:v>VISA Debitkartenumsatz vom 19.10.2025 in Fremdwährung / Ursprungsbetrag in Fremdwährung 7,50 GBP / Umrechnungsrate: 1 Euro=0,86949720 GBP</x:v>
      </x:c>
      <x:c r="Q632" t="str">
        <x:v>Ausgang</x:v>
      </x:c>
      <x:c r="R632" t="str">
        <x:v>DE96120300009005290904</x:v>
      </x:c>
      <x:c r="S632" t="n">
        <x:v>-8.63</x:v>
      </x:c>
      <x:c r="T632" t="str">
        <x:v>"</x:v>
      </x:c>
      <x:c r="U632" t="str">
        <x:v>"</x:v>
      </x:c>
      <x:c r="V632" t="str">
        <x:v>485292391240787</x:v>
      </x:c>
    </x:row>
    <x:row r="633">
      <x:c r="A633" t="str">
        <x:v>RAW-IMP-20260516-FULLDRAFT-000616</x:v>
      </x:c>
      <x:c r="B633" t="str">
        <x:v>IMP-20260516-FULLDRAFT</x:v>
      </x:c>
      <x:c r="C633" t="str">
        <x:v>KTO001</x:v>
      </x:c>
      <x:c r="D633" t="str">
        <x:v>16-05-2026_Umsatzliste_Girokonto_DE98120300001061711675.csv</x:v>
      </x:c>
      <x:c r="E633" t="n">
        <x:v>46163</x:v>
      </x:c>
      <x:c r="F633" t="n">
        <x:v>616</x:v>
      </x:c>
      <x:c r="G633" t="str">
        <x:v>93e2d533dd4844511771a062317f75aaf350f048df6a7f70fdb7c434199001fe</x:v>
      </x:c>
      <x:c r="H633" t="str">
        <x:v>neu</x:v>
      </x:c>
      <x:c r="I633" t="str">
        <x:v>ok</x:v>
      </x:c>
      <x:c r="J633"/>
      <x:c r="K633" t="n">
        <x:v>45950</x:v>
      </x:c>
      <x:c r="L633" t="n">
        <x:v>45950</x:v>
      </x:c>
      <x:c r="M633" t="str">
        <x:v>Gebucht</x:v>
      </x:c>
      <x:c r="N633" t="str">
        <x:v>ISSUER</x:v>
      </x:c>
      <x:c r="O633" t="str">
        <x:v>SP.HIGHLAND.PARK.RETAI/GLASGOW</x:v>
      </x:c>
      <x:c r="P633" t="str">
        <x:v>VISA Debitkartenumsatz vom 19.10.2025 in Fremdwährung / Ursprungsbetrag in Fremdwährung 15,00 GBP / Umrechnungsrate: 1 Euro=0,86949720 GBP</x:v>
      </x:c>
      <x:c r="Q633" t="str">
        <x:v>Ausgang</x:v>
      </x:c>
      <x:c r="R633" t="str">
        <x:v>DE96120300009005290904</x:v>
      </x:c>
      <x:c r="S633" t="n">
        <x:v>-17.25</x:v>
      </x:c>
      <x:c r="T633" t="str">
        <x:v>"</x:v>
      </x:c>
      <x:c r="U633" t="str">
        <x:v>"</x:v>
      </x:c>
      <x:c r="V633" t="str">
        <x:v>485292487979732</x:v>
      </x:c>
    </x:row>
    <x:row r="634">
      <x:c r="A634" t="str">
        <x:v>RAW-IMP-20260516-FULLDRAFT-000617</x:v>
      </x:c>
      <x:c r="B634" t="str">
        <x:v>IMP-20260516-FULLDRAFT</x:v>
      </x:c>
      <x:c r="C634" t="str">
        <x:v>KTO001</x:v>
      </x:c>
      <x:c r="D634" t="str">
        <x:v>16-05-2026_Umsatzliste_Girokonto_DE98120300001061711675.csv</x:v>
      </x:c>
      <x:c r="E634" t="n">
        <x:v>46163</x:v>
      </x:c>
      <x:c r="F634" t="n">
        <x:v>617</x:v>
      </x:c>
      <x:c r="G634" t="str">
        <x:v>af2ac3790a0f64877283e13feb978b7bc4f52ce42cd9e88f6c52e711cb237d06</x:v>
      </x:c>
      <x:c r="H634" t="str">
        <x:v>neu</x:v>
      </x:c>
      <x:c r="I634" t="str">
        <x:v>ok</x:v>
      </x:c>
      <x:c r="J634"/>
      <x:c r="K634" t="n">
        <x:v>45950</x:v>
      </x:c>
      <x:c r="L634" t="n">
        <x:v>45950</x:v>
      </x:c>
      <x:c r="M634" t="str">
        <x:v>Gebucht</x:v>
      </x:c>
      <x:c r="N634" t="str">
        <x:v>ISSUER</x:v>
      </x:c>
      <x:c r="O634" t="str">
        <x:v>SP.HIGHLAND.PARK.RETAI/GLASGOW</x:v>
      </x:c>
      <x:c r="P634" t="str">
        <x:v>VISA Debitkartenumsatz vom 19.10.2025 in Fremdwährung / Ursprungsbetrag in Fremdwährung 12,00 GBP / Umrechnungsrate: 1 Euro=0,86949720 GBP</x:v>
      </x:c>
      <x:c r="Q634" t="str">
        <x:v>Ausgang</x:v>
      </x:c>
      <x:c r="R634" t="str">
        <x:v>DE96120300009005290904</x:v>
      </x:c>
      <x:c r="S634" t="n">
        <x:v>-13.8</x:v>
      </x:c>
      <x:c r="T634" t="str">
        <x:v>"</x:v>
      </x:c>
      <x:c r="U634" t="str">
        <x:v>"</x:v>
      </x:c>
      <x:c r="V634" t="str">
        <x:v>485292399029907</x:v>
      </x:c>
    </x:row>
    <x:row r="635">
      <x:c r="A635" t="str">
        <x:v>RAW-IMP-20260516-FULLDRAFT-000618</x:v>
      </x:c>
      <x:c r="B635" t="str">
        <x:v>IMP-20260516-FULLDRAFT</x:v>
      </x:c>
      <x:c r="C635" t="str">
        <x:v>KTO001</x:v>
      </x:c>
      <x:c r="D635" t="str">
        <x:v>16-05-2026_Umsatzliste_Girokonto_DE98120300001061711675.csv</x:v>
      </x:c>
      <x:c r="E635" t="n">
        <x:v>46163</x:v>
      </x:c>
      <x:c r="F635" t="n">
        <x:v>618</x:v>
      </x:c>
      <x:c r="G635" t="str">
        <x:v>51f29aa64fa585debcc290deecb25699256af27953676fd50dd25c807148d719</x:v>
      </x:c>
      <x:c r="H635" t="str">
        <x:v>neu</x:v>
      </x:c>
      <x:c r="I635" t="str">
        <x:v>ok</x:v>
      </x:c>
      <x:c r="J635"/>
      <x:c r="K635" t="n">
        <x:v>45950</x:v>
      </x:c>
      <x:c r="L635" t="n">
        <x:v>45950</x:v>
      </x:c>
      <x:c r="M635" t="str">
        <x:v>Gebucht</x:v>
      </x:c>
      <x:c r="N635" t="str">
        <x:v>ISSUER</x:v>
      </x:c>
      <x:c r="O635" t="str">
        <x:v>Trenabies.Cafe.Bistro/Kirkwall</x:v>
      </x:c>
      <x:c r="P635" t="str">
        <x:v>VISA Debitkartenumsatz vom 19.10.2025 in Fremdwährung / Ursprungsbetrag in Fremdwährung 32,45 GBP / Umrechnungsrate: 1 Euro=0,86949720 GBP</x:v>
      </x:c>
      <x:c r="Q635" t="str">
        <x:v>Ausgang</x:v>
      </x:c>
      <x:c r="R635" t="str">
        <x:v>DE96120300009005290904</x:v>
      </x:c>
      <x:c r="S635" t="n">
        <x:v>-37.32</x:v>
      </x:c>
      <x:c r="T635" t="str">
        <x:v>"</x:v>
      </x:c>
      <x:c r="U635" t="str">
        <x:v>"</x:v>
      </x:c>
      <x:c r="V635" t="str">
        <x:v>485292480947065</x:v>
      </x:c>
    </x:row>
    <x:row r="636">
      <x:c r="A636" t="str">
        <x:v>RAW-IMP-20260516-FULLDRAFT-000619</x:v>
      </x:c>
      <x:c r="B636" t="str">
        <x:v>IMP-20260516-FULLDRAFT</x:v>
      </x:c>
      <x:c r="C636" t="str">
        <x:v>KTO001</x:v>
      </x:c>
      <x:c r="D636" t="str">
        <x:v>16-05-2026_Umsatzliste_Girokonto_DE98120300001061711675.csv</x:v>
      </x:c>
      <x:c r="E636" t="n">
        <x:v>46163</x:v>
      </x:c>
      <x:c r="F636" t="n">
        <x:v>619</x:v>
      </x:c>
      <x:c r="G636" t="str">
        <x:v>d21a2d35effd0afef11df62699907309f3a7984d3af82365c292805416e76e4d</x:v>
      </x:c>
      <x:c r="H636" t="str">
        <x:v>neu</x:v>
      </x:c>
      <x:c r="I636" t="str">
        <x:v>ok</x:v>
      </x:c>
      <x:c r="J636"/>
      <x:c r="K636" t="n">
        <x:v>45950</x:v>
      </x:c>
      <x:c r="L636" t="n">
        <x:v>45950</x:v>
      </x:c>
      <x:c r="M636" t="str">
        <x:v>Gebucht</x:v>
      </x:c>
      <x:c r="N636" t="str">
        <x:v>ISSUER</x:v>
      </x:c>
      <x:c r="O636" t="str">
        <x:v>SP.HIGHLAND.PARK.RETAI/GLASGOW</x:v>
      </x:c>
      <x:c r="P636" t="str">
        <x:v>VISA Debitkartenumsatz vom 19.10.2025 in Fremdwährung / Ursprungsbetrag in Fremdwährung 7,50 GBP / Umrechnungsrate: 1 Euro=0,86949720 GBP</x:v>
      </x:c>
      <x:c r="Q636" t="str">
        <x:v>Ausgang</x:v>
      </x:c>
      <x:c r="R636" t="str">
        <x:v>DE96120300009005290904</x:v>
      </x:c>
      <x:c r="S636" t="n">
        <x:v>-8.63</x:v>
      </x:c>
      <x:c r="T636" t="str">
        <x:v>"</x:v>
      </x:c>
      <x:c r="U636" t="str">
        <x:v>"</x:v>
      </x:c>
      <x:c r="V636" t="str">
        <x:v>485292390811693</x:v>
      </x:c>
    </x:row>
    <x:row r="637">
      <x:c r="A637" t="str">
        <x:v>RAW-IMP-20260516-FULLDRAFT-000620</x:v>
      </x:c>
      <x:c r="B637" t="str">
        <x:v>IMP-20260516-FULLDRAFT</x:v>
      </x:c>
      <x:c r="C637" t="str">
        <x:v>KTO001</x:v>
      </x:c>
      <x:c r="D637" t="str">
        <x:v>16-05-2026_Umsatzliste_Girokonto_DE98120300001061711675.csv</x:v>
      </x:c>
      <x:c r="E637" t="n">
        <x:v>46163</x:v>
      </x:c>
      <x:c r="F637" t="n">
        <x:v>620</x:v>
      </x:c>
      <x:c r="G637" t="str">
        <x:v>4b8e7b2207957e338930bbce6fc46858ffd10bd6e03449fd6770a405cbe87a89</x:v>
      </x:c>
      <x:c r="H637" t="str">
        <x:v>neu</x:v>
      </x:c>
      <x:c r="I637" t="str">
        <x:v>ok</x:v>
      </x:c>
      <x:c r="J637"/>
      <x:c r="K637" t="n">
        <x:v>45950</x:v>
      </x:c>
      <x:c r="L637" t="n">
        <x:v>45950</x:v>
      </x:c>
      <x:c r="M637" t="str">
        <x:v>Gebucht</x:v>
      </x:c>
      <x:c r="N637" t="str">
        <x:v>ISSUER</x:v>
      </x:c>
      <x:c r="O637" t="str">
        <x:v>Cafe.Biagiotti/Beauly</x:v>
      </x:c>
      <x:c r="P637" t="str">
        <x:v>VISA Debitkartenumsatz vom 18.10.2025 in Fremdwährung / Ursprungsbetrag in Fremdwährung 11,50 GBP / Umrechnungsrate: 1 Euro=0,86949720 GBP</x:v>
      </x:c>
      <x:c r="Q637" t="str">
        <x:v>Ausgang</x:v>
      </x:c>
      <x:c r="R637" t="str">
        <x:v>DE96120300009005290904</x:v>
      </x:c>
      <x:c r="S637" t="n">
        <x:v>-13.23</x:v>
      </x:c>
      <x:c r="T637" t="str">
        <x:v>"</x:v>
      </x:c>
      <x:c r="U637" t="str">
        <x:v>"</x:v>
      </x:c>
      <x:c r="V637" t="str">
        <x:v>485291364510551</x:v>
      </x:c>
    </x:row>
    <x:row r="638">
      <x:c r="A638" t="str">
        <x:v>RAW-IMP-20260516-FULLDRAFT-000621</x:v>
      </x:c>
      <x:c r="B638" t="str">
        <x:v>IMP-20260516-FULLDRAFT</x:v>
      </x:c>
      <x:c r="C638" t="str">
        <x:v>KTO001</x:v>
      </x:c>
      <x:c r="D638" t="str">
        <x:v>16-05-2026_Umsatzliste_Girokonto_DE98120300001061711675.csv</x:v>
      </x:c>
      <x:c r="E638" t="n">
        <x:v>46163</x:v>
      </x:c>
      <x:c r="F638" t="n">
        <x:v>621</x:v>
      </x:c>
      <x:c r="G638" t="str">
        <x:v>7c90c831a4ff6132c024b7acabd1f743c594438bdac033632267e333b2eb2a70</x:v>
      </x:c>
      <x:c r="H638" t="str">
        <x:v>neu</x:v>
      </x:c>
      <x:c r="I638" t="str">
        <x:v>ok</x:v>
      </x:c>
      <x:c r="J638"/>
      <x:c r="K638" t="n">
        <x:v>45950</x:v>
      </x:c>
      <x:c r="L638" t="n">
        <x:v>45950</x:v>
      </x:c>
      <x:c r="M638" t="str">
        <x:v>Gebucht</x:v>
      </x:c>
      <x:c r="N638" t="str">
        <x:v>ISSUER</x:v>
      </x:c>
      <x:c r="O638" t="str">
        <x:v>SCRAN/ALNESS</x:v>
      </x:c>
      <x:c r="P638" t="str">
        <x:v>VISA Debitkartenumsatz vom 17.10.2025 in Fremdwährung / Ursprungsbetrag in Fremdwährung 19,40 GBP / Umrechnungsrate: 1 Euro=0,86759620 GBP</x:v>
      </x:c>
      <x:c r="Q638" t="str">
        <x:v>Ausgang</x:v>
      </x:c>
      <x:c r="R638" t="str">
        <x:v>DE96120300009005290904</x:v>
      </x:c>
      <x:c r="S638" t="n">
        <x:v>-22.36</x:v>
      </x:c>
      <x:c r="T638" t="str">
        <x:v>"</x:v>
      </x:c>
      <x:c r="U638" t="str">
        <x:v>"</x:v>
      </x:c>
      <x:c r="V638" t="str">
        <x:v>485290478662649</x:v>
      </x:c>
    </x:row>
    <x:row r="639">
      <x:c r="A639" t="str">
        <x:v>RAW-IMP-20260516-FULLDRAFT-000622</x:v>
      </x:c>
      <x:c r="B639" t="str">
        <x:v>IMP-20260516-FULLDRAFT</x:v>
      </x:c>
      <x:c r="C639" t="str">
        <x:v>KTO001</x:v>
      </x:c>
      <x:c r="D639" t="str">
        <x:v>16-05-2026_Umsatzliste_Girokonto_DE98120300001061711675.csv</x:v>
      </x:c>
      <x:c r="E639" t="n">
        <x:v>46163</x:v>
      </x:c>
      <x:c r="F639" t="n">
        <x:v>622</x:v>
      </x:c>
      <x:c r="G639" t="str">
        <x:v>f79c60bddd40d9642170954ee0beef7edcf46b7520cfac22b287dd87980dbc84</x:v>
      </x:c>
      <x:c r="H639" t="str">
        <x:v>neu</x:v>
      </x:c>
      <x:c r="I639" t="str">
        <x:v>ok</x:v>
      </x:c>
      <x:c r="J639"/>
      <x:c r="K639" t="n">
        <x:v>45950</x:v>
      </x:c>
      <x:c r="L639" t="n">
        <x:v>45950</x:v>
      </x:c>
      <x:c r="M639" t="str">
        <x:v>Gebucht</x:v>
      </x:c>
      <x:c r="N639" t="str">
        <x:v>ISSUER</x:v>
      </x:c>
      <x:c r="O639" t="str">
        <x:v>SCOTMID.COOP.0048/HIGHLAND</x:v>
      </x:c>
      <x:c r="P639" t="str">
        <x:v>VISA Debitkartenumsatz vom 18.10.2025 in Fremdwährung / Ursprungsbetrag in Fremdwährung 0,85 GBP / Umrechnungsrate: 1 Euro=0,86949720 GBP</x:v>
      </x:c>
      <x:c r="Q639" t="str">
        <x:v>Ausgang</x:v>
      </x:c>
      <x:c r="R639" t="str">
        <x:v>DE96120300009005290904</x:v>
      </x:c>
      <x:c r="S639" t="n">
        <x:v>-0.98</x:v>
      </x:c>
      <x:c r="T639" t="str">
        <x:v>"</x:v>
      </x:c>
      <x:c r="U639" t="str">
        <x:v>"</x:v>
      </x:c>
      <x:c r="V639" t="str">
        <x:v>485291382755035</x:v>
      </x:c>
    </x:row>
    <x:row r="640">
      <x:c r="A640" t="str">
        <x:v>RAW-IMP-20260516-FULLDRAFT-000623</x:v>
      </x:c>
      <x:c r="B640" t="str">
        <x:v>IMP-20260516-FULLDRAFT</x:v>
      </x:c>
      <x:c r="C640" t="str">
        <x:v>KTO001</x:v>
      </x:c>
      <x:c r="D640" t="str">
        <x:v>16-05-2026_Umsatzliste_Girokonto_DE98120300001061711675.csv</x:v>
      </x:c>
      <x:c r="E640" t="n">
        <x:v>46163</x:v>
      </x:c>
      <x:c r="F640" t="n">
        <x:v>623</x:v>
      </x:c>
      <x:c r="G640" t="str">
        <x:v>d9e22dd85a8fa29fc6763a98995265f2f5bdc5dc3327b88f0b018d5897fff61d</x:v>
      </x:c>
      <x:c r="H640" t="str">
        <x:v>neu</x:v>
      </x:c>
      <x:c r="I640" t="str">
        <x:v>ok</x:v>
      </x:c>
      <x:c r="J640"/>
      <x:c r="K640" t="n">
        <x:v>45950</x:v>
      </x:c>
      <x:c r="L640" t="n">
        <x:v>45950</x:v>
      </x:c>
      <x:c r="M640" t="str">
        <x:v>Gebucht</x:v>
      </x:c>
      <x:c r="N640" t="str">
        <x:v>ISSUER</x:v>
      </x:c>
      <x:c r="O640" t="str">
        <x:v>CO.OP.GROUP.FOOD/INVERGORDON</x:v>
      </x:c>
      <x:c r="P640" t="str">
        <x:v>VISA Debitkartenumsatz vom 18.10.2025 in Fremdwährung / Ursprungsbetrag in Fremdwährung 13,45 GBP / Umrechnungsrate: 1 Euro=0,86949720 GBP</x:v>
      </x:c>
      <x:c r="Q640" t="str">
        <x:v>Ausgang</x:v>
      </x:c>
      <x:c r="R640" t="str">
        <x:v>DE96120300009005290904</x:v>
      </x:c>
      <x:c r="S640" t="n">
        <x:v>-15.47</x:v>
      </x:c>
      <x:c r="T640" t="str">
        <x:v>"</x:v>
      </x:c>
      <x:c r="U640" t="str">
        <x:v>"</x:v>
      </x:c>
      <x:c r="V640" t="str">
        <x:v>485291565145928</x:v>
      </x:c>
    </x:row>
    <x:row r="641">
      <x:c r="A641" t="str">
        <x:v>RAW-IMP-20260516-FULLDRAFT-000624</x:v>
      </x:c>
      <x:c r="B641" t="str">
        <x:v>IMP-20260516-FULLDRAFT</x:v>
      </x:c>
      <x:c r="C641" t="str">
        <x:v>KTO001</x:v>
      </x:c>
      <x:c r="D641" t="str">
        <x:v>16-05-2026_Umsatzliste_Girokonto_DE98120300001061711675.csv</x:v>
      </x:c>
      <x:c r="E641" t="n">
        <x:v>46163</x:v>
      </x:c>
      <x:c r="F641" t="n">
        <x:v>624</x:v>
      </x:c>
      <x:c r="G641" t="str">
        <x:v>a2a290cbf0d9ed961560439eda350f782239501b3dcdd32872d32471e1df698c</x:v>
      </x:c>
      <x:c r="H641" t="str">
        <x:v>neu</x:v>
      </x:c>
      <x:c r="I641" t="str">
        <x:v>ok</x:v>
      </x:c>
      <x:c r="J641"/>
      <x:c r="K641" t="n">
        <x:v>45947</x:v>
      </x:c>
      <x:c r="L641" t="n">
        <x:v>45947</x:v>
      </x:c>
      <x:c r="M641" t="str">
        <x:v>Gebucht</x:v>
      </x:c>
      <x:c r="N641" t="str">
        <x:v>ISSUER</x:v>
      </x:c>
      <x:c r="O641" t="str">
        <x:v>MARKS.SPENCER.PLC/NEWCASTLE</x:v>
      </x:c>
      <x:c r="P641" t="str">
        <x:v>VISA Debitkartenumsatz vom 16.10.2025 in Fremdwährung / Ursprungsbetrag in Fremdwährung 8,35 GBP / Umrechnungsrate: 1 Euro=0,87049630 GBP</x:v>
      </x:c>
      <x:c r="Q641" t="str">
        <x:v>Ausgang</x:v>
      </x:c>
      <x:c r="R641" t="str">
        <x:v>DE96120300009005290904</x:v>
      </x:c>
      <x:c r="S641" t="n">
        <x:v>-9.59</x:v>
      </x:c>
      <x:c r="T641" t="str">
        <x:v>"</x:v>
      </x:c>
      <x:c r="U641" t="str">
        <x:v>"</x:v>
      </x:c>
      <x:c r="V641" t="str">
        <x:v>485289446392606</x:v>
      </x:c>
    </x:row>
    <x:row r="642">
      <x:c r="A642" t="str">
        <x:v>RAW-IMP-20260516-FULLDRAFT-000625</x:v>
      </x:c>
      <x:c r="B642" t="str">
        <x:v>IMP-20260516-FULLDRAFT</x:v>
      </x:c>
      <x:c r="C642" t="str">
        <x:v>KTO001</x:v>
      </x:c>
      <x:c r="D642" t="str">
        <x:v>16-05-2026_Umsatzliste_Girokonto_DE98120300001061711675.csv</x:v>
      </x:c>
      <x:c r="E642" t="n">
        <x:v>46163</x:v>
      </x:c>
      <x:c r="F642" t="n">
        <x:v>625</x:v>
      </x:c>
      <x:c r="G642" t="str">
        <x:v>6c8eab8118d6990c0f82a8bb571f9b7bdfc4ce1621eca239956c6b4d93c97468</x:v>
      </x:c>
      <x:c r="H642" t="str">
        <x:v>neu</x:v>
      </x:c>
      <x:c r="I642" t="str">
        <x:v>ok</x:v>
      </x:c>
      <x:c r="J642"/>
      <x:c r="K642" t="n">
        <x:v>45947</x:v>
      </x:c>
      <x:c r="L642" t="n">
        <x:v>45947</x:v>
      </x:c>
      <x:c r="M642" t="str">
        <x:v>Gebucht</x:v>
      </x:c>
      <x:c r="N642" t="str">
        <x:v>ISSUER</x:v>
      </x:c>
      <x:c r="O642" t="str">
        <x:v>NEXUS.TRAVEL.SHOP/NORTH.SHIELDS</x:v>
      </x:c>
      <x:c r="P642" t="str">
        <x:v>VISA Debitkartenumsatz vom 16.10.2025 in Fremdwährung / Ursprungsbetrag in Fremdwährung 13,80 GBP / Umrechnungsrate: 1 Euro=0,87049630 GBP</x:v>
      </x:c>
      <x:c r="Q642" t="str">
        <x:v>Ausgang</x:v>
      </x:c>
      <x:c r="R642" t="str">
        <x:v>DE96120300009005290904</x:v>
      </x:c>
      <x:c r="S642" t="n">
        <x:v>-15.85</x:v>
      </x:c>
      <x:c r="T642" t="str">
        <x:v>"</x:v>
      </x:c>
      <x:c r="U642" t="str">
        <x:v>"</x:v>
      </x:c>
      <x:c r="V642" t="str">
        <x:v>485289307925537</x:v>
      </x:c>
    </x:row>
    <x:row r="643">
      <x:c r="A643" t="str">
        <x:v>RAW-IMP-20260516-FULLDRAFT-000626</x:v>
      </x:c>
      <x:c r="B643" t="str">
        <x:v>IMP-20260516-FULLDRAFT</x:v>
      </x:c>
      <x:c r="C643" t="str">
        <x:v>KTO001</x:v>
      </x:c>
      <x:c r="D643" t="str">
        <x:v>16-05-2026_Umsatzliste_Girokonto_DE98120300001061711675.csv</x:v>
      </x:c>
      <x:c r="E643" t="n">
        <x:v>46163</x:v>
      </x:c>
      <x:c r="F643" t="n">
        <x:v>626</x:v>
      </x:c>
      <x:c r="G643" t="str">
        <x:v>9273b964eab2effec848323871b86b6d3900843de72d46fdc589def6ceb5083e</x:v>
      </x:c>
      <x:c r="H643" t="str">
        <x:v>neu</x:v>
      </x:c>
      <x:c r="I643" t="str">
        <x:v>ok</x:v>
      </x:c>
      <x:c r="J643"/>
      <x:c r="K643" t="n">
        <x:v>45947</x:v>
      </x:c>
      <x:c r="L643" t="n">
        <x:v>45947</x:v>
      </x:c>
      <x:c r="M643" t="str">
        <x:v>Gebucht</x:v>
      </x:c>
      <x:c r="N643" t="str">
        <x:v>ISSUER</x:v>
      </x:c>
      <x:c r="O643" t="str">
        <x:v>SQ..CAFE.16.IN.NEWCASTL/Newcastle.upo</x:v>
      </x:c>
      <x:c r="P643" t="str">
        <x:v>VISA Debitkartenumsatz vom 16.10.2025 in Fremdwährung / Ursprungsbetrag in Fremdwährung 13,15 GBP / Umrechnungsrate: 1 Euro=0,87049630 GBP</x:v>
      </x:c>
      <x:c r="Q643" t="str">
        <x:v>Ausgang</x:v>
      </x:c>
      <x:c r="R643" t="str">
        <x:v>DE96120300009005290904</x:v>
      </x:c>
      <x:c r="S643" t="n">
        <x:v>-15.11</x:v>
      </x:c>
      <x:c r="T643" t="str">
        <x:v>"</x:v>
      </x:c>
      <x:c r="U643" t="str">
        <x:v>"</x:v>
      </x:c>
      <x:c r="V643" t="str">
        <x:v>355289377200876</x:v>
      </x:c>
    </x:row>
    <x:row r="644">
      <x:c r="A644" t="str">
        <x:v>RAW-IMP-20260516-FULLDRAFT-000627</x:v>
      </x:c>
      <x:c r="B644" t="str">
        <x:v>IMP-20260516-FULLDRAFT</x:v>
      </x:c>
      <x:c r="C644" t="str">
        <x:v>KTO001</x:v>
      </x:c>
      <x:c r="D644" t="str">
        <x:v>16-05-2026_Umsatzliste_Girokonto_DE98120300001061711675.csv</x:v>
      </x:c>
      <x:c r="E644" t="n">
        <x:v>46163</x:v>
      </x:c>
      <x:c r="F644" t="n">
        <x:v>627</x:v>
      </x:c>
      <x:c r="G644" t="str">
        <x:v>85140c9f55bbab0515eadfe2437950ce8134ae28bab3dd80e1d54964e3684bf0</x:v>
      </x:c>
      <x:c r="H644" t="str">
        <x:v>neu</x:v>
      </x:c>
      <x:c r="I644" t="str">
        <x:v>ok</x:v>
      </x:c>
      <x:c r="J644"/>
      <x:c r="K644" t="n">
        <x:v>45946</x:v>
      </x:c>
      <x:c r="L644" t="n">
        <x:v>45946</x:v>
      </x:c>
      <x:c r="M644" t="str">
        <x:v>Gebucht</x:v>
      </x:c>
      <x:c r="N644" t="str">
        <x:v>Kohlenberg Lars</x:v>
      </x:c>
      <x:c r="O644" t="str">
        <x:v>DOMCURA AG</x:v>
      </x:c>
      <x:c r="P644" t="str">
        <x:v>BCL14348753 VNA25640738-1 KS-04-1650009 10.25-10.26 Wohngebaeude EFH Hinweise zum besseren Datenschutz unter www.domcura.de/datenschutz</x:v>
      </x:c>
      <x:c r="Q644" t="str">
        <x:v>Ausgang</x:v>
      </x:c>
      <x:c r="R644" t="str">
        <x:v>DE73210400100712078501</x:v>
      </x:c>
      <x:c r="S644" t="n">
        <x:v>-967.81</x:v>
      </x:c>
      <x:c r="T644" t="str">
        <x:v>DE90ZZZ00000008437</x:v>
      </x:c>
      <x:c r="U644" t="str">
        <x:v>KS-04-1650009-001</x:v>
      </x:c>
      <x:c r="V644" t="str">
        <x:v>BCL14348753</x:v>
      </x:c>
    </x:row>
    <x:row r="645">
      <x:c r="A645" t="str">
        <x:v>RAW-IMP-20260516-FULLDRAFT-000628</x:v>
      </x:c>
      <x:c r="B645" t="str">
        <x:v>IMP-20260516-FULLDRAFT</x:v>
      </x:c>
      <x:c r="C645" t="str">
        <x:v>KTO001</x:v>
      </x:c>
      <x:c r="D645" t="str">
        <x:v>16-05-2026_Umsatzliste_Girokonto_DE98120300001061711675.csv</x:v>
      </x:c>
      <x:c r="E645" t="n">
        <x:v>46163</x:v>
      </x:c>
      <x:c r="F645" t="n">
        <x:v>628</x:v>
      </x:c>
      <x:c r="G645" t="str">
        <x:v>d771977a698ce90636549b8c0499090690f861932dc6f15cfe197f9f5ae1fa46</x:v>
      </x:c>
      <x:c r="H645" t="str">
        <x:v>neu</x:v>
      </x:c>
      <x:c r="I645" t="str">
        <x:v>ok</x:v>
      </x:c>
      <x:c r="J645"/>
      <x:c r="K645" t="n">
        <x:v>45945</x:v>
      </x:c>
      <x:c r="L645" t="n">
        <x:v>45945</x:v>
      </x:c>
      <x:c r="M645" t="str">
        <x:v>Gebucht</x:v>
      </x:c>
      <x:c r="N645" t="str">
        <x:v>ISSUER</x:v>
      </x:c>
      <x:c r="O645" t="str">
        <x:v>LOsteria.Hamburg.Fisch/Hamburg</x:v>
      </x:c>
      <x:c r="P645" t="str">
        <x:v>VISA Debitkartenumsatz vom 14.10.2025</x:v>
      </x:c>
      <x:c r="Q645" t="str">
        <x:v>Ausgang</x:v>
      </x:c>
      <x:c r="R645" t="str">
        <x:v>DE96120300009005290904</x:v>
      </x:c>
      <x:c r="S645" t="n">
        <x:v>-26.07</x:v>
      </x:c>
      <x:c r="T645" t="str">
        <x:v>"</x:v>
      </x:c>
      <x:c r="U645" t="str">
        <x:v>"</x:v>
      </x:c>
      <x:c r="V645" t="str">
        <x:v>485287423799179</x:v>
      </x:c>
    </x:row>
    <x:row r="646">
      <x:c r="A646" t="str">
        <x:v>RAW-IMP-20260516-FULLDRAFT-000629</x:v>
      </x:c>
      <x:c r="B646" t="str">
        <x:v>IMP-20260516-FULLDRAFT</x:v>
      </x:c>
      <x:c r="C646" t="str">
        <x:v>KTO001</x:v>
      </x:c>
      <x:c r="D646" t="str">
        <x:v>16-05-2026_Umsatzliste_Girokonto_DE98120300001061711675.csv</x:v>
      </x:c>
      <x:c r="E646" t="n">
        <x:v>46163</x:v>
      </x:c>
      <x:c r="F646" t="n">
        <x:v>629</x:v>
      </x:c>
      <x:c r="G646" t="str">
        <x:v>236e902ed506650d3befcb019881db7ea79ed6dc138aa18ffe37d4d8d928e258</x:v>
      </x:c>
      <x:c r="H646" t="str">
        <x:v>neu</x:v>
      </x:c>
      <x:c r="I646" t="str">
        <x:v>ok</x:v>
      </x:c>
      <x:c r="J646"/>
      <x:c r="K646" t="n">
        <x:v>45943</x:v>
      </x:c>
      <x:c r="L646" t="n">
        <x:v>45943</x:v>
      </x:c>
      <x:c r="M646" t="str">
        <x:v>Gebucht</x:v>
      </x:c>
      <x:c r="N646" t="str">
        <x:v>Online Payments Stichting                                             Kanaalweg 1</x:v>
      </x:c>
      <x:c r="O646" t="str">
        <x:v>Lars Kohlenberg</x:v>
      </x:c>
      <x:c r="P646" t="str">
        <x:v>Kleinanzeigen - Anzeigennr.: 3164040941</x:v>
      </x:c>
      <x:c r="Q646" t="str">
        <x:v>Eingang</x:v>
      </x:c>
      <x:c r="R646" t="str">
        <x:v>DE57500700100171015100</x:v>
      </x:c>
      <x:c r="S646" t="n">
        <x:v>60</x:v>
      </x:c>
      <x:c r="T646" t="str">
        <x:v>"</x:v>
      </x:c>
      <x:c r="U646" t="str">
        <x:v>"</x:v>
      </x:c>
      <x:c r="V646" t="str">
        <x:v>tra-0b18f2b98c3b</x:v>
      </x:c>
    </x:row>
    <x:row r="647">
      <x:c r="A647" t="str">
        <x:v>RAW-IMP-20260516-FULLDRAFT-000630</x:v>
      </x:c>
      <x:c r="B647" t="str">
        <x:v>IMP-20260516-FULLDRAFT</x:v>
      </x:c>
      <x:c r="C647" t="str">
        <x:v>KTO001</x:v>
      </x:c>
      <x:c r="D647" t="str">
        <x:v>16-05-2026_Umsatzliste_Girokonto_DE98120300001061711675.csv</x:v>
      </x:c>
      <x:c r="E647" t="n">
        <x:v>46163</x:v>
      </x:c>
      <x:c r="F647" t="n">
        <x:v>630</x:v>
      </x:c>
      <x:c r="G647" t="str">
        <x:v>73acfbc4580db4bcc0bed55932eb208657ce929790396d462d7cfdabdb9813a5</x:v>
      </x:c>
      <x:c r="H647" t="str">
        <x:v>neu</x:v>
      </x:c>
      <x:c r="I647" t="str">
        <x:v>ok</x:v>
      </x:c>
      <x:c r="J647"/>
      <x:c r="K647" t="n">
        <x:v>45943</x:v>
      </x:c>
      <x:c r="L647" t="n">
        <x:v>45943</x:v>
      </x:c>
      <x:c r="M647" t="str">
        <x:v>Gebucht</x:v>
      </x:c>
      <x:c r="N647" t="str">
        <x:v>ISSUER</x:v>
      </x:c>
      <x:c r="O647" t="str">
        <x:v>FH..INVERGORDON.BUS.TO/INVERGORDON</x:v>
      </x:c>
      <x:c r="P647" t="str">
        <x:v>VISA Debitkartenumsatz vom 12.10.2025 in Fremdwährung / Ursprungsbetrag in Fremdwährung 182,85 GBP / Umrechnungsrate: 1 Euro=0,87089810 GBP</x:v>
      </x:c>
      <x:c r="Q647" t="str">
        <x:v>Ausgang</x:v>
      </x:c>
      <x:c r="R647" t="str">
        <x:v>DE96120300009005290904</x:v>
      </x:c>
      <x:c r="S647" t="n">
        <x:v>-209.96</x:v>
      </x:c>
      <x:c r="T647" t="str">
        <x:v>"</x:v>
      </x:c>
      <x:c r="U647" t="str">
        <x:v>"</x:v>
      </x:c>
      <x:c r="V647" t="str">
        <x:v>485285635367268</x:v>
      </x:c>
    </x:row>
    <x:row r="648">
      <x:c r="A648" t="str">
        <x:v>RAW-IMP-20260516-FULLDRAFT-000631</x:v>
      </x:c>
      <x:c r="B648" t="str">
        <x:v>IMP-20260516-FULLDRAFT</x:v>
      </x:c>
      <x:c r="C648" t="str">
        <x:v>KTO001</x:v>
      </x:c>
      <x:c r="D648" t="str">
        <x:v>16-05-2026_Umsatzliste_Girokonto_DE98120300001061711675.csv</x:v>
      </x:c>
      <x:c r="E648" t="n">
        <x:v>46163</x:v>
      </x:c>
      <x:c r="F648" t="n">
        <x:v>631</x:v>
      </x:c>
      <x:c r="G648" t="str">
        <x:v>dac12fbb2f7d16a90f6c0dc1dfa9e0beb2c078edcc16b80e04cfbb5fb2b4b150</x:v>
      </x:c>
      <x:c r="H648" t="str">
        <x:v>neu</x:v>
      </x:c>
      <x:c r="I648" t="str">
        <x:v>ok</x:v>
      </x:c>
      <x:c r="J648"/>
      <x:c r="K648" t="n">
        <x:v>45943</x:v>
      </x:c>
      <x:c r="L648" t="n">
        <x:v>45943</x:v>
      </x:c>
      <x:c r="M648" t="str">
        <x:v>Gebucht</x:v>
      </x:c>
      <x:c r="N648" t="str">
        <x:v>ISSUER</x:v>
      </x:c>
      <x:c r="O648" t="str">
        <x:v>REWE.Salzgitter.Ge/Salzgitter</x:v>
      </x:c>
      <x:c r="P648" t="str">
        <x:v>VISA Debitkartenumsatz vom 10.10.2025</x:v>
      </x:c>
      <x:c r="Q648" t="str">
        <x:v>Ausgang</x:v>
      </x:c>
      <x:c r="R648" t="str">
        <x:v>DE96120300009005290904</x:v>
      </x:c>
      <x:c r="S648" t="n">
        <x:v>-11.41</x:v>
      </x:c>
      <x:c r="T648" t="str">
        <x:v>"</x:v>
      </x:c>
      <x:c r="U648" t="str">
        <x:v>"</x:v>
      </x:c>
      <x:c r="V648" t="str">
        <x:v>485283518090335</x:v>
      </x:c>
    </x:row>
    <x:row r="649">
      <x:c r="A649" t="str">
        <x:v>RAW-IMP-20260516-FULLDRAFT-000632</x:v>
      </x:c>
      <x:c r="B649" t="str">
        <x:v>IMP-20260516-FULLDRAFT</x:v>
      </x:c>
      <x:c r="C649" t="str">
        <x:v>KTO001</x:v>
      </x:c>
      <x:c r="D649" t="str">
        <x:v>16-05-2026_Umsatzliste_Girokonto_DE98120300001061711675.csv</x:v>
      </x:c>
      <x:c r="E649" t="n">
        <x:v>46163</x:v>
      </x:c>
      <x:c r="F649" t="n">
        <x:v>632</x:v>
      </x:c>
      <x:c r="G649" t="str">
        <x:v>8006d7519f898d78a67e5beaec8ab1a1e8d1eaa061a560ffb452cef4e966b0b4</x:v>
      </x:c>
      <x:c r="H649" t="str">
        <x:v>neu</x:v>
      </x:c>
      <x:c r="I649" t="str">
        <x:v>ok</x:v>
      </x:c>
      <x:c r="J649"/>
      <x:c r="K649" t="n">
        <x:v>45943</x:v>
      </x:c>
      <x:c r="L649" t="n">
        <x:v>45943</x:v>
      </x:c>
      <x:c r="M649" t="str">
        <x:v>Gebucht</x:v>
      </x:c>
      <x:c r="N649" t="str">
        <x:v>ISSUER</x:v>
      </x:c>
      <x:c r="O649" t="str">
        <x:v>SPORT.SCHECK/BRAUNSCHWEIG</x:v>
      </x:c>
      <x:c r="P649" t="str">
        <x:v>VISA Debitkartenumsatz vom 11.10.2025</x:v>
      </x:c>
      <x:c r="Q649" t="str">
        <x:v>Ausgang</x:v>
      </x:c>
      <x:c r="R649" t="str">
        <x:v>DE96120300009005290904</x:v>
      </x:c>
      <x:c r="S649" t="n">
        <x:v>-179.95</x:v>
      </x:c>
      <x:c r="T649" t="str">
        <x:v>"</x:v>
      </x:c>
      <x:c r="U649" t="str">
        <x:v>"</x:v>
      </x:c>
      <x:c r="V649" t="str">
        <x:v>485284414721772</x:v>
      </x:c>
    </x:row>
    <x:row r="650">
      <x:c r="A650" t="str">
        <x:v>RAW-IMP-20260516-FULLDRAFT-000633</x:v>
      </x:c>
      <x:c r="B650" t="str">
        <x:v>IMP-20260516-FULLDRAFT</x:v>
      </x:c>
      <x:c r="C650" t="str">
        <x:v>KTO001</x:v>
      </x:c>
      <x:c r="D650" t="str">
        <x:v>16-05-2026_Umsatzliste_Girokonto_DE98120300001061711675.csv</x:v>
      </x:c>
      <x:c r="E650" t="n">
        <x:v>46163</x:v>
      </x:c>
      <x:c r="F650" t="n">
        <x:v>633</x:v>
      </x:c>
      <x:c r="G650" t="str">
        <x:v>840a0b72542e9bde205c6c1f4a023f0f978dff0dc2df63b8f42184e4f1f79a74</x:v>
      </x:c>
      <x:c r="H650" t="str">
        <x:v>neu</x:v>
      </x:c>
      <x:c r="I650" t="str">
        <x:v>ok</x:v>
      </x:c>
      <x:c r="J650"/>
      <x:c r="K650" t="n">
        <x:v>45943</x:v>
      </x:c>
      <x:c r="L650" t="n">
        <x:v>45943</x:v>
      </x:c>
      <x:c r="M650" t="str">
        <x:v>Gebucht</x:v>
      </x:c>
      <x:c r="N650" t="str">
        <x:v>ISSUER</x:v>
      </x:c>
      <x:c r="O650" t="str">
        <x:v>Jack..Jones...Braunschw/Braunschweig</x:v>
      </x:c>
      <x:c r="P650" t="str">
        <x:v>VISA Debitkartenumsatz vom 11.10.2025</x:v>
      </x:c>
      <x:c r="Q650" t="str">
        <x:v>Ausgang</x:v>
      </x:c>
      <x:c r="R650" t="str">
        <x:v>DE96120300009005290904</x:v>
      </x:c>
      <x:c r="S650" t="n">
        <x:v>-69.97</x:v>
      </x:c>
      <x:c r="T650" t="str">
        <x:v>"</x:v>
      </x:c>
      <x:c r="U650" t="str">
        <x:v>"</x:v>
      </x:c>
      <x:c r="V650" t="str">
        <x:v>485284381355393</x:v>
      </x:c>
    </x:row>
    <x:row r="651">
      <x:c r="A651" t="str">
        <x:v>RAW-IMP-20260516-FULLDRAFT-000634</x:v>
      </x:c>
      <x:c r="B651" t="str">
        <x:v>IMP-20260516-FULLDRAFT</x:v>
      </x:c>
      <x:c r="C651" t="str">
        <x:v>KTO001</x:v>
      </x:c>
      <x:c r="D651" t="str">
        <x:v>16-05-2026_Umsatzliste_Girokonto_DE98120300001061711675.csv</x:v>
      </x:c>
      <x:c r="E651" t="n">
        <x:v>46163</x:v>
      </x:c>
      <x:c r="F651" t="n">
        <x:v>634</x:v>
      </x:c>
      <x:c r="G651" t="str">
        <x:v>db91d227b6b563690ded96cc00cb485bb2776089471b00bdbf7e253f84646a92</x:v>
      </x:c>
      <x:c r="H651" t="str">
        <x:v>neu</x:v>
      </x:c>
      <x:c r="I651" t="str">
        <x:v>ok</x:v>
      </x:c>
      <x:c r="J651"/>
      <x:c r="K651" t="n">
        <x:v>45943</x:v>
      </x:c>
      <x:c r="L651" t="n">
        <x:v>45943</x:v>
      </x:c>
      <x:c r="M651" t="str">
        <x:v>Gebucht</x:v>
      </x:c>
      <x:c r="N651" t="str">
        <x:v>ISSUER</x:v>
      </x:c>
      <x:c r="O651" t="str">
        <x:v>Marc.OPolo.Einzelhandel/Braunschweig</x:v>
      </x:c>
      <x:c r="P651" t="str">
        <x:v>VISA Debitkartenumsatz vom 11.10.2025</x:v>
      </x:c>
      <x:c r="Q651" t="str">
        <x:v>Ausgang</x:v>
      </x:c>
      <x:c r="R651" t="str">
        <x:v>DE96120300009005290904</x:v>
      </x:c>
      <x:c r="S651" t="n">
        <x:v>-179.9</x:v>
      </x:c>
      <x:c r="T651" t="str">
        <x:v>"</x:v>
      </x:c>
      <x:c r="U651" t="str">
        <x:v>"</x:v>
      </x:c>
      <x:c r="V651" t="str">
        <x:v>485284366795645</x:v>
      </x:c>
    </x:row>
    <x:row r="652">
      <x:c r="A652" t="str">
        <x:v>RAW-IMP-20260516-FULLDRAFT-000635</x:v>
      </x:c>
      <x:c r="B652" t="str">
        <x:v>IMP-20260516-FULLDRAFT</x:v>
      </x:c>
      <x:c r="C652" t="str">
        <x:v>KTO001</x:v>
      </x:c>
      <x:c r="D652" t="str">
        <x:v>16-05-2026_Umsatzliste_Girokonto_DE98120300001061711675.csv</x:v>
      </x:c>
      <x:c r="E652" t="n">
        <x:v>46163</x:v>
      </x:c>
      <x:c r="F652" t="n">
        <x:v>635</x:v>
      </x:c>
      <x:c r="G652" t="str">
        <x:v>d0e0c18945fdf85a26c6de60a7af95099a9f0e4ba2b1767a9577d44e1c1e791a</x:v>
      </x:c>
      <x:c r="H652" t="str">
        <x:v>neu</x:v>
      </x:c>
      <x:c r="I652" t="str">
        <x:v>ok</x:v>
      </x:c>
      <x:c r="J652"/>
      <x:c r="K652" t="n">
        <x:v>45943</x:v>
      </x:c>
      <x:c r="L652" t="n">
        <x:v>45943</x:v>
      </x:c>
      <x:c r="M652" t="str">
        <x:v>Gebucht</x:v>
      </x:c>
      <x:c r="N652" t="str">
        <x:v>ISSUER</x:v>
      </x:c>
      <x:c r="O652" t="str">
        <x:v>Konzert.Kasse.ECE.Schlo/Braunschweig</x:v>
      </x:c>
      <x:c r="P652" t="str">
        <x:v>VISA Debitkartenumsatz vom 11.10.2025</x:v>
      </x:c>
      <x:c r="Q652" t="str">
        <x:v>Ausgang</x:v>
      </x:c>
      <x:c r="R652" t="str">
        <x:v>DE96120300009005290904</x:v>
      </x:c>
      <x:c r="S652" t="n">
        <x:v>-171.3</x:v>
      </x:c>
      <x:c r="T652" t="str">
        <x:v>"</x:v>
      </x:c>
      <x:c r="U652" t="str">
        <x:v>"</x:v>
      </x:c>
      <x:c r="V652" t="str">
        <x:v>485284371612039</x:v>
      </x:c>
    </x:row>
    <x:row r="653">
      <x:c r="A653" t="str">
        <x:v>RAW-IMP-20260516-FULLDRAFT-000636</x:v>
      </x:c>
      <x:c r="B653" t="str">
        <x:v>IMP-20260516-FULLDRAFT</x:v>
      </x:c>
      <x:c r="C653" t="str">
        <x:v>KTO001</x:v>
      </x:c>
      <x:c r="D653" t="str">
        <x:v>16-05-2026_Umsatzliste_Girokonto_DE98120300001061711675.csv</x:v>
      </x:c>
      <x:c r="E653" t="n">
        <x:v>46163</x:v>
      </x:c>
      <x:c r="F653" t="n">
        <x:v>636</x:v>
      </x:c>
      <x:c r="G653" t="str">
        <x:v>26d625b9f2728a1f813297210bd0a8d68f8d780a76e11dfdf64a8c16ad112a7c</x:v>
      </x:c>
      <x:c r="H653" t="str">
        <x:v>neu</x:v>
      </x:c>
      <x:c r="I653" t="str">
        <x:v>ok</x:v>
      </x:c>
      <x:c r="J653"/>
      <x:c r="K653" t="n">
        <x:v>45943</x:v>
      </x:c>
      <x:c r="L653" t="n">
        <x:v>45943</x:v>
      </x:c>
      <x:c r="M653" t="str">
        <x:v>Gebucht</x:v>
      </x:c>
      <x:c r="N653" t="str">
        <x:v>ISSUER</x:v>
      </x:c>
      <x:c r="O653" t="str">
        <x:v>PH.City.Parkdeck/Hildesheim</x:v>
      </x:c>
      <x:c r="P653" t="str">
        <x:v>VISA Debitkartenumsatz vom 10.10.2025</x:v>
      </x:c>
      <x:c r="Q653" t="str">
        <x:v>Ausgang</x:v>
      </x:c>
      <x:c r="R653" t="str">
        <x:v>DE96120300009005290904</x:v>
      </x:c>
      <x:c r="S653" t="n">
        <x:v>-4</x:v>
      </x:c>
      <x:c r="T653" t="str">
        <x:v>"</x:v>
      </x:c>
      <x:c r="U653" t="str">
        <x:v>"</x:v>
      </x:c>
      <x:c r="V653" t="str">
        <x:v>485283491893606</x:v>
      </x:c>
    </x:row>
    <x:row r="654">
      <x:c r="A654" t="str">
        <x:v>RAW-IMP-20260516-FULLDRAFT-000637</x:v>
      </x:c>
      <x:c r="B654" t="str">
        <x:v>IMP-20260516-FULLDRAFT</x:v>
      </x:c>
      <x:c r="C654" t="str">
        <x:v>KTO001</x:v>
      </x:c>
      <x:c r="D654" t="str">
        <x:v>16-05-2026_Umsatzliste_Girokonto_DE98120300001061711675.csv</x:v>
      </x:c>
      <x:c r="E654" t="n">
        <x:v>46163</x:v>
      </x:c>
      <x:c r="F654" t="n">
        <x:v>637</x:v>
      </x:c>
      <x:c r="G654" t="str">
        <x:v>6859b94d36447627ad556eacf88f7f6970a5bddaa261fd45efc1e4b828a98ab6</x:v>
      </x:c>
      <x:c r="H654" t="str">
        <x:v>neu</x:v>
      </x:c>
      <x:c r="I654" t="str">
        <x:v>ok</x:v>
      </x:c>
      <x:c r="J654"/>
      <x:c r="K654" t="n">
        <x:v>45943</x:v>
      </x:c>
      <x:c r="L654" t="n">
        <x:v>45943</x:v>
      </x:c>
      <x:c r="M654" t="str">
        <x:v>Gebucht</x:v>
      </x:c>
      <x:c r="N654" t="str">
        <x:v>ISSUER</x:v>
      </x:c>
      <x:c r="O654" t="str">
        <x:v>REWE.Acar.oHG/Salzgitter</x:v>
      </x:c>
      <x:c r="P654" t="str">
        <x:v>VISA Debitkartenumsatz vom 11.10.2025</x:v>
      </x:c>
      <x:c r="Q654" t="str">
        <x:v>Ausgang</x:v>
      </x:c>
      <x:c r="R654" t="str">
        <x:v>DE96120300009005290904</x:v>
      </x:c>
      <x:c r="S654" t="n">
        <x:v>-91.8</x:v>
      </x:c>
      <x:c r="T654" t="str">
        <x:v>"</x:v>
      </x:c>
      <x:c r="U654" t="str">
        <x:v>"</x:v>
      </x:c>
      <x:c r="V654" t="str">
        <x:v>485284520502366</x:v>
      </x:c>
    </x:row>
    <x:row r="655">
      <x:c r="A655" t="str">
        <x:v>RAW-IMP-20260516-FULLDRAFT-000638</x:v>
      </x:c>
      <x:c r="B655" t="str">
        <x:v>IMP-20260516-FULLDRAFT</x:v>
      </x:c>
      <x:c r="C655" t="str">
        <x:v>KTO001</x:v>
      </x:c>
      <x:c r="D655" t="str">
        <x:v>16-05-2026_Umsatzliste_Girokonto_DE98120300001061711675.csv</x:v>
      </x:c>
      <x:c r="E655" t="n">
        <x:v>46163</x:v>
      </x:c>
      <x:c r="F655" t="n">
        <x:v>638</x:v>
      </x:c>
      <x:c r="G655" t="str">
        <x:v>19695c012b702dc146978b294239ce1953db2a356b059985a8c4cc617fc30dd1</x:v>
      </x:c>
      <x:c r="H655" t="str">
        <x:v>neu</x:v>
      </x:c>
      <x:c r="I655" t="str">
        <x:v>ok</x:v>
      </x:c>
      <x:c r="J655"/>
      <x:c r="K655" t="n">
        <x:v>45943</x:v>
      </x:c>
      <x:c r="L655" t="n">
        <x:v>45943</x:v>
      </x:c>
      <x:c r="M655" t="str">
        <x:v>Gebucht</x:v>
      </x:c>
      <x:c r="N655" t="str">
        <x:v>ISSUER</x:v>
      </x:c>
      <x:c r="O655" t="str">
        <x:v>Lidl.sagt.Danke/Salzgitter</x:v>
      </x:c>
      <x:c r="P655" t="str">
        <x:v>VISA Debitkartenumsatz vom 11.10.2025</x:v>
      </x:c>
      <x:c r="Q655" t="str">
        <x:v>Ausgang</x:v>
      </x:c>
      <x:c r="R655" t="str">
        <x:v>DE96120300009005290904</x:v>
      </x:c>
      <x:c r="S655" t="n">
        <x:v>-66.96</x:v>
      </x:c>
      <x:c r="T655" t="str">
        <x:v>"</x:v>
      </x:c>
      <x:c r="U655" t="str">
        <x:v>"</x:v>
      </x:c>
      <x:c r="V655" t="str">
        <x:v>485284497292073</x:v>
      </x:c>
    </x:row>
    <x:row r="656">
      <x:c r="A656" t="str">
        <x:v>RAW-IMP-20260516-FULLDRAFT-000639</x:v>
      </x:c>
      <x:c r="B656" t="str">
        <x:v>IMP-20260516-FULLDRAFT</x:v>
      </x:c>
      <x:c r="C656" t="str">
        <x:v>KTO001</x:v>
      </x:c>
      <x:c r="D656" t="str">
        <x:v>16-05-2026_Umsatzliste_Girokonto_DE98120300001061711675.csv</x:v>
      </x:c>
      <x:c r="E656" t="n">
        <x:v>46163</x:v>
      </x:c>
      <x:c r="F656" t="n">
        <x:v>639</x:v>
      </x:c>
      <x:c r="G656" t="str">
        <x:v>f155a95effc7ccb40f323575e12e82128b0629f9304b12eda04fbc197b055be3</x:v>
      </x:c>
      <x:c r="H656" t="str">
        <x:v>neu</x:v>
      </x:c>
      <x:c r="I656" t="str">
        <x:v>ok</x:v>
      </x:c>
      <x:c r="J656"/>
      <x:c r="K656" t="n">
        <x:v>45943</x:v>
      </x:c>
      <x:c r="L656" t="n">
        <x:v>45943</x:v>
      </x:c>
      <x:c r="M656" t="str">
        <x:v>Gebucht</x:v>
      </x:c>
      <x:c r="N656" t="str">
        <x:v>ISSUER</x:v>
      </x:c>
      <x:c r="O656" t="str">
        <x:v>TIEFGARAGE.MAGNI/BRAUNSCHWEIG</x:v>
      </x:c>
      <x:c r="P656" t="str">
        <x:v>VISA Debitkartenumsatz vom 11.10.2025</x:v>
      </x:c>
      <x:c r="Q656" t="str">
        <x:v>Ausgang</x:v>
      </x:c>
      <x:c r="R656" t="str">
        <x:v>DE96120300009005290904</x:v>
      </x:c>
      <x:c r="S656" t="n">
        <x:v>-2.4</x:v>
      </x:c>
      <x:c r="T656" t="str">
        <x:v>"</x:v>
      </x:c>
      <x:c r="U656" t="str">
        <x:v>"</x:v>
      </x:c>
      <x:c r="V656" t="str">
        <x:v>485284419342752</x:v>
      </x:c>
    </x:row>
    <x:row r="657">
      <x:c r="A657" t="str">
        <x:v>RAW-IMP-20260516-FULLDRAFT-000640</x:v>
      </x:c>
      <x:c r="B657" t="str">
        <x:v>IMP-20260516-FULLDRAFT</x:v>
      </x:c>
      <x:c r="C657" t="str">
        <x:v>KTO001</x:v>
      </x:c>
      <x:c r="D657" t="str">
        <x:v>16-05-2026_Umsatzliste_Girokonto_DE98120300001061711675.csv</x:v>
      </x:c>
      <x:c r="E657" t="n">
        <x:v>46163</x:v>
      </x:c>
      <x:c r="F657" t="n">
        <x:v>640</x:v>
      </x:c>
      <x:c r="G657" t="str">
        <x:v>219ae8408b35e8bde6058566d2978634f1b3ea5f44adbbd55b18dbef5db1a504</x:v>
      </x:c>
      <x:c r="H657" t="str">
        <x:v>neu</x:v>
      </x:c>
      <x:c r="I657" t="str">
        <x:v>ok</x:v>
      </x:c>
      <x:c r="J657"/>
      <x:c r="K657" t="n">
        <x:v>45943</x:v>
      </x:c>
      <x:c r="L657" t="n">
        <x:v>45943</x:v>
      </x:c>
      <x:c r="M657" t="str">
        <x:v>Gebucht</x:v>
      </x:c>
      <x:c r="N657" t="str">
        <x:v>ISSUER</x:v>
      </x:c>
      <x:c r="O657" t="str">
        <x:v>ENTSORGUNGSZENTRUM.SAL/SALZGITTER</x:v>
      </x:c>
      <x:c r="P657" t="str">
        <x:v>VISA Debitkartenumsatz vom 11.10.2025</x:v>
      </x:c>
      <x:c r="Q657" t="str">
        <x:v>Ausgang</x:v>
      </x:c>
      <x:c r="R657" t="str">
        <x:v>DE96120300009005290904</x:v>
      </x:c>
      <x:c r="S657" t="n">
        <x:v>-14</x:v>
      </x:c>
      <x:c r="T657" t="str">
        <x:v>"</x:v>
      </x:c>
      <x:c r="U657" t="str">
        <x:v>"</x:v>
      </x:c>
      <x:c r="V657" t="str">
        <x:v>485284327882000</x:v>
      </x:c>
    </x:row>
    <x:row r="658">
      <x:c r="A658" t="str">
        <x:v>RAW-IMP-20260516-FULLDRAFT-000641</x:v>
      </x:c>
      <x:c r="B658" t="str">
        <x:v>IMP-20260516-FULLDRAFT</x:v>
      </x:c>
      <x:c r="C658" t="str">
        <x:v>KTO001</x:v>
      </x:c>
      <x:c r="D658" t="str">
        <x:v>16-05-2026_Umsatzliste_Girokonto_DE98120300001061711675.csv</x:v>
      </x:c>
      <x:c r="E658" t="n">
        <x:v>46163</x:v>
      </x:c>
      <x:c r="F658" t="n">
        <x:v>641</x:v>
      </x:c>
      <x:c r="G658" t="str">
        <x:v>593d2d622a78d6abe3704d631db15e8500b72549c0c2b8e62232067a66695a4a</x:v>
      </x:c>
      <x:c r="H658" t="str">
        <x:v>neu</x:v>
      </x:c>
      <x:c r="I658" t="str">
        <x:v>ok</x:v>
      </x:c>
      <x:c r="J658"/>
      <x:c r="K658" t="n">
        <x:v>45943</x:v>
      </x:c>
      <x:c r="L658" t="n">
        <x:v>45943</x:v>
      </x:c>
      <x:c r="M658" t="str">
        <x:v>Gebucht</x:v>
      </x:c>
      <x:c r="N658" t="str">
        <x:v>SPORT.SCHECK/BRAUNSCHWEIG</x:v>
      </x:c>
      <x:c r="O658" t="str">
        <x:v>NOTPROVIDED</x:v>
      </x:c>
      <x:c r="P658" t="str">
        <x:v>20251012231531 SPORT.SCHECK DE</x:v>
      </x:c>
      <x:c r="Q658" t="str">
        <x:v>Eingang</x:v>
      </x:c>
      <x:c r="R658" t="str">
        <x:v>DE96120300009005290904</x:v>
      </x:c>
      <x:c r="S658" t="n">
        <x:v>30</x:v>
      </x:c>
      <x:c r="T658" t="str">
        <x:v>"</x:v>
      </x:c>
      <x:c r="U658" t="str">
        <x:v>"</x:v>
      </x:c>
      <x:c r="V658" t="str">
        <x:v>635285020519246</x:v>
      </x:c>
    </x:row>
    <x:row r="659">
      <x:c r="A659" t="str">
        <x:v>RAW-IMP-20260516-FULLDRAFT-000642</x:v>
      </x:c>
      <x:c r="B659" t="str">
        <x:v>IMP-20260516-FULLDRAFT</x:v>
      </x:c>
      <x:c r="C659" t="str">
        <x:v>KTO001</x:v>
      </x:c>
      <x:c r="D659" t="str">
        <x:v>16-05-2026_Umsatzliste_Girokonto_DE98120300001061711675.csv</x:v>
      </x:c>
      <x:c r="E659" t="n">
        <x:v>46163</x:v>
      </x:c>
      <x:c r="F659" t="n">
        <x:v>642</x:v>
      </x:c>
      <x:c r="G659" t="str">
        <x:v>d47b1b3515f9babf4bbd0d9e6d643641068a2a4c07a2053ec8cd20f23ea34809</x:v>
      </x:c>
      <x:c r="H659" t="str">
        <x:v>neu</x:v>
      </x:c>
      <x:c r="I659" t="str">
        <x:v>ok</x:v>
      </x:c>
      <x:c r="J659"/>
      <x:c r="K659" t="n">
        <x:v>45940</x:v>
      </x:c>
      <x:c r="L659" t="n">
        <x:v>45940</x:v>
      </x:c>
      <x:c r="M659" t="str">
        <x:v>Gebucht</x:v>
      </x:c>
      <x:c r="N659" t="str">
        <x:v>ISSUER</x:v>
      </x:c>
      <x:c r="O659" t="str">
        <x:v>HANOVA.GEWERBE.GMBH/HANNOVER</x:v>
      </x:c>
      <x:c r="P659" t="str">
        <x:v>VISA Debitkartenumsatz vom 09.10.2025</x:v>
      </x:c>
      <x:c r="Q659" t="str">
        <x:v>Ausgang</x:v>
      </x:c>
      <x:c r="R659" t="str">
        <x:v>DE96120300009005290904</x:v>
      </x:c>
      <x:c r="S659" t="n">
        <x:v>-12</x:v>
      </x:c>
      <x:c r="T659" t="str">
        <x:v>"</x:v>
      </x:c>
      <x:c r="U659" t="str">
        <x:v>"</x:v>
      </x:c>
      <x:c r="V659" t="str">
        <x:v>485282347895232</x:v>
      </x:c>
    </x:row>
    <x:row r="660">
      <x:c r="A660" t="str">
        <x:v>RAW-IMP-20260516-FULLDRAFT-000643</x:v>
      </x:c>
      <x:c r="B660" t="str">
        <x:v>IMP-20260516-FULLDRAFT</x:v>
      </x:c>
      <x:c r="C660" t="str">
        <x:v>KTO001</x:v>
      </x:c>
      <x:c r="D660" t="str">
        <x:v>16-05-2026_Umsatzliste_Girokonto_DE98120300001061711675.csv</x:v>
      </x:c>
      <x:c r="E660" t="n">
        <x:v>46163</x:v>
      </x:c>
      <x:c r="F660" t="n">
        <x:v>643</x:v>
      </x:c>
      <x:c r="G660" t="str">
        <x:v>0605ef7325c0a67b06f44629abe119820956dd20e7e3d08f3df9eef50a53e3c9</x:v>
      </x:c>
      <x:c r="H660" t="str">
        <x:v>neu</x:v>
      </x:c>
      <x:c r="I660" t="str">
        <x:v>ok</x:v>
      </x:c>
      <x:c r="J660"/>
      <x:c r="K660" t="n">
        <x:v>45940</x:v>
      </x:c>
      <x:c r="L660" t="n">
        <x:v>45940</x:v>
      </x:c>
      <x:c r="M660" t="str">
        <x:v>Gebucht</x:v>
      </x:c>
      <x:c r="N660" t="str">
        <x:v>ISSUER</x:v>
      </x:c>
      <x:c r="O660" t="str">
        <x:v>REWE.Salzgitter.Ge/Salzgitter</x:v>
      </x:c>
      <x:c r="P660" t="str">
        <x:v>VISA Debitkartenumsatz vom 09.10.2025</x:v>
      </x:c>
      <x:c r="Q660" t="str">
        <x:v>Ausgang</x:v>
      </x:c>
      <x:c r="R660" t="str">
        <x:v>DE96120300009005290904</x:v>
      </x:c>
      <x:c r="S660" t="n">
        <x:v>-5.98</x:v>
      </x:c>
      <x:c r="T660" t="str">
        <x:v>"</x:v>
      </x:c>
      <x:c r="U660" t="str">
        <x:v>"</x:v>
      </x:c>
      <x:c r="V660" t="str">
        <x:v>485282385685409</x:v>
      </x:c>
    </x:row>
    <x:row r="661">
      <x:c r="A661" t="str">
        <x:v>RAW-IMP-20260516-FULLDRAFT-000644</x:v>
      </x:c>
      <x:c r="B661" t="str">
        <x:v>IMP-20260516-FULLDRAFT</x:v>
      </x:c>
      <x:c r="C661" t="str">
        <x:v>KTO001</x:v>
      </x:c>
      <x:c r="D661" t="str">
        <x:v>16-05-2026_Umsatzliste_Girokonto_DE98120300001061711675.csv</x:v>
      </x:c>
      <x:c r="E661" t="n">
        <x:v>46163</x:v>
      </x:c>
      <x:c r="F661" t="n">
        <x:v>644</x:v>
      </x:c>
      <x:c r="G661" t="str">
        <x:v>43f34250d035cd0406e70b1747fa86bd82f0639d1f9fecab2aa49005bab8a83d</x:v>
      </x:c>
      <x:c r="H661" t="str">
        <x:v>neu</x:v>
      </x:c>
      <x:c r="I661" t="str">
        <x:v>ok</x:v>
      </x:c>
      <x:c r="J661"/>
      <x:c r="K661" t="n">
        <x:v>45939</x:v>
      </x:c>
      <x:c r="L661" t="n">
        <x:v>45939</x:v>
      </x:c>
      <x:c r="M661" t="str">
        <x:v>Gebucht</x:v>
      </x:c>
      <x:c r="N661" t="str">
        <x:v>ISSUER</x:v>
      </x:c>
      <x:c r="O661" t="str">
        <x:v>CVJM.CITY.HOTEL/HANNOVER</x:v>
      </x:c>
      <x:c r="P661" t="str">
        <x:v>VISA Debitkartenumsatz vom 08.10.2025</x:v>
      </x:c>
      <x:c r="Q661" t="str">
        <x:v>Ausgang</x:v>
      </x:c>
      <x:c r="R661" t="str">
        <x:v>DE96120300009005290904</x:v>
      </x:c>
      <x:c r="S661" t="n">
        <x:v>-10.5</x:v>
      </x:c>
      <x:c r="T661" t="str">
        <x:v>"</x:v>
      </x:c>
      <x:c r="U661" t="str">
        <x:v>"</x:v>
      </x:c>
      <x:c r="V661" t="str">
        <x:v>485281601764298</x:v>
      </x:c>
    </x:row>
    <x:row r="662">
      <x:c r="A662" t="str">
        <x:v>RAW-IMP-20260516-FULLDRAFT-000645</x:v>
      </x:c>
      <x:c r="B662" t="str">
        <x:v>IMP-20260516-FULLDRAFT</x:v>
      </x:c>
      <x:c r="C662" t="str">
        <x:v>KTO001</x:v>
      </x:c>
      <x:c r="D662" t="str">
        <x:v>16-05-2026_Umsatzliste_Girokonto_DE98120300001061711675.csv</x:v>
      </x:c>
      <x:c r="E662" t="n">
        <x:v>46163</x:v>
      </x:c>
      <x:c r="F662" t="n">
        <x:v>645</x:v>
      </x:c>
      <x:c r="G662" t="str">
        <x:v>322228e751f1f65caa62ba30900ddc28b9c3c3f620963cf98aa61c45d44016a2</x:v>
      </x:c>
      <x:c r="H662" t="str">
        <x:v>neu</x:v>
      </x:c>
      <x:c r="I662" t="str">
        <x:v>ok</x:v>
      </x:c>
      <x:c r="J662"/>
      <x:c r="K662" t="n">
        <x:v>45939</x:v>
      </x:c>
      <x:c r="L662" t="n">
        <x:v>45939</x:v>
      </x:c>
      <x:c r="M662" t="str">
        <x:v>Gebucht</x:v>
      </x:c>
      <x:c r="N662" t="str">
        <x:v>ISSUER</x:v>
      </x:c>
      <x:c r="O662" t="str">
        <x:v>Espresso.House.23007/Hannover</x:v>
      </x:c>
      <x:c r="P662" t="str">
        <x:v>VISA Debitkartenumsatz vom 08.10.2025</x:v>
      </x:c>
      <x:c r="Q662" t="str">
        <x:v>Ausgang</x:v>
      </x:c>
      <x:c r="R662" t="str">
        <x:v>DE96120300009005290904</x:v>
      </x:c>
      <x:c r="S662" t="n">
        <x:v>-8.3</x:v>
      </x:c>
      <x:c r="T662" t="str">
        <x:v>"</x:v>
      </x:c>
      <x:c r="U662" t="str">
        <x:v>"</x:v>
      </x:c>
      <x:c r="V662" t="str">
        <x:v>485281378627028</x:v>
      </x:c>
    </x:row>
    <x:row r="663">
      <x:c r="A663" t="str">
        <x:v>RAW-IMP-20260516-FULLDRAFT-000646</x:v>
      </x:c>
      <x:c r="B663" t="str">
        <x:v>IMP-20260516-FULLDRAFT</x:v>
      </x:c>
      <x:c r="C663" t="str">
        <x:v>KTO001</x:v>
      </x:c>
      <x:c r="D663" t="str">
        <x:v>16-05-2026_Umsatzliste_Girokonto_DE98120300001061711675.csv</x:v>
      </x:c>
      <x:c r="E663" t="n">
        <x:v>46163</x:v>
      </x:c>
      <x:c r="F663" t="n">
        <x:v>646</x:v>
      </x:c>
      <x:c r="G663" t="str">
        <x:v>c7d2af67f4993b3c778ebd7b101e8691436ae94d8e9d8329a4192097a81357ed</x:v>
      </x:c>
      <x:c r="H663" t="str">
        <x:v>neu</x:v>
      </x:c>
      <x:c r="I663" t="str">
        <x:v>ok</x:v>
      </x:c>
      <x:c r="J663"/>
      <x:c r="K663" t="n">
        <x:v>45939</x:v>
      </x:c>
      <x:c r="L663" t="n">
        <x:v>45939</x:v>
      </x:c>
      <x:c r="M663" t="str">
        <x:v>Gebucht</x:v>
      </x:c>
      <x:c r="N663" t="str">
        <x:v>Lars Kohlenberg</x:v>
      </x:c>
      <x:c r="O663" t="str">
        <x:v>Lars Kohlenbrg</x:v>
      </x:c>
      <x:c r="P663" t="str">
        <x:v>Übertrag ESt</x:v>
      </x:c>
      <x:c r="Q663" t="str">
        <x:v>Ausgang</x:v>
      </x:c>
      <x:c r="R663" t="str">
        <x:v>DE91270200001510365800</x:v>
      </x:c>
      <x:c r="S663" t="n">
        <x:v>-5000</x:v>
      </x:c>
      <x:c r="T663" t="str">
        <x:v>"</x:v>
      </x:c>
      <x:c r="U663" t="str">
        <x:v>"</x:v>
      </x:c>
      <x:c r="V663" t="str">
        <x:v>"</x:v>
      </x:c>
    </x:row>
    <x:row r="664">
      <x:c r="A664" t="str">
        <x:v>RAW-IMP-20260516-FULLDRAFT-000647</x:v>
      </x:c>
      <x:c r="B664" t="str">
        <x:v>IMP-20260516-FULLDRAFT</x:v>
      </x:c>
      <x:c r="C664" t="str">
        <x:v>KTO001</x:v>
      </x:c>
      <x:c r="D664" t="str">
        <x:v>16-05-2026_Umsatzliste_Girokonto_DE98120300001061711675.csv</x:v>
      </x:c>
      <x:c r="E664" t="n">
        <x:v>46163</x:v>
      </x:c>
      <x:c r="F664" t="n">
        <x:v>647</x:v>
      </x:c>
      <x:c r="G664" t="str">
        <x:v>cbdc9dba734350a2678797d0cb361e8f97094dfb67098b235597f81af1427815</x:v>
      </x:c>
      <x:c r="H664" t="str">
        <x:v>neu</x:v>
      </x:c>
      <x:c r="I664" t="str">
        <x:v>ok</x:v>
      </x:c>
      <x:c r="J664"/>
      <x:c r="K664" t="n">
        <x:v>45939</x:v>
      </x:c>
      <x:c r="L664" t="n">
        <x:v>45939</x:v>
      </x:c>
      <x:c r="M664" t="str">
        <x:v>Gebucht</x:v>
      </x:c>
      <x:c r="N664" t="str">
        <x:v>Lars Kohlenberg</x:v>
      </x:c>
      <x:c r="O664" t="str">
        <x:v>Katrin Kohlenberg</x:v>
      </x:c>
      <x:c r="P664" t="str">
        <x:v>Rückzahlung ESt</x:v>
      </x:c>
      <x:c r="Q664" t="str">
        <x:v>Ausgang</x:v>
      </x:c>
      <x:c r="R664" t="str">
        <x:v>DE32270727240307336800</x:v>
      </x:c>
      <x:c r="S664" t="n">
        <x:v>-7500</x:v>
      </x:c>
      <x:c r="T664" t="str">
        <x:v>"</x:v>
      </x:c>
      <x:c r="U664" t="str">
        <x:v>"</x:v>
      </x:c>
      <x:c r="V664" t="str">
        <x:v>"</x:v>
      </x:c>
    </x:row>
    <x:row r="665">
      <x:c r="A665" t="str">
        <x:v>RAW-IMP-20260516-FULLDRAFT-000648</x:v>
      </x:c>
      <x:c r="B665" t="str">
        <x:v>IMP-20260516-FULLDRAFT</x:v>
      </x:c>
      <x:c r="C665" t="str">
        <x:v>KTO001</x:v>
      </x:c>
      <x:c r="D665" t="str">
        <x:v>16-05-2026_Umsatzliste_Girokonto_DE98120300001061711675.csv</x:v>
      </x:c>
      <x:c r="E665" t="n">
        <x:v>46163</x:v>
      </x:c>
      <x:c r="F665" t="n">
        <x:v>648</x:v>
      </x:c>
      <x:c r="G665" t="str">
        <x:v>df56777d6322c8602fe383800788bbf85f2b13976c8ad5fde0ca3e20dc4cae45</x:v>
      </x:c>
      <x:c r="H665" t="str">
        <x:v>neu</x:v>
      </x:c>
      <x:c r="I665" t="str">
        <x:v>ok</x:v>
      </x:c>
      <x:c r="J665"/>
      <x:c r="K665" t="n">
        <x:v>45938</x:v>
      </x:c>
      <x:c r="L665" t="n">
        <x:v>45938</x:v>
      </x:c>
      <x:c r="M665" t="str">
        <x:v>Gebucht</x:v>
      </x:c>
      <x:c r="N665" t="str">
        <x:v>FINANZKASSE WOLFENBUETTEL</x:v>
      </x:c>
      <x:c r="O665" t="str">
        <x:v>KOHLENBERG LARS</x:v>
      </x:c>
      <x:c r="P665" t="str">
        <x:v>ERSTATT.51/023/12991 EST-VERANL. 23</x:v>
      </x:c>
      <x:c r="Q665" t="str">
        <x:v>Eingang</x:v>
      </x:c>
      <x:c r="R665" t="str">
        <x:v>DE19250500000101431294</x:v>
      </x:c>
      <x:c r="S665" t="n">
        <x:v>15331.44</x:v>
      </x:c>
      <x:c r="T665" t="str">
        <x:v>"</x:v>
      </x:c>
      <x:c r="U665" t="str">
        <x:v>"</x:v>
      </x:c>
      <x:c r="V665" t="str">
        <x:v>51/023/12991 EST-VG0610202501310044</x:v>
      </x:c>
    </x:row>
    <x:row r="666">
      <x:c r="A666" t="str">
        <x:v>RAW-IMP-20260516-FULLDRAFT-000649</x:v>
      </x:c>
      <x:c r="B666" t="str">
        <x:v>IMP-20260516-FULLDRAFT</x:v>
      </x:c>
      <x:c r="C666" t="str">
        <x:v>KTO001</x:v>
      </x:c>
      <x:c r="D666" t="str">
        <x:v>16-05-2026_Umsatzliste_Girokonto_DE98120300001061711675.csv</x:v>
      </x:c>
      <x:c r="E666" t="n">
        <x:v>46163</x:v>
      </x:c>
      <x:c r="F666" t="n">
        <x:v>649</x:v>
      </x:c>
      <x:c r="G666" t="str">
        <x:v>a016cf02f01e2f0de007bf4ce9b40f761c232445997c328c0eb8d2db190407f9</x:v>
      </x:c>
      <x:c r="H666" t="str">
        <x:v>neu</x:v>
      </x:c>
      <x:c r="I666" t="str">
        <x:v>ok</x:v>
      </x:c>
      <x:c r="J666"/>
      <x:c r="K666" t="n">
        <x:v>45938</x:v>
      </x:c>
      <x:c r="L666" t="n">
        <x:v>45938</x:v>
      </x:c>
      <x:c r="M666" t="str">
        <x:v>Gebucht</x:v>
      </x:c>
      <x:c r="N666" t="str">
        <x:v>Lars Kohlenberg</x:v>
      </x:c>
      <x:c r="O666" t="str">
        <x:v>Alpha Parking GmbH</x:v>
      </x:c>
      <x:c r="P666" t="str">
        <x:v>RE25106484 lxoQR</x:v>
      </x:c>
      <x:c r="Q666" t="str">
        <x:v>Ausgang</x:v>
      </x:c>
      <x:c r="R666" t="str">
        <x:v>DE71100900002796921008</x:v>
      </x:c>
      <x:c r="S666" t="n">
        <x:v>-173.95</x:v>
      </x:c>
      <x:c r="T666" t="str">
        <x:v>"</x:v>
      </x:c>
      <x:c r="U666" t="str">
        <x:v>"</x:v>
      </x:c>
      <x:c r="V666" t="str">
        <x:v>"</x:v>
      </x:c>
    </x:row>
    <x:row r="667">
      <x:c r="A667" t="str">
        <x:v>RAW-IMP-20260516-FULLDRAFT-000650</x:v>
      </x:c>
      <x:c r="B667" t="str">
        <x:v>IMP-20260516-FULLDRAFT</x:v>
      </x:c>
      <x:c r="C667" t="str">
        <x:v>KTO001</x:v>
      </x:c>
      <x:c r="D667" t="str">
        <x:v>16-05-2026_Umsatzliste_Girokonto_DE98120300001061711675.csv</x:v>
      </x:c>
      <x:c r="E667" t="n">
        <x:v>46163</x:v>
      </x:c>
      <x:c r="F667" t="n">
        <x:v>650</x:v>
      </x:c>
      <x:c r="G667" t="str">
        <x:v>9c866135ece329ffee6af36eb6724512bc253c217e60d5d7ca46beae94a953e0</x:v>
      </x:c>
      <x:c r="H667" t="str">
        <x:v>neu</x:v>
      </x:c>
      <x:c r="I667" t="str">
        <x:v>ok</x:v>
      </x:c>
      <x:c r="J667"/>
      <x:c r="K667" t="n">
        <x:v>45937</x:v>
      </x:c>
      <x:c r="L667" t="n">
        <x:v>45937</x:v>
      </x:c>
      <x:c r="M667" t="str">
        <x:v>Gebucht</x:v>
      </x:c>
      <x:c r="N667" t="str">
        <x:v>ISSUER</x:v>
      </x:c>
      <x:c r="O667" t="str">
        <x:v>REWE.Salzgitter.Ge/Salzgitter</x:v>
      </x:c>
      <x:c r="P667" t="str">
        <x:v>VISA Debitkartenumsatz vom 06.10.2025</x:v>
      </x:c>
      <x:c r="Q667" t="str">
        <x:v>Ausgang</x:v>
      </x:c>
      <x:c r="R667" t="str">
        <x:v>DE96120300009005290904</x:v>
      </x:c>
      <x:c r="S667" t="n">
        <x:v>-2.99</x:v>
      </x:c>
      <x:c r="T667" t="str">
        <x:v>"</x:v>
      </x:c>
      <x:c r="U667" t="str">
        <x:v>"</x:v>
      </x:c>
      <x:c r="V667" t="str">
        <x:v>485279603947638</x:v>
      </x:c>
    </x:row>
    <x:row r="668">
      <x:c r="A668" t="str">
        <x:v>RAW-IMP-20260516-FULLDRAFT-000651</x:v>
      </x:c>
      <x:c r="B668" t="str">
        <x:v>IMP-20260516-FULLDRAFT</x:v>
      </x:c>
      <x:c r="C668" t="str">
        <x:v>KTO001</x:v>
      </x:c>
      <x:c r="D668" t="str">
        <x:v>16-05-2026_Umsatzliste_Girokonto_DE98120300001061711675.csv</x:v>
      </x:c>
      <x:c r="E668" t="n">
        <x:v>46163</x:v>
      </x:c>
      <x:c r="F668" t="n">
        <x:v>651</x:v>
      </x:c>
      <x:c r="G668" t="str">
        <x:v>5fd77663d8776363c982afea1fb2c1c479cbeb87116364cc7a9e0371acd0b559</x:v>
      </x:c>
      <x:c r="H668" t="str">
        <x:v>neu</x:v>
      </x:c>
      <x:c r="I668" t="str">
        <x:v>ok</x:v>
      </x:c>
      <x:c r="J668"/>
      <x:c r="K668" t="n">
        <x:v>45937</x:v>
      </x:c>
      <x:c r="L668" t="n">
        <x:v>45937</x:v>
      </x:c>
      <x:c r="M668" t="str">
        <x:v>Gebucht</x:v>
      </x:c>
      <x:c r="N668" t="str">
        <x:v>ISSUER</x:v>
      </x:c>
      <x:c r="O668" t="str">
        <x:v>AMZN.Mktp.DE.L584Y7V65/800.279.6620</x:v>
      </x:c>
      <x:c r="P668" t="str">
        <x:v>VISA Debitkartenumsatz vom 06.10.2025</x:v>
      </x:c>
      <x:c r="Q668" t="str">
        <x:v>Ausgang</x:v>
      </x:c>
      <x:c r="R668" t="str">
        <x:v>DE96120300009005290904</x:v>
      </x:c>
      <x:c r="S668" t="n">
        <x:v>-63.38</x:v>
      </x:c>
      <x:c r="T668" t="str">
        <x:v>"</x:v>
      </x:c>
      <x:c r="U668" t="str">
        <x:v>"</x:v>
      </x:c>
      <x:c r="V668" t="str">
        <x:v>485278220278439</x:v>
      </x:c>
    </x:row>
    <x:row r="669">
      <x:c r="A669" t="str">
        <x:v>RAW-IMP-20260516-FULLDRAFT-000652</x:v>
      </x:c>
      <x:c r="B669" t="str">
        <x:v>IMP-20260516-FULLDRAFT</x:v>
      </x:c>
      <x:c r="C669" t="str">
        <x:v>KTO001</x:v>
      </x:c>
      <x:c r="D669" t="str">
        <x:v>16-05-2026_Umsatzliste_Girokonto_DE98120300001061711675.csv</x:v>
      </x:c>
      <x:c r="E669" t="n">
        <x:v>46163</x:v>
      </x:c>
      <x:c r="F669" t="n">
        <x:v>652</x:v>
      </x:c>
      <x:c r="G669" t="str">
        <x:v>a39918706e0ec4533b6715b9f1decada7fc2a604fd7864770a42c3a9f401c8cf</x:v>
      </x:c>
      <x:c r="H669" t="str">
        <x:v>neu</x:v>
      </x:c>
      <x:c r="I669" t="str">
        <x:v>ok</x:v>
      </x:c>
      <x:c r="J669"/>
      <x:c r="K669" t="n">
        <x:v>45937</x:v>
      </x:c>
      <x:c r="L669" t="n">
        <x:v>45937</x:v>
      </x:c>
      <x:c r="M669" t="str">
        <x:v>Gebucht</x:v>
      </x:c>
      <x:c r="N669" t="str">
        <x:v>Lars Kohlenberg                                                       Johannes-Wosnitza-Str. 8 38229 Salzgitter</x:v>
      </x:c>
      <x:c r="O669" t="str">
        <x:v>Telekom Deutschland GmbH</x:v>
      </x:c>
      <x:c r="P669" t="str">
        <x:v>Festnetz Vertragskonto 4763666565 RG 7859392706/25.09.2025</x:v>
      </x:c>
      <x:c r="Q669" t="str">
        <x:v>Ausgang</x:v>
      </x:c>
      <x:c r="R669" t="str">
        <x:v>DE07512108001095000911</x:v>
      </x:c>
      <x:c r="S669" t="n">
        <x:v>-61.93</x:v>
      </x:c>
      <x:c r="T669" t="str">
        <x:v>DE93ZZZ00000078611</x:v>
      </x:c>
      <x:c r="U669" t="str">
        <x:v>DE000201000200000000000000012966156</x:v>
      </x:c>
      <x:c r="V669" t="str">
        <x:v>Zahlbeleg 371001311274</x:v>
      </x:c>
    </x:row>
    <x:row r="670">
      <x:c r="A670" t="str">
        <x:v>RAW-IMP-20260516-FULLDRAFT-000653</x:v>
      </x:c>
      <x:c r="B670" t="str">
        <x:v>IMP-20260516-FULLDRAFT</x:v>
      </x:c>
      <x:c r="C670" t="str">
        <x:v>KTO001</x:v>
      </x:c>
      <x:c r="D670" t="str">
        <x:v>16-05-2026_Umsatzliste_Girokonto_DE98120300001061711675.csv</x:v>
      </x:c>
      <x:c r="E670" t="n">
        <x:v>46163</x:v>
      </x:c>
      <x:c r="F670" t="n">
        <x:v>653</x:v>
      </x:c>
      <x:c r="G670" t="str">
        <x:v>f6ea77db0cd1082758760ca8d86965cd778596b2f43ddba415209525c27c2065</x:v>
      </x:c>
      <x:c r="H670" t="str">
        <x:v>neu</x:v>
      </x:c>
      <x:c r="I670" t="str">
        <x:v>ok</x:v>
      </x:c>
      <x:c r="J670"/>
      <x:c r="K670" t="n">
        <x:v>45936</x:v>
      </x:c>
      <x:c r="L670" t="n">
        <x:v>45936</x:v>
      </x:c>
      <x:c r="M670" t="str">
        <x:v>Gebucht</x:v>
      </x:c>
      <x:c r="N670" t="str">
        <x:v>ISSUER</x:v>
      </x:c>
      <x:c r="O670" t="str">
        <x:v>MCPAPER.BRAUNSCHWEIG.92/Braunschweig</x:v>
      </x:c>
      <x:c r="P670" t="str">
        <x:v>VISA Debitkartenumsatz vom 04.10.2025</x:v>
      </x:c>
      <x:c r="Q670" t="str">
        <x:v>Ausgang</x:v>
      </x:c>
      <x:c r="R670" t="str">
        <x:v>DE96120300009005290904</x:v>
      </x:c>
      <x:c r="S670" t="n">
        <x:v>-5.79</x:v>
      </x:c>
      <x:c r="T670" t="str">
        <x:v>"</x:v>
      </x:c>
      <x:c r="U670" t="str">
        <x:v>"</x:v>
      </x:c>
      <x:c r="V670" t="str">
        <x:v>485277414309982</x:v>
      </x:c>
    </x:row>
    <x:row r="671">
      <x:c r="A671" t="str">
        <x:v>RAW-IMP-20260516-FULLDRAFT-000654</x:v>
      </x:c>
      <x:c r="B671" t="str">
        <x:v>IMP-20260516-FULLDRAFT</x:v>
      </x:c>
      <x:c r="C671" t="str">
        <x:v>KTO001</x:v>
      </x:c>
      <x:c r="D671" t="str">
        <x:v>16-05-2026_Umsatzliste_Girokonto_DE98120300001061711675.csv</x:v>
      </x:c>
      <x:c r="E671" t="n">
        <x:v>46163</x:v>
      </x:c>
      <x:c r="F671" t="n">
        <x:v>654</x:v>
      </x:c>
      <x:c r="G671" t="str">
        <x:v>240d9dc71016bbbdd454c26a454767a4c9a54f354f495c11c6ae0582a6ca2e06</x:v>
      </x:c>
      <x:c r="H671" t="str">
        <x:v>neu</x:v>
      </x:c>
      <x:c r="I671" t="str">
        <x:v>ok</x:v>
      </x:c>
      <x:c r="J671"/>
      <x:c r="K671" t="n">
        <x:v>45936</x:v>
      </x:c>
      <x:c r="L671" t="n">
        <x:v>45936</x:v>
      </x:c>
      <x:c r="M671" t="str">
        <x:v>Gebucht</x:v>
      </x:c>
      <x:c r="N671" t="str">
        <x:v>ISSUER</x:v>
      </x:c>
      <x:c r="O671" t="str">
        <x:v>BARRIQUE.BRAUNSCHWEIG/BRAUNSCHWEIG</x:v>
      </x:c>
      <x:c r="P671" t="str">
        <x:v>VISA Debitkartenumsatz vom 04.10.2025</x:v>
      </x:c>
      <x:c r="Q671" t="str">
        <x:v>Ausgang</x:v>
      </x:c>
      <x:c r="R671" t="str">
        <x:v>DE96120300009005290904</x:v>
      </x:c>
      <x:c r="S671" t="n">
        <x:v>-13.8</x:v>
      </x:c>
      <x:c r="T671" t="str">
        <x:v>"</x:v>
      </x:c>
      <x:c r="U671" t="str">
        <x:v>"</x:v>
      </x:c>
      <x:c r="V671" t="str">
        <x:v>485277415912430</x:v>
      </x:c>
    </x:row>
    <x:row r="672">
      <x:c r="A672" t="str">
        <x:v>RAW-IMP-20260516-FULLDRAFT-000655</x:v>
      </x:c>
      <x:c r="B672" t="str">
        <x:v>IMP-20260516-FULLDRAFT</x:v>
      </x:c>
      <x:c r="C672" t="str">
        <x:v>KTO001</x:v>
      </x:c>
      <x:c r="D672" t="str">
        <x:v>16-05-2026_Umsatzliste_Girokonto_DE98120300001061711675.csv</x:v>
      </x:c>
      <x:c r="E672" t="n">
        <x:v>46163</x:v>
      </x:c>
      <x:c r="F672" t="n">
        <x:v>655</x:v>
      </x:c>
      <x:c r="G672" t="str">
        <x:v>126286500b272bbb22c5ad5621e356d0d398f1fa92e51778e86be9c4de003c3e</x:v>
      </x:c>
      <x:c r="H672" t="str">
        <x:v>neu</x:v>
      </x:c>
      <x:c r="I672" t="str">
        <x:v>ok</x:v>
      </x:c>
      <x:c r="J672"/>
      <x:c r="K672" t="n">
        <x:v>45936</x:v>
      </x:c>
      <x:c r="L672" t="n">
        <x:v>45933</x:v>
      </x:c>
      <x:c r="M672" t="str">
        <x:v>Gebucht</x:v>
      </x:c>
      <x:c r="N672" t="str">
        <x:v>ISSUER</x:v>
      </x:c>
      <x:c r="O672" t="str">
        <x:v>REWE.Salzgitter.Ge/Salzgitter</x:v>
      </x:c>
      <x:c r="P672" t="str">
        <x:v>VISA Debitkartenumsatz vom 02.10.2025</x:v>
      </x:c>
      <x:c r="Q672" t="str">
        <x:v>Ausgang</x:v>
      </x:c>
      <x:c r="R672" t="str">
        <x:v>DE96120300009005290904</x:v>
      </x:c>
      <x:c r="S672" t="n">
        <x:v>-36.03</x:v>
      </x:c>
      <x:c r="T672" t="str">
        <x:v>"</x:v>
      </x:c>
      <x:c r="U672" t="str">
        <x:v>"</x:v>
      </x:c>
      <x:c r="V672" t="str">
        <x:v>485275635507628</x:v>
      </x:c>
    </x:row>
    <x:row r="673">
      <x:c r="A673" t="str">
        <x:v>RAW-IMP-20260516-FULLDRAFT-000656</x:v>
      </x:c>
      <x:c r="B673" t="str">
        <x:v>IMP-20260516-FULLDRAFT</x:v>
      </x:c>
      <x:c r="C673" t="str">
        <x:v>KTO001</x:v>
      </x:c>
      <x:c r="D673" t="str">
        <x:v>16-05-2026_Umsatzliste_Girokonto_DE98120300001061711675.csv</x:v>
      </x:c>
      <x:c r="E673" t="n">
        <x:v>46163</x:v>
      </x:c>
      <x:c r="F673" t="n">
        <x:v>656</x:v>
      </x:c>
      <x:c r="G673" t="str">
        <x:v>d772812480e8443d90ba68d1fd3cbefe82c6aac24a2f0989a2fd16c63474f4dd</x:v>
      </x:c>
      <x:c r="H673" t="str">
        <x:v>neu</x:v>
      </x:c>
      <x:c r="I673" t="str">
        <x:v>ok</x:v>
      </x:c>
      <x:c r="J673"/>
      <x:c r="K673" t="n">
        <x:v>45936</x:v>
      </x:c>
      <x:c r="L673" t="n">
        <x:v>45933</x:v>
      </x:c>
      <x:c r="M673" t="str">
        <x:v>Gebucht</x:v>
      </x:c>
      <x:c r="N673" t="str">
        <x:v>ISSUER</x:v>
      </x:c>
      <x:c r="O673" t="str">
        <x:v>INSELPARKPLAETZE.GMBH/ESENS</x:v>
      </x:c>
      <x:c r="P673" t="str">
        <x:v>VISA Debitkartenumsatz vom 02.10.2025</x:v>
      </x:c>
      <x:c r="Q673" t="str">
        <x:v>Ausgang</x:v>
      </x:c>
      <x:c r="R673" t="str">
        <x:v>DE96120300009005290904</x:v>
      </x:c>
      <x:c r="S673" t="n">
        <x:v>-15</x:v>
      </x:c>
      <x:c r="T673" t="str">
        <x:v>"</x:v>
      </x:c>
      <x:c r="U673" t="str">
        <x:v>"</x:v>
      </x:c>
      <x:c r="V673" t="str">
        <x:v>485275375549419</x:v>
      </x:c>
    </x:row>
    <x:row r="674">
      <x:c r="A674" t="str">
        <x:v>RAW-IMP-20260516-FULLDRAFT-000657</x:v>
      </x:c>
      <x:c r="B674" t="str">
        <x:v>IMP-20260516-FULLDRAFT</x:v>
      </x:c>
      <x:c r="C674" t="str">
        <x:v>KTO001</x:v>
      </x:c>
      <x:c r="D674" t="str">
        <x:v>16-05-2026_Umsatzliste_Girokonto_DE98120300001061711675.csv</x:v>
      </x:c>
      <x:c r="E674" t="n">
        <x:v>46163</x:v>
      </x:c>
      <x:c r="F674" t="n">
        <x:v>657</x:v>
      </x:c>
      <x:c r="G674" t="str">
        <x:v>0efbd1a4023f9ba566868e2df620bed2e921beae9e8c83cb24afe7fdf81eb4fb</x:v>
      </x:c>
      <x:c r="H674" t="str">
        <x:v>neu</x:v>
      </x:c>
      <x:c r="I674" t="str">
        <x:v>ok</x:v>
      </x:c>
      <x:c r="J674"/>
      <x:c r="K674" t="n">
        <x:v>45936</x:v>
      </x:c>
      <x:c r="L674" t="n">
        <x:v>45933</x:v>
      </x:c>
      <x:c r="M674" t="str">
        <x:v>Gebucht</x:v>
      </x:c>
      <x:c r="N674" t="str">
        <x:v>ISSUER</x:v>
      </x:c>
      <x:c r="O674" t="str">
        <x:v>MCDONALDS.00404/DELMENHORST</x:v>
      </x:c>
      <x:c r="P674" t="str">
        <x:v>VISA Debitkartenumsatz vom 02.10.2025</x:v>
      </x:c>
      <x:c r="Q674" t="str">
        <x:v>Ausgang</x:v>
      </x:c>
      <x:c r="R674" t="str">
        <x:v>DE96120300009005290904</x:v>
      </x:c>
      <x:c r="S674" t="n">
        <x:v>-12.99</x:v>
      </x:c>
      <x:c r="T674" t="str">
        <x:v>"</x:v>
      </x:c>
      <x:c r="U674" t="str">
        <x:v>"</x:v>
      </x:c>
      <x:c r="V674" t="str">
        <x:v>485275452013184</x:v>
      </x:c>
    </x:row>
    <x:row r="675">
      <x:c r="A675" t="str">
        <x:v>RAW-IMP-20260516-FULLDRAFT-000658</x:v>
      </x:c>
      <x:c r="B675" t="str">
        <x:v>IMP-20260516-FULLDRAFT</x:v>
      </x:c>
      <x:c r="C675" t="str">
        <x:v>KTO001</x:v>
      </x:c>
      <x:c r="D675" t="str">
        <x:v>16-05-2026_Umsatzliste_Girokonto_DE98120300001061711675.csv</x:v>
      </x:c>
      <x:c r="E675" t="n">
        <x:v>46163</x:v>
      </x:c>
      <x:c r="F675" t="n">
        <x:v>658</x:v>
      </x:c>
      <x:c r="G675" t="str">
        <x:v>aa9015f1ffb1eddcc02424f523c715f5cdd43e7788ec7af5d10706b87f131c9e</x:v>
      </x:c>
      <x:c r="H675" t="str">
        <x:v>neu</x:v>
      </x:c>
      <x:c r="I675" t="str">
        <x:v>ok</x:v>
      </x:c>
      <x:c r="J675"/>
      <x:c r="K675" t="n">
        <x:v>45936</x:v>
      </x:c>
      <x:c r="L675" t="n">
        <x:v>45936</x:v>
      </x:c>
      <x:c r="M675" t="str">
        <x:v>Gebucht</x:v>
      </x:c>
      <x:c r="N675" t="str">
        <x:v>ISSUER</x:v>
      </x:c>
      <x:c r="O675" t="str">
        <x:v>TIEFGARAGE.MAGNI/BRAUNSCHWEIG</x:v>
      </x:c>
      <x:c r="P675" t="str">
        <x:v>VISA Debitkartenumsatz vom 04.10.2025</x:v>
      </x:c>
      <x:c r="Q675" t="str">
        <x:v>Ausgang</x:v>
      </x:c>
      <x:c r="R675" t="str">
        <x:v>DE96120300009005290904</x:v>
      </x:c>
      <x:c r="S675" t="n">
        <x:v>-4.8</x:v>
      </x:c>
      <x:c r="T675" t="str">
        <x:v>"</x:v>
      </x:c>
      <x:c r="U675" t="str">
        <x:v>"</x:v>
      </x:c>
      <x:c r="V675" t="str">
        <x:v>485277418859661</x:v>
      </x:c>
    </x:row>
    <x:row r="676">
      <x:c r="A676" t="str">
        <x:v>RAW-IMP-20260516-FULLDRAFT-000659</x:v>
      </x:c>
      <x:c r="B676" t="str">
        <x:v>IMP-20260516-FULLDRAFT</x:v>
      </x:c>
      <x:c r="C676" t="str">
        <x:v>KTO001</x:v>
      </x:c>
      <x:c r="D676" t="str">
        <x:v>16-05-2026_Umsatzliste_Girokonto_DE98120300001061711675.csv</x:v>
      </x:c>
      <x:c r="E676" t="n">
        <x:v>46163</x:v>
      </x:c>
      <x:c r="F676" t="n">
        <x:v>659</x:v>
      </x:c>
      <x:c r="G676" t="str">
        <x:v>70bb4aaedf4bac909d0df06894c0e4a841328154ee2ee515dad209fa7a8d24d9</x:v>
      </x:c>
      <x:c r="H676" t="str">
        <x:v>neu</x:v>
      </x:c>
      <x:c r="I676" t="str">
        <x:v>ok</x:v>
      </x:c>
      <x:c r="J676"/>
      <x:c r="K676" t="n">
        <x:v>45936</x:v>
      </x:c>
      <x:c r="L676" t="n">
        <x:v>45936</x:v>
      </x:c>
      <x:c r="M676" t="str">
        <x:v>Gebucht</x:v>
      </x:c>
      <x:c r="N676" t="str">
        <x:v>ISSUER</x:v>
      </x:c>
      <x:c r="O676" t="str">
        <x:v>REWE.Salzgitter.Ge/Salzgitter</x:v>
      </x:c>
      <x:c r="P676" t="str">
        <x:v>VISA Debitkartenumsatz vom 04.10.2025</x:v>
      </x:c>
      <x:c r="Q676" t="str">
        <x:v>Ausgang</x:v>
      </x:c>
      <x:c r="R676" t="str">
        <x:v>DE96120300009005290904</x:v>
      </x:c>
      <x:c r="S676" t="n">
        <x:v>-35.42</x:v>
      </x:c>
      <x:c r="T676" t="str">
        <x:v>"</x:v>
      </x:c>
      <x:c r="U676" t="str">
        <x:v>"</x:v>
      </x:c>
      <x:c r="V676" t="str">
        <x:v>485277590792807</x:v>
      </x:c>
    </x:row>
    <x:row r="677">
      <x:c r="A677" t="str">
        <x:v>RAW-IMP-20260516-FULLDRAFT-000660</x:v>
      </x:c>
      <x:c r="B677" t="str">
        <x:v>IMP-20260516-FULLDRAFT</x:v>
      </x:c>
      <x:c r="C677" t="str">
        <x:v>KTO001</x:v>
      </x:c>
      <x:c r="D677" t="str">
        <x:v>16-05-2026_Umsatzliste_Girokonto_DE98120300001061711675.csv</x:v>
      </x:c>
      <x:c r="E677" t="n">
        <x:v>46163</x:v>
      </x:c>
      <x:c r="F677" t="n">
        <x:v>660</x:v>
      </x:c>
      <x:c r="G677" t="str">
        <x:v>9bc1eaca369b7db1b9578dfc9ac315674661d11d3a5c542ad8646441a93c3fac</x:v>
      </x:c>
      <x:c r="H677" t="str">
        <x:v>neu</x:v>
      </x:c>
      <x:c r="I677" t="str">
        <x:v>ok</x:v>
      </x:c>
      <x:c r="J677"/>
      <x:c r="K677" t="n">
        <x:v>45936</x:v>
      </x:c>
      <x:c r="L677" t="n">
        <x:v>45936</x:v>
      </x:c>
      <x:c r="M677" t="str">
        <x:v>Gebucht</x:v>
      </x:c>
      <x:c r="N677" t="str">
        <x:v>ISSUER</x:v>
      </x:c>
      <x:c r="O677" t="str">
        <x:v>Prime.Video.Shop/amzn.de.bill</x:v>
      </x:c>
      <x:c r="P677" t="str">
        <x:v>VISA Debitkartenumsatz vom 04.10.2025</x:v>
      </x:c>
      <x:c r="Q677" t="str">
        <x:v>Ausgang</x:v>
      </x:c>
      <x:c r="R677" t="str">
        <x:v>DE96120300009005290904</x:v>
      </x:c>
      <x:c r="S677" t="n">
        <x:v>-3.99</x:v>
      </x:c>
      <x:c r="T677" t="str">
        <x:v>"</x:v>
      </x:c>
      <x:c r="U677" t="str">
        <x:v>"</x:v>
      </x:c>
      <x:c r="V677" t="str">
        <x:v>485277634474935</x:v>
      </x:c>
    </x:row>
    <x:row r="678">
      <x:c r="A678" t="str">
        <x:v>RAW-IMP-20260516-FULLDRAFT-000661</x:v>
      </x:c>
      <x:c r="B678" t="str">
        <x:v>IMP-20260516-FULLDRAFT</x:v>
      </x:c>
      <x:c r="C678" t="str">
        <x:v>KTO001</x:v>
      </x:c>
      <x:c r="D678" t="str">
        <x:v>16-05-2026_Umsatzliste_Girokonto_DE98120300001061711675.csv</x:v>
      </x:c>
      <x:c r="E678" t="n">
        <x:v>46163</x:v>
      </x:c>
      <x:c r="F678" t="n">
        <x:v>661</x:v>
      </x:c>
      <x:c r="G678" t="str">
        <x:v>ad9321652070edd775b5b6ae28d358f46b679ee6bc315592e2ae9863974a71df</x:v>
      </x:c>
      <x:c r="H678" t="str">
        <x:v>neu</x:v>
      </x:c>
      <x:c r="I678" t="str">
        <x:v>ok</x:v>
      </x:c>
      <x:c r="J678"/>
      <x:c r="K678" t="n">
        <x:v>45936</x:v>
      </x:c>
      <x:c r="L678" t="n">
        <x:v>45936</x:v>
      </x:c>
      <x:c r="M678" t="str">
        <x:v>Gebucht</x:v>
      </x:c>
      <x:c r="N678" t="str">
        <x:v>ISSUER</x:v>
      </x:c>
      <x:c r="O678" t="str">
        <x:v>METRO.SAGT.DANKE/BRAUNSCHWEIG</x:v>
      </x:c>
      <x:c r="P678" t="str">
        <x:v>VISA Debitkartenumsatz vom 04.10.2025</x:v>
      </x:c>
      <x:c r="Q678" t="str">
        <x:v>Ausgang</x:v>
      </x:c>
      <x:c r="R678" t="str">
        <x:v>DE96120300009005290904</x:v>
      </x:c>
      <x:c r="S678" t="n">
        <x:v>-64.08</x:v>
      </x:c>
      <x:c r="T678" t="str">
        <x:v>"</x:v>
      </x:c>
      <x:c r="U678" t="str">
        <x:v>"</x:v>
      </x:c>
      <x:c r="V678" t="str">
        <x:v>485277445390013</x:v>
      </x:c>
    </x:row>
    <x:row r="679">
      <x:c r="A679" t="str">
        <x:v>RAW-IMP-20260516-FULLDRAFT-000662</x:v>
      </x:c>
      <x:c r="B679" t="str">
        <x:v>IMP-20260516-FULLDRAFT</x:v>
      </x:c>
      <x:c r="C679" t="str">
        <x:v>KTO001</x:v>
      </x:c>
      <x:c r="D679" t="str">
        <x:v>16-05-2026_Umsatzliste_Girokonto_DE98120300001061711675.csv</x:v>
      </x:c>
      <x:c r="E679" t="n">
        <x:v>46163</x:v>
      </x:c>
      <x:c r="F679" t="n">
        <x:v>662</x:v>
      </x:c>
      <x:c r="G679" t="str">
        <x:v>cb761f0daa0587a774053f05bf67716c9769193aade021440224a3f32c5cde2a</x:v>
      </x:c>
      <x:c r="H679" t="str">
        <x:v>neu</x:v>
      </x:c>
      <x:c r="I679" t="str">
        <x:v>ok</x:v>
      </x:c>
      <x:c r="J679"/>
      <x:c r="K679" t="n">
        <x:v>45936</x:v>
      </x:c>
      <x:c r="L679" t="n">
        <x:v>45936</x:v>
      </x:c>
      <x:c r="M679" t="str">
        <x:v>Gebucht</x:v>
      </x:c>
      <x:c r="N679" t="str">
        <x:v>ISSUER</x:v>
      </x:c>
      <x:c r="O679" t="str">
        <x:v>FW.BRAUNSCHWEIG/BRAUNSCHWEIG</x:v>
      </x:c>
      <x:c r="P679" t="str">
        <x:v>VISA Debitkartenumsatz vom 04.10.2025</x:v>
      </x:c>
      <x:c r="Q679" t="str">
        <x:v>Ausgang</x:v>
      </x:c>
      <x:c r="R679" t="str">
        <x:v>DE96120300009005290904</x:v>
      </x:c>
      <x:c r="S679" t="n">
        <x:v>-32.15</x:v>
      </x:c>
      <x:c r="T679" t="str">
        <x:v>"</x:v>
      </x:c>
      <x:c r="U679" t="str">
        <x:v>"</x:v>
      </x:c>
      <x:c r="V679" t="str">
        <x:v>485277382988773</x:v>
      </x:c>
    </x:row>
    <x:row r="680">
      <x:c r="A680" t="str">
        <x:v>RAW-IMP-20260516-FULLDRAFT-000663</x:v>
      </x:c>
      <x:c r="B680" t="str">
        <x:v>IMP-20260516-FULLDRAFT</x:v>
      </x:c>
      <x:c r="C680" t="str">
        <x:v>KTO001</x:v>
      </x:c>
      <x:c r="D680" t="str">
        <x:v>16-05-2026_Umsatzliste_Girokonto_DE98120300001061711675.csv</x:v>
      </x:c>
      <x:c r="E680" t="n">
        <x:v>46163</x:v>
      </x:c>
      <x:c r="F680" t="n">
        <x:v>663</x:v>
      </x:c>
      <x:c r="G680" t="str">
        <x:v>9ecb391e8e28d17f0d91a3bb51da796ee741ba2bed124e2635e482aeb1cf51ee</x:v>
      </x:c>
      <x:c r="H680" t="str">
        <x:v>neu</x:v>
      </x:c>
      <x:c r="I680" t="str">
        <x:v>ok</x:v>
      </x:c>
      <x:c r="J680"/>
      <x:c r="K680" t="n">
        <x:v>45936</x:v>
      </x:c>
      <x:c r="L680" t="n">
        <x:v>45936</x:v>
      </x:c>
      <x:c r="M680" t="str">
        <x:v>Gebucht</x:v>
      </x:c>
      <x:c r="N680" t="str">
        <x:v>ISSUER</x:v>
      </x:c>
      <x:c r="O680" t="str">
        <x:v>UKVI.ETAMOB00000769879/WWW.GOV.UK.BR</x:v>
      </x:c>
      <x:c r="P680" t="str">
        <x:v>VISA Debitkartenumsatz vom 03.10.2025</x:v>
      </x:c>
      <x:c r="Q680" t="str">
        <x:v>Ausgang</x:v>
      </x:c>
      <x:c r="R680" t="str">
        <x:v>DE96120300009005290904</x:v>
      </x:c>
      <x:c r="S680" t="n">
        <x:v>-19.06</x:v>
      </x:c>
      <x:c r="T680" t="str">
        <x:v>"</x:v>
      </x:c>
      <x:c r="U680" t="str">
        <x:v>"</x:v>
      </x:c>
      <x:c r="V680" t="str">
        <x:v>485276281982170</x:v>
      </x:c>
    </x:row>
    <x:row r="681">
      <x:c r="A681" t="str">
        <x:v>RAW-IMP-20260516-FULLDRAFT-000664</x:v>
      </x:c>
      <x:c r="B681" t="str">
        <x:v>IMP-20260516-FULLDRAFT</x:v>
      </x:c>
      <x:c r="C681" t="str">
        <x:v>KTO001</x:v>
      </x:c>
      <x:c r="D681" t="str">
        <x:v>16-05-2026_Umsatzliste_Girokonto_DE98120300001061711675.csv</x:v>
      </x:c>
      <x:c r="E681" t="n">
        <x:v>46163</x:v>
      </x:c>
      <x:c r="F681" t="n">
        <x:v>664</x:v>
      </x:c>
      <x:c r="G681" t="str">
        <x:v>2fce0db0831593a7fad61e3a8d9d22f527c9be327fbdc6b2c7adadace383abd4</x:v>
      </x:c>
      <x:c r="H681" t="str">
        <x:v>neu</x:v>
      </x:c>
      <x:c r="I681" t="str">
        <x:v>ok</x:v>
      </x:c>
      <x:c r="J681"/>
      <x:c r="K681" t="n">
        <x:v>45936</x:v>
      </x:c>
      <x:c r="L681" t="n">
        <x:v>45936</x:v>
      </x:c>
      <x:c r="M681" t="str">
        <x:v>Gebucht</x:v>
      </x:c>
      <x:c r="N681" t="str">
        <x:v>ISSUER</x:v>
      </x:c>
      <x:c r="O681" t="str">
        <x:v>UKVI.ETAMOB00000769886/WWW.GOV.UK.BR</x:v>
      </x:c>
      <x:c r="P681" t="str">
        <x:v>VISA Debitkartenumsatz vom 03.10.2025</x:v>
      </x:c>
      <x:c r="Q681" t="str">
        <x:v>Ausgang</x:v>
      </x:c>
      <x:c r="R681" t="str">
        <x:v>DE96120300009005290904</x:v>
      </x:c>
      <x:c r="S681" t="n">
        <x:v>-19.06</x:v>
      </x:c>
      <x:c r="T681" t="str">
        <x:v>"</x:v>
      </x:c>
      <x:c r="U681" t="str">
        <x:v>"</x:v>
      </x:c>
      <x:c r="V681" t="str">
        <x:v>485276287023726</x:v>
      </x:c>
    </x:row>
    <x:row r="682">
      <x:c r="A682" t="str">
        <x:v>RAW-IMP-20260516-FULLDRAFT-000665</x:v>
      </x:c>
      <x:c r="B682" t="str">
        <x:v>IMP-20260516-FULLDRAFT</x:v>
      </x:c>
      <x:c r="C682" t="str">
        <x:v>KTO001</x:v>
      </x:c>
      <x:c r="D682" t="str">
        <x:v>16-05-2026_Umsatzliste_Girokonto_DE98120300001061711675.csv</x:v>
      </x:c>
      <x:c r="E682" t="n">
        <x:v>46163</x:v>
      </x:c>
      <x:c r="F682" t="n">
        <x:v>665</x:v>
      </x:c>
      <x:c r="G682" t="str">
        <x:v>bcac4f50139ce060aca58900fb4210b3d5e58275201110246c12284e02c616f5</x:v>
      </x:c>
      <x:c r="H682" t="str">
        <x:v>neu</x:v>
      </x:c>
      <x:c r="I682" t="str">
        <x:v>ok</x:v>
      </x:c>
      <x:c r="J682"/>
      <x:c r="K682" t="n">
        <x:v>45936</x:v>
      </x:c>
      <x:c r="L682" t="n">
        <x:v>45936</x:v>
      </x:c>
      <x:c r="M682" t="str">
        <x:v>Gebucht</x:v>
      </x:c>
      <x:c r="N682" t="str">
        <x:v>ISSUER</x:v>
      </x:c>
      <x:c r="O682" t="str">
        <x:v>UKVI.ETAMOB00000769866/WWW.GOV.UK.BR</x:v>
      </x:c>
      <x:c r="P682" t="str">
        <x:v>VISA Debitkartenumsatz vom 03.10.2025</x:v>
      </x:c>
      <x:c r="Q682" t="str">
        <x:v>Ausgang</x:v>
      </x:c>
      <x:c r="R682" t="str">
        <x:v>DE96120300009005290904</x:v>
      </x:c>
      <x:c r="S682" t="n">
        <x:v>-19.06</x:v>
      </x:c>
      <x:c r="T682" t="str">
        <x:v>"</x:v>
      </x:c>
      <x:c r="U682" t="str">
        <x:v>"</x:v>
      </x:c>
      <x:c r="V682" t="str">
        <x:v>485276279070010</x:v>
      </x:c>
    </x:row>
    <x:row r="683">
      <x:c r="A683" t="str">
        <x:v>RAW-IMP-20260516-FULLDRAFT-000666</x:v>
      </x:c>
      <x:c r="B683" t="str">
        <x:v>IMP-20260516-FULLDRAFT</x:v>
      </x:c>
      <x:c r="C683" t="str">
        <x:v>KTO001</x:v>
      </x:c>
      <x:c r="D683" t="str">
        <x:v>16-05-2026_Umsatzliste_Girokonto_DE98120300001061711675.csv</x:v>
      </x:c>
      <x:c r="E683" t="n">
        <x:v>46163</x:v>
      </x:c>
      <x:c r="F683" t="n">
        <x:v>666</x:v>
      </x:c>
      <x:c r="G683" t="str">
        <x:v>c975f96251c2bed481a96b9970198e3c228dad0727e1b0cf5eb0eaa56011c672</x:v>
      </x:c>
      <x:c r="H683" t="str">
        <x:v>neu</x:v>
      </x:c>
      <x:c r="I683" t="str">
        <x:v>ok</x:v>
      </x:c>
      <x:c r="J683"/>
      <x:c r="K683" t="n">
        <x:v>45936</x:v>
      </x:c>
      <x:c r="L683" t="n">
        <x:v>45936</x:v>
      </x:c>
      <x:c r="M683" t="str">
        <x:v>Gebucht</x:v>
      </x:c>
      <x:c r="N683" t="str">
        <x:v>Lars Kohlenberg</x:v>
      </x:c>
      <x:c r="O683" t="str">
        <x:v>Iman Firat</x:v>
      </x:c>
      <x:c r="P683" t="str">
        <x:v>2230 Lea Kohlenberg</x:v>
      </x:c>
      <x:c r="Q683" t="str">
        <x:v>Ausgang</x:v>
      </x:c>
      <x:c r="R683" t="str">
        <x:v>DE67269910662694298000</x:v>
      </x:c>
      <x:c r="S683" t="n">
        <x:v>-49.9</x:v>
      </x:c>
      <x:c r="T683" t="str">
        <x:v>"</x:v>
      </x:c>
      <x:c r="U683" t="str">
        <x:v>"</x:v>
      </x:c>
      <x:c r="V683" t="str">
        <x:v>"</x:v>
      </x:c>
    </x:row>
    <x:row r="684">
      <x:c r="A684" t="str">
        <x:v>RAW-IMP-20260516-FULLDRAFT-000667</x:v>
      </x:c>
      <x:c r="B684" t="str">
        <x:v>IMP-20260516-FULLDRAFT</x:v>
      </x:c>
      <x:c r="C684" t="str">
        <x:v>KTO001</x:v>
      </x:c>
      <x:c r="D684" t="str">
        <x:v>16-05-2026_Umsatzliste_Girokonto_DE98120300001061711675.csv</x:v>
      </x:c>
      <x:c r="E684" t="n">
        <x:v>46163</x:v>
      </x:c>
      <x:c r="F684" t="n">
        <x:v>667</x:v>
      </x:c>
      <x:c r="G684" t="str">
        <x:v>44b26b42c5f86fa5ff51f5469327aa62791161ca49216689e742cb026684be74</x:v>
      </x:c>
      <x:c r="H684" t="str">
        <x:v>neu</x:v>
      </x:c>
      <x:c r="I684" t="str">
        <x:v>ok</x:v>
      </x:c>
      <x:c r="J684"/>
      <x:c r="K684" t="n">
        <x:v>45932</x:v>
      </x:c>
      <x:c r="L684" t="n">
        <x:v>45932</x:v>
      </x:c>
      <x:c r="M684" t="str">
        <x:v>Gebucht</x:v>
      </x:c>
      <x:c r="N684" t="str">
        <x:v>ISSUER</x:v>
      </x:c>
      <x:c r="O684" t="str">
        <x:v>NORDSEEHOTEL.KROEGER/LANGEOOG</x:v>
      </x:c>
      <x:c r="P684" t="str">
        <x:v>VISA Debitkartenumsatz vom 01.10.2025</x:v>
      </x:c>
      <x:c r="Q684" t="str">
        <x:v>Ausgang</x:v>
      </x:c>
      <x:c r="R684" t="str">
        <x:v>DE96120300009005290904</x:v>
      </x:c>
      <x:c r="S684" t="n">
        <x:v>-43</x:v>
      </x:c>
      <x:c r="T684" t="str">
        <x:v>"</x:v>
      </x:c>
      <x:c r="U684" t="str">
        <x:v>"</x:v>
      </x:c>
      <x:c r="V684" t="str">
        <x:v>485274644604300</x:v>
      </x:c>
    </x:row>
    <x:row r="685">
      <x:c r="A685" t="str">
        <x:v>RAW-IMP-20260516-FULLDRAFT-000668</x:v>
      </x:c>
      <x:c r="B685" t="str">
        <x:v>IMP-20260516-FULLDRAFT</x:v>
      </x:c>
      <x:c r="C685" t="str">
        <x:v>KTO001</x:v>
      </x:c>
      <x:c r="D685" t="str">
        <x:v>16-05-2026_Umsatzliste_Girokonto_DE98120300001061711675.csv</x:v>
      </x:c>
      <x:c r="E685" t="n">
        <x:v>46163</x:v>
      </x:c>
      <x:c r="F685" t="n">
        <x:v>668</x:v>
      </x:c>
      <x:c r="G685" t="str">
        <x:v>e33c9c20d169b695158caad404e067b4798f7453717de6e85f2ca0a6492cb0d7</x:v>
      </x:c>
      <x:c r="H685" t="str">
        <x:v>neu</x:v>
      </x:c>
      <x:c r="I685" t="str">
        <x:v>ok</x:v>
      </x:c>
      <x:c r="J685"/>
      <x:c r="K685" t="n">
        <x:v>45932</x:v>
      </x:c>
      <x:c r="L685" t="n">
        <x:v>45932</x:v>
      </x:c>
      <x:c r="M685" t="str">
        <x:v>Gebucht</x:v>
      </x:c>
      <x:c r="N685" t="str">
        <x:v>ISSUER</x:v>
      </x:c>
      <x:c r="O685" t="str">
        <x:v>Tourismus.Service.Lange/Langeoog</x:v>
      </x:c>
      <x:c r="P685" t="str">
        <x:v>VISA Debitkartenumsatz vom 01.10.2025</x:v>
      </x:c>
      <x:c r="Q685" t="str">
        <x:v>Ausgang</x:v>
      </x:c>
      <x:c r="R685" t="str">
        <x:v>DE96120300009005290904</x:v>
      </x:c>
      <x:c r="S685" t="n">
        <x:v>-40</x:v>
      </x:c>
      <x:c r="T685" t="str">
        <x:v>"</x:v>
      </x:c>
      <x:c r="U685" t="str">
        <x:v>"</x:v>
      </x:c>
      <x:c r="V685" t="str">
        <x:v>585274161542431</x:v>
      </x:c>
    </x:row>
    <x:row r="686">
      <x:c r="A686" t="str">
        <x:v>RAW-IMP-20260516-FULLDRAFT-000669</x:v>
      </x:c>
      <x:c r="B686" t="str">
        <x:v>IMP-20260516-FULLDRAFT</x:v>
      </x:c>
      <x:c r="C686" t="str">
        <x:v>KTO001</x:v>
      </x:c>
      <x:c r="D686" t="str">
        <x:v>16-05-2026_Umsatzliste_Girokonto_DE98120300001061711675.csv</x:v>
      </x:c>
      <x:c r="E686" t="n">
        <x:v>46163</x:v>
      </x:c>
      <x:c r="F686" t="n">
        <x:v>669</x:v>
      </x:c>
      <x:c r="G686" t="str">
        <x:v>3ac098b6498f7a0d188869bb9475d6551c1e7cdada737e7274bb9fbcd8d3ba5b</x:v>
      </x:c>
      <x:c r="H686" t="str">
        <x:v>neu</x:v>
      </x:c>
      <x:c r="I686" t="str">
        <x:v>ok</x:v>
      </x:c>
      <x:c r="J686"/>
      <x:c r="K686" t="n">
        <x:v>45932</x:v>
      </x:c>
      <x:c r="L686" t="n">
        <x:v>45932</x:v>
      </x:c>
      <x:c r="M686" t="str">
        <x:v>Gebucht</x:v>
      </x:c>
      <x:c r="N686" t="str">
        <x:v>Lars Kohlenberg                                                       Johannes-Wosnitza-Str. 8</x:v>
      </x:c>
      <x:c r="O686" t="str">
        <x:v>FUNKE Medien Nieders.GmbH</x:v>
      </x:c>
      <x:c r="P686" t="str">
        <x:v>SZ/00001050/VA/01.10.25-31.10.25/Rg-Nr.:6316665140/Kd-Nr:0053112791</x:v>
      </x:c>
      <x:c r="Q686" t="str">
        <x:v>Ausgang</x:v>
      </x:c>
      <x:c r="R686" t="str">
        <x:v>DE67250500000000146910</x:v>
      </x:c>
      <x:c r="S686" t="n">
        <x:v>-60.5</x:v>
      </x:c>
      <x:c r="T686" t="str">
        <x:v>DE8850000000483288</x:v>
      </x:c>
      <x:c r="U686" t="str">
        <x:v>0053112791-0500-01300001</x:v>
      </x:c>
      <x:c r="V686" t="str">
        <x:v>035007732978</x:v>
      </x:c>
    </x:row>
    <x:row r="687">
      <x:c r="A687" t="str">
        <x:v>RAW-IMP-20260516-FULLDRAFT-000670</x:v>
      </x:c>
      <x:c r="B687" t="str">
        <x:v>IMP-20260516-FULLDRAFT</x:v>
      </x:c>
      <x:c r="C687" t="str">
        <x:v>KTO001</x:v>
      </x:c>
      <x:c r="D687" t="str">
        <x:v>16-05-2026_Umsatzliste_Girokonto_DE98120300001061711675.csv</x:v>
      </x:c>
      <x:c r="E687" t="n">
        <x:v>46163</x:v>
      </x:c>
      <x:c r="F687" t="n">
        <x:v>670</x:v>
      </x:c>
      <x:c r="G687" t="str">
        <x:v>5c0460704c1c436292fab37c0b57c767b002f80a2385b22c6d8d48643cdb31fa</x:v>
      </x:c>
      <x:c r="H687" t="str">
        <x:v>neu</x:v>
      </x:c>
      <x:c r="I687" t="str">
        <x:v>ok</x:v>
      </x:c>
      <x:c r="J687"/>
      <x:c r="K687" t="n">
        <x:v>45932</x:v>
      </x:c>
      <x:c r="L687" t="n">
        <x:v>45932</x:v>
      </x:c>
      <x:c r="M687" t="str">
        <x:v>Gebucht</x:v>
      </x:c>
      <x:c r="N687" t="str">
        <x:v>Lars Kohlenberg</x:v>
      </x:c>
      <x:c r="O687" t="str">
        <x:v>VHV Allg. Versicherung AG</x:v>
      </x:c>
      <x:c r="P687" t="str">
        <x:v>VHV Versicherung HAFTPFLICHTVERSICHERUNG H 306-298548/0000 Abrechnung: 01.10.25 - 01.01.26</x:v>
      </x:c>
      <x:c r="Q687" t="str">
        <x:v>Ausgang</x:v>
      </x:c>
      <x:c r="R687" t="str">
        <x:v>DE65250500000101411551</x:v>
      </x:c>
      <x:c r="S687" t="n">
        <x:v>-23.63</x:v>
      </x:c>
      <x:c r="T687" t="str">
        <x:v>DE32VHV00000150810</x:v>
      </x:c>
      <x:c r="U687" t="str">
        <x:v>0015012300010037</x:v>
      </x:c>
      <x:c r="V687" t="str">
        <x:v>31333715118</x:v>
      </x:c>
    </x:row>
    <x:row r="688">
      <x:c r="A688" t="str">
        <x:v>RAW-IMP-20260516-FULLDRAFT-000671</x:v>
      </x:c>
      <x:c r="B688" t="str">
        <x:v>IMP-20260516-FULLDRAFT</x:v>
      </x:c>
      <x:c r="C688" t="str">
        <x:v>KTO001</x:v>
      </x:c>
      <x:c r="D688" t="str">
        <x:v>16-05-2026_Umsatzliste_Girokonto_DE98120300001061711675.csv</x:v>
      </x:c>
      <x:c r="E688" t="n">
        <x:v>46163</x:v>
      </x:c>
      <x:c r="F688" t="n">
        <x:v>671</x:v>
      </x:c>
      <x:c r="G688" t="str">
        <x:v>fd2fd132fc755e4c77e2a4cfd11ba6e3598c4892ad8bbb152e7d244d34ae7c77</x:v>
      </x:c>
      <x:c r="H688" t="str">
        <x:v>neu</x:v>
      </x:c>
      <x:c r="I688" t="str">
        <x:v>ok</x:v>
      </x:c>
      <x:c r="J688"/>
      <x:c r="K688" t="n">
        <x:v>45932</x:v>
      </x:c>
      <x:c r="L688" t="n">
        <x:v>45932</x:v>
      </x:c>
      <x:c r="M688" t="str">
        <x:v>Gebucht</x:v>
      </x:c>
      <x:c r="N688" t="str">
        <x:v>Lars Kohlenberg</x:v>
      </x:c>
      <x:c r="O688" t="str">
        <x:v>VHV Allg. Versicherung AG</x:v>
      </x:c>
      <x:c r="P688" t="str">
        <x:v>VHV Versicherung UNFALLVERSICHERUNG U 013-072445/0000 Abrechnung: 01.10.25 - 01.11.25</x:v>
      </x:c>
      <x:c r="Q688" t="str">
        <x:v>Ausgang</x:v>
      </x:c>
      <x:c r="R688" t="str">
        <x:v>DE65250500000101411551</x:v>
      </x:c>
      <x:c r="S688" t="n">
        <x:v>-11.96</x:v>
      </x:c>
      <x:c r="T688" t="str">
        <x:v>DE32VHV00000150810</x:v>
      </x:c>
      <x:c r="U688" t="str">
        <x:v>0015012300010039</x:v>
      </x:c>
      <x:c r="V688" t="str">
        <x:v>31333715119</x:v>
      </x:c>
    </x:row>
    <x:row r="689">
      <x:c r="A689" t="str">
        <x:v>RAW-IMP-20260516-FULLDRAFT-000672</x:v>
      </x:c>
      <x:c r="B689" t="str">
        <x:v>IMP-20260516-FULLDRAFT</x:v>
      </x:c>
      <x:c r="C689" t="str">
        <x:v>KTO001</x:v>
      </x:c>
      <x:c r="D689" t="str">
        <x:v>16-05-2026_Umsatzliste_Girokonto_DE98120300001061711675.csv</x:v>
      </x:c>
      <x:c r="E689" t="n">
        <x:v>46163</x:v>
      </x:c>
      <x:c r="F689" t="n">
        <x:v>672</x:v>
      </x:c>
      <x:c r="G689" t="str">
        <x:v>b3c87acec81e45b3a8b42cc47c38b738874c6c66e65de75342a3a6e8bf744e28</x:v>
      </x:c>
      <x:c r="H689" t="str">
        <x:v>neu</x:v>
      </x:c>
      <x:c r="I689" t="str">
        <x:v>ok</x:v>
      </x:c>
      <x:c r="J689"/>
      <x:c r="K689" t="n">
        <x:v>45931</x:v>
      </x:c>
      <x:c r="L689" t="n">
        <x:v>45931</x:v>
      </x:c>
      <x:c r="M689" t="str">
        <x:v>Gebucht</x:v>
      </x:c>
      <x:c r="N689" t="str">
        <x:v>WILLI KOHLENBERG</x:v>
      </x:c>
      <x:c r="O689" t="str">
        <x:v>LARS KOHLENBERG</x:v>
      </x:c>
      <x:c r="P689" t="str">
        <x:v>MIETE 2/3 HAUS</x:v>
      </x:c>
      <x:c r="Q689" t="str">
        <x:v>Eingang</x:v>
      </x:c>
      <x:c r="R689" t="str">
        <x:v>DE84270800600651520400</x:v>
      </x:c>
      <x:c r="S689" t="n">
        <x:v>750</x:v>
      </x:c>
      <x:c r="T689" t="str">
        <x:v>"</x:v>
      </x:c>
      <x:c r="U689" t="str">
        <x:v>"</x:v>
      </x:c>
      <x:c r="V689" t="str">
        <x:v>"</x:v>
      </x:c>
    </x:row>
    <x:row r="690">
      <x:c r="A690" t="str">
        <x:v>RAW-IMP-20260516-FULLDRAFT-000673</x:v>
      </x:c>
      <x:c r="B690" t="str">
        <x:v>IMP-20260516-FULLDRAFT</x:v>
      </x:c>
      <x:c r="C690" t="str">
        <x:v>KTO001</x:v>
      </x:c>
      <x:c r="D690" t="str">
        <x:v>16-05-2026_Umsatzliste_Girokonto_DE98120300001061711675.csv</x:v>
      </x:c>
      <x:c r="E690" t="n">
        <x:v>46163</x:v>
      </x:c>
      <x:c r="F690" t="n">
        <x:v>673</x:v>
      </x:c>
      <x:c r="G690" t="str">
        <x:v>e6434105da74a5714c8f6a5fee374d7445c71fa753e9f1498a9f81cbfbdd2097</x:v>
      </x:c>
      <x:c r="H690" t="str">
        <x:v>neu</x:v>
      </x:c>
      <x:c r="I690" t="str">
        <x:v>ok</x:v>
      </x:c>
      <x:c r="J690"/>
      <x:c r="K690" t="n">
        <x:v>45931</x:v>
      </x:c>
      <x:c r="L690" t="n">
        <x:v>45931</x:v>
      </x:c>
      <x:c r="M690" t="str">
        <x:v>Gebucht</x:v>
      </x:c>
      <x:c r="N690" t="str">
        <x:v>ISSUER</x:v>
      </x:c>
      <x:c r="O690" t="str">
        <x:v>PAYPAL..AIRALO/4029357733</x:v>
      </x:c>
      <x:c r="P690" t="str">
        <x:v>VISA Debitkartenumsatz vom 29.09.2025</x:v>
      </x:c>
      <x:c r="Q690" t="str">
        <x:v>Ausgang</x:v>
      </x:c>
      <x:c r="R690" t="str">
        <x:v>DE96120300009005290904</x:v>
      </x:c>
      <x:c r="S690" t="n">
        <x:v>-32.5</x:v>
      </x:c>
      <x:c r="T690" t="str">
        <x:v>"</x:v>
      </x:c>
      <x:c r="U690" t="str">
        <x:v>"</x:v>
      </x:c>
      <x:c r="V690" t="str">
        <x:v>585272664591599</x:v>
      </x:c>
    </x:row>
    <x:row r="691">
      <x:c r="A691" t="str">
        <x:v>RAW-IMP-20260516-FULLDRAFT-000674</x:v>
      </x:c>
      <x:c r="B691" t="str">
        <x:v>IMP-20260516-FULLDRAFT</x:v>
      </x:c>
      <x:c r="C691" t="str">
        <x:v>KTO001</x:v>
      </x:c>
      <x:c r="D691" t="str">
        <x:v>16-05-2026_Umsatzliste_Girokonto_DE98120300001061711675.csv</x:v>
      </x:c>
      <x:c r="E691" t="n">
        <x:v>46163</x:v>
      </x:c>
      <x:c r="F691" t="n">
        <x:v>674</x:v>
      </x:c>
      <x:c r="G691" t="str">
        <x:v>fd05d8b1fbe03232856ac0b061b370a1915d40fc5e68c89621d7a00dc7a398a9</x:v>
      </x:c>
      <x:c r="H691" t="str">
        <x:v>neu</x:v>
      </x:c>
      <x:c r="I691" t="str">
        <x:v>ok</x:v>
      </x:c>
      <x:c r="J691"/>
      <x:c r="K691" t="n">
        <x:v>45931</x:v>
      </x:c>
      <x:c r="L691" t="n">
        <x:v>45931</x:v>
      </x:c>
      <x:c r="M691" t="str">
        <x:v>Gebucht</x:v>
      </x:c>
      <x:c r="N691" t="str">
        <x:v>ISSUER</x:v>
      </x:c>
      <x:c r="O691" t="str">
        <x:v>BOSPORUS.GRILL/SALZGITTER</x:v>
      </x:c>
      <x:c r="P691" t="str">
        <x:v>VISA Debitkartenumsatz vom 30.09.2025</x:v>
      </x:c>
      <x:c r="Q691" t="str">
        <x:v>Ausgang</x:v>
      </x:c>
      <x:c r="R691" t="str">
        <x:v>DE96120300009005290904</x:v>
      </x:c>
      <x:c r="S691" t="n">
        <x:v>-27</x:v>
      </x:c>
      <x:c r="T691" t="str">
        <x:v>"</x:v>
      </x:c>
      <x:c r="U691" t="str">
        <x:v>"</x:v>
      </x:c>
      <x:c r="V691" t="str">
        <x:v>485273653272304</x:v>
      </x:c>
    </x:row>
    <x:row r="692">
      <x:c r="A692" t="str">
        <x:v>RAW-IMP-20260516-FULLDRAFT-000675</x:v>
      </x:c>
      <x:c r="B692" t="str">
        <x:v>IMP-20260516-FULLDRAFT</x:v>
      </x:c>
      <x:c r="C692" t="str">
        <x:v>KTO001</x:v>
      </x:c>
      <x:c r="D692" t="str">
        <x:v>16-05-2026_Umsatzliste_Girokonto_DE98120300001061711675.csv</x:v>
      </x:c>
      <x:c r="E692" t="n">
        <x:v>46163</x:v>
      </x:c>
      <x:c r="F692" t="n">
        <x:v>675</x:v>
      </x:c>
      <x:c r="G692" t="str">
        <x:v>73f0589028d8557a3f5cb97db1e404918e993459fb8df6966138d2e0c181c672</x:v>
      </x:c>
      <x:c r="H692" t="str">
        <x:v>neu</x:v>
      </x:c>
      <x:c r="I692" t="str">
        <x:v>ok</x:v>
      </x:c>
      <x:c r="J692"/>
      <x:c r="K692" t="n">
        <x:v>45931</x:v>
      </x:c>
      <x:c r="L692" t="n">
        <x:v>45931</x:v>
      </x:c>
      <x:c r="M692" t="str">
        <x:v>Gebucht</x:v>
      </x:c>
      <x:c r="N692" t="str">
        <x:v>ISSUER</x:v>
      </x:c>
      <x:c r="O692" t="str">
        <x:v>AMAZON.DE..VU6U76N65/LUXEMBOURG</x:v>
      </x:c>
      <x:c r="P692" t="str">
        <x:v>VISA Debitkartenumsatz vom 30.09.2025</x:v>
      </x:c>
      <x:c r="Q692" t="str">
        <x:v>Ausgang</x:v>
      </x:c>
      <x:c r="R692" t="str">
        <x:v>DE96120300009005290904</x:v>
      </x:c>
      <x:c r="S692" t="n">
        <x:v>-19.98</x:v>
      </x:c>
      <x:c r="T692" t="str">
        <x:v>"</x:v>
      </x:c>
      <x:c r="U692" t="str">
        <x:v>"</x:v>
      </x:c>
      <x:c r="V692" t="str">
        <x:v>485273613835588</x:v>
      </x:c>
    </x:row>
    <x:row r="693">
      <x:c r="A693" t="str">
        <x:v>RAW-IMP-20260516-FULLDRAFT-000676</x:v>
      </x:c>
      <x:c r="B693" t="str">
        <x:v>IMP-20260516-FULLDRAFT</x:v>
      </x:c>
      <x:c r="C693" t="str">
        <x:v>KTO001</x:v>
      </x:c>
      <x:c r="D693" t="str">
        <x:v>16-05-2026_Umsatzliste_Girokonto_DE98120300001061711675.csv</x:v>
      </x:c>
      <x:c r="E693" t="n">
        <x:v>46163</x:v>
      </x:c>
      <x:c r="F693" t="n">
        <x:v>676</x:v>
      </x:c>
      <x:c r="G693" t="str">
        <x:v>9c60d7b93d3fc27bbc46c1849ab5e7503bfeae8e5b9da05981de473e4c2c80bc</x:v>
      </x:c>
      <x:c r="H693" t="str">
        <x:v>neu</x:v>
      </x:c>
      <x:c r="I693" t="str">
        <x:v>ok</x:v>
      </x:c>
      <x:c r="J693"/>
      <x:c r="K693" t="n">
        <x:v>45931</x:v>
      </x:c>
      <x:c r="L693" t="n">
        <x:v>45931</x:v>
      </x:c>
      <x:c r="M693" t="str">
        <x:v>Gebucht</x:v>
      </x:c>
      <x:c r="N693" t="str">
        <x:v>Lars Kohlenberg</x:v>
      </x:c>
      <x:c r="O693" t="str">
        <x:v>KATRIN KOHLENBERG</x:v>
      </x:c>
      <x:c r="P693" t="str">
        <x:v>Apanage</x:v>
      </x:c>
      <x:c r="Q693" t="str">
        <x:v>Ausgang</x:v>
      </x:c>
      <x:c r="R693" t="str">
        <x:v>DE32270727240307336800</x:v>
      </x:c>
      <x:c r="S693" t="n">
        <x:v>-1800</x:v>
      </x:c>
      <x:c r="T693" t="str">
        <x:v>"</x:v>
      </x:c>
      <x:c r="U693" t="str">
        <x:v>"</x:v>
      </x:c>
      <x:c r="V693" t="str">
        <x:v>"</x:v>
      </x:c>
    </x:row>
    <x:row r="694">
      <x:c r="A694" t="str">
        <x:v>RAW-IMP-20260516-FULLDRAFT-000677</x:v>
      </x:c>
      <x:c r="B694" t="str">
        <x:v>IMP-20260516-FULLDRAFT</x:v>
      </x:c>
      <x:c r="C694" t="str">
        <x:v>KTO001</x:v>
      </x:c>
      <x:c r="D694" t="str">
        <x:v>16-05-2026_Umsatzliste_Girokonto_DE98120300001061711675.csv</x:v>
      </x:c>
      <x:c r="E694" t="n">
        <x:v>46163</x:v>
      </x:c>
      <x:c r="F694" t="n">
        <x:v>677</x:v>
      </x:c>
      <x:c r="G694" t="str">
        <x:v>4aaba8e2f1ff36e8104056046d1232a5232ad887bfa0fe46f9653cb13415be6c</x:v>
      </x:c>
      <x:c r="H694" t="str">
        <x:v>neu</x:v>
      </x:c>
      <x:c r="I694" t="str">
        <x:v>ok</x:v>
      </x:c>
      <x:c r="J694"/>
      <x:c r="K694" t="n">
        <x:v>45931</x:v>
      </x:c>
      <x:c r="L694" t="n">
        <x:v>45931</x:v>
      </x:c>
      <x:c r="M694" t="str">
        <x:v>Gebucht</x:v>
      </x:c>
      <x:c r="N694" t="str">
        <x:v>Lars Kohlenberg</x:v>
      </x:c>
      <x:c r="O694" t="str">
        <x:v>LARS KOHLENBERG</x:v>
      </x:c>
      <x:c r="P694" t="str">
        <x:v>Sparrate 650,- + 750 EUR Mieteinnahmen</x:v>
      </x:c>
      <x:c r="Q694" t="str">
        <x:v>Ausgang</x:v>
      </x:c>
      <x:c r="R694" t="str">
        <x:v>DE91270200001510365800</x:v>
      </x:c>
      <x:c r="S694" t="n">
        <x:v>-1400</x:v>
      </x:c>
      <x:c r="T694" t="str">
        <x:v>"</x:v>
      </x:c>
      <x:c r="U694" t="str">
        <x:v>"</x:v>
      </x:c>
      <x:c r="V694" t="str">
        <x:v>"</x:v>
      </x:c>
    </x:row>
    <x:row r="695">
      <x:c r="A695" t="str">
        <x:v>RAW-IMP-20260516-FULLDRAFT-000678</x:v>
      </x:c>
      <x:c r="B695" t="str">
        <x:v>IMP-20260516-FULLDRAFT</x:v>
      </x:c>
      <x:c r="C695" t="str">
        <x:v>KTO001</x:v>
      </x:c>
      <x:c r="D695" t="str">
        <x:v>16-05-2026_Umsatzliste_Girokonto_DE98120300001061711675.csv</x:v>
      </x:c>
      <x:c r="E695" t="n">
        <x:v>46163</x:v>
      </x:c>
      <x:c r="F695" t="n">
        <x:v>678</x:v>
      </x:c>
      <x:c r="G695" t="str">
        <x:v>02ccce66277fae3708c164f6b45ebd3136994581db1ffd180bd227846a4b3222</x:v>
      </x:c>
      <x:c r="H695" t="str">
        <x:v>neu</x:v>
      </x:c>
      <x:c r="I695" t="str">
        <x:v>ok</x:v>
      </x:c>
      <x:c r="J695"/>
      <x:c r="K695" t="n">
        <x:v>45931</x:v>
      </x:c>
      <x:c r="L695" t="n">
        <x:v>45931</x:v>
      </x:c>
      <x:c r="M695" t="str">
        <x:v>Gebucht</x:v>
      </x:c>
      <x:c r="N695" t="str">
        <x:v>Kohlenberg</x:v>
      </x:c>
      <x:c r="O695" t="str">
        <x:v>TANZSCHULE KWIATKOWSKI GBR</x:v>
      </x:c>
      <x:c r="P695" t="str">
        <x:v>R-SB0000074090-A0000004560,SB2151 9-2025 - 10.2025,Jan Kohlenberg</x:v>
      </x:c>
      <x:c r="Q695" t="str">
        <x:v>Ausgang</x:v>
      </x:c>
      <x:c r="R695" t="str">
        <x:v>DE61259501300096212535</x:v>
      </x:c>
      <x:c r="S695" t="n">
        <x:v>-49</x:v>
      </x:c>
      <x:c r="T695" t="str">
        <x:v>DE79ZZZ00002474666</x:v>
      </x:c>
      <x:c r="U695" t="str">
        <x:v>TM004560-000142</x:v>
      </x:c>
      <x:c r="V695" t="str">
        <x:v>R-SB00074090</x:v>
      </x:c>
    </x:row>
    <x:row r="696">
      <x:c r="A696" t="str">
        <x:v>RAW-IMP-20260516-FULLDRAFT-000679</x:v>
      </x:c>
      <x:c r="B696" t="str">
        <x:v>IMP-20260516-FULLDRAFT</x:v>
      </x:c>
      <x:c r="C696" t="str">
        <x:v>KTO001</x:v>
      </x:c>
      <x:c r="D696" t="str">
        <x:v>16-05-2026_Umsatzliste_Girokonto_DE98120300001061711675.csv</x:v>
      </x:c>
      <x:c r="E696" t="n">
        <x:v>46163</x:v>
      </x:c>
      <x:c r="F696" t="n">
        <x:v>679</x:v>
      </x:c>
      <x:c r="G696" t="str">
        <x:v>44c7e14c931221130600ec6a312fbac295710a2b9d728e3f636b3b7343ae5dff</x:v>
      </x:c>
      <x:c r="H696" t="str">
        <x:v>neu</x:v>
      </x:c>
      <x:c r="I696" t="str">
        <x:v>ok</x:v>
      </x:c>
      <x:c r="J696"/>
      <x:c r="K696" t="n">
        <x:v>45931</x:v>
      </x:c>
      <x:c r="L696" t="n">
        <x:v>45931</x:v>
      </x:c>
      <x:c r="M696" t="str">
        <x:v>Gebucht</x:v>
      </x:c>
      <x:c r="N696" t="str">
        <x:v>Kohlenberg</x:v>
      </x:c>
      <x:c r="O696" t="str">
        <x:v>TANZSCHULE KWIATKOWSKI GBR</x:v>
      </x:c>
      <x:c r="P696" t="str">
        <x:v>R-SB0000073920-A0000004560,SB2151 9-2025 - 9.2025,Jan Kohlenberg</x:v>
      </x:c>
      <x:c r="Q696" t="str">
        <x:v>Ausgang</x:v>
      </x:c>
      <x:c r="R696" t="str">
        <x:v>DE61259501300096212535</x:v>
      </x:c>
      <x:c r="S696" t="n">
        <x:v>-49</x:v>
      </x:c>
      <x:c r="T696" t="str">
        <x:v>DE79ZZZ00002474666</x:v>
      </x:c>
      <x:c r="U696" t="str">
        <x:v>TM004560-000142</x:v>
      </x:c>
      <x:c r="V696" t="str">
        <x:v>R-SB00073920</x:v>
      </x:c>
    </x:row>
    <x:row r="697">
      <x:c r="A697" t="str">
        <x:v>RAW-IMP-20260516-FULLDRAFT-000680</x:v>
      </x:c>
      <x:c r="B697" t="str">
        <x:v>IMP-20260516-FULLDRAFT</x:v>
      </x:c>
      <x:c r="C697" t="str">
        <x:v>KTO001</x:v>
      </x:c>
      <x:c r="D697" t="str">
        <x:v>16-05-2026_Umsatzliste_Girokonto_DE98120300001061711675.csv</x:v>
      </x:c>
      <x:c r="E697" t="n">
        <x:v>46163</x:v>
      </x:c>
      <x:c r="F697" t="n">
        <x:v>680</x:v>
      </x:c>
      <x:c r="G697" t="str">
        <x:v>f40c9a8c2adc0742cd67888bd29f4d62b7f17235eb9d3ac9ec7ab2b3dddbff54</x:v>
      </x:c>
      <x:c r="H697" t="str">
        <x:v>neu</x:v>
      </x:c>
      <x:c r="I697" t="str">
        <x:v>ok</x:v>
      </x:c>
      <x:c r="J697"/>
      <x:c r="K697" t="n">
        <x:v>45931</x:v>
      </x:c>
      <x:c r="L697" t="n">
        <x:v>45931</x:v>
      </x:c>
      <x:c r="M697" t="str">
        <x:v>Gebucht</x:v>
      </x:c>
      <x:c r="N697" t="str">
        <x:v>KOHLENBERG, LARS</x:v>
      </x:c>
      <x:c r="O697" t="str">
        <x:v>Lars und Katrin Kohlenberg</x:v>
      </x:c>
      <x:c r="P697" t="str">
        <x:v>12271798 VERMOEGENSDEPOT SAMMELBUCHUNG SPARPLAN WKN A1C9ED, 847809</x:v>
      </x:c>
      <x:c r="Q697" t="str">
        <x:v>Ausgang</x:v>
      </x:c>
      <x:c r="R697" t="str">
        <x:v>DE27672300000506966162</x:v>
      </x:c>
      <x:c r="S697" t="n">
        <x:v>-600</x:v>
      </x:c>
      <x:c r="T697" t="str">
        <x:v>DE53ZZZ00000010849</x:v>
      </x:c>
      <x:c r="U697" t="str">
        <x:v>WPBF0000180845</x:v>
      </x:c>
      <x:c r="V697" t="str">
        <x:v>SPARSP 18547289</x:v>
      </x:c>
    </x:row>
    <x:row r="698">
      <x:c r="A698" t="str">
        <x:v>RAW-IMP-20260516-FULLDRAFT-000681</x:v>
      </x:c>
      <x:c r="B698" t="str">
        <x:v>IMP-20260516-FULLDRAFT</x:v>
      </x:c>
      <x:c r="C698" t="str">
        <x:v>KTO001</x:v>
      </x:c>
      <x:c r="D698" t="str">
        <x:v>16-05-2026_Umsatzliste_Girokonto_DE98120300001061711675.csv</x:v>
      </x:c>
      <x:c r="E698" t="n">
        <x:v>46163</x:v>
      </x:c>
      <x:c r="F698" t="n">
        <x:v>681</x:v>
      </x:c>
      <x:c r="G698" t="str">
        <x:v>9acf178a21d6b4aabeef451319ab21b150ae2f65805ea030d836f0448ee82e75</x:v>
      </x:c>
      <x:c r="H698" t="str">
        <x:v>neu</x:v>
      </x:c>
      <x:c r="I698" t="str">
        <x:v>ok</x:v>
      </x:c>
      <x:c r="J698"/>
      <x:c r="K698" t="n">
        <x:v>45931</x:v>
      </x:c>
      <x:c r="L698" t="n">
        <x:v>45931</x:v>
      </x:c>
      <x:c r="M698" t="str">
        <x:v>Gebucht</x:v>
      </x:c>
      <x:c r="N698" t="str">
        <x:v>Kohlenberg Lars</x:v>
      </x:c>
      <x:c r="O698" t="str">
        <x:v>Allianz Lebensvers. AG</x:v>
      </x:c>
      <x:c r="P698" t="str">
        <x:v>Vertrag AL-1356867060 bisheriger Vertrag 33 029 619 6 01.10.25 - 31.10.25 RiesRent InvAlphaBal</x:v>
      </x:c>
      <x:c r="Q698" t="str">
        <x:v>Ausgang</x:v>
      </x:c>
      <x:c r="R698" t="str">
        <x:v>DE52700202700015152448</x:v>
      </x:c>
      <x:c r="S698" t="n">
        <x:v>-162.17</x:v>
      </x:c>
      <x:c r="T698" t="str">
        <x:v>DE07ZZZ00000063475</x:v>
      </x:c>
      <x:c r="U698" t="str">
        <x:v>LA01L312001066775296</x:v>
      </x:c>
      <x:c r="V698" t="str">
        <x:v>AB225269-E03273104</x:v>
      </x:c>
    </x:row>
    <x:row r="699">
      <x:c r="A699" t="str">
        <x:v>RAW-IMP-20260516-FULLDRAFT-000682</x:v>
      </x:c>
      <x:c r="B699" t="str">
        <x:v>IMP-20260516-FULLDRAFT</x:v>
      </x:c>
      <x:c r="C699" t="str">
        <x:v>KTO001</x:v>
      </x:c>
      <x:c r="D699" t="str">
        <x:v>16-05-2026_Umsatzliste_Girokonto_DE98120300001061711675.csv</x:v>
      </x:c>
      <x:c r="E699" t="n">
        <x:v>46163</x:v>
      </x:c>
      <x:c r="F699" t="n">
        <x:v>682</x:v>
      </x:c>
      <x:c r="G699" t="str">
        <x:v>f5118fd8979d6e176484aaa5c4403b5e9f982256be97b8a184c614e8174c35b3</x:v>
      </x:c>
      <x:c r="H699" t="str">
        <x:v>neu</x:v>
      </x:c>
      <x:c r="I699" t="str">
        <x:v>ok</x:v>
      </x:c>
      <x:c r="J699"/>
      <x:c r="K699" t="n">
        <x:v>45931</x:v>
      </x:c>
      <x:c r="L699" t="n">
        <x:v>45931</x:v>
      </x:c>
      <x:c r="M699" t="str">
        <x:v>Gebucht</x:v>
      </x:c>
      <x:c r="N699" t="str">
        <x:v>KOHLENBERG LARS</x:v>
      </x:c>
      <x:c r="O699" t="str">
        <x:v>VOLKSWOHL BUND Lebensversicherung a.G.</x:v>
      </x:c>
      <x:c r="P699" t="str">
        <x:v>009893595 LA000750566/ 009893595 LEBEN 68,46</x:v>
      </x:c>
      <x:c r="Q699" t="str">
        <x:v>Ausgang</x:v>
      </x:c>
      <x:c r="R699" t="str">
        <x:v>DE76440400370361155500</x:v>
      </x:c>
      <x:c r="S699" t="n">
        <x:v>-68.46</x:v>
      </x:c>
      <x:c r="T699" t="str">
        <x:v>DE13ZZZ00000141064</x:v>
      </x:c>
      <x:c r="U699" t="str">
        <x:v>LA000750566</x:v>
      </x:c>
      <x:c r="V699" t="str">
        <x:v>009893595/NVMA.G1145-313611</x:v>
      </x:c>
    </x:row>
    <x:row r="700">
      <x:c r="A700" t="str">
        <x:v>RAW-IMP-20260516-FULLDRAFT-000683</x:v>
      </x:c>
      <x:c r="B700" t="str">
        <x:v>IMP-20260516-FULLDRAFT</x:v>
      </x:c>
      <x:c r="C700" t="str">
        <x:v>KTO001</x:v>
      </x:c>
      <x:c r="D700" t="str">
        <x:v>16-05-2026_Umsatzliste_Girokonto_DE98120300001061711675.csv</x:v>
      </x:c>
      <x:c r="E700" t="n">
        <x:v>46163</x:v>
      </x:c>
      <x:c r="F700" t="n">
        <x:v>683</x:v>
      </x:c>
      <x:c r="G700" t="str">
        <x:v>74b2a4ad6074f39c8a3f115036d50ae65f18a7d2bc0d092d20734172c3283e0f</x:v>
      </x:c>
      <x:c r="H700" t="str">
        <x:v>neu</x:v>
      </x:c>
      <x:c r="I700" t="str">
        <x:v>ok</x:v>
      </x:c>
      <x:c r="J700"/>
      <x:c r="K700" t="n">
        <x:v>45931</x:v>
      </x:c>
      <x:c r="L700" t="n">
        <x:v>45931</x:v>
      </x:c>
      <x:c r="M700" t="str">
        <x:v>Gebucht</x:v>
      </x:c>
      <x:c r="N700" t="str">
        <x:v>Kohlenberg, Lars</x:v>
      </x:c>
      <x:c r="O700" t="str">
        <x:v>IDEAL Lebensversicherung aG</x:v>
      </x:c>
      <x:c r="P700" t="str">
        <x:v>2011216280009 LV 101</x:v>
      </x:c>
      <x:c r="Q700" t="str">
        <x:v>Ausgang</x:v>
      </x:c>
      <x:c r="R700" t="str">
        <x:v>DE36100700000460303100</x:v>
      </x:c>
      <x:c r="S700" t="n">
        <x:v>-97.12</x:v>
      </x:c>
      <x:c r="T700" t="str">
        <x:v>DE40ZZZ00000559230</x:v>
      </x:c>
      <x:c r="U700" t="str">
        <x:v>2011216280009-001</x:v>
      </x:c>
      <x:c r="V700" t="str">
        <x:v>GL,KL,PD-20251001-1-2011216280009-0</x:v>
      </x:c>
    </x:row>
    <x:row r="701">
      <x:c r="A701" t="str">
        <x:v>RAW-IMP-20260516-FULLDRAFT-000684</x:v>
      </x:c>
      <x:c r="B701" t="str">
        <x:v>IMP-20260516-FULLDRAFT</x:v>
      </x:c>
      <x:c r="C701" t="str">
        <x:v>KTO001</x:v>
      </x:c>
      <x:c r="D701" t="str">
        <x:v>16-05-2026_Umsatzliste_Girokonto_DE98120300001061711675.csv</x:v>
      </x:c>
      <x:c r="E701" t="n">
        <x:v>46163</x:v>
      </x:c>
      <x:c r="F701" t="n">
        <x:v>684</x:v>
      </x:c>
      <x:c r="G701" t="str">
        <x:v>e2d7eaf22c090346541f0696aeb6b0263720234d80b2dffcc88b7cf33c052522</x:v>
      </x:c>
      <x:c r="H701" t="str">
        <x:v>neu</x:v>
      </x:c>
      <x:c r="I701" t="str">
        <x:v>ok</x:v>
      </x:c>
      <x:c r="J701"/>
      <x:c r="K701" t="n">
        <x:v>45931</x:v>
      </x:c>
      <x:c r="L701" t="n">
        <x:v>45931</x:v>
      </x:c>
      <x:c r="M701" t="str">
        <x:v>Gebucht</x:v>
      </x:c>
      <x:c r="N701" t="str">
        <x:v>Lars Kohlenberg                                                       Johannes-Wosnitza-Str. 8 38229 Salzgitter</x:v>
      </x:c>
      <x:c r="O701" t="str">
        <x:v>Heidelberger Lebensversicherung AG                                    Donrhofstrasse 36, 63263 Neu-Isenburg</x:v>
      </x:c>
      <x:c r="P701" t="str">
        <x:v>60012826 , 10.25</x:v>
      </x:c>
      <x:c r="Q701" t="str">
        <x:v>Ausgang</x:v>
      </x:c>
      <x:c r="R701" t="str">
        <x:v>DE38600501010002662604</x:v>
      </x:c>
      <x:c r="S701" t="n">
        <x:v>-452.71</x:v>
      </x:c>
      <x:c r="T701" t="str">
        <x:v>DE31HLE00000032682</x:v>
      </x:c>
      <x:c r="U701" t="str">
        <x:v>11-140000075706</x:v>
      </x:c>
      <x:c r="V701" t="str">
        <x:v>100047094368</x:v>
      </x:c>
    </x:row>
    <x:row r="702">
      <x:c r="A702" t="str">
        <x:v>RAW-IMP-20260516-FULLDRAFT-000685</x:v>
      </x:c>
      <x:c r="B702" t="str">
        <x:v>IMP-20260516-FULLDRAFT</x:v>
      </x:c>
      <x:c r="C702" t="str">
        <x:v>KTO001</x:v>
      </x:c>
      <x:c r="D702" t="str">
        <x:v>16-05-2026_Umsatzliste_Girokonto_DE98120300001061711675.csv</x:v>
      </x:c>
      <x:c r="E702" t="n">
        <x:v>46163</x:v>
      </x:c>
      <x:c r="F702" t="n">
        <x:v>685</x:v>
      </x:c>
      <x:c r="G702" t="str">
        <x:v>def7f194868eeaa6704098203fd79f734d9ca883d31fba7faa29be59d74d1193</x:v>
      </x:c>
      <x:c r="H702" t="str">
        <x:v>neu</x:v>
      </x:c>
      <x:c r="I702" t="str">
        <x:v>ok</x:v>
      </x:c>
      <x:c r="J702"/>
      <x:c r="K702" t="n">
        <x:v>45931</x:v>
      </x:c>
      <x:c r="L702" t="n">
        <x:v>45931</x:v>
      </x:c>
      <x:c r="M702" t="str">
        <x:v>Gebucht</x:v>
      </x:c>
      <x:c r="N702" t="str">
        <x:v>KOHLENBERG, LARS</x:v>
      </x:c>
      <x:c r="O702" t="str">
        <x:v>VPV-LEBENSVERSICHERUNGS-AG</x:v>
      </x:c>
      <x:c r="P702" t="str">
        <x:v>VNR 301667726</x:v>
      </x:c>
      <x:c r="Q702" t="str">
        <x:v>Ausgang</x:v>
      </x:c>
      <x:c r="R702" t="str">
        <x:v>DE78600501010001166338</x:v>
      </x:c>
      <x:c r="S702" t="n">
        <x:v>-56.83</x:v>
      </x:c>
      <x:c r="T702" t="str">
        <x:v>DE96LAG00000064686</x:v>
      </x:c>
      <x:c r="U702" t="str">
        <x:v>ML700120510</x:v>
      </x:c>
      <x:c r="V702" t="str">
        <x:v>250929 464294304 ML700120510</x:v>
      </x:c>
    </x:row>
    <x:row r="703">
      <x:c r="A703" t="str">
        <x:v>RAW-IMP-20260516-FULLDRAFT-000686</x:v>
      </x:c>
      <x:c r="B703" t="str">
        <x:v>IMP-20260516-FULLDRAFT</x:v>
      </x:c>
      <x:c r="C703" t="str">
        <x:v>KTO001</x:v>
      </x:c>
      <x:c r="D703" t="str">
        <x:v>16-05-2026_Umsatzliste_Girokonto_DE98120300001061711675.csv</x:v>
      </x:c>
      <x:c r="E703" t="n">
        <x:v>46163</x:v>
      </x:c>
      <x:c r="F703" t="n">
        <x:v>686</x:v>
      </x:c>
      <x:c r="G703" t="str">
        <x:v>ae703a62554a7a64f69ec15691cd9bd756b076c8646da067a159ab89161eb06a</x:v>
      </x:c>
      <x:c r="H703" t="str">
        <x:v>neu</x:v>
      </x:c>
      <x:c r="I703" t="str">
        <x:v>ok</x:v>
      </x:c>
      <x:c r="J703"/>
      <x:c r="K703" t="n">
        <x:v>45931</x:v>
      </x:c>
      <x:c r="L703" t="n">
        <x:v>45931</x:v>
      </x:c>
      <x:c r="M703" t="str">
        <x:v>Gebucht</x:v>
      </x:c>
      <x:c r="N703" t="str">
        <x:v>DKB AG</x:v>
      </x:c>
      <x:c r="O703" t="str">
        <x:v>DKB AG</x:v>
      </x:c>
      <x:c r="P703" t="str">
        <x:v>Abrechnung 30.09.2025 siehe Anlage Abrechnung 30.09.2025 Information zur Abrechnung Kontostand am 30.09.2025                                        6.891,70 + Abrechnungszeitraum vom 01.07.2025 bis 30.09.2025 Zinsen für eingeräumte Kontoüberziehung                              1,14-  8,6800 v.H. Kred-Zins  bis 29.07.2025 Abrechnung 30.09.2025                                                1,14- Sollzinssätze am 30.09.2025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30.09.2025                     6.890,56 + Rechnungsnummer: 20250930-BY111-00248868234</x:v>
      </x:c>
      <x:c r="Q703" t="str">
        <x:v>Ausgang</x:v>
      </x:c>
      <x:c r="R703" t="str">
        <x:v>0000000000</x:v>
      </x:c>
      <x:c r="S703" t="n">
        <x:v>-1.14</x:v>
      </x:c>
      <x:c r="T703" t="str">
        <x:v>"</x:v>
      </x:c>
      <x:c r="U703" t="str">
        <x:v>"</x:v>
      </x:c>
      <x:c r="V703" t="str">
        <x:v>"</x:v>
      </x:c>
    </x:row>
    <x:row r="704">
      <x:c r="A704" t="str">
        <x:v>RAW-IMP-20260516-FULLDRAFT-000687</x:v>
      </x:c>
      <x:c r="B704" t="str">
        <x:v>IMP-20260516-FULLDRAFT</x:v>
      </x:c>
      <x:c r="C704" t="str">
        <x:v>KTO001</x:v>
      </x:c>
      <x:c r="D704" t="str">
        <x:v>16-05-2026_Umsatzliste_Girokonto_DE98120300001061711675.csv</x:v>
      </x:c>
      <x:c r="E704" t="n">
        <x:v>46163</x:v>
      </x:c>
      <x:c r="F704" t="n">
        <x:v>687</x:v>
      </x:c>
      <x:c r="G704" t="str">
        <x:v>067b366301c6f9b7f6e954c2e1d47a58cc2f9c70981940f796ffa775b3123230</x:v>
      </x:c>
      <x:c r="H704" t="str">
        <x:v>neu</x:v>
      </x:c>
      <x:c r="I704" t="str">
        <x:v>ok</x:v>
      </x:c>
      <x:c r="J704"/>
      <x:c r="K704" t="n">
        <x:v>45930</x:v>
      </x:c>
      <x:c r="L704" t="n">
        <x:v>45930</x:v>
      </x:c>
      <x:c r="M704" t="str">
        <x:v>Gebucht</x:v>
      </x:c>
      <x:c r="N704" t="str">
        <x:v>ISSUER</x:v>
      </x:c>
      <x:c r="O704" t="str">
        <x:v>REWE.Salzgitter.Ge/Salzgitter</x:v>
      </x:c>
      <x:c r="P704" t="str">
        <x:v>VISA Debitkartenumsatz vom 29.09.2025</x:v>
      </x:c>
      <x:c r="Q704" t="str">
        <x:v>Ausgang</x:v>
      </x:c>
      <x:c r="R704" t="str">
        <x:v>DE96120300009005290904</x:v>
      </x:c>
      <x:c r="S704" t="n">
        <x:v>-0.89</x:v>
      </x:c>
      <x:c r="T704" t="str">
        <x:v>"</x:v>
      </x:c>
      <x:c r="U704" t="str">
        <x:v>"</x:v>
      </x:c>
      <x:c r="V704" t="str">
        <x:v>485272593608145</x:v>
      </x:c>
    </x:row>
    <x:row r="705">
      <x:c r="A705" t="str">
        <x:v>RAW-IMP-20260516-FULLDRAFT-000688</x:v>
      </x:c>
      <x:c r="B705" t="str">
        <x:v>IMP-20260516-FULLDRAFT</x:v>
      </x:c>
      <x:c r="C705" t="str">
        <x:v>KTO001</x:v>
      </x:c>
      <x:c r="D705" t="str">
        <x:v>16-05-2026_Umsatzliste_Girokonto_DE98120300001061711675.csv</x:v>
      </x:c>
      <x:c r="E705" t="n">
        <x:v>46163</x:v>
      </x:c>
      <x:c r="F705" t="n">
        <x:v>688</x:v>
      </x:c>
      <x:c r="G705" t="str">
        <x:v>92e4653664940f01b2070e047d950703b98d381e516ea2e01789def8ba6124b0</x:v>
      </x:c>
      <x:c r="H705" t="str">
        <x:v>neu</x:v>
      </x:c>
      <x:c r="I705" t="str">
        <x:v>ok</x:v>
      </x:c>
      <x:c r="J705"/>
      <x:c r="K705" t="n">
        <x:v>45930</x:v>
      </x:c>
      <x:c r="L705" t="n">
        <x:v>45930</x:v>
      </x:c>
      <x:c r="M705" t="str">
        <x:v>Gebucht</x:v>
      </x:c>
      <x:c r="N705" t="str">
        <x:v>Kohlenberg, Katrin</x:v>
      </x:c>
      <x:c r="O705" t="str">
        <x:v>WEVG Salzgitter GmbH + Co. KG</x:v>
      </x:c>
      <x:c r="P705" t="str">
        <x:v>Kd-Nr 79288 Einz 30.09.25 41710/317.00/Johannes-Wosni 100833/76.00/Johannes-Wosni</x:v>
      </x:c>
      <x:c r="Q705" t="str">
        <x:v>Ausgang</x:v>
      </x:c>
      <x:c r="R705" t="str">
        <x:v>DE19300700100394127500</x:v>
      </x:c>
      <x:c r="S705" t="n">
        <x:v>-393</x:v>
      </x:c>
      <x:c r="T705" t="str">
        <x:v>DE83WEV00000032716</x:v>
      </x:c>
      <x:c r="U705" t="str">
        <x:v>WEVG0000079288G1000178580</x:v>
      </x:c>
      <x:c r="V705" t="str">
        <x:v>13905772</x:v>
      </x:c>
    </x:row>
    <x:row r="706">
      <x:c r="A706" t="str">
        <x:v>RAW-IMP-20260516-FULLDRAFT-000689</x:v>
      </x:c>
      <x:c r="B706" t="str">
        <x:v>IMP-20260516-FULLDRAFT</x:v>
      </x:c>
      <x:c r="C706" t="str">
        <x:v>KTO001</x:v>
      </x:c>
      <x:c r="D706" t="str">
        <x:v>16-05-2026_Umsatzliste_Girokonto_DE98120300001061711675.csv</x:v>
      </x:c>
      <x:c r="E706" t="n">
        <x:v>46163</x:v>
      </x:c>
      <x:c r="F706" t="n">
        <x:v>689</x:v>
      </x:c>
      <x:c r="G706" t="str">
        <x:v>c02c8a527dba955b11faf6eb868f6012a91a6a751819f225945e8d5b7ecdf6b7</x:v>
      </x:c>
      <x:c r="H706" t="str">
        <x:v>neu</x:v>
      </x:c>
      <x:c r="I706" t="str">
        <x:v>ok</x:v>
      </x:c>
      <x:c r="J706"/>
      <x:c r="K706" t="n">
        <x:v>45930</x:v>
      </x:c>
      <x:c r="L706" t="n">
        <x:v>45930</x:v>
      </x:c>
      <x:c r="M706" t="str">
        <x:v>Gebucht</x:v>
      </x:c>
      <x:c r="N706" t="str">
        <x:v>Lars Kohlenberg</x:v>
      </x:c>
      <x:c r="O706" t="str">
        <x:v>LARS KOHLENBERG</x:v>
      </x:c>
      <x:c r="P706" t="str">
        <x:v>Zins und Tilgung zu 2/3</x:v>
      </x:c>
      <x:c r="Q706" t="str">
        <x:v>Ausgang</x:v>
      </x:c>
      <x:c r="R706" t="str">
        <x:v>DE33269910668923736000</x:v>
      </x:c>
      <x:c r="S706" t="n">
        <x:v>-1153.94</x:v>
      </x:c>
      <x:c r="T706" t="str">
        <x:v>"</x:v>
      </x:c>
      <x:c r="U706" t="str">
        <x:v>"</x:v>
      </x:c>
      <x:c r="V706" t="str">
        <x:v>"</x:v>
      </x:c>
    </x:row>
    <x:row r="707">
      <x:c r="A707" t="str">
        <x:v>RAW-IMP-20260516-FULLDRAFT-000690</x:v>
      </x:c>
      <x:c r="B707" t="str">
        <x:v>IMP-20260516-FULLDRAFT</x:v>
      </x:c>
      <x:c r="C707" t="str">
        <x:v>KTO001</x:v>
      </x:c>
      <x:c r="D707" t="str">
        <x:v>16-05-2026_Umsatzliste_Girokonto_DE98120300001061711675.csv</x:v>
      </x:c>
      <x:c r="E707" t="n">
        <x:v>46163</x:v>
      </x:c>
      <x:c r="F707" t="n">
        <x:v>690</x:v>
      </x:c>
      <x:c r="G707" t="str">
        <x:v>b43a8a501079c0065b99bcd668fda5a1f08ddb274a4618a1381059821ab4c24a</x:v>
      </x:c>
      <x:c r="H707" t="str">
        <x:v>neu</x:v>
      </x:c>
      <x:c r="I707" t="str">
        <x:v>ok</x:v>
      </x:c>
      <x:c r="J707"/>
      <x:c r="K707" t="n">
        <x:v>45930</x:v>
      </x:c>
      <x:c r="L707" t="n">
        <x:v>45930</x:v>
      </x:c>
      <x:c r="M707" t="str">
        <x:v>Gebucht</x:v>
      </x:c>
      <x:c r="N707" t="str">
        <x:v>Lars Kohlenberg                                                       Johannes-Wosnitza-Str. 8,38229 Salzgitter</x:v>
      </x:c>
      <x:c r="O707" t="str">
        <x:v>1+1 Mail + Media GmbH                                                 Elgendorfer Str. 57, 56410 Montabaur</x:v>
      </x:c>
      <x:c r="P707" t="str">
        <x:v>KD-Nr. K7440512/ RG-Nr. 201542293442</x:v>
      </x:c>
      <x:c r="Q707" t="str">
        <x:v>Ausgang</x:v>
      </x:c>
      <x:c r="R707" t="str">
        <x:v>DE76700800000881679702</x:v>
      </x:c>
      <x:c r="S707" t="n">
        <x:v>-8.99</x:v>
      </x:c>
      <x:c r="T707" t="str">
        <x:v>DE07ZZZ00000569718</x:v>
      </x:c>
      <x:c r="U707" t="str">
        <x:v>0090001393062</x:v>
      </x:c>
      <x:c r="V707" t="str">
        <x:v>006511694429</x:v>
      </x:c>
    </x:row>
    <x:row r="708">
      <x:c r="A708" t="str">
        <x:v>RAW-IMP-20260516-FULLDRAFT-000691</x:v>
      </x:c>
      <x:c r="B708" t="str">
        <x:v>IMP-20260516-FULLDRAFT</x:v>
      </x:c>
      <x:c r="C708" t="str">
        <x:v>KTO001</x:v>
      </x:c>
      <x:c r="D708" t="str">
        <x:v>16-05-2026_Umsatzliste_Girokonto_DE98120300001061711675.csv</x:v>
      </x:c>
      <x:c r="E708" t="n">
        <x:v>46163</x:v>
      </x:c>
      <x:c r="F708" t="n">
        <x:v>691</x:v>
      </x:c>
      <x:c r="G708" t="str">
        <x:v>aa6d6897ed1098a25590d2714d7837770b59e2d59e25b2e08e4ddbd44c6a9a05</x:v>
      </x:c>
      <x:c r="H708" t="str">
        <x:v>neu</x:v>
      </x:c>
      <x:c r="I708" t="str">
        <x:v>ok</x:v>
      </x:c>
      <x:c r="J708"/>
      <x:c r="K708" t="n">
        <x:v>45930</x:v>
      </x:c>
      <x:c r="L708" t="n">
        <x:v>45930</x:v>
      </x:c>
      <x:c r="M708" t="str">
        <x:v>Gebucht</x:v>
      </x:c>
      <x:c r="N708" t="str">
        <x:v>Lars Kohlenberg</x:v>
      </x:c>
      <x:c r="O708" t="str">
        <x:v>Lea kohlenberg</x:v>
      </x:c>
      <x:c r="P708" t="str">
        <x:v>Taschengeld</x:v>
      </x:c>
      <x:c r="Q708" t="str">
        <x:v>Ausgang</x:v>
      </x:c>
      <x:c r="R708" t="str">
        <x:v>DE89269910662833344000</x:v>
      </x:c>
      <x:c r="S708" t="n">
        <x:v>-10</x:v>
      </x:c>
      <x:c r="T708" t="str">
        <x:v>"</x:v>
      </x:c>
      <x:c r="U708" t="str">
        <x:v>"</x:v>
      </x:c>
      <x:c r="V708" t="str">
        <x:v>"</x:v>
      </x:c>
    </x:row>
    <x:row r="709">
      <x:c r="A709" t="str">
        <x:v>RAW-IMP-20260516-FULLDRAFT-000692</x:v>
      </x:c>
      <x:c r="B709" t="str">
        <x:v>IMP-20260516-FULLDRAFT</x:v>
      </x:c>
      <x:c r="C709" t="str">
        <x:v>KTO001</x:v>
      </x:c>
      <x:c r="D709" t="str">
        <x:v>16-05-2026_Umsatzliste_Girokonto_DE98120300001061711675.csv</x:v>
      </x:c>
      <x:c r="E709" t="n">
        <x:v>46163</x:v>
      </x:c>
      <x:c r="F709" t="n">
        <x:v>692</x:v>
      </x:c>
      <x:c r="G709" t="str">
        <x:v>a8ef520cd4c9ed340fe804a89d97271a04f04e319f5c190d42e03afa4aa282ca</x:v>
      </x:c>
      <x:c r="H709" t="str">
        <x:v>neu</x:v>
      </x:c>
      <x:c r="I709" t="str">
        <x:v>ok</x:v>
      </x:c>
      <x:c r="J709"/>
      <x:c r="K709" t="n">
        <x:v>45930</x:v>
      </x:c>
      <x:c r="L709" t="n">
        <x:v>45930</x:v>
      </x:c>
      <x:c r="M709" t="str">
        <x:v>Gebucht</x:v>
      </x:c>
      <x:c r="N709" t="str">
        <x:v>Lars Kohlenberg</x:v>
      </x:c>
      <x:c r="O709" t="str">
        <x:v>Lea Kohlenberg</x:v>
      </x:c>
      <x:c r="P709" t="str">
        <x:v>USA Oma und Opa</x:v>
      </x:c>
      <x:c r="Q709" t="str">
        <x:v>Ausgang</x:v>
      </x:c>
      <x:c r="R709" t="str">
        <x:v>DE47269910662833344950</x:v>
      </x:c>
      <x:c r="S709" t="n">
        <x:v>-100</x:v>
      </x:c>
      <x:c r="T709" t="str">
        <x:v>"</x:v>
      </x:c>
      <x:c r="U709" t="str">
        <x:v>"</x:v>
      </x:c>
      <x:c r="V709" t="str">
        <x:v>"</x:v>
      </x:c>
    </x:row>
    <x:row r="710">
      <x:c r="A710" t="str">
        <x:v>RAW-IMP-20260516-FULLDRAFT-000693</x:v>
      </x:c>
      <x:c r="B710" t="str">
        <x:v>IMP-20260516-FULLDRAFT</x:v>
      </x:c>
      <x:c r="C710" t="str">
        <x:v>KTO001</x:v>
      </x:c>
      <x:c r="D710" t="str">
        <x:v>16-05-2026_Umsatzliste_Girokonto_DE98120300001061711675.csv</x:v>
      </x:c>
      <x:c r="E710" t="n">
        <x:v>46163</x:v>
      </x:c>
      <x:c r="F710" t="n">
        <x:v>693</x:v>
      </x:c>
      <x:c r="G710" t="str">
        <x:v>3cebb491d7c718dc0f3ddb4fc7936aec07b19b67f7cb4d19e168743c6515195e</x:v>
      </x:c>
      <x:c r="H710" t="str">
        <x:v>neu</x:v>
      </x:c>
      <x:c r="I710" t="str">
        <x:v>ok</x:v>
      </x:c>
      <x:c r="J710"/>
      <x:c r="K710" t="n">
        <x:v>45929</x:v>
      </x:c>
      <x:c r="L710" t="n">
        <x:v>45929</x:v>
      </x:c>
      <x:c r="M710" t="str">
        <x:v>Gebucht</x:v>
      </x:c>
      <x:c r="N710" t="str">
        <x:v>Stiftung Kath. Altenhilfe im Bistum Hildesheim</x:v>
      </x:c>
      <x:c r="O710" t="str">
        <x:v>KOHLENBERG LARS</x:v>
      </x:c>
      <x:c r="P710" t="str">
        <x:v>GEHALT 9/25</x:v>
      </x:c>
      <x:c r="Q710" t="str">
        <x:v>Eingang</x:v>
      </x:c>
      <x:c r="R710" t="str">
        <x:v>DE92400602650023150301</x:v>
      </x:c>
      <x:c r="S710" t="n">
        <x:v>7939.81</x:v>
      </x:c>
      <x:c r="T710" t="str">
        <x:v>"</x:v>
      </x:c>
      <x:c r="U710" t="str">
        <x:v>"</x:v>
      </x:c>
      <x:c r="V710" t="str">
        <x:v>001001987662SALA004943004</x:v>
      </x:c>
    </x:row>
    <x:row r="711">
      <x:c r="A711" t="str">
        <x:v>RAW-IMP-20260516-FULLDRAFT-000694</x:v>
      </x:c>
      <x:c r="B711" t="str">
        <x:v>IMP-20260516-FULLDRAFT</x:v>
      </x:c>
      <x:c r="C711" t="str">
        <x:v>KTO001</x:v>
      </x:c>
      <x:c r="D711" t="str">
        <x:v>16-05-2026_Umsatzliste_Girokonto_DE98120300001061711675.csv</x:v>
      </x:c>
      <x:c r="E711" t="n">
        <x:v>46163</x:v>
      </x:c>
      <x:c r="F711" t="n">
        <x:v>694</x:v>
      </x:c>
      <x:c r="G711" t="str">
        <x:v>f23aa76e49da044876c3e740d14a6b10d5892921c6ba6abcf00325481effa1a9</x:v>
      </x:c>
      <x:c r="H711" t="str">
        <x:v>neu</x:v>
      </x:c>
      <x:c r="I711" t="str">
        <x:v>ok</x:v>
      </x:c>
      <x:c r="J711"/>
      <x:c r="K711" t="n">
        <x:v>45929</x:v>
      </x:c>
      <x:c r="L711" t="n">
        <x:v>45929</x:v>
      </x:c>
      <x:c r="M711" t="str">
        <x:v>Gebucht</x:v>
      </x:c>
      <x:c r="N711" t="str">
        <x:v>ISSUER</x:v>
      </x:c>
      <x:c r="O711" t="str">
        <x:v>EDEKA.POTRATZ/HILDESHEIM</x:v>
      </x:c>
      <x:c r="P711" t="str">
        <x:v>VISA Debitkartenumsatz vom 26.09.2025</x:v>
      </x:c>
      <x:c r="Q711" t="str">
        <x:v>Ausgang</x:v>
      </x:c>
      <x:c r="R711" t="str">
        <x:v>DE96120300009005290904</x:v>
      </x:c>
      <x:c r="S711" t="n">
        <x:v>-7.95</x:v>
      </x:c>
      <x:c r="T711" t="str">
        <x:v>"</x:v>
      </x:c>
      <x:c r="U711" t="str">
        <x:v>"</x:v>
      </x:c>
      <x:c r="V711" t="str">
        <x:v>485269243363354</x:v>
      </x:c>
    </x:row>
    <x:row r="712">
      <x:c r="A712" t="str">
        <x:v>RAW-IMP-20260516-FULLDRAFT-000695</x:v>
      </x:c>
      <x:c r="B712" t="str">
        <x:v>IMP-20260516-FULLDRAFT</x:v>
      </x:c>
      <x:c r="C712" t="str">
        <x:v>KTO001</x:v>
      </x:c>
      <x:c r="D712" t="str">
        <x:v>16-05-2026_Umsatzliste_Girokonto_DE98120300001061711675.csv</x:v>
      </x:c>
      <x:c r="E712" t="n">
        <x:v>46163</x:v>
      </x:c>
      <x:c r="F712" t="n">
        <x:v>695</x:v>
      </x:c>
      <x:c r="G712" t="str">
        <x:v>c6512821283bb8f4b61c79029c25b14fe90cc22617e3a78c696aaf56f1316ee7</x:v>
      </x:c>
      <x:c r="H712" t="str">
        <x:v>neu</x:v>
      </x:c>
      <x:c r="I712" t="str">
        <x:v>ok</x:v>
      </x:c>
      <x:c r="J712"/>
      <x:c r="K712" t="n">
        <x:v>45929</x:v>
      </x:c>
      <x:c r="L712" t="n">
        <x:v>45929</x:v>
      </x:c>
      <x:c r="M712" t="str">
        <x:v>Gebucht</x:v>
      </x:c>
      <x:c r="N712" t="str">
        <x:v>ISSUER</x:v>
      </x:c>
      <x:c r="O712" t="str">
        <x:v>REWE.Salzgitter.Ge/Salzgitter</x:v>
      </x:c>
      <x:c r="P712" t="str">
        <x:v>VISA Debitkartenumsatz vom 27.09.2025</x:v>
      </x:c>
      <x:c r="Q712" t="str">
        <x:v>Ausgang</x:v>
      </x:c>
      <x:c r="R712" t="str">
        <x:v>DE96120300009005290904</x:v>
      </x:c>
      <x:c r="S712" t="n">
        <x:v>-19.94</x:v>
      </x:c>
      <x:c r="T712" t="str">
        <x:v>"</x:v>
      </x:c>
      <x:c r="U712" t="str">
        <x:v>"</x:v>
      </x:c>
      <x:c r="V712" t="str">
        <x:v>485270628257339</x:v>
      </x:c>
    </x:row>
    <x:row r="713">
      <x:c r="A713" t="str">
        <x:v>RAW-IMP-20260516-FULLDRAFT-000696</x:v>
      </x:c>
      <x:c r="B713" t="str">
        <x:v>IMP-20260516-FULLDRAFT</x:v>
      </x:c>
      <x:c r="C713" t="str">
        <x:v>KTO001</x:v>
      </x:c>
      <x:c r="D713" t="str">
        <x:v>16-05-2026_Umsatzliste_Girokonto_DE98120300001061711675.csv</x:v>
      </x:c>
      <x:c r="E713" t="n">
        <x:v>46163</x:v>
      </x:c>
      <x:c r="F713" t="n">
        <x:v>696</x:v>
      </x:c>
      <x:c r="G713" t="str">
        <x:v>08da28e136f0158498494fb414562b702ce04c19a48b7abe6081fe8434bd015a</x:v>
      </x:c>
      <x:c r="H713" t="str">
        <x:v>neu</x:v>
      </x:c>
      <x:c r="I713" t="str">
        <x:v>ok</x:v>
      </x:c>
      <x:c r="J713"/>
      <x:c r="K713" t="n">
        <x:v>45929</x:v>
      </x:c>
      <x:c r="L713" t="n">
        <x:v>45929</x:v>
      </x:c>
      <x:c r="M713" t="str">
        <x:v>Gebucht</x:v>
      </x:c>
      <x:c r="N713" t="str">
        <x:v>ISSUER</x:v>
      </x:c>
      <x:c r="O713" t="str">
        <x:v>REWE.Salzgitter.Ge/Salzgitter</x:v>
      </x:c>
      <x:c r="P713" t="str">
        <x:v>VISA Debitkartenumsatz vom 26.09.2025</x:v>
      </x:c>
      <x:c r="Q713" t="str">
        <x:v>Ausgang</x:v>
      </x:c>
      <x:c r="R713" t="str">
        <x:v>DE96120300009005290904</x:v>
      </x:c>
      <x:c r="S713" t="n">
        <x:v>-223.8</x:v>
      </x:c>
      <x:c r="T713" t="str">
        <x:v>"</x:v>
      </x:c>
      <x:c r="U713" t="str">
        <x:v>"</x:v>
      </x:c>
      <x:c r="V713" t="str">
        <x:v>485269557302539</x:v>
      </x:c>
    </x:row>
    <x:row r="714">
      <x:c r="A714" t="str">
        <x:v>RAW-IMP-20260516-FULLDRAFT-000697</x:v>
      </x:c>
      <x:c r="B714" t="str">
        <x:v>IMP-20260516-FULLDRAFT</x:v>
      </x:c>
      <x:c r="C714" t="str">
        <x:v>KTO001</x:v>
      </x:c>
      <x:c r="D714" t="str">
        <x:v>16-05-2026_Umsatzliste_Girokonto_DE98120300001061711675.csv</x:v>
      </x:c>
      <x:c r="E714" t="n">
        <x:v>46163</x:v>
      </x:c>
      <x:c r="F714" t="n">
        <x:v>697</x:v>
      </x:c>
      <x:c r="G714" t="str">
        <x:v>afdb4ce93289888faa3043fd0211119b52585cf214f90acf8e8f1195735fb54f</x:v>
      </x:c>
      <x:c r="H714" t="str">
        <x:v>neu</x:v>
      </x:c>
      <x:c r="I714" t="str">
        <x:v>ok</x:v>
      </x:c>
      <x:c r="J714"/>
      <x:c r="K714" t="n">
        <x:v>45929</x:v>
      </x:c>
      <x:c r="L714" t="n">
        <x:v>45929</x:v>
      </x:c>
      <x:c r="M714" t="str">
        <x:v>Gebucht</x:v>
      </x:c>
      <x:c r="N714" t="str">
        <x:v>ISSUER</x:v>
      </x:c>
      <x:c r="O714" t="str">
        <x:v>Bahlsen.GmbH...Co..KG/Hannover</x:v>
      </x:c>
      <x:c r="P714" t="str">
        <x:v>VISA Debitkartenumsatz vom 27.09.2025</x:v>
      </x:c>
      <x:c r="Q714" t="str">
        <x:v>Ausgang</x:v>
      </x:c>
      <x:c r="R714" t="str">
        <x:v>DE96120300009005290904</x:v>
      </x:c>
      <x:c r="S714" t="n">
        <x:v>-79.04</x:v>
      </x:c>
      <x:c r="T714" t="str">
        <x:v>"</x:v>
      </x:c>
      <x:c r="U714" t="str">
        <x:v>"</x:v>
      </x:c>
      <x:c r="V714" t="str">
        <x:v>485270343111872</x:v>
      </x:c>
    </x:row>
    <x:row r="715">
      <x:c r="A715" t="str">
        <x:v>RAW-IMP-20260516-FULLDRAFT-000698</x:v>
      </x:c>
      <x:c r="B715" t="str">
        <x:v>IMP-20260516-FULLDRAFT</x:v>
      </x:c>
      <x:c r="C715" t="str">
        <x:v>KTO001</x:v>
      </x:c>
      <x:c r="D715" t="str">
        <x:v>16-05-2026_Umsatzliste_Girokonto_DE98120300001061711675.csv</x:v>
      </x:c>
      <x:c r="E715" t="n">
        <x:v>46163</x:v>
      </x:c>
      <x:c r="F715" t="n">
        <x:v>698</x:v>
      </x:c>
      <x:c r="G715" t="str">
        <x:v>90bf27bc76180490002966e59e73697e234a115f8c27008647bbf6cb1106b00f</x:v>
      </x:c>
      <x:c r="H715" t="str">
        <x:v>neu</x:v>
      </x:c>
      <x:c r="I715" t="str">
        <x:v>ok</x:v>
      </x:c>
      <x:c r="J715"/>
      <x:c r="K715" t="n">
        <x:v>45929</x:v>
      </x:c>
      <x:c r="L715" t="n">
        <x:v>45929</x:v>
      </x:c>
      <x:c r="M715" t="str">
        <x:v>Gebucht</x:v>
      </x:c>
      <x:c r="N715" t="str">
        <x:v>Lars Kohlenberg</x:v>
      </x:c>
      <x:c r="O715" t="str">
        <x:v>Bundeskasse DO Halle</x:v>
      </x:c>
      <x:c r="P715" t="str">
        <x:v>Kfz-Steuer fuer SZ KL 910 fuer die Zeit vom 28.09.2025 bis zum 27.09.2026 Kassenzeichen K10218648000</x:v>
      </x:c>
      <x:c r="Q715" t="str">
        <x:v>Ausgang</x:v>
      </x:c>
      <x:c r="R715" t="str">
        <x:v>DE20860000000086001170</x:v>
      </x:c>
      <x:c r="S715" t="n">
        <x:v>-106</x:v>
      </x:c>
      <x:c r="T715" t="str">
        <x:v>DE09ZZZ00000000001</x:v>
      </x:c>
      <x:c r="U715" t="str">
        <x:v>KFZFK1021864800029102023</x:v>
      </x:c>
      <x:c r="V715" t="str">
        <x:v>K10218648000/000053/25ZVS18F</x:v>
      </x:c>
    </x:row>
    <x:row r="716">
      <x:c r="A716" t="str">
        <x:v>RAW-IMP-20260516-FULLDRAFT-000699</x:v>
      </x:c>
      <x:c r="B716" t="str">
        <x:v>IMP-20260516-FULLDRAFT</x:v>
      </x:c>
      <x:c r="C716" t="str">
        <x:v>KTO001</x:v>
      </x:c>
      <x:c r="D716" t="str">
        <x:v>16-05-2026_Umsatzliste_Girokonto_DE98120300001061711675.csv</x:v>
      </x:c>
      <x:c r="E716" t="n">
        <x:v>46163</x:v>
      </x:c>
      <x:c r="F716" t="n">
        <x:v>699</x:v>
      </x:c>
      <x:c r="G716" t="str">
        <x:v>a818fd7784b6f8c52d3782258ea65c8c32939f7cd19ea1c3dee955615b5485d2</x:v>
      </x:c>
      <x:c r="H716" t="str">
        <x:v>neu</x:v>
      </x:c>
      <x:c r="I716" t="str">
        <x:v>ok</x:v>
      </x:c>
      <x:c r="J716"/>
      <x:c r="K716" t="n">
        <x:v>45929</x:v>
      </x:c>
      <x:c r="L716" t="n">
        <x:v>45929</x:v>
      </x:c>
      <x:c r="M716" t="str">
        <x:v>Gebucht</x:v>
      </x:c>
      <x:c r="N716" t="str">
        <x:v>Lars Kohlenberg</x:v>
      </x:c>
      <x:c r="O716" t="str">
        <x:v>Jan Kohlenberg</x:v>
      </x:c>
      <x:c r="P716" t="str">
        <x:v>Dollar Leas USA Reise</x:v>
      </x:c>
      <x:c r="Q716" t="str">
        <x:v>Ausgang</x:v>
      </x:c>
      <x:c r="R716" t="str">
        <x:v>DE43270200001527701534</x:v>
      </x:c>
      <x:c r="S716" t="n">
        <x:v>-90</x:v>
      </x:c>
      <x:c r="T716" t="str">
        <x:v>"</x:v>
      </x:c>
      <x:c r="U716" t="str">
        <x:v>"</x:v>
      </x:c>
      <x:c r="V716" t="str">
        <x:v>"</x:v>
      </x:c>
    </x:row>
    <x:row r="717">
      <x:c r="A717" t="str">
        <x:v>RAW-IMP-20260516-FULLDRAFT-000700</x:v>
      </x:c>
      <x:c r="B717" t="str">
        <x:v>IMP-20260516-FULLDRAFT</x:v>
      </x:c>
      <x:c r="C717" t="str">
        <x:v>KTO001</x:v>
      </x:c>
      <x:c r="D717" t="str">
        <x:v>16-05-2026_Umsatzliste_Girokonto_DE98120300001061711675.csv</x:v>
      </x:c>
      <x:c r="E717" t="n">
        <x:v>46163</x:v>
      </x:c>
      <x:c r="F717" t="n">
        <x:v>700</x:v>
      </x:c>
      <x:c r="G717" t="str">
        <x:v>4ee8f9519a88abd96b9ec97115112aa3b071f4b03e142b4901e531276b78c9be</x:v>
      </x:c>
      <x:c r="H717" t="str">
        <x:v>neu</x:v>
      </x:c>
      <x:c r="I717" t="str">
        <x:v>ok</x:v>
      </x:c>
      <x:c r="J717"/>
      <x:c r="K717" t="n">
        <x:v>45926</x:v>
      </x:c>
      <x:c r="L717" t="n">
        <x:v>45926</x:v>
      </x:c>
      <x:c r="M717" t="str">
        <x:v>Gebucht</x:v>
      </x:c>
      <x:c r="N717" t="str">
        <x:v>ISSUER</x:v>
      </x:c>
      <x:c r="O717" t="str">
        <x:v>REWE.Salzgitter.Ge/Salzgitter</x:v>
      </x:c>
      <x:c r="P717" t="str">
        <x:v>VISA Debitkartenumsatz vom 25.09.2025</x:v>
      </x:c>
      <x:c r="Q717" t="str">
        <x:v>Ausgang</x:v>
      </x:c>
      <x:c r="R717" t="str">
        <x:v>DE96120300009005290904</x:v>
      </x:c>
      <x:c r="S717" t="n">
        <x:v>-10.25</x:v>
      </x:c>
      <x:c r="T717" t="str">
        <x:v>"</x:v>
      </x:c>
      <x:c r="U717" t="str">
        <x:v>"</x:v>
      </x:c>
      <x:c r="V717" t="str">
        <x:v>485268370770532</x:v>
      </x:c>
    </x:row>
    <x:row r="718">
      <x:c r="A718" t="str">
        <x:v>RAW-IMP-20260516-FULLDRAFT-000701</x:v>
      </x:c>
      <x:c r="B718" t="str">
        <x:v>IMP-20260516-FULLDRAFT</x:v>
      </x:c>
      <x:c r="C718" t="str">
        <x:v>KTO001</x:v>
      </x:c>
      <x:c r="D718" t="str">
        <x:v>16-05-2026_Umsatzliste_Girokonto_DE98120300001061711675.csv</x:v>
      </x:c>
      <x:c r="E718" t="n">
        <x:v>46163</x:v>
      </x:c>
      <x:c r="F718" t="n">
        <x:v>701</x:v>
      </x:c>
      <x:c r="G718" t="str">
        <x:v>df91a9d97a1590969fb124998fda3dbce14879bb829560250dd11b8db7db3e5a</x:v>
      </x:c>
      <x:c r="H718" t="str">
        <x:v>neu</x:v>
      </x:c>
      <x:c r="I718" t="str">
        <x:v>ok</x:v>
      </x:c>
      <x:c r="J718"/>
      <x:c r="K718" t="n">
        <x:v>45926</x:v>
      </x:c>
      <x:c r="L718" t="n">
        <x:v>45926</x:v>
      </x:c>
      <x:c r="M718" t="str">
        <x:v>Gebucht</x:v>
      </x:c>
      <x:c r="N718" t="str">
        <x:v>ISSUER</x:v>
      </x:c>
      <x:c r="O718" t="str">
        <x:v>Stadt.Salzgitter.Stadtk/Salzgitter</x:v>
      </x:c>
      <x:c r="P718" t="str">
        <x:v>VISA Debitkartenumsatz vom 25.09.2025</x:v>
      </x:c>
      <x:c r="Q718" t="str">
        <x:v>Ausgang</x:v>
      </x:c>
      <x:c r="R718" t="str">
        <x:v>DE96120300009005290904</x:v>
      </x:c>
      <x:c r="S718" t="n">
        <x:v>-273.5</x:v>
      </x:c>
      <x:c r="T718" t="str">
        <x:v>"</x:v>
      </x:c>
      <x:c r="U718" t="str">
        <x:v>"</x:v>
      </x:c>
      <x:c r="V718" t="str">
        <x:v>485268517404247</x:v>
      </x:c>
    </x:row>
    <x:row r="719">
      <x:c r="A719" t="str">
        <x:v>RAW-IMP-20260516-FULLDRAFT-000702</x:v>
      </x:c>
      <x:c r="B719" t="str">
        <x:v>IMP-20260516-FULLDRAFT</x:v>
      </x:c>
      <x:c r="C719" t="str">
        <x:v>KTO001</x:v>
      </x:c>
      <x:c r="D719" t="str">
        <x:v>16-05-2026_Umsatzliste_Girokonto_DE98120300001061711675.csv</x:v>
      </x:c>
      <x:c r="E719" t="n">
        <x:v>46163</x:v>
      </x:c>
      <x:c r="F719" t="n">
        <x:v>702</x:v>
      </x:c>
      <x:c r="G719" t="str">
        <x:v>4eca18a9b9473865cbd7edd12596f3de9fba16801329b6ac6a37f881f63a7b68</x:v>
      </x:c>
      <x:c r="H719" t="str">
        <x:v>neu</x:v>
      </x:c>
      <x:c r="I719" t="str">
        <x:v>ok</x:v>
      </x:c>
      <x:c r="J719"/>
      <x:c r="K719" t="n">
        <x:v>45926</x:v>
      </x:c>
      <x:c r="L719" t="n">
        <x:v>45926</x:v>
      </x:c>
      <x:c r="M719" t="str">
        <x:v>Gebucht</x:v>
      </x:c>
      <x:c r="N719" t="str">
        <x:v>Lars Kohlenberg</x:v>
      </x:c>
      <x:c r="O719" t="str">
        <x:v>Lea Kohlenberg</x:v>
      </x:c>
      <x:c r="P719" t="str">
        <x:v>USA</x:v>
      </x:c>
      <x:c r="Q719" t="str">
        <x:v>Ausgang</x:v>
      </x:c>
      <x:c r="R719" t="str">
        <x:v>DE47269910662833344950</x:v>
      </x:c>
      <x:c r="S719" t="n">
        <x:v>-200</x:v>
      </x:c>
      <x:c r="T719" t="str">
        <x:v>"</x:v>
      </x:c>
      <x:c r="U719" t="str">
        <x:v>"</x:v>
      </x:c>
      <x:c r="V719" t="str">
        <x:v>"</x:v>
      </x:c>
    </x:row>
    <x:row r="720">
      <x:c r="A720" t="str">
        <x:v>RAW-IMP-20260516-FULLDRAFT-000703</x:v>
      </x:c>
      <x:c r="B720" t="str">
        <x:v>IMP-20260516-FULLDRAFT</x:v>
      </x:c>
      <x:c r="C720" t="str">
        <x:v>KTO001</x:v>
      </x:c>
      <x:c r="D720" t="str">
        <x:v>16-05-2026_Umsatzliste_Girokonto_DE98120300001061711675.csv</x:v>
      </x:c>
      <x:c r="E720" t="n">
        <x:v>46163</x:v>
      </x:c>
      <x:c r="F720" t="n">
        <x:v>703</x:v>
      </x:c>
      <x:c r="G720" t="str">
        <x:v>aae85fdd6d15e79fc19b47d66d1cd85266819053e50fd1245084a6a34e0360d7</x:v>
      </x:c>
      <x:c r="H720" t="str">
        <x:v>neu</x:v>
      </x:c>
      <x:c r="I720" t="str">
        <x:v>ok</x:v>
      </x:c>
      <x:c r="J720"/>
      <x:c r="K720" t="n">
        <x:v>45925</x:v>
      </x:c>
      <x:c r="L720" t="n">
        <x:v>45925</x:v>
      </x:c>
      <x:c r="M720" t="str">
        <x:v>Gebucht</x:v>
      </x:c>
      <x:c r="N720" t="str">
        <x:v>ISSUER</x:v>
      </x:c>
      <x:c r="O720" t="str">
        <x:v>SCHAEFERS.35189/SALZGITTER</x:v>
      </x:c>
      <x:c r="P720" t="str">
        <x:v>VISA Debitkartenumsatz vom 24.09.2025</x:v>
      </x:c>
      <x:c r="Q720" t="str">
        <x:v>Ausgang</x:v>
      </x:c>
      <x:c r="R720" t="str">
        <x:v>DE96120300009005290904</x:v>
      </x:c>
      <x:c r="S720" t="n">
        <x:v>-2.11</x:v>
      </x:c>
      <x:c r="T720" t="str">
        <x:v>"</x:v>
      </x:c>
      <x:c r="U720" t="str">
        <x:v>"</x:v>
      </x:c>
      <x:c r="V720" t="str">
        <x:v>485267587532121</x:v>
      </x:c>
    </x:row>
    <x:row r="721">
      <x:c r="A721" t="str">
        <x:v>RAW-IMP-20260516-FULLDRAFT-000704</x:v>
      </x:c>
      <x:c r="B721" t="str">
        <x:v>IMP-20260516-FULLDRAFT</x:v>
      </x:c>
      <x:c r="C721" t="str">
        <x:v>KTO001</x:v>
      </x:c>
      <x:c r="D721" t="str">
        <x:v>16-05-2026_Umsatzliste_Girokonto_DE98120300001061711675.csv</x:v>
      </x:c>
      <x:c r="E721" t="n">
        <x:v>46163</x:v>
      </x:c>
      <x:c r="F721" t="n">
        <x:v>704</x:v>
      </x:c>
      <x:c r="G721" t="str">
        <x:v>2c62d7904d2ba9cb376e8341cf2e706e15ea11f45d1385cb06a43fbb5ce4c308</x:v>
      </x:c>
      <x:c r="H721" t="str">
        <x:v>neu</x:v>
      </x:c>
      <x:c r="I721" t="str">
        <x:v>ok</x:v>
      </x:c>
      <x:c r="J721"/>
      <x:c r="K721" t="n">
        <x:v>45925</x:v>
      </x:c>
      <x:c r="L721" t="n">
        <x:v>45925</x:v>
      </x:c>
      <x:c r="M721" t="str">
        <x:v>Gebucht</x:v>
      </x:c>
      <x:c r="N721" t="str">
        <x:v>ISSUER</x:v>
      </x:c>
      <x:c r="O721" t="str">
        <x:v>Lidl.sagt.Danke/Salzgitter</x:v>
      </x:c>
      <x:c r="P721" t="str">
        <x:v>VISA Debitkartenumsatz vom 24.09.2025</x:v>
      </x:c>
      <x:c r="Q721" t="str">
        <x:v>Ausgang</x:v>
      </x:c>
      <x:c r="R721" t="str">
        <x:v>DE96120300009005290904</x:v>
      </x:c>
      <x:c r="S721" t="n">
        <x:v>-32.19</x:v>
      </x:c>
      <x:c r="T721" t="str">
        <x:v>"</x:v>
      </x:c>
      <x:c r="U721" t="str">
        <x:v>"</x:v>
      </x:c>
      <x:c r="V721" t="str">
        <x:v>485267591428904</x:v>
      </x:c>
    </x:row>
    <x:row r="722">
      <x:c r="A722" t="str">
        <x:v>RAW-IMP-20260516-FULLDRAFT-000705</x:v>
      </x:c>
      <x:c r="B722" t="str">
        <x:v>IMP-20260516-FULLDRAFT</x:v>
      </x:c>
      <x:c r="C722" t="str">
        <x:v>KTO001</x:v>
      </x:c>
      <x:c r="D722" t="str">
        <x:v>16-05-2026_Umsatzliste_Girokonto_DE98120300001061711675.csv</x:v>
      </x:c>
      <x:c r="E722" t="n">
        <x:v>46163</x:v>
      </x:c>
      <x:c r="F722" t="n">
        <x:v>705</x:v>
      </x:c>
      <x:c r="G722" t="str">
        <x:v>3230ea40755e3b0512ca91f99c4d2417729dc788852921647e0d8ea4759172e2</x:v>
      </x:c>
      <x:c r="H722" t="str">
        <x:v>neu</x:v>
      </x:c>
      <x:c r="I722" t="str">
        <x:v>ok</x:v>
      </x:c>
      <x:c r="J722"/>
      <x:c r="K722" t="n">
        <x:v>45924</x:v>
      </x:c>
      <x:c r="L722" t="n">
        <x:v>45924</x:v>
      </x:c>
      <x:c r="M722" t="str">
        <x:v>Gebucht</x:v>
      </x:c>
      <x:c r="N722" t="str">
        <x:v>Lars Kohlenberg</x:v>
      </x:c>
      <x:c r="O722" t="str">
        <x:v>Thermondo GmbH</x:v>
      </x:c>
      <x:c r="P722" t="str">
        <x:v>BV252H01-001 Kohlenberg</x:v>
      </x:c>
      <x:c r="Q722" t="str">
        <x:v>Ausgang</x:v>
      </x:c>
      <x:c r="R722" t="str">
        <x:v>DE49100900002559239006</x:v>
      </x:c>
      <x:c r="S722" t="n">
        <x:v>-30070.43</x:v>
      </x:c>
      <x:c r="T722" t="str">
        <x:v>"</x:v>
      </x:c>
      <x:c r="U722" t="str">
        <x:v>"</x:v>
      </x:c>
      <x:c r="V722" t="str">
        <x:v>"</x:v>
      </x:c>
    </x:row>
    <x:row r="723">
      <x:c r="A723" t="str">
        <x:v>RAW-IMP-20260516-FULLDRAFT-000706</x:v>
      </x:c>
      <x:c r="B723" t="str">
        <x:v>IMP-20260516-FULLDRAFT</x:v>
      </x:c>
      <x:c r="C723" t="str">
        <x:v>KTO001</x:v>
      </x:c>
      <x:c r="D723" t="str">
        <x:v>16-05-2026_Umsatzliste_Girokonto_DE98120300001061711675.csv</x:v>
      </x:c>
      <x:c r="E723" t="n">
        <x:v>46163</x:v>
      </x:c>
      <x:c r="F723" t="n">
        <x:v>706</x:v>
      </x:c>
      <x:c r="G723" t="str">
        <x:v>665cc9a33dbd848a3d2b279039be8c3651c89f5b280c16f65731fbfe27052061</x:v>
      </x:c>
      <x:c r="H723" t="str">
        <x:v>neu</x:v>
      </x:c>
      <x:c r="I723" t="str">
        <x:v>ok</x:v>
      </x:c>
      <x:c r="J723"/>
      <x:c r="K723" t="n">
        <x:v>45924</x:v>
      </x:c>
      <x:c r="L723" t="n">
        <x:v>45924</x:v>
      </x:c>
      <x:c r="M723" t="str">
        <x:v>Gebucht</x:v>
      </x:c>
      <x:c r="N723" t="str">
        <x:v>ISSUER</x:v>
      </x:c>
      <x:c r="O723" t="str">
        <x:v>EDEKA.POTRATZ/HILDESHEIM</x:v>
      </x:c>
      <x:c r="P723" t="str">
        <x:v>VISA Debitkartenumsatz vom 23.09.2025</x:v>
      </x:c>
      <x:c r="Q723" t="str">
        <x:v>Ausgang</x:v>
      </x:c>
      <x:c r="R723" t="str">
        <x:v>DE96120300009005290904</x:v>
      </x:c>
      <x:c r="S723" t="n">
        <x:v>-8.3</x:v>
      </x:c>
      <x:c r="T723" t="str">
        <x:v>"</x:v>
      </x:c>
      <x:c r="U723" t="str">
        <x:v>"</x:v>
      </x:c>
      <x:c r="V723" t="str">
        <x:v>485266238515942</x:v>
      </x:c>
    </x:row>
    <x:row r="724">
      <x:c r="A724" t="str">
        <x:v>RAW-IMP-20260516-FULLDRAFT-000707</x:v>
      </x:c>
      <x:c r="B724" t="str">
        <x:v>IMP-20260516-FULLDRAFT</x:v>
      </x:c>
      <x:c r="C724" t="str">
        <x:v>KTO001</x:v>
      </x:c>
      <x:c r="D724" t="str">
        <x:v>16-05-2026_Umsatzliste_Girokonto_DE98120300001061711675.csv</x:v>
      </x:c>
      <x:c r="E724" t="n">
        <x:v>46163</x:v>
      </x:c>
      <x:c r="F724" t="n">
        <x:v>707</x:v>
      </x:c>
      <x:c r="G724" t="str">
        <x:v>28a18d073e22eff2e740d3d6005a71f153395497e74cc012a0d54781a43f4025</x:v>
      </x:c>
      <x:c r="H724" t="str">
        <x:v>neu</x:v>
      </x:c>
      <x:c r="I724" t="str">
        <x:v>ok</x:v>
      </x:c>
      <x:c r="J724"/>
      <x:c r="K724" t="n">
        <x:v>45924</x:v>
      </x:c>
      <x:c r="L724" t="n">
        <x:v>45924</x:v>
      </x:c>
      <x:c r="M724" t="str">
        <x:v>Gebucht</x:v>
      </x:c>
      <x:c r="N724" t="str">
        <x:v>Katrin Kohlenberg</x:v>
      </x:c>
      <x:c r="O724" t="str">
        <x:v>Lars Kohlenberg</x:v>
      </x:c>
      <x:c r="P724" t="str">
        <x:v>Warmepumpe</x:v>
      </x:c>
      <x:c r="Q724" t="str">
        <x:v>Eingang</x:v>
      </x:c>
      <x:c r="R724" t="str">
        <x:v>DE32270727240307336800</x:v>
      </x:c>
      <x:c r="S724" t="n">
        <x:v>20000</x:v>
      </x:c>
      <x:c r="T724" t="str">
        <x:v>"</x:v>
      </x:c>
      <x:c r="U724" t="str">
        <x:v>"</x:v>
      </x:c>
      <x:c r="V724" t="str">
        <x:v>"</x:v>
      </x:c>
    </x:row>
    <x:row r="725">
      <x:c r="A725" t="str">
        <x:v>RAW-IMP-20260516-FULLDRAFT-000708</x:v>
      </x:c>
      <x:c r="B725" t="str">
        <x:v>IMP-20260516-FULLDRAFT</x:v>
      </x:c>
      <x:c r="C725" t="str">
        <x:v>KTO001</x:v>
      </x:c>
      <x:c r="D725" t="str">
        <x:v>16-05-2026_Umsatzliste_Girokonto_DE98120300001061711675.csv</x:v>
      </x:c>
      <x:c r="E725" t="n">
        <x:v>46163</x:v>
      </x:c>
      <x:c r="F725" t="n">
        <x:v>708</x:v>
      </x:c>
      <x:c r="G725" t="str">
        <x:v>32e2b3ea9529750b33f4d39298640c2478a5539bef412fb560211b153c2856df</x:v>
      </x:c>
      <x:c r="H725" t="str">
        <x:v>neu</x:v>
      </x:c>
      <x:c r="I725" t="str">
        <x:v>ok</x:v>
      </x:c>
      <x:c r="J725"/>
      <x:c r="K725" t="n">
        <x:v>45924</x:v>
      </x:c>
      <x:c r="L725" t="n">
        <x:v>45924</x:v>
      </x:c>
      <x:c r="M725" t="str">
        <x:v>Gebucht</x:v>
      </x:c>
      <x:c r="N725" t="str">
        <x:v>Lars Kohlenberg</x:v>
      </x:c>
      <x:c r="O725" t="str">
        <x:v>Caritasverband für die Diözese Hildesheim e.V.</x:v>
      </x:c>
      <x:c r="P725" t="str">
        <x:v>CV250705 Privatanteil Logpay während Urlaub</x:v>
      </x:c>
      <x:c r="Q725" t="str">
        <x:v>Ausgang</x:v>
      </x:c>
      <x:c r="R725" t="str">
        <x:v>DE73400602650023003300</x:v>
      </x:c>
      <x:c r="S725" t="n">
        <x:v>-10.73</x:v>
      </x:c>
      <x:c r="T725" t="str">
        <x:v>"</x:v>
      </x:c>
      <x:c r="U725" t="str">
        <x:v>"</x:v>
      </x:c>
      <x:c r="V725" t="str">
        <x:v>"</x:v>
      </x:c>
    </x:row>
    <x:row r="726">
      <x:c r="A726" t="str">
        <x:v>RAW-IMP-20260516-FULLDRAFT-000709</x:v>
      </x:c>
      <x:c r="B726" t="str">
        <x:v>IMP-20260516-FULLDRAFT</x:v>
      </x:c>
      <x:c r="C726" t="str">
        <x:v>KTO001</x:v>
      </x:c>
      <x:c r="D726" t="str">
        <x:v>16-05-2026_Umsatzliste_Girokonto_DE98120300001061711675.csv</x:v>
      </x:c>
      <x:c r="E726" t="n">
        <x:v>46163</x:v>
      </x:c>
      <x:c r="F726" t="n">
        <x:v>709</x:v>
      </x:c>
      <x:c r="G726" t="str">
        <x:v>fcc74c0d20575739ebee68d5e0e497fb444f2c8e714a3d8f4b69eb79f5b2e7f0</x:v>
      </x:c>
      <x:c r="H726" t="str">
        <x:v>neu</x:v>
      </x:c>
      <x:c r="I726" t="str">
        <x:v>ok</x:v>
      </x:c>
      <x:c r="J726"/>
      <x:c r="K726" t="n">
        <x:v>45923</x:v>
      </x:c>
      <x:c r="L726" t="n">
        <x:v>45923</x:v>
      </x:c>
      <x:c r="M726" t="str">
        <x:v>Gebucht</x:v>
      </x:c>
      <x:c r="N726" t="str">
        <x:v>ISSUER</x:v>
      </x:c>
      <x:c r="O726" t="str">
        <x:v>Aral.Station.160467163/Salzgitter</x:v>
      </x:c>
      <x:c r="P726" t="str">
        <x:v>VISA Debitkartenumsatz vom 21.09.2025</x:v>
      </x:c>
      <x:c r="Q726" t="str">
        <x:v>Ausgang</x:v>
      </x:c>
      <x:c r="R726" t="str">
        <x:v>DE96120300009005290904</x:v>
      </x:c>
      <x:c r="S726" t="n">
        <x:v>-5.98</x:v>
      </x:c>
      <x:c r="T726" t="str">
        <x:v>"</x:v>
      </x:c>
      <x:c r="U726" t="str">
        <x:v>"</x:v>
      </x:c>
      <x:c r="V726" t="str">
        <x:v>485264553386238</x:v>
      </x:c>
    </x:row>
    <x:row r="727">
      <x:c r="A727" t="str">
        <x:v>RAW-IMP-20260516-FULLDRAFT-000710</x:v>
      </x:c>
      <x:c r="B727" t="str">
        <x:v>IMP-20260516-FULLDRAFT</x:v>
      </x:c>
      <x:c r="C727" t="str">
        <x:v>KTO001</x:v>
      </x:c>
      <x:c r="D727" t="str">
        <x:v>16-05-2026_Umsatzliste_Girokonto_DE98120300001061711675.csv</x:v>
      </x:c>
      <x:c r="E727" t="n">
        <x:v>46163</x:v>
      </x:c>
      <x:c r="F727" t="n">
        <x:v>710</x:v>
      </x:c>
      <x:c r="G727" t="str">
        <x:v>414e85a022cc860e56b70e8ed761d9d070789c4a5cea6b394b7369b0601b56f1</x:v>
      </x:c>
      <x:c r="H727" t="str">
        <x:v>neu</x:v>
      </x:c>
      <x:c r="I727" t="str">
        <x:v>ok</x:v>
      </x:c>
      <x:c r="J727"/>
      <x:c r="K727" t="n">
        <x:v>45923</x:v>
      </x:c>
      <x:c r="L727" t="n">
        <x:v>45923</x:v>
      </x:c>
      <x:c r="M727" t="str">
        <x:v>Gebucht</x:v>
      </x:c>
      <x:c r="N727" t="str">
        <x:v>ISSUER</x:v>
      </x:c>
      <x:c r="O727" t="str">
        <x:v>HANNOVER.HBF.AUGUSTE.12/HANNOVER</x:v>
      </x:c>
      <x:c r="P727" t="str">
        <x:v>VISA Debitkartenumsatz vom 22.09.2025</x:v>
      </x:c>
      <x:c r="Q727" t="str">
        <x:v>Ausgang</x:v>
      </x:c>
      <x:c r="R727" t="str">
        <x:v>DE96120300009005290904</x:v>
      </x:c>
      <x:c r="S727" t="n">
        <x:v>-6</x:v>
      </x:c>
      <x:c r="T727" t="str">
        <x:v>"</x:v>
      </x:c>
      <x:c r="U727" t="str">
        <x:v>"</x:v>
      </x:c>
      <x:c r="V727" t="str">
        <x:v>485265285971361</x:v>
      </x:c>
    </x:row>
    <x:row r="728">
      <x:c r="A728" t="str">
        <x:v>RAW-IMP-20260516-FULLDRAFT-000711</x:v>
      </x:c>
      <x:c r="B728" t="str">
        <x:v>IMP-20260516-FULLDRAFT</x:v>
      </x:c>
      <x:c r="C728" t="str">
        <x:v>KTO001</x:v>
      </x:c>
      <x:c r="D728" t="str">
        <x:v>16-05-2026_Umsatzliste_Girokonto_DE98120300001061711675.csv</x:v>
      </x:c>
      <x:c r="E728" t="n">
        <x:v>46163</x:v>
      </x:c>
      <x:c r="F728" t="n">
        <x:v>711</x:v>
      </x:c>
      <x:c r="G728" t="str">
        <x:v>44e4d9243070e654a2f89bd01b6e496ed6bf88e93079f98d5dec7f78e22c34e5</x:v>
      </x:c>
      <x:c r="H728" t="str">
        <x:v>neu</x:v>
      </x:c>
      <x:c r="I728" t="str">
        <x:v>ok</x:v>
      </x:c>
      <x:c r="J728"/>
      <x:c r="K728" t="n">
        <x:v>45923</x:v>
      </x:c>
      <x:c r="L728" t="n">
        <x:v>45923</x:v>
      </x:c>
      <x:c r="M728" t="str">
        <x:v>Gebucht</x:v>
      </x:c>
      <x:c r="N728" t="str">
        <x:v>ISSUER</x:v>
      </x:c>
      <x:c r="O728" t="str">
        <x:v>AMAZON..US3TF1JO5/LUXEMBOURG</x:v>
      </x:c>
      <x:c r="P728" t="str">
        <x:v>VISA Debitkartenumsatz vom 21.09.2025</x:v>
      </x:c>
      <x:c r="Q728" t="str">
        <x:v>Ausgang</x:v>
      </x:c>
      <x:c r="R728" t="str">
        <x:v>DE96120300009005290904</x:v>
      </x:c>
      <x:c r="S728" t="n">
        <x:v>-199.3</x:v>
      </x:c>
      <x:c r="T728" t="str">
        <x:v>"</x:v>
      </x:c>
      <x:c r="U728" t="str">
        <x:v>"</x:v>
      </x:c>
      <x:c r="V728" t="str">
        <x:v>485264677391229</x:v>
      </x:c>
    </x:row>
    <x:row r="729">
      <x:c r="A729" t="str">
        <x:v>RAW-IMP-20260516-FULLDRAFT-000712</x:v>
      </x:c>
      <x:c r="B729" t="str">
        <x:v>IMP-20260516-FULLDRAFT</x:v>
      </x:c>
      <x:c r="C729" t="str">
        <x:v>KTO001</x:v>
      </x:c>
      <x:c r="D729" t="str">
        <x:v>16-05-2026_Umsatzliste_Girokonto_DE98120300001061711675.csv</x:v>
      </x:c>
      <x:c r="E729" t="n">
        <x:v>46163</x:v>
      </x:c>
      <x:c r="F729" t="n">
        <x:v>712</x:v>
      </x:c>
      <x:c r="G729" t="str">
        <x:v>ae42365112047670f3cb54f117cc66dcf139aecc7f8b81d58197e6e3487b739b</x:v>
      </x:c>
      <x:c r="H729" t="str">
        <x:v>neu</x:v>
      </x:c>
      <x:c r="I729" t="str">
        <x:v>ok</x:v>
      </x:c>
      <x:c r="J729"/>
      <x:c r="K729" t="n">
        <x:v>45923</x:v>
      </x:c>
      <x:c r="L729" t="n">
        <x:v>45923</x:v>
      </x:c>
      <x:c r="M729" t="str">
        <x:v>Gebucht</x:v>
      </x:c>
      <x:c r="N729" t="str">
        <x:v>Lars Kohlenberg</x:v>
      </x:c>
      <x:c r="O729" t="str">
        <x:v>Drillisch Online GmbH                                                 Wilhelm-Rontgen-Strase 1-5, 63477 Maintal</x:v>
      </x:c>
      <x:c r="P729" t="str">
        <x:v>C0851820 U743255400 B853120414 winSIM</x:v>
      </x:c>
      <x:c r="Q729" t="str">
        <x:v>Ausgang</x:v>
      </x:c>
      <x:c r="R729" t="str">
        <x:v>DE87300500000008996811</x:v>
      </x:c>
      <x:c r="S729" t="n">
        <x:v>-6.99</x:v>
      </x:c>
      <x:c r="T729" t="str">
        <x:v>DE40ZZZ00000206926</x:v>
      </x:c>
      <x:c r="U729" t="str">
        <x:v>FB1310D094B04186E02ACE7B8C6</x:v>
      </x:c>
      <x:c r="V729" t="str">
        <x:v>C0851820+U743255400</x:v>
      </x:c>
    </x:row>
    <x:row r="730">
      <x:c r="A730" t="str">
        <x:v>RAW-IMP-20260516-FULLDRAFT-000713</x:v>
      </x:c>
      <x:c r="B730" t="str">
        <x:v>IMP-20260516-FULLDRAFT</x:v>
      </x:c>
      <x:c r="C730" t="str">
        <x:v>KTO001</x:v>
      </x:c>
      <x:c r="D730" t="str">
        <x:v>16-05-2026_Umsatzliste_Girokonto_DE98120300001061711675.csv</x:v>
      </x:c>
      <x:c r="E730" t="n">
        <x:v>46163</x:v>
      </x:c>
      <x:c r="F730" t="n">
        <x:v>713</x:v>
      </x:c>
      <x:c r="G730" t="str">
        <x:v>35eba9f2c8f7ba7e7d5bdca2e53465bd2771aa7b7fab539fe3420f00e765fc99</x:v>
      </x:c>
      <x:c r="H730" t="str">
        <x:v>neu</x:v>
      </x:c>
      <x:c r="I730" t="str">
        <x:v>ok</x:v>
      </x:c>
      <x:c r="J730"/>
      <x:c r="K730" t="n">
        <x:v>45923</x:v>
      </x:c>
      <x:c r="L730" t="n">
        <x:v>45923</x:v>
      </x:c>
      <x:c r="M730" t="str">
        <x:v>Gebucht</x:v>
      </x:c>
      <x:c r="N730" t="str">
        <x:v>Lars Kohlenberg</x:v>
      </x:c>
      <x:c r="O730" t="str">
        <x:v>Drillisch Online GmbH                                                 Wilhelm-Rontgen-Strase 1-5, 63477 Maintal</x:v>
      </x:c>
      <x:c r="P730" t="str">
        <x:v>C0851820 U745547601 B850885483 winSIM</x:v>
      </x:c>
      <x:c r="Q730" t="str">
        <x:v>Ausgang</x:v>
      </x:c>
      <x:c r="R730" t="str">
        <x:v>DE87300500000008996811</x:v>
      </x:c>
      <x:c r="S730" t="n">
        <x:v>-6.99</x:v>
      </x:c>
      <x:c r="T730" t="str">
        <x:v>DE40ZZZ00000206926</x:v>
      </x:c>
      <x:c r="U730" t="str">
        <x:v>FB1310D094B04186E02ACE7B8C6</x:v>
      </x:c>
      <x:c r="V730" t="str">
        <x:v>C0851820+U745547601</x:v>
      </x:c>
    </x:row>
    <x:row r="731">
      <x:c r="A731" t="str">
        <x:v>RAW-IMP-20260516-FULLDRAFT-000714</x:v>
      </x:c>
      <x:c r="B731" t="str">
        <x:v>IMP-20260516-FULLDRAFT</x:v>
      </x:c>
      <x:c r="C731" t="str">
        <x:v>KTO001</x:v>
      </x:c>
      <x:c r="D731" t="str">
        <x:v>16-05-2026_Umsatzliste_Girokonto_DE98120300001061711675.csv</x:v>
      </x:c>
      <x:c r="E731" t="n">
        <x:v>46163</x:v>
      </x:c>
      <x:c r="F731" t="n">
        <x:v>714</x:v>
      </x:c>
      <x:c r="G731" t="str">
        <x:v>0bd3e5528cefcb162f3fd6664aee00ce04436c2571e7ef73417503e63d06b075</x:v>
      </x:c>
      <x:c r="H731" t="str">
        <x:v>neu</x:v>
      </x:c>
      <x:c r="I731" t="str">
        <x:v>ok</x:v>
      </x:c>
      <x:c r="J731"/>
      <x:c r="K731" t="n">
        <x:v>45922</x:v>
      </x:c>
      <x:c r="L731" t="n">
        <x:v>45922</x:v>
      </x:c>
      <x:c r="M731" t="str">
        <x:v>Gebucht</x:v>
      </x:c>
      <x:c r="N731" t="str">
        <x:v>ISSUER</x:v>
      </x:c>
      <x:c r="O731" t="str">
        <x:v>PAYPAL..HPDEUTSCHLA/4029357733</x:v>
      </x:c>
      <x:c r="P731" t="str">
        <x:v>VISA Debitkartenumsatz vom 19.09.2025</x:v>
      </x:c>
      <x:c r="Q731" t="str">
        <x:v>Ausgang</x:v>
      </x:c>
      <x:c r="R731" t="str">
        <x:v>DE96120300009005290904</x:v>
      </x:c>
      <x:c r="S731" t="n">
        <x:v>-4.99</x:v>
      </x:c>
      <x:c r="T731" t="str">
        <x:v>"</x:v>
      </x:c>
      <x:c r="U731" t="str">
        <x:v>"</x:v>
      </x:c>
      <x:c r="V731" t="str">
        <x:v>465262361425902</x:v>
      </x:c>
    </x:row>
    <x:row r="732">
      <x:c r="A732" t="str">
        <x:v>RAW-IMP-20260516-FULLDRAFT-000715</x:v>
      </x:c>
      <x:c r="B732" t="str">
        <x:v>IMP-20260516-FULLDRAFT</x:v>
      </x:c>
      <x:c r="C732" t="str">
        <x:v>KTO001</x:v>
      </x:c>
      <x:c r="D732" t="str">
        <x:v>16-05-2026_Umsatzliste_Girokonto_DE98120300001061711675.csv</x:v>
      </x:c>
      <x:c r="E732" t="n">
        <x:v>46163</x:v>
      </x:c>
      <x:c r="F732" t="n">
        <x:v>715</x:v>
      </x:c>
      <x:c r="G732" t="str">
        <x:v>848311eccaddbd3a449449cb30e301a583738468e6a529380b949255ca69450c</x:v>
      </x:c>
      <x:c r="H732" t="str">
        <x:v>neu</x:v>
      </x:c>
      <x:c r="I732" t="str">
        <x:v>ok</x:v>
      </x:c>
      <x:c r="J732"/>
      <x:c r="K732" t="n">
        <x:v>45922</x:v>
      </x:c>
      <x:c r="L732" t="n">
        <x:v>45922</x:v>
      </x:c>
      <x:c r="M732" t="str">
        <x:v>Gebucht</x:v>
      </x:c>
      <x:c r="N732" t="str">
        <x:v>ISSUER</x:v>
      </x:c>
      <x:c r="O732" t="str">
        <x:v>APPLE.COM.BILL/08006645451</x:v>
      </x:c>
      <x:c r="P732" t="str">
        <x:v>VISA Debitkartenumsatz vom 21.09.2025</x:v>
      </x:c>
      <x:c r="Q732" t="str">
        <x:v>Ausgang</x:v>
      </x:c>
      <x:c r="R732" t="str">
        <x:v>DE96120300009005290904</x:v>
      </x:c>
      <x:c r="S732" t="n">
        <x:v>-2.99</x:v>
      </x:c>
      <x:c r="T732" t="str">
        <x:v>"</x:v>
      </x:c>
      <x:c r="U732" t="str">
        <x:v>"</x:v>
      </x:c>
      <x:c r="V732" t="str">
        <x:v>485264466086934</x:v>
      </x:c>
    </x:row>
    <x:row r="733">
      <x:c r="A733" t="str">
        <x:v>RAW-IMP-20260516-FULLDRAFT-000716</x:v>
      </x:c>
      <x:c r="B733" t="str">
        <x:v>IMP-20260516-FULLDRAFT</x:v>
      </x:c>
      <x:c r="C733" t="str">
        <x:v>KTO001</x:v>
      </x:c>
      <x:c r="D733" t="str">
        <x:v>16-05-2026_Umsatzliste_Girokonto_DE98120300001061711675.csv</x:v>
      </x:c>
      <x:c r="E733" t="n">
        <x:v>46163</x:v>
      </x:c>
      <x:c r="F733" t="n">
        <x:v>716</x:v>
      </x:c>
      <x:c r="G733" t="str">
        <x:v>c2982051d61904417f0f2e0dd3aad5b0ad2544acf9636da1329eb751073a1c38</x:v>
      </x:c>
      <x:c r="H733" t="str">
        <x:v>neu</x:v>
      </x:c>
      <x:c r="I733" t="str">
        <x:v>ok</x:v>
      </x:c>
      <x:c r="J733"/>
      <x:c r="K733" t="n">
        <x:v>45922</x:v>
      </x:c>
      <x:c r="L733" t="n">
        <x:v>45922</x:v>
      </x:c>
      <x:c r="M733" t="str">
        <x:v>Gebucht</x:v>
      </x:c>
      <x:c r="N733" t="str">
        <x:v>ISSUER</x:v>
      </x:c>
      <x:c r="O733" t="str">
        <x:v>Stadtbad.Salzgitter.Leb/Salzgitter</x:v>
      </x:c>
      <x:c r="P733" t="str">
        <x:v>VISA Debitkartenumsatz vom 20.09.2025</x:v>
      </x:c>
      <x:c r="Q733" t="str">
        <x:v>Ausgang</x:v>
      </x:c>
      <x:c r="R733" t="str">
        <x:v>DE96120300009005290904</x:v>
      </x:c>
      <x:c r="S733" t="n">
        <x:v>-8.3</x:v>
      </x:c>
      <x:c r="T733" t="str">
        <x:v>"</x:v>
      </x:c>
      <x:c r="U733" t="str">
        <x:v>"</x:v>
      </x:c>
      <x:c r="V733" t="str">
        <x:v>485263316722195</x:v>
      </x:c>
    </x:row>
    <x:row r="734">
      <x:c r="A734" t="str">
        <x:v>RAW-IMP-20260516-FULLDRAFT-000717</x:v>
      </x:c>
      <x:c r="B734" t="str">
        <x:v>IMP-20260516-FULLDRAFT</x:v>
      </x:c>
      <x:c r="C734" t="str">
        <x:v>KTO001</x:v>
      </x:c>
      <x:c r="D734" t="str">
        <x:v>16-05-2026_Umsatzliste_Girokonto_DE98120300001061711675.csv</x:v>
      </x:c>
      <x:c r="E734" t="n">
        <x:v>46163</x:v>
      </x:c>
      <x:c r="F734" t="n">
        <x:v>717</x:v>
      </x:c>
      <x:c r="G734" t="str">
        <x:v>41180c1ed27bb78ada2ecbee6f52d7f58779c83b0af2262b658060fe7a9f133a</x:v>
      </x:c>
      <x:c r="H734" t="str">
        <x:v>neu</x:v>
      </x:c>
      <x:c r="I734" t="str">
        <x:v>ok</x:v>
      </x:c>
      <x:c r="J734"/>
      <x:c r="K734" t="n">
        <x:v>45922</x:v>
      </x:c>
      <x:c r="L734" t="n">
        <x:v>45922</x:v>
      </x:c>
      <x:c r="M734" t="str">
        <x:v>Gebucht</x:v>
      </x:c>
      <x:c r="N734" t="str">
        <x:v>ISSUER</x:v>
      </x:c>
      <x:c r="O734" t="str">
        <x:v>REWE.Salzgitter.Ge/Salzgitter</x:v>
      </x:c>
      <x:c r="P734" t="str">
        <x:v>VISA Debitkartenumsatz vom 19.09.2025</x:v>
      </x:c>
      <x:c r="Q734" t="str">
        <x:v>Ausgang</x:v>
      </x:c>
      <x:c r="R734" t="str">
        <x:v>DE96120300009005290904</x:v>
      </x:c>
      <x:c r="S734" t="n">
        <x:v>-28.43</x:v>
      </x:c>
      <x:c r="T734" t="str">
        <x:v>"</x:v>
      </x:c>
      <x:c r="U734" t="str">
        <x:v>"</x:v>
      </x:c>
      <x:c r="V734" t="str">
        <x:v>485262633450538</x:v>
      </x:c>
    </x:row>
    <x:row r="735">
      <x:c r="A735" t="str">
        <x:v>RAW-IMP-20260516-FULLDRAFT-000718</x:v>
      </x:c>
      <x:c r="B735" t="str">
        <x:v>IMP-20260516-FULLDRAFT</x:v>
      </x:c>
      <x:c r="C735" t="str">
        <x:v>KTO001</x:v>
      </x:c>
      <x:c r="D735" t="str">
        <x:v>16-05-2026_Umsatzliste_Girokonto_DE98120300001061711675.csv</x:v>
      </x:c>
      <x:c r="E735" t="n">
        <x:v>46163</x:v>
      </x:c>
      <x:c r="F735" t="n">
        <x:v>718</x:v>
      </x:c>
      <x:c r="G735" t="str">
        <x:v>32c44ec60338ecfc000b630231ca48cce1375f2f5c4050d6e27cd27cc6f8fc61</x:v>
      </x:c>
      <x:c r="H735" t="str">
        <x:v>neu</x:v>
      </x:c>
      <x:c r="I735" t="str">
        <x:v>ok</x:v>
      </x:c>
      <x:c r="J735"/>
      <x:c r="K735" t="n">
        <x:v>45922</x:v>
      </x:c>
      <x:c r="L735" t="n">
        <x:v>45922</x:v>
      </x:c>
      <x:c r="M735" t="str">
        <x:v>Gebucht</x:v>
      </x:c>
      <x:c r="N735" t="str">
        <x:v>Lars Kohlenberg</x:v>
      </x:c>
      <x:c r="O735" t="str">
        <x:v>Drillisch Online GmbH                                                 Wilhelm-Rontgen-Strase 1-5, 63477 Maintal</x:v>
      </x:c>
      <x:c r="P735" t="str">
        <x:v>C0851820 U742737339 B851509074 winSIM</x:v>
      </x:c>
      <x:c r="Q735" t="str">
        <x:v>Ausgang</x:v>
      </x:c>
      <x:c r="R735" t="str">
        <x:v>DE87300500000008996811</x:v>
      </x:c>
      <x:c r="S735" t="n">
        <x:v>-6.99</x:v>
      </x:c>
      <x:c r="T735" t="str">
        <x:v>DE40ZZZ00000206926</x:v>
      </x:c>
      <x:c r="U735" t="str">
        <x:v>FB1310D094B04186E02ACE7B8C6</x:v>
      </x:c>
      <x:c r="V735" t="str">
        <x:v>C0851820+U742737339</x:v>
      </x:c>
    </x:row>
    <x:row r="736">
      <x:c r="A736" t="str">
        <x:v>RAW-IMP-20260516-FULLDRAFT-000719</x:v>
      </x:c>
      <x:c r="B736" t="str">
        <x:v>IMP-20260516-FULLDRAFT</x:v>
      </x:c>
      <x:c r="C736" t="str">
        <x:v>KTO001</x:v>
      </x:c>
      <x:c r="D736" t="str">
        <x:v>16-05-2026_Umsatzliste_Girokonto_DE98120300001061711675.csv</x:v>
      </x:c>
      <x:c r="E736" t="n">
        <x:v>46163</x:v>
      </x:c>
      <x:c r="F736" t="n">
        <x:v>719</x:v>
      </x:c>
      <x:c r="G736" t="str">
        <x:v>7e317f856ea6b50c309fff915c7000492e380633e6ae8e423fb457b45e03348e</x:v>
      </x:c>
      <x:c r="H736" t="str">
        <x:v>neu</x:v>
      </x:c>
      <x:c r="I736" t="str">
        <x:v>ok</x:v>
      </x:c>
      <x:c r="J736"/>
      <x:c r="K736" t="n">
        <x:v>45922</x:v>
      </x:c>
      <x:c r="L736" t="n">
        <x:v>45922</x:v>
      </x:c>
      <x:c r="M736" t="str">
        <x:v>Gebucht</x:v>
      </x:c>
      <x:c r="N736" t="str">
        <x:v>Lars Kohlenberg</x:v>
      </x:c>
      <x:c r="O736" t="str">
        <x:v>Lars Kohlenberg</x:v>
      </x:c>
      <x:c r="P736" t="str">
        <x:v>Waermepumpe</x:v>
      </x:c>
      <x:c r="Q736" t="str">
        <x:v>Eingang</x:v>
      </x:c>
      <x:c r="R736" t="str">
        <x:v>DE91270200001510365800</x:v>
      </x:c>
      <x:c r="S736" t="n">
        <x:v>10000</x:v>
      </x:c>
      <x:c r="T736" t="str">
        <x:v>"</x:v>
      </x:c>
      <x:c r="U736" t="str">
        <x:v>"</x:v>
      </x:c>
      <x:c r="V736" t="str">
        <x:v>"</x:v>
      </x:c>
    </x:row>
    <x:row r="737">
      <x:c r="A737" t="str">
        <x:v>RAW-IMP-20260516-FULLDRAFT-000720</x:v>
      </x:c>
      <x:c r="B737" t="str">
        <x:v>IMP-20260516-FULLDRAFT</x:v>
      </x:c>
      <x:c r="C737" t="str">
        <x:v>KTO001</x:v>
      </x:c>
      <x:c r="D737" t="str">
        <x:v>16-05-2026_Umsatzliste_Girokonto_DE98120300001061711675.csv</x:v>
      </x:c>
      <x:c r="E737" t="n">
        <x:v>46163</x:v>
      </x:c>
      <x:c r="F737" t="n">
        <x:v>720</x:v>
      </x:c>
      <x:c r="G737" t="str">
        <x:v>d09ec790a9ec74dbcf105a7ee8ad155a661aafe8942eb0a48ead8de3bedb9f2b</x:v>
      </x:c>
      <x:c r="H737" t="str">
        <x:v>neu</x:v>
      </x:c>
      <x:c r="I737" t="str">
        <x:v>ok</x:v>
      </x:c>
      <x:c r="J737"/>
      <x:c r="K737" t="n">
        <x:v>45917</x:v>
      </x:c>
      <x:c r="L737" t="n">
        <x:v>45917</x:v>
      </x:c>
      <x:c r="M737" t="str">
        <x:v>Gebucht</x:v>
      </x:c>
      <x:c r="N737" t="str">
        <x:v>Lars Kohlenberg                                                       Johannes-Wosnitza-Str. 38229 Salzgitter</x:v>
      </x:c>
      <x:c r="O737" t="str">
        <x:v>GMX by LOTTO24                                                        StraBenbahnring 11 20251 Hamburg</x:v>
      </x:c>
      <x:c r="P737" t="str">
        <x:v>GMX by LOTTO24 C98983063 - T968240101052</x:v>
      </x:c>
      <x:c r="Q737" t="str">
        <x:v>Ausgang</x:v>
      </x:c>
      <x:c r="R737" t="str">
        <x:v>DE52100190001000027873</x:v>
      </x:c>
      <x:c r="S737" t="n">
        <x:v>-18.14</x:v>
      </x:c>
      <x:c r="T737" t="str">
        <x:v>NL48ZZZ342764500000</x:v>
      </x:c>
      <x:c r="U737" t="str">
        <x:v>R372DKN5SSBXZP52</x:v>
      </x:c>
      <x:c r="V737" t="str">
        <x:v>PKSDK7HQ79S3QDG6</x:v>
      </x:c>
    </x:row>
    <x:row r="738">
      <x:c r="A738" t="str">
        <x:v>RAW-IMP-20260516-FULLDRAFT-000721</x:v>
      </x:c>
      <x:c r="B738" t="str">
        <x:v>IMP-20260516-FULLDRAFT</x:v>
      </x:c>
      <x:c r="C738" t="str">
        <x:v>KTO001</x:v>
      </x:c>
      <x:c r="D738" t="str">
        <x:v>16-05-2026_Umsatzliste_Girokonto_DE98120300001061711675.csv</x:v>
      </x:c>
      <x:c r="E738" t="n">
        <x:v>46163</x:v>
      </x:c>
      <x:c r="F738" t="n">
        <x:v>721</x:v>
      </x:c>
      <x:c r="G738" t="str">
        <x:v>8b62030da385e07e0944ce7672e371fbb1c051487a9a867cbc549479b457a337</x:v>
      </x:c>
      <x:c r="H738" t="str">
        <x:v>neu</x:v>
      </x:c>
      <x:c r="I738" t="str">
        <x:v>ok</x:v>
      </x:c>
      <x:c r="J738"/>
      <x:c r="K738" t="n">
        <x:v>45915</x:v>
      </x:c>
      <x:c r="L738" t="n">
        <x:v>45915</x:v>
      </x:c>
      <x:c r="M738" t="str">
        <x:v>Gebucht</x:v>
      </x:c>
      <x:c r="N738" t="str">
        <x:v>ISSUER</x:v>
      </x:c>
      <x:c r="O738" t="str">
        <x:v>AMZN.Mktp.DE.VG4ID29D5/800.279.6620</x:v>
      </x:c>
      <x:c r="P738" t="str">
        <x:v>VISA Debitkartenumsatz vom 14.09.2025</x:v>
      </x:c>
      <x:c r="Q738" t="str">
        <x:v>Ausgang</x:v>
      </x:c>
      <x:c r="R738" t="str">
        <x:v>DE96120300009005290904</x:v>
      </x:c>
      <x:c r="S738" t="n">
        <x:v>-7.94</x:v>
      </x:c>
      <x:c r="T738" t="str">
        <x:v>"</x:v>
      </x:c>
      <x:c r="U738" t="str">
        <x:v>"</x:v>
      </x:c>
      <x:c r="V738" t="str">
        <x:v>485257364692425</x:v>
      </x:c>
    </x:row>
    <x:row r="739">
      <x:c r="A739" t="str">
        <x:v>RAW-IMP-20260516-FULLDRAFT-000722</x:v>
      </x:c>
      <x:c r="B739" t="str">
        <x:v>IMP-20260516-FULLDRAFT</x:v>
      </x:c>
      <x:c r="C739" t="str">
        <x:v>KTO001</x:v>
      </x:c>
      <x:c r="D739" t="str">
        <x:v>16-05-2026_Umsatzliste_Girokonto_DE98120300001061711675.csv</x:v>
      </x:c>
      <x:c r="E739" t="n">
        <x:v>46163</x:v>
      </x:c>
      <x:c r="F739" t="n">
        <x:v>722</x:v>
      </x:c>
      <x:c r="G739" t="str">
        <x:v>ad567d195f8b3622756bb4a0d1109da4abe8ea1995bb5f139ca8af966c43da51</x:v>
      </x:c>
      <x:c r="H739" t="str">
        <x:v>neu</x:v>
      </x:c>
      <x:c r="I739" t="str">
        <x:v>ok</x:v>
      </x:c>
      <x:c r="J739"/>
      <x:c r="K739" t="n">
        <x:v>45915</x:v>
      </x:c>
      <x:c r="L739" t="n">
        <x:v>45915</x:v>
      </x:c>
      <x:c r="M739" t="str">
        <x:v>Gebucht</x:v>
      </x:c>
      <x:c r="N739" t="str">
        <x:v>ISSUER</x:v>
      </x:c>
      <x:c r="O739" t="str">
        <x:v>Parkhaus.Havenwelten/Bremerhaven</x:v>
      </x:c>
      <x:c r="P739" t="str">
        <x:v>VISA Debitkartenumsatz vom 13.09.2025</x:v>
      </x:c>
      <x:c r="Q739" t="str">
        <x:v>Ausgang</x:v>
      </x:c>
      <x:c r="R739" t="str">
        <x:v>DE96120300009005290904</x:v>
      </x:c>
      <x:c r="S739" t="n">
        <x:v>-1.5</x:v>
      </x:c>
      <x:c r="T739" t="str">
        <x:v>"</x:v>
      </x:c>
      <x:c r="U739" t="str">
        <x:v>"</x:v>
      </x:c>
      <x:c r="V739" t="str">
        <x:v>585256440029835</x:v>
      </x:c>
    </x:row>
    <x:row r="740">
      <x:c r="A740" t="str">
        <x:v>RAW-IMP-20260516-FULLDRAFT-000723</x:v>
      </x:c>
      <x:c r="B740" t="str">
        <x:v>IMP-20260516-FULLDRAFT</x:v>
      </x:c>
      <x:c r="C740" t="str">
        <x:v>KTO001</x:v>
      </x:c>
      <x:c r="D740" t="str">
        <x:v>16-05-2026_Umsatzliste_Girokonto_DE98120300001061711675.csv</x:v>
      </x:c>
      <x:c r="E740" t="n">
        <x:v>46163</x:v>
      </x:c>
      <x:c r="F740" t="n">
        <x:v>723</x:v>
      </x:c>
      <x:c r="G740" t="str">
        <x:v>be55ae674687e0b61942023620c4d6d748967083d95107e7792d14fe3200badb</x:v>
      </x:c>
      <x:c r="H740" t="str">
        <x:v>neu</x:v>
      </x:c>
      <x:c r="I740" t="str">
        <x:v>ok</x:v>
      </x:c>
      <x:c r="J740"/>
      <x:c r="K740" t="n">
        <x:v>45915</x:v>
      </x:c>
      <x:c r="L740" t="n">
        <x:v>45915</x:v>
      </x:c>
      <x:c r="M740" t="str">
        <x:v>Gebucht</x:v>
      </x:c>
      <x:c r="N740" t="str">
        <x:v>ISSUER</x:v>
      </x:c>
      <x:c r="O740" t="str">
        <x:v>BURGER.KING.10150.SOT/BRAUNSCHWEIG</x:v>
      </x:c>
      <x:c r="P740" t="str">
        <x:v>VISA Debitkartenumsatz vom 12.09.2025</x:v>
      </x:c>
      <x:c r="Q740" t="str">
        <x:v>Ausgang</x:v>
      </x:c>
      <x:c r="R740" t="str">
        <x:v>DE96120300009005290904</x:v>
      </x:c>
      <x:c r="S740" t="n">
        <x:v>-10.99</x:v>
      </x:c>
      <x:c r="T740" t="str">
        <x:v>"</x:v>
      </x:c>
      <x:c r="U740" t="str">
        <x:v>"</x:v>
      </x:c>
      <x:c r="V740" t="str">
        <x:v>485255463487189</x:v>
      </x:c>
    </x:row>
    <x:row r="741">
      <x:c r="A741" t="str">
        <x:v>RAW-IMP-20260516-FULLDRAFT-000724</x:v>
      </x:c>
      <x:c r="B741" t="str">
        <x:v>IMP-20260516-FULLDRAFT</x:v>
      </x:c>
      <x:c r="C741" t="str">
        <x:v>KTO001</x:v>
      </x:c>
      <x:c r="D741" t="str">
        <x:v>16-05-2026_Umsatzliste_Girokonto_DE98120300001061711675.csv</x:v>
      </x:c>
      <x:c r="E741" t="n">
        <x:v>46163</x:v>
      </x:c>
      <x:c r="F741" t="n">
        <x:v>724</x:v>
      </x:c>
      <x:c r="G741" t="str">
        <x:v>70dc3ee326683f410d833964e6b16041c1aee4e52e5b6ae4b47bbf2c693ed9e7</x:v>
      </x:c>
      <x:c r="H741" t="str">
        <x:v>neu</x:v>
      </x:c>
      <x:c r="I741" t="str">
        <x:v>ok</x:v>
      </x:c>
      <x:c r="J741"/>
      <x:c r="K741" t="n">
        <x:v>45915</x:v>
      </x:c>
      <x:c r="L741" t="n">
        <x:v>45915</x:v>
      </x:c>
      <x:c r="M741" t="str">
        <x:v>Gebucht</x:v>
      </x:c>
      <x:c r="N741" t="str">
        <x:v>ISSUER</x:v>
      </x:c>
      <x:c r="O741" t="str">
        <x:v>REWE.Acar.oHG/Salzgitter</x:v>
      </x:c>
      <x:c r="P741" t="str">
        <x:v>VISA Debitkartenumsatz vom 12.09.2025</x:v>
      </x:c>
      <x:c r="Q741" t="str">
        <x:v>Ausgang</x:v>
      </x:c>
      <x:c r="R741" t="str">
        <x:v>DE96120300009005290904</x:v>
      </x:c>
      <x:c r="S741" t="n">
        <x:v>-78.51</x:v>
      </x:c>
      <x:c r="T741" t="str">
        <x:v>"</x:v>
      </x:c>
      <x:c r="U741" t="str">
        <x:v>"</x:v>
      </x:c>
      <x:c r="V741" t="str">
        <x:v>485255674368051</x:v>
      </x:c>
    </x:row>
    <x:row r="742">
      <x:c r="A742" t="str">
        <x:v>RAW-IMP-20260516-FULLDRAFT-000725</x:v>
      </x:c>
      <x:c r="B742" t="str">
        <x:v>IMP-20260516-FULLDRAFT</x:v>
      </x:c>
      <x:c r="C742" t="str">
        <x:v>KTO001</x:v>
      </x:c>
      <x:c r="D742" t="str">
        <x:v>16-05-2026_Umsatzliste_Girokonto_DE98120300001061711675.csv</x:v>
      </x:c>
      <x:c r="E742" t="n">
        <x:v>46163</x:v>
      </x:c>
      <x:c r="F742" t="n">
        <x:v>725</x:v>
      </x:c>
      <x:c r="G742" t="str">
        <x:v>85baf5b98f3edfe68dc5d7c5743ce95ea448fb8a10a003111c664350bdbc9a7d</x:v>
      </x:c>
      <x:c r="H742" t="str">
        <x:v>neu</x:v>
      </x:c>
      <x:c r="I742" t="str">
        <x:v>ok</x:v>
      </x:c>
      <x:c r="J742"/>
      <x:c r="K742" t="n">
        <x:v>45915</x:v>
      </x:c>
      <x:c r="L742" t="n">
        <x:v>45915</x:v>
      </x:c>
      <x:c r="M742" t="str">
        <x:v>Gebucht</x:v>
      </x:c>
      <x:c r="N742" t="str">
        <x:v>ISSUER</x:v>
      </x:c>
      <x:c r="O742" t="str">
        <x:v>Lidl.sagt.Danke/Salzgitter</x:v>
      </x:c>
      <x:c r="P742" t="str">
        <x:v>VISA Debitkartenumsatz vom 12.09.2025</x:v>
      </x:c>
      <x:c r="Q742" t="str">
        <x:v>Ausgang</x:v>
      </x:c>
      <x:c r="R742" t="str">
        <x:v>DE96120300009005290904</x:v>
      </x:c>
      <x:c r="S742" t="n">
        <x:v>-62.62</x:v>
      </x:c>
      <x:c r="T742" t="str">
        <x:v>"</x:v>
      </x:c>
      <x:c r="U742" t="str">
        <x:v>"</x:v>
      </x:c>
      <x:c r="V742" t="str">
        <x:v>485255652725419</x:v>
      </x:c>
    </x:row>
    <x:row r="743">
      <x:c r="A743" t="str">
        <x:v>RAW-IMP-20260516-FULLDRAFT-000726</x:v>
      </x:c>
      <x:c r="B743" t="str">
        <x:v>IMP-20260516-FULLDRAFT</x:v>
      </x:c>
      <x:c r="C743" t="str">
        <x:v>KTO001</x:v>
      </x:c>
      <x:c r="D743" t="str">
        <x:v>16-05-2026_Umsatzliste_Girokonto_DE98120300001061711675.csv</x:v>
      </x:c>
      <x:c r="E743" t="n">
        <x:v>46163</x:v>
      </x:c>
      <x:c r="F743" t="n">
        <x:v>726</x:v>
      </x:c>
      <x:c r="G743" t="str">
        <x:v>e569445691db41049c8aa39b9c029f2daf5e057dc32c7909fba267b1ca933cb5</x:v>
      </x:c>
      <x:c r="H743" t="str">
        <x:v>neu</x:v>
      </x:c>
      <x:c r="I743" t="str">
        <x:v>ok</x:v>
      </x:c>
      <x:c r="J743"/>
      <x:c r="K743" t="n">
        <x:v>45915</x:v>
      </x:c>
      <x:c r="L743" t="n">
        <x:v>45915</x:v>
      </x:c>
      <x:c r="M743" t="str">
        <x:v>Gebucht</x:v>
      </x:c>
      <x:c r="N743" t="str">
        <x:v>ISSUER</x:v>
      </x:c>
      <x:c r="O743" t="str">
        <x:v>SPK.HILDESHEIM.GOSLAR.P/BREITESTR</x:v>
      </x:c>
      <x:c r="P743" t="str">
        <x:v>VISA Debitkartenumsatz vom 12.09.2025</x:v>
      </x:c>
      <x:c r="Q743" t="str">
        <x:v>Ausgang</x:v>
      </x:c>
      <x:c r="R743" t="str">
        <x:v>DE96120300009005290904</x:v>
      </x:c>
      <x:c r="S743" t="n">
        <x:v>-200</x:v>
      </x:c>
      <x:c r="T743" t="str">
        <x:v>"</x:v>
      </x:c>
      <x:c r="U743" t="str">
        <x:v>"</x:v>
      </x:c>
      <x:c r="V743" t="str">
        <x:v>485255716503158</x:v>
      </x:c>
    </x:row>
    <x:row r="744">
      <x:c r="A744" t="str">
        <x:v>RAW-IMP-20260516-FULLDRAFT-000727</x:v>
      </x:c>
      <x:c r="B744" t="str">
        <x:v>IMP-20260516-FULLDRAFT</x:v>
      </x:c>
      <x:c r="C744" t="str">
        <x:v>KTO001</x:v>
      </x:c>
      <x:c r="D744" t="str">
        <x:v>16-05-2026_Umsatzliste_Girokonto_DE98120300001061711675.csv</x:v>
      </x:c>
      <x:c r="E744" t="n">
        <x:v>46163</x:v>
      </x:c>
      <x:c r="F744" t="n">
        <x:v>727</x:v>
      </x:c>
      <x:c r="G744" t="str">
        <x:v>690389446b84f6cfc195780d4d345f67f00ed2ab4acc4eff9178a2729269d405</x:v>
      </x:c>
      <x:c r="H744" t="str">
        <x:v>neu</x:v>
      </x:c>
      <x:c r="I744" t="str">
        <x:v>ok</x:v>
      </x:c>
      <x:c r="J744"/>
      <x:c r="K744" t="n">
        <x:v>45915</x:v>
      </x:c>
      <x:c r="L744" t="n">
        <x:v>45915</x:v>
      </x:c>
      <x:c r="M744" t="str">
        <x:v>Gebucht</x:v>
      </x:c>
      <x:c r="N744" t="str">
        <x:v>ISSUER</x:v>
      </x:c>
      <x:c r="O744" t="str">
        <x:v>KOLONIALWARENLADEN/BREMERHAVEN</x:v>
      </x:c>
      <x:c r="P744" t="str">
        <x:v>VISA Debitkartenumsatz vom 13.09.2025</x:v>
      </x:c>
      <x:c r="Q744" t="str">
        <x:v>Ausgang</x:v>
      </x:c>
      <x:c r="R744" t="str">
        <x:v>DE96120300009005290904</x:v>
      </x:c>
      <x:c r="S744" t="n">
        <x:v>-18.59</x:v>
      </x:c>
      <x:c r="T744" t="str">
        <x:v>"</x:v>
      </x:c>
      <x:c r="U744" t="str">
        <x:v>"</x:v>
      </x:c>
      <x:c r="V744" t="str">
        <x:v>585256382757941</x:v>
      </x:c>
    </x:row>
    <x:row r="745">
      <x:c r="A745" t="str">
        <x:v>RAW-IMP-20260516-FULLDRAFT-000728</x:v>
      </x:c>
      <x:c r="B745" t="str">
        <x:v>IMP-20260516-FULLDRAFT</x:v>
      </x:c>
      <x:c r="C745" t="str">
        <x:v>KTO001</x:v>
      </x:c>
      <x:c r="D745" t="str">
        <x:v>16-05-2026_Umsatzliste_Girokonto_DE98120300001061711675.csv</x:v>
      </x:c>
      <x:c r="E745" t="n">
        <x:v>46163</x:v>
      </x:c>
      <x:c r="F745" t="n">
        <x:v>728</x:v>
      </x:c>
      <x:c r="G745" t="str">
        <x:v>7c9ef72c7d3bba588e9c64ebd7fbc2ed7ef50517919c239fd7f5215a500a9cd9</x:v>
      </x:c>
      <x:c r="H745" t="str">
        <x:v>neu</x:v>
      </x:c>
      <x:c r="I745" t="str">
        <x:v>ok</x:v>
      </x:c>
      <x:c r="J745"/>
      <x:c r="K745" t="n">
        <x:v>45915</x:v>
      </x:c>
      <x:c r="L745" t="n">
        <x:v>45915</x:v>
      </x:c>
      <x:c r="M745" t="str">
        <x:v>Gebucht</x:v>
      </x:c>
      <x:c r="N745" t="str">
        <x:v>ISSUER</x:v>
      </x:c>
      <x:c r="O745" t="str">
        <x:v>FIEDLERS.FISCHMARKT.19/BREMERHAVEN</x:v>
      </x:c>
      <x:c r="P745" t="str">
        <x:v>VISA Debitkartenumsatz vom 13.09.2025</x:v>
      </x:c>
      <x:c r="Q745" t="str">
        <x:v>Ausgang</x:v>
      </x:c>
      <x:c r="R745" t="str">
        <x:v>DE96120300009005290904</x:v>
      </x:c>
      <x:c r="S745" t="n">
        <x:v>-16.3</x:v>
      </x:c>
      <x:c r="T745" t="str">
        <x:v>"</x:v>
      </x:c>
      <x:c r="U745" t="str">
        <x:v>"</x:v>
      </x:c>
      <x:c r="V745" t="str">
        <x:v>585256387409377</x:v>
      </x:c>
    </x:row>
    <x:row r="746">
      <x:c r="A746" t="str">
        <x:v>RAW-IMP-20260516-FULLDRAFT-000729</x:v>
      </x:c>
      <x:c r="B746" t="str">
        <x:v>IMP-20260516-FULLDRAFT</x:v>
      </x:c>
      <x:c r="C746" t="str">
        <x:v>KTO001</x:v>
      </x:c>
      <x:c r="D746" t="str">
        <x:v>16-05-2026_Umsatzliste_Girokonto_DE98120300001061711675.csv</x:v>
      </x:c>
      <x:c r="E746" t="n">
        <x:v>46163</x:v>
      </x:c>
      <x:c r="F746" t="n">
        <x:v>729</x:v>
      </x:c>
      <x:c r="G746" t="str">
        <x:v>b922b5277e349058fc28ef5c20634b1846ee27f19297c8c352ac6deea9db39a2</x:v>
      </x:c>
      <x:c r="H746" t="str">
        <x:v>neu</x:v>
      </x:c>
      <x:c r="I746" t="str">
        <x:v>ok</x:v>
      </x:c>
      <x:c r="J746"/>
      <x:c r="K746" t="n">
        <x:v>45915</x:v>
      </x:c>
      <x:c r="L746" t="n">
        <x:v>45915</x:v>
      </x:c>
      <x:c r="M746" t="str">
        <x:v>Gebucht</x:v>
      </x:c>
      <x:c r="N746" t="str">
        <x:v>ISSUER</x:v>
      </x:c>
      <x:c r="O746" t="str">
        <x:v>Zettle..Katie.s.Pastry/BREMERHAVEN</x:v>
      </x:c>
      <x:c r="P746" t="str">
        <x:v>VISA Debitkartenumsatz vom 13.09.2025</x:v>
      </x:c>
      <x:c r="Q746" t="str">
        <x:v>Ausgang</x:v>
      </x:c>
      <x:c r="R746" t="str">
        <x:v>DE96120300009005290904</x:v>
      </x:c>
      <x:c r="S746" t="n">
        <x:v>-6</x:v>
      </x:c>
      <x:c r="T746" t="str">
        <x:v>"</x:v>
      </x:c>
      <x:c r="U746" t="str">
        <x:v>"</x:v>
      </x:c>
      <x:c r="V746" t="str">
        <x:v>385256423273670</x:v>
      </x:c>
    </x:row>
    <x:row r="747">
      <x:c r="A747" t="str">
        <x:v>RAW-IMP-20260516-FULLDRAFT-000730</x:v>
      </x:c>
      <x:c r="B747" t="str">
        <x:v>IMP-20260516-FULLDRAFT</x:v>
      </x:c>
      <x:c r="C747" t="str">
        <x:v>KTO001</x:v>
      </x:c>
      <x:c r="D747" t="str">
        <x:v>16-05-2026_Umsatzliste_Girokonto_DE98120300001061711675.csv</x:v>
      </x:c>
      <x:c r="E747" t="n">
        <x:v>46163</x:v>
      </x:c>
      <x:c r="F747" t="n">
        <x:v>730</x:v>
      </x:c>
      <x:c r="G747" t="str">
        <x:v>cf3ccdd0de51ef08644cd0213b472c362e27751f4b606d137fe7e7bc5841b717</x:v>
      </x:c>
      <x:c r="H747" t="str">
        <x:v>neu</x:v>
      </x:c>
      <x:c r="I747" t="str">
        <x:v>ok</x:v>
      </x:c>
      <x:c r="J747"/>
      <x:c r="K747" t="n">
        <x:v>45915</x:v>
      </x:c>
      <x:c r="L747" t="n">
        <x:v>45915</x:v>
      </x:c>
      <x:c r="M747" t="str">
        <x:v>Gebucht</x:v>
      </x:c>
      <x:c r="N747" t="str">
        <x:v>ISSUER</x:v>
      </x:c>
      <x:c r="O747" t="str">
        <x:v>E.CENTER.3375/SALZGITTER</x:v>
      </x:c>
      <x:c r="P747" t="str">
        <x:v>VISA Debitkartenumsatz vom 12.09.2025</x:v>
      </x:c>
      <x:c r="Q747" t="str">
        <x:v>Ausgang</x:v>
      </x:c>
      <x:c r="R747" t="str">
        <x:v>DE96120300009005290904</x:v>
      </x:c>
      <x:c r="S747" t="n">
        <x:v>-23.45</x:v>
      </x:c>
      <x:c r="T747" t="str">
        <x:v>"</x:v>
      </x:c>
      <x:c r="U747" t="str">
        <x:v>"</x:v>
      </x:c>
      <x:c r="V747" t="str">
        <x:v>485255683253535</x:v>
      </x:c>
    </x:row>
    <x:row r="748">
      <x:c r="A748" t="str">
        <x:v>RAW-IMP-20260516-FULLDRAFT-000731</x:v>
      </x:c>
      <x:c r="B748" t="str">
        <x:v>IMP-20260516-FULLDRAFT</x:v>
      </x:c>
      <x:c r="C748" t="str">
        <x:v>KTO001</x:v>
      </x:c>
      <x:c r="D748" t="str">
        <x:v>16-05-2026_Umsatzliste_Girokonto_DE98120300001061711675.csv</x:v>
      </x:c>
      <x:c r="E748" t="n">
        <x:v>46163</x:v>
      </x:c>
      <x:c r="F748" t="n">
        <x:v>731</x:v>
      </x:c>
      <x:c r="G748" t="str">
        <x:v>cb80b55a5710242992cbf8e294ecab10324867fbf51a8a623f9bde11b7f5e670</x:v>
      </x:c>
      <x:c r="H748" t="str">
        <x:v>neu</x:v>
      </x:c>
      <x:c r="I748" t="str">
        <x:v>ok</x:v>
      </x:c>
      <x:c r="J748"/>
      <x:c r="K748" t="n">
        <x:v>45915</x:v>
      </x:c>
      <x:c r="L748" t="n">
        <x:v>45915</x:v>
      </x:c>
      <x:c r="M748" t="str">
        <x:v>Gebucht</x:v>
      </x:c>
      <x:c r="N748" t="str">
        <x:v>ISSUER</x:v>
      </x:c>
      <x:c r="O748" t="str">
        <x:v>NORD.LB...Braunschweigi/GEBHARDSHG</x:v>
      </x:c>
      <x:c r="P748" t="str">
        <x:v>VISA Debitkartenumsatz vom 13.09.2025</x:v>
      </x:c>
      <x:c r="Q748" t="str">
        <x:v>Ausgang</x:v>
      </x:c>
      <x:c r="R748" t="str">
        <x:v>DE96120300009005290904</x:v>
      </x:c>
      <x:c r="S748" t="n">
        <x:v>-500</x:v>
      </x:c>
      <x:c r="T748" t="str">
        <x:v>"</x:v>
      </x:c>
      <x:c r="U748" t="str">
        <x:v>"</x:v>
      </x:c>
      <x:c r="V748" t="str">
        <x:v>585256270664187</x:v>
      </x:c>
    </x:row>
    <x:row r="749">
      <x:c r="A749" t="str">
        <x:v>RAW-IMP-20260516-FULLDRAFT-000732</x:v>
      </x:c>
      <x:c r="B749" t="str">
        <x:v>IMP-20260516-FULLDRAFT</x:v>
      </x:c>
      <x:c r="C749" t="str">
        <x:v>KTO001</x:v>
      </x:c>
      <x:c r="D749" t="str">
        <x:v>16-05-2026_Umsatzliste_Girokonto_DE98120300001061711675.csv</x:v>
      </x:c>
      <x:c r="E749" t="n">
        <x:v>46163</x:v>
      </x:c>
      <x:c r="F749" t="n">
        <x:v>732</x:v>
      </x:c>
      <x:c r="G749" t="str">
        <x:v>149ef59b98a46e3a21faeedf428e278e5fdaf6cdb685ae67f4f5685958e8a129</x:v>
      </x:c>
      <x:c r="H749" t="str">
        <x:v>neu</x:v>
      </x:c>
      <x:c r="I749" t="str">
        <x:v>ok</x:v>
      </x:c>
      <x:c r="J749"/>
      <x:c r="K749" t="n">
        <x:v>45912</x:v>
      </x:c>
      <x:c r="L749" t="n">
        <x:v>45912</x:v>
      </x:c>
      <x:c r="M749" t="str">
        <x:v>Gebucht</x:v>
      </x:c>
      <x:c r="N749" t="str">
        <x:v>ISSUER</x:v>
      </x:c>
      <x:c r="O749" t="str">
        <x:v>REWE.Salzgitter.Ge/Salzgitter</x:v>
      </x:c>
      <x:c r="P749" t="str">
        <x:v>VISA Debitkartenumsatz vom 11.09.2025</x:v>
      </x:c>
      <x:c r="Q749" t="str">
        <x:v>Ausgang</x:v>
      </x:c>
      <x:c r="R749" t="str">
        <x:v>DE96120300009005290904</x:v>
      </x:c>
      <x:c r="S749" t="n">
        <x:v>-5.24</x:v>
      </x:c>
      <x:c r="T749" t="str">
        <x:v>"</x:v>
      </x:c>
      <x:c r="U749" t="str">
        <x:v>"</x:v>
      </x:c>
      <x:c r="V749" t="str">
        <x:v>485254647007682</x:v>
      </x:c>
    </x:row>
    <x:row r="750">
      <x:c r="A750" t="str">
        <x:v>RAW-IMP-20260516-FULLDRAFT-000733</x:v>
      </x:c>
      <x:c r="B750" t="str">
        <x:v>IMP-20260516-FULLDRAFT</x:v>
      </x:c>
      <x:c r="C750" t="str">
        <x:v>KTO001</x:v>
      </x:c>
      <x:c r="D750" t="str">
        <x:v>16-05-2026_Umsatzliste_Girokonto_DE98120300001061711675.csv</x:v>
      </x:c>
      <x:c r="E750" t="n">
        <x:v>46163</x:v>
      </x:c>
      <x:c r="F750" t="n">
        <x:v>733</x:v>
      </x:c>
      <x:c r="G750" t="str">
        <x:v>5ff03ae3e58eee93c049a03f287b44091deb37c143fdf5930110fe422c607a89</x:v>
      </x:c>
      <x:c r="H750" t="str">
        <x:v>neu</x:v>
      </x:c>
      <x:c r="I750" t="str">
        <x:v>ok</x:v>
      </x:c>
      <x:c r="J750"/>
      <x:c r="K750" t="n">
        <x:v>45911</x:v>
      </x:c>
      <x:c r="L750" t="n">
        <x:v>45911</x:v>
      </x:c>
      <x:c r="M750" t="str">
        <x:v>Gebucht</x:v>
      </x:c>
      <x:c r="N750" t="str">
        <x:v>ISSUER</x:v>
      </x:c>
      <x:c r="O750" t="str">
        <x:v>PAYPAL..VRB/4029357733</x:v>
      </x:c>
      <x:c r="P750" t="str">
        <x:v>VISA Debitkartenumsatz vom 10.09.2025</x:v>
      </x:c>
      <x:c r="Q750" t="str">
        <x:v>Ausgang</x:v>
      </x:c>
      <x:c r="R750" t="str">
        <x:v>DE96120300009005290904</x:v>
      </x:c>
      <x:c r="S750" t="n">
        <x:v>-30</x:v>
      </x:c>
      <x:c r="T750" t="str">
        <x:v>"</x:v>
      </x:c>
      <x:c r="U750" t="str">
        <x:v>"</x:v>
      </x:c>
      <x:c r="V750" t="str">
        <x:v>465253618637023</x:v>
      </x:c>
    </x:row>
    <x:row r="751">
      <x:c r="A751" t="str">
        <x:v>RAW-IMP-20260516-FULLDRAFT-000734</x:v>
      </x:c>
      <x:c r="B751" t="str">
        <x:v>IMP-20260516-FULLDRAFT</x:v>
      </x:c>
      <x:c r="C751" t="str">
        <x:v>KTO001</x:v>
      </x:c>
      <x:c r="D751" t="str">
        <x:v>16-05-2026_Umsatzliste_Girokonto_DE98120300001061711675.csv</x:v>
      </x:c>
      <x:c r="E751" t="n">
        <x:v>46163</x:v>
      </x:c>
      <x:c r="F751" t="n">
        <x:v>734</x:v>
      </x:c>
      <x:c r="G751" t="str">
        <x:v>397225e18c173fc4dc6846acbb0166a4b62c366a2384b5548c118427294120c8</x:v>
      </x:c>
      <x:c r="H751" t="str">
        <x:v>neu</x:v>
      </x:c>
      <x:c r="I751" t="str">
        <x:v>ok</x:v>
      </x:c>
      <x:c r="J751"/>
      <x:c r="K751" t="n">
        <x:v>45911</x:v>
      </x:c>
      <x:c r="L751" t="n">
        <x:v>45911</x:v>
      </x:c>
      <x:c r="M751" t="str">
        <x:v>Gebucht</x:v>
      </x:c>
      <x:c r="N751" t="str">
        <x:v>ISSUER</x:v>
      </x:c>
      <x:c r="O751" t="str">
        <x:v>REWE.Salzgitter.Ge/Salzgitter</x:v>
      </x:c>
      <x:c r="P751" t="str">
        <x:v>VISA Debitkartenumsatz vom 10.09.2025</x:v>
      </x:c>
      <x:c r="Q751" t="str">
        <x:v>Ausgang</x:v>
      </x:c>
      <x:c r="R751" t="str">
        <x:v>DE96120300009005290904</x:v>
      </x:c>
      <x:c r="S751" t="n">
        <x:v>-0.98</x:v>
      </x:c>
      <x:c r="T751" t="str">
        <x:v>"</x:v>
      </x:c>
      <x:c r="U751" t="str">
        <x:v>"</x:v>
      </x:c>
      <x:c r="V751" t="str">
        <x:v>485253589746797</x:v>
      </x:c>
    </x:row>
    <x:row r="752">
      <x:c r="A752" t="str">
        <x:v>RAW-IMP-20260516-FULLDRAFT-000735</x:v>
      </x:c>
      <x:c r="B752" t="str">
        <x:v>IMP-20260516-FULLDRAFT</x:v>
      </x:c>
      <x:c r="C752" t="str">
        <x:v>KTO001</x:v>
      </x:c>
      <x:c r="D752" t="str">
        <x:v>16-05-2026_Umsatzliste_Girokonto_DE98120300001061711675.csv</x:v>
      </x:c>
      <x:c r="E752" t="n">
        <x:v>46163</x:v>
      </x:c>
      <x:c r="F752" t="n">
        <x:v>735</x:v>
      </x:c>
      <x:c r="G752" t="str">
        <x:v>2fd21d42b77e9bb228eb8a2e103f8094687fc38ba75183239d07474b05fa3147</x:v>
      </x:c>
      <x:c r="H752" t="str">
        <x:v>neu</x:v>
      </x:c>
      <x:c r="I752" t="str">
        <x:v>ok</x:v>
      </x:c>
      <x:c r="J752"/>
      <x:c r="K752" t="n">
        <x:v>45911</x:v>
      </x:c>
      <x:c r="L752" t="n">
        <x:v>45911</x:v>
      </x:c>
      <x:c r="M752" t="str">
        <x:v>Gebucht</x:v>
      </x:c>
      <x:c r="N752" t="str">
        <x:v>Lars Kohlenberg                                                       Johannes-Wosnitza-Str. 38229 Salzgitter</x:v>
      </x:c>
      <x:c r="O752" t="str">
        <x:v>GMX by LOTTO24                                                        StraBenbahnring 11 20251 Hamburg</x:v>
      </x:c>
      <x:c r="P752" t="str">
        <x:v>GMX by LOTTO24 C98983063 - T985829936334</x:v>
      </x:c>
      <x:c r="Q752" t="str">
        <x:v>Ausgang</x:v>
      </x:c>
      <x:c r="R752" t="str">
        <x:v>DE52100190001000027873</x:v>
      </x:c>
      <x:c r="S752" t="n">
        <x:v>-18.14</x:v>
      </x:c>
      <x:c r="T752" t="str">
        <x:v>NL48ZZZ342764500000</x:v>
      </x:c>
      <x:c r="U752" t="str">
        <x:v>R372DKN5SSBXZP52</x:v>
      </x:c>
      <x:c r="V752" t="str">
        <x:v>MVX4ZD3D4FQHTVF3</x:v>
      </x:c>
    </x:row>
    <x:row r="753">
      <x:c r="A753" t="str">
        <x:v>RAW-IMP-20260516-FULLDRAFT-000736</x:v>
      </x:c>
      <x:c r="B753" t="str">
        <x:v>IMP-20260516-FULLDRAFT</x:v>
      </x:c>
      <x:c r="C753" t="str">
        <x:v>KTO001</x:v>
      </x:c>
      <x:c r="D753" t="str">
        <x:v>16-05-2026_Umsatzliste_Girokonto_DE98120300001061711675.csv</x:v>
      </x:c>
      <x:c r="E753" t="n">
        <x:v>46163</x:v>
      </x:c>
      <x:c r="F753" t="n">
        <x:v>736</x:v>
      </x:c>
      <x:c r="G753" t="str">
        <x:v>ffa5278607f8257510d805de6cb4343d519ab01f439ccd472decf318c6bd6f41</x:v>
      </x:c>
      <x:c r="H753" t="str">
        <x:v>neu</x:v>
      </x:c>
      <x:c r="I753" t="str">
        <x:v>ok</x:v>
      </x:c>
      <x:c r="J753"/>
      <x:c r="K753" t="n">
        <x:v>45910</x:v>
      </x:c>
      <x:c r="L753" t="n">
        <x:v>45910</x:v>
      </x:c>
      <x:c r="M753" t="str">
        <x:v>Gebucht</x:v>
      </x:c>
      <x:c r="N753" t="str">
        <x:v>ISSUER</x:v>
      </x:c>
      <x:c r="O753" t="str">
        <x:v>Globus.Baumarkt/Salzgitter</x:v>
      </x:c>
      <x:c r="P753" t="str">
        <x:v>VISA Debitkartenumsatz vom 09.09.2025</x:v>
      </x:c>
      <x:c r="Q753" t="str">
        <x:v>Ausgang</x:v>
      </x:c>
      <x:c r="R753" t="str">
        <x:v>DE96120300009005290904</x:v>
      </x:c>
      <x:c r="S753" t="n">
        <x:v>-71.2</x:v>
      </x:c>
      <x:c r="T753" t="str">
        <x:v>"</x:v>
      </x:c>
      <x:c r="U753" t="str">
        <x:v>"</x:v>
      </x:c>
      <x:c r="V753" t="str">
        <x:v>485252581532242</x:v>
      </x:c>
    </x:row>
    <x:row r="754">
      <x:c r="A754" t="str">
        <x:v>RAW-IMP-20260516-FULLDRAFT-000737</x:v>
      </x:c>
      <x:c r="B754" t="str">
        <x:v>IMP-20260516-FULLDRAFT</x:v>
      </x:c>
      <x:c r="C754" t="str">
        <x:v>KTO001</x:v>
      </x:c>
      <x:c r="D754" t="str">
        <x:v>16-05-2026_Umsatzliste_Girokonto_DE98120300001061711675.csv</x:v>
      </x:c>
      <x:c r="E754" t="n">
        <x:v>46163</x:v>
      </x:c>
      <x:c r="F754" t="n">
        <x:v>737</x:v>
      </x:c>
      <x:c r="G754" t="str">
        <x:v>6d3a59f4cdd2cb5552e7ee26342264fdf8de4cdcf77132850e575b842c36eaa4</x:v>
      </x:c>
      <x:c r="H754" t="str">
        <x:v>neu</x:v>
      </x:c>
      <x:c r="I754" t="str">
        <x:v>ok</x:v>
      </x:c>
      <x:c r="J754"/>
      <x:c r="K754" t="n">
        <x:v>45910</x:v>
      </x:c>
      <x:c r="L754" t="n">
        <x:v>45910</x:v>
      </x:c>
      <x:c r="M754" t="str">
        <x:v>Gebucht</x:v>
      </x:c>
      <x:c r="N754" t="str">
        <x:v>ISSUER</x:v>
      </x:c>
      <x:c r="O754" t="str">
        <x:v>Globus.Baumarkt/Salzgitter</x:v>
      </x:c>
      <x:c r="P754" t="str">
        <x:v>VISA Debitkartenumsatz vom 09.09.2025</x:v>
      </x:c>
      <x:c r="Q754" t="str">
        <x:v>Ausgang</x:v>
      </x:c>
      <x:c r="R754" t="str">
        <x:v>DE96120300009005290904</x:v>
      </x:c>
      <x:c r="S754" t="n">
        <x:v>-6.99</x:v>
      </x:c>
      <x:c r="T754" t="str">
        <x:v>"</x:v>
      </x:c>
      <x:c r="U754" t="str">
        <x:v>"</x:v>
      </x:c>
      <x:c r="V754" t="str">
        <x:v>485252636954423</x:v>
      </x:c>
    </x:row>
    <x:row r="755">
      <x:c r="A755" t="str">
        <x:v>RAW-IMP-20260516-FULLDRAFT-000738</x:v>
      </x:c>
      <x:c r="B755" t="str">
        <x:v>IMP-20260516-FULLDRAFT</x:v>
      </x:c>
      <x:c r="C755" t="str">
        <x:v>KTO001</x:v>
      </x:c>
      <x:c r="D755" t="str">
        <x:v>16-05-2026_Umsatzliste_Girokonto_DE98120300001061711675.csv</x:v>
      </x:c>
      <x:c r="E755" t="n">
        <x:v>46163</x:v>
      </x:c>
      <x:c r="F755" t="n">
        <x:v>738</x:v>
      </x:c>
      <x:c r="G755" t="str">
        <x:v>9f884b007c223dfbc21c465334660928e163f2abbfe456f8455470baf6cef9e8</x:v>
      </x:c>
      <x:c r="H755" t="str">
        <x:v>neu</x:v>
      </x:c>
      <x:c r="I755" t="str">
        <x:v>ok</x:v>
      </x:c>
      <x:c r="J755"/>
      <x:c r="K755" t="n">
        <x:v>45910</x:v>
      </x:c>
      <x:c r="L755" t="n">
        <x:v>45910</x:v>
      </x:c>
      <x:c r="M755" t="str">
        <x:v>Gebucht</x:v>
      </x:c>
      <x:c r="N755" t="str">
        <x:v>Globus.Baumarkt/Salzgitter</x:v>
      </x:c>
      <x:c r="O755" t="str">
        <x:v>NOTPROVIDED</x:v>
      </x:c>
      <x:c r="P755" t="str">
        <x:v>20250910185324 Globus.Baumarkt DE</x:v>
      </x:c>
      <x:c r="Q755" t="str">
        <x:v>Eingang</x:v>
      </x:c>
      <x:c r="R755" t="str">
        <x:v>DE96120300009005290904</x:v>
      </x:c>
      <x:c r="S755" t="n">
        <x:v>12.49</x:v>
      </x:c>
      <x:c r="T755" t="str">
        <x:v>"</x:v>
      </x:c>
      <x:c r="U755" t="str">
        <x:v>"</x:v>
      </x:c>
      <x:c r="V755" t="str">
        <x:v>635253478299127</x:v>
      </x:c>
    </x:row>
    <x:row r="756">
      <x:c r="A756" t="str">
        <x:v>RAW-IMP-20260516-FULLDRAFT-000739</x:v>
      </x:c>
      <x:c r="B756" t="str">
        <x:v>IMP-20260516-FULLDRAFT</x:v>
      </x:c>
      <x:c r="C756" t="str">
        <x:v>KTO001</x:v>
      </x:c>
      <x:c r="D756" t="str">
        <x:v>16-05-2026_Umsatzliste_Girokonto_DE98120300001061711675.csv</x:v>
      </x:c>
      <x:c r="E756" t="n">
        <x:v>46163</x:v>
      </x:c>
      <x:c r="F756" t="n">
        <x:v>739</x:v>
      </x:c>
      <x:c r="G756" t="str">
        <x:v>f3fd32011f527f6a7d5bffe790c958dcd1a44e3cc6834f472acf5a536a3c84fd</x:v>
      </x:c>
      <x:c r="H756" t="str">
        <x:v>neu</x:v>
      </x:c>
      <x:c r="I756" t="str">
        <x:v>ok</x:v>
      </x:c>
      <x:c r="J756"/>
      <x:c r="K756" t="n">
        <x:v>45909</x:v>
      </x:c>
      <x:c r="L756" t="n">
        <x:v>45909</x:v>
      </x:c>
      <x:c r="M756" t="str">
        <x:v>Gebucht</x:v>
      </x:c>
      <x:c r="N756" t="str">
        <x:v>ISSUER</x:v>
      </x:c>
      <x:c r="O756" t="str">
        <x:v>SCHAEFERS.35995/SALZGITTER</x:v>
      </x:c>
      <x:c r="P756" t="str">
        <x:v>VISA Debitkartenumsatz vom 08.09.2025</x:v>
      </x:c>
      <x:c r="Q756" t="str">
        <x:v>Ausgang</x:v>
      </x:c>
      <x:c r="R756" t="str">
        <x:v>DE96120300009005290904</x:v>
      </x:c>
      <x:c r="S756" t="n">
        <x:v>-3.7</x:v>
      </x:c>
      <x:c r="T756" t="str">
        <x:v>"</x:v>
      </x:c>
      <x:c r="U756" t="str">
        <x:v>"</x:v>
      </x:c>
      <x:c r="V756" t="str">
        <x:v>485251580263338</x:v>
      </x:c>
    </x:row>
    <x:row r="757">
      <x:c r="A757" t="str">
        <x:v>RAW-IMP-20260516-FULLDRAFT-000740</x:v>
      </x:c>
      <x:c r="B757" t="str">
        <x:v>IMP-20260516-FULLDRAFT</x:v>
      </x:c>
      <x:c r="C757" t="str">
        <x:v>KTO001</x:v>
      </x:c>
      <x:c r="D757" t="str">
        <x:v>16-05-2026_Umsatzliste_Girokonto_DE98120300001061711675.csv</x:v>
      </x:c>
      <x:c r="E757" t="n">
        <x:v>46163</x:v>
      </x:c>
      <x:c r="F757" t="n">
        <x:v>740</x:v>
      </x:c>
      <x:c r="G757" t="str">
        <x:v>491e8566e3d333295678e3eb55e75fc2d552606757e37bb682f5691e2b6454e0</x:v>
      </x:c>
      <x:c r="H757" t="str">
        <x:v>neu</x:v>
      </x:c>
      <x:c r="I757" t="str">
        <x:v>ok</x:v>
      </x:c>
      <x:c r="J757"/>
      <x:c r="K757" t="n">
        <x:v>45909</x:v>
      </x:c>
      <x:c r="L757" t="n">
        <x:v>45909</x:v>
      </x:c>
      <x:c r="M757" t="str">
        <x:v>Gebucht</x:v>
      </x:c>
      <x:c r="N757" t="str">
        <x:v>ISSUER</x:v>
      </x:c>
      <x:c r="O757" t="str">
        <x:v>ENTSORGUNGSZENTRUM.SAL/SALZGITTER</x:v>
      </x:c>
      <x:c r="P757" t="str">
        <x:v>VISA Debitkartenumsatz vom 08.09.2025</x:v>
      </x:c>
      <x:c r="Q757" t="str">
        <x:v>Ausgang</x:v>
      </x:c>
      <x:c r="R757" t="str">
        <x:v>DE96120300009005290904</x:v>
      </x:c>
      <x:c r="S757" t="n">
        <x:v>-7</x:v>
      </x:c>
      <x:c r="T757" t="str">
        <x:v>"</x:v>
      </x:c>
      <x:c r="U757" t="str">
        <x:v>"</x:v>
      </x:c>
      <x:c r="V757" t="str">
        <x:v>485251536158244</x:v>
      </x:c>
    </x:row>
    <x:row r="758">
      <x:c r="A758" t="str">
        <x:v>RAW-IMP-20260516-FULLDRAFT-000741</x:v>
      </x:c>
      <x:c r="B758" t="str">
        <x:v>IMP-20260516-FULLDRAFT</x:v>
      </x:c>
      <x:c r="C758" t="str">
        <x:v>KTO001</x:v>
      </x:c>
      <x:c r="D758" t="str">
        <x:v>16-05-2026_Umsatzliste_Girokonto_DE98120300001061711675.csv</x:v>
      </x:c>
      <x:c r="E758" t="n">
        <x:v>46163</x:v>
      </x:c>
      <x:c r="F758" t="n">
        <x:v>741</x:v>
      </x:c>
      <x:c r="G758" t="str">
        <x:v>bfed13c46c7651f5f7594d24e9dc63920353169c065e17ea0feeccb0bda9ac53</x:v>
      </x:c>
      <x:c r="H758" t="str">
        <x:v>neu</x:v>
      </x:c>
      <x:c r="I758" t="str">
        <x:v>ok</x:v>
      </x:c>
      <x:c r="J758"/>
      <x:c r="K758" t="n">
        <x:v>45909</x:v>
      </x:c>
      <x:c r="L758" t="n">
        <x:v>45909</x:v>
      </x:c>
      <x:c r="M758" t="str">
        <x:v>Gebucht</x:v>
      </x:c>
      <x:c r="N758" t="str">
        <x:v>ISSUER</x:v>
      </x:c>
      <x:c r="O758" t="str">
        <x:v>REWE.Mehmet.Kaysal.oHG/Salzgitter</x:v>
      </x:c>
      <x:c r="P758" t="str">
        <x:v>VISA Debitkartenumsatz vom 08.09.2025</x:v>
      </x:c>
      <x:c r="Q758" t="str">
        <x:v>Ausgang</x:v>
      </x:c>
      <x:c r="R758" t="str">
        <x:v>DE96120300009005290904</x:v>
      </x:c>
      <x:c r="S758" t="n">
        <x:v>-24.72</x:v>
      </x:c>
      <x:c r="T758" t="str">
        <x:v>"</x:v>
      </x:c>
      <x:c r="U758" t="str">
        <x:v>"</x:v>
      </x:c>
      <x:c r="V758" t="str">
        <x:v>485251596524868</x:v>
      </x:c>
    </x:row>
    <x:row r="759">
      <x:c r="A759" t="str">
        <x:v>RAW-IMP-20260516-FULLDRAFT-000742</x:v>
      </x:c>
      <x:c r="B759" t="str">
        <x:v>IMP-20260516-FULLDRAFT</x:v>
      </x:c>
      <x:c r="C759" t="str">
        <x:v>KTO001</x:v>
      </x:c>
      <x:c r="D759" t="str">
        <x:v>16-05-2026_Umsatzliste_Girokonto_DE98120300001061711675.csv</x:v>
      </x:c>
      <x:c r="E759" t="n">
        <x:v>46163</x:v>
      </x:c>
      <x:c r="F759" t="n">
        <x:v>742</x:v>
      </x:c>
      <x:c r="G759" t="str">
        <x:v>c2a6460bddae46c20f5387d3f297651b0c749c183fa349714b5b2f258ef336fa</x:v>
      </x:c>
      <x:c r="H759" t="str">
        <x:v>neu</x:v>
      </x:c>
      <x:c r="I759" t="str">
        <x:v>ok</x:v>
      </x:c>
      <x:c r="J759"/>
      <x:c r="K759" t="n">
        <x:v>45909</x:v>
      </x:c>
      <x:c r="L759" t="n">
        <x:v>45909</x:v>
      </x:c>
      <x:c r="M759" t="str">
        <x:v>Gebucht</x:v>
      </x:c>
      <x:c r="N759" t="str">
        <x:v>ISSUER</x:v>
      </x:c>
      <x:c r="O759" t="str">
        <x:v>3761.Salzgitter.Lebens/Salzgitter.Le</x:v>
      </x:c>
      <x:c r="P759" t="str">
        <x:v>VISA Debitkartenumsatz vom 08.09.2025</x:v>
      </x:c>
      <x:c r="Q759" t="str">
        <x:v>Ausgang</x:v>
      </x:c>
      <x:c r="R759" t="str">
        <x:v>DE96120300009005290904</x:v>
      </x:c>
      <x:c r="S759" t="n">
        <x:v>-19.8</x:v>
      </x:c>
      <x:c r="T759" t="str">
        <x:v>"</x:v>
      </x:c>
      <x:c r="U759" t="str">
        <x:v>"</x:v>
      </x:c>
      <x:c r="V759" t="str">
        <x:v>485251585467818</x:v>
      </x:c>
    </x:row>
    <x:row r="760">
      <x:c r="A760" t="str">
        <x:v>RAW-IMP-20260516-FULLDRAFT-000743</x:v>
      </x:c>
      <x:c r="B760" t="str">
        <x:v>IMP-20260516-FULLDRAFT</x:v>
      </x:c>
      <x:c r="C760" t="str">
        <x:v>KTO001</x:v>
      </x:c>
      <x:c r="D760" t="str">
        <x:v>16-05-2026_Umsatzliste_Girokonto_DE98120300001061711675.csv</x:v>
      </x:c>
      <x:c r="E760" t="n">
        <x:v>46163</x:v>
      </x:c>
      <x:c r="F760" t="n">
        <x:v>743</x:v>
      </x:c>
      <x:c r="G760" t="str">
        <x:v>a0c4fdf1718da2a2bb24c4ccb28fc314766760d808eb6f262c1ba85bff9c360d</x:v>
      </x:c>
      <x:c r="H760" t="str">
        <x:v>neu</x:v>
      </x:c>
      <x:c r="I760" t="str">
        <x:v>ok</x:v>
      </x:c>
      <x:c r="J760"/>
      <x:c r="K760" t="n">
        <x:v>45909</x:v>
      </x:c>
      <x:c r="L760" t="n">
        <x:v>45909</x:v>
      </x:c>
      <x:c r="M760" t="str">
        <x:v>Gebucht</x:v>
      </x:c>
      <x:c r="N760" t="str">
        <x:v>ISSUER</x:v>
      </x:c>
      <x:c r="O760" t="str">
        <x:v>NORD.LB...Braunschweigi/LEBENSTEDT</x:v>
      </x:c>
      <x:c r="P760" t="str">
        <x:v>VISA Debitkartenumsatz vom 08.09.2025</x:v>
      </x:c>
      <x:c r="Q760" t="str">
        <x:v>Ausgang</x:v>
      </x:c>
      <x:c r="R760" t="str">
        <x:v>DE96120300009005290904</x:v>
      </x:c>
      <x:c r="S760" t="n">
        <x:v>-500</x:v>
      </x:c>
      <x:c r="T760" t="str">
        <x:v>"</x:v>
      </x:c>
      <x:c r="U760" t="str">
        <x:v>"</x:v>
      </x:c>
      <x:c r="V760" t="str">
        <x:v>485251591342047</x:v>
      </x:c>
    </x:row>
    <x:row r="761">
      <x:c r="A761" t="str">
        <x:v>RAW-IMP-20260516-FULLDRAFT-000744</x:v>
      </x:c>
      <x:c r="B761" t="str">
        <x:v>IMP-20260516-FULLDRAFT</x:v>
      </x:c>
      <x:c r="C761" t="str">
        <x:v>KTO001</x:v>
      </x:c>
      <x:c r="D761" t="str">
        <x:v>16-05-2026_Umsatzliste_Girokonto_DE98120300001061711675.csv</x:v>
      </x:c>
      <x:c r="E761" t="n">
        <x:v>46163</x:v>
      </x:c>
      <x:c r="F761" t="n">
        <x:v>744</x:v>
      </x:c>
      <x:c r="G761" t="str">
        <x:v>469c1e79b6078402c4ea8ffa26a6f84c1d0b860a605339b0802cb2da82038ac2</x:v>
      </x:c>
      <x:c r="H761" t="str">
        <x:v>neu</x:v>
      </x:c>
      <x:c r="I761" t="str">
        <x:v>ok</x:v>
      </x:c>
      <x:c r="J761"/>
      <x:c r="K761" t="n">
        <x:v>45908</x:v>
      </x:c>
      <x:c r="L761" t="n">
        <x:v>45908</x:v>
      </x:c>
      <x:c r="M761" t="str">
        <x:v>Gebucht</x:v>
      </x:c>
      <x:c r="N761" t="str">
        <x:v>Lars Kohlenberg</x:v>
      </x:c>
      <x:c r="O761" t="str">
        <x:v>PARK und CONTROL PAC GmbH</x:v>
      </x:c>
      <x:c r="P761" t="str">
        <x:v>52280542 Hi cv 120e</x:v>
      </x:c>
      <x:c r="Q761" t="str">
        <x:v>Ausgang</x:v>
      </x:c>
      <x:c r="R761" t="str">
        <x:v>DE93600700700143449700</x:v>
      </x:c>
      <x:c r="S761" t="n">
        <x:v>-40</x:v>
      </x:c>
      <x:c r="T761" t="str">
        <x:v>"</x:v>
      </x:c>
      <x:c r="U761" t="str">
        <x:v>"</x:v>
      </x:c>
      <x:c r="V761" t="str">
        <x:v>"</x:v>
      </x:c>
    </x:row>
    <x:row r="762">
      <x:c r="A762" t="str">
        <x:v>RAW-IMP-20260516-FULLDRAFT-000745</x:v>
      </x:c>
      <x:c r="B762" t="str">
        <x:v>IMP-20260516-FULLDRAFT</x:v>
      </x:c>
      <x:c r="C762" t="str">
        <x:v>KTO001</x:v>
      </x:c>
      <x:c r="D762" t="str">
        <x:v>16-05-2026_Umsatzliste_Girokonto_DE98120300001061711675.csv</x:v>
      </x:c>
      <x:c r="E762" t="n">
        <x:v>46163</x:v>
      </x:c>
      <x:c r="F762" t="n">
        <x:v>745</x:v>
      </x:c>
      <x:c r="G762" t="str">
        <x:v>833f8040ff8aa248efd48d36e8ea4661c5a5e7f12a731e9b50a0cc302048338b</x:v>
      </x:c>
      <x:c r="H762" t="str">
        <x:v>neu</x:v>
      </x:c>
      <x:c r="I762" t="str">
        <x:v>ok</x:v>
      </x:c>
      <x:c r="J762"/>
      <x:c r="K762" t="n">
        <x:v>45908</x:v>
      </x:c>
      <x:c r="L762" t="n">
        <x:v>45908</x:v>
      </x:c>
      <x:c r="M762" t="str">
        <x:v>Gebucht</x:v>
      </x:c>
      <x:c r="N762" t="str">
        <x:v>ISSUER</x:v>
      </x:c>
      <x:c r="O762" t="str">
        <x:v>EDEKA.POTRATZ/HILDESHEIM</x:v>
      </x:c>
      <x:c r="P762" t="str">
        <x:v>VISA Debitkartenumsatz vom 06.09.2025</x:v>
      </x:c>
      <x:c r="Q762" t="str">
        <x:v>Ausgang</x:v>
      </x:c>
      <x:c r="R762" t="str">
        <x:v>DE96120300009005290904</x:v>
      </x:c>
      <x:c r="S762" t="n">
        <x:v>-1.5</x:v>
      </x:c>
      <x:c r="T762" t="str">
        <x:v>"</x:v>
      </x:c>
      <x:c r="U762" t="str">
        <x:v>"</x:v>
      </x:c>
      <x:c r="V762" t="str">
        <x:v>485249216710256</x:v>
      </x:c>
    </x:row>
    <x:row r="763">
      <x:c r="A763" t="str">
        <x:v>RAW-IMP-20260516-FULLDRAFT-000746</x:v>
      </x:c>
      <x:c r="B763" t="str">
        <x:v>IMP-20260516-FULLDRAFT</x:v>
      </x:c>
      <x:c r="C763" t="str">
        <x:v>KTO001</x:v>
      </x:c>
      <x:c r="D763" t="str">
        <x:v>16-05-2026_Umsatzliste_Girokonto_DE98120300001061711675.csv</x:v>
      </x:c>
      <x:c r="E763" t="n">
        <x:v>46163</x:v>
      </x:c>
      <x:c r="F763" t="n">
        <x:v>746</x:v>
      </x:c>
      <x:c r="G763" t="str">
        <x:v>11765b91c1b15658faf4ef7256427ad9f89f85dca2a031329dcca913a2c79703</x:v>
      </x:c>
      <x:c r="H763" t="str">
        <x:v>neu</x:v>
      </x:c>
      <x:c r="I763" t="str">
        <x:v>ok</x:v>
      </x:c>
      <x:c r="J763"/>
      <x:c r="K763" t="n">
        <x:v>45908</x:v>
      </x:c>
      <x:c r="L763" t="n">
        <x:v>45908</x:v>
      </x:c>
      <x:c r="M763" t="str">
        <x:v>Gebucht</x:v>
      </x:c>
      <x:c r="N763" t="str">
        <x:v>ISSUER</x:v>
      </x:c>
      <x:c r="O763" t="str">
        <x:v>NADINE.SEELMANN/HOLLE</x:v>
      </x:c>
      <x:c r="P763" t="str">
        <x:v>VISA Debitkartenumsatz vom 06.09.2025</x:v>
      </x:c>
      <x:c r="Q763" t="str">
        <x:v>Ausgang</x:v>
      </x:c>
      <x:c r="R763" t="str">
        <x:v>DE96120300009005290904</x:v>
      </x:c>
      <x:c r="S763" t="n">
        <x:v>-3.6</x:v>
      </x:c>
      <x:c r="T763" t="str">
        <x:v>"</x:v>
      </x:c>
      <x:c r="U763" t="str">
        <x:v>"</x:v>
      </x:c>
      <x:c r="V763" t="str">
        <x:v>485249493723631</x:v>
      </x:c>
    </x:row>
    <x:row r="764">
      <x:c r="A764" t="str">
        <x:v>RAW-IMP-20260516-FULLDRAFT-000747</x:v>
      </x:c>
      <x:c r="B764" t="str">
        <x:v>IMP-20260516-FULLDRAFT</x:v>
      </x:c>
      <x:c r="C764" t="str">
        <x:v>KTO001</x:v>
      </x:c>
      <x:c r="D764" t="str">
        <x:v>16-05-2026_Umsatzliste_Girokonto_DE98120300001061711675.csv</x:v>
      </x:c>
      <x:c r="E764" t="n">
        <x:v>46163</x:v>
      </x:c>
      <x:c r="F764" t="n">
        <x:v>747</x:v>
      </x:c>
      <x:c r="G764" t="str">
        <x:v>1b29b44207dad68b3fdb56643f26b27bcff3ca364f60f10aa45ab2eabd749a36</x:v>
      </x:c>
      <x:c r="H764" t="str">
        <x:v>neu</x:v>
      </x:c>
      <x:c r="I764" t="str">
        <x:v>ok</x:v>
      </x:c>
      <x:c r="J764"/>
      <x:c r="K764" t="n">
        <x:v>45908</x:v>
      </x:c>
      <x:c r="L764" t="n">
        <x:v>45908</x:v>
      </x:c>
      <x:c r="M764" t="str">
        <x:v>Gebucht</x:v>
      </x:c>
      <x:c r="N764" t="str">
        <x:v>ISSUER</x:v>
      </x:c>
      <x:c r="O764" t="str">
        <x:v>REWE.Salzgitter.Ge/Salzgitter</x:v>
      </x:c>
      <x:c r="P764" t="str">
        <x:v>VISA Debitkartenumsatz vom 06.09.2025</x:v>
      </x:c>
      <x:c r="Q764" t="str">
        <x:v>Ausgang</x:v>
      </x:c>
      <x:c r="R764" t="str">
        <x:v>DE96120300009005290904</x:v>
      </x:c>
      <x:c r="S764" t="n">
        <x:v>-114.75</x:v>
      </x:c>
      <x:c r="T764" t="str">
        <x:v>"</x:v>
      </x:c>
      <x:c r="U764" t="str">
        <x:v>"</x:v>
      </x:c>
      <x:c r="V764" t="str">
        <x:v>485249590357323</x:v>
      </x:c>
    </x:row>
    <x:row r="765">
      <x:c r="A765" t="str">
        <x:v>RAW-IMP-20260516-FULLDRAFT-000748</x:v>
      </x:c>
      <x:c r="B765" t="str">
        <x:v>IMP-20260516-FULLDRAFT</x:v>
      </x:c>
      <x:c r="C765" t="str">
        <x:v>KTO001</x:v>
      </x:c>
      <x:c r="D765" t="str">
        <x:v>16-05-2026_Umsatzliste_Girokonto_DE98120300001061711675.csv</x:v>
      </x:c>
      <x:c r="E765" t="n">
        <x:v>46163</x:v>
      </x:c>
      <x:c r="F765" t="n">
        <x:v>748</x:v>
      </x:c>
      <x:c r="G765" t="str">
        <x:v>60a03f5d72db2b94b22a29881f9f19218df388159daaece4b0e50d5a28d8705c</x:v>
      </x:c>
      <x:c r="H765" t="str">
        <x:v>neu</x:v>
      </x:c>
      <x:c r="I765" t="str">
        <x:v>ok</x:v>
      </x:c>
      <x:c r="J765"/>
      <x:c r="K765" t="n">
        <x:v>45908</x:v>
      </x:c>
      <x:c r="L765" t="n">
        <x:v>45908</x:v>
      </x:c>
      <x:c r="M765" t="str">
        <x:v>Gebucht</x:v>
      </x:c>
      <x:c r="N765" t="str">
        <x:v>ISSUER</x:v>
      </x:c>
      <x:c r="O765" t="str">
        <x:v>REWE.Salzgitter.Ge/Salzgitter</x:v>
      </x:c>
      <x:c r="P765" t="str">
        <x:v>VISA Debitkartenumsatz vom 06.09.2025</x:v>
      </x:c>
      <x:c r="Q765" t="str">
        <x:v>Ausgang</x:v>
      </x:c>
      <x:c r="R765" t="str">
        <x:v>DE96120300009005290904</x:v>
      </x:c>
      <x:c r="S765" t="n">
        <x:v>-1.49</x:v>
      </x:c>
      <x:c r="T765" t="str">
        <x:v>"</x:v>
      </x:c>
      <x:c r="U765" t="str">
        <x:v>"</x:v>
      </x:c>
      <x:c r="V765" t="str">
        <x:v>485249607572680</x:v>
      </x:c>
    </x:row>
    <x:row r="766">
      <x:c r="A766" t="str">
        <x:v>RAW-IMP-20260516-FULLDRAFT-000749</x:v>
      </x:c>
      <x:c r="B766" t="str">
        <x:v>IMP-20260516-FULLDRAFT</x:v>
      </x:c>
      <x:c r="C766" t="str">
        <x:v>KTO001</x:v>
      </x:c>
      <x:c r="D766" t="str">
        <x:v>16-05-2026_Umsatzliste_Girokonto_DE98120300001061711675.csv</x:v>
      </x:c>
      <x:c r="E766" t="n">
        <x:v>46163</x:v>
      </x:c>
      <x:c r="F766" t="n">
        <x:v>749</x:v>
      </x:c>
      <x:c r="G766" t="str">
        <x:v>4a823df2de830987be106baf84d63fefe59a9b92130fd27ebfdcc8d6437af3b5</x:v>
      </x:c>
      <x:c r="H766" t="str">
        <x:v>neu</x:v>
      </x:c>
      <x:c r="I766" t="str">
        <x:v>ok</x:v>
      </x:c>
      <x:c r="J766"/>
      <x:c r="K766" t="n">
        <x:v>45908</x:v>
      </x:c>
      <x:c r="L766" t="n">
        <x:v>45908</x:v>
      </x:c>
      <x:c r="M766" t="str">
        <x:v>Gebucht</x:v>
      </x:c>
      <x:c r="N766" t="str">
        <x:v>Lars Kohlenberg</x:v>
      </x:c>
      <x:c r="O766" t="str">
        <x:v>Iman Firat</x:v>
      </x:c>
      <x:c r="P766" t="str">
        <x:v>2230 Lea Kohlenberg</x:v>
      </x:c>
      <x:c r="Q766" t="str">
        <x:v>Ausgang</x:v>
      </x:c>
      <x:c r="R766" t="str">
        <x:v>DE67269910662694298000</x:v>
      </x:c>
      <x:c r="S766" t="n">
        <x:v>-49.9</x:v>
      </x:c>
      <x:c r="T766" t="str">
        <x:v>"</x:v>
      </x:c>
      <x:c r="U766" t="str">
        <x:v>"</x:v>
      </x:c>
      <x:c r="V766" t="str">
        <x:v>"</x:v>
      </x:c>
    </x:row>
    <x:row r="767">
      <x:c r="A767" t="str">
        <x:v>RAW-IMP-20260516-FULLDRAFT-000750</x:v>
      </x:c>
      <x:c r="B767" t="str">
        <x:v>IMP-20260516-FULLDRAFT</x:v>
      </x:c>
      <x:c r="C767" t="str">
        <x:v>KTO001</x:v>
      </x:c>
      <x:c r="D767" t="str">
        <x:v>16-05-2026_Umsatzliste_Girokonto_DE98120300001061711675.csv</x:v>
      </x:c>
      <x:c r="E767" t="n">
        <x:v>46163</x:v>
      </x:c>
      <x:c r="F767" t="n">
        <x:v>750</x:v>
      </x:c>
      <x:c r="G767" t="str">
        <x:v>8b27a8bbe09abc2a1d3f977541f0fb5f9600dd74d804e3292d76e6d8fecfed3a</x:v>
      </x:c>
      <x:c r="H767" t="str">
        <x:v>neu</x:v>
      </x:c>
      <x:c r="I767" t="str">
        <x:v>ok</x:v>
      </x:c>
      <x:c r="J767"/>
      <x:c r="K767" t="n">
        <x:v>45904</x:v>
      </x:c>
      <x:c r="L767" t="n">
        <x:v>45904</x:v>
      </x:c>
      <x:c r="M767" t="str">
        <x:v>Gebucht</x:v>
      </x:c>
      <x:c r="N767" t="str">
        <x:v>ISSUER</x:v>
      </x:c>
      <x:c r="O767" t="str">
        <x:v>Amazon.de.RK4CY8W34/AMAZON.DE</x:v>
      </x:c>
      <x:c r="P767" t="str">
        <x:v>VISA Debitkartenumsatz vom 03.09.2025</x:v>
      </x:c>
      <x:c r="Q767" t="str">
        <x:v>Ausgang</x:v>
      </x:c>
      <x:c r="R767" t="str">
        <x:v>DE96120300009005290904</x:v>
      </x:c>
      <x:c r="S767" t="n">
        <x:v>-10.99</x:v>
      </x:c>
      <x:c r="T767" t="str">
        <x:v>"</x:v>
      </x:c>
      <x:c r="U767" t="str">
        <x:v>"</x:v>
      </x:c>
      <x:c r="V767" t="str">
        <x:v>485246172389448</x:v>
      </x:c>
    </x:row>
    <x:row r="768">
      <x:c r="A768" t="str">
        <x:v>RAW-IMP-20260516-FULLDRAFT-000751</x:v>
      </x:c>
      <x:c r="B768" t="str">
        <x:v>IMP-20260516-FULLDRAFT</x:v>
      </x:c>
      <x:c r="C768" t="str">
        <x:v>KTO001</x:v>
      </x:c>
      <x:c r="D768" t="str">
        <x:v>16-05-2026_Umsatzliste_Girokonto_DE98120300001061711675.csv</x:v>
      </x:c>
      <x:c r="E768" t="n">
        <x:v>46163</x:v>
      </x:c>
      <x:c r="F768" t="n">
        <x:v>751</x:v>
      </x:c>
      <x:c r="G768" t="str">
        <x:v>d84439f35c812f217d419e938ab068081106515b46ae326c983efe7db5c740d4</x:v>
      </x:c>
      <x:c r="H768" t="str">
        <x:v>neu</x:v>
      </x:c>
      <x:c r="I768" t="str">
        <x:v>ok</x:v>
      </x:c>
      <x:c r="J768"/>
      <x:c r="K768" t="n">
        <x:v>45904</x:v>
      </x:c>
      <x:c r="L768" t="n">
        <x:v>45904</x:v>
      </x:c>
      <x:c r="M768" t="str">
        <x:v>Gebucht</x:v>
      </x:c>
      <x:c r="N768" t="str">
        <x:v>Lars Kohlenberg                                                       Johannes-Wosnitza-Str. 8 38229 Salzgitter</x:v>
      </x:c>
      <x:c r="O768" t="str">
        <x:v>Telekom Deutschland GmbH</x:v>
      </x:c>
      <x:c r="P768" t="str">
        <x:v>Festnetz Vertragskonto 4763666565 RG 7843145738/26.08.2025</x:v>
      </x:c>
      <x:c r="Q768" t="str">
        <x:v>Ausgang</x:v>
      </x:c>
      <x:c r="R768" t="str">
        <x:v>DE07512108001095000911</x:v>
      </x:c>
      <x:c r="S768" t="n">
        <x:v>-61.93</x:v>
      </x:c>
      <x:c r="T768" t="str">
        <x:v>DE93ZZZ00000078611</x:v>
      </x:c>
      <x:c r="U768" t="str">
        <x:v>DE000201000200000000000000012966156</x:v>
      </x:c>
      <x:c r="V768" t="str">
        <x:v>Zahlbeleg 342620248530</x:v>
      </x:c>
    </x:row>
    <x:row r="769">
      <x:c r="A769" t="str">
        <x:v>RAW-IMP-20260516-FULLDRAFT-000752</x:v>
      </x:c>
      <x:c r="B769" t="str">
        <x:v>IMP-20260516-FULLDRAFT</x:v>
      </x:c>
      <x:c r="C769" t="str">
        <x:v>KTO001</x:v>
      </x:c>
      <x:c r="D769" t="str">
        <x:v>16-05-2026_Umsatzliste_Girokonto_DE98120300001061711675.csv</x:v>
      </x:c>
      <x:c r="E769" t="n">
        <x:v>46163</x:v>
      </x:c>
      <x:c r="F769" t="n">
        <x:v>752</x:v>
      </x:c>
      <x:c r="G769" t="str">
        <x:v>df8e49a7ea8a432d926a667afd6a7021492759a954720b53e556003150b9ce78</x:v>
      </x:c>
      <x:c r="H769" t="str">
        <x:v>neu</x:v>
      </x:c>
      <x:c r="I769" t="str">
        <x:v>ok</x:v>
      </x:c>
      <x:c r="J769"/>
      <x:c r="K769" t="n">
        <x:v>45903</x:v>
      </x:c>
      <x:c r="L769" t="n">
        <x:v>45903</x:v>
      </x:c>
      <x:c r="M769" t="str">
        <x:v>Gebucht</x:v>
      </x:c>
      <x:c r="N769" t="str">
        <x:v>WILLI KOHLENBERG</x:v>
      </x:c>
      <x:c r="O769" t="str">
        <x:v>LARS KOHLENBERG</x:v>
      </x:c>
      <x:c r="P769" t="str">
        <x:v>MIETE 2/3 HAUS</x:v>
      </x:c>
      <x:c r="Q769" t="str">
        <x:v>Eingang</x:v>
      </x:c>
      <x:c r="R769" t="str">
        <x:v>DE84270800600651520400</x:v>
      </x:c>
      <x:c r="S769" t="n">
        <x:v>750</x:v>
      </x:c>
      <x:c r="T769" t="str">
        <x:v>"</x:v>
      </x:c>
      <x:c r="U769" t="str">
        <x:v>"</x:v>
      </x:c>
      <x:c r="V769" t="str">
        <x:v>"</x:v>
      </x:c>
    </x:row>
    <x:row r="770">
      <x:c r="A770" t="str">
        <x:v>RAW-IMP-20260516-FULLDRAFT-000753</x:v>
      </x:c>
      <x:c r="B770" t="str">
        <x:v>IMP-20260516-FULLDRAFT</x:v>
      </x:c>
      <x:c r="C770" t="str">
        <x:v>KTO001</x:v>
      </x:c>
      <x:c r="D770" t="str">
        <x:v>16-05-2026_Umsatzliste_Girokonto_DE98120300001061711675.csv</x:v>
      </x:c>
      <x:c r="E770" t="n">
        <x:v>46163</x:v>
      </x:c>
      <x:c r="F770" t="n">
        <x:v>753</x:v>
      </x:c>
      <x:c r="G770" t="str">
        <x:v>fb9e51ec436ba8198f3a26a09a2fd9870b53f24065302080e3f86ae5a73e3acb</x:v>
      </x:c>
      <x:c r="H770" t="str">
        <x:v>neu</x:v>
      </x:c>
      <x:c r="I770" t="str">
        <x:v>ok</x:v>
      </x:c>
      <x:c r="J770"/>
      <x:c r="K770" t="n">
        <x:v>45903</x:v>
      </x:c>
      <x:c r="L770" t="n">
        <x:v>45903</x:v>
      </x:c>
      <x:c r="M770" t="str">
        <x:v>Gebucht</x:v>
      </x:c>
      <x:c r="N770" t="str">
        <x:v>ISSUER</x:v>
      </x:c>
      <x:c r="O770" t="str">
        <x:v>EDEKA.POTRATZ/HILDESHEIM</x:v>
      </x:c>
      <x:c r="P770" t="str">
        <x:v>VISA Debitkartenumsatz vom 02.09.2025</x:v>
      </x:c>
      <x:c r="Q770" t="str">
        <x:v>Ausgang</x:v>
      </x:c>
      <x:c r="R770" t="str">
        <x:v>DE96120300009005290904</x:v>
      </x:c>
      <x:c r="S770" t="n">
        <x:v>-4.38</x:v>
      </x:c>
      <x:c r="T770" t="str">
        <x:v>"</x:v>
      </x:c>
      <x:c r="U770" t="str">
        <x:v>"</x:v>
      </x:c>
      <x:c r="V770" t="str">
        <x:v>485245370237200</x:v>
      </x:c>
    </x:row>
    <x:row r="771">
      <x:c r="A771" t="str">
        <x:v>RAW-IMP-20260516-FULLDRAFT-000754</x:v>
      </x:c>
      <x:c r="B771" t="str">
        <x:v>IMP-20260516-FULLDRAFT</x:v>
      </x:c>
      <x:c r="C771" t="str">
        <x:v>KTO001</x:v>
      </x:c>
      <x:c r="D771" t="str">
        <x:v>16-05-2026_Umsatzliste_Girokonto_DE98120300001061711675.csv</x:v>
      </x:c>
      <x:c r="E771" t="n">
        <x:v>46163</x:v>
      </x:c>
      <x:c r="F771" t="n">
        <x:v>754</x:v>
      </x:c>
      <x:c r="G771" t="str">
        <x:v>6aa6372653b750f85ce0c19e988e3c343b12e813b4f04db6331f11aa819f3b86</x:v>
      </x:c>
      <x:c r="H771" t="str">
        <x:v>neu</x:v>
      </x:c>
      <x:c r="I771" t="str">
        <x:v>ok</x:v>
      </x:c>
      <x:c r="J771"/>
      <x:c r="K771" t="n">
        <x:v>45903</x:v>
      </x:c>
      <x:c r="L771" t="n">
        <x:v>45903</x:v>
      </x:c>
      <x:c r="M771" t="str">
        <x:v>Gebucht</x:v>
      </x:c>
      <x:c r="N771" t="str">
        <x:v>ISSUER</x:v>
      </x:c>
      <x:c r="O771" t="str">
        <x:v>REWE.Salzgitter.Ge/Salzgitter</x:v>
      </x:c>
      <x:c r="P771" t="str">
        <x:v>VISA Debitkartenumsatz vom 02.09.2025</x:v>
      </x:c>
      <x:c r="Q771" t="str">
        <x:v>Ausgang</x:v>
      </x:c>
      <x:c r="R771" t="str">
        <x:v>DE96120300009005290904</x:v>
      </x:c>
      <x:c r="S771" t="n">
        <x:v>-11.02</x:v>
      </x:c>
      <x:c r="T771" t="str">
        <x:v>"</x:v>
      </x:c>
      <x:c r="U771" t="str">
        <x:v>"</x:v>
      </x:c>
      <x:c r="V771" t="str">
        <x:v>485245645992969</x:v>
      </x:c>
    </x:row>
    <x:row r="772">
      <x:c r="A772" t="str">
        <x:v>RAW-IMP-20260516-FULLDRAFT-000755</x:v>
      </x:c>
      <x:c r="B772" t="str">
        <x:v>IMP-20260516-FULLDRAFT</x:v>
      </x:c>
      <x:c r="C772" t="str">
        <x:v>KTO001</x:v>
      </x:c>
      <x:c r="D772" t="str">
        <x:v>16-05-2026_Umsatzliste_Girokonto_DE98120300001061711675.csv</x:v>
      </x:c>
      <x:c r="E772" t="n">
        <x:v>46163</x:v>
      </x:c>
      <x:c r="F772" t="n">
        <x:v>755</x:v>
      </x:c>
      <x:c r="G772" t="str">
        <x:v>8207430c0d71de3ec0d8642370779bba2e034a9a263c9a1aede764025cdca164</x:v>
      </x:c>
      <x:c r="H772" t="str">
        <x:v>neu</x:v>
      </x:c>
      <x:c r="I772" t="str">
        <x:v>ok</x:v>
      </x:c>
      <x:c r="J772"/>
      <x:c r="K772" t="n">
        <x:v>45903</x:v>
      </x:c>
      <x:c r="L772" t="n">
        <x:v>45903</x:v>
      </x:c>
      <x:c r="M772" t="str">
        <x:v>Gebucht</x:v>
      </x:c>
      <x:c r="N772" t="str">
        <x:v>ISSUER</x:v>
      </x:c>
      <x:c r="O772" t="str">
        <x:v>KAUFLAND.SALZGITTER.CIT/SALZGITTER</x:v>
      </x:c>
      <x:c r="P772" t="str">
        <x:v>VISA Debitkartenumsatz vom 01.09.2025</x:v>
      </x:c>
      <x:c r="Q772" t="str">
        <x:v>Ausgang</x:v>
      </x:c>
      <x:c r="R772" t="str">
        <x:v>DE96120300009005290904</x:v>
      </x:c>
      <x:c r="S772" t="n">
        <x:v>-11.48</x:v>
      </x:c>
      <x:c r="T772" t="str">
        <x:v>"</x:v>
      </x:c>
      <x:c r="U772" t="str">
        <x:v>"</x:v>
      </x:c>
      <x:c r="V772" t="str">
        <x:v>485244601402736</x:v>
      </x:c>
    </x:row>
    <x:row r="773">
      <x:c r="A773" t="str">
        <x:v>RAW-IMP-20260516-FULLDRAFT-000756</x:v>
      </x:c>
      <x:c r="B773" t="str">
        <x:v>IMP-20260516-FULLDRAFT</x:v>
      </x:c>
      <x:c r="C773" t="str">
        <x:v>KTO001</x:v>
      </x:c>
      <x:c r="D773" t="str">
        <x:v>16-05-2026_Umsatzliste_Girokonto_DE98120300001061711675.csv</x:v>
      </x:c>
      <x:c r="E773" t="n">
        <x:v>46163</x:v>
      </x:c>
      <x:c r="F773" t="n">
        <x:v>756</x:v>
      </x:c>
      <x:c r="G773" t="str">
        <x:v>00a5deff883042e3019d6ae794837e00d59d28159af3222fb0431c24e1997626</x:v>
      </x:c>
      <x:c r="H773" t="str">
        <x:v>neu</x:v>
      </x:c>
      <x:c r="I773" t="str">
        <x:v>ok</x:v>
      </x:c>
      <x:c r="J773"/>
      <x:c r="K773" t="n">
        <x:v>45903</x:v>
      </x:c>
      <x:c r="L773" t="n">
        <x:v>45903</x:v>
      </x:c>
      <x:c r="M773" t="str">
        <x:v>Gebucht</x:v>
      </x:c>
      <x:c r="N773" t="str">
        <x:v>ISSUER</x:v>
      </x:c>
      <x:c r="O773" t="str">
        <x:v>Amazon.de.RK21U32Y4/AMAZON.DE</x:v>
      </x:c>
      <x:c r="P773" t="str">
        <x:v>VISA Debitkartenumsatz vom 02.09.2025</x:v>
      </x:c>
      <x:c r="Q773" t="str">
        <x:v>Ausgang</x:v>
      </x:c>
      <x:c r="R773" t="str">
        <x:v>DE96120300009005290904</x:v>
      </x:c>
      <x:c r="S773" t="n">
        <x:v>-14.95</x:v>
      </x:c>
      <x:c r="T773" t="str">
        <x:v>"</x:v>
      </x:c>
      <x:c r="U773" t="str">
        <x:v>"</x:v>
      </x:c>
      <x:c r="V773" t="str">
        <x:v>485244688366895</x:v>
      </x:c>
    </x:row>
    <x:row r="774">
      <x:c r="A774" t="str">
        <x:v>RAW-IMP-20260516-FULLDRAFT-000757</x:v>
      </x:c>
      <x:c r="B774" t="str">
        <x:v>IMP-20260516-FULLDRAFT</x:v>
      </x:c>
      <x:c r="C774" t="str">
        <x:v>KTO001</x:v>
      </x:c>
      <x:c r="D774" t="str">
        <x:v>16-05-2026_Umsatzliste_Girokonto_DE98120300001061711675.csv</x:v>
      </x:c>
      <x:c r="E774" t="n">
        <x:v>46163</x:v>
      </x:c>
      <x:c r="F774" t="n">
        <x:v>757</x:v>
      </x:c>
      <x:c r="G774" t="str">
        <x:v>6b6e2985b59bbfb4bff47ecb91f1ec51b1fa20d82ef4ee991ac568e977d5ea54</x:v>
      </x:c>
      <x:c r="H774" t="str">
        <x:v>neu</x:v>
      </x:c>
      <x:c r="I774" t="str">
        <x:v>ok</x:v>
      </x:c>
      <x:c r="J774"/>
      <x:c r="K774" t="n">
        <x:v>45903</x:v>
      </x:c>
      <x:c r="L774" t="n">
        <x:v>45903</x:v>
      </x:c>
      <x:c r="M774" t="str">
        <x:v>Gebucht</x:v>
      </x:c>
      <x:c r="N774" t="str">
        <x:v>Lars Kohlenberg                                                       Johannes-Wosnitza-Str. 38229 Salzgitter</x:v>
      </x:c>
      <x:c r="O774" t="str">
        <x:v>GMX by LOTTO24                                                        StraBenbahnring 11 20251 Hamburg</x:v>
      </x:c>
      <x:c r="P774" t="str">
        <x:v>GMX by LOTTO24 C98983063 - T624797879733</x:v>
      </x:c>
      <x:c r="Q774" t="str">
        <x:v>Ausgang</x:v>
      </x:c>
      <x:c r="R774" t="str">
        <x:v>DE52100190001000027873</x:v>
      </x:c>
      <x:c r="S774" t="n">
        <x:v>-18.14</x:v>
      </x:c>
      <x:c r="T774" t="str">
        <x:v>NL48ZZZ342764500000</x:v>
      </x:c>
      <x:c r="U774" t="str">
        <x:v>R372DKN5SSBXZP52</x:v>
      </x:c>
      <x:c r="V774" t="str">
        <x:v>LGTXQP27GPMDXLZ3</x:v>
      </x:c>
    </x:row>
    <x:row r="775">
      <x:c r="A775" t="str">
        <x:v>RAW-IMP-20260516-FULLDRAFT-000758</x:v>
      </x:c>
      <x:c r="B775" t="str">
        <x:v>IMP-20260516-FULLDRAFT</x:v>
      </x:c>
      <x:c r="C775" t="str">
        <x:v>KTO001</x:v>
      </x:c>
      <x:c r="D775" t="str">
        <x:v>16-05-2026_Umsatzliste_Girokonto_DE98120300001061711675.csv</x:v>
      </x:c>
      <x:c r="E775" t="n">
        <x:v>46163</x:v>
      </x:c>
      <x:c r="F775" t="n">
        <x:v>758</x:v>
      </x:c>
      <x:c r="G775" t="str">
        <x:v>273389b63305d25213ae7b711dc2ca957f4d8af93f07bfb0d85080fa997a5621</x:v>
      </x:c>
      <x:c r="H775" t="str">
        <x:v>neu</x:v>
      </x:c>
      <x:c r="I775" t="str">
        <x:v>ok</x:v>
      </x:c>
      <x:c r="J775"/>
      <x:c r="K775" t="n">
        <x:v>45902</x:v>
      </x:c>
      <x:c r="L775" t="n">
        <x:v>45902</x:v>
      </x:c>
      <x:c r="M775" t="str">
        <x:v>Gebucht</x:v>
      </x:c>
      <x:c r="N775" t="str">
        <x:v>Lars Kohlenberg</x:v>
      </x:c>
      <x:c r="O775" t="str">
        <x:v>Appelhagen Rechtsanwälte</x:v>
      </x:c>
      <x:c r="P775" t="str">
        <x:v>Re Nr 0008146/25 , 21054/24/Wg/ll</x:v>
      </x:c>
      <x:c r="Q775" t="str">
        <x:v>Ausgang</x:v>
      </x:c>
      <x:c r="R775" t="str">
        <x:v>DE58269910661515055000</x:v>
      </x:c>
      <x:c r="S775" t="n">
        <x:v>-1238.91</x:v>
      </x:c>
      <x:c r="T775" t="str">
        <x:v>"</x:v>
      </x:c>
      <x:c r="U775" t="str">
        <x:v>"</x:v>
      </x:c>
      <x:c r="V775" t="str">
        <x:v>"</x:v>
      </x:c>
    </x:row>
    <x:row r="776">
      <x:c r="A776" t="str">
        <x:v>RAW-IMP-20260516-FULLDRAFT-000759</x:v>
      </x:c>
      <x:c r="B776" t="str">
        <x:v>IMP-20260516-FULLDRAFT</x:v>
      </x:c>
      <x:c r="C776" t="str">
        <x:v>KTO001</x:v>
      </x:c>
      <x:c r="D776" t="str">
        <x:v>16-05-2026_Umsatzliste_Girokonto_DE98120300001061711675.csv</x:v>
      </x:c>
      <x:c r="E776" t="n">
        <x:v>46163</x:v>
      </x:c>
      <x:c r="F776" t="n">
        <x:v>759</x:v>
      </x:c>
      <x:c r="G776" t="str">
        <x:v>4ece93524e89f1b006e48e14affdd6cb9960807ef9950880b6313ef0ba714e90</x:v>
      </x:c>
      <x:c r="H776" t="str">
        <x:v>neu</x:v>
      </x:c>
      <x:c r="I776" t="str">
        <x:v>ok</x:v>
      </x:c>
      <x:c r="J776"/>
      <x:c r="K776" t="n">
        <x:v>45902</x:v>
      </x:c>
      <x:c r="L776" t="n">
        <x:v>45902</x:v>
      </x:c>
      <x:c r="M776" t="str">
        <x:v>Gebucht</x:v>
      </x:c>
      <x:c r="N776" t="str">
        <x:v>Lars Kohlenberg</x:v>
      </x:c>
      <x:c r="O776" t="str">
        <x:v>Rechtsanwalt Olaf Moschner</x:v>
      </x:c>
      <x:c r="P776" t="str">
        <x:v>AZ 1118/23 Dunst/Kohlenberg</x:v>
      </x:c>
      <x:c r="Q776" t="str">
        <x:v>Ausgang</x:v>
      </x:c>
      <x:c r="R776" t="str">
        <x:v>DE48269513110015222888</x:v>
      </x:c>
      <x:c r="S776" t="n">
        <x:v>-6821.46</x:v>
      </x:c>
      <x:c r="T776" t="str">
        <x:v>"</x:v>
      </x:c>
      <x:c r="U776" t="str">
        <x:v>"</x:v>
      </x:c>
      <x:c r="V776" t="str">
        <x:v>"</x:v>
      </x:c>
    </x:row>
    <x:row r="777">
      <x:c r="A777" t="str">
        <x:v>RAW-IMP-20260516-FULLDRAFT-000760</x:v>
      </x:c>
      <x:c r="B777" t="str">
        <x:v>IMP-20260516-FULLDRAFT</x:v>
      </x:c>
      <x:c r="C777" t="str">
        <x:v>KTO001</x:v>
      </x:c>
      <x:c r="D777" t="str">
        <x:v>16-05-2026_Umsatzliste_Girokonto_DE98120300001061711675.csv</x:v>
      </x:c>
      <x:c r="E777" t="n">
        <x:v>46163</x:v>
      </x:c>
      <x:c r="F777" t="n">
        <x:v>760</x:v>
      </x:c>
      <x:c r="G777" t="str">
        <x:v>c4f3e408fed139572c52748463c2780c9c28c6d60c0204a3f3d56e35140b13d3</x:v>
      </x:c>
      <x:c r="H777" t="str">
        <x:v>neu</x:v>
      </x:c>
      <x:c r="I777" t="str">
        <x:v>ok</x:v>
      </x:c>
      <x:c r="J777"/>
      <x:c r="K777" t="n">
        <x:v>45902</x:v>
      </x:c>
      <x:c r="L777" t="n">
        <x:v>45902</x:v>
      </x:c>
      <x:c r="M777" t="str">
        <x:v>Gebucht</x:v>
      </x:c>
      <x:c r="N777" t="str">
        <x:v>ISSUER</x:v>
      </x:c>
      <x:c r="O777" t="str">
        <x:v>REWE.Salzgitter.Ge/Salzgitter</x:v>
      </x:c>
      <x:c r="P777" t="str">
        <x:v>VISA Debitkartenumsatz vom 01.09.2025</x:v>
      </x:c>
      <x:c r="Q777" t="str">
        <x:v>Ausgang</x:v>
      </x:c>
      <x:c r="R777" t="str">
        <x:v>DE96120300009005290904</x:v>
      </x:c>
      <x:c r="S777" t="n">
        <x:v>-16.41</x:v>
      </x:c>
      <x:c r="T777" t="str">
        <x:v>"</x:v>
      </x:c>
      <x:c r="U777" t="str">
        <x:v>"</x:v>
      </x:c>
      <x:c r="V777" t="str">
        <x:v>485244579670017</x:v>
      </x:c>
    </x:row>
    <x:row r="778">
      <x:c r="A778" t="str">
        <x:v>RAW-IMP-20260516-FULLDRAFT-000761</x:v>
      </x:c>
      <x:c r="B778" t="str">
        <x:v>IMP-20260516-FULLDRAFT</x:v>
      </x:c>
      <x:c r="C778" t="str">
        <x:v>KTO001</x:v>
      </x:c>
      <x:c r="D778" t="str">
        <x:v>16-05-2026_Umsatzliste_Girokonto_DE98120300001061711675.csv</x:v>
      </x:c>
      <x:c r="E778" t="n">
        <x:v>46163</x:v>
      </x:c>
      <x:c r="F778" t="n">
        <x:v>761</x:v>
      </x:c>
      <x:c r="G778" t="str">
        <x:v>a487a5b373fb8bda76c86932e676453700d898aed4886de48ca3a8e5564f0022</x:v>
      </x:c>
      <x:c r="H778" t="str">
        <x:v>neu</x:v>
      </x:c>
      <x:c r="I778" t="str">
        <x:v>ok</x:v>
      </x:c>
      <x:c r="J778"/>
      <x:c r="K778" t="n">
        <x:v>45902</x:v>
      </x:c>
      <x:c r="L778" t="n">
        <x:v>45902</x:v>
      </x:c>
      <x:c r="M778" t="str">
        <x:v>Gebucht</x:v>
      </x:c>
      <x:c r="N778" t="str">
        <x:v>ISSUER</x:v>
      </x:c>
      <x:c r="O778" t="str">
        <x:v>Amazon.de.RK6PQ1MS4/AMAZON.DE</x:v>
      </x:c>
      <x:c r="P778" t="str">
        <x:v>VISA Debitkartenumsatz vom 01.09.2025</x:v>
      </x:c>
      <x:c r="Q778" t="str">
        <x:v>Ausgang</x:v>
      </x:c>
      <x:c r="R778" t="str">
        <x:v>DE96120300009005290904</x:v>
      </x:c>
      <x:c r="S778" t="n">
        <x:v>-181.98</x:v>
      </x:c>
      <x:c r="T778" t="str">
        <x:v>"</x:v>
      </x:c>
      <x:c r="U778" t="str">
        <x:v>"</x:v>
      </x:c>
      <x:c r="V778" t="str">
        <x:v>485243429332782</x:v>
      </x:c>
    </x:row>
    <x:row r="779">
      <x:c r="A779" t="str">
        <x:v>RAW-IMP-20260516-FULLDRAFT-000762</x:v>
      </x:c>
      <x:c r="B779" t="str">
        <x:v>IMP-20260516-FULLDRAFT</x:v>
      </x:c>
      <x:c r="C779" t="str">
        <x:v>KTO001</x:v>
      </x:c>
      <x:c r="D779" t="str">
        <x:v>16-05-2026_Umsatzliste_Girokonto_DE98120300001061711675.csv</x:v>
      </x:c>
      <x:c r="E779" t="n">
        <x:v>46163</x:v>
      </x:c>
      <x:c r="F779" t="n">
        <x:v>762</x:v>
      </x:c>
      <x:c r="G779" t="str">
        <x:v>3f9ec79a51de05274cdd604e18e400d62b8397a8c28e43dd2e37e2d0aba2dfed</x:v>
      </x:c>
      <x:c r="H779" t="str">
        <x:v>neu</x:v>
      </x:c>
      <x:c r="I779" t="str">
        <x:v>ok</x:v>
      </x:c>
      <x:c r="J779"/>
      <x:c r="K779" t="n">
        <x:v>45902</x:v>
      </x:c>
      <x:c r="L779" t="n">
        <x:v>45902</x:v>
      </x:c>
      <x:c r="M779" t="str">
        <x:v>Gebucht</x:v>
      </x:c>
      <x:c r="N779" t="str">
        <x:v>Lars Kohlenberg</x:v>
      </x:c>
      <x:c r="O779" t="str">
        <x:v>Lars Kohlenberg</x:v>
      </x:c>
      <x:c r="P779" t="str">
        <x:v>Dunst und RA</x:v>
      </x:c>
      <x:c r="Q779" t="str">
        <x:v>Eingang</x:v>
      </x:c>
      <x:c r="R779" t="str">
        <x:v>DE91270200001510365800</x:v>
      </x:c>
      <x:c r="S779" t="n">
        <x:v>9000</x:v>
      </x:c>
      <x:c r="T779" t="str">
        <x:v>"</x:v>
      </x:c>
      <x:c r="U779" t="str">
        <x:v>"</x:v>
      </x:c>
      <x:c r="V779" t="str">
        <x:v>"</x:v>
      </x:c>
    </x:row>
    <x:row r="780">
      <x:c r="A780" t="str">
        <x:v>RAW-IMP-20260516-FULLDRAFT-000763</x:v>
      </x:c>
      <x:c r="B780" t="str">
        <x:v>IMP-20260516-FULLDRAFT</x:v>
      </x:c>
      <x:c r="C780" t="str">
        <x:v>KTO001</x:v>
      </x:c>
      <x:c r="D780" t="str">
        <x:v>16-05-2026_Umsatzliste_Girokonto_DE98120300001061711675.csv</x:v>
      </x:c>
      <x:c r="E780" t="n">
        <x:v>46163</x:v>
      </x:c>
      <x:c r="F780" t="n">
        <x:v>763</x:v>
      </x:c>
      <x:c r="G780" t="str">
        <x:v>18cdb77bc6c30390fa7c23911319489c1da07d192c6f998ff782bf0e4835e46f</x:v>
      </x:c>
      <x:c r="H780" t="str">
        <x:v>neu</x:v>
      </x:c>
      <x:c r="I780" t="str">
        <x:v>ok</x:v>
      </x:c>
      <x:c r="J780"/>
      <x:c r="K780" t="n">
        <x:v>45902</x:v>
      </x:c>
      <x:c r="L780" t="n">
        <x:v>45902</x:v>
      </x:c>
      <x:c r="M780" t="str">
        <x:v>Gebucht</x:v>
      </x:c>
      <x:c r="N780" t="str">
        <x:v>KOHLENBERG, LARS</x:v>
      </x:c>
      <x:c r="O780" t="str">
        <x:v>VPV-LEBENSVERSICHERUNGS-AG</x:v>
      </x:c>
      <x:c r="P780" t="str">
        <x:v>VNR 301667726</x:v>
      </x:c>
      <x:c r="Q780" t="str">
        <x:v>Ausgang</x:v>
      </x:c>
      <x:c r="R780" t="str">
        <x:v>DE78600501010001166338</x:v>
      </x:c>
      <x:c r="S780" t="n">
        <x:v>-56.83</x:v>
      </x:c>
      <x:c r="T780" t="str">
        <x:v>DE96LAG00000064686</x:v>
      </x:c>
      <x:c r="U780" t="str">
        <x:v>ML700120510</x:v>
      </x:c>
      <x:c r="V780" t="str">
        <x:v>250901 463378310 ML700120510</x:v>
      </x:c>
    </x:row>
    <x:row r="781">
      <x:c r="A781" t="str">
        <x:v>RAW-IMP-20260516-FULLDRAFT-000764</x:v>
      </x:c>
      <x:c r="B781" t="str">
        <x:v>IMP-20260516-FULLDRAFT</x:v>
      </x:c>
      <x:c r="C781" t="str">
        <x:v>KTO001</x:v>
      </x:c>
      <x:c r="D781" t="str">
        <x:v>16-05-2026_Umsatzliste_Girokonto_DE98120300001061711675.csv</x:v>
      </x:c>
      <x:c r="E781" t="n">
        <x:v>46163</x:v>
      </x:c>
      <x:c r="F781" t="n">
        <x:v>764</x:v>
      </x:c>
      <x:c r="G781" t="str">
        <x:v>19b178139a8c2908d75fe54a53bd56b6640c7948df821c5e5f4eaef8d6eabeae</x:v>
      </x:c>
      <x:c r="H781" t="str">
        <x:v>neu</x:v>
      </x:c>
      <x:c r="I781" t="str">
        <x:v>ok</x:v>
      </x:c>
      <x:c r="J781"/>
      <x:c r="K781" t="n">
        <x:v>45902</x:v>
      </x:c>
      <x:c r="L781" t="n">
        <x:v>45902</x:v>
      </x:c>
      <x:c r="M781" t="str">
        <x:v>Gebucht</x:v>
      </x:c>
      <x:c r="N781" t="str">
        <x:v>Lars Kohlenberg</x:v>
      </x:c>
      <x:c r="O781" t="str">
        <x:v>VHV Allg. Versicherung AG</x:v>
      </x:c>
      <x:c r="P781" t="str">
        <x:v>VHV Versicherung UNFALLVERSICHERUNG U 013-072445/0000 Abrechnung: 01.09.25 - 01.10.25</x:v>
      </x:c>
      <x:c r="Q781" t="str">
        <x:v>Ausgang</x:v>
      </x:c>
      <x:c r="R781" t="str">
        <x:v>DE65250500000101411551</x:v>
      </x:c>
      <x:c r="S781" t="n">
        <x:v>-11.96</x:v>
      </x:c>
      <x:c r="T781" t="str">
        <x:v>DE32VHV00000150810</x:v>
      </x:c>
      <x:c r="U781" t="str">
        <x:v>0015012300010039</x:v>
      </x:c>
      <x:c r="V781" t="str">
        <x:v>31293347291</x:v>
      </x:c>
    </x:row>
    <x:row r="782">
      <x:c r="A782" t="str">
        <x:v>RAW-IMP-20260516-FULLDRAFT-000765</x:v>
      </x:c>
      <x:c r="B782" t="str">
        <x:v>IMP-20260516-FULLDRAFT</x:v>
      </x:c>
      <x:c r="C782" t="str">
        <x:v>KTO001</x:v>
      </x:c>
      <x:c r="D782" t="str">
        <x:v>16-05-2026_Umsatzliste_Girokonto_DE98120300001061711675.csv</x:v>
      </x:c>
      <x:c r="E782" t="n">
        <x:v>46163</x:v>
      </x:c>
      <x:c r="F782" t="n">
        <x:v>765</x:v>
      </x:c>
      <x:c r="G782" t="str">
        <x:v>3f44021cf7281d57723c475e208033ca500c39166c2edb86923f65b88b0f870f</x:v>
      </x:c>
      <x:c r="H782" t="str">
        <x:v>neu</x:v>
      </x:c>
      <x:c r="I782" t="str">
        <x:v>ok</x:v>
      </x:c>
      <x:c r="J782"/>
      <x:c r="K782" t="n">
        <x:v>45902</x:v>
      </x:c>
      <x:c r="L782" t="n">
        <x:v>45902</x:v>
      </x:c>
      <x:c r="M782" t="str">
        <x:v>Gebucht</x:v>
      </x:c>
      <x:c r="N782" t="str">
        <x:v>Lars Kohlenberg                                                       Johannes-Wosnitza-Str. 8</x:v>
      </x:c>
      <x:c r="O782" t="str">
        <x:v>FUNKE Medien Nieders.GmbH</x:v>
      </x:c>
      <x:c r="P782" t="str">
        <x:v>SZ/00001050/VA/01.09.25-30.09.25/Rg-Nr.:6316600683/Kd-Nr:0053112791</x:v>
      </x:c>
      <x:c r="Q782" t="str">
        <x:v>Ausgang</x:v>
      </x:c>
      <x:c r="R782" t="str">
        <x:v>DE67250500000000146910</x:v>
      </x:c>
      <x:c r="S782" t="n">
        <x:v>-60.5</x:v>
      </x:c>
      <x:c r="T782" t="str">
        <x:v>DE8850000000483288</x:v>
      </x:c>
      <x:c r="U782" t="str">
        <x:v>0053112791-0500-01300001</x:v>
      </x:c>
      <x:c r="V782" t="str">
        <x:v>035007655550</x:v>
      </x:c>
    </x:row>
    <x:row r="783">
      <x:c r="A783" t="str">
        <x:v>RAW-IMP-20260516-FULLDRAFT-000766</x:v>
      </x:c>
      <x:c r="B783" t="str">
        <x:v>IMP-20260516-FULLDRAFT</x:v>
      </x:c>
      <x:c r="C783" t="str">
        <x:v>KTO001</x:v>
      </x:c>
      <x:c r="D783" t="str">
        <x:v>16-05-2026_Umsatzliste_Girokonto_DE98120300001061711675.csv</x:v>
      </x:c>
      <x:c r="E783" t="n">
        <x:v>46163</x:v>
      </x:c>
      <x:c r="F783" t="n">
        <x:v>766</x:v>
      </x:c>
      <x:c r="G783" t="str">
        <x:v>489bcfd2619e9fee80c5a4c294ddd1159d129ccc474a3c0fc21eba9a5afac050</x:v>
      </x:c>
      <x:c r="H783" t="str">
        <x:v>neu</x:v>
      </x:c>
      <x:c r="I783" t="str">
        <x:v>ok</x:v>
      </x:c>
      <x:c r="J783"/>
      <x:c r="K783" t="n">
        <x:v>45901</x:v>
      </x:c>
      <x:c r="L783" t="n">
        <x:v>45901</x:v>
      </x:c>
      <x:c r="M783" t="str">
        <x:v>Gebucht</x:v>
      </x:c>
      <x:c r="N783" t="str">
        <x:v>ISSUER</x:v>
      </x:c>
      <x:c r="O783" t="str">
        <x:v>EDEKA.POTRATZ/HILDESHEIM</x:v>
      </x:c>
      <x:c r="P783" t="str">
        <x:v>VISA Debitkartenumsatz vom 29.08.2025</x:v>
      </x:c>
      <x:c r="Q783" t="str">
        <x:v>Ausgang</x:v>
      </x:c>
      <x:c r="R783" t="str">
        <x:v>DE96120300009005290904</x:v>
      </x:c>
      <x:c r="S783" t="n">
        <x:v>-7.1</x:v>
      </x:c>
      <x:c r="T783" t="str">
        <x:v>"</x:v>
      </x:c>
      <x:c r="U783" t="str">
        <x:v>"</x:v>
      </x:c>
      <x:c r="V783" t="str">
        <x:v>485241350165357</x:v>
      </x:c>
    </x:row>
    <x:row r="784">
      <x:c r="A784" t="str">
        <x:v>RAW-IMP-20260516-FULLDRAFT-000767</x:v>
      </x:c>
      <x:c r="B784" t="str">
        <x:v>IMP-20260516-FULLDRAFT</x:v>
      </x:c>
      <x:c r="C784" t="str">
        <x:v>KTO001</x:v>
      </x:c>
      <x:c r="D784" t="str">
        <x:v>16-05-2026_Umsatzliste_Girokonto_DE98120300001061711675.csv</x:v>
      </x:c>
      <x:c r="E784" t="n">
        <x:v>46163</x:v>
      </x:c>
      <x:c r="F784" t="n">
        <x:v>767</x:v>
      </x:c>
      <x:c r="G784" t="str">
        <x:v>67f201b1d3e9fa08292d8cfac022e86112243b18d2e96dc17623d7046b3f705c</x:v>
      </x:c>
      <x:c r="H784" t="str">
        <x:v>neu</x:v>
      </x:c>
      <x:c r="I784" t="str">
        <x:v>ok</x:v>
      </x:c>
      <x:c r="J784"/>
      <x:c r="K784" t="n">
        <x:v>45901</x:v>
      </x:c>
      <x:c r="L784" t="n">
        <x:v>45901</x:v>
      </x:c>
      <x:c r="M784" t="str">
        <x:v>Gebucht</x:v>
      </x:c>
      <x:c r="N784" t="str">
        <x:v>ISSUER</x:v>
      </x:c>
      <x:c r="O784" t="str">
        <x:v>REWE.Salzgitter.Ge/Salzgitter</x:v>
      </x:c>
      <x:c r="P784" t="str">
        <x:v>VISA Debitkartenumsatz vom 29.08.2025</x:v>
      </x:c>
      <x:c r="Q784" t="str">
        <x:v>Ausgang</x:v>
      </x:c>
      <x:c r="R784" t="str">
        <x:v>DE96120300009005290904</x:v>
      </x:c>
      <x:c r="S784" t="n">
        <x:v>-5.16</x:v>
      </x:c>
      <x:c r="T784" t="str">
        <x:v>"</x:v>
      </x:c>
      <x:c r="U784" t="str">
        <x:v>"</x:v>
      </x:c>
      <x:c r="V784" t="str">
        <x:v>485241651626294</x:v>
      </x:c>
    </x:row>
    <x:row r="785">
      <x:c r="A785" t="str">
        <x:v>RAW-IMP-20260516-FULLDRAFT-000768</x:v>
      </x:c>
      <x:c r="B785" t="str">
        <x:v>IMP-20260516-FULLDRAFT</x:v>
      </x:c>
      <x:c r="C785" t="str">
        <x:v>KTO001</x:v>
      </x:c>
      <x:c r="D785" t="str">
        <x:v>16-05-2026_Umsatzliste_Girokonto_DE98120300001061711675.csv</x:v>
      </x:c>
      <x:c r="E785" t="n">
        <x:v>46163</x:v>
      </x:c>
      <x:c r="F785" t="n">
        <x:v>768</x:v>
      </x:c>
      <x:c r="G785" t="str">
        <x:v>8064c80ba3900497948dd8ee322e1f914311b8dccf341810263b9afd5d9309fa</x:v>
      </x:c>
      <x:c r="H785" t="str">
        <x:v>neu</x:v>
      </x:c>
      <x:c r="I785" t="str">
        <x:v>ok</x:v>
      </x:c>
      <x:c r="J785"/>
      <x:c r="K785" t="n">
        <x:v>45901</x:v>
      </x:c>
      <x:c r="L785" t="n">
        <x:v>45901</x:v>
      </x:c>
      <x:c r="M785" t="str">
        <x:v>Gebucht</x:v>
      </x:c>
      <x:c r="N785" t="str">
        <x:v>ISSUER</x:v>
      </x:c>
      <x:c r="O785" t="str">
        <x:v>REWE.Acar.oHG/Salzgitter</x:v>
      </x:c>
      <x:c r="P785" t="str">
        <x:v>VISA Debitkartenumsatz vom 30.08.2025</x:v>
      </x:c>
      <x:c r="Q785" t="str">
        <x:v>Ausgang</x:v>
      </x:c>
      <x:c r="R785" t="str">
        <x:v>DE96120300009005290904</x:v>
      </x:c>
      <x:c r="S785" t="n">
        <x:v>-76.01</x:v>
      </x:c>
      <x:c r="T785" t="str">
        <x:v>"</x:v>
      </x:c>
      <x:c r="U785" t="str">
        <x:v>"</x:v>
      </x:c>
      <x:c r="V785" t="str">
        <x:v>485242434517712</x:v>
      </x:c>
    </x:row>
    <x:row r="786">
      <x:c r="A786" t="str">
        <x:v>RAW-IMP-20260516-FULLDRAFT-000769</x:v>
      </x:c>
      <x:c r="B786" t="str">
        <x:v>IMP-20260516-FULLDRAFT</x:v>
      </x:c>
      <x:c r="C786" t="str">
        <x:v>KTO001</x:v>
      </x:c>
      <x:c r="D786" t="str">
        <x:v>16-05-2026_Umsatzliste_Girokonto_DE98120300001061711675.csv</x:v>
      </x:c>
      <x:c r="E786" t="n">
        <x:v>46163</x:v>
      </x:c>
      <x:c r="F786" t="n">
        <x:v>769</x:v>
      </x:c>
      <x:c r="G786" t="str">
        <x:v>64625cb59d3f64afde8d40d119ff0548711756a2239585a0d4d73f16f0e7de9c</x:v>
      </x:c>
      <x:c r="H786" t="str">
        <x:v>neu</x:v>
      </x:c>
      <x:c r="I786" t="str">
        <x:v>ok</x:v>
      </x:c>
      <x:c r="J786"/>
      <x:c r="K786" t="n">
        <x:v>45901</x:v>
      </x:c>
      <x:c r="L786" t="n">
        <x:v>45901</x:v>
      </x:c>
      <x:c r="M786" t="str">
        <x:v>Gebucht</x:v>
      </x:c>
      <x:c r="N786" t="str">
        <x:v>ISSUER</x:v>
      </x:c>
      <x:c r="O786" t="str">
        <x:v>Lidl.sagt.Danke/Salzgitter</x:v>
      </x:c>
      <x:c r="P786" t="str">
        <x:v>VISA Debitkartenumsatz vom 30.08.2025</x:v>
      </x:c>
      <x:c r="Q786" t="str">
        <x:v>Ausgang</x:v>
      </x:c>
      <x:c r="R786" t="str">
        <x:v>DE96120300009005290904</x:v>
      </x:c>
      <x:c r="S786" t="n">
        <x:v>-23.68</x:v>
      </x:c>
      <x:c r="T786" t="str">
        <x:v>"</x:v>
      </x:c>
      <x:c r="U786" t="str">
        <x:v>"</x:v>
      </x:c>
      <x:c r="V786" t="str">
        <x:v>485242403021700</x:v>
      </x:c>
    </x:row>
    <x:row r="787">
      <x:c r="A787" t="str">
        <x:v>RAW-IMP-20260516-FULLDRAFT-000770</x:v>
      </x:c>
      <x:c r="B787" t="str">
        <x:v>IMP-20260516-FULLDRAFT</x:v>
      </x:c>
      <x:c r="C787" t="str">
        <x:v>KTO001</x:v>
      </x:c>
      <x:c r="D787" t="str">
        <x:v>16-05-2026_Umsatzliste_Girokonto_DE98120300001061711675.csv</x:v>
      </x:c>
      <x:c r="E787" t="n">
        <x:v>46163</x:v>
      </x:c>
      <x:c r="F787" t="n">
        <x:v>770</x:v>
      </x:c>
      <x:c r="G787" t="str">
        <x:v>094d43e42467c416e3136d95bdbb7bef5ed8465596c7a5282390ce335d4d5633</x:v>
      </x:c>
      <x:c r="H787" t="str">
        <x:v>neu</x:v>
      </x:c>
      <x:c r="I787" t="str">
        <x:v>ok</x:v>
      </x:c>
      <x:c r="J787"/>
      <x:c r="K787" t="n">
        <x:v>45901</x:v>
      </x:c>
      <x:c r="L787" t="n">
        <x:v>45901</x:v>
      </x:c>
      <x:c r="M787" t="str">
        <x:v>Gebucht</x:v>
      </x:c>
      <x:c r="N787" t="str">
        <x:v>Lars Kohlenberg</x:v>
      </x:c>
      <x:c r="O787" t="str">
        <x:v>LARS KOHLENBERG</x:v>
      </x:c>
      <x:c r="P787" t="str">
        <x:v>Sparrate 650,- + 750 EUR Mieteinnahmen</x:v>
      </x:c>
      <x:c r="Q787" t="str">
        <x:v>Ausgang</x:v>
      </x:c>
      <x:c r="R787" t="str">
        <x:v>DE91270200001510365800</x:v>
      </x:c>
      <x:c r="S787" t="n">
        <x:v>-1400</x:v>
      </x:c>
      <x:c r="T787" t="str">
        <x:v>"</x:v>
      </x:c>
      <x:c r="U787" t="str">
        <x:v>"</x:v>
      </x:c>
      <x:c r="V787" t="str">
        <x:v>"</x:v>
      </x:c>
    </x:row>
    <x:row r="788">
      <x:c r="A788" t="str">
        <x:v>RAW-IMP-20260516-FULLDRAFT-000771</x:v>
      </x:c>
      <x:c r="B788" t="str">
        <x:v>IMP-20260516-FULLDRAFT</x:v>
      </x:c>
      <x:c r="C788" t="str">
        <x:v>KTO001</x:v>
      </x:c>
      <x:c r="D788" t="str">
        <x:v>16-05-2026_Umsatzliste_Girokonto_DE98120300001061711675.csv</x:v>
      </x:c>
      <x:c r="E788" t="n">
        <x:v>46163</x:v>
      </x:c>
      <x:c r="F788" t="n">
        <x:v>771</x:v>
      </x:c>
      <x:c r="G788" t="str">
        <x:v>cc027597b463ebdcfb1bf389b3eda7608a8af171a313f946506385ffc814c0ef</x:v>
      </x:c>
      <x:c r="H788" t="str">
        <x:v>neu</x:v>
      </x:c>
      <x:c r="I788" t="str">
        <x:v>ok</x:v>
      </x:c>
      <x:c r="J788"/>
      <x:c r="K788" t="n">
        <x:v>45901</x:v>
      </x:c>
      <x:c r="L788" t="n">
        <x:v>45901</x:v>
      </x:c>
      <x:c r="M788" t="str">
        <x:v>Gebucht</x:v>
      </x:c>
      <x:c r="N788" t="str">
        <x:v>Lars Kohlenberg</x:v>
      </x:c>
      <x:c r="O788" t="str">
        <x:v>KATRIN KOHLENBERG</x:v>
      </x:c>
      <x:c r="P788" t="str">
        <x:v>Apanage</x:v>
      </x:c>
      <x:c r="Q788" t="str">
        <x:v>Ausgang</x:v>
      </x:c>
      <x:c r="R788" t="str">
        <x:v>DE32270727240307336800</x:v>
      </x:c>
      <x:c r="S788" t="n">
        <x:v>-1800</x:v>
      </x:c>
      <x:c r="T788" t="str">
        <x:v>"</x:v>
      </x:c>
      <x:c r="U788" t="str">
        <x:v>"</x:v>
      </x:c>
      <x:c r="V788" t="str">
        <x:v>"</x:v>
      </x:c>
    </x:row>
    <x:row r="789">
      <x:c r="A789" t="str">
        <x:v>RAW-IMP-20260516-FULLDRAFT-000772</x:v>
      </x:c>
      <x:c r="B789" t="str">
        <x:v>IMP-20260516-FULLDRAFT</x:v>
      </x:c>
      <x:c r="C789" t="str">
        <x:v>KTO001</x:v>
      </x:c>
      <x:c r="D789" t="str">
        <x:v>16-05-2026_Umsatzliste_Girokonto_DE98120300001061711675.csv</x:v>
      </x:c>
      <x:c r="E789" t="n">
        <x:v>46163</x:v>
      </x:c>
      <x:c r="F789" t="n">
        <x:v>772</x:v>
      </x:c>
      <x:c r="G789" t="str">
        <x:v>db3a7871278d9c2ff342df77f3807144a100f29cb81b8a430124782fe4fcdd7f</x:v>
      </x:c>
      <x:c r="H789" t="str">
        <x:v>neu</x:v>
      </x:c>
      <x:c r="I789" t="str">
        <x:v>ok</x:v>
      </x:c>
      <x:c r="J789"/>
      <x:c r="K789" t="n">
        <x:v>45901</x:v>
      </x:c>
      <x:c r="L789" t="n">
        <x:v>45901</x:v>
      </x:c>
      <x:c r="M789" t="str">
        <x:v>Gebucht</x:v>
      </x:c>
      <x:c r="N789" t="str">
        <x:v>Lars Kohlenberg                                                       Johannes-Wosnitza-Str. 8,38229 Salzgitter</x:v>
      </x:c>
      <x:c r="O789" t="str">
        <x:v>1+1 Mail + Media GmbH                                                 Elgendorfer Str. 57, 56410 Montabaur</x:v>
      </x:c>
      <x:c r="P789" t="str">
        <x:v>KD-Nr. K7440512/ RG-Nr. 201541990643</x:v>
      </x:c>
      <x:c r="Q789" t="str">
        <x:v>Ausgang</x:v>
      </x:c>
      <x:c r="R789" t="str">
        <x:v>DE76700800000881679702</x:v>
      </x:c>
      <x:c r="S789" t="n">
        <x:v>-8.99</x:v>
      </x:c>
      <x:c r="T789" t="str">
        <x:v>DE07ZZZ00000569718</x:v>
      </x:c>
      <x:c r="U789" t="str">
        <x:v>0090001393062</x:v>
      </x:c>
      <x:c r="V789" t="str">
        <x:v>006242343633</x:v>
      </x:c>
    </x:row>
    <x:row r="790">
      <x:c r="A790" t="str">
        <x:v>RAW-IMP-20260516-FULLDRAFT-000773</x:v>
      </x:c>
      <x:c r="B790" t="str">
        <x:v>IMP-20260516-FULLDRAFT</x:v>
      </x:c>
      <x:c r="C790" t="str">
        <x:v>KTO001</x:v>
      </x:c>
      <x:c r="D790" t="str">
        <x:v>16-05-2026_Umsatzliste_Girokonto_DE98120300001061711675.csv</x:v>
      </x:c>
      <x:c r="E790" t="n">
        <x:v>46163</x:v>
      </x:c>
      <x:c r="F790" t="n">
        <x:v>773</x:v>
      </x:c>
      <x:c r="G790" t="str">
        <x:v>dc3a21278391bbfe71b05e4914313249de93d36181f915e13a132fe7d4d24224</x:v>
      </x:c>
      <x:c r="H790" t="str">
        <x:v>neu</x:v>
      </x:c>
      <x:c r="I790" t="str">
        <x:v>ok</x:v>
      </x:c>
      <x:c r="J790"/>
      <x:c r="K790" t="n">
        <x:v>45901</x:v>
      </x:c>
      <x:c r="L790" t="n">
        <x:v>45901</x:v>
      </x:c>
      <x:c r="M790" t="str">
        <x:v>Gebucht</x:v>
      </x:c>
      <x:c r="N790" t="str">
        <x:v>Kohlenberg, Katrin</x:v>
      </x:c>
      <x:c r="O790" t="str">
        <x:v>WEVG Salzgitter GmbH + Co. KG</x:v>
      </x:c>
      <x:c r="P790" t="str">
        <x:v>Kd-Nr 79288 Einz 31.08.25 41710/317.00/Johannes-Wosni 100833/76.00/Johannes-Wosni</x:v>
      </x:c>
      <x:c r="Q790" t="str">
        <x:v>Ausgang</x:v>
      </x:c>
      <x:c r="R790" t="str">
        <x:v>DE19300700100394127500</x:v>
      </x:c>
      <x:c r="S790" t="n">
        <x:v>-393</x:v>
      </x:c>
      <x:c r="T790" t="str">
        <x:v>DE83WEV00000032716</x:v>
      </x:c>
      <x:c r="U790" t="str">
        <x:v>WEVG0000079288G1000178580</x:v>
      </x:c>
      <x:c r="V790" t="str">
        <x:v>13852520</x:v>
      </x:c>
    </x:row>
    <x:row r="791">
      <x:c r="A791" t="str">
        <x:v>RAW-IMP-20260516-FULLDRAFT-000774</x:v>
      </x:c>
      <x:c r="B791" t="str">
        <x:v>IMP-20260516-FULLDRAFT</x:v>
      </x:c>
      <x:c r="C791" t="str">
        <x:v>KTO001</x:v>
      </x:c>
      <x:c r="D791" t="str">
        <x:v>16-05-2026_Umsatzliste_Girokonto_DE98120300001061711675.csv</x:v>
      </x:c>
      <x:c r="E791" t="n">
        <x:v>46163</x:v>
      </x:c>
      <x:c r="F791" t="n">
        <x:v>774</x:v>
      </x:c>
      <x:c r="G791" t="str">
        <x:v>d120624defb2752798dcde2c0c25518230a85551ed5e24e5744a58a2723fb395</x:v>
      </x:c>
      <x:c r="H791" t="str">
        <x:v>neu</x:v>
      </x:c>
      <x:c r="I791" t="str">
        <x:v>ok</x:v>
      </x:c>
      <x:c r="J791"/>
      <x:c r="K791" t="n">
        <x:v>45901</x:v>
      </x:c>
      <x:c r="L791" t="n">
        <x:v>45901</x:v>
      </x:c>
      <x:c r="M791" t="str">
        <x:v>Gebucht</x:v>
      </x:c>
      <x:c r="N791" t="str">
        <x:v>KOHLENBERG LARS</x:v>
      </x:c>
      <x:c r="O791" t="str">
        <x:v>VOLKSWOHL BUND Lebensversicherung a.G.</x:v>
      </x:c>
      <x:c r="P791" t="str">
        <x:v>009893595 LA000750566/ 009893595 LEBEN 68,46</x:v>
      </x:c>
      <x:c r="Q791" t="str">
        <x:v>Ausgang</x:v>
      </x:c>
      <x:c r="R791" t="str">
        <x:v>DE76440400370361155500</x:v>
      </x:c>
      <x:c r="S791" t="n">
        <x:v>-68.46</x:v>
      </x:c>
      <x:c r="T791" t="str">
        <x:v>DE13ZZZ00000141064</x:v>
      </x:c>
      <x:c r="U791" t="str">
        <x:v>LA000750566</x:v>
      </x:c>
      <x:c r="V791" t="str">
        <x:v>009893595/NVMA.G1141-315651</x:v>
      </x:c>
    </x:row>
    <x:row r="792">
      <x:c r="A792" t="str">
        <x:v>RAW-IMP-20260516-FULLDRAFT-000775</x:v>
      </x:c>
      <x:c r="B792" t="str">
        <x:v>IMP-20260516-FULLDRAFT</x:v>
      </x:c>
      <x:c r="C792" t="str">
        <x:v>KTO001</x:v>
      </x:c>
      <x:c r="D792" t="str">
        <x:v>16-05-2026_Umsatzliste_Girokonto_DE98120300001061711675.csv</x:v>
      </x:c>
      <x:c r="E792" t="n">
        <x:v>46163</x:v>
      </x:c>
      <x:c r="F792" t="n">
        <x:v>775</x:v>
      </x:c>
      <x:c r="G792" t="str">
        <x:v>779203d8e5e9ca7732e8efbb1febe6554ece1f8abb874ab33df24be2209aeb97</x:v>
      </x:c>
      <x:c r="H792" t="str">
        <x:v>neu</x:v>
      </x:c>
      <x:c r="I792" t="str">
        <x:v>ok</x:v>
      </x:c>
      <x:c r="J792"/>
      <x:c r="K792" t="n">
        <x:v>45901</x:v>
      </x:c>
      <x:c r="L792" t="n">
        <x:v>45901</x:v>
      </x:c>
      <x:c r="M792" t="str">
        <x:v>Gebucht</x:v>
      </x:c>
      <x:c r="N792" t="str">
        <x:v>Kohlenberg Lars</x:v>
      </x:c>
      <x:c r="O792" t="str">
        <x:v>Allianz Lebensvers. AG</x:v>
      </x:c>
      <x:c r="P792" t="str">
        <x:v>Vertrag AL-1356867060 bisheriger Vertrag 33 029 619 6 01.09.25 - 30.09.25 RiesRent InvAlphaBal</x:v>
      </x:c>
      <x:c r="Q792" t="str">
        <x:v>Ausgang</x:v>
      </x:c>
      <x:c r="R792" t="str">
        <x:v>DE52700202700015152448</x:v>
      </x:c>
      <x:c r="S792" t="n">
        <x:v>-162.17</x:v>
      </x:c>
      <x:c r="T792" t="str">
        <x:v>DE07ZZZ00000063475</x:v>
      </x:c>
      <x:c r="U792" t="str">
        <x:v>LA01L312001066775296</x:v>
      </x:c>
      <x:c r="V792" t="str">
        <x:v>AB225239-E03708722</x:v>
      </x:c>
    </x:row>
    <x:row r="793">
      <x:c r="A793" t="str">
        <x:v>RAW-IMP-20260516-FULLDRAFT-000776</x:v>
      </x:c>
      <x:c r="B793" t="str">
        <x:v>IMP-20260516-FULLDRAFT</x:v>
      </x:c>
      <x:c r="C793" t="str">
        <x:v>KTO001</x:v>
      </x:c>
      <x:c r="D793" t="str">
        <x:v>16-05-2026_Umsatzliste_Girokonto_DE98120300001061711675.csv</x:v>
      </x:c>
      <x:c r="E793" t="n">
        <x:v>46163</x:v>
      </x:c>
      <x:c r="F793" t="n">
        <x:v>776</x:v>
      </x:c>
      <x:c r="G793" t="str">
        <x:v>6be0af0317166389818bbe2f8fdcd1f9b5effb4a2988f6f2e866a55cc8a5ead8</x:v>
      </x:c>
      <x:c r="H793" t="str">
        <x:v>neu</x:v>
      </x:c>
      <x:c r="I793" t="str">
        <x:v>ok</x:v>
      </x:c>
      <x:c r="J793"/>
      <x:c r="K793" t="n">
        <x:v>45901</x:v>
      </x:c>
      <x:c r="L793" t="n">
        <x:v>45901</x:v>
      </x:c>
      <x:c r="M793" t="str">
        <x:v>Gebucht</x:v>
      </x:c>
      <x:c r="N793" t="str">
        <x:v>KOHLENBERG, LARS</x:v>
      </x:c>
      <x:c r="O793" t="str">
        <x:v>Lars und Katrin Kohlenberg</x:v>
      </x:c>
      <x:c r="P793" t="str">
        <x:v>12141949 VERMOEGENSDEPOT SAMMELBUCHUNG SPARPLAN WKN A1C9ED, 847809</x:v>
      </x:c>
      <x:c r="Q793" t="str">
        <x:v>Ausgang</x:v>
      </x:c>
      <x:c r="R793" t="str">
        <x:v>DE27672300000506966162</x:v>
      </x:c>
      <x:c r="S793" t="n">
        <x:v>-600</x:v>
      </x:c>
      <x:c r="T793" t="str">
        <x:v>DE53ZZZ00000010849</x:v>
      </x:c>
      <x:c r="U793" t="str">
        <x:v>WPBF0000180845</x:v>
      </x:c>
      <x:c r="V793" t="str">
        <x:v>SPARSP 18417227</x:v>
      </x:c>
    </x:row>
    <x:row r="794">
      <x:c r="A794" t="str">
        <x:v>RAW-IMP-20260516-FULLDRAFT-000777</x:v>
      </x:c>
      <x:c r="B794" t="str">
        <x:v>IMP-20260516-FULLDRAFT</x:v>
      </x:c>
      <x:c r="C794" t="str">
        <x:v>KTO001</x:v>
      </x:c>
      <x:c r="D794" t="str">
        <x:v>16-05-2026_Umsatzliste_Girokonto_DE98120300001061711675.csv</x:v>
      </x:c>
      <x:c r="E794" t="n">
        <x:v>46163</x:v>
      </x:c>
      <x:c r="F794" t="n">
        <x:v>777</x:v>
      </x:c>
      <x:c r="G794" t="str">
        <x:v>8ca7b43eb18bafba1962e1b56d48447a98cc215080481c526f4e6af37b132fe5</x:v>
      </x:c>
      <x:c r="H794" t="str">
        <x:v>neu</x:v>
      </x:c>
      <x:c r="I794" t="str">
        <x:v>ok</x:v>
      </x:c>
      <x:c r="J794"/>
      <x:c r="K794" t="n">
        <x:v>45901</x:v>
      </x:c>
      <x:c r="L794" t="n">
        <x:v>45901</x:v>
      </x:c>
      <x:c r="M794" t="str">
        <x:v>Gebucht</x:v>
      </x:c>
      <x:c r="N794" t="str">
        <x:v>Lars Kohlenberg                                                       Johannes-Wosnitza-Str. 8 38229 Salzgitter</x:v>
      </x:c>
      <x:c r="O794" t="str">
        <x:v>Heidelberger Lebensversicherung AG                                    Donrhofstrasse 36, 63263 Neu-Isenburg</x:v>
      </x:c>
      <x:c r="P794" t="str">
        <x:v>60012826 , 09.25</x:v>
      </x:c>
      <x:c r="Q794" t="str">
        <x:v>Ausgang</x:v>
      </x:c>
      <x:c r="R794" t="str">
        <x:v>DE38600501010002662604</x:v>
      </x:c>
      <x:c r="S794" t="n">
        <x:v>-452.71</x:v>
      </x:c>
      <x:c r="T794" t="str">
        <x:v>DE31HLE00000032682</x:v>
      </x:c>
      <x:c r="U794" t="str">
        <x:v>11-140000075706</x:v>
      </x:c>
      <x:c r="V794" t="str">
        <x:v>154044978035</x:v>
      </x:c>
    </x:row>
    <x:row r="795">
      <x:c r="A795" t="str">
        <x:v>RAW-IMP-20260516-FULLDRAFT-000778</x:v>
      </x:c>
      <x:c r="B795" t="str">
        <x:v>IMP-20260516-FULLDRAFT</x:v>
      </x:c>
      <x:c r="C795" t="str">
        <x:v>KTO001</x:v>
      </x:c>
      <x:c r="D795" t="str">
        <x:v>16-05-2026_Umsatzliste_Girokonto_DE98120300001061711675.csv</x:v>
      </x:c>
      <x:c r="E795" t="n">
        <x:v>46163</x:v>
      </x:c>
      <x:c r="F795" t="n">
        <x:v>778</x:v>
      </x:c>
      <x:c r="G795" t="str">
        <x:v>a5936f3b699d6ca63988d4b2f1d1c09bbae629590d4be865b8280ee542467b6a</x:v>
      </x:c>
      <x:c r="H795" t="str">
        <x:v>neu</x:v>
      </x:c>
      <x:c r="I795" t="str">
        <x:v>ok</x:v>
      </x:c>
      <x:c r="J795"/>
      <x:c r="K795" t="n">
        <x:v>45901</x:v>
      </x:c>
      <x:c r="L795" t="n">
        <x:v>45901</x:v>
      </x:c>
      <x:c r="M795" t="str">
        <x:v>Gebucht</x:v>
      </x:c>
      <x:c r="N795" t="str">
        <x:v>Kohlenberg, Lars</x:v>
      </x:c>
      <x:c r="O795" t="str">
        <x:v>IDEAL Lebensversicherung aG</x:v>
      </x:c>
      <x:c r="P795" t="str">
        <x:v>2011216280009 LV 091</x:v>
      </x:c>
      <x:c r="Q795" t="str">
        <x:v>Ausgang</x:v>
      </x:c>
      <x:c r="R795" t="str">
        <x:v>DE36100700000460303100</x:v>
      </x:c>
      <x:c r="S795" t="n">
        <x:v>-97.12</x:v>
      </x:c>
      <x:c r="T795" t="str">
        <x:v>DE40ZZZ00000559230</x:v>
      </x:c>
      <x:c r="U795" t="str">
        <x:v>2011216280009-001</x:v>
      </x:c>
      <x:c r="V795" t="str">
        <x:v>GL,KL,PD-20250901-1-2011216280009-0</x:v>
      </x:c>
    </x:row>
    <x:row r="796">
      <x:c r="A796" t="str">
        <x:v>RAW-IMP-20260516-FULLDRAFT-000779</x:v>
      </x:c>
      <x:c r="B796" t="str">
        <x:v>IMP-20260516-FULLDRAFT</x:v>
      </x:c>
      <x:c r="C796" t="str">
        <x:v>KTO001</x:v>
      </x:c>
      <x:c r="D796" t="str">
        <x:v>16-05-2026_Umsatzliste_Girokonto_DE98120300001061711675.csv</x:v>
      </x:c>
      <x:c r="E796" t="n">
        <x:v>46163</x:v>
      </x:c>
      <x:c r="F796" t="n">
        <x:v>779</x:v>
      </x:c>
      <x:c r="G796" t="str">
        <x:v>93664d77072e7fa3e74b029568cb4cc2b3b696ad1c8044e721fcc1b91dc57891</x:v>
      </x:c>
      <x:c r="H796" t="str">
        <x:v>neu</x:v>
      </x:c>
      <x:c r="I796" t="str">
        <x:v>ok</x:v>
      </x:c>
      <x:c r="J796"/>
      <x:c r="K796" t="n">
        <x:v>45901</x:v>
      </x:c>
      <x:c r="L796" t="n">
        <x:v>45901</x:v>
      </x:c>
      <x:c r="M796" t="str">
        <x:v>Gebucht</x:v>
      </x:c>
      <x:c r="N796" t="str">
        <x:v>Lars Kohlenberg</x:v>
      </x:c>
      <x:c r="O796" t="str">
        <x:v>LARS KOHLENBERG</x:v>
      </x:c>
      <x:c r="P796" t="str">
        <x:v>Zins und Tilgung zu 2/3</x:v>
      </x:c>
      <x:c r="Q796" t="str">
        <x:v>Ausgang</x:v>
      </x:c>
      <x:c r="R796" t="str">
        <x:v>DE33269910668923736000</x:v>
      </x:c>
      <x:c r="S796" t="n">
        <x:v>-1153.94</x:v>
      </x:c>
      <x:c r="T796" t="str">
        <x:v>"</x:v>
      </x:c>
      <x:c r="U796" t="str">
        <x:v>"</x:v>
      </x:c>
      <x:c r="V796" t="str">
        <x:v>"</x:v>
      </x:c>
    </x:row>
    <x:row r="797">
      <x:c r="A797" t="str">
        <x:v>RAW-IMP-20260516-FULLDRAFT-000780</x:v>
      </x:c>
      <x:c r="B797" t="str">
        <x:v>IMP-20260516-FULLDRAFT</x:v>
      </x:c>
      <x:c r="C797" t="str">
        <x:v>KTO001</x:v>
      </x:c>
      <x:c r="D797" t="str">
        <x:v>16-05-2026_Umsatzliste_Girokonto_DE98120300001061711675.csv</x:v>
      </x:c>
      <x:c r="E797" t="n">
        <x:v>46163</x:v>
      </x:c>
      <x:c r="F797" t="n">
        <x:v>780</x:v>
      </x:c>
      <x:c r="G797" t="str">
        <x:v>1056373f4c59b9538de22dd6df70cf36caaff9357e8a3b81954e569e2ba46efc</x:v>
      </x:c>
      <x:c r="H797" t="str">
        <x:v>neu</x:v>
      </x:c>
      <x:c r="I797" t="str">
        <x:v>ok</x:v>
      </x:c>
      <x:c r="J797"/>
      <x:c r="K797" t="n">
        <x:v>45901</x:v>
      </x:c>
      <x:c r="L797" t="n">
        <x:v>45901</x:v>
      </x:c>
      <x:c r="M797" t="str">
        <x:v>Gebucht</x:v>
      </x:c>
      <x:c r="N797" t="str">
        <x:v>Lars Kohlenberg</x:v>
      </x:c>
      <x:c r="O797" t="str">
        <x:v>Lea kohlenberg</x:v>
      </x:c>
      <x:c r="P797" t="str">
        <x:v>Taschengeld</x:v>
      </x:c>
      <x:c r="Q797" t="str">
        <x:v>Ausgang</x:v>
      </x:c>
      <x:c r="R797" t="str">
        <x:v>DE89269910662833344000</x:v>
      </x:c>
      <x:c r="S797" t="n">
        <x:v>-10</x:v>
      </x:c>
      <x:c r="T797" t="str">
        <x:v>"</x:v>
      </x:c>
      <x:c r="U797" t="str">
        <x:v>"</x:v>
      </x:c>
      <x:c r="V797" t="str">
        <x:v>"</x:v>
      </x:c>
    </x:row>
    <x:row r="798">
      <x:c r="A798" t="str">
        <x:v>RAW-IMP-20260516-FULLDRAFT-000781</x:v>
      </x:c>
      <x:c r="B798" t="str">
        <x:v>IMP-20260516-FULLDRAFT</x:v>
      </x:c>
      <x:c r="C798" t="str">
        <x:v>KTO001</x:v>
      </x:c>
      <x:c r="D798" t="str">
        <x:v>16-05-2026_Umsatzliste_Girokonto_DE98120300001061711675.csv</x:v>
      </x:c>
      <x:c r="E798" t="n">
        <x:v>46163</x:v>
      </x:c>
      <x:c r="F798" t="n">
        <x:v>781</x:v>
      </x:c>
      <x:c r="G798" t="str">
        <x:v>09056f9d250090ab4f2423a8df8b73e71c630e9567107341acabb914c5ec08a2</x:v>
      </x:c>
      <x:c r="H798" t="str">
        <x:v>neu</x:v>
      </x:c>
      <x:c r="I798" t="str">
        <x:v>ok</x:v>
      </x:c>
      <x:c r="J798"/>
      <x:c r="K798" t="n">
        <x:v>45898</x:v>
      </x:c>
      <x:c r="L798" t="n">
        <x:v>45898</x:v>
      </x:c>
      <x:c r="M798" t="str">
        <x:v>Gebucht</x:v>
      </x:c>
      <x:c r="N798" t="str">
        <x:v>Stiftung Kath. Altenhilfe im Bistum Hildesheim</x:v>
      </x:c>
      <x:c r="O798" t="str">
        <x:v>KOHLENBERG LARS</x:v>
      </x:c>
      <x:c r="P798" t="str">
        <x:v>GEHALT 8/25</x:v>
      </x:c>
      <x:c r="Q798" t="str">
        <x:v>Eingang</x:v>
      </x:c>
      <x:c r="R798" t="str">
        <x:v>DE92400602650023150301</x:v>
      </x:c>
      <x:c r="S798" t="n">
        <x:v>7939.81</x:v>
      </x:c>
      <x:c r="T798" t="str">
        <x:v>"</x:v>
      </x:c>
      <x:c r="U798" t="str">
        <x:v>"</x:v>
      </x:c>
      <x:c r="V798" t="str">
        <x:v>001001987662SALA112831004</x:v>
      </x:c>
    </x:row>
    <x:row r="799">
      <x:c r="A799" t="str">
        <x:v>RAW-IMP-20260516-FULLDRAFT-000782</x:v>
      </x:c>
      <x:c r="B799" t="str">
        <x:v>IMP-20260516-FULLDRAFT</x:v>
      </x:c>
      <x:c r="C799" t="str">
        <x:v>KTO001</x:v>
      </x:c>
      <x:c r="D799" t="str">
        <x:v>16-05-2026_Umsatzliste_Girokonto_DE98120300001061711675.csv</x:v>
      </x:c>
      <x:c r="E799" t="n">
        <x:v>46163</x:v>
      </x:c>
      <x:c r="F799" t="n">
        <x:v>782</x:v>
      </x:c>
      <x:c r="G799" t="str">
        <x:v>fe1bcd3b438bea5b73cab7f6fc02af09c074e2665e960d75c45633e622be28f8</x:v>
      </x:c>
      <x:c r="H799" t="str">
        <x:v>neu</x:v>
      </x:c>
      <x:c r="I799" t="str">
        <x:v>ok</x:v>
      </x:c>
      <x:c r="J799"/>
      <x:c r="K799" t="n">
        <x:v>45897</x:v>
      </x:c>
      <x:c r="L799" t="n">
        <x:v>45897</x:v>
      </x:c>
      <x:c r="M799" t="str">
        <x:v>Gebucht</x:v>
      </x:c>
      <x:c r="N799" t="str">
        <x:v>Gothaer Krankenversicherung Aktiengesellschaft</x:v>
      </x:c>
      <x:c r="O799" t="str">
        <x:v>LARS KOHLENBERG</x:v>
      </x:c>
      <x:c r="P799" t="str">
        <x:v>98.000.055668/0102527592863 BRE 2024 VS 98.000.055668</x:v>
      </x:c>
      <x:c r="Q799" t="str">
        <x:v>Eingang</x:v>
      </x:c>
      <x:c r="R799" t="str">
        <x:v>DE95300500000004822078</x:v>
      </x:c>
      <x:c r="S799" t="n">
        <x:v>85.8</x:v>
      </x:c>
      <x:c r="T799" t="str">
        <x:v>"</x:v>
      </x:c>
      <x:c r="U799" t="str">
        <x:v>"</x:v>
      </x:c>
      <x:c r="V799" t="str">
        <x:v>0102527592863</x:v>
      </x:c>
    </x:row>
    <x:row r="800">
      <x:c r="A800" t="str">
        <x:v>RAW-IMP-20260516-FULLDRAFT-000783</x:v>
      </x:c>
      <x:c r="B800" t="str">
        <x:v>IMP-20260516-FULLDRAFT</x:v>
      </x:c>
      <x:c r="C800" t="str">
        <x:v>KTO001</x:v>
      </x:c>
      <x:c r="D800" t="str">
        <x:v>16-05-2026_Umsatzliste_Girokonto_DE98120300001061711675.csv</x:v>
      </x:c>
      <x:c r="E800" t="n">
        <x:v>46163</x:v>
      </x:c>
      <x:c r="F800" t="n">
        <x:v>783</x:v>
      </x:c>
      <x:c r="G800" t="str">
        <x:v>30713901572c78cfdeda20111e18b65caef43dce4ec12fee9266b5ddd51d3cb5</x:v>
      </x:c>
      <x:c r="H800" t="str">
        <x:v>neu</x:v>
      </x:c>
      <x:c r="I800" t="str">
        <x:v>ok</x:v>
      </x:c>
      <x:c r="J800"/>
      <x:c r="K800" t="n">
        <x:v>45896</x:v>
      </x:c>
      <x:c r="L800" t="n">
        <x:v>45896</x:v>
      </x:c>
      <x:c r="M800" t="str">
        <x:v>Gebucht</x:v>
      </x:c>
      <x:c r="N800" t="str">
        <x:v>ISSUER</x:v>
      </x:c>
      <x:c r="O800" t="str">
        <x:v>REWE.Salzgitter.Ge/Salzgitter</x:v>
      </x:c>
      <x:c r="P800" t="str">
        <x:v>VISA Debitkartenumsatz vom 26.08.2025</x:v>
      </x:c>
      <x:c r="Q800" t="str">
        <x:v>Ausgang</x:v>
      </x:c>
      <x:c r="R800" t="str">
        <x:v>DE96120300009005290904</x:v>
      </x:c>
      <x:c r="S800" t="n">
        <x:v>-18.04</x:v>
      </x:c>
      <x:c r="T800" t="str">
        <x:v>"</x:v>
      </x:c>
      <x:c r="U800" t="str">
        <x:v>"</x:v>
      </x:c>
      <x:c r="V800" t="str">
        <x:v>485238615505242</x:v>
      </x:c>
    </x:row>
    <x:row r="801">
      <x:c r="A801" t="str">
        <x:v>RAW-IMP-20260516-FULLDRAFT-000784</x:v>
      </x:c>
      <x:c r="B801" t="str">
        <x:v>IMP-20260516-FULLDRAFT</x:v>
      </x:c>
      <x:c r="C801" t="str">
        <x:v>KTO001</x:v>
      </x:c>
      <x:c r="D801" t="str">
        <x:v>16-05-2026_Umsatzliste_Girokonto_DE98120300001061711675.csv</x:v>
      </x:c>
      <x:c r="E801" t="n">
        <x:v>46163</x:v>
      </x:c>
      <x:c r="F801" t="n">
        <x:v>784</x:v>
      </x:c>
      <x:c r="G801" t="str">
        <x:v>112078582c436e05ec4de9d72665942bb7de6cb1c1514789f4ee1ebe2e7a2b6e</x:v>
      </x:c>
      <x:c r="H801" t="str">
        <x:v>neu</x:v>
      </x:c>
      <x:c r="I801" t="str">
        <x:v>ok</x:v>
      </x:c>
      <x:c r="J801"/>
      <x:c r="K801" t="n">
        <x:v>45894</x:v>
      </x:c>
      <x:c r="L801" t="n">
        <x:v>45894</x:v>
      </x:c>
      <x:c r="M801" t="str">
        <x:v>Gebucht</x:v>
      </x:c>
      <x:c r="N801" t="str">
        <x:v>ISSUER</x:v>
      </x:c>
      <x:c r="O801" t="str">
        <x:v>Amazon.de.RU1MA22M4/AMAZON.DE</x:v>
      </x:c>
      <x:c r="P801" t="str">
        <x:v>VISA Debitkartenumsatz vom 22.08.2025</x:v>
      </x:c>
      <x:c r="Q801" t="str">
        <x:v>Ausgang</x:v>
      </x:c>
      <x:c r="R801" t="str">
        <x:v>DE96120300009005290904</x:v>
      </x:c>
      <x:c r="S801" t="n">
        <x:v>-6.99</x:v>
      </x:c>
      <x:c r="T801" t="str">
        <x:v>"</x:v>
      </x:c>
      <x:c r="U801" t="str">
        <x:v>"</x:v>
      </x:c>
      <x:c r="V801" t="str">
        <x:v>485234213247979</x:v>
      </x:c>
    </x:row>
    <x:row r="802">
      <x:c r="A802" t="str">
        <x:v>RAW-IMP-20260516-FULLDRAFT-000785</x:v>
      </x:c>
      <x:c r="B802" t="str">
        <x:v>IMP-20260516-FULLDRAFT</x:v>
      </x:c>
      <x:c r="C802" t="str">
        <x:v>KTO001</x:v>
      </x:c>
      <x:c r="D802" t="str">
        <x:v>16-05-2026_Umsatzliste_Girokonto_DE98120300001061711675.csv</x:v>
      </x:c>
      <x:c r="E802" t="n">
        <x:v>46163</x:v>
      </x:c>
      <x:c r="F802" t="n">
        <x:v>785</x:v>
      </x:c>
      <x:c r="G802" t="str">
        <x:v>dcc8b81672e522af1c23bc82367fdcaa3ed4055d1e78ea5a7614bf2665c74ad5</x:v>
      </x:c>
      <x:c r="H802" t="str">
        <x:v>neu</x:v>
      </x:c>
      <x:c r="I802" t="str">
        <x:v>ok</x:v>
      </x:c>
      <x:c r="J802"/>
      <x:c r="K802" t="n">
        <x:v>45894</x:v>
      </x:c>
      <x:c r="L802" t="n">
        <x:v>45894</x:v>
      </x:c>
      <x:c r="M802" t="str">
        <x:v>Gebucht</x:v>
      </x:c>
      <x:c r="N802" t="str">
        <x:v>ISSUER</x:v>
      </x:c>
      <x:c r="O802" t="str">
        <x:v>REWE.Salzgitter.Ge/Salzgitter</x:v>
      </x:c>
      <x:c r="P802" t="str">
        <x:v>VISA Debitkartenumsatz vom 23.08.2025</x:v>
      </x:c>
      <x:c r="Q802" t="str">
        <x:v>Ausgang</x:v>
      </x:c>
      <x:c r="R802" t="str">
        <x:v>DE96120300009005290904</x:v>
      </x:c>
      <x:c r="S802" t="n">
        <x:v>-125.8</x:v>
      </x:c>
      <x:c r="T802" t="str">
        <x:v>"</x:v>
      </x:c>
      <x:c r="U802" t="str">
        <x:v>"</x:v>
      </x:c>
      <x:c r="V802" t="str">
        <x:v>485235272787596</x:v>
      </x:c>
    </x:row>
    <x:row r="803">
      <x:c r="A803" t="str">
        <x:v>RAW-IMP-20260516-FULLDRAFT-000786</x:v>
      </x:c>
      <x:c r="B803" t="str">
        <x:v>IMP-20260516-FULLDRAFT</x:v>
      </x:c>
      <x:c r="C803" t="str">
        <x:v>KTO001</x:v>
      </x:c>
      <x:c r="D803" t="str">
        <x:v>16-05-2026_Umsatzliste_Girokonto_DE98120300001061711675.csv</x:v>
      </x:c>
      <x:c r="E803" t="n">
        <x:v>46163</x:v>
      </x:c>
      <x:c r="F803" t="n">
        <x:v>786</x:v>
      </x:c>
      <x:c r="G803" t="str">
        <x:v>43312418c304b5718f7218c9a35f5950fc67805f352b79443ac3090406e47536</x:v>
      </x:c>
      <x:c r="H803" t="str">
        <x:v>neu</x:v>
      </x:c>
      <x:c r="I803" t="str">
        <x:v>ok</x:v>
      </x:c>
      <x:c r="J803"/>
      <x:c r="K803" t="n">
        <x:v>45891</x:v>
      </x:c>
      <x:c r="L803" t="n">
        <x:v>45891</x:v>
      </x:c>
      <x:c r="M803" t="str">
        <x:v>Gebucht</x:v>
      </x:c>
      <x:c r="N803" t="str">
        <x:v>ISSUER</x:v>
      </x:c>
      <x:c r="O803" t="str">
        <x:v>APPLE.COM.BILL/08006645451</x:v>
      </x:c>
      <x:c r="P803" t="str">
        <x:v>VISA Debitkartenumsatz vom 21.08.2025</x:v>
      </x:c>
      <x:c r="Q803" t="str">
        <x:v>Ausgang</x:v>
      </x:c>
      <x:c r="R803" t="str">
        <x:v>DE96120300009005290904</x:v>
      </x:c>
      <x:c r="S803" t="n">
        <x:v>-2.99</x:v>
      </x:c>
      <x:c r="T803" t="str">
        <x:v>"</x:v>
      </x:c>
      <x:c r="U803" t="str">
        <x:v>"</x:v>
      </x:c>
      <x:c r="V803" t="str">
        <x:v>485233467788535</x:v>
      </x:c>
    </x:row>
    <x:row r="804">
      <x:c r="A804" t="str">
        <x:v>RAW-IMP-20260516-FULLDRAFT-000787</x:v>
      </x:c>
      <x:c r="B804" t="str">
        <x:v>IMP-20260516-FULLDRAFT</x:v>
      </x:c>
      <x:c r="C804" t="str">
        <x:v>KTO001</x:v>
      </x:c>
      <x:c r="D804" t="str">
        <x:v>16-05-2026_Umsatzliste_Girokonto_DE98120300001061711675.csv</x:v>
      </x:c>
      <x:c r="E804" t="n">
        <x:v>46163</x:v>
      </x:c>
      <x:c r="F804" t="n">
        <x:v>787</x:v>
      </x:c>
      <x:c r="G804" t="str">
        <x:v>ac0c2e5c0a41b39a0b2dbd938c279c11cfcb18d088e4a6bb1ebc6e8345de9358</x:v>
      </x:c>
      <x:c r="H804" t="str">
        <x:v>neu</x:v>
      </x:c>
      <x:c r="I804" t="str">
        <x:v>ok</x:v>
      </x:c>
      <x:c r="J804"/>
      <x:c r="K804" t="n">
        <x:v>45891</x:v>
      </x:c>
      <x:c r="L804" t="n">
        <x:v>45891</x:v>
      </x:c>
      <x:c r="M804" t="str">
        <x:v>Gebucht</x:v>
      </x:c>
      <x:c r="N804" t="str">
        <x:v>Lars Kohlenberg</x:v>
      </x:c>
      <x:c r="O804" t="str">
        <x:v>Drillisch Online GmbH                                                 Wilhelm-Rontgen-Strase 1-5, 63477 Maintal</x:v>
      </x:c>
      <x:c r="P804" t="str">
        <x:v>C0851820 U738355423 B847199344 winSIM</x:v>
      </x:c>
      <x:c r="Q804" t="str">
        <x:v>Ausgang</x:v>
      </x:c>
      <x:c r="R804" t="str">
        <x:v>DE87300500000008996811</x:v>
      </x:c>
      <x:c r="S804" t="n">
        <x:v>-6.99</x:v>
      </x:c>
      <x:c r="T804" t="str">
        <x:v>DE40ZZZ00000206926</x:v>
      </x:c>
      <x:c r="U804" t="str">
        <x:v>FB1310D094B04186E02ACE7B8C6</x:v>
      </x:c>
      <x:c r="V804" t="str">
        <x:v>C0851820+U738355423</x:v>
      </x:c>
    </x:row>
    <x:row r="805">
      <x:c r="A805" t="str">
        <x:v>RAW-IMP-20260516-FULLDRAFT-000788</x:v>
      </x:c>
      <x:c r="B805" t="str">
        <x:v>IMP-20260516-FULLDRAFT</x:v>
      </x:c>
      <x:c r="C805" t="str">
        <x:v>KTO001</x:v>
      </x:c>
      <x:c r="D805" t="str">
        <x:v>16-05-2026_Umsatzliste_Girokonto_DE98120300001061711675.csv</x:v>
      </x:c>
      <x:c r="E805" t="n">
        <x:v>46163</x:v>
      </x:c>
      <x:c r="F805" t="n">
        <x:v>788</x:v>
      </x:c>
      <x:c r="G805" t="str">
        <x:v>a0ba96f254ca2c442e80d9ccd559878be8852ecf1aef9b89e2136ba2f90f7b34</x:v>
      </x:c>
      <x:c r="H805" t="str">
        <x:v>neu</x:v>
      </x:c>
      <x:c r="I805" t="str">
        <x:v>ok</x:v>
      </x:c>
      <x:c r="J805"/>
      <x:c r="K805" t="n">
        <x:v>45890</x:v>
      </x:c>
      <x:c r="L805" t="n">
        <x:v>45890</x:v>
      </x:c>
      <x:c r="M805" t="str">
        <x:v>Gebucht</x:v>
      </x:c>
      <x:c r="N805" t="str">
        <x:v>ISSUER</x:v>
      </x:c>
      <x:c r="O805" t="str">
        <x:v>EDEKA.POTRATZ/HILDESHEIM</x:v>
      </x:c>
      <x:c r="P805" t="str">
        <x:v>VISA Debitkartenumsatz vom 20.08.2025</x:v>
      </x:c>
      <x:c r="Q805" t="str">
        <x:v>Ausgang</x:v>
      </x:c>
      <x:c r="R805" t="str">
        <x:v>DE96120300009005290904</x:v>
      </x:c>
      <x:c r="S805" t="n">
        <x:v>-6.36</x:v>
      </x:c>
      <x:c r="T805" t="str">
        <x:v>"</x:v>
      </x:c>
      <x:c r="U805" t="str">
        <x:v>"</x:v>
      </x:c>
      <x:c r="V805" t="str">
        <x:v>485232383499321</x:v>
      </x:c>
    </x:row>
    <x:row r="806">
      <x:c r="A806" t="str">
        <x:v>RAW-IMP-20260516-FULLDRAFT-000789</x:v>
      </x:c>
      <x:c r="B806" t="str">
        <x:v>IMP-20260516-FULLDRAFT</x:v>
      </x:c>
      <x:c r="C806" t="str">
        <x:v>KTO001</x:v>
      </x:c>
      <x:c r="D806" t="str">
        <x:v>16-05-2026_Umsatzliste_Girokonto_DE98120300001061711675.csv</x:v>
      </x:c>
      <x:c r="E806" t="n">
        <x:v>46163</x:v>
      </x:c>
      <x:c r="F806" t="n">
        <x:v>789</x:v>
      </x:c>
      <x:c r="G806" t="str">
        <x:v>611b7c0778edd35c5a9f04051defdd967ff3848b228cdc1a457869b14d21e7b9</x:v>
      </x:c>
      <x:c r="H806" t="str">
        <x:v>neu</x:v>
      </x:c>
      <x:c r="I806" t="str">
        <x:v>ok</x:v>
      </x:c>
      <x:c r="J806"/>
      <x:c r="K806" t="n">
        <x:v>45890</x:v>
      </x:c>
      <x:c r="L806" t="n">
        <x:v>45890</x:v>
      </x:c>
      <x:c r="M806" t="str">
        <x:v>Gebucht</x:v>
      </x:c>
      <x:c r="N806" t="str">
        <x:v>ISSUER</x:v>
      </x:c>
      <x:c r="O806" t="str">
        <x:v>WITWE.BOLTE/HILDESHEIM</x:v>
      </x:c>
      <x:c r="P806" t="str">
        <x:v>VISA Debitkartenumsatz vom 20.08.2025</x:v>
      </x:c>
      <x:c r="Q806" t="str">
        <x:v>Ausgang</x:v>
      </x:c>
      <x:c r="R806" t="str">
        <x:v>DE96120300009005290904</x:v>
      </x:c>
      <x:c r="S806" t="n">
        <x:v>-11.6</x:v>
      </x:c>
      <x:c r="T806" t="str">
        <x:v>"</x:v>
      </x:c>
      <x:c r="U806" t="str">
        <x:v>"</x:v>
      </x:c>
      <x:c r="V806" t="str">
        <x:v>485232372689681</x:v>
      </x:c>
    </x:row>
    <x:row r="807">
      <x:c r="A807" t="str">
        <x:v>RAW-IMP-20260516-FULLDRAFT-000790</x:v>
      </x:c>
      <x:c r="B807" t="str">
        <x:v>IMP-20260516-FULLDRAFT</x:v>
      </x:c>
      <x:c r="C807" t="str">
        <x:v>KTO001</x:v>
      </x:c>
      <x:c r="D807" t="str">
        <x:v>16-05-2026_Umsatzliste_Girokonto_DE98120300001061711675.csv</x:v>
      </x:c>
      <x:c r="E807" t="n">
        <x:v>46163</x:v>
      </x:c>
      <x:c r="F807" t="n">
        <x:v>790</x:v>
      </x:c>
      <x:c r="G807" t="str">
        <x:v>180ba6e03c27bc5c5bf9f8fd20b8a2e8e94a962c7170199dc9cd974b8394a688</x:v>
      </x:c>
      <x:c r="H807" t="str">
        <x:v>neu</x:v>
      </x:c>
      <x:c r="I807" t="str">
        <x:v>ok</x:v>
      </x:c>
      <x:c r="J807"/>
      <x:c r="K807" t="n">
        <x:v>45890</x:v>
      </x:c>
      <x:c r="L807" t="n">
        <x:v>45890</x:v>
      </x:c>
      <x:c r="M807" t="str">
        <x:v>Gebucht</x:v>
      </x:c>
      <x:c r="N807" t="str">
        <x:v>Lars Hoogeveen                                                        Johannes-Wosnitza-Str. 8</x:v>
      </x:c>
      <x:c r="O807" t="str">
        <x:v>PayPal Europe S.a.r.l. et Cie S.C.A                                   22-24 Boulevard Royal, 2449 Luxembourg</x:v>
      </x:c>
      <x:c r="P807" t="str">
        <x:v>1044298530479/PP.3388.PP/. Microsoft Payments, Ihr Einkauf bei Microsoft Payments</x:v>
      </x:c>
      <x:c r="Q807" t="str">
        <x:v>Ausgang</x:v>
      </x:c>
      <x:c r="R807" t="str">
        <x:v>LU89751000135104200E</x:v>
      </x:c>
      <x:c r="S807" t="n">
        <x:v>-69</x:v>
      </x:c>
      <x:c r="T807" t="str">
        <x:v>LU96ZZZ0000000000000000058</x:v>
      </x:c>
      <x:c r="U807" t="str">
        <x:v>49F22255QP85W</x:v>
      </x:c>
      <x:c r="V807" t="str">
        <x:v>1044298530479</x:v>
      </x:c>
    </x:row>
    <x:row r="808">
      <x:c r="A808" t="str">
        <x:v>RAW-IMP-20260516-FULLDRAFT-000791</x:v>
      </x:c>
      <x:c r="B808" t="str">
        <x:v>IMP-20260516-FULLDRAFT</x:v>
      </x:c>
      <x:c r="C808" t="str">
        <x:v>KTO001</x:v>
      </x:c>
      <x:c r="D808" t="str">
        <x:v>16-05-2026_Umsatzliste_Girokonto_DE98120300001061711675.csv</x:v>
      </x:c>
      <x:c r="E808" t="n">
        <x:v>46163</x:v>
      </x:c>
      <x:c r="F808" t="n">
        <x:v>791</x:v>
      </x:c>
      <x:c r="G808" t="str">
        <x:v>052a950caece6dbb2d50ff07d9000524d3cc00e8dd853e10cb88462370123841</x:v>
      </x:c>
      <x:c r="H808" t="str">
        <x:v>neu</x:v>
      </x:c>
      <x:c r="I808" t="str">
        <x:v>ok</x:v>
      </x:c>
      <x:c r="J808"/>
      <x:c r="K808" t="n">
        <x:v>45890</x:v>
      </x:c>
      <x:c r="L808" t="n">
        <x:v>45890</x:v>
      </x:c>
      <x:c r="M808" t="str">
        <x:v>Gebucht</x:v>
      </x:c>
      <x:c r="N808" t="str">
        <x:v>Lars Kohlenberg</x:v>
      </x:c>
      <x:c r="O808" t="str">
        <x:v>Drillisch Online GmbH                                                 Wilhelm-Rontgen-Strase 1-5, 63477 Maintal</x:v>
      </x:c>
      <x:c r="P808" t="str">
        <x:v>C0851820 U735958236 B843282904 winSIM</x:v>
      </x:c>
      <x:c r="Q808" t="str">
        <x:v>Ausgang</x:v>
      </x:c>
      <x:c r="R808" t="str">
        <x:v>DE87300500000008996811</x:v>
      </x:c>
      <x:c r="S808" t="n">
        <x:v>-48</x:v>
      </x:c>
      <x:c r="T808" t="str">
        <x:v>DE40ZZZ00000206926</x:v>
      </x:c>
      <x:c r="U808" t="str">
        <x:v>FB1310D094B04186E02ACE7B8C6</x:v>
      </x:c>
      <x:c r="V808" t="str">
        <x:v>C0851820+U735958236</x:v>
      </x:c>
    </x:row>
    <x:row r="809">
      <x:c r="A809" t="str">
        <x:v>RAW-IMP-20260516-FULLDRAFT-000792</x:v>
      </x:c>
      <x:c r="B809" t="str">
        <x:v>IMP-20260516-FULLDRAFT</x:v>
      </x:c>
      <x:c r="C809" t="str">
        <x:v>KTO001</x:v>
      </x:c>
      <x:c r="D809" t="str">
        <x:v>16-05-2026_Umsatzliste_Girokonto_DE98120300001061711675.csv</x:v>
      </x:c>
      <x:c r="E809" t="n">
        <x:v>46163</x:v>
      </x:c>
      <x:c r="F809" t="n">
        <x:v>792</x:v>
      </x:c>
      <x:c r="G809" t="str">
        <x:v>ef8e7122f6dd942f3fe5946fc1a42a9c1ef357279a1d0f4b59d514d4055f517b</x:v>
      </x:c>
      <x:c r="H809" t="str">
        <x:v>neu</x:v>
      </x:c>
      <x:c r="I809" t="str">
        <x:v>ok</x:v>
      </x:c>
      <x:c r="J809"/>
      <x:c r="K809" t="n">
        <x:v>45890</x:v>
      </x:c>
      <x:c r="L809" t="n">
        <x:v>45890</x:v>
      </x:c>
      <x:c r="M809" t="str">
        <x:v>Gebucht</x:v>
      </x:c>
      <x:c r="N809" t="str">
        <x:v>Lars Kohlenberg</x:v>
      </x:c>
      <x:c r="O809" t="str">
        <x:v>Drillisch Online GmbH                                                 Wilhelm-Rontgen-Strase 1-5, 63477 Maintal</x:v>
      </x:c>
      <x:c r="P809" t="str">
        <x:v>C0851820 U735600917 B842400341 winSIM</x:v>
      </x:c>
      <x:c r="Q809" t="str">
        <x:v>Ausgang</x:v>
      </x:c>
      <x:c r="R809" t="str">
        <x:v>DE87300500000008996811</x:v>
      </x:c>
      <x:c r="S809" t="n">
        <x:v>-6.99</x:v>
      </x:c>
      <x:c r="T809" t="str">
        <x:v>DE40ZZZ00000206926</x:v>
      </x:c>
      <x:c r="U809" t="str">
        <x:v>FB1310D094B04186E02ACE7B8C6</x:v>
      </x:c>
      <x:c r="V809" t="str">
        <x:v>C0851820+U735600917</x:v>
      </x:c>
    </x:row>
    <x:row r="810">
      <x:c r="A810" t="str">
        <x:v>RAW-IMP-20260516-FULLDRAFT-000793</x:v>
      </x:c>
      <x:c r="B810" t="str">
        <x:v>IMP-20260516-FULLDRAFT</x:v>
      </x:c>
      <x:c r="C810" t="str">
        <x:v>KTO001</x:v>
      </x:c>
      <x:c r="D810" t="str">
        <x:v>16-05-2026_Umsatzliste_Girokonto_DE98120300001061711675.csv</x:v>
      </x:c>
      <x:c r="E810" t="n">
        <x:v>46163</x:v>
      </x:c>
      <x:c r="F810" t="n">
        <x:v>793</x:v>
      </x:c>
      <x:c r="G810" t="str">
        <x:v>b70216906b81f7e7c3952ae03b955288f0217052010a00bad846741c878afd3e</x:v>
      </x:c>
      <x:c r="H810" t="str">
        <x:v>neu</x:v>
      </x:c>
      <x:c r="I810" t="str">
        <x:v>ok</x:v>
      </x:c>
      <x:c r="J810"/>
      <x:c r="K810" t="n">
        <x:v>45890</x:v>
      </x:c>
      <x:c r="L810" t="n">
        <x:v>45890</x:v>
      </x:c>
      <x:c r="M810" t="str">
        <x:v>Gebucht</x:v>
      </x:c>
      <x:c r="N810" t="str">
        <x:v>Lars Kohlenberg</x:v>
      </x:c>
      <x:c r="O810" t="str">
        <x:v>Gymnasium SalzgitterBad</x:v>
      </x:c>
      <x:c r="P810" t="str">
        <x:v>1469 5564 12 Kohlenberg Lea Sophie 11A</x:v>
      </x:c>
      <x:c r="Q810" t="str">
        <x:v>Ausgang</x:v>
      </x:c>
      <x:c r="R810" t="str">
        <x:v>DE97259501300177005709</x:v>
      </x:c>
      <x:c r="S810" t="n">
        <x:v>-15</x:v>
      </x:c>
      <x:c r="T810" t="str">
        <x:v>"</x:v>
      </x:c>
      <x:c r="U810" t="str">
        <x:v>"</x:v>
      </x:c>
      <x:c r="V810" t="str">
        <x:v>"</x:v>
      </x:c>
    </x:row>
    <x:row r="811">
      <x:c r="A811" t="str">
        <x:v>RAW-IMP-20260516-FULLDRAFT-000794</x:v>
      </x:c>
      <x:c r="B811" t="str">
        <x:v>IMP-20260516-FULLDRAFT</x:v>
      </x:c>
      <x:c r="C811" t="str">
        <x:v>KTO001</x:v>
      </x:c>
      <x:c r="D811" t="str">
        <x:v>16-05-2026_Umsatzliste_Girokonto_DE98120300001061711675.csv</x:v>
      </x:c>
      <x:c r="E811" t="n">
        <x:v>46163</x:v>
      </x:c>
      <x:c r="F811" t="n">
        <x:v>794</x:v>
      </x:c>
      <x:c r="G811" t="str">
        <x:v>3386a0844d5c455fbafbc4d780dd840125042bb2282231033f8347920eb64a5f</x:v>
      </x:c>
      <x:c r="H811" t="str">
        <x:v>neu</x:v>
      </x:c>
      <x:c r="I811" t="str">
        <x:v>ok</x:v>
      </x:c>
      <x:c r="J811"/>
      <x:c r="K811" t="n">
        <x:v>45890</x:v>
      </x:c>
      <x:c r="L811" t="n">
        <x:v>45890</x:v>
      </x:c>
      <x:c r="M811" t="str">
        <x:v>Gebucht</x:v>
      </x:c>
      <x:c r="N811" t="str">
        <x:v>Lars Kohlenberg</x:v>
      </x:c>
      <x:c r="O811" t="str">
        <x:v>Gymnasium SalzgitterBad</x:v>
      </x:c>
      <x:c r="P811" t="str">
        <x:v>3463 9514 475 Kohlenberg Jan Niklas 9FL3</x:v>
      </x:c>
      <x:c r="Q811" t="str">
        <x:v>Ausgang</x:v>
      </x:c>
      <x:c r="R811" t="str">
        <x:v>DE97259501300177005709</x:v>
      </x:c>
      <x:c r="S811" t="n">
        <x:v>-15</x:v>
      </x:c>
      <x:c r="T811" t="str">
        <x:v>"</x:v>
      </x:c>
      <x:c r="U811" t="str">
        <x:v>"</x:v>
      </x:c>
      <x:c r="V811" t="str">
        <x:v>"</x:v>
      </x:c>
    </x:row>
    <x:row r="812">
      <x:c r="A812" t="str">
        <x:v>RAW-IMP-20260516-FULLDRAFT-000795</x:v>
      </x:c>
      <x:c r="B812" t="str">
        <x:v>IMP-20260516-FULLDRAFT</x:v>
      </x:c>
      <x:c r="C812" t="str">
        <x:v>KTO001</x:v>
      </x:c>
      <x:c r="D812" t="str">
        <x:v>16-05-2026_Umsatzliste_Girokonto_DE98120300001061711675.csv</x:v>
      </x:c>
      <x:c r="E812" t="n">
        <x:v>46163</x:v>
      </x:c>
      <x:c r="F812" t="n">
        <x:v>795</x:v>
      </x:c>
      <x:c r="G812" t="str">
        <x:v>85d1fc19d2beb731594185c6567b1d654d92070d34f2e26d9759d009429f86bc</x:v>
      </x:c>
      <x:c r="H812" t="str">
        <x:v>neu</x:v>
      </x:c>
      <x:c r="I812" t="str">
        <x:v>ok</x:v>
      </x:c>
      <x:c r="J812"/>
      <x:c r="K812" t="n">
        <x:v>45890</x:v>
      </x:c>
      <x:c r="L812" t="n">
        <x:v>45890</x:v>
      </x:c>
      <x:c r="M812" t="str">
        <x:v>Gebucht</x:v>
      </x:c>
      <x:c r="N812" t="str">
        <x:v>Lars Kohlenberg</x:v>
      </x:c>
      <x:c r="O812" t="str">
        <x:v>Caritas für die Diözese Hildesheim e.V.</x:v>
      </x:c>
      <x:c r="P812" t="str">
        <x:v>Re Nr. CV250650 Privatanteil Logpay-Abrechnung</x:v>
      </x:c>
      <x:c r="Q812" t="str">
        <x:v>Ausgang</x:v>
      </x:c>
      <x:c r="R812" t="str">
        <x:v>DE73400602650023003300</x:v>
      </x:c>
      <x:c r="S812" t="n">
        <x:v>-77.58</x:v>
      </x:c>
      <x:c r="T812" t="str">
        <x:v>"</x:v>
      </x:c>
      <x:c r="U812" t="str">
        <x:v>"</x:v>
      </x:c>
      <x:c r="V812" t="str">
        <x:v>"</x:v>
      </x:c>
    </x:row>
    <x:row r="813">
      <x:c r="A813" t="str">
        <x:v>RAW-IMP-20260516-FULLDRAFT-000796</x:v>
      </x:c>
      <x:c r="B813" t="str">
        <x:v>IMP-20260516-FULLDRAFT</x:v>
      </x:c>
      <x:c r="C813" t="str">
        <x:v>KTO001</x:v>
      </x:c>
      <x:c r="D813" t="str">
        <x:v>16-05-2026_Umsatzliste_Girokonto_DE98120300001061711675.csv</x:v>
      </x:c>
      <x:c r="E813" t="n">
        <x:v>46163</x:v>
      </x:c>
      <x:c r="F813" t="n">
        <x:v>796</x:v>
      </x:c>
      <x:c r="G813" t="str">
        <x:v>8329f30d13e183df39ebc3a815d1b078dfb1ed977576c88143edbd8f4e296f8c</x:v>
      </x:c>
      <x:c r="H813" t="str">
        <x:v>neu</x:v>
      </x:c>
      <x:c r="I813" t="str">
        <x:v>ok</x:v>
      </x:c>
      <x:c r="J813"/>
      <x:c r="K813" t="n">
        <x:v>45889</x:v>
      </x:c>
      <x:c r="L813" t="n">
        <x:v>45889</x:v>
      </x:c>
      <x:c r="M813" t="str">
        <x:v>Gebucht</x:v>
      </x:c>
      <x:c r="N813" t="str">
        <x:v>ISSUER</x:v>
      </x:c>
      <x:c r="O813" t="str">
        <x:v>PAYPAL..HPDEUTSCHLA/4029357733</x:v>
      </x:c>
      <x:c r="P813" t="str">
        <x:v>VISA Debitkartenumsatz vom 19.08.2025</x:v>
      </x:c>
      <x:c r="Q813" t="str">
        <x:v>Ausgang</x:v>
      </x:c>
      <x:c r="R813" t="str">
        <x:v>DE96120300009005290904</x:v>
      </x:c>
      <x:c r="S813" t="n">
        <x:v>-4.99</x:v>
      </x:c>
      <x:c r="T813" t="str">
        <x:v>"</x:v>
      </x:c>
      <x:c r="U813" t="str">
        <x:v>"</x:v>
      </x:c>
      <x:c r="V813" t="str">
        <x:v>585231795333713</x:v>
      </x:c>
    </x:row>
    <x:row r="814">
      <x:c r="A814" t="str">
        <x:v>RAW-IMP-20260516-FULLDRAFT-000797</x:v>
      </x:c>
      <x:c r="B814" t="str">
        <x:v>IMP-20260516-FULLDRAFT</x:v>
      </x:c>
      <x:c r="C814" t="str">
        <x:v>KTO001</x:v>
      </x:c>
      <x:c r="D814" t="str">
        <x:v>16-05-2026_Umsatzliste_Girokonto_DE98120300001061711675.csv</x:v>
      </x:c>
      <x:c r="E814" t="n">
        <x:v>46163</x:v>
      </x:c>
      <x:c r="F814" t="n">
        <x:v>797</x:v>
      </x:c>
      <x:c r="G814" t="str">
        <x:v>a46156745b4ce45485daa0a62a906ef4dffc9d65b4c7624cd418010bb1a1f611</x:v>
      </x:c>
      <x:c r="H814" t="str">
        <x:v>neu</x:v>
      </x:c>
      <x:c r="I814" t="str">
        <x:v>ok</x:v>
      </x:c>
      <x:c r="J814"/>
      <x:c r="K814" t="n">
        <x:v>45887</x:v>
      </x:c>
      <x:c r="L814" t="n">
        <x:v>45887</x:v>
      </x:c>
      <x:c r="M814" t="str">
        <x:v>Gebucht</x:v>
      </x:c>
      <x:c r="N814" t="str">
        <x:v>ISSUER</x:v>
      </x:c>
      <x:c r="O814" t="str">
        <x:v>ENTSORGUNGSZENTRUM.SAL/SALZGITTER</x:v>
      </x:c>
      <x:c r="P814" t="str">
        <x:v>VISA Debitkartenumsatz vom 15.08.2025</x:v>
      </x:c>
      <x:c r="Q814" t="str">
        <x:v>Ausgang</x:v>
      </x:c>
      <x:c r="R814" t="str">
        <x:v>DE96120300009005290904</x:v>
      </x:c>
      <x:c r="S814" t="n">
        <x:v>-7</x:v>
      </x:c>
      <x:c r="T814" t="str">
        <x:v>"</x:v>
      </x:c>
      <x:c r="U814" t="str">
        <x:v>"</x:v>
      </x:c>
      <x:c r="V814" t="str">
        <x:v>485227493588115</x:v>
      </x:c>
    </x:row>
    <x:row r="815">
      <x:c r="A815" t="str">
        <x:v>RAW-IMP-20260516-FULLDRAFT-000798</x:v>
      </x:c>
      <x:c r="B815" t="str">
        <x:v>IMP-20260516-FULLDRAFT</x:v>
      </x:c>
      <x:c r="C815" t="str">
        <x:v>KTO001</x:v>
      </x:c>
      <x:c r="D815" t="str">
        <x:v>16-05-2026_Umsatzliste_Girokonto_DE98120300001061711675.csv</x:v>
      </x:c>
      <x:c r="E815" t="n">
        <x:v>46163</x:v>
      </x:c>
      <x:c r="F815" t="n">
        <x:v>798</x:v>
      </x:c>
      <x:c r="G815" t="str">
        <x:v>5407d9fbc41033603b2230ca30dfe2be51d9b03aa31e047454cf8ace6c2ebe32</x:v>
      </x:c>
      <x:c r="H815" t="str">
        <x:v>neu</x:v>
      </x:c>
      <x:c r="I815" t="str">
        <x:v>ok</x:v>
      </x:c>
      <x:c r="J815"/>
      <x:c r="K815" t="n">
        <x:v>45887</x:v>
      </x:c>
      <x:c r="L815" t="n">
        <x:v>45887</x:v>
      </x:c>
      <x:c r="M815" t="str">
        <x:v>Gebucht</x:v>
      </x:c>
      <x:c r="N815" t="str">
        <x:v>ISSUER</x:v>
      </x:c>
      <x:c r="O815" t="str">
        <x:v>REWE.Markt.GmbH.ZW/Salzgitter</x:v>
      </x:c>
      <x:c r="P815" t="str">
        <x:v>VISA Debitkartenumsatz vom 15.08.2025</x:v>
      </x:c>
      <x:c r="Q815" t="str">
        <x:v>Ausgang</x:v>
      </x:c>
      <x:c r="R815" t="str">
        <x:v>DE96120300009005290904</x:v>
      </x:c>
      <x:c r="S815" t="n">
        <x:v>-7.68</x:v>
      </x:c>
      <x:c r="T815" t="str">
        <x:v>"</x:v>
      </x:c>
      <x:c r="U815" t="str">
        <x:v>"</x:v>
      </x:c>
      <x:c r="V815" t="str">
        <x:v>485227612777791</x:v>
      </x:c>
    </x:row>
    <x:row r="816">
      <x:c r="A816" t="str">
        <x:v>RAW-IMP-20260516-FULLDRAFT-000799</x:v>
      </x:c>
      <x:c r="B816" t="str">
        <x:v>IMP-20260516-FULLDRAFT</x:v>
      </x:c>
      <x:c r="C816" t="str">
        <x:v>KTO001</x:v>
      </x:c>
      <x:c r="D816" t="str">
        <x:v>16-05-2026_Umsatzliste_Girokonto_DE98120300001061711675.csv</x:v>
      </x:c>
      <x:c r="E816" t="n">
        <x:v>46163</x:v>
      </x:c>
      <x:c r="F816" t="n">
        <x:v>799</x:v>
      </x:c>
      <x:c r="G816" t="str">
        <x:v>35146ff3d932719653f0969172ea05ef5eb858d59aa2a762dde5324ce9afd27e</x:v>
      </x:c>
      <x:c r="H816" t="str">
        <x:v>neu</x:v>
      </x:c>
      <x:c r="I816" t="str">
        <x:v>ok</x:v>
      </x:c>
      <x:c r="J816"/>
      <x:c r="K816" t="n">
        <x:v>45887</x:v>
      </x:c>
      <x:c r="L816" t="n">
        <x:v>45887</x:v>
      </x:c>
      <x:c r="M816" t="str">
        <x:v>Gebucht</x:v>
      </x:c>
      <x:c r="N816" t="str">
        <x:v>ISSUER</x:v>
      </x:c>
      <x:c r="O816" t="str">
        <x:v>Lidl.sagt.Danke/Salzgitter</x:v>
      </x:c>
      <x:c r="P816" t="str">
        <x:v>VISA Debitkartenumsatz vom 15.08.2025</x:v>
      </x:c>
      <x:c r="Q816" t="str">
        <x:v>Ausgang</x:v>
      </x:c>
      <x:c r="R816" t="str">
        <x:v>DE96120300009005290904</x:v>
      </x:c>
      <x:c r="S816" t="n">
        <x:v>-13.64</x:v>
      </x:c>
      <x:c r="T816" t="str">
        <x:v>"</x:v>
      </x:c>
      <x:c r="U816" t="str">
        <x:v>"</x:v>
      </x:c>
      <x:c r="V816" t="str">
        <x:v>485227619746821</x:v>
      </x:c>
    </x:row>
    <x:row r="817">
      <x:c r="A817" t="str">
        <x:v>RAW-IMP-20260516-FULLDRAFT-000800</x:v>
      </x:c>
      <x:c r="B817" t="str">
        <x:v>IMP-20260516-FULLDRAFT</x:v>
      </x:c>
      <x:c r="C817" t="str">
        <x:v>KTO001</x:v>
      </x:c>
      <x:c r="D817" t="str">
        <x:v>16-05-2026_Umsatzliste_Girokonto_DE98120300001061711675.csv</x:v>
      </x:c>
      <x:c r="E817" t="n">
        <x:v>46163</x:v>
      </x:c>
      <x:c r="F817" t="n">
        <x:v>800</x:v>
      </x:c>
      <x:c r="G817" t="str">
        <x:v>07ae60b9fe168c2f14ee9f57c6a525e5e0fb3a67d6803fd9ba83774e102fdce0</x:v>
      </x:c>
      <x:c r="H817" t="str">
        <x:v>neu</x:v>
      </x:c>
      <x:c r="I817" t="str">
        <x:v>ok</x:v>
      </x:c>
      <x:c r="J817"/>
      <x:c r="K817" t="n">
        <x:v>45887</x:v>
      </x:c>
      <x:c r="L817" t="n">
        <x:v>45887</x:v>
      </x:c>
      <x:c r="M817" t="str">
        <x:v>Gebucht</x:v>
      </x:c>
      <x:c r="N817" t="str">
        <x:v>ISSUER</x:v>
      </x:c>
      <x:c r="O817" t="str">
        <x:v>REWE.Salzgitter.Ge/Salzgitter</x:v>
      </x:c>
      <x:c r="P817" t="str">
        <x:v>VISA Debitkartenumsatz vom 15.08.2025</x:v>
      </x:c>
      <x:c r="Q817" t="str">
        <x:v>Ausgang</x:v>
      </x:c>
      <x:c r="R817" t="str">
        <x:v>DE96120300009005290904</x:v>
      </x:c>
      <x:c r="S817" t="n">
        <x:v>-115.74</x:v>
      </x:c>
      <x:c r="T817" t="str">
        <x:v>"</x:v>
      </x:c>
      <x:c r="U817" t="str">
        <x:v>"</x:v>
      </x:c>
      <x:c r="V817" t="str">
        <x:v>485227400163967</x:v>
      </x:c>
    </x:row>
    <x:row r="818">
      <x:c r="A818" t="str">
        <x:v>RAW-IMP-20260516-FULLDRAFT-000801</x:v>
      </x:c>
      <x:c r="B818" t="str">
        <x:v>IMP-20260516-FULLDRAFT</x:v>
      </x:c>
      <x:c r="C818" t="str">
        <x:v>KTO001</x:v>
      </x:c>
      <x:c r="D818" t="str">
        <x:v>16-05-2026_Umsatzliste_Girokonto_DE98120300001061711675.csv</x:v>
      </x:c>
      <x:c r="E818" t="n">
        <x:v>46163</x:v>
      </x:c>
      <x:c r="F818" t="n">
        <x:v>801</x:v>
      </x:c>
      <x:c r="G818" t="str">
        <x:v>50f59482f1a669841880d90c110dae49a982e930dd794b44a5b9e720e914cc28</x:v>
      </x:c>
      <x:c r="H818" t="str">
        <x:v>neu</x:v>
      </x:c>
      <x:c r="I818" t="str">
        <x:v>ok</x:v>
      </x:c>
      <x:c r="J818"/>
      <x:c r="K818" t="n">
        <x:v>45887</x:v>
      </x:c>
      <x:c r="L818" t="n">
        <x:v>45887</x:v>
      </x:c>
      <x:c r="M818" t="str">
        <x:v>Gebucht</x:v>
      </x:c>
      <x:c r="N818" t="str">
        <x:v>ISSUER</x:v>
      </x:c>
      <x:c r="O818" t="str">
        <x:v>E.CENTER.3443.SALZGITT/SALZGITTER</x:v>
      </x:c>
      <x:c r="P818" t="str">
        <x:v>VISA Debitkartenumsatz vom 15.08.2025</x:v>
      </x:c>
      <x:c r="Q818" t="str">
        <x:v>Ausgang</x:v>
      </x:c>
      <x:c r="R818" t="str">
        <x:v>DE96120300009005290904</x:v>
      </x:c>
      <x:c r="S818" t="n">
        <x:v>-3.95</x:v>
      </x:c>
      <x:c r="T818" t="str">
        <x:v>"</x:v>
      </x:c>
      <x:c r="U818" t="str">
        <x:v>"</x:v>
      </x:c>
      <x:c r="V818" t="str">
        <x:v>485227604498162</x:v>
      </x:c>
    </x:row>
    <x:row r="819">
      <x:c r="A819" t="str">
        <x:v>RAW-IMP-20260516-FULLDRAFT-000802</x:v>
      </x:c>
      <x:c r="B819" t="str">
        <x:v>IMP-20260516-FULLDRAFT</x:v>
      </x:c>
      <x:c r="C819" t="str">
        <x:v>KTO001</x:v>
      </x:c>
      <x:c r="D819" t="str">
        <x:v>16-05-2026_Umsatzliste_Girokonto_DE98120300001061711675.csv</x:v>
      </x:c>
      <x:c r="E819" t="n">
        <x:v>46163</x:v>
      </x:c>
      <x:c r="F819" t="n">
        <x:v>802</x:v>
      </x:c>
      <x:c r="G819" t="str">
        <x:v>982b395f84d75b54b0f3b6aecd9e98922e95fff361338370ddc23b4cc7d66622</x:v>
      </x:c>
      <x:c r="H819" t="str">
        <x:v>neu</x:v>
      </x:c>
      <x:c r="I819" t="str">
        <x:v>ok</x:v>
      </x:c>
      <x:c r="J819"/>
      <x:c r="K819" t="n">
        <x:v>45887</x:v>
      </x:c>
      <x:c r="L819" t="n">
        <x:v>45887</x:v>
      </x:c>
      <x:c r="M819" t="str">
        <x:v>Gebucht</x:v>
      </x:c>
      <x:c r="N819" t="str">
        <x:v>ISSUER</x:v>
      </x:c>
      <x:c r="O819" t="str">
        <x:v>E.CENTER.3443.SALZGITT/SALZGITTER</x:v>
      </x:c>
      <x:c r="P819" t="str">
        <x:v>VISA Debitkartenumsatz vom 15.08.2025</x:v>
      </x:c>
      <x:c r="Q819" t="str">
        <x:v>Ausgang</x:v>
      </x:c>
      <x:c r="R819" t="str">
        <x:v>DE96120300009005290904</x:v>
      </x:c>
      <x:c r="S819" t="n">
        <x:v>-11.42</x:v>
      </x:c>
      <x:c r="T819" t="str">
        <x:v>"</x:v>
      </x:c>
      <x:c r="U819" t="str">
        <x:v>"</x:v>
      </x:c>
      <x:c r="V819" t="str">
        <x:v>485227603438433</x:v>
      </x:c>
    </x:row>
    <x:row r="820">
      <x:c r="A820" t="str">
        <x:v>RAW-IMP-20260516-FULLDRAFT-000803</x:v>
      </x:c>
      <x:c r="B820" t="str">
        <x:v>IMP-20260516-FULLDRAFT</x:v>
      </x:c>
      <x:c r="C820" t="str">
        <x:v>KTO001</x:v>
      </x:c>
      <x:c r="D820" t="str">
        <x:v>16-05-2026_Umsatzliste_Girokonto_DE98120300001061711675.csv</x:v>
      </x:c>
      <x:c r="E820" t="n">
        <x:v>46163</x:v>
      </x:c>
      <x:c r="F820" t="n">
        <x:v>803</x:v>
      </x:c>
      <x:c r="G820" t="str">
        <x:v>c8b05304ffce5fade262b8e0ff93d0a9fcc3cfcac00f7bbfd1911bbab8ddd979</x:v>
      </x:c>
      <x:c r="H820" t="str">
        <x:v>neu</x:v>
      </x:c>
      <x:c r="I820" t="str">
        <x:v>ok</x:v>
      </x:c>
      <x:c r="J820"/>
      <x:c r="K820" t="n">
        <x:v>45884</x:v>
      </x:c>
      <x:c r="L820" t="n">
        <x:v>45884</x:v>
      </x:c>
      <x:c r="M820" t="str">
        <x:v>Gebucht</x:v>
      </x:c>
      <x:c r="N820" t="str">
        <x:v>ISSUER</x:v>
      </x:c>
      <x:c r="O820" t="str">
        <x:v>BURGER.KING.16221SOT/WOLFSBURG</x:v>
      </x:c>
      <x:c r="P820" t="str">
        <x:v>VISA Debitkartenumsatz vom 14.08.2025</x:v>
      </x:c>
      <x:c r="Q820" t="str">
        <x:v>Ausgang</x:v>
      </x:c>
      <x:c r="R820" t="str">
        <x:v>DE96120300009005290904</x:v>
      </x:c>
      <x:c r="S820" t="n">
        <x:v>-18.18</x:v>
      </x:c>
      <x:c r="T820" t="str">
        <x:v>"</x:v>
      </x:c>
      <x:c r="U820" t="str">
        <x:v>"</x:v>
      </x:c>
      <x:c r="V820" t="str">
        <x:v>485226370968664</x:v>
      </x:c>
    </x:row>
    <x:row r="821">
      <x:c r="A821" t="str">
        <x:v>RAW-IMP-20260516-FULLDRAFT-000804</x:v>
      </x:c>
      <x:c r="B821" t="str">
        <x:v>IMP-20260516-FULLDRAFT</x:v>
      </x:c>
      <x:c r="C821" t="str">
        <x:v>KTO001</x:v>
      </x:c>
      <x:c r="D821" t="str">
        <x:v>16-05-2026_Umsatzliste_Girokonto_DE98120300001061711675.csv</x:v>
      </x:c>
      <x:c r="E821" t="n">
        <x:v>46163</x:v>
      </x:c>
      <x:c r="F821" t="n">
        <x:v>804</x:v>
      </x:c>
      <x:c r="G821" t="str">
        <x:v>0922ac97ba4ceddcde27d33d36a651d6b143e2211b5bdde87f57fbd79c0cc202</x:v>
      </x:c>
      <x:c r="H821" t="str">
        <x:v>neu</x:v>
      </x:c>
      <x:c r="I821" t="str">
        <x:v>ok</x:v>
      </x:c>
      <x:c r="J821"/>
      <x:c r="K821" t="n">
        <x:v>45884</x:v>
      </x:c>
      <x:c r="L821" t="n">
        <x:v>45884</x:v>
      </x:c>
      <x:c r="M821" t="str">
        <x:v>Gebucht</x:v>
      </x:c>
      <x:c r="N821" t="str">
        <x:v>ISSUER</x:v>
      </x:c>
      <x:c r="O821" t="str">
        <x:v>Wasserski.Salzgitter/Salzgitter</x:v>
      </x:c>
      <x:c r="P821" t="str">
        <x:v>VISA Debitkartenumsatz vom 14.08.2025</x:v>
      </x:c>
      <x:c r="Q821" t="str">
        <x:v>Ausgang</x:v>
      </x:c>
      <x:c r="R821" t="str">
        <x:v>DE96120300009005290904</x:v>
      </x:c>
      <x:c r="S821" t="n">
        <x:v>-10.3</x:v>
      </x:c>
      <x:c r="T821" t="str">
        <x:v>"</x:v>
      </x:c>
      <x:c r="U821" t="str">
        <x:v>"</x:v>
      </x:c>
      <x:c r="V821" t="str">
        <x:v>485226595236942</x:v>
      </x:c>
    </x:row>
    <x:row r="822">
      <x:c r="A822" t="str">
        <x:v>RAW-IMP-20260516-FULLDRAFT-000805</x:v>
      </x:c>
      <x:c r="B822" t="str">
        <x:v>IMP-20260516-FULLDRAFT</x:v>
      </x:c>
      <x:c r="C822" t="str">
        <x:v>KTO001</x:v>
      </x:c>
      <x:c r="D822" t="str">
        <x:v>16-05-2026_Umsatzliste_Girokonto_DE98120300001061711675.csv</x:v>
      </x:c>
      <x:c r="E822" t="n">
        <x:v>46163</x:v>
      </x:c>
      <x:c r="F822" t="n">
        <x:v>805</x:v>
      </x:c>
      <x:c r="G822" t="str">
        <x:v>c4fedad4347f48d1f358d6c8d70477a9847a594ef766758104c6239f37da64a2</x:v>
      </x:c>
      <x:c r="H822" t="str">
        <x:v>neu</x:v>
      </x:c>
      <x:c r="I822" t="str">
        <x:v>ok</x:v>
      </x:c>
      <x:c r="J822"/>
      <x:c r="K822" t="n">
        <x:v>45883</x:v>
      </x:c>
      <x:c r="L822" t="n">
        <x:v>45883</x:v>
      </x:c>
      <x:c r="M822" t="str">
        <x:v>Gebucht</x:v>
      </x:c>
      <x:c r="N822" t="str">
        <x:v>ISSUER</x:v>
      </x:c>
      <x:c r="O822" t="str">
        <x:v>EDEKA.POTRATZ/HILDESHEIM</x:v>
      </x:c>
      <x:c r="P822" t="str">
        <x:v>VISA Debitkartenumsatz vom 13.08.2025</x:v>
      </x:c>
      <x:c r="Q822" t="str">
        <x:v>Ausgang</x:v>
      </x:c>
      <x:c r="R822" t="str">
        <x:v>DE96120300009005290904</x:v>
      </x:c>
      <x:c r="S822" t="n">
        <x:v>-8.7</x:v>
      </x:c>
      <x:c r="T822" t="str">
        <x:v>"</x:v>
      </x:c>
      <x:c r="U822" t="str">
        <x:v>"</x:v>
      </x:c>
      <x:c r="V822" t="str">
        <x:v>465225247763721</x:v>
      </x:c>
    </x:row>
    <x:row r="823">
      <x:c r="A823" t="str">
        <x:v>RAW-IMP-20260516-FULLDRAFT-000806</x:v>
      </x:c>
      <x:c r="B823" t="str">
        <x:v>IMP-20260516-FULLDRAFT</x:v>
      </x:c>
      <x:c r="C823" t="str">
        <x:v>KTO001</x:v>
      </x:c>
      <x:c r="D823" t="str">
        <x:v>16-05-2026_Umsatzliste_Girokonto_DE98120300001061711675.csv</x:v>
      </x:c>
      <x:c r="E823" t="n">
        <x:v>46163</x:v>
      </x:c>
      <x:c r="F823" t="n">
        <x:v>806</x:v>
      </x:c>
      <x:c r="G823" t="str">
        <x:v>52be301e749b9b6cb02bb06e1b7cc48773e053cf3e8fd372e8712e853c28cb85</x:v>
      </x:c>
      <x:c r="H823" t="str">
        <x:v>neu</x:v>
      </x:c>
      <x:c r="I823" t="str">
        <x:v>ok</x:v>
      </x:c>
      <x:c r="J823"/>
      <x:c r="K823" t="n">
        <x:v>45883</x:v>
      </x:c>
      <x:c r="L823" t="n">
        <x:v>45883</x:v>
      </x:c>
      <x:c r="M823" t="str">
        <x:v>Gebucht</x:v>
      </x:c>
      <x:c r="N823" t="str">
        <x:v>ISSUER</x:v>
      </x:c>
      <x:c r="O823" t="str">
        <x:v>REWE.Salzgitter.Ge/Salzgitter</x:v>
      </x:c>
      <x:c r="P823" t="str">
        <x:v>VISA Debitkartenumsatz vom 13.08.2025</x:v>
      </x:c>
      <x:c r="Q823" t="str">
        <x:v>Ausgang</x:v>
      </x:c>
      <x:c r="R823" t="str">
        <x:v>DE96120300009005290904</x:v>
      </x:c>
      <x:c r="S823" t="n">
        <x:v>-25.21</x:v>
      </x:c>
      <x:c r="T823" t="str">
        <x:v>"</x:v>
      </x:c>
      <x:c r="U823" t="str">
        <x:v>"</x:v>
      </x:c>
      <x:c r="V823" t="str">
        <x:v>485225606099360</x:v>
      </x:c>
    </x:row>
    <x:row r="824">
      <x:c r="A824" t="str">
        <x:v>RAW-IMP-20260516-FULLDRAFT-000807</x:v>
      </x:c>
      <x:c r="B824" t="str">
        <x:v>IMP-20260516-FULLDRAFT</x:v>
      </x:c>
      <x:c r="C824" t="str">
        <x:v>KTO001</x:v>
      </x:c>
      <x:c r="D824" t="str">
        <x:v>16-05-2026_Umsatzliste_Girokonto_DE98120300001061711675.csv</x:v>
      </x:c>
      <x:c r="E824" t="n">
        <x:v>46163</x:v>
      </x:c>
      <x:c r="F824" t="n">
        <x:v>807</x:v>
      </x:c>
      <x:c r="G824" t="str">
        <x:v>77ce0c0309ecddebb2d4c00d572ebd7b2576514b13febf040978a2752ecdf3c1</x:v>
      </x:c>
      <x:c r="H824" t="str">
        <x:v>neu</x:v>
      </x:c>
      <x:c r="I824" t="str">
        <x:v>ok</x:v>
      </x:c>
      <x:c r="J824"/>
      <x:c r="K824" t="n">
        <x:v>45882</x:v>
      </x:c>
      <x:c r="L824" t="n">
        <x:v>45882</x:v>
      </x:c>
      <x:c r="M824" t="str">
        <x:v>Gebucht</x:v>
      </x:c>
      <x:c r="N824" t="str">
        <x:v>ISSUER</x:v>
      </x:c>
      <x:c r="O824" t="str">
        <x:v>PAYPAL..CORNELSENVE/1707990901</x:v>
      </x:c>
      <x:c r="P824" t="str">
        <x:v>VISA Debitkartenumsatz vom 11.08.2025</x:v>
      </x:c>
      <x:c r="Q824" t="str">
        <x:v>Ausgang</x:v>
      </x:c>
      <x:c r="R824" t="str">
        <x:v>DE96120300009005290904</x:v>
      </x:c>
      <x:c r="S824" t="n">
        <x:v>-9.99</x:v>
      </x:c>
      <x:c r="T824" t="str">
        <x:v>"</x:v>
      </x:c>
      <x:c r="U824" t="str">
        <x:v>"</x:v>
      </x:c>
      <x:c r="V824" t="str">
        <x:v>385223630648292</x:v>
      </x:c>
    </x:row>
    <x:row r="825">
      <x:c r="A825" t="str">
        <x:v>RAW-IMP-20260516-FULLDRAFT-000808</x:v>
      </x:c>
      <x:c r="B825" t="str">
        <x:v>IMP-20260516-FULLDRAFT</x:v>
      </x:c>
      <x:c r="C825" t="str">
        <x:v>KTO001</x:v>
      </x:c>
      <x:c r="D825" t="str">
        <x:v>16-05-2026_Umsatzliste_Girokonto_DE98120300001061711675.csv</x:v>
      </x:c>
      <x:c r="E825" t="n">
        <x:v>46163</x:v>
      </x:c>
      <x:c r="F825" t="n">
        <x:v>808</x:v>
      </x:c>
      <x:c r="G825" t="str">
        <x:v>1940585b778ce104948893e9d076d6b79e45319108f62ba0c6d573f849908153</x:v>
      </x:c>
      <x:c r="H825" t="str">
        <x:v>neu</x:v>
      </x:c>
      <x:c r="I825" t="str">
        <x:v>ok</x:v>
      </x:c>
      <x:c r="J825"/>
      <x:c r="K825" t="n">
        <x:v>45882</x:v>
      </x:c>
      <x:c r="L825" t="n">
        <x:v>45882</x:v>
      </x:c>
      <x:c r="M825" t="str">
        <x:v>Gebucht</x:v>
      </x:c>
      <x:c r="N825" t="str">
        <x:v>ISSUER</x:v>
      </x:c>
      <x:c r="O825" t="str">
        <x:v>REWE.Salzgitter.Ge/Salzgitter</x:v>
      </x:c>
      <x:c r="P825" t="str">
        <x:v>VISA Debitkartenumsatz vom 12.08.2025</x:v>
      </x:c>
      <x:c r="Q825" t="str">
        <x:v>Ausgang</x:v>
      </x:c>
      <x:c r="R825" t="str">
        <x:v>DE96120300009005290904</x:v>
      </x:c>
      <x:c r="S825" t="n">
        <x:v>-13.33</x:v>
      </x:c>
      <x:c r="T825" t="str">
        <x:v>"</x:v>
      </x:c>
      <x:c r="U825" t="str">
        <x:v>"</x:v>
      </x:c>
      <x:c r="V825" t="str">
        <x:v>485224651015722</x:v>
      </x:c>
    </x:row>
    <x:row r="826">
      <x:c r="A826" t="str">
        <x:v>RAW-IMP-20260516-FULLDRAFT-000809</x:v>
      </x:c>
      <x:c r="B826" t="str">
        <x:v>IMP-20260516-FULLDRAFT</x:v>
      </x:c>
      <x:c r="C826" t="str">
        <x:v>KTO001</x:v>
      </x:c>
      <x:c r="D826" t="str">
        <x:v>16-05-2026_Umsatzliste_Girokonto_DE98120300001061711675.csv</x:v>
      </x:c>
      <x:c r="E826" t="n">
        <x:v>46163</x:v>
      </x:c>
      <x:c r="F826" t="n">
        <x:v>809</x:v>
      </x:c>
      <x:c r="G826" t="str">
        <x:v>0f872d4307f1572c9dc6668448d9f89192616b393fb89823a8251204cd7797fa</x:v>
      </x:c>
      <x:c r="H826" t="str">
        <x:v>neu</x:v>
      </x:c>
      <x:c r="I826" t="str">
        <x:v>ok</x:v>
      </x:c>
      <x:c r="J826"/>
      <x:c r="K826" t="n">
        <x:v>45882</x:v>
      </x:c>
      <x:c r="L826" t="n">
        <x:v>45881</x:v>
      </x:c>
      <x:c r="M826" t="str">
        <x:v>Gebucht</x:v>
      </x:c>
      <x:c r="N826" t="str">
        <x:v>ISSUER</x:v>
      </x:c>
      <x:c r="O826" t="str">
        <x:v>SPK.HILDESHEIM.GOSLAR.P/GODEHARDI</x:v>
      </x:c>
      <x:c r="P826" t="str">
        <x:v>VISA Debitkartenumsatz vom 12.08.2025</x:v>
      </x:c>
      <x:c r="Q826" t="str">
        <x:v>Ausgang</x:v>
      </x:c>
      <x:c r="R826" t="str">
        <x:v>DE96120300009005290904</x:v>
      </x:c>
      <x:c r="S826" t="n">
        <x:v>-100</x:v>
      </x:c>
      <x:c r="T826" t="str">
        <x:v>"</x:v>
      </x:c>
      <x:c r="U826" t="str">
        <x:v>"</x:v>
      </x:c>
      <x:c r="V826" t="str">
        <x:v>485224366481853</x:v>
      </x:c>
    </x:row>
    <x:row r="827">
      <x:c r="A827" t="str">
        <x:v>RAW-IMP-20260516-FULLDRAFT-000810</x:v>
      </x:c>
      <x:c r="B827" t="str">
        <x:v>IMP-20260516-FULLDRAFT</x:v>
      </x:c>
      <x:c r="C827" t="str">
        <x:v>KTO001</x:v>
      </x:c>
      <x:c r="D827" t="str">
        <x:v>16-05-2026_Umsatzliste_Girokonto_DE98120300001061711675.csv</x:v>
      </x:c>
      <x:c r="E827" t="n">
        <x:v>46163</x:v>
      </x:c>
      <x:c r="F827" t="n">
        <x:v>810</x:v>
      </x:c>
      <x:c r="G827" t="str">
        <x:v>6dde45400decda6832f54aa33cd6b8c3dd233b9985683ddbc87359860c1ddca5</x:v>
      </x:c>
      <x:c r="H827" t="str">
        <x:v>neu</x:v>
      </x:c>
      <x:c r="I827" t="str">
        <x:v>ok</x:v>
      </x:c>
      <x:c r="J827"/>
      <x:c r="K827" t="n">
        <x:v>45881</x:v>
      </x:c>
      <x:c r="L827" t="n">
        <x:v>45881</x:v>
      </x:c>
      <x:c r="M827" t="str">
        <x:v>Gebucht</x:v>
      </x:c>
      <x:c r="N827" t="str">
        <x:v>ISSUER</x:v>
      </x:c>
      <x:c r="O827" t="str">
        <x:v>PAYPAL..EKV/71166721333</x:v>
      </x:c>
      <x:c r="P827" t="str">
        <x:v>VISA Debitkartenumsatz vom 11.08.2025</x:v>
      </x:c>
      <x:c r="Q827" t="str">
        <x:v>Ausgang</x:v>
      </x:c>
      <x:c r="R827" t="str">
        <x:v>DE96120300009005290904</x:v>
      </x:c>
      <x:c r="S827" t="n">
        <x:v>-7.95</x:v>
      </x:c>
      <x:c r="T827" t="str">
        <x:v>"</x:v>
      </x:c>
      <x:c r="U827" t="str">
        <x:v>"</x:v>
      </x:c>
      <x:c r="V827" t="str">
        <x:v>465223633633725</x:v>
      </x:c>
    </x:row>
    <x:row r="828">
      <x:c r="A828" t="str">
        <x:v>RAW-IMP-20260516-FULLDRAFT-000811</x:v>
      </x:c>
      <x:c r="B828" t="str">
        <x:v>IMP-20260516-FULLDRAFT</x:v>
      </x:c>
      <x:c r="C828" t="str">
        <x:v>KTO001</x:v>
      </x:c>
      <x:c r="D828" t="str">
        <x:v>16-05-2026_Umsatzliste_Girokonto_DE98120300001061711675.csv</x:v>
      </x:c>
      <x:c r="E828" t="n">
        <x:v>46163</x:v>
      </x:c>
      <x:c r="F828" t="n">
        <x:v>811</x:v>
      </x:c>
      <x:c r="G828" t="str">
        <x:v>2cdd5e534c8dccd085c8866d785f33c6c437ea810fa48719cd0c742509f090c3</x:v>
      </x:c>
      <x:c r="H828" t="str">
        <x:v>neu</x:v>
      </x:c>
      <x:c r="I828" t="str">
        <x:v>ok</x:v>
      </x:c>
      <x:c r="J828"/>
      <x:c r="K828" t="n">
        <x:v>45881</x:v>
      </x:c>
      <x:c r="L828" t="n">
        <x:v>45881</x:v>
      </x:c>
      <x:c r="M828" t="str">
        <x:v>Gebucht</x:v>
      </x:c>
      <x:c r="N828" t="str">
        <x:v>ISSUER</x:v>
      </x:c>
      <x:c r="O828" t="str">
        <x:v>PAYPAL..VRB/4029357733</x:v>
      </x:c>
      <x:c r="P828" t="str">
        <x:v>VISA Debitkartenumsatz vom 11.08.2025</x:v>
      </x:c>
      <x:c r="Q828" t="str">
        <x:v>Ausgang</x:v>
      </x:c>
      <x:c r="R828" t="str">
        <x:v>DE96120300009005290904</x:v>
      </x:c>
      <x:c r="S828" t="n">
        <x:v>-30</x:v>
      </x:c>
      <x:c r="T828" t="str">
        <x:v>"</x:v>
      </x:c>
      <x:c r="U828" t="str">
        <x:v>"</x:v>
      </x:c>
      <x:c r="V828" t="str">
        <x:v>585223577736577</x:v>
      </x:c>
    </x:row>
    <x:row r="829">
      <x:c r="A829" t="str">
        <x:v>RAW-IMP-20260516-FULLDRAFT-000812</x:v>
      </x:c>
      <x:c r="B829" t="str">
        <x:v>IMP-20260516-FULLDRAFT</x:v>
      </x:c>
      <x:c r="C829" t="str">
        <x:v>KTO001</x:v>
      </x:c>
      <x:c r="D829" t="str">
        <x:v>16-05-2026_Umsatzliste_Girokonto_DE98120300001061711675.csv</x:v>
      </x:c>
      <x:c r="E829" t="n">
        <x:v>46163</x:v>
      </x:c>
      <x:c r="F829" t="n">
        <x:v>812</x:v>
      </x:c>
      <x:c r="G829" t="str">
        <x:v>78a26b96945113dfe82133ef917f6b57fdf5a661d4e441c2e3b7491e61819c47</x:v>
      </x:c>
      <x:c r="H829" t="str">
        <x:v>neu</x:v>
      </x:c>
      <x:c r="I829" t="str">
        <x:v>ok</x:v>
      </x:c>
      <x:c r="J829"/>
      <x:c r="K829" t="n">
        <x:v>45881</x:v>
      </x:c>
      <x:c r="L829" t="n">
        <x:v>45881</x:v>
      </x:c>
      <x:c r="M829" t="str">
        <x:v>Gebucht</x:v>
      </x:c>
      <x:c r="N829" t="str">
        <x:v>ISSUER</x:v>
      </x:c>
      <x:c r="O829" t="str">
        <x:v>PAYPAL..WESTERMANNL/4029357733</x:v>
      </x:c>
      <x:c r="P829" t="str">
        <x:v>VISA Debitkartenumsatz vom 11.08.2025</x:v>
      </x:c>
      <x:c r="Q829" t="str">
        <x:v>Ausgang</x:v>
      </x:c>
      <x:c r="R829" t="str">
        <x:v>DE96120300009005290904</x:v>
      </x:c>
      <x:c r="S829" t="n">
        <x:v>-10</x:v>
      </x:c>
      <x:c r="T829" t="str">
        <x:v>"</x:v>
      </x:c>
      <x:c r="U829" t="str">
        <x:v>"</x:v>
      </x:c>
      <x:c r="V829" t="str">
        <x:v>585223635353230</x:v>
      </x:c>
    </x:row>
    <x:row r="830">
      <x:c r="A830" t="str">
        <x:v>RAW-IMP-20260516-FULLDRAFT-000813</x:v>
      </x:c>
      <x:c r="B830" t="str">
        <x:v>IMP-20260516-FULLDRAFT</x:v>
      </x:c>
      <x:c r="C830" t="str">
        <x:v>KTO001</x:v>
      </x:c>
      <x:c r="D830" t="str">
        <x:v>16-05-2026_Umsatzliste_Girokonto_DE98120300001061711675.csv</x:v>
      </x:c>
      <x:c r="E830" t="n">
        <x:v>46163</x:v>
      </x:c>
      <x:c r="F830" t="n">
        <x:v>813</x:v>
      </x:c>
      <x:c r="G830" t="str">
        <x:v>fe609afe56f3009e4c1e4461d6f8bf5a102d455934a22a347079557d58139bb3</x:v>
      </x:c>
      <x:c r="H830" t="str">
        <x:v>neu</x:v>
      </x:c>
      <x:c r="I830" t="str">
        <x:v>ok</x:v>
      </x:c>
      <x:c r="J830"/>
      <x:c r="K830" t="n">
        <x:v>45881</x:v>
      </x:c>
      <x:c r="L830" t="n">
        <x:v>45881</x:v>
      </x:c>
      <x:c r="M830" t="str">
        <x:v>Gebucht</x:v>
      </x:c>
      <x:c r="N830" t="str">
        <x:v>ISSUER</x:v>
      </x:c>
      <x:c r="O830" t="str">
        <x:v>PAYPAL..CORNELSENVE/4029357733</x:v>
      </x:c>
      <x:c r="P830" t="str">
        <x:v>VISA Debitkartenumsatz vom 10.08.2025</x:v>
      </x:c>
      <x:c r="Q830" t="str">
        <x:v>Ausgang</x:v>
      </x:c>
      <x:c r="R830" t="str">
        <x:v>DE96120300009005290904</x:v>
      </x:c>
      <x:c r="S830" t="n">
        <x:v>-9.99</x:v>
      </x:c>
      <x:c r="T830" t="str">
        <x:v>"</x:v>
      </x:c>
      <x:c r="U830" t="str">
        <x:v>"</x:v>
      </x:c>
      <x:c r="V830" t="str">
        <x:v>385222547103503</x:v>
      </x:c>
    </x:row>
    <x:row r="831">
      <x:c r="A831" t="str">
        <x:v>RAW-IMP-20260516-FULLDRAFT-000814</x:v>
      </x:c>
      <x:c r="B831" t="str">
        <x:v>IMP-20260516-FULLDRAFT</x:v>
      </x:c>
      <x:c r="C831" t="str">
        <x:v>KTO001</x:v>
      </x:c>
      <x:c r="D831" t="str">
        <x:v>16-05-2026_Umsatzliste_Girokonto_DE98120300001061711675.csv</x:v>
      </x:c>
      <x:c r="E831" t="n">
        <x:v>46163</x:v>
      </x:c>
      <x:c r="F831" t="n">
        <x:v>814</x:v>
      </x:c>
      <x:c r="G831" t="str">
        <x:v>4e46391872b34f70bf75e34f19f60eaffe7fa6ed28126b5a5b511634d4f0596f</x:v>
      </x:c>
      <x:c r="H831" t="str">
        <x:v>neu</x:v>
      </x:c>
      <x:c r="I831" t="str">
        <x:v>ok</x:v>
      </x:c>
      <x:c r="J831"/>
      <x:c r="K831" t="n">
        <x:v>45880</x:v>
      </x:c>
      <x:c r="L831" t="n">
        <x:v>45880</x:v>
      </x:c>
      <x:c r="M831" t="str">
        <x:v>Gebucht</x:v>
      </x:c>
      <x:c r="N831" t="str">
        <x:v>ISSUER</x:v>
      </x:c>
      <x:c r="O831" t="str">
        <x:v>PAYPAL..WESTERMANNL/4029357733</x:v>
      </x:c>
      <x:c r="P831" t="str">
        <x:v>VISA Debitkartenumsatz vom 10.08.2025</x:v>
      </x:c>
      <x:c r="Q831" t="str">
        <x:v>Ausgang</x:v>
      </x:c>
      <x:c r="R831" t="str">
        <x:v>DE96120300009005290904</x:v>
      </x:c>
      <x:c r="S831" t="n">
        <x:v>-6</x:v>
      </x:c>
      <x:c r="T831" t="str">
        <x:v>"</x:v>
      </x:c>
      <x:c r="U831" t="str">
        <x:v>"</x:v>
      </x:c>
      <x:c r="V831" t="str">
        <x:v>305222536803752</x:v>
      </x:c>
    </x:row>
    <x:row r="832">
      <x:c r="A832" t="str">
        <x:v>RAW-IMP-20260516-FULLDRAFT-000815</x:v>
      </x:c>
      <x:c r="B832" t="str">
        <x:v>IMP-20260516-FULLDRAFT</x:v>
      </x:c>
      <x:c r="C832" t="str">
        <x:v>KTO001</x:v>
      </x:c>
      <x:c r="D832" t="str">
        <x:v>16-05-2026_Umsatzliste_Girokonto_DE98120300001061711675.csv</x:v>
      </x:c>
      <x:c r="E832" t="n">
        <x:v>46163</x:v>
      </x:c>
      <x:c r="F832" t="n">
        <x:v>815</x:v>
      </x:c>
      <x:c r="G832" t="str">
        <x:v>4ef35a587855a02c07662163e4a130f746a4a7201b117fc40fd84404d2fb9fb6</x:v>
      </x:c>
      <x:c r="H832" t="str">
        <x:v>neu</x:v>
      </x:c>
      <x:c r="I832" t="str">
        <x:v>ok</x:v>
      </x:c>
      <x:c r="J832"/>
      <x:c r="K832" t="n">
        <x:v>45880</x:v>
      </x:c>
      <x:c r="L832" t="n">
        <x:v>45880</x:v>
      </x:c>
      <x:c r="M832" t="str">
        <x:v>Gebucht</x:v>
      </x:c>
      <x:c r="N832" t="str">
        <x:v>ISSUER</x:v>
      </x:c>
      <x:c r="O832" t="str">
        <x:v>Hans.im.Glueck.Friedric/Dresden</x:v>
      </x:c>
      <x:c r="P832" t="str">
        <x:v>VISA Debitkartenumsatz vom 09.08.2025</x:v>
      </x:c>
      <x:c r="Q832" t="str">
        <x:v>Ausgang</x:v>
      </x:c>
      <x:c r="R832" t="str">
        <x:v>DE96120300009005290904</x:v>
      </x:c>
      <x:c r="S832" t="n">
        <x:v>-105.6</x:v>
      </x:c>
      <x:c r="T832" t="str">
        <x:v>"</x:v>
      </x:c>
      <x:c r="U832" t="str">
        <x:v>"</x:v>
      </x:c>
      <x:c r="V832" t="str">
        <x:v>485221631118688</x:v>
      </x:c>
    </x:row>
    <x:row r="833">
      <x:c r="A833" t="str">
        <x:v>RAW-IMP-20260516-FULLDRAFT-000816</x:v>
      </x:c>
      <x:c r="B833" t="str">
        <x:v>IMP-20260516-FULLDRAFT</x:v>
      </x:c>
      <x:c r="C833" t="str">
        <x:v>KTO001</x:v>
      </x:c>
      <x:c r="D833" t="str">
        <x:v>16-05-2026_Umsatzliste_Girokonto_DE98120300001061711675.csv</x:v>
      </x:c>
      <x:c r="E833" t="n">
        <x:v>46163</x:v>
      </x:c>
      <x:c r="F833" t="n">
        <x:v>816</x:v>
      </x:c>
      <x:c r="G833" t="str">
        <x:v>f7c107aaab929ed6187b793e43415f7581fe2427209115e5a14b35241cdd3476</x:v>
      </x:c>
      <x:c r="H833" t="str">
        <x:v>neu</x:v>
      </x:c>
      <x:c r="I833" t="str">
        <x:v>ok</x:v>
      </x:c>
      <x:c r="J833"/>
      <x:c r="K833" t="n">
        <x:v>45880</x:v>
      </x:c>
      <x:c r="L833" t="n">
        <x:v>45880</x:v>
      </x:c>
      <x:c r="M833" t="str">
        <x:v>Gebucht</x:v>
      </x:c>
      <x:c r="N833" t="str">
        <x:v>ISSUER</x:v>
      </x:c>
      <x:c r="O833" t="str">
        <x:v>SPC.Spandau.Arcaden/Grunwald</x:v>
      </x:c>
      <x:c r="P833" t="str">
        <x:v>VISA Debitkartenumsatz vom 09.08.2025</x:v>
      </x:c>
      <x:c r="Q833" t="str">
        <x:v>Ausgang</x:v>
      </x:c>
      <x:c r="R833" t="str">
        <x:v>DE96120300009005290904</x:v>
      </x:c>
      <x:c r="S833" t="n">
        <x:v>-6</x:v>
      </x:c>
      <x:c r="T833" t="str">
        <x:v>"</x:v>
      </x:c>
      <x:c r="U833" t="str">
        <x:v>"</x:v>
      </x:c>
      <x:c r="V833" t="str">
        <x:v>485221325014896</x:v>
      </x:c>
    </x:row>
    <x:row r="834">
      <x:c r="A834" t="str">
        <x:v>RAW-IMP-20260516-FULLDRAFT-000817</x:v>
      </x:c>
      <x:c r="B834" t="str">
        <x:v>IMP-20260516-FULLDRAFT</x:v>
      </x:c>
      <x:c r="C834" t="str">
        <x:v>KTO001</x:v>
      </x:c>
      <x:c r="D834" t="str">
        <x:v>16-05-2026_Umsatzliste_Girokonto_DE98120300001061711675.csv</x:v>
      </x:c>
      <x:c r="E834" t="n">
        <x:v>46163</x:v>
      </x:c>
      <x:c r="F834" t="n">
        <x:v>817</x:v>
      </x:c>
      <x:c r="G834" t="str">
        <x:v>569c548b245973395b20deb7ba19efa6fa04a52ac0934547c84b43c99a3fe5d9</x:v>
      </x:c>
      <x:c r="H834" t="str">
        <x:v>neu</x:v>
      </x:c>
      <x:c r="I834" t="str">
        <x:v>ok</x:v>
      </x:c>
      <x:c r="J834"/>
      <x:c r="K834" t="n">
        <x:v>45880</x:v>
      </x:c>
      <x:c r="L834" t="n">
        <x:v>45880</x:v>
      </x:c>
      <x:c r="M834" t="str">
        <x:v>Gebucht</x:v>
      </x:c>
      <x:c r="N834" t="str">
        <x:v>ISSUER</x:v>
      </x:c>
      <x:c r="O834" t="str">
        <x:v>BOSPORUS.GRILL/SALZGITTER</x:v>
      </x:c>
      <x:c r="P834" t="str">
        <x:v>VISA Debitkartenumsatz vom 08.08.2025</x:v>
      </x:c>
      <x:c r="Q834" t="str">
        <x:v>Ausgang</x:v>
      </x:c>
      <x:c r="R834" t="str">
        <x:v>DE96120300009005290904</x:v>
      </x:c>
      <x:c r="S834" t="n">
        <x:v>-16.5</x:v>
      </x:c>
      <x:c r="T834" t="str">
        <x:v>"</x:v>
      </x:c>
      <x:c r="U834" t="str">
        <x:v>"</x:v>
      </x:c>
      <x:c r="V834" t="str">
        <x:v>485220645833290</x:v>
      </x:c>
    </x:row>
    <x:row r="835">
      <x:c r="A835" t="str">
        <x:v>RAW-IMP-20260516-FULLDRAFT-000818</x:v>
      </x:c>
      <x:c r="B835" t="str">
        <x:v>IMP-20260516-FULLDRAFT</x:v>
      </x:c>
      <x:c r="C835" t="str">
        <x:v>KTO001</x:v>
      </x:c>
      <x:c r="D835" t="str">
        <x:v>16-05-2026_Umsatzliste_Girokonto_DE98120300001061711675.csv</x:v>
      </x:c>
      <x:c r="E835" t="n">
        <x:v>46163</x:v>
      </x:c>
      <x:c r="F835" t="n">
        <x:v>818</x:v>
      </x:c>
      <x:c r="G835" t="str">
        <x:v>f6321da0f40468601af012ff74351a0a1798967a1f57b907681c0d0cd2d17d00</x:v>
      </x:c>
      <x:c r="H835" t="str">
        <x:v>neu</x:v>
      </x:c>
      <x:c r="I835" t="str">
        <x:v>ok</x:v>
      </x:c>
      <x:c r="J835"/>
      <x:c r="K835" t="n">
        <x:v>45880</x:v>
      </x:c>
      <x:c r="L835" t="n">
        <x:v>45880</x:v>
      </x:c>
      <x:c r="M835" t="str">
        <x:v>Gebucht</x:v>
      </x:c>
      <x:c r="N835" t="str">
        <x:v>ISSUER</x:v>
      </x:c>
      <x:c r="O835" t="str">
        <x:v>LOEWENBAECKER.SCHAPER/SALZGITTER</x:v>
      </x:c>
      <x:c r="P835" t="str">
        <x:v>VISA Debitkartenumsatz vom 09.08.2025</x:v>
      </x:c>
      <x:c r="Q835" t="str">
        <x:v>Ausgang</x:v>
      </x:c>
      <x:c r="R835" t="str">
        <x:v>DE96120300009005290904</x:v>
      </x:c>
      <x:c r="S835" t="n">
        <x:v>-9.6</x:v>
      </x:c>
      <x:c r="T835" t="str">
        <x:v>"</x:v>
      </x:c>
      <x:c r="U835" t="str">
        <x:v>"</x:v>
      </x:c>
      <x:c r="V835" t="str">
        <x:v>485221204560286</x:v>
      </x:c>
    </x:row>
    <x:row r="836">
      <x:c r="A836" t="str">
        <x:v>RAW-IMP-20260516-FULLDRAFT-000819</x:v>
      </x:c>
      <x:c r="B836" t="str">
        <x:v>IMP-20260516-FULLDRAFT</x:v>
      </x:c>
      <x:c r="C836" t="str">
        <x:v>KTO001</x:v>
      </x:c>
      <x:c r="D836" t="str">
        <x:v>16-05-2026_Umsatzliste_Girokonto_DE98120300001061711675.csv</x:v>
      </x:c>
      <x:c r="E836" t="n">
        <x:v>46163</x:v>
      </x:c>
      <x:c r="F836" t="n">
        <x:v>819</x:v>
      </x:c>
      <x:c r="G836" t="str">
        <x:v>45ef254b42000d6512de11432ce1ecfecf70e1779ae0ce9fc813875d02dd6372</x:v>
      </x:c>
      <x:c r="H836" t="str">
        <x:v>neu</x:v>
      </x:c>
      <x:c r="I836" t="str">
        <x:v>ok</x:v>
      </x:c>
      <x:c r="J836"/>
      <x:c r="K836" t="n">
        <x:v>45880</x:v>
      </x:c>
      <x:c r="L836" t="n">
        <x:v>45880</x:v>
      </x:c>
      <x:c r="M836" t="str">
        <x:v>Gebucht</x:v>
      </x:c>
      <x:c r="N836" t="str">
        <x:v>ISSUER</x:v>
      </x:c>
      <x:c r="O836" t="str">
        <x:v>EDEKA.POTRATZ/HILDESHEIM</x:v>
      </x:c>
      <x:c r="P836" t="str">
        <x:v>VISA Debitkartenumsatz vom 08.08.2025</x:v>
      </x:c>
      <x:c r="Q836" t="str">
        <x:v>Ausgang</x:v>
      </x:c>
      <x:c r="R836" t="str">
        <x:v>DE96120300009005290904</x:v>
      </x:c>
      <x:c r="S836" t="n">
        <x:v>-10.28</x:v>
      </x:c>
      <x:c r="T836" t="str">
        <x:v>"</x:v>
      </x:c>
      <x:c r="U836" t="str">
        <x:v>"</x:v>
      </x:c>
      <x:c r="V836" t="str">
        <x:v>485220377920714</x:v>
      </x:c>
    </x:row>
    <x:row r="837">
      <x:c r="A837" t="str">
        <x:v>RAW-IMP-20260516-FULLDRAFT-000820</x:v>
      </x:c>
      <x:c r="B837" t="str">
        <x:v>IMP-20260516-FULLDRAFT</x:v>
      </x:c>
      <x:c r="C837" t="str">
        <x:v>KTO001</x:v>
      </x:c>
      <x:c r="D837" t="str">
        <x:v>16-05-2026_Umsatzliste_Girokonto_DE98120300001061711675.csv</x:v>
      </x:c>
      <x:c r="E837" t="n">
        <x:v>46163</x:v>
      </x:c>
      <x:c r="F837" t="n">
        <x:v>820</x:v>
      </x:c>
      <x:c r="G837" t="str">
        <x:v>af56625cf8908f14c0dec5db474c785b90e88771d909d0b40fc8622f95ac965f</x:v>
      </x:c>
      <x:c r="H837" t="str">
        <x:v>neu</x:v>
      </x:c>
      <x:c r="I837" t="str">
        <x:v>ok</x:v>
      </x:c>
      <x:c r="J837"/>
      <x:c r="K837" t="n">
        <x:v>45880</x:v>
      </x:c>
      <x:c r="L837" t="n">
        <x:v>45880</x:v>
      </x:c>
      <x:c r="M837" t="str">
        <x:v>Gebucht</x:v>
      </x:c>
      <x:c r="N837" t="str">
        <x:v>ISSUER</x:v>
      </x:c>
      <x:c r="O837" t="str">
        <x:v>REWE.Salzgitter.Ge/Salzgitter</x:v>
      </x:c>
      <x:c r="P837" t="str">
        <x:v>VISA Debitkartenumsatz vom 08.08.2025</x:v>
      </x:c>
      <x:c r="Q837" t="str">
        <x:v>Ausgang</x:v>
      </x:c>
      <x:c r="R837" t="str">
        <x:v>DE96120300009005290904</x:v>
      </x:c>
      <x:c r="S837" t="n">
        <x:v>-4.44</x:v>
      </x:c>
      <x:c r="T837" t="str">
        <x:v>"</x:v>
      </x:c>
      <x:c r="U837" t="str">
        <x:v>"</x:v>
      </x:c>
      <x:c r="V837" t="str">
        <x:v>485220624172597</x:v>
      </x:c>
    </x:row>
    <x:row r="838">
      <x:c r="A838" t="str">
        <x:v>RAW-IMP-20260516-FULLDRAFT-000821</x:v>
      </x:c>
      <x:c r="B838" t="str">
        <x:v>IMP-20260516-FULLDRAFT</x:v>
      </x:c>
      <x:c r="C838" t="str">
        <x:v>KTO001</x:v>
      </x:c>
      <x:c r="D838" t="str">
        <x:v>16-05-2026_Umsatzliste_Girokonto_DE98120300001061711675.csv</x:v>
      </x:c>
      <x:c r="E838" t="n">
        <x:v>46163</x:v>
      </x:c>
      <x:c r="F838" t="n">
        <x:v>821</x:v>
      </x:c>
      <x:c r="G838" t="str">
        <x:v>4afa15c9f4fd411c2d60c5ff09aaf496dcb0c0f2db122db6fd0ae2aa0694dbac</x:v>
      </x:c>
      <x:c r="H838" t="str">
        <x:v>neu</x:v>
      </x:c>
      <x:c r="I838" t="str">
        <x:v>ok</x:v>
      </x:c>
      <x:c r="J838"/>
      <x:c r="K838" t="n">
        <x:v>45880</x:v>
      </x:c>
      <x:c r="L838" t="n">
        <x:v>45880</x:v>
      </x:c>
      <x:c r="M838" t="str">
        <x:v>Gebucht</x:v>
      </x:c>
      <x:c r="N838" t="str">
        <x:v>ISSUER</x:v>
      </x:c>
      <x:c r="O838" t="str">
        <x:v>REWE.Salzgitter.Ge/Salzgitter</x:v>
      </x:c>
      <x:c r="P838" t="str">
        <x:v>VISA Debitkartenumsatz vom 09.08.2025</x:v>
      </x:c>
      <x:c r="Q838" t="str">
        <x:v>Ausgang</x:v>
      </x:c>
      <x:c r="R838" t="str">
        <x:v>DE96120300009005290904</x:v>
      </x:c>
      <x:c r="S838" t="n">
        <x:v>-44.3</x:v>
      </x:c>
      <x:c r="T838" t="str">
        <x:v>"</x:v>
      </x:c>
      <x:c r="U838" t="str">
        <x:v>"</x:v>
      </x:c>
      <x:c r="V838" t="str">
        <x:v>485221203477570</x:v>
      </x:c>
    </x:row>
    <x:row r="839">
      <x:c r="A839" t="str">
        <x:v>RAW-IMP-20260516-FULLDRAFT-000822</x:v>
      </x:c>
      <x:c r="B839" t="str">
        <x:v>IMP-20260516-FULLDRAFT</x:v>
      </x:c>
      <x:c r="C839" t="str">
        <x:v>KTO001</x:v>
      </x:c>
      <x:c r="D839" t="str">
        <x:v>16-05-2026_Umsatzliste_Girokonto_DE98120300001061711675.csv</x:v>
      </x:c>
      <x:c r="E839" t="n">
        <x:v>46163</x:v>
      </x:c>
      <x:c r="F839" t="n">
        <x:v>822</x:v>
      </x:c>
      <x:c r="G839" t="str">
        <x:v>058ff7602e10d74c99624d48a8fb82ab337cacf1464fd46efb6754e77a6a4189</x:v>
      </x:c>
      <x:c r="H839" t="str">
        <x:v>neu</x:v>
      </x:c>
      <x:c r="I839" t="str">
        <x:v>ok</x:v>
      </x:c>
      <x:c r="J839"/>
      <x:c r="K839" t="n">
        <x:v>45880</x:v>
      </x:c>
      <x:c r="L839" t="n">
        <x:v>45880</x:v>
      </x:c>
      <x:c r="M839" t="str">
        <x:v>Gebucht</x:v>
      </x:c>
      <x:c r="N839" t="str">
        <x:v>ISSUER</x:v>
      </x:c>
      <x:c r="O839" t="str">
        <x:v>DB.Automat.BERLIN.SPAND/Berlin</x:v>
      </x:c>
      <x:c r="P839" t="str">
        <x:v>VISA Debitkartenumsatz vom 09.08.2025</x:v>
      </x:c>
      <x:c r="Q839" t="str">
        <x:v>Ausgang</x:v>
      </x:c>
      <x:c r="R839" t="str">
        <x:v>DE96120300009005290904</x:v>
      </x:c>
      <x:c r="S839" t="n">
        <x:v>-33.3</x:v>
      </x:c>
      <x:c r="T839" t="str">
        <x:v>"</x:v>
      </x:c>
      <x:c r="U839" t="str">
        <x:v>"</x:v>
      </x:c>
      <x:c r="V839" t="str">
        <x:v>485221331481703</x:v>
      </x:c>
    </x:row>
    <x:row r="840">
      <x:c r="A840" t="str">
        <x:v>RAW-IMP-20260516-FULLDRAFT-000823</x:v>
      </x:c>
      <x:c r="B840" t="str">
        <x:v>IMP-20260516-FULLDRAFT</x:v>
      </x:c>
      <x:c r="C840" t="str">
        <x:v>KTO001</x:v>
      </x:c>
      <x:c r="D840" t="str">
        <x:v>16-05-2026_Umsatzliste_Girokonto_DE98120300001061711675.csv</x:v>
      </x:c>
      <x:c r="E840" t="n">
        <x:v>46163</x:v>
      </x:c>
      <x:c r="F840" t="n">
        <x:v>823</x:v>
      </x:c>
      <x:c r="G840" t="str">
        <x:v>5995afc1c1f4a5f7edda557548d58f1f9f9ee0ab474e84fb0c3b8b92ca216a0d</x:v>
      </x:c>
      <x:c r="H840" t="str">
        <x:v>neu</x:v>
      </x:c>
      <x:c r="I840" t="str">
        <x:v>ok</x:v>
      </x:c>
      <x:c r="J840"/>
      <x:c r="K840" t="n">
        <x:v>45880</x:v>
      </x:c>
      <x:c r="L840" t="n">
        <x:v>45880</x:v>
      </x:c>
      <x:c r="M840" t="str">
        <x:v>Gebucht</x:v>
      </x:c>
      <x:c r="N840" t="str">
        <x:v>ISSUER</x:v>
      </x:c>
      <x:c r="O840" t="str">
        <x:v>Amazon.de.RF6SK4PH4/AMAZON.DE</x:v>
      </x:c>
      <x:c r="P840" t="str">
        <x:v>VISA Debitkartenumsatz vom 08.08.2025</x:v>
      </x:c>
      <x:c r="Q840" t="str">
        <x:v>Ausgang</x:v>
      </x:c>
      <x:c r="R840" t="str">
        <x:v>DE96120300009005290904</x:v>
      </x:c>
      <x:c r="S840" t="n">
        <x:v>-23.9</x:v>
      </x:c>
      <x:c r="T840" t="str">
        <x:v>"</x:v>
      </x:c>
      <x:c r="U840" t="str">
        <x:v>"</x:v>
      </x:c>
      <x:c r="V840" t="str">
        <x:v>485220323067658</x:v>
      </x:c>
    </x:row>
    <x:row r="841">
      <x:c r="A841" t="str">
        <x:v>RAW-IMP-20260516-FULLDRAFT-000824</x:v>
      </x:c>
      <x:c r="B841" t="str">
        <x:v>IMP-20260516-FULLDRAFT</x:v>
      </x:c>
      <x:c r="C841" t="str">
        <x:v>KTO001</x:v>
      </x:c>
      <x:c r="D841" t="str">
        <x:v>16-05-2026_Umsatzliste_Girokonto_DE98120300001061711675.csv</x:v>
      </x:c>
      <x:c r="E841" t="n">
        <x:v>46163</x:v>
      </x:c>
      <x:c r="F841" t="n">
        <x:v>824</x:v>
      </x:c>
      <x:c r="G841" t="str">
        <x:v>09a0dc0cf474e8405c3f47673e8e860221e79337cf882c701a0165d4293b2c1a</x:v>
      </x:c>
      <x:c r="H841" t="str">
        <x:v>neu</x:v>
      </x:c>
      <x:c r="I841" t="str">
        <x:v>ok</x:v>
      </x:c>
      <x:c r="J841"/>
      <x:c r="K841" t="n">
        <x:v>45880</x:v>
      </x:c>
      <x:c r="L841" t="n">
        <x:v>45880</x:v>
      </x:c>
      <x:c r="M841" t="str">
        <x:v>Gebucht</x:v>
      </x:c>
      <x:c r="N841" t="str">
        <x:v>ISSUER</x:v>
      </x:c>
      <x:c r="O841" t="str">
        <x:v>MCDONALDS.00509/MOECKERN</x:v>
      </x:c>
      <x:c r="P841" t="str">
        <x:v>VISA Debitkartenumsatz vom 09.08.2025</x:v>
      </x:c>
      <x:c r="Q841" t="str">
        <x:v>Ausgang</x:v>
      </x:c>
      <x:c r="R841" t="str">
        <x:v>DE96120300009005290904</x:v>
      </x:c>
      <x:c r="S841" t="n">
        <x:v>-4.39</x:v>
      </x:c>
      <x:c r="T841" t="str">
        <x:v>"</x:v>
      </x:c>
      <x:c r="U841" t="str">
        <x:v>"</x:v>
      </x:c>
      <x:c r="V841" t="str">
        <x:v>485221710785014</x:v>
      </x:c>
    </x:row>
    <x:row r="842">
      <x:c r="A842" t="str">
        <x:v>RAW-IMP-20260516-FULLDRAFT-000825</x:v>
      </x:c>
      <x:c r="B842" t="str">
        <x:v>IMP-20260516-FULLDRAFT</x:v>
      </x:c>
      <x:c r="C842" t="str">
        <x:v>KTO001</x:v>
      </x:c>
      <x:c r="D842" t="str">
        <x:v>16-05-2026_Umsatzliste_Girokonto_DE98120300001061711675.csv</x:v>
      </x:c>
      <x:c r="E842" t="n">
        <x:v>46163</x:v>
      </x:c>
      <x:c r="F842" t="n">
        <x:v>825</x:v>
      </x:c>
      <x:c r="G842" t="str">
        <x:v>a5e2149d808cefcbc5b9a5e13b29db68fe645f54c54ff4ef902678e527dc2bb0</x:v>
      </x:c>
      <x:c r="H842" t="str">
        <x:v>neu</x:v>
      </x:c>
      <x:c r="I842" t="str">
        <x:v>ok</x:v>
      </x:c>
      <x:c r="J842"/>
      <x:c r="K842" t="n">
        <x:v>45880</x:v>
      </x:c>
      <x:c r="L842" t="n">
        <x:v>45880</x:v>
      </x:c>
      <x:c r="M842" t="str">
        <x:v>Gebucht</x:v>
      </x:c>
      <x:c r="N842" t="str">
        <x:v>ISSUER</x:v>
      </x:c>
      <x:c r="O842" t="str">
        <x:v>Gelateria.La.Fontana/Berlin</x:v>
      </x:c>
      <x:c r="P842" t="str">
        <x:v>VISA Debitkartenumsatz vom 09.08.2025</x:v>
      </x:c>
      <x:c r="Q842" t="str">
        <x:v>Ausgang</x:v>
      </x:c>
      <x:c r="R842" t="str">
        <x:v>DE96120300009005290904</x:v>
      </x:c>
      <x:c r="S842" t="n">
        <x:v>-33</x:v>
      </x:c>
      <x:c r="T842" t="str">
        <x:v>"</x:v>
      </x:c>
      <x:c r="U842" t="str">
        <x:v>"</x:v>
      </x:c>
      <x:c r="V842" t="str">
        <x:v>485221461512620</x:v>
      </x:c>
    </x:row>
    <x:row r="843">
      <x:c r="A843" t="str">
        <x:v>RAW-IMP-20260516-FULLDRAFT-000826</x:v>
      </x:c>
      <x:c r="B843" t="str">
        <x:v>IMP-20260516-FULLDRAFT</x:v>
      </x:c>
      <x:c r="C843" t="str">
        <x:v>KTO001</x:v>
      </x:c>
      <x:c r="D843" t="str">
        <x:v>16-05-2026_Umsatzliste_Girokonto_DE98120300001061711675.csv</x:v>
      </x:c>
      <x:c r="E843" t="n">
        <x:v>46163</x:v>
      </x:c>
      <x:c r="F843" t="n">
        <x:v>826</x:v>
      </x:c>
      <x:c r="G843" t="str">
        <x:v>7c5b8754926fd4cbb3a3a0e2d816973cee48caeb333c5ddef7bc3eafa84bb62f</x:v>
      </x:c>
      <x:c r="H843" t="str">
        <x:v>neu</x:v>
      </x:c>
      <x:c r="I843" t="str">
        <x:v>ok</x:v>
      </x:c>
      <x:c r="J843"/>
      <x:c r="K843" t="n">
        <x:v>45880</x:v>
      </x:c>
      <x:c r="L843" t="n">
        <x:v>45880</x:v>
      </x:c>
      <x:c r="M843" t="str">
        <x:v>Gebucht</x:v>
      </x:c>
      <x:c r="N843" t="str">
        <x:v>ISSUER</x:v>
      </x:c>
      <x:c r="O843" t="str">
        <x:v>Henri.Willig.Cheese..Mo/Keulen</x:v>
      </x:c>
      <x:c r="P843" t="str">
        <x:v>VISA Debitkartenumsatz vom 09.08.2025</x:v>
      </x:c>
      <x:c r="Q843" t="str">
        <x:v>Ausgang</x:v>
      </x:c>
      <x:c r="R843" t="str">
        <x:v>DE96120300009005290904</x:v>
      </x:c>
      <x:c r="S843" t="n">
        <x:v>-16.95</x:v>
      </x:c>
      <x:c r="T843" t="str">
        <x:v>"</x:v>
      </x:c>
      <x:c r="U843" t="str">
        <x:v>"</x:v>
      </x:c>
      <x:c r="V843" t="str">
        <x:v>485221409678129</x:v>
      </x:c>
    </x:row>
    <x:row r="844">
      <x:c r="A844" t="str">
        <x:v>RAW-IMP-20260516-FULLDRAFT-000827</x:v>
      </x:c>
      <x:c r="B844" t="str">
        <x:v>IMP-20260516-FULLDRAFT</x:v>
      </x:c>
      <x:c r="C844" t="str">
        <x:v>KTO001</x:v>
      </x:c>
      <x:c r="D844" t="str">
        <x:v>16-05-2026_Umsatzliste_Girokonto_DE98120300001061711675.csv</x:v>
      </x:c>
      <x:c r="E844" t="n">
        <x:v>46163</x:v>
      </x:c>
      <x:c r="F844" t="n">
        <x:v>827</x:v>
      </x:c>
      <x:c r="G844" t="str">
        <x:v>312aa301f8d67763772dfb4ff7b1c6ebad3d492658b136e179321867ffbdfe43</x:v>
      </x:c>
      <x:c r="H844" t="str">
        <x:v>neu</x:v>
      </x:c>
      <x:c r="I844" t="str">
        <x:v>ok</x:v>
      </x:c>
      <x:c r="J844"/>
      <x:c r="K844" t="n">
        <x:v>45877</x:v>
      </x:c>
      <x:c r="L844" t="n">
        <x:v>45877</x:v>
      </x:c>
      <x:c r="M844" t="str">
        <x:v>Gebucht</x:v>
      </x:c>
      <x:c r="N844" t="str">
        <x:v>ISSUER</x:v>
      </x:c>
      <x:c r="O844" t="str">
        <x:v>REWE.Salzgitter.Ge/Salzgitter</x:v>
      </x:c>
      <x:c r="P844" t="str">
        <x:v>VISA Debitkartenumsatz vom 07.08.2025</x:v>
      </x:c>
      <x:c r="Q844" t="str">
        <x:v>Ausgang</x:v>
      </x:c>
      <x:c r="R844" t="str">
        <x:v>DE96120300009005290904</x:v>
      </x:c>
      <x:c r="S844" t="n">
        <x:v>-14.97</x:v>
      </x:c>
      <x:c r="T844" t="str">
        <x:v>"</x:v>
      </x:c>
      <x:c r="U844" t="str">
        <x:v>"</x:v>
      </x:c>
      <x:c r="V844" t="str">
        <x:v>485219617224137</x:v>
      </x:c>
    </x:row>
    <x:row r="845">
      <x:c r="A845" t="str">
        <x:v>RAW-IMP-20260516-FULLDRAFT-000828</x:v>
      </x:c>
      <x:c r="B845" t="str">
        <x:v>IMP-20260516-FULLDRAFT</x:v>
      </x:c>
      <x:c r="C845" t="str">
        <x:v>KTO001</x:v>
      </x:c>
      <x:c r="D845" t="str">
        <x:v>16-05-2026_Umsatzliste_Girokonto_DE98120300001061711675.csv</x:v>
      </x:c>
      <x:c r="E845" t="n">
        <x:v>46163</x:v>
      </x:c>
      <x:c r="F845" t="n">
        <x:v>828</x:v>
      </x:c>
      <x:c r="G845" t="str">
        <x:v>dc1195dfbeafa1a98f6c15f0937ed45c08e6cdb7e65af16e85ddf5fcf1875447</x:v>
      </x:c>
      <x:c r="H845" t="str">
        <x:v>neu</x:v>
      </x:c>
      <x:c r="I845" t="str">
        <x:v>ok</x:v>
      </x:c>
      <x:c r="J845"/>
      <x:c r="K845" t="n">
        <x:v>45876</x:v>
      </x:c>
      <x:c r="L845" t="n">
        <x:v>45876</x:v>
      </x:c>
      <x:c r="M845" t="str">
        <x:v>Gebucht</x:v>
      </x:c>
      <x:c r="N845" t="str">
        <x:v>ISSUER</x:v>
      </x:c>
      <x:c r="O845" t="str">
        <x:v>WITWE.BOLTE/HILDESHEIM</x:v>
      </x:c>
      <x:c r="P845" t="str">
        <x:v>VISA Debitkartenumsatz vom 06.08.2025</x:v>
      </x:c>
      <x:c r="Q845" t="str">
        <x:v>Ausgang</x:v>
      </x:c>
      <x:c r="R845" t="str">
        <x:v>DE96120300009005290904</x:v>
      </x:c>
      <x:c r="S845" t="n">
        <x:v>-11.5</x:v>
      </x:c>
      <x:c r="T845" t="str">
        <x:v>"</x:v>
      </x:c>
      <x:c r="U845" t="str">
        <x:v>"</x:v>
      </x:c>
      <x:c r="V845" t="str">
        <x:v>485218369608409</x:v>
      </x:c>
    </x:row>
    <x:row r="846">
      <x:c r="A846" t="str">
        <x:v>RAW-IMP-20260516-FULLDRAFT-000829</x:v>
      </x:c>
      <x:c r="B846" t="str">
        <x:v>IMP-20260516-FULLDRAFT</x:v>
      </x:c>
      <x:c r="C846" t="str">
        <x:v>KTO001</x:v>
      </x:c>
      <x:c r="D846" t="str">
        <x:v>16-05-2026_Umsatzliste_Girokonto_DE98120300001061711675.csv</x:v>
      </x:c>
      <x:c r="E846" t="n">
        <x:v>46163</x:v>
      </x:c>
      <x:c r="F846" t="n">
        <x:v>829</x:v>
      </x:c>
      <x:c r="G846" t="str">
        <x:v>3d03580fe502b976d2ad2cbb6e44799930b85f294a70a0cd821bf0c26f44a8cd</x:v>
      </x:c>
      <x:c r="H846" t="str">
        <x:v>neu</x:v>
      </x:c>
      <x:c r="I846" t="str">
        <x:v>ok</x:v>
      </x:c>
      <x:c r="J846"/>
      <x:c r="K846" t="n">
        <x:v>45875</x:v>
      </x:c>
      <x:c r="L846" t="n">
        <x:v>45875</x:v>
      </x:c>
      <x:c r="M846" t="str">
        <x:v>Gebucht</x:v>
      </x:c>
      <x:c r="N846" t="str">
        <x:v>Lars Kohlenberg                                                       Johannes-Wosnitza-Str. 8 38229 Salzgitter</x:v>
      </x:c>
      <x:c r="O846" t="str">
        <x:v>Telekom Deutschland GmbH</x:v>
      </x:c>
      <x:c r="P846" t="str">
        <x:v>Festnetz Vertragskonto 4763666565 RG 7826785911/28.07.2025</x:v>
      </x:c>
      <x:c r="Q846" t="str">
        <x:v>Ausgang</x:v>
      </x:c>
      <x:c r="R846" t="str">
        <x:v>DE07512108001095000911</x:v>
      </x:c>
      <x:c r="S846" t="n">
        <x:v>-61.93</x:v>
      </x:c>
      <x:c r="T846" t="str">
        <x:v>DE93ZZZ00000078611</x:v>
      </x:c>
      <x:c r="U846" t="str">
        <x:v>DE000201000200000000000000012966156</x:v>
      </x:c>
      <x:c r="V846" t="str">
        <x:v>Zahlbeleg 354500326532</x:v>
      </x:c>
    </x:row>
    <x:row r="847">
      <x:c r="A847" t="str">
        <x:v>RAW-IMP-20260516-FULLDRAFT-000830</x:v>
      </x:c>
      <x:c r="B847" t="str">
        <x:v>IMP-20260516-FULLDRAFT</x:v>
      </x:c>
      <x:c r="C847" t="str">
        <x:v>KTO001</x:v>
      </x:c>
      <x:c r="D847" t="str">
        <x:v>16-05-2026_Umsatzliste_Girokonto_DE98120300001061711675.csv</x:v>
      </x:c>
      <x:c r="E847" t="n">
        <x:v>46163</x:v>
      </x:c>
      <x:c r="F847" t="n">
        <x:v>830</x:v>
      </x:c>
      <x:c r="G847" t="str">
        <x:v>c634b6d11b398f987196afc96aaea9aeffe9401e90fe201f0574b65d093856c8</x:v>
      </x:c>
      <x:c r="H847" t="str">
        <x:v>neu</x:v>
      </x:c>
      <x:c r="I847" t="str">
        <x:v>ok</x:v>
      </x:c>
      <x:c r="J847"/>
      <x:c r="K847" t="n">
        <x:v>45875</x:v>
      </x:c>
      <x:c r="L847" t="n">
        <x:v>45875</x:v>
      </x:c>
      <x:c r="M847" t="str">
        <x:v>Gebucht</x:v>
      </x:c>
      <x:c r="N847" t="str">
        <x:v>Lars Kohlenberg</x:v>
      </x:c>
      <x:c r="O847" t="str">
        <x:v>Iman Firat</x:v>
      </x:c>
      <x:c r="P847" t="str">
        <x:v>2230 Lea Kohlenberg</x:v>
      </x:c>
      <x:c r="Q847" t="str">
        <x:v>Ausgang</x:v>
      </x:c>
      <x:c r="R847" t="str">
        <x:v>DE67269910662694298000</x:v>
      </x:c>
      <x:c r="S847" t="n">
        <x:v>-49.9</x:v>
      </x:c>
      <x:c r="T847" t="str">
        <x:v>"</x:v>
      </x:c>
      <x:c r="U847" t="str">
        <x:v>"</x:v>
      </x:c>
      <x:c r="V847" t="str">
        <x:v>"</x:v>
      </x:c>
    </x:row>
    <x:row r="848">
      <x:c r="A848" t="str">
        <x:v>RAW-IMP-20260516-FULLDRAFT-000831</x:v>
      </x:c>
      <x:c r="B848" t="str">
        <x:v>IMP-20260516-FULLDRAFT</x:v>
      </x:c>
      <x:c r="C848" t="str">
        <x:v>KTO001</x:v>
      </x:c>
      <x:c r="D848" t="str">
        <x:v>16-05-2026_Umsatzliste_Girokonto_DE98120300001061711675.csv</x:v>
      </x:c>
      <x:c r="E848" t="n">
        <x:v>46163</x:v>
      </x:c>
      <x:c r="F848" t="n">
        <x:v>831</x:v>
      </x:c>
      <x:c r="G848" t="str">
        <x:v>f4c2b8dc4051a1f5a4654d283855ae6cbfe3078d8208f9d34e749200a405990e</x:v>
      </x:c>
      <x:c r="H848" t="str">
        <x:v>neu</x:v>
      </x:c>
      <x:c r="I848" t="str">
        <x:v>ok</x:v>
      </x:c>
      <x:c r="J848"/>
      <x:c r="K848" t="n">
        <x:v>45874</x:v>
      </x:c>
      <x:c r="L848" t="n">
        <x:v>45874</x:v>
      </x:c>
      <x:c r="M848" t="str">
        <x:v>Gebucht</x:v>
      </x:c>
      <x:c r="N848" t="str">
        <x:v>ISSUER</x:v>
      </x:c>
      <x:c r="O848" t="str">
        <x:v>BackWerk.Braunschweig/Braunschweig</x:v>
      </x:c>
      <x:c r="P848" t="str">
        <x:v>VISA Debitkartenumsatz vom 04.08.2025</x:v>
      </x:c>
      <x:c r="Q848" t="str">
        <x:v>Ausgang</x:v>
      </x:c>
      <x:c r="R848" t="str">
        <x:v>DE96120300009005290904</x:v>
      </x:c>
      <x:c r="S848" t="n">
        <x:v>-1.5</x:v>
      </x:c>
      <x:c r="T848" t="str">
        <x:v>"</x:v>
      </x:c>
      <x:c r="U848" t="str">
        <x:v>"</x:v>
      </x:c>
      <x:c r="V848" t="str">
        <x:v>485216236304640</x:v>
      </x:c>
    </x:row>
    <x:row r="849">
      <x:c r="A849" t="str">
        <x:v>RAW-IMP-20260516-FULLDRAFT-000832</x:v>
      </x:c>
      <x:c r="B849" t="str">
        <x:v>IMP-20260516-FULLDRAFT</x:v>
      </x:c>
      <x:c r="C849" t="str">
        <x:v>KTO001</x:v>
      </x:c>
      <x:c r="D849" t="str">
        <x:v>16-05-2026_Umsatzliste_Girokonto_DE98120300001061711675.csv</x:v>
      </x:c>
      <x:c r="E849" t="n">
        <x:v>46163</x:v>
      </x:c>
      <x:c r="F849" t="n">
        <x:v>832</x:v>
      </x:c>
      <x:c r="G849" t="str">
        <x:v>98dfe94ca9985e73b489b8c15d53638b8fefaf5afac2ce83998601d2e7b49c20</x:v>
      </x:c>
      <x:c r="H849" t="str">
        <x:v>neu</x:v>
      </x:c>
      <x:c r="I849" t="str">
        <x:v>ok</x:v>
      </x:c>
      <x:c r="J849"/>
      <x:c r="K849" t="n">
        <x:v>45874</x:v>
      </x:c>
      <x:c r="L849" t="n">
        <x:v>45874</x:v>
      </x:c>
      <x:c r="M849" t="str">
        <x:v>Gebucht</x:v>
      </x:c>
      <x:c r="N849" t="str">
        <x:v>ISSUER</x:v>
      </x:c>
      <x:c r="O849" t="str">
        <x:v>TIEFGARAGE.MAGNI/BRAUNSCHWEIG</x:v>
      </x:c>
      <x:c r="P849" t="str">
        <x:v>VISA Debitkartenumsatz vom 04.08.2025</x:v>
      </x:c>
      <x:c r="Q849" t="str">
        <x:v>Ausgang</x:v>
      </x:c>
      <x:c r="R849" t="str">
        <x:v>DE96120300009005290904</x:v>
      </x:c>
      <x:c r="S849" t="n">
        <x:v>-3.6</x:v>
      </x:c>
      <x:c r="T849" t="str">
        <x:v>"</x:v>
      </x:c>
      <x:c r="U849" t="str">
        <x:v>"</x:v>
      </x:c>
      <x:c r="V849" t="str">
        <x:v>485216326574103</x:v>
      </x:c>
    </x:row>
    <x:row r="850">
      <x:c r="A850" t="str">
        <x:v>RAW-IMP-20260516-FULLDRAFT-000833</x:v>
      </x:c>
      <x:c r="B850" t="str">
        <x:v>IMP-20260516-FULLDRAFT</x:v>
      </x:c>
      <x:c r="C850" t="str">
        <x:v>KTO001</x:v>
      </x:c>
      <x:c r="D850" t="str">
        <x:v>16-05-2026_Umsatzliste_Girokonto_DE98120300001061711675.csv</x:v>
      </x:c>
      <x:c r="E850" t="n">
        <x:v>46163</x:v>
      </x:c>
      <x:c r="F850" t="n">
        <x:v>833</x:v>
      </x:c>
      <x:c r="G850" t="str">
        <x:v>ef06f523920098f4b75f2594626da1f54ca642c7adb968c0b73170d46c4e1f70</x:v>
      </x:c>
      <x:c r="H850" t="str">
        <x:v>neu</x:v>
      </x:c>
      <x:c r="I850" t="str">
        <x:v>ok</x:v>
      </x:c>
      <x:c r="J850"/>
      <x:c r="K850" t="n">
        <x:v>45873</x:v>
      </x:c>
      <x:c r="L850" t="n">
        <x:v>45873</x:v>
      </x:c>
      <x:c r="M850" t="str">
        <x:v>Gebucht</x:v>
      </x:c>
      <x:c r="N850" t="str">
        <x:v>ISSUER</x:v>
      </x:c>
      <x:c r="O850" t="str">
        <x:v>EDEKA.POTRATZ/HILDESHEIM</x:v>
      </x:c>
      <x:c r="P850" t="str">
        <x:v>VISA Debitkartenumsatz vom 01.08.2025</x:v>
      </x:c>
      <x:c r="Q850" t="str">
        <x:v>Ausgang</x:v>
      </x:c>
      <x:c r="R850" t="str">
        <x:v>DE96120300009005290904</x:v>
      </x:c>
      <x:c r="S850" t="n">
        <x:v>-3.3</x:v>
      </x:c>
      <x:c r="T850" t="str">
        <x:v>"</x:v>
      </x:c>
      <x:c r="U850" t="str">
        <x:v>"</x:v>
      </x:c>
      <x:c r="V850" t="str">
        <x:v>485213371749912</x:v>
      </x:c>
    </x:row>
    <x:row r="851">
      <x:c r="A851" t="str">
        <x:v>RAW-IMP-20260516-FULLDRAFT-000834</x:v>
      </x:c>
      <x:c r="B851" t="str">
        <x:v>IMP-20260516-FULLDRAFT</x:v>
      </x:c>
      <x:c r="C851" t="str">
        <x:v>KTO001</x:v>
      </x:c>
      <x:c r="D851" t="str">
        <x:v>16-05-2026_Umsatzliste_Girokonto_DE98120300001061711675.csv</x:v>
      </x:c>
      <x:c r="E851" t="n">
        <x:v>46163</x:v>
      </x:c>
      <x:c r="F851" t="n">
        <x:v>834</x:v>
      </x:c>
      <x:c r="G851" t="str">
        <x:v>73e0f99ea167da967501bb4f6fef286622e3258cffcbce8cac840eae4ab59e9d</x:v>
      </x:c>
      <x:c r="H851" t="str">
        <x:v>neu</x:v>
      </x:c>
      <x:c r="I851" t="str">
        <x:v>ok</x:v>
      </x:c>
      <x:c r="J851"/>
      <x:c r="K851" t="n">
        <x:v>45873</x:v>
      </x:c>
      <x:c r="L851" t="n">
        <x:v>45873</x:v>
      </x:c>
      <x:c r="M851" t="str">
        <x:v>Gebucht</x:v>
      </x:c>
      <x:c r="N851" t="str">
        <x:v>ISSUER</x:v>
      </x:c>
      <x:c r="O851" t="str">
        <x:v>REWE.Salzgitter.Ge/Salzgitter</x:v>
      </x:c>
      <x:c r="P851" t="str">
        <x:v>VISA Debitkartenumsatz vom 02.08.2025</x:v>
      </x:c>
      <x:c r="Q851" t="str">
        <x:v>Ausgang</x:v>
      </x:c>
      <x:c r="R851" t="str">
        <x:v>DE96120300009005290904</x:v>
      </x:c>
      <x:c r="S851" t="n">
        <x:v>-30.04</x:v>
      </x:c>
      <x:c r="T851" t="str">
        <x:v>"</x:v>
      </x:c>
      <x:c r="U851" t="str">
        <x:v>"</x:v>
      </x:c>
      <x:c r="V851" t="str">
        <x:v>485214406794701</x:v>
      </x:c>
    </x:row>
    <x:row r="852">
      <x:c r="A852" t="str">
        <x:v>RAW-IMP-20260516-FULLDRAFT-000835</x:v>
      </x:c>
      <x:c r="B852" t="str">
        <x:v>IMP-20260516-FULLDRAFT</x:v>
      </x:c>
      <x:c r="C852" t="str">
        <x:v>KTO001</x:v>
      </x:c>
      <x:c r="D852" t="str">
        <x:v>16-05-2026_Umsatzliste_Girokonto_DE98120300001061711675.csv</x:v>
      </x:c>
      <x:c r="E852" t="n">
        <x:v>46163</x:v>
      </x:c>
      <x:c r="F852" t="n">
        <x:v>835</x:v>
      </x:c>
      <x:c r="G852" t="str">
        <x:v>53c36d32218fdc21d6f5ee098feb442e70e59c20818c53f4e1b09cb2d4d0c508</x:v>
      </x:c>
      <x:c r="H852" t="str">
        <x:v>neu</x:v>
      </x:c>
      <x:c r="I852" t="str">
        <x:v>ok</x:v>
      </x:c>
      <x:c r="J852"/>
      <x:c r="K852" t="n">
        <x:v>45873</x:v>
      </x:c>
      <x:c r="L852" t="n">
        <x:v>45873</x:v>
      </x:c>
      <x:c r="M852" t="str">
        <x:v>Gebucht</x:v>
      </x:c>
      <x:c r="N852" t="str">
        <x:v>ISSUER</x:v>
      </x:c>
      <x:c r="O852" t="str">
        <x:v>Lidl.sagt.Danke/Salzgitter</x:v>
      </x:c>
      <x:c r="P852" t="str">
        <x:v>VISA Debitkartenumsatz vom 02.08.2025</x:v>
      </x:c>
      <x:c r="Q852" t="str">
        <x:v>Ausgang</x:v>
      </x:c>
      <x:c r="R852" t="str">
        <x:v>DE96120300009005290904</x:v>
      </x:c>
      <x:c r="S852" t="n">
        <x:v>-83.08</x:v>
      </x:c>
      <x:c r="T852" t="str">
        <x:v>"</x:v>
      </x:c>
      <x:c r="U852" t="str">
        <x:v>"</x:v>
      </x:c>
      <x:c r="V852" t="str">
        <x:v>485214309885593</x:v>
      </x:c>
    </x:row>
    <x:row r="853">
      <x:c r="A853" t="str">
        <x:v>RAW-IMP-20260516-FULLDRAFT-000836</x:v>
      </x:c>
      <x:c r="B853" t="str">
        <x:v>IMP-20260516-FULLDRAFT</x:v>
      </x:c>
      <x:c r="C853" t="str">
        <x:v>KTO001</x:v>
      </x:c>
      <x:c r="D853" t="str">
        <x:v>16-05-2026_Umsatzliste_Girokonto_DE98120300001061711675.csv</x:v>
      </x:c>
      <x:c r="E853" t="n">
        <x:v>46163</x:v>
      </x:c>
      <x:c r="F853" t="n">
        <x:v>836</x:v>
      </x:c>
      <x:c r="G853" t="str">
        <x:v>4c0a6592ce15b2b044656a7e3d34bef8909ac6824b97a7ac801ada0dd90801c1</x:v>
      </x:c>
      <x:c r="H853" t="str">
        <x:v>neu</x:v>
      </x:c>
      <x:c r="I853" t="str">
        <x:v>ok</x:v>
      </x:c>
      <x:c r="J853"/>
      <x:c r="K853" t="n">
        <x:v>45873</x:v>
      </x:c>
      <x:c r="L853" t="n">
        <x:v>45873</x:v>
      </x:c>
      <x:c r="M853" t="str">
        <x:v>Gebucht</x:v>
      </x:c>
      <x:c r="N853" t="str">
        <x:v>Lars Kohlenberg</x:v>
      </x:c>
      <x:c r="O853" t="str">
        <x:v>VHV Allg. Versicherung AG</x:v>
      </x:c>
      <x:c r="P853" t="str">
        <x:v>VHV Versicherung UNFALLVERSICHERUNG U 013-072445/0000 Abrechnung: 01.08.25 - 01.09.25</x:v>
      </x:c>
      <x:c r="Q853" t="str">
        <x:v>Ausgang</x:v>
      </x:c>
      <x:c r="R853" t="str">
        <x:v>DE65250500000101411551</x:v>
      </x:c>
      <x:c r="S853" t="n">
        <x:v>-11.96</x:v>
      </x:c>
      <x:c r="T853" t="str">
        <x:v>DE32VHV00000150810</x:v>
      </x:c>
      <x:c r="U853" t="str">
        <x:v>0015012300010039</x:v>
      </x:c>
      <x:c r="V853" t="str">
        <x:v>31193507102</x:v>
      </x:c>
    </x:row>
    <x:row r="854">
      <x:c r="A854" t="str">
        <x:v>RAW-IMP-20260516-FULLDRAFT-000837</x:v>
      </x:c>
      <x:c r="B854" t="str">
        <x:v>IMP-20260516-FULLDRAFT</x:v>
      </x:c>
      <x:c r="C854" t="str">
        <x:v>KTO001</x:v>
      </x:c>
      <x:c r="D854" t="str">
        <x:v>16-05-2026_Umsatzliste_Girokonto_DE98120300001061711675.csv</x:v>
      </x:c>
      <x:c r="E854" t="n">
        <x:v>46163</x:v>
      </x:c>
      <x:c r="F854" t="n">
        <x:v>837</x:v>
      </x:c>
      <x:c r="G854" t="str">
        <x:v>23ac32bdce69df0a4d6e5fcd20f454149f42821452d4bebf0fa466d8d25a29da</x:v>
      </x:c>
      <x:c r="H854" t="str">
        <x:v>neu</x:v>
      </x:c>
      <x:c r="I854" t="str">
        <x:v>ok</x:v>
      </x:c>
      <x:c r="J854"/>
      <x:c r="K854" t="n">
        <x:v>45873</x:v>
      </x:c>
      <x:c r="L854" t="n">
        <x:v>45873</x:v>
      </x:c>
      <x:c r="M854" t="str">
        <x:v>Gebucht</x:v>
      </x:c>
      <x:c r="N854" t="str">
        <x:v>Lars Kohlenberg                                                       Johannes-Wosnitza-Str. 8</x:v>
      </x:c>
      <x:c r="O854" t="str">
        <x:v>FUNKE Medien Nieders.GmbH</x:v>
      </x:c>
      <x:c r="P854" t="str">
        <x:v>SZ/00001050/VA/01.08.25-31.08.25/Rg-Nr.:6316537460/Kd-Nr:0053112791</x:v>
      </x:c>
      <x:c r="Q854" t="str">
        <x:v>Ausgang</x:v>
      </x:c>
      <x:c r="R854" t="str">
        <x:v>DE67250500000000146910</x:v>
      </x:c>
      <x:c r="S854" t="n">
        <x:v>-60.5</x:v>
      </x:c>
      <x:c r="T854" t="str">
        <x:v>DE8850000000483288</x:v>
      </x:c>
      <x:c r="U854" t="str">
        <x:v>0053112791-0500-01300001</x:v>
      </x:c>
      <x:c r="V854" t="str">
        <x:v>033006956399</x:v>
      </x:c>
    </x:row>
    <x:row r="855">
      <x:c r="A855" t="str">
        <x:v>RAW-IMP-20260516-FULLDRAFT-000838</x:v>
      </x:c>
      <x:c r="B855" t="str">
        <x:v>IMP-20260516-FULLDRAFT</x:v>
      </x:c>
      <x:c r="C855" t="str">
        <x:v>KTO001</x:v>
      </x:c>
      <x:c r="D855" t="str">
        <x:v>16-05-2026_Umsatzliste_Girokonto_DE98120300001061711675.csv</x:v>
      </x:c>
      <x:c r="E855" t="n">
        <x:v>46163</x:v>
      </x:c>
      <x:c r="F855" t="n">
        <x:v>838</x:v>
      </x:c>
      <x:c r="G855" t="str">
        <x:v>deb15da2f8e97244d13c91d477e51a4b0d44dc13b75657054ecb983b4b6fdcb9</x:v>
      </x:c>
      <x:c r="H855" t="str">
        <x:v>neu</x:v>
      </x:c>
      <x:c r="I855" t="str">
        <x:v>ok</x:v>
      </x:c>
      <x:c r="J855"/>
      <x:c r="K855" t="n">
        <x:v>45870</x:v>
      </x:c>
      <x:c r="L855" t="n">
        <x:v>45870</x:v>
      </x:c>
      <x:c r="M855" t="str">
        <x:v>Gebucht</x:v>
      </x:c>
      <x:c r="N855" t="str">
        <x:v>WILLI KOHLENBERG</x:v>
      </x:c>
      <x:c r="O855" t="str">
        <x:v>LARS KOHLENBERG</x:v>
      </x:c>
      <x:c r="P855" t="str">
        <x:v>MIETE 2/3 HAUS</x:v>
      </x:c>
      <x:c r="Q855" t="str">
        <x:v>Eingang</x:v>
      </x:c>
      <x:c r="R855" t="str">
        <x:v>DE84270800600651520400</x:v>
      </x:c>
      <x:c r="S855" t="n">
        <x:v>750</x:v>
      </x:c>
      <x:c r="T855" t="str">
        <x:v>"</x:v>
      </x:c>
      <x:c r="U855" t="str">
        <x:v>"</x:v>
      </x:c>
      <x:c r="V855" t="str">
        <x:v>"</x:v>
      </x:c>
    </x:row>
    <x:row r="856">
      <x:c r="A856" t="str">
        <x:v>RAW-IMP-20260516-FULLDRAFT-000839</x:v>
      </x:c>
      <x:c r="B856" t="str">
        <x:v>IMP-20260516-FULLDRAFT</x:v>
      </x:c>
      <x:c r="C856" t="str">
        <x:v>KTO001</x:v>
      </x:c>
      <x:c r="D856" t="str">
        <x:v>16-05-2026_Umsatzliste_Girokonto_DE98120300001061711675.csv</x:v>
      </x:c>
      <x:c r="E856" t="n">
        <x:v>46163</x:v>
      </x:c>
      <x:c r="F856" t="n">
        <x:v>839</x:v>
      </x:c>
      <x:c r="G856" t="str">
        <x:v>3418b11900440de953d28407ad912446086b612e7919807ae6686075b64c25d5</x:v>
      </x:c>
      <x:c r="H856" t="str">
        <x:v>neu</x:v>
      </x:c>
      <x:c r="I856" t="str">
        <x:v>ok</x:v>
      </x:c>
      <x:c r="J856"/>
      <x:c r="K856" t="n">
        <x:v>45870</x:v>
      </x:c>
      <x:c r="L856" t="n">
        <x:v>45870</x:v>
      </x:c>
      <x:c r="M856" t="str">
        <x:v>Gebucht</x:v>
      </x:c>
      <x:c r="N856" t="str">
        <x:v>ISSUER</x:v>
      </x:c>
      <x:c r="O856" t="str">
        <x:v>EDEKA.POTRATZ/HILDESHEIM</x:v>
      </x:c>
      <x:c r="P856" t="str">
        <x:v>VISA Debitkartenumsatz vom 31.07.2025</x:v>
      </x:c>
      <x:c r="Q856" t="str">
        <x:v>Ausgang</x:v>
      </x:c>
      <x:c r="R856" t="str">
        <x:v>DE96120300009005290904</x:v>
      </x:c>
      <x:c r="S856" t="n">
        <x:v>-6.33</x:v>
      </x:c>
      <x:c r="T856" t="str">
        <x:v>"</x:v>
      </x:c>
      <x:c r="U856" t="str">
        <x:v>"</x:v>
      </x:c>
      <x:c r="V856" t="str">
        <x:v>485212237382075</x:v>
      </x:c>
    </x:row>
    <x:row r="857">
      <x:c r="A857" t="str">
        <x:v>RAW-IMP-20260516-FULLDRAFT-000840</x:v>
      </x:c>
      <x:c r="B857" t="str">
        <x:v>IMP-20260516-FULLDRAFT</x:v>
      </x:c>
      <x:c r="C857" t="str">
        <x:v>KTO001</x:v>
      </x:c>
      <x:c r="D857" t="str">
        <x:v>16-05-2026_Umsatzliste_Girokonto_DE98120300001061711675.csv</x:v>
      </x:c>
      <x:c r="E857" t="n">
        <x:v>46163</x:v>
      </x:c>
      <x:c r="F857" t="n">
        <x:v>840</x:v>
      </x:c>
      <x:c r="G857" t="str">
        <x:v>7849c3898f11899dc3482619cdca7a3b03257df9eca4a4abdc83b229c97d5849</x:v>
      </x:c>
      <x:c r="H857" t="str">
        <x:v>neu</x:v>
      </x:c>
      <x:c r="I857" t="str">
        <x:v>ok</x:v>
      </x:c>
      <x:c r="J857"/>
      <x:c r="K857" t="n">
        <x:v>45870</x:v>
      </x:c>
      <x:c r="L857" t="n">
        <x:v>45870</x:v>
      </x:c>
      <x:c r="M857" t="str">
        <x:v>Gebucht</x:v>
      </x:c>
      <x:c r="N857" t="str">
        <x:v>Lars Kohlenberg</x:v>
      </x:c>
      <x:c r="O857" t="str">
        <x:v>LARS KOHLENBERG</x:v>
      </x:c>
      <x:c r="P857" t="str">
        <x:v>Sparrate 650,- + 750 EUR Mieteinnahmen</x:v>
      </x:c>
      <x:c r="Q857" t="str">
        <x:v>Ausgang</x:v>
      </x:c>
      <x:c r="R857" t="str">
        <x:v>DE91270200001510365800</x:v>
      </x:c>
      <x:c r="S857" t="n">
        <x:v>-1400</x:v>
      </x:c>
      <x:c r="T857" t="str">
        <x:v>"</x:v>
      </x:c>
      <x:c r="U857" t="str">
        <x:v>"</x:v>
      </x:c>
      <x:c r="V857" t="str">
        <x:v>"</x:v>
      </x:c>
    </x:row>
    <x:row r="858">
      <x:c r="A858" t="str">
        <x:v>RAW-IMP-20260516-FULLDRAFT-000841</x:v>
      </x:c>
      <x:c r="B858" t="str">
        <x:v>IMP-20260516-FULLDRAFT</x:v>
      </x:c>
      <x:c r="C858" t="str">
        <x:v>KTO001</x:v>
      </x:c>
      <x:c r="D858" t="str">
        <x:v>16-05-2026_Umsatzliste_Girokonto_DE98120300001061711675.csv</x:v>
      </x:c>
      <x:c r="E858" t="n">
        <x:v>46163</x:v>
      </x:c>
      <x:c r="F858" t="n">
        <x:v>841</x:v>
      </x:c>
      <x:c r="G858" t="str">
        <x:v>2f347c14af4a1089b689da21b16878300fea155c5686a805ae4afc4ca44ff5ce</x:v>
      </x:c>
      <x:c r="H858" t="str">
        <x:v>neu</x:v>
      </x:c>
      <x:c r="I858" t="str">
        <x:v>ok</x:v>
      </x:c>
      <x:c r="J858"/>
      <x:c r="K858" t="n">
        <x:v>45870</x:v>
      </x:c>
      <x:c r="L858" t="n">
        <x:v>45870</x:v>
      </x:c>
      <x:c r="M858" t="str">
        <x:v>Gebucht</x:v>
      </x:c>
      <x:c r="N858" t="str">
        <x:v>Lars Kohlenberg</x:v>
      </x:c>
      <x:c r="O858" t="str">
        <x:v>KATRIN KOHLENBERG</x:v>
      </x:c>
      <x:c r="P858" t="str">
        <x:v>Apanage</x:v>
      </x:c>
      <x:c r="Q858" t="str">
        <x:v>Ausgang</x:v>
      </x:c>
      <x:c r="R858" t="str">
        <x:v>DE32270727240307336800</x:v>
      </x:c>
      <x:c r="S858" t="n">
        <x:v>-1800</x:v>
      </x:c>
      <x:c r="T858" t="str">
        <x:v>"</x:v>
      </x:c>
      <x:c r="U858" t="str">
        <x:v>"</x:v>
      </x:c>
      <x:c r="V858" t="str">
        <x:v>"</x:v>
      </x:c>
    </x:row>
    <x:row r="859">
      <x:c r="A859" t="str">
        <x:v>RAW-IMP-20260516-FULLDRAFT-000842</x:v>
      </x:c>
      <x:c r="B859" t="str">
        <x:v>IMP-20260516-FULLDRAFT</x:v>
      </x:c>
      <x:c r="C859" t="str">
        <x:v>KTO001</x:v>
      </x:c>
      <x:c r="D859" t="str">
        <x:v>16-05-2026_Umsatzliste_Girokonto_DE98120300001061711675.csv</x:v>
      </x:c>
      <x:c r="E859" t="n">
        <x:v>46163</x:v>
      </x:c>
      <x:c r="F859" t="n">
        <x:v>842</x:v>
      </x:c>
      <x:c r="G859" t="str">
        <x:v>f62c71f358ccaf8628c4457b56a720715e321c0eb2cc22767df7ed70b5f334bf</x:v>
      </x:c>
      <x:c r="H859" t="str">
        <x:v>neu</x:v>
      </x:c>
      <x:c r="I859" t="str">
        <x:v>ok</x:v>
      </x:c>
      <x:c r="J859"/>
      <x:c r="K859" t="n">
        <x:v>45870</x:v>
      </x:c>
      <x:c r="L859" t="n">
        <x:v>45870</x:v>
      </x:c>
      <x:c r="M859" t="str">
        <x:v>Gebucht</x:v>
      </x:c>
      <x:c r="N859" t="str">
        <x:v>Kohlenberg, Lars</x:v>
      </x:c>
      <x:c r="O859" t="str">
        <x:v>IDEAL Lebensversicherung aG</x:v>
      </x:c>
      <x:c r="P859" t="str">
        <x:v>2011216280009 LV 081</x:v>
      </x:c>
      <x:c r="Q859" t="str">
        <x:v>Ausgang</x:v>
      </x:c>
      <x:c r="R859" t="str">
        <x:v>DE36100700000460303100</x:v>
      </x:c>
      <x:c r="S859" t="n">
        <x:v>-97.12</x:v>
      </x:c>
      <x:c r="T859" t="str">
        <x:v>DE40ZZZ00000559230</x:v>
      </x:c>
      <x:c r="U859" t="str">
        <x:v>2011216280009-001</x:v>
      </x:c>
      <x:c r="V859" t="str">
        <x:v>GL,KL,PD-20250801-1-2011216280009-0</x:v>
      </x:c>
    </x:row>
    <x:row r="860">
      <x:c r="A860" t="str">
        <x:v>RAW-IMP-20260516-FULLDRAFT-000843</x:v>
      </x:c>
      <x:c r="B860" t="str">
        <x:v>IMP-20260516-FULLDRAFT</x:v>
      </x:c>
      <x:c r="C860" t="str">
        <x:v>KTO001</x:v>
      </x:c>
      <x:c r="D860" t="str">
        <x:v>16-05-2026_Umsatzliste_Girokonto_DE98120300001061711675.csv</x:v>
      </x:c>
      <x:c r="E860" t="n">
        <x:v>46163</x:v>
      </x:c>
      <x:c r="F860" t="n">
        <x:v>843</x:v>
      </x:c>
      <x:c r="G860" t="str">
        <x:v>6ea9017b580ebf324b5b4cdb0a6cc8a0b1c2250fd6eb7409ac51e7a346dcebc9</x:v>
      </x:c>
      <x:c r="H860" t="str">
        <x:v>neu</x:v>
      </x:c>
      <x:c r="I860" t="str">
        <x:v>ok</x:v>
      </x:c>
      <x:c r="J860"/>
      <x:c r="K860" t="n">
        <x:v>45870</x:v>
      </x:c>
      <x:c r="L860" t="n">
        <x:v>45870</x:v>
      </x:c>
      <x:c r="M860" t="str">
        <x:v>Gebucht</x:v>
      </x:c>
      <x:c r="N860" t="str">
        <x:v>KOHLENBERG, LARS</x:v>
      </x:c>
      <x:c r="O860" t="str">
        <x:v>VPV-LEBENSVERSICHERUNGS-AG</x:v>
      </x:c>
      <x:c r="P860" t="str">
        <x:v>VNR 301667726</x:v>
      </x:c>
      <x:c r="Q860" t="str">
        <x:v>Ausgang</x:v>
      </x:c>
      <x:c r="R860" t="str">
        <x:v>DE78600501010001166338</x:v>
      </x:c>
      <x:c r="S860" t="n">
        <x:v>-56.83</x:v>
      </x:c>
      <x:c r="T860" t="str">
        <x:v>DE96LAG00000064686</x:v>
      </x:c>
      <x:c r="U860" t="str">
        <x:v>ML700120510</x:v>
      </x:c>
      <x:c r="V860" t="str">
        <x:v>250728 462343494 ML700120510</x:v>
      </x:c>
    </x:row>
    <x:row r="861">
      <x:c r="A861" t="str">
        <x:v>RAW-IMP-20260516-FULLDRAFT-000844</x:v>
      </x:c>
      <x:c r="B861" t="str">
        <x:v>IMP-20260516-FULLDRAFT</x:v>
      </x:c>
      <x:c r="C861" t="str">
        <x:v>KTO001</x:v>
      </x:c>
      <x:c r="D861" t="str">
        <x:v>16-05-2026_Umsatzliste_Girokonto_DE98120300001061711675.csv</x:v>
      </x:c>
      <x:c r="E861" t="n">
        <x:v>46163</x:v>
      </x:c>
      <x:c r="F861" t="n">
        <x:v>844</x:v>
      </x:c>
      <x:c r="G861" t="str">
        <x:v>a1be73ba274ab58a3081e6bd3d421713e9045b25db45283e76afc256166cb3f7</x:v>
      </x:c>
      <x:c r="H861" t="str">
        <x:v>neu</x:v>
      </x:c>
      <x:c r="I861" t="str">
        <x:v>ok</x:v>
      </x:c>
      <x:c r="J861"/>
      <x:c r="K861" t="n">
        <x:v>45870</x:v>
      </x:c>
      <x:c r="L861" t="n">
        <x:v>45870</x:v>
      </x:c>
      <x:c r="M861" t="str">
        <x:v>Gebucht</x:v>
      </x:c>
      <x:c r="N861" t="str">
        <x:v>Lars Kohlenberg                                                       Johannes-Wosnitza-Str. 8 38229 Salzgitter</x:v>
      </x:c>
      <x:c r="O861" t="str">
        <x:v>Heidelberger Lebensversicherung AG                                    Donrhofstrasse 36, 63263 Neu-Isenburg</x:v>
      </x:c>
      <x:c r="P861" t="str">
        <x:v>60012826 , 08.25</x:v>
      </x:c>
      <x:c r="Q861" t="str">
        <x:v>Ausgang</x:v>
      </x:c>
      <x:c r="R861" t="str">
        <x:v>DE38600501010002662604</x:v>
      </x:c>
      <x:c r="S861" t="n">
        <x:v>-452.71</x:v>
      </x:c>
      <x:c r="T861" t="str">
        <x:v>DE31HLE00000032682</x:v>
      </x:c>
      <x:c r="U861" t="str">
        <x:v>11-140000075706</x:v>
      </x:c>
      <x:c r="V861" t="str">
        <x:v>120045643115</x:v>
      </x:c>
    </x:row>
    <x:row r="862">
      <x:c r="A862" t="str">
        <x:v>RAW-IMP-20260516-FULLDRAFT-000845</x:v>
      </x:c>
      <x:c r="B862" t="str">
        <x:v>IMP-20260516-FULLDRAFT</x:v>
      </x:c>
      <x:c r="C862" t="str">
        <x:v>KTO001</x:v>
      </x:c>
      <x:c r="D862" t="str">
        <x:v>16-05-2026_Umsatzliste_Girokonto_DE98120300001061711675.csv</x:v>
      </x:c>
      <x:c r="E862" t="n">
        <x:v>46163</x:v>
      </x:c>
      <x:c r="F862" t="n">
        <x:v>845</x:v>
      </x:c>
      <x:c r="G862" t="str">
        <x:v>bcf82bc814a187c88074c560b18044addc2a8f437d4790504efeff57dc96e057</x:v>
      </x:c>
      <x:c r="H862" t="str">
        <x:v>neu</x:v>
      </x:c>
      <x:c r="I862" t="str">
        <x:v>ok</x:v>
      </x:c>
      <x:c r="J862"/>
      <x:c r="K862" t="n">
        <x:v>45870</x:v>
      </x:c>
      <x:c r="L862" t="n">
        <x:v>45870</x:v>
      </x:c>
      <x:c r="M862" t="str">
        <x:v>Gebucht</x:v>
      </x:c>
      <x:c r="N862" t="str">
        <x:v>KOHLENBERG, LARS</x:v>
      </x:c>
      <x:c r="O862" t="str">
        <x:v>Lars und Katrin Kohlenberg</x:v>
      </x:c>
      <x:c r="P862" t="str">
        <x:v>12016564 VERMOEGENSDEPOT SAMMELBUCHUNG SPARPLAN WKN A1C9ED, 847809</x:v>
      </x:c>
      <x:c r="Q862" t="str">
        <x:v>Ausgang</x:v>
      </x:c>
      <x:c r="R862" t="str">
        <x:v>DE27672300000506966162</x:v>
      </x:c>
      <x:c r="S862" t="n">
        <x:v>-600</x:v>
      </x:c>
      <x:c r="T862" t="str">
        <x:v>DE53ZZZ00000010849</x:v>
      </x:c>
      <x:c r="U862" t="str">
        <x:v>WPBF0000180845</x:v>
      </x:c>
      <x:c r="V862" t="str">
        <x:v>SPARSP 18232624</x:v>
      </x:c>
    </x:row>
    <x:row r="863">
      <x:c r="A863" t="str">
        <x:v>RAW-IMP-20260516-FULLDRAFT-000846</x:v>
      </x:c>
      <x:c r="B863" t="str">
        <x:v>IMP-20260516-FULLDRAFT</x:v>
      </x:c>
      <x:c r="C863" t="str">
        <x:v>KTO001</x:v>
      </x:c>
      <x:c r="D863" t="str">
        <x:v>16-05-2026_Umsatzliste_Girokonto_DE98120300001061711675.csv</x:v>
      </x:c>
      <x:c r="E863" t="n">
        <x:v>46163</x:v>
      </x:c>
      <x:c r="F863" t="n">
        <x:v>846</x:v>
      </x:c>
      <x:c r="G863" t="str">
        <x:v>0b4a0fb4517b018897e45de071d40150f011ae956c11912102591ff98a47a7ce</x:v>
      </x:c>
      <x:c r="H863" t="str">
        <x:v>neu</x:v>
      </x:c>
      <x:c r="I863" t="str">
        <x:v>ok</x:v>
      </x:c>
      <x:c r="J863"/>
      <x:c r="K863" t="n">
        <x:v>45870</x:v>
      </x:c>
      <x:c r="L863" t="n">
        <x:v>45870</x:v>
      </x:c>
      <x:c r="M863" t="str">
        <x:v>Gebucht</x:v>
      </x:c>
      <x:c r="N863" t="str">
        <x:v>Kohlenberg Lars</x:v>
      </x:c>
      <x:c r="O863" t="str">
        <x:v>Allianz Lebensvers. AG</x:v>
      </x:c>
      <x:c r="P863" t="str">
        <x:v>Vertrag AL-1356867060 bisheriger Vertrag 33 029 619 6 01.08.25 - 31.08.25 RiesRent InvAlphaBal</x:v>
      </x:c>
      <x:c r="Q863" t="str">
        <x:v>Ausgang</x:v>
      </x:c>
      <x:c r="R863" t="str">
        <x:v>DE52700202700015152448</x:v>
      </x:c>
      <x:c r="S863" t="n">
        <x:v>-162.17</x:v>
      </x:c>
      <x:c r="T863" t="str">
        <x:v>DE07ZZZ00000063475</x:v>
      </x:c>
      <x:c r="U863" t="str">
        <x:v>LA01L312001066775296</x:v>
      </x:c>
      <x:c r="V863" t="str">
        <x:v>AB225210-E00497359</x:v>
      </x:c>
    </x:row>
    <x:row r="864">
      <x:c r="A864" t="str">
        <x:v>RAW-IMP-20260516-FULLDRAFT-000847</x:v>
      </x:c>
      <x:c r="B864" t="str">
        <x:v>IMP-20260516-FULLDRAFT</x:v>
      </x:c>
      <x:c r="C864" t="str">
        <x:v>KTO001</x:v>
      </x:c>
      <x:c r="D864" t="str">
        <x:v>16-05-2026_Umsatzliste_Girokonto_DE98120300001061711675.csv</x:v>
      </x:c>
      <x:c r="E864" t="n">
        <x:v>46163</x:v>
      </x:c>
      <x:c r="F864" t="n">
        <x:v>847</x:v>
      </x:c>
      <x:c r="G864" t="str">
        <x:v>d3b1e56ed816d3d01e387acdc098e0ffeb9e6c0b51833b1d56188dcf4fb6f5ff</x:v>
      </x:c>
      <x:c r="H864" t="str">
        <x:v>neu</x:v>
      </x:c>
      <x:c r="I864" t="str">
        <x:v>ok</x:v>
      </x:c>
      <x:c r="J864"/>
      <x:c r="K864" t="n">
        <x:v>45870</x:v>
      </x:c>
      <x:c r="L864" t="n">
        <x:v>45870</x:v>
      </x:c>
      <x:c r="M864" t="str">
        <x:v>Gebucht</x:v>
      </x:c>
      <x:c r="N864" t="str">
        <x:v>Lars Kohlenberg</x:v>
      </x:c>
      <x:c r="O864" t="str">
        <x:v>ADAC, Hansastr. 19, 80686 Muenchen</x:v>
      </x:c>
      <x:c r="P864" t="str">
        <x:v>ADAC E.V. Kohlenberg Lars BEITRAG: 01.08.25-31.07.26</x:v>
      </x:c>
      <x:c r="Q864" t="str">
        <x:v>Ausgang</x:v>
      </x:c>
      <x:c r="R864" t="str">
        <x:v>DE16700500000006055830</x:v>
      </x:c>
      <x:c r="S864" t="n">
        <x:v>-54</x:v>
      </x:c>
      <x:c r="T864" t="str">
        <x:v>DE30ZZZ00000056950</x:v>
      </x:c>
      <x:c r="U864" t="str">
        <x:v>AD17007685020181126001</x:v>
      </x:c>
      <x:c r="V864" t="str">
        <x:v>006840332937</x:v>
      </x:c>
    </x:row>
    <x:row r="865">
      <x:c r="A865" t="str">
        <x:v>RAW-IMP-20260516-FULLDRAFT-000848</x:v>
      </x:c>
      <x:c r="B865" t="str">
        <x:v>IMP-20260516-FULLDRAFT</x:v>
      </x:c>
      <x:c r="C865" t="str">
        <x:v>KTO001</x:v>
      </x:c>
      <x:c r="D865" t="str">
        <x:v>16-05-2026_Umsatzliste_Girokonto_DE98120300001061711675.csv</x:v>
      </x:c>
      <x:c r="E865" t="n">
        <x:v>46163</x:v>
      </x:c>
      <x:c r="F865" t="n">
        <x:v>848</x:v>
      </x:c>
      <x:c r="G865" t="str">
        <x:v>5abb9fec1d6b403866852e407d1dcab7484ad3ec1dc2cc0f9d959cad643c576a</x:v>
      </x:c>
      <x:c r="H865" t="str">
        <x:v>neu</x:v>
      </x:c>
      <x:c r="I865" t="str">
        <x:v>ok</x:v>
      </x:c>
      <x:c r="J865"/>
      <x:c r="K865" t="n">
        <x:v>45870</x:v>
      </x:c>
      <x:c r="L865" t="n">
        <x:v>45870</x:v>
      </x:c>
      <x:c r="M865" t="str">
        <x:v>Gebucht</x:v>
      </x:c>
      <x:c r="N865" t="str">
        <x:v>KOHLENBERG LARS</x:v>
      </x:c>
      <x:c r="O865" t="str">
        <x:v>VOLKSWOHL BUND Lebensversicherung a.G.</x:v>
      </x:c>
      <x:c r="P865" t="str">
        <x:v>009893595 LA000750566/ 009893595 LEBEN 68,46</x:v>
      </x:c>
      <x:c r="Q865" t="str">
        <x:v>Ausgang</x:v>
      </x:c>
      <x:c r="R865" t="str">
        <x:v>DE76440400370361155500</x:v>
      </x:c>
      <x:c r="S865" t="n">
        <x:v>-68.46</x:v>
      </x:c>
      <x:c r="T865" t="str">
        <x:v>DE13ZZZ00000141064</x:v>
      </x:c>
      <x:c r="U865" t="str">
        <x:v>LA000750566</x:v>
      </x:c>
      <x:c r="V865" t="str">
        <x:v>009893595/NVMA.G1137-316912</x:v>
      </x:c>
    </x:row>
    <x:row r="866">
      <x:c r="A866" t="str">
        <x:v>RAW-IMP-20260516-FULLDRAFT-000849</x:v>
      </x:c>
      <x:c r="B866" t="str">
        <x:v>IMP-20260516-FULLDRAFT</x:v>
      </x:c>
      <x:c r="C866" t="str">
        <x:v>KTO001</x:v>
      </x:c>
      <x:c r="D866" t="str">
        <x:v>16-05-2026_Umsatzliste_Girokonto_DE98120300001061711675.csv</x:v>
      </x:c>
      <x:c r="E866" t="n">
        <x:v>46163</x:v>
      </x:c>
      <x:c r="F866" t="n">
        <x:v>849</x:v>
      </x:c>
      <x:c r="G866" t="str">
        <x:v>af6253ba0a4d0dc0082282fcf8c2d72d0247633c579c966c6001819da7b50a60</x:v>
      </x:c>
      <x:c r="H866" t="str">
        <x:v>neu</x:v>
      </x:c>
      <x:c r="I866" t="str">
        <x:v>ok</x:v>
      </x:c>
      <x:c r="J866"/>
      <x:c r="K866" t="n">
        <x:v>45869</x:v>
      </x:c>
      <x:c r="L866" t="n">
        <x:v>45869</x:v>
      </x:c>
      <x:c r="M866" t="str">
        <x:v>Gebucht</x:v>
      </x:c>
      <x:c r="N866" t="str">
        <x:v>ISSUER</x:v>
      </x:c>
      <x:c r="O866" t="str">
        <x:v>REWE.Salzgitter.Ge/Salzgitter</x:v>
      </x:c>
      <x:c r="P866" t="str">
        <x:v>VISA Debitkartenumsatz vom 30.07.2025</x:v>
      </x:c>
      <x:c r="Q866" t="str">
        <x:v>Ausgang</x:v>
      </x:c>
      <x:c r="R866" t="str">
        <x:v>DE96120300009005290904</x:v>
      </x:c>
      <x:c r="S866" t="n">
        <x:v>-24.34</x:v>
      </x:c>
      <x:c r="T866" t="str">
        <x:v>"</x:v>
      </x:c>
      <x:c r="U866" t="str">
        <x:v>"</x:v>
      </x:c>
      <x:c r="V866" t="str">
        <x:v>485211368820014</x:v>
      </x:c>
    </x:row>
    <x:row r="867">
      <x:c r="A867" t="str">
        <x:v>RAW-IMP-20260516-FULLDRAFT-000850</x:v>
      </x:c>
      <x:c r="B867" t="str">
        <x:v>IMP-20260516-FULLDRAFT</x:v>
      </x:c>
      <x:c r="C867" t="str">
        <x:v>KTO001</x:v>
      </x:c>
      <x:c r="D867" t="str">
        <x:v>16-05-2026_Umsatzliste_Girokonto_DE98120300001061711675.csv</x:v>
      </x:c>
      <x:c r="E867" t="n">
        <x:v>46163</x:v>
      </x:c>
      <x:c r="F867" t="n">
        <x:v>850</x:v>
      </x:c>
      <x:c r="G867" t="str">
        <x:v>71793357c2e2f502e1888b5b3b73ee88986efa27a5a77db8c5f9e655336559be</x:v>
      </x:c>
      <x:c r="H867" t="str">
        <x:v>neu</x:v>
      </x:c>
      <x:c r="I867" t="str">
        <x:v>ok</x:v>
      </x:c>
      <x:c r="J867"/>
      <x:c r="K867" t="n">
        <x:v>45869</x:v>
      </x:c>
      <x:c r="L867" t="n">
        <x:v>45869</x:v>
      </x:c>
      <x:c r="M867" t="str">
        <x:v>Gebucht</x:v>
      </x:c>
      <x:c r="N867" t="str">
        <x:v>Kohlenberg, Katrin</x:v>
      </x:c>
      <x:c r="O867" t="str">
        <x:v>WEVG Salzgitter GmbH + Co. KG</x:v>
      </x:c>
      <x:c r="P867" t="str">
        <x:v>Kd-Nr 79288 Einz 31.07.25 41710/317.00/Johannes-Wosni 100833/76.00/Johannes-Wosni</x:v>
      </x:c>
      <x:c r="Q867" t="str">
        <x:v>Ausgang</x:v>
      </x:c>
      <x:c r="R867" t="str">
        <x:v>DE19300700100394127500</x:v>
      </x:c>
      <x:c r="S867" t="n">
        <x:v>-393</x:v>
      </x:c>
      <x:c r="T867" t="str">
        <x:v>DE83WEV00000032716</x:v>
      </x:c>
      <x:c r="U867" t="str">
        <x:v>WEVG0000079288G1000178580</x:v>
      </x:c>
      <x:c r="V867" t="str">
        <x:v>13799115</x:v>
      </x:c>
    </x:row>
    <x:row r="868">
      <x:c r="A868" t="str">
        <x:v>RAW-IMP-20260516-FULLDRAFT-000851</x:v>
      </x:c>
      <x:c r="B868" t="str">
        <x:v>IMP-20260516-FULLDRAFT</x:v>
      </x:c>
      <x:c r="C868" t="str">
        <x:v>KTO001</x:v>
      </x:c>
      <x:c r="D868" t="str">
        <x:v>16-05-2026_Umsatzliste_Girokonto_DE98120300001061711675.csv</x:v>
      </x:c>
      <x:c r="E868" t="n">
        <x:v>46163</x:v>
      </x:c>
      <x:c r="F868" t="n">
        <x:v>851</x:v>
      </x:c>
      <x:c r="G868" t="str">
        <x:v>8705106041ec94c2e394d51ad95a3f7ad4123e65e4865c3ebfe675ccee0b22af</x:v>
      </x:c>
      <x:c r="H868" t="str">
        <x:v>neu</x:v>
      </x:c>
      <x:c r="I868" t="str">
        <x:v>ok</x:v>
      </x:c>
      <x:c r="J868"/>
      <x:c r="K868" t="n">
        <x:v>45869</x:v>
      </x:c>
      <x:c r="L868" t="n">
        <x:v>45869</x:v>
      </x:c>
      <x:c r="M868" t="str">
        <x:v>Gebucht</x:v>
      </x:c>
      <x:c r="N868" t="str">
        <x:v>Lars Kohlenberg</x:v>
      </x:c>
      <x:c r="O868" t="str">
        <x:v>LARS KOHLENBERG</x:v>
      </x:c>
      <x:c r="P868" t="str">
        <x:v>Zins und Tilgung zu 2/3</x:v>
      </x:c>
      <x:c r="Q868" t="str">
        <x:v>Ausgang</x:v>
      </x:c>
      <x:c r="R868" t="str">
        <x:v>DE33269910668923736000</x:v>
      </x:c>
      <x:c r="S868" t="n">
        <x:v>-1153.94</x:v>
      </x:c>
      <x:c r="T868" t="str">
        <x:v>"</x:v>
      </x:c>
      <x:c r="U868" t="str">
        <x:v>"</x:v>
      </x:c>
      <x:c r="V868" t="str">
        <x:v>"</x:v>
      </x:c>
    </x:row>
    <x:row r="869">
      <x:c r="A869" t="str">
        <x:v>RAW-IMP-20260516-FULLDRAFT-000852</x:v>
      </x:c>
      <x:c r="B869" t="str">
        <x:v>IMP-20260516-FULLDRAFT</x:v>
      </x:c>
      <x:c r="C869" t="str">
        <x:v>KTO001</x:v>
      </x:c>
      <x:c r="D869" t="str">
        <x:v>16-05-2026_Umsatzliste_Girokonto_DE98120300001061711675.csv</x:v>
      </x:c>
      <x:c r="E869" t="n">
        <x:v>46163</x:v>
      </x:c>
      <x:c r="F869" t="n">
        <x:v>852</x:v>
      </x:c>
      <x:c r="G869" t="str">
        <x:v>2e87b0932d7f9eac827ed137a37b583d743bf5eaa306df950ac2831c392b4bf8</x:v>
      </x:c>
      <x:c r="H869" t="str">
        <x:v>neu</x:v>
      </x:c>
      <x:c r="I869" t="str">
        <x:v>ok</x:v>
      </x:c>
      <x:c r="J869"/>
      <x:c r="K869" t="n">
        <x:v>45868</x:v>
      </x:c>
      <x:c r="L869" t="n">
        <x:v>45868</x:v>
      </x:c>
      <x:c r="M869" t="str">
        <x:v>Gebucht</x:v>
      </x:c>
      <x:c r="N869" t="str">
        <x:v>Stiftung Kath. Altenhilfe im Bistum Hildesheim</x:v>
      </x:c>
      <x:c r="O869" t="str">
        <x:v>KOHLENBERG LARS</x:v>
      </x:c>
      <x:c r="P869" t="str">
        <x:v>GEHALT 7/25</x:v>
      </x:c>
      <x:c r="Q869" t="str">
        <x:v>Eingang</x:v>
      </x:c>
      <x:c r="R869" t="str">
        <x:v>DE92400602650023150301</x:v>
      </x:c>
      <x:c r="S869" t="n">
        <x:v>7939.81</x:v>
      </x:c>
      <x:c r="T869" t="str">
        <x:v>"</x:v>
      </x:c>
      <x:c r="U869" t="str">
        <x:v>"</x:v>
      </x:c>
      <x:c r="V869" t="str">
        <x:v>001001987662SALA203950004</x:v>
      </x:c>
    </x:row>
    <x:row r="870">
      <x:c r="A870" t="str">
        <x:v>RAW-IMP-20260516-FULLDRAFT-000853</x:v>
      </x:c>
      <x:c r="B870" t="str">
        <x:v>IMP-20260516-FULLDRAFT</x:v>
      </x:c>
      <x:c r="C870" t="str">
        <x:v>KTO001</x:v>
      </x:c>
      <x:c r="D870" t="str">
        <x:v>16-05-2026_Umsatzliste_Girokonto_DE98120300001061711675.csv</x:v>
      </x:c>
      <x:c r="E870" t="n">
        <x:v>46163</x:v>
      </x:c>
      <x:c r="F870" t="n">
        <x:v>853</x:v>
      </x:c>
      <x:c r="G870" t="str">
        <x:v>26ce51d6f33e352e237f59e959cc3eb2069320fcea6504b4211d1044fd772d50</x:v>
      </x:c>
      <x:c r="H870" t="str">
        <x:v>neu</x:v>
      </x:c>
      <x:c r="I870" t="str">
        <x:v>ok</x:v>
      </x:c>
      <x:c r="J870"/>
      <x:c r="K870" t="n">
        <x:v>45868</x:v>
      </x:c>
      <x:c r="L870" t="n">
        <x:v>45868</x:v>
      </x:c>
      <x:c r="M870" t="str">
        <x:v>Gebucht</x:v>
      </x:c>
      <x:c r="N870" t="str">
        <x:v>Lars Kohlenberg                                                       Johannes-Wosnitza-Str. 8,38229 Salzgitter</x:v>
      </x:c>
      <x:c r="O870" t="str">
        <x:v>1+1 Mail + Media GmbH                                                 Elgendorfer Str. 57, 56410 Montabaur</x:v>
      </x:c>
      <x:c r="P870" t="str">
        <x:v>KD-Nr. K7440512/ RG-Nr. 201541587726</x:v>
      </x:c>
      <x:c r="Q870" t="str">
        <x:v>Ausgang</x:v>
      </x:c>
      <x:c r="R870" t="str">
        <x:v>DE76700800000881679702</x:v>
      </x:c>
      <x:c r="S870" t="n">
        <x:v>-8.99</x:v>
      </x:c>
      <x:c r="T870" t="str">
        <x:v>DE07ZZZ00000569718</x:v>
      </x:c>
      <x:c r="U870" t="str">
        <x:v>0090001393062</x:v>
      </x:c>
      <x:c r="V870" t="str">
        <x:v>006024730406</x:v>
      </x:c>
    </x:row>
    <x:row r="871">
      <x:c r="A871" t="str">
        <x:v>RAW-IMP-20260516-FULLDRAFT-000854</x:v>
      </x:c>
      <x:c r="B871" t="str">
        <x:v>IMP-20260516-FULLDRAFT</x:v>
      </x:c>
      <x:c r="C871" t="str">
        <x:v>KTO001</x:v>
      </x:c>
      <x:c r="D871" t="str">
        <x:v>16-05-2026_Umsatzliste_Girokonto_DE98120300001061711675.csv</x:v>
      </x:c>
      <x:c r="E871" t="n">
        <x:v>46163</x:v>
      </x:c>
      <x:c r="F871" t="n">
        <x:v>854</x:v>
      </x:c>
      <x:c r="G871" t="str">
        <x:v>b0002ae12f7f3b0d119e785691d0ff2f9eae1c02fc868a356f91938c6388cb3f</x:v>
      </x:c>
      <x:c r="H871" t="str">
        <x:v>neu</x:v>
      </x:c>
      <x:c r="I871" t="str">
        <x:v>ok</x:v>
      </x:c>
      <x:c r="J871"/>
      <x:c r="K871" t="n">
        <x:v>45868</x:v>
      </x:c>
      <x:c r="L871" t="n">
        <x:v>45868</x:v>
      </x:c>
      <x:c r="M871" t="str">
        <x:v>Gebucht</x:v>
      </x:c>
      <x:c r="N871" t="str">
        <x:v>Lars Kohlenberg</x:v>
      </x:c>
      <x:c r="O871" t="str">
        <x:v>Lea kohlenberg</x:v>
      </x:c>
      <x:c r="P871" t="str">
        <x:v>Taschengeld</x:v>
      </x:c>
      <x:c r="Q871" t="str">
        <x:v>Ausgang</x:v>
      </x:c>
      <x:c r="R871" t="str">
        <x:v>DE89269910662833344000</x:v>
      </x:c>
      <x:c r="S871" t="n">
        <x:v>-10</x:v>
      </x:c>
      <x:c r="T871" t="str">
        <x:v>"</x:v>
      </x:c>
      <x:c r="U871" t="str">
        <x:v>"</x:v>
      </x:c>
      <x:c r="V871" t="str">
        <x:v>"</x:v>
      </x:c>
    </x:row>
    <x:row r="872">
      <x:c r="A872" t="str">
        <x:v>RAW-IMP-20260516-FULLDRAFT-000855</x:v>
      </x:c>
      <x:c r="B872" t="str">
        <x:v>IMP-20260516-FULLDRAFT</x:v>
      </x:c>
      <x:c r="C872" t="str">
        <x:v>KTO001</x:v>
      </x:c>
      <x:c r="D872" t="str">
        <x:v>16-05-2026_Umsatzliste_Girokonto_DE98120300001061711675.csv</x:v>
      </x:c>
      <x:c r="E872" t="n">
        <x:v>46163</x:v>
      </x:c>
      <x:c r="F872" t="n">
        <x:v>855</x:v>
      </x:c>
      <x:c r="G872" t="str">
        <x:v>5d883176b90e17a386eb88d0c67f6688235bcd811981a25391546b7eca37da59</x:v>
      </x:c>
      <x:c r="H872" t="str">
        <x:v>neu</x:v>
      </x:c>
      <x:c r="I872" t="str">
        <x:v>ok</x:v>
      </x:c>
      <x:c r="J872"/>
      <x:c r="K872" t="n">
        <x:v>45867</x:v>
      </x:c>
      <x:c r="L872" t="n">
        <x:v>45867</x:v>
      </x:c>
      <x:c r="M872" t="str">
        <x:v>Gebucht</x:v>
      </x:c>
      <x:c r="N872" t="str">
        <x:v>ISSUER</x:v>
      </x:c>
      <x:c r="O872" t="str">
        <x:v>C1.CINEMA.BRAUNSCHWEIG/BRAUNSCHWEIG</x:v>
      </x:c>
      <x:c r="P872" t="str">
        <x:v>VISA Debitkartenumsatz vom 28.07.2025</x:v>
      </x:c>
      <x:c r="Q872" t="str">
        <x:v>Ausgang</x:v>
      </x:c>
      <x:c r="R872" t="str">
        <x:v>DE96120300009005290904</x:v>
      </x:c>
      <x:c r="S872" t="n">
        <x:v>-2.5</x:v>
      </x:c>
      <x:c r="T872" t="str">
        <x:v>"</x:v>
      </x:c>
      <x:c r="U872" t="str">
        <x:v>"</x:v>
      </x:c>
      <x:c r="V872" t="str">
        <x:v>485209736160469</x:v>
      </x:c>
    </x:row>
    <x:row r="873">
      <x:c r="A873" t="str">
        <x:v>RAW-IMP-20260516-FULLDRAFT-000856</x:v>
      </x:c>
      <x:c r="B873" t="str">
        <x:v>IMP-20260516-FULLDRAFT</x:v>
      </x:c>
      <x:c r="C873" t="str">
        <x:v>KTO001</x:v>
      </x:c>
      <x:c r="D873" t="str">
        <x:v>16-05-2026_Umsatzliste_Girokonto_DE98120300001061711675.csv</x:v>
      </x:c>
      <x:c r="E873" t="n">
        <x:v>46163</x:v>
      </x:c>
      <x:c r="F873" t="n">
        <x:v>856</x:v>
      </x:c>
      <x:c r="G873" t="str">
        <x:v>7638cccb4c299b00f1c437a47c27c465891fe302d7530e2145e89daea38ca5e9</x:v>
      </x:c>
      <x:c r="H873" t="str">
        <x:v>neu</x:v>
      </x:c>
      <x:c r="I873" t="str">
        <x:v>ok</x:v>
      </x:c>
      <x:c r="J873"/>
      <x:c r="K873" t="n">
        <x:v>45867</x:v>
      </x:c>
      <x:c r="L873" t="n">
        <x:v>45867</x:v>
      </x:c>
      <x:c r="M873" t="str">
        <x:v>Gebucht</x:v>
      </x:c>
      <x:c r="N873" t="str">
        <x:v>ISSUER</x:v>
      </x:c>
      <x:c r="O873" t="str">
        <x:v>UZR.C1.Cinema.Braunschw/Hamburg</x:v>
      </x:c>
      <x:c r="P873" t="str">
        <x:v>VISA Debitkartenumsatz vom 28.07.2025</x:v>
      </x:c>
      <x:c r="Q873" t="str">
        <x:v>Ausgang</x:v>
      </x:c>
      <x:c r="R873" t="str">
        <x:v>DE96120300009005290904</x:v>
      </x:c>
      <x:c r="S873" t="n">
        <x:v>-34.4</x:v>
      </x:c>
      <x:c r="T873" t="str">
        <x:v>"</x:v>
      </x:c>
      <x:c r="U873" t="str">
        <x:v>"</x:v>
      </x:c>
      <x:c r="V873" t="str">
        <x:v>485209645802650</x:v>
      </x:c>
    </x:row>
    <x:row r="874">
      <x:c r="A874" t="str">
        <x:v>RAW-IMP-20260516-FULLDRAFT-000857</x:v>
      </x:c>
      <x:c r="B874" t="str">
        <x:v>IMP-20260516-FULLDRAFT</x:v>
      </x:c>
      <x:c r="C874" t="str">
        <x:v>KTO001</x:v>
      </x:c>
      <x:c r="D874" t="str">
        <x:v>16-05-2026_Umsatzliste_Girokonto_DE98120300001061711675.csv</x:v>
      </x:c>
      <x:c r="E874" t="n">
        <x:v>46163</x:v>
      </x:c>
      <x:c r="F874" t="n">
        <x:v>857</x:v>
      </x:c>
      <x:c r="G874" t="str">
        <x:v>0424836fcb8e83dae06401ab6b234e5e25ce776b6e74d45e99bcce2aa36774f9</x:v>
      </x:c>
      <x:c r="H874" t="str">
        <x:v>neu</x:v>
      </x:c>
      <x:c r="I874" t="str">
        <x:v>ok</x:v>
      </x:c>
      <x:c r="J874"/>
      <x:c r="K874" t="n">
        <x:v>45867</x:v>
      </x:c>
      <x:c r="L874" t="n">
        <x:v>45867</x:v>
      </x:c>
      <x:c r="M874" t="str">
        <x:v>Gebucht</x:v>
      </x:c>
      <x:c r="N874" t="str">
        <x:v>REINER HANS EISENHUT</x:v>
      </x:c>
      <x:c r="O874" t="str">
        <x:v>Lars Kohlenberg</x:v>
      </x:c>
      <x:c r="P874" t="str">
        <x:v>Ruckerstattung Kaution AWV-MELDEPFLICHT BEACHTEN HOTLINE BUNDESBANK (0800) 1234-111</x:v>
      </x:c>
      <x:c r="Q874" t="str">
        <x:v>Eingang</x:v>
      </x:c>
      <x:c r="R874" t="str">
        <x:v>ES0400810674650002302435</x:v>
      </x:c>
      <x:c r="S874" t="n">
        <x:v>700</x:v>
      </x:c>
      <x:c r="T874" t="str">
        <x:v>"</x:v>
      </x:c>
      <x:c r="U874" t="str">
        <x:v>"</x:v>
      </x:c>
      <x:c r="V874" t="str">
        <x:v>"</x:v>
      </x:c>
    </x:row>
    <x:row r="875">
      <x:c r="A875" t="str">
        <x:v>RAW-IMP-20260516-FULLDRAFT-000858</x:v>
      </x:c>
      <x:c r="B875" t="str">
        <x:v>IMP-20260516-FULLDRAFT</x:v>
      </x:c>
      <x:c r="C875" t="str">
        <x:v>KTO001</x:v>
      </x:c>
      <x:c r="D875" t="str">
        <x:v>16-05-2026_Umsatzliste_Girokonto_DE98120300001061711675.csv</x:v>
      </x:c>
      <x:c r="E875" t="n">
        <x:v>46163</x:v>
      </x:c>
      <x:c r="F875" t="n">
        <x:v>858</x:v>
      </x:c>
      <x:c r="G875" t="str">
        <x:v>c4690895b9598b2439c7aeaa260211a4b3b86aea7d1067ab8a22af3861b6d9b8</x:v>
      </x:c>
      <x:c r="H875" t="str">
        <x:v>neu</x:v>
      </x:c>
      <x:c r="I875" t="str">
        <x:v>ok</x:v>
      </x:c>
      <x:c r="J875"/>
      <x:c r="K875" t="n">
        <x:v>45866</x:v>
      </x:c>
      <x:c r="L875" t="n">
        <x:v>45866</x:v>
      </x:c>
      <x:c r="M875" t="str">
        <x:v>Gebucht</x:v>
      </x:c>
      <x:c r="N875" t="str">
        <x:v>ISSUER</x:v>
      </x:c>
      <x:c r="O875" t="str">
        <x:v>AMZN.Mktp.DE.RJ8AN5NV4/800.279.6620</x:v>
      </x:c>
      <x:c r="P875" t="str">
        <x:v>VISA Debitkartenumsatz vom 27.07.2025</x:v>
      </x:c>
      <x:c r="Q875" t="str">
        <x:v>Ausgang</x:v>
      </x:c>
      <x:c r="R875" t="str">
        <x:v>DE96120300009005290904</x:v>
      </x:c>
      <x:c r="S875" t="n">
        <x:v>-15.39</x:v>
      </x:c>
      <x:c r="T875" t="str">
        <x:v>"</x:v>
      </x:c>
      <x:c r="U875" t="str">
        <x:v>"</x:v>
      </x:c>
      <x:c r="V875" t="str">
        <x:v>485206791455503</x:v>
      </x:c>
    </x:row>
    <x:row r="876">
      <x:c r="A876" t="str">
        <x:v>RAW-IMP-20260516-FULLDRAFT-000859</x:v>
      </x:c>
      <x:c r="B876" t="str">
        <x:v>IMP-20260516-FULLDRAFT</x:v>
      </x:c>
      <x:c r="C876" t="str">
        <x:v>KTO001</x:v>
      </x:c>
      <x:c r="D876" t="str">
        <x:v>16-05-2026_Umsatzliste_Girokonto_DE98120300001061711675.csv</x:v>
      </x:c>
      <x:c r="E876" t="n">
        <x:v>46163</x:v>
      </x:c>
      <x:c r="F876" t="n">
        <x:v>859</x:v>
      </x:c>
      <x:c r="G876" t="str">
        <x:v>74dbf1fdd224a60b6866f2d2d942a17818d79bcb5e09ac7cbca8e9b6a3162fa3</x:v>
      </x:c>
      <x:c r="H876" t="str">
        <x:v>neu</x:v>
      </x:c>
      <x:c r="I876" t="str">
        <x:v>ok</x:v>
      </x:c>
      <x:c r="J876"/>
      <x:c r="K876" t="n">
        <x:v>45866</x:v>
      </x:c>
      <x:c r="L876" t="n">
        <x:v>45866</x:v>
      </x:c>
      <x:c r="M876" t="str">
        <x:v>Gebucht</x:v>
      </x:c>
      <x:c r="N876" t="str">
        <x:v>ISSUER</x:v>
      </x:c>
      <x:c r="O876" t="str">
        <x:v>REWE.Braunschweig/Braunschweig</x:v>
      </x:c>
      <x:c r="P876" t="str">
        <x:v>VISA Debitkartenumsatz vom 25.07.2025</x:v>
      </x:c>
      <x:c r="Q876" t="str">
        <x:v>Ausgang</x:v>
      </x:c>
      <x:c r="R876" t="str">
        <x:v>DE96120300009005290904</x:v>
      </x:c>
      <x:c r="S876" t="n">
        <x:v>-12.33</x:v>
      </x:c>
      <x:c r="T876" t="str">
        <x:v>"</x:v>
      </x:c>
      <x:c r="U876" t="str">
        <x:v>"</x:v>
      </x:c>
      <x:c r="V876" t="str">
        <x:v>485206640457046</x:v>
      </x:c>
    </x:row>
    <x:row r="877">
      <x:c r="A877" t="str">
        <x:v>RAW-IMP-20260516-FULLDRAFT-000860</x:v>
      </x:c>
      <x:c r="B877" t="str">
        <x:v>IMP-20260516-FULLDRAFT</x:v>
      </x:c>
      <x:c r="C877" t="str">
        <x:v>KTO001</x:v>
      </x:c>
      <x:c r="D877" t="str">
        <x:v>16-05-2026_Umsatzliste_Girokonto_DE98120300001061711675.csv</x:v>
      </x:c>
      <x:c r="E877" t="n">
        <x:v>46163</x:v>
      </x:c>
      <x:c r="F877" t="n">
        <x:v>860</x:v>
      </x:c>
      <x:c r="G877" t="str">
        <x:v>c66e60cf00e17eaac52722837e4b2d813c1aff1ac38c58460eb53a4aa3541735</x:v>
      </x:c>
      <x:c r="H877" t="str">
        <x:v>neu</x:v>
      </x:c>
      <x:c r="I877" t="str">
        <x:v>ok</x:v>
      </x:c>
      <x:c r="J877"/>
      <x:c r="K877" t="n">
        <x:v>45866</x:v>
      </x:c>
      <x:c r="L877" t="n">
        <x:v>45866</x:v>
      </x:c>
      <x:c r="M877" t="str">
        <x:v>Gebucht</x:v>
      </x:c>
      <x:c r="N877" t="str">
        <x:v>ISSUER</x:v>
      </x:c>
      <x:c r="O877" t="str">
        <x:v>ASTOR.FILMTHEATER/BRAUNSCHWEIG</x:v>
      </x:c>
      <x:c r="P877" t="str">
        <x:v>VISA Debitkartenumsatz vom 25.07.2025</x:v>
      </x:c>
      <x:c r="Q877" t="str">
        <x:v>Ausgang</x:v>
      </x:c>
      <x:c r="R877" t="str">
        <x:v>DE96120300009005290904</x:v>
      </x:c>
      <x:c r="S877" t="n">
        <x:v>-40</x:v>
      </x:c>
      <x:c r="T877" t="str">
        <x:v>"</x:v>
      </x:c>
      <x:c r="U877" t="str">
        <x:v>"</x:v>
      </x:c>
      <x:c r="V877" t="str">
        <x:v>485206503822004</x:v>
      </x:c>
    </x:row>
    <x:row r="878">
      <x:c r="A878" t="str">
        <x:v>RAW-IMP-20260516-FULLDRAFT-000861</x:v>
      </x:c>
      <x:c r="B878" t="str">
        <x:v>IMP-20260516-FULLDRAFT</x:v>
      </x:c>
      <x:c r="C878" t="str">
        <x:v>KTO001</x:v>
      </x:c>
      <x:c r="D878" t="str">
        <x:v>16-05-2026_Umsatzliste_Girokonto_DE98120300001061711675.csv</x:v>
      </x:c>
      <x:c r="E878" t="n">
        <x:v>46163</x:v>
      </x:c>
      <x:c r="F878" t="n">
        <x:v>861</x:v>
      </x:c>
      <x:c r="G878" t="str">
        <x:v>faeae4b03d77dac27332bcf19db4e7b916846e3a3b4159563fff4bd964a17837</x:v>
      </x:c>
      <x:c r="H878" t="str">
        <x:v>neu</x:v>
      </x:c>
      <x:c r="I878" t="str">
        <x:v>ok</x:v>
      </x:c>
      <x:c r="J878"/>
      <x:c r="K878" t="n">
        <x:v>45866</x:v>
      </x:c>
      <x:c r="L878" t="n">
        <x:v>45866</x:v>
      </x:c>
      <x:c r="M878" t="str">
        <x:v>Gebucht</x:v>
      </x:c>
      <x:c r="N878" t="str">
        <x:v>ISSUER</x:v>
      </x:c>
      <x:c r="O878" t="str">
        <x:v>REWE.Salzgitter.Ge/Salzgitter</x:v>
      </x:c>
      <x:c r="P878" t="str">
        <x:v>VISA Debitkartenumsatz vom 26.07.2025</x:v>
      </x:c>
      <x:c r="Q878" t="str">
        <x:v>Ausgang</x:v>
      </x:c>
      <x:c r="R878" t="str">
        <x:v>DE96120300009005290904</x:v>
      </x:c>
      <x:c r="S878" t="n">
        <x:v>-10.34</x:v>
      </x:c>
      <x:c r="T878" t="str">
        <x:v>"</x:v>
      </x:c>
      <x:c r="U878" t="str">
        <x:v>"</x:v>
      </x:c>
      <x:c r="V878" t="str">
        <x:v>485207341595122</x:v>
      </x:c>
    </x:row>
    <x:row r="879">
      <x:c r="A879" t="str">
        <x:v>RAW-IMP-20260516-FULLDRAFT-000862</x:v>
      </x:c>
      <x:c r="B879" t="str">
        <x:v>IMP-20260516-FULLDRAFT</x:v>
      </x:c>
      <x:c r="C879" t="str">
        <x:v>KTO001</x:v>
      </x:c>
      <x:c r="D879" t="str">
        <x:v>16-05-2026_Umsatzliste_Girokonto_DE98120300001061711675.csv</x:v>
      </x:c>
      <x:c r="E879" t="n">
        <x:v>46163</x:v>
      </x:c>
      <x:c r="F879" t="n">
        <x:v>862</x:v>
      </x:c>
      <x:c r="G879" t="str">
        <x:v>2b0157fda38e451016d4e275e93629027e939154bdc67b08bf2c3bd33d08bce2</x:v>
      </x:c>
      <x:c r="H879" t="str">
        <x:v>neu</x:v>
      </x:c>
      <x:c r="I879" t="str">
        <x:v>ok</x:v>
      </x:c>
      <x:c r="J879"/>
      <x:c r="K879" t="n">
        <x:v>45866</x:v>
      </x:c>
      <x:c r="L879" t="n">
        <x:v>45866</x:v>
      </x:c>
      <x:c r="M879" t="str">
        <x:v>Gebucht</x:v>
      </x:c>
      <x:c r="N879" t="str">
        <x:v>ISSUER</x:v>
      </x:c>
      <x:c r="O879" t="str">
        <x:v>NP.MARKT.1088/SALZGITTER</x:v>
      </x:c>
      <x:c r="P879" t="str">
        <x:v>VISA Debitkartenumsatz vom 26.07.2025</x:v>
      </x:c>
      <x:c r="Q879" t="str">
        <x:v>Ausgang</x:v>
      </x:c>
      <x:c r="R879" t="str">
        <x:v>DE96120300009005290904</x:v>
      </x:c>
      <x:c r="S879" t="n">
        <x:v>-2.39</x:v>
      </x:c>
      <x:c r="T879" t="str">
        <x:v>"</x:v>
      </x:c>
      <x:c r="U879" t="str">
        <x:v>"</x:v>
      </x:c>
      <x:c r="V879" t="str">
        <x:v>485207609292917</x:v>
      </x:c>
    </x:row>
    <x:row r="880">
      <x:c r="A880" t="str">
        <x:v>RAW-IMP-20260516-FULLDRAFT-000863</x:v>
      </x:c>
      <x:c r="B880" t="str">
        <x:v>IMP-20260516-FULLDRAFT</x:v>
      </x:c>
      <x:c r="C880" t="str">
        <x:v>KTO001</x:v>
      </x:c>
      <x:c r="D880" t="str">
        <x:v>16-05-2026_Umsatzliste_Girokonto_DE98120300001061711675.csv</x:v>
      </x:c>
      <x:c r="E880" t="n">
        <x:v>46163</x:v>
      </x:c>
      <x:c r="F880" t="n">
        <x:v>863</x:v>
      </x:c>
      <x:c r="G880" t="str">
        <x:v>61b46f956e647903a748179a5a9bcb7ff6e115838250bd4451170ff03faed92b</x:v>
      </x:c>
      <x:c r="H880" t="str">
        <x:v>neu</x:v>
      </x:c>
      <x:c r="I880" t="str">
        <x:v>ok</x:v>
      </x:c>
      <x:c r="J880"/>
      <x:c r="K880" t="n">
        <x:v>45866</x:v>
      </x:c>
      <x:c r="L880" t="n">
        <x:v>45866</x:v>
      </x:c>
      <x:c r="M880" t="str">
        <x:v>Gebucht</x:v>
      </x:c>
      <x:c r="N880" t="str">
        <x:v>ISSUER</x:v>
      </x:c>
      <x:c r="O880" t="str">
        <x:v>WWW.AMAZON...RS8FD7IA4/LUXEMBOURG</x:v>
      </x:c>
      <x:c r="P880" t="str">
        <x:v>VISA Debitkartenumsatz vom 25.07.2025</x:v>
      </x:c>
      <x:c r="Q880" t="str">
        <x:v>Ausgang</x:v>
      </x:c>
      <x:c r="R880" t="str">
        <x:v>DE96120300009005290904</x:v>
      </x:c>
      <x:c r="S880" t="n">
        <x:v>-56.24</x:v>
      </x:c>
      <x:c r="T880" t="str">
        <x:v>"</x:v>
      </x:c>
      <x:c r="U880" t="str">
        <x:v>"</x:v>
      </x:c>
      <x:c r="V880" t="str">
        <x:v>485206523965663</x:v>
      </x:c>
    </x:row>
    <x:row r="881">
      <x:c r="A881" t="str">
        <x:v>RAW-IMP-20260516-FULLDRAFT-000864</x:v>
      </x:c>
      <x:c r="B881" t="str">
        <x:v>IMP-20260516-FULLDRAFT</x:v>
      </x:c>
      <x:c r="C881" t="str">
        <x:v>KTO001</x:v>
      </x:c>
      <x:c r="D881" t="str">
        <x:v>16-05-2026_Umsatzliste_Girokonto_DE98120300001061711675.csv</x:v>
      </x:c>
      <x:c r="E881" t="n">
        <x:v>46163</x:v>
      </x:c>
      <x:c r="F881" t="n">
        <x:v>864</x:v>
      </x:c>
      <x:c r="G881" t="str">
        <x:v>8075e40fe0e37c70513f58da934b08e94c75229beef49e8a258f9b2966d28143</x:v>
      </x:c>
      <x:c r="H881" t="str">
        <x:v>neu</x:v>
      </x:c>
      <x:c r="I881" t="str">
        <x:v>ok</x:v>
      </x:c>
      <x:c r="J881"/>
      <x:c r="K881" t="n">
        <x:v>45866</x:v>
      </x:c>
      <x:c r="L881" t="n">
        <x:v>45866</x:v>
      </x:c>
      <x:c r="M881" t="str">
        <x:v>Gebucht</x:v>
      </x:c>
      <x:c r="N881" t="str">
        <x:v>ISSUER</x:v>
      </x:c>
      <x:c r="O881" t="str">
        <x:v>REWE.Mehmet.Kaysal.oHG/Salzgitter</x:v>
      </x:c>
      <x:c r="P881" t="str">
        <x:v>VISA Debitkartenumsatz vom 26.07.2025</x:v>
      </x:c>
      <x:c r="Q881" t="str">
        <x:v>Ausgang</x:v>
      </x:c>
      <x:c r="R881" t="str">
        <x:v>DE96120300009005290904</x:v>
      </x:c>
      <x:c r="S881" t="n">
        <x:v>-19.68</x:v>
      </x:c>
      <x:c r="T881" t="str">
        <x:v>"</x:v>
      </x:c>
      <x:c r="U881" t="str">
        <x:v>"</x:v>
      </x:c>
      <x:c r="V881" t="str">
        <x:v>485207482778709</x:v>
      </x:c>
    </x:row>
    <x:row r="882">
      <x:c r="A882" t="str">
        <x:v>RAW-IMP-20260516-FULLDRAFT-000865</x:v>
      </x:c>
      <x:c r="B882" t="str">
        <x:v>IMP-20260516-FULLDRAFT</x:v>
      </x:c>
      <x:c r="C882" t="str">
        <x:v>KTO001</x:v>
      </x:c>
      <x:c r="D882" t="str">
        <x:v>16-05-2026_Umsatzliste_Girokonto_DE98120300001061711675.csv</x:v>
      </x:c>
      <x:c r="E882" t="n">
        <x:v>46163</x:v>
      </x:c>
      <x:c r="F882" t="n">
        <x:v>865</x:v>
      </x:c>
      <x:c r="G882" t="str">
        <x:v>5612b2deff4ca5891b065e2a7d88da086e545c1c95ebf5cf962adece40d89abf</x:v>
      </x:c>
      <x:c r="H882" t="str">
        <x:v>neu</x:v>
      </x:c>
      <x:c r="I882" t="str">
        <x:v>ok</x:v>
      </x:c>
      <x:c r="J882"/>
      <x:c r="K882" t="n">
        <x:v>45866</x:v>
      </x:c>
      <x:c r="L882" t="n">
        <x:v>45866</x:v>
      </x:c>
      <x:c r="M882" t="str">
        <x:v>Gebucht</x:v>
      </x:c>
      <x:c r="N882" t="str">
        <x:v>ISSUER</x:v>
      </x:c>
      <x:c r="O882" t="str">
        <x:v>REWE.Salzgitter.Ge/Salzgitter</x:v>
      </x:c>
      <x:c r="P882" t="str">
        <x:v>VISA Debitkartenumsatz vom 26.07.2025</x:v>
      </x:c>
      <x:c r="Q882" t="str">
        <x:v>Ausgang</x:v>
      </x:c>
      <x:c r="R882" t="str">
        <x:v>DE96120300009005290904</x:v>
      </x:c>
      <x:c r="S882" t="n">
        <x:v>-36.13</x:v>
      </x:c>
      <x:c r="T882" t="str">
        <x:v>"</x:v>
      </x:c>
      <x:c r="U882" t="str">
        <x:v>"</x:v>
      </x:c>
      <x:c r="V882" t="str">
        <x:v>485207498384241</x:v>
      </x:c>
    </x:row>
    <x:row r="883">
      <x:c r="A883" t="str">
        <x:v>RAW-IMP-20260516-FULLDRAFT-000866</x:v>
      </x:c>
      <x:c r="B883" t="str">
        <x:v>IMP-20260516-FULLDRAFT</x:v>
      </x:c>
      <x:c r="C883" t="str">
        <x:v>KTO001</x:v>
      </x:c>
      <x:c r="D883" t="str">
        <x:v>16-05-2026_Umsatzliste_Girokonto_DE98120300001061711675.csv</x:v>
      </x:c>
      <x:c r="E883" t="n">
        <x:v>46163</x:v>
      </x:c>
      <x:c r="F883" t="n">
        <x:v>866</x:v>
      </x:c>
      <x:c r="G883" t="str">
        <x:v>6cc84013d5f64c17b731aa27817c30eb83e8ccbc01cc841885a1f40f190505cf</x:v>
      </x:c>
      <x:c r="H883" t="str">
        <x:v>neu</x:v>
      </x:c>
      <x:c r="I883" t="str">
        <x:v>ok</x:v>
      </x:c>
      <x:c r="J883"/>
      <x:c r="K883" t="n">
        <x:v>45866</x:v>
      </x:c>
      <x:c r="L883" t="n">
        <x:v>45866</x:v>
      </x:c>
      <x:c r="M883" t="str">
        <x:v>Gebucht</x:v>
      </x:c>
      <x:c r="N883" t="str">
        <x:v>ISSUER</x:v>
      </x:c>
      <x:c r="O883" t="str">
        <x:v>LOEWENBAECKER.SCHAPER/SALZGITTER</x:v>
      </x:c>
      <x:c r="P883" t="str">
        <x:v>VISA Debitkartenumsatz vom 25.07.2025</x:v>
      </x:c>
      <x:c r="Q883" t="str">
        <x:v>Ausgang</x:v>
      </x:c>
      <x:c r="R883" t="str">
        <x:v>DE96120300009005290904</x:v>
      </x:c>
      <x:c r="S883" t="n">
        <x:v>-2.27</x:v>
      </x:c>
      <x:c r="T883" t="str">
        <x:v>"</x:v>
      </x:c>
      <x:c r="U883" t="str">
        <x:v>"</x:v>
      </x:c>
      <x:c r="V883" t="str">
        <x:v>485206223647555</x:v>
      </x:c>
    </x:row>
    <x:row r="884">
      <x:c r="A884" t="str">
        <x:v>RAW-IMP-20260516-FULLDRAFT-000867</x:v>
      </x:c>
      <x:c r="B884" t="str">
        <x:v>IMP-20260516-FULLDRAFT</x:v>
      </x:c>
      <x:c r="C884" t="str">
        <x:v>KTO001</x:v>
      </x:c>
      <x:c r="D884" t="str">
        <x:v>16-05-2026_Umsatzliste_Girokonto_DE98120300001061711675.csv</x:v>
      </x:c>
      <x:c r="E884" t="n">
        <x:v>46163</x:v>
      </x:c>
      <x:c r="F884" t="n">
        <x:v>867</x:v>
      </x:c>
      <x:c r="G884" t="str">
        <x:v>d997c935a9890cb35f39b21ad4d7fb1d18281f2139aa307126ef053ad9c9c5b3</x:v>
      </x:c>
      <x:c r="H884" t="str">
        <x:v>neu</x:v>
      </x:c>
      <x:c r="I884" t="str">
        <x:v>ok</x:v>
      </x:c>
      <x:c r="J884"/>
      <x:c r="K884" t="n">
        <x:v>45866</x:v>
      </x:c>
      <x:c r="L884" t="n">
        <x:v>45866</x:v>
      </x:c>
      <x:c r="M884" t="str">
        <x:v>Gebucht</x:v>
      </x:c>
      <x:c r="N884" t="str">
        <x:v>Lars Kohlenberg                                                       Johannes-Wosnitza-Str. 38229 Salzgitter</x:v>
      </x:c>
      <x:c r="O884" t="str">
        <x:v>GMX by LOTTO24                                                        StraBenbahnring 11 20251 Hamburg</x:v>
      </x:c>
      <x:c r="P884" t="str">
        <x:v>GMX by LOTTO24 C98983063 - T181722914537</x:v>
      </x:c>
      <x:c r="Q884" t="str">
        <x:v>Ausgang</x:v>
      </x:c>
      <x:c r="R884" t="str">
        <x:v>DE52100190001000027873</x:v>
      </x:c>
      <x:c r="S884" t="n">
        <x:v>-18.14</x:v>
      </x:c>
      <x:c r="T884" t="str">
        <x:v>NL48ZZZ342764500000</x:v>
      </x:c>
      <x:c r="U884" t="str">
        <x:v>R372DKN5SSBXZP52</x:v>
      </x:c>
      <x:c r="V884" t="str">
        <x:v>VFC6B6R8RX3TB7Z3</x:v>
      </x:c>
    </x:row>
    <x:row r="885">
      <x:c r="A885" t="str">
        <x:v>RAW-IMP-20260516-FULLDRAFT-000868</x:v>
      </x:c>
      <x:c r="B885" t="str">
        <x:v>IMP-20260516-FULLDRAFT</x:v>
      </x:c>
      <x:c r="C885" t="str">
        <x:v>KTO001</x:v>
      </x:c>
      <x:c r="D885" t="str">
        <x:v>16-05-2026_Umsatzliste_Girokonto_DE98120300001061711675.csv</x:v>
      </x:c>
      <x:c r="E885" t="n">
        <x:v>46163</x:v>
      </x:c>
      <x:c r="F885" t="n">
        <x:v>868</x:v>
      </x:c>
      <x:c r="G885" t="str">
        <x:v>eeb62f0c1051d6ea9cbdd8db92cecfd67e1e3bd657faf8be6d40052145eee923</x:v>
      </x:c>
      <x:c r="H885" t="str">
        <x:v>neu</x:v>
      </x:c>
      <x:c r="I885" t="str">
        <x:v>ok</x:v>
      </x:c>
      <x:c r="J885"/>
      <x:c r="K885" t="n">
        <x:v>45863</x:v>
      </x:c>
      <x:c r="L885" t="n">
        <x:v>45863</x:v>
      </x:c>
      <x:c r="M885" t="str">
        <x:v>Gebucht</x:v>
      </x:c>
      <x:c r="N885" t="str">
        <x:v>ISSUER</x:v>
      </x:c>
      <x:c r="O885" t="str">
        <x:v>MCDONALDS.01868/BAD.DUERRENBE</x:v>
      </x:c>
      <x:c r="P885" t="str">
        <x:v>VISA Debitkartenumsatz vom 24.07.2025</x:v>
      </x:c>
      <x:c r="Q885" t="str">
        <x:v>Ausgang</x:v>
      </x:c>
      <x:c r="R885" t="str">
        <x:v>DE96120300009005290904</x:v>
      </x:c>
      <x:c r="S885" t="n">
        <x:v>-17.98</x:v>
      </x:c>
      <x:c r="T885" t="str">
        <x:v>"</x:v>
      </x:c>
      <x:c r="U885" t="str">
        <x:v>"</x:v>
      </x:c>
      <x:c r="V885" t="str">
        <x:v>485205461511008</x:v>
      </x:c>
    </x:row>
    <x:row r="886">
      <x:c r="A886" t="str">
        <x:v>RAW-IMP-20260516-FULLDRAFT-000869</x:v>
      </x:c>
      <x:c r="B886" t="str">
        <x:v>IMP-20260516-FULLDRAFT</x:v>
      </x:c>
      <x:c r="C886" t="str">
        <x:v>KTO001</x:v>
      </x:c>
      <x:c r="D886" t="str">
        <x:v>16-05-2026_Umsatzliste_Girokonto_DE98120300001061711675.csv</x:v>
      </x:c>
      <x:c r="E886" t="n">
        <x:v>46163</x:v>
      </x:c>
      <x:c r="F886" t="n">
        <x:v>869</x:v>
      </x:c>
      <x:c r="G886" t="str">
        <x:v>4fa3feca965e87a159a0dbc781aa006d8a5c0be91fba1cb34b5c4b1b8bf6bc5a</x:v>
      </x:c>
      <x:c r="H886" t="str">
        <x:v>neu</x:v>
      </x:c>
      <x:c r="I886" t="str">
        <x:v>ok</x:v>
      </x:c>
      <x:c r="J886"/>
      <x:c r="K886" t="n">
        <x:v>45863</x:v>
      </x:c>
      <x:c r="L886" t="n">
        <x:v>45863</x:v>
      </x:c>
      <x:c r="M886" t="str">
        <x:v>Gebucht</x:v>
      </x:c>
      <x:c r="N886" t="str">
        <x:v>ISSUER</x:v>
      </x:c>
      <x:c r="O886" t="str">
        <x:v>REWE.Salzgitter.Ge/Salzgitter</x:v>
      </x:c>
      <x:c r="P886" t="str">
        <x:v>VISA Debitkartenumsatz vom 24.07.2025</x:v>
      </x:c>
      <x:c r="Q886" t="str">
        <x:v>Ausgang</x:v>
      </x:c>
      <x:c r="R886" t="str">
        <x:v>DE96120300009005290904</x:v>
      </x:c>
      <x:c r="S886" t="n">
        <x:v>-18</x:v>
      </x:c>
      <x:c r="T886" t="str">
        <x:v>"</x:v>
      </x:c>
      <x:c r="U886" t="str">
        <x:v>"</x:v>
      </x:c>
      <x:c r="V886" t="str">
        <x:v>485205648159910</x:v>
      </x:c>
    </x:row>
    <x:row r="887">
      <x:c r="A887" t="str">
        <x:v>RAW-IMP-20260516-FULLDRAFT-000870</x:v>
      </x:c>
      <x:c r="B887" t="str">
        <x:v>IMP-20260516-FULLDRAFT</x:v>
      </x:c>
      <x:c r="C887" t="str">
        <x:v>KTO001</x:v>
      </x:c>
      <x:c r="D887" t="str">
        <x:v>16-05-2026_Umsatzliste_Girokonto_DE98120300001061711675.csv</x:v>
      </x:c>
      <x:c r="E887" t="n">
        <x:v>46163</x:v>
      </x:c>
      <x:c r="F887" t="n">
        <x:v>870</x:v>
      </x:c>
      <x:c r="G887" t="str">
        <x:v>b5dbe6df37f469075c1f863e8268c7dd3a88c7e59ac9255366f2c1fcef982b22</x:v>
      </x:c>
      <x:c r="H887" t="str">
        <x:v>neu</x:v>
      </x:c>
      <x:c r="I887" t="str">
        <x:v>ok</x:v>
      </x:c>
      <x:c r="J887"/>
      <x:c r="K887" t="n">
        <x:v>45863</x:v>
      </x:c>
      <x:c r="L887" t="n">
        <x:v>45863</x:v>
      </x:c>
      <x:c r="M887" t="str">
        <x:v>Gebucht</x:v>
      </x:c>
      <x:c r="N887" t="str">
        <x:v>ISSUER</x:v>
      </x:c>
      <x:c r="O887" t="str">
        <x:v>Koeschinger.Forst.Ost.R/Hepberg</x:v>
      </x:c>
      <x:c r="P887" t="str">
        <x:v>VISA Debitkartenumsatz vom 24.07.2025</x:v>
      </x:c>
      <x:c r="Q887" t="str">
        <x:v>Ausgang</x:v>
      </x:c>
      <x:c r="R887" t="str">
        <x:v>DE96120300009005290904</x:v>
      </x:c>
      <x:c r="S887" t="n">
        <x:v>-1</x:v>
      </x:c>
      <x:c r="T887" t="str">
        <x:v>"</x:v>
      </x:c>
      <x:c r="U887" t="str">
        <x:v>"</x:v>
      </x:c>
      <x:c r="V887" t="str">
        <x:v>485205330771340</x:v>
      </x:c>
    </x:row>
    <x:row r="888">
      <x:c r="A888" t="str">
        <x:v>RAW-IMP-20260516-FULLDRAFT-000871</x:v>
      </x:c>
      <x:c r="B888" t="str">
        <x:v>IMP-20260516-FULLDRAFT</x:v>
      </x:c>
      <x:c r="C888" t="str">
        <x:v>KTO001</x:v>
      </x:c>
      <x:c r="D888" t="str">
        <x:v>16-05-2026_Umsatzliste_Girokonto_DE98120300001061711675.csv</x:v>
      </x:c>
      <x:c r="E888" t="n">
        <x:v>46163</x:v>
      </x:c>
      <x:c r="F888" t="n">
        <x:v>871</x:v>
      </x:c>
      <x:c r="G888" t="str">
        <x:v>00e30fc05d177c7c79c596b264771f14b11a12fe39bcb14d9177265ea083363a</x:v>
      </x:c>
      <x:c r="H888" t="str">
        <x:v>neu</x:v>
      </x:c>
      <x:c r="I888" t="str">
        <x:v>ok</x:v>
      </x:c>
      <x:c r="J888"/>
      <x:c r="K888" t="n">
        <x:v>45863</x:v>
      </x:c>
      <x:c r="L888" t="n">
        <x:v>45863</x:v>
      </x:c>
      <x:c r="M888" t="str">
        <x:v>Gebucht</x:v>
      </x:c>
      <x:c r="N888" t="str">
        <x:v>ISSUER</x:v>
      </x:c>
      <x:c r="O888" t="str">
        <x:v>IONITY.GmbH/Munich</x:v>
      </x:c>
      <x:c r="P888" t="str">
        <x:v>VISA Debitkartenumsatz vom 24.07.2025</x:v>
      </x:c>
      <x:c r="Q888" t="str">
        <x:v>Ausgang</x:v>
      </x:c>
      <x:c r="R888" t="str">
        <x:v>DE96120300009005290904</x:v>
      </x:c>
      <x:c r="S888" t="n">
        <x:v>-18.87</x:v>
      </x:c>
      <x:c r="T888" t="str">
        <x:v>"</x:v>
      </x:c>
      <x:c r="U888" t="str">
        <x:v>"</x:v>
      </x:c>
      <x:c r="V888" t="str">
        <x:v>485205328726903</x:v>
      </x:c>
    </x:row>
    <x:row r="889">
      <x:c r="A889" t="str">
        <x:v>RAW-IMP-20260516-FULLDRAFT-000872</x:v>
      </x:c>
      <x:c r="B889" t="str">
        <x:v>IMP-20260516-FULLDRAFT</x:v>
      </x:c>
      <x:c r="C889" t="str">
        <x:v>KTO001</x:v>
      </x:c>
      <x:c r="D889" t="str">
        <x:v>16-05-2026_Umsatzliste_Girokonto_DE98120300001061711675.csv</x:v>
      </x:c>
      <x:c r="E889" t="n">
        <x:v>46163</x:v>
      </x:c>
      <x:c r="F889" t="n">
        <x:v>872</x:v>
      </x:c>
      <x:c r="G889" t="str">
        <x:v>6ff01115541704b3f80261615d996be5820a0749183c4bc9d45729264cdd5e0e</x:v>
      </x:c>
      <x:c r="H889" t="str">
        <x:v>neu</x:v>
      </x:c>
      <x:c r="I889" t="str">
        <x:v>ok</x:v>
      </x:c>
      <x:c r="J889"/>
      <x:c r="K889" t="n">
        <x:v>45863</x:v>
      </x:c>
      <x:c r="L889" t="n">
        <x:v>45863</x:v>
      </x:c>
      <x:c r="M889" t="str">
        <x:v>Gebucht</x:v>
      </x:c>
      <x:c r="N889" t="str">
        <x:v>ISSUER</x:v>
      </x:c>
      <x:c r="O889" t="str">
        <x:v>IONITY.GmbH/Munich</x:v>
      </x:c>
      <x:c r="P889" t="str">
        <x:v>VISA Debitkartenumsatz vom 24.07.2025</x:v>
      </x:c>
      <x:c r="Q889" t="str">
        <x:v>Ausgang</x:v>
      </x:c>
      <x:c r="R889" t="str">
        <x:v>DE96120300009005290904</x:v>
      </x:c>
      <x:c r="S889" t="n">
        <x:v>-16.1</x:v>
      </x:c>
      <x:c r="T889" t="str">
        <x:v>"</x:v>
      </x:c>
      <x:c r="U889" t="str">
        <x:v>"</x:v>
      </x:c>
      <x:c r="V889" t="str">
        <x:v>485205455038234</x:v>
      </x:c>
    </x:row>
    <x:row r="890">
      <x:c r="A890" t="str">
        <x:v>RAW-IMP-20260516-FULLDRAFT-000873</x:v>
      </x:c>
      <x:c r="B890" t="str">
        <x:v>IMP-20260516-FULLDRAFT</x:v>
      </x:c>
      <x:c r="C890" t="str">
        <x:v>KTO001</x:v>
      </x:c>
      <x:c r="D890" t="str">
        <x:v>16-05-2026_Umsatzliste_Girokonto_DE98120300001061711675.csv</x:v>
      </x:c>
      <x:c r="E890" t="n">
        <x:v>46163</x:v>
      </x:c>
      <x:c r="F890" t="n">
        <x:v>873</x:v>
      </x:c>
      <x:c r="G890" t="str">
        <x:v>7dcc149f79b8eb006da8d1737885873952cedcd6593c65b119b4910ef4e7b57e</x:v>
      </x:c>
      <x:c r="H890" t="str">
        <x:v>neu</x:v>
      </x:c>
      <x:c r="I890" t="str">
        <x:v>ok</x:v>
      </x:c>
      <x:c r="J890"/>
      <x:c r="K890" t="n">
        <x:v>45863</x:v>
      </x:c>
      <x:c r="L890" t="n">
        <x:v>45863</x:v>
      </x:c>
      <x:c r="M890" t="str">
        <x:v>Gebucht</x:v>
      </x:c>
      <x:c r="N890" t="str">
        <x:v>ISSUER</x:v>
      </x:c>
      <x:c r="O890" t="str">
        <x:v>Koeschinger.Forst.Ost.R/Hepberg</x:v>
      </x:c>
      <x:c r="P890" t="str">
        <x:v>VISA Debitkartenumsatz vom 24.07.2025</x:v>
      </x:c>
      <x:c r="Q890" t="str">
        <x:v>Ausgang</x:v>
      </x:c>
      <x:c r="R890" t="str">
        <x:v>DE96120300009005290904</x:v>
      </x:c>
      <x:c r="S890" t="n">
        <x:v>-1</x:v>
      </x:c>
      <x:c r="T890" t="str">
        <x:v>"</x:v>
      </x:c>
      <x:c r="U890" t="str">
        <x:v>"</x:v>
      </x:c>
      <x:c r="V890" t="str">
        <x:v>485205330883920</x:v>
      </x:c>
    </x:row>
    <x:row r="891">
      <x:c r="A891" t="str">
        <x:v>RAW-IMP-20260516-FULLDRAFT-000874</x:v>
      </x:c>
      <x:c r="B891" t="str">
        <x:v>IMP-20260516-FULLDRAFT</x:v>
      </x:c>
      <x:c r="C891" t="str">
        <x:v>KTO001</x:v>
      </x:c>
      <x:c r="D891" t="str">
        <x:v>16-05-2026_Umsatzliste_Girokonto_DE98120300001061711675.csv</x:v>
      </x:c>
      <x:c r="E891" t="n">
        <x:v>46163</x:v>
      </x:c>
      <x:c r="F891" t="n">
        <x:v>874</x:v>
      </x:c>
      <x:c r="G891" t="str">
        <x:v>0c7f6d0252738eae8c9607252544271ce9c792f4cfe6948a7ff48030b260e3f6</x:v>
      </x:c>
      <x:c r="H891" t="str">
        <x:v>neu</x:v>
      </x:c>
      <x:c r="I891" t="str">
        <x:v>ok</x:v>
      </x:c>
      <x:c r="J891"/>
      <x:c r="K891" t="n">
        <x:v>45863</x:v>
      </x:c>
      <x:c r="L891" t="n">
        <x:v>45863</x:v>
      </x:c>
      <x:c r="M891" t="str">
        <x:v>Gebucht</x:v>
      </x:c>
      <x:c r="N891" t="str">
        <x:v>ISSUER</x:v>
      </x:c>
      <x:c r="O891" t="str">
        <x:v>Rastst..Koeschinger.For/Hepberg</x:v>
      </x:c>
      <x:c r="P891" t="str">
        <x:v>VISA Debitkartenumsatz vom 24.07.2025</x:v>
      </x:c>
      <x:c r="Q891" t="str">
        <x:v>Ausgang</x:v>
      </x:c>
      <x:c r="R891" t="str">
        <x:v>DE96120300009005290904</x:v>
      </x:c>
      <x:c r="S891" t="n">
        <x:v>-8.3</x:v>
      </x:c>
      <x:c r="T891" t="str">
        <x:v>"</x:v>
      </x:c>
      <x:c r="U891" t="str">
        <x:v>"</x:v>
      </x:c>
      <x:c r="V891" t="str">
        <x:v>485205334646287</x:v>
      </x:c>
    </x:row>
    <x:row r="892">
      <x:c r="A892" t="str">
        <x:v>RAW-IMP-20260516-FULLDRAFT-000875</x:v>
      </x:c>
      <x:c r="B892" t="str">
        <x:v>IMP-20260516-FULLDRAFT</x:v>
      </x:c>
      <x:c r="C892" t="str">
        <x:v>KTO001</x:v>
      </x:c>
      <x:c r="D892" t="str">
        <x:v>16-05-2026_Umsatzliste_Girokonto_DE98120300001061711675.csv</x:v>
      </x:c>
      <x:c r="E892" t="n">
        <x:v>46163</x:v>
      </x:c>
      <x:c r="F892" t="n">
        <x:v>875</x:v>
      </x:c>
      <x:c r="G892" t="str">
        <x:v>096c59a25ef92e447edcfac2799a69f225707af67e7e726ee8782cd34a0f7834</x:v>
      </x:c>
      <x:c r="H892" t="str">
        <x:v>neu</x:v>
      </x:c>
      <x:c r="I892" t="str">
        <x:v>ok</x:v>
      </x:c>
      <x:c r="J892"/>
      <x:c r="K892" t="n">
        <x:v>45863</x:v>
      </x:c>
      <x:c r="L892" t="n">
        <x:v>45863</x:v>
      </x:c>
      <x:c r="M892" t="str">
        <x:v>Gebucht</x:v>
      </x:c>
      <x:c r="N892" t="str">
        <x:v>Jan Niklas Kohlenberg</x:v>
      </x:c>
      <x:c r="O892" t="str">
        <x:v>Jan Niklas Kohlenberg</x:v>
      </x:c>
      <x:c r="P892" t="str">
        <x:v>AirPods pro</x:v>
      </x:c>
      <x:c r="Q892" t="str">
        <x:v>Eingang</x:v>
      </x:c>
      <x:c r="R892" t="str">
        <x:v>DE43270200001527701534</x:v>
      </x:c>
      <x:c r="S892" t="n">
        <x:v>187</x:v>
      </x:c>
      <x:c r="T892" t="str">
        <x:v>"</x:v>
      </x:c>
      <x:c r="U892" t="str">
        <x:v>"</x:v>
      </x:c>
      <x:c r="V892" t="str">
        <x:v>"</x:v>
      </x:c>
    </x:row>
    <x:row r="893">
      <x:c r="A893" t="str">
        <x:v>RAW-IMP-20260516-FULLDRAFT-000876</x:v>
      </x:c>
      <x:c r="B893" t="str">
        <x:v>IMP-20260516-FULLDRAFT</x:v>
      </x:c>
      <x:c r="C893" t="str">
        <x:v>KTO001</x:v>
      </x:c>
      <x:c r="D893" t="str">
        <x:v>16-05-2026_Umsatzliste_Girokonto_DE98120300001061711675.csv</x:v>
      </x:c>
      <x:c r="E893" t="n">
        <x:v>46163</x:v>
      </x:c>
      <x:c r="F893" t="n">
        <x:v>876</x:v>
      </x:c>
      <x:c r="G893" t="str">
        <x:v>b7a919f089710dba8b04326273744fe7e35d7bd648432c0e39c087fcfedf82cc</x:v>
      </x:c>
      <x:c r="H893" t="str">
        <x:v>neu</x:v>
      </x:c>
      <x:c r="I893" t="str">
        <x:v>ok</x:v>
      </x:c>
      <x:c r="J893"/>
      <x:c r="K893" t="n">
        <x:v>45862</x:v>
      </x:c>
      <x:c r="L893" t="n">
        <x:v>45862</x:v>
      </x:c>
      <x:c r="M893" t="str">
        <x:v>Gebucht</x:v>
      </x:c>
      <x:c r="N893" t="str">
        <x:v>ISSUER</x:v>
      </x:c>
      <x:c r="O893" t="str">
        <x:v>TELEKOM.SHOP.MUENCHEN/MUENCHEN</x:v>
      </x:c>
      <x:c r="P893" t="str">
        <x:v>VISA Debitkartenumsatz vom 23.07.2025</x:v>
      </x:c>
      <x:c r="Q893" t="str">
        <x:v>Ausgang</x:v>
      </x:c>
      <x:c r="R893" t="str">
        <x:v>DE96120300009005290904</x:v>
      </x:c>
      <x:c r="S893" t="n">
        <x:v>-187</x:v>
      </x:c>
      <x:c r="T893" t="str">
        <x:v>"</x:v>
      </x:c>
      <x:c r="U893" t="str">
        <x:v>"</x:v>
      </x:c>
      <x:c r="V893" t="str">
        <x:v>485204549888023</x:v>
      </x:c>
    </x:row>
    <x:row r="894">
      <x:c r="A894" t="str">
        <x:v>RAW-IMP-20260516-FULLDRAFT-000877</x:v>
      </x:c>
      <x:c r="B894" t="str">
        <x:v>IMP-20260516-FULLDRAFT</x:v>
      </x:c>
      <x:c r="C894" t="str">
        <x:v>KTO001</x:v>
      </x:c>
      <x:c r="D894" t="str">
        <x:v>16-05-2026_Umsatzliste_Girokonto_DE98120300001061711675.csv</x:v>
      </x:c>
      <x:c r="E894" t="n">
        <x:v>46163</x:v>
      </x:c>
      <x:c r="F894" t="n">
        <x:v>877</x:v>
      </x:c>
      <x:c r="G894" t="str">
        <x:v>b3c08d3527baefc68dd28d0dc202ec9a325b42098042685c063a22a4762267db</x:v>
      </x:c>
      <x:c r="H894" t="str">
        <x:v>neu</x:v>
      </x:c>
      <x:c r="I894" t="str">
        <x:v>ok</x:v>
      </x:c>
      <x:c r="J894"/>
      <x:c r="K894" t="n">
        <x:v>45862</x:v>
      </x:c>
      <x:c r="L894" t="n">
        <x:v>45862</x:v>
      </x:c>
      <x:c r="M894" t="str">
        <x:v>Gebucht</x:v>
      </x:c>
      <x:c r="N894" t="str">
        <x:v>Lars Kohlenberg</x:v>
      </x:c>
      <x:c r="O894" t="str">
        <x:v>Drillisch Online GmbH                                                 Wilhelm-Rontgen-Strase 1-5, 63477 Maintal</x:v>
      </x:c>
      <x:c r="P894" t="str">
        <x:v>C0851820 U731801896 B840057839 winSIM</x:v>
      </x:c>
      <x:c r="Q894" t="str">
        <x:v>Ausgang</x:v>
      </x:c>
      <x:c r="R894" t="str">
        <x:v>DE87300500000008996811</x:v>
      </x:c>
      <x:c r="S894" t="n">
        <x:v>-6.99</x:v>
      </x:c>
      <x:c r="T894" t="str">
        <x:v>DE40ZZZ00000206926</x:v>
      </x:c>
      <x:c r="U894" t="str">
        <x:v>FB1310D094B04186E02ACE7B8C6</x:v>
      </x:c>
      <x:c r="V894" t="str">
        <x:v>C0851820+U731801896</x:v>
      </x:c>
    </x:row>
    <x:row r="895">
      <x:c r="A895" t="str">
        <x:v>RAW-IMP-20260516-FULLDRAFT-000878</x:v>
      </x:c>
      <x:c r="B895" t="str">
        <x:v>IMP-20260516-FULLDRAFT</x:v>
      </x:c>
      <x:c r="C895" t="str">
        <x:v>KTO001</x:v>
      </x:c>
      <x:c r="D895" t="str">
        <x:v>16-05-2026_Umsatzliste_Girokonto_DE98120300001061711675.csv</x:v>
      </x:c>
      <x:c r="E895" t="n">
        <x:v>46163</x:v>
      </x:c>
      <x:c r="F895" t="n">
        <x:v>878</x:v>
      </x:c>
      <x:c r="G895" t="str">
        <x:v>e1ff8855e29a80b327c5a0d0c49e4ac945110bd586ecee297a6a4e4cca53a39b</x:v>
      </x:c>
      <x:c r="H895" t="str">
        <x:v>neu</x:v>
      </x:c>
      <x:c r="I895" t="str">
        <x:v>ok</x:v>
      </x:c>
      <x:c r="J895"/>
      <x:c r="K895" t="n">
        <x:v>45861</x:v>
      </x:c>
      <x:c r="L895" t="n">
        <x:v>45861</x:v>
      </x:c>
      <x:c r="M895" t="str">
        <x:v>Gebucht</x:v>
      </x:c>
      <x:c r="N895" t="str">
        <x:v>ISSUER</x:v>
      </x:c>
      <x:c r="O895" t="str">
        <x:v>Starbucks.53091.Odeonsp/Muenchen</x:v>
      </x:c>
      <x:c r="P895" t="str">
        <x:v>VISA Debitkartenumsatz vom 22.07.2025</x:v>
      </x:c>
      <x:c r="Q895" t="str">
        <x:v>Ausgang</x:v>
      </x:c>
      <x:c r="R895" t="str">
        <x:v>DE96120300009005290904</x:v>
      </x:c>
      <x:c r="S895" t="n">
        <x:v>-21.35</x:v>
      </x:c>
      <x:c r="T895" t="str">
        <x:v>"</x:v>
      </x:c>
      <x:c r="U895" t="str">
        <x:v>"</x:v>
      </x:c>
      <x:c r="V895" t="str">
        <x:v>485203449025122</x:v>
      </x:c>
    </x:row>
    <x:row r="896">
      <x:c r="A896" t="str">
        <x:v>RAW-IMP-20260516-FULLDRAFT-000879</x:v>
      </x:c>
      <x:c r="B896" t="str">
        <x:v>IMP-20260516-FULLDRAFT</x:v>
      </x:c>
      <x:c r="C896" t="str">
        <x:v>KTO001</x:v>
      </x:c>
      <x:c r="D896" t="str">
        <x:v>16-05-2026_Umsatzliste_Girokonto_DE98120300001061711675.csv</x:v>
      </x:c>
      <x:c r="E896" t="n">
        <x:v>46163</x:v>
      </x:c>
      <x:c r="F896" t="n">
        <x:v>879</x:v>
      </x:c>
      <x:c r="G896" t="str">
        <x:v>7aaafd9787364f0ded228817877cea6695a76ac192a401f8aa5cddb1d3031303</x:v>
      </x:c>
      <x:c r="H896" t="str">
        <x:v>neu</x:v>
      </x:c>
      <x:c r="I896" t="str">
        <x:v>ok</x:v>
      </x:c>
      <x:c r="J896"/>
      <x:c r="K896" t="n">
        <x:v>45861</x:v>
      </x:c>
      <x:c r="L896" t="n">
        <x:v>45861</x:v>
      </x:c>
      <x:c r="M896" t="str">
        <x:v>Gebucht</x:v>
      </x:c>
      <x:c r="N896" t="str">
        <x:v>ISSUER</x:v>
      </x:c>
      <x:c r="O896" t="str">
        <x:v>BRATWURSTHERZL/MUENCHEN</x:v>
      </x:c>
      <x:c r="P896" t="str">
        <x:v>VISA Debitkartenumsatz vom 22.07.2025</x:v>
      </x:c>
      <x:c r="Q896" t="str">
        <x:v>Ausgang</x:v>
      </x:c>
      <x:c r="R896" t="str">
        <x:v>DE96120300009005290904</x:v>
      </x:c>
      <x:c r="S896" t="n">
        <x:v>-15</x:v>
      </x:c>
      <x:c r="T896" t="str">
        <x:v>"</x:v>
      </x:c>
      <x:c r="U896" t="str">
        <x:v>"</x:v>
      </x:c>
      <x:c r="V896" t="str">
        <x:v>485203536393697</x:v>
      </x:c>
    </x:row>
    <x:row r="897">
      <x:c r="A897" t="str">
        <x:v>RAW-IMP-20260516-FULLDRAFT-000880</x:v>
      </x:c>
      <x:c r="B897" t="str">
        <x:v>IMP-20260516-FULLDRAFT</x:v>
      </x:c>
      <x:c r="C897" t="str">
        <x:v>KTO001</x:v>
      </x:c>
      <x:c r="D897" t="str">
        <x:v>16-05-2026_Umsatzliste_Girokonto_DE98120300001061711675.csv</x:v>
      </x:c>
      <x:c r="E897" t="n">
        <x:v>46163</x:v>
      </x:c>
      <x:c r="F897" t="n">
        <x:v>880</x:v>
      </x:c>
      <x:c r="G897" t="str">
        <x:v>fd634a3057305a24715ce5fca92a813945d3593dc40e081fab98fc4003a24712</x:v>
      </x:c>
      <x:c r="H897" t="str">
        <x:v>neu</x:v>
      </x:c>
      <x:c r="I897" t="str">
        <x:v>ok</x:v>
      </x:c>
      <x:c r="J897"/>
      <x:c r="K897" t="n">
        <x:v>45861</x:v>
      </x:c>
      <x:c r="L897" t="n">
        <x:v>45861</x:v>
      </x:c>
      <x:c r="M897" t="str">
        <x:v>Gebucht</x:v>
      </x:c>
      <x:c r="N897" t="str">
        <x:v>ISSUER</x:v>
      </x:c>
      <x:c r="O897" t="str">
        <x:v>HANS.IM.GLUECK/MUENCHEN</x:v>
      </x:c>
      <x:c r="P897" t="str">
        <x:v>VISA Debitkartenumsatz vom 22.07.2025</x:v>
      </x:c>
      <x:c r="Q897" t="str">
        <x:v>Ausgang</x:v>
      </x:c>
      <x:c r="R897" t="str">
        <x:v>DE96120300009005290904</x:v>
      </x:c>
      <x:c r="S897" t="n">
        <x:v>-95</x:v>
      </x:c>
      <x:c r="T897" t="str">
        <x:v>"</x:v>
      </x:c>
      <x:c r="U897" t="str">
        <x:v>"</x:v>
      </x:c>
      <x:c r="V897" t="str">
        <x:v>485203648456181</x:v>
      </x:c>
    </x:row>
    <x:row r="898">
      <x:c r="A898" t="str">
        <x:v>RAW-IMP-20260516-FULLDRAFT-000881</x:v>
      </x:c>
      <x:c r="B898" t="str">
        <x:v>IMP-20260516-FULLDRAFT</x:v>
      </x:c>
      <x:c r="C898" t="str">
        <x:v>KTO001</x:v>
      </x:c>
      <x:c r="D898" t="str">
        <x:v>16-05-2026_Umsatzliste_Girokonto_DE98120300001061711675.csv</x:v>
      </x:c>
      <x:c r="E898" t="n">
        <x:v>46163</x:v>
      </x:c>
      <x:c r="F898" t="n">
        <x:v>881</x:v>
      </x:c>
      <x:c r="G898" t="str">
        <x:v>0d730957cdd661baf0c23fd87f4865fd3c440b0d015cd18a33ae74da507221da</x:v>
      </x:c>
      <x:c r="H898" t="str">
        <x:v>neu</x:v>
      </x:c>
      <x:c r="I898" t="str">
        <x:v>ok</x:v>
      </x:c>
      <x:c r="J898"/>
      <x:c r="K898" t="n">
        <x:v>45861</x:v>
      </x:c>
      <x:c r="L898" t="n">
        <x:v>45861</x:v>
      </x:c>
      <x:c r="M898" t="str">
        <x:v>Gebucht</x:v>
      </x:c>
      <x:c r="N898" t="str">
        <x:v>ISSUER</x:v>
      </x:c>
      <x:c r="O898" t="str">
        <x:v>BIERGARTEN.AM.CHINESISC/Muenchen</x:v>
      </x:c>
      <x:c r="P898" t="str">
        <x:v>VISA Debitkartenumsatz vom 22.07.2025</x:v>
      </x:c>
      <x:c r="Q898" t="str">
        <x:v>Ausgang</x:v>
      </x:c>
      <x:c r="R898" t="str">
        <x:v>DE96120300009005290904</x:v>
      </x:c>
      <x:c r="S898" t="n">
        <x:v>-41.9</x:v>
      </x:c>
      <x:c r="T898" t="str">
        <x:v>"</x:v>
      </x:c>
      <x:c r="U898" t="str">
        <x:v>"</x:v>
      </x:c>
      <x:c r="V898" t="str">
        <x:v>485203385478164</x:v>
      </x:c>
    </x:row>
    <x:row r="899">
      <x:c r="A899" t="str">
        <x:v>RAW-IMP-20260516-FULLDRAFT-000882</x:v>
      </x:c>
      <x:c r="B899" t="str">
        <x:v>IMP-20260516-FULLDRAFT</x:v>
      </x:c>
      <x:c r="C899" t="str">
        <x:v>KTO001</x:v>
      </x:c>
      <x:c r="D899" t="str">
        <x:v>16-05-2026_Umsatzliste_Girokonto_DE98120300001061711675.csv</x:v>
      </x:c>
      <x:c r="E899" t="n">
        <x:v>46163</x:v>
      </x:c>
      <x:c r="F899" t="n">
        <x:v>882</x:v>
      </x:c>
      <x:c r="G899" t="str">
        <x:v>42bcfe445fea14ad569dd3797cca63272ed375ff1826f625d18bd23fb44be06e</x:v>
      </x:c>
      <x:c r="H899" t="str">
        <x:v>neu</x:v>
      </x:c>
      <x:c r="I899" t="str">
        <x:v>ok</x:v>
      </x:c>
      <x:c r="J899"/>
      <x:c r="K899" t="n">
        <x:v>45861</x:v>
      </x:c>
      <x:c r="L899" t="n">
        <x:v>45861</x:v>
      </x:c>
      <x:c r="M899" t="str">
        <x:v>Gebucht</x:v>
      </x:c>
      <x:c r="N899" t="str">
        <x:v>Lars Kohlenberg</x:v>
      </x:c>
      <x:c r="O899" t="str">
        <x:v>Drillisch Online GmbH                                                 Wilhelm-Rontgen-Strase 1-5, 63477 Maintal</x:v>
      </x:c>
      <x:c r="P899" t="str">
        <x:v>C0851820 U728792769 B836258895 winSIM</x:v>
      </x:c>
      <x:c r="Q899" t="str">
        <x:v>Ausgang</x:v>
      </x:c>
      <x:c r="R899" t="str">
        <x:v>DE87300500000008996811</x:v>
      </x:c>
      <x:c r="S899" t="n">
        <x:v>-6.99</x:v>
      </x:c>
      <x:c r="T899" t="str">
        <x:v>DE40ZZZ00000206926</x:v>
      </x:c>
      <x:c r="U899" t="str">
        <x:v>FB1310D094B04186E02ACE7B8C6</x:v>
      </x:c>
      <x:c r="V899" t="str">
        <x:v>C0851820+U728792769</x:v>
      </x:c>
    </x:row>
    <x:row r="900">
      <x:c r="A900" t="str">
        <x:v>RAW-IMP-20260516-FULLDRAFT-000883</x:v>
      </x:c>
      <x:c r="B900" t="str">
        <x:v>IMP-20260516-FULLDRAFT</x:v>
      </x:c>
      <x:c r="C900" t="str">
        <x:v>KTO001</x:v>
      </x:c>
      <x:c r="D900" t="str">
        <x:v>16-05-2026_Umsatzliste_Girokonto_DE98120300001061711675.csv</x:v>
      </x:c>
      <x:c r="E900" t="n">
        <x:v>46163</x:v>
      </x:c>
      <x:c r="F900" t="n">
        <x:v>883</x:v>
      </x:c>
      <x:c r="G900" t="str">
        <x:v>6e947b1c54126937b5d8d3dea29c4d9df39e6e007cb8b53cf3fc7fc3bccd04b9</x:v>
      </x:c>
      <x:c r="H900" t="str">
        <x:v>neu</x:v>
      </x:c>
      <x:c r="I900" t="str">
        <x:v>ok</x:v>
      </x:c>
      <x:c r="J900"/>
      <x:c r="K900" t="n">
        <x:v>45861</x:v>
      </x:c>
      <x:c r="L900" t="n">
        <x:v>45861</x:v>
      </x:c>
      <x:c r="M900" t="str">
        <x:v>Gebucht</x:v>
      </x:c>
      <x:c r="N900" t="str">
        <x:v>Lars Kohlenberg</x:v>
      </x:c>
      <x:c r="O900" t="str">
        <x:v>Drillisch Online GmbH                                                 Wilhelm-Rontgen-Strase 1-5, 63477 Maintal</x:v>
      </x:c>
      <x:c r="P900" t="str">
        <x:v>C0851820 U729330771 B839648428 winSIM</x:v>
      </x:c>
      <x:c r="Q900" t="str">
        <x:v>Ausgang</x:v>
      </x:c>
      <x:c r="R900" t="str">
        <x:v>DE87300500000008996811</x:v>
      </x:c>
      <x:c r="S900" t="n">
        <x:v>-6.99</x:v>
      </x:c>
      <x:c r="T900" t="str">
        <x:v>DE40ZZZ00000206926</x:v>
      </x:c>
      <x:c r="U900" t="str">
        <x:v>FB1310D094B04186E02ACE7B8C6</x:v>
      </x:c>
      <x:c r="V900" t="str">
        <x:v>C0851820+U729330771</x:v>
      </x:c>
    </x:row>
    <x:row r="901">
      <x:c r="A901" t="str">
        <x:v>RAW-IMP-20260516-FULLDRAFT-000884</x:v>
      </x:c>
      <x:c r="B901" t="str">
        <x:v>IMP-20260516-FULLDRAFT</x:v>
      </x:c>
      <x:c r="C901" t="str">
        <x:v>KTO001</x:v>
      </x:c>
      <x:c r="D901" t="str">
        <x:v>16-05-2026_Umsatzliste_Girokonto_DE98120300001061711675.csv</x:v>
      </x:c>
      <x:c r="E901" t="n">
        <x:v>46163</x:v>
      </x:c>
      <x:c r="F901" t="n">
        <x:v>884</x:v>
      </x:c>
      <x:c r="G901" t="str">
        <x:v>ad3ae82de5ee3988319753b66a1ffde50ece4ce9186f5042a7d7827efeb102b7</x:v>
      </x:c>
      <x:c r="H901" t="str">
        <x:v>neu</x:v>
      </x:c>
      <x:c r="I901" t="str">
        <x:v>ok</x:v>
      </x:c>
      <x:c r="J901"/>
      <x:c r="K901" t="n">
        <x:v>45860</x:v>
      </x:c>
      <x:c r="L901" t="n">
        <x:v>45860</x:v>
      </x:c>
      <x:c r="M901" t="str">
        <x:v>Gebucht</x:v>
      </x:c>
      <x:c r="N901" t="str">
        <x:v>ISSUER</x:v>
      </x:c>
      <x:c r="O901" t="str">
        <x:v>MERCURE.HOTEL.MUENCHEN/MUENCHEN</x:v>
      </x:c>
      <x:c r="P901" t="str">
        <x:v>VISA Debitkartenumsatz vom 21.07.2025</x:v>
      </x:c>
      <x:c r="Q901" t="str">
        <x:v>Ausgang</x:v>
      </x:c>
      <x:c r="R901" t="str">
        <x:v>DE96120300009005290904</x:v>
      </x:c>
      <x:c r="S901" t="n">
        <x:v>-19</x:v>
      </x:c>
      <x:c r="T901" t="str">
        <x:v>"</x:v>
      </x:c>
      <x:c r="U901" t="str">
        <x:v>"</x:v>
      </x:c>
      <x:c r="V901" t="str">
        <x:v>485202713580407</x:v>
      </x:c>
    </x:row>
    <x:row r="902">
      <x:c r="A902" t="str">
        <x:v>RAW-IMP-20260516-FULLDRAFT-000885</x:v>
      </x:c>
      <x:c r="B902" t="str">
        <x:v>IMP-20260516-FULLDRAFT</x:v>
      </x:c>
      <x:c r="C902" t="str">
        <x:v>KTO001</x:v>
      </x:c>
      <x:c r="D902" t="str">
        <x:v>16-05-2026_Umsatzliste_Girokonto_DE98120300001061711675.csv</x:v>
      </x:c>
      <x:c r="E902" t="n">
        <x:v>46163</x:v>
      </x:c>
      <x:c r="F902" t="n">
        <x:v>885</x:v>
      </x:c>
      <x:c r="G902" t="str">
        <x:v>02f2546e0eff41d041ebb6426d7abdf00ec18b404af0517ac9fbb6c8948f4203</x:v>
      </x:c>
      <x:c r="H902" t="str">
        <x:v>neu</x:v>
      </x:c>
      <x:c r="I902" t="str">
        <x:v>ok</x:v>
      </x:c>
      <x:c r="J902"/>
      <x:c r="K902" t="n">
        <x:v>45860</x:v>
      </x:c>
      <x:c r="L902" t="n">
        <x:v>45860</x:v>
      </x:c>
      <x:c r="M902" t="str">
        <x:v>Gebucht</x:v>
      </x:c>
      <x:c r="N902" t="str">
        <x:v>ISSUER</x:v>
      </x:c>
      <x:c r="O902" t="str">
        <x:v>MUENCHNER.VERKEHRSGESE/MUENCHEN</x:v>
      </x:c>
      <x:c r="P902" t="str">
        <x:v>VISA Debitkartenumsatz vom 21.07.2025</x:v>
      </x:c>
      <x:c r="Q902" t="str">
        <x:v>Ausgang</x:v>
      </x:c>
      <x:c r="R902" t="str">
        <x:v>DE96120300009005290904</x:v>
      </x:c>
      <x:c r="S902" t="n">
        <x:v>-47.9</x:v>
      </x:c>
      <x:c r="T902" t="str">
        <x:v>"</x:v>
      </x:c>
      <x:c r="U902" t="str">
        <x:v>"</x:v>
      </x:c>
      <x:c r="V902" t="str">
        <x:v>485202274282475</x:v>
      </x:c>
    </x:row>
    <x:row r="903">
      <x:c r="A903" t="str">
        <x:v>RAW-IMP-20260516-FULLDRAFT-000886</x:v>
      </x:c>
      <x:c r="B903" t="str">
        <x:v>IMP-20260516-FULLDRAFT</x:v>
      </x:c>
      <x:c r="C903" t="str">
        <x:v>KTO001</x:v>
      </x:c>
      <x:c r="D903" t="str">
        <x:v>16-05-2026_Umsatzliste_Girokonto_DE98120300001061711675.csv</x:v>
      </x:c>
      <x:c r="E903" t="n">
        <x:v>46163</x:v>
      </x:c>
      <x:c r="F903" t="n">
        <x:v>886</x:v>
      </x:c>
      <x:c r="G903" t="str">
        <x:v>8c568734c1d238d3b2111813114eedac05d3d249eae314191de28e4d3026cb99</x:v>
      </x:c>
      <x:c r="H903" t="str">
        <x:v>neu</x:v>
      </x:c>
      <x:c r="I903" t="str">
        <x:v>ok</x:v>
      </x:c>
      <x:c r="J903"/>
      <x:c r="K903" t="n">
        <x:v>45860</x:v>
      </x:c>
      <x:c r="L903" t="n">
        <x:v>45860</x:v>
      </x:c>
      <x:c r="M903" t="str">
        <x:v>Gebucht</x:v>
      </x:c>
      <x:c r="N903" t="str">
        <x:v>ISSUER</x:v>
      </x:c>
      <x:c r="O903" t="str">
        <x:v>WIRTSHAUS.IN.DER.AU/MUENCHEN</x:v>
      </x:c>
      <x:c r="P903" t="str">
        <x:v>VISA Debitkartenumsatz vom 21.07.2025</x:v>
      </x:c>
      <x:c r="Q903" t="str">
        <x:v>Ausgang</x:v>
      </x:c>
      <x:c r="R903" t="str">
        <x:v>DE96120300009005290904</x:v>
      </x:c>
      <x:c r="S903" t="n">
        <x:v>-130</x:v>
      </x:c>
      <x:c r="T903" t="str">
        <x:v>"</x:v>
      </x:c>
      <x:c r="U903" t="str">
        <x:v>"</x:v>
      </x:c>
      <x:c r="V903" t="str">
        <x:v>485202603543550</x:v>
      </x:c>
    </x:row>
    <x:row r="904">
      <x:c r="A904" t="str">
        <x:v>RAW-IMP-20260516-FULLDRAFT-000887</x:v>
      </x:c>
      <x:c r="B904" t="str">
        <x:v>IMP-20260516-FULLDRAFT</x:v>
      </x:c>
      <x:c r="C904" t="str">
        <x:v>KTO001</x:v>
      </x:c>
      <x:c r="D904" t="str">
        <x:v>16-05-2026_Umsatzliste_Girokonto_DE98120300001061711675.csv</x:v>
      </x:c>
      <x:c r="E904" t="n">
        <x:v>46163</x:v>
      </x:c>
      <x:c r="F904" t="n">
        <x:v>887</x:v>
      </x:c>
      <x:c r="G904" t="str">
        <x:v>cd93830b37644010b6530e336e28a5bde28612ae48ba3f319d699d161ad405a3</x:v>
      </x:c>
      <x:c r="H904" t="str">
        <x:v>neu</x:v>
      </x:c>
      <x:c r="I904" t="str">
        <x:v>ok</x:v>
      </x:c>
      <x:c r="J904"/>
      <x:c r="K904" t="n">
        <x:v>45860</x:v>
      </x:c>
      <x:c r="L904" t="n">
        <x:v>45860</x:v>
      </x:c>
      <x:c r="M904" t="str">
        <x:v>Gebucht</x:v>
      </x:c>
      <x:c r="N904" t="str">
        <x:v>ISSUER</x:v>
      </x:c>
      <x:c r="O904" t="str">
        <x:v>APPLE.COM.BILL/08006645451</x:v>
      </x:c>
      <x:c r="P904" t="str">
        <x:v>VISA Debitkartenumsatz vom 21.07.2025</x:v>
      </x:c>
      <x:c r="Q904" t="str">
        <x:v>Ausgang</x:v>
      </x:c>
      <x:c r="R904" t="str">
        <x:v>DE96120300009005290904</x:v>
      </x:c>
      <x:c r="S904" t="n">
        <x:v>-2.99</x:v>
      </x:c>
      <x:c r="T904" t="str">
        <x:v>"</x:v>
      </x:c>
      <x:c r="U904" t="str">
        <x:v>"</x:v>
      </x:c>
      <x:c r="V904" t="str">
        <x:v>485202466783697</x:v>
      </x:c>
    </x:row>
    <x:row r="905">
      <x:c r="A905" t="str">
        <x:v>RAW-IMP-20260516-FULLDRAFT-000888</x:v>
      </x:c>
      <x:c r="B905" t="str">
        <x:v>IMP-20260516-FULLDRAFT</x:v>
      </x:c>
      <x:c r="C905" t="str">
        <x:v>KTO001</x:v>
      </x:c>
      <x:c r="D905" t="str">
        <x:v>16-05-2026_Umsatzliste_Girokonto_DE98120300001061711675.csv</x:v>
      </x:c>
      <x:c r="E905" t="n">
        <x:v>46163</x:v>
      </x:c>
      <x:c r="F905" t="n">
        <x:v>888</x:v>
      </x:c>
      <x:c r="G905" t="str">
        <x:v>a0b2bd637867ccdac3e2c96692349395aa98a04b34683a13f3f748246c6f05e6</x:v>
      </x:c>
      <x:c r="H905" t="str">
        <x:v>neu</x:v>
      </x:c>
      <x:c r="I905" t="str">
        <x:v>ok</x:v>
      </x:c>
      <x:c r="J905"/>
      <x:c r="K905" t="n">
        <x:v>45860</x:v>
      </x:c>
      <x:c r="L905" t="n">
        <x:v>45860</x:v>
      </x:c>
      <x:c r="M905" t="str">
        <x:v>Gebucht</x:v>
      </x:c>
      <x:c r="N905" t="str">
        <x:v>ISSUER</x:v>
      </x:c>
      <x:c r="O905" t="str">
        <x:v>Frau.im.Mond.GmbH/Muenchen</x:v>
      </x:c>
      <x:c r="P905" t="str">
        <x:v>VISA Debitkartenumsatz vom 21.07.2025</x:v>
      </x:c>
      <x:c r="Q905" t="str">
        <x:v>Ausgang</x:v>
      </x:c>
      <x:c r="R905" t="str">
        <x:v>DE96120300009005290904</x:v>
      </x:c>
      <x:c r="S905" t="n">
        <x:v>-14.6</x:v>
      </x:c>
      <x:c r="T905" t="str">
        <x:v>"</x:v>
      </x:c>
      <x:c r="U905" t="str">
        <x:v>"</x:v>
      </x:c>
      <x:c r="V905" t="str">
        <x:v>485202399734444</x:v>
      </x:c>
    </x:row>
    <x:row r="906">
      <x:c r="A906" t="str">
        <x:v>RAW-IMP-20260516-FULLDRAFT-000889</x:v>
      </x:c>
      <x:c r="B906" t="str">
        <x:v>IMP-20260516-FULLDRAFT</x:v>
      </x:c>
      <x:c r="C906" t="str">
        <x:v>KTO001</x:v>
      </x:c>
      <x:c r="D906" t="str">
        <x:v>16-05-2026_Umsatzliste_Girokonto_DE98120300001061711675.csv</x:v>
      </x:c>
      <x:c r="E906" t="n">
        <x:v>46163</x:v>
      </x:c>
      <x:c r="F906" t="n">
        <x:v>889</x:v>
      </x:c>
      <x:c r="G906" t="str">
        <x:v>3de0c38ff4b0f296c227fabc7d4cbedbb6224dd8fab7b7c1a1252297dfec0069</x:v>
      </x:c>
      <x:c r="H906" t="str">
        <x:v>neu</x:v>
      </x:c>
      <x:c r="I906" t="str">
        <x:v>ok</x:v>
      </x:c>
      <x:c r="J906"/>
      <x:c r="K906" t="n">
        <x:v>45860</x:v>
      </x:c>
      <x:c r="L906" t="n">
        <x:v>45860</x:v>
      </x:c>
      <x:c r="M906" t="str">
        <x:v>Gebucht</x:v>
      </x:c>
      <x:c r="N906" t="str">
        <x:v>Lars Kohlenberg</x:v>
      </x:c>
      <x:c r="O906" t="str">
        <x:v>Lars Kohlenberg</x:v>
      </x:c>
      <x:c r="P906" t="str">
        <x:v>Uebertrag</x:v>
      </x:c>
      <x:c r="Q906" t="str">
        <x:v>Eingang</x:v>
      </x:c>
      <x:c r="R906" t="str">
        <x:v>DE91270200001510365800</x:v>
      </x:c>
      <x:c r="S906" t="n">
        <x:v>1000</x:v>
      </x:c>
      <x:c r="T906" t="str">
        <x:v>"</x:v>
      </x:c>
      <x:c r="U906" t="str">
        <x:v>"</x:v>
      </x:c>
      <x:c r="V906" t="str">
        <x:v>"</x:v>
      </x:c>
    </x:row>
    <x:row r="907">
      <x:c r="A907" t="str">
        <x:v>RAW-IMP-20260516-FULLDRAFT-000890</x:v>
      </x:c>
      <x:c r="B907" t="str">
        <x:v>IMP-20260516-FULLDRAFT</x:v>
      </x:c>
      <x:c r="C907" t="str">
        <x:v>KTO001</x:v>
      </x:c>
      <x:c r="D907" t="str">
        <x:v>16-05-2026_Umsatzliste_Girokonto_DE98120300001061711675.csv</x:v>
      </x:c>
      <x:c r="E907" t="n">
        <x:v>46163</x:v>
      </x:c>
      <x:c r="F907" t="n">
        <x:v>890</x:v>
      </x:c>
      <x:c r="G907" t="str">
        <x:v>2c1c99622bfd0a1db95c013642b71355d3cadbd3ec01164ca58a2272e21c5c59</x:v>
      </x:c>
      <x:c r="H907" t="str">
        <x:v>neu</x:v>
      </x:c>
      <x:c r="I907" t="str">
        <x:v>ok</x:v>
      </x:c>
      <x:c r="J907"/>
      <x:c r="K907" t="n">
        <x:v>45859</x:v>
      </x:c>
      <x:c r="L907" t="n">
        <x:v>45859</x:v>
      </x:c>
      <x:c r="M907" t="str">
        <x:v>Gebucht</x:v>
      </x:c>
      <x:c r="N907" t="str">
        <x:v>ISSUER</x:v>
      </x:c>
      <x:c r="O907" t="str">
        <x:v>NOVOTEL.HOTELS/VOREPPE</x:v>
      </x:c>
      <x:c r="P907" t="str">
        <x:v>VISA Debitkartenumsatz vom 20.07.2025</x:v>
      </x:c>
      <x:c r="Q907" t="str">
        <x:v>Ausgang</x:v>
      </x:c>
      <x:c r="R907" t="str">
        <x:v>DE96120300009005290904</x:v>
      </x:c>
      <x:c r="S907" t="n">
        <x:v>-75.39</x:v>
      </x:c>
      <x:c r="T907" t="str">
        <x:v>"</x:v>
      </x:c>
      <x:c r="U907" t="str">
        <x:v>"</x:v>
      </x:c>
      <x:c r="V907" t="str">
        <x:v>485200630122508</x:v>
      </x:c>
    </x:row>
    <x:row r="908">
      <x:c r="A908" t="str">
        <x:v>RAW-IMP-20260516-FULLDRAFT-000891</x:v>
      </x:c>
      <x:c r="B908" t="str">
        <x:v>IMP-20260516-FULLDRAFT</x:v>
      </x:c>
      <x:c r="C908" t="str">
        <x:v>KTO001</x:v>
      </x:c>
      <x:c r="D908" t="str">
        <x:v>16-05-2026_Umsatzliste_Girokonto_DE98120300001061711675.csv</x:v>
      </x:c>
      <x:c r="E908" t="n">
        <x:v>46163</x:v>
      </x:c>
      <x:c r="F908" t="n">
        <x:v>891</x:v>
      </x:c>
      <x:c r="G908" t="str">
        <x:v>8b31b2367c79caa75307ee365603d5a719d09e1cf810054539525ecc9937d617</x:v>
      </x:c>
      <x:c r="H908" t="str">
        <x:v>neu</x:v>
      </x:c>
      <x:c r="I908" t="str">
        <x:v>ok</x:v>
      </x:c>
      <x:c r="J908"/>
      <x:c r="K908" t="n">
        <x:v>45859</x:v>
      </x:c>
      <x:c r="L908" t="n">
        <x:v>45859</x:v>
      </x:c>
      <x:c r="M908" t="str">
        <x:v>Gebucht</x:v>
      </x:c>
      <x:c r="N908" t="str">
        <x:v>ISSUER</x:v>
      </x:c>
      <x:c r="O908" t="str">
        <x:v>Restaurant.Sud/Ittigen</x:v>
      </x:c>
      <x:c r="P908" t="str">
        <x:v>VISA Debitkartenumsatz vom 20.07.2025 in Fremdwährung / Ursprungsbetrag in Fremdwährung 1,00 CHF / Umrechnungsrate: 1 Euro=0,93457940 CHF</x:v>
      </x:c>
      <x:c r="Q908" t="str">
        <x:v>Ausgang</x:v>
      </x:c>
      <x:c r="R908" t="str">
        <x:v>DE96120300009005290904</x:v>
      </x:c>
      <x:c r="S908" t="n">
        <x:v>-1.07</x:v>
      </x:c>
      <x:c r="T908" t="str">
        <x:v>"</x:v>
      </x:c>
      <x:c r="U908" t="str">
        <x:v>"</x:v>
      </x:c>
      <x:c r="V908" t="str">
        <x:v>485201341260624</x:v>
      </x:c>
    </x:row>
    <x:row r="909">
      <x:c r="A909" t="str">
        <x:v>RAW-IMP-20260516-FULLDRAFT-000892</x:v>
      </x:c>
      <x:c r="B909" t="str">
        <x:v>IMP-20260516-FULLDRAFT</x:v>
      </x:c>
      <x:c r="C909" t="str">
        <x:v>KTO001</x:v>
      </x:c>
      <x:c r="D909" t="str">
        <x:v>16-05-2026_Umsatzliste_Girokonto_DE98120300001061711675.csv</x:v>
      </x:c>
      <x:c r="E909" t="n">
        <x:v>46163</x:v>
      </x:c>
      <x:c r="F909" t="n">
        <x:v>892</x:v>
      </x:c>
      <x:c r="G909" t="str">
        <x:v>5331835bfd4de36df065adca7a7c7fde17c6ec8f7c22e0e6f4a6628d03570e31</x:v>
      </x:c>
      <x:c r="H909" t="str">
        <x:v>neu</x:v>
      </x:c>
      <x:c r="I909" t="str">
        <x:v>ok</x:v>
      </x:c>
      <x:c r="J909"/>
      <x:c r="K909" t="n">
        <x:v>45859</x:v>
      </x:c>
      <x:c r="L909" t="n">
        <x:v>45859</x:v>
      </x:c>
      <x:c r="M909" t="str">
        <x:v>Gebucht</x:v>
      </x:c>
      <x:c r="N909" t="str">
        <x:v>ISSUER</x:v>
      </x:c>
      <x:c r="O909" t="str">
        <x:v>A.R.E.A./69671</x:v>
      </x:c>
      <x:c r="P909" t="str">
        <x:v>VISA Debitkartenumsatz vom 20.07.2025</x:v>
      </x:c>
      <x:c r="Q909" t="str">
        <x:v>Ausgang</x:v>
      </x:c>
      <x:c r="R909" t="str">
        <x:v>DE96120300009005290904</x:v>
      </x:c>
      <x:c r="S909" t="n">
        <x:v>-26.2</x:v>
      </x:c>
      <x:c r="T909" t="str">
        <x:v>"</x:v>
      </x:c>
      <x:c r="U909" t="str">
        <x:v>"</x:v>
      </x:c>
      <x:c r="V909" t="str">
        <x:v>485201270173695</x:v>
      </x:c>
    </x:row>
    <x:row r="910">
      <x:c r="A910" t="str">
        <x:v>RAW-IMP-20260516-FULLDRAFT-000893</x:v>
      </x:c>
      <x:c r="B910" t="str">
        <x:v>IMP-20260516-FULLDRAFT</x:v>
      </x:c>
      <x:c r="C910" t="str">
        <x:v>KTO001</x:v>
      </x:c>
      <x:c r="D910" t="str">
        <x:v>16-05-2026_Umsatzliste_Girokonto_DE98120300001061711675.csv</x:v>
      </x:c>
      <x:c r="E910" t="n">
        <x:v>46163</x:v>
      </x:c>
      <x:c r="F910" t="n">
        <x:v>893</x:v>
      </x:c>
      <x:c r="G910" t="str">
        <x:v>790c4a4dd8d8866cb5f4582327ed19fe28fd9e260c1fee03e9e0e530c56dc653</x:v>
      </x:c>
      <x:c r="H910" t="str">
        <x:v>neu</x:v>
      </x:c>
      <x:c r="I910" t="str">
        <x:v>ok</x:v>
      </x:c>
      <x:c r="J910"/>
      <x:c r="K910" t="n">
        <x:v>45859</x:v>
      </x:c>
      <x:c r="L910" t="n">
        <x:v>45859</x:v>
      </x:c>
      <x:c r="M910" t="str">
        <x:v>Gebucht</x:v>
      </x:c>
      <x:c r="N910" t="str">
        <x:v>ISSUER</x:v>
      </x:c>
      <x:c r="O910" t="str">
        <x:v>AUTOROUTE.DU.SUD/VEDENE.CEDEX</x:v>
      </x:c>
      <x:c r="P910" t="str">
        <x:v>VISA Debitkartenumsatz vom 19.07.2025</x:v>
      </x:c>
      <x:c r="Q910" t="str">
        <x:v>Ausgang</x:v>
      </x:c>
      <x:c r="R910" t="str">
        <x:v>DE96120300009005290904</x:v>
      </x:c>
      <x:c r="S910" t="n">
        <x:v>-22.3</x:v>
      </x:c>
      <x:c r="T910" t="str">
        <x:v>"</x:v>
      </x:c>
      <x:c r="U910" t="str">
        <x:v>"</x:v>
      </x:c>
      <x:c r="V910" t="str">
        <x:v>485200491312047</x:v>
      </x:c>
    </x:row>
    <x:row r="911">
      <x:c r="A911" t="str">
        <x:v>RAW-IMP-20260516-FULLDRAFT-000894</x:v>
      </x:c>
      <x:c r="B911" t="str">
        <x:v>IMP-20260516-FULLDRAFT</x:v>
      </x:c>
      <x:c r="C911" t="str">
        <x:v>KTO001</x:v>
      </x:c>
      <x:c r="D911" t="str">
        <x:v>16-05-2026_Umsatzliste_Girokonto_DE98120300001061711675.csv</x:v>
      </x:c>
      <x:c r="E911" t="n">
        <x:v>46163</x:v>
      </x:c>
      <x:c r="F911" t="n">
        <x:v>894</x:v>
      </x:c>
      <x:c r="G911" t="str">
        <x:v>0ca8e5e320959ed4134e5e8bb2f830bfb9bc3dd938b3ff4122df2f7f37430d56</x:v>
      </x:c>
      <x:c r="H911" t="str">
        <x:v>neu</x:v>
      </x:c>
      <x:c r="I911" t="str">
        <x:v>ok</x:v>
      </x:c>
      <x:c r="J911"/>
      <x:c r="K911" t="n">
        <x:v>45859</x:v>
      </x:c>
      <x:c r="L911" t="n">
        <x:v>45859</x:v>
      </x:c>
      <x:c r="M911" t="str">
        <x:v>Gebucht</x:v>
      </x:c>
      <x:c r="N911" t="str">
        <x:v>ISSUER</x:v>
      </x:c>
      <x:c r="O911" t="str">
        <x:v>AUTOROUTE.DU.SUD/VEDENE.CEDEX</x:v>
      </x:c>
      <x:c r="P911" t="str">
        <x:v>VISA Debitkartenumsatz vom 19.07.2025</x:v>
      </x:c>
      <x:c r="Q911" t="str">
        <x:v>Ausgang</x:v>
      </x:c>
      <x:c r="R911" t="str">
        <x:v>DE96120300009005290904</x:v>
      </x:c>
      <x:c r="S911" t="n">
        <x:v>-22.3</x:v>
      </x:c>
      <x:c r="T911" t="str">
        <x:v>"</x:v>
      </x:c>
      <x:c r="U911" t="str">
        <x:v>"</x:v>
      </x:c>
      <x:c r="V911" t="str">
        <x:v>485200599134647</x:v>
      </x:c>
    </x:row>
    <x:row r="912">
      <x:c r="A912" t="str">
        <x:v>RAW-IMP-20260516-FULLDRAFT-000895</x:v>
      </x:c>
      <x:c r="B912" t="str">
        <x:v>IMP-20260516-FULLDRAFT</x:v>
      </x:c>
      <x:c r="C912" t="str">
        <x:v>KTO001</x:v>
      </x:c>
      <x:c r="D912" t="str">
        <x:v>16-05-2026_Umsatzliste_Girokonto_DE98120300001061711675.csv</x:v>
      </x:c>
      <x:c r="E912" t="n">
        <x:v>46163</x:v>
      </x:c>
      <x:c r="F912" t="n">
        <x:v>895</x:v>
      </x:c>
      <x:c r="G912" t="str">
        <x:v>7b9212f03a90726e33fa1634f777a2fc35b677adc2289abf04fb38886e3008e6</x:v>
      </x:c>
      <x:c r="H912" t="str">
        <x:v>neu</x:v>
      </x:c>
      <x:c r="I912" t="str">
        <x:v>ok</x:v>
      </x:c>
      <x:c r="J912"/>
      <x:c r="K912" t="n">
        <x:v>45859</x:v>
      </x:c>
      <x:c r="L912" t="n">
        <x:v>45859</x:v>
      </x:c>
      <x:c r="M912" t="str">
        <x:v>Gebucht</x:v>
      </x:c>
      <x:c r="N912" t="str">
        <x:v>ISSUER</x:v>
      </x:c>
      <x:c r="O912" t="str">
        <x:v>Restaurant.Sud/Ittigen</x:v>
      </x:c>
      <x:c r="P912" t="str">
        <x:v>VISA Debitkartenumsatz vom 20.07.2025 in Fremdwährung / Ursprungsbetrag in Fremdwährung 1,00 CHF / Umrechnungsrate: 1 Euro=0,93457940 CHF</x:v>
      </x:c>
      <x:c r="Q912" t="str">
        <x:v>Ausgang</x:v>
      </x:c>
      <x:c r="R912" t="str">
        <x:v>DE96120300009005290904</x:v>
      </x:c>
      <x:c r="S912" t="n">
        <x:v>-1.07</x:v>
      </x:c>
      <x:c r="T912" t="str">
        <x:v>"</x:v>
      </x:c>
      <x:c r="U912" t="str">
        <x:v>"</x:v>
      </x:c>
      <x:c r="V912" t="str">
        <x:v>485201341131439</x:v>
      </x:c>
    </x:row>
    <x:row r="913">
      <x:c r="A913" t="str">
        <x:v>RAW-IMP-20260516-FULLDRAFT-000896</x:v>
      </x:c>
      <x:c r="B913" t="str">
        <x:v>IMP-20260516-FULLDRAFT</x:v>
      </x:c>
      <x:c r="C913" t="str">
        <x:v>KTO001</x:v>
      </x:c>
      <x:c r="D913" t="str">
        <x:v>16-05-2026_Umsatzliste_Girokonto_DE98120300001061711675.csv</x:v>
      </x:c>
      <x:c r="E913" t="n">
        <x:v>46163</x:v>
      </x:c>
      <x:c r="F913" t="n">
        <x:v>896</x:v>
      </x:c>
      <x:c r="G913" t="str">
        <x:v>ac0a6f626c3c512a0cb8ce81124574b2b7c8fdff98172bc91c5e3da195dcb616</x:v>
      </x:c>
      <x:c r="H913" t="str">
        <x:v>neu</x:v>
      </x:c>
      <x:c r="I913" t="str">
        <x:v>ok</x:v>
      </x:c>
      <x:c r="J913"/>
      <x:c r="K913" t="n">
        <x:v>45859</x:v>
      </x:c>
      <x:c r="L913" t="n">
        <x:v>45859</x:v>
      </x:c>
      <x:c r="M913" t="str">
        <x:v>Gebucht</x:v>
      </x:c>
      <x:c r="N913" t="str">
        <x:v>ISSUER</x:v>
      </x:c>
      <x:c r="O913" t="str">
        <x:v>PAYPAL..HPDEUTSCHLA/4029357733</x:v>
      </x:c>
      <x:c r="P913" t="str">
        <x:v>VISA Debitkartenumsatz vom 20.07.2025</x:v>
      </x:c>
      <x:c r="Q913" t="str">
        <x:v>Ausgang</x:v>
      </x:c>
      <x:c r="R913" t="str">
        <x:v>DE96120300009005290904</x:v>
      </x:c>
      <x:c r="S913" t="n">
        <x:v>-4.99</x:v>
      </x:c>
      <x:c r="T913" t="str">
        <x:v>"</x:v>
      </x:c>
      <x:c r="U913" t="str">
        <x:v>"</x:v>
      </x:c>
      <x:c r="V913" t="str">
        <x:v>305201685165273</x:v>
      </x:c>
    </x:row>
    <x:row r="914">
      <x:c r="A914" t="str">
        <x:v>RAW-IMP-20260516-FULLDRAFT-000897</x:v>
      </x:c>
      <x:c r="B914" t="str">
        <x:v>IMP-20260516-FULLDRAFT</x:v>
      </x:c>
      <x:c r="C914" t="str">
        <x:v>KTO001</x:v>
      </x:c>
      <x:c r="D914" t="str">
        <x:v>16-05-2026_Umsatzliste_Girokonto_DE98120300001061711675.csv</x:v>
      </x:c>
      <x:c r="E914" t="n">
        <x:v>46163</x:v>
      </x:c>
      <x:c r="F914" t="n">
        <x:v>897</x:v>
      </x:c>
      <x:c r="G914" t="str">
        <x:v>dcfb0a1c590e99f0daf10d657507396567dad7c7a87cd023c160c52087f17e90</x:v>
      </x:c>
      <x:c r="H914" t="str">
        <x:v>neu</x:v>
      </x:c>
      <x:c r="I914" t="str">
        <x:v>ok</x:v>
      </x:c>
      <x:c r="J914"/>
      <x:c r="K914" t="n">
        <x:v>45859</x:v>
      </x:c>
      <x:c r="L914" t="n">
        <x:v>45859</x:v>
      </x:c>
      <x:c r="M914" t="str">
        <x:v>Gebucht</x:v>
      </x:c>
      <x:c r="N914" t="str">
        <x:v>ISSUER</x:v>
      </x:c>
      <x:c r="O914" t="str">
        <x:v>A1.HOTEL..UND.RESTAURA/ITTIGEN</x:v>
      </x:c>
      <x:c r="P914" t="str">
        <x:v>VISA Debitkartenumsatz vom 20.07.2025 in Fremdwährung / Ursprungsbetrag in Fremdwährung 6,70 CHF / Umrechnungsrate: 1 Euro=0,93055540 CHF</x:v>
      </x:c>
      <x:c r="Q914" t="str">
        <x:v>Ausgang</x:v>
      </x:c>
      <x:c r="R914" t="str">
        <x:v>DE96120300009005290904</x:v>
      </x:c>
      <x:c r="S914" t="n">
        <x:v>-7.2</x:v>
      </x:c>
      <x:c r="T914" t="str">
        <x:v>"</x:v>
      </x:c>
      <x:c r="U914" t="str">
        <x:v>"</x:v>
      </x:c>
      <x:c r="V914" t="str">
        <x:v>485201345024243</x:v>
      </x:c>
    </x:row>
    <x:row r="915">
      <x:c r="A915" t="str">
        <x:v>RAW-IMP-20260516-FULLDRAFT-000898</x:v>
      </x:c>
      <x:c r="B915" t="str">
        <x:v>IMP-20260516-FULLDRAFT</x:v>
      </x:c>
      <x:c r="C915" t="str">
        <x:v>KTO001</x:v>
      </x:c>
      <x:c r="D915" t="str">
        <x:v>16-05-2026_Umsatzliste_Girokonto_DE98120300001061711675.csv</x:v>
      </x:c>
      <x:c r="E915" t="n">
        <x:v>46163</x:v>
      </x:c>
      <x:c r="F915" t="n">
        <x:v>898</x:v>
      </x:c>
      <x:c r="G915" t="str">
        <x:v>85e5edbfa4830f484b8a56483b5c744ea9107dfc954567192d57b50c5a02dfdf</x:v>
      </x:c>
      <x:c r="H915" t="str">
        <x:v>neu</x:v>
      </x:c>
      <x:c r="I915" t="str">
        <x:v>ok</x:v>
      </x:c>
      <x:c r="J915"/>
      <x:c r="K915" t="n">
        <x:v>45859</x:v>
      </x:c>
      <x:c r="L915" t="n">
        <x:v>45859</x:v>
      </x:c>
      <x:c r="M915" t="str">
        <x:v>Gebucht</x:v>
      </x:c>
      <x:c r="N915" t="str">
        <x:v>ISSUER</x:v>
      </x:c>
      <x:c r="O915" t="str">
        <x:v>IONITY.GmbH/Zuerich</x:v>
      </x:c>
      <x:c r="P915" t="str">
        <x:v>VISA Debitkartenumsatz vom 20.07.2025 in Fremdwährung / Ursprungsbetrag in Fremdwährung 18,34 CHF / Umrechnungsrate: 1 Euro=0,93049220 CHF</x:v>
      </x:c>
      <x:c r="Q915" t="str">
        <x:v>Ausgang</x:v>
      </x:c>
      <x:c r="R915" t="str">
        <x:v>DE96120300009005290904</x:v>
      </x:c>
      <x:c r="S915" t="n">
        <x:v>-19.71</x:v>
      </x:c>
      <x:c r="T915" t="str">
        <x:v>"</x:v>
      </x:c>
      <x:c r="U915" t="str">
        <x:v>"</x:v>
      </x:c>
      <x:c r="V915" t="str">
        <x:v>485201339331726</x:v>
      </x:c>
    </x:row>
    <x:row r="916">
      <x:c r="A916" t="str">
        <x:v>RAW-IMP-20260516-FULLDRAFT-000899</x:v>
      </x:c>
      <x:c r="B916" t="str">
        <x:v>IMP-20260516-FULLDRAFT</x:v>
      </x:c>
      <x:c r="C916" t="str">
        <x:v>KTO001</x:v>
      </x:c>
      <x:c r="D916" t="str">
        <x:v>16-05-2026_Umsatzliste_Girokonto_DE98120300001061711675.csv</x:v>
      </x:c>
      <x:c r="E916" t="n">
        <x:v>46163</x:v>
      </x:c>
      <x:c r="F916" t="n">
        <x:v>899</x:v>
      </x:c>
      <x:c r="G916" t="str">
        <x:v>f86c07e3a9c451de2b7105d6dc0b3630a1cd4f1efa601f746ec8fffe28132744</x:v>
      </x:c>
      <x:c r="H916" t="str">
        <x:v>neu</x:v>
      </x:c>
      <x:c r="I916" t="str">
        <x:v>ok</x:v>
      </x:c>
      <x:c r="J916"/>
      <x:c r="K916" t="n">
        <x:v>45859</x:v>
      </x:c>
      <x:c r="L916" t="n">
        <x:v>45859</x:v>
      </x:c>
      <x:c r="M916" t="str">
        <x:v>Gebucht</x:v>
      </x:c>
      <x:c r="N916" t="str">
        <x:v>ISSUER</x:v>
      </x:c>
      <x:c r="O916" t="str">
        <x:v>MERCURE.HOTEL.MUENCHEN/MUENCHEN</x:v>
      </x:c>
      <x:c r="P916" t="str">
        <x:v>VISA Debitkartenumsatz vom 20.07.2025</x:v>
      </x:c>
      <x:c r="Q916" t="str">
        <x:v>Ausgang</x:v>
      </x:c>
      <x:c r="R916" t="str">
        <x:v>DE96120300009005290904</x:v>
      </x:c>
      <x:c r="S916" t="n">
        <x:v>-692</x:v>
      </x:c>
      <x:c r="T916" t="str">
        <x:v>"</x:v>
      </x:c>
      <x:c r="U916" t="str">
        <x:v>"</x:v>
      </x:c>
      <x:c r="V916" t="str">
        <x:v>485201549076668</x:v>
      </x:c>
    </x:row>
    <x:row r="917">
      <x:c r="A917" t="str">
        <x:v>RAW-IMP-20260516-FULLDRAFT-000900</x:v>
      </x:c>
      <x:c r="B917" t="str">
        <x:v>IMP-20260516-FULLDRAFT</x:v>
      </x:c>
      <x:c r="C917" t="str">
        <x:v>KTO001</x:v>
      </x:c>
      <x:c r="D917" t="str">
        <x:v>16-05-2026_Umsatzliste_Girokonto_DE98120300001061711675.csv</x:v>
      </x:c>
      <x:c r="E917" t="n">
        <x:v>46163</x:v>
      </x:c>
      <x:c r="F917" t="n">
        <x:v>900</x:v>
      </x:c>
      <x:c r="G917" t="str">
        <x:v>1435755fc843ed5eec3ba90c9901680c4f77ff3d2109fd7a249be90f858abfd0</x:v>
      </x:c>
      <x:c r="H917" t="str">
        <x:v>neu</x:v>
      </x:c>
      <x:c r="I917" t="str">
        <x:v>ok</x:v>
      </x:c>
      <x:c r="J917"/>
      <x:c r="K917" t="n">
        <x:v>45859</x:v>
      </x:c>
      <x:c r="L917" t="n">
        <x:v>45859</x:v>
      </x:c>
      <x:c r="M917" t="str">
        <x:v>Gebucht</x:v>
      </x:c>
      <x:c r="N917" t="str">
        <x:v>ISSUER</x:v>
      </x:c>
      <x:c r="O917" t="str">
        <x:v>LOsteria.Munchen.Perla/Muenchen</x:v>
      </x:c>
      <x:c r="P917" t="str">
        <x:v>VISA Debitkartenumsatz vom 20.07.2025</x:v>
      </x:c>
      <x:c r="Q917" t="str">
        <x:v>Ausgang</x:v>
      </x:c>
      <x:c r="R917" t="str">
        <x:v>DE96120300009005290904</x:v>
      </x:c>
      <x:c r="S917" t="n">
        <x:v>-98.51</x:v>
      </x:c>
      <x:c r="T917" t="str">
        <x:v>"</x:v>
      </x:c>
      <x:c r="U917" t="str">
        <x:v>"</x:v>
      </x:c>
      <x:c r="V917" t="str">
        <x:v>485201674247623</x:v>
      </x:c>
    </x:row>
    <x:row r="918">
      <x:c r="A918" t="str">
        <x:v>RAW-IMP-20260516-FULLDRAFT-000901</x:v>
      </x:c>
      <x:c r="B918" t="str">
        <x:v>IMP-20260516-FULLDRAFT</x:v>
      </x:c>
      <x:c r="C918" t="str">
        <x:v>KTO001</x:v>
      </x:c>
      <x:c r="D918" t="str">
        <x:v>16-05-2026_Umsatzliste_Girokonto_DE98120300001061711675.csv</x:v>
      </x:c>
      <x:c r="E918" t="n">
        <x:v>46163</x:v>
      </x:c>
      <x:c r="F918" t="n">
        <x:v>901</x:v>
      </x:c>
      <x:c r="G918" t="str">
        <x:v>c5096a92e9939819bcbb46c8d05b60b64d556608dc776d67d7175c2a9db89058</x:v>
      </x:c>
      <x:c r="H918" t="str">
        <x:v>neu</x:v>
      </x:c>
      <x:c r="I918" t="str">
        <x:v>ok</x:v>
      </x:c>
      <x:c r="J918"/>
      <x:c r="K918" t="n">
        <x:v>45859</x:v>
      </x:c>
      <x:c r="L918" t="n">
        <x:v>45859</x:v>
      </x:c>
      <x:c r="M918" t="str">
        <x:v>Gebucht</x:v>
      </x:c>
      <x:c r="N918" t="str">
        <x:v>ISSUER</x:v>
      </x:c>
      <x:c r="O918" t="str">
        <x:v>MCDONALD.S.DEUTSCHLAND/AICHSTETTEN</x:v>
      </x:c>
      <x:c r="P918" t="str">
        <x:v>VISA Debitkartenumsatz vom 20.07.2025</x:v>
      </x:c>
      <x:c r="Q918" t="str">
        <x:v>Ausgang</x:v>
      </x:c>
      <x:c r="R918" t="str">
        <x:v>DE96120300009005290904</x:v>
      </x:c>
      <x:c r="S918" t="n">
        <x:v>-11</x:v>
      </x:c>
      <x:c r="T918" t="str">
        <x:v>"</x:v>
      </x:c>
      <x:c r="U918" t="str">
        <x:v>"</x:v>
      </x:c>
      <x:c r="V918" t="str">
        <x:v>485201469713435</x:v>
      </x:c>
    </x:row>
    <x:row r="919">
      <x:c r="A919" t="str">
        <x:v>RAW-IMP-20260516-FULLDRAFT-000902</x:v>
      </x:c>
      <x:c r="B919" t="str">
        <x:v>IMP-20260516-FULLDRAFT</x:v>
      </x:c>
      <x:c r="C919" t="str">
        <x:v>KTO001</x:v>
      </x:c>
      <x:c r="D919" t="str">
        <x:v>16-05-2026_Umsatzliste_Girokonto_DE98120300001061711675.csv</x:v>
      </x:c>
      <x:c r="E919" t="n">
        <x:v>46163</x:v>
      </x:c>
      <x:c r="F919" t="n">
        <x:v>902</x:v>
      </x:c>
      <x:c r="G919" t="str">
        <x:v>2e02619898e235e75180c519e306ce150e1f93fa09fff34a1089fdf6abe93e87</x:v>
      </x:c>
      <x:c r="H919" t="str">
        <x:v>neu</x:v>
      </x:c>
      <x:c r="I919" t="str">
        <x:v>ok</x:v>
      </x:c>
      <x:c r="J919"/>
      <x:c r="K919" t="n">
        <x:v>45859</x:v>
      </x:c>
      <x:c r="L919" t="n">
        <x:v>45859</x:v>
      </x:c>
      <x:c r="M919" t="str">
        <x:v>Gebucht</x:v>
      </x:c>
      <x:c r="N919" t="str">
        <x:v>ISSUER</x:v>
      </x:c>
      <x:c r="O919" t="str">
        <x:v>IONITY.GmbH/Munich</x:v>
      </x:c>
      <x:c r="P919" t="str">
        <x:v>VISA Debitkartenumsatz vom 20.07.2025</x:v>
      </x:c>
      <x:c r="Q919" t="str">
        <x:v>Ausgang</x:v>
      </x:c>
      <x:c r="R919" t="str">
        <x:v>DE96120300009005290904</x:v>
      </x:c>
      <x:c r="S919" t="n">
        <x:v>-24.66</x:v>
      </x:c>
      <x:c r="T919" t="str">
        <x:v>"</x:v>
      </x:c>
      <x:c r="U919" t="str">
        <x:v>"</x:v>
      </x:c>
      <x:c r="V919" t="str">
        <x:v>485201462965912</x:v>
      </x:c>
    </x:row>
    <x:row r="920">
      <x:c r="A920" t="str">
        <x:v>RAW-IMP-20260516-FULLDRAFT-000903</x:v>
      </x:c>
      <x:c r="B920" t="str">
        <x:v>IMP-20260516-FULLDRAFT</x:v>
      </x:c>
      <x:c r="C920" t="str">
        <x:v>KTO001</x:v>
      </x:c>
      <x:c r="D920" t="str">
        <x:v>16-05-2026_Umsatzliste_Girokonto_DE98120300001061711675.csv</x:v>
      </x:c>
      <x:c r="E920" t="n">
        <x:v>46163</x:v>
      </x:c>
      <x:c r="F920" t="n">
        <x:v>903</x:v>
      </x:c>
      <x:c r="G920" t="str">
        <x:v>d9de8b8c8b46f8ef31c7d53c64f55198d6b6752919a03caba8cd2cd313e97390</x:v>
      </x:c>
      <x:c r="H920" t="str">
        <x:v>neu</x:v>
      </x:c>
      <x:c r="I920" t="str">
        <x:v>ok</x:v>
      </x:c>
      <x:c r="J920"/>
      <x:c r="K920" t="n">
        <x:v>45859</x:v>
      </x:c>
      <x:c r="L920" t="n">
        <x:v>45859</x:v>
      </x:c>
      <x:c r="M920" t="str">
        <x:v>Gebucht</x:v>
      </x:c>
      <x:c r="N920" t="str">
        <x:v>ISSUER</x:v>
      </x:c>
      <x:c r="O920" t="str">
        <x:v>IONITY.GmbH/Paris</x:v>
      </x:c>
      <x:c r="P920" t="str">
        <x:v>VISA Debitkartenumsatz vom 19.07.2025</x:v>
      </x:c>
      <x:c r="Q920" t="str">
        <x:v>Ausgang</x:v>
      </x:c>
      <x:c r="R920" t="str">
        <x:v>DE96120300009005290904</x:v>
      </x:c>
      <x:c r="S920" t="n">
        <x:v>-10.87</x:v>
      </x:c>
      <x:c r="T920" t="str">
        <x:v>"</x:v>
      </x:c>
      <x:c r="U920" t="str">
        <x:v>"</x:v>
      </x:c>
      <x:c r="V920" t="str">
        <x:v>485200415211461</x:v>
      </x:c>
    </x:row>
    <x:row r="921">
      <x:c r="A921" t="str">
        <x:v>RAW-IMP-20260516-FULLDRAFT-000904</x:v>
      </x:c>
      <x:c r="B921" t="str">
        <x:v>IMP-20260516-FULLDRAFT</x:v>
      </x:c>
      <x:c r="C921" t="str">
        <x:v>KTO001</x:v>
      </x:c>
      <x:c r="D921" t="str">
        <x:v>16-05-2026_Umsatzliste_Girokonto_DE98120300001061711675.csv</x:v>
      </x:c>
      <x:c r="E921" t="n">
        <x:v>46163</x:v>
      </x:c>
      <x:c r="F921" t="n">
        <x:v>904</x:v>
      </x:c>
      <x:c r="G921" t="str">
        <x:v>bb9cb536a73dbfb36de222293d320bed83c248c3cdfdf5fea24925287cb6c68a</x:v>
      </x:c>
      <x:c r="H921" t="str">
        <x:v>neu</x:v>
      </x:c>
      <x:c r="I921" t="str">
        <x:v>ok</x:v>
      </x:c>
      <x:c r="J921"/>
      <x:c r="K921" t="n">
        <x:v>45859</x:v>
      </x:c>
      <x:c r="L921" t="n">
        <x:v>45859</x:v>
      </x:c>
      <x:c r="M921" t="str">
        <x:v>Gebucht</x:v>
      </x:c>
      <x:c r="N921" t="str">
        <x:v>ISSUER</x:v>
      </x:c>
      <x:c r="O921" t="str">
        <x:v>BAR.LA.CABANA/FANADIX</x:v>
      </x:c>
      <x:c r="P921" t="str">
        <x:v>VISA Debitkartenumsatz vom 18.07.2025</x:v>
      </x:c>
      <x:c r="Q921" t="str">
        <x:v>Ausgang</x:v>
      </x:c>
      <x:c r="R921" t="str">
        <x:v>DE96120300009005290904</x:v>
      </x:c>
      <x:c r="S921" t="n">
        <x:v>-145</x:v>
      </x:c>
      <x:c r="T921" t="str">
        <x:v>"</x:v>
      </x:c>
      <x:c r="U921" t="str">
        <x:v>"</x:v>
      </x:c>
      <x:c r="V921" t="str">
        <x:v>485199711063472</x:v>
      </x:c>
    </x:row>
    <x:row r="922">
      <x:c r="A922" t="str">
        <x:v>RAW-IMP-20260516-FULLDRAFT-000905</x:v>
      </x:c>
      <x:c r="B922" t="str">
        <x:v>IMP-20260516-FULLDRAFT</x:v>
      </x:c>
      <x:c r="C922" t="str">
        <x:v>KTO001</x:v>
      </x:c>
      <x:c r="D922" t="str">
        <x:v>16-05-2026_Umsatzliste_Girokonto_DE98120300001061711675.csv</x:v>
      </x:c>
      <x:c r="E922" t="n">
        <x:v>46163</x:v>
      </x:c>
      <x:c r="F922" t="n">
        <x:v>905</x:v>
      </x:c>
      <x:c r="G922" t="str">
        <x:v>a3518e4c76b396d6013b199893daa59d86cb53eae7cb3789f3f61d368de580a4</x:v>
      </x:c>
      <x:c r="H922" t="str">
        <x:v>neu</x:v>
      </x:c>
      <x:c r="I922" t="str">
        <x:v>ok</x:v>
      </x:c>
      <x:c r="J922"/>
      <x:c r="K922" t="n">
        <x:v>45859</x:v>
      </x:c>
      <x:c r="L922" t="n">
        <x:v>45859</x:v>
      </x:c>
      <x:c r="M922" t="str">
        <x:v>Gebucht</x:v>
      </x:c>
      <x:c r="N922" t="str">
        <x:v>ISSUER</x:v>
      </x:c>
      <x:c r="O922" t="str">
        <x:v>.BAZG.VIA.WebShop/Bern</x:v>
      </x:c>
      <x:c r="P922" t="str">
        <x:v>VISA Debitkartenumsatz vom 19.07.2025 in Fremdwährung / Ursprungsbetrag in Fremdwährung 40,00 CHF / Umrechnungsrate: 1 Euro=0,93023260 CHF</x:v>
      </x:c>
      <x:c r="Q922" t="str">
        <x:v>Ausgang</x:v>
      </x:c>
      <x:c r="R922" t="str">
        <x:v>DE96120300009005290904</x:v>
      </x:c>
      <x:c r="S922" t="n">
        <x:v>-43</x:v>
      </x:c>
      <x:c r="T922" t="str">
        <x:v>"</x:v>
      </x:c>
      <x:c r="U922" t="str">
        <x:v>"</x:v>
      </x:c>
      <x:c r="V922" t="str">
        <x:v>485200709395038</x:v>
      </x:c>
    </x:row>
    <x:row r="923">
      <x:c r="A923" t="str">
        <x:v>RAW-IMP-20260516-FULLDRAFT-000906</x:v>
      </x:c>
      <x:c r="B923" t="str">
        <x:v>IMP-20260516-FULLDRAFT</x:v>
      </x:c>
      <x:c r="C923" t="str">
        <x:v>KTO001</x:v>
      </x:c>
      <x:c r="D923" t="str">
        <x:v>16-05-2026_Umsatzliste_Girokonto_DE98120300001061711675.csv</x:v>
      </x:c>
      <x:c r="E923" t="n">
        <x:v>46163</x:v>
      </x:c>
      <x:c r="F923" t="n">
        <x:v>906</x:v>
      </x:c>
      <x:c r="G923" t="str">
        <x:v>a024912643f3ae380ea8da1f038de51480f192a062494f620e5a5adfd26089ed</x:v>
      </x:c>
      <x:c r="H923" t="str">
        <x:v>neu</x:v>
      </x:c>
      <x:c r="I923" t="str">
        <x:v>ok</x:v>
      </x:c>
      <x:c r="J923"/>
      <x:c r="K923" t="n">
        <x:v>45859</x:v>
      </x:c>
      <x:c r="L923" t="n">
        <x:v>45859</x:v>
      </x:c>
      <x:c r="M923" t="str">
        <x:v>Gebucht</x:v>
      </x:c>
      <x:c r="N923" t="str">
        <x:v>ISSUER</x:v>
      </x:c>
      <x:c r="O923" t="str">
        <x:v>IONITY.GmbH/Paris</x:v>
      </x:c>
      <x:c r="P923" t="str">
        <x:v>VISA Debitkartenumsatz vom 19.07.2025</x:v>
      </x:c>
      <x:c r="Q923" t="str">
        <x:v>Ausgang</x:v>
      </x:c>
      <x:c r="R923" t="str">
        <x:v>DE96120300009005290904</x:v>
      </x:c>
      <x:c r="S923" t="n">
        <x:v>-18.85</x:v>
      </x:c>
      <x:c r="T923" t="str">
        <x:v>"</x:v>
      </x:c>
      <x:c r="U923" t="str">
        <x:v>"</x:v>
      </x:c>
      <x:c r="V923" t="str">
        <x:v>485200688516377</x:v>
      </x:c>
    </x:row>
    <x:row r="924">
      <x:c r="A924" t="str">
        <x:v>RAW-IMP-20260516-FULLDRAFT-000907</x:v>
      </x:c>
      <x:c r="B924" t="str">
        <x:v>IMP-20260516-FULLDRAFT</x:v>
      </x:c>
      <x:c r="C924" t="str">
        <x:v>KTO001</x:v>
      </x:c>
      <x:c r="D924" t="str">
        <x:v>16-05-2026_Umsatzliste_Girokonto_DE98120300001061711675.csv</x:v>
      </x:c>
      <x:c r="E924" t="n">
        <x:v>46163</x:v>
      </x:c>
      <x:c r="F924" t="n">
        <x:v>907</x:v>
      </x:c>
      <x:c r="G924" t="str">
        <x:v>1661018578aeac6cd42366d5a3d960f23c258e1329d497c0e88c2de1339136bc</x:v>
      </x:c>
      <x:c r="H924" t="str">
        <x:v>neu</x:v>
      </x:c>
      <x:c r="I924" t="str">
        <x:v>ok</x:v>
      </x:c>
      <x:c r="J924"/>
      <x:c r="K924" t="n">
        <x:v>45859</x:v>
      </x:c>
      <x:c r="L924" t="n">
        <x:v>45859</x:v>
      </x:c>
      <x:c r="M924" t="str">
        <x:v>Gebucht</x:v>
      </x:c>
      <x:c r="N924" t="str">
        <x:v>ISSUER</x:v>
      </x:c>
      <x:c r="O924" t="str">
        <x:v>IONITY.GmbH/Paris</x:v>
      </x:c>
      <x:c r="P924" t="str">
        <x:v>VISA Debitkartenumsatz vom 19.07.2025</x:v>
      </x:c>
      <x:c r="Q924" t="str">
        <x:v>Ausgang</x:v>
      </x:c>
      <x:c r="R924" t="str">
        <x:v>DE96120300009005290904</x:v>
      </x:c>
      <x:c r="S924" t="n">
        <x:v>-22.16</x:v>
      </x:c>
      <x:c r="T924" t="str">
        <x:v>"</x:v>
      </x:c>
      <x:c r="U924" t="str">
        <x:v>"</x:v>
      </x:c>
      <x:c r="V924" t="str">
        <x:v>485200502834465</x:v>
      </x:c>
    </x:row>
    <x:row r="925">
      <x:c r="A925" t="str">
        <x:v>RAW-IMP-20260516-FULLDRAFT-000908</x:v>
      </x:c>
      <x:c r="B925" t="str">
        <x:v>IMP-20260516-FULLDRAFT</x:v>
      </x:c>
      <x:c r="C925" t="str">
        <x:v>KTO001</x:v>
      </x:c>
      <x:c r="D925" t="str">
        <x:v>16-05-2026_Umsatzliste_Girokonto_DE98120300001061711675.csv</x:v>
      </x:c>
      <x:c r="E925" t="n">
        <x:v>46163</x:v>
      </x:c>
      <x:c r="F925" t="n">
        <x:v>908</x:v>
      </x:c>
      <x:c r="G925" t="str">
        <x:v>5e1927663fc7d5e304c09b0fe53deb7fd194f5591e947fe7c92049e0e1ef7713</x:v>
      </x:c>
      <x:c r="H925" t="str">
        <x:v>neu</x:v>
      </x:c>
      <x:c r="I925" t="str">
        <x:v>ok</x:v>
      </x:c>
      <x:c r="J925"/>
      <x:c r="K925" t="n">
        <x:v>45859</x:v>
      </x:c>
      <x:c r="L925" t="n">
        <x:v>45859</x:v>
      </x:c>
      <x:c r="M925" t="str">
        <x:v>Gebucht</x:v>
      </x:c>
      <x:c r="N925" t="str">
        <x:v>ISSUER</x:v>
      </x:c>
      <x:c r="O925" t="str">
        <x:v>Deutsches.Museum/deutsches.mus</x:v>
      </x:c>
      <x:c r="P925" t="str">
        <x:v>VISA Debitkartenumsatz vom 18.07.2025</x:v>
      </x:c>
      <x:c r="Q925" t="str">
        <x:v>Ausgang</x:v>
      </x:c>
      <x:c r="R925" t="str">
        <x:v>DE96120300009005290904</x:v>
      </x:c>
      <x:c r="S925" t="n">
        <x:v>-31</x:v>
      </x:c>
      <x:c r="T925" t="str">
        <x:v>"</x:v>
      </x:c>
      <x:c r="U925" t="str">
        <x:v>"</x:v>
      </x:c>
      <x:c r="V925" t="str">
        <x:v>485199591138379</x:v>
      </x:c>
    </x:row>
    <x:row r="926">
      <x:c r="A926" t="str">
        <x:v>RAW-IMP-20260516-FULLDRAFT-000909</x:v>
      </x:c>
      <x:c r="B926" t="str">
        <x:v>IMP-20260516-FULLDRAFT</x:v>
      </x:c>
      <x:c r="C926" t="str">
        <x:v>KTO001</x:v>
      </x:c>
      <x:c r="D926" t="str">
        <x:v>16-05-2026_Umsatzliste_Girokonto_DE98120300001061711675.csv</x:v>
      </x:c>
      <x:c r="E926" t="n">
        <x:v>46163</x:v>
      </x:c>
      <x:c r="F926" t="n">
        <x:v>909</x:v>
      </x:c>
      <x:c r="G926" t="str">
        <x:v>2b9063d9a0ddfb0e90df600688a709a616edc678b98d0dc6752eb27419f517bb</x:v>
      </x:c>
      <x:c r="H926" t="str">
        <x:v>neu</x:v>
      </x:c>
      <x:c r="I926" t="str">
        <x:v>ok</x:v>
      </x:c>
      <x:c r="J926"/>
      <x:c r="K926" t="n">
        <x:v>45859</x:v>
      </x:c>
      <x:c r="L926" t="n">
        <x:v>45859</x:v>
      </x:c>
      <x:c r="M926" t="str">
        <x:v>Gebucht</x:v>
      </x:c>
      <x:c r="N926" t="str">
        <x:v>ISSUER</x:v>
      </x:c>
      <x:c r="O926" t="str">
        <x:v>IONITY.GmbH/Madrid</x:v>
      </x:c>
      <x:c r="P926" t="str">
        <x:v>VISA Debitkartenumsatz vom 19.07.2025</x:v>
      </x:c>
      <x:c r="Q926" t="str">
        <x:v>Ausgang</x:v>
      </x:c>
      <x:c r="R926" t="str">
        <x:v>DE96120300009005290904</x:v>
      </x:c>
      <x:c r="S926" t="n">
        <x:v>-21.94</x:v>
      </x:c>
      <x:c r="T926" t="str">
        <x:v>"</x:v>
      </x:c>
      <x:c r="U926" t="str">
        <x:v>"</x:v>
      </x:c>
      <x:c r="V926" t="str">
        <x:v>485200247715465</x:v>
      </x:c>
    </x:row>
    <x:row r="927">
      <x:c r="A927" t="str">
        <x:v>RAW-IMP-20260516-FULLDRAFT-000910</x:v>
      </x:c>
      <x:c r="B927" t="str">
        <x:v>IMP-20260516-FULLDRAFT</x:v>
      </x:c>
      <x:c r="C927" t="str">
        <x:v>KTO001</x:v>
      </x:c>
      <x:c r="D927" t="str">
        <x:v>16-05-2026_Umsatzliste_Girokonto_DE98120300001061711675.csv</x:v>
      </x:c>
      <x:c r="E927" t="n">
        <x:v>46163</x:v>
      </x:c>
      <x:c r="F927" t="n">
        <x:v>910</x:v>
      </x:c>
      <x:c r="G927" t="str">
        <x:v>6a0fe9b692a024da189bc1b939c079d75d9d772f26f249cecb9750e25a898ef7</x:v>
      </x:c>
      <x:c r="H927" t="str">
        <x:v>neu</x:v>
      </x:c>
      <x:c r="I927" t="str">
        <x:v>ok</x:v>
      </x:c>
      <x:c r="J927"/>
      <x:c r="K927" t="n">
        <x:v>45859</x:v>
      </x:c>
      <x:c r="L927" t="n">
        <x:v>45859</x:v>
      </x:c>
      <x:c r="M927" t="str">
        <x:v>Gebucht</x:v>
      </x:c>
      <x:c r="N927" t="str">
        <x:v>ISSUER</x:v>
      </x:c>
      <x:c r="O927" t="str">
        <x:v>MAGASIN.ST.AUNES/SAINT.AUNES</x:v>
      </x:c>
      <x:c r="P927" t="str">
        <x:v>VISA Debitkartenumsatz vom 19.07.2025</x:v>
      </x:c>
      <x:c r="Q927" t="str">
        <x:v>Ausgang</x:v>
      </x:c>
      <x:c r="R927" t="str">
        <x:v>DE96120300009005290904</x:v>
      </x:c>
      <x:c r="S927" t="n">
        <x:v>-12.88</x:v>
      </x:c>
      <x:c r="T927" t="str">
        <x:v>"</x:v>
      </x:c>
      <x:c r="U927" t="str">
        <x:v>"</x:v>
      </x:c>
      <x:c r="V927" t="str">
        <x:v>485200523427068</x:v>
      </x:c>
    </x:row>
    <x:row r="928">
      <x:c r="A928" t="str">
        <x:v>RAW-IMP-20260516-FULLDRAFT-000911</x:v>
      </x:c>
      <x:c r="B928" t="str">
        <x:v>IMP-20260516-FULLDRAFT</x:v>
      </x:c>
      <x:c r="C928" t="str">
        <x:v>KTO001</x:v>
      </x:c>
      <x:c r="D928" t="str">
        <x:v>16-05-2026_Umsatzliste_Girokonto_DE98120300001061711675.csv</x:v>
      </x:c>
      <x:c r="E928" t="n">
        <x:v>46163</x:v>
      </x:c>
      <x:c r="F928" t="n">
        <x:v>911</x:v>
      </x:c>
      <x:c r="G928" t="str">
        <x:v>6c9dcface854ede57c6cde737e7cc0476c76fcda67ba4d464f9ded377ec6567b</x:v>
      </x:c>
      <x:c r="H928" t="str">
        <x:v>neu</x:v>
      </x:c>
      <x:c r="I928" t="str">
        <x:v>ok</x:v>
      </x:c>
      <x:c r="J928"/>
      <x:c r="K928" t="n">
        <x:v>45859</x:v>
      </x:c>
      <x:c r="L928" t="n">
        <x:v>45859</x:v>
      </x:c>
      <x:c r="M928" t="str">
        <x:v>Gebucht</x:v>
      </x:c>
      <x:c r="N928" t="str">
        <x:v>ISSUER</x:v>
      </x:c>
      <x:c r="O928" t="str">
        <x:v>AREA.NFC........4261525/69BRON.CEDEX</x:v>
      </x:c>
      <x:c r="P928" t="str">
        <x:v>VISA Debitkartenumsatz vom 19.07.2025</x:v>
      </x:c>
      <x:c r="Q928" t="str">
        <x:v>Ausgang</x:v>
      </x:c>
      <x:c r="R928" t="str">
        <x:v>DE96120300009005290904</x:v>
      </x:c>
      <x:c r="S928" t="n">
        <x:v>-11.2</x:v>
      </x:c>
      <x:c r="T928" t="str">
        <x:v>"</x:v>
      </x:c>
      <x:c r="U928" t="str">
        <x:v>"</x:v>
      </x:c>
      <x:c r="V928" t="str">
        <x:v>485200625516338</x:v>
      </x:c>
    </x:row>
    <x:row r="929">
      <x:c r="A929" t="str">
        <x:v>RAW-IMP-20260516-FULLDRAFT-000912</x:v>
      </x:c>
      <x:c r="B929" t="str">
        <x:v>IMP-20260516-FULLDRAFT</x:v>
      </x:c>
      <x:c r="C929" t="str">
        <x:v>KTO001</x:v>
      </x:c>
      <x:c r="D929" t="str">
        <x:v>16-05-2026_Umsatzliste_Girokonto_DE98120300001061711675.csv</x:v>
      </x:c>
      <x:c r="E929" t="n">
        <x:v>46163</x:v>
      </x:c>
      <x:c r="F929" t="n">
        <x:v>912</x:v>
      </x:c>
      <x:c r="G929" t="str">
        <x:v>1fa65369c7ea7f3aa4c9d0081698bd2443c0852081f56ad5520d258c0251c757</x:v>
      </x:c>
      <x:c r="H929" t="str">
        <x:v>neu</x:v>
      </x:c>
      <x:c r="I929" t="str">
        <x:v>ok</x:v>
      </x:c>
      <x:c r="J929"/>
      <x:c r="K929" t="n">
        <x:v>45859</x:v>
      </x:c>
      <x:c r="L929" t="n">
        <x:v>45859</x:v>
      </x:c>
      <x:c r="M929" t="str">
        <x:v>Gebucht</x:v>
      </x:c>
      <x:c r="N929" t="str">
        <x:v>ISSUER</x:v>
      </x:c>
      <x:c r="O929" t="str">
        <x:v>PLACE.TO.PLUG/TARRAGONA</x:v>
      </x:c>
      <x:c r="P929" t="str">
        <x:v>VISA Debitkartenumsatz vom 18.07.2025</x:v>
      </x:c>
      <x:c r="Q929" t="str">
        <x:v>Ausgang</x:v>
      </x:c>
      <x:c r="R929" t="str">
        <x:v>DE96120300009005290904</x:v>
      </x:c>
      <x:c r="S929" t="n">
        <x:v>-12.54</x:v>
      </x:c>
      <x:c r="T929" t="str">
        <x:v>"</x:v>
      </x:c>
      <x:c r="U929" t="str">
        <x:v>"</x:v>
      </x:c>
      <x:c r="V929" t="str">
        <x:v>485199353874771</x:v>
      </x:c>
    </x:row>
    <x:row r="930">
      <x:c r="A930" t="str">
        <x:v>RAW-IMP-20260516-FULLDRAFT-000913</x:v>
      </x:c>
      <x:c r="B930" t="str">
        <x:v>IMP-20260516-FULLDRAFT</x:v>
      </x:c>
      <x:c r="C930" t="str">
        <x:v>KTO001</x:v>
      </x:c>
      <x:c r="D930" t="str">
        <x:v>16-05-2026_Umsatzliste_Girokonto_DE98120300001061711675.csv</x:v>
      </x:c>
      <x:c r="E930" t="n">
        <x:v>46163</x:v>
      </x:c>
      <x:c r="F930" t="n">
        <x:v>913</x:v>
      </x:c>
      <x:c r="G930" t="str">
        <x:v>f3ef6729568a40ebfbebdd4ff8602522e119f5d6b8a5a59d97b271f37f0abe1d</x:v>
      </x:c>
      <x:c r="H930" t="str">
        <x:v>neu</x:v>
      </x:c>
      <x:c r="I930" t="str">
        <x:v>ok</x:v>
      </x:c>
      <x:c r="J930"/>
      <x:c r="K930" t="n">
        <x:v>45859</x:v>
      </x:c>
      <x:c r="L930" t="n">
        <x:v>45859</x:v>
      </x:c>
      <x:c r="M930" t="str">
        <x:v>Gebucht</x:v>
      </x:c>
      <x:c r="N930" t="str">
        <x:v>ISSUER</x:v>
      </x:c>
      <x:c r="O930" t="str">
        <x:v>PLACE.TO.PLUG/TARRAGONA</x:v>
      </x:c>
      <x:c r="P930" t="str">
        <x:v>VISA Debitkartenumsatz vom 18.07.2025</x:v>
      </x:c>
      <x:c r="Q930" t="str">
        <x:v>Ausgang</x:v>
      </x:c>
      <x:c r="R930" t="str">
        <x:v>DE96120300009005290904</x:v>
      </x:c>
      <x:c r="S930" t="n">
        <x:v>-16.46</x:v>
      </x:c>
      <x:c r="T930" t="str">
        <x:v>"</x:v>
      </x:c>
      <x:c r="U930" t="str">
        <x:v>"</x:v>
      </x:c>
      <x:c r="V930" t="str">
        <x:v>485199334866811</x:v>
      </x:c>
    </x:row>
    <x:row r="931">
      <x:c r="A931" t="str">
        <x:v>RAW-IMP-20260516-FULLDRAFT-000914</x:v>
      </x:c>
      <x:c r="B931" t="str">
        <x:v>IMP-20260516-FULLDRAFT</x:v>
      </x:c>
      <x:c r="C931" t="str">
        <x:v>KTO001</x:v>
      </x:c>
      <x:c r="D931" t="str">
        <x:v>16-05-2026_Umsatzliste_Girokonto_DE98120300001061711675.csv</x:v>
      </x:c>
      <x:c r="E931" t="n">
        <x:v>46163</x:v>
      </x:c>
      <x:c r="F931" t="n">
        <x:v>914</x:v>
      </x:c>
      <x:c r="G931" t="str">
        <x:v>f4e2b3a02004e919d0c8aba0adf3bca0c612ce782671842200f5eb40aabe6b99</x:v>
      </x:c>
      <x:c r="H931" t="str">
        <x:v>neu</x:v>
      </x:c>
      <x:c r="I931" t="str">
        <x:v>ok</x:v>
      </x:c>
      <x:c r="J931"/>
      <x:c r="K931" t="n">
        <x:v>45859</x:v>
      </x:c>
      <x:c r="L931" t="n">
        <x:v>45859</x:v>
      </x:c>
      <x:c r="M931" t="str">
        <x:v>Gebucht</x:v>
      </x:c>
      <x:c r="N931" t="str">
        <x:v>Lars Kohlenberg                                                       Johannes-Wosnitza-Str. 38229 Salzgitter</x:v>
      </x:c>
      <x:c r="O931" t="str">
        <x:v>GMX by LOTTO24                                                        StraBenbahnring 11 20251 Hamburg</x:v>
      </x:c>
      <x:c r="P931" t="str">
        <x:v>GMX by LOTTO24 C98983063 - T512100488727</x:v>
      </x:c>
      <x:c r="Q931" t="str">
        <x:v>Ausgang</x:v>
      </x:c>
      <x:c r="R931" t="str">
        <x:v>DE52100190001000027873</x:v>
      </x:c>
      <x:c r="S931" t="n">
        <x:v>-18.14</x:v>
      </x:c>
      <x:c r="T931" t="str">
        <x:v>NL48ZZZ342764500000</x:v>
      </x:c>
      <x:c r="U931" t="str">
        <x:v>R372DKN5SSBXZP52</x:v>
      </x:c>
      <x:c r="V931" t="str">
        <x:v>PQ6CSHJ4M83LWDZ3</x:v>
      </x:c>
    </x:row>
    <x:row r="932">
      <x:c r="A932" t="str">
        <x:v>RAW-IMP-20260516-FULLDRAFT-000915</x:v>
      </x:c>
      <x:c r="B932" t="str">
        <x:v>IMP-20260516-FULLDRAFT</x:v>
      </x:c>
      <x:c r="C932" t="str">
        <x:v>KTO001</x:v>
      </x:c>
      <x:c r="D932" t="str">
        <x:v>16-05-2026_Umsatzliste_Girokonto_DE98120300001061711675.csv</x:v>
      </x:c>
      <x:c r="E932" t="n">
        <x:v>46163</x:v>
      </x:c>
      <x:c r="F932" t="n">
        <x:v>915</x:v>
      </x:c>
      <x:c r="G932" t="str">
        <x:v>2d96339f79ec354b485ad3d5d11cb87297f3069cd9b89a0e9a36f386b3ec92e4</x:v>
      </x:c>
      <x:c r="H932" t="str">
        <x:v>neu</x:v>
      </x:c>
      <x:c r="I932" t="str">
        <x:v>ok</x:v>
      </x:c>
      <x:c r="J932"/>
      <x:c r="K932" t="n">
        <x:v>45856</x:v>
      </x:c>
      <x:c r="L932" t="n">
        <x:v>45856</x:v>
      </x:c>
      <x:c r="M932" t="str">
        <x:v>Gebucht</x:v>
      </x:c>
      <x:c r="N932" t="str">
        <x:v>ISSUER</x:v>
      </x:c>
      <x:c r="O932" t="str">
        <x:v>ALOT/MORAIRA</x:v>
      </x:c>
      <x:c r="P932" t="str">
        <x:v>VISA Debitkartenumsatz vom 17.07.2025</x:v>
      </x:c>
      <x:c r="Q932" t="str">
        <x:v>Ausgang</x:v>
      </x:c>
      <x:c r="R932" t="str">
        <x:v>DE96120300009005290904</x:v>
      </x:c>
      <x:c r="S932" t="n">
        <x:v>-105</x:v>
      </x:c>
      <x:c r="T932" t="str">
        <x:v>"</x:v>
      </x:c>
      <x:c r="U932" t="str">
        <x:v>"</x:v>
      </x:c>
      <x:c r="V932" t="str">
        <x:v>485198714817424</x:v>
      </x:c>
    </x:row>
    <x:row r="933">
      <x:c r="A933" t="str">
        <x:v>RAW-IMP-20260516-FULLDRAFT-000916</x:v>
      </x:c>
      <x:c r="B933" t="str">
        <x:v>IMP-20260516-FULLDRAFT</x:v>
      </x:c>
      <x:c r="C933" t="str">
        <x:v>KTO001</x:v>
      </x:c>
      <x:c r="D933" t="str">
        <x:v>16-05-2026_Umsatzliste_Girokonto_DE98120300001061711675.csv</x:v>
      </x:c>
      <x:c r="E933" t="n">
        <x:v>46163</x:v>
      </x:c>
      <x:c r="F933" t="n">
        <x:v>916</x:v>
      </x:c>
      <x:c r="G933" t="str">
        <x:v>796fbaf8e62b10fc20e9a843d8a93aed00f1fa4e8372d4d7a848081511b12c4d</x:v>
      </x:c>
      <x:c r="H933" t="str">
        <x:v>neu</x:v>
      </x:c>
      <x:c r="I933" t="str">
        <x:v>ok</x:v>
      </x:c>
      <x:c r="J933"/>
      <x:c r="K933" t="n">
        <x:v>45856</x:v>
      </x:c>
      <x:c r="L933" t="n">
        <x:v>45856</x:v>
      </x:c>
      <x:c r="M933" t="str">
        <x:v>Gebucht</x:v>
      </x:c>
      <x:c r="N933" t="str">
        <x:v>ISSUER</x:v>
      </x:c>
      <x:c r="O933" t="str">
        <x:v>LA.CASA.DE.LAS.CARCASAS/JARAIZ.DE.LA</x:v>
      </x:c>
      <x:c r="P933" t="str">
        <x:v>VISA Debitkartenumsatz vom 17.07.2025</x:v>
      </x:c>
      <x:c r="Q933" t="str">
        <x:v>Ausgang</x:v>
      </x:c>
      <x:c r="R933" t="str">
        <x:v>DE96120300009005290904</x:v>
      </x:c>
      <x:c r="S933" t="n">
        <x:v>-34.99</x:v>
      </x:c>
      <x:c r="T933" t="str">
        <x:v>"</x:v>
      </x:c>
      <x:c r="U933" t="str">
        <x:v>"</x:v>
      </x:c>
      <x:c r="V933" t="str">
        <x:v>485198425545052</x:v>
      </x:c>
    </x:row>
    <x:row r="934">
      <x:c r="A934" t="str">
        <x:v>RAW-IMP-20260516-FULLDRAFT-000917</x:v>
      </x:c>
      <x:c r="B934" t="str">
        <x:v>IMP-20260516-FULLDRAFT</x:v>
      </x:c>
      <x:c r="C934" t="str">
        <x:v>KTO001</x:v>
      </x:c>
      <x:c r="D934" t="str">
        <x:v>16-05-2026_Umsatzliste_Girokonto_DE98120300001061711675.csv</x:v>
      </x:c>
      <x:c r="E934" t="n">
        <x:v>46163</x:v>
      </x:c>
      <x:c r="F934" t="n">
        <x:v>917</x:v>
      </x:c>
      <x:c r="G934" t="str">
        <x:v>f9d6de23c7549f26c37477e3af7ea8a0f6f017805911a0f996d33fb4d0034fb3</x:v>
      </x:c>
      <x:c r="H934" t="str">
        <x:v>neu</x:v>
      </x:c>
      <x:c r="I934" t="str">
        <x:v>ok</x:v>
      </x:c>
      <x:c r="J934"/>
      <x:c r="K934" t="n">
        <x:v>45856</x:v>
      </x:c>
      <x:c r="L934" t="n">
        <x:v>45856</x:v>
      </x:c>
      <x:c r="M934" t="str">
        <x:v>Gebucht</x:v>
      </x:c>
      <x:c r="N934" t="str">
        <x:v>ISSUER</x:v>
      </x:c>
      <x:c r="O934" t="str">
        <x:v>CARREFOUR.BOROA.ONDAR/ONDARA</x:v>
      </x:c>
      <x:c r="P934" t="str">
        <x:v>VISA Debitkartenumsatz vom 17.07.2025</x:v>
      </x:c>
      <x:c r="Q934" t="str">
        <x:v>Ausgang</x:v>
      </x:c>
      <x:c r="R934" t="str">
        <x:v>DE96120300009005290904</x:v>
      </x:c>
      <x:c r="S934" t="n">
        <x:v>-15.32</x:v>
      </x:c>
      <x:c r="T934" t="str">
        <x:v>"</x:v>
      </x:c>
      <x:c r="U934" t="str">
        <x:v>"</x:v>
      </x:c>
      <x:c r="V934" t="str">
        <x:v>485198457278543</x:v>
      </x:c>
    </x:row>
    <x:row r="935">
      <x:c r="A935" t="str">
        <x:v>RAW-IMP-20260516-FULLDRAFT-000918</x:v>
      </x:c>
      <x:c r="B935" t="str">
        <x:v>IMP-20260516-FULLDRAFT</x:v>
      </x:c>
      <x:c r="C935" t="str">
        <x:v>KTO001</x:v>
      </x:c>
      <x:c r="D935" t="str">
        <x:v>16-05-2026_Umsatzliste_Girokonto_DE98120300001061711675.csv</x:v>
      </x:c>
      <x:c r="E935" t="n">
        <x:v>46163</x:v>
      </x:c>
      <x:c r="F935" t="n">
        <x:v>918</x:v>
      </x:c>
      <x:c r="G935" t="str">
        <x:v>26d86757877859c15d0e5d92d86f408fcf42dafdcf80913f7420c103571316bf</x:v>
      </x:c>
      <x:c r="H935" t="str">
        <x:v>neu</x:v>
      </x:c>
      <x:c r="I935" t="str">
        <x:v>ok</x:v>
      </x:c>
      <x:c r="J935"/>
      <x:c r="K935" t="n">
        <x:v>45856</x:v>
      </x:c>
      <x:c r="L935" t="n">
        <x:v>45856</x:v>
      </x:c>
      <x:c r="M935" t="str">
        <x:v>Gebucht</x:v>
      </x:c>
      <x:c r="N935" t="str">
        <x:v>ISSUER</x:v>
      </x:c>
      <x:c r="O935" t="str">
        <x:v>MASYMAST40.MORAIRA.SALO/PORTET.DE.MOR</x:v>
      </x:c>
      <x:c r="P935" t="str">
        <x:v>VISA Debitkartenumsatz vom 17.07.2025</x:v>
      </x:c>
      <x:c r="Q935" t="str">
        <x:v>Ausgang</x:v>
      </x:c>
      <x:c r="R935" t="str">
        <x:v>DE96120300009005290904</x:v>
      </x:c>
      <x:c r="S935" t="n">
        <x:v>-15.04</x:v>
      </x:c>
      <x:c r="T935" t="str">
        <x:v>"</x:v>
      </x:c>
      <x:c r="U935" t="str">
        <x:v>"</x:v>
      </x:c>
      <x:c r="V935" t="str">
        <x:v>485198314810021</x:v>
      </x:c>
    </x:row>
    <x:row r="936">
      <x:c r="A936" t="str">
        <x:v>RAW-IMP-20260516-FULLDRAFT-000919</x:v>
      </x:c>
      <x:c r="B936" t="str">
        <x:v>IMP-20260516-FULLDRAFT</x:v>
      </x:c>
      <x:c r="C936" t="str">
        <x:v>KTO001</x:v>
      </x:c>
      <x:c r="D936" t="str">
        <x:v>16-05-2026_Umsatzliste_Girokonto_DE98120300001061711675.csv</x:v>
      </x:c>
      <x:c r="E936" t="n">
        <x:v>46163</x:v>
      </x:c>
      <x:c r="F936" t="n">
        <x:v>919</x:v>
      </x:c>
      <x:c r="G936" t="str">
        <x:v>b870d19c24c54877d8ce7e1fe2d73d57b4559dedd1b29b7e1b0eb4ce531f8735</x:v>
      </x:c>
      <x:c r="H936" t="str">
        <x:v>neu</x:v>
      </x:c>
      <x:c r="I936" t="str">
        <x:v>ok</x:v>
      </x:c>
      <x:c r="J936"/>
      <x:c r="K936" t="n">
        <x:v>45856</x:v>
      </x:c>
      <x:c r="L936" t="n">
        <x:v>45856</x:v>
      </x:c>
      <x:c r="M936" t="str">
        <x:v>Gebucht</x:v>
      </x:c>
      <x:c r="N936" t="str">
        <x:v>ISSUER</x:v>
      </x:c>
      <x:c r="O936" t="str">
        <x:v>Heladeria.Tutto.Fruto/MORAIRA</x:v>
      </x:c>
      <x:c r="P936" t="str">
        <x:v>VISA Debitkartenumsatz vom 17.07.2025</x:v>
      </x:c>
      <x:c r="Q936" t="str">
        <x:v>Ausgang</x:v>
      </x:c>
      <x:c r="R936" t="str">
        <x:v>DE96120300009005290904</x:v>
      </x:c>
      <x:c r="S936" t="n">
        <x:v>-5.5</x:v>
      </x:c>
      <x:c r="T936" t="str">
        <x:v>"</x:v>
      </x:c>
      <x:c r="U936" t="str">
        <x:v>"</x:v>
      </x:c>
      <x:c r="V936" t="str">
        <x:v>485198745264901</x:v>
      </x:c>
    </x:row>
    <x:row r="937">
      <x:c r="A937" t="str">
        <x:v>RAW-IMP-20260516-FULLDRAFT-000920</x:v>
      </x:c>
      <x:c r="B937" t="str">
        <x:v>IMP-20260516-FULLDRAFT</x:v>
      </x:c>
      <x:c r="C937" t="str">
        <x:v>KTO001</x:v>
      </x:c>
      <x:c r="D937" t="str">
        <x:v>16-05-2026_Umsatzliste_Girokonto_DE98120300001061711675.csv</x:v>
      </x:c>
      <x:c r="E937" t="n">
        <x:v>46163</x:v>
      </x:c>
      <x:c r="F937" t="n">
        <x:v>920</x:v>
      </x:c>
      <x:c r="G937" t="str">
        <x:v>922b9e4158a7b2cac26c349fb31e0fd9d18618f308dbee12311860322fad83ad</x:v>
      </x:c>
      <x:c r="H937" t="str">
        <x:v>neu</x:v>
      </x:c>
      <x:c r="I937" t="str">
        <x:v>ok</x:v>
      </x:c>
      <x:c r="J937"/>
      <x:c r="K937" t="n">
        <x:v>45855</x:v>
      </x:c>
      <x:c r="L937" t="n">
        <x:v>45855</x:v>
      </x:c>
      <x:c r="M937" t="str">
        <x:v>Gebucht</x:v>
      </x:c>
      <x:c r="N937" t="str">
        <x:v>ISSUER</x:v>
      </x:c>
      <x:c r="O937" t="str">
        <x:v>KATHMANDU.MORAIRA/TEULADA.MORAI</x:v>
      </x:c>
      <x:c r="P937" t="str">
        <x:v>VISA Debitkartenumsatz vom 16.07.2025</x:v>
      </x:c>
      <x:c r="Q937" t="str">
        <x:v>Ausgang</x:v>
      </x:c>
      <x:c r="R937" t="str">
        <x:v>DE96120300009005290904</x:v>
      </x:c>
      <x:c r="S937" t="n">
        <x:v>-61.19</x:v>
      </x:c>
      <x:c r="T937" t="str">
        <x:v>"</x:v>
      </x:c>
      <x:c r="U937" t="str">
        <x:v>"</x:v>
      </x:c>
      <x:c r="V937" t="str">
        <x:v>485197663978843</x:v>
      </x:c>
    </x:row>
    <x:row r="938">
      <x:c r="A938" t="str">
        <x:v>RAW-IMP-20260516-FULLDRAFT-000921</x:v>
      </x:c>
      <x:c r="B938" t="str">
        <x:v>IMP-20260516-FULLDRAFT</x:v>
      </x:c>
      <x:c r="C938" t="str">
        <x:v>KTO001</x:v>
      </x:c>
      <x:c r="D938" t="str">
        <x:v>16-05-2026_Umsatzliste_Girokonto_DE98120300001061711675.csv</x:v>
      </x:c>
      <x:c r="E938" t="n">
        <x:v>46163</x:v>
      </x:c>
      <x:c r="F938" t="n">
        <x:v>921</x:v>
      </x:c>
      <x:c r="G938" t="str">
        <x:v>90d5092c090c0862845079ef49cc35528f99f40910319bd22e4a83f29a8f0081</x:v>
      </x:c>
      <x:c r="H938" t="str">
        <x:v>neu</x:v>
      </x:c>
      <x:c r="I938" t="str">
        <x:v>ok</x:v>
      </x:c>
      <x:c r="J938"/>
      <x:c r="K938" t="n">
        <x:v>45855</x:v>
      </x:c>
      <x:c r="L938" t="n">
        <x:v>45855</x:v>
      </x:c>
      <x:c r="M938" t="str">
        <x:v>Gebucht</x:v>
      </x:c>
      <x:c r="N938" t="str">
        <x:v>ISSUER</x:v>
      </x:c>
      <x:c r="O938" t="str">
        <x:v>MASYMAST40.MORAIRA.SALO/PORTET.DE.MOR</x:v>
      </x:c>
      <x:c r="P938" t="str">
        <x:v>VISA Debitkartenumsatz vom 16.07.2025</x:v>
      </x:c>
      <x:c r="Q938" t="str">
        <x:v>Ausgang</x:v>
      </x:c>
      <x:c r="R938" t="str">
        <x:v>DE96120300009005290904</x:v>
      </x:c>
      <x:c r="S938" t="n">
        <x:v>-2.15</x:v>
      </x:c>
      <x:c r="T938" t="str">
        <x:v>"</x:v>
      </x:c>
      <x:c r="U938" t="str">
        <x:v>"</x:v>
      </x:c>
      <x:c r="V938" t="str">
        <x:v>485197334111003</x:v>
      </x:c>
    </x:row>
    <x:row r="939">
      <x:c r="A939" t="str">
        <x:v>RAW-IMP-20260516-FULLDRAFT-000922</x:v>
      </x:c>
      <x:c r="B939" t="str">
        <x:v>IMP-20260516-FULLDRAFT</x:v>
      </x:c>
      <x:c r="C939" t="str">
        <x:v>KTO001</x:v>
      </x:c>
      <x:c r="D939" t="str">
        <x:v>16-05-2026_Umsatzliste_Girokonto_DE98120300001061711675.csv</x:v>
      </x:c>
      <x:c r="E939" t="n">
        <x:v>46163</x:v>
      </x:c>
      <x:c r="F939" t="n">
        <x:v>922</x:v>
      </x:c>
      <x:c r="G939" t="str">
        <x:v>bed2677515e1fc5bb942a074677f5ed75b3c8ce56faafd61746a7d8a0c1f5862</x:v>
      </x:c>
      <x:c r="H939" t="str">
        <x:v>neu</x:v>
      </x:c>
      <x:c r="I939" t="str">
        <x:v>ok</x:v>
      </x:c>
      <x:c r="J939"/>
      <x:c r="K939" t="n">
        <x:v>45854</x:v>
      </x:c>
      <x:c r="L939" t="n">
        <x:v>45854</x:v>
      </x:c>
      <x:c r="M939" t="str">
        <x:v>Gebucht</x:v>
      </x:c>
      <x:c r="N939" t="str">
        <x:v>ISSUER</x:v>
      </x:c>
      <x:c r="O939" t="str">
        <x:v>RESTAURANTE.CHAMIZO.MOR/MORIARA</x:v>
      </x:c>
      <x:c r="P939" t="str">
        <x:v>VISA Debitkartenumsatz vom 15.07.2025</x:v>
      </x:c>
      <x:c r="Q939" t="str">
        <x:v>Ausgang</x:v>
      </x:c>
      <x:c r="R939" t="str">
        <x:v>DE96120300009005290904</x:v>
      </x:c>
      <x:c r="S939" t="n">
        <x:v>-105</x:v>
      </x:c>
      <x:c r="T939" t="str">
        <x:v>"</x:v>
      </x:c>
      <x:c r="U939" t="str">
        <x:v>"</x:v>
      </x:c>
      <x:c r="V939" t="str">
        <x:v>485196692473798</x:v>
      </x:c>
    </x:row>
    <x:row r="940">
      <x:c r="A940" t="str">
        <x:v>RAW-IMP-20260516-FULLDRAFT-000923</x:v>
      </x:c>
      <x:c r="B940" t="str">
        <x:v>IMP-20260516-FULLDRAFT</x:v>
      </x:c>
      <x:c r="C940" t="str">
        <x:v>KTO001</x:v>
      </x:c>
      <x:c r="D940" t="str">
        <x:v>16-05-2026_Umsatzliste_Girokonto_DE98120300001061711675.csv</x:v>
      </x:c>
      <x:c r="E940" t="n">
        <x:v>46163</x:v>
      </x:c>
      <x:c r="F940" t="n">
        <x:v>923</x:v>
      </x:c>
      <x:c r="G940" t="str">
        <x:v>a61ccaa2bb0841d67d0667c1b438f54701a35e2c35a71de0f2a9ad75f74a12fa</x:v>
      </x:c>
      <x:c r="H940" t="str">
        <x:v>neu</x:v>
      </x:c>
      <x:c r="I940" t="str">
        <x:v>ok</x:v>
      </x:c>
      <x:c r="J940"/>
      <x:c r="K940" t="n">
        <x:v>45854</x:v>
      </x:c>
      <x:c r="L940" t="n">
        <x:v>45854</x:v>
      </x:c>
      <x:c r="M940" t="str">
        <x:v>Gebucht</x:v>
      </x:c>
      <x:c r="N940" t="str">
        <x:v>ISSUER</x:v>
      </x:c>
      <x:c r="O940" t="str">
        <x:v>AV.KARTING/TEULADA</x:v>
      </x:c>
      <x:c r="P940" t="str">
        <x:v>VISA Debitkartenumsatz vom 15.07.2025</x:v>
      </x:c>
      <x:c r="Q940" t="str">
        <x:v>Ausgang</x:v>
      </x:c>
      <x:c r="R940" t="str">
        <x:v>DE96120300009005290904</x:v>
      </x:c>
      <x:c r="S940" t="n">
        <x:v>-200</x:v>
      </x:c>
      <x:c r="T940" t="str">
        <x:v>"</x:v>
      </x:c>
      <x:c r="U940" t="str">
        <x:v>"</x:v>
      </x:c>
      <x:c r="V940" t="str">
        <x:v>485196711884441</x:v>
      </x:c>
    </x:row>
    <x:row r="941">
      <x:c r="A941" t="str">
        <x:v>RAW-IMP-20260516-FULLDRAFT-000924</x:v>
      </x:c>
      <x:c r="B941" t="str">
        <x:v>IMP-20260516-FULLDRAFT</x:v>
      </x:c>
      <x:c r="C941" t="str">
        <x:v>KTO001</x:v>
      </x:c>
      <x:c r="D941" t="str">
        <x:v>16-05-2026_Umsatzliste_Girokonto_DE98120300001061711675.csv</x:v>
      </x:c>
      <x:c r="E941" t="n">
        <x:v>46163</x:v>
      </x:c>
      <x:c r="F941" t="n">
        <x:v>924</x:v>
      </x:c>
      <x:c r="G941" t="str">
        <x:v>def5f2def16443c74277876fac1cc3cbc7239bdeaec1e3052bbcbf5dc3d2d57c</x:v>
      </x:c>
      <x:c r="H941" t="str">
        <x:v>neu</x:v>
      </x:c>
      <x:c r="I941" t="str">
        <x:v>ok</x:v>
      </x:c>
      <x:c r="J941"/>
      <x:c r="K941" t="n">
        <x:v>45854</x:v>
      </x:c>
      <x:c r="L941" t="n">
        <x:v>45854</x:v>
      </x:c>
      <x:c r="M941" t="str">
        <x:v>Gebucht</x:v>
      </x:c>
      <x:c r="N941" t="str">
        <x:v>Lars Kohlenberg</x:v>
      </x:c>
      <x:c r="O941" t="str">
        <x:v>Lars Kohlenberg</x:v>
      </x:c>
      <x:c r="P941" t="str">
        <x:v>Uebertrag</x:v>
      </x:c>
      <x:c r="Q941" t="str">
        <x:v>Eingang</x:v>
      </x:c>
      <x:c r="R941" t="str">
        <x:v>DE91270200001510365800</x:v>
      </x:c>
      <x:c r="S941" t="n">
        <x:v>800</x:v>
      </x:c>
      <x:c r="T941" t="str">
        <x:v>"</x:v>
      </x:c>
      <x:c r="U941" t="str">
        <x:v>"</x:v>
      </x:c>
      <x:c r="V941" t="str">
        <x:v>"</x:v>
      </x:c>
    </x:row>
    <x:row r="942">
      <x:c r="A942" t="str">
        <x:v>RAW-IMP-20260516-FULLDRAFT-000925</x:v>
      </x:c>
      <x:c r="B942" t="str">
        <x:v>IMP-20260516-FULLDRAFT</x:v>
      </x:c>
      <x:c r="C942" t="str">
        <x:v>KTO001</x:v>
      </x:c>
      <x:c r="D942" t="str">
        <x:v>16-05-2026_Umsatzliste_Girokonto_DE98120300001061711675.csv</x:v>
      </x:c>
      <x:c r="E942" t="n">
        <x:v>46163</x:v>
      </x:c>
      <x:c r="F942" t="n">
        <x:v>925</x:v>
      </x:c>
      <x:c r="G942" t="str">
        <x:v>cebb668ab9c2c1dfa5151b572a5856dfa91b414fd814313e68129ed0ff6268fe</x:v>
      </x:c>
      <x:c r="H942" t="str">
        <x:v>neu</x:v>
      </x:c>
      <x:c r="I942" t="str">
        <x:v>ok</x:v>
      </x:c>
      <x:c r="J942"/>
      <x:c r="K942" t="n">
        <x:v>45854</x:v>
      </x:c>
      <x:c r="L942" t="n">
        <x:v>45854</x:v>
      </x:c>
      <x:c r="M942" t="str">
        <x:v>Gebucht</x:v>
      </x:c>
      <x:c r="N942" t="str">
        <x:v>Lars Kohlenberg                                                       Johannes-Wosnitza-Str. 38229 Salzgitter</x:v>
      </x:c>
      <x:c r="O942" t="str">
        <x:v>GMX by LOTTO24                                                        StraBenbahnring 11 20251 Hamburg</x:v>
      </x:c>
      <x:c r="P942" t="str">
        <x:v>GMX by LOTTO24 C98983063 - T206514094935</x:v>
      </x:c>
      <x:c r="Q942" t="str">
        <x:v>Ausgang</x:v>
      </x:c>
      <x:c r="R942" t="str">
        <x:v>DE52100190001000027873</x:v>
      </x:c>
      <x:c r="S942" t="n">
        <x:v>-18.14</x:v>
      </x:c>
      <x:c r="T942" t="str">
        <x:v>NL48ZZZ342764500000</x:v>
      </x:c>
      <x:c r="U942" t="str">
        <x:v>R372DKN5SSBXZP52</x:v>
      </x:c>
      <x:c r="V942" t="str">
        <x:v>PRWBNQKHM9D4F5G6</x:v>
      </x:c>
    </x:row>
    <x:row r="943">
      <x:c r="A943" t="str">
        <x:v>RAW-IMP-20260516-FULLDRAFT-000926</x:v>
      </x:c>
      <x:c r="B943" t="str">
        <x:v>IMP-20260516-FULLDRAFT</x:v>
      </x:c>
      <x:c r="C943" t="str">
        <x:v>KTO001</x:v>
      </x:c>
      <x:c r="D943" t="str">
        <x:v>16-05-2026_Umsatzliste_Girokonto_DE98120300001061711675.csv</x:v>
      </x:c>
      <x:c r="E943" t="n">
        <x:v>46163</x:v>
      </x:c>
      <x:c r="F943" t="n">
        <x:v>926</x:v>
      </x:c>
      <x:c r="G943" t="str">
        <x:v>f548527a5cc8d157851e7555c116a767cf90f53aa16e27bbeaa5b1a923761679</x:v>
      </x:c>
      <x:c r="H943" t="str">
        <x:v>neu</x:v>
      </x:c>
      <x:c r="I943" t="str">
        <x:v>ok</x:v>
      </x:c>
      <x:c r="J943"/>
      <x:c r="K943" t="n">
        <x:v>45853</x:v>
      </x:c>
      <x:c r="L943" t="n">
        <x:v>45853</x:v>
      </x:c>
      <x:c r="M943" t="str">
        <x:v>Gebucht</x:v>
      </x:c>
      <x:c r="N943" t="str">
        <x:v>ISSUER</x:v>
      </x:c>
      <x:c r="O943" t="str">
        <x:v>IBERDROLA.SMART.MOBILIT/BILBAO.BILBO</x:v>
      </x:c>
      <x:c r="P943" t="str">
        <x:v>VISA Debitkartenumsatz vom 14.07.2025</x:v>
      </x:c>
      <x:c r="Q943" t="str">
        <x:v>Ausgang</x:v>
      </x:c>
      <x:c r="R943" t="str">
        <x:v>DE96120300009005290904</x:v>
      </x:c>
      <x:c r="S943" t="n">
        <x:v>-8.47</x:v>
      </x:c>
      <x:c r="T943" t="str">
        <x:v>"</x:v>
      </x:c>
      <x:c r="U943" t="str">
        <x:v>"</x:v>
      </x:c>
      <x:c r="V943" t="str">
        <x:v>485195523302968</x:v>
      </x:c>
    </x:row>
    <x:row r="944">
      <x:c r="A944" t="str">
        <x:v>RAW-IMP-20260516-FULLDRAFT-000927</x:v>
      </x:c>
      <x:c r="B944" t="str">
        <x:v>IMP-20260516-FULLDRAFT</x:v>
      </x:c>
      <x:c r="C944" t="str">
        <x:v>KTO001</x:v>
      </x:c>
      <x:c r="D944" t="str">
        <x:v>16-05-2026_Umsatzliste_Girokonto_DE98120300001061711675.csv</x:v>
      </x:c>
      <x:c r="E944" t="n">
        <x:v>46163</x:v>
      </x:c>
      <x:c r="F944" t="n">
        <x:v>927</x:v>
      </x:c>
      <x:c r="G944" t="str">
        <x:v>79f1574b0dd910f2964ea64625e66930a2dfbd576b6f0ab2f457aa12613a8784</x:v>
      </x:c>
      <x:c r="H944" t="str">
        <x:v>neu</x:v>
      </x:c>
      <x:c r="I944" t="str">
        <x:v>ok</x:v>
      </x:c>
      <x:c r="J944"/>
      <x:c r="K944" t="n">
        <x:v>45853</x:v>
      </x:c>
      <x:c r="L944" t="n">
        <x:v>45853</x:v>
      </x:c>
      <x:c r="M944" t="str">
        <x:v>Gebucht</x:v>
      </x:c>
      <x:c r="N944" t="str">
        <x:v>ISSUER</x:v>
      </x:c>
      <x:c r="O944" t="str">
        <x:v>STELIS.GREEK.RESTAURANT/MORAIRA</x:v>
      </x:c>
      <x:c r="P944" t="str">
        <x:v>VISA Debitkartenumsatz vom 14.07.2025</x:v>
      </x:c>
      <x:c r="Q944" t="str">
        <x:v>Ausgang</x:v>
      </x:c>
      <x:c r="R944" t="str">
        <x:v>DE96120300009005290904</x:v>
      </x:c>
      <x:c r="S944" t="n">
        <x:v>-100</x:v>
      </x:c>
      <x:c r="T944" t="str">
        <x:v>"</x:v>
      </x:c>
      <x:c r="U944" t="str">
        <x:v>"</x:v>
      </x:c>
      <x:c r="V944" t="str">
        <x:v>485195706655796</x:v>
      </x:c>
    </x:row>
    <x:row r="945">
      <x:c r="A945" t="str">
        <x:v>RAW-IMP-20260516-FULLDRAFT-000928</x:v>
      </x:c>
      <x:c r="B945" t="str">
        <x:v>IMP-20260516-FULLDRAFT</x:v>
      </x:c>
      <x:c r="C945" t="str">
        <x:v>KTO001</x:v>
      </x:c>
      <x:c r="D945" t="str">
        <x:v>16-05-2026_Umsatzliste_Girokonto_DE98120300001061711675.csv</x:v>
      </x:c>
      <x:c r="E945" t="n">
        <x:v>46163</x:v>
      </x:c>
      <x:c r="F945" t="n">
        <x:v>928</x:v>
      </x:c>
      <x:c r="G945" t="str">
        <x:v>6de992b42eb9b8554a8bf8c7235f3cdb17c0e178add850902d31daa7698e6c29</x:v>
      </x:c>
      <x:c r="H945" t="str">
        <x:v>neu</x:v>
      </x:c>
      <x:c r="I945" t="str">
        <x:v>ok</x:v>
      </x:c>
      <x:c r="J945"/>
      <x:c r="K945" t="n">
        <x:v>45853</x:v>
      </x:c>
      <x:c r="L945" t="n">
        <x:v>45853</x:v>
      </x:c>
      <x:c r="M945" t="str">
        <x:v>Gebucht</x:v>
      </x:c>
      <x:c r="N945" t="str">
        <x:v>ISSUER</x:v>
      </x:c>
      <x:c r="O945" t="str">
        <x:v>ZETTO/ALTEA</x:v>
      </x:c>
      <x:c r="P945" t="str">
        <x:v>VISA Debitkartenumsatz vom 14.07.2025</x:v>
      </x:c>
      <x:c r="Q945" t="str">
        <x:v>Ausgang</x:v>
      </x:c>
      <x:c r="R945" t="str">
        <x:v>DE96120300009005290904</x:v>
      </x:c>
      <x:c r="S945" t="n">
        <x:v>-35</x:v>
      </x:c>
      <x:c r="T945" t="str">
        <x:v>"</x:v>
      </x:c>
      <x:c r="U945" t="str">
        <x:v>"</x:v>
      </x:c>
      <x:c r="V945" t="str">
        <x:v>485195555290794</x:v>
      </x:c>
    </x:row>
    <x:row r="946">
      <x:c r="A946" t="str">
        <x:v>RAW-IMP-20260516-FULLDRAFT-000929</x:v>
      </x:c>
      <x:c r="B946" t="str">
        <x:v>IMP-20260516-FULLDRAFT</x:v>
      </x:c>
      <x:c r="C946" t="str">
        <x:v>KTO001</x:v>
      </x:c>
      <x:c r="D946" t="str">
        <x:v>16-05-2026_Umsatzliste_Girokonto_DE98120300001061711675.csv</x:v>
      </x:c>
      <x:c r="E946" t="n">
        <x:v>46163</x:v>
      </x:c>
      <x:c r="F946" t="n">
        <x:v>929</x:v>
      </x:c>
      <x:c r="G946" t="str">
        <x:v>4b880182842f23481c8a171adf853b1c927461c57c5acc2a5b48cf30ef6b09d8</x:v>
      </x:c>
      <x:c r="H946" t="str">
        <x:v>neu</x:v>
      </x:c>
      <x:c r="I946" t="str">
        <x:v>ok</x:v>
      </x:c>
      <x:c r="J946"/>
      <x:c r="K946" t="n">
        <x:v>45853</x:v>
      </x:c>
      <x:c r="L946" t="n">
        <x:v>45853</x:v>
      </x:c>
      <x:c r="M946" t="str">
        <x:v>Gebucht</x:v>
      </x:c>
      <x:c r="N946" t="str">
        <x:v>Lars Kohlenberg                                                       Johannes-Wosnitza-Str. 38229 Salzgitter</x:v>
      </x:c>
      <x:c r="O946" t="str">
        <x:v>GMX by LOTTO24                                                        StraBenbahnring 11 20251 Hamburg</x:v>
      </x:c>
      <x:c r="P946" t="str">
        <x:v>GMX by LOTTO24 C98983063 - T678489498672</x:v>
      </x:c>
      <x:c r="Q946" t="str">
        <x:v>Ausgang</x:v>
      </x:c>
      <x:c r="R946" t="str">
        <x:v>DE52100190001000027873</x:v>
      </x:c>
      <x:c r="S946" t="n">
        <x:v>-18.14</x:v>
      </x:c>
      <x:c r="T946" t="str">
        <x:v>NL48ZZZ342764500000</x:v>
      </x:c>
      <x:c r="U946" t="str">
        <x:v>R372DKN5SSBXZP52</x:v>
      </x:c>
      <x:c r="V946" t="str">
        <x:v>QK4PFFRS9DVXS9G3</x:v>
      </x:c>
    </x:row>
    <x:row r="947">
      <x:c r="A947" t="str">
        <x:v>RAW-IMP-20260516-FULLDRAFT-000930</x:v>
      </x:c>
      <x:c r="B947" t="str">
        <x:v>IMP-20260516-FULLDRAFT</x:v>
      </x:c>
      <x:c r="C947" t="str">
        <x:v>KTO001</x:v>
      </x:c>
      <x:c r="D947" t="str">
        <x:v>16-05-2026_Umsatzliste_Girokonto_DE98120300001061711675.csv</x:v>
      </x:c>
      <x:c r="E947" t="n">
        <x:v>46163</x:v>
      </x:c>
      <x:c r="F947" t="n">
        <x:v>930</x:v>
      </x:c>
      <x:c r="G947" t="str">
        <x:v>f6a1d7507109a63505ed40955388afeab451ba1d017e975b6a5e9734d5efbfb8</x:v>
      </x:c>
      <x:c r="H947" t="str">
        <x:v>neu</x:v>
      </x:c>
      <x:c r="I947" t="str">
        <x:v>ok</x:v>
      </x:c>
      <x:c r="J947"/>
      <x:c r="K947" t="n">
        <x:v>45852</x:v>
      </x:c>
      <x:c r="L947" t="n">
        <x:v>45852</x:v>
      </x:c>
      <x:c r="M947" t="str">
        <x:v>Gebucht</x:v>
      </x:c>
      <x:c r="N947" t="str">
        <x:v>ISSUER</x:v>
      </x:c>
      <x:c r="O947" t="str">
        <x:v>LIDL.TEULADA/TEULADA</x:v>
      </x:c>
      <x:c r="P947" t="str">
        <x:v>VISA Debitkartenumsatz vom 13.07.2025</x:v>
      </x:c>
      <x:c r="Q947" t="str">
        <x:v>Ausgang</x:v>
      </x:c>
      <x:c r="R947" t="str">
        <x:v>DE96120300009005290904</x:v>
      </x:c>
      <x:c r="S947" t="n">
        <x:v>-24.23</x:v>
      </x:c>
      <x:c r="T947" t="str">
        <x:v>"</x:v>
      </x:c>
      <x:c r="U947" t="str">
        <x:v>"</x:v>
      </x:c>
      <x:c r="V947" t="str">
        <x:v>485194630205359</x:v>
      </x:c>
    </x:row>
    <x:row r="948">
      <x:c r="A948" t="str">
        <x:v>RAW-IMP-20260516-FULLDRAFT-000931</x:v>
      </x:c>
      <x:c r="B948" t="str">
        <x:v>IMP-20260516-FULLDRAFT</x:v>
      </x:c>
      <x:c r="C948" t="str">
        <x:v>KTO001</x:v>
      </x:c>
      <x:c r="D948" t="str">
        <x:v>16-05-2026_Umsatzliste_Girokonto_DE98120300001061711675.csv</x:v>
      </x:c>
      <x:c r="E948" t="n">
        <x:v>46163</x:v>
      </x:c>
      <x:c r="F948" t="n">
        <x:v>931</x:v>
      </x:c>
      <x:c r="G948" t="str">
        <x:v>4618c0307c358b0f3b1b4b1e6103bcd7dc4dd66e7bd53d2cdc0afbc1f2d9a9a8</x:v>
      </x:c>
      <x:c r="H948" t="str">
        <x:v>neu</x:v>
      </x:c>
      <x:c r="I948" t="str">
        <x:v>ok</x:v>
      </x:c>
      <x:c r="J948"/>
      <x:c r="K948" t="n">
        <x:v>45852</x:v>
      </x:c>
      <x:c r="L948" t="n">
        <x:v>45852</x:v>
      </x:c>
      <x:c r="M948" t="str">
        <x:v>Gebucht</x:v>
      </x:c>
      <x:c r="N948" t="str">
        <x:v>ISSUER</x:v>
      </x:c>
      <x:c r="O948" t="str">
        <x:v>MERCA.CHINA/TEULADA</x:v>
      </x:c>
      <x:c r="P948" t="str">
        <x:v>VISA Debitkartenumsatz vom 13.07.2025</x:v>
      </x:c>
      <x:c r="Q948" t="str">
        <x:v>Ausgang</x:v>
      </x:c>
      <x:c r="R948" t="str">
        <x:v>DE96120300009005290904</x:v>
      </x:c>
      <x:c r="S948" t="n">
        <x:v>-2</x:v>
      </x:c>
      <x:c r="T948" t="str">
        <x:v>"</x:v>
      </x:c>
      <x:c r="U948" t="str">
        <x:v>"</x:v>
      </x:c>
      <x:c r="V948" t="str">
        <x:v>485194606725598</x:v>
      </x:c>
    </x:row>
    <x:row r="949">
      <x:c r="A949" t="str">
        <x:v>RAW-IMP-20260516-FULLDRAFT-000932</x:v>
      </x:c>
      <x:c r="B949" t="str">
        <x:v>IMP-20260516-FULLDRAFT</x:v>
      </x:c>
      <x:c r="C949" t="str">
        <x:v>KTO001</x:v>
      </x:c>
      <x:c r="D949" t="str">
        <x:v>16-05-2026_Umsatzliste_Girokonto_DE98120300001061711675.csv</x:v>
      </x:c>
      <x:c r="E949" t="n">
        <x:v>46163</x:v>
      </x:c>
      <x:c r="F949" t="n">
        <x:v>932</x:v>
      </x:c>
      <x:c r="G949" t="str">
        <x:v>b244518195d564776cf0aeb1ad6a0fcfc15145e849b27cf57f79f58a282103f0</x:v>
      </x:c>
      <x:c r="H949" t="str">
        <x:v>neu</x:v>
      </x:c>
      <x:c r="I949" t="str">
        <x:v>ok</x:v>
      </x:c>
      <x:c r="J949"/>
      <x:c r="K949" t="n">
        <x:v>45852</x:v>
      </x:c>
      <x:c r="L949" t="n">
        <x:v>45852</x:v>
      </x:c>
      <x:c r="M949" t="str">
        <x:v>Gebucht</x:v>
      </x:c>
      <x:c r="N949" t="str">
        <x:v>ISSUER</x:v>
      </x:c>
      <x:c r="O949" t="str">
        <x:v>MARKET.MORAIRA/TEULADA</x:v>
      </x:c>
      <x:c r="P949" t="str">
        <x:v>VISA Debitkartenumsatz vom 13.07.2025</x:v>
      </x:c>
      <x:c r="Q949" t="str">
        <x:v>Ausgang</x:v>
      </x:c>
      <x:c r="R949" t="str">
        <x:v>DE96120300009005290904</x:v>
      </x:c>
      <x:c r="S949" t="n">
        <x:v>-45.58</x:v>
      </x:c>
      <x:c r="T949" t="str">
        <x:v>"</x:v>
      </x:c>
      <x:c r="U949" t="str">
        <x:v>"</x:v>
      </x:c>
      <x:c r="V949" t="str">
        <x:v>485194621571207</x:v>
      </x:c>
    </x:row>
    <x:row r="950">
      <x:c r="A950" t="str">
        <x:v>RAW-IMP-20260516-FULLDRAFT-000933</x:v>
      </x:c>
      <x:c r="B950" t="str">
        <x:v>IMP-20260516-FULLDRAFT</x:v>
      </x:c>
      <x:c r="C950" t="str">
        <x:v>KTO001</x:v>
      </x:c>
      <x:c r="D950" t="str">
        <x:v>16-05-2026_Umsatzliste_Girokonto_DE98120300001061711675.csv</x:v>
      </x:c>
      <x:c r="E950" t="n">
        <x:v>46163</x:v>
      </x:c>
      <x:c r="F950" t="n">
        <x:v>933</x:v>
      </x:c>
      <x:c r="G950" t="str">
        <x:v>608f6db80fb67f37a247531d29a72372714c4bef68602023db8218eb0aa227d2</x:v>
      </x:c>
      <x:c r="H950" t="str">
        <x:v>neu</x:v>
      </x:c>
      <x:c r="I950" t="str">
        <x:v>ok</x:v>
      </x:c>
      <x:c r="J950"/>
      <x:c r="K950" t="n">
        <x:v>45852</x:v>
      </x:c>
      <x:c r="L950" t="n">
        <x:v>45852</x:v>
      </x:c>
      <x:c r="M950" t="str">
        <x:v>Gebucht</x:v>
      </x:c>
      <x:c r="N950" t="str">
        <x:v>ISSUER</x:v>
      </x:c>
      <x:c r="O950" t="str">
        <x:v>PIZZERIA.LA.TARTANA/BENISSA</x:v>
      </x:c>
      <x:c r="P950" t="str">
        <x:v>VISA Debitkartenumsatz vom 11.07.2025</x:v>
      </x:c>
      <x:c r="Q950" t="str">
        <x:v>Ausgang</x:v>
      </x:c>
      <x:c r="R950" t="str">
        <x:v>DE96120300009005290904</x:v>
      </x:c>
      <x:c r="S950" t="n">
        <x:v>-80</x:v>
      </x:c>
      <x:c r="T950" t="str">
        <x:v>"</x:v>
      </x:c>
      <x:c r="U950" t="str">
        <x:v>"</x:v>
      </x:c>
      <x:c r="V950" t="str">
        <x:v>485192684012151</x:v>
      </x:c>
    </x:row>
    <x:row r="951">
      <x:c r="A951" t="str">
        <x:v>RAW-IMP-20260516-FULLDRAFT-000934</x:v>
      </x:c>
      <x:c r="B951" t="str">
        <x:v>IMP-20260516-FULLDRAFT</x:v>
      </x:c>
      <x:c r="C951" t="str">
        <x:v>KTO001</x:v>
      </x:c>
      <x:c r="D951" t="str">
        <x:v>16-05-2026_Umsatzliste_Girokonto_DE98120300001061711675.csv</x:v>
      </x:c>
      <x:c r="E951" t="n">
        <x:v>46163</x:v>
      </x:c>
      <x:c r="F951" t="n">
        <x:v>934</x:v>
      </x:c>
      <x:c r="G951" t="str">
        <x:v>a6de45c0725e4e5c0c3c72591a6461450ef0a44a09431902b7e075fcf48e83b9</x:v>
      </x:c>
      <x:c r="H951" t="str">
        <x:v>neu</x:v>
      </x:c>
      <x:c r="I951" t="str">
        <x:v>ok</x:v>
      </x:c>
      <x:c r="J951"/>
      <x:c r="K951" t="n">
        <x:v>45852</x:v>
      </x:c>
      <x:c r="L951" t="n">
        <x:v>45852</x:v>
      </x:c>
      <x:c r="M951" t="str">
        <x:v>Gebucht</x:v>
      </x:c>
      <x:c r="N951" t="str">
        <x:v>ISSUER</x:v>
      </x:c>
      <x:c r="O951" t="str">
        <x:v>MASYMAST40.MORAIRA.SALO/PORTET.DE.MOR</x:v>
      </x:c>
      <x:c r="P951" t="str">
        <x:v>VISA Debitkartenumsatz vom 11.07.2025</x:v>
      </x:c>
      <x:c r="Q951" t="str">
        <x:v>Ausgang</x:v>
      </x:c>
      <x:c r="R951" t="str">
        <x:v>DE96120300009005290904</x:v>
      </x:c>
      <x:c r="S951" t="n">
        <x:v>-0.99</x:v>
      </x:c>
      <x:c r="T951" t="str">
        <x:v>"</x:v>
      </x:c>
      <x:c r="U951" t="str">
        <x:v>"</x:v>
      </x:c>
      <x:c r="V951" t="str">
        <x:v>485192343952957</x:v>
      </x:c>
    </x:row>
    <x:row r="952">
      <x:c r="A952" t="str">
        <x:v>RAW-IMP-20260516-FULLDRAFT-000935</x:v>
      </x:c>
      <x:c r="B952" t="str">
        <x:v>IMP-20260516-FULLDRAFT</x:v>
      </x:c>
      <x:c r="C952" t="str">
        <x:v>KTO001</x:v>
      </x:c>
      <x:c r="D952" t="str">
        <x:v>16-05-2026_Umsatzliste_Girokonto_DE98120300001061711675.csv</x:v>
      </x:c>
      <x:c r="E952" t="n">
        <x:v>46163</x:v>
      </x:c>
      <x:c r="F952" t="n">
        <x:v>935</x:v>
      </x:c>
      <x:c r="G952" t="str">
        <x:v>e70ae74380bdc6ce39764da170cfedfa557cb6aab7e63efac4ad8df702a96ea4</x:v>
      </x:c>
      <x:c r="H952" t="str">
        <x:v>neu</x:v>
      </x:c>
      <x:c r="I952" t="str">
        <x:v>ok</x:v>
      </x:c>
      <x:c r="J952"/>
      <x:c r="K952" t="n">
        <x:v>45852</x:v>
      </x:c>
      <x:c r="L952" t="n">
        <x:v>45852</x:v>
      </x:c>
      <x:c r="M952" t="str">
        <x:v>Gebucht</x:v>
      </x:c>
      <x:c r="N952" t="str">
        <x:v>ISSUER</x:v>
      </x:c>
      <x:c r="O952" t="str">
        <x:v>MASYMAST40.MORAIRA.SALO/PORTET.DE.MOR</x:v>
      </x:c>
      <x:c r="P952" t="str">
        <x:v>VISA Debitkartenumsatz vom 12.07.2025</x:v>
      </x:c>
      <x:c r="Q952" t="str">
        <x:v>Ausgang</x:v>
      </x:c>
      <x:c r="R952" t="str">
        <x:v>DE96120300009005290904</x:v>
      </x:c>
      <x:c r="S952" t="n">
        <x:v>-37.75</x:v>
      </x:c>
      <x:c r="T952" t="str">
        <x:v>"</x:v>
      </x:c>
      <x:c r="U952" t="str">
        <x:v>"</x:v>
      </x:c>
      <x:c r="V952" t="str">
        <x:v>485193319325758</x:v>
      </x:c>
    </x:row>
    <x:row r="953">
      <x:c r="A953" t="str">
        <x:v>RAW-IMP-20260516-FULLDRAFT-000936</x:v>
      </x:c>
      <x:c r="B953" t="str">
        <x:v>IMP-20260516-FULLDRAFT</x:v>
      </x:c>
      <x:c r="C953" t="str">
        <x:v>KTO001</x:v>
      </x:c>
      <x:c r="D953" t="str">
        <x:v>16-05-2026_Umsatzliste_Girokonto_DE98120300001061711675.csv</x:v>
      </x:c>
      <x:c r="E953" t="n">
        <x:v>46163</x:v>
      </x:c>
      <x:c r="F953" t="n">
        <x:v>936</x:v>
      </x:c>
      <x:c r="G953" t="str">
        <x:v>8bacfc10068d52c23d0a5958963d38ab38eda1ae6b28d7568989ec041b15d794</x:v>
      </x:c>
      <x:c r="H953" t="str">
        <x:v>neu</x:v>
      </x:c>
      <x:c r="I953" t="str">
        <x:v>ok</x:v>
      </x:c>
      <x:c r="J953"/>
      <x:c r="K953" t="n">
        <x:v>45852</x:v>
      </x:c>
      <x:c r="L953" t="n">
        <x:v>45852</x:v>
      </x:c>
      <x:c r="M953" t="str">
        <x:v>Gebucht</x:v>
      </x:c>
      <x:c r="N953" t="str">
        <x:v>ISSUER</x:v>
      </x:c>
      <x:c r="O953" t="str">
        <x:v>AMZNPrime.DE.R75O10VM4/amzn.de.info</x:v>
      </x:c>
      <x:c r="P953" t="str">
        <x:v>VISA Debitkartenumsatz vom 12.07.2025</x:v>
      </x:c>
      <x:c r="Q953" t="str">
        <x:v>Ausgang</x:v>
      </x:c>
      <x:c r="R953" t="str">
        <x:v>DE96120300009005290904</x:v>
      </x:c>
      <x:c r="S953" t="n">
        <x:v>-89.9</x:v>
      </x:c>
      <x:c r="T953" t="str">
        <x:v>"</x:v>
      </x:c>
      <x:c r="U953" t="str">
        <x:v>"</x:v>
      </x:c>
      <x:c r="V953" t="str">
        <x:v>485193719694159</x:v>
      </x:c>
    </x:row>
    <x:row r="954">
      <x:c r="A954" t="str">
        <x:v>RAW-IMP-20260516-FULLDRAFT-000937</x:v>
      </x:c>
      <x:c r="B954" t="str">
        <x:v>IMP-20260516-FULLDRAFT</x:v>
      </x:c>
      <x:c r="C954" t="str">
        <x:v>KTO001</x:v>
      </x:c>
      <x:c r="D954" t="str">
        <x:v>16-05-2026_Umsatzliste_Girokonto_DE98120300001061711675.csv</x:v>
      </x:c>
      <x:c r="E954" t="n">
        <x:v>46163</x:v>
      </x:c>
      <x:c r="F954" t="n">
        <x:v>937</x:v>
      </x:c>
      <x:c r="G954" t="str">
        <x:v>766e354e0e424f033fb275e92c3f52d9a8384ce72087e34315a29477b8611dc2</x:v>
      </x:c>
      <x:c r="H954" t="str">
        <x:v>neu</x:v>
      </x:c>
      <x:c r="I954" t="str">
        <x:v>ok</x:v>
      </x:c>
      <x:c r="J954"/>
      <x:c r="K954" t="n">
        <x:v>45849</x:v>
      </x:c>
      <x:c r="L954" t="n">
        <x:v>45849</x:v>
      </x:c>
      <x:c r="M954" t="str">
        <x:v>Gebucht</x:v>
      </x:c>
      <x:c r="N954" t="str">
        <x:v>ISSUER</x:v>
      </x:c>
      <x:c r="O954" t="str">
        <x:v>MASYMAST40.MORAIRA.SALO/PORTET.DE.MOR</x:v>
      </x:c>
      <x:c r="P954" t="str">
        <x:v>VISA Debitkartenumsatz vom 10.07.2025</x:v>
      </x:c>
      <x:c r="Q954" t="str">
        <x:v>Ausgang</x:v>
      </x:c>
      <x:c r="R954" t="str">
        <x:v>DE96120300009005290904</x:v>
      </x:c>
      <x:c r="S954" t="n">
        <x:v>-24.46</x:v>
      </x:c>
      <x:c r="T954" t="str">
        <x:v>"</x:v>
      </x:c>
      <x:c r="U954" t="str">
        <x:v>"</x:v>
      </x:c>
      <x:c r="V954" t="str">
        <x:v>485191572391924</x:v>
      </x:c>
    </x:row>
    <x:row r="955">
      <x:c r="A955" t="str">
        <x:v>RAW-IMP-20260516-FULLDRAFT-000938</x:v>
      </x:c>
      <x:c r="B955" t="str">
        <x:v>IMP-20260516-FULLDRAFT</x:v>
      </x:c>
      <x:c r="C955" t="str">
        <x:v>KTO001</x:v>
      </x:c>
      <x:c r="D955" t="str">
        <x:v>16-05-2026_Umsatzliste_Girokonto_DE98120300001061711675.csv</x:v>
      </x:c>
      <x:c r="E955" t="n">
        <x:v>46163</x:v>
      </x:c>
      <x:c r="F955" t="n">
        <x:v>938</x:v>
      </x:c>
      <x:c r="G955" t="str">
        <x:v>dcd3be5d55c3fdf5288c073dd75471585955e550e4b810991c7b1b05ef8ec6cd</x:v>
      </x:c>
      <x:c r="H955" t="str">
        <x:v>neu</x:v>
      </x:c>
      <x:c r="I955" t="str">
        <x:v>ok</x:v>
      </x:c>
      <x:c r="J955"/>
      <x:c r="K955" t="n">
        <x:v>45849</x:v>
      </x:c>
      <x:c r="L955" t="n">
        <x:v>45849</x:v>
      </x:c>
      <x:c r="M955" t="str">
        <x:v>Gebucht</x:v>
      </x:c>
      <x:c r="N955" t="str">
        <x:v>ISSUER</x:v>
      </x:c>
      <x:c r="O955" t="str">
        <x:v>Heladeria.Tutto.Fruto/MORAIRA</x:v>
      </x:c>
      <x:c r="P955" t="str">
        <x:v>VISA Debitkartenumsatz vom 10.07.2025</x:v>
      </x:c>
      <x:c r="Q955" t="str">
        <x:v>Ausgang</x:v>
      </x:c>
      <x:c r="R955" t="str">
        <x:v>DE96120300009005290904</x:v>
      </x:c>
      <x:c r="S955" t="n">
        <x:v>-8.5</x:v>
      </x:c>
      <x:c r="T955" t="str">
        <x:v>"</x:v>
      </x:c>
      <x:c r="U955" t="str">
        <x:v>"</x:v>
      </x:c>
      <x:c r="V955" t="str">
        <x:v>485191710541718</x:v>
      </x:c>
    </x:row>
    <x:row r="956">
      <x:c r="A956" t="str">
        <x:v>RAW-IMP-20260516-FULLDRAFT-000939</x:v>
      </x:c>
      <x:c r="B956" t="str">
        <x:v>IMP-20260516-FULLDRAFT</x:v>
      </x:c>
      <x:c r="C956" t="str">
        <x:v>KTO001</x:v>
      </x:c>
      <x:c r="D956" t="str">
        <x:v>16-05-2026_Umsatzliste_Girokonto_DE98120300001061711675.csv</x:v>
      </x:c>
      <x:c r="E956" t="n">
        <x:v>46163</x:v>
      </x:c>
      <x:c r="F956" t="n">
        <x:v>939</x:v>
      </x:c>
      <x:c r="G956" t="str">
        <x:v>e832c8b322d5b619a31952cb8820a015ce047b4b683816b461c6222c4ff586b3</x:v>
      </x:c>
      <x:c r="H956" t="str">
        <x:v>neu</x:v>
      </x:c>
      <x:c r="I956" t="str">
        <x:v>ok</x:v>
      </x:c>
      <x:c r="J956"/>
      <x:c r="K956" t="n">
        <x:v>45847</x:v>
      </x:c>
      <x:c r="L956" t="n">
        <x:v>45847</x:v>
      </x:c>
      <x:c r="M956" t="str">
        <x:v>Gebucht</x:v>
      </x:c>
      <x:c r="N956" t="str">
        <x:v>ISSUER</x:v>
      </x:c>
      <x:c r="O956" t="str">
        <x:v>RESTAURANTE.CHAMIZO.MOR/MORIARA</x:v>
      </x:c>
      <x:c r="P956" t="str">
        <x:v>VISA Debitkartenumsatz vom 08.07.2025</x:v>
      </x:c>
      <x:c r="Q956" t="str">
        <x:v>Ausgang</x:v>
      </x:c>
      <x:c r="R956" t="str">
        <x:v>DE96120300009005290904</x:v>
      </x:c>
      <x:c r="S956" t="n">
        <x:v>-90</x:v>
      </x:c>
      <x:c r="T956" t="str">
        <x:v>"</x:v>
      </x:c>
      <x:c r="U956" t="str">
        <x:v>"</x:v>
      </x:c>
      <x:c r="V956" t="str">
        <x:v>485189656276945</x:v>
      </x:c>
    </x:row>
    <x:row r="957">
      <x:c r="A957" t="str">
        <x:v>RAW-IMP-20260516-FULLDRAFT-000940</x:v>
      </x:c>
      <x:c r="B957" t="str">
        <x:v>IMP-20260516-FULLDRAFT</x:v>
      </x:c>
      <x:c r="C957" t="str">
        <x:v>KTO001</x:v>
      </x:c>
      <x:c r="D957" t="str">
        <x:v>16-05-2026_Umsatzliste_Girokonto_DE98120300001061711675.csv</x:v>
      </x:c>
      <x:c r="E957" t="n">
        <x:v>46163</x:v>
      </x:c>
      <x:c r="F957" t="n">
        <x:v>940</x:v>
      </x:c>
      <x:c r="G957" t="str">
        <x:v>1bfec84da3be95f40f3936d1831809606de2bbeac5b7dd695b4199fd67dc905c</x:v>
      </x:c>
      <x:c r="H957" t="str">
        <x:v>neu</x:v>
      </x:c>
      <x:c r="I957" t="str">
        <x:v>ok</x:v>
      </x:c>
      <x:c r="J957"/>
      <x:c r="K957" t="n">
        <x:v>45847</x:v>
      </x:c>
      <x:c r="L957" t="n">
        <x:v>45847</x:v>
      </x:c>
      <x:c r="M957" t="str">
        <x:v>Gebucht</x:v>
      </x:c>
      <x:c r="N957" t="str">
        <x:v>ISSUER</x:v>
      </x:c>
      <x:c r="O957" t="str">
        <x:v>MERCADONA.BENITATXELL/BENITACHELL</x:v>
      </x:c>
      <x:c r="P957" t="str">
        <x:v>VISA Debitkartenumsatz vom 08.07.2025</x:v>
      </x:c>
      <x:c r="Q957" t="str">
        <x:v>Ausgang</x:v>
      </x:c>
      <x:c r="R957" t="str">
        <x:v>DE96120300009005290904</x:v>
      </x:c>
      <x:c r="S957" t="n">
        <x:v>-28.43</x:v>
      </x:c>
      <x:c r="T957" t="str">
        <x:v>"</x:v>
      </x:c>
      <x:c r="U957" t="str">
        <x:v>"</x:v>
      </x:c>
      <x:c r="V957" t="str">
        <x:v>485189494553906</x:v>
      </x:c>
    </x:row>
    <x:row r="958">
      <x:c r="A958" t="str">
        <x:v>RAW-IMP-20260516-FULLDRAFT-000941</x:v>
      </x:c>
      <x:c r="B958" t="str">
        <x:v>IMP-20260516-FULLDRAFT</x:v>
      </x:c>
      <x:c r="C958" t="str">
        <x:v>KTO001</x:v>
      </x:c>
      <x:c r="D958" t="str">
        <x:v>16-05-2026_Umsatzliste_Girokonto_DE98120300001061711675.csv</x:v>
      </x:c>
      <x:c r="E958" t="n">
        <x:v>46163</x:v>
      </x:c>
      <x:c r="F958" t="n">
        <x:v>941</x:v>
      </x:c>
      <x:c r="G958" t="str">
        <x:v>2c04a3ea9d0595a92ccf6d7f33b3533d4a9362bc080d47254ba8999d87e191bb</x:v>
      </x:c>
      <x:c r="H958" t="str">
        <x:v>neu</x:v>
      </x:c>
      <x:c r="I958" t="str">
        <x:v>ok</x:v>
      </x:c>
      <x:c r="J958"/>
      <x:c r="K958" t="n">
        <x:v>45847</x:v>
      </x:c>
      <x:c r="L958" t="n">
        <x:v>45847</x:v>
      </x:c>
      <x:c r="M958" t="str">
        <x:v>Gebucht</x:v>
      </x:c>
      <x:c r="N958" t="str">
        <x:v>ISSUER</x:v>
      </x:c>
      <x:c r="O958" t="str">
        <x:v>LIDL.TEULADA/TEULADA</x:v>
      </x:c>
      <x:c r="P958" t="str">
        <x:v>VISA Debitkartenumsatz vom 08.07.2025</x:v>
      </x:c>
      <x:c r="Q958" t="str">
        <x:v>Ausgang</x:v>
      </x:c>
      <x:c r="R958" t="str">
        <x:v>DE96120300009005290904</x:v>
      </x:c>
      <x:c r="S958" t="n">
        <x:v>-20.35</x:v>
      </x:c>
      <x:c r="T958" t="str">
        <x:v>"</x:v>
      </x:c>
      <x:c r="U958" t="str">
        <x:v>"</x:v>
      </x:c>
      <x:c r="V958" t="str">
        <x:v>485189470558792</x:v>
      </x:c>
    </x:row>
    <x:row r="959">
      <x:c r="A959" t="str">
        <x:v>RAW-IMP-20260516-FULLDRAFT-000942</x:v>
      </x:c>
      <x:c r="B959" t="str">
        <x:v>IMP-20260516-FULLDRAFT</x:v>
      </x:c>
      <x:c r="C959" t="str">
        <x:v>KTO001</x:v>
      </x:c>
      <x:c r="D959" t="str">
        <x:v>16-05-2026_Umsatzliste_Girokonto_DE98120300001061711675.csv</x:v>
      </x:c>
      <x:c r="E959" t="n">
        <x:v>46163</x:v>
      </x:c>
      <x:c r="F959" t="n">
        <x:v>942</x:v>
      </x:c>
      <x:c r="G959" t="str">
        <x:v>e24bf66f729f614e349f8352145be183b15e458f27f7ddaffb425d5b086b402c</x:v>
      </x:c>
      <x:c r="H959" t="str">
        <x:v>neu</x:v>
      </x:c>
      <x:c r="I959" t="str">
        <x:v>ok</x:v>
      </x:c>
      <x:c r="J959"/>
      <x:c r="K959" t="n">
        <x:v>45847</x:v>
      </x:c>
      <x:c r="L959" t="n">
        <x:v>45847</x:v>
      </x:c>
      <x:c r="M959" t="str">
        <x:v>Gebucht</x:v>
      </x:c>
      <x:c r="N959" t="str">
        <x:v>ISSUER</x:v>
      </x:c>
      <x:c r="O959" t="str">
        <x:v>MARKET.MORAIRA/TEULADA</x:v>
      </x:c>
      <x:c r="P959" t="str">
        <x:v>VISA Debitkartenumsatz vom 08.07.2025</x:v>
      </x:c>
      <x:c r="Q959" t="str">
        <x:v>Ausgang</x:v>
      </x:c>
      <x:c r="R959" t="str">
        <x:v>DE96120300009005290904</x:v>
      </x:c>
      <x:c r="S959" t="n">
        <x:v>-21.46</x:v>
      </x:c>
      <x:c r="T959" t="str">
        <x:v>"</x:v>
      </x:c>
      <x:c r="U959" t="str">
        <x:v>"</x:v>
      </x:c>
      <x:c r="V959" t="str">
        <x:v>485189481669487</x:v>
      </x:c>
    </x:row>
    <x:row r="960">
      <x:c r="A960" t="str">
        <x:v>RAW-IMP-20260516-FULLDRAFT-000943</x:v>
      </x:c>
      <x:c r="B960" t="str">
        <x:v>IMP-20260516-FULLDRAFT</x:v>
      </x:c>
      <x:c r="C960" t="str">
        <x:v>KTO001</x:v>
      </x:c>
      <x:c r="D960" t="str">
        <x:v>16-05-2026_Umsatzliste_Girokonto_DE98120300001061711675.csv</x:v>
      </x:c>
      <x:c r="E960" t="n">
        <x:v>46163</x:v>
      </x:c>
      <x:c r="F960" t="n">
        <x:v>943</x:v>
      </x:c>
      <x:c r="G960" t="str">
        <x:v>91e186c440f7c91cc57a468a072dcd86e81ea3780a64ef79133be59ddef9d217</x:v>
      </x:c>
      <x:c r="H960" t="str">
        <x:v>neu</x:v>
      </x:c>
      <x:c r="I960" t="str">
        <x:v>ok</x:v>
      </x:c>
      <x:c r="J960"/>
      <x:c r="K960" t="n">
        <x:v>45846</x:v>
      </x:c>
      <x:c r="L960" t="n">
        <x:v>45846</x:v>
      </x:c>
      <x:c r="M960" t="str">
        <x:v>Gebucht</x:v>
      </x:c>
      <x:c r="N960" t="str">
        <x:v>ISSUER</x:v>
      </x:c>
      <x:c r="O960" t="str">
        <x:v>MANDALA.PORT/BENISSA</x:v>
      </x:c>
      <x:c r="P960" t="str">
        <x:v>VISA Debitkartenumsatz vom 07.07.2025</x:v>
      </x:c>
      <x:c r="Q960" t="str">
        <x:v>Ausgang</x:v>
      </x:c>
      <x:c r="R960" t="str">
        <x:v>DE96120300009005290904</x:v>
      </x:c>
      <x:c r="S960" t="n">
        <x:v>-90</x:v>
      </x:c>
      <x:c r="T960" t="str">
        <x:v>"</x:v>
      </x:c>
      <x:c r="U960" t="str">
        <x:v>"</x:v>
      </x:c>
      <x:c r="V960" t="str">
        <x:v>485188711956626</x:v>
      </x:c>
    </x:row>
    <x:row r="961">
      <x:c r="A961" t="str">
        <x:v>RAW-IMP-20260516-FULLDRAFT-000944</x:v>
      </x:c>
      <x:c r="B961" t="str">
        <x:v>IMP-20260516-FULLDRAFT</x:v>
      </x:c>
      <x:c r="C961" t="str">
        <x:v>KTO001</x:v>
      </x:c>
      <x:c r="D961" t="str">
        <x:v>16-05-2026_Umsatzliste_Girokonto_DE98120300001061711675.csv</x:v>
      </x:c>
      <x:c r="E961" t="n">
        <x:v>46163</x:v>
      </x:c>
      <x:c r="F961" t="n">
        <x:v>944</x:v>
      </x:c>
      <x:c r="G961" t="str">
        <x:v>3fb640875967938141fe1483054b5a8224c5759837df311dd08304c936824e72</x:v>
      </x:c>
      <x:c r="H961" t="str">
        <x:v>neu</x:v>
      </x:c>
      <x:c r="I961" t="str">
        <x:v>ok</x:v>
      </x:c>
      <x:c r="J961"/>
      <x:c r="K961" t="n">
        <x:v>45845</x:v>
      </x:c>
      <x:c r="L961" t="n">
        <x:v>45845</x:v>
      </x:c>
      <x:c r="M961" t="str">
        <x:v>Gebucht</x:v>
      </x:c>
      <x:c r="N961" t="str">
        <x:v>ISSUER</x:v>
      </x:c>
      <x:c r="O961" t="str">
        <x:v>AUTOROUTE.DU.SUD/VEDENE.CEDEX</x:v>
      </x:c>
      <x:c r="P961" t="str">
        <x:v>VISA Debitkartenumsatz vom 05.07.2025</x:v>
      </x:c>
      <x:c r="Q961" t="str">
        <x:v>Ausgang</x:v>
      </x:c>
      <x:c r="R961" t="str">
        <x:v>DE96120300009005290904</x:v>
      </x:c>
      <x:c r="S961" t="n">
        <x:v>-22.3</x:v>
      </x:c>
      <x:c r="T961" t="str">
        <x:v>"</x:v>
      </x:c>
      <x:c r="U961" t="str">
        <x:v>"</x:v>
      </x:c>
      <x:c r="V961" t="str">
        <x:v>485186243927565</x:v>
      </x:c>
    </x:row>
    <x:row r="962">
      <x:c r="A962" t="str">
        <x:v>RAW-IMP-20260516-FULLDRAFT-000945</x:v>
      </x:c>
      <x:c r="B962" t="str">
        <x:v>IMP-20260516-FULLDRAFT</x:v>
      </x:c>
      <x:c r="C962" t="str">
        <x:v>KTO001</x:v>
      </x:c>
      <x:c r="D962" t="str">
        <x:v>16-05-2026_Umsatzliste_Girokonto_DE98120300001061711675.csv</x:v>
      </x:c>
      <x:c r="E962" t="n">
        <x:v>46163</x:v>
      </x:c>
      <x:c r="F962" t="n">
        <x:v>945</x:v>
      </x:c>
      <x:c r="G962" t="str">
        <x:v>e6a96467a7ca78409fdbd2d917a447f11c6fa1b23c59ac9f6f90c1151164ef41</x:v>
      </x:c>
      <x:c r="H962" t="str">
        <x:v>neu</x:v>
      </x:c>
      <x:c r="I962" t="str">
        <x:v>ok</x:v>
      </x:c>
      <x:c r="J962"/>
      <x:c r="K962" t="n">
        <x:v>45845</x:v>
      </x:c>
      <x:c r="L962" t="n">
        <x:v>45845</x:v>
      </x:c>
      <x:c r="M962" t="str">
        <x:v>Gebucht</x:v>
      </x:c>
      <x:c r="N962" t="str">
        <x:v>ISSUER</x:v>
      </x:c>
      <x:c r="O962" t="str">
        <x:v>KATHMANDU.MORAIRA/TEULADA.MORAI</x:v>
      </x:c>
      <x:c r="P962" t="str">
        <x:v>VISA Debitkartenumsatz vom 06.07.2025</x:v>
      </x:c>
      <x:c r="Q962" t="str">
        <x:v>Ausgang</x:v>
      </x:c>
      <x:c r="R962" t="str">
        <x:v>DE96120300009005290904</x:v>
      </x:c>
      <x:c r="S962" t="n">
        <x:v>-65.5</x:v>
      </x:c>
      <x:c r="T962" t="str">
        <x:v>"</x:v>
      </x:c>
      <x:c r="U962" t="str">
        <x:v>"</x:v>
      </x:c>
      <x:c r="V962" t="str">
        <x:v>485187616749175</x:v>
      </x:c>
    </x:row>
    <x:row r="963">
      <x:c r="A963" t="str">
        <x:v>RAW-IMP-20260516-FULLDRAFT-000946</x:v>
      </x:c>
      <x:c r="B963" t="str">
        <x:v>IMP-20260516-FULLDRAFT</x:v>
      </x:c>
      <x:c r="C963" t="str">
        <x:v>KTO001</x:v>
      </x:c>
      <x:c r="D963" t="str">
        <x:v>16-05-2026_Umsatzliste_Girokonto_DE98120300001061711675.csv</x:v>
      </x:c>
      <x:c r="E963" t="n">
        <x:v>46163</x:v>
      </x:c>
      <x:c r="F963" t="n">
        <x:v>946</x:v>
      </x:c>
      <x:c r="G963" t="str">
        <x:v>a280d18e56afe55aa612c55b7b36b3c3835bf6b52c28c2ef891df3ac887059fb</x:v>
      </x:c>
      <x:c r="H963" t="str">
        <x:v>neu</x:v>
      </x:c>
      <x:c r="I963" t="str">
        <x:v>ok</x:v>
      </x:c>
      <x:c r="J963"/>
      <x:c r="K963" t="n">
        <x:v>45845</x:v>
      </x:c>
      <x:c r="L963" t="n">
        <x:v>45845</x:v>
      </x:c>
      <x:c r="M963" t="str">
        <x:v>Gebucht</x:v>
      </x:c>
      <x:c r="N963" t="str">
        <x:v>ISSUER</x:v>
      </x:c>
      <x:c r="O963" t="str">
        <x:v>MARKET.MORAIRA/TEULADA</x:v>
      </x:c>
      <x:c r="P963" t="str">
        <x:v>VISA Debitkartenumsatz vom 06.07.2025</x:v>
      </x:c>
      <x:c r="Q963" t="str">
        <x:v>Ausgang</x:v>
      </x:c>
      <x:c r="R963" t="str">
        <x:v>DE96120300009005290904</x:v>
      </x:c>
      <x:c r="S963" t="n">
        <x:v>-30.78</x:v>
      </x:c>
      <x:c r="T963" t="str">
        <x:v>"</x:v>
      </x:c>
      <x:c r="U963" t="str">
        <x:v>"</x:v>
      </x:c>
      <x:c r="V963" t="str">
        <x:v>485187538102570</x:v>
      </x:c>
    </x:row>
    <x:row r="964">
      <x:c r="A964" t="str">
        <x:v>RAW-IMP-20260516-FULLDRAFT-000947</x:v>
      </x:c>
      <x:c r="B964" t="str">
        <x:v>IMP-20260516-FULLDRAFT</x:v>
      </x:c>
      <x:c r="C964" t="str">
        <x:v>KTO001</x:v>
      </x:c>
      <x:c r="D964" t="str">
        <x:v>16-05-2026_Umsatzliste_Girokonto_DE98120300001061711675.csv</x:v>
      </x:c>
      <x:c r="E964" t="n">
        <x:v>46163</x:v>
      </x:c>
      <x:c r="F964" t="n">
        <x:v>947</x:v>
      </x:c>
      <x:c r="G964" t="str">
        <x:v>ca55b42c2c46d61328c549087cad8c553fe3cfadeef15e3ab711a74213ff81fa</x:v>
      </x:c>
      <x:c r="H964" t="str">
        <x:v>neu</x:v>
      </x:c>
      <x:c r="I964" t="str">
        <x:v>ok</x:v>
      </x:c>
      <x:c r="J964"/>
      <x:c r="K964" t="n">
        <x:v>45845</x:v>
      </x:c>
      <x:c r="L964" t="n">
        <x:v>45845</x:v>
      </x:c>
      <x:c r="M964" t="str">
        <x:v>Gebucht</x:v>
      </x:c>
      <x:c r="N964" t="str">
        <x:v>ISSUER</x:v>
      </x:c>
      <x:c r="O964" t="str">
        <x:v>POWERDOT.EV.CHARGING/MADRID</x:v>
      </x:c>
      <x:c r="P964" t="str">
        <x:v>VISA Debitkartenumsatz vom 05.07.2025</x:v>
      </x:c>
      <x:c r="Q964" t="str">
        <x:v>Ausgang</x:v>
      </x:c>
      <x:c r="R964" t="str">
        <x:v>DE96120300009005290904</x:v>
      </x:c>
      <x:c r="S964" t="n">
        <x:v>-37</x:v>
      </x:c>
      <x:c r="T964" t="str">
        <x:v>"</x:v>
      </x:c>
      <x:c r="U964" t="str">
        <x:v>"</x:v>
      </x:c>
      <x:c r="V964" t="str">
        <x:v>485186619515937</x:v>
      </x:c>
    </x:row>
    <x:row r="965">
      <x:c r="A965" t="str">
        <x:v>RAW-IMP-20260516-FULLDRAFT-000948</x:v>
      </x:c>
      <x:c r="B965" t="str">
        <x:v>IMP-20260516-FULLDRAFT</x:v>
      </x:c>
      <x:c r="C965" t="str">
        <x:v>KTO001</x:v>
      </x:c>
      <x:c r="D965" t="str">
        <x:v>16-05-2026_Umsatzliste_Girokonto_DE98120300001061711675.csv</x:v>
      </x:c>
      <x:c r="E965" t="n">
        <x:v>46163</x:v>
      </x:c>
      <x:c r="F965" t="n">
        <x:v>948</x:v>
      </x:c>
      <x:c r="G965" t="str">
        <x:v>5e30715c7ec6a074d7b8aeb61794a27afdc337c2fb732df7f75619a89a584ae2</x:v>
      </x:c>
      <x:c r="H965" t="str">
        <x:v>neu</x:v>
      </x:c>
      <x:c r="I965" t="str">
        <x:v>ok</x:v>
      </x:c>
      <x:c r="J965"/>
      <x:c r="K965" t="n">
        <x:v>45845</x:v>
      </x:c>
      <x:c r="L965" t="n">
        <x:v>45845</x:v>
      </x:c>
      <x:c r="M965" t="str">
        <x:v>Gebucht</x:v>
      </x:c>
      <x:c r="N965" t="str">
        <x:v>ISSUER</x:v>
      </x:c>
      <x:c r="O965" t="str">
        <x:v>AMORINO.........2415482/MONTPELLIER</x:v>
      </x:c>
      <x:c r="P965" t="str">
        <x:v>VISA Debitkartenumsatz vom 04.07.2025</x:v>
      </x:c>
      <x:c r="Q965" t="str">
        <x:v>Ausgang</x:v>
      </x:c>
      <x:c r="R965" t="str">
        <x:v>DE96120300009005290904</x:v>
      </x:c>
      <x:c r="S965" t="n">
        <x:v>-19.6</x:v>
      </x:c>
      <x:c r="T965" t="str">
        <x:v>"</x:v>
      </x:c>
      <x:c r="U965" t="str">
        <x:v>"</x:v>
      </x:c>
      <x:c r="V965" t="str">
        <x:v>485185647333427</x:v>
      </x:c>
    </x:row>
    <x:row r="966">
      <x:c r="A966" t="str">
        <x:v>RAW-IMP-20260516-FULLDRAFT-000949</x:v>
      </x:c>
      <x:c r="B966" t="str">
        <x:v>IMP-20260516-FULLDRAFT</x:v>
      </x:c>
      <x:c r="C966" t="str">
        <x:v>KTO001</x:v>
      </x:c>
      <x:c r="D966" t="str">
        <x:v>16-05-2026_Umsatzliste_Girokonto_DE98120300001061711675.csv</x:v>
      </x:c>
      <x:c r="E966" t="n">
        <x:v>46163</x:v>
      </x:c>
      <x:c r="F966" t="n">
        <x:v>949</x:v>
      </x:c>
      <x:c r="G966" t="str">
        <x:v>bc7142ebbec40f9363e69bdf428a787887ce302e9d6fdbaf420e006f3139af2f</x:v>
      </x:c>
      <x:c r="H966" t="str">
        <x:v>neu</x:v>
      </x:c>
      <x:c r="I966" t="str">
        <x:v>ok</x:v>
      </x:c>
      <x:c r="J966"/>
      <x:c r="K966" t="n">
        <x:v>45845</x:v>
      </x:c>
      <x:c r="L966" t="n">
        <x:v>45845</x:v>
      </x:c>
      <x:c r="M966" t="str">
        <x:v>Gebucht</x:v>
      </x:c>
      <x:c r="N966" t="str">
        <x:v>ISSUER</x:v>
      </x:c>
      <x:c r="O966" t="str">
        <x:v>IONITY.GmbH/Madrid</x:v>
      </x:c>
      <x:c r="P966" t="str">
        <x:v>VISA Debitkartenumsatz vom 05.07.2025</x:v>
      </x:c>
      <x:c r="Q966" t="str">
        <x:v>Ausgang</x:v>
      </x:c>
      <x:c r="R966" t="str">
        <x:v>DE96120300009005290904</x:v>
      </x:c>
      <x:c r="S966" t="n">
        <x:v>-17.08</x:v>
      </x:c>
      <x:c r="T966" t="str">
        <x:v>"</x:v>
      </x:c>
      <x:c r="U966" t="str">
        <x:v>"</x:v>
      </x:c>
      <x:c r="V966" t="str">
        <x:v>485186348495494</x:v>
      </x:c>
    </x:row>
    <x:row r="967">
      <x:c r="A967" t="str">
        <x:v>RAW-IMP-20260516-FULLDRAFT-000950</x:v>
      </x:c>
      <x:c r="B967" t="str">
        <x:v>IMP-20260516-FULLDRAFT</x:v>
      </x:c>
      <x:c r="C967" t="str">
        <x:v>KTO001</x:v>
      </x:c>
      <x:c r="D967" t="str">
        <x:v>16-05-2026_Umsatzliste_Girokonto_DE98120300001061711675.csv</x:v>
      </x:c>
      <x:c r="E967" t="n">
        <x:v>46163</x:v>
      </x:c>
      <x:c r="F967" t="n">
        <x:v>950</x:v>
      </x:c>
      <x:c r="G967" t="str">
        <x:v>93384b1c1d9d34c29707030f92a8e07d11ba7590a8d79ad4f3b88f883a1530be</x:v>
      </x:c>
      <x:c r="H967" t="str">
        <x:v>neu</x:v>
      </x:c>
      <x:c r="I967" t="str">
        <x:v>ok</x:v>
      </x:c>
      <x:c r="J967"/>
      <x:c r="K967" t="n">
        <x:v>45845</x:v>
      </x:c>
      <x:c r="L967" t="n">
        <x:v>45845</x:v>
      </x:c>
      <x:c r="M967" t="str">
        <x:v>Gebucht</x:v>
      </x:c>
      <x:c r="N967" t="str">
        <x:v>ISSUER</x:v>
      </x:c>
      <x:c r="O967" t="str">
        <x:v>POWERDOT.EV.CHARGING/MADRID</x:v>
      </x:c>
      <x:c r="P967" t="str">
        <x:v>VISA Debitkartenumsatz vom 05.07.2025</x:v>
      </x:c>
      <x:c r="Q967" t="str">
        <x:v>Ausgang</x:v>
      </x:c>
      <x:c r="R967" t="str">
        <x:v>DE96120300009005290904</x:v>
      </x:c>
      <x:c r="S967" t="n">
        <x:v>-4.57</x:v>
      </x:c>
      <x:c r="T967" t="str">
        <x:v>"</x:v>
      </x:c>
      <x:c r="U967" t="str">
        <x:v>"</x:v>
      </x:c>
      <x:c r="V967" t="str">
        <x:v>485186458043856</x:v>
      </x:c>
    </x:row>
    <x:row r="968">
      <x:c r="A968" t="str">
        <x:v>RAW-IMP-20260516-FULLDRAFT-000951</x:v>
      </x:c>
      <x:c r="B968" t="str">
        <x:v>IMP-20260516-FULLDRAFT</x:v>
      </x:c>
      <x:c r="C968" t="str">
        <x:v>KTO001</x:v>
      </x:c>
      <x:c r="D968" t="str">
        <x:v>16-05-2026_Umsatzliste_Girokonto_DE98120300001061711675.csv</x:v>
      </x:c>
      <x:c r="E968" t="n">
        <x:v>46163</x:v>
      </x:c>
      <x:c r="F968" t="n">
        <x:v>951</x:v>
      </x:c>
      <x:c r="G968" t="str">
        <x:v>896d863d35c5df09114b90d1683437cf4de0150e153b87c35ae207a6ca2854b1</x:v>
      </x:c>
      <x:c r="H968" t="str">
        <x:v>neu</x:v>
      </x:c>
      <x:c r="I968" t="str">
        <x:v>ok</x:v>
      </x:c>
      <x:c r="J968"/>
      <x:c r="K968" t="n">
        <x:v>45845</x:v>
      </x:c>
      <x:c r="L968" t="n">
        <x:v>45845</x:v>
      </x:c>
      <x:c r="M968" t="str">
        <x:v>Gebucht</x:v>
      </x:c>
      <x:c r="N968" t="str">
        <x:v>ISSUER</x:v>
      </x:c>
      <x:c r="O968" t="str">
        <x:v>IONITY.GmbH/Madrid</x:v>
      </x:c>
      <x:c r="P968" t="str">
        <x:v>VISA Debitkartenumsatz vom 05.07.2025</x:v>
      </x:c>
      <x:c r="Q968" t="str">
        <x:v>Ausgang</x:v>
      </x:c>
      <x:c r="R968" t="str">
        <x:v>DE96120300009005290904</x:v>
      </x:c>
      <x:c r="S968" t="n">
        <x:v>-4.42</x:v>
      </x:c>
      <x:c r="T968" t="str">
        <x:v>"</x:v>
      </x:c>
      <x:c r="U968" t="str">
        <x:v>"</x:v>
      </x:c>
      <x:c r="V968" t="str">
        <x:v>485186272442052</x:v>
      </x:c>
    </x:row>
    <x:row r="969">
      <x:c r="A969" t="str">
        <x:v>RAW-IMP-20260516-FULLDRAFT-000952</x:v>
      </x:c>
      <x:c r="B969" t="str">
        <x:v>IMP-20260516-FULLDRAFT</x:v>
      </x:c>
      <x:c r="C969" t="str">
        <x:v>KTO001</x:v>
      </x:c>
      <x:c r="D969" t="str">
        <x:v>16-05-2026_Umsatzliste_Girokonto_DE98120300001061711675.csv</x:v>
      </x:c>
      <x:c r="E969" t="n">
        <x:v>46163</x:v>
      </x:c>
      <x:c r="F969" t="n">
        <x:v>952</x:v>
      </x:c>
      <x:c r="G969" t="str">
        <x:v>16a9bcc4b16de3382a3e65a520968e18d1d36accbc0bdfb83721646a0895d8aa</x:v>
      </x:c>
      <x:c r="H969" t="str">
        <x:v>neu</x:v>
      </x:c>
      <x:c r="I969" t="str">
        <x:v>ok</x:v>
      </x:c>
      <x:c r="J969"/>
      <x:c r="K969" t="n">
        <x:v>45845</x:v>
      </x:c>
      <x:c r="L969" t="n">
        <x:v>45845</x:v>
      </x:c>
      <x:c r="M969" t="str">
        <x:v>Gebucht</x:v>
      </x:c>
      <x:c r="N969" t="str">
        <x:v>ISSUER</x:v>
      </x:c>
      <x:c r="O969" t="str">
        <x:v>IONITY.GmbH/Paris</x:v>
      </x:c>
      <x:c r="P969" t="str">
        <x:v>VISA Debitkartenumsatz vom 04.07.2025</x:v>
      </x:c>
      <x:c r="Q969" t="str">
        <x:v>Ausgang</x:v>
      </x:c>
      <x:c r="R969" t="str">
        <x:v>DE96120300009005290904</x:v>
      </x:c>
      <x:c r="S969" t="n">
        <x:v>-8.76</x:v>
      </x:c>
      <x:c r="T969" t="str">
        <x:v>"</x:v>
      </x:c>
      <x:c r="U969" t="str">
        <x:v>"</x:v>
      </x:c>
      <x:c r="V969" t="str">
        <x:v>485185303617572</x:v>
      </x:c>
    </x:row>
    <x:row r="970">
      <x:c r="A970" t="str">
        <x:v>RAW-IMP-20260516-FULLDRAFT-000953</x:v>
      </x:c>
      <x:c r="B970" t="str">
        <x:v>IMP-20260516-FULLDRAFT</x:v>
      </x:c>
      <x:c r="C970" t="str">
        <x:v>KTO001</x:v>
      </x:c>
      <x:c r="D970" t="str">
        <x:v>16-05-2026_Umsatzliste_Girokonto_DE98120300001061711675.csv</x:v>
      </x:c>
      <x:c r="E970" t="n">
        <x:v>46163</x:v>
      </x:c>
      <x:c r="F970" t="n">
        <x:v>953</x:v>
      </x:c>
      <x:c r="G970" t="str">
        <x:v>7554a9cc639b5a62ef623e9ee43449c332483baf6df9ef69654ed8438404d9e4</x:v>
      </x:c>
      <x:c r="H970" t="str">
        <x:v>neu</x:v>
      </x:c>
      <x:c r="I970" t="str">
        <x:v>ok</x:v>
      </x:c>
      <x:c r="J970"/>
      <x:c r="K970" t="n">
        <x:v>45845</x:v>
      </x:c>
      <x:c r="L970" t="n">
        <x:v>45845</x:v>
      </x:c>
      <x:c r="M970" t="str">
        <x:v>Gebucht</x:v>
      </x:c>
      <x:c r="N970" t="str">
        <x:v>ISSUER</x:v>
      </x:c>
      <x:c r="O970" t="str">
        <x:v>M.TICKET.TAM/MONTPELLIER.C</x:v>
      </x:c>
      <x:c r="P970" t="str">
        <x:v>VISA Debitkartenumsatz vom 04.07.2025</x:v>
      </x:c>
      <x:c r="Q970" t="str">
        <x:v>Ausgang</x:v>
      </x:c>
      <x:c r="R970" t="str">
        <x:v>DE96120300009005290904</x:v>
      </x:c>
      <x:c r="S970" t="n">
        <x:v>-14</x:v>
      </x:c>
      <x:c r="T970" t="str">
        <x:v>"</x:v>
      </x:c>
      <x:c r="U970" t="str">
        <x:v>"</x:v>
      </x:c>
      <x:c r="V970" t="str">
        <x:v>485185550982985</x:v>
      </x:c>
    </x:row>
    <x:row r="971">
      <x:c r="A971" t="str">
        <x:v>RAW-IMP-20260516-FULLDRAFT-000954</x:v>
      </x:c>
      <x:c r="B971" t="str">
        <x:v>IMP-20260516-FULLDRAFT</x:v>
      </x:c>
      <x:c r="C971" t="str">
        <x:v>KTO001</x:v>
      </x:c>
      <x:c r="D971" t="str">
        <x:v>16-05-2026_Umsatzliste_Girokonto_DE98120300001061711675.csv</x:v>
      </x:c>
      <x:c r="E971" t="n">
        <x:v>46163</x:v>
      </x:c>
      <x:c r="F971" t="n">
        <x:v>954</x:v>
      </x:c>
      <x:c r="G971" t="str">
        <x:v>6187a536ff22b5594107bf1cceda6b455c859a6beaabb2b331eaf6f0ad9a37e5</x:v>
      </x:c>
      <x:c r="H971" t="str">
        <x:v>neu</x:v>
      </x:c>
      <x:c r="I971" t="str">
        <x:v>ok</x:v>
      </x:c>
      <x:c r="J971"/>
      <x:c r="K971" t="n">
        <x:v>45845</x:v>
      </x:c>
      <x:c r="L971" t="n">
        <x:v>45845</x:v>
      </x:c>
      <x:c r="M971" t="str">
        <x:v>Gebucht</x:v>
      </x:c>
      <x:c r="N971" t="str">
        <x:v>ISSUER</x:v>
      </x:c>
      <x:c r="O971" t="str">
        <x:v>IONITY.GmbH/Paris</x:v>
      </x:c>
      <x:c r="P971" t="str">
        <x:v>VISA Debitkartenumsatz vom 04.07.2025</x:v>
      </x:c>
      <x:c r="Q971" t="str">
        <x:v>Ausgang</x:v>
      </x:c>
      <x:c r="R971" t="str">
        <x:v>DE96120300009005290904</x:v>
      </x:c>
      <x:c r="S971" t="n">
        <x:v>-20.38</x:v>
      </x:c>
      <x:c r="T971" t="str">
        <x:v>"</x:v>
      </x:c>
      <x:c r="U971" t="str">
        <x:v>"</x:v>
      </x:c>
      <x:c r="V971" t="str">
        <x:v>485185080521697</x:v>
      </x:c>
    </x:row>
    <x:row r="972">
      <x:c r="A972" t="str">
        <x:v>RAW-IMP-20260516-FULLDRAFT-000955</x:v>
      </x:c>
      <x:c r="B972" t="str">
        <x:v>IMP-20260516-FULLDRAFT</x:v>
      </x:c>
      <x:c r="C972" t="str">
        <x:v>KTO001</x:v>
      </x:c>
      <x:c r="D972" t="str">
        <x:v>16-05-2026_Umsatzliste_Girokonto_DE98120300001061711675.csv</x:v>
      </x:c>
      <x:c r="E972" t="n">
        <x:v>46163</x:v>
      </x:c>
      <x:c r="F972" t="n">
        <x:v>955</x:v>
      </x:c>
      <x:c r="G972" t="str">
        <x:v>525c55069419ccc4efbb11afcbaaa325d7ce2beecdb370f117927fa093d28f0f</x:v>
      </x:c>
      <x:c r="H972" t="str">
        <x:v>neu</x:v>
      </x:c>
      <x:c r="I972" t="str">
        <x:v>ok</x:v>
      </x:c>
      <x:c r="J972"/>
      <x:c r="K972" t="n">
        <x:v>45845</x:v>
      </x:c>
      <x:c r="L972" t="n">
        <x:v>45845</x:v>
      </x:c>
      <x:c r="M972" t="str">
        <x:v>Gebucht</x:v>
      </x:c>
      <x:c r="N972" t="str">
        <x:v>ISSUER</x:v>
      </x:c>
      <x:c r="O972" t="str">
        <x:v>SELECTA.AREAS/ST.ALBAIN</x:v>
      </x:c>
      <x:c r="P972" t="str">
        <x:v>VISA Debitkartenumsatz vom 04.07.2025</x:v>
      </x:c>
      <x:c r="Q972" t="str">
        <x:v>Ausgang</x:v>
      </x:c>
      <x:c r="R972" t="str">
        <x:v>DE96120300009005290904</x:v>
      </x:c>
      <x:c r="S972" t="n">
        <x:v>-5.1</x:v>
      </x:c>
      <x:c r="T972" t="str">
        <x:v>"</x:v>
      </x:c>
      <x:c r="U972" t="str">
        <x:v>"</x:v>
      </x:c>
      <x:c r="V972" t="str">
        <x:v>485185196081006</x:v>
      </x:c>
    </x:row>
    <x:row r="973">
      <x:c r="A973" t="str">
        <x:v>RAW-IMP-20260516-FULLDRAFT-000956</x:v>
      </x:c>
      <x:c r="B973" t="str">
        <x:v>IMP-20260516-FULLDRAFT</x:v>
      </x:c>
      <x:c r="C973" t="str">
        <x:v>KTO001</x:v>
      </x:c>
      <x:c r="D973" t="str">
        <x:v>16-05-2026_Umsatzliste_Girokonto_DE98120300001061711675.csv</x:v>
      </x:c>
      <x:c r="E973" t="n">
        <x:v>46163</x:v>
      </x:c>
      <x:c r="F973" t="n">
        <x:v>956</x:v>
      </x:c>
      <x:c r="G973" t="str">
        <x:v>4a8a10344a489cde0db7845859027bb8c7f1bb475cd674efaccd91e521ff95a6</x:v>
      </x:c>
      <x:c r="H973" t="str">
        <x:v>neu</x:v>
      </x:c>
      <x:c r="I973" t="str">
        <x:v>ok</x:v>
      </x:c>
      <x:c r="J973"/>
      <x:c r="K973" t="n">
        <x:v>45845</x:v>
      </x:c>
      <x:c r="L973" t="n">
        <x:v>45845</x:v>
      </x:c>
      <x:c r="M973" t="str">
        <x:v>Gebucht</x:v>
      </x:c>
      <x:c r="N973" t="str">
        <x:v>ISSUER</x:v>
      </x:c>
      <x:c r="O973" t="str">
        <x:v>SARL.CKL.LE.CAF/MONTPELLIER</x:v>
      </x:c>
      <x:c r="P973" t="str">
        <x:v>VISA Debitkartenumsatz vom 04.07.2025</x:v>
      </x:c>
      <x:c r="Q973" t="str">
        <x:v>Ausgang</x:v>
      </x:c>
      <x:c r="R973" t="str">
        <x:v>DE96120300009005290904</x:v>
      </x:c>
      <x:c r="S973" t="n">
        <x:v>-105</x:v>
      </x:c>
      <x:c r="T973" t="str">
        <x:v>"</x:v>
      </x:c>
      <x:c r="U973" t="str">
        <x:v>"</x:v>
      </x:c>
      <x:c r="V973" t="str">
        <x:v>485185637781677</x:v>
      </x:c>
    </x:row>
    <x:row r="974">
      <x:c r="A974" t="str">
        <x:v>RAW-IMP-20260516-FULLDRAFT-000957</x:v>
      </x:c>
      <x:c r="B974" t="str">
        <x:v>IMP-20260516-FULLDRAFT</x:v>
      </x:c>
      <x:c r="C974" t="str">
        <x:v>KTO001</x:v>
      </x:c>
      <x:c r="D974" t="str">
        <x:v>16-05-2026_Umsatzliste_Girokonto_DE98120300001061711675.csv</x:v>
      </x:c>
      <x:c r="E974" t="n">
        <x:v>46163</x:v>
      </x:c>
      <x:c r="F974" t="n">
        <x:v>957</x:v>
      </x:c>
      <x:c r="G974" t="str">
        <x:v>715cc4610243bd699353b67beee3f055d71891fa50f3d75f32e1a06e0ba836f2</x:v>
      </x:c>
      <x:c r="H974" t="str">
        <x:v>neu</x:v>
      </x:c>
      <x:c r="I974" t="str">
        <x:v>ok</x:v>
      </x:c>
      <x:c r="J974"/>
      <x:c r="K974" t="n">
        <x:v>45845</x:v>
      </x:c>
      <x:c r="L974" t="n">
        <x:v>45845</x:v>
      </x:c>
      <x:c r="M974" t="str">
        <x:v>Gebucht</x:v>
      </x:c>
      <x:c r="N974" t="str">
        <x:v>ISSUER</x:v>
      </x:c>
      <x:c r="O974" t="str">
        <x:v>BISTROT.CHEZ.CAN/MONTPELLIER</x:v>
      </x:c>
      <x:c r="P974" t="str">
        <x:v>VISA Debitkartenumsatz vom 04.07.2025</x:v>
      </x:c>
      <x:c r="Q974" t="str">
        <x:v>Ausgang</x:v>
      </x:c>
      <x:c r="R974" t="str">
        <x:v>DE96120300009005290904</x:v>
      </x:c>
      <x:c r="S974" t="n">
        <x:v>-20.6</x:v>
      </x:c>
      <x:c r="T974" t="str">
        <x:v>"</x:v>
      </x:c>
      <x:c r="U974" t="str">
        <x:v>"</x:v>
      </x:c>
      <x:c r="V974" t="str">
        <x:v>485185594353140</x:v>
      </x:c>
    </x:row>
    <x:row r="975">
      <x:c r="A975" t="str">
        <x:v>RAW-IMP-20260516-FULLDRAFT-000958</x:v>
      </x:c>
      <x:c r="B975" t="str">
        <x:v>IMP-20260516-FULLDRAFT</x:v>
      </x:c>
      <x:c r="C975" t="str">
        <x:v>KTO001</x:v>
      </x:c>
      <x:c r="D975" t="str">
        <x:v>16-05-2026_Umsatzliste_Girokonto_DE98120300001061711675.csv</x:v>
      </x:c>
      <x:c r="E975" t="n">
        <x:v>46163</x:v>
      </x:c>
      <x:c r="F975" t="n">
        <x:v>958</x:v>
      </x:c>
      <x:c r="G975" t="str">
        <x:v>788ae89ad487c92b5ffd01874496329b6fe32363c58d0eeedd721cba3f876477</x:v>
      </x:c>
      <x:c r="H975" t="str">
        <x:v>neu</x:v>
      </x:c>
      <x:c r="I975" t="str">
        <x:v>ok</x:v>
      </x:c>
      <x:c r="J975"/>
      <x:c r="K975" t="n">
        <x:v>45845</x:v>
      </x:c>
      <x:c r="L975" t="n">
        <x:v>45845</x:v>
      </x:c>
      <x:c r="M975" t="str">
        <x:v>Gebucht</x:v>
      </x:c>
      <x:c r="N975" t="str">
        <x:v>ISSUER</x:v>
      </x:c>
      <x:c r="O975" t="str">
        <x:v>MCDONALDS.TORREDEMBARRA/TORREDEMBARRA</x:v>
      </x:c>
      <x:c r="P975" t="str">
        <x:v>VISA Debitkartenumsatz vom 05.07.2025</x:v>
      </x:c>
      <x:c r="Q975" t="str">
        <x:v>Ausgang</x:v>
      </x:c>
      <x:c r="R975" t="str">
        <x:v>DE96120300009005290904</x:v>
      </x:c>
      <x:c r="S975" t="n">
        <x:v>-22.28</x:v>
      </x:c>
      <x:c r="T975" t="str">
        <x:v>"</x:v>
      </x:c>
      <x:c r="U975" t="str">
        <x:v>"</x:v>
      </x:c>
      <x:c r="V975" t="str">
        <x:v>485186373070021</x:v>
      </x:c>
    </x:row>
    <x:row r="976">
      <x:c r="A976" t="str">
        <x:v>RAW-IMP-20260516-FULLDRAFT-000959</x:v>
      </x:c>
      <x:c r="B976" t="str">
        <x:v>IMP-20260516-FULLDRAFT</x:v>
      </x:c>
      <x:c r="C976" t="str">
        <x:v>KTO001</x:v>
      </x:c>
      <x:c r="D976" t="str">
        <x:v>16-05-2026_Umsatzliste_Girokonto_DE98120300001061711675.csv</x:v>
      </x:c>
      <x:c r="E976" t="n">
        <x:v>46163</x:v>
      </x:c>
      <x:c r="F976" t="n">
        <x:v>959</x:v>
      </x:c>
      <x:c r="G976" t="str">
        <x:v>c2ce6593763e3ea4654fd688d294d908072999c4ad52c4fada23800cacc13a41</x:v>
      </x:c>
      <x:c r="H976" t="str">
        <x:v>neu</x:v>
      </x:c>
      <x:c r="I976" t="str">
        <x:v>ok</x:v>
      </x:c>
      <x:c r="J976"/>
      <x:c r="K976" t="n">
        <x:v>45845</x:v>
      </x:c>
      <x:c r="L976" t="n">
        <x:v>45845</x:v>
      </x:c>
      <x:c r="M976" t="str">
        <x:v>Gebucht</x:v>
      </x:c>
      <x:c r="N976" t="str">
        <x:v>ISSUER</x:v>
      </x:c>
      <x:c r="O976" t="str">
        <x:v>IONITY.GmbH/Paris</x:v>
      </x:c>
      <x:c r="P976" t="str">
        <x:v>VISA Debitkartenumsatz vom 04.07.2025</x:v>
      </x:c>
      <x:c r="Q976" t="str">
        <x:v>Ausgang</x:v>
      </x:c>
      <x:c r="R976" t="str">
        <x:v>DE96120300009005290904</x:v>
      </x:c>
      <x:c r="S976" t="n">
        <x:v>-15.4</x:v>
      </x:c>
      <x:c r="T976" t="str">
        <x:v>"</x:v>
      </x:c>
      <x:c r="U976" t="str">
        <x:v>"</x:v>
      </x:c>
      <x:c r="V976" t="str">
        <x:v>485185186429629</x:v>
      </x:c>
    </x:row>
    <x:row r="977">
      <x:c r="A977" t="str">
        <x:v>RAW-IMP-20260516-FULLDRAFT-000960</x:v>
      </x:c>
      <x:c r="B977" t="str">
        <x:v>IMP-20260516-FULLDRAFT</x:v>
      </x:c>
      <x:c r="C977" t="str">
        <x:v>KTO001</x:v>
      </x:c>
      <x:c r="D977" t="str">
        <x:v>16-05-2026_Umsatzliste_Girokonto_DE98120300001061711675.csv</x:v>
      </x:c>
      <x:c r="E977" t="n">
        <x:v>46163</x:v>
      </x:c>
      <x:c r="F977" t="n">
        <x:v>960</x:v>
      </x:c>
      <x:c r="G977" t="str">
        <x:v>e2f41c4a57abf3eb49ef78cf71021837c6b78c3255dcb0d8217bca37a73300c2</x:v>
      </x:c>
      <x:c r="H977" t="str">
        <x:v>neu</x:v>
      </x:c>
      <x:c r="I977" t="str">
        <x:v>ok</x:v>
      </x:c>
      <x:c r="J977"/>
      <x:c r="K977" t="n">
        <x:v>45845</x:v>
      </x:c>
      <x:c r="L977" t="n">
        <x:v>45845</x:v>
      </x:c>
      <x:c r="M977" t="str">
        <x:v>Gebucht</x:v>
      </x:c>
      <x:c r="N977" t="str">
        <x:v>ISSUER</x:v>
      </x:c>
      <x:c r="O977" t="str">
        <x:v>POWERDOT.EV.CHARGING/PARIS</x:v>
      </x:c>
      <x:c r="P977" t="str">
        <x:v>VISA Debitkartenumsatz vom 04.07.2025</x:v>
      </x:c>
      <x:c r="Q977" t="str">
        <x:v>Ausgang</x:v>
      </x:c>
      <x:c r="R977" t="str">
        <x:v>DE96120300009005290904</x:v>
      </x:c>
      <x:c r="S977" t="n">
        <x:v>-28.56</x:v>
      </x:c>
      <x:c r="T977" t="str">
        <x:v>"</x:v>
      </x:c>
      <x:c r="U977" t="str">
        <x:v>"</x:v>
      </x:c>
      <x:c r="V977" t="str">
        <x:v>485185373280093</x:v>
      </x:c>
    </x:row>
    <x:row r="978">
      <x:c r="A978" t="str">
        <x:v>RAW-IMP-20260516-FULLDRAFT-000961</x:v>
      </x:c>
      <x:c r="B978" t="str">
        <x:v>IMP-20260516-FULLDRAFT</x:v>
      </x:c>
      <x:c r="C978" t="str">
        <x:v>KTO001</x:v>
      </x:c>
      <x:c r="D978" t="str">
        <x:v>16-05-2026_Umsatzliste_Girokonto_DE98120300001061711675.csv</x:v>
      </x:c>
      <x:c r="E978" t="n">
        <x:v>46163</x:v>
      </x:c>
      <x:c r="F978" t="n">
        <x:v>961</x:v>
      </x:c>
      <x:c r="G978" t="str">
        <x:v>0810d0d29f00465680cc5c02ded3f8a0c420ecac7a117c4f4def9ef7ae617e0f</x:v>
      </x:c>
      <x:c r="H978" t="str">
        <x:v>neu</x:v>
      </x:c>
      <x:c r="I978" t="str">
        <x:v>ok</x:v>
      </x:c>
      <x:c r="J978"/>
      <x:c r="K978" t="n">
        <x:v>45845</x:v>
      </x:c>
      <x:c r="L978" t="n">
        <x:v>45845</x:v>
      </x:c>
      <x:c r="M978" t="str">
        <x:v>Gebucht</x:v>
      </x:c>
      <x:c r="N978" t="str">
        <x:v>ISSUER</x:v>
      </x:c>
      <x:c r="O978" t="str">
        <x:v>IONITY.GmbH/Munich</x:v>
      </x:c>
      <x:c r="P978" t="str">
        <x:v>VISA Debitkartenumsatz vom 04.07.2025</x:v>
      </x:c>
      <x:c r="Q978" t="str">
        <x:v>Ausgang</x:v>
      </x:c>
      <x:c r="R978" t="str">
        <x:v>DE96120300009005290904</x:v>
      </x:c>
      <x:c r="S978" t="n">
        <x:v>-20.99</x:v>
      </x:c>
      <x:c r="T978" t="str">
        <x:v>"</x:v>
      </x:c>
      <x:c r="U978" t="str">
        <x:v>"</x:v>
      </x:c>
      <x:c r="V978" t="str">
        <x:v>485184845666563</x:v>
      </x:c>
    </x:row>
    <x:row r="979">
      <x:c r="A979" t="str">
        <x:v>RAW-IMP-20260516-FULLDRAFT-000962</x:v>
      </x:c>
      <x:c r="B979" t="str">
        <x:v>IMP-20260516-FULLDRAFT</x:v>
      </x:c>
      <x:c r="C979" t="str">
        <x:v>KTO001</x:v>
      </x:c>
      <x:c r="D979" t="str">
        <x:v>16-05-2026_Umsatzliste_Girokonto_DE98120300001061711675.csv</x:v>
      </x:c>
      <x:c r="E979" t="n">
        <x:v>46163</x:v>
      </x:c>
      <x:c r="F979" t="n">
        <x:v>962</x:v>
      </x:c>
      <x:c r="G979" t="str">
        <x:v>2b3dd6e558d794274fff8a0f6fef48a32594a7a9b7d1ea84a2e1457269dc4fbd</x:v>
      </x:c>
      <x:c r="H979" t="str">
        <x:v>neu</x:v>
      </x:c>
      <x:c r="I979" t="str">
        <x:v>ok</x:v>
      </x:c>
      <x:c r="J979"/>
      <x:c r="K979" t="n">
        <x:v>45845</x:v>
      </x:c>
      <x:c r="L979" t="n">
        <x:v>45845</x:v>
      </x:c>
      <x:c r="M979" t="str">
        <x:v>Gebucht</x:v>
      </x:c>
      <x:c r="N979" t="str">
        <x:v>ISSUER</x:v>
      </x:c>
      <x:c r="O979" t="str">
        <x:v>IONITY.GmbH/Munich</x:v>
      </x:c>
      <x:c r="P979" t="str">
        <x:v>VISA Debitkartenumsatz</x:v>
      </x:c>
      <x:c r="Q979" t="str">
        <x:v>Ausgang</x:v>
      </x:c>
      <x:c r="R979" t="str">
        <x:v>DE96120300009005290904</x:v>
      </x:c>
      <x:c r="S979" t="n">
        <x:v>-11.99</x:v>
      </x:c>
      <x:c r="T979" t="str">
        <x:v>"</x:v>
      </x:c>
      <x:c r="U979" t="str">
        <x:v>"</x:v>
      </x:c>
      <x:c r="V979" t="str">
        <x:v>485185003572151</x:v>
      </x:c>
    </x:row>
    <x:row r="980">
      <x:c r="A980" t="str">
        <x:v>RAW-IMP-20260516-FULLDRAFT-000963</x:v>
      </x:c>
      <x:c r="B980" t="str">
        <x:v>IMP-20260516-FULLDRAFT</x:v>
      </x:c>
      <x:c r="C980" t="str">
        <x:v>KTO001</x:v>
      </x:c>
      <x:c r="D980" t="str">
        <x:v>16-05-2026_Umsatzliste_Girokonto_DE98120300001061711675.csv</x:v>
      </x:c>
      <x:c r="E980" t="n">
        <x:v>46163</x:v>
      </x:c>
      <x:c r="F980" t="n">
        <x:v>963</x:v>
      </x:c>
      <x:c r="G980" t="str">
        <x:v>3c5dd3e6e42656d8c6b6bbce34e7673cfae8f49e1c35077daebc6c74a7bf1dc0</x:v>
      </x:c>
      <x:c r="H980" t="str">
        <x:v>neu</x:v>
      </x:c>
      <x:c r="I980" t="str">
        <x:v>ok</x:v>
      </x:c>
      <x:c r="J980"/>
      <x:c r="K980" t="n">
        <x:v>45845</x:v>
      </x:c>
      <x:c r="L980" t="n">
        <x:v>45845</x:v>
      </x:c>
      <x:c r="M980" t="str">
        <x:v>Gebucht</x:v>
      </x:c>
      <x:c r="N980" t="str">
        <x:v>ISSUER</x:v>
      </x:c>
      <x:c r="O980" t="str">
        <x:v>SELECTA.AREAS/ST.ALBAIN</x:v>
      </x:c>
      <x:c r="P980" t="str">
        <x:v>VISA Debitkartenumsatz vom 04.07.2025</x:v>
      </x:c>
      <x:c r="Q980" t="str">
        <x:v>Ausgang</x:v>
      </x:c>
      <x:c r="R980" t="str">
        <x:v>DE96120300009005290904</x:v>
      </x:c>
      <x:c r="S980" t="n">
        <x:v>-5.5</x:v>
      </x:c>
      <x:c r="T980" t="str">
        <x:v>"</x:v>
      </x:c>
      <x:c r="U980" t="str">
        <x:v>"</x:v>
      </x:c>
      <x:c r="V980" t="str">
        <x:v>485185193142578</x:v>
      </x:c>
    </x:row>
    <x:row r="981">
      <x:c r="A981" t="str">
        <x:v>RAW-IMP-20260516-FULLDRAFT-000964</x:v>
      </x:c>
      <x:c r="B981" t="str">
        <x:v>IMP-20260516-FULLDRAFT</x:v>
      </x:c>
      <x:c r="C981" t="str">
        <x:v>KTO001</x:v>
      </x:c>
      <x:c r="D981" t="str">
        <x:v>16-05-2026_Umsatzliste_Girokonto_DE98120300001061711675.csv</x:v>
      </x:c>
      <x:c r="E981" t="n">
        <x:v>46163</x:v>
      </x:c>
      <x:c r="F981" t="n">
        <x:v>964</x:v>
      </x:c>
      <x:c r="G981" t="str">
        <x:v>7e6664ee75d629c787669d7d8db2fdcfeec0b075f286030bd6c35d70e681177b</x:v>
      </x:c>
      <x:c r="H981" t="str">
        <x:v>neu</x:v>
      </x:c>
      <x:c r="I981" t="str">
        <x:v>ok</x:v>
      </x:c>
      <x:c r="J981"/>
      <x:c r="K981" t="n">
        <x:v>45845</x:v>
      </x:c>
      <x:c r="L981" t="n">
        <x:v>45845</x:v>
      </x:c>
      <x:c r="M981" t="str">
        <x:v>Gebucht</x:v>
      </x:c>
      <x:c r="N981" t="str">
        <x:v>ISSUER</x:v>
      </x:c>
      <x:c r="O981" t="str">
        <x:v>AUTOROUTE.DU.SUD/VEDENE.CEDEX</x:v>
      </x:c>
      <x:c r="P981" t="str">
        <x:v>VISA Debitkartenumsatz vom 04.07.2025</x:v>
      </x:c>
      <x:c r="Q981" t="str">
        <x:v>Ausgang</x:v>
      </x:c>
      <x:c r="R981" t="str">
        <x:v>DE96120300009005290904</x:v>
      </x:c>
      <x:c r="S981" t="n">
        <x:v>-32.4</x:v>
      </x:c>
      <x:c r="T981" t="str">
        <x:v>"</x:v>
      </x:c>
      <x:c r="U981" t="str">
        <x:v>"</x:v>
      </x:c>
      <x:c r="V981" t="str">
        <x:v>485185353818720</x:v>
      </x:c>
    </x:row>
    <x:row r="982">
      <x:c r="A982" t="str">
        <x:v>RAW-IMP-20260516-FULLDRAFT-000965</x:v>
      </x:c>
      <x:c r="B982" t="str">
        <x:v>IMP-20260516-FULLDRAFT</x:v>
      </x:c>
      <x:c r="C982" t="str">
        <x:v>KTO001</x:v>
      </x:c>
      <x:c r="D982" t="str">
        <x:v>16-05-2026_Umsatzliste_Girokonto_DE98120300001061711675.csv</x:v>
      </x:c>
      <x:c r="E982" t="n">
        <x:v>46163</x:v>
      </x:c>
      <x:c r="F982" t="n">
        <x:v>965</x:v>
      </x:c>
      <x:c r="G982" t="str">
        <x:v>9123e7443e91e6be1e170917fa384ae909662a481b8392e7dbd5d00d6cb5d379</x:v>
      </x:c>
      <x:c r="H982" t="str">
        <x:v>neu</x:v>
      </x:c>
      <x:c r="I982" t="str">
        <x:v>ok</x:v>
      </x:c>
      <x:c r="J982"/>
      <x:c r="K982" t="n">
        <x:v>45845</x:v>
      </x:c>
      <x:c r="L982" t="n">
        <x:v>45845</x:v>
      </x:c>
      <x:c r="M982" t="str">
        <x:v>Gebucht</x:v>
      </x:c>
      <x:c r="N982" t="str">
        <x:v>ISSUER</x:v>
      </x:c>
      <x:c r="O982" t="str">
        <x:v>SELECTA.AREAS/ST.ALBAIN</x:v>
      </x:c>
      <x:c r="P982" t="str">
        <x:v>VISA Debitkartenumsatz vom 04.07.2025</x:v>
      </x:c>
      <x:c r="Q982" t="str">
        <x:v>Ausgang</x:v>
      </x:c>
      <x:c r="R982" t="str">
        <x:v>DE96120300009005290904</x:v>
      </x:c>
      <x:c r="S982" t="n">
        <x:v>-5</x:v>
      </x:c>
      <x:c r="T982" t="str">
        <x:v>"</x:v>
      </x:c>
      <x:c r="U982" t="str">
        <x:v>"</x:v>
      </x:c>
      <x:c r="V982" t="str">
        <x:v>485185192157406</x:v>
      </x:c>
    </x:row>
    <x:row r="983">
      <x:c r="A983" t="str">
        <x:v>RAW-IMP-20260516-FULLDRAFT-000966</x:v>
      </x:c>
      <x:c r="B983" t="str">
        <x:v>IMP-20260516-FULLDRAFT</x:v>
      </x:c>
      <x:c r="C983" t="str">
        <x:v>KTO001</x:v>
      </x:c>
      <x:c r="D983" t="str">
        <x:v>16-05-2026_Umsatzliste_Girokonto_DE98120300001061711675.csv</x:v>
      </x:c>
      <x:c r="E983" t="n">
        <x:v>46163</x:v>
      </x:c>
      <x:c r="F983" t="n">
        <x:v>966</x:v>
      </x:c>
      <x:c r="G983" t="str">
        <x:v>e9e35dbf47a4c90d5482194ef1ac10e5c2f6ac446576a86ba32ed049199628cb</x:v>
      </x:c>
      <x:c r="H983" t="str">
        <x:v>neu</x:v>
      </x:c>
      <x:c r="I983" t="str">
        <x:v>ok</x:v>
      </x:c>
      <x:c r="J983"/>
      <x:c r="K983" t="n">
        <x:v>45845</x:v>
      </x:c>
      <x:c r="L983" t="n">
        <x:v>45845</x:v>
      </x:c>
      <x:c r="M983" t="str">
        <x:v>Gebucht</x:v>
      </x:c>
      <x:c r="N983" t="str">
        <x:v>ISSUER</x:v>
      </x:c>
      <x:c r="O983" t="str">
        <x:v>SELECTA.AREAS/ST.ALBAIN</x:v>
      </x:c>
      <x:c r="P983" t="str">
        <x:v>VISA Debitkartenumsatz vom 04.07.2025</x:v>
      </x:c>
      <x:c r="Q983" t="str">
        <x:v>Ausgang</x:v>
      </x:c>
      <x:c r="R983" t="str">
        <x:v>DE96120300009005290904</x:v>
      </x:c>
      <x:c r="S983" t="n">
        <x:v>-4.2</x:v>
      </x:c>
      <x:c r="T983" t="str">
        <x:v>"</x:v>
      </x:c>
      <x:c r="U983" t="str">
        <x:v>"</x:v>
      </x:c>
      <x:c r="V983" t="str">
        <x:v>485185193842194</x:v>
      </x:c>
    </x:row>
    <x:row r="984">
      <x:c r="A984" t="str">
        <x:v>RAW-IMP-20260516-FULLDRAFT-000967</x:v>
      </x:c>
      <x:c r="B984" t="str">
        <x:v>IMP-20260516-FULLDRAFT</x:v>
      </x:c>
      <x:c r="C984" t="str">
        <x:v>KTO001</x:v>
      </x:c>
      <x:c r="D984" t="str">
        <x:v>16-05-2026_Umsatzliste_Girokonto_DE98120300001061711675.csv</x:v>
      </x:c>
      <x:c r="E984" t="n">
        <x:v>46163</x:v>
      </x:c>
      <x:c r="F984" t="n">
        <x:v>967</x:v>
      </x:c>
      <x:c r="G984" t="str">
        <x:v>c0d2d2b70e4d9febc49337acb90c28ab7acd2b882bdf4152158b3695e84a6031</x:v>
      </x:c>
      <x:c r="H984" t="str">
        <x:v>neu</x:v>
      </x:c>
      <x:c r="I984" t="str">
        <x:v>ok</x:v>
      </x:c>
      <x:c r="J984"/>
      <x:c r="K984" t="n">
        <x:v>45845</x:v>
      </x:c>
      <x:c r="L984" t="n">
        <x:v>45845</x:v>
      </x:c>
      <x:c r="M984" t="str">
        <x:v>Gebucht</x:v>
      </x:c>
      <x:c r="N984" t="str">
        <x:v>ISSUER</x:v>
      </x:c>
      <x:c r="O984" t="str">
        <x:v>APRR/21850</x:v>
      </x:c>
      <x:c r="P984" t="str">
        <x:v>VISA Debitkartenumsatz vom 04.07.2025</x:v>
      </x:c>
      <x:c r="Q984" t="str">
        <x:v>Ausgang</x:v>
      </x:c>
      <x:c r="R984" t="str">
        <x:v>DE96120300009005290904</x:v>
      </x:c>
      <x:c r="S984" t="n">
        <x:v>-3.1</x:v>
      </x:c>
      <x:c r="T984" t="str">
        <x:v>"</x:v>
      </x:c>
      <x:c r="U984" t="str">
        <x:v>"</x:v>
      </x:c>
      <x:c r="V984" t="str">
        <x:v>485185075920461</x:v>
      </x:c>
    </x:row>
    <x:row r="985">
      <x:c r="A985" t="str">
        <x:v>RAW-IMP-20260516-FULLDRAFT-000968</x:v>
      </x:c>
      <x:c r="B985" t="str">
        <x:v>IMP-20260516-FULLDRAFT</x:v>
      </x:c>
      <x:c r="C985" t="str">
        <x:v>KTO001</x:v>
      </x:c>
      <x:c r="D985" t="str">
        <x:v>16-05-2026_Umsatzliste_Girokonto_DE98120300001061711675.csv</x:v>
      </x:c>
      <x:c r="E985" t="n">
        <x:v>46163</x:v>
      </x:c>
      <x:c r="F985" t="n">
        <x:v>968</x:v>
      </x:c>
      <x:c r="G985" t="str">
        <x:v>e4b7fb1738a2dfa49f61239dbd4d190a63495bbba62aaf5f4ac3d912bb1440a6</x:v>
      </x:c>
      <x:c r="H985" t="str">
        <x:v>neu</x:v>
      </x:c>
      <x:c r="I985" t="str">
        <x:v>ok</x:v>
      </x:c>
      <x:c r="J985"/>
      <x:c r="K985" t="n">
        <x:v>45845</x:v>
      </x:c>
      <x:c r="L985" t="n">
        <x:v>45845</x:v>
      </x:c>
      <x:c r="M985" t="str">
        <x:v>Gebucht</x:v>
      </x:c>
      <x:c r="N985" t="str">
        <x:v>ISSUER</x:v>
      </x:c>
      <x:c r="O985" t="str">
        <x:v>APRR/21850</x:v>
      </x:c>
      <x:c r="P985" t="str">
        <x:v>VISA Debitkartenumsatz vom 04.07.2025</x:v>
      </x:c>
      <x:c r="Q985" t="str">
        <x:v>Ausgang</x:v>
      </x:c>
      <x:c r="R985" t="str">
        <x:v>DE96120300009005290904</x:v>
      </x:c>
      <x:c r="S985" t="n">
        <x:v>-32.4</x:v>
      </x:c>
      <x:c r="T985" t="str">
        <x:v>"</x:v>
      </x:c>
      <x:c r="U985" t="str">
        <x:v>"</x:v>
      </x:c>
      <x:c r="V985" t="str">
        <x:v>485185219310406</x:v>
      </x:c>
    </x:row>
    <x:row r="986">
      <x:c r="A986" t="str">
        <x:v>RAW-IMP-20260516-FULLDRAFT-000969</x:v>
      </x:c>
      <x:c r="B986" t="str">
        <x:v>IMP-20260516-FULLDRAFT</x:v>
      </x:c>
      <x:c r="C986" t="str">
        <x:v>KTO001</x:v>
      </x:c>
      <x:c r="D986" t="str">
        <x:v>16-05-2026_Umsatzliste_Girokonto_DE98120300001061711675.csv</x:v>
      </x:c>
      <x:c r="E986" t="n">
        <x:v>46163</x:v>
      </x:c>
      <x:c r="F986" t="n">
        <x:v>969</x:v>
      </x:c>
      <x:c r="G986" t="str">
        <x:v>f0c92c40ed19c2364b97d42bf27f399692c0822b528fe6f199e8938026771bf4</x:v>
      </x:c>
      <x:c r="H986" t="str">
        <x:v>neu</x:v>
      </x:c>
      <x:c r="I986" t="str">
        <x:v>ok</x:v>
      </x:c>
      <x:c r="J986"/>
      <x:c r="K986" t="n">
        <x:v>45845</x:v>
      </x:c>
      <x:c r="L986" t="n">
        <x:v>45845</x:v>
      </x:c>
      <x:c r="M986" t="str">
        <x:v>Gebucht</x:v>
      </x:c>
      <x:c r="N986" t="str">
        <x:v>Lars Kohlenberg</x:v>
      </x:c>
      <x:c r="O986" t="str">
        <x:v>Iman Firat</x:v>
      </x:c>
      <x:c r="P986" t="str">
        <x:v>2230 Lea Kohlenberg</x:v>
      </x:c>
      <x:c r="Q986" t="str">
        <x:v>Ausgang</x:v>
      </x:c>
      <x:c r="R986" t="str">
        <x:v>DE67269910662694298000</x:v>
      </x:c>
      <x:c r="S986" t="n">
        <x:v>-49.9</x:v>
      </x:c>
      <x:c r="T986" t="str">
        <x:v>"</x:v>
      </x:c>
      <x:c r="U986" t="str">
        <x:v>"</x:v>
      </x:c>
      <x:c r="V986" t="str">
        <x:v>"</x:v>
      </x:c>
    </x:row>
    <x:row r="987">
      <x:c r="A987" t="str">
        <x:v>RAW-IMP-20260516-FULLDRAFT-000970</x:v>
      </x:c>
      <x:c r="B987" t="str">
        <x:v>IMP-20260516-FULLDRAFT</x:v>
      </x:c>
      <x:c r="C987" t="str">
        <x:v>KTO001</x:v>
      </x:c>
      <x:c r="D987" t="str">
        <x:v>16-05-2026_Umsatzliste_Girokonto_DE98120300001061711675.csv</x:v>
      </x:c>
      <x:c r="E987" t="n">
        <x:v>46163</x:v>
      </x:c>
      <x:c r="F987" t="n">
        <x:v>970</x:v>
      </x:c>
      <x:c r="G987" t="str">
        <x:v>27a06992b4d0c38dbf4f5095351d823251cbfc06b482dc204cda3fc434f39cf6</x:v>
      </x:c>
      <x:c r="H987" t="str">
        <x:v>neu</x:v>
      </x:c>
      <x:c r="I987" t="str">
        <x:v>ok</x:v>
      </x:c>
      <x:c r="J987"/>
      <x:c r="K987" t="n">
        <x:v>45842</x:v>
      </x:c>
      <x:c r="L987" t="n">
        <x:v>45842</x:v>
      </x:c>
      <x:c r="M987" t="str">
        <x:v>Gebucht</x:v>
      </x:c>
      <x:c r="N987" t="str">
        <x:v>Lars Kohlenberg</x:v>
      </x:c>
      <x:c r="O987" t="str">
        <x:v>Lars Kohlenberg</x:v>
      </x:c>
      <x:c r="P987" t="str">
        <x:v>Uebertrag</x:v>
      </x:c>
      <x:c r="Q987" t="str">
        <x:v>Eingang</x:v>
      </x:c>
      <x:c r="R987" t="str">
        <x:v>DE91270200001510365800</x:v>
      </x:c>
      <x:c r="S987" t="n">
        <x:v>1000</x:v>
      </x:c>
      <x:c r="T987" t="str">
        <x:v>"</x:v>
      </x:c>
      <x:c r="U987" t="str">
        <x:v>"</x:v>
      </x:c>
      <x:c r="V987" t="str">
        <x:v>"</x:v>
      </x:c>
    </x:row>
    <x:row r="988">
      <x:c r="A988" t="str">
        <x:v>RAW-IMP-20260516-FULLDRAFT-000971</x:v>
      </x:c>
      <x:c r="B988" t="str">
        <x:v>IMP-20260516-FULLDRAFT</x:v>
      </x:c>
      <x:c r="C988" t="str">
        <x:v>KTO001</x:v>
      </x:c>
      <x:c r="D988" t="str">
        <x:v>16-05-2026_Umsatzliste_Girokonto_DE98120300001061711675.csv</x:v>
      </x:c>
      <x:c r="E988" t="n">
        <x:v>46163</x:v>
      </x:c>
      <x:c r="F988" t="n">
        <x:v>971</x:v>
      </x:c>
      <x:c r="G988" t="str">
        <x:v>b5e123557584d13d87f74583511ebb987924b850d0a7967a99e6fac4bbe4b5ff</x:v>
      </x:c>
      <x:c r="H988" t="str">
        <x:v>neu</x:v>
      </x:c>
      <x:c r="I988" t="str">
        <x:v>ok</x:v>
      </x:c>
      <x:c r="J988"/>
      <x:c r="K988" t="n">
        <x:v>45842</x:v>
      </x:c>
      <x:c r="L988" t="n">
        <x:v>45842</x:v>
      </x:c>
      <x:c r="M988" t="str">
        <x:v>Gebucht</x:v>
      </x:c>
      <x:c r="N988" t="str">
        <x:v>ISSUER</x:v>
      </x:c>
      <x:c r="O988" t="str">
        <x:v>NORD.LB...Braunschweigi/GEBHARDSHG</x:v>
      </x:c>
      <x:c r="P988" t="str">
        <x:v>VISA Debitkartenumsatz vom 03.07.2025</x:v>
      </x:c>
      <x:c r="Q988" t="str">
        <x:v>Ausgang</x:v>
      </x:c>
      <x:c r="R988" t="str">
        <x:v>DE96120300009005290904</x:v>
      </x:c>
      <x:c r="S988" t="n">
        <x:v>-500</x:v>
      </x:c>
      <x:c r="T988" t="str">
        <x:v>"</x:v>
      </x:c>
      <x:c r="U988" t="str">
        <x:v>"</x:v>
      </x:c>
      <x:c r="V988" t="str">
        <x:v>485184513829958</x:v>
      </x:c>
    </x:row>
    <x:row r="989">
      <x:c r="A989" t="str">
        <x:v>RAW-IMP-20260516-FULLDRAFT-000972</x:v>
      </x:c>
      <x:c r="B989" t="str">
        <x:v>IMP-20260516-FULLDRAFT</x:v>
      </x:c>
      <x:c r="C989" t="str">
        <x:v>KTO001</x:v>
      </x:c>
      <x:c r="D989" t="str">
        <x:v>16-05-2026_Umsatzliste_Girokonto_DE98120300001061711675.csv</x:v>
      </x:c>
      <x:c r="E989" t="n">
        <x:v>46163</x:v>
      </x:c>
      <x:c r="F989" t="n">
        <x:v>972</x:v>
      </x:c>
      <x:c r="G989" t="str">
        <x:v>11daf31289537dc93f5efae34e87a4b5af8735ab0fe3d4bf10f1d88784beaae5</x:v>
      </x:c>
      <x:c r="H989" t="str">
        <x:v>neu</x:v>
      </x:c>
      <x:c r="I989" t="str">
        <x:v>ok</x:v>
      </x:c>
      <x:c r="J989"/>
      <x:c r="K989" t="n">
        <x:v>45842</x:v>
      </x:c>
      <x:c r="L989" t="n">
        <x:v>45842</x:v>
      </x:c>
      <x:c r="M989" t="str">
        <x:v>Gebucht</x:v>
      </x:c>
      <x:c r="N989" t="str">
        <x:v>Lars Kohlenberg                                                       Johannes-Wosnitza-Str. 8 38229 Salzgitter</x:v>
      </x:c>
      <x:c r="O989" t="str">
        <x:v>Telekom Deutschland GmbH</x:v>
      </x:c>
      <x:c r="P989" t="str">
        <x:v>Festnetz Vertragskonto 4763666565 RG 7810391053/25.06.2025</x:v>
      </x:c>
      <x:c r="Q989" t="str">
        <x:v>Ausgang</x:v>
      </x:c>
      <x:c r="R989" t="str">
        <x:v>DE07512108001095000911</x:v>
      </x:c>
      <x:c r="S989" t="n">
        <x:v>-61.93</x:v>
      </x:c>
      <x:c r="T989" t="str">
        <x:v>DE93ZZZ00000078611</x:v>
      </x:c>
      <x:c r="U989" t="str">
        <x:v>DE000201000200000000000000012966156</x:v>
      </x:c>
      <x:c r="V989" t="str">
        <x:v>Zahlbeleg 386180626903</x:v>
      </x:c>
    </x:row>
    <x:row r="990">
      <x:c r="A990" t="str">
        <x:v>RAW-IMP-20260516-FULLDRAFT-000973</x:v>
      </x:c>
      <x:c r="B990" t="str">
        <x:v>IMP-20260516-FULLDRAFT</x:v>
      </x:c>
      <x:c r="C990" t="str">
        <x:v>KTO001</x:v>
      </x:c>
      <x:c r="D990" t="str">
        <x:v>16-05-2026_Umsatzliste_Girokonto_DE98120300001061711675.csv</x:v>
      </x:c>
      <x:c r="E990" t="n">
        <x:v>46163</x:v>
      </x:c>
      <x:c r="F990" t="n">
        <x:v>973</x:v>
      </x:c>
      <x:c r="G990" t="str">
        <x:v>42ed1d395447eeacdb310f8dec51f948db40a2cca8897753a4ea242171a1c3ee</x:v>
      </x:c>
      <x:c r="H990" t="str">
        <x:v>neu</x:v>
      </x:c>
      <x:c r="I990" t="str">
        <x:v>ok</x:v>
      </x:c>
      <x:c r="J990"/>
      <x:c r="K990" t="n">
        <x:v>45841</x:v>
      </x:c>
      <x:c r="L990" t="n">
        <x:v>45841</x:v>
      </x:c>
      <x:c r="M990" t="str">
        <x:v>Gebucht</x:v>
      </x:c>
      <x:c r="N990" t="str">
        <x:v>Lars Kohlenberg</x:v>
      </x:c>
      <x:c r="O990" t="str">
        <x:v>Peggau Bernhard Spormann Steuerberatungsgesellschaft</x:v>
      </x:c>
      <x:c r="P990" t="str">
        <x:v>ReNr. 2208, Mand. Nr. 50611</x:v>
      </x:c>
      <x:c r="Q990" t="str">
        <x:v>Ausgang</x:v>
      </x:c>
      <x:c r="R990" t="str">
        <x:v>DE88269910661328409000</x:v>
      </x:c>
      <x:c r="S990" t="n">
        <x:v>-975.5</x:v>
      </x:c>
      <x:c r="T990" t="str">
        <x:v>"</x:v>
      </x:c>
      <x:c r="U990" t="str">
        <x:v>"</x:v>
      </x:c>
      <x:c r="V990" t="str">
        <x:v>"</x:v>
      </x:c>
    </x:row>
    <x:row r="991">
      <x:c r="A991" t="str">
        <x:v>RAW-IMP-20260516-FULLDRAFT-000974</x:v>
      </x:c>
      <x:c r="B991" t="str">
        <x:v>IMP-20260516-FULLDRAFT</x:v>
      </x:c>
      <x:c r="C991" t="str">
        <x:v>KTO001</x:v>
      </x:c>
      <x:c r="D991" t="str">
        <x:v>16-05-2026_Umsatzliste_Girokonto_DE98120300001061711675.csv</x:v>
      </x:c>
      <x:c r="E991" t="n">
        <x:v>46163</x:v>
      </x:c>
      <x:c r="F991" t="n">
        <x:v>974</x:v>
      </x:c>
      <x:c r="G991" t="str">
        <x:v>b7d080f51c3798675495df22d2c9ab17b394aba26fc416ab3a95391a0efba279</x:v>
      </x:c>
      <x:c r="H991" t="str">
        <x:v>neu</x:v>
      </x:c>
      <x:c r="I991" t="str">
        <x:v>ok</x:v>
      </x:c>
      <x:c r="J991"/>
      <x:c r="K991" t="n">
        <x:v>45841</x:v>
      </x:c>
      <x:c r="L991" t="n">
        <x:v>45841</x:v>
      </x:c>
      <x:c r="M991" t="str">
        <x:v>Gebucht</x:v>
      </x:c>
      <x:c r="N991" t="str">
        <x:v>Lars Kohlenberg</x:v>
      </x:c>
      <x:c r="O991" t="str">
        <x:v>Peggau Bernhard Spormann Steuerberatungsgesellschaft</x:v>
      </x:c>
      <x:c r="P991" t="str">
        <x:v>ReNr. 2207, Mand. Nr. 50611</x:v>
      </x:c>
      <x:c r="Q991" t="str">
        <x:v>Ausgang</x:v>
      </x:c>
      <x:c r="R991" t="str">
        <x:v>DE88269910661328409000</x:v>
      </x:c>
      <x:c r="S991" t="n">
        <x:v>-864.89</x:v>
      </x:c>
      <x:c r="T991" t="str">
        <x:v>"</x:v>
      </x:c>
      <x:c r="U991" t="str">
        <x:v>"</x:v>
      </x:c>
      <x:c r="V991" t="str">
        <x:v>"</x:v>
      </x:c>
    </x:row>
    <x:row r="992">
      <x:c r="A992" t="str">
        <x:v>RAW-IMP-20260516-FULLDRAFT-000975</x:v>
      </x:c>
      <x:c r="B992" t="str">
        <x:v>IMP-20260516-FULLDRAFT</x:v>
      </x:c>
      <x:c r="C992" t="str">
        <x:v>KTO001</x:v>
      </x:c>
      <x:c r="D992" t="str">
        <x:v>16-05-2026_Umsatzliste_Girokonto_DE98120300001061711675.csv</x:v>
      </x:c>
      <x:c r="E992" t="n">
        <x:v>46163</x:v>
      </x:c>
      <x:c r="F992" t="n">
        <x:v>975</x:v>
      </x:c>
      <x:c r="G992" t="str">
        <x:v>9fbf353237d3f29e1f03d36a3320e2a2ec03cfd006e9796c33a18a540276d5d8</x:v>
      </x:c>
      <x:c r="H992" t="str">
        <x:v>neu</x:v>
      </x:c>
      <x:c r="I992" t="str">
        <x:v>ok</x:v>
      </x:c>
      <x:c r="J992"/>
      <x:c r="K992" t="n">
        <x:v>45841</x:v>
      </x:c>
      <x:c r="L992" t="n">
        <x:v>45841</x:v>
      </x:c>
      <x:c r="M992" t="str">
        <x:v>Gebucht</x:v>
      </x:c>
      <x:c r="N992" t="str">
        <x:v>ISSUER</x:v>
      </x:c>
      <x:c r="O992" t="str">
        <x:v>EDEKA.POTRATZ/HILDESHEIM</x:v>
      </x:c>
      <x:c r="P992" t="str">
        <x:v>VISA Debitkartenumsatz vom 02.07.2025</x:v>
      </x:c>
      <x:c r="Q992" t="str">
        <x:v>Ausgang</x:v>
      </x:c>
      <x:c r="R992" t="str">
        <x:v>DE96120300009005290904</x:v>
      </x:c>
      <x:c r="S992" t="n">
        <x:v>-3</x:v>
      </x:c>
      <x:c r="T992" t="str">
        <x:v>"</x:v>
      </x:c>
      <x:c r="U992" t="str">
        <x:v>"</x:v>
      </x:c>
      <x:c r="V992" t="str">
        <x:v>485183366473788</x:v>
      </x:c>
    </x:row>
    <x:row r="993">
      <x:c r="A993" t="str">
        <x:v>RAW-IMP-20260516-FULLDRAFT-000976</x:v>
      </x:c>
      <x:c r="B993" t="str">
        <x:v>IMP-20260516-FULLDRAFT</x:v>
      </x:c>
      <x:c r="C993" t="str">
        <x:v>KTO001</x:v>
      </x:c>
      <x:c r="D993" t="str">
        <x:v>16-05-2026_Umsatzliste_Girokonto_DE98120300001061711675.csv</x:v>
      </x:c>
      <x:c r="E993" t="n">
        <x:v>46163</x:v>
      </x:c>
      <x:c r="F993" t="n">
        <x:v>976</x:v>
      </x:c>
      <x:c r="G993" t="str">
        <x:v>658a5c9cdea0510c98d9d370a0dbcee38b089a948d6dd341c44dc15b19e1b80e</x:v>
      </x:c>
      <x:c r="H993" t="str">
        <x:v>neu</x:v>
      </x:c>
      <x:c r="I993" t="str">
        <x:v>ok</x:v>
      </x:c>
      <x:c r="J993"/>
      <x:c r="K993" t="n">
        <x:v>45840</x:v>
      </x:c>
      <x:c r="L993" t="n">
        <x:v>45840</x:v>
      </x:c>
      <x:c r="M993" t="str">
        <x:v>Gebucht</x:v>
      </x:c>
      <x:c r="N993" t="str">
        <x:v>Caritasverband fur die Diozese Hildesheim e.V.</x:v>
      </x:c>
      <x:c r="O993" t="str">
        <x:v>Lars Kohlenberg</x:v>
      </x:c>
      <x:c r="P993" t="str">
        <x:v>Bel. v. 03.04.2025 b. 16.05.2025 Avis vom 02.07.2025</x:v>
      </x:c>
      <x:c r="Q993" t="str">
        <x:v>Eingang</x:v>
      </x:c>
      <x:c r="R993" t="str">
        <x:v>DE73400602650023003300</x:v>
      </x:c>
      <x:c r="S993" t="n">
        <x:v>245.73</x:v>
      </x:c>
      <x:c r="T993" t="str">
        <x:v>"</x:v>
      </x:c>
      <x:c r="U993" t="str">
        <x:v>"</x:v>
      </x:c>
      <x:c r="V993" t="str">
        <x:v>3</x:v>
      </x:c>
    </x:row>
    <x:row r="994">
      <x:c r="A994" t="str">
        <x:v>RAW-IMP-20260516-FULLDRAFT-000977</x:v>
      </x:c>
      <x:c r="B994" t="str">
        <x:v>IMP-20260516-FULLDRAFT</x:v>
      </x:c>
      <x:c r="C994" t="str">
        <x:v>KTO001</x:v>
      </x:c>
      <x:c r="D994" t="str">
        <x:v>16-05-2026_Umsatzliste_Girokonto_DE98120300001061711675.csv</x:v>
      </x:c>
      <x:c r="E994" t="n">
        <x:v>46163</x:v>
      </x:c>
      <x:c r="F994" t="n">
        <x:v>977</x:v>
      </x:c>
      <x:c r="G994" t="str">
        <x:v>2ef52bcd65d32404c0961cad5fbcf43509105bf521f05417e9d06f8852500342</x:v>
      </x:c>
      <x:c r="H994" t="str">
        <x:v>neu</x:v>
      </x:c>
      <x:c r="I994" t="str">
        <x:v>ok</x:v>
      </x:c>
      <x:c r="J994"/>
      <x:c r="K994" t="n">
        <x:v>45840</x:v>
      </x:c>
      <x:c r="L994" t="n">
        <x:v>45840</x:v>
      </x:c>
      <x:c r="M994" t="str">
        <x:v>Gebucht</x:v>
      </x:c>
      <x:c r="N994" t="str">
        <x:v>ISSUER</x:v>
      </x:c>
      <x:c r="O994" t="str">
        <x:v>EDEKA.POTRATZ/HILDESHEIM</x:v>
      </x:c>
      <x:c r="P994" t="str">
        <x:v>VISA Debitkartenumsatz vom 01.07.2025</x:v>
      </x:c>
      <x:c r="Q994" t="str">
        <x:v>Ausgang</x:v>
      </x:c>
      <x:c r="R994" t="str">
        <x:v>DE96120300009005290904</x:v>
      </x:c>
      <x:c r="S994" t="n">
        <x:v>-4.23</x:v>
      </x:c>
      <x:c r="T994" t="str">
        <x:v>"</x:v>
      </x:c>
      <x:c r="U994" t="str">
        <x:v>"</x:v>
      </x:c>
      <x:c r="V994" t="str">
        <x:v>485182415835633</x:v>
      </x:c>
    </x:row>
    <x:row r="995">
      <x:c r="A995" t="str">
        <x:v>RAW-IMP-20260516-FULLDRAFT-000978</x:v>
      </x:c>
      <x:c r="B995" t="str">
        <x:v>IMP-20260516-FULLDRAFT</x:v>
      </x:c>
      <x:c r="C995" t="str">
        <x:v>KTO001</x:v>
      </x:c>
      <x:c r="D995" t="str">
        <x:v>16-05-2026_Umsatzliste_Girokonto_DE98120300001061711675.csv</x:v>
      </x:c>
      <x:c r="E995" t="n">
        <x:v>46163</x:v>
      </x:c>
      <x:c r="F995" t="n">
        <x:v>978</x:v>
      </x:c>
      <x:c r="G995" t="str">
        <x:v>50523c7fafbfa548c409a987884771a36de81ef723b558e997981f999d5244eb</x:v>
      </x:c>
      <x:c r="H995" t="str">
        <x:v>neu</x:v>
      </x:c>
      <x:c r="I995" t="str">
        <x:v>ok</x:v>
      </x:c>
      <x:c r="J995"/>
      <x:c r="K995" t="n">
        <x:v>45840</x:v>
      </x:c>
      <x:c r="L995" t="n">
        <x:v>45840</x:v>
      </x:c>
      <x:c r="M995" t="str">
        <x:v>Gebucht</x:v>
      </x:c>
      <x:c r="N995" t="str">
        <x:v>Kohlenberg Lars</x:v>
      </x:c>
      <x:c r="O995" t="str">
        <x:v>Allianz Lebensvers. AG</x:v>
      </x:c>
      <x:c r="P995" t="str">
        <x:v>Vertrag AL-1356867060 bisheriger Vertrag 33 029 619 6 01.07.25 - 31.07.25 RiesRent InvAlphaBal</x:v>
      </x:c>
      <x:c r="Q995" t="str">
        <x:v>Ausgang</x:v>
      </x:c>
      <x:c r="R995" t="str">
        <x:v>DE52700202700015152448</x:v>
      </x:c>
      <x:c r="S995" t="n">
        <x:v>-162.17</x:v>
      </x:c>
      <x:c r="T995" t="str">
        <x:v>DE07ZZZ00000063475</x:v>
      </x:c>
      <x:c r="U995" t="str">
        <x:v>LA01L312001066775296</x:v>
      </x:c>
      <x:c r="V995" t="str">
        <x:v>AB225178-E00767079</x:v>
      </x:c>
    </x:row>
    <x:row r="996">
      <x:c r="A996" t="str">
        <x:v>RAW-IMP-20260516-FULLDRAFT-000979</x:v>
      </x:c>
      <x:c r="B996" t="str">
        <x:v>IMP-20260516-FULLDRAFT</x:v>
      </x:c>
      <x:c r="C996" t="str">
        <x:v>KTO001</x:v>
      </x:c>
      <x:c r="D996" t="str">
        <x:v>16-05-2026_Umsatzliste_Girokonto_DE98120300001061711675.csv</x:v>
      </x:c>
      <x:c r="E996" t="n">
        <x:v>46163</x:v>
      </x:c>
      <x:c r="F996" t="n">
        <x:v>979</x:v>
      </x:c>
      <x:c r="G996" t="str">
        <x:v>daf62bfe6691b27e1ef3442933d05167c53701763d04e7edc1cb3360cc48c9ec</x:v>
      </x:c>
      <x:c r="H996" t="str">
        <x:v>neu</x:v>
      </x:c>
      <x:c r="I996" t="str">
        <x:v>ok</x:v>
      </x:c>
      <x:c r="J996"/>
      <x:c r="K996" t="n">
        <x:v>45840</x:v>
      </x:c>
      <x:c r="L996" t="n">
        <x:v>45840</x:v>
      </x:c>
      <x:c r="M996" t="str">
        <x:v>Gebucht</x:v>
      </x:c>
      <x:c r="N996" t="str">
        <x:v>Lars Kohlenberg</x:v>
      </x:c>
      <x:c r="O996" t="str">
        <x:v>VHV Allg. Versicherung AG</x:v>
      </x:c>
      <x:c r="P996" t="str">
        <x:v>VHV Versicherung UNFALLVERSICHERUNG U 013-072445/0000 Abrechnung: 01.07.25 - 01.08.25</x:v>
      </x:c>
      <x:c r="Q996" t="str">
        <x:v>Ausgang</x:v>
      </x:c>
      <x:c r="R996" t="str">
        <x:v>DE65250500000101411551</x:v>
      </x:c>
      <x:c r="S996" t="n">
        <x:v>-11.96</x:v>
      </x:c>
      <x:c r="T996" t="str">
        <x:v>DE32VHV00000150810</x:v>
      </x:c>
      <x:c r="U996" t="str">
        <x:v>0015012300010039</x:v>
      </x:c>
      <x:c r="V996" t="str">
        <x:v>31113287469</x:v>
      </x:c>
    </x:row>
    <x:row r="997">
      <x:c r="A997" t="str">
        <x:v>RAW-IMP-20260516-FULLDRAFT-000980</x:v>
      </x:c>
      <x:c r="B997" t="str">
        <x:v>IMP-20260516-FULLDRAFT</x:v>
      </x:c>
      <x:c r="C997" t="str">
        <x:v>KTO001</x:v>
      </x:c>
      <x:c r="D997" t="str">
        <x:v>16-05-2026_Umsatzliste_Girokonto_DE98120300001061711675.csv</x:v>
      </x:c>
      <x:c r="E997" t="n">
        <x:v>46163</x:v>
      </x:c>
      <x:c r="F997" t="n">
        <x:v>980</x:v>
      </x:c>
      <x:c r="G997" t="str">
        <x:v>7cac613c1f710bc810a0f40082f906dcd5751841ffae81a61e786e18e07f11d5</x:v>
      </x:c>
      <x:c r="H997" t="str">
        <x:v>neu</x:v>
      </x:c>
      <x:c r="I997" t="str">
        <x:v>ok</x:v>
      </x:c>
      <x:c r="J997"/>
      <x:c r="K997" t="n">
        <x:v>45840</x:v>
      </x:c>
      <x:c r="L997" t="n">
        <x:v>45840</x:v>
      </x:c>
      <x:c r="M997" t="str">
        <x:v>Gebucht</x:v>
      </x:c>
      <x:c r="N997" t="str">
        <x:v>Lars Kohlenberg</x:v>
      </x:c>
      <x:c r="O997" t="str">
        <x:v>VHV Allg. Versicherung AG</x:v>
      </x:c>
      <x:c r="P997" t="str">
        <x:v>VHV Versicherung HAFTPFLICHTVERSICHERUNG H 306-298548/0000 Abrechnung: 01.07.25 - 01.10.25</x:v>
      </x:c>
      <x:c r="Q997" t="str">
        <x:v>Ausgang</x:v>
      </x:c>
      <x:c r="R997" t="str">
        <x:v>DE65250500000101411551</x:v>
      </x:c>
      <x:c r="S997" t="n">
        <x:v>-23.63</x:v>
      </x:c>
      <x:c r="T997" t="str">
        <x:v>DE32VHV00000150810</x:v>
      </x:c>
      <x:c r="U997" t="str">
        <x:v>0015012300010037</x:v>
      </x:c>
      <x:c r="V997" t="str">
        <x:v>31113287468</x:v>
      </x:c>
    </x:row>
    <x:row r="998">
      <x:c r="A998" t="str">
        <x:v>RAW-IMP-20260516-FULLDRAFT-000981</x:v>
      </x:c>
      <x:c r="B998" t="str">
        <x:v>IMP-20260516-FULLDRAFT</x:v>
      </x:c>
      <x:c r="C998" t="str">
        <x:v>KTO001</x:v>
      </x:c>
      <x:c r="D998" t="str">
        <x:v>16-05-2026_Umsatzliste_Girokonto_DE98120300001061711675.csv</x:v>
      </x:c>
      <x:c r="E998" t="n">
        <x:v>46163</x:v>
      </x:c>
      <x:c r="F998" t="n">
        <x:v>981</x:v>
      </x:c>
      <x:c r="G998" t="str">
        <x:v>5b2aa9188f68417e643b4c726f86b0fe076c63c4f464360bfc111ecfa1eef77a</x:v>
      </x:c>
      <x:c r="H998" t="str">
        <x:v>neu</x:v>
      </x:c>
      <x:c r="I998" t="str">
        <x:v>ok</x:v>
      </x:c>
      <x:c r="J998"/>
      <x:c r="K998" t="n">
        <x:v>45840</x:v>
      </x:c>
      <x:c r="L998" t="n">
        <x:v>45840</x:v>
      </x:c>
      <x:c r="M998" t="str">
        <x:v>Gebucht</x:v>
      </x:c>
      <x:c r="N998" t="str">
        <x:v>Lars Kohlenberg                                                       Johannes-Wosnitza-Str. 8</x:v>
      </x:c>
      <x:c r="O998" t="str">
        <x:v>FUNKE Medien Nieders.GmbH</x:v>
      </x:c>
      <x:c r="P998" t="str">
        <x:v>SZ/00001050/VA/01.07.25-31.07.25/Rg-Nr.:6316472621/Kd-Nr:0053112791</x:v>
      </x:c>
      <x:c r="Q998" t="str">
        <x:v>Ausgang</x:v>
      </x:c>
      <x:c r="R998" t="str">
        <x:v>DE67250500000000146910</x:v>
      </x:c>
      <x:c r="S998" t="n">
        <x:v>-57.5</x:v>
      </x:c>
      <x:c r="T998" t="str">
        <x:v>DE8850000000483288</x:v>
      </x:c>
      <x:c r="U998" t="str">
        <x:v>0053112791-0500-01300001</x:v>
      </x:c>
      <x:c r="V998" t="str">
        <x:v>032008352591</x:v>
      </x:c>
    </x:row>
    <x:row r="999">
      <x:c r="A999" t="str">
        <x:v>RAW-IMP-20260516-FULLDRAFT-000982</x:v>
      </x:c>
      <x:c r="B999" t="str">
        <x:v>IMP-20260516-FULLDRAFT</x:v>
      </x:c>
      <x:c r="C999" t="str">
        <x:v>KTO001</x:v>
      </x:c>
      <x:c r="D999" t="str">
        <x:v>16-05-2026_Umsatzliste_Girokonto_DE98120300001061711675.csv</x:v>
      </x:c>
      <x:c r="E999" t="n">
        <x:v>46163</x:v>
      </x:c>
      <x:c r="F999" t="n">
        <x:v>982</x:v>
      </x:c>
      <x:c r="G999" t="str">
        <x:v>c4d55221f1aec58335ade1c8779d14d9ee99d64e84cf7e744ddea6ad8f39d1ec</x:v>
      </x:c>
      <x:c r="H999" t="str">
        <x:v>neu</x:v>
      </x:c>
      <x:c r="I999" t="str">
        <x:v>ok</x:v>
      </x:c>
      <x:c r="J999"/>
      <x:c r="K999" t="n">
        <x:v>45839</x:v>
      </x:c>
      <x:c r="L999" t="n">
        <x:v>45839</x:v>
      </x:c>
      <x:c r="M999" t="str">
        <x:v>Gebucht</x:v>
      </x:c>
      <x:c r="N999" t="str">
        <x:v>WILLI KOHLENBERG</x:v>
      </x:c>
      <x:c r="O999" t="str">
        <x:v>LARS KOHLENBERG</x:v>
      </x:c>
      <x:c r="P999" t="str">
        <x:v>MIETE 2/3 HAUS</x:v>
      </x:c>
      <x:c r="Q999" t="str">
        <x:v>Eingang</x:v>
      </x:c>
      <x:c r="R999" t="str">
        <x:v>DE84270800600651520400</x:v>
      </x:c>
      <x:c r="S999" t="n">
        <x:v>750</x:v>
      </x:c>
      <x:c r="T999" t="str">
        <x:v>"</x:v>
      </x:c>
      <x:c r="U999" t="str">
        <x:v>"</x:v>
      </x:c>
      <x:c r="V999" t="str">
        <x:v>"</x:v>
      </x:c>
    </x:row>
    <x:row r="1000">
      <x:c r="A1000" t="str">
        <x:v>RAW-IMP-20260516-FULLDRAFT-000983</x:v>
      </x:c>
      <x:c r="B1000" t="str">
        <x:v>IMP-20260516-FULLDRAFT</x:v>
      </x:c>
      <x:c r="C1000" t="str">
        <x:v>KTO001</x:v>
      </x:c>
      <x:c r="D1000" t="str">
        <x:v>16-05-2026_Umsatzliste_Girokonto_DE98120300001061711675.csv</x:v>
      </x:c>
      <x:c r="E1000" t="n">
        <x:v>46163</x:v>
      </x:c>
      <x:c r="F1000" t="n">
        <x:v>983</x:v>
      </x:c>
      <x:c r="G1000" t="str">
        <x:v>83f8eafbdaf94ebe0e94a57e67779d5b5ae46d9b006636ee279d4245ac42ab1b</x:v>
      </x:c>
      <x:c r="H1000" t="str">
        <x:v>neu</x:v>
      </x:c>
      <x:c r="I1000" t="str">
        <x:v>ok</x:v>
      </x:c>
      <x:c r="J1000"/>
      <x:c r="K1000" t="n">
        <x:v>45839</x:v>
      </x:c>
      <x:c r="L1000" t="n">
        <x:v>45839</x:v>
      </x:c>
      <x:c r="M1000" t="str">
        <x:v>Gebucht</x:v>
      </x:c>
      <x:c r="N1000" t="str">
        <x:v>ISSUER</x:v>
      </x:c>
      <x:c r="O1000" t="str">
        <x:v>REWE.Salzgitter.Ge/Salzgitter</x:v>
      </x:c>
      <x:c r="P1000" t="str">
        <x:v>VISA Debitkartenumsatz vom 30.06.2025</x:v>
      </x:c>
      <x:c r="Q1000" t="str">
        <x:v>Ausgang</x:v>
      </x:c>
      <x:c r="R1000" t="str">
        <x:v>DE96120300009005290904</x:v>
      </x:c>
      <x:c r="S1000" t="n">
        <x:v>-1.69</x:v>
      </x:c>
      <x:c r="T1000" t="str">
        <x:v>"</x:v>
      </x:c>
      <x:c r="U1000" t="str">
        <x:v>"</x:v>
      </x:c>
      <x:c r="V1000" t="str">
        <x:v>485181647246460</x:v>
      </x:c>
    </x:row>
    <x:row r="1001">
      <x:c r="A1001" t="str">
        <x:v>RAW-IMP-20260516-FULLDRAFT-000984</x:v>
      </x:c>
      <x:c r="B1001" t="str">
        <x:v>IMP-20260516-FULLDRAFT</x:v>
      </x:c>
      <x:c r="C1001" t="str">
        <x:v>KTO001</x:v>
      </x:c>
      <x:c r="D1001" t="str">
        <x:v>16-05-2026_Umsatzliste_Girokonto_DE98120300001061711675.csv</x:v>
      </x:c>
      <x:c r="E1001" t="n">
        <x:v>46163</x:v>
      </x:c>
      <x:c r="F1001" t="n">
        <x:v>984</x:v>
      </x:c>
      <x:c r="G1001" t="str">
        <x:v>6abc2ce6ec07ca9d3b44f4259531b39f6d1a6eb7578d54a0a3ef51187602c636</x:v>
      </x:c>
      <x:c r="H1001" t="str">
        <x:v>neu</x:v>
      </x:c>
      <x:c r="I1001" t="str">
        <x:v>ok</x:v>
      </x:c>
      <x:c r="J1001"/>
      <x:c r="K1001" t="n">
        <x:v>45839</x:v>
      </x:c>
      <x:c r="L1001" t="n">
        <x:v>45839</x:v>
      </x:c>
      <x:c r="M1001" t="str">
        <x:v>Gebucht</x:v>
      </x:c>
      <x:c r="N1001" t="str">
        <x:v>Lars Kohlenberg</x:v>
      </x:c>
      <x:c r="O1001" t="str">
        <x:v>LARS KOHLENBERG</x:v>
      </x:c>
      <x:c r="P1001" t="str">
        <x:v>Sparrate 650,- + 750 EUR Mieteinnahmen</x:v>
      </x:c>
      <x:c r="Q1001" t="str">
        <x:v>Ausgang</x:v>
      </x:c>
      <x:c r="R1001" t="str">
        <x:v>DE91270200001510365800</x:v>
      </x:c>
      <x:c r="S1001" t="n">
        <x:v>-1400</x:v>
      </x:c>
      <x:c r="T1001" t="str">
        <x:v>"</x:v>
      </x:c>
      <x:c r="U1001" t="str">
        <x:v>"</x:v>
      </x:c>
      <x:c r="V1001" t="str">
        <x:v>"</x:v>
      </x:c>
    </x:row>
    <x:row r="1002">
      <x:c r="A1002" t="str">
        <x:v>RAW-IMP-20260516-FULLDRAFT-000985</x:v>
      </x:c>
      <x:c r="B1002" t="str">
        <x:v>IMP-20260516-FULLDRAFT</x:v>
      </x:c>
      <x:c r="C1002" t="str">
        <x:v>KTO001</x:v>
      </x:c>
      <x:c r="D1002" t="str">
        <x:v>16-05-2026_Umsatzliste_Girokonto_DE98120300001061711675.csv</x:v>
      </x:c>
      <x:c r="E1002" t="n">
        <x:v>46163</x:v>
      </x:c>
      <x:c r="F1002" t="n">
        <x:v>985</x:v>
      </x:c>
      <x:c r="G1002" t="str">
        <x:v>3e9578ad27e168641dee8c9914b51e195cae171ff90b4b36adf6adac265724b8</x:v>
      </x:c>
      <x:c r="H1002" t="str">
        <x:v>neu</x:v>
      </x:c>
      <x:c r="I1002" t="str">
        <x:v>ok</x:v>
      </x:c>
      <x:c r="J1002"/>
      <x:c r="K1002" t="n">
        <x:v>45839</x:v>
      </x:c>
      <x:c r="L1002" t="n">
        <x:v>45839</x:v>
      </x:c>
      <x:c r="M1002" t="str">
        <x:v>Gebucht</x:v>
      </x:c>
      <x:c r="N1002" t="str">
        <x:v>Lars Kohlenberg                                                       Johannes-Wosnitza-Str. 8,38229 Salzgitter</x:v>
      </x:c>
      <x:c r="O1002" t="str">
        <x:v>1+1 Mail + Media GmbH                                                 Elgendorfer Str. 57, 56410 Montabaur</x:v>
      </x:c>
      <x:c r="P1002" t="str">
        <x:v>KD-Nr. K7440512/ RG-Nr. 201541385338</x:v>
      </x:c>
      <x:c r="Q1002" t="str">
        <x:v>Ausgang</x:v>
      </x:c>
      <x:c r="R1002" t="str">
        <x:v>DE76700800000881679702</x:v>
      </x:c>
      <x:c r="S1002" t="n">
        <x:v>-8.99</x:v>
      </x:c>
      <x:c r="T1002" t="str">
        <x:v>DE07ZZZ00000569718</x:v>
      </x:c>
      <x:c r="U1002" t="str">
        <x:v>0090001393062</x:v>
      </x:c>
      <x:c r="V1002" t="str">
        <x:v>006182783181</x:v>
      </x:c>
    </x:row>
    <x:row r="1003">
      <x:c r="A1003" t="str">
        <x:v>RAW-IMP-20260516-FULLDRAFT-000986</x:v>
      </x:c>
      <x:c r="B1003" t="str">
        <x:v>IMP-20260516-FULLDRAFT</x:v>
      </x:c>
      <x:c r="C1003" t="str">
        <x:v>KTO001</x:v>
      </x:c>
      <x:c r="D1003" t="str">
        <x:v>16-05-2026_Umsatzliste_Girokonto_DE98120300001061711675.csv</x:v>
      </x:c>
      <x:c r="E1003" t="n">
        <x:v>46163</x:v>
      </x:c>
      <x:c r="F1003" t="n">
        <x:v>986</x:v>
      </x:c>
      <x:c r="G1003" t="str">
        <x:v>2055f78395803914bc441983ab1735aa54d8c644a0eb6925cd9936e05ab8cdaf</x:v>
      </x:c>
      <x:c r="H1003" t="str">
        <x:v>neu</x:v>
      </x:c>
      <x:c r="I1003" t="str">
        <x:v>ok</x:v>
      </x:c>
      <x:c r="J1003"/>
      <x:c r="K1003" t="n">
        <x:v>45839</x:v>
      </x:c>
      <x:c r="L1003" t="n">
        <x:v>45839</x:v>
      </x:c>
      <x:c r="M1003" t="str">
        <x:v>Gebucht</x:v>
      </x:c>
      <x:c r="N1003" t="str">
        <x:v>Lars Kohlenberg</x:v>
      </x:c>
      <x:c r="O1003" t="str">
        <x:v>KATRIN KOHLENBERG</x:v>
      </x:c>
      <x:c r="P1003" t="str">
        <x:v>Apanage</x:v>
      </x:c>
      <x:c r="Q1003" t="str">
        <x:v>Ausgang</x:v>
      </x:c>
      <x:c r="R1003" t="str">
        <x:v>DE32270727240307336800</x:v>
      </x:c>
      <x:c r="S1003" t="n">
        <x:v>-1800</x:v>
      </x:c>
      <x:c r="T1003" t="str">
        <x:v>"</x:v>
      </x:c>
      <x:c r="U1003" t="str">
        <x:v>"</x:v>
      </x:c>
      <x:c r="V1003" t="str">
        <x:v>"</x:v>
      </x:c>
    </x:row>
    <x:row r="1004">
      <x:c r="A1004" t="str">
        <x:v>RAW-IMP-20260516-FULLDRAFT-000987</x:v>
      </x:c>
      <x:c r="B1004" t="str">
        <x:v>IMP-20260516-FULLDRAFT</x:v>
      </x:c>
      <x:c r="C1004" t="str">
        <x:v>KTO001</x:v>
      </x:c>
      <x:c r="D1004" t="str">
        <x:v>16-05-2026_Umsatzliste_Girokonto_DE98120300001061711675.csv</x:v>
      </x:c>
      <x:c r="E1004" t="n">
        <x:v>46163</x:v>
      </x:c>
      <x:c r="F1004" t="n">
        <x:v>987</x:v>
      </x:c>
      <x:c r="G1004" t="str">
        <x:v>d5e48d06615ee8ad08149c3c4cda8bf4d3f27924fc6e07da8c1789f1a12c3d75</x:v>
      </x:c>
      <x:c r="H1004" t="str">
        <x:v>neu</x:v>
      </x:c>
      <x:c r="I1004" t="str">
        <x:v>ok</x:v>
      </x:c>
      <x:c r="J1004"/>
      <x:c r="K1004" t="n">
        <x:v>45839</x:v>
      </x:c>
      <x:c r="L1004" t="n">
        <x:v>45839</x:v>
      </x:c>
      <x:c r="M1004" t="str">
        <x:v>Gebucht</x:v>
      </x:c>
      <x:c r="N1004" t="str">
        <x:v>KOHLENBERG, LARS</x:v>
      </x:c>
      <x:c r="O1004" t="str">
        <x:v>Lars und Katrin Kohlenberg</x:v>
      </x:c>
      <x:c r="P1004" t="str">
        <x:v>11888912 VERMOEGENSDEPOT SAMMELBUCHUNG SPARPLAN WKN A1C9ED, 847809</x:v>
      </x:c>
      <x:c r="Q1004" t="str">
        <x:v>Ausgang</x:v>
      </x:c>
      <x:c r="R1004" t="str">
        <x:v>DE27672300000506966162</x:v>
      </x:c>
      <x:c r="S1004" t="n">
        <x:v>-600</x:v>
      </x:c>
      <x:c r="T1004" t="str">
        <x:v>DE53ZZZ00000010849</x:v>
      </x:c>
      <x:c r="U1004" t="str">
        <x:v>WPBF0000180845</x:v>
      </x:c>
      <x:c r="V1004" t="str">
        <x:v>SPARSP 17805014</x:v>
      </x:c>
    </x:row>
    <x:row r="1005">
      <x:c r="A1005" t="str">
        <x:v>RAW-IMP-20260516-FULLDRAFT-000988</x:v>
      </x:c>
      <x:c r="B1005" t="str">
        <x:v>IMP-20260516-FULLDRAFT</x:v>
      </x:c>
      <x:c r="C1005" t="str">
        <x:v>KTO001</x:v>
      </x:c>
      <x:c r="D1005" t="str">
        <x:v>16-05-2026_Umsatzliste_Girokonto_DE98120300001061711675.csv</x:v>
      </x:c>
      <x:c r="E1005" t="n">
        <x:v>46163</x:v>
      </x:c>
      <x:c r="F1005" t="n">
        <x:v>988</x:v>
      </x:c>
      <x:c r="G1005" t="str">
        <x:v>da61e5a7c76ac263cfc9d621c3398b5d81c255d944f7ddc928cc5d44cfbfc27f</x:v>
      </x:c>
      <x:c r="H1005" t="str">
        <x:v>neu</x:v>
      </x:c>
      <x:c r="I1005" t="str">
        <x:v>ok</x:v>
      </x:c>
      <x:c r="J1005"/>
      <x:c r="K1005" t="n">
        <x:v>45839</x:v>
      </x:c>
      <x:c r="L1005" t="n">
        <x:v>45839</x:v>
      </x:c>
      <x:c r="M1005" t="str">
        <x:v>Gebucht</x:v>
      </x:c>
      <x:c r="N1005" t="str">
        <x:v>KOHLENBERG LARS</x:v>
      </x:c>
      <x:c r="O1005" t="str">
        <x:v>VOLKSWOHL BUND Lebensversicherung a.G.</x:v>
      </x:c>
      <x:c r="P1005" t="str">
        <x:v>009893595 LA000750566/ 009893595 LEBEN 68,46</x:v>
      </x:c>
      <x:c r="Q1005" t="str">
        <x:v>Ausgang</x:v>
      </x:c>
      <x:c r="R1005" t="str">
        <x:v>DE76440400370361155500</x:v>
      </x:c>
      <x:c r="S1005" t="n">
        <x:v>-68.46</x:v>
      </x:c>
      <x:c r="T1005" t="str">
        <x:v>DE13ZZZ00000141064</x:v>
      </x:c>
      <x:c r="U1005" t="str">
        <x:v>LA000750566</x:v>
      </x:c>
      <x:c r="V1005" t="str">
        <x:v>009893595/NVMA.G1133-318945</x:v>
      </x:c>
    </x:row>
    <x:row r="1006">
      <x:c r="A1006" t="str">
        <x:v>RAW-IMP-20260516-FULLDRAFT-000989</x:v>
      </x:c>
      <x:c r="B1006" t="str">
        <x:v>IMP-20260516-FULLDRAFT</x:v>
      </x:c>
      <x:c r="C1006" t="str">
        <x:v>KTO001</x:v>
      </x:c>
      <x:c r="D1006" t="str">
        <x:v>16-05-2026_Umsatzliste_Girokonto_DE98120300001061711675.csv</x:v>
      </x:c>
      <x:c r="E1006" t="n">
        <x:v>46163</x:v>
      </x:c>
      <x:c r="F1006" t="n">
        <x:v>989</x:v>
      </x:c>
      <x:c r="G1006" t="str">
        <x:v>807918129a18549d197801441860ddcb6bc009bf9cfa0c9a040d0bc40dfecaec</x:v>
      </x:c>
      <x:c r="H1006" t="str">
        <x:v>neu</x:v>
      </x:c>
      <x:c r="I1006" t="str">
        <x:v>ok</x:v>
      </x:c>
      <x:c r="J1006"/>
      <x:c r="K1006" t="n">
        <x:v>45839</x:v>
      </x:c>
      <x:c r="L1006" t="n">
        <x:v>45839</x:v>
      </x:c>
      <x:c r="M1006" t="str">
        <x:v>Gebucht</x:v>
      </x:c>
      <x:c r="N1006" t="str">
        <x:v>Lars Kohlenberg                                                       Johannes-Wosnitza-Str. 8 38229 Salzgitter</x:v>
      </x:c>
      <x:c r="O1006" t="str">
        <x:v>Heidelberger Lebensversicherung AG                                    Donrhofstrasse 36, 63263 Neu-Isenburg</x:v>
      </x:c>
      <x:c r="P1006" t="str">
        <x:v>60012826 , 07.25</x:v>
      </x:c>
      <x:c r="Q1006" t="str">
        <x:v>Ausgang</x:v>
      </x:c>
      <x:c r="R1006" t="str">
        <x:v>DE38600501010002662604</x:v>
      </x:c>
      <x:c r="S1006" t="n">
        <x:v>-452.71</x:v>
      </x:c>
      <x:c r="T1006" t="str">
        <x:v>DE31HLE00000032682</x:v>
      </x:c>
      <x:c r="U1006" t="str">
        <x:v>11-140000075706</x:v>
      </x:c>
      <x:c r="V1006" t="str">
        <x:v>152047180371</x:v>
      </x:c>
    </x:row>
    <x:row r="1007">
      <x:c r="A1007" t="str">
        <x:v>RAW-IMP-20260516-FULLDRAFT-000990</x:v>
      </x:c>
      <x:c r="B1007" t="str">
        <x:v>IMP-20260516-FULLDRAFT</x:v>
      </x:c>
      <x:c r="C1007" t="str">
        <x:v>KTO001</x:v>
      </x:c>
      <x:c r="D1007" t="str">
        <x:v>16-05-2026_Umsatzliste_Girokonto_DE98120300001061711675.csv</x:v>
      </x:c>
      <x:c r="E1007" t="n">
        <x:v>46163</x:v>
      </x:c>
      <x:c r="F1007" t="n">
        <x:v>990</x:v>
      </x:c>
      <x:c r="G1007" t="str">
        <x:v>9ffdc387bfc29d2cd4f2b97c8f8a4c6daa076a7ba7b1a8a99ddf4a45c18d43c2</x:v>
      </x:c>
      <x:c r="H1007" t="str">
        <x:v>neu</x:v>
      </x:c>
      <x:c r="I1007" t="str">
        <x:v>ok</x:v>
      </x:c>
      <x:c r="J1007"/>
      <x:c r="K1007" t="n">
        <x:v>45839</x:v>
      </x:c>
      <x:c r="L1007" t="n">
        <x:v>45839</x:v>
      </x:c>
      <x:c r="M1007" t="str">
        <x:v>Gebucht</x:v>
      </x:c>
      <x:c r="N1007" t="str">
        <x:v>Kohlenberg, Lars</x:v>
      </x:c>
      <x:c r="O1007" t="str">
        <x:v>IDEAL Lebensversicherung aG</x:v>
      </x:c>
      <x:c r="P1007" t="str">
        <x:v>2011216280009 LV 071</x:v>
      </x:c>
      <x:c r="Q1007" t="str">
        <x:v>Ausgang</x:v>
      </x:c>
      <x:c r="R1007" t="str">
        <x:v>DE36100700000460303100</x:v>
      </x:c>
      <x:c r="S1007" t="n">
        <x:v>-97.12</x:v>
      </x:c>
      <x:c r="T1007" t="str">
        <x:v>DE40ZZZ00000559230</x:v>
      </x:c>
      <x:c r="U1007" t="str">
        <x:v>2011216280009-001</x:v>
      </x:c>
      <x:c r="V1007" t="str">
        <x:v>GL,KL,PD-20250701-1-2011216280009-0</x:v>
      </x:c>
    </x:row>
    <x:row r="1008">
      <x:c r="A1008" t="str">
        <x:v>RAW-IMP-20260516-FULLDRAFT-000991</x:v>
      </x:c>
      <x:c r="B1008" t="str">
        <x:v>IMP-20260516-FULLDRAFT</x:v>
      </x:c>
      <x:c r="C1008" t="str">
        <x:v>KTO001</x:v>
      </x:c>
      <x:c r="D1008" t="str">
        <x:v>16-05-2026_Umsatzliste_Girokonto_DE98120300001061711675.csv</x:v>
      </x:c>
      <x:c r="E1008" t="n">
        <x:v>46163</x:v>
      </x:c>
      <x:c r="F1008" t="n">
        <x:v>991</x:v>
      </x:c>
      <x:c r="G1008" t="str">
        <x:v>b2288267b3056f3f2d6e98c55a73756a4b1abb7e6525b65cfa7fbcd66a110ec8</x:v>
      </x:c>
      <x:c r="H1008" t="str">
        <x:v>neu</x:v>
      </x:c>
      <x:c r="I1008" t="str">
        <x:v>ok</x:v>
      </x:c>
      <x:c r="J1008"/>
      <x:c r="K1008" t="n">
        <x:v>45839</x:v>
      </x:c>
      <x:c r="L1008" t="n">
        <x:v>45839</x:v>
      </x:c>
      <x:c r="M1008" t="str">
        <x:v>Gebucht</x:v>
      </x:c>
      <x:c r="N1008" t="str">
        <x:v>KOHLENBERG, LARS</x:v>
      </x:c>
      <x:c r="O1008" t="str">
        <x:v>VPV-LEBENSVERSICHERUNGS-AG</x:v>
      </x:c>
      <x:c r="P1008" t="str">
        <x:v>VNR 301667726</x:v>
      </x:c>
      <x:c r="Q1008" t="str">
        <x:v>Ausgang</x:v>
      </x:c>
      <x:c r="R1008" t="str">
        <x:v>DE78600501010001166338</x:v>
      </x:c>
      <x:c r="S1008" t="n">
        <x:v>-56.83</x:v>
      </x:c>
      <x:c r="T1008" t="str">
        <x:v>DE96LAG00000064686</x:v>
      </x:c>
      <x:c r="U1008" t="str">
        <x:v>ML700120510</x:v>
      </x:c>
      <x:c r="V1008" t="str">
        <x:v>250630 461382093 ML700120510</x:v>
      </x:c>
    </x:row>
    <x:row r="1009">
      <x:c r="A1009" t="str">
        <x:v>RAW-IMP-20260516-FULLDRAFT-000992</x:v>
      </x:c>
      <x:c r="B1009" t="str">
        <x:v>IMP-20260516-FULLDRAFT</x:v>
      </x:c>
      <x:c r="C1009" t="str">
        <x:v>KTO001</x:v>
      </x:c>
      <x:c r="D1009" t="str">
        <x:v>16-05-2026_Umsatzliste_Girokonto_DE98120300001061711675.csv</x:v>
      </x:c>
      <x:c r="E1009" t="n">
        <x:v>46163</x:v>
      </x:c>
      <x:c r="F1009" t="n">
        <x:v>992</x:v>
      </x:c>
      <x:c r="G1009" t="str">
        <x:v>f7f954d7ebd07295432adb4d5fc3ff18aca1e85ef2f9fbaa66ca6a8986885af2</x:v>
      </x:c>
      <x:c r="H1009" t="str">
        <x:v>neu</x:v>
      </x:c>
      <x:c r="I1009" t="str">
        <x:v>ok</x:v>
      </x:c>
      <x:c r="J1009"/>
      <x:c r="K1009" t="n">
        <x:v>45839</x:v>
      </x:c>
      <x:c r="L1009" t="n">
        <x:v>45839</x:v>
      </x:c>
      <x:c r="M1009" t="str">
        <x:v>Gebucht</x:v>
      </x:c>
      <x:c r="N1009" t="str">
        <x:v>DKB AG</x:v>
      </x:c>
      <x:c r="O1009" t="str">
        <x:v>DKB AG</x:v>
      </x:c>
      <x:c r="P1009" t="str">
        <x:v>Abrechnung 30.06.2025 siehe Anlage Abrechnung 30.06.2025 Information zur Abrechnung Kontostand am 30.06.2025                                        6.586,84 + Abrechnungszeitraum vom 01.04.2025 bis 30.06.2025 Zinsen für eingeräumte Kontoüberziehung                              0,18-  8,6800 v.H. Kred-Zins  bis 28.04.2025 Abrechnung 30.06.2025                                                0,18- Sollzinssätze am 30.06.2025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30.06.2025                     6.586,66 + Rechnungsnummer: 20250630-BY111-00238783153</x:v>
      </x:c>
      <x:c r="Q1009" t="str">
        <x:v>Ausgang</x:v>
      </x:c>
      <x:c r="R1009" t="str">
        <x:v>0000000000</x:v>
      </x:c>
      <x:c r="S1009" t="n">
        <x:v>-0.18</x:v>
      </x:c>
      <x:c r="T1009" t="str">
        <x:v>"</x:v>
      </x:c>
      <x:c r="U1009" t="str">
        <x:v>"</x:v>
      </x:c>
      <x:c r="V1009" t="str">
        <x:v>"</x:v>
      </x:c>
    </x:row>
    <x:row r="1010">
      <x:c r="A1010" t="str">
        <x:v>RAW-IMP-20260516-FULLDRAFT-000993</x:v>
      </x:c>
      <x:c r="B1010" t="str">
        <x:v>IMP-20260516-FULLDRAFT</x:v>
      </x:c>
      <x:c r="C1010" t="str">
        <x:v>KTO001</x:v>
      </x:c>
      <x:c r="D1010" t="str">
        <x:v>16-05-2026_Umsatzliste_Girokonto_DE98120300001061711675.csv</x:v>
      </x:c>
      <x:c r="E1010" t="n">
        <x:v>46163</x:v>
      </x:c>
      <x:c r="F1010" t="n">
        <x:v>993</x:v>
      </x:c>
      <x:c r="G1010" t="str">
        <x:v>9c58c07dbe84a118ec1a4e1478e1b6d00d19d3385771b0bc6f05d811a55f60b7</x:v>
      </x:c>
      <x:c r="H1010" t="str">
        <x:v>neu</x:v>
      </x:c>
      <x:c r="I1010" t="str">
        <x:v>ok</x:v>
      </x:c>
      <x:c r="J1010"/>
      <x:c r="K1010" t="n">
        <x:v>45838</x:v>
      </x:c>
      <x:c r="L1010" t="n">
        <x:v>45838</x:v>
      </x:c>
      <x:c r="M1010" t="str">
        <x:v>Gebucht</x:v>
      </x:c>
      <x:c r="N1010" t="str">
        <x:v>ISSUER</x:v>
      </x:c>
      <x:c r="O1010" t="str">
        <x:v>Lidl.sagt.Danke/Salzgitter</x:v>
      </x:c>
      <x:c r="P1010" t="str">
        <x:v>VISA Debitkartenumsatz vom 28.06.2025</x:v>
      </x:c>
      <x:c r="Q1010" t="str">
        <x:v>Ausgang</x:v>
      </x:c>
      <x:c r="R1010" t="str">
        <x:v>DE96120300009005290904</x:v>
      </x:c>
      <x:c r="S1010" t="n">
        <x:v>-49.36</x:v>
      </x:c>
      <x:c r="T1010" t="str">
        <x:v>"</x:v>
      </x:c>
      <x:c r="U1010" t="str">
        <x:v>"</x:v>
      </x:c>
      <x:c r="V1010" t="str">
        <x:v>485179301337120</x:v>
      </x:c>
    </x:row>
    <x:row r="1011">
      <x:c r="A1011" t="str">
        <x:v>RAW-IMP-20260516-FULLDRAFT-000994</x:v>
      </x:c>
      <x:c r="B1011" t="str">
        <x:v>IMP-20260516-FULLDRAFT</x:v>
      </x:c>
      <x:c r="C1011" t="str">
        <x:v>KTO001</x:v>
      </x:c>
      <x:c r="D1011" t="str">
        <x:v>16-05-2026_Umsatzliste_Girokonto_DE98120300001061711675.csv</x:v>
      </x:c>
      <x:c r="E1011" t="n">
        <x:v>46163</x:v>
      </x:c>
      <x:c r="F1011" t="n">
        <x:v>994</x:v>
      </x:c>
      <x:c r="G1011" t="str">
        <x:v>b385cb0b213eb241830818f57975b33df24f51fa27b9c2d380abfee7747ab5c2</x:v>
      </x:c>
      <x:c r="H1011" t="str">
        <x:v>neu</x:v>
      </x:c>
      <x:c r="I1011" t="str">
        <x:v>ok</x:v>
      </x:c>
      <x:c r="J1011"/>
      <x:c r="K1011" t="n">
        <x:v>45838</x:v>
      </x:c>
      <x:c r="L1011" t="n">
        <x:v>45838</x:v>
      </x:c>
      <x:c r="M1011" t="str">
        <x:v>Gebucht</x:v>
      </x:c>
      <x:c r="N1011" t="str">
        <x:v>ISSUER</x:v>
      </x:c>
      <x:c r="O1011" t="str">
        <x:v>REWE.Salzgitter.Ge/Salzgitter</x:v>
      </x:c>
      <x:c r="P1011" t="str">
        <x:v>VISA Debitkartenumsatz vom 28.06.2025</x:v>
      </x:c>
      <x:c r="Q1011" t="str">
        <x:v>Ausgang</x:v>
      </x:c>
      <x:c r="R1011" t="str">
        <x:v>DE96120300009005290904</x:v>
      </x:c>
      <x:c r="S1011" t="n">
        <x:v>-13.75</x:v>
      </x:c>
      <x:c r="T1011" t="str">
        <x:v>"</x:v>
      </x:c>
      <x:c r="U1011" t="str">
        <x:v>"</x:v>
      </x:c>
      <x:c r="V1011" t="str">
        <x:v>485179666893765</x:v>
      </x:c>
    </x:row>
    <x:row r="1012">
      <x:c r="A1012" t="str">
        <x:v>RAW-IMP-20260516-FULLDRAFT-000995</x:v>
      </x:c>
      <x:c r="B1012" t="str">
        <x:v>IMP-20260516-FULLDRAFT</x:v>
      </x:c>
      <x:c r="C1012" t="str">
        <x:v>KTO001</x:v>
      </x:c>
      <x:c r="D1012" t="str">
        <x:v>16-05-2026_Umsatzliste_Girokonto_DE98120300001061711675.csv</x:v>
      </x:c>
      <x:c r="E1012" t="n">
        <x:v>46163</x:v>
      </x:c>
      <x:c r="F1012" t="n">
        <x:v>995</x:v>
      </x:c>
      <x:c r="G1012" t="str">
        <x:v>04e084e35c08faa8659179619ca7135dac7f8c0f7ba7729fca4e3fa00641a512</x:v>
      </x:c>
      <x:c r="H1012" t="str">
        <x:v>neu</x:v>
      </x:c>
      <x:c r="I1012" t="str">
        <x:v>ok</x:v>
      </x:c>
      <x:c r="J1012"/>
      <x:c r="K1012" t="n">
        <x:v>45838</x:v>
      </x:c>
      <x:c r="L1012" t="n">
        <x:v>45838</x:v>
      </x:c>
      <x:c r="M1012" t="str">
        <x:v>Gebucht</x:v>
      </x:c>
      <x:c r="N1012" t="str">
        <x:v>ISSUER</x:v>
      </x:c>
      <x:c r="O1012" t="str">
        <x:v>REWE.Acar.oHG/Salzgitter</x:v>
      </x:c>
      <x:c r="P1012" t="str">
        <x:v>VISA Debitkartenumsatz vom 28.06.2025</x:v>
      </x:c>
      <x:c r="Q1012" t="str">
        <x:v>Ausgang</x:v>
      </x:c>
      <x:c r="R1012" t="str">
        <x:v>DE96120300009005290904</x:v>
      </x:c>
      <x:c r="S1012" t="n">
        <x:v>-70.66</x:v>
      </x:c>
      <x:c r="T1012" t="str">
        <x:v>"</x:v>
      </x:c>
      <x:c r="U1012" t="str">
        <x:v>"</x:v>
      </x:c>
      <x:c r="V1012" t="str">
        <x:v>485179326705993</x:v>
      </x:c>
    </x:row>
    <x:row r="1013">
      <x:c r="A1013" t="str">
        <x:v>RAW-IMP-20260516-FULLDRAFT-000996</x:v>
      </x:c>
      <x:c r="B1013" t="str">
        <x:v>IMP-20260516-FULLDRAFT</x:v>
      </x:c>
      <x:c r="C1013" t="str">
        <x:v>KTO001</x:v>
      </x:c>
      <x:c r="D1013" t="str">
        <x:v>16-05-2026_Umsatzliste_Girokonto_DE98120300001061711675.csv</x:v>
      </x:c>
      <x:c r="E1013" t="n">
        <x:v>46163</x:v>
      </x:c>
      <x:c r="F1013" t="n">
        <x:v>996</x:v>
      </x:c>
      <x:c r="G1013" t="str">
        <x:v>cee52ff6aec57ede2a63b07e6fdea633233ee8edfd64825e32c61ba6a573d88c</x:v>
      </x:c>
      <x:c r="H1013" t="str">
        <x:v>neu</x:v>
      </x:c>
      <x:c r="I1013" t="str">
        <x:v>ok</x:v>
      </x:c>
      <x:c r="J1013"/>
      <x:c r="K1013" t="n">
        <x:v>45838</x:v>
      </x:c>
      <x:c r="L1013" t="n">
        <x:v>45838</x:v>
      </x:c>
      <x:c r="M1013" t="str">
        <x:v>Gebucht</x:v>
      </x:c>
      <x:c r="N1013" t="str">
        <x:v>ISSUER</x:v>
      </x:c>
      <x:c r="O1013" t="str">
        <x:v>REWE.Salzgitter.Ge/Salzgitter</x:v>
      </x:c>
      <x:c r="P1013" t="str">
        <x:v>VISA Debitkartenumsatz vom 28.06.2025</x:v>
      </x:c>
      <x:c r="Q1013" t="str">
        <x:v>Ausgang</x:v>
      </x:c>
      <x:c r="R1013" t="str">
        <x:v>DE96120300009005290904</x:v>
      </x:c>
      <x:c r="S1013" t="n">
        <x:v>-5.87</x:v>
      </x:c>
      <x:c r="T1013" t="str">
        <x:v>"</x:v>
      </x:c>
      <x:c r="U1013" t="str">
        <x:v>"</x:v>
      </x:c>
      <x:c r="V1013" t="str">
        <x:v>485179379612612</x:v>
      </x:c>
    </x:row>
    <x:row r="1014">
      <x:c r="A1014" t="str">
        <x:v>RAW-IMP-20260516-FULLDRAFT-000997</x:v>
      </x:c>
      <x:c r="B1014" t="str">
        <x:v>IMP-20260516-FULLDRAFT</x:v>
      </x:c>
      <x:c r="C1014" t="str">
        <x:v>KTO001</x:v>
      </x:c>
      <x:c r="D1014" t="str">
        <x:v>16-05-2026_Umsatzliste_Girokonto_DE98120300001061711675.csv</x:v>
      </x:c>
      <x:c r="E1014" t="n">
        <x:v>46163</x:v>
      </x:c>
      <x:c r="F1014" t="n">
        <x:v>997</x:v>
      </x:c>
      <x:c r="G1014" t="str">
        <x:v>e6d943fa09b09e3d7133f092cc634f12a29eddd60715c4063909d782bbde4fcb</x:v>
      </x:c>
      <x:c r="H1014" t="str">
        <x:v>neu</x:v>
      </x:c>
      <x:c r="I1014" t="str">
        <x:v>ok</x:v>
      </x:c>
      <x:c r="J1014"/>
      <x:c r="K1014" t="n">
        <x:v>45838</x:v>
      </x:c>
      <x:c r="L1014" t="n">
        <x:v>45838</x:v>
      </x:c>
      <x:c r="M1014" t="str">
        <x:v>Gebucht</x:v>
      </x:c>
      <x:c r="N1014" t="str">
        <x:v>Lars Kohlenberg</x:v>
      </x:c>
      <x:c r="O1014" t="str">
        <x:v>LARS KOHLENBERG</x:v>
      </x:c>
      <x:c r="P1014" t="str">
        <x:v>Zins und Tilgung zu 2/3</x:v>
      </x:c>
      <x:c r="Q1014" t="str">
        <x:v>Ausgang</x:v>
      </x:c>
      <x:c r="R1014" t="str">
        <x:v>DE33269910668923736000</x:v>
      </x:c>
      <x:c r="S1014" t="n">
        <x:v>-1153.94</x:v>
      </x:c>
      <x:c r="T1014" t="str">
        <x:v>"</x:v>
      </x:c>
      <x:c r="U1014" t="str">
        <x:v>"</x:v>
      </x:c>
      <x:c r="V1014" t="str">
        <x:v>"</x:v>
      </x:c>
    </x:row>
    <x:row r="1015">
      <x:c r="A1015" t="str">
        <x:v>RAW-IMP-20260516-FULLDRAFT-000998</x:v>
      </x:c>
      <x:c r="B1015" t="str">
        <x:v>IMP-20260516-FULLDRAFT</x:v>
      </x:c>
      <x:c r="C1015" t="str">
        <x:v>KTO001</x:v>
      </x:c>
      <x:c r="D1015" t="str">
        <x:v>16-05-2026_Umsatzliste_Girokonto_DE98120300001061711675.csv</x:v>
      </x:c>
      <x:c r="E1015" t="n">
        <x:v>46163</x:v>
      </x:c>
      <x:c r="F1015" t="n">
        <x:v>998</x:v>
      </x:c>
      <x:c r="G1015" t="str">
        <x:v>082cbd530fbfce47b92ea68b06889b2aa59ff534b635b4bb7195f9efead45ee1</x:v>
      </x:c>
      <x:c r="H1015" t="str">
        <x:v>neu</x:v>
      </x:c>
      <x:c r="I1015" t="str">
        <x:v>ok</x:v>
      </x:c>
      <x:c r="J1015"/>
      <x:c r="K1015" t="n">
        <x:v>45838</x:v>
      </x:c>
      <x:c r="L1015" t="n">
        <x:v>45838</x:v>
      </x:c>
      <x:c r="M1015" t="str">
        <x:v>Gebucht</x:v>
      </x:c>
      <x:c r="N1015" t="str">
        <x:v>Lars Kohlenberg</x:v>
      </x:c>
      <x:c r="O1015" t="str">
        <x:v>Lea kohlenberg</x:v>
      </x:c>
      <x:c r="P1015" t="str">
        <x:v>Taschengeld</x:v>
      </x:c>
      <x:c r="Q1015" t="str">
        <x:v>Ausgang</x:v>
      </x:c>
      <x:c r="R1015" t="str">
        <x:v>DE89269910662833344000</x:v>
      </x:c>
      <x:c r="S1015" t="n">
        <x:v>-10</x:v>
      </x:c>
      <x:c r="T1015" t="str">
        <x:v>"</x:v>
      </x:c>
      <x:c r="U1015" t="str">
        <x:v>"</x:v>
      </x:c>
      <x:c r="V1015" t="str">
        <x:v>"</x:v>
      </x:c>
    </x:row>
    <x:row r="1016">
      <x:c r="A1016" t="str">
        <x:v>RAW-IMP-20260516-FULLDRAFT-000999</x:v>
      </x:c>
      <x:c r="B1016" t="str">
        <x:v>IMP-20260516-FULLDRAFT</x:v>
      </x:c>
      <x:c r="C1016" t="str">
        <x:v>KTO001</x:v>
      </x:c>
      <x:c r="D1016" t="str">
        <x:v>16-05-2026_Umsatzliste_Girokonto_DE98120300001061711675.csv</x:v>
      </x:c>
      <x:c r="E1016" t="n">
        <x:v>46163</x:v>
      </x:c>
      <x:c r="F1016" t="n">
        <x:v>999</x:v>
      </x:c>
      <x:c r="G1016" t="str">
        <x:v>6dc7d93aaadba62c33ecc71545108352c4bbc7b51ff9961c2866dd1f8b643a44</x:v>
      </x:c>
      <x:c r="H1016" t="str">
        <x:v>neu</x:v>
      </x:c>
      <x:c r="I1016" t="str">
        <x:v>ok</x:v>
      </x:c>
      <x:c r="J1016"/>
      <x:c r="K1016" t="n">
        <x:v>45838</x:v>
      </x:c>
      <x:c r="L1016" t="n">
        <x:v>45838</x:v>
      </x:c>
      <x:c r="M1016" t="str">
        <x:v>Gebucht</x:v>
      </x:c>
      <x:c r="N1016" t="str">
        <x:v>Kohlenberg, Katrin</x:v>
      </x:c>
      <x:c r="O1016" t="str">
        <x:v>WEVG Salzgitter GmbH + Co. KG</x:v>
      </x:c>
      <x:c r="P1016" t="str">
        <x:v>Kd-Nr 79288 Einz 30.06.25 41710/317.00/Johannes-Wosni 100833/76.00/Johannes-Wosni</x:v>
      </x:c>
      <x:c r="Q1016" t="str">
        <x:v>Ausgang</x:v>
      </x:c>
      <x:c r="R1016" t="str">
        <x:v>DE19300700100394127500</x:v>
      </x:c>
      <x:c r="S1016" t="n">
        <x:v>-393</x:v>
      </x:c>
      <x:c r="T1016" t="str">
        <x:v>DE83WEV00000032716</x:v>
      </x:c>
      <x:c r="U1016" t="str">
        <x:v>WEVG0000079288G1000178580</x:v>
      </x:c>
      <x:c r="V1016" t="str">
        <x:v>13745092</x:v>
      </x:c>
    </x:row>
    <x:row r="1017">
      <x:c r="A1017" t="str">
        <x:v>RAW-IMP-20260516-FULLDRAFT-001000</x:v>
      </x:c>
      <x:c r="B1017" t="str">
        <x:v>IMP-20260516-FULLDRAFT</x:v>
      </x:c>
      <x:c r="C1017" t="str">
        <x:v>KTO001</x:v>
      </x:c>
      <x:c r="D1017" t="str">
        <x:v>16-05-2026_Umsatzliste_Girokonto_DE98120300001061711675.csv</x:v>
      </x:c>
      <x:c r="E1017" t="n">
        <x:v>46163</x:v>
      </x:c>
      <x:c r="F1017" t="n">
        <x:v>1000</x:v>
      </x:c>
      <x:c r="G1017" t="str">
        <x:v>54ad97e9dae361b1cb5b944aee37046968c294963f5ee4f97c58a4f34bdf4d99</x:v>
      </x:c>
      <x:c r="H1017" t="str">
        <x:v>neu</x:v>
      </x:c>
      <x:c r="I1017" t="str">
        <x:v>ok</x:v>
      </x:c>
      <x:c r="J1017"/>
      <x:c r="K1017" t="n">
        <x:v>45835</x:v>
      </x:c>
      <x:c r="L1017" t="n">
        <x:v>45835</x:v>
      </x:c>
      <x:c r="M1017" t="str">
        <x:v>Gebucht</x:v>
      </x:c>
      <x:c r="N1017" t="str">
        <x:v>Stiftung Kath. Altenhilfe im Bistum Hildesheim</x:v>
      </x:c>
      <x:c r="O1017" t="str">
        <x:v>KOHLENBERG LARS</x:v>
      </x:c>
      <x:c r="P1017" t="str">
        <x:v>GEHALT 6/25</x:v>
      </x:c>
      <x:c r="Q1017" t="str">
        <x:v>Eingang</x:v>
      </x:c>
      <x:c r="R1017" t="str">
        <x:v>DE92400602650023150301</x:v>
      </x:c>
      <x:c r="S1017" t="n">
        <x:v>7939.81</x:v>
      </x:c>
      <x:c r="T1017" t="str">
        <x:v>"</x:v>
      </x:c>
      <x:c r="U1017" t="str">
        <x:v>"</x:v>
      </x:c>
      <x:c r="V1017" t="str">
        <x:v>001001987662SALA003543004</x:v>
      </x:c>
    </x:row>
    <x:row r="1018">
      <x:c r="A1018" t="str">
        <x:v>RAW-IMP-20260516-FULLDRAFT-001001</x:v>
      </x:c>
      <x:c r="B1018" t="str">
        <x:v>IMP-20260516-FULLDRAFT</x:v>
      </x:c>
      <x:c r="C1018" t="str">
        <x:v>KTO001</x:v>
      </x:c>
      <x:c r="D1018" t="str">
        <x:v>16-05-2026_Umsatzliste_Girokonto_DE98120300001061711675.csv</x:v>
      </x:c>
      <x:c r="E1018" t="n">
        <x:v>46163</x:v>
      </x:c>
      <x:c r="F1018" t="n">
        <x:v>1001</x:v>
      </x:c>
      <x:c r="G1018" t="str">
        <x:v>4a35f0b59ae0ae265f9352cde8c1cea933b7afa0ea35c2d14d43e5c4532f084f</x:v>
      </x:c>
      <x:c r="H1018" t="str">
        <x:v>neu</x:v>
      </x:c>
      <x:c r="I1018" t="str">
        <x:v>ok</x:v>
      </x:c>
      <x:c r="J1018"/>
      <x:c r="K1018" t="n">
        <x:v>45834</x:v>
      </x:c>
      <x:c r="L1018" t="n">
        <x:v>45834</x:v>
      </x:c>
      <x:c r="M1018" t="str">
        <x:v>Gebucht</x:v>
      </x:c>
      <x:c r="N1018" t="str">
        <x:v>ISSUER</x:v>
      </x:c>
      <x:c r="O1018" t="str">
        <x:v>EDEKA.POTRATZ/HILDESHEIM</x:v>
      </x:c>
      <x:c r="P1018" t="str">
        <x:v>VISA Debitkartenumsatz vom 25.06.2025</x:v>
      </x:c>
      <x:c r="Q1018" t="str">
        <x:v>Ausgang</x:v>
      </x:c>
      <x:c r="R1018" t="str">
        <x:v>DE96120300009005290904</x:v>
      </x:c>
      <x:c r="S1018" t="n">
        <x:v>-7.75</x:v>
      </x:c>
      <x:c r="T1018" t="str">
        <x:v>"</x:v>
      </x:c>
      <x:c r="U1018" t="str">
        <x:v>"</x:v>
      </x:c>
      <x:c r="V1018" t="str">
        <x:v>485176406328527</x:v>
      </x:c>
    </x:row>
    <x:row r="1019">
      <x:c r="A1019" t="str">
        <x:v>RAW-IMP-20260516-FULLDRAFT-001002</x:v>
      </x:c>
      <x:c r="B1019" t="str">
        <x:v>IMP-20260516-FULLDRAFT</x:v>
      </x:c>
      <x:c r="C1019" t="str">
        <x:v>KTO001</x:v>
      </x:c>
      <x:c r="D1019" t="str">
        <x:v>16-05-2026_Umsatzliste_Girokonto_DE98120300001061711675.csv</x:v>
      </x:c>
      <x:c r="E1019" t="n">
        <x:v>46163</x:v>
      </x:c>
      <x:c r="F1019" t="n">
        <x:v>1002</x:v>
      </x:c>
      <x:c r="G1019" t="str">
        <x:v>aad2cdfebfb53f52a3c8a34c143fecc995304e0d50727850e871ac06b367a78e</x:v>
      </x:c>
      <x:c r="H1019" t="str">
        <x:v>neu</x:v>
      </x:c>
      <x:c r="I1019" t="str">
        <x:v>ok</x:v>
      </x:c>
      <x:c r="J1019"/>
      <x:c r="K1019" t="n">
        <x:v>45834</x:v>
      </x:c>
      <x:c r="L1019" t="n">
        <x:v>45834</x:v>
      </x:c>
      <x:c r="M1019" t="str">
        <x:v>Gebucht</x:v>
      </x:c>
      <x:c r="N1019" t="str">
        <x:v>ISSUER</x:v>
      </x:c>
      <x:c r="O1019" t="str">
        <x:v>India.Tandoori.Haus/Hildesheim</x:v>
      </x:c>
      <x:c r="P1019" t="str">
        <x:v>VISA Debitkartenumsatz vom 25.06.2025</x:v>
      </x:c>
      <x:c r="Q1019" t="str">
        <x:v>Ausgang</x:v>
      </x:c>
      <x:c r="R1019" t="str">
        <x:v>DE96120300009005290904</x:v>
      </x:c>
      <x:c r="S1019" t="n">
        <x:v>-14.8</x:v>
      </x:c>
      <x:c r="T1019" t="str">
        <x:v>"</x:v>
      </x:c>
      <x:c r="U1019" t="str">
        <x:v>"</x:v>
      </x:c>
      <x:c r="V1019" t="str">
        <x:v>485176401770483</x:v>
      </x:c>
    </x:row>
    <x:row r="1020">
      <x:c r="A1020" t="str">
        <x:v>RAW-IMP-20260516-FULLDRAFT-001003</x:v>
      </x:c>
      <x:c r="B1020" t="str">
        <x:v>IMP-20260516-FULLDRAFT</x:v>
      </x:c>
      <x:c r="C1020" t="str">
        <x:v>KTO001</x:v>
      </x:c>
      <x:c r="D1020" t="str">
        <x:v>16-05-2026_Umsatzliste_Girokonto_DE98120300001061711675.csv</x:v>
      </x:c>
      <x:c r="E1020" t="n">
        <x:v>46163</x:v>
      </x:c>
      <x:c r="F1020" t="n">
        <x:v>1003</x:v>
      </x:c>
      <x:c r="G1020" t="str">
        <x:v>b0f3f8eaa3b64dbad7dc1aba4d1d3b590ac0d818466ee7279abe3fe9422c8f7f</x:v>
      </x:c>
      <x:c r="H1020" t="str">
        <x:v>neu</x:v>
      </x:c>
      <x:c r="I1020" t="str">
        <x:v>ok</x:v>
      </x:c>
      <x:c r="J1020"/>
      <x:c r="K1020" t="n">
        <x:v>45833</x:v>
      </x:c>
      <x:c r="L1020" t="n">
        <x:v>45833</x:v>
      </x:c>
      <x:c r="M1020" t="str">
        <x:v>Gebucht</x:v>
      </x:c>
      <x:c r="N1020" t="str">
        <x:v>Lars Kohlenberg                                                       Johannes-Wosnitza-Str. 8</x:v>
      </x:c>
      <x:c r="O1020" t="str">
        <x:v>Barmenia Krankenvers. AG</x:v>
      </x:c>
      <x:c r="P1020" t="str">
        <x:v>Reiseversicherung/Vertrag 000270892X00</x:v>
      </x:c>
      <x:c r="Q1020" t="str">
        <x:v>Ausgang</x:v>
      </x:c>
      <x:c r="R1020" t="str">
        <x:v>DE70330500000000900050</x:v>
      </x:c>
      <x:c r="S1020" t="n">
        <x:v>-28</x:v>
      </x:c>
      <x:c r="T1020" t="str">
        <x:v>DE38ZZZ00002227957</x:v>
      </x:c>
      <x:c r="U1020" t="str">
        <x:v>100000002336438</x:v>
      </x:c>
      <x:c r="V1020" t="str">
        <x:v>046103255618</x:v>
      </x:c>
    </x:row>
    <x:row r="1021">
      <x:c r="A1021" t="str">
        <x:v>RAW-IMP-20260516-FULLDRAFT-001004</x:v>
      </x:c>
      <x:c r="B1021" t="str">
        <x:v>IMP-20260516-FULLDRAFT</x:v>
      </x:c>
      <x:c r="C1021" t="str">
        <x:v>KTO001</x:v>
      </x:c>
      <x:c r="D1021" t="str">
        <x:v>16-05-2026_Umsatzliste_Girokonto_DE98120300001061711675.csv</x:v>
      </x:c>
      <x:c r="E1021" t="n">
        <x:v>46163</x:v>
      </x:c>
      <x:c r="F1021" t="n">
        <x:v>1004</x:v>
      </x:c>
      <x:c r="G1021" t="str">
        <x:v>85a8498192d0d46ebce3630453ea8c88425bdb8d9f279a11a857ad076d387cff</x:v>
      </x:c>
      <x:c r="H1021" t="str">
        <x:v>neu</x:v>
      </x:c>
      <x:c r="I1021" t="str">
        <x:v>ok</x:v>
      </x:c>
      <x:c r="J1021"/>
      <x:c r="K1021" t="n">
        <x:v>45831</x:v>
      </x:c>
      <x:c r="L1021" t="n">
        <x:v>45831</x:v>
      </x:c>
      <x:c r="M1021" t="str">
        <x:v>Gebucht</x:v>
      </x:c>
      <x:c r="N1021" t="str">
        <x:v>ISSUER</x:v>
      </x:c>
      <x:c r="O1021" t="str">
        <x:v>MARKUS.FINKE/SALZGITTER</x:v>
      </x:c>
      <x:c r="P1021" t="str">
        <x:v>VISA Debitkartenumsatz vom 21.06.2025</x:v>
      </x:c>
      <x:c r="Q1021" t="str">
        <x:v>Ausgang</x:v>
      </x:c>
      <x:c r="R1021" t="str">
        <x:v>DE96120300009005290904</x:v>
      </x:c>
      <x:c r="S1021" t="n">
        <x:v>-127</x:v>
      </x:c>
      <x:c r="T1021" t="str">
        <x:v>"</x:v>
      </x:c>
      <x:c r="U1021" t="str">
        <x:v>"</x:v>
      </x:c>
      <x:c r="V1021" t="str">
        <x:v>485172340540719</x:v>
      </x:c>
    </x:row>
    <x:row r="1022">
      <x:c r="A1022" t="str">
        <x:v>RAW-IMP-20260516-FULLDRAFT-001005</x:v>
      </x:c>
      <x:c r="B1022" t="str">
        <x:v>IMP-20260516-FULLDRAFT</x:v>
      </x:c>
      <x:c r="C1022" t="str">
        <x:v>KTO001</x:v>
      </x:c>
      <x:c r="D1022" t="str">
        <x:v>16-05-2026_Umsatzliste_Girokonto_DE98120300001061711675.csv</x:v>
      </x:c>
      <x:c r="E1022" t="n">
        <x:v>46163</x:v>
      </x:c>
      <x:c r="F1022" t="n">
        <x:v>1005</x:v>
      </x:c>
      <x:c r="G1022" t="str">
        <x:v>25ff69cc2eab2f50cb59e116e1591734693dea2380e5ccee801c6941e66dcce3</x:v>
      </x:c>
      <x:c r="H1022" t="str">
        <x:v>neu</x:v>
      </x:c>
      <x:c r="I1022" t="str">
        <x:v>ok</x:v>
      </x:c>
      <x:c r="J1022"/>
      <x:c r="K1022" t="n">
        <x:v>45831</x:v>
      </x:c>
      <x:c r="L1022" t="n">
        <x:v>45831</x:v>
      </x:c>
      <x:c r="M1022" t="str">
        <x:v>Gebucht</x:v>
      </x:c>
      <x:c r="N1022" t="str">
        <x:v>ISSUER</x:v>
      </x:c>
      <x:c r="O1022" t="str">
        <x:v>Lidl.sagt.Danke/Salzgitter</x:v>
      </x:c>
      <x:c r="P1022" t="str">
        <x:v>VISA Debitkartenumsatz vom 20.06.2025</x:v>
      </x:c>
      <x:c r="Q1022" t="str">
        <x:v>Ausgang</x:v>
      </x:c>
      <x:c r="R1022" t="str">
        <x:v>DE96120300009005290904</x:v>
      </x:c>
      <x:c r="S1022" t="n">
        <x:v>-36.72</x:v>
      </x:c>
      <x:c r="T1022" t="str">
        <x:v>"</x:v>
      </x:c>
      <x:c r="U1022" t="str">
        <x:v>"</x:v>
      </x:c>
      <x:c r="V1022" t="str">
        <x:v>485171561066472</x:v>
      </x:c>
    </x:row>
    <x:row r="1023">
      <x:c r="A1023" t="str">
        <x:v>RAW-IMP-20260516-FULLDRAFT-001006</x:v>
      </x:c>
      <x:c r="B1023" t="str">
        <x:v>IMP-20260516-FULLDRAFT</x:v>
      </x:c>
      <x:c r="C1023" t="str">
        <x:v>KTO001</x:v>
      </x:c>
      <x:c r="D1023" t="str">
        <x:v>16-05-2026_Umsatzliste_Girokonto_DE98120300001061711675.csv</x:v>
      </x:c>
      <x:c r="E1023" t="n">
        <x:v>46163</x:v>
      </x:c>
      <x:c r="F1023" t="n">
        <x:v>1006</x:v>
      </x:c>
      <x:c r="G1023" t="str">
        <x:v>8ad7181135248270aab2fc51f51e426a8f2cd3dfb17eb87ecb590dc7a32c1a9d</x:v>
      </x:c>
      <x:c r="H1023" t="str">
        <x:v>neu</x:v>
      </x:c>
      <x:c r="I1023" t="str">
        <x:v>ok</x:v>
      </x:c>
      <x:c r="J1023"/>
      <x:c r="K1023" t="n">
        <x:v>45831</x:v>
      </x:c>
      <x:c r="L1023" t="n">
        <x:v>45831</x:v>
      </x:c>
      <x:c r="M1023" t="str">
        <x:v>Gebucht</x:v>
      </x:c>
      <x:c r="N1023" t="str">
        <x:v>ISSUER</x:v>
      </x:c>
      <x:c r="O1023" t="str">
        <x:v>APPLE.COM.BILL/CORK</x:v>
      </x:c>
      <x:c r="P1023" t="str">
        <x:v>VISA Debitkartenumsatz vom 21.06.2025</x:v>
      </x:c>
      <x:c r="Q1023" t="str">
        <x:v>Ausgang</x:v>
      </x:c>
      <x:c r="R1023" t="str">
        <x:v>DE96120300009005290904</x:v>
      </x:c>
      <x:c r="S1023" t="n">
        <x:v>-2.99</x:v>
      </x:c>
      <x:c r="T1023" t="str">
        <x:v>"</x:v>
      </x:c>
      <x:c r="U1023" t="str">
        <x:v>"</x:v>
      </x:c>
      <x:c r="V1023" t="str">
        <x:v>485172466122700</x:v>
      </x:c>
    </x:row>
    <x:row r="1024">
      <x:c r="A1024" t="str">
        <x:v>RAW-IMP-20260516-FULLDRAFT-001007</x:v>
      </x:c>
      <x:c r="B1024" t="str">
        <x:v>IMP-20260516-FULLDRAFT</x:v>
      </x:c>
      <x:c r="C1024" t="str">
        <x:v>KTO001</x:v>
      </x:c>
      <x:c r="D1024" t="str">
        <x:v>16-05-2026_Umsatzliste_Girokonto_DE98120300001061711675.csv</x:v>
      </x:c>
      <x:c r="E1024" t="n">
        <x:v>46163</x:v>
      </x:c>
      <x:c r="F1024" t="n">
        <x:v>1007</x:v>
      </x:c>
      <x:c r="G1024" t="str">
        <x:v>efeedbdb4b755e52244e53ad0637b8951e309dfb27e084798905e4d3285c4caf</x:v>
      </x:c>
      <x:c r="H1024" t="str">
        <x:v>neu</x:v>
      </x:c>
      <x:c r="I1024" t="str">
        <x:v>ok</x:v>
      </x:c>
      <x:c r="J1024"/>
      <x:c r="K1024" t="n">
        <x:v>45831</x:v>
      </x:c>
      <x:c r="L1024" t="n">
        <x:v>45831</x:v>
      </x:c>
      <x:c r="M1024" t="str">
        <x:v>Gebucht</x:v>
      </x:c>
      <x:c r="N1024" t="str">
        <x:v>ISSUER</x:v>
      </x:c>
      <x:c r="O1024" t="str">
        <x:v>Commerzbank.00210259/Salzgitter</x:v>
      </x:c>
      <x:c r="P1024" t="str">
        <x:v>VISA Debitkartenumsatz vom 21.06.2025</x:v>
      </x:c>
      <x:c r="Q1024" t="str">
        <x:v>Ausgang</x:v>
      </x:c>
      <x:c r="R1024" t="str">
        <x:v>DE96120300009005290904</x:v>
      </x:c>
      <x:c r="S1024" t="n">
        <x:v>-250</x:v>
      </x:c>
      <x:c r="T1024" t="str">
        <x:v>"</x:v>
      </x:c>
      <x:c r="U1024" t="str">
        <x:v>"</x:v>
      </x:c>
      <x:c r="V1024" t="str">
        <x:v>485172343818565</x:v>
      </x:c>
    </x:row>
    <x:row r="1025">
      <x:c r="A1025" t="str">
        <x:v>RAW-IMP-20260516-FULLDRAFT-001008</x:v>
      </x:c>
      <x:c r="B1025" t="str">
        <x:v>IMP-20260516-FULLDRAFT</x:v>
      </x:c>
      <x:c r="C1025" t="str">
        <x:v>KTO001</x:v>
      </x:c>
      <x:c r="D1025" t="str">
        <x:v>16-05-2026_Umsatzliste_Girokonto_DE98120300001061711675.csv</x:v>
      </x:c>
      <x:c r="E1025" t="n">
        <x:v>46163</x:v>
      </x:c>
      <x:c r="F1025" t="n">
        <x:v>1008</x:v>
      </x:c>
      <x:c r="G1025" t="str">
        <x:v>a58f4be3b540df4846185a947ec66b5ed019cb24a6ef47718b80b6626896b5f1</x:v>
      </x:c>
      <x:c r="H1025" t="str">
        <x:v>neu</x:v>
      </x:c>
      <x:c r="I1025" t="str">
        <x:v>ok</x:v>
      </x:c>
      <x:c r="J1025"/>
      <x:c r="K1025" t="n">
        <x:v>45831</x:v>
      </x:c>
      <x:c r="L1025" t="n">
        <x:v>45831</x:v>
      </x:c>
      <x:c r="M1025" t="str">
        <x:v>Gebucht</x:v>
      </x:c>
      <x:c r="N1025" t="str">
        <x:v>ISSUER</x:v>
      </x:c>
      <x:c r="O1025" t="str">
        <x:v>LOEWENBAECKER.SCHAPER/SALZGITTER</x:v>
      </x:c>
      <x:c r="P1025" t="str">
        <x:v>VISA Debitkartenumsatz vom 20.06.2025</x:v>
      </x:c>
      <x:c r="Q1025" t="str">
        <x:v>Ausgang</x:v>
      </x:c>
      <x:c r="R1025" t="str">
        <x:v>DE96120300009005290904</x:v>
      </x:c>
      <x:c r="S1025" t="n">
        <x:v>-1.6</x:v>
      </x:c>
      <x:c r="T1025" t="str">
        <x:v>"</x:v>
      </x:c>
      <x:c r="U1025" t="str">
        <x:v>"</x:v>
      </x:c>
      <x:c r="V1025" t="str">
        <x:v>485171571035389</x:v>
      </x:c>
    </x:row>
    <x:row r="1026">
      <x:c r="A1026" t="str">
        <x:v>RAW-IMP-20260516-FULLDRAFT-001009</x:v>
      </x:c>
      <x:c r="B1026" t="str">
        <x:v>IMP-20260516-FULLDRAFT</x:v>
      </x:c>
      <x:c r="C1026" t="str">
        <x:v>KTO001</x:v>
      </x:c>
      <x:c r="D1026" t="str">
        <x:v>16-05-2026_Umsatzliste_Girokonto_DE98120300001061711675.csv</x:v>
      </x:c>
      <x:c r="E1026" t="n">
        <x:v>46163</x:v>
      </x:c>
      <x:c r="F1026" t="n">
        <x:v>1009</x:v>
      </x:c>
      <x:c r="G1026" t="str">
        <x:v>961facdb94325686ad4eaa6ae839a34100f631ad3d22833a2465542ab471c19c</x:v>
      </x:c>
      <x:c r="H1026" t="str">
        <x:v>neu</x:v>
      </x:c>
      <x:c r="I1026" t="str">
        <x:v>ok</x:v>
      </x:c>
      <x:c r="J1026"/>
      <x:c r="K1026" t="n">
        <x:v>45831</x:v>
      </x:c>
      <x:c r="L1026" t="n">
        <x:v>45831</x:v>
      </x:c>
      <x:c r="M1026" t="str">
        <x:v>Gebucht</x:v>
      </x:c>
      <x:c r="N1026" t="str">
        <x:v>ISSUER</x:v>
      </x:c>
      <x:c r="O1026" t="str">
        <x:v>DM.Drogerie.Markt/Salzgitter</x:v>
      </x:c>
      <x:c r="P1026" t="str">
        <x:v>VISA Debitkartenumsatz vom 21.06.2025</x:v>
      </x:c>
      <x:c r="Q1026" t="str">
        <x:v>Ausgang</x:v>
      </x:c>
      <x:c r="R1026" t="str">
        <x:v>DE96120300009005290904</x:v>
      </x:c>
      <x:c r="S1026" t="n">
        <x:v>-35.65</x:v>
      </x:c>
      <x:c r="T1026" t="str">
        <x:v>"</x:v>
      </x:c>
      <x:c r="U1026" t="str">
        <x:v>"</x:v>
      </x:c>
      <x:c r="V1026" t="str">
        <x:v>485172359470863</x:v>
      </x:c>
    </x:row>
    <x:row r="1027">
      <x:c r="A1027" t="str">
        <x:v>RAW-IMP-20260516-FULLDRAFT-001010</x:v>
      </x:c>
      <x:c r="B1027" t="str">
        <x:v>IMP-20260516-FULLDRAFT</x:v>
      </x:c>
      <x:c r="C1027" t="str">
        <x:v>KTO001</x:v>
      </x:c>
      <x:c r="D1027" t="str">
        <x:v>16-05-2026_Umsatzliste_Girokonto_DE98120300001061711675.csv</x:v>
      </x:c>
      <x:c r="E1027" t="n">
        <x:v>46163</x:v>
      </x:c>
      <x:c r="F1027" t="n">
        <x:v>1010</x:v>
      </x:c>
      <x:c r="G1027" t="str">
        <x:v>3835e36f54e1cf5946d5c8bbaa475999b52184898e837f2f7dd6a918f4b4b812</x:v>
      </x:c>
      <x:c r="H1027" t="str">
        <x:v>neu</x:v>
      </x:c>
      <x:c r="I1027" t="str">
        <x:v>ok</x:v>
      </x:c>
      <x:c r="J1027"/>
      <x:c r="K1027" t="n">
        <x:v>45831</x:v>
      </x:c>
      <x:c r="L1027" t="n">
        <x:v>45831</x:v>
      </x:c>
      <x:c r="M1027" t="str">
        <x:v>Gebucht</x:v>
      </x:c>
      <x:c r="N1027" t="str">
        <x:v>ISSUER</x:v>
      </x:c>
      <x:c r="O1027" t="str">
        <x:v>REWE.Salzgitter.Ge/Salzgitter</x:v>
      </x:c>
      <x:c r="P1027" t="str">
        <x:v>VISA Debitkartenumsatz vom 21.06.2025</x:v>
      </x:c>
      <x:c r="Q1027" t="str">
        <x:v>Ausgang</x:v>
      </x:c>
      <x:c r="R1027" t="str">
        <x:v>DE96120300009005290904</x:v>
      </x:c>
      <x:c r="S1027" t="n">
        <x:v>-94.15</x:v>
      </x:c>
      <x:c r="T1027" t="str">
        <x:v>"</x:v>
      </x:c>
      <x:c r="U1027" t="str">
        <x:v>"</x:v>
      </x:c>
      <x:c r="V1027" t="str">
        <x:v>485172266765186</x:v>
      </x:c>
    </x:row>
    <x:row r="1028">
      <x:c r="A1028" t="str">
        <x:v>RAW-IMP-20260516-FULLDRAFT-001011</x:v>
      </x:c>
      <x:c r="B1028" t="str">
        <x:v>IMP-20260516-FULLDRAFT</x:v>
      </x:c>
      <x:c r="C1028" t="str">
        <x:v>KTO001</x:v>
      </x:c>
      <x:c r="D1028" t="str">
        <x:v>16-05-2026_Umsatzliste_Girokonto_DE98120300001061711675.csv</x:v>
      </x:c>
      <x:c r="E1028" t="n">
        <x:v>46163</x:v>
      </x:c>
      <x:c r="F1028" t="n">
        <x:v>1011</x:v>
      </x:c>
      <x:c r="G1028" t="str">
        <x:v>4e448adabe62ea408ab88f82a320371761ea84ed04a5cdf7696ae8c94b4034e7</x:v>
      </x:c>
      <x:c r="H1028" t="str">
        <x:v>neu</x:v>
      </x:c>
      <x:c r="I1028" t="str">
        <x:v>ok</x:v>
      </x:c>
      <x:c r="J1028"/>
      <x:c r="K1028" t="n">
        <x:v>45831</x:v>
      </x:c>
      <x:c r="L1028" t="n">
        <x:v>45831</x:v>
      </x:c>
      <x:c r="M1028" t="str">
        <x:v>Gebucht</x:v>
      </x:c>
      <x:c r="N1028" t="str">
        <x:v>Lars Kohlenberg</x:v>
      </x:c>
      <x:c r="O1028" t="str">
        <x:v>Drillisch Online GmbH                                                 Wilhelm-Rontgen-Strase 1-5, 63477 Maintal</x:v>
      </x:c>
      <x:c r="P1028" t="str">
        <x:v>C0851820 U726588861 B827721959 winSIM</x:v>
      </x:c>
      <x:c r="Q1028" t="str">
        <x:v>Ausgang</x:v>
      </x:c>
      <x:c r="R1028" t="str">
        <x:v>DE87300500000008996811</x:v>
      </x:c>
      <x:c r="S1028" t="n">
        <x:v>-6.99</x:v>
      </x:c>
      <x:c r="T1028" t="str">
        <x:v>DE40ZZZ00000206926</x:v>
      </x:c>
      <x:c r="U1028" t="str">
        <x:v>FB1310D094B04186E02ACE7B8C6</x:v>
      </x:c>
      <x:c r="V1028" t="str">
        <x:v>C0851820+U726588861</x:v>
      </x:c>
    </x:row>
    <x:row r="1029">
      <x:c r="A1029" t="str">
        <x:v>RAW-IMP-20260516-FULLDRAFT-001012</x:v>
      </x:c>
      <x:c r="B1029" t="str">
        <x:v>IMP-20260516-FULLDRAFT</x:v>
      </x:c>
      <x:c r="C1029" t="str">
        <x:v>KTO001</x:v>
      </x:c>
      <x:c r="D1029" t="str">
        <x:v>16-05-2026_Umsatzliste_Girokonto_DE98120300001061711675.csv</x:v>
      </x:c>
      <x:c r="E1029" t="n">
        <x:v>46163</x:v>
      </x:c>
      <x:c r="F1029" t="n">
        <x:v>1012</x:v>
      </x:c>
      <x:c r="G1029" t="str">
        <x:v>ac6dad824073191972bd7ce48c1f3af2803e741e3a778065d665fde8a8f537b5</x:v>
      </x:c>
      <x:c r="H1029" t="str">
        <x:v>neu</x:v>
      </x:c>
      <x:c r="I1029" t="str">
        <x:v>ok</x:v>
      </x:c>
      <x:c r="J1029"/>
      <x:c r="K1029" t="n">
        <x:v>45831</x:v>
      </x:c>
      <x:c r="L1029" t="n">
        <x:v>45831</x:v>
      </x:c>
      <x:c r="M1029" t="str">
        <x:v>Gebucht</x:v>
      </x:c>
      <x:c r="N1029" t="str">
        <x:v>Lars Kohlenberg</x:v>
      </x:c>
      <x:c r="O1029" t="str">
        <x:v>Drillisch Online GmbH                                                 Wilhelm-Rontgen-Strase 1-5, 63477 Maintal</x:v>
      </x:c>
      <x:c r="P1029" t="str">
        <x:v>C0851820 U724687462 B825712707 winSIM</x:v>
      </x:c>
      <x:c r="Q1029" t="str">
        <x:v>Ausgang</x:v>
      </x:c>
      <x:c r="R1029" t="str">
        <x:v>DE87300500000008996811</x:v>
      </x:c>
      <x:c r="S1029" t="n">
        <x:v>-6.99</x:v>
      </x:c>
      <x:c r="T1029" t="str">
        <x:v>DE40ZZZ00000206926</x:v>
      </x:c>
      <x:c r="U1029" t="str">
        <x:v>FB1310D094B04186E02ACE7B8C6</x:v>
      </x:c>
      <x:c r="V1029" t="str">
        <x:v>C0851820+U724687462</x:v>
      </x:c>
    </x:row>
    <x:row r="1030">
      <x:c r="A1030" t="str">
        <x:v>RAW-IMP-20260516-FULLDRAFT-001013</x:v>
      </x:c>
      <x:c r="B1030" t="str">
        <x:v>IMP-20260516-FULLDRAFT</x:v>
      </x:c>
      <x:c r="C1030" t="str">
        <x:v>KTO001</x:v>
      </x:c>
      <x:c r="D1030" t="str">
        <x:v>16-05-2026_Umsatzliste_Girokonto_DE98120300001061711675.csv</x:v>
      </x:c>
      <x:c r="E1030" t="n">
        <x:v>46163</x:v>
      </x:c>
      <x:c r="F1030" t="n">
        <x:v>1013</x:v>
      </x:c>
      <x:c r="G1030" t="str">
        <x:v>b3c8b7d62e16b96b2632943eb93a0e08d9cbdd20af18d2a12e734f2462bf290b</x:v>
      </x:c>
      <x:c r="H1030" t="str">
        <x:v>neu</x:v>
      </x:c>
      <x:c r="I1030" t="str">
        <x:v>ok</x:v>
      </x:c>
      <x:c r="J1030"/>
      <x:c r="K1030" t="n">
        <x:v>45831</x:v>
      </x:c>
      <x:c r="L1030" t="n">
        <x:v>45831</x:v>
      </x:c>
      <x:c r="M1030" t="str">
        <x:v>Gebucht</x:v>
      </x:c>
      <x:c r="N1030" t="str">
        <x:v>Lars Kohlenberg</x:v>
      </x:c>
      <x:c r="O1030" t="str">
        <x:v>Drillisch Online GmbH                                                 Wilhelm-Rontgen-Strase 1-5, 63477 Maintal</x:v>
      </x:c>
      <x:c r="P1030" t="str">
        <x:v>C0851820 U725248447 B828516886 winSIM</x:v>
      </x:c>
      <x:c r="Q1030" t="str">
        <x:v>Ausgang</x:v>
      </x:c>
      <x:c r="R1030" t="str">
        <x:v>DE87300500000008996811</x:v>
      </x:c>
      <x:c r="S1030" t="n">
        <x:v>-6.99</x:v>
      </x:c>
      <x:c r="T1030" t="str">
        <x:v>DE40ZZZ00000206926</x:v>
      </x:c>
      <x:c r="U1030" t="str">
        <x:v>FB1310D094B04186E02ACE7B8C6</x:v>
      </x:c>
      <x:c r="V1030" t="str">
        <x:v>C0851820+U725248447</x:v>
      </x:c>
    </x:row>
    <x:row r="1031">
      <x:c r="A1031" t="str">
        <x:v>RAW-IMP-20260516-FULLDRAFT-001014</x:v>
      </x:c>
      <x:c r="B1031" t="str">
        <x:v>IMP-20260516-FULLDRAFT</x:v>
      </x:c>
      <x:c r="C1031" t="str">
        <x:v>KTO001</x:v>
      </x:c>
      <x:c r="D1031" t="str">
        <x:v>16-05-2026_Umsatzliste_Girokonto_DE98120300001061711675.csv</x:v>
      </x:c>
      <x:c r="E1031" t="n">
        <x:v>46163</x:v>
      </x:c>
      <x:c r="F1031" t="n">
        <x:v>1014</x:v>
      </x:c>
      <x:c r="G1031" t="str">
        <x:v>34eaa18e0bba03d2a9de888697915b8eb3a289eba837ced858c4b7926e05bf12</x:v>
      </x:c>
      <x:c r="H1031" t="str">
        <x:v>neu</x:v>
      </x:c>
      <x:c r="I1031" t="str">
        <x:v>ok</x:v>
      </x:c>
      <x:c r="J1031"/>
      <x:c r="K1031" t="n">
        <x:v>45828</x:v>
      </x:c>
      <x:c r="L1031" t="n">
        <x:v>45828</x:v>
      </x:c>
      <x:c r="M1031" t="str">
        <x:v>Gebucht</x:v>
      </x:c>
      <x:c r="N1031" t="str">
        <x:v>ISSUER</x:v>
      </x:c>
      <x:c r="O1031" t="str">
        <x:v>PAYPAL..HPDEUTSCHLA/4029357733</x:v>
      </x:c>
      <x:c r="P1031" t="str">
        <x:v>VISA Debitkartenumsatz vom 19.06.2025</x:v>
      </x:c>
      <x:c r="Q1031" t="str">
        <x:v>Ausgang</x:v>
      </x:c>
      <x:c r="R1031" t="str">
        <x:v>DE96120300009005290904</x:v>
      </x:c>
      <x:c r="S1031" t="n">
        <x:v>-4.99</x:v>
      </x:c>
      <x:c r="T1031" t="str">
        <x:v>"</x:v>
      </x:c>
      <x:c r="U1031" t="str">
        <x:v>"</x:v>
      </x:c>
      <x:c r="V1031" t="str">
        <x:v>585170471884804</x:v>
      </x:c>
    </x:row>
    <x:row r="1032">
      <x:c r="A1032" t="str">
        <x:v>RAW-IMP-20260516-FULLDRAFT-001015</x:v>
      </x:c>
      <x:c r="B1032" t="str">
        <x:v>IMP-20260516-FULLDRAFT</x:v>
      </x:c>
      <x:c r="C1032" t="str">
        <x:v>KTO001</x:v>
      </x:c>
      <x:c r="D1032" t="str">
        <x:v>16-05-2026_Umsatzliste_Girokonto_DE98120300001061711675.csv</x:v>
      </x:c>
      <x:c r="E1032" t="n">
        <x:v>46163</x:v>
      </x:c>
      <x:c r="F1032" t="n">
        <x:v>1015</x:v>
      </x:c>
      <x:c r="G1032" t="str">
        <x:v>61995f61932f26b0d87292f80690f68b67388be163a2b9cf8061056e0c2768a6</x:v>
      </x:c>
      <x:c r="H1032" t="str">
        <x:v>neu</x:v>
      </x:c>
      <x:c r="I1032" t="str">
        <x:v>ok</x:v>
      </x:c>
      <x:c r="J1032"/>
      <x:c r="K1032" t="n">
        <x:v>45828</x:v>
      </x:c>
      <x:c r="L1032" t="n">
        <x:v>45828</x:v>
      </x:c>
      <x:c r="M1032" t="str">
        <x:v>Gebucht</x:v>
      </x:c>
      <x:c r="N1032" t="str">
        <x:v>ISSUER</x:v>
      </x:c>
      <x:c r="O1032" t="str">
        <x:v>REWE.Salzgitter.Ge/Salzgitter</x:v>
      </x:c>
      <x:c r="P1032" t="str">
        <x:v>VISA Debitkartenumsatz vom 19.06.2025</x:v>
      </x:c>
      <x:c r="Q1032" t="str">
        <x:v>Ausgang</x:v>
      </x:c>
      <x:c r="R1032" t="str">
        <x:v>DE96120300009005290904</x:v>
      </x:c>
      <x:c r="S1032" t="n">
        <x:v>-2.69</x:v>
      </x:c>
      <x:c r="T1032" t="str">
        <x:v>"</x:v>
      </x:c>
      <x:c r="U1032" t="str">
        <x:v>"</x:v>
      </x:c>
      <x:c r="V1032" t="str">
        <x:v>485170579228647</x:v>
      </x:c>
    </x:row>
    <x:row r="1033">
      <x:c r="A1033" t="str">
        <x:v>RAW-IMP-20260516-FULLDRAFT-001016</x:v>
      </x:c>
      <x:c r="B1033" t="str">
        <x:v>IMP-20260516-FULLDRAFT</x:v>
      </x:c>
      <x:c r="C1033" t="str">
        <x:v>KTO001</x:v>
      </x:c>
      <x:c r="D1033" t="str">
        <x:v>16-05-2026_Umsatzliste_Girokonto_DE98120300001061711675.csv</x:v>
      </x:c>
      <x:c r="E1033" t="n">
        <x:v>46163</x:v>
      </x:c>
      <x:c r="F1033" t="n">
        <x:v>1016</x:v>
      </x:c>
      <x:c r="G1033" t="str">
        <x:v>525a196a52c1173a63a48c29f9c8fd0dbea2f00a18705f138016de8ca52f2fd1</x:v>
      </x:c>
      <x:c r="H1033" t="str">
        <x:v>neu</x:v>
      </x:c>
      <x:c r="I1033" t="str">
        <x:v>ok</x:v>
      </x:c>
      <x:c r="J1033"/>
      <x:c r="K1033" t="n">
        <x:v>45827</x:v>
      </x:c>
      <x:c r="L1033" t="n">
        <x:v>45827</x:v>
      </x:c>
      <x:c r="M1033" t="str">
        <x:v>Gebucht</x:v>
      </x:c>
      <x:c r="N1033" t="str">
        <x:v>ISSUER</x:v>
      </x:c>
      <x:c r="O1033" t="str">
        <x:v>ISENECKERS.MARKPLATZ/LANGEOOG</x:v>
      </x:c>
      <x:c r="P1033" t="str">
        <x:v>VISA Debitkartenumsatz vom 18.06.2025</x:v>
      </x:c>
      <x:c r="Q1033" t="str">
        <x:v>Ausgang</x:v>
      </x:c>
      <x:c r="R1033" t="str">
        <x:v>DE96120300009005290904</x:v>
      </x:c>
      <x:c r="S1033" t="n">
        <x:v>-4.09</x:v>
      </x:c>
      <x:c r="T1033" t="str">
        <x:v>"</x:v>
      </x:c>
      <x:c r="U1033" t="str">
        <x:v>"</x:v>
      </x:c>
      <x:c r="V1033" t="str">
        <x:v>485169252512490</x:v>
      </x:c>
    </x:row>
    <x:row r="1034">
      <x:c r="A1034" t="str">
        <x:v>RAW-IMP-20260516-FULLDRAFT-001017</x:v>
      </x:c>
      <x:c r="B1034" t="str">
        <x:v>IMP-20260516-FULLDRAFT</x:v>
      </x:c>
      <x:c r="C1034" t="str">
        <x:v>KTO001</x:v>
      </x:c>
      <x:c r="D1034" t="str">
        <x:v>16-05-2026_Umsatzliste_Girokonto_DE98120300001061711675.csv</x:v>
      </x:c>
      <x:c r="E1034" t="n">
        <x:v>46163</x:v>
      </x:c>
      <x:c r="F1034" t="n">
        <x:v>1017</x:v>
      </x:c>
      <x:c r="G1034" t="str">
        <x:v>88eedc8fcf4e2a0cc2ffc4c3ce234cb8db37a7bc3c02ba3e2fd6e8c96d797d77</x:v>
      </x:c>
      <x:c r="H1034" t="str">
        <x:v>neu</x:v>
      </x:c>
      <x:c r="I1034" t="str">
        <x:v>ok</x:v>
      </x:c>
      <x:c r="J1034"/>
      <x:c r="K1034" t="n">
        <x:v>45827</x:v>
      </x:c>
      <x:c r="L1034" t="n">
        <x:v>45827</x:v>
      </x:c>
      <x:c r="M1034" t="str">
        <x:v>Gebucht</x:v>
      </x:c>
      <x:c r="N1034" t="str">
        <x:v>ISSUER</x:v>
      </x:c>
      <x:c r="O1034" t="str">
        <x:v>SPC.Restaurant.Bei.Kost/Langeoog</x:v>
      </x:c>
      <x:c r="P1034" t="str">
        <x:v>VISA Debitkartenumsatz vom 18.06.2025</x:v>
      </x:c>
      <x:c r="Q1034" t="str">
        <x:v>Ausgang</x:v>
      </x:c>
      <x:c r="R1034" t="str">
        <x:v>DE96120300009005290904</x:v>
      </x:c>
      <x:c r="S1034" t="n">
        <x:v>-40</x:v>
      </x:c>
      <x:c r="T1034" t="str">
        <x:v>"</x:v>
      </x:c>
      <x:c r="U1034" t="str">
        <x:v>"</x:v>
      </x:c>
      <x:c r="V1034" t="str">
        <x:v>485169675424391</x:v>
      </x:c>
    </x:row>
    <x:row r="1035">
      <x:c r="A1035" t="str">
        <x:v>RAW-IMP-20260516-FULLDRAFT-001018</x:v>
      </x:c>
      <x:c r="B1035" t="str">
        <x:v>IMP-20260516-FULLDRAFT</x:v>
      </x:c>
      <x:c r="C1035" t="str">
        <x:v>KTO001</x:v>
      </x:c>
      <x:c r="D1035" t="str">
        <x:v>16-05-2026_Umsatzliste_Girokonto_DE98120300001061711675.csv</x:v>
      </x:c>
      <x:c r="E1035" t="n">
        <x:v>46163</x:v>
      </x:c>
      <x:c r="F1035" t="n">
        <x:v>1018</x:v>
      </x:c>
      <x:c r="G1035" t="str">
        <x:v>eb11ca13882be38b97a8686aa453247a2dccf0a3f24351f879b7c798bc3328ce</x:v>
      </x:c>
      <x:c r="H1035" t="str">
        <x:v>neu</x:v>
      </x:c>
      <x:c r="I1035" t="str">
        <x:v>ok</x:v>
      </x:c>
      <x:c r="J1035"/>
      <x:c r="K1035" t="n">
        <x:v>45826</x:v>
      </x:c>
      <x:c r="L1035" t="n">
        <x:v>45826</x:v>
      </x:c>
      <x:c r="M1035" t="str">
        <x:v>Gebucht</x:v>
      </x:c>
      <x:c r="N1035" t="str">
        <x:v>ISSUER</x:v>
      </x:c>
      <x:c r="O1035" t="str">
        <x:v>NORDSEEHOTEL.KROEGER/LANGEOOG</x:v>
      </x:c>
      <x:c r="P1035" t="str">
        <x:v>VISA Debitkartenumsatz vom 17.06.2025</x:v>
      </x:c>
      <x:c r="Q1035" t="str">
        <x:v>Ausgang</x:v>
      </x:c>
      <x:c r="R1035" t="str">
        <x:v>DE96120300009005290904</x:v>
      </x:c>
      <x:c r="S1035" t="n">
        <x:v>-20</x:v>
      </x:c>
      <x:c r="T1035" t="str">
        <x:v>"</x:v>
      </x:c>
      <x:c r="U1035" t="str">
        <x:v>"</x:v>
      </x:c>
      <x:c r="V1035" t="str">
        <x:v>485168698532509</x:v>
      </x:c>
    </x:row>
    <x:row r="1036">
      <x:c r="A1036" t="str">
        <x:v>RAW-IMP-20260516-FULLDRAFT-001019</x:v>
      </x:c>
      <x:c r="B1036" t="str">
        <x:v>IMP-20260516-FULLDRAFT</x:v>
      </x:c>
      <x:c r="C1036" t="str">
        <x:v>KTO001</x:v>
      </x:c>
      <x:c r="D1036" t="str">
        <x:v>16-05-2026_Umsatzliste_Girokonto_DE98120300001061711675.csv</x:v>
      </x:c>
      <x:c r="E1036" t="n">
        <x:v>46163</x:v>
      </x:c>
      <x:c r="F1036" t="n">
        <x:v>1019</x:v>
      </x:c>
      <x:c r="G1036" t="str">
        <x:v>973b339b9a2dea624c95d59a9972bd7baf088093e46489fe8de7f22141b2ba7d</x:v>
      </x:c>
      <x:c r="H1036" t="str">
        <x:v>neu</x:v>
      </x:c>
      <x:c r="I1036" t="str">
        <x:v>ok</x:v>
      </x:c>
      <x:c r="J1036"/>
      <x:c r="K1036" t="n">
        <x:v>45826</x:v>
      </x:c>
      <x:c r="L1036" t="n">
        <x:v>45826</x:v>
      </x:c>
      <x:c r="M1036" t="str">
        <x:v>Gebucht</x:v>
      </x:c>
      <x:c r="N1036" t="str">
        <x:v>ISSUER</x:v>
      </x:c>
      <x:c r="O1036" t="str">
        <x:v>MCDONALDS.00404/DELMENHORST</x:v>
      </x:c>
      <x:c r="P1036" t="str">
        <x:v>VISA Debitkartenumsatz vom 17.06.2025</x:v>
      </x:c>
      <x:c r="Q1036" t="str">
        <x:v>Ausgang</x:v>
      </x:c>
      <x:c r="R1036" t="str">
        <x:v>DE96120300009005290904</x:v>
      </x:c>
      <x:c r="S1036" t="n">
        <x:v>-11.99</x:v>
      </x:c>
      <x:c r="T1036" t="str">
        <x:v>"</x:v>
      </x:c>
      <x:c r="U1036" t="str">
        <x:v>"</x:v>
      </x:c>
      <x:c r="V1036" t="str">
        <x:v>485168322331493</x:v>
      </x:c>
    </x:row>
    <x:row r="1037">
      <x:c r="A1037" t="str">
        <x:v>RAW-IMP-20260516-FULLDRAFT-001020</x:v>
      </x:c>
      <x:c r="B1037" t="str">
        <x:v>IMP-20260516-FULLDRAFT</x:v>
      </x:c>
      <x:c r="C1037" t="str">
        <x:v>KTO001</x:v>
      </x:c>
      <x:c r="D1037" t="str">
        <x:v>16-05-2026_Umsatzliste_Girokonto_DE98120300001061711675.csv</x:v>
      </x:c>
      <x:c r="E1037" t="n">
        <x:v>46163</x:v>
      </x:c>
      <x:c r="F1037" t="n">
        <x:v>1020</x:v>
      </x:c>
      <x:c r="G1037" t="str">
        <x:v>eb1267ce45a57472f9d3779a9639827d2beec49517cdd55f86d5270eff02431a</x:v>
      </x:c>
      <x:c r="H1037" t="str">
        <x:v>neu</x:v>
      </x:c>
      <x:c r="I1037" t="str">
        <x:v>ok</x:v>
      </x:c>
      <x:c r="J1037"/>
      <x:c r="K1037" t="n">
        <x:v>45826</x:v>
      </x:c>
      <x:c r="L1037" t="n">
        <x:v>45826</x:v>
      </x:c>
      <x:c r="M1037" t="str">
        <x:v>Gebucht</x:v>
      </x:c>
      <x:c r="N1037" t="str">
        <x:v>ISSUER</x:v>
      </x:c>
      <x:c r="O1037" t="str">
        <x:v>AMZN.Mktp.DE.W75U65265/800.279.6620</x:v>
      </x:c>
      <x:c r="P1037" t="str">
        <x:v>VISA Debitkartenumsatz vom 17.06.2025</x:v>
      </x:c>
      <x:c r="Q1037" t="str">
        <x:v>Ausgang</x:v>
      </x:c>
      <x:c r="R1037" t="str">
        <x:v>DE96120300009005290904</x:v>
      </x:c>
      <x:c r="S1037" t="n">
        <x:v>-25.98</x:v>
      </x:c>
      <x:c r="T1037" t="str">
        <x:v>"</x:v>
      </x:c>
      <x:c r="U1037" t="str">
        <x:v>"</x:v>
      </x:c>
      <x:c r="V1037" t="str">
        <x:v>485167719063870</x:v>
      </x:c>
    </x:row>
    <x:row r="1038">
      <x:c r="A1038" t="str">
        <x:v>RAW-IMP-20260516-FULLDRAFT-001021</x:v>
      </x:c>
      <x:c r="B1038" t="str">
        <x:v>IMP-20260516-FULLDRAFT</x:v>
      </x:c>
      <x:c r="C1038" t="str">
        <x:v>KTO001</x:v>
      </x:c>
      <x:c r="D1038" t="str">
        <x:v>16-05-2026_Umsatzliste_Girokonto_DE98120300001061711675.csv</x:v>
      </x:c>
      <x:c r="E1038" t="n">
        <x:v>46163</x:v>
      </x:c>
      <x:c r="F1038" t="n">
        <x:v>1021</x:v>
      </x:c>
      <x:c r="G1038" t="str">
        <x:v>918da3862ea1808122744ce9dd992c85dc9103ad216c12ed7f6850425ead7d33</x:v>
      </x:c>
      <x:c r="H1038" t="str">
        <x:v>neu</x:v>
      </x:c>
      <x:c r="I1038" t="str">
        <x:v>ok</x:v>
      </x:c>
      <x:c r="J1038"/>
      <x:c r="K1038" t="n">
        <x:v>45825</x:v>
      </x:c>
      <x:c r="L1038" t="n">
        <x:v>45825</x:v>
      </x:c>
      <x:c r="M1038" t="str">
        <x:v>Gebucht</x:v>
      </x:c>
      <x:c r="N1038" t="str">
        <x:v>ACCOR..NOVOTEL.PERPIGN/ISSY.LES.MOUL</x:v>
      </x:c>
      <x:c r="O1038" t="str">
        <x:v>NOTPROVIDED</x:v>
      </x:c>
      <x:c r="P1038" t="str">
        <x:v>20250617195734 ACCOR..NOVOTEL.PERPIGN FR</x:v>
      </x:c>
      <x:c r="Q1038" t="str">
        <x:v>Eingang</x:v>
      </x:c>
      <x:c r="R1038" t="str">
        <x:v>DE96120300009005290904</x:v>
      </x:c>
      <x:c r="S1038" t="n">
        <x:v>169.1</x:v>
      </x:c>
      <x:c r="T1038" t="str">
        <x:v>"</x:v>
      </x:c>
      <x:c r="U1038" t="str">
        <x:v>"</x:v>
      </x:c>
      <x:c r="V1038" t="str">
        <x:v>485047553555611</x:v>
      </x:c>
    </x:row>
    <x:row r="1039">
      <x:c r="A1039" t="str">
        <x:v>RAW-IMP-20260516-FULLDRAFT-001022</x:v>
      </x:c>
      <x:c r="B1039" t="str">
        <x:v>IMP-20260516-FULLDRAFT</x:v>
      </x:c>
      <x:c r="C1039" t="str">
        <x:v>KTO001</x:v>
      </x:c>
      <x:c r="D1039" t="str">
        <x:v>16-05-2026_Umsatzliste_Girokonto_DE98120300001061711675.csv</x:v>
      </x:c>
      <x:c r="E1039" t="n">
        <x:v>46163</x:v>
      </x:c>
      <x:c r="F1039" t="n">
        <x:v>1022</x:v>
      </x:c>
      <x:c r="G1039" t="str">
        <x:v>2e850f8b07600ff957ba91ddd6929c52d9884819b1ab2cb10eed71d76f2a05f8</x:v>
      </x:c>
      <x:c r="H1039" t="str">
        <x:v>neu</x:v>
      </x:c>
      <x:c r="I1039" t="str">
        <x:v>ok</x:v>
      </x:c>
      <x:c r="J1039"/>
      <x:c r="K1039" t="n">
        <x:v>45825</x:v>
      </x:c>
      <x:c r="L1039" t="n">
        <x:v>45825</x:v>
      </x:c>
      <x:c r="M1039" t="str">
        <x:v>Gebucht</x:v>
      </x:c>
      <x:c r="N1039" t="str">
        <x:v>ISSUER</x:v>
      </x:c>
      <x:c r="O1039" t="str">
        <x:v>ACCOR..NOVOTEL.MONTPEL/ALL.ACCOR.COM</x:v>
      </x:c>
      <x:c r="P1039" t="str">
        <x:v>VISA Debitkartenumsatz vom 16.06.2025</x:v>
      </x:c>
      <x:c r="Q1039" t="str">
        <x:v>Ausgang</x:v>
      </x:c>
      <x:c r="R1039" t="str">
        <x:v>DE96120300009005290904</x:v>
      </x:c>
      <x:c r="S1039" t="n">
        <x:v>-152.45</x:v>
      </x:c>
      <x:c r="T1039" t="str">
        <x:v>"</x:v>
      </x:c>
      <x:c r="U1039" t="str">
        <x:v>"</x:v>
      </x:c>
      <x:c r="V1039" t="str">
        <x:v>485167629529959</x:v>
      </x:c>
    </x:row>
    <x:row r="1040">
      <x:c r="A1040" t="str">
        <x:v>RAW-IMP-20260516-FULLDRAFT-001023</x:v>
      </x:c>
      <x:c r="B1040" t="str">
        <x:v>IMP-20260516-FULLDRAFT</x:v>
      </x:c>
      <x:c r="C1040" t="str">
        <x:v>KTO001</x:v>
      </x:c>
      <x:c r="D1040" t="str">
        <x:v>16-05-2026_Umsatzliste_Girokonto_DE98120300001061711675.csv</x:v>
      </x:c>
      <x:c r="E1040" t="n">
        <x:v>46163</x:v>
      </x:c>
      <x:c r="F1040" t="n">
        <x:v>1023</x:v>
      </x:c>
      <x:c r="G1040" t="str">
        <x:v>5da59e817af90dfb99c9d7941914156c199fcd9ed68aef84c93b585dac3e6801</x:v>
      </x:c>
      <x:c r="H1040" t="str">
        <x:v>neu</x:v>
      </x:c>
      <x:c r="I1040" t="str">
        <x:v>ok</x:v>
      </x:c>
      <x:c r="J1040"/>
      <x:c r="K1040" t="n">
        <x:v>45825</x:v>
      </x:c>
      <x:c r="L1040" t="n">
        <x:v>45825</x:v>
      </x:c>
      <x:c r="M1040" t="str">
        <x:v>Gebucht</x:v>
      </x:c>
      <x:c r="N1040" t="str">
        <x:v>Lars Kohlenberg</x:v>
      </x:c>
      <x:c r="O1040" t="str">
        <x:v>VHV Allg. Versicherung AG</x:v>
      </x:c>
      <x:c r="P1040" t="str">
        <x:v>VHV Versicherung RECHTSSCHUTZVERSICHERUNG R 601-153027/0000 Abrechnung: 16.06.25 - 16.06.26</x:v>
      </x:c>
      <x:c r="Q1040" t="str">
        <x:v>Ausgang</x:v>
      </x:c>
      <x:c r="R1040" t="str">
        <x:v>DE65250500000101411551</x:v>
      </x:c>
      <x:c r="S1040" t="n">
        <x:v>-273.09</x:v>
      </x:c>
      <x:c r="T1040" t="str">
        <x:v>DE32VHV00000150810</x:v>
      </x:c>
      <x:c r="U1040" t="str">
        <x:v>0015012300010040</x:v>
      </x:c>
      <x:c r="V1040" t="str">
        <x:v>31133451226</x:v>
      </x:c>
    </x:row>
    <x:row r="1041">
      <x:c r="A1041" t="str">
        <x:v>RAW-IMP-20260516-FULLDRAFT-001024</x:v>
      </x:c>
      <x:c r="B1041" t="str">
        <x:v>IMP-20260516-FULLDRAFT</x:v>
      </x:c>
      <x:c r="C1041" t="str">
        <x:v>KTO001</x:v>
      </x:c>
      <x:c r="D1041" t="str">
        <x:v>16-05-2026_Umsatzliste_Girokonto_DE98120300001061711675.csv</x:v>
      </x:c>
      <x:c r="E1041" t="n">
        <x:v>46163</x:v>
      </x:c>
      <x:c r="F1041" t="n">
        <x:v>1024</x:v>
      </x:c>
      <x:c r="G1041" t="str">
        <x:v>9e3f83cd16ad7deab6ea05a997e817d68b17485515a8e3ada5b7f547c0301e6c</x:v>
      </x:c>
      <x:c r="H1041" t="str">
        <x:v>neu</x:v>
      </x:c>
      <x:c r="I1041" t="str">
        <x:v>ok</x:v>
      </x:c>
      <x:c r="J1041"/>
      <x:c r="K1041" t="n">
        <x:v>45824</x:v>
      </x:c>
      <x:c r="L1041" t="n">
        <x:v>45824</x:v>
      </x:c>
      <x:c r="M1041" t="str">
        <x:v>Gebucht</x:v>
      </x:c>
      <x:c r="N1041" t="str">
        <x:v>Lars Kohlenberg</x:v>
      </x:c>
      <x:c r="O1041" t="str">
        <x:v>Lars Kohlenberg</x:v>
      </x:c>
      <x:c r="P1041" t="str">
        <x:v>Uebertrag</x:v>
      </x:c>
      <x:c r="Q1041" t="str">
        <x:v>Eingang</x:v>
      </x:c>
      <x:c r="R1041" t="str">
        <x:v>DE91270200001510365800</x:v>
      </x:c>
      <x:c r="S1041" t="n">
        <x:v>1200</x:v>
      </x:c>
      <x:c r="T1041" t="str">
        <x:v>"</x:v>
      </x:c>
      <x:c r="U1041" t="str">
        <x:v>"</x:v>
      </x:c>
      <x:c r="V1041" t="str">
        <x:v>"</x:v>
      </x:c>
    </x:row>
    <x:row r="1042">
      <x:c r="A1042" t="str">
        <x:v>RAW-IMP-20260516-FULLDRAFT-001025</x:v>
      </x:c>
      <x:c r="B1042" t="str">
        <x:v>IMP-20260516-FULLDRAFT</x:v>
      </x:c>
      <x:c r="C1042" t="str">
        <x:v>KTO001</x:v>
      </x:c>
      <x:c r="D1042" t="str">
        <x:v>16-05-2026_Umsatzliste_Girokonto_DE98120300001061711675.csv</x:v>
      </x:c>
      <x:c r="E1042" t="n">
        <x:v>46163</x:v>
      </x:c>
      <x:c r="F1042" t="n">
        <x:v>1025</x:v>
      </x:c>
      <x:c r="G1042" t="str">
        <x:v>b0c3a0bc8fdec4aa3c212b9679b31a9e87e1a62b48b662aa96d81802fcd38298</x:v>
      </x:c>
      <x:c r="H1042" t="str">
        <x:v>neu</x:v>
      </x:c>
      <x:c r="I1042" t="str">
        <x:v>ok</x:v>
      </x:c>
      <x:c r="J1042"/>
      <x:c r="K1042" t="n">
        <x:v>45824</x:v>
      </x:c>
      <x:c r="L1042" t="n">
        <x:v>45824</x:v>
      </x:c>
      <x:c r="M1042" t="str">
        <x:v>Gebucht</x:v>
      </x:c>
      <x:c r="N1042" t="str">
        <x:v>ISSUER</x:v>
      </x:c>
      <x:c r="O1042" t="str">
        <x:v>REWE.Salzgitter.Ge/Salzgitter</x:v>
      </x:c>
      <x:c r="P1042" t="str">
        <x:v>VISA Debitkartenumsatz vom 14.06.2025</x:v>
      </x:c>
      <x:c r="Q1042" t="str">
        <x:v>Ausgang</x:v>
      </x:c>
      <x:c r="R1042" t="str">
        <x:v>DE96120300009005290904</x:v>
      </x:c>
      <x:c r="S1042" t="n">
        <x:v>-92.55</x:v>
      </x:c>
      <x:c r="T1042" t="str">
        <x:v>"</x:v>
      </x:c>
      <x:c r="U1042" t="str">
        <x:v>"</x:v>
      </x:c>
      <x:c r="V1042" t="str">
        <x:v>485165291650308</x:v>
      </x:c>
    </x:row>
    <x:row r="1043">
      <x:c r="A1043" t="str">
        <x:v>RAW-IMP-20260516-FULLDRAFT-001026</x:v>
      </x:c>
      <x:c r="B1043" t="str">
        <x:v>IMP-20260516-FULLDRAFT</x:v>
      </x:c>
      <x:c r="C1043" t="str">
        <x:v>KTO001</x:v>
      </x:c>
      <x:c r="D1043" t="str">
        <x:v>16-05-2026_Umsatzliste_Girokonto_DE98120300001061711675.csv</x:v>
      </x:c>
      <x:c r="E1043" t="n">
        <x:v>46163</x:v>
      </x:c>
      <x:c r="F1043" t="n">
        <x:v>1026</x:v>
      </x:c>
      <x:c r="G1043" t="str">
        <x:v>5bb3429bdaec7b07bb247cdc9de5ce922ed2bd36474689e47f5afa6d00c2ac16</x:v>
      </x:c>
      <x:c r="H1043" t="str">
        <x:v>neu</x:v>
      </x:c>
      <x:c r="I1043" t="str">
        <x:v>ok</x:v>
      </x:c>
      <x:c r="J1043"/>
      <x:c r="K1043" t="n">
        <x:v>45824</x:v>
      </x:c>
      <x:c r="L1043" t="n">
        <x:v>45824</x:v>
      </x:c>
      <x:c r="M1043" t="str">
        <x:v>Gebucht</x:v>
      </x:c>
      <x:c r="N1043" t="str">
        <x:v>ISSUER</x:v>
      </x:c>
      <x:c r="O1043" t="str">
        <x:v>REWE.Markt.GmbH.ZW/Salzgitter</x:v>
      </x:c>
      <x:c r="P1043" t="str">
        <x:v>VISA Debitkartenumsatz vom 14.06.2025</x:v>
      </x:c>
      <x:c r="Q1043" t="str">
        <x:v>Ausgang</x:v>
      </x:c>
      <x:c r="R1043" t="str">
        <x:v>DE96120300009005290904</x:v>
      </x:c>
      <x:c r="S1043" t="n">
        <x:v>-43.27</x:v>
      </x:c>
      <x:c r="T1043" t="str">
        <x:v>"</x:v>
      </x:c>
      <x:c r="U1043" t="str">
        <x:v>"</x:v>
      </x:c>
      <x:c r="V1043" t="str">
        <x:v>485165373415922</x:v>
      </x:c>
    </x:row>
    <x:row r="1044">
      <x:c r="A1044" t="str">
        <x:v>RAW-IMP-20260516-FULLDRAFT-001027</x:v>
      </x:c>
      <x:c r="B1044" t="str">
        <x:v>IMP-20260516-FULLDRAFT</x:v>
      </x:c>
      <x:c r="C1044" t="str">
        <x:v>KTO001</x:v>
      </x:c>
      <x:c r="D1044" t="str">
        <x:v>16-05-2026_Umsatzliste_Girokonto_DE98120300001061711675.csv</x:v>
      </x:c>
      <x:c r="E1044" t="n">
        <x:v>46163</x:v>
      </x:c>
      <x:c r="F1044" t="n">
        <x:v>1027</x:v>
      </x:c>
      <x:c r="G1044" t="str">
        <x:v>0af5793440a407a8b714672482426dbc59bef7df73131d55d83a4d033f90a4e5</x:v>
      </x:c>
      <x:c r="H1044" t="str">
        <x:v>neu</x:v>
      </x:c>
      <x:c r="I1044" t="str">
        <x:v>ok</x:v>
      </x:c>
      <x:c r="J1044"/>
      <x:c r="K1044" t="n">
        <x:v>45824</x:v>
      </x:c>
      <x:c r="L1044" t="n">
        <x:v>45824</x:v>
      </x:c>
      <x:c r="M1044" t="str">
        <x:v>Gebucht</x:v>
      </x:c>
      <x:c r="N1044" t="str">
        <x:v>ISSUER</x:v>
      </x:c>
      <x:c r="O1044" t="str">
        <x:v>NORD.LB...Braunschweigi/LEBENSTEDT</x:v>
      </x:c>
      <x:c r="P1044" t="str">
        <x:v>VISA Debitkartenumsatz vom 13.06.2025</x:v>
      </x:c>
      <x:c r="Q1044" t="str">
        <x:v>Ausgang</x:v>
      </x:c>
      <x:c r="R1044" t="str">
        <x:v>DE96120300009005290904</x:v>
      </x:c>
      <x:c r="S1044" t="n">
        <x:v>-100</x:v>
      </x:c>
      <x:c r="T1044" t="str">
        <x:v>"</x:v>
      </x:c>
      <x:c r="U1044" t="str">
        <x:v>"</x:v>
      </x:c>
      <x:c r="V1044" t="str">
        <x:v>485164439105735</x:v>
      </x:c>
    </x:row>
    <x:row r="1045">
      <x:c r="A1045" t="str">
        <x:v>RAW-IMP-20260516-FULLDRAFT-001028</x:v>
      </x:c>
      <x:c r="B1045" t="str">
        <x:v>IMP-20260516-FULLDRAFT</x:v>
      </x:c>
      <x:c r="C1045" t="str">
        <x:v>KTO001</x:v>
      </x:c>
      <x:c r="D1045" t="str">
        <x:v>16-05-2026_Umsatzliste_Girokonto_DE98120300001061711675.csv</x:v>
      </x:c>
      <x:c r="E1045" t="n">
        <x:v>46163</x:v>
      </x:c>
      <x:c r="F1045" t="n">
        <x:v>1028</x:v>
      </x:c>
      <x:c r="G1045" t="str">
        <x:v>767a90f4989b183d99cb049de51f510491e7000457dd1402d56cc308a12500a4</x:v>
      </x:c>
      <x:c r="H1045" t="str">
        <x:v>neu</x:v>
      </x:c>
      <x:c r="I1045" t="str">
        <x:v>ok</x:v>
      </x:c>
      <x:c r="J1045"/>
      <x:c r="K1045" t="n">
        <x:v>45824</x:v>
      </x:c>
      <x:c r="L1045" t="n">
        <x:v>45824</x:v>
      </x:c>
      <x:c r="M1045" t="str">
        <x:v>Gebucht</x:v>
      </x:c>
      <x:c r="N1045" t="str">
        <x:v>ISSUER</x:v>
      </x:c>
      <x:c r="O1045" t="str">
        <x:v>MARKUS.FINKE/SALZGITTER</x:v>
      </x:c>
      <x:c r="P1045" t="str">
        <x:v>VISA Debitkartenumsatz vom 13.06.2025</x:v>
      </x:c>
      <x:c r="Q1045" t="str">
        <x:v>Ausgang</x:v>
      </x:c>
      <x:c r="R1045" t="str">
        <x:v>DE96120300009005290904</x:v>
      </x:c>
      <x:c r="S1045" t="n">
        <x:v>-675</x:v>
      </x:c>
      <x:c r="T1045" t="str">
        <x:v>"</x:v>
      </x:c>
      <x:c r="U1045" t="str">
        <x:v>"</x:v>
      </x:c>
      <x:c r="V1045" t="str">
        <x:v>485164466286265</x:v>
      </x:c>
    </x:row>
    <x:row r="1046">
      <x:c r="A1046" t="str">
        <x:v>RAW-IMP-20260516-FULLDRAFT-001029</x:v>
      </x:c>
      <x:c r="B1046" t="str">
        <x:v>IMP-20260516-FULLDRAFT</x:v>
      </x:c>
      <x:c r="C1046" t="str">
        <x:v>KTO001</x:v>
      </x:c>
      <x:c r="D1046" t="str">
        <x:v>16-05-2026_Umsatzliste_Girokonto_DE98120300001061711675.csv</x:v>
      </x:c>
      <x:c r="E1046" t="n">
        <x:v>46163</x:v>
      </x:c>
      <x:c r="F1046" t="n">
        <x:v>1029</x:v>
      </x:c>
      <x:c r="G1046" t="str">
        <x:v>27a3a31a409ea4c186f081d0817c75aa2bfd69388ac401276655665c0845f1c6</x:v>
      </x:c>
      <x:c r="H1046" t="str">
        <x:v>neu</x:v>
      </x:c>
      <x:c r="I1046" t="str">
        <x:v>ok</x:v>
      </x:c>
      <x:c r="J1046"/>
      <x:c r="K1046" t="n">
        <x:v>45824</x:v>
      </x:c>
      <x:c r="L1046" t="n">
        <x:v>45824</x:v>
      </x:c>
      <x:c r="M1046" t="str">
        <x:v>Gebucht</x:v>
      </x:c>
      <x:c r="N1046" t="str">
        <x:v>ISSUER</x:v>
      </x:c>
      <x:c r="O1046" t="str">
        <x:v>EDEKA.HERRMANN/LIEBENBURG</x:v>
      </x:c>
      <x:c r="P1046" t="str">
        <x:v>VISA Debitkartenumsatz vom 14.06.2025</x:v>
      </x:c>
      <x:c r="Q1046" t="str">
        <x:v>Ausgang</x:v>
      </x:c>
      <x:c r="R1046" t="str">
        <x:v>DE96120300009005290904</x:v>
      </x:c>
      <x:c r="S1046" t="n">
        <x:v>-2.49</x:v>
      </x:c>
      <x:c r="T1046" t="str">
        <x:v>"</x:v>
      </x:c>
      <x:c r="U1046" t="str">
        <x:v>"</x:v>
      </x:c>
      <x:c r="V1046" t="str">
        <x:v>485165524565175</x:v>
      </x:c>
    </x:row>
    <x:row r="1047">
      <x:c r="A1047" t="str">
        <x:v>RAW-IMP-20260516-FULLDRAFT-001030</x:v>
      </x:c>
      <x:c r="B1047" t="str">
        <x:v>IMP-20260516-FULLDRAFT</x:v>
      </x:c>
      <x:c r="C1047" t="str">
        <x:v>KTO001</x:v>
      </x:c>
      <x:c r="D1047" t="str">
        <x:v>16-05-2026_Umsatzliste_Girokonto_DE98120300001061711675.csv</x:v>
      </x:c>
      <x:c r="E1047" t="n">
        <x:v>46163</x:v>
      </x:c>
      <x:c r="F1047" t="n">
        <x:v>1030</x:v>
      </x:c>
      <x:c r="G1047" t="str">
        <x:v>55f3b716d4e21e018be5fdafec295315916530fdfc3162db98259792904b7d50</x:v>
      </x:c>
      <x:c r="H1047" t="str">
        <x:v>neu</x:v>
      </x:c>
      <x:c r="I1047" t="str">
        <x:v>ok</x:v>
      </x:c>
      <x:c r="J1047"/>
      <x:c r="K1047" t="n">
        <x:v>45824</x:v>
      </x:c>
      <x:c r="L1047" t="n">
        <x:v>45824</x:v>
      </x:c>
      <x:c r="M1047" t="str">
        <x:v>Gebucht</x:v>
      </x:c>
      <x:c r="N1047" t="str">
        <x:v>ISSUER</x:v>
      </x:c>
      <x:c r="O1047" t="str">
        <x:v>LOEWENBAECKER.SCHAPER/SALZGITTER</x:v>
      </x:c>
      <x:c r="P1047" t="str">
        <x:v>VISA Debitkartenumsatz vom 14.06.2025</x:v>
      </x:c>
      <x:c r="Q1047" t="str">
        <x:v>Ausgang</x:v>
      </x:c>
      <x:c r="R1047" t="str">
        <x:v>DE96120300009005290904</x:v>
      </x:c>
      <x:c r="S1047" t="n">
        <x:v>-2.55</x:v>
      </x:c>
      <x:c r="T1047" t="str">
        <x:v>"</x:v>
      </x:c>
      <x:c r="U1047" t="str">
        <x:v>"</x:v>
      </x:c>
      <x:c r="V1047" t="str">
        <x:v>485165292270980</x:v>
      </x:c>
    </x:row>
    <x:row r="1048">
      <x:c r="A1048" t="str">
        <x:v>RAW-IMP-20260516-FULLDRAFT-001031</x:v>
      </x:c>
      <x:c r="B1048" t="str">
        <x:v>IMP-20260516-FULLDRAFT</x:v>
      </x:c>
      <x:c r="C1048" t="str">
        <x:v>KTO001</x:v>
      </x:c>
      <x:c r="D1048" t="str">
        <x:v>16-05-2026_Umsatzliste_Girokonto_DE98120300001061711675.csv</x:v>
      </x:c>
      <x:c r="E1048" t="n">
        <x:v>46163</x:v>
      </x:c>
      <x:c r="F1048" t="n">
        <x:v>1031</x:v>
      </x:c>
      <x:c r="G1048" t="str">
        <x:v>830b653d0c82cbf6507fdd37e00d031f6c6aed77cc84bd59f6630f034965822a</x:v>
      </x:c>
      <x:c r="H1048" t="str">
        <x:v>neu</x:v>
      </x:c>
      <x:c r="I1048" t="str">
        <x:v>ok</x:v>
      </x:c>
      <x:c r="J1048"/>
      <x:c r="K1048" t="n">
        <x:v>45824</x:v>
      </x:c>
      <x:c r="L1048" t="n">
        <x:v>45824</x:v>
      </x:c>
      <x:c r="M1048" t="str">
        <x:v>Gebucht</x:v>
      </x:c>
      <x:c r="N1048" t="str">
        <x:v>ISSUER</x:v>
      </x:c>
      <x:c r="O1048" t="str">
        <x:v>REWE.Salzgitter.Ge/Salzgitter</x:v>
      </x:c>
      <x:c r="P1048" t="str">
        <x:v>VISA Debitkartenumsatz vom 14.06.2025</x:v>
      </x:c>
      <x:c r="Q1048" t="str">
        <x:v>Ausgang</x:v>
      </x:c>
      <x:c r="R1048" t="str">
        <x:v>DE96120300009005290904</x:v>
      </x:c>
      <x:c r="S1048" t="n">
        <x:v>-5.36</x:v>
      </x:c>
      <x:c r="T1048" t="str">
        <x:v>"</x:v>
      </x:c>
      <x:c r="U1048" t="str">
        <x:v>"</x:v>
      </x:c>
      <x:c r="V1048" t="str">
        <x:v>485165693634511</x:v>
      </x:c>
    </x:row>
    <x:row r="1049">
      <x:c r="A1049" t="str">
        <x:v>RAW-IMP-20260516-FULLDRAFT-001032</x:v>
      </x:c>
      <x:c r="B1049" t="str">
        <x:v>IMP-20260516-FULLDRAFT</x:v>
      </x:c>
      <x:c r="C1049" t="str">
        <x:v>KTO001</x:v>
      </x:c>
      <x:c r="D1049" t="str">
        <x:v>16-05-2026_Umsatzliste_Girokonto_DE98120300001061711675.csv</x:v>
      </x:c>
      <x:c r="E1049" t="n">
        <x:v>46163</x:v>
      </x:c>
      <x:c r="F1049" t="n">
        <x:v>1032</x:v>
      </x:c>
      <x:c r="G1049" t="str">
        <x:v>9fa99b365f9e24c7dcc3e7bd683d565dde5f6ae32565298af0674b392897192a</x:v>
      </x:c>
      <x:c r="H1049" t="str">
        <x:v>neu</x:v>
      </x:c>
      <x:c r="I1049" t="str">
        <x:v>ok</x:v>
      </x:c>
      <x:c r="J1049"/>
      <x:c r="K1049" t="n">
        <x:v>45821</x:v>
      </x:c>
      <x:c r="L1049" t="n">
        <x:v>45821</x:v>
      </x:c>
      <x:c r="M1049" t="str">
        <x:v>Gebucht</x:v>
      </x:c>
      <x:c r="N1049" t="str">
        <x:v>ISSUER</x:v>
      </x:c>
      <x:c r="O1049" t="str">
        <x:v>MCDONALDS.01337/LIPPETAL</x:v>
      </x:c>
      <x:c r="P1049" t="str">
        <x:v>VISA Debitkartenumsatz vom 12.06.2025</x:v>
      </x:c>
      <x:c r="Q1049" t="str">
        <x:v>Ausgang</x:v>
      </x:c>
      <x:c r="R1049" t="str">
        <x:v>DE96120300009005290904</x:v>
      </x:c>
      <x:c r="S1049" t="n">
        <x:v>-11.99</x:v>
      </x:c>
      <x:c r="T1049" t="str">
        <x:v>"</x:v>
      </x:c>
      <x:c r="U1049" t="str">
        <x:v>"</x:v>
      </x:c>
      <x:c r="V1049" t="str">
        <x:v>485163420600699</x:v>
      </x:c>
    </x:row>
    <x:row r="1050">
      <x:c r="A1050" t="str">
        <x:v>RAW-IMP-20260516-FULLDRAFT-001033</x:v>
      </x:c>
      <x:c r="B1050" t="str">
        <x:v>IMP-20260516-FULLDRAFT</x:v>
      </x:c>
      <x:c r="C1050" t="str">
        <x:v>KTO001</x:v>
      </x:c>
      <x:c r="D1050" t="str">
        <x:v>16-05-2026_Umsatzliste_Girokonto_DE98120300001061711675.csv</x:v>
      </x:c>
      <x:c r="E1050" t="n">
        <x:v>46163</x:v>
      </x:c>
      <x:c r="F1050" t="n">
        <x:v>1033</x:v>
      </x:c>
      <x:c r="G1050" t="str">
        <x:v>b93d9ffe5b3d35412fa1ffb2f9e828083f4a52a7496b49a71337b04218f2ae6f</x:v>
      </x:c>
      <x:c r="H1050" t="str">
        <x:v>neu</x:v>
      </x:c>
      <x:c r="I1050" t="str">
        <x:v>ok</x:v>
      </x:c>
      <x:c r="J1050"/>
      <x:c r="K1050" t="n">
        <x:v>45819</x:v>
      </x:c>
      <x:c r="L1050" t="n">
        <x:v>45819</x:v>
      </x:c>
      <x:c r="M1050" t="str">
        <x:v>Gebucht</x:v>
      </x:c>
      <x:c r="N1050" t="str">
        <x:v>ISSUER</x:v>
      </x:c>
      <x:c r="O1050" t="str">
        <x:v>BK.20329.SOT/DORTMUND</x:v>
      </x:c>
      <x:c r="P1050" t="str">
        <x:v>VISA Debitkartenumsatz vom 10.06.2025</x:v>
      </x:c>
      <x:c r="Q1050" t="str">
        <x:v>Ausgang</x:v>
      </x:c>
      <x:c r="R1050" t="str">
        <x:v>DE96120300009005290904</x:v>
      </x:c>
      <x:c r="S1050" t="n">
        <x:v>-10.69</x:v>
      </x:c>
      <x:c r="T1050" t="str">
        <x:v>"</x:v>
      </x:c>
      <x:c r="U1050" t="str">
        <x:v>"</x:v>
      </x:c>
      <x:c r="V1050" t="str">
        <x:v>485161448841086</x:v>
      </x:c>
    </x:row>
    <x:row r="1051">
      <x:c r="A1051" t="str">
        <x:v>RAW-IMP-20260516-FULLDRAFT-001034</x:v>
      </x:c>
      <x:c r="B1051" t="str">
        <x:v>IMP-20260516-FULLDRAFT</x:v>
      </x:c>
      <x:c r="C1051" t="str">
        <x:v>KTO001</x:v>
      </x:c>
      <x:c r="D1051" t="str">
        <x:v>16-05-2026_Umsatzliste_Girokonto_DE98120300001061711675.csv</x:v>
      </x:c>
      <x:c r="E1051" t="n">
        <x:v>46163</x:v>
      </x:c>
      <x:c r="F1051" t="n">
        <x:v>1034</x:v>
      </x:c>
      <x:c r="G1051" t="str">
        <x:v>02ac0bb654890139ab0c564502c335f6a366fc362e209a988e74291e27612ab9</x:v>
      </x:c>
      <x:c r="H1051" t="str">
        <x:v>neu</x:v>
      </x:c>
      <x:c r="I1051" t="str">
        <x:v>ok</x:v>
      </x:c>
      <x:c r="J1051"/>
      <x:c r="K1051" t="n">
        <x:v>45818</x:v>
      </x:c>
      <x:c r="L1051" t="n">
        <x:v>45818</x:v>
      </x:c>
      <x:c r="M1051" t="str">
        <x:v>Gebucht</x:v>
      </x:c>
      <x:c r="N1051" t="str">
        <x:v>ISSUER</x:v>
      </x:c>
      <x:c r="O1051" t="str">
        <x:v>KUNSTMUSEUM.WOLFSBURG/WOLFSBURG</x:v>
      </x:c>
      <x:c r="P1051" t="str">
        <x:v>VISA Debitkartenumsatz vom 09.06.2025</x:v>
      </x:c>
      <x:c r="Q1051" t="str">
        <x:v>Ausgang</x:v>
      </x:c>
      <x:c r="R1051" t="str">
        <x:v>DE96120300009005290904</x:v>
      </x:c>
      <x:c r="S1051" t="n">
        <x:v>-30</x:v>
      </x:c>
      <x:c r="T1051" t="str">
        <x:v>"</x:v>
      </x:c>
      <x:c r="U1051" t="str">
        <x:v>"</x:v>
      </x:c>
      <x:c r="V1051" t="str">
        <x:v>485160373052744</x:v>
      </x:c>
    </x:row>
    <x:row r="1052">
      <x:c r="A1052" t="str">
        <x:v>RAW-IMP-20260516-FULLDRAFT-001035</x:v>
      </x:c>
      <x:c r="B1052" t="str">
        <x:v>IMP-20260516-FULLDRAFT</x:v>
      </x:c>
      <x:c r="C1052" t="str">
        <x:v>KTO001</x:v>
      </x:c>
      <x:c r="D1052" t="str">
        <x:v>16-05-2026_Umsatzliste_Girokonto_DE98120300001061711675.csv</x:v>
      </x:c>
      <x:c r="E1052" t="n">
        <x:v>46163</x:v>
      </x:c>
      <x:c r="F1052" t="n">
        <x:v>1035</x:v>
      </x:c>
      <x:c r="G1052" t="str">
        <x:v>a05012a5a35a84e019a050c1c7be91519e6a3b84548bb38bc65aad51a8b99e21</x:v>
      </x:c>
      <x:c r="H1052" t="str">
        <x:v>neu</x:v>
      </x:c>
      <x:c r="I1052" t="str">
        <x:v>ok</x:v>
      </x:c>
      <x:c r="J1052"/>
      <x:c r="K1052" t="n">
        <x:v>45818</x:v>
      </x:c>
      <x:c r="L1052" t="n">
        <x:v>45818</x:v>
      </x:c>
      <x:c r="M1052" t="str">
        <x:v>Gebucht</x:v>
      </x:c>
      <x:c r="N1052" t="str">
        <x:v>ISSUER</x:v>
      </x:c>
      <x:c r="O1052" t="str">
        <x:v>LOsteria.Restaurant.SE/Wolfsburg</x:v>
      </x:c>
      <x:c r="P1052" t="str">
        <x:v>VISA Debitkartenumsatz vom 09.06.2025</x:v>
      </x:c>
      <x:c r="Q1052" t="str">
        <x:v>Ausgang</x:v>
      </x:c>
      <x:c r="R1052" t="str">
        <x:v>DE96120300009005290904</x:v>
      </x:c>
      <x:c r="S1052" t="n">
        <x:v>-65</x:v>
      </x:c>
      <x:c r="T1052" t="str">
        <x:v>"</x:v>
      </x:c>
      <x:c r="U1052" t="str">
        <x:v>"</x:v>
      </x:c>
      <x:c r="V1052" t="str">
        <x:v>485160480190624</x:v>
      </x:c>
    </x:row>
    <x:row r="1053">
      <x:c r="A1053" t="str">
        <x:v>RAW-IMP-20260516-FULLDRAFT-001036</x:v>
      </x:c>
      <x:c r="B1053" t="str">
        <x:v>IMP-20260516-FULLDRAFT</x:v>
      </x:c>
      <x:c r="C1053" t="str">
        <x:v>KTO001</x:v>
      </x:c>
      <x:c r="D1053" t="str">
        <x:v>16-05-2026_Umsatzliste_Girokonto_DE98120300001061711675.csv</x:v>
      </x:c>
      <x:c r="E1053" t="n">
        <x:v>46163</x:v>
      </x:c>
      <x:c r="F1053" t="n">
        <x:v>1036</x:v>
      </x:c>
      <x:c r="G1053" t="str">
        <x:v>edd04561e5d062557abf84fd08d149bd6f64567507e27d36e4b2a5381b9fa973</x:v>
      </x:c>
      <x:c r="H1053" t="str">
        <x:v>neu</x:v>
      </x:c>
      <x:c r="I1053" t="str">
        <x:v>ok</x:v>
      </x:c>
      <x:c r="J1053"/>
      <x:c r="K1053" t="n">
        <x:v>45818</x:v>
      </x:c>
      <x:c r="L1053" t="n">
        <x:v>45817</x:v>
      </x:c>
      <x:c r="M1053" t="str">
        <x:v>Gebucht</x:v>
      </x:c>
      <x:c r="N1053" t="str">
        <x:v>ISSUER</x:v>
      </x:c>
      <x:c r="O1053" t="str">
        <x:v>CARAMBA.ESPECIAL/HAMBURG</x:v>
      </x:c>
      <x:c r="P1053" t="str">
        <x:v>VISA Debitkartenumsatz vom 06.06.2025</x:v>
      </x:c>
      <x:c r="Q1053" t="str">
        <x:v>Ausgang</x:v>
      </x:c>
      <x:c r="R1053" t="str">
        <x:v>DE96120300009005290904</x:v>
      </x:c>
      <x:c r="S1053" t="n">
        <x:v>-192.28</x:v>
      </x:c>
      <x:c r="T1053" t="str">
        <x:v>"</x:v>
      </x:c>
      <x:c r="U1053" t="str">
        <x:v>"</x:v>
      </x:c>
      <x:c r="V1053" t="str">
        <x:v>485157757374813</x:v>
      </x:c>
    </x:row>
    <x:row r="1054">
      <x:c r="A1054" t="str">
        <x:v>RAW-IMP-20260516-FULLDRAFT-001037</x:v>
      </x:c>
      <x:c r="B1054" t="str">
        <x:v>IMP-20260516-FULLDRAFT</x:v>
      </x:c>
      <x:c r="C1054" t="str">
        <x:v>KTO001</x:v>
      </x:c>
      <x:c r="D1054" t="str">
        <x:v>16-05-2026_Umsatzliste_Girokonto_DE98120300001061711675.csv</x:v>
      </x:c>
      <x:c r="E1054" t="n">
        <x:v>46163</x:v>
      </x:c>
      <x:c r="F1054" t="n">
        <x:v>1037</x:v>
      </x:c>
      <x:c r="G1054" t="str">
        <x:v>00a64e6ed3ced78a625dec55c8087eb29039a5df2b39e08091c2e2c834df55dc</x:v>
      </x:c>
      <x:c r="H1054" t="str">
        <x:v>neu</x:v>
      </x:c>
      <x:c r="I1054" t="str">
        <x:v>ok</x:v>
      </x:c>
      <x:c r="J1054"/>
      <x:c r="K1054" t="n">
        <x:v>45818</x:v>
      </x:c>
      <x:c r="L1054" t="n">
        <x:v>45817</x:v>
      </x:c>
      <x:c r="M1054" t="str">
        <x:v>Gebucht</x:v>
      </x:c>
      <x:c r="N1054" t="str">
        <x:v>ISSUER</x:v>
      </x:c>
      <x:c r="O1054" t="str">
        <x:v>Carls.Brasserie/Rostock</x:v>
      </x:c>
      <x:c r="P1054" t="str">
        <x:v>VISA Debitkartenumsatz vom 07.06.2025</x:v>
      </x:c>
      <x:c r="Q1054" t="str">
        <x:v>Ausgang</x:v>
      </x:c>
      <x:c r="R1054" t="str">
        <x:v>DE96120300009005290904</x:v>
      </x:c>
      <x:c r="S1054" t="n">
        <x:v>-200</x:v>
      </x:c>
      <x:c r="T1054" t="str">
        <x:v>"</x:v>
      </x:c>
      <x:c r="U1054" t="str">
        <x:v>"</x:v>
      </x:c>
      <x:c r="V1054" t="str">
        <x:v>485158611155479</x:v>
      </x:c>
    </x:row>
    <x:row r="1055">
      <x:c r="A1055" t="str">
        <x:v>RAW-IMP-20260516-FULLDRAFT-001038</x:v>
      </x:c>
      <x:c r="B1055" t="str">
        <x:v>IMP-20260516-FULLDRAFT</x:v>
      </x:c>
      <x:c r="C1055" t="str">
        <x:v>KTO001</x:v>
      </x:c>
      <x:c r="D1055" t="str">
        <x:v>16-05-2026_Umsatzliste_Girokonto_DE98120300001061711675.csv</x:v>
      </x:c>
      <x:c r="E1055" t="n">
        <x:v>46163</x:v>
      </x:c>
      <x:c r="F1055" t="n">
        <x:v>1038</x:v>
      </x:c>
      <x:c r="G1055" t="str">
        <x:v>fa887d3454780c2db0e29f1f6d20822293ab51926745725fee37ded5a43814f6</x:v>
      </x:c>
      <x:c r="H1055" t="str">
        <x:v>neu</x:v>
      </x:c>
      <x:c r="I1055" t="str">
        <x:v>ok</x:v>
      </x:c>
      <x:c r="J1055"/>
      <x:c r="K1055" t="n">
        <x:v>45818</x:v>
      </x:c>
      <x:c r="L1055" t="n">
        <x:v>45817</x:v>
      </x:c>
      <x:c r="M1055" t="str">
        <x:v>Gebucht</x:v>
      </x:c>
      <x:c r="N1055" t="str">
        <x:v>ISSUER</x:v>
      </x:c>
      <x:c r="O1055" t="str">
        <x:v>GASTRO.ELBPHIL/HAMBURG</x:v>
      </x:c>
      <x:c r="P1055" t="str">
        <x:v>VISA Debitkartenumsatz vom 07.06.2025</x:v>
      </x:c>
      <x:c r="Q1055" t="str">
        <x:v>Ausgang</x:v>
      </x:c>
      <x:c r="R1055" t="str">
        <x:v>DE96120300009005290904</x:v>
      </x:c>
      <x:c r="S1055" t="n">
        <x:v>-9</x:v>
      </x:c>
      <x:c r="T1055" t="str">
        <x:v>"</x:v>
      </x:c>
      <x:c r="U1055" t="str">
        <x:v>"</x:v>
      </x:c>
      <x:c r="V1055" t="str">
        <x:v>485158626956125</x:v>
      </x:c>
    </x:row>
    <x:row r="1056">
      <x:c r="A1056" t="str">
        <x:v>RAW-IMP-20260516-FULLDRAFT-001039</x:v>
      </x:c>
      <x:c r="B1056" t="str">
        <x:v>IMP-20260516-FULLDRAFT</x:v>
      </x:c>
      <x:c r="C1056" t="str">
        <x:v>KTO001</x:v>
      </x:c>
      <x:c r="D1056" t="str">
        <x:v>16-05-2026_Umsatzliste_Girokonto_DE98120300001061711675.csv</x:v>
      </x:c>
      <x:c r="E1056" t="n">
        <x:v>46163</x:v>
      </x:c>
      <x:c r="F1056" t="n">
        <x:v>1039</x:v>
      </x:c>
      <x:c r="G1056" t="str">
        <x:v>5d0960706fc6febb1eaa922f180dcb6537eb0b680a4207fc65012a4e6cf94788</x:v>
      </x:c>
      <x:c r="H1056" t="str">
        <x:v>neu</x:v>
      </x:c>
      <x:c r="I1056" t="str">
        <x:v>ok</x:v>
      </x:c>
      <x:c r="J1056"/>
      <x:c r="K1056" t="n">
        <x:v>45818</x:v>
      </x:c>
      <x:c r="L1056" t="n">
        <x:v>45817</x:v>
      </x:c>
      <x:c r="M1056" t="str">
        <x:v>Gebucht</x:v>
      </x:c>
      <x:c r="N1056" t="str">
        <x:v>ISSUER</x:v>
      </x:c>
      <x:c r="O1056" t="str">
        <x:v>PARKEN.HH.KLOSTERWALL/HAMBURG</x:v>
      </x:c>
      <x:c r="P1056" t="str">
        <x:v>VISA Debitkartenumsatz vom 08.06.2025</x:v>
      </x:c>
      <x:c r="Q1056" t="str">
        <x:v>Ausgang</x:v>
      </x:c>
      <x:c r="R1056" t="str">
        <x:v>DE96120300009005290904</x:v>
      </x:c>
      <x:c r="S1056" t="n">
        <x:v>-60</x:v>
      </x:c>
      <x:c r="T1056" t="str">
        <x:v>"</x:v>
      </x:c>
      <x:c r="U1056" t="str">
        <x:v>"</x:v>
      </x:c>
      <x:c r="V1056" t="str">
        <x:v>485159299561759</x:v>
      </x:c>
    </x:row>
    <x:row r="1057">
      <x:c r="A1057" t="str">
        <x:v>RAW-IMP-20260516-FULLDRAFT-001040</x:v>
      </x:c>
      <x:c r="B1057" t="str">
        <x:v>IMP-20260516-FULLDRAFT</x:v>
      </x:c>
      <x:c r="C1057" t="str">
        <x:v>KTO001</x:v>
      </x:c>
      <x:c r="D1057" t="str">
        <x:v>16-05-2026_Umsatzliste_Girokonto_DE98120300001061711675.csv</x:v>
      </x:c>
      <x:c r="E1057" t="n">
        <x:v>46163</x:v>
      </x:c>
      <x:c r="F1057" t="n">
        <x:v>1040</x:v>
      </x:c>
      <x:c r="G1057" t="str">
        <x:v>7fff7ad388547239a224e55893e568b3bcbd985a21f2b0946c06ef07260bd953</x:v>
      </x:c>
      <x:c r="H1057" t="str">
        <x:v>neu</x:v>
      </x:c>
      <x:c r="I1057" t="str">
        <x:v>ok</x:v>
      </x:c>
      <x:c r="J1057"/>
      <x:c r="K1057" t="n">
        <x:v>45814</x:v>
      </x:c>
      <x:c r="L1057" t="n">
        <x:v>45814</x:v>
      </x:c>
      <x:c r="M1057" t="str">
        <x:v>Gebucht</x:v>
      </x:c>
      <x:c r="N1057" t="str">
        <x:v>Lars Kohlenberg</x:v>
      </x:c>
      <x:c r="O1057" t="str">
        <x:v>Iman Firat</x:v>
      </x:c>
      <x:c r="P1057" t="str">
        <x:v>2230 Lea Kohlenberg</x:v>
      </x:c>
      <x:c r="Q1057" t="str">
        <x:v>Ausgang</x:v>
      </x:c>
      <x:c r="R1057" t="str">
        <x:v>DE67269910662694298000</x:v>
      </x:c>
      <x:c r="S1057" t="n">
        <x:v>-49.9</x:v>
      </x:c>
      <x:c r="T1057" t="str">
        <x:v>"</x:v>
      </x:c>
      <x:c r="U1057" t="str">
        <x:v>"</x:v>
      </x:c>
      <x:c r="V1057" t="str">
        <x:v>"</x:v>
      </x:c>
    </x:row>
    <x:row r="1058">
      <x:c r="A1058" t="str">
        <x:v>RAW-IMP-20260516-FULLDRAFT-001041</x:v>
      </x:c>
      <x:c r="B1058" t="str">
        <x:v>IMP-20260516-FULLDRAFT</x:v>
      </x:c>
      <x:c r="C1058" t="str">
        <x:v>KTO001</x:v>
      </x:c>
      <x:c r="D1058" t="str">
        <x:v>16-05-2026_Umsatzliste_Girokonto_DE98120300001061711675.csv</x:v>
      </x:c>
      <x:c r="E1058" t="n">
        <x:v>46163</x:v>
      </x:c>
      <x:c r="F1058" t="n">
        <x:v>1041</x:v>
      </x:c>
      <x:c r="G1058" t="str">
        <x:v>448d6f89f407fbf396063fec44ba3878a0a1fc532e42a344e2a530bbe82052cf</x:v>
      </x:c>
      <x:c r="H1058" t="str">
        <x:v>neu</x:v>
      </x:c>
      <x:c r="I1058" t="str">
        <x:v>ok</x:v>
      </x:c>
      <x:c r="J1058"/>
      <x:c r="K1058" t="n">
        <x:v>45813</x:v>
      </x:c>
      <x:c r="L1058" t="n">
        <x:v>45813</x:v>
      </x:c>
      <x:c r="M1058" t="str">
        <x:v>Gebucht</x:v>
      </x:c>
      <x:c r="N1058" t="str">
        <x:v>Lars Kohlenberg                                                       Johannes-Wosnitza-Str. 8 38229 Salzgitter</x:v>
      </x:c>
      <x:c r="O1058" t="str">
        <x:v>Telekom Deutschland GmbH</x:v>
      </x:c>
      <x:c r="P1058" t="str">
        <x:v>Festnetz Vertragskonto 4763666565 RG 7794067663/26.05.2025</x:v>
      </x:c>
      <x:c r="Q1058" t="str">
        <x:v>Ausgang</x:v>
      </x:c>
      <x:c r="R1058" t="str">
        <x:v>DE07512108001095000911</x:v>
      </x:c>
      <x:c r="S1058" t="n">
        <x:v>-61.93</x:v>
      </x:c>
      <x:c r="T1058" t="str">
        <x:v>DE93ZZZ00000078611</x:v>
      </x:c>
      <x:c r="U1058" t="str">
        <x:v>DE000201000200000000000000012966156</x:v>
      </x:c>
      <x:c r="V1058" t="str">
        <x:v>Zahlbeleg 378920444114</x:v>
      </x:c>
    </x:row>
    <x:row r="1059">
      <x:c r="A1059" t="str">
        <x:v>RAW-IMP-20260516-FULLDRAFT-001042</x:v>
      </x:c>
      <x:c r="B1059" t="str">
        <x:v>IMP-20260516-FULLDRAFT</x:v>
      </x:c>
      <x:c r="C1059" t="str">
        <x:v>KTO001</x:v>
      </x:c>
      <x:c r="D1059" t="str">
        <x:v>16-05-2026_Umsatzliste_Girokonto_DE98120300001061711675.csv</x:v>
      </x:c>
      <x:c r="E1059" t="n">
        <x:v>46163</x:v>
      </x:c>
      <x:c r="F1059" t="n">
        <x:v>1042</x:v>
      </x:c>
      <x:c r="G1059" t="str">
        <x:v>084d84f313a9aa9014709863e947ebf6d2bce71d74482a9c24a1229e541d88c5</x:v>
      </x:c>
      <x:c r="H1059" t="str">
        <x:v>neu</x:v>
      </x:c>
      <x:c r="I1059" t="str">
        <x:v>ok</x:v>
      </x:c>
      <x:c r="J1059"/>
      <x:c r="K1059" t="n">
        <x:v>45811</x:v>
      </x:c>
      <x:c r="L1059" t="n">
        <x:v>45811</x:v>
      </x:c>
      <x:c r="M1059" t="str">
        <x:v>Gebucht</x:v>
      </x:c>
      <x:c r="N1059" t="str">
        <x:v>Lars Kohlenberg                                                       Johannes-Wosnitza-Str. 8</x:v>
      </x:c>
      <x:c r="O1059" t="str">
        <x:v>FUNKE Medien Nieders.GmbH</x:v>
      </x:c>
      <x:c r="P1059" t="str">
        <x:v>SZ/00001050/VA/01.06.25-30.06.25/Rg-Nr.:6316407021/Kd-Nr:0053112791</x:v>
      </x:c>
      <x:c r="Q1059" t="str">
        <x:v>Ausgang</x:v>
      </x:c>
      <x:c r="R1059" t="str">
        <x:v>DE67250500000000146910</x:v>
      </x:c>
      <x:c r="S1059" t="n">
        <x:v>-57.5</x:v>
      </x:c>
      <x:c r="T1059" t="str">
        <x:v>DE8850000000483288</x:v>
      </x:c>
      <x:c r="U1059" t="str">
        <x:v>0053112791-0500-01300001</x:v>
      </x:c>
      <x:c r="V1059" t="str">
        <x:v>034006912063</x:v>
      </x:c>
    </x:row>
    <x:row r="1060">
      <x:c r="A1060" t="str">
        <x:v>RAW-IMP-20260516-FULLDRAFT-001043</x:v>
      </x:c>
      <x:c r="B1060" t="str">
        <x:v>IMP-20260516-FULLDRAFT</x:v>
      </x:c>
      <x:c r="C1060" t="str">
        <x:v>KTO001</x:v>
      </x:c>
      <x:c r="D1060" t="str">
        <x:v>16-05-2026_Umsatzliste_Girokonto_DE98120300001061711675.csv</x:v>
      </x:c>
      <x:c r="E1060" t="n">
        <x:v>46163</x:v>
      </x:c>
      <x:c r="F1060" t="n">
        <x:v>1043</x:v>
      </x:c>
      <x:c r="G1060" t="str">
        <x:v>24c14be58dd9ebfc2f82b01950db8f052ec8e7cb004d3cdcb5267b96476897e0</x:v>
      </x:c>
      <x:c r="H1060" t="str">
        <x:v>neu</x:v>
      </x:c>
      <x:c r="I1060" t="str">
        <x:v>ok</x:v>
      </x:c>
      <x:c r="J1060"/>
      <x:c r="K1060" t="n">
        <x:v>45811</x:v>
      </x:c>
      <x:c r="L1060" t="n">
        <x:v>45811</x:v>
      </x:c>
      <x:c r="M1060" t="str">
        <x:v>Gebucht</x:v>
      </x:c>
      <x:c r="N1060" t="str">
        <x:v>Lars Kohlenberg</x:v>
      </x:c>
      <x:c r="O1060" t="str">
        <x:v>VHV Allg. Versicherung AG</x:v>
      </x:c>
      <x:c r="P1060" t="str">
        <x:v>VHV Versicherung UNFALLVERSICHERUNG U 013-072445/0000 Abrechnung: 01.06.25 - 01.07.25</x:v>
      </x:c>
      <x:c r="Q1060" t="str">
        <x:v>Ausgang</x:v>
      </x:c>
      <x:c r="R1060" t="str">
        <x:v>DE65250500000101411551</x:v>
      </x:c>
      <x:c r="S1060" t="n">
        <x:v>-11.96</x:v>
      </x:c>
      <x:c r="T1060" t="str">
        <x:v>DE32VHV00000150810</x:v>
      </x:c>
      <x:c r="U1060" t="str">
        <x:v>0015012300010039</x:v>
      </x:c>
      <x:c r="V1060" t="str">
        <x:v>31133428860</x:v>
      </x:c>
    </x:row>
    <x:row r="1061">
      <x:c r="A1061" t="str">
        <x:v>RAW-IMP-20260516-FULLDRAFT-001044</x:v>
      </x:c>
      <x:c r="B1061" t="str">
        <x:v>IMP-20260516-FULLDRAFT</x:v>
      </x:c>
      <x:c r="C1061" t="str">
        <x:v>KTO001</x:v>
      </x:c>
      <x:c r="D1061" t="str">
        <x:v>16-05-2026_Umsatzliste_Girokonto_DE98120300001061711675.csv</x:v>
      </x:c>
      <x:c r="E1061" t="n">
        <x:v>46163</x:v>
      </x:c>
      <x:c r="F1061" t="n">
        <x:v>1044</x:v>
      </x:c>
      <x:c r="G1061" t="str">
        <x:v>ed67b93147b88ae6afbbe8c245a9d780df0cd54d8a681ed286c8f4426dcf55db</x:v>
      </x:c>
      <x:c r="H1061" t="str">
        <x:v>neu</x:v>
      </x:c>
      <x:c r="I1061" t="str">
        <x:v>ok</x:v>
      </x:c>
      <x:c r="J1061"/>
      <x:c r="K1061" t="n">
        <x:v>45811</x:v>
      </x:c>
      <x:c r="L1061" t="n">
        <x:v>45811</x:v>
      </x:c>
      <x:c r="M1061" t="str">
        <x:v>Gebucht</x:v>
      </x:c>
      <x:c r="N1061" t="str">
        <x:v>KOHLENBERG, LARS</x:v>
      </x:c>
      <x:c r="O1061" t="str">
        <x:v>Lars und Katrin Kohlenberg</x:v>
      </x:c>
      <x:c r="P1061" t="str">
        <x:v>11767079 VERMOEGENSDEPOT SAMMELBUCHUNG SPARPLAN WKN A1C9ED, 847809</x:v>
      </x:c>
      <x:c r="Q1061" t="str">
        <x:v>Ausgang</x:v>
      </x:c>
      <x:c r="R1061" t="str">
        <x:v>DE27672300000506966162</x:v>
      </x:c>
      <x:c r="S1061" t="n">
        <x:v>-600</x:v>
      </x:c>
      <x:c r="T1061" t="str">
        <x:v>DE53ZZZ00000010849</x:v>
      </x:c>
      <x:c r="U1061" t="str">
        <x:v>WPBF0000180845</x:v>
      </x:c>
      <x:c r="V1061" t="str">
        <x:v>SPARSP 17596337</x:v>
      </x:c>
    </x:row>
    <x:row r="1062">
      <x:c r="A1062" t="str">
        <x:v>RAW-IMP-20260516-FULLDRAFT-001045</x:v>
      </x:c>
      <x:c r="B1062" t="str">
        <x:v>IMP-20260516-FULLDRAFT</x:v>
      </x:c>
      <x:c r="C1062" t="str">
        <x:v>KTO001</x:v>
      </x:c>
      <x:c r="D1062" t="str">
        <x:v>16-05-2026_Umsatzliste_Girokonto_DE98120300001061711675.csv</x:v>
      </x:c>
      <x:c r="E1062" t="n">
        <x:v>46163</x:v>
      </x:c>
      <x:c r="F1062" t="n">
        <x:v>1045</x:v>
      </x:c>
      <x:c r="G1062" t="str">
        <x:v>aea16074e1a4bce80584853cda0938a9d8e2aa15aef44927288b5de5e66fae06</x:v>
      </x:c>
      <x:c r="H1062" t="str">
        <x:v>neu</x:v>
      </x:c>
      <x:c r="I1062" t="str">
        <x:v>ok</x:v>
      </x:c>
      <x:c r="J1062"/>
      <x:c r="K1062" t="n">
        <x:v>45811</x:v>
      </x:c>
      <x:c r="L1062" t="n">
        <x:v>45811</x:v>
      </x:c>
      <x:c r="M1062" t="str">
        <x:v>Gebucht</x:v>
      </x:c>
      <x:c r="N1062" t="str">
        <x:v>KOHLENBERG, LARS</x:v>
      </x:c>
      <x:c r="O1062" t="str">
        <x:v>VPV-LEBENSVERSICHERUNGS-AG</x:v>
      </x:c>
      <x:c r="P1062" t="str">
        <x:v>VNR 301667726</x:v>
      </x:c>
      <x:c r="Q1062" t="str">
        <x:v>Ausgang</x:v>
      </x:c>
      <x:c r="R1062" t="str">
        <x:v>DE78600501010001166338</x:v>
      </x:c>
      <x:c r="S1062" t="n">
        <x:v>-53.3</x:v>
      </x:c>
      <x:c r="T1062" t="str">
        <x:v>DE96LAG00000064686</x:v>
      </x:c>
      <x:c r="U1062" t="str">
        <x:v>ML700120510</x:v>
      </x:c>
      <x:c r="V1062" t="str">
        <x:v>250602 460386670 ML700120510</x:v>
      </x:c>
    </x:row>
    <x:row r="1063">
      <x:c r="A1063" t="str">
        <x:v>RAW-IMP-20260516-FULLDRAFT-001046</x:v>
      </x:c>
      <x:c r="B1063" t="str">
        <x:v>IMP-20260516-FULLDRAFT</x:v>
      </x:c>
      <x:c r="C1063" t="str">
        <x:v>KTO001</x:v>
      </x:c>
      <x:c r="D1063" t="str">
        <x:v>16-05-2026_Umsatzliste_Girokonto_DE98120300001061711675.csv</x:v>
      </x:c>
      <x:c r="E1063" t="n">
        <x:v>46163</x:v>
      </x:c>
      <x:c r="F1063" t="n">
        <x:v>1046</x:v>
      </x:c>
      <x:c r="G1063" t="str">
        <x:v>fd3e66e53447234d8fb702297aaec5be2a495999d53c5ade919f114ad05ac463</x:v>
      </x:c>
      <x:c r="H1063" t="str">
        <x:v>neu</x:v>
      </x:c>
      <x:c r="I1063" t="str">
        <x:v>ok</x:v>
      </x:c>
      <x:c r="J1063"/>
      <x:c r="K1063" t="n">
        <x:v>45810</x:v>
      </x:c>
      <x:c r="L1063" t="n">
        <x:v>45810</x:v>
      </x:c>
      <x:c r="M1063" t="str">
        <x:v>Gebucht</x:v>
      </x:c>
      <x:c r="N1063" t="str">
        <x:v>ISSUER</x:v>
      </x:c>
      <x:c r="O1063" t="str">
        <x:v>Raststaette.Auetal.Sued/Auetal</x:v>
      </x:c>
      <x:c r="P1063" t="str">
        <x:v>VISA Debitkartenumsatz vom 01.06.2025</x:v>
      </x:c>
      <x:c r="Q1063" t="str">
        <x:v>Ausgang</x:v>
      </x:c>
      <x:c r="R1063" t="str">
        <x:v>DE96120300009005290904</x:v>
      </x:c>
      <x:c r="S1063" t="n">
        <x:v>-1</x:v>
      </x:c>
      <x:c r="T1063" t="str">
        <x:v>"</x:v>
      </x:c>
      <x:c r="U1063" t="str">
        <x:v>"</x:v>
      </x:c>
      <x:c r="V1063" t="str">
        <x:v>485152399465830</x:v>
      </x:c>
    </x:row>
    <x:row r="1064">
      <x:c r="A1064" t="str">
        <x:v>RAW-IMP-20260516-FULLDRAFT-001047</x:v>
      </x:c>
      <x:c r="B1064" t="str">
        <x:v>IMP-20260516-FULLDRAFT</x:v>
      </x:c>
      <x:c r="C1064" t="str">
        <x:v>KTO001</x:v>
      </x:c>
      <x:c r="D1064" t="str">
        <x:v>16-05-2026_Umsatzliste_Girokonto_DE98120300001061711675.csv</x:v>
      </x:c>
      <x:c r="E1064" t="n">
        <x:v>46163</x:v>
      </x:c>
      <x:c r="F1064" t="n">
        <x:v>1047</x:v>
      </x:c>
      <x:c r="G1064" t="str">
        <x:v>b139e94b9aee4590bf6e2668ecb6846ab7cc8e067b5213146d33614aec3ba7b3</x:v>
      </x:c>
      <x:c r="H1064" t="str">
        <x:v>neu</x:v>
      </x:c>
      <x:c r="I1064" t="str">
        <x:v>ok</x:v>
      </x:c>
      <x:c r="J1064"/>
      <x:c r="K1064" t="n">
        <x:v>45810</x:v>
      </x:c>
      <x:c r="L1064" t="n">
        <x:v>45810</x:v>
      </x:c>
      <x:c r="M1064" t="str">
        <x:v>Gebucht</x:v>
      </x:c>
      <x:c r="N1064" t="str">
        <x:v>ISSUER</x:v>
      </x:c>
      <x:c r="O1064" t="str">
        <x:v>Raststaette.Auetal.Sued/Auetal</x:v>
      </x:c>
      <x:c r="P1064" t="str">
        <x:v>VISA Debitkartenumsatz vom 01.06.2025</x:v>
      </x:c>
      <x:c r="Q1064" t="str">
        <x:v>Ausgang</x:v>
      </x:c>
      <x:c r="R1064" t="str">
        <x:v>DE96120300009005290904</x:v>
      </x:c>
      <x:c r="S1064" t="n">
        <x:v>-1</x:v>
      </x:c>
      <x:c r="T1064" t="str">
        <x:v>"</x:v>
      </x:c>
      <x:c r="U1064" t="str">
        <x:v>"</x:v>
      </x:c>
      <x:c r="V1064" t="str">
        <x:v>485152399621982</x:v>
      </x:c>
    </x:row>
    <x:row r="1065">
      <x:c r="A1065" t="str">
        <x:v>RAW-IMP-20260516-FULLDRAFT-001048</x:v>
      </x:c>
      <x:c r="B1065" t="str">
        <x:v>IMP-20260516-FULLDRAFT</x:v>
      </x:c>
      <x:c r="C1065" t="str">
        <x:v>KTO001</x:v>
      </x:c>
      <x:c r="D1065" t="str">
        <x:v>16-05-2026_Umsatzliste_Girokonto_DE98120300001061711675.csv</x:v>
      </x:c>
      <x:c r="E1065" t="n">
        <x:v>46163</x:v>
      </x:c>
      <x:c r="F1065" t="n">
        <x:v>1048</x:v>
      </x:c>
      <x:c r="G1065" t="str">
        <x:v>1f833643c749e2e1ed431d99ef661900d228ea8093b771336fc6dd9b75ea2d28</x:v>
      </x:c>
      <x:c r="H1065" t="str">
        <x:v>neu</x:v>
      </x:c>
      <x:c r="I1065" t="str">
        <x:v>ok</x:v>
      </x:c>
      <x:c r="J1065"/>
      <x:c r="K1065" t="n">
        <x:v>45810</x:v>
      </x:c>
      <x:c r="L1065" t="n">
        <x:v>45810</x:v>
      </x:c>
      <x:c r="M1065" t="str">
        <x:v>Gebucht</x:v>
      </x:c>
      <x:c r="N1065" t="str">
        <x:v>ISSUER</x:v>
      </x:c>
      <x:c r="O1065" t="str">
        <x:v>MCDONALDS.01122/GESEKE</x:v>
      </x:c>
      <x:c r="P1065" t="str">
        <x:v>VISA Debitkartenumsatz vom 31.05.2025</x:v>
      </x:c>
      <x:c r="Q1065" t="str">
        <x:v>Ausgang</x:v>
      </x:c>
      <x:c r="R1065" t="str">
        <x:v>DE96120300009005290904</x:v>
      </x:c>
      <x:c r="S1065" t="n">
        <x:v>-4.19</x:v>
      </x:c>
      <x:c r="T1065" t="str">
        <x:v>"</x:v>
      </x:c>
      <x:c r="U1065" t="str">
        <x:v>"</x:v>
      </x:c>
      <x:c r="V1065" t="str">
        <x:v>485151448638776</x:v>
      </x:c>
    </x:row>
    <x:row r="1066">
      <x:c r="A1066" t="str">
        <x:v>RAW-IMP-20260516-FULLDRAFT-001049</x:v>
      </x:c>
      <x:c r="B1066" t="str">
        <x:v>IMP-20260516-FULLDRAFT</x:v>
      </x:c>
      <x:c r="C1066" t="str">
        <x:v>KTO001</x:v>
      </x:c>
      <x:c r="D1066" t="str">
        <x:v>16-05-2026_Umsatzliste_Girokonto_DE98120300001061711675.csv</x:v>
      </x:c>
      <x:c r="E1066" t="n">
        <x:v>46163</x:v>
      </x:c>
      <x:c r="F1066" t="n">
        <x:v>1049</x:v>
      </x:c>
      <x:c r="G1066" t="str">
        <x:v>9a0558541c3d6900399c95cb96615ab110201144b00dca9162c5a797f331c2e7</x:v>
      </x:c>
      <x:c r="H1066" t="str">
        <x:v>neu</x:v>
      </x:c>
      <x:c r="I1066" t="str">
        <x:v>ok</x:v>
      </x:c>
      <x:c r="J1066"/>
      <x:c r="K1066" t="n">
        <x:v>45810</x:v>
      </x:c>
      <x:c r="L1066" t="n">
        <x:v>45810</x:v>
      </x:c>
      <x:c r="M1066" t="str">
        <x:v>Gebucht</x:v>
      </x:c>
      <x:c r="N1066" t="str">
        <x:v>ISSUER</x:v>
      </x:c>
      <x:c r="O1066" t="str">
        <x:v>POLLUX.GRUNDSTUECKSG.M/KOELN</x:v>
      </x:c>
      <x:c r="P1066" t="str">
        <x:v>VISA Debitkartenumsatz vom 30.05.2025</x:v>
      </x:c>
      <x:c r="Q1066" t="str">
        <x:v>Ausgang</x:v>
      </x:c>
      <x:c r="R1066" t="str">
        <x:v>DE96120300009005290904</x:v>
      </x:c>
      <x:c r="S1066" t="n">
        <x:v>-3</x:v>
      </x:c>
      <x:c r="T1066" t="str">
        <x:v>"</x:v>
      </x:c>
      <x:c r="U1066" t="str">
        <x:v>"</x:v>
      </x:c>
      <x:c r="V1066" t="str">
        <x:v>485150496834559</x:v>
      </x:c>
    </x:row>
    <x:row r="1067">
      <x:c r="A1067" t="str">
        <x:v>RAW-IMP-20260516-FULLDRAFT-001050</x:v>
      </x:c>
      <x:c r="B1067" t="str">
        <x:v>IMP-20260516-FULLDRAFT</x:v>
      </x:c>
      <x:c r="C1067" t="str">
        <x:v>KTO001</x:v>
      </x:c>
      <x:c r="D1067" t="str">
        <x:v>16-05-2026_Umsatzliste_Girokonto_DE98120300001061711675.csv</x:v>
      </x:c>
      <x:c r="E1067" t="n">
        <x:v>46163</x:v>
      </x:c>
      <x:c r="F1067" t="n">
        <x:v>1050</x:v>
      </x:c>
      <x:c r="G1067" t="str">
        <x:v>dd1dcca3dba1efebdef6450860105f979ca50706a08fad4bf237f2278870c6f9</x:v>
      </x:c>
      <x:c r="H1067" t="str">
        <x:v>neu</x:v>
      </x:c>
      <x:c r="I1067" t="str">
        <x:v>ok</x:v>
      </x:c>
      <x:c r="J1067"/>
      <x:c r="K1067" t="n">
        <x:v>45810</x:v>
      </x:c>
      <x:c r="L1067" t="n">
        <x:v>45810</x:v>
      </x:c>
      <x:c r="M1067" t="str">
        <x:v>Gebucht</x:v>
      </x:c>
      <x:c r="N1067" t="str">
        <x:v>WILLI KOHLENBERG</x:v>
      </x:c>
      <x:c r="O1067" t="str">
        <x:v>LARS KOHLENBERG</x:v>
      </x:c>
      <x:c r="P1067" t="str">
        <x:v>MIETE 2/3 HAUS</x:v>
      </x:c>
      <x:c r="Q1067" t="str">
        <x:v>Eingang</x:v>
      </x:c>
      <x:c r="R1067" t="str">
        <x:v>DE84270800600651520400</x:v>
      </x:c>
      <x:c r="S1067" t="n">
        <x:v>750</x:v>
      </x:c>
      <x:c r="T1067" t="str">
        <x:v>"</x:v>
      </x:c>
      <x:c r="U1067" t="str">
        <x:v>"</x:v>
      </x:c>
      <x:c r="V1067" t="str">
        <x:v>"</x:v>
      </x:c>
    </x:row>
    <x:row r="1068">
      <x:c r="A1068" t="str">
        <x:v>RAW-IMP-20260516-FULLDRAFT-001051</x:v>
      </x:c>
      <x:c r="B1068" t="str">
        <x:v>IMP-20260516-FULLDRAFT</x:v>
      </x:c>
      <x:c r="C1068" t="str">
        <x:v>KTO001</x:v>
      </x:c>
      <x:c r="D1068" t="str">
        <x:v>16-05-2026_Umsatzliste_Girokonto_DE98120300001061711675.csv</x:v>
      </x:c>
      <x:c r="E1068" t="n">
        <x:v>46163</x:v>
      </x:c>
      <x:c r="F1068" t="n">
        <x:v>1051</x:v>
      </x:c>
      <x:c r="G1068" t="str">
        <x:v>35e24cbca3374492045ea6ea30716dbf16c2766f7e3cd577bda5135849d7c93a</x:v>
      </x:c>
      <x:c r="H1068" t="str">
        <x:v>neu</x:v>
      </x:c>
      <x:c r="I1068" t="str">
        <x:v>ok</x:v>
      </x:c>
      <x:c r="J1068"/>
      <x:c r="K1068" t="n">
        <x:v>45810</x:v>
      </x:c>
      <x:c r="L1068" t="n">
        <x:v>45810</x:v>
      </x:c>
      <x:c r="M1068" t="str">
        <x:v>Gebucht</x:v>
      </x:c>
      <x:c r="N1068" t="str">
        <x:v>ISSUER</x:v>
      </x:c>
      <x:c r="O1068" t="str">
        <x:v>Raststaette.Auetal.Sued/Auetal</x:v>
      </x:c>
      <x:c r="P1068" t="str">
        <x:v>VISA Debitkartenumsatz vom 01.06.2025</x:v>
      </x:c>
      <x:c r="Q1068" t="str">
        <x:v>Ausgang</x:v>
      </x:c>
      <x:c r="R1068" t="str">
        <x:v>DE96120300009005290904</x:v>
      </x:c>
      <x:c r="S1068" t="n">
        <x:v>-1.99</x:v>
      </x:c>
      <x:c r="T1068" t="str">
        <x:v>"</x:v>
      </x:c>
      <x:c r="U1068" t="str">
        <x:v>"</x:v>
      </x:c>
      <x:c r="V1068" t="str">
        <x:v>485152403085201</x:v>
      </x:c>
    </x:row>
    <x:row r="1069">
      <x:c r="A1069" t="str">
        <x:v>RAW-IMP-20260516-FULLDRAFT-001052</x:v>
      </x:c>
      <x:c r="B1069" t="str">
        <x:v>IMP-20260516-FULLDRAFT</x:v>
      </x:c>
      <x:c r="C1069" t="str">
        <x:v>KTO001</x:v>
      </x:c>
      <x:c r="D1069" t="str">
        <x:v>16-05-2026_Umsatzliste_Girokonto_DE98120300001061711675.csv</x:v>
      </x:c>
      <x:c r="E1069" t="n">
        <x:v>46163</x:v>
      </x:c>
      <x:c r="F1069" t="n">
        <x:v>1052</x:v>
      </x:c>
      <x:c r="G1069" t="str">
        <x:v>7472b592529b6f3addeb1376c836cff3f0e535f81ed1174d6d228353c6eb55e6</x:v>
      </x:c>
      <x:c r="H1069" t="str">
        <x:v>neu</x:v>
      </x:c>
      <x:c r="I1069" t="str">
        <x:v>ok</x:v>
      </x:c>
      <x:c r="J1069"/>
      <x:c r="K1069" t="n">
        <x:v>45810</x:v>
      </x:c>
      <x:c r="L1069" t="n">
        <x:v>45810</x:v>
      </x:c>
      <x:c r="M1069" t="str">
        <x:v>Gebucht</x:v>
      </x:c>
      <x:c r="N1069" t="str">
        <x:v>ISSUER</x:v>
      </x:c>
      <x:c r="O1069" t="str">
        <x:v>FW.BRAUNSCHWEIG/BRAUNSCHWEIG</x:v>
      </x:c>
      <x:c r="P1069" t="str">
        <x:v>VISA Debitkartenumsatz vom 30.05.2025</x:v>
      </x:c>
      <x:c r="Q1069" t="str">
        <x:v>Ausgang</x:v>
      </x:c>
      <x:c r="R1069" t="str">
        <x:v>DE96120300009005290904</x:v>
      </x:c>
      <x:c r="S1069" t="n">
        <x:v>-34.25</x:v>
      </x:c>
      <x:c r="T1069" t="str">
        <x:v>"</x:v>
      </x:c>
      <x:c r="U1069" t="str">
        <x:v>"</x:v>
      </x:c>
      <x:c r="V1069" t="str">
        <x:v>485150473392785</x:v>
      </x:c>
    </x:row>
    <x:row r="1070">
      <x:c r="A1070" t="str">
        <x:v>RAW-IMP-20260516-FULLDRAFT-001053</x:v>
      </x:c>
      <x:c r="B1070" t="str">
        <x:v>IMP-20260516-FULLDRAFT</x:v>
      </x:c>
      <x:c r="C1070" t="str">
        <x:v>KTO001</x:v>
      </x:c>
      <x:c r="D1070" t="str">
        <x:v>16-05-2026_Umsatzliste_Girokonto_DE98120300001061711675.csv</x:v>
      </x:c>
      <x:c r="E1070" t="n">
        <x:v>46163</x:v>
      </x:c>
      <x:c r="F1070" t="n">
        <x:v>1053</x:v>
      </x:c>
      <x:c r="G1070" t="str">
        <x:v>085e611cf9eed6e94026cf698b457f87e047556174d2dbbbe981ba84b679d6be</x:v>
      </x:c>
      <x:c r="H1070" t="str">
        <x:v>neu</x:v>
      </x:c>
      <x:c r="I1070" t="str">
        <x:v>ok</x:v>
      </x:c>
      <x:c r="J1070"/>
      <x:c r="K1070" t="n">
        <x:v>45810</x:v>
      </x:c>
      <x:c r="L1070" t="n">
        <x:v>45810</x:v>
      </x:c>
      <x:c r="M1070" t="str">
        <x:v>Gebucht</x:v>
      </x:c>
      <x:c r="N1070" t="str">
        <x:v>ISSUER</x:v>
      </x:c>
      <x:c r="O1070" t="str">
        <x:v>Idee.Creativmarkt.GmbH/Braunschweig</x:v>
      </x:c>
      <x:c r="P1070" t="str">
        <x:v>VISA Debitkartenumsatz vom 30.05.2025</x:v>
      </x:c>
      <x:c r="Q1070" t="str">
        <x:v>Ausgang</x:v>
      </x:c>
      <x:c r="R1070" t="str">
        <x:v>DE96120300009005290904</x:v>
      </x:c>
      <x:c r="S1070" t="n">
        <x:v>-13.8</x:v>
      </x:c>
      <x:c r="T1070" t="str">
        <x:v>"</x:v>
      </x:c>
      <x:c r="U1070" t="str">
        <x:v>"</x:v>
      </x:c>
      <x:c r="V1070" t="str">
        <x:v>485150456365869</x:v>
      </x:c>
    </x:row>
    <x:row r="1071">
      <x:c r="A1071" t="str">
        <x:v>RAW-IMP-20260516-FULLDRAFT-001054</x:v>
      </x:c>
      <x:c r="B1071" t="str">
        <x:v>IMP-20260516-FULLDRAFT</x:v>
      </x:c>
      <x:c r="C1071" t="str">
        <x:v>KTO001</x:v>
      </x:c>
      <x:c r="D1071" t="str">
        <x:v>16-05-2026_Umsatzliste_Girokonto_DE98120300001061711675.csv</x:v>
      </x:c>
      <x:c r="E1071" t="n">
        <x:v>46163</x:v>
      </x:c>
      <x:c r="F1071" t="n">
        <x:v>1054</x:v>
      </x:c>
      <x:c r="G1071" t="str">
        <x:v>79d09b5af85722461350dbdd4f8604fa185a31cc5e197ac4dc6667dcc7e9ba23</x:v>
      </x:c>
      <x:c r="H1071" t="str">
        <x:v>neu</x:v>
      </x:c>
      <x:c r="I1071" t="str">
        <x:v>ok</x:v>
      </x:c>
      <x:c r="J1071"/>
      <x:c r="K1071" t="n">
        <x:v>45810</x:v>
      </x:c>
      <x:c r="L1071" t="n">
        <x:v>45810</x:v>
      </x:c>
      <x:c r="M1071" t="str">
        <x:v>Gebucht</x:v>
      </x:c>
      <x:c r="N1071" t="str">
        <x:v>ISSUER</x:v>
      </x:c>
      <x:c r="O1071" t="str">
        <x:v>REWE.Salzgitter.Ge/Salzgitter</x:v>
      </x:c>
      <x:c r="P1071" t="str">
        <x:v>VISA Debitkartenumsatz vom 31.05.2025</x:v>
      </x:c>
      <x:c r="Q1071" t="str">
        <x:v>Ausgang</x:v>
      </x:c>
      <x:c r="R1071" t="str">
        <x:v>DE96120300009005290904</x:v>
      </x:c>
      <x:c r="S1071" t="n">
        <x:v>-47.53</x:v>
      </x:c>
      <x:c r="T1071" t="str">
        <x:v>"</x:v>
      </x:c>
      <x:c r="U1071" t="str">
        <x:v>"</x:v>
      </x:c>
      <x:c r="V1071" t="str">
        <x:v>485151339145140</x:v>
      </x:c>
    </x:row>
    <x:row r="1072">
      <x:c r="A1072" t="str">
        <x:v>RAW-IMP-20260516-FULLDRAFT-001055</x:v>
      </x:c>
      <x:c r="B1072" t="str">
        <x:v>IMP-20260516-FULLDRAFT</x:v>
      </x:c>
      <x:c r="C1072" t="str">
        <x:v>KTO001</x:v>
      </x:c>
      <x:c r="D1072" t="str">
        <x:v>16-05-2026_Umsatzliste_Girokonto_DE98120300001061711675.csv</x:v>
      </x:c>
      <x:c r="E1072" t="n">
        <x:v>46163</x:v>
      </x:c>
      <x:c r="F1072" t="n">
        <x:v>1055</x:v>
      </x:c>
      <x:c r="G1072" t="str">
        <x:v>86a90e5d710cae1be4935db9d72612df579ebcb3a9b03ab1498c205e8cde037c</x:v>
      </x:c>
      <x:c r="H1072" t="str">
        <x:v>neu</x:v>
      </x:c>
      <x:c r="I1072" t="str">
        <x:v>ok</x:v>
      </x:c>
      <x:c r="J1072"/>
      <x:c r="K1072" t="n">
        <x:v>45810</x:v>
      </x:c>
      <x:c r="L1072" t="n">
        <x:v>45810</x:v>
      </x:c>
      <x:c r="M1072" t="str">
        <x:v>Gebucht</x:v>
      </x:c>
      <x:c r="N1072" t="str">
        <x:v>ISSUER</x:v>
      </x:c>
      <x:c r="O1072" t="str">
        <x:v>Lidl.sagt.Danke/Salzgitter</x:v>
      </x:c>
      <x:c r="P1072" t="str">
        <x:v>VISA Debitkartenumsatz vom 30.05.2025</x:v>
      </x:c>
      <x:c r="Q1072" t="str">
        <x:v>Ausgang</x:v>
      </x:c>
      <x:c r="R1072" t="str">
        <x:v>DE96120300009005290904</x:v>
      </x:c>
      <x:c r="S1072" t="n">
        <x:v>-11.89</x:v>
      </x:c>
      <x:c r="T1072" t="str">
        <x:v>"</x:v>
      </x:c>
      <x:c r="U1072" t="str">
        <x:v>"</x:v>
      </x:c>
      <x:c r="V1072" t="str">
        <x:v>485150678944359</x:v>
      </x:c>
    </x:row>
    <x:row r="1073">
      <x:c r="A1073" t="str">
        <x:v>RAW-IMP-20260516-FULLDRAFT-001056</x:v>
      </x:c>
      <x:c r="B1073" t="str">
        <x:v>IMP-20260516-FULLDRAFT</x:v>
      </x:c>
      <x:c r="C1073" t="str">
        <x:v>KTO001</x:v>
      </x:c>
      <x:c r="D1073" t="str">
        <x:v>16-05-2026_Umsatzliste_Girokonto_DE98120300001061711675.csv</x:v>
      </x:c>
      <x:c r="E1073" t="n">
        <x:v>46163</x:v>
      </x:c>
      <x:c r="F1073" t="n">
        <x:v>1056</x:v>
      </x:c>
      <x:c r="G1073" t="str">
        <x:v>2944b94b7ab8dfb040f015a8ecb6b10d58e15c35b1b1e84387adf9fb6271ca04</x:v>
      </x:c>
      <x:c r="H1073" t="str">
        <x:v>neu</x:v>
      </x:c>
      <x:c r="I1073" t="str">
        <x:v>ok</x:v>
      </x:c>
      <x:c r="J1073"/>
      <x:c r="K1073" t="n">
        <x:v>45810</x:v>
      </x:c>
      <x:c r="L1073" t="n">
        <x:v>45810</x:v>
      </x:c>
      <x:c r="M1073" t="str">
        <x:v>Gebucht</x:v>
      </x:c>
      <x:c r="N1073" t="str">
        <x:v>ISSUER</x:v>
      </x:c>
      <x:c r="O1073" t="str">
        <x:v>SANDERS.BACKSTUBE.GMBH/LENGEDE</x:v>
      </x:c>
      <x:c r="P1073" t="str">
        <x:v>VISA Debitkartenumsatz vom 30.05.2025</x:v>
      </x:c>
      <x:c r="Q1073" t="str">
        <x:v>Ausgang</x:v>
      </x:c>
      <x:c r="R1073" t="str">
        <x:v>DE96120300009005290904</x:v>
      </x:c>
      <x:c r="S1073" t="n">
        <x:v>-3.35</x:v>
      </x:c>
      <x:c r="T1073" t="str">
        <x:v>"</x:v>
      </x:c>
      <x:c r="U1073" t="str">
        <x:v>"</x:v>
      </x:c>
      <x:c r="V1073" t="str">
        <x:v>485150566741732</x:v>
      </x:c>
    </x:row>
    <x:row r="1074">
      <x:c r="A1074" t="str">
        <x:v>RAW-IMP-20260516-FULLDRAFT-001057</x:v>
      </x:c>
      <x:c r="B1074" t="str">
        <x:v>IMP-20260516-FULLDRAFT</x:v>
      </x:c>
      <x:c r="C1074" t="str">
        <x:v>KTO001</x:v>
      </x:c>
      <x:c r="D1074" t="str">
        <x:v>16-05-2026_Umsatzliste_Girokonto_DE98120300001061711675.csv</x:v>
      </x:c>
      <x:c r="E1074" t="n">
        <x:v>46163</x:v>
      </x:c>
      <x:c r="F1074" t="n">
        <x:v>1057</x:v>
      </x:c>
      <x:c r="G1074" t="str">
        <x:v>317674c396734eacbf1540b646b7508ed0ea472adee871a72bf08618b888f791</x:v>
      </x:c>
      <x:c r="H1074" t="str">
        <x:v>neu</x:v>
      </x:c>
      <x:c r="I1074" t="str">
        <x:v>ok</x:v>
      </x:c>
      <x:c r="J1074"/>
      <x:c r="K1074" t="n">
        <x:v>45810</x:v>
      </x:c>
      <x:c r="L1074" t="n">
        <x:v>45810</x:v>
      </x:c>
      <x:c r="M1074" t="str">
        <x:v>Gebucht</x:v>
      </x:c>
      <x:c r="N1074" t="str">
        <x:v>ISSUER</x:v>
      </x:c>
      <x:c r="O1074" t="str">
        <x:v>SPK.HILDESHEIM.GOSLAR.P/KLESMERPLA</x:v>
      </x:c>
      <x:c r="P1074" t="str">
        <x:v>VISA Debitkartenumsatz vom 31.05.2025</x:v>
      </x:c>
      <x:c r="Q1074" t="str">
        <x:v>Ausgang</x:v>
      </x:c>
      <x:c r="R1074" t="str">
        <x:v>DE96120300009005290904</x:v>
      </x:c>
      <x:c r="S1074" t="n">
        <x:v>-120</x:v>
      </x:c>
      <x:c r="T1074" t="str">
        <x:v>"</x:v>
      </x:c>
      <x:c r="U1074" t="str">
        <x:v>"</x:v>
      </x:c>
      <x:c r="V1074" t="str">
        <x:v>485151245311911</x:v>
      </x:c>
    </x:row>
    <x:row r="1075">
      <x:c r="A1075" t="str">
        <x:v>RAW-IMP-20260516-FULLDRAFT-001058</x:v>
      </x:c>
      <x:c r="B1075" t="str">
        <x:v>IMP-20260516-FULLDRAFT</x:v>
      </x:c>
      <x:c r="C1075" t="str">
        <x:v>KTO001</x:v>
      </x:c>
      <x:c r="D1075" t="str">
        <x:v>16-05-2026_Umsatzliste_Girokonto_DE98120300001061711675.csv</x:v>
      </x:c>
      <x:c r="E1075" t="n">
        <x:v>46163</x:v>
      </x:c>
      <x:c r="F1075" t="n">
        <x:v>1058</x:v>
      </x:c>
      <x:c r="G1075" t="str">
        <x:v>a84eaa20dc4e7e40fbe29c8f14f97a8c0b0195e34c2eb1022f0588233a61470f</x:v>
      </x:c>
      <x:c r="H1075" t="str">
        <x:v>neu</x:v>
      </x:c>
      <x:c r="I1075" t="str">
        <x:v>ok</x:v>
      </x:c>
      <x:c r="J1075"/>
      <x:c r="K1075" t="n">
        <x:v>45810</x:v>
      </x:c>
      <x:c r="L1075" t="n">
        <x:v>45810</x:v>
      </x:c>
      <x:c r="M1075" t="str">
        <x:v>Gebucht</x:v>
      </x:c>
      <x:c r="N1075" t="str">
        <x:v>KOHLENBERG LARS</x:v>
      </x:c>
      <x:c r="O1075" t="str">
        <x:v>VOLKSWOHL BUND Lebensversicherung a.G.</x:v>
      </x:c>
      <x:c r="P1075" t="str">
        <x:v>009893595 LA000750566/ 009893595 LEBEN 68,46</x:v>
      </x:c>
      <x:c r="Q1075" t="str">
        <x:v>Ausgang</x:v>
      </x:c>
      <x:c r="R1075" t="str">
        <x:v>DE76440400370361155500</x:v>
      </x:c>
      <x:c r="S1075" t="n">
        <x:v>-68.46</x:v>
      </x:c>
      <x:c r="T1075" t="str">
        <x:v>DE13ZZZ00000141064</x:v>
      </x:c>
      <x:c r="U1075" t="str">
        <x:v>LA000750566</x:v>
      </x:c>
      <x:c r="V1075" t="str">
        <x:v>009893595/NVMA.G1129-321510</x:v>
      </x:c>
    </x:row>
    <x:row r="1076">
      <x:c r="A1076" t="str">
        <x:v>RAW-IMP-20260516-FULLDRAFT-001059</x:v>
      </x:c>
      <x:c r="B1076" t="str">
        <x:v>IMP-20260516-FULLDRAFT</x:v>
      </x:c>
      <x:c r="C1076" t="str">
        <x:v>KTO001</x:v>
      </x:c>
      <x:c r="D1076" t="str">
        <x:v>16-05-2026_Umsatzliste_Girokonto_DE98120300001061711675.csv</x:v>
      </x:c>
      <x:c r="E1076" t="n">
        <x:v>46163</x:v>
      </x:c>
      <x:c r="F1076" t="n">
        <x:v>1059</x:v>
      </x:c>
      <x:c r="G1076" t="str">
        <x:v>eef01dd81f8216bbaeb08bb04a54f60bd34ffe771eca03a3277b0244a58d15dd</x:v>
      </x:c>
      <x:c r="H1076" t="str">
        <x:v>neu</x:v>
      </x:c>
      <x:c r="I1076" t="str">
        <x:v>ok</x:v>
      </x:c>
      <x:c r="J1076"/>
      <x:c r="K1076" t="n">
        <x:v>45810</x:v>
      </x:c>
      <x:c r="L1076" t="n">
        <x:v>45810</x:v>
      </x:c>
      <x:c r="M1076" t="str">
        <x:v>Gebucht</x:v>
      </x:c>
      <x:c r="N1076" t="str">
        <x:v>Kohlenberg Lars</x:v>
      </x:c>
      <x:c r="O1076" t="str">
        <x:v>Allianz Lebensvers. AG</x:v>
      </x:c>
      <x:c r="P1076" t="str">
        <x:v>Vertrag AL-1356867060 bisheriger Vertrag 33 029 619 6 01.06.25 - 30.06.25 RiesRent InvAlphaBal</x:v>
      </x:c>
      <x:c r="Q1076" t="str">
        <x:v>Ausgang</x:v>
      </x:c>
      <x:c r="R1076" t="str">
        <x:v>DE52700202700015152448</x:v>
      </x:c>
      <x:c r="S1076" t="n">
        <x:v>-162.17</x:v>
      </x:c>
      <x:c r="T1076" t="str">
        <x:v>DE07ZZZ00000063475</x:v>
      </x:c>
      <x:c r="U1076" t="str">
        <x:v>LA01L312001066775296</x:v>
      </x:c>
      <x:c r="V1076" t="str">
        <x:v>AB225147-E01938558</x:v>
      </x:c>
    </x:row>
    <x:row r="1077">
      <x:c r="A1077" t="str">
        <x:v>RAW-IMP-20260516-FULLDRAFT-001060</x:v>
      </x:c>
      <x:c r="B1077" t="str">
        <x:v>IMP-20260516-FULLDRAFT</x:v>
      </x:c>
      <x:c r="C1077" t="str">
        <x:v>KTO001</x:v>
      </x:c>
      <x:c r="D1077" t="str">
        <x:v>16-05-2026_Umsatzliste_Girokonto_DE98120300001061711675.csv</x:v>
      </x:c>
      <x:c r="E1077" t="n">
        <x:v>46163</x:v>
      </x:c>
      <x:c r="F1077" t="n">
        <x:v>1060</x:v>
      </x:c>
      <x:c r="G1077" t="str">
        <x:v>fed55332e7f180acb40e7cb3b23563ad07ccdf2994a0b6b53c74aee9a1ad6bdf</x:v>
      </x:c>
      <x:c r="H1077" t="str">
        <x:v>neu</x:v>
      </x:c>
      <x:c r="I1077" t="str">
        <x:v>ok</x:v>
      </x:c>
      <x:c r="J1077"/>
      <x:c r="K1077" t="n">
        <x:v>45810</x:v>
      </x:c>
      <x:c r="L1077" t="n">
        <x:v>45810</x:v>
      </x:c>
      <x:c r="M1077" t="str">
        <x:v>Gebucht</x:v>
      </x:c>
      <x:c r="N1077" t="str">
        <x:v>Kohlenberg, Lars</x:v>
      </x:c>
      <x:c r="O1077" t="str">
        <x:v>IDEAL Lebensversicherung aG</x:v>
      </x:c>
      <x:c r="P1077" t="str">
        <x:v>2011216280009 LV 061</x:v>
      </x:c>
      <x:c r="Q1077" t="str">
        <x:v>Ausgang</x:v>
      </x:c>
      <x:c r="R1077" t="str">
        <x:v>DE36100700000460303100</x:v>
      </x:c>
      <x:c r="S1077" t="n">
        <x:v>-97.12</x:v>
      </x:c>
      <x:c r="T1077" t="str">
        <x:v>DE40ZZZ00000559230</x:v>
      </x:c>
      <x:c r="U1077" t="str">
        <x:v>2011216280009-001</x:v>
      </x:c>
      <x:c r="V1077" t="str">
        <x:v>GL,KL,PD-20250601-1-2011216280009-0</x:v>
      </x:c>
    </x:row>
    <x:row r="1078">
      <x:c r="A1078" t="str">
        <x:v>RAW-IMP-20260516-FULLDRAFT-001061</x:v>
      </x:c>
      <x:c r="B1078" t="str">
        <x:v>IMP-20260516-FULLDRAFT</x:v>
      </x:c>
      <x:c r="C1078" t="str">
        <x:v>KTO001</x:v>
      </x:c>
      <x:c r="D1078" t="str">
        <x:v>16-05-2026_Umsatzliste_Girokonto_DE98120300001061711675.csv</x:v>
      </x:c>
      <x:c r="E1078" t="n">
        <x:v>46163</x:v>
      </x:c>
      <x:c r="F1078" t="n">
        <x:v>1061</x:v>
      </x:c>
      <x:c r="G1078" t="str">
        <x:v>cd365b646ec8ab30ac11bbdffb38850567017046c113f0f0debae19754622315</x:v>
      </x:c>
      <x:c r="H1078" t="str">
        <x:v>neu</x:v>
      </x:c>
      <x:c r="I1078" t="str">
        <x:v>ok</x:v>
      </x:c>
      <x:c r="J1078"/>
      <x:c r="K1078" t="n">
        <x:v>45810</x:v>
      </x:c>
      <x:c r="L1078" t="n">
        <x:v>45810</x:v>
      </x:c>
      <x:c r="M1078" t="str">
        <x:v>Gebucht</x:v>
      </x:c>
      <x:c r="N1078" t="str">
        <x:v>Lars Kohlenberg                                                       Johannes-Wosnitza-Str. 8 38229 Salzgitter</x:v>
      </x:c>
      <x:c r="O1078" t="str">
        <x:v>Heidelberger Lebensversicherung AG                                    Donrhofstrasse 36, 63263 Neu-Isenburg</x:v>
      </x:c>
      <x:c r="P1078" t="str">
        <x:v>60012826 , 06.25</x:v>
      </x:c>
      <x:c r="Q1078" t="str">
        <x:v>Ausgang</x:v>
      </x:c>
      <x:c r="R1078" t="str">
        <x:v>DE38600501010002662604</x:v>
      </x:c>
      <x:c r="S1078" t="n">
        <x:v>-452.71</x:v>
      </x:c>
      <x:c r="T1078" t="str">
        <x:v>DE31HLE00000032682</x:v>
      </x:c>
      <x:c r="U1078" t="str">
        <x:v>11-140000075706</x:v>
      </x:c>
      <x:c r="V1078" t="str">
        <x:v>110042992993</x:v>
      </x:c>
    </x:row>
    <x:row r="1079">
      <x:c r="A1079" t="str">
        <x:v>RAW-IMP-20260516-FULLDRAFT-001062</x:v>
      </x:c>
      <x:c r="B1079" t="str">
        <x:v>IMP-20260516-FULLDRAFT</x:v>
      </x:c>
      <x:c r="C1079" t="str">
        <x:v>KTO001</x:v>
      </x:c>
      <x:c r="D1079" t="str">
        <x:v>16-05-2026_Umsatzliste_Girokonto_DE98120300001061711675.csv</x:v>
      </x:c>
      <x:c r="E1079" t="n">
        <x:v>46163</x:v>
      </x:c>
      <x:c r="F1079" t="n">
        <x:v>1062</x:v>
      </x:c>
      <x:c r="G1079" t="str">
        <x:v>610b032141af6e914be77f8ea344c143771c8fa643d7721f6589567a7f6c3ea5</x:v>
      </x:c>
      <x:c r="H1079" t="str">
        <x:v>neu</x:v>
      </x:c>
      <x:c r="I1079" t="str">
        <x:v>ok</x:v>
      </x:c>
      <x:c r="J1079"/>
      <x:c r="K1079" t="n">
        <x:v>45810</x:v>
      </x:c>
      <x:c r="L1079" t="n">
        <x:v>45810</x:v>
      </x:c>
      <x:c r="M1079" t="str">
        <x:v>Gebucht</x:v>
      </x:c>
      <x:c r="N1079" t="str">
        <x:v>Kohlenberg, Katrin</x:v>
      </x:c>
      <x:c r="O1079" t="str">
        <x:v>WEVG Salzgitter GmbH + Co. KG</x:v>
      </x:c>
      <x:c r="P1079" t="str">
        <x:v>Kd-Nr 79288 Einz 31.05.25 41710/317.00/Johannes-Wosni 100833/76.00/Johannes-Wosni</x:v>
      </x:c>
      <x:c r="Q1079" t="str">
        <x:v>Ausgang</x:v>
      </x:c>
      <x:c r="R1079" t="str">
        <x:v>DE19300700100394127500</x:v>
      </x:c>
      <x:c r="S1079" t="n">
        <x:v>-393</x:v>
      </x:c>
      <x:c r="T1079" t="str">
        <x:v>DE83WEV00000032716</x:v>
      </x:c>
      <x:c r="U1079" t="str">
        <x:v>WEVG0000079288G1000178580</x:v>
      </x:c>
      <x:c r="V1079" t="str">
        <x:v>13691142</x:v>
      </x:c>
    </x:row>
    <x:row r="1080">
      <x:c r="A1080" t="str">
        <x:v>RAW-IMP-20260516-FULLDRAFT-001063</x:v>
      </x:c>
      <x:c r="B1080" t="str">
        <x:v>IMP-20260516-FULLDRAFT</x:v>
      </x:c>
      <x:c r="C1080" t="str">
        <x:v>KTO001</x:v>
      </x:c>
      <x:c r="D1080" t="str">
        <x:v>16-05-2026_Umsatzliste_Girokonto_DE98120300001061711675.csv</x:v>
      </x:c>
      <x:c r="E1080" t="n">
        <x:v>46163</x:v>
      </x:c>
      <x:c r="F1080" t="n">
        <x:v>1063</x:v>
      </x:c>
      <x:c r="G1080" t="str">
        <x:v>08c325a60b98708bdce491d0768208a48d030100835aee467f70d5535e05866a</x:v>
      </x:c>
      <x:c r="H1080" t="str">
        <x:v>neu</x:v>
      </x:c>
      <x:c r="I1080" t="str">
        <x:v>ok</x:v>
      </x:c>
      <x:c r="J1080"/>
      <x:c r="K1080" t="n">
        <x:v>45810</x:v>
      </x:c>
      <x:c r="L1080" t="n">
        <x:v>45810</x:v>
      </x:c>
      <x:c r="M1080" t="str">
        <x:v>Gebucht</x:v>
      </x:c>
      <x:c r="N1080" t="str">
        <x:v>Lars Kohlenberg</x:v>
      </x:c>
      <x:c r="O1080" t="str">
        <x:v>WingTsun GMBH CO. KG</x:v>
      </x:c>
      <x:c r="P1080" t="str">
        <x:v>2506112480RG++1265739</x:v>
      </x:c>
      <x:c r="Q1080" t="str">
        <x:v>Ausgang</x:v>
      </x:c>
      <x:c r="R1080" t="str">
        <x:v>DE56660100750206419751</x:v>
      </x:c>
      <x:c r="S1080" t="n">
        <x:v>-49</x:v>
      </x:c>
      <x:c r="T1080" t="str">
        <x:v>"</x:v>
      </x:c>
      <x:c r="U1080" t="str">
        <x:v>"</x:v>
      </x:c>
      <x:c r="V1080" t="str">
        <x:v>"</x:v>
      </x:c>
    </x:row>
    <x:row r="1081">
      <x:c r="A1081" t="str">
        <x:v>RAW-IMP-20260516-FULLDRAFT-001064</x:v>
      </x:c>
      <x:c r="B1081" t="str">
        <x:v>IMP-20260516-FULLDRAFT</x:v>
      </x:c>
      <x:c r="C1081" t="str">
        <x:v>KTO001</x:v>
      </x:c>
      <x:c r="D1081" t="str">
        <x:v>16-05-2026_Umsatzliste_Girokonto_DE98120300001061711675.csv</x:v>
      </x:c>
      <x:c r="E1081" t="n">
        <x:v>46163</x:v>
      </x:c>
      <x:c r="F1081" t="n">
        <x:v>1064</x:v>
      </x:c>
      <x:c r="G1081" t="str">
        <x:v>6512824a4057f5f4c85bbf405548e359a7507876d9bb0fbacab3369fadf59362</x:v>
      </x:c>
      <x:c r="H1081" t="str">
        <x:v>neu</x:v>
      </x:c>
      <x:c r="I1081" t="str">
        <x:v>ok</x:v>
      </x:c>
      <x:c r="J1081"/>
      <x:c r="K1081" t="n">
        <x:v>45810</x:v>
      </x:c>
      <x:c r="L1081" t="n">
        <x:v>45810</x:v>
      </x:c>
      <x:c r="M1081" t="str">
        <x:v>Gebucht</x:v>
      </x:c>
      <x:c r="N1081" t="str">
        <x:v>Lars Kohlenberg</x:v>
      </x:c>
      <x:c r="O1081" t="str">
        <x:v>KATRIN KOHLENBERG</x:v>
      </x:c>
      <x:c r="P1081" t="str">
        <x:v>Apanage</x:v>
      </x:c>
      <x:c r="Q1081" t="str">
        <x:v>Ausgang</x:v>
      </x:c>
      <x:c r="R1081" t="str">
        <x:v>DE32270727240307336800</x:v>
      </x:c>
      <x:c r="S1081" t="n">
        <x:v>-1800</x:v>
      </x:c>
      <x:c r="T1081" t="str">
        <x:v>"</x:v>
      </x:c>
      <x:c r="U1081" t="str">
        <x:v>"</x:v>
      </x:c>
      <x:c r="V1081" t="str">
        <x:v>"</x:v>
      </x:c>
    </x:row>
    <x:row r="1082">
      <x:c r="A1082" t="str">
        <x:v>RAW-IMP-20260516-FULLDRAFT-001065</x:v>
      </x:c>
      <x:c r="B1082" t="str">
        <x:v>IMP-20260516-FULLDRAFT</x:v>
      </x:c>
      <x:c r="C1082" t="str">
        <x:v>KTO001</x:v>
      </x:c>
      <x:c r="D1082" t="str">
        <x:v>16-05-2026_Umsatzliste_Girokonto_DE98120300001061711675.csv</x:v>
      </x:c>
      <x:c r="E1082" t="n">
        <x:v>46163</x:v>
      </x:c>
      <x:c r="F1082" t="n">
        <x:v>1065</x:v>
      </x:c>
      <x:c r="G1082" t="str">
        <x:v>b30ef27c233dbc0b77f38a7bdaa37f236d287393bfaeb76cd1cc753571498d7a</x:v>
      </x:c>
      <x:c r="H1082" t="str">
        <x:v>neu</x:v>
      </x:c>
      <x:c r="I1082" t="str">
        <x:v>ok</x:v>
      </x:c>
      <x:c r="J1082"/>
      <x:c r="K1082" t="n">
        <x:v>45810</x:v>
      </x:c>
      <x:c r="L1082" t="n">
        <x:v>45810</x:v>
      </x:c>
      <x:c r="M1082" t="str">
        <x:v>Gebucht</x:v>
      </x:c>
      <x:c r="N1082" t="str">
        <x:v>Lars Kohlenberg</x:v>
      </x:c>
      <x:c r="O1082" t="str">
        <x:v>LARS KOHLENBERG</x:v>
      </x:c>
      <x:c r="P1082" t="str">
        <x:v>Sparrate 650,- + 750 EUR Mieteinnahmen</x:v>
      </x:c>
      <x:c r="Q1082" t="str">
        <x:v>Ausgang</x:v>
      </x:c>
      <x:c r="R1082" t="str">
        <x:v>DE91270200001510365800</x:v>
      </x:c>
      <x:c r="S1082" t="n">
        <x:v>-1400</x:v>
      </x:c>
      <x:c r="T1082" t="str">
        <x:v>"</x:v>
      </x:c>
      <x:c r="U1082" t="str">
        <x:v>"</x:v>
      </x:c>
      <x:c r="V1082" t="str">
        <x:v>"</x:v>
      </x:c>
    </x:row>
    <x:row r="1083">
      <x:c r="A1083" t="str">
        <x:v>RAW-IMP-20260516-FULLDRAFT-001066</x:v>
      </x:c>
      <x:c r="B1083" t="str">
        <x:v>IMP-20260516-FULLDRAFT</x:v>
      </x:c>
      <x:c r="C1083" t="str">
        <x:v>KTO001</x:v>
      </x:c>
      <x:c r="D1083" t="str">
        <x:v>16-05-2026_Umsatzliste_Girokonto_DE98120300001061711675.csv</x:v>
      </x:c>
      <x:c r="E1083" t="n">
        <x:v>46163</x:v>
      </x:c>
      <x:c r="F1083" t="n">
        <x:v>1066</x:v>
      </x:c>
      <x:c r="G1083" t="str">
        <x:v>632e89f3efcbd42ab364279c60954c00ee1c4a85131f693be915c122e99991cb</x:v>
      </x:c>
      <x:c r="H1083" t="str">
        <x:v>neu</x:v>
      </x:c>
      <x:c r="I1083" t="str">
        <x:v>ok</x:v>
      </x:c>
      <x:c r="J1083"/>
      <x:c r="K1083" t="n">
        <x:v>45810</x:v>
      </x:c>
      <x:c r="L1083" t="n">
        <x:v>45810</x:v>
      </x:c>
      <x:c r="M1083" t="str">
        <x:v>Gebucht</x:v>
      </x:c>
      <x:c r="N1083" t="str">
        <x:v>Lars Kohlenberg</x:v>
      </x:c>
      <x:c r="O1083" t="str">
        <x:v>Lea kohlenberg</x:v>
      </x:c>
      <x:c r="P1083" t="str">
        <x:v>Klassenfahrt</x:v>
      </x:c>
      <x:c r="Q1083" t="str">
        <x:v>Ausgang</x:v>
      </x:c>
      <x:c r="R1083" t="str">
        <x:v>DE89269910662833344000</x:v>
      </x:c>
      <x:c r="S1083" t="n">
        <x:v>-100</x:v>
      </x:c>
      <x:c r="T1083" t="str">
        <x:v>"</x:v>
      </x:c>
      <x:c r="U1083" t="str">
        <x:v>"</x:v>
      </x:c>
      <x:c r="V1083" t="str">
        <x:v>"</x:v>
      </x:c>
    </x:row>
    <x:row r="1084">
      <x:c r="A1084" t="str">
        <x:v>RAW-IMP-20260516-FULLDRAFT-001067</x:v>
      </x:c>
      <x:c r="B1084" t="str">
        <x:v>IMP-20260516-FULLDRAFT</x:v>
      </x:c>
      <x:c r="C1084" t="str">
        <x:v>KTO001</x:v>
      </x:c>
      <x:c r="D1084" t="str">
        <x:v>16-05-2026_Umsatzliste_Girokonto_DE98120300001061711675.csv</x:v>
      </x:c>
      <x:c r="E1084" t="n">
        <x:v>46163</x:v>
      </x:c>
      <x:c r="F1084" t="n">
        <x:v>1067</x:v>
      </x:c>
      <x:c r="G1084" t="str">
        <x:v>664df4ec80715938583ea2ca09cecea8dd4c69d39726ead4c5b05ebfec9fe65b</x:v>
      </x:c>
      <x:c r="H1084" t="str">
        <x:v>neu</x:v>
      </x:c>
      <x:c r="I1084" t="str">
        <x:v>ok</x:v>
      </x:c>
      <x:c r="J1084"/>
      <x:c r="K1084" t="n">
        <x:v>45810</x:v>
      </x:c>
      <x:c r="L1084" t="n">
        <x:v>45810</x:v>
      </x:c>
      <x:c r="M1084" t="str">
        <x:v>Gebucht</x:v>
      </x:c>
      <x:c r="N1084" t="str">
        <x:v>Lars Kohlenberg</x:v>
      </x:c>
      <x:c r="O1084" t="str">
        <x:v>LARS KOHLENBERG</x:v>
      </x:c>
      <x:c r="P1084" t="str">
        <x:v>Zins und Tilgung zu 2/3</x:v>
      </x:c>
      <x:c r="Q1084" t="str">
        <x:v>Ausgang</x:v>
      </x:c>
      <x:c r="R1084" t="str">
        <x:v>DE33269910668923736000</x:v>
      </x:c>
      <x:c r="S1084" t="n">
        <x:v>-1153.94</x:v>
      </x:c>
      <x:c r="T1084" t="str">
        <x:v>"</x:v>
      </x:c>
      <x:c r="U1084" t="str">
        <x:v>"</x:v>
      </x:c>
      <x:c r="V1084" t="str">
        <x:v>"</x:v>
      </x:c>
    </x:row>
    <x:row r="1085">
      <x:c r="A1085" t="str">
        <x:v>RAW-IMP-20260516-FULLDRAFT-001068</x:v>
      </x:c>
      <x:c r="B1085" t="str">
        <x:v>IMP-20260516-FULLDRAFT</x:v>
      </x:c>
      <x:c r="C1085" t="str">
        <x:v>KTO001</x:v>
      </x:c>
      <x:c r="D1085" t="str">
        <x:v>16-05-2026_Umsatzliste_Girokonto_DE98120300001061711675.csv</x:v>
      </x:c>
      <x:c r="E1085" t="n">
        <x:v>46163</x:v>
      </x:c>
      <x:c r="F1085" t="n">
        <x:v>1068</x:v>
      </x:c>
      <x:c r="G1085" t="str">
        <x:v>6562574972c9115e72f9bb39f6e9ec37bfbbc76d570919e2e92e022d89cb2a65</x:v>
      </x:c>
      <x:c r="H1085" t="str">
        <x:v>neu</x:v>
      </x:c>
      <x:c r="I1085" t="str">
        <x:v>ok</x:v>
      </x:c>
      <x:c r="J1085"/>
      <x:c r="K1085" t="n">
        <x:v>45807</x:v>
      </x:c>
      <x:c r="L1085" t="n">
        <x:v>45807</x:v>
      </x:c>
      <x:c r="M1085" t="str">
        <x:v>Gebucht</x:v>
      </x:c>
      <x:c r="N1085" t="str">
        <x:v>ISSUER</x:v>
      </x:c>
      <x:c r="O1085" t="str">
        <x:v>NORD.LB...Braunschweigi/GEBHARDSHG</x:v>
      </x:c>
      <x:c r="P1085" t="str">
        <x:v>VISA Debitkartenumsatz vom 29.05.2025</x:v>
      </x:c>
      <x:c r="Q1085" t="str">
        <x:v>Ausgang</x:v>
      </x:c>
      <x:c r="R1085" t="str">
        <x:v>DE96120300009005290904</x:v>
      </x:c>
      <x:c r="S1085" t="n">
        <x:v>-100</x:v>
      </x:c>
      <x:c r="T1085" t="str">
        <x:v>"</x:v>
      </x:c>
      <x:c r="U1085" t="str">
        <x:v>"</x:v>
      </x:c>
      <x:c r="V1085" t="str">
        <x:v>485149595686244</x:v>
      </x:c>
    </x:row>
    <x:row r="1086">
      <x:c r="A1086" t="str">
        <x:v>RAW-IMP-20260516-FULLDRAFT-001069</x:v>
      </x:c>
      <x:c r="B1086" t="str">
        <x:v>IMP-20260516-FULLDRAFT</x:v>
      </x:c>
      <x:c r="C1086" t="str">
        <x:v>KTO001</x:v>
      </x:c>
      <x:c r="D1086" t="str">
        <x:v>16-05-2026_Umsatzliste_Girokonto_DE98120300001061711675.csv</x:v>
      </x:c>
      <x:c r="E1086" t="n">
        <x:v>46163</x:v>
      </x:c>
      <x:c r="F1086" t="n">
        <x:v>1069</x:v>
      </x:c>
      <x:c r="G1086" t="str">
        <x:v>dbdb349e2d52565ef83ab5433da973e428312435a05a8b60b8893b61a3e9af66</x:v>
      </x:c>
      <x:c r="H1086" t="str">
        <x:v>neu</x:v>
      </x:c>
      <x:c r="I1086" t="str">
        <x:v>ok</x:v>
      </x:c>
      <x:c r="J1086"/>
      <x:c r="K1086" t="n">
        <x:v>45807</x:v>
      </x:c>
      <x:c r="L1086" t="n">
        <x:v>45807</x:v>
      </x:c>
      <x:c r="M1086" t="str">
        <x:v>Gebucht</x:v>
      </x:c>
      <x:c r="N1086" t="str">
        <x:v>Lars Kohlenberg                                                       Johannes-Wosnitza-Str. 8,38229 Salzgitter</x:v>
      </x:c>
      <x:c r="O1086" t="str">
        <x:v>1+1 Mail + Media GmbH                                                 Elgendorfer Str. 57, 56410 Montabaur</x:v>
      </x:c>
      <x:c r="P1086" t="str">
        <x:v>KD-Nr. K7440512/ RG-Nr. 201541086853</x:v>
      </x:c>
      <x:c r="Q1086" t="str">
        <x:v>Ausgang</x:v>
      </x:c>
      <x:c r="R1086" t="str">
        <x:v>DE76700800000881679702</x:v>
      </x:c>
      <x:c r="S1086" t="n">
        <x:v>-8.99</x:v>
      </x:c>
      <x:c r="T1086" t="str">
        <x:v>DE07ZZZ00000569718</x:v>
      </x:c>
      <x:c r="U1086" t="str">
        <x:v>0090001393062</x:v>
      </x:c>
      <x:c r="V1086" t="str">
        <x:v>005905811293</x:v>
      </x:c>
    </x:row>
    <x:row r="1087">
      <x:c r="A1087" t="str">
        <x:v>RAW-IMP-20260516-FULLDRAFT-001070</x:v>
      </x:c>
      <x:c r="B1087" t="str">
        <x:v>IMP-20260516-FULLDRAFT</x:v>
      </x:c>
      <x:c r="C1087" t="str">
        <x:v>KTO001</x:v>
      </x:c>
      <x:c r="D1087" t="str">
        <x:v>16-05-2026_Umsatzliste_Girokonto_DE98120300001061711675.csv</x:v>
      </x:c>
      <x:c r="E1087" t="n">
        <x:v>46163</x:v>
      </x:c>
      <x:c r="F1087" t="n">
        <x:v>1070</x:v>
      </x:c>
      <x:c r="G1087" t="str">
        <x:v>b45d764bd8eb452d2143067b4279ff2d56fd2fd44cdde5a599e14be60c4fd5a4</x:v>
      </x:c>
      <x:c r="H1087" t="str">
        <x:v>neu</x:v>
      </x:c>
      <x:c r="I1087" t="str">
        <x:v>ok</x:v>
      </x:c>
      <x:c r="J1087"/>
      <x:c r="K1087" t="n">
        <x:v>45807</x:v>
      </x:c>
      <x:c r="L1087" t="n">
        <x:v>45807</x:v>
      </x:c>
      <x:c r="M1087" t="str">
        <x:v>Gebucht</x:v>
      </x:c>
      <x:c r="N1087" t="str">
        <x:v>Lars Kohlenberg</x:v>
      </x:c>
      <x:c r="O1087" t="str">
        <x:v>Lea kohlenberg</x:v>
      </x:c>
      <x:c r="P1087" t="str">
        <x:v>Taschengeld</x:v>
      </x:c>
      <x:c r="Q1087" t="str">
        <x:v>Ausgang</x:v>
      </x:c>
      <x:c r="R1087" t="str">
        <x:v>DE89269910662833344000</x:v>
      </x:c>
      <x:c r="S1087" t="n">
        <x:v>-10</x:v>
      </x:c>
      <x:c r="T1087" t="str">
        <x:v>"</x:v>
      </x:c>
      <x:c r="U1087" t="str">
        <x:v>"</x:v>
      </x:c>
      <x:c r="V1087" t="str">
        <x:v>"</x:v>
      </x:c>
    </x:row>
    <x:row r="1088">
      <x:c r="A1088" t="str">
        <x:v>RAW-IMP-20260516-FULLDRAFT-001071</x:v>
      </x:c>
      <x:c r="B1088" t="str">
        <x:v>IMP-20260516-FULLDRAFT</x:v>
      </x:c>
      <x:c r="C1088" t="str">
        <x:v>KTO001</x:v>
      </x:c>
      <x:c r="D1088" t="str">
        <x:v>16-05-2026_Umsatzliste_Girokonto_DE98120300001061711675.csv</x:v>
      </x:c>
      <x:c r="E1088" t="n">
        <x:v>46163</x:v>
      </x:c>
      <x:c r="F1088" t="n">
        <x:v>1071</x:v>
      </x:c>
      <x:c r="G1088" t="str">
        <x:v>6512123db3bd4d740bcf22c490f77075e2b224fadef63ee6b3d354c6f2de32e1</x:v>
      </x:c>
      <x:c r="H1088" t="str">
        <x:v>neu</x:v>
      </x:c>
      <x:c r="I1088" t="str">
        <x:v>ok</x:v>
      </x:c>
      <x:c r="J1088"/>
      <x:c r="K1088" t="n">
        <x:v>45807</x:v>
      </x:c>
      <x:c r="L1088" t="n">
        <x:v>45806</x:v>
      </x:c>
      <x:c r="M1088" t="str">
        <x:v>Gebucht</x:v>
      </x:c>
      <x:c r="N1088" t="str">
        <x:v>Lars Kohlenberg</x:v>
      </x:c>
      <x:c r="O1088" t="str">
        <x:v>Oliver Schmidt</x:v>
      </x:c>
      <x:c r="P1088" t="str">
        <x:v>RE-2025-0009</x:v>
      </x:c>
      <x:c r="Q1088" t="str">
        <x:v>Ausgang</x:v>
      </x:c>
      <x:c r="R1088" t="str">
        <x:v>DE17100180000013630862</x:v>
      </x:c>
      <x:c r="S1088" t="n">
        <x:v>-1670.17</x:v>
      </x:c>
      <x:c r="T1088" t="str">
        <x:v>"</x:v>
      </x:c>
      <x:c r="U1088" t="str">
        <x:v>"</x:v>
      </x:c>
      <x:c r="V1088" t="str">
        <x:v>"</x:v>
      </x:c>
    </x:row>
    <x:row r="1089">
      <x:c r="A1089" t="str">
        <x:v>RAW-IMP-20260516-FULLDRAFT-001072</x:v>
      </x:c>
      <x:c r="B1089" t="str">
        <x:v>IMP-20260516-FULLDRAFT</x:v>
      </x:c>
      <x:c r="C1089" t="str">
        <x:v>KTO001</x:v>
      </x:c>
      <x:c r="D1089" t="str">
        <x:v>16-05-2026_Umsatzliste_Girokonto_DE98120300001061711675.csv</x:v>
      </x:c>
      <x:c r="E1089" t="n">
        <x:v>46163</x:v>
      </x:c>
      <x:c r="F1089" t="n">
        <x:v>1072</x:v>
      </x:c>
      <x:c r="G1089" t="str">
        <x:v>5835aeef9b77f2c5124fb73cb33cf38afcde00837838431c49ca9438c55ed0f4</x:v>
      </x:c>
      <x:c r="H1089" t="str">
        <x:v>neu</x:v>
      </x:c>
      <x:c r="I1089" t="str">
        <x:v>ok</x:v>
      </x:c>
      <x:c r="J1089"/>
      <x:c r="K1089" t="n">
        <x:v>45805</x:v>
      </x:c>
      <x:c r="L1089" t="n">
        <x:v>45805</x:v>
      </x:c>
      <x:c r="M1089" t="str">
        <x:v>Gebucht</x:v>
      </x:c>
      <x:c r="N1089" t="str">
        <x:v>Stiftung Kath. Altenhilfe im Bistum Hildesheim</x:v>
      </x:c>
      <x:c r="O1089" t="str">
        <x:v>KOHLENBERG LARS</x:v>
      </x:c>
      <x:c r="P1089" t="str">
        <x:v>GEHALT 5/25</x:v>
      </x:c>
      <x:c r="Q1089" t="str">
        <x:v>Eingang</x:v>
      </x:c>
      <x:c r="R1089" t="str">
        <x:v>DE92400602650023150301</x:v>
      </x:c>
      <x:c r="S1089" t="n">
        <x:v>7939.81</x:v>
      </x:c>
      <x:c r="T1089" t="str">
        <x:v>"</x:v>
      </x:c>
      <x:c r="U1089" t="str">
        <x:v>"</x:v>
      </x:c>
      <x:c r="V1089" t="str">
        <x:v>001001987662SALA003423004</x:v>
      </x:c>
    </x:row>
    <x:row r="1090">
      <x:c r="A1090" t="str">
        <x:v>RAW-IMP-20260516-FULLDRAFT-001073</x:v>
      </x:c>
      <x:c r="B1090" t="str">
        <x:v>IMP-20260516-FULLDRAFT</x:v>
      </x:c>
      <x:c r="C1090" t="str">
        <x:v>KTO001</x:v>
      </x:c>
      <x:c r="D1090" t="str">
        <x:v>16-05-2026_Umsatzliste_Girokonto_DE98120300001061711675.csv</x:v>
      </x:c>
      <x:c r="E1090" t="n">
        <x:v>46163</x:v>
      </x:c>
      <x:c r="F1090" t="n">
        <x:v>1073</x:v>
      </x:c>
      <x:c r="G1090" t="str">
        <x:v>6094fd848f544c468b917c872358b8ebedee59bdce0ee2d1c423b7070f180927</x:v>
      </x:c>
      <x:c r="H1090" t="str">
        <x:v>neu</x:v>
      </x:c>
      <x:c r="I1090" t="str">
        <x:v>ok</x:v>
      </x:c>
      <x:c r="J1090"/>
      <x:c r="K1090" t="n">
        <x:v>45805</x:v>
      </x:c>
      <x:c r="L1090" t="n">
        <x:v>45805</x:v>
      </x:c>
      <x:c r="M1090" t="str">
        <x:v>Gebucht</x:v>
      </x:c>
      <x:c r="N1090" t="str">
        <x:v>ISSUER</x:v>
      </x:c>
      <x:c r="O1090" t="str">
        <x:v>REWE.Salzgitter.Ge/Salzgitter</x:v>
      </x:c>
      <x:c r="P1090" t="str">
        <x:v>VISA Debitkartenumsatz vom 27.05.2025</x:v>
      </x:c>
      <x:c r="Q1090" t="str">
        <x:v>Ausgang</x:v>
      </x:c>
      <x:c r="R1090" t="str">
        <x:v>DE96120300009005290904</x:v>
      </x:c>
      <x:c r="S1090" t="n">
        <x:v>-3.14</x:v>
      </x:c>
      <x:c r="T1090" t="str">
        <x:v>"</x:v>
      </x:c>
      <x:c r="U1090" t="str">
        <x:v>"</x:v>
      </x:c>
      <x:c r="V1090" t="str">
        <x:v>485147628367126</x:v>
      </x:c>
    </x:row>
    <x:row r="1091">
      <x:c r="A1091" t="str">
        <x:v>RAW-IMP-20260516-FULLDRAFT-001074</x:v>
      </x:c>
      <x:c r="B1091" t="str">
        <x:v>IMP-20260516-FULLDRAFT</x:v>
      </x:c>
      <x:c r="C1091" t="str">
        <x:v>KTO001</x:v>
      </x:c>
      <x:c r="D1091" t="str">
        <x:v>16-05-2026_Umsatzliste_Girokonto_DE98120300001061711675.csv</x:v>
      </x:c>
      <x:c r="E1091" t="n">
        <x:v>46163</x:v>
      </x:c>
      <x:c r="F1091" t="n">
        <x:v>1074</x:v>
      </x:c>
      <x:c r="G1091" t="str">
        <x:v>43795ae90ebe86656e7f1b45f879c14b418816f23d63f67adecc8ef87a00ede7</x:v>
      </x:c>
      <x:c r="H1091" t="str">
        <x:v>neu</x:v>
      </x:c>
      <x:c r="I1091" t="str">
        <x:v>ok</x:v>
      </x:c>
      <x:c r="J1091"/>
      <x:c r="K1091" t="n">
        <x:v>45804</x:v>
      </x:c>
      <x:c r="L1091" t="n">
        <x:v>45804</x:v>
      </x:c>
      <x:c r="M1091" t="str">
        <x:v>Gebucht</x:v>
      </x:c>
      <x:c r="N1091" t="str">
        <x:v>ISSUER</x:v>
      </x:c>
      <x:c r="O1091" t="str">
        <x:v>REWE.Salzgitter.Ge/Salzgitter</x:v>
      </x:c>
      <x:c r="P1091" t="str">
        <x:v>VISA Debitkartenumsatz vom 26.05.2025</x:v>
      </x:c>
      <x:c r="Q1091" t="str">
        <x:v>Ausgang</x:v>
      </x:c>
      <x:c r="R1091" t="str">
        <x:v>DE96120300009005290904</x:v>
      </x:c>
      <x:c r="S1091" t="n">
        <x:v>-1.99</x:v>
      </x:c>
      <x:c r="T1091" t="str">
        <x:v>"</x:v>
      </x:c>
      <x:c r="U1091" t="str">
        <x:v>"</x:v>
      </x:c>
      <x:c r="V1091" t="str">
        <x:v>485146213880486</x:v>
      </x:c>
    </x:row>
    <x:row r="1092">
      <x:c r="A1092" t="str">
        <x:v>RAW-IMP-20260516-FULLDRAFT-001075</x:v>
      </x:c>
      <x:c r="B1092" t="str">
        <x:v>IMP-20260516-FULLDRAFT</x:v>
      </x:c>
      <x:c r="C1092" t="str">
        <x:v>KTO001</x:v>
      </x:c>
      <x:c r="D1092" t="str">
        <x:v>16-05-2026_Umsatzliste_Girokonto_DE98120300001061711675.csv</x:v>
      </x:c>
      <x:c r="E1092" t="n">
        <x:v>46163</x:v>
      </x:c>
      <x:c r="F1092" t="n">
        <x:v>1075</x:v>
      </x:c>
      <x:c r="G1092" t="str">
        <x:v>cd95a59ad60c905d919614c402cce6781fef433cd0a4f853231a4f7cd5c77471</x:v>
      </x:c>
      <x:c r="H1092" t="str">
        <x:v>neu</x:v>
      </x:c>
      <x:c r="I1092" t="str">
        <x:v>ok</x:v>
      </x:c>
      <x:c r="J1092"/>
      <x:c r="K1092" t="n">
        <x:v>45803</x:v>
      </x:c>
      <x:c r="L1092" t="n">
        <x:v>45803</x:v>
      </x:c>
      <x:c r="M1092" t="str">
        <x:v>Gebucht</x:v>
      </x:c>
      <x:c r="N1092" t="str">
        <x:v>ISSUER</x:v>
      </x:c>
      <x:c r="O1092" t="str">
        <x:v>THALIA.BUCHHANDLUNG.NOR/Braunschweig</x:v>
      </x:c>
      <x:c r="P1092" t="str">
        <x:v>VISA Debitkartenumsatz vom 24.05.2025</x:v>
      </x:c>
      <x:c r="Q1092" t="str">
        <x:v>Ausgang</x:v>
      </x:c>
      <x:c r="R1092" t="str">
        <x:v>DE96120300009005290904</x:v>
      </x:c>
      <x:c r="S1092" t="n">
        <x:v>-13.75</x:v>
      </x:c>
      <x:c r="T1092" t="str">
        <x:v>"</x:v>
      </x:c>
      <x:c r="U1092" t="str">
        <x:v>"</x:v>
      </x:c>
      <x:c r="V1092" t="str">
        <x:v>485144370533177</x:v>
      </x:c>
    </x:row>
    <x:row r="1093">
      <x:c r="A1093" t="str">
        <x:v>RAW-IMP-20260516-FULLDRAFT-001076</x:v>
      </x:c>
      <x:c r="B1093" t="str">
        <x:v>IMP-20260516-FULLDRAFT</x:v>
      </x:c>
      <x:c r="C1093" t="str">
        <x:v>KTO001</x:v>
      </x:c>
      <x:c r="D1093" t="str">
        <x:v>16-05-2026_Umsatzliste_Girokonto_DE98120300001061711675.csv</x:v>
      </x:c>
      <x:c r="E1093" t="n">
        <x:v>46163</x:v>
      </x:c>
      <x:c r="F1093" t="n">
        <x:v>1076</x:v>
      </x:c>
      <x:c r="G1093" t="str">
        <x:v>3fe4d6b6185d4666fbaf7f9152d2145aad33f80e0fbc1c415695cdfbce984141</x:v>
      </x:c>
      <x:c r="H1093" t="str">
        <x:v>neu</x:v>
      </x:c>
      <x:c r="I1093" t="str">
        <x:v>ok</x:v>
      </x:c>
      <x:c r="J1093"/>
      <x:c r="K1093" t="n">
        <x:v>45803</x:v>
      </x:c>
      <x:c r="L1093" t="n">
        <x:v>45803</x:v>
      </x:c>
      <x:c r="M1093" t="str">
        <x:v>Gebucht</x:v>
      </x:c>
      <x:c r="N1093" t="str">
        <x:v>ISSUER</x:v>
      </x:c>
      <x:c r="O1093" t="str">
        <x:v>METRO.SAGT.DANKE/BRAUNSCHWEIG</x:v>
      </x:c>
      <x:c r="P1093" t="str">
        <x:v>VISA Debitkartenumsatz vom 24.05.2025</x:v>
      </x:c>
      <x:c r="Q1093" t="str">
        <x:v>Ausgang</x:v>
      </x:c>
      <x:c r="R1093" t="str">
        <x:v>DE96120300009005290904</x:v>
      </x:c>
      <x:c r="S1093" t="n">
        <x:v>-31.89</x:v>
      </x:c>
      <x:c r="T1093" t="str">
        <x:v>"</x:v>
      </x:c>
      <x:c r="U1093" t="str">
        <x:v>"</x:v>
      </x:c>
      <x:c r="V1093" t="str">
        <x:v>485144406191508</x:v>
      </x:c>
    </x:row>
    <x:row r="1094">
      <x:c r="A1094" t="str">
        <x:v>RAW-IMP-20260516-FULLDRAFT-001077</x:v>
      </x:c>
      <x:c r="B1094" t="str">
        <x:v>IMP-20260516-FULLDRAFT</x:v>
      </x:c>
      <x:c r="C1094" t="str">
        <x:v>KTO001</x:v>
      </x:c>
      <x:c r="D1094" t="str">
        <x:v>16-05-2026_Umsatzliste_Girokonto_DE98120300001061711675.csv</x:v>
      </x:c>
      <x:c r="E1094" t="n">
        <x:v>46163</x:v>
      </x:c>
      <x:c r="F1094" t="n">
        <x:v>1077</x:v>
      </x:c>
      <x:c r="G1094" t="str">
        <x:v>eada74f90d713327376861fd7a40f14d9e343c9db425d0e56fe5ba159a8ba373</x:v>
      </x:c>
      <x:c r="H1094" t="str">
        <x:v>neu</x:v>
      </x:c>
      <x:c r="I1094" t="str">
        <x:v>ok</x:v>
      </x:c>
      <x:c r="J1094"/>
      <x:c r="K1094" t="n">
        <x:v>45803</x:v>
      </x:c>
      <x:c r="L1094" t="n">
        <x:v>45803</x:v>
      </x:c>
      <x:c r="M1094" t="str">
        <x:v>Gebucht</x:v>
      </x:c>
      <x:c r="N1094" t="str">
        <x:v>ISSUER</x:v>
      </x:c>
      <x:c r="O1094" t="str">
        <x:v>ASIA.HAIKY/BRAUNSCHWEIG</x:v>
      </x:c>
      <x:c r="P1094" t="str">
        <x:v>VISA Debitkartenumsatz vom 24.05.2025</x:v>
      </x:c>
      <x:c r="Q1094" t="str">
        <x:v>Ausgang</x:v>
      </x:c>
      <x:c r="R1094" t="str">
        <x:v>DE96120300009005290904</x:v>
      </x:c>
      <x:c r="S1094" t="n">
        <x:v>-15.6</x:v>
      </x:c>
      <x:c r="T1094" t="str">
        <x:v>"</x:v>
      </x:c>
      <x:c r="U1094" t="str">
        <x:v>"</x:v>
      </x:c>
      <x:c r="V1094" t="str">
        <x:v>485144372530705</x:v>
      </x:c>
    </x:row>
    <x:row r="1095">
      <x:c r="A1095" t="str">
        <x:v>RAW-IMP-20260516-FULLDRAFT-001078</x:v>
      </x:c>
      <x:c r="B1095" t="str">
        <x:v>IMP-20260516-FULLDRAFT</x:v>
      </x:c>
      <x:c r="C1095" t="str">
        <x:v>KTO001</x:v>
      </x:c>
      <x:c r="D1095" t="str">
        <x:v>16-05-2026_Umsatzliste_Girokonto_DE98120300001061711675.csv</x:v>
      </x:c>
      <x:c r="E1095" t="n">
        <x:v>46163</x:v>
      </x:c>
      <x:c r="F1095" t="n">
        <x:v>1078</x:v>
      </x:c>
      <x:c r="G1095" t="str">
        <x:v>717ed5529c84a2369a2ec78421aecf36ef790fa559c25d7dda3849d96f9ab462</x:v>
      </x:c>
      <x:c r="H1095" t="str">
        <x:v>neu</x:v>
      </x:c>
      <x:c r="I1095" t="str">
        <x:v>ok</x:v>
      </x:c>
      <x:c r="J1095"/>
      <x:c r="K1095" t="n">
        <x:v>45803</x:v>
      </x:c>
      <x:c r="L1095" t="n">
        <x:v>45803</x:v>
      </x:c>
      <x:c r="M1095" t="str">
        <x:v>Gebucht</x:v>
      </x:c>
      <x:c r="N1095" t="str">
        <x:v>ISSUER</x:v>
      </x:c>
      <x:c r="O1095" t="str">
        <x:v>REWE.Salzgitter.Ge/Salzgitter</x:v>
      </x:c>
      <x:c r="P1095" t="str">
        <x:v>VISA Debitkartenumsatz vom 24.05.2025</x:v>
      </x:c>
      <x:c r="Q1095" t="str">
        <x:v>Ausgang</x:v>
      </x:c>
      <x:c r="R1095" t="str">
        <x:v>DE96120300009005290904</x:v>
      </x:c>
      <x:c r="S1095" t="n">
        <x:v>-75.54</x:v>
      </x:c>
      <x:c r="T1095" t="str">
        <x:v>"</x:v>
      </x:c>
      <x:c r="U1095" t="str">
        <x:v>"</x:v>
      </x:c>
      <x:c r="V1095" t="str">
        <x:v>485144611305773</x:v>
      </x:c>
    </x:row>
    <x:row r="1096">
      <x:c r="A1096" t="str">
        <x:v>RAW-IMP-20260516-FULLDRAFT-001079</x:v>
      </x:c>
      <x:c r="B1096" t="str">
        <x:v>IMP-20260516-FULLDRAFT</x:v>
      </x:c>
      <x:c r="C1096" t="str">
        <x:v>KTO001</x:v>
      </x:c>
      <x:c r="D1096" t="str">
        <x:v>16-05-2026_Umsatzliste_Girokonto_DE98120300001061711675.csv</x:v>
      </x:c>
      <x:c r="E1096" t="n">
        <x:v>46163</x:v>
      </x:c>
      <x:c r="F1096" t="n">
        <x:v>1079</x:v>
      </x:c>
      <x:c r="G1096" t="str">
        <x:v>2a692d4bddd9dde7e09fb5ea70c3f3b515709b2c4304756dc0abed0ff61c4acf</x:v>
      </x:c>
      <x:c r="H1096" t="str">
        <x:v>neu</x:v>
      </x:c>
      <x:c r="I1096" t="str">
        <x:v>ok</x:v>
      </x:c>
      <x:c r="J1096"/>
      <x:c r="K1096" t="n">
        <x:v>45803</x:v>
      </x:c>
      <x:c r="L1096" t="n">
        <x:v>45803</x:v>
      </x:c>
      <x:c r="M1096" t="str">
        <x:v>Gebucht</x:v>
      </x:c>
      <x:c r="N1096" t="str">
        <x:v>ISSUER</x:v>
      </x:c>
      <x:c r="O1096" t="str">
        <x:v>HAN.WERKSTAETTEN.GGMBH/HANNOVER</x:v>
      </x:c>
      <x:c r="P1096" t="str">
        <x:v>VISA Debitkartenumsatz vom 23.05.2025</x:v>
      </x:c>
      <x:c r="Q1096" t="str">
        <x:v>Ausgang</x:v>
      </x:c>
      <x:c r="R1096" t="str">
        <x:v>DE96120300009005290904</x:v>
      </x:c>
      <x:c r="S1096" t="n">
        <x:v>-26.4</x:v>
      </x:c>
      <x:c r="T1096" t="str">
        <x:v>"</x:v>
      </x:c>
      <x:c r="U1096" t="str">
        <x:v>"</x:v>
      </x:c>
      <x:c r="V1096" t="str">
        <x:v>485143394465671</x:v>
      </x:c>
    </x:row>
    <x:row r="1097">
      <x:c r="A1097" t="str">
        <x:v>RAW-IMP-20260516-FULLDRAFT-001080</x:v>
      </x:c>
      <x:c r="B1097" t="str">
        <x:v>IMP-20260516-FULLDRAFT</x:v>
      </x:c>
      <x:c r="C1097" t="str">
        <x:v>KTO001</x:v>
      </x:c>
      <x:c r="D1097" t="str">
        <x:v>16-05-2026_Umsatzliste_Girokonto_DE98120300001061711675.csv</x:v>
      </x:c>
      <x:c r="E1097" t="n">
        <x:v>46163</x:v>
      </x:c>
      <x:c r="F1097" t="n">
        <x:v>1080</x:v>
      </x:c>
      <x:c r="G1097" t="str">
        <x:v>2d9e15fbd4fb073428abfd3489d25f2c01fd3408c07863d61c6d48defa61774e</x:v>
      </x:c>
      <x:c r="H1097" t="str">
        <x:v>neu</x:v>
      </x:c>
      <x:c r="I1097" t="str">
        <x:v>ok</x:v>
      </x:c>
      <x:c r="J1097"/>
      <x:c r="K1097" t="n">
        <x:v>45803</x:v>
      </x:c>
      <x:c r="L1097" t="n">
        <x:v>45803</x:v>
      </x:c>
      <x:c r="M1097" t="str">
        <x:v>Gebucht</x:v>
      </x:c>
      <x:c r="N1097" t="str">
        <x:v>ISSUER</x:v>
      </x:c>
      <x:c r="O1097" t="str">
        <x:v>Ditsch.Schloss.Arkaden/Braunschweig</x:v>
      </x:c>
      <x:c r="P1097" t="str">
        <x:v>VISA Debitkartenumsatz vom 24.05.2025</x:v>
      </x:c>
      <x:c r="Q1097" t="str">
        <x:v>Ausgang</x:v>
      </x:c>
      <x:c r="R1097" t="str">
        <x:v>DE96120300009005290904</x:v>
      </x:c>
      <x:c r="S1097" t="n">
        <x:v>-1.9</x:v>
      </x:c>
      <x:c r="T1097" t="str">
        <x:v>"</x:v>
      </x:c>
      <x:c r="U1097" t="str">
        <x:v>"</x:v>
      </x:c>
      <x:c r="V1097" t="str">
        <x:v>485144381363841</x:v>
      </x:c>
    </x:row>
    <x:row r="1098">
      <x:c r="A1098" t="str">
        <x:v>RAW-IMP-20260516-FULLDRAFT-001081</x:v>
      </x:c>
      <x:c r="B1098" t="str">
        <x:v>IMP-20260516-FULLDRAFT</x:v>
      </x:c>
      <x:c r="C1098" t="str">
        <x:v>KTO001</x:v>
      </x:c>
      <x:c r="D1098" t="str">
        <x:v>16-05-2026_Umsatzliste_Girokonto_DE98120300001061711675.csv</x:v>
      </x:c>
      <x:c r="E1098" t="n">
        <x:v>46163</x:v>
      </x:c>
      <x:c r="F1098" t="n">
        <x:v>1081</x:v>
      </x:c>
      <x:c r="G1098" t="str">
        <x:v>09367d6a6c14199f6a3bb0bfc9dc081fcc852f6071902f34620ec5c6a88a017a</x:v>
      </x:c>
      <x:c r="H1098" t="str">
        <x:v>neu</x:v>
      </x:c>
      <x:c r="I1098" t="str">
        <x:v>ok</x:v>
      </x:c>
      <x:c r="J1098"/>
      <x:c r="K1098" t="n">
        <x:v>45803</x:v>
      </x:c>
      <x:c r="L1098" t="n">
        <x:v>45803</x:v>
      </x:c>
      <x:c r="M1098" t="str">
        <x:v>Gebucht</x:v>
      </x:c>
      <x:c r="N1098" t="str">
        <x:v>ISSUER</x:v>
      </x:c>
      <x:c r="O1098" t="str">
        <x:v>Landeshauptstadt.Hannov/Hannover</x:v>
      </x:c>
      <x:c r="P1098" t="str">
        <x:v>VISA Debitkartenumsatz vom 23.05.2025</x:v>
      </x:c>
      <x:c r="Q1098" t="str">
        <x:v>Ausgang</x:v>
      </x:c>
      <x:c r="R1098" t="str">
        <x:v>DE96120300009005290904</x:v>
      </x:c>
      <x:c r="S1098" t="n">
        <x:v>-8</x:v>
      </x:c>
      <x:c r="T1098" t="str">
        <x:v>"</x:v>
      </x:c>
      <x:c r="U1098" t="str">
        <x:v>"</x:v>
      </x:c>
      <x:c r="V1098" t="str">
        <x:v>485143257499570</x:v>
      </x:c>
    </x:row>
    <x:row r="1099">
      <x:c r="A1099" t="str">
        <x:v>RAW-IMP-20260516-FULLDRAFT-001082</x:v>
      </x:c>
      <x:c r="B1099" t="str">
        <x:v>IMP-20260516-FULLDRAFT</x:v>
      </x:c>
      <x:c r="C1099" t="str">
        <x:v>KTO001</x:v>
      </x:c>
      <x:c r="D1099" t="str">
        <x:v>16-05-2026_Umsatzliste_Girokonto_DE98120300001061711675.csv</x:v>
      </x:c>
      <x:c r="E1099" t="n">
        <x:v>46163</x:v>
      </x:c>
      <x:c r="F1099" t="n">
        <x:v>1082</x:v>
      </x:c>
      <x:c r="G1099" t="str">
        <x:v>fc742b4d6dddeb10101486c0b915f61bbc9ece94e7a0f313e64f86e38670dd3e</x:v>
      </x:c>
      <x:c r="H1099" t="str">
        <x:v>neu</x:v>
      </x:c>
      <x:c r="I1099" t="str">
        <x:v>ok</x:v>
      </x:c>
      <x:c r="J1099"/>
      <x:c r="K1099" t="n">
        <x:v>45803</x:v>
      </x:c>
      <x:c r="L1099" t="n">
        <x:v>45803</x:v>
      </x:c>
      <x:c r="M1099" t="str">
        <x:v>Gebucht</x:v>
      </x:c>
      <x:c r="N1099" t="str">
        <x:v>ISSUER</x:v>
      </x:c>
      <x:c r="O1099" t="str">
        <x:v>Landeshauptstadt.Hannov/Hannover</x:v>
      </x:c>
      <x:c r="P1099" t="str">
        <x:v>VISA Debitkartenumsatz vom 23.05.2025</x:v>
      </x:c>
      <x:c r="Q1099" t="str">
        <x:v>Ausgang</x:v>
      </x:c>
      <x:c r="R1099" t="str">
        <x:v>DE96120300009005290904</x:v>
      </x:c>
      <x:c r="S1099" t="n">
        <x:v>-7</x:v>
      </x:c>
      <x:c r="T1099" t="str">
        <x:v>"</x:v>
      </x:c>
      <x:c r="U1099" t="str">
        <x:v>"</x:v>
      </x:c>
      <x:c r="V1099" t="str">
        <x:v>485143399129653</x:v>
      </x:c>
    </x:row>
    <x:row r="1100">
      <x:c r="A1100" t="str">
        <x:v>RAW-IMP-20260516-FULLDRAFT-001083</x:v>
      </x:c>
      <x:c r="B1100" t="str">
        <x:v>IMP-20260516-FULLDRAFT</x:v>
      </x:c>
      <x:c r="C1100" t="str">
        <x:v>KTO001</x:v>
      </x:c>
      <x:c r="D1100" t="str">
        <x:v>16-05-2026_Umsatzliste_Girokonto_DE98120300001061711675.csv</x:v>
      </x:c>
      <x:c r="E1100" t="n">
        <x:v>46163</x:v>
      </x:c>
      <x:c r="F1100" t="n">
        <x:v>1083</x:v>
      </x:c>
      <x:c r="G1100" t="str">
        <x:v>78b4f780cfbecc24fc40ff87f1ee9ddeb05968135edf67b4e0c94483ed78b63c</x:v>
      </x:c>
      <x:c r="H1100" t="str">
        <x:v>neu</x:v>
      </x:c>
      <x:c r="I1100" t="str">
        <x:v>ok</x:v>
      </x:c>
      <x:c r="J1100"/>
      <x:c r="K1100" t="n">
        <x:v>45803</x:v>
      </x:c>
      <x:c r="L1100" t="n">
        <x:v>45803</x:v>
      </x:c>
      <x:c r="M1100" t="str">
        <x:v>Gebucht</x:v>
      </x:c>
      <x:c r="N1100" t="str">
        <x:v>ISSUER</x:v>
      </x:c>
      <x:c r="O1100" t="str">
        <x:v>Ni.Coffee.Coffeeshop/Braunschweig</x:v>
      </x:c>
      <x:c r="P1100" t="str">
        <x:v>VISA Debitkartenumsatz vom 24.05.2025</x:v>
      </x:c>
      <x:c r="Q1100" t="str">
        <x:v>Ausgang</x:v>
      </x:c>
      <x:c r="R1100" t="str">
        <x:v>DE96120300009005290904</x:v>
      </x:c>
      <x:c r="S1100" t="n">
        <x:v>-7.3</x:v>
      </x:c>
      <x:c r="T1100" t="str">
        <x:v>"</x:v>
      </x:c>
      <x:c r="U1100" t="str">
        <x:v>"</x:v>
      </x:c>
      <x:c r="V1100" t="str">
        <x:v>485144344675826</x:v>
      </x:c>
    </x:row>
    <x:row r="1101">
      <x:c r="A1101" t="str">
        <x:v>RAW-IMP-20260516-FULLDRAFT-001084</x:v>
      </x:c>
      <x:c r="B1101" t="str">
        <x:v>IMP-20260516-FULLDRAFT</x:v>
      </x:c>
      <x:c r="C1101" t="str">
        <x:v>KTO001</x:v>
      </x:c>
      <x:c r="D1101" t="str">
        <x:v>16-05-2026_Umsatzliste_Girokonto_DE98120300001061711675.csv</x:v>
      </x:c>
      <x:c r="E1101" t="n">
        <x:v>46163</x:v>
      </x:c>
      <x:c r="F1101" t="n">
        <x:v>1084</x:v>
      </x:c>
      <x:c r="G1101" t="str">
        <x:v>ad5e50d880bf74b4b3bc5cc4be4fa7db6a2c095f8c567302282eb44f09000d5a</x:v>
      </x:c>
      <x:c r="H1101" t="str">
        <x:v>neu</x:v>
      </x:c>
      <x:c r="I1101" t="str">
        <x:v>ok</x:v>
      </x:c>
      <x:c r="J1101"/>
      <x:c r="K1101" t="n">
        <x:v>45800</x:v>
      </x:c>
      <x:c r="L1101" t="n">
        <x:v>45800</x:v>
      </x:c>
      <x:c r="M1101" t="str">
        <x:v>Gebucht</x:v>
      </x:c>
      <x:c r="N1101" t="str">
        <x:v>ISSUER</x:v>
      </x:c>
      <x:c r="O1101" t="str">
        <x:v>REWE.Salzgitter.Ge/Salzgitter</x:v>
      </x:c>
      <x:c r="P1101" t="str">
        <x:v>VISA Debitkartenumsatz vom 22.05.2025</x:v>
      </x:c>
      <x:c r="Q1101" t="str">
        <x:v>Ausgang</x:v>
      </x:c>
      <x:c r="R1101" t="str">
        <x:v>DE96120300009005290904</x:v>
      </x:c>
      <x:c r="S1101" t="n">
        <x:v>-11.97</x:v>
      </x:c>
      <x:c r="T1101" t="str">
        <x:v>"</x:v>
      </x:c>
      <x:c r="U1101" t="str">
        <x:v>"</x:v>
      </x:c>
      <x:c r="V1101" t="str">
        <x:v>485142599902464</x:v>
      </x:c>
    </x:row>
    <x:row r="1102">
      <x:c r="A1102" t="str">
        <x:v>RAW-IMP-20260516-FULLDRAFT-001085</x:v>
      </x:c>
      <x:c r="B1102" t="str">
        <x:v>IMP-20260516-FULLDRAFT</x:v>
      </x:c>
      <x:c r="C1102" t="str">
        <x:v>KTO001</x:v>
      </x:c>
      <x:c r="D1102" t="str">
        <x:v>16-05-2026_Umsatzliste_Girokonto_DE98120300001061711675.csv</x:v>
      </x:c>
      <x:c r="E1102" t="n">
        <x:v>46163</x:v>
      </x:c>
      <x:c r="F1102" t="n">
        <x:v>1085</x:v>
      </x:c>
      <x:c r="G1102" t="str">
        <x:v>8455e6c22debdaaf586bbfc14cfcf8786517d29bc4a2af12a74a931d58e406eb</x:v>
      </x:c>
      <x:c r="H1102" t="str">
        <x:v>neu</x:v>
      </x:c>
      <x:c r="I1102" t="str">
        <x:v>ok</x:v>
      </x:c>
      <x:c r="J1102"/>
      <x:c r="K1102" t="n">
        <x:v>45799</x:v>
      </x:c>
      <x:c r="L1102" t="n">
        <x:v>45799</x:v>
      </x:c>
      <x:c r="M1102" t="str">
        <x:v>Gebucht</x:v>
      </x:c>
      <x:c r="N1102" t="str">
        <x:v>ISSUER</x:v>
      </x:c>
      <x:c r="O1102" t="str">
        <x:v>APPLE.COM.BILL/08006645451</x:v>
      </x:c>
      <x:c r="P1102" t="str">
        <x:v>VISA Debitkartenumsatz vom 21.05.2025</x:v>
      </x:c>
      <x:c r="Q1102" t="str">
        <x:v>Ausgang</x:v>
      </x:c>
      <x:c r="R1102" t="str">
        <x:v>DE96120300009005290904</x:v>
      </x:c>
      <x:c r="S1102" t="n">
        <x:v>-2.99</x:v>
      </x:c>
      <x:c r="T1102" t="str">
        <x:v>"</x:v>
      </x:c>
      <x:c r="U1102" t="str">
        <x:v>"</x:v>
      </x:c>
      <x:c r="V1102" t="str">
        <x:v>485141466542473</x:v>
      </x:c>
    </x:row>
    <x:row r="1103">
      <x:c r="A1103" t="str">
        <x:v>RAW-IMP-20260516-FULLDRAFT-001086</x:v>
      </x:c>
      <x:c r="B1103" t="str">
        <x:v>IMP-20260516-FULLDRAFT</x:v>
      </x:c>
      <x:c r="C1103" t="str">
        <x:v>KTO001</x:v>
      </x:c>
      <x:c r="D1103" t="str">
        <x:v>16-05-2026_Umsatzliste_Girokonto_DE98120300001061711675.csv</x:v>
      </x:c>
      <x:c r="E1103" t="n">
        <x:v>46163</x:v>
      </x:c>
      <x:c r="F1103" t="n">
        <x:v>1086</x:v>
      </x:c>
      <x:c r="G1103" t="str">
        <x:v>f0d4c7b3c571c0ce42c0f08ccbee161d8cc7b28072a20693d62fbb9983bb187b</x:v>
      </x:c>
      <x:c r="H1103" t="str">
        <x:v>neu</x:v>
      </x:c>
      <x:c r="I1103" t="str">
        <x:v>ok</x:v>
      </x:c>
      <x:c r="J1103"/>
      <x:c r="K1103" t="n">
        <x:v>45798</x:v>
      </x:c>
      <x:c r="L1103" t="n">
        <x:v>45798</x:v>
      </x:c>
      <x:c r="M1103" t="str">
        <x:v>Gebucht</x:v>
      </x:c>
      <x:c r="N1103" t="str">
        <x:v>ISSUER</x:v>
      </x:c>
      <x:c r="O1103" t="str">
        <x:v>PAYPAL..KARTENMACHE/4029357733</x:v>
      </x:c>
      <x:c r="P1103" t="str">
        <x:v>VISA Debitkartenumsatz vom 18.05.2025</x:v>
      </x:c>
      <x:c r="Q1103" t="str">
        <x:v>Ausgang</x:v>
      </x:c>
      <x:c r="R1103" t="str">
        <x:v>DE96120300009005290904</x:v>
      </x:c>
      <x:c r="S1103" t="n">
        <x:v>-73.65</x:v>
      </x:c>
      <x:c r="T1103" t="str">
        <x:v>"</x:v>
      </x:c>
      <x:c r="U1103" t="str">
        <x:v>"</x:v>
      </x:c>
      <x:c r="V1103" t="str">
        <x:v>305138426488617</x:v>
      </x:c>
    </x:row>
    <x:row r="1104">
      <x:c r="A1104" t="str">
        <x:v>RAW-IMP-20260516-FULLDRAFT-001087</x:v>
      </x:c>
      <x:c r="B1104" t="str">
        <x:v>IMP-20260516-FULLDRAFT</x:v>
      </x:c>
      <x:c r="C1104" t="str">
        <x:v>KTO001</x:v>
      </x:c>
      <x:c r="D1104" t="str">
        <x:v>16-05-2026_Umsatzliste_Girokonto_DE98120300001061711675.csv</x:v>
      </x:c>
      <x:c r="E1104" t="n">
        <x:v>46163</x:v>
      </x:c>
      <x:c r="F1104" t="n">
        <x:v>1087</x:v>
      </x:c>
      <x:c r="G1104" t="str">
        <x:v>146645a84d5ab4b54bb036706c4a73c265a4b6ed920167f0078e154efbb05ff2</x:v>
      </x:c>
      <x:c r="H1104" t="str">
        <x:v>neu</x:v>
      </x:c>
      <x:c r="I1104" t="str">
        <x:v>ok</x:v>
      </x:c>
      <x:c r="J1104"/>
      <x:c r="K1104" t="n">
        <x:v>45798</x:v>
      </x:c>
      <x:c r="L1104" t="n">
        <x:v>45798</x:v>
      </x:c>
      <x:c r="M1104" t="str">
        <x:v>Gebucht</x:v>
      </x:c>
      <x:c r="N1104" t="str">
        <x:v>ISSUER</x:v>
      </x:c>
      <x:c r="O1104" t="str">
        <x:v>SYSTEMGASTRONOMIE.GMBH/BUCHHOLZ</x:v>
      </x:c>
      <x:c r="P1104" t="str">
        <x:v>VISA Debitkartenumsatz vom 20.05.2025</x:v>
      </x:c>
      <x:c r="Q1104" t="str">
        <x:v>Ausgang</x:v>
      </x:c>
      <x:c r="R1104" t="str">
        <x:v>DE96120300009005290904</x:v>
      </x:c>
      <x:c r="S1104" t="n">
        <x:v>-39.55</x:v>
      </x:c>
      <x:c r="T1104" t="str">
        <x:v>"</x:v>
      </x:c>
      <x:c r="U1104" t="str">
        <x:v>"</x:v>
      </x:c>
      <x:c r="V1104" t="str">
        <x:v>485140579207163</x:v>
      </x:c>
    </x:row>
    <x:row r="1105">
      <x:c r="A1105" t="str">
        <x:v>RAW-IMP-20260516-FULLDRAFT-001088</x:v>
      </x:c>
      <x:c r="B1105" t="str">
        <x:v>IMP-20260516-FULLDRAFT</x:v>
      </x:c>
      <x:c r="C1105" t="str">
        <x:v>KTO001</x:v>
      </x:c>
      <x:c r="D1105" t="str">
        <x:v>16-05-2026_Umsatzliste_Girokonto_DE98120300001061711675.csv</x:v>
      </x:c>
      <x:c r="E1105" t="n">
        <x:v>46163</x:v>
      </x:c>
      <x:c r="F1105" t="n">
        <x:v>1088</x:v>
      </x:c>
      <x:c r="G1105" t="str">
        <x:v>c9d7be7b23a35d5ddac3655968d95e107a27be50ca87704156a41403d9aeaec5</x:v>
      </x:c>
      <x:c r="H1105" t="str">
        <x:v>neu</x:v>
      </x:c>
      <x:c r="I1105" t="str">
        <x:v>ok</x:v>
      </x:c>
      <x:c r="J1105"/>
      <x:c r="K1105" t="n">
        <x:v>45798</x:v>
      </x:c>
      <x:c r="L1105" t="n">
        <x:v>45798</x:v>
      </x:c>
      <x:c r="M1105" t="str">
        <x:v>Gebucht</x:v>
      </x:c>
      <x:c r="N1105" t="str">
        <x:v>ISSUER</x:v>
      </x:c>
      <x:c r="O1105" t="str">
        <x:v>Heide.Park.Resort/Soltau</x:v>
      </x:c>
      <x:c r="P1105" t="str">
        <x:v>VISA Debitkartenumsatz vom 20.05.2025</x:v>
      </x:c>
      <x:c r="Q1105" t="str">
        <x:v>Ausgang</x:v>
      </x:c>
      <x:c r="R1105" t="str">
        <x:v>DE96120300009005290904</x:v>
      </x:c>
      <x:c r="S1105" t="n">
        <x:v>-15</x:v>
      </x:c>
      <x:c r="T1105" t="str">
        <x:v>"</x:v>
      </x:c>
      <x:c r="U1105" t="str">
        <x:v>"</x:v>
      </x:c>
      <x:c r="V1105" t="str">
        <x:v>485140292800164</x:v>
      </x:c>
    </x:row>
    <x:row r="1106">
      <x:c r="A1106" t="str">
        <x:v>RAW-IMP-20260516-FULLDRAFT-001089</x:v>
      </x:c>
      <x:c r="B1106" t="str">
        <x:v>IMP-20260516-FULLDRAFT</x:v>
      </x:c>
      <x:c r="C1106" t="str">
        <x:v>KTO001</x:v>
      </x:c>
      <x:c r="D1106" t="str">
        <x:v>16-05-2026_Umsatzliste_Girokonto_DE98120300001061711675.csv</x:v>
      </x:c>
      <x:c r="E1106" t="n">
        <x:v>46163</x:v>
      </x:c>
      <x:c r="F1106" t="n">
        <x:v>1089</x:v>
      </x:c>
      <x:c r="G1106" t="str">
        <x:v>97819fa31e16533664ebfd9f96e18786411ebccf0114454bea5c4168ab8dd8f5</x:v>
      </x:c>
      <x:c r="H1106" t="str">
        <x:v>neu</x:v>
      </x:c>
      <x:c r="I1106" t="str">
        <x:v>ok</x:v>
      </x:c>
      <x:c r="J1106"/>
      <x:c r="K1106" t="n">
        <x:v>45798</x:v>
      </x:c>
      <x:c r="L1106" t="n">
        <x:v>45798</x:v>
      </x:c>
      <x:c r="M1106" t="str">
        <x:v>Gebucht</x:v>
      </x:c>
      <x:c r="N1106" t="str">
        <x:v>Lars Kohlenberg</x:v>
      </x:c>
      <x:c r="O1106" t="str">
        <x:v>Lars Kohlenberg</x:v>
      </x:c>
      <x:c r="P1106" t="str">
        <x:v>Uebertrag Jan Konfirmation</x:v>
      </x:c>
      <x:c r="Q1106" t="str">
        <x:v>Eingang</x:v>
      </x:c>
      <x:c r="R1106" t="str">
        <x:v>DE91270200001510365800</x:v>
      </x:c>
      <x:c r="S1106" t="n">
        <x:v>1700</x:v>
      </x:c>
      <x:c r="T1106" t="str">
        <x:v>"</x:v>
      </x:c>
      <x:c r="U1106" t="str">
        <x:v>"</x:v>
      </x:c>
      <x:c r="V1106" t="str">
        <x:v>"</x:v>
      </x:c>
    </x:row>
    <x:row r="1107">
      <x:c r="A1107" t="str">
        <x:v>RAW-IMP-20260516-FULLDRAFT-001090</x:v>
      </x:c>
      <x:c r="B1107" t="str">
        <x:v>IMP-20260516-FULLDRAFT</x:v>
      </x:c>
      <x:c r="C1107" t="str">
        <x:v>KTO001</x:v>
      </x:c>
      <x:c r="D1107" t="str">
        <x:v>16-05-2026_Umsatzliste_Girokonto_DE98120300001061711675.csv</x:v>
      </x:c>
      <x:c r="E1107" t="n">
        <x:v>46163</x:v>
      </x:c>
      <x:c r="F1107" t="n">
        <x:v>1090</x:v>
      </x:c>
      <x:c r="G1107" t="str">
        <x:v>575e1726d3769f6cea5f8f470fd0b24bbfce6fa818e6cdbe542bf5d0d74fc95e</x:v>
      </x:c>
      <x:c r="H1107" t="str">
        <x:v>neu</x:v>
      </x:c>
      <x:c r="I1107" t="str">
        <x:v>ok</x:v>
      </x:c>
      <x:c r="J1107"/>
      <x:c r="K1107" t="n">
        <x:v>45797</x:v>
      </x:c>
      <x:c r="L1107" t="n">
        <x:v>45797</x:v>
      </x:c>
      <x:c r="M1107" t="str">
        <x:v>Gebucht</x:v>
      </x:c>
      <x:c r="N1107" t="str">
        <x:v>ISSUER</x:v>
      </x:c>
      <x:c r="O1107" t="str">
        <x:v>PAYPAL..HEIDEPARKSO.HEI/4029357733</x:v>
      </x:c>
      <x:c r="P1107" t="str">
        <x:v>VISA Debitkartenumsatz vom 18.05.2025</x:v>
      </x:c>
      <x:c r="Q1107" t="str">
        <x:v>Ausgang</x:v>
      </x:c>
      <x:c r="R1107" t="str">
        <x:v>DE96120300009005290904</x:v>
      </x:c>
      <x:c r="S1107" t="n">
        <x:v>-109.2</x:v>
      </x:c>
      <x:c r="T1107" t="str">
        <x:v>"</x:v>
      </x:c>
      <x:c r="U1107" t="str">
        <x:v>"</x:v>
      </x:c>
      <x:c r="V1107" t="str">
        <x:v>465139186855424</x:v>
      </x:c>
    </x:row>
    <x:row r="1108">
      <x:c r="A1108" t="str">
        <x:v>RAW-IMP-20260516-FULLDRAFT-001091</x:v>
      </x:c>
      <x:c r="B1108" t="str">
        <x:v>IMP-20260516-FULLDRAFT</x:v>
      </x:c>
      <x:c r="C1108" t="str">
        <x:v>KTO001</x:v>
      </x:c>
      <x:c r="D1108" t="str">
        <x:v>16-05-2026_Umsatzliste_Girokonto_DE98120300001061711675.csv</x:v>
      </x:c>
      <x:c r="E1108" t="n">
        <x:v>46163</x:v>
      </x:c>
      <x:c r="F1108" t="n">
        <x:v>1091</x:v>
      </x:c>
      <x:c r="G1108" t="str">
        <x:v>fd33b44835c0a22326c6a8424864f6452044a55129acfad8333de5b141172686</x:v>
      </x:c>
      <x:c r="H1108" t="str">
        <x:v>neu</x:v>
      </x:c>
      <x:c r="I1108" t="str">
        <x:v>ok</x:v>
      </x:c>
      <x:c r="J1108"/>
      <x:c r="K1108" t="n">
        <x:v>45797</x:v>
      </x:c>
      <x:c r="L1108" t="n">
        <x:v>45797</x:v>
      </x:c>
      <x:c r="M1108" t="str">
        <x:v>Gebucht</x:v>
      </x:c>
      <x:c r="N1108" t="str">
        <x:v>ISSUER</x:v>
      </x:c>
      <x:c r="O1108" t="str">
        <x:v>PAYPAL..HPDEUTSCHLA/4029357733</x:v>
      </x:c>
      <x:c r="P1108" t="str">
        <x:v>VISA Debitkartenumsatz vom 19.05.2025</x:v>
      </x:c>
      <x:c r="Q1108" t="str">
        <x:v>Ausgang</x:v>
      </x:c>
      <x:c r="R1108" t="str">
        <x:v>DE96120300009005290904</x:v>
      </x:c>
      <x:c r="S1108" t="n">
        <x:v>-4.99</x:v>
      </x:c>
      <x:c r="T1108" t="str">
        <x:v>"</x:v>
      </x:c>
      <x:c r="U1108" t="str">
        <x:v>"</x:v>
      </x:c>
      <x:c r="V1108" t="str">
        <x:v>585139468456377</x:v>
      </x:c>
    </x:row>
    <x:row r="1109">
      <x:c r="A1109" t="str">
        <x:v>RAW-IMP-20260516-FULLDRAFT-001092</x:v>
      </x:c>
      <x:c r="B1109" t="str">
        <x:v>IMP-20260516-FULLDRAFT</x:v>
      </x:c>
      <x:c r="C1109" t="str">
        <x:v>KTO001</x:v>
      </x:c>
      <x:c r="D1109" t="str">
        <x:v>16-05-2026_Umsatzliste_Girokonto_DE98120300001061711675.csv</x:v>
      </x:c>
      <x:c r="E1109" t="n">
        <x:v>46163</x:v>
      </x:c>
      <x:c r="F1109" t="n">
        <x:v>1092</x:v>
      </x:c>
      <x:c r="G1109" t="str">
        <x:v>24b53909a2949f5f6ab0a92478aed55077fc0e629e085507b4b0ed76c3d0bf3d</x:v>
      </x:c>
      <x:c r="H1109" t="str">
        <x:v>neu</x:v>
      </x:c>
      <x:c r="I1109" t="str">
        <x:v>ok</x:v>
      </x:c>
      <x:c r="J1109"/>
      <x:c r="K1109" t="n">
        <x:v>45797</x:v>
      </x:c>
      <x:c r="L1109" t="n">
        <x:v>45797</x:v>
      </x:c>
      <x:c r="M1109" t="str">
        <x:v>Gebucht</x:v>
      </x:c>
      <x:c r="N1109" t="str">
        <x:v>Lars Kohlenberg</x:v>
      </x:c>
      <x:c r="O1109" t="str">
        <x:v>Reiner Eisenhut</x:v>
      </x:c>
      <x:c r="P1109" t="str">
        <x:v>2214/Villa Pura Vida, 05.07.2025 / Kohlenberg Abschlussrate</x:v>
      </x:c>
      <x:c r="Q1109" t="str">
        <x:v>Ausgang</x:v>
      </x:c>
      <x:c r="R1109" t="str">
        <x:v>ES0400810674650002302435</x:v>
      </x:c>
      <x:c r="S1109" t="n">
        <x:v>-2896</x:v>
      </x:c>
      <x:c r="T1109" t="str">
        <x:v>"</x:v>
      </x:c>
      <x:c r="U1109" t="str">
        <x:v>"</x:v>
      </x:c>
      <x:c r="V1109" t="str">
        <x:v>"</x:v>
      </x:c>
    </x:row>
    <x:row r="1110">
      <x:c r="A1110" t="str">
        <x:v>RAW-IMP-20260516-FULLDRAFT-001093</x:v>
      </x:c>
      <x:c r="B1110" t="str">
        <x:v>IMP-20260516-FULLDRAFT</x:v>
      </x:c>
      <x:c r="C1110" t="str">
        <x:v>KTO001</x:v>
      </x:c>
      <x:c r="D1110" t="str">
        <x:v>16-05-2026_Umsatzliste_Girokonto_DE98120300001061711675.csv</x:v>
      </x:c>
      <x:c r="E1110" t="n">
        <x:v>46163</x:v>
      </x:c>
      <x:c r="F1110" t="n">
        <x:v>1093</x:v>
      </x:c>
      <x:c r="G1110" t="str">
        <x:v>3474468697a7ff7895f22b18efe55fa06bcbb6b3e62c184f8cc787a0fb7eb76c</x:v>
      </x:c>
      <x:c r="H1110" t="str">
        <x:v>neu</x:v>
      </x:c>
      <x:c r="I1110" t="str">
        <x:v>ok</x:v>
      </x:c>
      <x:c r="J1110"/>
      <x:c r="K1110" t="n">
        <x:v>45797</x:v>
      </x:c>
      <x:c r="L1110" t="n">
        <x:v>45797</x:v>
      </x:c>
      <x:c r="M1110" t="str">
        <x:v>Gebucht</x:v>
      </x:c>
      <x:c r="N1110" t="str">
        <x:v>ISSUER</x:v>
      </x:c>
      <x:c r="O1110" t="str">
        <x:v>Aral.Station.160762167/Hildesheim</x:v>
      </x:c>
      <x:c r="P1110" t="str">
        <x:v>VISA Debitkartenumsatz vom 16.05.2025</x:v>
      </x:c>
      <x:c r="Q1110" t="str">
        <x:v>Ausgang</x:v>
      </x:c>
      <x:c r="R1110" t="str">
        <x:v>DE96120300009005290904</x:v>
      </x:c>
      <x:c r="S1110" t="n">
        <x:v>-15.95</x:v>
      </x:c>
      <x:c r="T1110" t="str">
        <x:v>"</x:v>
      </x:c>
      <x:c r="U1110" t="str">
        <x:v>"</x:v>
      </x:c>
      <x:c r="V1110" t="str">
        <x:v>485136227099637</x:v>
      </x:c>
    </x:row>
    <x:row r="1111">
      <x:c r="A1111" t="str">
        <x:v>RAW-IMP-20260516-FULLDRAFT-001094</x:v>
      </x:c>
      <x:c r="B1111" t="str">
        <x:v>IMP-20260516-FULLDRAFT</x:v>
      </x:c>
      <x:c r="C1111" t="str">
        <x:v>KTO001</x:v>
      </x:c>
      <x:c r="D1111" t="str">
        <x:v>16-05-2026_Umsatzliste_Girokonto_DE98120300001061711675.csv</x:v>
      </x:c>
      <x:c r="E1111" t="n">
        <x:v>46163</x:v>
      </x:c>
      <x:c r="F1111" t="n">
        <x:v>1094</x:v>
      </x:c>
      <x:c r="G1111" t="str">
        <x:v>b248015bffca0e3b982bb4a3cd37b8c774dccca3e136ed5c2354dad0da78b205</x:v>
      </x:c>
      <x:c r="H1111" t="str">
        <x:v>neu</x:v>
      </x:c>
      <x:c r="I1111" t="str">
        <x:v>ok</x:v>
      </x:c>
      <x:c r="J1111"/>
      <x:c r="K1111" t="n">
        <x:v>45797</x:v>
      </x:c>
      <x:c r="L1111" t="n">
        <x:v>45797</x:v>
      </x:c>
      <x:c r="M1111" t="str">
        <x:v>Gebucht</x:v>
      </x:c>
      <x:c r="N1111" t="str">
        <x:v>Lars Kohlenberg</x:v>
      </x:c>
      <x:c r="O1111" t="str">
        <x:v>Lars Kohlenberg</x:v>
      </x:c>
      <x:c r="P1111" t="str">
        <x:v>Uebertrag Urlaub 2025</x:v>
      </x:c>
      <x:c r="Q1111" t="str">
        <x:v>Eingang</x:v>
      </x:c>
      <x:c r="R1111" t="str">
        <x:v>DE91270200001510365800</x:v>
      </x:c>
      <x:c r="S1111" t="n">
        <x:v>3000</x:v>
      </x:c>
      <x:c r="T1111" t="str">
        <x:v>"</x:v>
      </x:c>
      <x:c r="U1111" t="str">
        <x:v>"</x:v>
      </x:c>
      <x:c r="V1111" t="str">
        <x:v>"</x:v>
      </x:c>
    </x:row>
    <x:row r="1112">
      <x:c r="A1112" t="str">
        <x:v>RAW-IMP-20260516-FULLDRAFT-001095</x:v>
      </x:c>
      <x:c r="B1112" t="str">
        <x:v>IMP-20260516-FULLDRAFT</x:v>
      </x:c>
      <x:c r="C1112" t="str">
        <x:v>KTO001</x:v>
      </x:c>
      <x:c r="D1112" t="str">
        <x:v>16-05-2026_Umsatzliste_Girokonto_DE98120300001061711675.csv</x:v>
      </x:c>
      <x:c r="E1112" t="n">
        <x:v>46163</x:v>
      </x:c>
      <x:c r="F1112" t="n">
        <x:v>1095</x:v>
      </x:c>
      <x:c r="G1112" t="str">
        <x:v>bee6100953abb502d9402828fa390ad3b71294c166f521ee27d31ba19c4fbbde</x:v>
      </x:c>
      <x:c r="H1112" t="str">
        <x:v>neu</x:v>
      </x:c>
      <x:c r="I1112" t="str">
        <x:v>ok</x:v>
      </x:c>
      <x:c r="J1112"/>
      <x:c r="K1112" t="n">
        <x:v>45797</x:v>
      </x:c>
      <x:c r="L1112" t="n">
        <x:v>45797</x:v>
      </x:c>
      <x:c r="M1112" t="str">
        <x:v>Gebucht</x:v>
      </x:c>
      <x:c r="N1112" t="str">
        <x:v>Lars Kohlenberg                                                       Johannes-Wosnitza-Str. 8,38229 Salzgitter</x:v>
      </x:c>
      <x:c r="O1112" t="str">
        <x:v>1+1 Mail + Media GmbH                                                 Elgendorfer Str. 57, 56410 Montabaur</x:v>
      </x:c>
      <x:c r="P1112" t="str">
        <x:v>KD-Nr. K7440512/ RG-Nr. 201540959241</x:v>
      </x:c>
      <x:c r="Q1112" t="str">
        <x:v>Ausgang</x:v>
      </x:c>
      <x:c r="R1112" t="str">
        <x:v>DE76700800000881679702</x:v>
      </x:c>
      <x:c r="S1112" t="n">
        <x:v>-23.94</x:v>
      </x:c>
      <x:c r="T1112" t="str">
        <x:v>DE07ZZZ00000569718</x:v>
      </x:c>
      <x:c r="U1112" t="str">
        <x:v>0090001393062</x:v>
      </x:c>
      <x:c r="V1112" t="str">
        <x:v>006113548657</x:v>
      </x:c>
    </x:row>
    <x:row r="1113">
      <x:c r="A1113" t="str">
        <x:v>RAW-IMP-20260516-FULLDRAFT-001096</x:v>
      </x:c>
      <x:c r="B1113" t="str">
        <x:v>IMP-20260516-FULLDRAFT</x:v>
      </x:c>
      <x:c r="C1113" t="str">
        <x:v>KTO001</x:v>
      </x:c>
      <x:c r="D1113" t="str">
        <x:v>16-05-2026_Umsatzliste_Girokonto_DE98120300001061711675.csv</x:v>
      </x:c>
      <x:c r="E1113" t="n">
        <x:v>46163</x:v>
      </x:c>
      <x:c r="F1113" t="n">
        <x:v>1096</x:v>
      </x:c>
      <x:c r="G1113" t="str">
        <x:v>5f9e28b62dfe553652c17d8aa284b2a9a46e96d590ceeb57905d719f8bebef97</x:v>
      </x:c>
      <x:c r="H1113" t="str">
        <x:v>neu</x:v>
      </x:c>
      <x:c r="I1113" t="str">
        <x:v>ok</x:v>
      </x:c>
      <x:c r="J1113"/>
      <x:c r="K1113" t="n">
        <x:v>45796</x:v>
      </x:c>
      <x:c r="L1113" t="n">
        <x:v>45796</x:v>
      </x:c>
      <x:c r="M1113" t="str">
        <x:v>Gebucht</x:v>
      </x:c>
      <x:c r="N1113" t="str">
        <x:v>ISSUER</x:v>
      </x:c>
      <x:c r="O1113" t="str">
        <x:v>Hornbach.Baumarkt.AG.FI/Braunschweig</x:v>
      </x:c>
      <x:c r="P1113" t="str">
        <x:v>VISA Debitkartenumsatz vom 17.05.2025</x:v>
      </x:c>
      <x:c r="Q1113" t="str">
        <x:v>Ausgang</x:v>
      </x:c>
      <x:c r="R1113" t="str">
        <x:v>DE96120300009005290904</x:v>
      </x:c>
      <x:c r="S1113" t="n">
        <x:v>-36.03</x:v>
      </x:c>
      <x:c r="T1113" t="str">
        <x:v>"</x:v>
      </x:c>
      <x:c r="U1113" t="str">
        <x:v>"</x:v>
      </x:c>
      <x:c r="V1113" t="str">
        <x:v>485137383574295</x:v>
      </x:c>
    </x:row>
    <x:row r="1114">
      <x:c r="A1114" t="str">
        <x:v>RAW-IMP-20260516-FULLDRAFT-001097</x:v>
      </x:c>
      <x:c r="B1114" t="str">
        <x:v>IMP-20260516-FULLDRAFT</x:v>
      </x:c>
      <x:c r="C1114" t="str">
        <x:v>KTO001</x:v>
      </x:c>
      <x:c r="D1114" t="str">
        <x:v>16-05-2026_Umsatzliste_Girokonto_DE98120300001061711675.csv</x:v>
      </x:c>
      <x:c r="E1114" t="n">
        <x:v>46163</x:v>
      </x:c>
      <x:c r="F1114" t="n">
        <x:v>1097</x:v>
      </x:c>
      <x:c r="G1114" t="str">
        <x:v>f23d13e0c158dc49ba525998d4ad6e7a475ffcbbf784a1e67c02e91a487dbad0</x:v>
      </x:c>
      <x:c r="H1114" t="str">
        <x:v>neu</x:v>
      </x:c>
      <x:c r="I1114" t="str">
        <x:v>ok</x:v>
      </x:c>
      <x:c r="J1114"/>
      <x:c r="K1114" t="n">
        <x:v>45796</x:v>
      </x:c>
      <x:c r="L1114" t="n">
        <x:v>45796</x:v>
      </x:c>
      <x:c r="M1114" t="str">
        <x:v>Gebucht</x:v>
      </x:c>
      <x:c r="N1114" t="str">
        <x:v>ISSUER</x:v>
      </x:c>
      <x:c r="O1114" t="str">
        <x:v>LOEWENBAECKER.SCHAPER/SALZGITTER</x:v>
      </x:c>
      <x:c r="P1114" t="str">
        <x:v>VISA Debitkartenumsatz vom 17.05.2025</x:v>
      </x:c>
      <x:c r="Q1114" t="str">
        <x:v>Ausgang</x:v>
      </x:c>
      <x:c r="R1114" t="str">
        <x:v>DE96120300009005290904</x:v>
      </x:c>
      <x:c r="S1114" t="n">
        <x:v>-4.2</x:v>
      </x:c>
      <x:c r="T1114" t="str">
        <x:v>"</x:v>
      </x:c>
      <x:c r="U1114" t="str">
        <x:v>"</x:v>
      </x:c>
      <x:c r="V1114" t="str">
        <x:v>485137245519376</x:v>
      </x:c>
    </x:row>
    <x:row r="1115">
      <x:c r="A1115" t="str">
        <x:v>RAW-IMP-20260516-FULLDRAFT-001098</x:v>
      </x:c>
      <x:c r="B1115" t="str">
        <x:v>IMP-20260516-FULLDRAFT</x:v>
      </x:c>
      <x:c r="C1115" t="str">
        <x:v>KTO001</x:v>
      </x:c>
      <x:c r="D1115" t="str">
        <x:v>16-05-2026_Umsatzliste_Girokonto_DE98120300001061711675.csv</x:v>
      </x:c>
      <x:c r="E1115" t="n">
        <x:v>46163</x:v>
      </x:c>
      <x:c r="F1115" t="n">
        <x:v>1098</x:v>
      </x:c>
      <x:c r="G1115" t="str">
        <x:v>21b609735c3ee2e0662959f2ad8bbd4c26f5bb19da364fcabcff72bee3f5f8df</x:v>
      </x:c>
      <x:c r="H1115" t="str">
        <x:v>neu</x:v>
      </x:c>
      <x:c r="I1115" t="str">
        <x:v>ok</x:v>
      </x:c>
      <x:c r="J1115"/>
      <x:c r="K1115" t="n">
        <x:v>45796</x:v>
      </x:c>
      <x:c r="L1115" t="n">
        <x:v>45796</x:v>
      </x:c>
      <x:c r="M1115" t="str">
        <x:v>Gebucht</x:v>
      </x:c>
      <x:c r="N1115" t="str">
        <x:v>ISSUER</x:v>
      </x:c>
      <x:c r="O1115" t="str">
        <x:v>Hagebaumarkt.Salzgitter/Salzgitter</x:v>
      </x:c>
      <x:c r="P1115" t="str">
        <x:v>VISA Debitkartenumsatz vom 17.05.2025</x:v>
      </x:c>
      <x:c r="Q1115" t="str">
        <x:v>Ausgang</x:v>
      </x:c>
      <x:c r="R1115" t="str">
        <x:v>DE96120300009005290904</x:v>
      </x:c>
      <x:c r="S1115" t="n">
        <x:v>-32.96</x:v>
      </x:c>
      <x:c r="T1115" t="str">
        <x:v>"</x:v>
      </x:c>
      <x:c r="U1115" t="str">
        <x:v>"</x:v>
      </x:c>
      <x:c r="V1115" t="str">
        <x:v>485137553925459</x:v>
      </x:c>
    </x:row>
    <x:row r="1116">
      <x:c r="A1116" t="str">
        <x:v>RAW-IMP-20260516-FULLDRAFT-001099</x:v>
      </x:c>
      <x:c r="B1116" t="str">
        <x:v>IMP-20260516-FULLDRAFT</x:v>
      </x:c>
      <x:c r="C1116" t="str">
        <x:v>KTO001</x:v>
      </x:c>
      <x:c r="D1116" t="str">
        <x:v>16-05-2026_Umsatzliste_Girokonto_DE98120300001061711675.csv</x:v>
      </x:c>
      <x:c r="E1116" t="n">
        <x:v>46163</x:v>
      </x:c>
      <x:c r="F1116" t="n">
        <x:v>1099</x:v>
      </x:c>
      <x:c r="G1116" t="str">
        <x:v>3435c746a51d283b8f2ec2da964be372e3d82fb34ba64c08158347fe352acc82</x:v>
      </x:c>
      <x:c r="H1116" t="str">
        <x:v>neu</x:v>
      </x:c>
      <x:c r="I1116" t="str">
        <x:v>ok</x:v>
      </x:c>
      <x:c r="J1116"/>
      <x:c r="K1116" t="n">
        <x:v>45796</x:v>
      </x:c>
      <x:c r="L1116" t="n">
        <x:v>45796</x:v>
      </x:c>
      <x:c r="M1116" t="str">
        <x:v>Gebucht</x:v>
      </x:c>
      <x:c r="N1116" t="str">
        <x:v>ISSUER</x:v>
      </x:c>
      <x:c r="O1116" t="str">
        <x:v>DM.Drogerie.Markt/Braunschweig</x:v>
      </x:c>
      <x:c r="P1116" t="str">
        <x:v>VISA Debitkartenumsatz vom 17.05.2025</x:v>
      </x:c>
      <x:c r="Q1116" t="str">
        <x:v>Ausgang</x:v>
      </x:c>
      <x:c r="R1116" t="str">
        <x:v>DE96120300009005290904</x:v>
      </x:c>
      <x:c r="S1116" t="n">
        <x:v>-17.05</x:v>
      </x:c>
      <x:c r="T1116" t="str">
        <x:v>"</x:v>
      </x:c>
      <x:c r="U1116" t="str">
        <x:v>"</x:v>
      </x:c>
      <x:c r="V1116" t="str">
        <x:v>485137354368383</x:v>
      </x:c>
    </x:row>
    <x:row r="1117">
      <x:c r="A1117" t="str">
        <x:v>RAW-IMP-20260516-FULLDRAFT-001100</x:v>
      </x:c>
      <x:c r="B1117" t="str">
        <x:v>IMP-20260516-FULLDRAFT</x:v>
      </x:c>
      <x:c r="C1117" t="str">
        <x:v>KTO001</x:v>
      </x:c>
      <x:c r="D1117" t="str">
        <x:v>16-05-2026_Umsatzliste_Girokonto_DE98120300001061711675.csv</x:v>
      </x:c>
      <x:c r="E1117" t="n">
        <x:v>46163</x:v>
      </x:c>
      <x:c r="F1117" t="n">
        <x:v>1100</x:v>
      </x:c>
      <x:c r="G1117" t="str">
        <x:v>fe4edbbbf98b651ec9d652f7f8ad8bdb96f69edc79baed0456b40d2b70d4c0dc</x:v>
      </x:c>
      <x:c r="H1117" t="str">
        <x:v>neu</x:v>
      </x:c>
      <x:c r="I1117" t="str">
        <x:v>ok</x:v>
      </x:c>
      <x:c r="J1117"/>
      <x:c r="K1117" t="n">
        <x:v>45793</x:v>
      </x:c>
      <x:c r="L1117" t="n">
        <x:v>45793</x:v>
      </x:c>
      <x:c r="M1117" t="str">
        <x:v>Gebucht</x:v>
      </x:c>
      <x:c r="N1117" t="str">
        <x:v>ISSUER</x:v>
      </x:c>
      <x:c r="O1117" t="str">
        <x:v>PH.City.Parkdeck/Hildesheim</x:v>
      </x:c>
      <x:c r="P1117" t="str">
        <x:v>VISA Debitkartenumsatz vom 15.05.2025</x:v>
      </x:c>
      <x:c r="Q1117" t="str">
        <x:v>Ausgang</x:v>
      </x:c>
      <x:c r="R1117" t="str">
        <x:v>DE96120300009005290904</x:v>
      </x:c>
      <x:c r="S1117" t="n">
        <x:v>-8.5</x:v>
      </x:c>
      <x:c r="T1117" t="str">
        <x:v>"</x:v>
      </x:c>
      <x:c r="U1117" t="str">
        <x:v>"</x:v>
      </x:c>
      <x:c r="V1117" t="str">
        <x:v>485135512094468</x:v>
      </x:c>
    </x:row>
    <x:row r="1118">
      <x:c r="A1118" t="str">
        <x:v>RAW-IMP-20260516-FULLDRAFT-001101</x:v>
      </x:c>
      <x:c r="B1118" t="str">
        <x:v>IMP-20260516-FULLDRAFT</x:v>
      </x:c>
      <x:c r="C1118" t="str">
        <x:v>KTO001</x:v>
      </x:c>
      <x:c r="D1118" t="str">
        <x:v>16-05-2026_Umsatzliste_Girokonto_DE98120300001061711675.csv</x:v>
      </x:c>
      <x:c r="E1118" t="n">
        <x:v>46163</x:v>
      </x:c>
      <x:c r="F1118" t="n">
        <x:v>1101</x:v>
      </x:c>
      <x:c r="G1118" t="str">
        <x:v>1d74549e4fb0189d7d0ea716efb6e65995735e7b8b593803fab2bcce8e0fe432</x:v>
      </x:c>
      <x:c r="H1118" t="str">
        <x:v>neu</x:v>
      </x:c>
      <x:c r="I1118" t="str">
        <x:v>ok</x:v>
      </x:c>
      <x:c r="J1118"/>
      <x:c r="K1118" t="n">
        <x:v>45792</x:v>
      </x:c>
      <x:c r="L1118" t="n">
        <x:v>45792</x:v>
      </x:c>
      <x:c r="M1118" t="str">
        <x:v>Gebucht</x:v>
      </x:c>
      <x:c r="N1118" t="str">
        <x:v>Lars Kohlenberg</x:v>
      </x:c>
      <x:c r="O1118" t="str">
        <x:v>Drillisch Online GmbH                                                 Wilhelm-Rontgen-Strase 1-5, 63477 Maintal</x:v>
      </x:c>
      <x:c r="P1118" t="str">
        <x:v>C0851820 U717827774 B818083775 winSIM</x:v>
      </x:c>
      <x:c r="Q1118" t="str">
        <x:v>Ausgang</x:v>
      </x:c>
      <x:c r="R1118" t="str">
        <x:v>DE87300500000008996811</x:v>
      </x:c>
      <x:c r="S1118" t="n">
        <x:v>-6.99</x:v>
      </x:c>
      <x:c r="T1118" t="str">
        <x:v>DE40ZZZ00000206926</x:v>
      </x:c>
      <x:c r="U1118" t="str">
        <x:v>FB1310D094B04186E02ACE7B8C6</x:v>
      </x:c>
      <x:c r="V1118" t="str">
        <x:v>C0851820+U717827774</x:v>
      </x:c>
    </x:row>
    <x:row r="1119">
      <x:c r="A1119" t="str">
        <x:v>RAW-IMP-20260516-FULLDRAFT-001102</x:v>
      </x:c>
      <x:c r="B1119" t="str">
        <x:v>IMP-20260516-FULLDRAFT</x:v>
      </x:c>
      <x:c r="C1119" t="str">
        <x:v>KTO001</x:v>
      </x:c>
      <x:c r="D1119" t="str">
        <x:v>16-05-2026_Umsatzliste_Girokonto_DE98120300001061711675.csv</x:v>
      </x:c>
      <x:c r="E1119" t="n">
        <x:v>46163</x:v>
      </x:c>
      <x:c r="F1119" t="n">
        <x:v>1102</x:v>
      </x:c>
      <x:c r="G1119" t="str">
        <x:v>49a6e4d0df581dcade634fcef245740b1fc2d56af04faae2a85ec083778abc74</x:v>
      </x:c>
      <x:c r="H1119" t="str">
        <x:v>neu</x:v>
      </x:c>
      <x:c r="I1119" t="str">
        <x:v>ok</x:v>
      </x:c>
      <x:c r="J1119"/>
      <x:c r="K1119" t="n">
        <x:v>45792</x:v>
      </x:c>
      <x:c r="L1119" t="n">
        <x:v>45792</x:v>
      </x:c>
      <x:c r="M1119" t="str">
        <x:v>Gebucht</x:v>
      </x:c>
      <x:c r="N1119" t="str">
        <x:v>Lars Kohlenberg</x:v>
      </x:c>
      <x:c r="O1119" t="str">
        <x:v>Drillisch Online GmbH                                                 Wilhelm-Rontgen-Strase 1-5, 63477 Maintal</x:v>
      </x:c>
      <x:c r="P1119" t="str">
        <x:v>C0851820 U715283029 B818556021 winSIM</x:v>
      </x:c>
      <x:c r="Q1119" t="str">
        <x:v>Ausgang</x:v>
      </x:c>
      <x:c r="R1119" t="str">
        <x:v>DE87300500000008996811</x:v>
      </x:c>
      <x:c r="S1119" t="n">
        <x:v>-6.99</x:v>
      </x:c>
      <x:c r="T1119" t="str">
        <x:v>DE40ZZZ00000206926</x:v>
      </x:c>
      <x:c r="U1119" t="str">
        <x:v>FB1310D094B04186E02ACE7B8C6</x:v>
      </x:c>
      <x:c r="V1119" t="str">
        <x:v>C0851820+U715283029</x:v>
      </x:c>
    </x:row>
    <x:row r="1120">
      <x:c r="A1120" t="str">
        <x:v>RAW-IMP-20260516-FULLDRAFT-001103</x:v>
      </x:c>
      <x:c r="B1120" t="str">
        <x:v>IMP-20260516-FULLDRAFT</x:v>
      </x:c>
      <x:c r="C1120" t="str">
        <x:v>KTO001</x:v>
      </x:c>
      <x:c r="D1120" t="str">
        <x:v>16-05-2026_Umsatzliste_Girokonto_DE98120300001061711675.csv</x:v>
      </x:c>
      <x:c r="E1120" t="n">
        <x:v>46163</x:v>
      </x:c>
      <x:c r="F1120" t="n">
        <x:v>1103</x:v>
      </x:c>
      <x:c r="G1120" t="str">
        <x:v>c900af60e5670252015a1bc366743f36294aac0a63c559c52841154d5f9b4204</x:v>
      </x:c>
      <x:c r="H1120" t="str">
        <x:v>neu</x:v>
      </x:c>
      <x:c r="I1120" t="str">
        <x:v>ok</x:v>
      </x:c>
      <x:c r="J1120"/>
      <x:c r="K1120" t="n">
        <x:v>45792</x:v>
      </x:c>
      <x:c r="L1120" t="n">
        <x:v>45792</x:v>
      </x:c>
      <x:c r="M1120" t="str">
        <x:v>Gebucht</x:v>
      </x:c>
      <x:c r="N1120" t="str">
        <x:v>Lars Kohlenberg</x:v>
      </x:c>
      <x:c r="O1120" t="str">
        <x:v>Drillisch Online GmbH                                                 Wilhelm-Rontgen-Strase 1-5, 63477 Maintal</x:v>
      </x:c>
      <x:c r="P1120" t="str">
        <x:v>C0851820 U714560767 B819358390 winSIM</x:v>
      </x:c>
      <x:c r="Q1120" t="str">
        <x:v>Ausgang</x:v>
      </x:c>
      <x:c r="R1120" t="str">
        <x:v>DE87300500000008996811</x:v>
      </x:c>
      <x:c r="S1120" t="n">
        <x:v>-6.99</x:v>
      </x:c>
      <x:c r="T1120" t="str">
        <x:v>DE40ZZZ00000206926</x:v>
      </x:c>
      <x:c r="U1120" t="str">
        <x:v>FB1310D094B04186E02ACE7B8C6</x:v>
      </x:c>
      <x:c r="V1120" t="str">
        <x:v>C0851820+U714560767</x:v>
      </x:c>
    </x:row>
    <x:row r="1121">
      <x:c r="A1121" t="str">
        <x:v>RAW-IMP-20260516-FULLDRAFT-001104</x:v>
      </x:c>
      <x:c r="B1121" t="str">
        <x:v>IMP-20260516-FULLDRAFT</x:v>
      </x:c>
      <x:c r="C1121" t="str">
        <x:v>KTO001</x:v>
      </x:c>
      <x:c r="D1121" t="str">
        <x:v>16-05-2026_Umsatzliste_Girokonto_DE98120300001061711675.csv</x:v>
      </x:c>
      <x:c r="E1121" t="n">
        <x:v>46163</x:v>
      </x:c>
      <x:c r="F1121" t="n">
        <x:v>1104</x:v>
      </x:c>
      <x:c r="G1121" t="str">
        <x:v>ca6d6e425e4be025349ef81737cc3acc5fcc4bbfc8d1d6fc7ee26023897938bc</x:v>
      </x:c>
      <x:c r="H1121" t="str">
        <x:v>neu</x:v>
      </x:c>
      <x:c r="I1121" t="str">
        <x:v>ok</x:v>
      </x:c>
      <x:c r="J1121"/>
      <x:c r="K1121" t="n">
        <x:v>45790</x:v>
      </x:c>
      <x:c r="L1121" t="n">
        <x:v>45790</x:v>
      </x:c>
      <x:c r="M1121" t="str">
        <x:v>Gebucht</x:v>
      </x:c>
      <x:c r="N1121" t="str">
        <x:v>ISSUER</x:v>
      </x:c>
      <x:c r="O1121" t="str">
        <x:v>REWE.Salzgitter.Ge/Salzgitter</x:v>
      </x:c>
      <x:c r="P1121" t="str">
        <x:v>VISA Debitkartenumsatz vom 12.05.2025</x:v>
      </x:c>
      <x:c r="Q1121" t="str">
        <x:v>Ausgang</x:v>
      </x:c>
      <x:c r="R1121" t="str">
        <x:v>DE96120300009005290904</x:v>
      </x:c>
      <x:c r="S1121" t="n">
        <x:v>-1.69</x:v>
      </x:c>
      <x:c r="T1121" t="str">
        <x:v>"</x:v>
      </x:c>
      <x:c r="U1121" t="str">
        <x:v>"</x:v>
      </x:c>
      <x:c r="V1121" t="str">
        <x:v>485132640473019</x:v>
      </x:c>
    </x:row>
    <x:row r="1122">
      <x:c r="A1122" t="str">
        <x:v>RAW-IMP-20260516-FULLDRAFT-001105</x:v>
      </x:c>
      <x:c r="B1122" t="str">
        <x:v>IMP-20260516-FULLDRAFT</x:v>
      </x:c>
      <x:c r="C1122" t="str">
        <x:v>KTO001</x:v>
      </x:c>
      <x:c r="D1122" t="str">
        <x:v>16-05-2026_Umsatzliste_Girokonto_DE98120300001061711675.csv</x:v>
      </x:c>
      <x:c r="E1122" t="n">
        <x:v>46163</x:v>
      </x:c>
      <x:c r="F1122" t="n">
        <x:v>1105</x:v>
      </x:c>
      <x:c r="G1122" t="str">
        <x:v>42e5d8982a85950d2f39aba52b407a622468d38b7f572905319def745f71661f</x:v>
      </x:c>
      <x:c r="H1122" t="str">
        <x:v>neu</x:v>
      </x:c>
      <x:c r="I1122" t="str">
        <x:v>ok</x:v>
      </x:c>
      <x:c r="J1122"/>
      <x:c r="K1122" t="n">
        <x:v>45790</x:v>
      </x:c>
      <x:c r="L1122" t="n">
        <x:v>45790</x:v>
      </x:c>
      <x:c r="M1122" t="str">
        <x:v>Gebucht</x:v>
      </x:c>
      <x:c r="N1122" t="str">
        <x:v>Lars Kohlenberg</x:v>
      </x:c>
      <x:c r="O1122" t="str">
        <x:v>GMX by LOTTO24                                                        StraBenbahnring 11 20251 Hamburg</x:v>
      </x:c>
      <x:c r="P1122" t="str">
        <x:v>GMX by LOTTO24 C98983063 - T541146057914</x:v>
      </x:c>
      <x:c r="Q1122" t="str">
        <x:v>Ausgang</x:v>
      </x:c>
      <x:c r="R1122" t="str">
        <x:v>DE52100190001000027873</x:v>
      </x:c>
      <x:c r="S1122" t="n">
        <x:v>-18.14</x:v>
      </x:c>
      <x:c r="T1122" t="str">
        <x:v>NL48ZZZ342764500000</x:v>
      </x:c>
      <x:c r="U1122" t="str">
        <x:v>R372DKN5SSBXZP52</x:v>
      </x:c>
      <x:c r="V1122" t="str">
        <x:v>LCRBRFQ8QTQTL5X3</x:v>
      </x:c>
    </x:row>
    <x:row r="1123">
      <x:c r="A1123" t="str">
        <x:v>RAW-IMP-20260516-FULLDRAFT-001106</x:v>
      </x:c>
      <x:c r="B1123" t="str">
        <x:v>IMP-20260516-FULLDRAFT</x:v>
      </x:c>
      <x:c r="C1123" t="str">
        <x:v>KTO001</x:v>
      </x:c>
      <x:c r="D1123" t="str">
        <x:v>16-05-2026_Umsatzliste_Girokonto_DE98120300001061711675.csv</x:v>
      </x:c>
      <x:c r="E1123" t="n">
        <x:v>46163</x:v>
      </x:c>
      <x:c r="F1123" t="n">
        <x:v>1106</x:v>
      </x:c>
      <x:c r="G1123" t="str">
        <x:v>616e7a50d6efaa4b2f3cbcd8177e7a933a70b21dd237bce6d85c7cb7f6f4c2e4</x:v>
      </x:c>
      <x:c r="H1123" t="str">
        <x:v>neu</x:v>
      </x:c>
      <x:c r="I1123" t="str">
        <x:v>ok</x:v>
      </x:c>
      <x:c r="J1123"/>
      <x:c r="K1123" t="n">
        <x:v>45789</x:v>
      </x:c>
      <x:c r="L1123" t="n">
        <x:v>45789</x:v>
      </x:c>
      <x:c r="M1123" t="str">
        <x:v>Gebucht</x:v>
      </x:c>
      <x:c r="N1123" t="str">
        <x:v>ISSUER</x:v>
      </x:c>
      <x:c r="O1123" t="str">
        <x:v>LOEWENBAECKER.SCHAPER/SALZGITTER</x:v>
      </x:c>
      <x:c r="P1123" t="str">
        <x:v>VISA Debitkartenumsatz vom 10.05.2025</x:v>
      </x:c>
      <x:c r="Q1123" t="str">
        <x:v>Ausgang</x:v>
      </x:c>
      <x:c r="R1123" t="str">
        <x:v>DE96120300009005290904</x:v>
      </x:c>
      <x:c r="S1123" t="n">
        <x:v>-4</x:v>
      </x:c>
      <x:c r="T1123" t="str">
        <x:v>"</x:v>
      </x:c>
      <x:c r="U1123" t="str">
        <x:v>"</x:v>
      </x:c>
      <x:c r="V1123" t="str">
        <x:v>485130226800366</x:v>
      </x:c>
    </x:row>
    <x:row r="1124">
      <x:c r="A1124" t="str">
        <x:v>RAW-IMP-20260516-FULLDRAFT-001107</x:v>
      </x:c>
      <x:c r="B1124" t="str">
        <x:v>IMP-20260516-FULLDRAFT</x:v>
      </x:c>
      <x:c r="C1124" t="str">
        <x:v>KTO001</x:v>
      </x:c>
      <x:c r="D1124" t="str">
        <x:v>16-05-2026_Umsatzliste_Girokonto_DE98120300001061711675.csv</x:v>
      </x:c>
      <x:c r="E1124" t="n">
        <x:v>46163</x:v>
      </x:c>
      <x:c r="F1124" t="n">
        <x:v>1107</x:v>
      </x:c>
      <x:c r="G1124" t="str">
        <x:v>898649f857ba12f22721db5f36540f7ddd7ceabcf63818193c60df089aaff8da</x:v>
      </x:c>
      <x:c r="H1124" t="str">
        <x:v>neu</x:v>
      </x:c>
      <x:c r="I1124" t="str">
        <x:v>ok</x:v>
      </x:c>
      <x:c r="J1124"/>
      <x:c r="K1124" t="n">
        <x:v>45789</x:v>
      </x:c>
      <x:c r="L1124" t="n">
        <x:v>45789</x:v>
      </x:c>
      <x:c r="M1124" t="str">
        <x:v>Gebucht</x:v>
      </x:c>
      <x:c r="N1124" t="str">
        <x:v>ISSUER</x:v>
      </x:c>
      <x:c r="O1124" t="str">
        <x:v>REWE.Salzgitter.Ge/Salzgitter</x:v>
      </x:c>
      <x:c r="P1124" t="str">
        <x:v>VISA Debitkartenumsatz vom 10.05.2025</x:v>
      </x:c>
      <x:c r="Q1124" t="str">
        <x:v>Ausgang</x:v>
      </x:c>
      <x:c r="R1124" t="str">
        <x:v>DE96120300009005290904</x:v>
      </x:c>
      <x:c r="S1124" t="n">
        <x:v>-46.48</x:v>
      </x:c>
      <x:c r="T1124" t="str">
        <x:v>"</x:v>
      </x:c>
      <x:c r="U1124" t="str">
        <x:v>"</x:v>
      </x:c>
      <x:c r="V1124" t="str">
        <x:v>485130222145532</x:v>
      </x:c>
    </x:row>
    <x:row r="1125">
      <x:c r="A1125" t="str">
        <x:v>RAW-IMP-20260516-FULLDRAFT-001108</x:v>
      </x:c>
      <x:c r="B1125" t="str">
        <x:v>IMP-20260516-FULLDRAFT</x:v>
      </x:c>
      <x:c r="C1125" t="str">
        <x:v>KTO001</x:v>
      </x:c>
      <x:c r="D1125" t="str">
        <x:v>16-05-2026_Umsatzliste_Girokonto_DE98120300001061711675.csv</x:v>
      </x:c>
      <x:c r="E1125" t="n">
        <x:v>46163</x:v>
      </x:c>
      <x:c r="F1125" t="n">
        <x:v>1108</x:v>
      </x:c>
      <x:c r="G1125" t="str">
        <x:v>c4d3b57edca979c5f3118eedd8cca6ce276e10bdd92ccef6a24672def233ccd6</x:v>
      </x:c>
      <x:c r="H1125" t="str">
        <x:v>neu</x:v>
      </x:c>
      <x:c r="I1125" t="str">
        <x:v>ok</x:v>
      </x:c>
      <x:c r="J1125"/>
      <x:c r="K1125" t="n">
        <x:v>45786</x:v>
      </x:c>
      <x:c r="L1125" t="n">
        <x:v>45786</x:v>
      </x:c>
      <x:c r="M1125" t="str">
        <x:v>Gebucht</x:v>
      </x:c>
      <x:c r="N1125" t="str">
        <x:v>ISSUER</x:v>
      </x:c>
      <x:c r="O1125" t="str">
        <x:v>Cartina.Rahmen.Kunst/Braunschweig</x:v>
      </x:c>
      <x:c r="P1125" t="str">
        <x:v>VISA Debitkartenumsatz vom 08.05.2025</x:v>
      </x:c>
      <x:c r="Q1125" t="str">
        <x:v>Ausgang</x:v>
      </x:c>
      <x:c r="R1125" t="str">
        <x:v>DE96120300009005290904</x:v>
      </x:c>
      <x:c r="S1125" t="n">
        <x:v>-54.85</x:v>
      </x:c>
      <x:c r="T1125" t="str">
        <x:v>"</x:v>
      </x:c>
      <x:c r="U1125" t="str">
        <x:v>"</x:v>
      </x:c>
      <x:c r="V1125" t="str">
        <x:v>485128499022184</x:v>
      </x:c>
    </x:row>
    <x:row r="1126">
      <x:c r="A1126" t="str">
        <x:v>RAW-IMP-20260516-FULLDRAFT-001109</x:v>
      </x:c>
      <x:c r="B1126" t="str">
        <x:v>IMP-20260516-FULLDRAFT</x:v>
      </x:c>
      <x:c r="C1126" t="str">
        <x:v>KTO001</x:v>
      </x:c>
      <x:c r="D1126" t="str">
        <x:v>16-05-2026_Umsatzliste_Girokonto_DE98120300001061711675.csv</x:v>
      </x:c>
      <x:c r="E1126" t="n">
        <x:v>46163</x:v>
      </x:c>
      <x:c r="F1126" t="n">
        <x:v>1109</x:v>
      </x:c>
      <x:c r="G1126" t="str">
        <x:v>dd7f2400cb14f6417b2546c9172a743dae2a19b6bf6063d12f8160240dac0764</x:v>
      </x:c>
      <x:c r="H1126" t="str">
        <x:v>neu</x:v>
      </x:c>
      <x:c r="I1126" t="str">
        <x:v>ok</x:v>
      </x:c>
      <x:c r="J1126"/>
      <x:c r="K1126" t="n">
        <x:v>45786</x:v>
      </x:c>
      <x:c r="L1126" t="n">
        <x:v>45786</x:v>
      </x:c>
      <x:c r="M1126" t="str">
        <x:v>Gebucht</x:v>
      </x:c>
      <x:c r="N1126" t="str">
        <x:v>ISSUER</x:v>
      </x:c>
      <x:c r="O1126" t="str">
        <x:v>REWE.Acar.oHG/Salzgitter</x:v>
      </x:c>
      <x:c r="P1126" t="str">
        <x:v>VISA Debitkartenumsatz vom 08.05.2025</x:v>
      </x:c>
      <x:c r="Q1126" t="str">
        <x:v>Ausgang</x:v>
      </x:c>
      <x:c r="R1126" t="str">
        <x:v>DE96120300009005290904</x:v>
      </x:c>
      <x:c r="S1126" t="n">
        <x:v>-150.14</x:v>
      </x:c>
      <x:c r="T1126" t="str">
        <x:v>"</x:v>
      </x:c>
      <x:c r="U1126" t="str">
        <x:v>"</x:v>
      </x:c>
      <x:c r="V1126" t="str">
        <x:v>485128586377265</x:v>
      </x:c>
    </x:row>
    <x:row r="1127">
      <x:c r="A1127" t="str">
        <x:v>RAW-IMP-20260516-FULLDRAFT-001110</x:v>
      </x:c>
      <x:c r="B1127" t="str">
        <x:v>IMP-20260516-FULLDRAFT</x:v>
      </x:c>
      <x:c r="C1127" t="str">
        <x:v>KTO001</x:v>
      </x:c>
      <x:c r="D1127" t="str">
        <x:v>16-05-2026_Umsatzliste_Girokonto_DE98120300001061711675.csv</x:v>
      </x:c>
      <x:c r="E1127" t="n">
        <x:v>46163</x:v>
      </x:c>
      <x:c r="F1127" t="n">
        <x:v>1110</x:v>
      </x:c>
      <x:c r="G1127" t="str">
        <x:v>c5321630ff4a508fb08241a430988178c232f10f07a46f55ede50a3eb9321648</x:v>
      </x:c>
      <x:c r="H1127" t="str">
        <x:v>neu</x:v>
      </x:c>
      <x:c r="I1127" t="str">
        <x:v>ok</x:v>
      </x:c>
      <x:c r="J1127"/>
      <x:c r="K1127" t="n">
        <x:v>45786</x:v>
      </x:c>
      <x:c r="L1127" t="n">
        <x:v>45786</x:v>
      </x:c>
      <x:c r="M1127" t="str">
        <x:v>Gebucht</x:v>
      </x:c>
      <x:c r="N1127" t="str">
        <x:v>ISSUER</x:v>
      </x:c>
      <x:c r="O1127" t="str">
        <x:v>REWE.Salzgitter.Ge/Salzgitter</x:v>
      </x:c>
      <x:c r="P1127" t="str">
        <x:v>VISA Debitkartenumsatz vom 08.05.2025</x:v>
      </x:c>
      <x:c r="Q1127" t="str">
        <x:v>Ausgang</x:v>
      </x:c>
      <x:c r="R1127" t="str">
        <x:v>DE96120300009005290904</x:v>
      </x:c>
      <x:c r="S1127" t="n">
        <x:v>-30.11</x:v>
      </x:c>
      <x:c r="T1127" t="str">
        <x:v>"</x:v>
      </x:c>
      <x:c r="U1127" t="str">
        <x:v>"</x:v>
      </x:c>
      <x:c r="V1127" t="str">
        <x:v>485128600687007</x:v>
      </x:c>
    </x:row>
    <x:row r="1128">
      <x:c r="A1128" t="str">
        <x:v>RAW-IMP-20260516-FULLDRAFT-001111</x:v>
      </x:c>
      <x:c r="B1128" t="str">
        <x:v>IMP-20260516-FULLDRAFT</x:v>
      </x:c>
      <x:c r="C1128" t="str">
        <x:v>KTO001</x:v>
      </x:c>
      <x:c r="D1128" t="str">
        <x:v>16-05-2026_Umsatzliste_Girokonto_DE98120300001061711675.csv</x:v>
      </x:c>
      <x:c r="E1128" t="n">
        <x:v>46163</x:v>
      </x:c>
      <x:c r="F1128" t="n">
        <x:v>1111</x:v>
      </x:c>
      <x:c r="G1128" t="str">
        <x:v>aa9a8d839dbd8085b81a2829563b9eb7a2f4515688f524f814401cecb5fb2751</x:v>
      </x:c>
      <x:c r="H1128" t="str">
        <x:v>neu</x:v>
      </x:c>
      <x:c r="I1128" t="str">
        <x:v>ok</x:v>
      </x:c>
      <x:c r="J1128"/>
      <x:c r="K1128" t="n">
        <x:v>45785</x:v>
      </x:c>
      <x:c r="L1128" t="n">
        <x:v>45785</x:v>
      </x:c>
      <x:c r="M1128" t="str">
        <x:v>Gebucht</x:v>
      </x:c>
      <x:c r="N1128" t="str">
        <x:v>ISSUER</x:v>
      </x:c>
      <x:c r="O1128" t="str">
        <x:v>REWE.Salzgitter.Ge/Salzgitter</x:v>
      </x:c>
      <x:c r="P1128" t="str">
        <x:v>VISA Debitkartenumsatz vom 07.05.2025</x:v>
      </x:c>
      <x:c r="Q1128" t="str">
        <x:v>Ausgang</x:v>
      </x:c>
      <x:c r="R1128" t="str">
        <x:v>DE96120300009005290904</x:v>
      </x:c>
      <x:c r="S1128" t="n">
        <x:v>-5.58</x:v>
      </x:c>
      <x:c r="T1128" t="str">
        <x:v>"</x:v>
      </x:c>
      <x:c r="U1128" t="str">
        <x:v>"</x:v>
      </x:c>
      <x:c r="V1128" t="str">
        <x:v>485127220852934</x:v>
      </x:c>
    </x:row>
    <x:row r="1129">
      <x:c r="A1129" t="str">
        <x:v>RAW-IMP-20260516-FULLDRAFT-001112</x:v>
      </x:c>
      <x:c r="B1129" t="str">
        <x:v>IMP-20260516-FULLDRAFT</x:v>
      </x:c>
      <x:c r="C1129" t="str">
        <x:v>KTO001</x:v>
      </x:c>
      <x:c r="D1129" t="str">
        <x:v>16-05-2026_Umsatzliste_Girokonto_DE98120300001061711675.csv</x:v>
      </x:c>
      <x:c r="E1129" t="n">
        <x:v>46163</x:v>
      </x:c>
      <x:c r="F1129" t="n">
        <x:v>1112</x:v>
      </x:c>
      <x:c r="G1129" t="str">
        <x:v>1bc479c472f37d11a087027d913d79f841d6cf65d5a8b43bff4906609b0d2164</x:v>
      </x:c>
      <x:c r="H1129" t="str">
        <x:v>neu</x:v>
      </x:c>
      <x:c r="I1129" t="str">
        <x:v>ok</x:v>
      </x:c>
      <x:c r="J1129"/>
      <x:c r="K1129" t="n">
        <x:v>45784</x:v>
      </x:c>
      <x:c r="L1129" t="n">
        <x:v>45784</x:v>
      </x:c>
      <x:c r="M1129" t="str">
        <x:v>Gebucht</x:v>
      </x:c>
      <x:c r="N1129" t="str">
        <x:v>ISSUER</x:v>
      </x:c>
      <x:c r="O1129" t="str">
        <x:v>REWE.Salzgitter.Ge/Salzgitter</x:v>
      </x:c>
      <x:c r="P1129" t="str">
        <x:v>VISA Debitkartenumsatz vom 06.05.2025</x:v>
      </x:c>
      <x:c r="Q1129" t="str">
        <x:v>Ausgang</x:v>
      </x:c>
      <x:c r="R1129" t="str">
        <x:v>DE96120300009005290904</x:v>
      </x:c>
      <x:c r="S1129" t="n">
        <x:v>-10.35</x:v>
      </x:c>
      <x:c r="T1129" t="str">
        <x:v>"</x:v>
      </x:c>
      <x:c r="U1129" t="str">
        <x:v>"</x:v>
      </x:c>
      <x:c r="V1129" t="str">
        <x:v>485126611690184</x:v>
      </x:c>
    </x:row>
    <x:row r="1130">
      <x:c r="A1130" t="str">
        <x:v>RAW-IMP-20260516-FULLDRAFT-001113</x:v>
      </x:c>
      <x:c r="B1130" t="str">
        <x:v>IMP-20260516-FULLDRAFT</x:v>
      </x:c>
      <x:c r="C1130" t="str">
        <x:v>KTO001</x:v>
      </x:c>
      <x:c r="D1130" t="str">
        <x:v>16-05-2026_Umsatzliste_Girokonto_DE98120300001061711675.csv</x:v>
      </x:c>
      <x:c r="E1130" t="n">
        <x:v>46163</x:v>
      </x:c>
      <x:c r="F1130" t="n">
        <x:v>1113</x:v>
      </x:c>
      <x:c r="G1130" t="str">
        <x:v>9517e0836dc047df8ec702c360d826a63327357006a8537271495f72b20cf431</x:v>
      </x:c>
      <x:c r="H1130" t="str">
        <x:v>neu</x:v>
      </x:c>
      <x:c r="I1130" t="str">
        <x:v>ok</x:v>
      </x:c>
      <x:c r="J1130"/>
      <x:c r="K1130" t="n">
        <x:v>45784</x:v>
      </x:c>
      <x:c r="L1130" t="n">
        <x:v>45784</x:v>
      </x:c>
      <x:c r="M1130" t="str">
        <x:v>Gebucht</x:v>
      </x:c>
      <x:c r="N1130" t="str">
        <x:v>ISSUER</x:v>
      </x:c>
      <x:c r="O1130" t="str">
        <x:v>Lidl.sagt.Danke/Salzgitter</x:v>
      </x:c>
      <x:c r="P1130" t="str">
        <x:v>VISA Debitkartenumsatz vom 06.05.2025</x:v>
      </x:c>
      <x:c r="Q1130" t="str">
        <x:v>Ausgang</x:v>
      </x:c>
      <x:c r="R1130" t="str">
        <x:v>DE96120300009005290904</x:v>
      </x:c>
      <x:c r="S1130" t="n">
        <x:v>-14.43</x:v>
      </x:c>
      <x:c r="T1130" t="str">
        <x:v>"</x:v>
      </x:c>
      <x:c r="U1130" t="str">
        <x:v>"</x:v>
      </x:c>
      <x:c r="V1130" t="str">
        <x:v>485126640376193</x:v>
      </x:c>
    </x:row>
    <x:row r="1131">
      <x:c r="A1131" t="str">
        <x:v>RAW-IMP-20260516-FULLDRAFT-001114</x:v>
      </x:c>
      <x:c r="B1131" t="str">
        <x:v>IMP-20260516-FULLDRAFT</x:v>
      </x:c>
      <x:c r="C1131" t="str">
        <x:v>KTO001</x:v>
      </x:c>
      <x:c r="D1131" t="str">
        <x:v>16-05-2026_Umsatzliste_Girokonto_DE98120300001061711675.csv</x:v>
      </x:c>
      <x:c r="E1131" t="n">
        <x:v>46163</x:v>
      </x:c>
      <x:c r="F1131" t="n">
        <x:v>1114</x:v>
      </x:c>
      <x:c r="G1131" t="str">
        <x:v>ed29bdfb29f53c7394cc39d62ef36e1a4372d7a82c5e952fba63c9a9c27dfa3b</x:v>
      </x:c>
      <x:c r="H1131" t="str">
        <x:v>neu</x:v>
      </x:c>
      <x:c r="I1131" t="str">
        <x:v>ok</x:v>
      </x:c>
      <x:c r="J1131"/>
      <x:c r="K1131" t="n">
        <x:v>45784</x:v>
      </x:c>
      <x:c r="L1131" t="n">
        <x:v>45784</x:v>
      </x:c>
      <x:c r="M1131" t="str">
        <x:v>Gebucht</x:v>
      </x:c>
      <x:c r="N1131" t="str">
        <x:v>Lars Kohlenberg</x:v>
      </x:c>
      <x:c r="O1131" t="str">
        <x:v>GMX by LOTTO24                                                        StraBenbahnring 11 20251 Hamburg</x:v>
      </x:c>
      <x:c r="P1131" t="str">
        <x:v>GMX by LOTTO24 C98983063 - T398948787602</x:v>
      </x:c>
      <x:c r="Q1131" t="str">
        <x:v>Ausgang</x:v>
      </x:c>
      <x:c r="R1131" t="str">
        <x:v>DE52100190001000027873</x:v>
      </x:c>
      <x:c r="S1131" t="n">
        <x:v>-18.14</x:v>
      </x:c>
      <x:c r="T1131" t="str">
        <x:v>NL48ZZZ342764500000</x:v>
      </x:c>
      <x:c r="U1131" t="str">
        <x:v>R372DKN5SSBXZP52</x:v>
      </x:c>
      <x:c r="V1131" t="str">
        <x:v>TQMTSZ5V8DHZNKF6</x:v>
      </x:c>
    </x:row>
    <x:row r="1132">
      <x:c r="A1132" t="str">
        <x:v>RAW-IMP-20260516-FULLDRAFT-001115</x:v>
      </x:c>
      <x:c r="B1132" t="str">
        <x:v>IMP-20260516-FULLDRAFT</x:v>
      </x:c>
      <x:c r="C1132" t="str">
        <x:v>KTO001</x:v>
      </x:c>
      <x:c r="D1132" t="str">
        <x:v>16-05-2026_Umsatzliste_Girokonto_DE98120300001061711675.csv</x:v>
      </x:c>
      <x:c r="E1132" t="n">
        <x:v>46163</x:v>
      </x:c>
      <x:c r="F1132" t="n">
        <x:v>1115</x:v>
      </x:c>
      <x:c r="G1132" t="str">
        <x:v>f43f8495c5664b8a41e664bccabe20ab3d54e7714834684dbb4253c26c646907</x:v>
      </x:c>
      <x:c r="H1132" t="str">
        <x:v>neu</x:v>
      </x:c>
      <x:c r="I1132" t="str">
        <x:v>ok</x:v>
      </x:c>
      <x:c r="J1132"/>
      <x:c r="K1132" t="n">
        <x:v>45784</x:v>
      </x:c>
      <x:c r="L1132" t="n">
        <x:v>45784</x:v>
      </x:c>
      <x:c r="M1132" t="str">
        <x:v>Gebucht</x:v>
      </x:c>
      <x:c r="N1132" t="str">
        <x:v>Lars Kohlenberg                                                       Johannes-Wosnitza-Str. 8 38229 Salzgitter</x:v>
      </x:c>
      <x:c r="O1132" t="str">
        <x:v>Telekom Deutschland GmbH</x:v>
      </x:c>
      <x:c r="P1132" t="str">
        <x:v>Festnetz Vertragskonto 4763666565 RG 7777443257/25.04.2025</x:v>
      </x:c>
      <x:c r="Q1132" t="str">
        <x:v>Ausgang</x:v>
      </x:c>
      <x:c r="R1132" t="str">
        <x:v>DE07512108001095000911</x:v>
      </x:c>
      <x:c r="S1132" t="n">
        <x:v>-61.93</x:v>
      </x:c>
      <x:c r="T1132" t="str">
        <x:v>DE93ZZZ00000078611</x:v>
      </x:c>
      <x:c r="U1132" t="str">
        <x:v>DE000201000200000000000000012966156</x:v>
      </x:c>
      <x:c r="V1132" t="str">
        <x:v>Zahlbeleg 349219880875</x:v>
      </x:c>
    </x:row>
    <x:row r="1133">
      <x:c r="A1133" t="str">
        <x:v>RAW-IMP-20260516-FULLDRAFT-001116</x:v>
      </x:c>
      <x:c r="B1133" t="str">
        <x:v>IMP-20260516-FULLDRAFT</x:v>
      </x:c>
      <x:c r="C1133" t="str">
        <x:v>KTO001</x:v>
      </x:c>
      <x:c r="D1133" t="str">
        <x:v>16-05-2026_Umsatzliste_Girokonto_DE98120300001061711675.csv</x:v>
      </x:c>
      <x:c r="E1133" t="n">
        <x:v>46163</x:v>
      </x:c>
      <x:c r="F1133" t="n">
        <x:v>1116</x:v>
      </x:c>
      <x:c r="G1133" t="str">
        <x:v>325ba45b103cc08fa950fa07190a39b0940056ecba03cda64b326215b9732d89</x:v>
      </x:c>
      <x:c r="H1133" t="str">
        <x:v>neu</x:v>
      </x:c>
      <x:c r="I1133" t="str">
        <x:v>ok</x:v>
      </x:c>
      <x:c r="J1133"/>
      <x:c r="K1133" t="n">
        <x:v>45783</x:v>
      </x:c>
      <x:c r="L1133" t="n">
        <x:v>45783</x:v>
      </x:c>
      <x:c r="M1133" t="str">
        <x:v>Gebucht</x:v>
      </x:c>
      <x:c r="N1133" t="str">
        <x:v>ISSUER</x:v>
      </x:c>
      <x:c r="O1133" t="str">
        <x:v>EDEKA.POTRATZ/HILDESHEIM</x:v>
      </x:c>
      <x:c r="P1133" t="str">
        <x:v>VISA Debitkartenumsatz vom 05.05.2025</x:v>
      </x:c>
      <x:c r="Q1133" t="str">
        <x:v>Ausgang</x:v>
      </x:c>
      <x:c r="R1133" t="str">
        <x:v>DE96120300009005290904</x:v>
      </x:c>
      <x:c r="S1133" t="n">
        <x:v>-2.5</x:v>
      </x:c>
      <x:c r="T1133" t="str">
        <x:v>"</x:v>
      </x:c>
      <x:c r="U1133" t="str">
        <x:v>"</x:v>
      </x:c>
      <x:c r="V1133" t="str">
        <x:v>485125371947277</x:v>
      </x:c>
    </x:row>
    <x:row r="1134">
      <x:c r="A1134" t="str">
        <x:v>RAW-IMP-20260516-FULLDRAFT-001117</x:v>
      </x:c>
      <x:c r="B1134" t="str">
        <x:v>IMP-20260516-FULLDRAFT</x:v>
      </x:c>
      <x:c r="C1134" t="str">
        <x:v>KTO001</x:v>
      </x:c>
      <x:c r="D1134" t="str">
        <x:v>16-05-2026_Umsatzliste_Girokonto_DE98120300001061711675.csv</x:v>
      </x:c>
      <x:c r="E1134" t="n">
        <x:v>46163</x:v>
      </x:c>
      <x:c r="F1134" t="n">
        <x:v>1117</x:v>
      </x:c>
      <x:c r="G1134" t="str">
        <x:v>df359a79d067d8b46283fedcc8b64a1cfb82ea4c057f090d17642cd664eb415f</x:v>
      </x:c>
      <x:c r="H1134" t="str">
        <x:v>neu</x:v>
      </x:c>
      <x:c r="I1134" t="str">
        <x:v>ok</x:v>
      </x:c>
      <x:c r="J1134"/>
      <x:c r="K1134" t="n">
        <x:v>45783</x:v>
      </x:c>
      <x:c r="L1134" t="n">
        <x:v>45783</x:v>
      </x:c>
      <x:c r="M1134" t="str">
        <x:v>Gebucht</x:v>
      </x:c>
      <x:c r="N1134" t="str">
        <x:v>Lars Kohlenberg</x:v>
      </x:c>
      <x:c r="O1134" t="str">
        <x:v>Iman Firat</x:v>
      </x:c>
      <x:c r="P1134" t="str">
        <x:v>2230 Lea Kohlenberg</x:v>
      </x:c>
      <x:c r="Q1134" t="str">
        <x:v>Ausgang</x:v>
      </x:c>
      <x:c r="R1134" t="str">
        <x:v>DE67269910662694298000</x:v>
      </x:c>
      <x:c r="S1134" t="n">
        <x:v>-49.9</x:v>
      </x:c>
      <x:c r="T1134" t="str">
        <x:v>"</x:v>
      </x:c>
      <x:c r="U1134" t="str">
        <x:v>"</x:v>
      </x:c>
      <x:c r="V1134" t="str">
        <x:v>"</x:v>
      </x:c>
    </x:row>
    <x:row r="1135">
      <x:c r="A1135" t="str">
        <x:v>RAW-IMP-20260516-FULLDRAFT-001118</x:v>
      </x:c>
      <x:c r="B1135" t="str">
        <x:v>IMP-20260516-FULLDRAFT</x:v>
      </x:c>
      <x:c r="C1135" t="str">
        <x:v>KTO001</x:v>
      </x:c>
      <x:c r="D1135" t="str">
        <x:v>16-05-2026_Umsatzliste_Girokonto_DE98120300001061711675.csv</x:v>
      </x:c>
      <x:c r="E1135" t="n">
        <x:v>46163</x:v>
      </x:c>
      <x:c r="F1135" t="n">
        <x:v>1118</x:v>
      </x:c>
      <x:c r="G1135" t="str">
        <x:v>5164e6b1cee4e26ea04a9f16269efd99a346238ce7f8acf57acaf0f34c82a032</x:v>
      </x:c>
      <x:c r="H1135" t="str">
        <x:v>neu</x:v>
      </x:c>
      <x:c r="I1135" t="str">
        <x:v>ok</x:v>
      </x:c>
      <x:c r="J1135"/>
      <x:c r="K1135" t="n">
        <x:v>45782</x:v>
      </x:c>
      <x:c r="L1135" t="n">
        <x:v>45782</x:v>
      </x:c>
      <x:c r="M1135" t="str">
        <x:v>Gebucht</x:v>
      </x:c>
      <x:c r="N1135" t="str">
        <x:v>ISSUER</x:v>
      </x:c>
      <x:c r="O1135" t="str">
        <x:v>MCPAPER.BRAUNSCHWEIG.92/Braunschweig</x:v>
      </x:c>
      <x:c r="P1135" t="str">
        <x:v>VISA Debitkartenumsatz vom 03.05.2025</x:v>
      </x:c>
      <x:c r="Q1135" t="str">
        <x:v>Ausgang</x:v>
      </x:c>
      <x:c r="R1135" t="str">
        <x:v>DE96120300009005290904</x:v>
      </x:c>
      <x:c r="S1135" t="n">
        <x:v>-4.99</x:v>
      </x:c>
      <x:c r="T1135" t="str">
        <x:v>"</x:v>
      </x:c>
      <x:c r="U1135" t="str">
        <x:v>"</x:v>
      </x:c>
      <x:c r="V1135" t="str">
        <x:v>485123299584777</x:v>
      </x:c>
    </x:row>
    <x:row r="1136">
      <x:c r="A1136" t="str">
        <x:v>RAW-IMP-20260516-FULLDRAFT-001119</x:v>
      </x:c>
      <x:c r="B1136" t="str">
        <x:v>IMP-20260516-FULLDRAFT</x:v>
      </x:c>
      <x:c r="C1136" t="str">
        <x:v>KTO001</x:v>
      </x:c>
      <x:c r="D1136" t="str">
        <x:v>16-05-2026_Umsatzliste_Girokonto_DE98120300001061711675.csv</x:v>
      </x:c>
      <x:c r="E1136" t="n">
        <x:v>46163</x:v>
      </x:c>
      <x:c r="F1136" t="n">
        <x:v>1119</x:v>
      </x:c>
      <x:c r="G1136" t="str">
        <x:v>056d808e35f7942469fee4bfe91cb00a5d686d168a133aec91c767c9e73b5301</x:v>
      </x:c>
      <x:c r="H1136" t="str">
        <x:v>neu</x:v>
      </x:c>
      <x:c r="I1136" t="str">
        <x:v>ok</x:v>
      </x:c>
      <x:c r="J1136"/>
      <x:c r="K1136" t="n">
        <x:v>45782</x:v>
      </x:c>
      <x:c r="L1136" t="n">
        <x:v>45782</x:v>
      </x:c>
      <x:c r="M1136" t="str">
        <x:v>Gebucht</x:v>
      </x:c>
      <x:c r="N1136" t="str">
        <x:v>ISSUER</x:v>
      </x:c>
      <x:c r="O1136" t="str">
        <x:v>Amazon.de.I73V34GW5/AMAZON.DE</x:v>
      </x:c>
      <x:c r="P1136" t="str">
        <x:v>VISA Debitkartenumsatz vom 04.05.2025</x:v>
      </x:c>
      <x:c r="Q1136" t="str">
        <x:v>Ausgang</x:v>
      </x:c>
      <x:c r="R1136" t="str">
        <x:v>DE96120300009005290904</x:v>
      </x:c>
      <x:c r="S1136" t="n">
        <x:v>-56.74</x:v>
      </x:c>
      <x:c r="T1136" t="str">
        <x:v>"</x:v>
      </x:c>
      <x:c r="U1136" t="str">
        <x:v>"</x:v>
      </x:c>
      <x:c r="V1136" t="str">
        <x:v>485122243309371</x:v>
      </x:c>
    </x:row>
    <x:row r="1137">
      <x:c r="A1137" t="str">
        <x:v>RAW-IMP-20260516-FULLDRAFT-001120</x:v>
      </x:c>
      <x:c r="B1137" t="str">
        <x:v>IMP-20260516-FULLDRAFT</x:v>
      </x:c>
      <x:c r="C1137" t="str">
        <x:v>KTO001</x:v>
      </x:c>
      <x:c r="D1137" t="str">
        <x:v>16-05-2026_Umsatzliste_Girokonto_DE98120300001061711675.csv</x:v>
      </x:c>
      <x:c r="E1137" t="n">
        <x:v>46163</x:v>
      </x:c>
      <x:c r="F1137" t="n">
        <x:v>1120</x:v>
      </x:c>
      <x:c r="G1137" t="str">
        <x:v>9e6afcdfcc1e7189677f74e3fd1d11869de04dc33c068bd7ea9d49daa7b366f1</x:v>
      </x:c>
      <x:c r="H1137" t="str">
        <x:v>neu</x:v>
      </x:c>
      <x:c r="I1137" t="str">
        <x:v>ok</x:v>
      </x:c>
      <x:c r="J1137"/>
      <x:c r="K1137" t="n">
        <x:v>45782</x:v>
      </x:c>
      <x:c r="L1137" t="n">
        <x:v>45782</x:v>
      </x:c>
      <x:c r="M1137" t="str">
        <x:v>Gebucht</x:v>
      </x:c>
      <x:c r="N1137" t="str">
        <x:v>ISSUER</x:v>
      </x:c>
      <x:c r="O1137" t="str">
        <x:v>REWE.Salzgitter.Ge/Salzgitter</x:v>
      </x:c>
      <x:c r="P1137" t="str">
        <x:v>VISA Debitkartenumsatz vom 03.05.2025</x:v>
      </x:c>
      <x:c r="Q1137" t="str">
        <x:v>Ausgang</x:v>
      </x:c>
      <x:c r="R1137" t="str">
        <x:v>DE96120300009005290904</x:v>
      </x:c>
      <x:c r="S1137" t="n">
        <x:v>-3.98</x:v>
      </x:c>
      <x:c r="T1137" t="str">
        <x:v>"</x:v>
      </x:c>
      <x:c r="U1137" t="str">
        <x:v>"</x:v>
      </x:c>
      <x:c r="V1137" t="str">
        <x:v>485123662160109</x:v>
      </x:c>
    </x:row>
    <x:row r="1138">
      <x:c r="A1138" t="str">
        <x:v>RAW-IMP-20260516-FULLDRAFT-001121</x:v>
      </x:c>
      <x:c r="B1138" t="str">
        <x:v>IMP-20260516-FULLDRAFT</x:v>
      </x:c>
      <x:c r="C1138" t="str">
        <x:v>KTO001</x:v>
      </x:c>
      <x:c r="D1138" t="str">
        <x:v>16-05-2026_Umsatzliste_Girokonto_DE98120300001061711675.csv</x:v>
      </x:c>
      <x:c r="E1138" t="n">
        <x:v>46163</x:v>
      </x:c>
      <x:c r="F1138" t="n">
        <x:v>1121</x:v>
      </x:c>
      <x:c r="G1138" t="str">
        <x:v>06a132ee2c9db59297632eb5e8d1b310b138741068284a45709fbcd309f1fb2d</x:v>
      </x:c>
      <x:c r="H1138" t="str">
        <x:v>neu</x:v>
      </x:c>
      <x:c r="I1138" t="str">
        <x:v>ok</x:v>
      </x:c>
      <x:c r="J1138"/>
      <x:c r="K1138" t="n">
        <x:v>45782</x:v>
      </x:c>
      <x:c r="L1138" t="n">
        <x:v>45782</x:v>
      </x:c>
      <x:c r="M1138" t="str">
        <x:v>Gebucht</x:v>
      </x:c>
      <x:c r="N1138" t="str">
        <x:v>ISSUER</x:v>
      </x:c>
      <x:c r="O1138" t="str">
        <x:v>METRO.SAGT.DANKE/BRAUNSCHWEIG</x:v>
      </x:c>
      <x:c r="P1138" t="str">
        <x:v>VISA Debitkartenumsatz vom 03.05.2025</x:v>
      </x:c>
      <x:c r="Q1138" t="str">
        <x:v>Ausgang</x:v>
      </x:c>
      <x:c r="R1138" t="str">
        <x:v>DE96120300009005290904</x:v>
      </x:c>
      <x:c r="S1138" t="n">
        <x:v>-186.11</x:v>
      </x:c>
      <x:c r="T1138" t="str">
        <x:v>"</x:v>
      </x:c>
      <x:c r="U1138" t="str">
        <x:v>"</x:v>
      </x:c>
      <x:c r="V1138" t="str">
        <x:v>485123375443385</x:v>
      </x:c>
    </x:row>
    <x:row r="1139">
      <x:c r="A1139" t="str">
        <x:v>RAW-IMP-20260516-FULLDRAFT-001122</x:v>
      </x:c>
      <x:c r="B1139" t="str">
        <x:v>IMP-20260516-FULLDRAFT</x:v>
      </x:c>
      <x:c r="C1139" t="str">
        <x:v>KTO001</x:v>
      </x:c>
      <x:c r="D1139" t="str">
        <x:v>16-05-2026_Umsatzliste_Girokonto_DE98120300001061711675.csv</x:v>
      </x:c>
      <x:c r="E1139" t="n">
        <x:v>46163</x:v>
      </x:c>
      <x:c r="F1139" t="n">
        <x:v>1122</x:v>
      </x:c>
      <x:c r="G1139" t="str">
        <x:v>275e440bde63cfa639a0896a7602fe77a064136a41594c452effca1cd1b36017</x:v>
      </x:c>
      <x:c r="H1139" t="str">
        <x:v>neu</x:v>
      </x:c>
      <x:c r="I1139" t="str">
        <x:v>ok</x:v>
      </x:c>
      <x:c r="J1139"/>
      <x:c r="K1139" t="n">
        <x:v>45782</x:v>
      </x:c>
      <x:c r="L1139" t="n">
        <x:v>45782</x:v>
      </x:c>
      <x:c r="M1139" t="str">
        <x:v>Gebucht</x:v>
      </x:c>
      <x:c r="N1139" t="str">
        <x:v>ISSUER</x:v>
      </x:c>
      <x:c r="O1139" t="str">
        <x:v>tedox.KG/Salzgitter</x:v>
      </x:c>
      <x:c r="P1139" t="str">
        <x:v>VISA Debitkartenumsatz vom 03.05.2025</x:v>
      </x:c>
      <x:c r="Q1139" t="str">
        <x:v>Ausgang</x:v>
      </x:c>
      <x:c r="R1139" t="str">
        <x:v>DE96120300009005290904</x:v>
      </x:c>
      <x:c r="S1139" t="n">
        <x:v>-9</x:v>
      </x:c>
      <x:c r="T1139" t="str">
        <x:v>"</x:v>
      </x:c>
      <x:c r="U1139" t="str">
        <x:v>"</x:v>
      </x:c>
      <x:c r="V1139" t="str">
        <x:v>485123552630741</x:v>
      </x:c>
    </x:row>
    <x:row r="1140">
      <x:c r="A1140" t="str">
        <x:v>RAW-IMP-20260516-FULLDRAFT-001123</x:v>
      </x:c>
      <x:c r="B1140" t="str">
        <x:v>IMP-20260516-FULLDRAFT</x:v>
      </x:c>
      <x:c r="C1140" t="str">
        <x:v>KTO001</x:v>
      </x:c>
      <x:c r="D1140" t="str">
        <x:v>16-05-2026_Umsatzliste_Girokonto_DE98120300001061711675.csv</x:v>
      </x:c>
      <x:c r="E1140" t="n">
        <x:v>46163</x:v>
      </x:c>
      <x:c r="F1140" t="n">
        <x:v>1123</x:v>
      </x:c>
      <x:c r="G1140" t="str">
        <x:v>f7c95e6b212ddaf8932e2f2f5077be546635e254472b5c000d107b222111988f</x:v>
      </x:c>
      <x:c r="H1140" t="str">
        <x:v>neu</x:v>
      </x:c>
      <x:c r="I1140" t="str">
        <x:v>ok</x:v>
      </x:c>
      <x:c r="J1140"/>
      <x:c r="K1140" t="n">
        <x:v>45782</x:v>
      </x:c>
      <x:c r="L1140" t="n">
        <x:v>45782</x:v>
      </x:c>
      <x:c r="M1140" t="str">
        <x:v>Gebucht</x:v>
      </x:c>
      <x:c r="N1140" t="str">
        <x:v>ISSUER</x:v>
      </x:c>
      <x:c r="O1140" t="str">
        <x:v>.Deutsche.Bank.AG/SZ.LEBENST</x:v>
      </x:c>
      <x:c r="P1140" t="str">
        <x:v>VISA Debitkartenumsatz vom 04.05.2025</x:v>
      </x:c>
      <x:c r="Q1140" t="str">
        <x:v>Ausgang</x:v>
      </x:c>
      <x:c r="R1140" t="str">
        <x:v>DE96120300009005290904</x:v>
      </x:c>
      <x:c r="S1140" t="n">
        <x:v>-500</x:v>
      </x:c>
      <x:c r="T1140" t="str">
        <x:v>"</x:v>
      </x:c>
      <x:c r="U1140" t="str">
        <x:v>"</x:v>
      </x:c>
      <x:c r="V1140" t="str">
        <x:v>485124527562337</x:v>
      </x:c>
    </x:row>
    <x:row r="1141">
      <x:c r="A1141" t="str">
        <x:v>RAW-IMP-20260516-FULLDRAFT-001124</x:v>
      </x:c>
      <x:c r="B1141" t="str">
        <x:v>IMP-20260516-FULLDRAFT</x:v>
      </x:c>
      <x:c r="C1141" t="str">
        <x:v>KTO001</x:v>
      </x:c>
      <x:c r="D1141" t="str">
        <x:v>16-05-2026_Umsatzliste_Girokonto_DE98120300001061711675.csv</x:v>
      </x:c>
      <x:c r="E1141" t="n">
        <x:v>46163</x:v>
      </x:c>
      <x:c r="F1141" t="n">
        <x:v>1124</x:v>
      </x:c>
      <x:c r="G1141" t="str">
        <x:v>ea0b198ddcd8ed463027f7c48e44c4c719ead7228247c8b06141959db6620e6e</x:v>
      </x:c>
      <x:c r="H1141" t="str">
        <x:v>neu</x:v>
      </x:c>
      <x:c r="I1141" t="str">
        <x:v>ok</x:v>
      </x:c>
      <x:c r="J1141"/>
      <x:c r="K1141" t="n">
        <x:v>45782</x:v>
      </x:c>
      <x:c r="L1141" t="n">
        <x:v>45782</x:v>
      </x:c>
      <x:c r="M1141" t="str">
        <x:v>Gebucht</x:v>
      </x:c>
      <x:c r="N1141" t="str">
        <x:v>ISSUER</x:v>
      </x:c>
      <x:c r="O1141" t="str">
        <x:v>REWE.Salzgitter.Ge/Salzgitter</x:v>
      </x:c>
      <x:c r="P1141" t="str">
        <x:v>VISA Debitkartenumsatz vom 02.05.2025</x:v>
      </x:c>
      <x:c r="Q1141" t="str">
        <x:v>Ausgang</x:v>
      </x:c>
      <x:c r="R1141" t="str">
        <x:v>DE96120300009005290904</x:v>
      </x:c>
      <x:c r="S1141" t="n">
        <x:v>-15.78</x:v>
      </x:c>
      <x:c r="T1141" t="str">
        <x:v>"</x:v>
      </x:c>
      <x:c r="U1141" t="str">
        <x:v>"</x:v>
      </x:c>
      <x:c r="V1141" t="str">
        <x:v>485122661674449</x:v>
      </x:c>
    </x:row>
    <x:row r="1142">
      <x:c r="A1142" t="str">
        <x:v>RAW-IMP-20260516-FULLDRAFT-001125</x:v>
      </x:c>
      <x:c r="B1142" t="str">
        <x:v>IMP-20260516-FULLDRAFT</x:v>
      </x:c>
      <x:c r="C1142" t="str">
        <x:v>KTO001</x:v>
      </x:c>
      <x:c r="D1142" t="str">
        <x:v>16-05-2026_Umsatzliste_Girokonto_DE98120300001061711675.csv</x:v>
      </x:c>
      <x:c r="E1142" t="n">
        <x:v>46163</x:v>
      </x:c>
      <x:c r="F1142" t="n">
        <x:v>1125</x:v>
      </x:c>
      <x:c r="G1142" t="str">
        <x:v>28a3439050d018365a8a85105b983627f70597aef824e2a6e778adc36e49f711</x:v>
      </x:c>
      <x:c r="H1142" t="str">
        <x:v>neu</x:v>
      </x:c>
      <x:c r="I1142" t="str">
        <x:v>ok</x:v>
      </x:c>
      <x:c r="J1142"/>
      <x:c r="K1142" t="n">
        <x:v>45782</x:v>
      </x:c>
      <x:c r="L1142" t="n">
        <x:v>45782</x:v>
      </x:c>
      <x:c r="M1142" t="str">
        <x:v>Gebucht</x:v>
      </x:c>
      <x:c r="N1142" t="str">
        <x:v>ISSUER</x:v>
      </x:c>
      <x:c r="O1142" t="str">
        <x:v>KAUFLAND.SALZGITTER.CIT/SALZGITTER</x:v>
      </x:c>
      <x:c r="P1142" t="str">
        <x:v>VISA Debitkartenumsatz vom 03.05.2025</x:v>
      </x:c>
      <x:c r="Q1142" t="str">
        <x:v>Ausgang</x:v>
      </x:c>
      <x:c r="R1142" t="str">
        <x:v>DE96120300009005290904</x:v>
      </x:c>
      <x:c r="S1142" t="n">
        <x:v>-93.04</x:v>
      </x:c>
      <x:c r="T1142" t="str">
        <x:v>"</x:v>
      </x:c>
      <x:c r="U1142" t="str">
        <x:v>"</x:v>
      </x:c>
      <x:c r="V1142" t="str">
        <x:v>485123533619260</x:v>
      </x:c>
    </x:row>
    <x:row r="1143">
      <x:c r="A1143" t="str">
        <x:v>RAW-IMP-20260516-FULLDRAFT-001126</x:v>
      </x:c>
      <x:c r="B1143" t="str">
        <x:v>IMP-20260516-FULLDRAFT</x:v>
      </x:c>
      <x:c r="C1143" t="str">
        <x:v>KTO001</x:v>
      </x:c>
      <x:c r="D1143" t="str">
        <x:v>16-05-2026_Umsatzliste_Girokonto_DE98120300001061711675.csv</x:v>
      </x:c>
      <x:c r="E1143" t="n">
        <x:v>46163</x:v>
      </x:c>
      <x:c r="F1143" t="n">
        <x:v>1126</x:v>
      </x:c>
      <x:c r="G1143" t="str">
        <x:v>433a79ae01a4c63fb3b447939417ca62d745c03c94f4f5791a3998f091a70659</x:v>
      </x:c>
      <x:c r="H1143" t="str">
        <x:v>neu</x:v>
      </x:c>
      <x:c r="I1143" t="str">
        <x:v>ok</x:v>
      </x:c>
      <x:c r="J1143"/>
      <x:c r="K1143" t="n">
        <x:v>45782</x:v>
      </x:c>
      <x:c r="L1143" t="n">
        <x:v>45782</x:v>
      </x:c>
      <x:c r="M1143" t="str">
        <x:v>Gebucht</x:v>
      </x:c>
      <x:c r="N1143" t="str">
        <x:v>ISSUER</x:v>
      </x:c>
      <x:c r="O1143" t="str">
        <x:v>TRINKGUT.GM.WILLEKE.GM/SALZGITTER</x:v>
      </x:c>
      <x:c r="P1143" t="str">
        <x:v>VISA Debitkartenumsatz vom 03.05.2025</x:v>
      </x:c>
      <x:c r="Q1143" t="str">
        <x:v>Ausgang</x:v>
      </x:c>
      <x:c r="R1143" t="str">
        <x:v>DE96120300009005290904</x:v>
      </x:c>
      <x:c r="S1143" t="n">
        <x:v>-28.82</x:v>
      </x:c>
      <x:c r="T1143" t="str">
        <x:v>"</x:v>
      </x:c>
      <x:c r="U1143" t="str">
        <x:v>"</x:v>
      </x:c>
      <x:c r="V1143" t="str">
        <x:v>485123498869372</x:v>
      </x:c>
    </x:row>
    <x:row r="1144">
      <x:c r="A1144" t="str">
        <x:v>RAW-IMP-20260516-FULLDRAFT-001127</x:v>
      </x:c>
      <x:c r="B1144" t="str">
        <x:v>IMP-20260516-FULLDRAFT</x:v>
      </x:c>
      <x:c r="C1144" t="str">
        <x:v>KTO001</x:v>
      </x:c>
      <x:c r="D1144" t="str">
        <x:v>16-05-2026_Umsatzliste_Girokonto_DE98120300001061711675.csv</x:v>
      </x:c>
      <x:c r="E1144" t="n">
        <x:v>46163</x:v>
      </x:c>
      <x:c r="F1144" t="n">
        <x:v>1127</x:v>
      </x:c>
      <x:c r="G1144" t="str">
        <x:v>df9c0ef81f4205ca1a80cdb39ef3354750ed111a7f5c688506e42d0eba2829b6</x:v>
      </x:c>
      <x:c r="H1144" t="str">
        <x:v>neu</x:v>
      </x:c>
      <x:c r="I1144" t="str">
        <x:v>ok</x:v>
      </x:c>
      <x:c r="J1144"/>
      <x:c r="K1144" t="n">
        <x:v>45782</x:v>
      </x:c>
      <x:c r="L1144" t="n">
        <x:v>45782</x:v>
      </x:c>
      <x:c r="M1144" t="str">
        <x:v>Gebucht</x:v>
      </x:c>
      <x:c r="N1144" t="str">
        <x:v>ISSUER</x:v>
      </x:c>
      <x:c r="O1144" t="str">
        <x:v>Hornbach.Baumarkt.AG.FI/Braunschweig</x:v>
      </x:c>
      <x:c r="P1144" t="str">
        <x:v>VISA Debitkartenumsatz vom 03.05.2025</x:v>
      </x:c>
      <x:c r="Q1144" t="str">
        <x:v>Ausgang</x:v>
      </x:c>
      <x:c r="R1144" t="str">
        <x:v>DE96120300009005290904</x:v>
      </x:c>
      <x:c r="S1144" t="n">
        <x:v>-40.79</x:v>
      </x:c>
      <x:c r="T1144" t="str">
        <x:v>"</x:v>
      </x:c>
      <x:c r="U1144" t="str">
        <x:v>"</x:v>
      </x:c>
      <x:c r="V1144" t="str">
        <x:v>485123328348525</x:v>
      </x:c>
    </x:row>
    <x:row r="1145">
      <x:c r="A1145" t="str">
        <x:v>RAW-IMP-20260516-FULLDRAFT-001128</x:v>
      </x:c>
      <x:c r="B1145" t="str">
        <x:v>IMP-20260516-FULLDRAFT</x:v>
      </x:c>
      <x:c r="C1145" t="str">
        <x:v>KTO001</x:v>
      </x:c>
      <x:c r="D1145" t="str">
        <x:v>16-05-2026_Umsatzliste_Girokonto_DE98120300001061711675.csv</x:v>
      </x:c>
      <x:c r="E1145" t="n">
        <x:v>46163</x:v>
      </x:c>
      <x:c r="F1145" t="n">
        <x:v>1128</x:v>
      </x:c>
      <x:c r="G1145" t="str">
        <x:v>471f1cf7078f399bbfb81384d73c242d97e9b5e1a300231e97c4a7d326fdcd2d</x:v>
      </x:c>
      <x:c r="H1145" t="str">
        <x:v>neu</x:v>
      </x:c>
      <x:c r="I1145" t="str">
        <x:v>ok</x:v>
      </x:c>
      <x:c r="J1145"/>
      <x:c r="K1145" t="n">
        <x:v>45782</x:v>
      </x:c>
      <x:c r="L1145" t="n">
        <x:v>45782</x:v>
      </x:c>
      <x:c r="M1145" t="str">
        <x:v>Gebucht</x:v>
      </x:c>
      <x:c r="N1145" t="str">
        <x:v>Lars Kohlenberg</x:v>
      </x:c>
      <x:c r="O1145" t="str">
        <x:v>GMX by LOTTO24                                                        StraBenbahnring 11 20251 Hamburg</x:v>
      </x:c>
      <x:c r="P1145" t="str">
        <x:v>GMX by LOTTO24 C98983063 - T396292098773</x:v>
      </x:c>
      <x:c r="Q1145" t="str">
        <x:v>Ausgang</x:v>
      </x:c>
      <x:c r="R1145" t="str">
        <x:v>DE52100190001000027873</x:v>
      </x:c>
      <x:c r="S1145" t="n">
        <x:v>-18.14</x:v>
      </x:c>
      <x:c r="T1145" t="str">
        <x:v>NL48ZZZ342764500000</x:v>
      </x:c>
      <x:c r="U1145" t="str">
        <x:v>R372DKN5SSBXZP52</x:v>
      </x:c>
      <x:c r="V1145" t="str">
        <x:v>QK76VJ4C3RSFGXF6</x:v>
      </x:c>
    </x:row>
    <x:row r="1146">
      <x:c r="A1146" t="str">
        <x:v>RAW-IMP-20260516-FULLDRAFT-001129</x:v>
      </x:c>
      <x:c r="B1146" t="str">
        <x:v>IMP-20260516-FULLDRAFT</x:v>
      </x:c>
      <x:c r="C1146" t="str">
        <x:v>KTO001</x:v>
      </x:c>
      <x:c r="D1146" t="str">
        <x:v>16-05-2026_Umsatzliste_Girokonto_DE98120300001061711675.csv</x:v>
      </x:c>
      <x:c r="E1146" t="n">
        <x:v>46163</x:v>
      </x:c>
      <x:c r="F1146" t="n">
        <x:v>1129</x:v>
      </x:c>
      <x:c r="G1146" t="str">
        <x:v>b1f2610658385a4c5ac1bddfd4f5f07d3dfb8a98fae530601b3cb43c621952bf</x:v>
      </x:c>
      <x:c r="H1146" t="str">
        <x:v>neu</x:v>
      </x:c>
      <x:c r="I1146" t="str">
        <x:v>ok</x:v>
      </x:c>
      <x:c r="J1146"/>
      <x:c r="K1146" t="n">
        <x:v>45782</x:v>
      </x:c>
      <x:c r="L1146" t="n">
        <x:v>45782</x:v>
      </x:c>
      <x:c r="M1146" t="str">
        <x:v>Gebucht</x:v>
      </x:c>
      <x:c r="N1146" t="str">
        <x:v>Lars Kohlenberg</x:v>
      </x:c>
      <x:c r="O1146" t="str">
        <x:v>VHV Allg. Versicherung AG</x:v>
      </x:c>
      <x:c r="P1146" t="str">
        <x:v>VHV Versicherung UNFALLVERSICHERUNG U 013-072445/0000 Abrechnung: 01.05.25 - 01.06.25</x:v>
      </x:c>
      <x:c r="Q1146" t="str">
        <x:v>Ausgang</x:v>
      </x:c>
      <x:c r="R1146" t="str">
        <x:v>DE65250500000101411551</x:v>
      </x:c>
      <x:c r="S1146" t="n">
        <x:v>-11.96</x:v>
      </x:c>
      <x:c r="T1146" t="str">
        <x:v>DE32VHV00000150810</x:v>
      </x:c>
      <x:c r="U1146" t="str">
        <x:v>0015012300010039</x:v>
      </x:c>
      <x:c r="V1146" t="str">
        <x:v>31123559303</x:v>
      </x:c>
    </x:row>
    <x:row r="1147">
      <x:c r="A1147" t="str">
        <x:v>RAW-IMP-20260516-FULLDRAFT-001130</x:v>
      </x:c>
      <x:c r="B1147" t="str">
        <x:v>IMP-20260516-FULLDRAFT</x:v>
      </x:c>
      <x:c r="C1147" t="str">
        <x:v>KTO001</x:v>
      </x:c>
      <x:c r="D1147" t="str">
        <x:v>16-05-2026_Umsatzliste_Girokonto_DE98120300001061711675.csv</x:v>
      </x:c>
      <x:c r="E1147" t="n">
        <x:v>46163</x:v>
      </x:c>
      <x:c r="F1147" t="n">
        <x:v>1130</x:v>
      </x:c>
      <x:c r="G1147" t="str">
        <x:v>9c57710f1b61918036402c1ff19b6bfa54d121cbbee19baaef8a10fe825d31ee</x:v>
      </x:c>
      <x:c r="H1147" t="str">
        <x:v>neu</x:v>
      </x:c>
      <x:c r="I1147" t="str">
        <x:v>ok</x:v>
      </x:c>
      <x:c r="J1147"/>
      <x:c r="K1147" t="n">
        <x:v>45782</x:v>
      </x:c>
      <x:c r="L1147" t="n">
        <x:v>45782</x:v>
      </x:c>
      <x:c r="M1147" t="str">
        <x:v>Gebucht</x:v>
      </x:c>
      <x:c r="N1147" t="str">
        <x:v>Lars Kohlenberg                                                       Johannes-Wosnitza-Str. 8</x:v>
      </x:c>
      <x:c r="O1147" t="str">
        <x:v>FUNKE Medien Nieders.GmbH</x:v>
      </x:c>
      <x:c r="P1147" t="str">
        <x:v>SZ/00001050/VA/01.05.25-31.05.25/Rg-Nr.:6316342595/Kd-Nr:0053112791</x:v>
      </x:c>
      <x:c r="Q1147" t="str">
        <x:v>Ausgang</x:v>
      </x:c>
      <x:c r="R1147" t="str">
        <x:v>DE67250500000000146910</x:v>
      </x:c>
      <x:c r="S1147" t="n">
        <x:v>-57.5</x:v>
      </x:c>
      <x:c r="T1147" t="str">
        <x:v>DE8850000000483288</x:v>
      </x:c>
      <x:c r="U1147" t="str">
        <x:v>0053112791-0500-01300001</x:v>
      </x:c>
      <x:c r="V1147" t="str">
        <x:v>033006713449</x:v>
      </x:c>
    </x:row>
    <x:row r="1148">
      <x:c r="A1148" t="str">
        <x:v>RAW-IMP-20260516-FULLDRAFT-001131</x:v>
      </x:c>
      <x:c r="B1148" t="str">
        <x:v>IMP-20260516-FULLDRAFT</x:v>
      </x:c>
      <x:c r="C1148" t="str">
        <x:v>KTO001</x:v>
      </x:c>
      <x:c r="D1148" t="str">
        <x:v>16-05-2026_Umsatzliste_Girokonto_DE98120300001061711675.csv</x:v>
      </x:c>
      <x:c r="E1148" t="n">
        <x:v>46163</x:v>
      </x:c>
      <x:c r="F1148" t="n">
        <x:v>1131</x:v>
      </x:c>
      <x:c r="G1148" t="str">
        <x:v>6b025fd9f3015f19e4d7bb5cffaf7414ad7ff718bf5ac048d55fc60c79fae0fb</x:v>
      </x:c>
      <x:c r="H1148" t="str">
        <x:v>neu</x:v>
      </x:c>
      <x:c r="I1148" t="str">
        <x:v>ok</x:v>
      </x:c>
      <x:c r="J1148"/>
      <x:c r="K1148" t="n">
        <x:v>45779</x:v>
      </x:c>
      <x:c r="L1148" t="n">
        <x:v>45779</x:v>
      </x:c>
      <x:c r="M1148" t="str">
        <x:v>Gebucht</x:v>
      </x:c>
      <x:c r="N1148" t="str">
        <x:v>ISSUER</x:v>
      </x:c>
      <x:c r="O1148" t="str">
        <x:v>NORD.LB...Braunschweigi/GEBHARDSHG</x:v>
      </x:c>
      <x:c r="P1148" t="str">
        <x:v>VISA Debitkartenumsatz vom 02.05.2025</x:v>
      </x:c>
      <x:c r="Q1148" t="str">
        <x:v>Ausgang</x:v>
      </x:c>
      <x:c r="R1148" t="str">
        <x:v>DE96120300009005290904</x:v>
      </x:c>
      <x:c r="S1148" t="n">
        <x:v>-500</x:v>
      </x:c>
      <x:c r="T1148" t="str">
        <x:v>"</x:v>
      </x:c>
      <x:c r="U1148" t="str">
        <x:v>"</x:v>
      </x:c>
      <x:c r="V1148" t="str">
        <x:v>485122328931566</x:v>
      </x:c>
    </x:row>
    <x:row r="1149">
      <x:c r="A1149" t="str">
        <x:v>RAW-IMP-20260516-FULLDRAFT-001132</x:v>
      </x:c>
      <x:c r="B1149" t="str">
        <x:v>IMP-20260516-FULLDRAFT</x:v>
      </x:c>
      <x:c r="C1149" t="str">
        <x:v>KTO001</x:v>
      </x:c>
      <x:c r="D1149" t="str">
        <x:v>16-05-2026_Umsatzliste_Girokonto_DE98120300001061711675.csv</x:v>
      </x:c>
      <x:c r="E1149" t="n">
        <x:v>46163</x:v>
      </x:c>
      <x:c r="F1149" t="n">
        <x:v>1132</x:v>
      </x:c>
      <x:c r="G1149" t="str">
        <x:v>f6f2484a9d18e4297fed4c978654bc8b74e17de51ca007d794af2ff2267c95f0</x:v>
      </x:c>
      <x:c r="H1149" t="str">
        <x:v>neu</x:v>
      </x:c>
      <x:c r="I1149" t="str">
        <x:v>ok</x:v>
      </x:c>
      <x:c r="J1149"/>
      <x:c r="K1149" t="n">
        <x:v>45779</x:v>
      </x:c>
      <x:c r="L1149" t="n">
        <x:v>45779</x:v>
      </x:c>
      <x:c r="M1149" t="str">
        <x:v>Gebucht</x:v>
      </x:c>
      <x:c r="N1149" t="str">
        <x:v>WILLI KOHLENBERG</x:v>
      </x:c>
      <x:c r="O1149" t="str">
        <x:v>LARS KOHLENBERG</x:v>
      </x:c>
      <x:c r="P1149" t="str">
        <x:v>MIETE 2/3 HAUS</x:v>
      </x:c>
      <x:c r="Q1149" t="str">
        <x:v>Eingang</x:v>
      </x:c>
      <x:c r="R1149" t="str">
        <x:v>DE84270800600651520400</x:v>
      </x:c>
      <x:c r="S1149" t="n">
        <x:v>750</x:v>
      </x:c>
      <x:c r="T1149" t="str">
        <x:v>"</x:v>
      </x:c>
      <x:c r="U1149" t="str">
        <x:v>"</x:v>
      </x:c>
      <x:c r="V1149" t="str">
        <x:v>"</x:v>
      </x:c>
    </x:row>
    <x:row r="1150">
      <x:c r="A1150" t="str">
        <x:v>RAW-IMP-20260516-FULLDRAFT-001133</x:v>
      </x:c>
      <x:c r="B1150" t="str">
        <x:v>IMP-20260516-FULLDRAFT</x:v>
      </x:c>
      <x:c r="C1150" t="str">
        <x:v>KTO001</x:v>
      </x:c>
      <x:c r="D1150" t="str">
        <x:v>16-05-2026_Umsatzliste_Girokonto_DE98120300001061711675.csv</x:v>
      </x:c>
      <x:c r="E1150" t="n">
        <x:v>46163</x:v>
      </x:c>
      <x:c r="F1150" t="n">
        <x:v>1133</x:v>
      </x:c>
      <x:c r="G1150" t="str">
        <x:v>da2beb9e74720ee6f80be0062da48593107fd782a44e6d56ffffdd3ef569e3fb</x:v>
      </x:c>
      <x:c r="H1150" t="str">
        <x:v>neu</x:v>
      </x:c>
      <x:c r="I1150" t="str">
        <x:v>ok</x:v>
      </x:c>
      <x:c r="J1150"/>
      <x:c r="K1150" t="n">
        <x:v>45779</x:v>
      </x:c>
      <x:c r="L1150" t="n">
        <x:v>45779</x:v>
      </x:c>
      <x:c r="M1150" t="str">
        <x:v>Gebucht</x:v>
      </x:c>
      <x:c r="N1150" t="str">
        <x:v>ISSUER</x:v>
      </x:c>
      <x:c r="O1150" t="str">
        <x:v>ACCOR..NOVOTEL.HAMBURG/ALL.ACCOR.COM</x:v>
      </x:c>
      <x:c r="P1150" t="str">
        <x:v>VISA Debitkartenumsatz vom 01.05.2025</x:v>
      </x:c>
      <x:c r="Q1150" t="str">
        <x:v>Ausgang</x:v>
      </x:c>
      <x:c r="R1150" t="str">
        <x:v>DE96120300009005290904</x:v>
      </x:c>
      <x:c r="S1150" t="n">
        <x:v>-461.25</x:v>
      </x:c>
      <x:c r="T1150" t="str">
        <x:v>"</x:v>
      </x:c>
      <x:c r="U1150" t="str">
        <x:v>"</x:v>
      </x:c>
      <x:c r="V1150" t="str">
        <x:v>485121409291724</x:v>
      </x:c>
    </x:row>
    <x:row r="1151">
      <x:c r="A1151" t="str">
        <x:v>RAW-IMP-20260516-FULLDRAFT-001134</x:v>
      </x:c>
      <x:c r="B1151" t="str">
        <x:v>IMP-20260516-FULLDRAFT</x:v>
      </x:c>
      <x:c r="C1151" t="str">
        <x:v>KTO001</x:v>
      </x:c>
      <x:c r="D1151" t="str">
        <x:v>16-05-2026_Umsatzliste_Girokonto_DE98120300001061711675.csv</x:v>
      </x:c>
      <x:c r="E1151" t="n">
        <x:v>46163</x:v>
      </x:c>
      <x:c r="F1151" t="n">
        <x:v>1134</x:v>
      </x:c>
      <x:c r="G1151" t="str">
        <x:v>f70f870cfeaae79ae079d871cff320ff67f3b866f7e5613494f14874d3c73d2a</x:v>
      </x:c>
      <x:c r="H1151" t="str">
        <x:v>neu</x:v>
      </x:c>
      <x:c r="I1151" t="str">
        <x:v>ok</x:v>
      </x:c>
      <x:c r="J1151"/>
      <x:c r="K1151" t="n">
        <x:v>45779</x:v>
      </x:c>
      <x:c r="L1151" t="n">
        <x:v>45779</x:v>
      </x:c>
      <x:c r="M1151" t="str">
        <x:v>Gebucht</x:v>
      </x:c>
      <x:c r="N1151" t="str">
        <x:v>ISSUER</x:v>
      </x:c>
      <x:c r="O1151" t="str">
        <x:v>REWE.Acar.oHG/Salzgitter</x:v>
      </x:c>
      <x:c r="P1151" t="str">
        <x:v>VISA Debitkartenumsatz vom 30.04.2025</x:v>
      </x:c>
      <x:c r="Q1151" t="str">
        <x:v>Ausgang</x:v>
      </x:c>
      <x:c r="R1151" t="str">
        <x:v>DE96120300009005290904</x:v>
      </x:c>
      <x:c r="S1151" t="n">
        <x:v>-68.95</x:v>
      </x:c>
      <x:c r="T1151" t="str">
        <x:v>"</x:v>
      </x:c>
      <x:c r="U1151" t="str">
        <x:v>"</x:v>
      </x:c>
      <x:c r="V1151" t="str">
        <x:v>485120548994489</x:v>
      </x:c>
    </x:row>
    <x:row r="1152">
      <x:c r="A1152" t="str">
        <x:v>RAW-IMP-20260516-FULLDRAFT-001135</x:v>
      </x:c>
      <x:c r="B1152" t="str">
        <x:v>IMP-20260516-FULLDRAFT</x:v>
      </x:c>
      <x:c r="C1152" t="str">
        <x:v>KTO001</x:v>
      </x:c>
      <x:c r="D1152" t="str">
        <x:v>16-05-2026_Umsatzliste_Girokonto_DE98120300001061711675.csv</x:v>
      </x:c>
      <x:c r="E1152" t="n">
        <x:v>46163</x:v>
      </x:c>
      <x:c r="F1152" t="n">
        <x:v>1135</x:v>
      </x:c>
      <x:c r="G1152" t="str">
        <x:v>6d13b1f00c43b73e45469d417b9da5cc080a81d5def39a04f1c1baf336506f14</x:v>
      </x:c>
      <x:c r="H1152" t="str">
        <x:v>neu</x:v>
      </x:c>
      <x:c r="I1152" t="str">
        <x:v>ok</x:v>
      </x:c>
      <x:c r="J1152"/>
      <x:c r="K1152" t="n">
        <x:v>45779</x:v>
      </x:c>
      <x:c r="L1152" t="n">
        <x:v>45779</x:v>
      </x:c>
      <x:c r="M1152" t="str">
        <x:v>Gebucht</x:v>
      </x:c>
      <x:c r="N1152" t="str">
        <x:v>Lars Kohlenberg                                                       Johannes-Wosnitza-Str. 8 38229 Salzgitter</x:v>
      </x:c>
      <x:c r="O1152" t="str">
        <x:v>Heidelberger Lebensversicherung AG                                    Im Breitspiel 2-4, 69126 Heidelberg</x:v>
      </x:c>
      <x:c r="P1152" t="str">
        <x:v>60012826 , 05.25</x:v>
      </x:c>
      <x:c r="Q1152" t="str">
        <x:v>Ausgang</x:v>
      </x:c>
      <x:c r="R1152" t="str">
        <x:v>DE38600501010002662604</x:v>
      </x:c>
      <x:c r="S1152" t="n">
        <x:v>-452.71</x:v>
      </x:c>
      <x:c r="T1152" t="str">
        <x:v>DE31HLE00000032682</x:v>
      </x:c>
      <x:c r="U1152" t="str">
        <x:v>11-140000075706</x:v>
      </x:c>
      <x:c r="V1152" t="str">
        <x:v>100044982800</x:v>
      </x:c>
    </x:row>
    <x:row r="1153">
      <x:c r="A1153" t="str">
        <x:v>RAW-IMP-20260516-FULLDRAFT-001136</x:v>
      </x:c>
      <x:c r="B1153" t="str">
        <x:v>IMP-20260516-FULLDRAFT</x:v>
      </x:c>
      <x:c r="C1153" t="str">
        <x:v>KTO001</x:v>
      </x:c>
      <x:c r="D1153" t="str">
        <x:v>16-05-2026_Umsatzliste_Girokonto_DE98120300001061711675.csv</x:v>
      </x:c>
      <x:c r="E1153" t="n">
        <x:v>46163</x:v>
      </x:c>
      <x:c r="F1153" t="n">
        <x:v>1136</x:v>
      </x:c>
      <x:c r="G1153" t="str">
        <x:v>28da605e4943d4f450d9f06313c9d1b5610e0682a4fac10e139e20a3ffcbd43d</x:v>
      </x:c>
      <x:c r="H1153" t="str">
        <x:v>neu</x:v>
      </x:c>
      <x:c r="I1153" t="str">
        <x:v>ok</x:v>
      </x:c>
      <x:c r="J1153"/>
      <x:c r="K1153" t="n">
        <x:v>45779</x:v>
      </x:c>
      <x:c r="L1153" t="n">
        <x:v>45779</x:v>
      </x:c>
      <x:c r="M1153" t="str">
        <x:v>Gebucht</x:v>
      </x:c>
      <x:c r="N1153" t="str">
        <x:v>KOHLENBERG, LARS</x:v>
      </x:c>
      <x:c r="O1153" t="str">
        <x:v>VPV-LEBENSVERSICHERUNGS-AG</x:v>
      </x:c>
      <x:c r="P1153" t="str">
        <x:v>VNR 301667726</x:v>
      </x:c>
      <x:c r="Q1153" t="str">
        <x:v>Ausgang</x:v>
      </x:c>
      <x:c r="R1153" t="str">
        <x:v>DE78600501010001166338</x:v>
      </x:c>
      <x:c r="S1153" t="n">
        <x:v>-53.3</x:v>
      </x:c>
      <x:c r="T1153" t="str">
        <x:v>DE96LAG00000064686</x:v>
      </x:c>
      <x:c r="U1153" t="str">
        <x:v>ML700120510</x:v>
      </x:c>
      <x:c r="V1153" t="str">
        <x:v>250428 459336499 ML700120510</x:v>
      </x:c>
    </x:row>
    <x:row r="1154">
      <x:c r="A1154" t="str">
        <x:v>RAW-IMP-20260516-FULLDRAFT-001137</x:v>
      </x:c>
      <x:c r="B1154" t="str">
        <x:v>IMP-20260516-FULLDRAFT</x:v>
      </x:c>
      <x:c r="C1154" t="str">
        <x:v>KTO001</x:v>
      </x:c>
      <x:c r="D1154" t="str">
        <x:v>16-05-2026_Umsatzliste_Girokonto_DE98120300001061711675.csv</x:v>
      </x:c>
      <x:c r="E1154" t="n">
        <x:v>46163</x:v>
      </x:c>
      <x:c r="F1154" t="n">
        <x:v>1137</x:v>
      </x:c>
      <x:c r="G1154" t="str">
        <x:v>20a74b25c715cade03ef8ddd100323f88fed18ad44c3c0d738b57908460b5764</x:v>
      </x:c>
      <x:c r="H1154" t="str">
        <x:v>neu</x:v>
      </x:c>
      <x:c r="I1154" t="str">
        <x:v>ok</x:v>
      </x:c>
      <x:c r="J1154"/>
      <x:c r="K1154" t="n">
        <x:v>45779</x:v>
      </x:c>
      <x:c r="L1154" t="n">
        <x:v>45779</x:v>
      </x:c>
      <x:c r="M1154" t="str">
        <x:v>Gebucht</x:v>
      </x:c>
      <x:c r="N1154" t="str">
        <x:v>KOHLENBERG, LARS</x:v>
      </x:c>
      <x:c r="O1154" t="str">
        <x:v>Lars und Katrin Kohlenberg</x:v>
      </x:c>
      <x:c r="P1154" t="str">
        <x:v>11644481 VERMOEGENSDEPOT SAMMELBUCHUNG SPARPLAN WKN A1C9ED, 847809</x:v>
      </x:c>
      <x:c r="Q1154" t="str">
        <x:v>Ausgang</x:v>
      </x:c>
      <x:c r="R1154" t="str">
        <x:v>DE27672300000506966162</x:v>
      </x:c>
      <x:c r="S1154" t="n">
        <x:v>-600</x:v>
      </x:c>
      <x:c r="T1154" t="str">
        <x:v>DE53ZZZ00000010849</x:v>
      </x:c>
      <x:c r="U1154" t="str">
        <x:v>WPBF0000180845</x:v>
      </x:c>
      <x:c r="V1154" t="str">
        <x:v>SPARSP 17441903</x:v>
      </x:c>
    </x:row>
    <x:row r="1155">
      <x:c r="A1155" t="str">
        <x:v>RAW-IMP-20260516-FULLDRAFT-001138</x:v>
      </x:c>
      <x:c r="B1155" t="str">
        <x:v>IMP-20260516-FULLDRAFT</x:v>
      </x:c>
      <x:c r="C1155" t="str">
        <x:v>KTO001</x:v>
      </x:c>
      <x:c r="D1155" t="str">
        <x:v>16-05-2026_Umsatzliste_Girokonto_DE98120300001061711675.csv</x:v>
      </x:c>
      <x:c r="E1155" t="n">
        <x:v>46163</x:v>
      </x:c>
      <x:c r="F1155" t="n">
        <x:v>1138</x:v>
      </x:c>
      <x:c r="G1155" t="str">
        <x:v>7a893587c152de1421feccce9e0b59ed0d35d4450ebf2f429c9178ccc54595cd</x:v>
      </x:c>
      <x:c r="H1155" t="str">
        <x:v>neu</x:v>
      </x:c>
      <x:c r="I1155" t="str">
        <x:v>ok</x:v>
      </x:c>
      <x:c r="J1155"/>
      <x:c r="K1155" t="n">
        <x:v>45779</x:v>
      </x:c>
      <x:c r="L1155" t="n">
        <x:v>45779</x:v>
      </x:c>
      <x:c r="M1155" t="str">
        <x:v>Gebucht</x:v>
      </x:c>
      <x:c r="N1155" t="str">
        <x:v>Kohlenberg Lars</x:v>
      </x:c>
      <x:c r="O1155" t="str">
        <x:v>Allianz Lebensvers. AG</x:v>
      </x:c>
      <x:c r="P1155" t="str">
        <x:v>Vertrag AL-1356867060 bisheriger Vertrag 33 029 619 6 01.05.25 - 31.05.25 RiesRent InvAlphaBal</x:v>
      </x:c>
      <x:c r="Q1155" t="str">
        <x:v>Ausgang</x:v>
      </x:c>
      <x:c r="R1155" t="str">
        <x:v>DE52700202700015152448</x:v>
      </x:c>
      <x:c r="S1155" t="n">
        <x:v>-162.17</x:v>
      </x:c>
      <x:c r="T1155" t="str">
        <x:v>DE07ZZZ00000063475</x:v>
      </x:c>
      <x:c r="U1155" t="str">
        <x:v>LA01L312001066775296</x:v>
      </x:c>
      <x:c r="V1155" t="str">
        <x:v>AB225118-E05825781</x:v>
      </x:c>
    </x:row>
    <x:row r="1156">
      <x:c r="A1156" t="str">
        <x:v>RAW-IMP-20260516-FULLDRAFT-001139</x:v>
      </x:c>
      <x:c r="B1156" t="str">
        <x:v>IMP-20260516-FULLDRAFT</x:v>
      </x:c>
      <x:c r="C1156" t="str">
        <x:v>KTO001</x:v>
      </x:c>
      <x:c r="D1156" t="str">
        <x:v>16-05-2026_Umsatzliste_Girokonto_DE98120300001061711675.csv</x:v>
      </x:c>
      <x:c r="E1156" t="n">
        <x:v>46163</x:v>
      </x:c>
      <x:c r="F1156" t="n">
        <x:v>1139</x:v>
      </x:c>
      <x:c r="G1156" t="str">
        <x:v>9cce21d09d33d3d24595940d06e1a5ba1dbce98b42e9b2ce47f5f499bb668900</x:v>
      </x:c>
      <x:c r="H1156" t="str">
        <x:v>neu</x:v>
      </x:c>
      <x:c r="I1156" t="str">
        <x:v>ok</x:v>
      </x:c>
      <x:c r="J1156"/>
      <x:c r="K1156" t="n">
        <x:v>45779</x:v>
      </x:c>
      <x:c r="L1156" t="n">
        <x:v>45779</x:v>
      </x:c>
      <x:c r="M1156" t="str">
        <x:v>Gebucht</x:v>
      </x:c>
      <x:c r="N1156" t="str">
        <x:v>Kohlenberg, Lars</x:v>
      </x:c>
      <x:c r="O1156" t="str">
        <x:v>IDEAL Lebensversicherung aG</x:v>
      </x:c>
      <x:c r="P1156" t="str">
        <x:v>2011216280009 LV 051</x:v>
      </x:c>
      <x:c r="Q1156" t="str">
        <x:v>Ausgang</x:v>
      </x:c>
      <x:c r="R1156" t="str">
        <x:v>DE36100700000460303100</x:v>
      </x:c>
      <x:c r="S1156" t="n">
        <x:v>-97.12</x:v>
      </x:c>
      <x:c r="T1156" t="str">
        <x:v>DE40ZZZ00000559230</x:v>
      </x:c>
      <x:c r="U1156" t="str">
        <x:v>2011216280009-001</x:v>
      </x:c>
      <x:c r="V1156" t="str">
        <x:v>GL,KL,PD-20250501-1-2011216280009-0</x:v>
      </x:c>
    </x:row>
    <x:row r="1157">
      <x:c r="A1157" t="str">
        <x:v>RAW-IMP-20260516-FULLDRAFT-001140</x:v>
      </x:c>
      <x:c r="B1157" t="str">
        <x:v>IMP-20260516-FULLDRAFT</x:v>
      </x:c>
      <x:c r="C1157" t="str">
        <x:v>KTO001</x:v>
      </x:c>
      <x:c r="D1157" t="str">
        <x:v>16-05-2026_Umsatzliste_Girokonto_DE98120300001061711675.csv</x:v>
      </x:c>
      <x:c r="E1157" t="n">
        <x:v>46163</x:v>
      </x:c>
      <x:c r="F1157" t="n">
        <x:v>1140</x:v>
      </x:c>
      <x:c r="G1157" t="str">
        <x:v>fb15f39e61e06612841bd76b92d64de9d885e1ce667817c337d65b96f292a1bf</x:v>
      </x:c>
      <x:c r="H1157" t="str">
        <x:v>neu</x:v>
      </x:c>
      <x:c r="I1157" t="str">
        <x:v>ok</x:v>
      </x:c>
      <x:c r="J1157"/>
      <x:c r="K1157" t="n">
        <x:v>45779</x:v>
      </x:c>
      <x:c r="L1157" t="n">
        <x:v>45779</x:v>
      </x:c>
      <x:c r="M1157" t="str">
        <x:v>Gebucht</x:v>
      </x:c>
      <x:c r="N1157" t="str">
        <x:v>Kohlenberg Lars</x:v>
      </x:c>
      <x:c r="O1157" t="str">
        <x:v>Allianz Private Krankenv.</x:v>
      </x:c>
      <x:c r="P1157" t="str">
        <x:v>Vertrag AK-1356648926 Private Krankenversicherung 01.05.25 - 30.11.25</x:v>
      </x:c>
      <x:c r="Q1157" t="str">
        <x:v>Ausgang</x:v>
      </x:c>
      <x:c r="R1157" t="str">
        <x:v>DE97700202700010011511</x:v>
      </x:c>
      <x:c r="S1157" t="n">
        <x:v>-26.21</x:v>
      </x:c>
      <x:c r="T1157" t="str">
        <x:v>DE40ZZZ00000063851</x:v>
      </x:c>
      <x:c r="U1157" t="str">
        <x:v>VVKA000000000057412</x:v>
      </x:c>
      <x:c r="V1157" t="str">
        <x:v>AB225118-E01977007</x:v>
      </x:c>
    </x:row>
    <x:row r="1158">
      <x:c r="A1158" t="str">
        <x:v>RAW-IMP-20260516-FULLDRAFT-001141</x:v>
      </x:c>
      <x:c r="B1158" t="str">
        <x:v>IMP-20260516-FULLDRAFT</x:v>
      </x:c>
      <x:c r="C1158" t="str">
        <x:v>KTO001</x:v>
      </x:c>
      <x:c r="D1158" t="str">
        <x:v>16-05-2026_Umsatzliste_Girokonto_DE98120300001061711675.csv</x:v>
      </x:c>
      <x:c r="E1158" t="n">
        <x:v>46163</x:v>
      </x:c>
      <x:c r="F1158" t="n">
        <x:v>1141</x:v>
      </x:c>
      <x:c r="G1158" t="str">
        <x:v>4f27df0a7afba54fbef2c101ee8d138f433556c84568c871fc9922e2cc1fa3f4</x:v>
      </x:c>
      <x:c r="H1158" t="str">
        <x:v>neu</x:v>
      </x:c>
      <x:c r="I1158" t="str">
        <x:v>ok</x:v>
      </x:c>
      <x:c r="J1158"/>
      <x:c r="K1158" t="n">
        <x:v>45779</x:v>
      </x:c>
      <x:c r="L1158" t="n">
        <x:v>45779</x:v>
      </x:c>
      <x:c r="M1158" t="str">
        <x:v>Gebucht</x:v>
      </x:c>
      <x:c r="N1158" t="str">
        <x:v>KOHLENBERG LARS</x:v>
      </x:c>
      <x:c r="O1158" t="str">
        <x:v>VOLKSWOHL BUND Lebensversicherung a.G.</x:v>
      </x:c>
      <x:c r="P1158" t="str">
        <x:v>009893595 LA000750566/ 009893595 LEBEN 68,46</x:v>
      </x:c>
      <x:c r="Q1158" t="str">
        <x:v>Ausgang</x:v>
      </x:c>
      <x:c r="R1158" t="str">
        <x:v>DE76440400370361155500</x:v>
      </x:c>
      <x:c r="S1158" t="n">
        <x:v>-68.46</x:v>
      </x:c>
      <x:c r="T1158" t="str">
        <x:v>DE13ZZZ00000141064</x:v>
      </x:c>
      <x:c r="U1158" t="str">
        <x:v>LA000750566</x:v>
      </x:c>
      <x:c r="V1158" t="str">
        <x:v>009893595/NVMA.G1125-322428</x:v>
      </x:c>
    </x:row>
    <x:row r="1159">
      <x:c r="A1159" t="str">
        <x:v>RAW-IMP-20260516-FULLDRAFT-001142</x:v>
      </x:c>
      <x:c r="B1159" t="str">
        <x:v>IMP-20260516-FULLDRAFT</x:v>
      </x:c>
      <x:c r="C1159" t="str">
        <x:v>KTO001</x:v>
      </x:c>
      <x:c r="D1159" t="str">
        <x:v>16-05-2026_Umsatzliste_Girokonto_DE98120300001061711675.csv</x:v>
      </x:c>
      <x:c r="E1159" t="n">
        <x:v>46163</x:v>
      </x:c>
      <x:c r="F1159" t="n">
        <x:v>1142</x:v>
      </x:c>
      <x:c r="G1159" t="str">
        <x:v>647a56c588a6f159d9c096a9526f22a73d32ebdcd0d65acf3d66bfd88c449b18</x:v>
      </x:c>
      <x:c r="H1159" t="str">
        <x:v>neu</x:v>
      </x:c>
      <x:c r="I1159" t="str">
        <x:v>ok</x:v>
      </x:c>
      <x:c r="J1159"/>
      <x:c r="K1159" t="n">
        <x:v>45779</x:v>
      </x:c>
      <x:c r="L1159" t="n">
        <x:v>45779</x:v>
      </x:c>
      <x:c r="M1159" t="str">
        <x:v>Gebucht</x:v>
      </x:c>
      <x:c r="N1159" t="str">
        <x:v>Lars Kohlenberg</x:v>
      </x:c>
      <x:c r="O1159" t="str">
        <x:v>LARS KOHLENBERG</x:v>
      </x:c>
      <x:c r="P1159" t="str">
        <x:v>Sparrate 650,- + 750 EUR Mieteinnahmen</x:v>
      </x:c>
      <x:c r="Q1159" t="str">
        <x:v>Ausgang</x:v>
      </x:c>
      <x:c r="R1159" t="str">
        <x:v>DE91270200001510365800</x:v>
      </x:c>
      <x:c r="S1159" t="n">
        <x:v>-1400</x:v>
      </x:c>
      <x:c r="T1159" t="str">
        <x:v>"</x:v>
      </x:c>
      <x:c r="U1159" t="str">
        <x:v>"</x:v>
      </x:c>
      <x:c r="V1159" t="str">
        <x:v>"</x:v>
      </x:c>
    </x:row>
    <x:row r="1160">
      <x:c r="A1160" t="str">
        <x:v>RAW-IMP-20260516-FULLDRAFT-001143</x:v>
      </x:c>
      <x:c r="B1160" t="str">
        <x:v>IMP-20260516-FULLDRAFT</x:v>
      </x:c>
      <x:c r="C1160" t="str">
        <x:v>KTO001</x:v>
      </x:c>
      <x:c r="D1160" t="str">
        <x:v>16-05-2026_Umsatzliste_Girokonto_DE98120300001061711675.csv</x:v>
      </x:c>
      <x:c r="E1160" t="n">
        <x:v>46163</x:v>
      </x:c>
      <x:c r="F1160" t="n">
        <x:v>1143</x:v>
      </x:c>
      <x:c r="G1160" t="str">
        <x:v>b4d42e807531d70b8eac4562d8c44b2921f7b86451605c031383da16741f93cc</x:v>
      </x:c>
      <x:c r="H1160" t="str">
        <x:v>neu</x:v>
      </x:c>
      <x:c r="I1160" t="str">
        <x:v>ok</x:v>
      </x:c>
      <x:c r="J1160"/>
      <x:c r="K1160" t="n">
        <x:v>45779</x:v>
      </x:c>
      <x:c r="L1160" t="n">
        <x:v>45779</x:v>
      </x:c>
      <x:c r="M1160" t="str">
        <x:v>Gebucht</x:v>
      </x:c>
      <x:c r="N1160" t="str">
        <x:v>Lars Kohlenberg</x:v>
      </x:c>
      <x:c r="O1160" t="str">
        <x:v>KATRIN KOHLENBERG</x:v>
      </x:c>
      <x:c r="P1160" t="str">
        <x:v>Apanage</x:v>
      </x:c>
      <x:c r="Q1160" t="str">
        <x:v>Ausgang</x:v>
      </x:c>
      <x:c r="R1160" t="str">
        <x:v>DE32270727240307336800</x:v>
      </x:c>
      <x:c r="S1160" t="n">
        <x:v>-1800</x:v>
      </x:c>
      <x:c r="T1160" t="str">
        <x:v>"</x:v>
      </x:c>
      <x:c r="U1160" t="str">
        <x:v>"</x:v>
      </x:c>
      <x:c r="V1160" t="str">
        <x:v>"</x:v>
      </x:c>
    </x:row>
    <x:row r="1161">
      <x:c r="A1161" t="str">
        <x:v>RAW-IMP-20260516-FULLDRAFT-001144</x:v>
      </x:c>
      <x:c r="B1161" t="str">
        <x:v>IMP-20260516-FULLDRAFT</x:v>
      </x:c>
      <x:c r="C1161" t="str">
        <x:v>KTO001</x:v>
      </x:c>
      <x:c r="D1161" t="str">
        <x:v>16-05-2026_Umsatzliste_Girokonto_DE98120300001061711675.csv</x:v>
      </x:c>
      <x:c r="E1161" t="n">
        <x:v>46163</x:v>
      </x:c>
      <x:c r="F1161" t="n">
        <x:v>1144</x:v>
      </x:c>
      <x:c r="G1161" t="str">
        <x:v>30cf096484a82d90e78ff4052768edf98abddb9d86b994bebf7aad70637a4010</x:v>
      </x:c>
      <x:c r="H1161" t="str">
        <x:v>neu</x:v>
      </x:c>
      <x:c r="I1161" t="str">
        <x:v>ok</x:v>
      </x:c>
      <x:c r="J1161"/>
      <x:c r="K1161" t="n">
        <x:v>45777</x:v>
      </x:c>
      <x:c r="L1161" t="n">
        <x:v>45777</x:v>
      </x:c>
      <x:c r="M1161" t="str">
        <x:v>Gebucht</x:v>
      </x:c>
      <x:c r="N1161" t="str">
        <x:v>ISSUER</x:v>
      </x:c>
      <x:c r="O1161" t="str">
        <x:v>Lidl.sagt.Danke/Salzgitter</x:v>
      </x:c>
      <x:c r="P1161" t="str">
        <x:v>VISA Debitkartenumsatz vom 29.04.2025</x:v>
      </x:c>
      <x:c r="Q1161" t="str">
        <x:v>Ausgang</x:v>
      </x:c>
      <x:c r="R1161" t="str">
        <x:v>DE96120300009005290904</x:v>
      </x:c>
      <x:c r="S1161" t="n">
        <x:v>-87.59</x:v>
      </x:c>
      <x:c r="T1161" t="str">
        <x:v>"</x:v>
      </x:c>
      <x:c r="U1161" t="str">
        <x:v>"</x:v>
      </x:c>
      <x:c r="V1161" t="str">
        <x:v>485119634763566</x:v>
      </x:c>
    </x:row>
    <x:row r="1162">
      <x:c r="A1162" t="str">
        <x:v>RAW-IMP-20260516-FULLDRAFT-001145</x:v>
      </x:c>
      <x:c r="B1162" t="str">
        <x:v>IMP-20260516-FULLDRAFT</x:v>
      </x:c>
      <x:c r="C1162" t="str">
        <x:v>KTO001</x:v>
      </x:c>
      <x:c r="D1162" t="str">
        <x:v>16-05-2026_Umsatzliste_Girokonto_DE98120300001061711675.csv</x:v>
      </x:c>
      <x:c r="E1162" t="n">
        <x:v>46163</x:v>
      </x:c>
      <x:c r="F1162" t="n">
        <x:v>1145</x:v>
      </x:c>
      <x:c r="G1162" t="str">
        <x:v>054b522adee5b25f4cf1b014bfac3fb455362fbb485477e73e99409daf8d9bdc</x:v>
      </x:c>
      <x:c r="H1162" t="str">
        <x:v>neu</x:v>
      </x:c>
      <x:c r="I1162" t="str">
        <x:v>ok</x:v>
      </x:c>
      <x:c r="J1162"/>
      <x:c r="K1162" t="n">
        <x:v>45777</x:v>
      </x:c>
      <x:c r="L1162" t="n">
        <x:v>45777</x:v>
      </x:c>
      <x:c r="M1162" t="str">
        <x:v>Gebucht</x:v>
      </x:c>
      <x:c r="N1162" t="str">
        <x:v>Lars Kohlenberg                                                       Johannes-Wosnitza-Str. 8,38229 Salzgitter</x:v>
      </x:c>
      <x:c r="O1162" t="str">
        <x:v>1+1 Mail + Media GmbH                                                 Elgendorfer Str. 57, 56410 Montabaur</x:v>
      </x:c>
      <x:c r="P1162" t="str">
        <x:v>KD-Nr. K7440512/ RG-Nr. 201540676313</x:v>
      </x:c>
      <x:c r="Q1162" t="str">
        <x:v>Ausgang</x:v>
      </x:c>
      <x:c r="R1162" t="str">
        <x:v>DE76700800000881679702</x:v>
      </x:c>
      <x:c r="S1162" t="n">
        <x:v>-8.99</x:v>
      </x:c>
      <x:c r="T1162" t="str">
        <x:v>DE07ZZZ00000569718</x:v>
      </x:c>
      <x:c r="U1162" t="str">
        <x:v>0090001393062</x:v>
      </x:c>
      <x:c r="V1162" t="str">
        <x:v>006043897540</x:v>
      </x:c>
    </x:row>
    <x:row r="1163">
      <x:c r="A1163" t="str">
        <x:v>RAW-IMP-20260516-FULLDRAFT-001146</x:v>
      </x:c>
      <x:c r="B1163" t="str">
        <x:v>IMP-20260516-FULLDRAFT</x:v>
      </x:c>
      <x:c r="C1163" t="str">
        <x:v>KTO001</x:v>
      </x:c>
      <x:c r="D1163" t="str">
        <x:v>16-05-2026_Umsatzliste_Girokonto_DE98120300001061711675.csv</x:v>
      </x:c>
      <x:c r="E1163" t="n">
        <x:v>46163</x:v>
      </x:c>
      <x:c r="F1163" t="n">
        <x:v>1146</x:v>
      </x:c>
      <x:c r="G1163" t="str">
        <x:v>92c95daa37f96f088399585b5b83fa1a25c47f2c1694bd97541e124eb663a8c0</x:v>
      </x:c>
      <x:c r="H1163" t="str">
        <x:v>neu</x:v>
      </x:c>
      <x:c r="I1163" t="str">
        <x:v>ok</x:v>
      </x:c>
      <x:c r="J1163"/>
      <x:c r="K1163" t="n">
        <x:v>45777</x:v>
      </x:c>
      <x:c r="L1163" t="n">
        <x:v>45777</x:v>
      </x:c>
      <x:c r="M1163" t="str">
        <x:v>Gebucht</x:v>
      </x:c>
      <x:c r="N1163" t="str">
        <x:v>Lars Kohlenberg</x:v>
      </x:c>
      <x:c r="O1163" t="str">
        <x:v>Lea kohlenberg</x:v>
      </x:c>
      <x:c r="P1163" t="str">
        <x:v>Taschengeld</x:v>
      </x:c>
      <x:c r="Q1163" t="str">
        <x:v>Ausgang</x:v>
      </x:c>
      <x:c r="R1163" t="str">
        <x:v>DE89269910662833344000</x:v>
      </x:c>
      <x:c r="S1163" t="n">
        <x:v>-10</x:v>
      </x:c>
      <x:c r="T1163" t="str">
        <x:v>"</x:v>
      </x:c>
      <x:c r="U1163" t="str">
        <x:v>"</x:v>
      </x:c>
      <x:c r="V1163" t="str">
        <x:v>"</x:v>
      </x:c>
    </x:row>
    <x:row r="1164">
      <x:c r="A1164" t="str">
        <x:v>RAW-IMP-20260516-FULLDRAFT-001147</x:v>
      </x:c>
      <x:c r="B1164" t="str">
        <x:v>IMP-20260516-FULLDRAFT</x:v>
      </x:c>
      <x:c r="C1164" t="str">
        <x:v>KTO001</x:v>
      </x:c>
      <x:c r="D1164" t="str">
        <x:v>16-05-2026_Umsatzliste_Girokonto_DE98120300001061711675.csv</x:v>
      </x:c>
      <x:c r="E1164" t="n">
        <x:v>46163</x:v>
      </x:c>
      <x:c r="F1164" t="n">
        <x:v>1147</x:v>
      </x:c>
      <x:c r="G1164" t="str">
        <x:v>fe69f1785a41ae530283b0ed0c6722989921f8e223cbbb04a6d059ca5b1c7183</x:v>
      </x:c>
      <x:c r="H1164" t="str">
        <x:v>neu</x:v>
      </x:c>
      <x:c r="I1164" t="str">
        <x:v>ok</x:v>
      </x:c>
      <x:c r="J1164"/>
      <x:c r="K1164" t="n">
        <x:v>45777</x:v>
      </x:c>
      <x:c r="L1164" t="n">
        <x:v>45777</x:v>
      </x:c>
      <x:c r="M1164" t="str">
        <x:v>Gebucht</x:v>
      </x:c>
      <x:c r="N1164" t="str">
        <x:v>Kohlenberg, Katrin</x:v>
      </x:c>
      <x:c r="O1164" t="str">
        <x:v>WEVG Salzgitter GmbH + Co. KG</x:v>
      </x:c>
      <x:c r="P1164" t="str">
        <x:v>Kd-Nr 79288 Einz 30.04.25 41710/317.00/Johannes-Wosni 100833/76.00/Johannes-Wosni</x:v>
      </x:c>
      <x:c r="Q1164" t="str">
        <x:v>Ausgang</x:v>
      </x:c>
      <x:c r="R1164" t="str">
        <x:v>DE19300700100394127500</x:v>
      </x:c>
      <x:c r="S1164" t="n">
        <x:v>-393</x:v>
      </x:c>
      <x:c r="T1164" t="str">
        <x:v>DE83WEV00000032716</x:v>
      </x:c>
      <x:c r="U1164" t="str">
        <x:v>WEVG0000079288G1000178580</x:v>
      </x:c>
      <x:c r="V1164" t="str">
        <x:v>13637030</x:v>
      </x:c>
    </x:row>
    <x:row r="1165">
      <x:c r="A1165" t="str">
        <x:v>RAW-IMP-20260516-FULLDRAFT-001148</x:v>
      </x:c>
      <x:c r="B1165" t="str">
        <x:v>IMP-20260516-FULLDRAFT</x:v>
      </x:c>
      <x:c r="C1165" t="str">
        <x:v>KTO001</x:v>
      </x:c>
      <x:c r="D1165" t="str">
        <x:v>16-05-2026_Umsatzliste_Girokonto_DE98120300001061711675.csv</x:v>
      </x:c>
      <x:c r="E1165" t="n">
        <x:v>46163</x:v>
      </x:c>
      <x:c r="F1165" t="n">
        <x:v>1148</x:v>
      </x:c>
      <x:c r="G1165" t="str">
        <x:v>f279adc0e524e57fcfb6b1072f418b33117d611eb82560fe1cd57effa34395c4</x:v>
      </x:c>
      <x:c r="H1165" t="str">
        <x:v>neu</x:v>
      </x:c>
      <x:c r="I1165" t="str">
        <x:v>ok</x:v>
      </x:c>
      <x:c r="J1165"/>
      <x:c r="K1165" t="n">
        <x:v>45777</x:v>
      </x:c>
      <x:c r="L1165" t="n">
        <x:v>45777</x:v>
      </x:c>
      <x:c r="M1165" t="str">
        <x:v>Gebucht</x:v>
      </x:c>
      <x:c r="N1165" t="str">
        <x:v>Lars Kohlenberg</x:v>
      </x:c>
      <x:c r="O1165" t="str">
        <x:v>LARS KOHLENBERG</x:v>
      </x:c>
      <x:c r="P1165" t="str">
        <x:v>Zins und Tilgung zu 2/3</x:v>
      </x:c>
      <x:c r="Q1165" t="str">
        <x:v>Ausgang</x:v>
      </x:c>
      <x:c r="R1165" t="str">
        <x:v>DE33269910668923736000</x:v>
      </x:c>
      <x:c r="S1165" t="n">
        <x:v>-1153.94</x:v>
      </x:c>
      <x:c r="T1165" t="str">
        <x:v>"</x:v>
      </x:c>
      <x:c r="U1165" t="str">
        <x:v>"</x:v>
      </x:c>
      <x:c r="V1165" t="str">
        <x:v>"</x:v>
      </x:c>
    </x:row>
    <x:row r="1166">
      <x:c r="A1166" t="str">
        <x:v>RAW-IMP-20260516-FULLDRAFT-001149</x:v>
      </x:c>
      <x:c r="B1166" t="str">
        <x:v>IMP-20260516-FULLDRAFT</x:v>
      </x:c>
      <x:c r="C1166" t="str">
        <x:v>KTO001</x:v>
      </x:c>
      <x:c r="D1166" t="str">
        <x:v>16-05-2026_Umsatzliste_Girokonto_DE98120300001061711675.csv</x:v>
      </x:c>
      <x:c r="E1166" t="n">
        <x:v>46163</x:v>
      </x:c>
      <x:c r="F1166" t="n">
        <x:v>1149</x:v>
      </x:c>
      <x:c r="G1166" t="str">
        <x:v>51584697bcfc039716c827cd07a7c036009a84fa9fc031bb17d99d66558b76fd</x:v>
      </x:c>
      <x:c r="H1166" t="str">
        <x:v>neu</x:v>
      </x:c>
      <x:c r="I1166" t="str">
        <x:v>ok</x:v>
      </x:c>
      <x:c r="J1166"/>
      <x:c r="K1166" t="n">
        <x:v>45776</x:v>
      </x:c>
      <x:c r="L1166" t="n">
        <x:v>45776</x:v>
      </x:c>
      <x:c r="M1166" t="str">
        <x:v>Gebucht</x:v>
      </x:c>
      <x:c r="N1166" t="str">
        <x:v>Stiftung Kath. Altenhilfe im Bistum Hildesheim</x:v>
      </x:c>
      <x:c r="O1166" t="str">
        <x:v>KOHLENBERG LARS</x:v>
      </x:c>
      <x:c r="P1166" t="str">
        <x:v>GEHALT 4/25</x:v>
      </x:c>
      <x:c r="Q1166" t="str">
        <x:v>Eingang</x:v>
      </x:c>
      <x:c r="R1166" t="str">
        <x:v>DE92400602650023150301</x:v>
      </x:c>
      <x:c r="S1166" t="n">
        <x:v>8907.69</x:v>
      </x:c>
      <x:c r="T1166" t="str">
        <x:v>"</x:v>
      </x:c>
      <x:c r="U1166" t="str">
        <x:v>"</x:v>
      </x:c>
      <x:c r="V1166" t="str">
        <x:v>001001987662SALA004044004</x:v>
      </x:c>
    </x:row>
    <x:row r="1167">
      <x:c r="A1167" t="str">
        <x:v>RAW-IMP-20260516-FULLDRAFT-001150</x:v>
      </x:c>
      <x:c r="B1167" t="str">
        <x:v>IMP-20260516-FULLDRAFT</x:v>
      </x:c>
      <x:c r="C1167" t="str">
        <x:v>KTO001</x:v>
      </x:c>
      <x:c r="D1167" t="str">
        <x:v>16-05-2026_Umsatzliste_Girokonto_DE98120300001061711675.csv</x:v>
      </x:c>
      <x:c r="E1167" t="n">
        <x:v>46163</x:v>
      </x:c>
      <x:c r="F1167" t="n">
        <x:v>1150</x:v>
      </x:c>
      <x:c r="G1167" t="str">
        <x:v>373c84d4797ffbafe2202572611c1f973b9cb4f3ca30637607e85df447907a95</x:v>
      </x:c>
      <x:c r="H1167" t="str">
        <x:v>neu</x:v>
      </x:c>
      <x:c r="I1167" t="str">
        <x:v>ok</x:v>
      </x:c>
      <x:c r="J1167"/>
      <x:c r="K1167" t="n">
        <x:v>45776</x:v>
      </x:c>
      <x:c r="L1167" t="n">
        <x:v>45776</x:v>
      </x:c>
      <x:c r="M1167" t="str">
        <x:v>Gebucht</x:v>
      </x:c>
      <x:c r="N1167" t="str">
        <x:v>ISSUER</x:v>
      </x:c>
      <x:c r="O1167" t="str">
        <x:v>EDEKA.POTRATZ/HILDESHEIM</x:v>
      </x:c>
      <x:c r="P1167" t="str">
        <x:v>VISA Debitkartenumsatz vom 28.04.2025</x:v>
      </x:c>
      <x:c r="Q1167" t="str">
        <x:v>Ausgang</x:v>
      </x:c>
      <x:c r="R1167" t="str">
        <x:v>DE96120300009005290904</x:v>
      </x:c>
      <x:c r="S1167" t="n">
        <x:v>-3.87</x:v>
      </x:c>
      <x:c r="T1167" t="str">
        <x:v>"</x:v>
      </x:c>
      <x:c r="U1167" t="str">
        <x:v>"</x:v>
      </x:c>
      <x:c r="V1167" t="str">
        <x:v>485118384086338</x:v>
      </x:c>
    </x:row>
    <x:row r="1168">
      <x:c r="A1168" t="str">
        <x:v>RAW-IMP-20260516-FULLDRAFT-001151</x:v>
      </x:c>
      <x:c r="B1168" t="str">
        <x:v>IMP-20260516-FULLDRAFT</x:v>
      </x:c>
      <x:c r="C1168" t="str">
        <x:v>KTO001</x:v>
      </x:c>
      <x:c r="D1168" t="str">
        <x:v>16-05-2026_Umsatzliste_Girokonto_DE98120300001061711675.csv</x:v>
      </x:c>
      <x:c r="E1168" t="n">
        <x:v>46163</x:v>
      </x:c>
      <x:c r="F1168" t="n">
        <x:v>1151</x:v>
      </x:c>
      <x:c r="G1168" t="str">
        <x:v>15661b11169ae811b88e93eb66fa259f6aa085aa5a1e5f73d205c871c2440d6e</x:v>
      </x:c>
      <x:c r="H1168" t="str">
        <x:v>neu</x:v>
      </x:c>
      <x:c r="I1168" t="str">
        <x:v>ok</x:v>
      </x:c>
      <x:c r="J1168"/>
      <x:c r="K1168" t="n">
        <x:v>45776</x:v>
      </x:c>
      <x:c r="L1168" t="n">
        <x:v>45776</x:v>
      </x:c>
      <x:c r="M1168" t="str">
        <x:v>Gebucht</x:v>
      </x:c>
      <x:c r="N1168" t="str">
        <x:v>Lars Kohlenberg</x:v>
      </x:c>
      <x:c r="O1168" t="str">
        <x:v>GMX by LOTTO24                                                        StraBenbahnring 11 20251 Hamburg</x:v>
      </x:c>
      <x:c r="P1168" t="str">
        <x:v>GMX by LOTTO24 C98983063 - T624936952964</x:v>
      </x:c>
      <x:c r="Q1168" t="str">
        <x:v>Ausgang</x:v>
      </x:c>
      <x:c r="R1168" t="str">
        <x:v>DE52100190001000027873</x:v>
      </x:c>
      <x:c r="S1168" t="n">
        <x:v>-18.14</x:v>
      </x:c>
      <x:c r="T1168" t="str">
        <x:v>NL48ZZZ342764500000</x:v>
      </x:c>
      <x:c r="U1168" t="str">
        <x:v>R372DKN5SSBXZP52</x:v>
      </x:c>
      <x:c r="V1168" t="str">
        <x:v>VG26XT4QFWBV87F3</x:v>
      </x:c>
    </x:row>
    <x:row r="1169">
      <x:c r="A1169" t="str">
        <x:v>RAW-IMP-20260516-FULLDRAFT-001152</x:v>
      </x:c>
      <x:c r="B1169" t="str">
        <x:v>IMP-20260516-FULLDRAFT</x:v>
      </x:c>
      <x:c r="C1169" t="str">
        <x:v>KTO001</x:v>
      </x:c>
      <x:c r="D1169" t="str">
        <x:v>16-05-2026_Umsatzliste_Girokonto_DE98120300001061711675.csv</x:v>
      </x:c>
      <x:c r="E1169" t="n">
        <x:v>46163</x:v>
      </x:c>
      <x:c r="F1169" t="n">
        <x:v>1152</x:v>
      </x:c>
      <x:c r="G1169" t="str">
        <x:v>f4fbc54678f6f3cb8fc198341353d05b36737ae35697c0b650234578d424d30c</x:v>
      </x:c>
      <x:c r="H1169" t="str">
        <x:v>neu</x:v>
      </x:c>
      <x:c r="I1169" t="str">
        <x:v>ok</x:v>
      </x:c>
      <x:c r="J1169"/>
      <x:c r="K1169" t="n">
        <x:v>45775</x:v>
      </x:c>
      <x:c r="L1169" t="n">
        <x:v>45775</x:v>
      </x:c>
      <x:c r="M1169" t="str">
        <x:v>Gebucht</x:v>
      </x:c>
      <x:c r="N1169" t="str">
        <x:v>ISSUER</x:v>
      </x:c>
      <x:c r="O1169" t="str">
        <x:v>PAYPAL..RESERVIX/1777612020</x:v>
      </x:c>
      <x:c r="P1169" t="str">
        <x:v>VISA Debitkartenumsatz vom 26.04.2025</x:v>
      </x:c>
      <x:c r="Q1169" t="str">
        <x:v>Ausgang</x:v>
      </x:c>
      <x:c r="R1169" t="str">
        <x:v>DE96120300009005290904</x:v>
      </x:c>
      <x:c r="S1169" t="n">
        <x:v>-140.5</x:v>
      </x:c>
      <x:c r="T1169" t="str">
        <x:v>"</x:v>
      </x:c>
      <x:c r="U1169" t="str">
        <x:v>"</x:v>
      </x:c>
      <x:c r="V1169" t="str">
        <x:v>305117208578246</x:v>
      </x:c>
    </x:row>
    <x:row r="1170">
      <x:c r="A1170" t="str">
        <x:v>RAW-IMP-20260516-FULLDRAFT-001153</x:v>
      </x:c>
      <x:c r="B1170" t="str">
        <x:v>IMP-20260516-FULLDRAFT</x:v>
      </x:c>
      <x:c r="C1170" t="str">
        <x:v>KTO001</x:v>
      </x:c>
      <x:c r="D1170" t="str">
        <x:v>16-05-2026_Umsatzliste_Girokonto_DE98120300001061711675.csv</x:v>
      </x:c>
      <x:c r="E1170" t="n">
        <x:v>46163</x:v>
      </x:c>
      <x:c r="F1170" t="n">
        <x:v>1153</x:v>
      </x:c>
      <x:c r="G1170" t="str">
        <x:v>71edcd530f87a7391c44ee6f412d7422dca1c39f9ba0156cf63f18f02fd261eb</x:v>
      </x:c>
      <x:c r="H1170" t="str">
        <x:v>neu</x:v>
      </x:c>
      <x:c r="I1170" t="str">
        <x:v>ok</x:v>
      </x:c>
      <x:c r="J1170"/>
      <x:c r="K1170" t="n">
        <x:v>45775</x:v>
      </x:c>
      <x:c r="L1170" t="n">
        <x:v>45775</x:v>
      </x:c>
      <x:c r="M1170" t="str">
        <x:v>Gebucht</x:v>
      </x:c>
      <x:c r="N1170" t="str">
        <x:v>ISSUER</x:v>
      </x:c>
      <x:c r="O1170" t="str">
        <x:v>STRIPEPHV/VELBERT</x:v>
      </x:c>
      <x:c r="P1170" t="str">
        <x:v>VISA Debitkartenumsatz vom 27.04.2025</x:v>
      </x:c>
      <x:c r="Q1170" t="str">
        <x:v>Ausgang</x:v>
      </x:c>
      <x:c r="R1170" t="str">
        <x:v>DE96120300009005290904</x:v>
      </x:c>
      <x:c r="S1170" t="n">
        <x:v>-158</x:v>
      </x:c>
      <x:c r="T1170" t="str">
        <x:v>"</x:v>
      </x:c>
      <x:c r="U1170" t="str">
        <x:v>"</x:v>
      </x:c>
      <x:c r="V1170" t="str">
        <x:v>485117752673904</x:v>
      </x:c>
    </x:row>
    <x:row r="1171">
      <x:c r="A1171" t="str">
        <x:v>RAW-IMP-20260516-FULLDRAFT-001154</x:v>
      </x:c>
      <x:c r="B1171" t="str">
        <x:v>IMP-20260516-FULLDRAFT</x:v>
      </x:c>
      <x:c r="C1171" t="str">
        <x:v>KTO001</x:v>
      </x:c>
      <x:c r="D1171" t="str">
        <x:v>16-05-2026_Umsatzliste_Girokonto_DE98120300001061711675.csv</x:v>
      </x:c>
      <x:c r="E1171" t="n">
        <x:v>46163</x:v>
      </x:c>
      <x:c r="F1171" t="n">
        <x:v>1154</x:v>
      </x:c>
      <x:c r="G1171" t="str">
        <x:v>0bfa9aff48513ecb09b7a74ca3e3a406c27dd90bb6ccb23c3b30ace19da6574e</x:v>
      </x:c>
      <x:c r="H1171" t="str">
        <x:v>neu</x:v>
      </x:c>
      <x:c r="I1171" t="str">
        <x:v>ok</x:v>
      </x:c>
      <x:c r="J1171"/>
      <x:c r="K1171" t="n">
        <x:v>45775</x:v>
      </x:c>
      <x:c r="L1171" t="n">
        <x:v>45775</x:v>
      </x:c>
      <x:c r="M1171" t="str">
        <x:v>Gebucht</x:v>
      </x:c>
      <x:c r="N1171" t="str">
        <x:v>ISSUER</x:v>
      </x:c>
      <x:c r="O1171" t="str">
        <x:v>Amazon.de.5Y2FE4X35/AMAZON.DE</x:v>
      </x:c>
      <x:c r="P1171" t="str">
        <x:v>VISA Debitkartenumsatz vom 27.04.2025</x:v>
      </x:c>
      <x:c r="Q1171" t="str">
        <x:v>Ausgang</x:v>
      </x:c>
      <x:c r="R1171" t="str">
        <x:v>DE96120300009005290904</x:v>
      </x:c>
      <x:c r="S1171" t="n">
        <x:v>-5.8</x:v>
      </x:c>
      <x:c r="T1171" t="str">
        <x:v>"</x:v>
      </x:c>
      <x:c r="U1171" t="str">
        <x:v>"</x:v>
      </x:c>
      <x:c r="V1171" t="str">
        <x:v>485117578611151</x:v>
      </x:c>
    </x:row>
    <x:row r="1172">
      <x:c r="A1172" t="str">
        <x:v>RAW-IMP-20260516-FULLDRAFT-001155</x:v>
      </x:c>
      <x:c r="B1172" t="str">
        <x:v>IMP-20260516-FULLDRAFT</x:v>
      </x:c>
      <x:c r="C1172" t="str">
        <x:v>KTO001</x:v>
      </x:c>
      <x:c r="D1172" t="str">
        <x:v>16-05-2026_Umsatzliste_Girokonto_DE98120300001061711675.csv</x:v>
      </x:c>
      <x:c r="E1172" t="n">
        <x:v>46163</x:v>
      </x:c>
      <x:c r="F1172" t="n">
        <x:v>1155</x:v>
      </x:c>
      <x:c r="G1172" t="str">
        <x:v>afedef98a553bcc49a4bd0539eb31a795b1cff1900331dc81652be529f4da738</x:v>
      </x:c>
      <x:c r="H1172" t="str">
        <x:v>neu</x:v>
      </x:c>
      <x:c r="I1172" t="str">
        <x:v>ok</x:v>
      </x:c>
      <x:c r="J1172"/>
      <x:c r="K1172" t="n">
        <x:v>45775</x:v>
      </x:c>
      <x:c r="L1172" t="n">
        <x:v>45775</x:v>
      </x:c>
      <x:c r="M1172" t="str">
        <x:v>Gebucht</x:v>
      </x:c>
      <x:c r="N1172" t="str">
        <x:v>ISSUER</x:v>
      </x:c>
      <x:c r="O1172" t="str">
        <x:v>UZR.Da.Filippo.Hildeshe/Hildesheim</x:v>
      </x:c>
      <x:c r="P1172" t="str">
        <x:v>VISA Debitkartenumsatz vom 25.04.2025</x:v>
      </x:c>
      <x:c r="Q1172" t="str">
        <x:v>Ausgang</x:v>
      </x:c>
      <x:c r="R1172" t="str">
        <x:v>DE96120300009005290904</x:v>
      </x:c>
      <x:c r="S1172" t="n">
        <x:v>-110</x:v>
      </x:c>
      <x:c r="T1172" t="str">
        <x:v>"</x:v>
      </x:c>
      <x:c r="U1172" t="str">
        <x:v>"</x:v>
      </x:c>
      <x:c r="V1172" t="str">
        <x:v>485115645253432</x:v>
      </x:c>
    </x:row>
    <x:row r="1173">
      <x:c r="A1173" t="str">
        <x:v>RAW-IMP-20260516-FULLDRAFT-001156</x:v>
      </x:c>
      <x:c r="B1173" t="str">
        <x:v>IMP-20260516-FULLDRAFT</x:v>
      </x:c>
      <x:c r="C1173" t="str">
        <x:v>KTO001</x:v>
      </x:c>
      <x:c r="D1173" t="str">
        <x:v>16-05-2026_Umsatzliste_Girokonto_DE98120300001061711675.csv</x:v>
      </x:c>
      <x:c r="E1173" t="n">
        <x:v>46163</x:v>
      </x:c>
      <x:c r="F1173" t="n">
        <x:v>1156</x:v>
      </x:c>
      <x:c r="G1173" t="str">
        <x:v>b8d78bc3bdeca1d08bd1ccd927543138f6516169aa5b298a6fc2fceb7fd6335d</x:v>
      </x:c>
      <x:c r="H1173" t="str">
        <x:v>neu</x:v>
      </x:c>
      <x:c r="I1173" t="str">
        <x:v>ok</x:v>
      </x:c>
      <x:c r="J1173"/>
      <x:c r="K1173" t="n">
        <x:v>45775</x:v>
      </x:c>
      <x:c r="L1173" t="n">
        <x:v>45775</x:v>
      </x:c>
      <x:c r="M1173" t="str">
        <x:v>Gebucht</x:v>
      </x:c>
      <x:c r="N1173" t="str">
        <x:v>ISSUER</x:v>
      </x:c>
      <x:c r="O1173" t="str">
        <x:v>BLUMEN.STARKE.1.3886300/Salzgitter</x:v>
      </x:c>
      <x:c r="P1173" t="str">
        <x:v>VISA Debitkartenumsatz vom 25.04.2025</x:v>
      </x:c>
      <x:c r="Q1173" t="str">
        <x:v>Ausgang</x:v>
      </x:c>
      <x:c r="R1173" t="str">
        <x:v>DE96120300009005290904</x:v>
      </x:c>
      <x:c r="S1173" t="n">
        <x:v>-8.5</x:v>
      </x:c>
      <x:c r="T1173" t="str">
        <x:v>"</x:v>
      </x:c>
      <x:c r="U1173" t="str">
        <x:v>"</x:v>
      </x:c>
      <x:c r="V1173" t="str">
        <x:v>485115549974099</x:v>
      </x:c>
    </x:row>
    <x:row r="1174">
      <x:c r="A1174" t="str">
        <x:v>RAW-IMP-20260516-FULLDRAFT-001157</x:v>
      </x:c>
      <x:c r="B1174" t="str">
        <x:v>IMP-20260516-FULLDRAFT</x:v>
      </x:c>
      <x:c r="C1174" t="str">
        <x:v>KTO001</x:v>
      </x:c>
      <x:c r="D1174" t="str">
        <x:v>16-05-2026_Umsatzliste_Girokonto_DE98120300001061711675.csv</x:v>
      </x:c>
      <x:c r="E1174" t="n">
        <x:v>46163</x:v>
      </x:c>
      <x:c r="F1174" t="n">
        <x:v>1157</x:v>
      </x:c>
      <x:c r="G1174" t="str">
        <x:v>55b2ae15ce6de4d290a29641ae5a891194053bc351b5e68dea03f75907103be7</x:v>
      </x:c>
      <x:c r="H1174" t="str">
        <x:v>neu</x:v>
      </x:c>
      <x:c r="I1174" t="str">
        <x:v>ok</x:v>
      </x:c>
      <x:c r="J1174"/>
      <x:c r="K1174" t="n">
        <x:v>45775</x:v>
      </x:c>
      <x:c r="L1174" t="n">
        <x:v>45775</x:v>
      </x:c>
      <x:c r="M1174" t="str">
        <x:v>Gebucht</x:v>
      </x:c>
      <x:c r="N1174" t="str">
        <x:v>ISSUER</x:v>
      </x:c>
      <x:c r="O1174" t="str">
        <x:v>EDEKA.POTRATZ/HILDESHEIM</x:v>
      </x:c>
      <x:c r="P1174" t="str">
        <x:v>VISA Debitkartenumsatz vom 25.04.2025</x:v>
      </x:c>
      <x:c r="Q1174" t="str">
        <x:v>Ausgang</x:v>
      </x:c>
      <x:c r="R1174" t="str">
        <x:v>DE96120300009005290904</x:v>
      </x:c>
      <x:c r="S1174" t="n">
        <x:v>-3.29</x:v>
      </x:c>
      <x:c r="T1174" t="str">
        <x:v>"</x:v>
      </x:c>
      <x:c r="U1174" t="str">
        <x:v>"</x:v>
      </x:c>
      <x:c r="V1174" t="str">
        <x:v>485115396837824</x:v>
      </x:c>
    </x:row>
    <x:row r="1175">
      <x:c r="A1175" t="str">
        <x:v>RAW-IMP-20260516-FULLDRAFT-001158</x:v>
      </x:c>
      <x:c r="B1175" t="str">
        <x:v>IMP-20260516-FULLDRAFT</x:v>
      </x:c>
      <x:c r="C1175" t="str">
        <x:v>KTO001</x:v>
      </x:c>
      <x:c r="D1175" t="str">
        <x:v>16-05-2026_Umsatzliste_Girokonto_DE98120300001061711675.csv</x:v>
      </x:c>
      <x:c r="E1175" t="n">
        <x:v>46163</x:v>
      </x:c>
      <x:c r="F1175" t="n">
        <x:v>1158</x:v>
      </x:c>
      <x:c r="G1175" t="str">
        <x:v>dc548fe3055259b667c0c323a77186fe50523b08b64cedb638a2b127bb671642</x:v>
      </x:c>
      <x:c r="H1175" t="str">
        <x:v>neu</x:v>
      </x:c>
      <x:c r="I1175" t="str">
        <x:v>ok</x:v>
      </x:c>
      <x:c r="J1175"/>
      <x:c r="K1175" t="n">
        <x:v>45775</x:v>
      </x:c>
      <x:c r="L1175" t="n">
        <x:v>45775</x:v>
      </x:c>
      <x:c r="M1175" t="str">
        <x:v>Gebucht</x:v>
      </x:c>
      <x:c r="N1175" t="str">
        <x:v>ISSUER</x:v>
      </x:c>
      <x:c r="O1175" t="str">
        <x:v>PEEK...CLOPPENBURG/Braunschweig</x:v>
      </x:c>
      <x:c r="P1175" t="str">
        <x:v>VISA Debitkartenumsatz vom 26.04.2025</x:v>
      </x:c>
      <x:c r="Q1175" t="str">
        <x:v>Ausgang</x:v>
      </x:c>
      <x:c r="R1175" t="str">
        <x:v>DE96120300009005290904</x:v>
      </x:c>
      <x:c r="S1175" t="n">
        <x:v>-29.98</x:v>
      </x:c>
      <x:c r="T1175" t="str">
        <x:v>"</x:v>
      </x:c>
      <x:c r="U1175" t="str">
        <x:v>"</x:v>
      </x:c>
      <x:c r="V1175" t="str">
        <x:v>485116293900744</x:v>
      </x:c>
    </x:row>
    <x:row r="1176">
      <x:c r="A1176" t="str">
        <x:v>RAW-IMP-20260516-FULLDRAFT-001159</x:v>
      </x:c>
      <x:c r="B1176" t="str">
        <x:v>IMP-20260516-FULLDRAFT</x:v>
      </x:c>
      <x:c r="C1176" t="str">
        <x:v>KTO001</x:v>
      </x:c>
      <x:c r="D1176" t="str">
        <x:v>16-05-2026_Umsatzliste_Girokonto_DE98120300001061711675.csv</x:v>
      </x:c>
      <x:c r="E1176" t="n">
        <x:v>46163</x:v>
      </x:c>
      <x:c r="F1176" t="n">
        <x:v>1159</x:v>
      </x:c>
      <x:c r="G1176" t="str">
        <x:v>3748c595fa86a58f592f4522b0bc1ce824301c100545468a30f4a27313c7b8ce</x:v>
      </x:c>
      <x:c r="H1176" t="str">
        <x:v>neu</x:v>
      </x:c>
      <x:c r="I1176" t="str">
        <x:v>ok</x:v>
      </x:c>
      <x:c r="J1176"/>
      <x:c r="K1176" t="n">
        <x:v>45775</x:v>
      </x:c>
      <x:c r="L1176" t="n">
        <x:v>45775</x:v>
      </x:c>
      <x:c r="M1176" t="str">
        <x:v>Gebucht</x:v>
      </x:c>
      <x:c r="N1176" t="str">
        <x:v>ISSUER</x:v>
      </x:c>
      <x:c r="O1176" t="str">
        <x:v>LOEWENBAECKER.SCHAPER/SALZGITTER</x:v>
      </x:c>
      <x:c r="P1176" t="str">
        <x:v>VISA Debitkartenumsatz vom 26.04.2025</x:v>
      </x:c>
      <x:c r="Q1176" t="str">
        <x:v>Ausgang</x:v>
      </x:c>
      <x:c r="R1176" t="str">
        <x:v>DE96120300009005290904</x:v>
      </x:c>
      <x:c r="S1176" t="n">
        <x:v>-4.5</x:v>
      </x:c>
      <x:c r="T1176" t="str">
        <x:v>"</x:v>
      </x:c>
      <x:c r="U1176" t="str">
        <x:v>"</x:v>
      </x:c>
      <x:c r="V1176" t="str">
        <x:v>485116229132265</x:v>
      </x:c>
    </x:row>
    <x:row r="1177">
      <x:c r="A1177" t="str">
        <x:v>RAW-IMP-20260516-FULLDRAFT-001160</x:v>
      </x:c>
      <x:c r="B1177" t="str">
        <x:v>IMP-20260516-FULLDRAFT</x:v>
      </x:c>
      <x:c r="C1177" t="str">
        <x:v>KTO001</x:v>
      </x:c>
      <x:c r="D1177" t="str">
        <x:v>16-05-2026_Umsatzliste_Girokonto_DE98120300001061711675.csv</x:v>
      </x:c>
      <x:c r="E1177" t="n">
        <x:v>46163</x:v>
      </x:c>
      <x:c r="F1177" t="n">
        <x:v>1160</x:v>
      </x:c>
      <x:c r="G1177" t="str">
        <x:v>0935b69a94feac4bb7a50ff9bde3b4734c418529a0f61d4f9233a5807a4d6a77</x:v>
      </x:c>
      <x:c r="H1177" t="str">
        <x:v>neu</x:v>
      </x:c>
      <x:c r="I1177" t="str">
        <x:v>ok</x:v>
      </x:c>
      <x:c r="J1177"/>
      <x:c r="K1177" t="n">
        <x:v>45775</x:v>
      </x:c>
      <x:c r="L1177" t="n">
        <x:v>45775</x:v>
      </x:c>
      <x:c r="M1177" t="str">
        <x:v>Gebucht</x:v>
      </x:c>
      <x:c r="N1177" t="str">
        <x:v>ISSUER</x:v>
      </x:c>
      <x:c r="O1177" t="str">
        <x:v>Ni.Coffee.Coffeeshop/Braunschweig</x:v>
      </x:c>
      <x:c r="P1177" t="str">
        <x:v>VISA Debitkartenumsatz vom 26.04.2025</x:v>
      </x:c>
      <x:c r="Q1177" t="str">
        <x:v>Ausgang</x:v>
      </x:c>
      <x:c r="R1177" t="str">
        <x:v>DE96120300009005290904</x:v>
      </x:c>
      <x:c r="S1177" t="n">
        <x:v>-10.8</x:v>
      </x:c>
      <x:c r="T1177" t="str">
        <x:v>"</x:v>
      </x:c>
      <x:c r="U1177" t="str">
        <x:v>"</x:v>
      </x:c>
      <x:c r="V1177" t="str">
        <x:v>485116316625341</x:v>
      </x:c>
    </x:row>
    <x:row r="1178">
      <x:c r="A1178" t="str">
        <x:v>RAW-IMP-20260516-FULLDRAFT-001161</x:v>
      </x:c>
      <x:c r="B1178" t="str">
        <x:v>IMP-20260516-FULLDRAFT</x:v>
      </x:c>
      <x:c r="C1178" t="str">
        <x:v>KTO001</x:v>
      </x:c>
      <x:c r="D1178" t="str">
        <x:v>16-05-2026_Umsatzliste_Girokonto_DE98120300001061711675.csv</x:v>
      </x:c>
      <x:c r="E1178" t="n">
        <x:v>46163</x:v>
      </x:c>
      <x:c r="F1178" t="n">
        <x:v>1161</x:v>
      </x:c>
      <x:c r="G1178" t="str">
        <x:v>a8a819400ca391ddd5e69bf2966bce49d92e8184d7c25bcf4af57ea95b225dd2</x:v>
      </x:c>
      <x:c r="H1178" t="str">
        <x:v>neu</x:v>
      </x:c>
      <x:c r="I1178" t="str">
        <x:v>ok</x:v>
      </x:c>
      <x:c r="J1178"/>
      <x:c r="K1178" t="n">
        <x:v>45775</x:v>
      </x:c>
      <x:c r="L1178" t="n">
        <x:v>45775</x:v>
      </x:c>
      <x:c r="M1178" t="str">
        <x:v>Gebucht</x:v>
      </x:c>
      <x:c r="N1178" t="str">
        <x:v>ISSUER</x:v>
      </x:c>
      <x:c r="O1178" t="str">
        <x:v>REWE.Salzgitter.Ge/Salzgitter</x:v>
      </x:c>
      <x:c r="P1178" t="str">
        <x:v>VISA Debitkartenumsatz vom 26.04.2025</x:v>
      </x:c>
      <x:c r="Q1178" t="str">
        <x:v>Ausgang</x:v>
      </x:c>
      <x:c r="R1178" t="str">
        <x:v>DE96120300009005290904</x:v>
      </x:c>
      <x:c r="S1178" t="n">
        <x:v>-54.55</x:v>
      </x:c>
      <x:c r="T1178" t="str">
        <x:v>"</x:v>
      </x:c>
      <x:c r="U1178" t="str">
        <x:v>"</x:v>
      </x:c>
      <x:c r="V1178" t="str">
        <x:v>485116617225246</x:v>
      </x:c>
    </x:row>
    <x:row r="1179">
      <x:c r="A1179" t="str">
        <x:v>RAW-IMP-20260516-FULLDRAFT-001162</x:v>
      </x:c>
      <x:c r="B1179" t="str">
        <x:v>IMP-20260516-FULLDRAFT</x:v>
      </x:c>
      <x:c r="C1179" t="str">
        <x:v>KTO001</x:v>
      </x:c>
      <x:c r="D1179" t="str">
        <x:v>16-05-2026_Umsatzliste_Girokonto_DE98120300001061711675.csv</x:v>
      </x:c>
      <x:c r="E1179" t="n">
        <x:v>46163</x:v>
      </x:c>
      <x:c r="F1179" t="n">
        <x:v>1162</x:v>
      </x:c>
      <x:c r="G1179" t="str">
        <x:v>0c70a91d984bb761c2eb605da60b4c2a9495172238c40c1ef88f32adf951a3fe</x:v>
      </x:c>
      <x:c r="H1179" t="str">
        <x:v>neu</x:v>
      </x:c>
      <x:c r="I1179" t="str">
        <x:v>ok</x:v>
      </x:c>
      <x:c r="J1179"/>
      <x:c r="K1179" t="n">
        <x:v>45775</x:v>
      </x:c>
      <x:c r="L1179" t="n">
        <x:v>45775</x:v>
      </x:c>
      <x:c r="M1179" t="str">
        <x:v>Gebucht</x:v>
      </x:c>
      <x:c r="N1179" t="str">
        <x:v>Lars Kohlenberg</x:v>
      </x:c>
      <x:c r="O1179" t="str">
        <x:v>Kobmand Hansens Feriehusudl. A/S</x:v>
      </x:c>
      <x:c r="P1179" t="str">
        <x:v>Koebmand Hansens Feriehusudlejning A/S, booking 338802</x:v>
      </x:c>
      <x:c r="Q1179" t="str">
        <x:v>Ausgang</x:v>
      </x:c>
      <x:c r="R1179" t="str">
        <x:v>DE57215106001603910008</x:v>
      </x:c>
      <x:c r="S1179" t="n">
        <x:v>-203.84</x:v>
      </x:c>
      <x:c r="T1179" t="str">
        <x:v>DE16ZZZ00001706008</x:v>
      </x:c>
      <x:c r="U1179" t="str">
        <x:v>RES338802</x:v>
      </x:c>
      <x:c r="V1179" t="str">
        <x:v>DDBT(62655), Res. 338802</x:v>
      </x:c>
    </x:row>
    <x:row r="1180">
      <x:c r="A1180" t="str">
        <x:v>RAW-IMP-20260516-FULLDRAFT-001163</x:v>
      </x:c>
      <x:c r="B1180" t="str">
        <x:v>IMP-20260516-FULLDRAFT</x:v>
      </x:c>
      <x:c r="C1180" t="str">
        <x:v>KTO001</x:v>
      </x:c>
      <x:c r="D1180" t="str">
        <x:v>16-05-2026_Umsatzliste_Girokonto_DE98120300001061711675.csv</x:v>
      </x:c>
      <x:c r="E1180" t="n">
        <x:v>46163</x:v>
      </x:c>
      <x:c r="F1180" t="n">
        <x:v>1163</x:v>
      </x:c>
      <x:c r="G1180" t="str">
        <x:v>10ba9e8d306979746d2964a607664fc1ccfbb87cfc7bdf6183164e0b3c23c64c</x:v>
      </x:c>
      <x:c r="H1180" t="str">
        <x:v>neu</x:v>
      </x:c>
      <x:c r="I1180" t="str">
        <x:v>ok</x:v>
      </x:c>
      <x:c r="J1180"/>
      <x:c r="K1180" t="n">
        <x:v>45772</x:v>
      </x:c>
      <x:c r="L1180" t="n">
        <x:v>45772</x:v>
      </x:c>
      <x:c r="M1180" t="str">
        <x:v>Gebucht</x:v>
      </x:c>
      <x:c r="N1180" t="str">
        <x:v>ISSUER</x:v>
      </x:c>
      <x:c r="O1180" t="str">
        <x:v>EDEKA.POTRATZ/HILDESHEIM</x:v>
      </x:c>
      <x:c r="P1180" t="str">
        <x:v>VISA Debitkartenumsatz vom 24.04.2025</x:v>
      </x:c>
      <x:c r="Q1180" t="str">
        <x:v>Ausgang</x:v>
      </x:c>
      <x:c r="R1180" t="str">
        <x:v>DE96120300009005290904</x:v>
      </x:c>
      <x:c r="S1180" t="n">
        <x:v>-5</x:v>
      </x:c>
      <x:c r="T1180" t="str">
        <x:v>"</x:v>
      </x:c>
      <x:c r="U1180" t="str">
        <x:v>"</x:v>
      </x:c>
      <x:c r="V1180" t="str">
        <x:v>485114383655775</x:v>
      </x:c>
    </x:row>
    <x:row r="1181">
      <x:c r="A1181" t="str">
        <x:v>RAW-IMP-20260516-FULLDRAFT-001164</x:v>
      </x:c>
      <x:c r="B1181" t="str">
        <x:v>IMP-20260516-FULLDRAFT</x:v>
      </x:c>
      <x:c r="C1181" t="str">
        <x:v>KTO001</x:v>
      </x:c>
      <x:c r="D1181" t="str">
        <x:v>16-05-2026_Umsatzliste_Girokonto_DE98120300001061711675.csv</x:v>
      </x:c>
      <x:c r="E1181" t="n">
        <x:v>46163</x:v>
      </x:c>
      <x:c r="F1181" t="n">
        <x:v>1164</x:v>
      </x:c>
      <x:c r="G1181" t="str">
        <x:v>13e1f3edc3e265416760ff1696c3b4c768c96311fa815bf35b151d228bc164b1</x:v>
      </x:c>
      <x:c r="H1181" t="str">
        <x:v>neu</x:v>
      </x:c>
      <x:c r="I1181" t="str">
        <x:v>ok</x:v>
      </x:c>
      <x:c r="J1181"/>
      <x:c r="K1181" t="n">
        <x:v>45772</x:v>
      </x:c>
      <x:c r="L1181" t="n">
        <x:v>45772</x:v>
      </x:c>
      <x:c r="M1181" t="str">
        <x:v>Gebucht</x:v>
      </x:c>
      <x:c r="N1181" t="str">
        <x:v>ISSUER</x:v>
      </x:c>
      <x:c r="O1181" t="str">
        <x:v>DM.Drogerie.Markt/Hildesheim</x:v>
      </x:c>
      <x:c r="P1181" t="str">
        <x:v>VISA Debitkartenumsatz vom 24.04.2025</x:v>
      </x:c>
      <x:c r="Q1181" t="str">
        <x:v>Ausgang</x:v>
      </x:c>
      <x:c r="R1181" t="str">
        <x:v>DE96120300009005290904</x:v>
      </x:c>
      <x:c r="S1181" t="n">
        <x:v>-4</x:v>
      </x:c>
      <x:c r="T1181" t="str">
        <x:v>"</x:v>
      </x:c>
      <x:c r="U1181" t="str">
        <x:v>"</x:v>
      </x:c>
      <x:c r="V1181" t="str">
        <x:v>485114568551717</x:v>
      </x:c>
    </x:row>
    <x:row r="1182">
      <x:c r="A1182" t="str">
        <x:v>RAW-IMP-20260516-FULLDRAFT-001165</x:v>
      </x:c>
      <x:c r="B1182" t="str">
        <x:v>IMP-20260516-FULLDRAFT</x:v>
      </x:c>
      <x:c r="C1182" t="str">
        <x:v>KTO001</x:v>
      </x:c>
      <x:c r="D1182" t="str">
        <x:v>16-05-2026_Umsatzliste_Girokonto_DE98120300001061711675.csv</x:v>
      </x:c>
      <x:c r="E1182" t="n">
        <x:v>46163</x:v>
      </x:c>
      <x:c r="F1182" t="n">
        <x:v>1165</x:v>
      </x:c>
      <x:c r="G1182" t="str">
        <x:v>221300f64e9408ca70e0809f1b0bfa74bc36ca26fea8d73a4edca22a2a422cb4</x:v>
      </x:c>
      <x:c r="H1182" t="str">
        <x:v>neu</x:v>
      </x:c>
      <x:c r="I1182" t="str">
        <x:v>ok</x:v>
      </x:c>
      <x:c r="J1182"/>
      <x:c r="K1182" t="n">
        <x:v>45771</x:v>
      </x:c>
      <x:c r="L1182" t="n">
        <x:v>45771</x:v>
      </x:c>
      <x:c r="M1182" t="str">
        <x:v>Gebucht</x:v>
      </x:c>
      <x:c r="N1182" t="str">
        <x:v>ISSUER</x:v>
      </x:c>
      <x:c r="O1182" t="str">
        <x:v>SP.LA.NOSTRA.CIUTAT/BARCELONA</x:v>
      </x:c>
      <x:c r="P1182" t="str">
        <x:v>VISA Debitkartenumsatz vom 23.04.2025</x:v>
      </x:c>
      <x:c r="Q1182" t="str">
        <x:v>Ausgang</x:v>
      </x:c>
      <x:c r="R1182" t="str">
        <x:v>DE96120300009005290904</x:v>
      </x:c>
      <x:c r="S1182" t="n">
        <x:v>-30.95</x:v>
      </x:c>
      <x:c r="T1182" t="str">
        <x:v>"</x:v>
      </x:c>
      <x:c r="U1182" t="str">
        <x:v>"</x:v>
      </x:c>
      <x:c r="V1182" t="str">
        <x:v>485113741564099</x:v>
      </x:c>
    </x:row>
    <x:row r="1183">
      <x:c r="A1183" t="str">
        <x:v>RAW-IMP-20260516-FULLDRAFT-001166</x:v>
      </x:c>
      <x:c r="B1183" t="str">
        <x:v>IMP-20260516-FULLDRAFT</x:v>
      </x:c>
      <x:c r="C1183" t="str">
        <x:v>KTO001</x:v>
      </x:c>
      <x:c r="D1183" t="str">
        <x:v>16-05-2026_Umsatzliste_Girokonto_DE98120300001061711675.csv</x:v>
      </x:c>
      <x:c r="E1183" t="n">
        <x:v>46163</x:v>
      </x:c>
      <x:c r="F1183" t="n">
        <x:v>1166</x:v>
      </x:c>
      <x:c r="G1183" t="str">
        <x:v>cf311517c750f0a88d49f9641ca9034b3a3f4c659c80fcb25a81eb835613542c</x:v>
      </x:c>
      <x:c r="H1183" t="str">
        <x:v>neu</x:v>
      </x:c>
      <x:c r="I1183" t="str">
        <x:v>ok</x:v>
      </x:c>
      <x:c r="J1183"/>
      <x:c r="K1183" t="n">
        <x:v>45770</x:v>
      </x:c>
      <x:c r="L1183" t="n">
        <x:v>45770</x:v>
      </x:c>
      <x:c r="M1183" t="str">
        <x:v>Gebucht</x:v>
      </x:c>
      <x:c r="N1183" t="str">
        <x:v>ISSUER</x:v>
      </x:c>
      <x:c r="O1183" t="str">
        <x:v>EDEKA.POTRATZ/HILDESHEIM</x:v>
      </x:c>
      <x:c r="P1183" t="str">
        <x:v>VISA Debitkartenumsatz vom 22.04.2025</x:v>
      </x:c>
      <x:c r="Q1183" t="str">
        <x:v>Ausgang</x:v>
      </x:c>
      <x:c r="R1183" t="str">
        <x:v>DE96120300009005290904</x:v>
      </x:c>
      <x:c r="S1183" t="n">
        <x:v>-1.99</x:v>
      </x:c>
      <x:c r="T1183" t="str">
        <x:v>"</x:v>
      </x:c>
      <x:c r="U1183" t="str">
        <x:v>"</x:v>
      </x:c>
      <x:c r="V1183" t="str">
        <x:v>485112594542495</x:v>
      </x:c>
    </x:row>
    <x:row r="1184">
      <x:c r="A1184" t="str">
        <x:v>RAW-IMP-20260516-FULLDRAFT-001167</x:v>
      </x:c>
      <x:c r="B1184" t="str">
        <x:v>IMP-20260516-FULLDRAFT</x:v>
      </x:c>
      <x:c r="C1184" t="str">
        <x:v>KTO001</x:v>
      </x:c>
      <x:c r="D1184" t="str">
        <x:v>16-05-2026_Umsatzliste_Girokonto_DE98120300001061711675.csv</x:v>
      </x:c>
      <x:c r="E1184" t="n">
        <x:v>46163</x:v>
      </x:c>
      <x:c r="F1184" t="n">
        <x:v>1167</x:v>
      </x:c>
      <x:c r="G1184" t="str">
        <x:v>9a7ed8f4889d45ae94eac57b6d3b9ebdf34434f42173bd29abf48c7f5a911f89</x:v>
      </x:c>
      <x:c r="H1184" t="str">
        <x:v>neu</x:v>
      </x:c>
      <x:c r="I1184" t="str">
        <x:v>ok</x:v>
      </x:c>
      <x:c r="J1184"/>
      <x:c r="K1184" t="n">
        <x:v>45770</x:v>
      </x:c>
      <x:c r="L1184" t="n">
        <x:v>45770</x:v>
      </x:c>
      <x:c r="M1184" t="str">
        <x:v>Gebucht</x:v>
      </x:c>
      <x:c r="N1184" t="str">
        <x:v>Lars Kohlenberg</x:v>
      </x:c>
      <x:c r="O1184" t="str">
        <x:v>Lars Kohlenberg</x:v>
      </x:c>
      <x:c r="P1184" t="str">
        <x:v>Uebertrag</x:v>
      </x:c>
      <x:c r="Q1184" t="str">
        <x:v>Eingang</x:v>
      </x:c>
      <x:c r="R1184" t="str">
        <x:v>DE91270200001510365800</x:v>
      </x:c>
      <x:c r="S1184" t="n">
        <x:v>500</x:v>
      </x:c>
      <x:c r="T1184" t="str">
        <x:v>"</x:v>
      </x:c>
      <x:c r="U1184" t="str">
        <x:v>"</x:v>
      </x:c>
      <x:c r="V1184" t="str">
        <x:v>"</x:v>
      </x:c>
    </x:row>
    <x:row r="1185">
      <x:c r="A1185" t="str">
        <x:v>RAW-IMP-20260516-FULLDRAFT-001168</x:v>
      </x:c>
      <x:c r="B1185" t="str">
        <x:v>IMP-20260516-FULLDRAFT</x:v>
      </x:c>
      <x:c r="C1185" t="str">
        <x:v>KTO001</x:v>
      </x:c>
      <x:c r="D1185" t="str">
        <x:v>16-05-2026_Umsatzliste_Girokonto_DE98120300001061711675.csv</x:v>
      </x:c>
      <x:c r="E1185" t="n">
        <x:v>46163</x:v>
      </x:c>
      <x:c r="F1185" t="n">
        <x:v>1168</x:v>
      </x:c>
      <x:c r="G1185" t="str">
        <x:v>96492185ccf8fbfa1d0b710c988c03207bf4de541cf774a85c1387f05598c6ec</x:v>
      </x:c>
      <x:c r="H1185" t="str">
        <x:v>neu</x:v>
      </x:c>
      <x:c r="I1185" t="str">
        <x:v>ok</x:v>
      </x:c>
      <x:c r="J1185"/>
      <x:c r="K1185" t="n">
        <x:v>45769</x:v>
      </x:c>
      <x:c r="L1185" t="n">
        <x:v>45769</x:v>
      </x:c>
      <x:c r="M1185" t="str">
        <x:v>Gebucht</x:v>
      </x:c>
      <x:c r="N1185" t="str">
        <x:v>ISSUER</x:v>
      </x:c>
      <x:c r="O1185" t="str">
        <x:v>APPLE.COM.BILL/08006645451</x:v>
      </x:c>
      <x:c r="P1185" t="str">
        <x:v>VISA Debitkartenumsatz vom 21.04.2025</x:v>
      </x:c>
      <x:c r="Q1185" t="str">
        <x:v>Ausgang</x:v>
      </x:c>
      <x:c r="R1185" t="str">
        <x:v>DE96120300009005290904</x:v>
      </x:c>
      <x:c r="S1185" t="n">
        <x:v>-2.99</x:v>
      </x:c>
      <x:c r="T1185" t="str">
        <x:v>"</x:v>
      </x:c>
      <x:c r="U1185" t="str">
        <x:v>"</x:v>
      </x:c>
      <x:c r="V1185" t="str">
        <x:v>485111466656552</x:v>
      </x:c>
    </x:row>
    <x:row r="1186">
      <x:c r="A1186" t="str">
        <x:v>RAW-IMP-20260516-FULLDRAFT-001169</x:v>
      </x:c>
      <x:c r="B1186" t="str">
        <x:v>IMP-20260516-FULLDRAFT</x:v>
      </x:c>
      <x:c r="C1186" t="str">
        <x:v>KTO001</x:v>
      </x:c>
      <x:c r="D1186" t="str">
        <x:v>16-05-2026_Umsatzliste_Girokonto_DE98120300001061711675.csv</x:v>
      </x:c>
      <x:c r="E1186" t="n">
        <x:v>46163</x:v>
      </x:c>
      <x:c r="F1186" t="n">
        <x:v>1169</x:v>
      </x:c>
      <x:c r="G1186" t="str">
        <x:v>5a6cfd843e28fef25c6cc4acc2644b04659f6c703899ef33ca684a1db029e86c</x:v>
      </x:c>
      <x:c r="H1186" t="str">
        <x:v>neu</x:v>
      </x:c>
      <x:c r="I1186" t="str">
        <x:v>ok</x:v>
      </x:c>
      <x:c r="J1186"/>
      <x:c r="K1186" t="n">
        <x:v>45769</x:v>
      </x:c>
      <x:c r="L1186" t="n">
        <x:v>45769</x:v>
      </x:c>
      <x:c r="M1186" t="str">
        <x:v>Gebucht</x:v>
      </x:c>
      <x:c r="N1186" t="str">
        <x:v>ISSUER</x:v>
      </x:c>
      <x:c r="O1186" t="str">
        <x:v>REWE.Salzgitter.Ge/Salzgitter</x:v>
      </x:c>
      <x:c r="P1186" t="str">
        <x:v>VISA Debitkartenumsatz vom 17.04.2025</x:v>
      </x:c>
      <x:c r="Q1186" t="str">
        <x:v>Ausgang</x:v>
      </x:c>
      <x:c r="R1186" t="str">
        <x:v>DE96120300009005290904</x:v>
      </x:c>
      <x:c r="S1186" t="n">
        <x:v>-46.14</x:v>
      </x:c>
      <x:c r="T1186" t="str">
        <x:v>"</x:v>
      </x:c>
      <x:c r="U1186" t="str">
        <x:v>"</x:v>
      </x:c>
      <x:c r="V1186" t="str">
        <x:v>485107531790684</x:v>
      </x:c>
    </x:row>
    <x:row r="1187">
      <x:c r="A1187" t="str">
        <x:v>RAW-IMP-20260516-FULLDRAFT-001170</x:v>
      </x:c>
      <x:c r="B1187" t="str">
        <x:v>IMP-20260516-FULLDRAFT</x:v>
      </x:c>
      <x:c r="C1187" t="str">
        <x:v>KTO001</x:v>
      </x:c>
      <x:c r="D1187" t="str">
        <x:v>16-05-2026_Umsatzliste_Girokonto_DE98120300001061711675.csv</x:v>
      </x:c>
      <x:c r="E1187" t="n">
        <x:v>46163</x:v>
      </x:c>
      <x:c r="F1187" t="n">
        <x:v>1170</x:v>
      </x:c>
      <x:c r="G1187" t="str">
        <x:v>96bbfd2981249443e1a8cd9f546dc1cc16ad249f0ec193c83d04715a951133aa</x:v>
      </x:c>
      <x:c r="H1187" t="str">
        <x:v>neu</x:v>
      </x:c>
      <x:c r="I1187" t="str">
        <x:v>ok</x:v>
      </x:c>
      <x:c r="J1187"/>
      <x:c r="K1187" t="n">
        <x:v>45769</x:v>
      </x:c>
      <x:c r="L1187" t="n">
        <x:v>45769</x:v>
      </x:c>
      <x:c r="M1187" t="str">
        <x:v>Gebucht</x:v>
      </x:c>
      <x:c r="N1187" t="str">
        <x:v>ISSUER</x:v>
      </x:c>
      <x:c r="O1187" t="str">
        <x:v>PAYPAL..hassmann/Visa.Direct</x:v>
      </x:c>
      <x:c r="P1187" t="str">
        <x:v>VISA Debitkartenumsatz vom 21.04.2025</x:v>
      </x:c>
      <x:c r="Q1187" t="str">
        <x:v>Ausgang</x:v>
      </x:c>
      <x:c r="R1187" t="str">
        <x:v>DE96120300009005290904</x:v>
      </x:c>
      <x:c r="S1187" t="n">
        <x:v>-134.39</x:v>
      </x:c>
      <x:c r="T1187" t="str">
        <x:v>"</x:v>
      </x:c>
      <x:c r="U1187" t="str">
        <x:v>"</x:v>
      </x:c>
      <x:c r="V1187" t="str">
        <x:v>305111333048754</x:v>
      </x:c>
    </x:row>
    <x:row r="1188">
      <x:c r="A1188" t="str">
        <x:v>RAW-IMP-20260516-FULLDRAFT-001171</x:v>
      </x:c>
      <x:c r="B1188" t="str">
        <x:v>IMP-20260516-FULLDRAFT</x:v>
      </x:c>
      <x:c r="C1188" t="str">
        <x:v>KTO001</x:v>
      </x:c>
      <x:c r="D1188" t="str">
        <x:v>16-05-2026_Umsatzliste_Girokonto_DE98120300001061711675.csv</x:v>
      </x:c>
      <x:c r="E1188" t="n">
        <x:v>46163</x:v>
      </x:c>
      <x:c r="F1188" t="n">
        <x:v>1171</x:v>
      </x:c>
      <x:c r="G1188" t="str">
        <x:v>f39d60327268ceba570a014783ad43a6dab792b299e76c4d775c890a704f3f8f</x:v>
      </x:c>
      <x:c r="H1188" t="str">
        <x:v>neu</x:v>
      </x:c>
      <x:c r="I1188" t="str">
        <x:v>ok</x:v>
      </x:c>
      <x:c r="J1188"/>
      <x:c r="K1188" t="n">
        <x:v>45769</x:v>
      </x:c>
      <x:c r="L1188" t="n">
        <x:v>45769</x:v>
      </x:c>
      <x:c r="M1188" t="str">
        <x:v>Gebucht</x:v>
      </x:c>
      <x:c r="N1188" t="str">
        <x:v>ISSUER</x:v>
      </x:c>
      <x:c r="O1188" t="str">
        <x:v>UZR.C1.Cinema.Braunschw/Hamburg</x:v>
      </x:c>
      <x:c r="P1188" t="str">
        <x:v>VISA Debitkartenumsatz vom 18.04.2025</x:v>
      </x:c>
      <x:c r="Q1188" t="str">
        <x:v>Ausgang</x:v>
      </x:c>
      <x:c r="R1188" t="str">
        <x:v>DE96120300009005290904</x:v>
      </x:c>
      <x:c r="S1188" t="n">
        <x:v>-10.5</x:v>
      </x:c>
      <x:c r="T1188" t="str">
        <x:v>"</x:v>
      </x:c>
      <x:c r="U1188" t="str">
        <x:v>"</x:v>
      </x:c>
      <x:c r="V1188" t="str">
        <x:v>485108660421551</x:v>
      </x:c>
    </x:row>
    <x:row r="1189">
      <x:c r="A1189" t="str">
        <x:v>RAW-IMP-20260516-FULLDRAFT-001172</x:v>
      </x:c>
      <x:c r="B1189" t="str">
        <x:v>IMP-20260516-FULLDRAFT</x:v>
      </x:c>
      <x:c r="C1189" t="str">
        <x:v>KTO001</x:v>
      </x:c>
      <x:c r="D1189" t="str">
        <x:v>16-05-2026_Umsatzliste_Girokonto_DE98120300001061711675.csv</x:v>
      </x:c>
      <x:c r="E1189" t="n">
        <x:v>46163</x:v>
      </x:c>
      <x:c r="F1189" t="n">
        <x:v>1172</x:v>
      </x:c>
      <x:c r="G1189" t="str">
        <x:v>f2ba7eedeab1cb0dc5b2102fa28bfa3b3f4576ecaef1084c095eac24d73bff1a</x:v>
      </x:c>
      <x:c r="H1189" t="str">
        <x:v>neu</x:v>
      </x:c>
      <x:c r="I1189" t="str">
        <x:v>ok</x:v>
      </x:c>
      <x:c r="J1189"/>
      <x:c r="K1189" t="n">
        <x:v>45769</x:v>
      </x:c>
      <x:c r="L1189" t="n">
        <x:v>45769</x:v>
      </x:c>
      <x:c r="M1189" t="str">
        <x:v>Gebucht</x:v>
      </x:c>
      <x:c r="N1189" t="str">
        <x:v>ISSUER</x:v>
      </x:c>
      <x:c r="O1189" t="str">
        <x:v>SYSTEMGASTRONOMIE.GMBH/BUCHHOLZ</x:v>
      </x:c>
      <x:c r="P1189" t="str">
        <x:v>VISA Debitkartenumsatz vom 17.04.2025</x:v>
      </x:c>
      <x:c r="Q1189" t="str">
        <x:v>Ausgang</x:v>
      </x:c>
      <x:c r="R1189" t="str">
        <x:v>DE96120300009005290904</x:v>
      </x:c>
      <x:c r="S1189" t="n">
        <x:v>-20.98</x:v>
      </x:c>
      <x:c r="T1189" t="str">
        <x:v>"</x:v>
      </x:c>
      <x:c r="U1189" t="str">
        <x:v>"</x:v>
      </x:c>
      <x:c r="V1189" t="str">
        <x:v>485107614350331</x:v>
      </x:c>
    </x:row>
    <x:row r="1190">
      <x:c r="A1190" t="str">
        <x:v>RAW-IMP-20260516-FULLDRAFT-001173</x:v>
      </x:c>
      <x:c r="B1190" t="str">
        <x:v>IMP-20260516-FULLDRAFT</x:v>
      </x:c>
      <x:c r="C1190" t="str">
        <x:v>KTO001</x:v>
      </x:c>
      <x:c r="D1190" t="str">
        <x:v>16-05-2026_Umsatzliste_Girokonto_DE98120300001061711675.csv</x:v>
      </x:c>
      <x:c r="E1190" t="n">
        <x:v>46163</x:v>
      </x:c>
      <x:c r="F1190" t="n">
        <x:v>1173</x:v>
      </x:c>
      <x:c r="G1190" t="str">
        <x:v>ac043905fabb285f96ceb41f86212fbbfcef2ecfae96d1a6537150693f368cd8</x:v>
      </x:c>
      <x:c r="H1190" t="str">
        <x:v>neu</x:v>
      </x:c>
      <x:c r="I1190" t="str">
        <x:v>ok</x:v>
      </x:c>
      <x:c r="J1190"/>
      <x:c r="K1190" t="n">
        <x:v>45769</x:v>
      </x:c>
      <x:c r="L1190" t="n">
        <x:v>45769</x:v>
      </x:c>
      <x:c r="M1190" t="str">
        <x:v>Gebucht</x:v>
      </x:c>
      <x:c r="N1190" t="str">
        <x:v>ISSUER</x:v>
      </x:c>
      <x:c r="O1190" t="str">
        <x:v>ASTOR.FILMTHEATER/BRAUNSCHWEIG</x:v>
      </x:c>
      <x:c r="P1190" t="str">
        <x:v>VISA Debitkartenumsatz vom 17.04.2025</x:v>
      </x:c>
      <x:c r="Q1190" t="str">
        <x:v>Ausgang</x:v>
      </x:c>
      <x:c r="R1190" t="str">
        <x:v>DE96120300009005290904</x:v>
      </x:c>
      <x:c r="S1190" t="n">
        <x:v>-30</x:v>
      </x:c>
      <x:c r="T1190" t="str">
        <x:v>"</x:v>
      </x:c>
      <x:c r="U1190" t="str">
        <x:v>"</x:v>
      </x:c>
      <x:c r="V1190" t="str">
        <x:v>485107394994018</x:v>
      </x:c>
    </x:row>
    <x:row r="1191">
      <x:c r="A1191" t="str">
        <x:v>RAW-IMP-20260516-FULLDRAFT-001174</x:v>
      </x:c>
      <x:c r="B1191" t="str">
        <x:v>IMP-20260516-FULLDRAFT</x:v>
      </x:c>
      <x:c r="C1191" t="str">
        <x:v>KTO001</x:v>
      </x:c>
      <x:c r="D1191" t="str">
        <x:v>16-05-2026_Umsatzliste_Girokonto_DE98120300001061711675.csv</x:v>
      </x:c>
      <x:c r="E1191" t="n">
        <x:v>46163</x:v>
      </x:c>
      <x:c r="F1191" t="n">
        <x:v>1174</x:v>
      </x:c>
      <x:c r="G1191" t="str">
        <x:v>8d348f15eef862adcfd3f938c7ad2f3b7228d98af2eacf173d7162c6382b0de9</x:v>
      </x:c>
      <x:c r="H1191" t="str">
        <x:v>neu</x:v>
      </x:c>
      <x:c r="I1191" t="str">
        <x:v>ok</x:v>
      </x:c>
      <x:c r="J1191"/>
      <x:c r="K1191" t="n">
        <x:v>45769</x:v>
      </x:c>
      <x:c r="L1191" t="n">
        <x:v>45769</x:v>
      </x:c>
      <x:c r="M1191" t="str">
        <x:v>Gebucht</x:v>
      </x:c>
      <x:c r="N1191" t="str">
        <x:v>ISSUER</x:v>
      </x:c>
      <x:c r="O1191" t="str">
        <x:v>REWE.Salzgitter.Ge/Salzgitter</x:v>
      </x:c>
      <x:c r="P1191" t="str">
        <x:v>VISA Debitkartenumsatz vom 19.04.2025</x:v>
      </x:c>
      <x:c r="Q1191" t="str">
        <x:v>Ausgang</x:v>
      </x:c>
      <x:c r="R1191" t="str">
        <x:v>DE96120300009005290904</x:v>
      </x:c>
      <x:c r="S1191" t="n">
        <x:v>-117.5</x:v>
      </x:c>
      <x:c r="T1191" t="str">
        <x:v>"</x:v>
      </x:c>
      <x:c r="U1191" t="str">
        <x:v>"</x:v>
      </x:c>
      <x:c r="V1191" t="str">
        <x:v>485109316120350</x:v>
      </x:c>
    </x:row>
    <x:row r="1192">
      <x:c r="A1192" t="str">
        <x:v>RAW-IMP-20260516-FULLDRAFT-001175</x:v>
      </x:c>
      <x:c r="B1192" t="str">
        <x:v>IMP-20260516-FULLDRAFT</x:v>
      </x:c>
      <x:c r="C1192" t="str">
        <x:v>KTO001</x:v>
      </x:c>
      <x:c r="D1192" t="str">
        <x:v>16-05-2026_Umsatzliste_Girokonto_DE98120300001061711675.csv</x:v>
      </x:c>
      <x:c r="E1192" t="n">
        <x:v>46163</x:v>
      </x:c>
      <x:c r="F1192" t="n">
        <x:v>1175</x:v>
      </x:c>
      <x:c r="G1192" t="str">
        <x:v>f38bfc520c5218f722bd7cbc12bca427ecd73017cbe8277ae6f6842382e0a511</x:v>
      </x:c>
      <x:c r="H1192" t="str">
        <x:v>neu</x:v>
      </x:c>
      <x:c r="I1192" t="str">
        <x:v>ok</x:v>
      </x:c>
      <x:c r="J1192"/>
      <x:c r="K1192" t="n">
        <x:v>45769</x:v>
      </x:c>
      <x:c r="L1192" t="n">
        <x:v>45769</x:v>
      </x:c>
      <x:c r="M1192" t="str">
        <x:v>Gebucht</x:v>
      </x:c>
      <x:c r="N1192" t="str">
        <x:v>ISSUER</x:v>
      </x:c>
      <x:c r="O1192" t="str">
        <x:v>LIEBESKUH.GMBH...CO..K/BRAUNSCHWEIG</x:v>
      </x:c>
      <x:c r="P1192" t="str">
        <x:v>VISA Debitkartenumsatz vom 18.04.2025</x:v>
      </x:c>
      <x:c r="Q1192" t="str">
        <x:v>Ausgang</x:v>
      </x:c>
      <x:c r="R1192" t="str">
        <x:v>DE96120300009005290904</x:v>
      </x:c>
      <x:c r="S1192" t="n">
        <x:v>-70</x:v>
      </x:c>
      <x:c r="T1192" t="str">
        <x:v>"</x:v>
      </x:c>
      <x:c r="U1192" t="str">
        <x:v>"</x:v>
      </x:c>
      <x:c r="V1192" t="str">
        <x:v>485108638732786</x:v>
      </x:c>
    </x:row>
    <x:row r="1193">
      <x:c r="A1193" t="str">
        <x:v>RAW-IMP-20260516-FULLDRAFT-001176</x:v>
      </x:c>
      <x:c r="B1193" t="str">
        <x:v>IMP-20260516-FULLDRAFT</x:v>
      </x:c>
      <x:c r="C1193" t="str">
        <x:v>KTO001</x:v>
      </x:c>
      <x:c r="D1193" t="str">
        <x:v>16-05-2026_Umsatzliste_Girokonto_DE98120300001061711675.csv</x:v>
      </x:c>
      <x:c r="E1193" t="n">
        <x:v>46163</x:v>
      </x:c>
      <x:c r="F1193" t="n">
        <x:v>1176</x:v>
      </x:c>
      <x:c r="G1193" t="str">
        <x:v>dcb5d7fe748333b93e2d72283bf43f0fb4ef52198106eff96aebda89fd997bd1</x:v>
      </x:c>
      <x:c r="H1193" t="str">
        <x:v>neu</x:v>
      </x:c>
      <x:c r="I1193" t="str">
        <x:v>ok</x:v>
      </x:c>
      <x:c r="J1193"/>
      <x:c r="K1193" t="n">
        <x:v>45769</x:v>
      </x:c>
      <x:c r="L1193" t="n">
        <x:v>45769</x:v>
      </x:c>
      <x:c r="M1193" t="str">
        <x:v>Gebucht</x:v>
      </x:c>
      <x:c r="N1193" t="str">
        <x:v>ISSUER</x:v>
      </x:c>
      <x:c r="O1193" t="str">
        <x:v>PAYPAL..HPDEUTSCHLA/4029357733</x:v>
      </x:c>
      <x:c r="P1193" t="str">
        <x:v>VISA Debitkartenumsatz vom 19.04.2025</x:v>
      </x:c>
      <x:c r="Q1193" t="str">
        <x:v>Ausgang</x:v>
      </x:c>
      <x:c r="R1193" t="str">
        <x:v>DE96120300009005290904</x:v>
      </x:c>
      <x:c r="S1193" t="n">
        <x:v>-4.99</x:v>
      </x:c>
      <x:c r="T1193" t="str">
        <x:v>"</x:v>
      </x:c>
      <x:c r="U1193" t="str">
        <x:v>"</x:v>
      </x:c>
      <x:c r="V1193" t="str">
        <x:v>385109686475560</x:v>
      </x:c>
    </x:row>
    <x:row r="1194">
      <x:c r="A1194" t="str">
        <x:v>RAW-IMP-20260516-FULLDRAFT-001177</x:v>
      </x:c>
      <x:c r="B1194" t="str">
        <x:v>IMP-20260516-FULLDRAFT</x:v>
      </x:c>
      <x:c r="C1194" t="str">
        <x:v>KTO001</x:v>
      </x:c>
      <x:c r="D1194" t="str">
        <x:v>16-05-2026_Umsatzliste_Girokonto_DE98120300001061711675.csv</x:v>
      </x:c>
      <x:c r="E1194" t="n">
        <x:v>46163</x:v>
      </x:c>
      <x:c r="F1194" t="n">
        <x:v>1177</x:v>
      </x:c>
      <x:c r="G1194" t="str">
        <x:v>bd92ff8caed81bf5ccec2061ee047c2933c49946e8a49ab22d53b3890a32b6a5</x:v>
      </x:c>
      <x:c r="H1194" t="str">
        <x:v>neu</x:v>
      </x:c>
      <x:c r="I1194" t="str">
        <x:v>ok</x:v>
      </x:c>
      <x:c r="J1194"/>
      <x:c r="K1194" t="n">
        <x:v>45769</x:v>
      </x:c>
      <x:c r="L1194" t="n">
        <x:v>45769</x:v>
      </x:c>
      <x:c r="M1194" t="str">
        <x:v>Gebucht</x:v>
      </x:c>
      <x:c r="N1194" t="str">
        <x:v>ISSUER</x:v>
      </x:c>
      <x:c r="O1194" t="str">
        <x:v>LOEWENBAECKER.SCHAPER/SALZGITTER</x:v>
      </x:c>
      <x:c r="P1194" t="str">
        <x:v>VISA Debitkartenumsatz vom 19.04.2025</x:v>
      </x:c>
      <x:c r="Q1194" t="str">
        <x:v>Ausgang</x:v>
      </x:c>
      <x:c r="R1194" t="str">
        <x:v>DE96120300009005290904</x:v>
      </x:c>
      <x:c r="S1194" t="n">
        <x:v>-3.2</x:v>
      </x:c>
      <x:c r="T1194" t="str">
        <x:v>"</x:v>
      </x:c>
      <x:c r="U1194" t="str">
        <x:v>"</x:v>
      </x:c>
      <x:c r="V1194" t="str">
        <x:v>485109317910717</x:v>
      </x:c>
    </x:row>
    <x:row r="1195">
      <x:c r="A1195" t="str">
        <x:v>RAW-IMP-20260516-FULLDRAFT-001178</x:v>
      </x:c>
      <x:c r="B1195" t="str">
        <x:v>IMP-20260516-FULLDRAFT</x:v>
      </x:c>
      <x:c r="C1195" t="str">
        <x:v>KTO001</x:v>
      </x:c>
      <x:c r="D1195" t="str">
        <x:v>16-05-2026_Umsatzliste_Girokonto_DE98120300001061711675.csv</x:v>
      </x:c>
      <x:c r="E1195" t="n">
        <x:v>46163</x:v>
      </x:c>
      <x:c r="F1195" t="n">
        <x:v>1178</x:v>
      </x:c>
      <x:c r="G1195" t="str">
        <x:v>399b8e8f50819251541c6a6e563a01b078348b5a13b6a78090b504d4b21f9fa2</x:v>
      </x:c>
      <x:c r="H1195" t="str">
        <x:v>neu</x:v>
      </x:c>
      <x:c r="I1195" t="str">
        <x:v>ok</x:v>
      </x:c>
      <x:c r="J1195"/>
      <x:c r="K1195" t="n">
        <x:v>45769</x:v>
      </x:c>
      <x:c r="L1195" t="n">
        <x:v>45769</x:v>
      </x:c>
      <x:c r="M1195" t="str">
        <x:v>Gebucht</x:v>
      </x:c>
      <x:c r="N1195" t="str">
        <x:v>ISSUER</x:v>
      </x:c>
      <x:c r="O1195" t="str">
        <x:v>Prime.Video.Shop/amzn.de.bill</x:v>
      </x:c>
      <x:c r="P1195" t="str">
        <x:v>VISA Debitkartenumsatz vom 20.04.2025</x:v>
      </x:c>
      <x:c r="Q1195" t="str">
        <x:v>Ausgang</x:v>
      </x:c>
      <x:c r="R1195" t="str">
        <x:v>DE96120300009005290904</x:v>
      </x:c>
      <x:c r="S1195" t="n">
        <x:v>-0.99</x:v>
      </x:c>
      <x:c r="T1195" t="str">
        <x:v>"</x:v>
      </x:c>
      <x:c r="U1195" t="str">
        <x:v>"</x:v>
      </x:c>
      <x:c r="V1195" t="str">
        <x:v>485110646802992</x:v>
      </x:c>
    </x:row>
    <x:row r="1196">
      <x:c r="A1196" t="str">
        <x:v>RAW-IMP-20260516-FULLDRAFT-001179</x:v>
      </x:c>
      <x:c r="B1196" t="str">
        <x:v>IMP-20260516-FULLDRAFT</x:v>
      </x:c>
      <x:c r="C1196" t="str">
        <x:v>KTO001</x:v>
      </x:c>
      <x:c r="D1196" t="str">
        <x:v>16-05-2026_Umsatzliste_Girokonto_DE98120300001061711675.csv</x:v>
      </x:c>
      <x:c r="E1196" t="n">
        <x:v>46163</x:v>
      </x:c>
      <x:c r="F1196" t="n">
        <x:v>1179</x:v>
      </x:c>
      <x:c r="G1196" t="str">
        <x:v>1863833472da5c495aa1692215dd790a36919041b0b7330e79e3f0581c6b7b88</x:v>
      </x:c>
      <x:c r="H1196" t="str">
        <x:v>neu</x:v>
      </x:c>
      <x:c r="I1196" t="str">
        <x:v>ok</x:v>
      </x:c>
      <x:c r="J1196"/>
      <x:c r="K1196" t="n">
        <x:v>45769</x:v>
      </x:c>
      <x:c r="L1196" t="n">
        <x:v>45769</x:v>
      </x:c>
      <x:c r="M1196" t="str">
        <x:v>Gebucht</x:v>
      </x:c>
      <x:c r="N1196" t="str">
        <x:v>ISSUER</x:v>
      </x:c>
      <x:c r="O1196" t="str">
        <x:v>Prime.Video.Shop/amzn.de.bill</x:v>
      </x:c>
      <x:c r="P1196" t="str">
        <x:v>VISA Debitkartenumsatz vom 20.04.2025</x:v>
      </x:c>
      <x:c r="Q1196" t="str">
        <x:v>Ausgang</x:v>
      </x:c>
      <x:c r="R1196" t="str">
        <x:v>DE96120300009005290904</x:v>
      </x:c>
      <x:c r="S1196" t="n">
        <x:v>-0.99</x:v>
      </x:c>
      <x:c r="T1196" t="str">
        <x:v>"</x:v>
      </x:c>
      <x:c r="U1196" t="str">
        <x:v>"</x:v>
      </x:c>
      <x:c r="V1196" t="str">
        <x:v>485110647601160</x:v>
      </x:c>
    </x:row>
    <x:row r="1197">
      <x:c r="A1197" t="str">
        <x:v>RAW-IMP-20260516-FULLDRAFT-001180</x:v>
      </x:c>
      <x:c r="B1197" t="str">
        <x:v>IMP-20260516-FULLDRAFT</x:v>
      </x:c>
      <x:c r="C1197" t="str">
        <x:v>KTO001</x:v>
      </x:c>
      <x:c r="D1197" t="str">
        <x:v>16-05-2026_Umsatzliste_Girokonto_DE98120300001061711675.csv</x:v>
      </x:c>
      <x:c r="E1197" t="n">
        <x:v>46163</x:v>
      </x:c>
      <x:c r="F1197" t="n">
        <x:v>1180</x:v>
      </x:c>
      <x:c r="G1197" t="str">
        <x:v>492474301141a4ce388247380b66d64c8b302cf3019d6f991ac9fda565268b40</x:v>
      </x:c>
      <x:c r="H1197" t="str">
        <x:v>neu</x:v>
      </x:c>
      <x:c r="I1197" t="str">
        <x:v>ok</x:v>
      </x:c>
      <x:c r="J1197"/>
      <x:c r="K1197" t="n">
        <x:v>45764</x:v>
      </x:c>
      <x:c r="L1197" t="n">
        <x:v>45764</x:v>
      </x:c>
      <x:c r="M1197" t="str">
        <x:v>Gebucht</x:v>
      </x:c>
      <x:c r="N1197" t="str">
        <x:v>ISSUER</x:v>
      </x:c>
      <x:c r="O1197" t="str">
        <x:v>PAYPAL..HEIDEPARKSO.HEI/4029357733</x:v>
      </x:c>
      <x:c r="P1197" t="str">
        <x:v>VISA Debitkartenumsatz vom 16.04.2025</x:v>
      </x:c>
      <x:c r="Q1197" t="str">
        <x:v>Ausgang</x:v>
      </x:c>
      <x:c r="R1197" t="str">
        <x:v>DE96120300009005290904</x:v>
      </x:c>
      <x:c r="S1197" t="n">
        <x:v>-30.66</x:v>
      </x:c>
      <x:c r="T1197" t="str">
        <x:v>"</x:v>
      </x:c>
      <x:c r="U1197" t="str">
        <x:v>"</x:v>
      </x:c>
      <x:c r="V1197" t="str">
        <x:v>465106584703789</x:v>
      </x:c>
    </x:row>
    <x:row r="1198">
      <x:c r="A1198" t="str">
        <x:v>RAW-IMP-20260516-FULLDRAFT-001181</x:v>
      </x:c>
      <x:c r="B1198" t="str">
        <x:v>IMP-20260516-FULLDRAFT</x:v>
      </x:c>
      <x:c r="C1198" t="str">
        <x:v>KTO001</x:v>
      </x:c>
      <x:c r="D1198" t="str">
        <x:v>16-05-2026_Umsatzliste_Girokonto_DE98120300001061711675.csv</x:v>
      </x:c>
      <x:c r="E1198" t="n">
        <x:v>46163</x:v>
      </x:c>
      <x:c r="F1198" t="n">
        <x:v>1181</x:v>
      </x:c>
      <x:c r="G1198" t="str">
        <x:v>c618d218c5ba23d3fd5ccf87d166bf6307203fca12e4c686da6ce698de966891</x:v>
      </x:c>
      <x:c r="H1198" t="str">
        <x:v>neu</x:v>
      </x:c>
      <x:c r="I1198" t="str">
        <x:v>ok</x:v>
      </x:c>
      <x:c r="J1198"/>
      <x:c r="K1198" t="n">
        <x:v>45764</x:v>
      </x:c>
      <x:c r="L1198" t="n">
        <x:v>45764</x:v>
      </x:c>
      <x:c r="M1198" t="str">
        <x:v>Gebucht</x:v>
      </x:c>
      <x:c r="N1198" t="str">
        <x:v>ISSUER</x:v>
      </x:c>
      <x:c r="O1198" t="str">
        <x:v>REWE.Salzgitter.Ge/Salzgitter</x:v>
      </x:c>
      <x:c r="P1198" t="str">
        <x:v>VISA Debitkartenumsatz vom 16.04.2025</x:v>
      </x:c>
      <x:c r="Q1198" t="str">
        <x:v>Ausgang</x:v>
      </x:c>
      <x:c r="R1198" t="str">
        <x:v>DE96120300009005290904</x:v>
      </x:c>
      <x:c r="S1198" t="n">
        <x:v>-14.41</x:v>
      </x:c>
      <x:c r="T1198" t="str">
        <x:v>"</x:v>
      </x:c>
      <x:c r="U1198" t="str">
        <x:v>"</x:v>
      </x:c>
      <x:c r="V1198" t="str">
        <x:v>485106646184032</x:v>
      </x:c>
    </x:row>
    <x:row r="1199">
      <x:c r="A1199" t="str">
        <x:v>RAW-IMP-20260516-FULLDRAFT-001182</x:v>
      </x:c>
      <x:c r="B1199" t="str">
        <x:v>IMP-20260516-FULLDRAFT</x:v>
      </x:c>
      <x:c r="C1199" t="str">
        <x:v>KTO001</x:v>
      </x:c>
      <x:c r="D1199" t="str">
        <x:v>16-05-2026_Umsatzliste_Girokonto_DE98120300001061711675.csv</x:v>
      </x:c>
      <x:c r="E1199" t="n">
        <x:v>46163</x:v>
      </x:c>
      <x:c r="F1199" t="n">
        <x:v>1182</x:v>
      </x:c>
      <x:c r="G1199" t="str">
        <x:v>2b58208ad4110e7c7788ed43971c82c50573ac06e48eb14f8dba5dc3ae55f028</x:v>
      </x:c>
      <x:c r="H1199" t="str">
        <x:v>neu</x:v>
      </x:c>
      <x:c r="I1199" t="str">
        <x:v>ok</x:v>
      </x:c>
      <x:c r="J1199"/>
      <x:c r="K1199" t="n">
        <x:v>45764</x:v>
      </x:c>
      <x:c r="L1199" t="n">
        <x:v>45764</x:v>
      </x:c>
      <x:c r="M1199" t="str">
        <x:v>Gebucht</x:v>
      </x:c>
      <x:c r="N1199" t="str">
        <x:v>ISSUER</x:v>
      </x:c>
      <x:c r="O1199" t="str">
        <x:v>Lidl.sagt.Danke/Salzgitter</x:v>
      </x:c>
      <x:c r="P1199" t="str">
        <x:v>VISA Debitkartenumsatz vom 16.04.2025</x:v>
      </x:c>
      <x:c r="Q1199" t="str">
        <x:v>Ausgang</x:v>
      </x:c>
      <x:c r="R1199" t="str">
        <x:v>DE96120300009005290904</x:v>
      </x:c>
      <x:c r="S1199" t="n">
        <x:v>-8.5</x:v>
      </x:c>
      <x:c r="T1199" t="str">
        <x:v>"</x:v>
      </x:c>
      <x:c r="U1199" t="str">
        <x:v>"</x:v>
      </x:c>
      <x:c r="V1199" t="str">
        <x:v>485106234046813</x:v>
      </x:c>
    </x:row>
    <x:row r="1200">
      <x:c r="A1200" t="str">
        <x:v>RAW-IMP-20260516-FULLDRAFT-001183</x:v>
      </x:c>
      <x:c r="B1200" t="str">
        <x:v>IMP-20260516-FULLDRAFT</x:v>
      </x:c>
      <x:c r="C1200" t="str">
        <x:v>KTO001</x:v>
      </x:c>
      <x:c r="D1200" t="str">
        <x:v>16-05-2026_Umsatzliste_Girokonto_DE98120300001061711675.csv</x:v>
      </x:c>
      <x:c r="E1200" t="n">
        <x:v>46163</x:v>
      </x:c>
      <x:c r="F1200" t="n">
        <x:v>1183</x:v>
      </x:c>
      <x:c r="G1200" t="str">
        <x:v>7bf7c20dab2387044cde2083110b92afbb1a7198cd5a39a3b4e90029bd5f6792</x:v>
      </x:c>
      <x:c r="H1200" t="str">
        <x:v>neu</x:v>
      </x:c>
      <x:c r="I1200" t="str">
        <x:v>ok</x:v>
      </x:c>
      <x:c r="J1200"/>
      <x:c r="K1200" t="n">
        <x:v>45764</x:v>
      </x:c>
      <x:c r="L1200" t="n">
        <x:v>45764</x:v>
      </x:c>
      <x:c r="M1200" t="str">
        <x:v>Gebucht</x:v>
      </x:c>
      <x:c r="N1200" t="str">
        <x:v>Lars Kohlenberg</x:v>
      </x:c>
      <x:c r="O1200" t="str">
        <x:v>Drillisch Online GmbH                                                 Wilhelm-Rontgen-Strase 1-5, 63477 Maintal</x:v>
      </x:c>
      <x:c r="P1200" t="str">
        <x:v>C0851820 U707201015 B812585317 winSIM</x:v>
      </x:c>
      <x:c r="Q1200" t="str">
        <x:v>Ausgang</x:v>
      </x:c>
      <x:c r="R1200" t="str">
        <x:v>DE87300500000008996811</x:v>
      </x:c>
      <x:c r="S1200" t="n">
        <x:v>-6.99</x:v>
      </x:c>
      <x:c r="T1200" t="str">
        <x:v>DE40ZZZ00000206926</x:v>
      </x:c>
      <x:c r="U1200" t="str">
        <x:v>FB1310D094B04186E02ACE7B8C6</x:v>
      </x:c>
      <x:c r="V1200" t="str">
        <x:v>C0851820+U707201015</x:v>
      </x:c>
    </x:row>
    <x:row r="1201">
      <x:c r="A1201" t="str">
        <x:v>RAW-IMP-20260516-FULLDRAFT-001184</x:v>
      </x:c>
      <x:c r="B1201" t="str">
        <x:v>IMP-20260516-FULLDRAFT</x:v>
      </x:c>
      <x:c r="C1201" t="str">
        <x:v>KTO001</x:v>
      </x:c>
      <x:c r="D1201" t="str">
        <x:v>16-05-2026_Umsatzliste_Girokonto_DE98120300001061711675.csv</x:v>
      </x:c>
      <x:c r="E1201" t="n">
        <x:v>46163</x:v>
      </x:c>
      <x:c r="F1201" t="n">
        <x:v>1184</x:v>
      </x:c>
      <x:c r="G1201" t="str">
        <x:v>b4523bfe5c74469b73b852db8f92eb189f0675934667d67615ca57a411870371</x:v>
      </x:c>
      <x:c r="H1201" t="str">
        <x:v>neu</x:v>
      </x:c>
      <x:c r="I1201" t="str">
        <x:v>ok</x:v>
      </x:c>
      <x:c r="J1201"/>
      <x:c r="K1201" t="n">
        <x:v>45764</x:v>
      </x:c>
      <x:c r="L1201" t="n">
        <x:v>45764</x:v>
      </x:c>
      <x:c r="M1201" t="str">
        <x:v>Gebucht</x:v>
      </x:c>
      <x:c r="N1201" t="str">
        <x:v>Lars Kohlenberg</x:v>
      </x:c>
      <x:c r="O1201" t="str">
        <x:v>Drillisch Online GmbH                                                 Wilhelm-Rontgen-Strase 1-5, 63477 Maintal</x:v>
      </x:c>
      <x:c r="P1201" t="str">
        <x:v>C0851820 U708270988 B813482222 winSIM</x:v>
      </x:c>
      <x:c r="Q1201" t="str">
        <x:v>Ausgang</x:v>
      </x:c>
      <x:c r="R1201" t="str">
        <x:v>DE87300500000008996811</x:v>
      </x:c>
      <x:c r="S1201" t="n">
        <x:v>-6.99</x:v>
      </x:c>
      <x:c r="T1201" t="str">
        <x:v>DE40ZZZ00000206926</x:v>
      </x:c>
      <x:c r="U1201" t="str">
        <x:v>FB1310D094B04186E02ACE7B8C6</x:v>
      </x:c>
      <x:c r="V1201" t="str">
        <x:v>C0851820+U708270988</x:v>
      </x:c>
    </x:row>
    <x:row r="1202">
      <x:c r="A1202" t="str">
        <x:v>RAW-IMP-20260516-FULLDRAFT-001185</x:v>
      </x:c>
      <x:c r="B1202" t="str">
        <x:v>IMP-20260516-FULLDRAFT</x:v>
      </x:c>
      <x:c r="C1202" t="str">
        <x:v>KTO001</x:v>
      </x:c>
      <x:c r="D1202" t="str">
        <x:v>16-05-2026_Umsatzliste_Girokonto_DE98120300001061711675.csv</x:v>
      </x:c>
      <x:c r="E1202" t="n">
        <x:v>46163</x:v>
      </x:c>
      <x:c r="F1202" t="n">
        <x:v>1185</x:v>
      </x:c>
      <x:c r="G1202" t="str">
        <x:v>620143d3a82b395d676cfbb06738cad94c86684990cf499cfcddbdb04fcc6443</x:v>
      </x:c>
      <x:c r="H1202" t="str">
        <x:v>neu</x:v>
      </x:c>
      <x:c r="I1202" t="str">
        <x:v>ok</x:v>
      </x:c>
      <x:c r="J1202"/>
      <x:c r="K1202" t="n">
        <x:v>45764</x:v>
      </x:c>
      <x:c r="L1202" t="n">
        <x:v>45764</x:v>
      </x:c>
      <x:c r="M1202" t="str">
        <x:v>Gebucht</x:v>
      </x:c>
      <x:c r="N1202" t="str">
        <x:v>Lars Kohlenberg</x:v>
      </x:c>
      <x:c r="O1202" t="str">
        <x:v>Drillisch Online GmbH                                                 Wilhelm-Rontgen-Strase 1-5, 63477 Maintal</x:v>
      </x:c>
      <x:c r="P1202" t="str">
        <x:v>C0851820 U710850984 B814521763 winSIM</x:v>
      </x:c>
      <x:c r="Q1202" t="str">
        <x:v>Ausgang</x:v>
      </x:c>
      <x:c r="R1202" t="str">
        <x:v>DE87300500000008996811</x:v>
      </x:c>
      <x:c r="S1202" t="n">
        <x:v>-6.99</x:v>
      </x:c>
      <x:c r="T1202" t="str">
        <x:v>DE40ZZZ00000206926</x:v>
      </x:c>
      <x:c r="U1202" t="str">
        <x:v>FB1310D094B04186E02ACE7B8C6</x:v>
      </x:c>
      <x:c r="V1202" t="str">
        <x:v>C0851820+U710850984</x:v>
      </x:c>
    </x:row>
    <x:row r="1203">
      <x:c r="A1203" t="str">
        <x:v>RAW-IMP-20260516-FULLDRAFT-001186</x:v>
      </x:c>
      <x:c r="B1203" t="str">
        <x:v>IMP-20260516-FULLDRAFT</x:v>
      </x:c>
      <x:c r="C1203" t="str">
        <x:v>KTO001</x:v>
      </x:c>
      <x:c r="D1203" t="str">
        <x:v>16-05-2026_Umsatzliste_Girokonto_DE98120300001061711675.csv</x:v>
      </x:c>
      <x:c r="E1203" t="n">
        <x:v>46163</x:v>
      </x:c>
      <x:c r="F1203" t="n">
        <x:v>1186</x:v>
      </x:c>
      <x:c r="G1203" t="str">
        <x:v>029c87a2f7621c5ed36de2d77e6fcf9b19a18698eb378837bb761101487c3b25</x:v>
      </x:c>
      <x:c r="H1203" t="str">
        <x:v>neu</x:v>
      </x:c>
      <x:c r="I1203" t="str">
        <x:v>ok</x:v>
      </x:c>
      <x:c r="J1203"/>
      <x:c r="K1203" t="n">
        <x:v>45763</x:v>
      </x:c>
      <x:c r="L1203" t="n">
        <x:v>45763</x:v>
      </x:c>
      <x:c r="M1203" t="str">
        <x:v>Gebucht</x:v>
      </x:c>
      <x:c r="N1203" t="str">
        <x:v>ISSUER</x:v>
      </x:c>
      <x:c r="O1203" t="str">
        <x:v>Aral.Station.160762167/Hildesheim</x:v>
      </x:c>
      <x:c r="P1203" t="str">
        <x:v>VISA Debitkartenumsatz vom 14.04.2025</x:v>
      </x:c>
      <x:c r="Q1203" t="str">
        <x:v>Ausgang</x:v>
      </x:c>
      <x:c r="R1203" t="str">
        <x:v>DE96120300009005290904</x:v>
      </x:c>
      <x:c r="S1203" t="n">
        <x:v>-15.95</x:v>
      </x:c>
      <x:c r="T1203" t="str">
        <x:v>"</x:v>
      </x:c>
      <x:c r="U1203" t="str">
        <x:v>"</x:v>
      </x:c>
      <x:c r="V1203" t="str">
        <x:v>485104239767136</x:v>
      </x:c>
    </x:row>
    <x:row r="1204">
      <x:c r="A1204" t="str">
        <x:v>RAW-IMP-20260516-FULLDRAFT-001187</x:v>
      </x:c>
      <x:c r="B1204" t="str">
        <x:v>IMP-20260516-FULLDRAFT</x:v>
      </x:c>
      <x:c r="C1204" t="str">
        <x:v>KTO001</x:v>
      </x:c>
      <x:c r="D1204" t="str">
        <x:v>16-05-2026_Umsatzliste_Girokonto_DE98120300001061711675.csv</x:v>
      </x:c>
      <x:c r="E1204" t="n">
        <x:v>46163</x:v>
      </x:c>
      <x:c r="F1204" t="n">
        <x:v>1187</x:v>
      </x:c>
      <x:c r="G1204" t="str">
        <x:v>19b2df1e09459533b6c6d6f8f338186f2ba96ac1fdf74c9b2df5b471a36a837f</x:v>
      </x:c>
      <x:c r="H1204" t="str">
        <x:v>neu</x:v>
      </x:c>
      <x:c r="I1204" t="str">
        <x:v>ok</x:v>
      </x:c>
      <x:c r="J1204"/>
      <x:c r="K1204" t="n">
        <x:v>45761</x:v>
      </x:c>
      <x:c r="L1204" t="n">
        <x:v>45761</x:v>
      </x:c>
      <x:c r="M1204" t="str">
        <x:v>Gebucht</x:v>
      </x:c>
      <x:c r="N1204" t="str">
        <x:v>ISSUER</x:v>
      </x:c>
      <x:c r="O1204" t="str">
        <x:v>SYSTEMGASTRONOMIE.GMBH/BUCHHOLZ</x:v>
      </x:c>
      <x:c r="P1204" t="str">
        <x:v>VISA Debitkartenumsatz vom 13.04.2025</x:v>
      </x:c>
      <x:c r="Q1204" t="str">
        <x:v>Ausgang</x:v>
      </x:c>
      <x:c r="R1204" t="str">
        <x:v>DE96120300009005290904</x:v>
      </x:c>
      <x:c r="S1204" t="n">
        <x:v>-10.99</x:v>
      </x:c>
      <x:c r="T1204" t="str">
        <x:v>"</x:v>
      </x:c>
      <x:c r="U1204" t="str">
        <x:v>"</x:v>
      </x:c>
      <x:c r="V1204" t="str">
        <x:v>485103499634835</x:v>
      </x:c>
    </x:row>
    <x:row r="1205">
      <x:c r="A1205" t="str">
        <x:v>RAW-IMP-20260516-FULLDRAFT-001188</x:v>
      </x:c>
      <x:c r="B1205" t="str">
        <x:v>IMP-20260516-FULLDRAFT</x:v>
      </x:c>
      <x:c r="C1205" t="str">
        <x:v>KTO001</x:v>
      </x:c>
      <x:c r="D1205" t="str">
        <x:v>16-05-2026_Umsatzliste_Girokonto_DE98120300001061711675.csv</x:v>
      </x:c>
      <x:c r="E1205" t="n">
        <x:v>46163</x:v>
      </x:c>
      <x:c r="F1205" t="n">
        <x:v>1188</x:v>
      </x:c>
      <x:c r="G1205" t="str">
        <x:v>122e1c40159e00c86a0e40e5f34fe2bde748fb7f74d2219397ea31b5fe21cb44</x:v>
      </x:c>
      <x:c r="H1205" t="str">
        <x:v>neu</x:v>
      </x:c>
      <x:c r="I1205" t="str">
        <x:v>ok</x:v>
      </x:c>
      <x:c r="J1205"/>
      <x:c r="K1205" t="n">
        <x:v>45761</x:v>
      </x:c>
      <x:c r="L1205" t="n">
        <x:v>45761</x:v>
      </x:c>
      <x:c r="M1205" t="str">
        <x:v>Gebucht</x:v>
      </x:c>
      <x:c r="N1205" t="str">
        <x:v>ISSUER</x:v>
      </x:c>
      <x:c r="O1205" t="str">
        <x:v>LOsteria.Hamburg.Bleic/Hamburg</x:v>
      </x:c>
      <x:c r="P1205" t="str">
        <x:v>VISA Debitkartenumsatz vom 11.04.2025</x:v>
      </x:c>
      <x:c r="Q1205" t="str">
        <x:v>Ausgang</x:v>
      </x:c>
      <x:c r="R1205" t="str">
        <x:v>DE96120300009005290904</x:v>
      </x:c>
      <x:c r="S1205" t="n">
        <x:v>-92.55</x:v>
      </x:c>
      <x:c r="T1205" t="str">
        <x:v>"</x:v>
      </x:c>
      <x:c r="U1205" t="str">
        <x:v>"</x:v>
      </x:c>
      <x:c r="V1205" t="str">
        <x:v>485101645429029</x:v>
      </x:c>
    </x:row>
    <x:row r="1206">
      <x:c r="A1206" t="str">
        <x:v>RAW-IMP-20260516-FULLDRAFT-001189</x:v>
      </x:c>
      <x:c r="B1206" t="str">
        <x:v>IMP-20260516-FULLDRAFT</x:v>
      </x:c>
      <x:c r="C1206" t="str">
        <x:v>KTO001</x:v>
      </x:c>
      <x:c r="D1206" t="str">
        <x:v>16-05-2026_Umsatzliste_Girokonto_DE98120300001061711675.csv</x:v>
      </x:c>
      <x:c r="E1206" t="n">
        <x:v>46163</x:v>
      </x:c>
      <x:c r="F1206" t="n">
        <x:v>1189</x:v>
      </x:c>
      <x:c r="G1206" t="str">
        <x:v>83c4d5fec3159f23539c346abeb5a16cfa946a1fbe73fb8d0f818bf0eb268837</x:v>
      </x:c>
      <x:c r="H1206" t="str">
        <x:v>neu</x:v>
      </x:c>
      <x:c r="I1206" t="str">
        <x:v>ok</x:v>
      </x:c>
      <x:c r="J1206"/>
      <x:c r="K1206" t="n">
        <x:v>45761</x:v>
      </x:c>
      <x:c r="L1206" t="n">
        <x:v>45761</x:v>
      </x:c>
      <x:c r="M1206" t="str">
        <x:v>Gebucht</x:v>
      </x:c>
      <x:c r="N1206" t="str">
        <x:v>ISSUER</x:v>
      </x:c>
      <x:c r="O1206" t="str">
        <x:v>ALEX..01320./HAMBURG</x:v>
      </x:c>
      <x:c r="P1206" t="str">
        <x:v>VISA Debitkartenumsatz vom 11.04.2025</x:v>
      </x:c>
      <x:c r="Q1206" t="str">
        <x:v>Ausgang</x:v>
      </x:c>
      <x:c r="R1206" t="str">
        <x:v>DE96120300009005290904</x:v>
      </x:c>
      <x:c r="S1206" t="n">
        <x:v>-33.2</x:v>
      </x:c>
      <x:c r="T1206" t="str">
        <x:v>"</x:v>
      </x:c>
      <x:c r="U1206" t="str">
        <x:v>"</x:v>
      </x:c>
      <x:c r="V1206" t="str">
        <x:v>485101679618207</x:v>
      </x:c>
    </x:row>
    <x:row r="1207">
      <x:c r="A1207" t="str">
        <x:v>RAW-IMP-20260516-FULLDRAFT-001190</x:v>
      </x:c>
      <x:c r="B1207" t="str">
        <x:v>IMP-20260516-FULLDRAFT</x:v>
      </x:c>
      <x:c r="C1207" t="str">
        <x:v>KTO001</x:v>
      </x:c>
      <x:c r="D1207" t="str">
        <x:v>16-05-2026_Umsatzliste_Girokonto_DE98120300001061711675.csv</x:v>
      </x:c>
      <x:c r="E1207" t="n">
        <x:v>46163</x:v>
      </x:c>
      <x:c r="F1207" t="n">
        <x:v>1190</x:v>
      </x:c>
      <x:c r="G1207" t="str">
        <x:v>cd57c700177b15ff8ed077f8a3cae9ecae726c8779863f7a051e3dd84b45dd41</x:v>
      </x:c>
      <x:c r="H1207" t="str">
        <x:v>neu</x:v>
      </x:c>
      <x:c r="I1207" t="str">
        <x:v>ok</x:v>
      </x:c>
      <x:c r="J1207"/>
      <x:c r="K1207" t="n">
        <x:v>45761</x:v>
      </x:c>
      <x:c r="L1207" t="n">
        <x:v>45761</x:v>
      </x:c>
      <x:c r="M1207" t="str">
        <x:v>Gebucht</x:v>
      </x:c>
      <x:c r="N1207" t="str">
        <x:v>ISSUER</x:v>
      </x:c>
      <x:c r="O1207" t="str">
        <x:v>Hugo.Boss.AG/Neumuenster</x:v>
      </x:c>
      <x:c r="P1207" t="str">
        <x:v>VISA Debitkartenumsatz vom 11.04.2025</x:v>
      </x:c>
      <x:c r="Q1207" t="str">
        <x:v>Ausgang</x:v>
      </x:c>
      <x:c r="R1207" t="str">
        <x:v>DE96120300009005290904</x:v>
      </x:c>
      <x:c r="S1207" t="n">
        <x:v>-81.39</x:v>
      </x:c>
      <x:c r="T1207" t="str">
        <x:v>"</x:v>
      </x:c>
      <x:c r="U1207" t="str">
        <x:v>"</x:v>
      </x:c>
      <x:c r="V1207" t="str">
        <x:v>485101436921746</x:v>
      </x:c>
    </x:row>
    <x:row r="1208">
      <x:c r="A1208" t="str">
        <x:v>RAW-IMP-20260516-FULLDRAFT-001191</x:v>
      </x:c>
      <x:c r="B1208" t="str">
        <x:v>IMP-20260516-FULLDRAFT</x:v>
      </x:c>
      <x:c r="C1208" t="str">
        <x:v>KTO001</x:v>
      </x:c>
      <x:c r="D1208" t="str">
        <x:v>16-05-2026_Umsatzliste_Girokonto_DE98120300001061711675.csv</x:v>
      </x:c>
      <x:c r="E1208" t="n">
        <x:v>46163</x:v>
      </x:c>
      <x:c r="F1208" t="n">
        <x:v>1191</x:v>
      </x:c>
      <x:c r="G1208" t="str">
        <x:v>dc3953415abb26c640cb223ee92e61ffdfb2fbb9d1f13e805d2d5aea2a712d02</x:v>
      </x:c>
      <x:c r="H1208" t="str">
        <x:v>neu</x:v>
      </x:c>
      <x:c r="I1208" t="str">
        <x:v>ok</x:v>
      </x:c>
      <x:c r="J1208"/>
      <x:c r="K1208" t="n">
        <x:v>45761</x:v>
      </x:c>
      <x:c r="L1208" t="n">
        <x:v>45761</x:v>
      </x:c>
      <x:c r="M1208" t="str">
        <x:v>Gebucht</x:v>
      </x:c>
      <x:c r="N1208" t="str">
        <x:v>ISSUER</x:v>
      </x:c>
      <x:c r="O1208" t="str">
        <x:v>PARKEN.HH.KLOSTERWALL/HAMBURG</x:v>
      </x:c>
      <x:c r="P1208" t="str">
        <x:v>VISA Debitkartenumsatz vom 12.04.2025</x:v>
      </x:c>
      <x:c r="Q1208" t="str">
        <x:v>Ausgang</x:v>
      </x:c>
      <x:c r="R1208" t="str">
        <x:v>DE96120300009005290904</x:v>
      </x:c>
      <x:c r="S1208" t="n">
        <x:v>-35</x:v>
      </x:c>
      <x:c r="T1208" t="str">
        <x:v>"</x:v>
      </x:c>
      <x:c r="U1208" t="str">
        <x:v>"</x:v>
      </x:c>
      <x:c r="V1208" t="str">
        <x:v>485102549865241</x:v>
      </x:c>
    </x:row>
    <x:row r="1209">
      <x:c r="A1209" t="str">
        <x:v>RAW-IMP-20260516-FULLDRAFT-001192</x:v>
      </x:c>
      <x:c r="B1209" t="str">
        <x:v>IMP-20260516-FULLDRAFT</x:v>
      </x:c>
      <x:c r="C1209" t="str">
        <x:v>KTO001</x:v>
      </x:c>
      <x:c r="D1209" t="str">
        <x:v>16-05-2026_Umsatzliste_Girokonto_DE98120300001061711675.csv</x:v>
      </x:c>
      <x:c r="E1209" t="n">
        <x:v>46163</x:v>
      </x:c>
      <x:c r="F1209" t="n">
        <x:v>1192</x:v>
      </x:c>
      <x:c r="G1209" t="str">
        <x:v>4f4aa27263ab555af6f8b595bd2d04fb56afe52c404e1d99cb450562072ab3ef</x:v>
      </x:c>
      <x:c r="H1209" t="str">
        <x:v>neu</x:v>
      </x:c>
      <x:c r="I1209" t="str">
        <x:v>ok</x:v>
      </x:c>
      <x:c r="J1209"/>
      <x:c r="K1209" t="n">
        <x:v>45761</x:v>
      </x:c>
      <x:c r="L1209" t="n">
        <x:v>45761</x:v>
      </x:c>
      <x:c r="M1209" t="str">
        <x:v>Gebucht</x:v>
      </x:c>
      <x:c r="N1209" t="str">
        <x:v>ISSUER</x:v>
      </x:c>
      <x:c r="O1209" t="str">
        <x:v>FW.NEUMUENSTER.OUTLET/NEUMUENSTER</x:v>
      </x:c>
      <x:c r="P1209" t="str">
        <x:v>VISA Debitkartenumsatz vom 11.04.2025</x:v>
      </x:c>
      <x:c r="Q1209" t="str">
        <x:v>Ausgang</x:v>
      </x:c>
      <x:c r="R1209" t="str">
        <x:v>DE96120300009005290904</x:v>
      </x:c>
      <x:c r="S1209" t="n">
        <x:v>-17.6</x:v>
      </x:c>
      <x:c r="T1209" t="str">
        <x:v>"</x:v>
      </x:c>
      <x:c r="U1209" t="str">
        <x:v>"</x:v>
      </x:c>
      <x:c r="V1209" t="str">
        <x:v>485101468227242</x:v>
      </x:c>
    </x:row>
    <x:row r="1210">
      <x:c r="A1210" t="str">
        <x:v>RAW-IMP-20260516-FULLDRAFT-001193</x:v>
      </x:c>
      <x:c r="B1210" t="str">
        <x:v>IMP-20260516-FULLDRAFT</x:v>
      </x:c>
      <x:c r="C1210" t="str">
        <x:v>KTO001</x:v>
      </x:c>
      <x:c r="D1210" t="str">
        <x:v>16-05-2026_Umsatzliste_Girokonto_DE98120300001061711675.csv</x:v>
      </x:c>
      <x:c r="E1210" t="n">
        <x:v>46163</x:v>
      </x:c>
      <x:c r="F1210" t="n">
        <x:v>1193</x:v>
      </x:c>
      <x:c r="G1210" t="str">
        <x:v>95137229ce713e36fd7ecea13850504d60878a839312ebe5a09108eeddbaf9e7</x:v>
      </x:c>
      <x:c r="H1210" t="str">
        <x:v>neu</x:v>
      </x:c>
      <x:c r="I1210" t="str">
        <x:v>ok</x:v>
      </x:c>
      <x:c r="J1210"/>
      <x:c r="K1210" t="n">
        <x:v>45761</x:v>
      </x:c>
      <x:c r="L1210" t="n">
        <x:v>45761</x:v>
      </x:c>
      <x:c r="M1210" t="str">
        <x:v>Gebucht</x:v>
      </x:c>
      <x:c r="N1210" t="str">
        <x:v>ISSUER</x:v>
      </x:c>
      <x:c r="O1210" t="str">
        <x:v>SPAR.KOEBMAND.HANSEN/HENNE</x:v>
      </x:c>
      <x:c r="P1210" t="str">
        <x:v>VISA Debitkartenumsatz vom 11.04.2025 in Fremdwährung / Ursprungsbetrag in Fremdwährung 25,90 DKK / Umrechnungsrate: 1 Euro=7,46524930 DKK</x:v>
      </x:c>
      <x:c r="Q1210" t="str">
        <x:v>Ausgang</x:v>
      </x:c>
      <x:c r="R1210" t="str">
        <x:v>DE96120300009005290904</x:v>
      </x:c>
      <x:c r="S1210" t="n">
        <x:v>-3.47</x:v>
      </x:c>
      <x:c r="T1210" t="str">
        <x:v>"</x:v>
      </x:c>
      <x:c r="U1210" t="str">
        <x:v>"</x:v>
      </x:c>
      <x:c r="V1210" t="str">
        <x:v>485101277872901</x:v>
      </x:c>
    </x:row>
    <x:row r="1211">
      <x:c r="A1211" t="str">
        <x:v>RAW-IMP-20260516-FULLDRAFT-001194</x:v>
      </x:c>
      <x:c r="B1211" t="str">
        <x:v>IMP-20260516-FULLDRAFT</x:v>
      </x:c>
      <x:c r="C1211" t="str">
        <x:v>KTO001</x:v>
      </x:c>
      <x:c r="D1211" t="str">
        <x:v>16-05-2026_Umsatzliste_Girokonto_DE98120300001061711675.csv</x:v>
      </x:c>
      <x:c r="E1211" t="n">
        <x:v>46163</x:v>
      </x:c>
      <x:c r="F1211" t="n">
        <x:v>1194</x:v>
      </x:c>
      <x:c r="G1211" t="str">
        <x:v>701c9af883a46d1f148575819f7397d97ba289a2cb42128d4ec1b9942aa861e8</x:v>
      </x:c>
      <x:c r="H1211" t="str">
        <x:v>neu</x:v>
      </x:c>
      <x:c r="I1211" t="str">
        <x:v>ok</x:v>
      </x:c>
      <x:c r="J1211"/>
      <x:c r="K1211" t="n">
        <x:v>45761</x:v>
      </x:c>
      <x:c r="L1211" t="n">
        <x:v>45761</x:v>
      </x:c>
      <x:c r="M1211" t="str">
        <x:v>Gebucht</x:v>
      </x:c>
      <x:c r="N1211" t="str">
        <x:v>ISSUER</x:v>
      </x:c>
      <x:c r="O1211" t="str">
        <x:v>BROEDUDSALG...OUTRUP.BA/HENNE</x:v>
      </x:c>
      <x:c r="P1211" t="str">
        <x:v>VISA Debitkartenumsatz vom 11.04.2025 in Fremdwährung / Ursprungsbetrag in Fremdwährung 226,00 DKK / Umrechnungsrate: 1 Euro=7,46524930 DKK</x:v>
      </x:c>
      <x:c r="Q1211" t="str">
        <x:v>Ausgang</x:v>
      </x:c>
      <x:c r="R1211" t="str">
        <x:v>DE96120300009005290904</x:v>
      </x:c>
      <x:c r="S1211" t="n">
        <x:v>-30.27</x:v>
      </x:c>
      <x:c r="T1211" t="str">
        <x:v>"</x:v>
      </x:c>
      <x:c r="U1211" t="str">
        <x:v>"</x:v>
      </x:c>
      <x:c r="V1211" t="str">
        <x:v>485101200737864</x:v>
      </x:c>
    </x:row>
    <x:row r="1212">
      <x:c r="A1212" t="str">
        <x:v>RAW-IMP-20260516-FULLDRAFT-001195</x:v>
      </x:c>
      <x:c r="B1212" t="str">
        <x:v>IMP-20260516-FULLDRAFT</x:v>
      </x:c>
      <x:c r="C1212" t="str">
        <x:v>KTO001</x:v>
      </x:c>
      <x:c r="D1212" t="str">
        <x:v>16-05-2026_Umsatzliste_Girokonto_DE98120300001061711675.csv</x:v>
      </x:c>
      <x:c r="E1212" t="n">
        <x:v>46163</x:v>
      </x:c>
      <x:c r="F1212" t="n">
        <x:v>1195</x:v>
      </x:c>
      <x:c r="G1212" t="str">
        <x:v>3d04d4f48f8f00602fc18d1cf700ff496f5afb84e6b420649dac92cf32b57242</x:v>
      </x:c>
      <x:c r="H1212" t="str">
        <x:v>neu</x:v>
      </x:c>
      <x:c r="I1212" t="str">
        <x:v>ok</x:v>
      </x:c>
      <x:c r="J1212"/>
      <x:c r="K1212" t="n">
        <x:v>45761</x:v>
      </x:c>
      <x:c r="L1212" t="n">
        <x:v>45761</x:v>
      </x:c>
      <x:c r="M1212" t="str">
        <x:v>Gebucht</x:v>
      </x:c>
      <x:c r="N1212" t="str">
        <x:v>ISSUER</x:v>
      </x:c>
      <x:c r="O1212" t="str">
        <x:v>ATG.Theater.GmbH/Hamburg</x:v>
      </x:c>
      <x:c r="P1212" t="str">
        <x:v>VISA Debitkartenumsatz vom 12.04.2025</x:v>
      </x:c>
      <x:c r="Q1212" t="str">
        <x:v>Ausgang</x:v>
      </x:c>
      <x:c r="R1212" t="str">
        <x:v>DE96120300009005290904</x:v>
      </x:c>
      <x:c r="S1212" t="n">
        <x:v>-4.7</x:v>
      </x:c>
      <x:c r="T1212" t="str">
        <x:v>"</x:v>
      </x:c>
      <x:c r="U1212" t="str">
        <x:v>"</x:v>
      </x:c>
      <x:c r="V1212" t="str">
        <x:v>485102387358994</x:v>
      </x:c>
    </x:row>
    <x:row r="1213">
      <x:c r="A1213" t="str">
        <x:v>RAW-IMP-20260516-FULLDRAFT-001196</x:v>
      </x:c>
      <x:c r="B1213" t="str">
        <x:v>IMP-20260516-FULLDRAFT</x:v>
      </x:c>
      <x:c r="C1213" t="str">
        <x:v>KTO001</x:v>
      </x:c>
      <x:c r="D1213" t="str">
        <x:v>16-05-2026_Umsatzliste_Girokonto_DE98120300001061711675.csv</x:v>
      </x:c>
      <x:c r="E1213" t="n">
        <x:v>46163</x:v>
      </x:c>
      <x:c r="F1213" t="n">
        <x:v>1196</x:v>
      </x:c>
      <x:c r="G1213" t="str">
        <x:v>9d5865d08b031127fee09d821494d7e9b5de743a3c06443650f033ed767cdeb6</x:v>
      </x:c>
      <x:c r="H1213" t="str">
        <x:v>neu</x:v>
      </x:c>
      <x:c r="I1213" t="str">
        <x:v>ok</x:v>
      </x:c>
      <x:c r="J1213"/>
      <x:c r="K1213" t="n">
        <x:v>45761</x:v>
      </x:c>
      <x:c r="L1213" t="n">
        <x:v>45761</x:v>
      </x:c>
      <x:c r="M1213" t="str">
        <x:v>Gebucht</x:v>
      </x:c>
      <x:c r="N1213" t="str">
        <x:v>ISSUER</x:v>
      </x:c>
      <x:c r="O1213" t="str">
        <x:v>ATG.Theater.GmbH/Hamburg</x:v>
      </x:c>
      <x:c r="P1213" t="str">
        <x:v>VISA Debitkartenumsatz vom 12.04.2025</x:v>
      </x:c>
      <x:c r="Q1213" t="str">
        <x:v>Ausgang</x:v>
      </x:c>
      <x:c r="R1213" t="str">
        <x:v>DE96120300009005290904</x:v>
      </x:c>
      <x:c r="S1213" t="n">
        <x:v>-31.5</x:v>
      </x:c>
      <x:c r="T1213" t="str">
        <x:v>"</x:v>
      </x:c>
      <x:c r="U1213" t="str">
        <x:v>"</x:v>
      </x:c>
      <x:c r="V1213" t="str">
        <x:v>485102398123767</x:v>
      </x:c>
    </x:row>
    <x:row r="1214">
      <x:c r="A1214" t="str">
        <x:v>RAW-IMP-20260516-FULLDRAFT-001197</x:v>
      </x:c>
      <x:c r="B1214" t="str">
        <x:v>IMP-20260516-FULLDRAFT</x:v>
      </x:c>
      <x:c r="C1214" t="str">
        <x:v>KTO001</x:v>
      </x:c>
      <x:c r="D1214" t="str">
        <x:v>16-05-2026_Umsatzliste_Girokonto_DE98120300001061711675.csv</x:v>
      </x:c>
      <x:c r="E1214" t="n">
        <x:v>46163</x:v>
      </x:c>
      <x:c r="F1214" t="n">
        <x:v>1197</x:v>
      </x:c>
      <x:c r="G1214" t="str">
        <x:v>cacfedbff36e5b5cf1742c5eac2f02cfa1cfa0be1450ae2793c6f30ba900c66a</x:v>
      </x:c>
      <x:c r="H1214" t="str">
        <x:v>neu</x:v>
      </x:c>
      <x:c r="I1214" t="str">
        <x:v>ok</x:v>
      </x:c>
      <x:c r="J1214"/>
      <x:c r="K1214" t="n">
        <x:v>45761</x:v>
      </x:c>
      <x:c r="L1214" t="n">
        <x:v>45761</x:v>
      </x:c>
      <x:c r="M1214" t="str">
        <x:v>Gebucht</x:v>
      </x:c>
      <x:c r="N1214" t="str">
        <x:v>ISSUER</x:v>
      </x:c>
      <x:c r="O1214" t="str">
        <x:v>ATG.Theater.GmbH/Hamburg</x:v>
      </x:c>
      <x:c r="P1214" t="str">
        <x:v>VISA Debitkartenumsatz vom 12.04.2025</x:v>
      </x:c>
      <x:c r="Q1214" t="str">
        <x:v>Ausgang</x:v>
      </x:c>
      <x:c r="R1214" t="str">
        <x:v>DE96120300009005290904</x:v>
      </x:c>
      <x:c r="S1214" t="n">
        <x:v>-10</x:v>
      </x:c>
      <x:c r="T1214" t="str">
        <x:v>"</x:v>
      </x:c>
      <x:c r="U1214" t="str">
        <x:v>"</x:v>
      </x:c>
      <x:c r="V1214" t="str">
        <x:v>485102379692464</x:v>
      </x:c>
    </x:row>
    <x:row r="1215">
      <x:c r="A1215" t="str">
        <x:v>RAW-IMP-20260516-FULLDRAFT-001198</x:v>
      </x:c>
      <x:c r="B1215" t="str">
        <x:v>IMP-20260516-FULLDRAFT</x:v>
      </x:c>
      <x:c r="C1215" t="str">
        <x:v>KTO001</x:v>
      </x:c>
      <x:c r="D1215" t="str">
        <x:v>16-05-2026_Umsatzliste_Girokonto_DE98120300001061711675.csv</x:v>
      </x:c>
      <x:c r="E1215" t="n">
        <x:v>46163</x:v>
      </x:c>
      <x:c r="F1215" t="n">
        <x:v>1198</x:v>
      </x:c>
      <x:c r="G1215" t="str">
        <x:v>f7460a51b556c6431be88d8ee3428cb7267aa91970044e12d3cf90f323f9047f</x:v>
      </x:c>
      <x:c r="H1215" t="str">
        <x:v>neu</x:v>
      </x:c>
      <x:c r="I1215" t="str">
        <x:v>ok</x:v>
      </x:c>
      <x:c r="J1215"/>
      <x:c r="K1215" t="n">
        <x:v>45761</x:v>
      </x:c>
      <x:c r="L1215" t="n">
        <x:v>45761</x:v>
      </x:c>
      <x:c r="M1215" t="str">
        <x:v>Gebucht</x:v>
      </x:c>
      <x:c r="N1215" t="str">
        <x:v>ISSUER</x:v>
      </x:c>
      <x:c r="O1215" t="str">
        <x:v>DM.Drogerie.Markt/Hamburg</x:v>
      </x:c>
      <x:c r="P1215" t="str">
        <x:v>VISA Debitkartenumsatz vom 12.04.2025</x:v>
      </x:c>
      <x:c r="Q1215" t="str">
        <x:v>Ausgang</x:v>
      </x:c>
      <x:c r="R1215" t="str">
        <x:v>DE96120300009005290904</x:v>
      </x:c>
      <x:c r="S1215" t="n">
        <x:v>-6.5</x:v>
      </x:c>
      <x:c r="T1215" t="str">
        <x:v>"</x:v>
      </x:c>
      <x:c r="U1215" t="str">
        <x:v>"</x:v>
      </x:c>
      <x:c r="V1215" t="str">
        <x:v>485102342094597</x:v>
      </x:c>
    </x:row>
    <x:row r="1216">
      <x:c r="A1216" t="str">
        <x:v>RAW-IMP-20260516-FULLDRAFT-001199</x:v>
      </x:c>
      <x:c r="B1216" t="str">
        <x:v>IMP-20260516-FULLDRAFT</x:v>
      </x:c>
      <x:c r="C1216" t="str">
        <x:v>KTO001</x:v>
      </x:c>
      <x:c r="D1216" t="str">
        <x:v>16-05-2026_Umsatzliste_Girokonto_DE98120300001061711675.csv</x:v>
      </x:c>
      <x:c r="E1216" t="n">
        <x:v>46163</x:v>
      </x:c>
      <x:c r="F1216" t="n">
        <x:v>1199</x:v>
      </x:c>
      <x:c r="G1216" t="str">
        <x:v>977d7d4b62590c554e7a9b9151a202a50a7b3d4ab48293bed1a44225fd12887c</x:v>
      </x:c>
      <x:c r="H1216" t="str">
        <x:v>neu</x:v>
      </x:c>
      <x:c r="I1216" t="str">
        <x:v>ok</x:v>
      </x:c>
      <x:c r="J1216"/>
      <x:c r="K1216" t="n">
        <x:v>45761</x:v>
      </x:c>
      <x:c r="L1216" t="n">
        <x:v>45761</x:v>
      </x:c>
      <x:c r="M1216" t="str">
        <x:v>Gebucht</x:v>
      </x:c>
      <x:c r="N1216" t="str">
        <x:v>ISSUER</x:v>
      </x:c>
      <x:c r="O1216" t="str">
        <x:v>DESIGNER.OUTLET/NEUMUENSTER</x:v>
      </x:c>
      <x:c r="P1216" t="str">
        <x:v>VISA Debitkartenumsatz vom 11.04.2025</x:v>
      </x:c>
      <x:c r="Q1216" t="str">
        <x:v>Ausgang</x:v>
      </x:c>
      <x:c r="R1216" t="str">
        <x:v>DE96120300009005290904</x:v>
      </x:c>
      <x:c r="S1216" t="n">
        <x:v>-4.5</x:v>
      </x:c>
      <x:c r="T1216" t="str">
        <x:v>"</x:v>
      </x:c>
      <x:c r="U1216" t="str">
        <x:v>"</x:v>
      </x:c>
      <x:c r="V1216" t="str">
        <x:v>485101485792439</x:v>
      </x:c>
    </x:row>
    <x:row r="1217">
      <x:c r="A1217" t="str">
        <x:v>RAW-IMP-20260516-FULLDRAFT-001200</x:v>
      </x:c>
      <x:c r="B1217" t="str">
        <x:v>IMP-20260516-FULLDRAFT</x:v>
      </x:c>
      <x:c r="C1217" t="str">
        <x:v>KTO001</x:v>
      </x:c>
      <x:c r="D1217" t="str">
        <x:v>16-05-2026_Umsatzliste_Girokonto_DE98120300001061711675.csv</x:v>
      </x:c>
      <x:c r="E1217" t="n">
        <x:v>46163</x:v>
      </x:c>
      <x:c r="F1217" t="n">
        <x:v>1200</x:v>
      </x:c>
      <x:c r="G1217" t="str">
        <x:v>f3774a68bd3d0a25404a4b027e734049a9abc1fcc2cdab5b08346622315de5d3</x:v>
      </x:c>
      <x:c r="H1217" t="str">
        <x:v>neu</x:v>
      </x:c>
      <x:c r="I1217" t="str">
        <x:v>ok</x:v>
      </x:c>
      <x:c r="J1217"/>
      <x:c r="K1217" t="n">
        <x:v>45758</x:v>
      </x:c>
      <x:c r="L1217" t="n">
        <x:v>45758</x:v>
      </x:c>
      <x:c r="M1217" t="str">
        <x:v>Gebucht</x:v>
      </x:c>
      <x:c r="N1217" t="str">
        <x:v>ISSUER</x:v>
      </x:c>
      <x:c r="O1217" t="str">
        <x:v>SPAR.KOEBMAND.HANSEN/HENNE</x:v>
      </x:c>
      <x:c r="P1217" t="str">
        <x:v>VISA Debitkartenumsatz vom 10.04.2025 in Fremdwährung / Ursprungsbetrag in Fremdwährung 20,00 DKK / Umrechnungsrate: 1 Euro=7,46898500 DKK</x:v>
      </x:c>
      <x:c r="Q1217" t="str">
        <x:v>Ausgang</x:v>
      </x:c>
      <x:c r="R1217" t="str">
        <x:v>DE96120300009005290904</x:v>
      </x:c>
      <x:c r="S1217" t="n">
        <x:v>-2.68</x:v>
      </x:c>
      <x:c r="T1217" t="str">
        <x:v>"</x:v>
      </x:c>
      <x:c r="U1217" t="str">
        <x:v>"</x:v>
      </x:c>
      <x:c r="V1217" t="str">
        <x:v>485100477225859</x:v>
      </x:c>
    </x:row>
    <x:row r="1218">
      <x:c r="A1218" t="str">
        <x:v>RAW-IMP-20260516-FULLDRAFT-001201</x:v>
      </x:c>
      <x:c r="B1218" t="str">
        <x:v>IMP-20260516-FULLDRAFT</x:v>
      </x:c>
      <x:c r="C1218" t="str">
        <x:v>KTO001</x:v>
      </x:c>
      <x:c r="D1218" t="str">
        <x:v>16-05-2026_Umsatzliste_Girokonto_DE98120300001061711675.csv</x:v>
      </x:c>
      <x:c r="E1218" t="n">
        <x:v>46163</x:v>
      </x:c>
      <x:c r="F1218" t="n">
        <x:v>1201</x:v>
      </x:c>
      <x:c r="G1218" t="str">
        <x:v>190b43256a3c007cc29b45613b1b6db1d32f3afb7b429d36ff67377450dcf109</x:v>
      </x:c>
      <x:c r="H1218" t="str">
        <x:v>neu</x:v>
      </x:c>
      <x:c r="I1218" t="str">
        <x:v>ok</x:v>
      </x:c>
      <x:c r="J1218"/>
      <x:c r="K1218" t="n">
        <x:v>45758</x:v>
      </x:c>
      <x:c r="L1218" t="n">
        <x:v>45758</x:v>
      </x:c>
      <x:c r="M1218" t="str">
        <x:v>Gebucht</x:v>
      </x:c>
      <x:c r="N1218" t="str">
        <x:v>ISSUER</x:v>
      </x:c>
      <x:c r="O1218" t="str">
        <x:v>INVI2/HENNE</x:v>
      </x:c>
      <x:c r="P1218" t="str">
        <x:v>VISA Debitkartenumsatz vom 10.04.2025 in Fremdwährung / Ursprungsbetrag in Fremdwährung 115,00 DKK / Umrechnungsrate: 1 Euro=7,46898500 DKK</x:v>
      </x:c>
      <x:c r="Q1218" t="str">
        <x:v>Ausgang</x:v>
      </x:c>
      <x:c r="R1218" t="str">
        <x:v>DE96120300009005290904</x:v>
      </x:c>
      <x:c r="S1218" t="n">
        <x:v>-15.4</x:v>
      </x:c>
      <x:c r="T1218" t="str">
        <x:v>"</x:v>
      </x:c>
      <x:c r="U1218" t="str">
        <x:v>"</x:v>
      </x:c>
      <x:c r="V1218" t="str">
        <x:v>485100472656320</x:v>
      </x:c>
    </x:row>
    <x:row r="1219">
      <x:c r="A1219" t="str">
        <x:v>RAW-IMP-20260516-FULLDRAFT-001202</x:v>
      </x:c>
      <x:c r="B1219" t="str">
        <x:v>IMP-20260516-FULLDRAFT</x:v>
      </x:c>
      <x:c r="C1219" t="str">
        <x:v>KTO001</x:v>
      </x:c>
      <x:c r="D1219" t="str">
        <x:v>16-05-2026_Umsatzliste_Girokonto_DE98120300001061711675.csv</x:v>
      </x:c>
      <x:c r="E1219" t="n">
        <x:v>46163</x:v>
      </x:c>
      <x:c r="F1219" t="n">
        <x:v>1202</x:v>
      </x:c>
      <x:c r="G1219" t="str">
        <x:v>c4480de66832b34b2f9483c6c06de80ad44ca9469232a26ed7a2311eb44aa119</x:v>
      </x:c>
      <x:c r="H1219" t="str">
        <x:v>neu</x:v>
      </x:c>
      <x:c r="I1219" t="str">
        <x:v>ok</x:v>
      </x:c>
      <x:c r="J1219"/>
      <x:c r="K1219" t="n">
        <x:v>45758</x:v>
      </x:c>
      <x:c r="L1219" t="n">
        <x:v>45758</x:v>
      </x:c>
      <x:c r="M1219" t="str">
        <x:v>Gebucht</x:v>
      </x:c>
      <x:c r="N1219" t="str">
        <x:v>ISSUER</x:v>
      </x:c>
      <x:c r="O1219" t="str">
        <x:v>SPAR.KOEBMAND.HANSEN/HENNE</x:v>
      </x:c>
      <x:c r="P1219" t="str">
        <x:v>VISA Debitkartenumsatz vom 10.04.2025 in Fremdwährung / Ursprungsbetrag in Fremdwährung 84,50 DKK / Umrechnungsrate: 1 Euro=7,46898500 DKK</x:v>
      </x:c>
      <x:c r="Q1219" t="str">
        <x:v>Ausgang</x:v>
      </x:c>
      <x:c r="R1219" t="str">
        <x:v>DE96120300009005290904</x:v>
      </x:c>
      <x:c r="S1219" t="n">
        <x:v>-11.31</x:v>
      </x:c>
      <x:c r="T1219" t="str">
        <x:v>"</x:v>
      </x:c>
      <x:c r="U1219" t="str">
        <x:v>"</x:v>
      </x:c>
      <x:c r="V1219" t="str">
        <x:v>485100249699633</x:v>
      </x:c>
    </x:row>
    <x:row r="1220">
      <x:c r="A1220" t="str">
        <x:v>RAW-IMP-20260516-FULLDRAFT-001203</x:v>
      </x:c>
      <x:c r="B1220" t="str">
        <x:v>IMP-20260516-FULLDRAFT</x:v>
      </x:c>
      <x:c r="C1220" t="str">
        <x:v>KTO001</x:v>
      </x:c>
      <x:c r="D1220" t="str">
        <x:v>16-05-2026_Umsatzliste_Girokonto_DE98120300001061711675.csv</x:v>
      </x:c>
      <x:c r="E1220" t="n">
        <x:v>46163</x:v>
      </x:c>
      <x:c r="F1220" t="n">
        <x:v>1203</x:v>
      </x:c>
      <x:c r="G1220" t="str">
        <x:v>dfb76ebb437fac56ea2574b7f5b8cf7a9277f8390797233cdd035466395a0ec0</x:v>
      </x:c>
      <x:c r="H1220" t="str">
        <x:v>neu</x:v>
      </x:c>
      <x:c r="I1220" t="str">
        <x:v>ok</x:v>
      </x:c>
      <x:c r="J1220"/>
      <x:c r="K1220" t="n">
        <x:v>45758</x:v>
      </x:c>
      <x:c r="L1220" t="n">
        <x:v>45758</x:v>
      </x:c>
      <x:c r="M1220" t="str">
        <x:v>Gebucht</x:v>
      </x:c>
      <x:c r="N1220" t="str">
        <x:v>ISSUER</x:v>
      </x:c>
      <x:c r="O1220" t="str">
        <x:v>BROEDUDSALG...OUTRUP.BA/HENNE</x:v>
      </x:c>
      <x:c r="P1220" t="str">
        <x:v>VISA Debitkartenumsatz vom 10.04.2025 in Fremdwährung / Ursprungsbetrag in Fremdwährung 52,00 DKK / Umrechnungsrate: 1 Euro=7,46898500 DKK</x:v>
      </x:c>
      <x:c r="Q1220" t="str">
        <x:v>Ausgang</x:v>
      </x:c>
      <x:c r="R1220" t="str">
        <x:v>DE96120300009005290904</x:v>
      </x:c>
      <x:c r="S1220" t="n">
        <x:v>-6.96</x:v>
      </x:c>
      <x:c r="T1220" t="str">
        <x:v>"</x:v>
      </x:c>
      <x:c r="U1220" t="str">
        <x:v>"</x:v>
      </x:c>
      <x:c r="V1220" t="str">
        <x:v>485100480361400</x:v>
      </x:c>
    </x:row>
    <x:row r="1221">
      <x:c r="A1221" t="str">
        <x:v>RAW-IMP-20260516-FULLDRAFT-001204</x:v>
      </x:c>
      <x:c r="B1221" t="str">
        <x:v>IMP-20260516-FULLDRAFT</x:v>
      </x:c>
      <x:c r="C1221" t="str">
        <x:v>KTO001</x:v>
      </x:c>
      <x:c r="D1221" t="str">
        <x:v>16-05-2026_Umsatzliste_Girokonto_DE98120300001061711675.csv</x:v>
      </x:c>
      <x:c r="E1221" t="n">
        <x:v>46163</x:v>
      </x:c>
      <x:c r="F1221" t="n">
        <x:v>1204</x:v>
      </x:c>
      <x:c r="G1221" t="str">
        <x:v>d37822421e105b2f4e6714524bc20524304cf00c50206b44348acf1651a35e0d</x:v>
      </x:c>
      <x:c r="H1221" t="str">
        <x:v>neu</x:v>
      </x:c>
      <x:c r="I1221" t="str">
        <x:v>ok</x:v>
      </x:c>
      <x:c r="J1221"/>
      <x:c r="K1221" t="n">
        <x:v>45758</x:v>
      </x:c>
      <x:c r="L1221" t="n">
        <x:v>45758</x:v>
      </x:c>
      <x:c r="M1221" t="str">
        <x:v>Gebucht</x:v>
      </x:c>
      <x:c r="N1221" t="str">
        <x:v>ISSUER</x:v>
      </x:c>
      <x:c r="O1221" t="str">
        <x:v>BROEDUDSALG...OUTRUP.BA/HENNE</x:v>
      </x:c>
      <x:c r="P1221" t="str">
        <x:v>VISA Debitkartenumsatz vom 10.04.2025 in Fremdwährung / Ursprungsbetrag in Fremdwährung 134,00 DKK / Umrechnungsrate: 1 Euro=7,46898500 DKK</x:v>
      </x:c>
      <x:c r="Q1221" t="str">
        <x:v>Ausgang</x:v>
      </x:c>
      <x:c r="R1221" t="str">
        <x:v>DE96120300009005290904</x:v>
      </x:c>
      <x:c r="S1221" t="n">
        <x:v>-17.94</x:v>
      </x:c>
      <x:c r="T1221" t="str">
        <x:v>"</x:v>
      </x:c>
      <x:c r="U1221" t="str">
        <x:v>"</x:v>
      </x:c>
      <x:c r="V1221" t="str">
        <x:v>485100252682104</x:v>
      </x:c>
    </x:row>
    <x:row r="1222">
      <x:c r="A1222" t="str">
        <x:v>RAW-IMP-20260516-FULLDRAFT-001205</x:v>
      </x:c>
      <x:c r="B1222" t="str">
        <x:v>IMP-20260516-FULLDRAFT</x:v>
      </x:c>
      <x:c r="C1222" t="str">
        <x:v>KTO001</x:v>
      </x:c>
      <x:c r="D1222" t="str">
        <x:v>16-05-2026_Umsatzliste_Girokonto_DE98120300001061711675.csv</x:v>
      </x:c>
      <x:c r="E1222" t="n">
        <x:v>46163</x:v>
      </x:c>
      <x:c r="F1222" t="n">
        <x:v>1205</x:v>
      </x:c>
      <x:c r="G1222" t="str">
        <x:v>da4d3a8262efa6de9cffbe9d7e9561c487e3578a5d69bdc01a4fd8ca1576bd76</x:v>
      </x:c>
      <x:c r="H1222" t="str">
        <x:v>neu</x:v>
      </x:c>
      <x:c r="I1222" t="str">
        <x:v>ok</x:v>
      </x:c>
      <x:c r="J1222"/>
      <x:c r="K1222" t="n">
        <x:v>45758</x:v>
      </x:c>
      <x:c r="L1222" t="n">
        <x:v>45758</x:v>
      </x:c>
      <x:c r="M1222" t="str">
        <x:v>Gebucht</x:v>
      </x:c>
      <x:c r="N1222" t="str">
        <x:v>ISSUER</x:v>
      </x:c>
      <x:c r="O1222" t="str">
        <x:v>INVI2/HENNE</x:v>
      </x:c>
      <x:c r="P1222" t="str">
        <x:v>VISA Debitkartenumsatz vom 10.04.2025 in Fremdwährung / Ursprungsbetrag in Fremdwährung 29,95 DKK / Umrechnungsrate: 1 Euro=7,46898500 DKK</x:v>
      </x:c>
      <x:c r="Q1222" t="str">
        <x:v>Ausgang</x:v>
      </x:c>
      <x:c r="R1222" t="str">
        <x:v>DE96120300009005290904</x:v>
      </x:c>
      <x:c r="S1222" t="n">
        <x:v>-4.01</x:v>
      </x:c>
      <x:c r="T1222" t="str">
        <x:v>"</x:v>
      </x:c>
      <x:c r="U1222" t="str">
        <x:v>"</x:v>
      </x:c>
      <x:c r="V1222" t="str">
        <x:v>485100467473534</x:v>
      </x:c>
    </x:row>
    <x:row r="1223">
      <x:c r="A1223" t="str">
        <x:v>RAW-IMP-20260516-FULLDRAFT-001206</x:v>
      </x:c>
      <x:c r="B1223" t="str">
        <x:v>IMP-20260516-FULLDRAFT</x:v>
      </x:c>
      <x:c r="C1223" t="str">
        <x:v>KTO001</x:v>
      </x:c>
      <x:c r="D1223" t="str">
        <x:v>16-05-2026_Umsatzliste_Girokonto_DE98120300001061711675.csv</x:v>
      </x:c>
      <x:c r="E1223" t="n">
        <x:v>46163</x:v>
      </x:c>
      <x:c r="F1223" t="n">
        <x:v>1206</x:v>
      </x:c>
      <x:c r="G1223" t="str">
        <x:v>c70e64e7c70e444f9f24aca49517a162661e2b86c3c8912920b23c4770ccd5b9</x:v>
      </x:c>
      <x:c r="H1223" t="str">
        <x:v>neu</x:v>
      </x:c>
      <x:c r="I1223" t="str">
        <x:v>ok</x:v>
      </x:c>
      <x:c r="J1223"/>
      <x:c r="K1223" t="n">
        <x:v>45757</x:v>
      </x:c>
      <x:c r="L1223" t="n">
        <x:v>45757</x:v>
      </x:c>
      <x:c r="M1223" t="str">
        <x:v>Gebucht</x:v>
      </x:c>
      <x:c r="N1223" t="str">
        <x:v>ISSUER</x:v>
      </x:c>
      <x:c r="O1223" t="str">
        <x:v>BROEDUDSALG...OUTRUP.BA/HENNE</x:v>
      </x:c>
      <x:c r="P1223" t="str">
        <x:v>VISA Debitkartenumsatz vom 09.04.2025 in Fremdwährung / Ursprungsbetrag in Fremdwährung 90,00 DKK / Umrechnungsrate: 1 Euro=7,46474770 DKK</x:v>
      </x:c>
      <x:c r="Q1223" t="str">
        <x:v>Ausgang</x:v>
      </x:c>
      <x:c r="R1223" t="str">
        <x:v>DE96120300009005290904</x:v>
      </x:c>
      <x:c r="S1223" t="n">
        <x:v>-12.06</x:v>
      </x:c>
      <x:c r="T1223" t="str">
        <x:v>"</x:v>
      </x:c>
      <x:c r="U1223" t="str">
        <x:v>"</x:v>
      </x:c>
      <x:c r="V1223" t="str">
        <x:v>585099270008831</x:v>
      </x:c>
    </x:row>
    <x:row r="1224">
      <x:c r="A1224" t="str">
        <x:v>RAW-IMP-20260516-FULLDRAFT-001207</x:v>
      </x:c>
      <x:c r="B1224" t="str">
        <x:v>IMP-20260516-FULLDRAFT</x:v>
      </x:c>
      <x:c r="C1224" t="str">
        <x:v>KTO001</x:v>
      </x:c>
      <x:c r="D1224" t="str">
        <x:v>16-05-2026_Umsatzliste_Girokonto_DE98120300001061711675.csv</x:v>
      </x:c>
      <x:c r="E1224" t="n">
        <x:v>46163</x:v>
      </x:c>
      <x:c r="F1224" t="n">
        <x:v>1207</x:v>
      </x:c>
      <x:c r="G1224" t="str">
        <x:v>27cb02f6cd7b9801669fc4551f4bd85bda8aaf68c5ac613f0c9e6519a7aec59e</x:v>
      </x:c>
      <x:c r="H1224" t="str">
        <x:v>neu</x:v>
      </x:c>
      <x:c r="I1224" t="str">
        <x:v>ok</x:v>
      </x:c>
      <x:c r="J1224"/>
      <x:c r="K1224" t="n">
        <x:v>45756</x:v>
      </x:c>
      <x:c r="L1224" t="n">
        <x:v>45756</x:v>
      </x:c>
      <x:c r="M1224" t="str">
        <x:v>Gebucht</x:v>
      </x:c>
      <x:c r="N1224" t="str">
        <x:v>ISSUER</x:v>
      </x:c>
      <x:c r="O1224" t="str">
        <x:v>BROEDUDSALG...OUTRUP.BA/HENNE</x:v>
      </x:c>
      <x:c r="P1224" t="str">
        <x:v>VISA Debitkartenumsatz vom 08.04.2025 in Fremdwährung / Ursprungsbetrag in Fremdwährung 52,00 DKK / Umrechnungsrate: 1 Euro=7,46374490 DKK</x:v>
      </x:c>
      <x:c r="Q1224" t="str">
        <x:v>Ausgang</x:v>
      </x:c>
      <x:c r="R1224" t="str">
        <x:v>DE96120300009005290904</x:v>
      </x:c>
      <x:c r="S1224" t="n">
        <x:v>-6.97</x:v>
      </x:c>
      <x:c r="T1224" t="str">
        <x:v>"</x:v>
      </x:c>
      <x:c r="U1224" t="str">
        <x:v>"</x:v>
      </x:c>
      <x:c r="V1224" t="str">
        <x:v>485098280531914</x:v>
      </x:c>
    </x:row>
    <x:row r="1225">
      <x:c r="A1225" t="str">
        <x:v>RAW-IMP-20260516-FULLDRAFT-001208</x:v>
      </x:c>
      <x:c r="B1225" t="str">
        <x:v>IMP-20260516-FULLDRAFT</x:v>
      </x:c>
      <x:c r="C1225" t="str">
        <x:v>KTO001</x:v>
      </x:c>
      <x:c r="D1225" t="str">
        <x:v>16-05-2026_Umsatzliste_Girokonto_DE98120300001061711675.csv</x:v>
      </x:c>
      <x:c r="E1225" t="n">
        <x:v>46163</x:v>
      </x:c>
      <x:c r="F1225" t="n">
        <x:v>1208</x:v>
      </x:c>
      <x:c r="G1225" t="str">
        <x:v>d2945dc8346c075e1b47e9e05380ad3fcda6e72b558a51c1a10db3b7268afb2e</x:v>
      </x:c>
      <x:c r="H1225" t="str">
        <x:v>neu</x:v>
      </x:c>
      <x:c r="I1225" t="str">
        <x:v>ok</x:v>
      </x:c>
      <x:c r="J1225"/>
      <x:c r="K1225" t="n">
        <x:v>45756</x:v>
      </x:c>
      <x:c r="L1225" t="n">
        <x:v>45756</x:v>
      </x:c>
      <x:c r="M1225" t="str">
        <x:v>Gebucht</x:v>
      </x:c>
      <x:c r="N1225" t="str">
        <x:v>ISSUER</x:v>
      </x:c>
      <x:c r="O1225" t="str">
        <x:v>EJVINDS.HENNE.STRAND.AP/HENNE</x:v>
      </x:c>
      <x:c r="P1225" t="str">
        <x:v>VISA Debitkartenumsatz vom 08.04.2025 in Fremdwährung / Ursprungsbetrag in Fremdwährung 145,00 DKK / Umrechnungsrate: 1 Euro=7,46374490 DKK</x:v>
      </x:c>
      <x:c r="Q1225" t="str">
        <x:v>Ausgang</x:v>
      </x:c>
      <x:c r="R1225" t="str">
        <x:v>DE96120300009005290904</x:v>
      </x:c>
      <x:c r="S1225" t="n">
        <x:v>-19.43</x:v>
      </x:c>
      <x:c r="T1225" t="str">
        <x:v>"</x:v>
      </x:c>
      <x:c r="U1225" t="str">
        <x:v>"</x:v>
      </x:c>
      <x:c r="V1225" t="str">
        <x:v>485098278516530</x:v>
      </x:c>
    </x:row>
    <x:row r="1226">
      <x:c r="A1226" t="str">
        <x:v>RAW-IMP-20260516-FULLDRAFT-001209</x:v>
      </x:c>
      <x:c r="B1226" t="str">
        <x:v>IMP-20260516-FULLDRAFT</x:v>
      </x:c>
      <x:c r="C1226" t="str">
        <x:v>KTO001</x:v>
      </x:c>
      <x:c r="D1226" t="str">
        <x:v>16-05-2026_Umsatzliste_Girokonto_DE98120300001061711675.csv</x:v>
      </x:c>
      <x:c r="E1226" t="n">
        <x:v>46163</x:v>
      </x:c>
      <x:c r="F1226" t="n">
        <x:v>1209</x:v>
      </x:c>
      <x:c r="G1226" t="str">
        <x:v>7c392a6099b6044cc97e922f8fd4d88fefd4267af349c4d75a2cea2f38d9556a</x:v>
      </x:c>
      <x:c r="H1226" t="str">
        <x:v>neu</x:v>
      </x:c>
      <x:c r="I1226" t="str">
        <x:v>ok</x:v>
      </x:c>
      <x:c r="J1226"/>
      <x:c r="K1226" t="n">
        <x:v>45756</x:v>
      </x:c>
      <x:c r="L1226" t="n">
        <x:v>45756</x:v>
      </x:c>
      <x:c r="M1226" t="str">
        <x:v>Gebucht</x:v>
      </x:c>
      <x:c r="N1226" t="str">
        <x:v>ISSUER</x:v>
      </x:c>
      <x:c r="O1226" t="str">
        <x:v>expert.e.Commerce.GmbH/Langenhagen</x:v>
      </x:c>
      <x:c r="P1226" t="str">
        <x:v>VISA Debitkartenumsatz vom 08.04.2025</x:v>
      </x:c>
      <x:c r="Q1226" t="str">
        <x:v>Ausgang</x:v>
      </x:c>
      <x:c r="R1226" t="str">
        <x:v>DE96120300009005290904</x:v>
      </x:c>
      <x:c r="S1226" t="n">
        <x:v>-194.99</x:v>
      </x:c>
      <x:c r="T1226" t="str">
        <x:v>"</x:v>
      </x:c>
      <x:c r="U1226" t="str">
        <x:v>"</x:v>
      </x:c>
      <x:c r="V1226" t="str">
        <x:v>635099476895633</x:v>
      </x:c>
    </x:row>
    <x:row r="1227">
      <x:c r="A1227" t="str">
        <x:v>RAW-IMP-20260516-FULLDRAFT-001210</x:v>
      </x:c>
      <x:c r="B1227" t="str">
        <x:v>IMP-20260516-FULLDRAFT</x:v>
      </x:c>
      <x:c r="C1227" t="str">
        <x:v>KTO001</x:v>
      </x:c>
      <x:c r="D1227" t="str">
        <x:v>16-05-2026_Umsatzliste_Girokonto_DE98120300001061711675.csv</x:v>
      </x:c>
      <x:c r="E1227" t="n">
        <x:v>46163</x:v>
      </x:c>
      <x:c r="F1227" t="n">
        <x:v>1210</x:v>
      </x:c>
      <x:c r="G1227" t="str">
        <x:v>9f96d8abdbcd46900651d0c9eef55332742a939e8fbae690709e74e48207445d</x:v>
      </x:c>
      <x:c r="H1227" t="str">
        <x:v>neu</x:v>
      </x:c>
      <x:c r="I1227" t="str">
        <x:v>ok</x:v>
      </x:c>
      <x:c r="J1227"/>
      <x:c r="K1227" t="n">
        <x:v>45756</x:v>
      </x:c>
      <x:c r="L1227" t="n">
        <x:v>45756</x:v>
      </x:c>
      <x:c r="M1227" t="str">
        <x:v>Gebucht</x:v>
      </x:c>
      <x:c r="N1227" t="str">
        <x:v>ISSUER</x:v>
      </x:c>
      <x:c r="O1227" t="str">
        <x:v>AMZN.Mktp.DE.R66S15VC4/800.279.6620</x:v>
      </x:c>
      <x:c r="P1227" t="str">
        <x:v>VISA Debitkartenumsatz vom 08.04.2025</x:v>
      </x:c>
      <x:c r="Q1227" t="str">
        <x:v>Ausgang</x:v>
      </x:c>
      <x:c r="R1227" t="str">
        <x:v>DE96120300009005290904</x:v>
      </x:c>
      <x:c r="S1227" t="n">
        <x:v>-17.47</x:v>
      </x:c>
      <x:c r="T1227" t="str">
        <x:v>"</x:v>
      </x:c>
      <x:c r="U1227" t="str">
        <x:v>"</x:v>
      </x:c>
      <x:c r="V1227" t="str">
        <x:v>485098480880023</x:v>
      </x:c>
    </x:row>
    <x:row r="1228">
      <x:c r="A1228" t="str">
        <x:v>RAW-IMP-20260516-FULLDRAFT-001211</x:v>
      </x:c>
      <x:c r="B1228" t="str">
        <x:v>IMP-20260516-FULLDRAFT</x:v>
      </x:c>
      <x:c r="C1228" t="str">
        <x:v>KTO001</x:v>
      </x:c>
      <x:c r="D1228" t="str">
        <x:v>16-05-2026_Umsatzliste_Girokonto_DE98120300001061711675.csv</x:v>
      </x:c>
      <x:c r="E1228" t="n">
        <x:v>46163</x:v>
      </x:c>
      <x:c r="F1228" t="n">
        <x:v>1211</x:v>
      </x:c>
      <x:c r="G1228" t="str">
        <x:v>66afffe2d1facc5ab5333666eb1d30b65e746db3163672bab90efb72e1a9acfc</x:v>
      </x:c>
      <x:c r="H1228" t="str">
        <x:v>neu</x:v>
      </x:c>
      <x:c r="I1228" t="str">
        <x:v>ok</x:v>
      </x:c>
      <x:c r="J1228"/>
      <x:c r="K1228" t="n">
        <x:v>45756</x:v>
      </x:c>
      <x:c r="L1228" t="n">
        <x:v>45756</x:v>
      </x:c>
      <x:c r="M1228" t="str">
        <x:v>Gebucht</x:v>
      </x:c>
      <x:c r="N1228" t="str">
        <x:v>Lars Kohlenberg</x:v>
      </x:c>
      <x:c r="O1228" t="str">
        <x:v>Lars Kohlenberg</x:v>
      </x:c>
      <x:c r="P1228" t="str">
        <x:v>Uebertrag</x:v>
      </x:c>
      <x:c r="Q1228" t="str">
        <x:v>Eingang</x:v>
      </x:c>
      <x:c r="R1228" t="str">
        <x:v>DE91270200001510365800</x:v>
      </x:c>
      <x:c r="S1228" t="n">
        <x:v>800</x:v>
      </x:c>
      <x:c r="T1228" t="str">
        <x:v>"</x:v>
      </x:c>
      <x:c r="U1228" t="str">
        <x:v>"</x:v>
      </x:c>
      <x:c r="V1228" t="str">
        <x:v>"</x:v>
      </x:c>
    </x:row>
    <x:row r="1229">
      <x:c r="A1229" t="str">
        <x:v>RAW-IMP-20260516-FULLDRAFT-001212</x:v>
      </x:c>
      <x:c r="B1229" t="str">
        <x:v>IMP-20260516-FULLDRAFT</x:v>
      </x:c>
      <x:c r="C1229" t="str">
        <x:v>KTO001</x:v>
      </x:c>
      <x:c r="D1229" t="str">
        <x:v>16-05-2026_Umsatzliste_Girokonto_DE98120300001061711675.csv</x:v>
      </x:c>
      <x:c r="E1229" t="n">
        <x:v>46163</x:v>
      </x:c>
      <x:c r="F1229" t="n">
        <x:v>1212</x:v>
      </x:c>
      <x:c r="G1229" t="str">
        <x:v>1934eb02218101daca579d6b19353696f74a43856fd19efae998699031cedc46</x:v>
      </x:c>
      <x:c r="H1229" t="str">
        <x:v>neu</x:v>
      </x:c>
      <x:c r="I1229" t="str">
        <x:v>ok</x:v>
      </x:c>
      <x:c r="J1229"/>
      <x:c r="K1229" t="n">
        <x:v>45755</x:v>
      </x:c>
      <x:c r="L1229" t="n">
        <x:v>45755</x:v>
      </x:c>
      <x:c r="M1229" t="str">
        <x:v>Gebucht</x:v>
      </x:c>
      <x:c r="N1229" t="str">
        <x:v>ISSUER</x:v>
      </x:c>
      <x:c r="O1229" t="str">
        <x:v>EJVINDS.HENNE.STRAND.AP/HENNE</x:v>
      </x:c>
      <x:c r="P1229" t="str">
        <x:v>VISA Debitkartenumsatz vom 07.04.2025 in Fremdwährung / Ursprungsbetrag in Fremdwährung 207,00 DKK / Umrechnungsrate: 1 Euro=7,46179560 DKK</x:v>
      </x:c>
      <x:c r="Q1229" t="str">
        <x:v>Ausgang</x:v>
      </x:c>
      <x:c r="R1229" t="str">
        <x:v>DE96120300009005290904</x:v>
      </x:c>
      <x:c r="S1229" t="n">
        <x:v>-27.74</x:v>
      </x:c>
      <x:c r="T1229" t="str">
        <x:v>"</x:v>
      </x:c>
      <x:c r="U1229" t="str">
        <x:v>"</x:v>
      </x:c>
      <x:c r="V1229" t="str">
        <x:v>485097217233249</x:v>
      </x:c>
    </x:row>
    <x:row r="1230">
      <x:c r="A1230" t="str">
        <x:v>RAW-IMP-20260516-FULLDRAFT-001213</x:v>
      </x:c>
      <x:c r="B1230" t="str">
        <x:v>IMP-20260516-FULLDRAFT</x:v>
      </x:c>
      <x:c r="C1230" t="str">
        <x:v>KTO001</x:v>
      </x:c>
      <x:c r="D1230" t="str">
        <x:v>16-05-2026_Umsatzliste_Girokonto_DE98120300001061711675.csv</x:v>
      </x:c>
      <x:c r="E1230" t="n">
        <x:v>46163</x:v>
      </x:c>
      <x:c r="F1230" t="n">
        <x:v>1213</x:v>
      </x:c>
      <x:c r="G1230" t="str">
        <x:v>1b951905036edf4ad2978489b65e7971bc6a0533481665cb073e378e3be47e93</x:v>
      </x:c>
      <x:c r="H1230" t="str">
        <x:v>neu</x:v>
      </x:c>
      <x:c r="I1230" t="str">
        <x:v>ok</x:v>
      </x:c>
      <x:c r="J1230"/>
      <x:c r="K1230" t="n">
        <x:v>45755</x:v>
      </x:c>
      <x:c r="L1230" t="n">
        <x:v>45755</x:v>
      </x:c>
      <x:c r="M1230" t="str">
        <x:v>Gebucht</x:v>
      </x:c>
      <x:c r="N1230" t="str">
        <x:v>ISSUER</x:v>
      </x:c>
      <x:c r="O1230" t="str">
        <x:v>PAYPAL..LEGOLANDAPS.LE/35314369001</x:v>
      </x:c>
      <x:c r="P1230" t="str">
        <x:v>VISA Debitkartenumsatz vom 06.04.2025 in Fremdwährung / Ursprungsbetrag in Fremdwährung 1104,00 DKK / Umrechnungsrate: 1 Euro=7,46179560 DKK</x:v>
      </x:c>
      <x:c r="Q1230" t="str">
        <x:v>Ausgang</x:v>
      </x:c>
      <x:c r="R1230" t="str">
        <x:v>DE96120300009005290904</x:v>
      </x:c>
      <x:c r="S1230" t="n">
        <x:v>-147.95</x:v>
      </x:c>
      <x:c r="T1230" t="str">
        <x:v>"</x:v>
      </x:c>
      <x:c r="U1230" t="str">
        <x:v>"</x:v>
      </x:c>
      <x:c r="V1230" t="str">
        <x:v>465096636412228</x:v>
      </x:c>
    </x:row>
    <x:row r="1231">
      <x:c r="A1231" t="str">
        <x:v>RAW-IMP-20260516-FULLDRAFT-001214</x:v>
      </x:c>
      <x:c r="B1231" t="str">
        <x:v>IMP-20260516-FULLDRAFT</x:v>
      </x:c>
      <x:c r="C1231" t="str">
        <x:v>KTO001</x:v>
      </x:c>
      <x:c r="D1231" t="str">
        <x:v>16-05-2026_Umsatzliste_Girokonto_DE98120300001061711675.csv</x:v>
      </x:c>
      <x:c r="E1231" t="n">
        <x:v>46163</x:v>
      </x:c>
      <x:c r="F1231" t="n">
        <x:v>1214</x:v>
      </x:c>
      <x:c r="G1231" t="str">
        <x:v>53f97d228e0d726d3442e985f8dba02208928f94553c4c2b5d1a8ca17b357ae1</x:v>
      </x:c>
      <x:c r="H1231" t="str">
        <x:v>neu</x:v>
      </x:c>
      <x:c r="I1231" t="str">
        <x:v>ok</x:v>
      </x:c>
      <x:c r="J1231"/>
      <x:c r="K1231" t="n">
        <x:v>45755</x:v>
      </x:c>
      <x:c r="L1231" t="n">
        <x:v>45755</x:v>
      </x:c>
      <x:c r="M1231" t="str">
        <x:v>Gebucht</x:v>
      </x:c>
      <x:c r="N1231" t="str">
        <x:v>ISSUER</x:v>
      </x:c>
      <x:c r="O1231" t="str">
        <x:v>LEGOLAND.Billund/Billund</x:v>
      </x:c>
      <x:c r="P1231" t="str">
        <x:v>VISA Debitkartenumsatz vom 07.04.2025 in Fremdwährung / Ursprungsbetrag in Fremdwährung 90,00 DKK / Umrechnungsrate: 1 Euro=7,46374490 DKK</x:v>
      </x:c>
      <x:c r="Q1231" t="str">
        <x:v>Ausgang</x:v>
      </x:c>
      <x:c r="R1231" t="str">
        <x:v>DE96120300009005290904</x:v>
      </x:c>
      <x:c r="S1231" t="n">
        <x:v>-12.06</x:v>
      </x:c>
      <x:c r="T1231" t="str">
        <x:v>"</x:v>
      </x:c>
      <x:c r="U1231" t="str">
        <x:v>"</x:v>
      </x:c>
      <x:c r="V1231" t="str">
        <x:v>485097540795289</x:v>
      </x:c>
    </x:row>
    <x:row r="1232">
      <x:c r="A1232" t="str">
        <x:v>RAW-IMP-20260516-FULLDRAFT-001215</x:v>
      </x:c>
      <x:c r="B1232" t="str">
        <x:v>IMP-20260516-FULLDRAFT</x:v>
      </x:c>
      <x:c r="C1232" t="str">
        <x:v>KTO001</x:v>
      </x:c>
      <x:c r="D1232" t="str">
        <x:v>16-05-2026_Umsatzliste_Girokonto_DE98120300001061711675.csv</x:v>
      </x:c>
      <x:c r="E1232" t="n">
        <x:v>46163</x:v>
      </x:c>
      <x:c r="F1232" t="n">
        <x:v>1215</x:v>
      </x:c>
      <x:c r="G1232" t="str">
        <x:v>93b6d94fb8e3de7c144e8378170703b04c27b4e4ae1815f1b0ca9cb75e6dfb25</x:v>
      </x:c>
      <x:c r="H1232" t="str">
        <x:v>neu</x:v>
      </x:c>
      <x:c r="I1232" t="str">
        <x:v>ok</x:v>
      </x:c>
      <x:c r="J1232"/>
      <x:c r="K1232" t="n">
        <x:v>45755</x:v>
      </x:c>
      <x:c r="L1232" t="n">
        <x:v>45755</x:v>
      </x:c>
      <x:c r="M1232" t="str">
        <x:v>Gebucht</x:v>
      </x:c>
      <x:c r="N1232" t="str">
        <x:v>ISSUER</x:v>
      </x:c>
      <x:c r="O1232" t="str">
        <x:v>SPAR.KOEBMAND.HANSEN/HENNE</x:v>
      </x:c>
      <x:c r="P1232" t="str">
        <x:v>VISA Debitkartenumsatz vom 07.04.2025 in Fremdwährung / Ursprungsbetrag in Fremdwährung 301,35 DKK / Umrechnungsrate: 1 Euro=7,46179560 DKK</x:v>
      </x:c>
      <x:c r="Q1232" t="str">
        <x:v>Ausgang</x:v>
      </x:c>
      <x:c r="R1232" t="str">
        <x:v>DE96120300009005290904</x:v>
      </x:c>
      <x:c r="S1232" t="n">
        <x:v>-40.39</x:v>
      </x:c>
      <x:c r="T1232" t="str">
        <x:v>"</x:v>
      </x:c>
      <x:c r="U1232" t="str">
        <x:v>"</x:v>
      </x:c>
      <x:c r="V1232" t="str">
        <x:v>485097226616384</x:v>
      </x:c>
    </x:row>
    <x:row r="1233">
      <x:c r="A1233" t="str">
        <x:v>RAW-IMP-20260516-FULLDRAFT-001216</x:v>
      </x:c>
      <x:c r="B1233" t="str">
        <x:v>IMP-20260516-FULLDRAFT</x:v>
      </x:c>
      <x:c r="C1233" t="str">
        <x:v>KTO001</x:v>
      </x:c>
      <x:c r="D1233" t="str">
        <x:v>16-05-2026_Umsatzliste_Girokonto_DE98120300001061711675.csv</x:v>
      </x:c>
      <x:c r="E1233" t="n">
        <x:v>46163</x:v>
      </x:c>
      <x:c r="F1233" t="n">
        <x:v>1216</x:v>
      </x:c>
      <x:c r="G1233" t="str">
        <x:v>515f3263f11609246f6f5e7c493e5a9829f07bde70e633214ca5e774ff963d24</x:v>
      </x:c>
      <x:c r="H1233" t="str">
        <x:v>neu</x:v>
      </x:c>
      <x:c r="I1233" t="str">
        <x:v>ok</x:v>
      </x:c>
      <x:c r="J1233"/>
      <x:c r="K1233" t="n">
        <x:v>45755</x:v>
      </x:c>
      <x:c r="L1233" t="n">
        <x:v>45755</x:v>
      </x:c>
      <x:c r="M1233" t="str">
        <x:v>Gebucht</x:v>
      </x:c>
      <x:c r="N1233" t="str">
        <x:v>ISSUER</x:v>
      </x:c>
      <x:c r="O1233" t="str">
        <x:v>SPAR.KOEBMAND.HANSEN/HENNE</x:v>
      </x:c>
      <x:c r="P1233" t="str">
        <x:v>VISA Debitkartenumsatz vom 05.04.2025 in Fremdwährung / Ursprungsbetrag in Fremdwährung 519,90 DKK / Umrechnungsrate: 1 Euro=7,46179560 DKK</x:v>
      </x:c>
      <x:c r="Q1233" t="str">
        <x:v>Ausgang</x:v>
      </x:c>
      <x:c r="R1233" t="str">
        <x:v>DE96120300009005290904</x:v>
      </x:c>
      <x:c r="S1233" t="n">
        <x:v>-69.67</x:v>
      </x:c>
      <x:c r="T1233" t="str">
        <x:v>"</x:v>
      </x:c>
      <x:c r="U1233" t="str">
        <x:v>"</x:v>
      </x:c>
      <x:c r="V1233" t="str">
        <x:v>485095483344742</x:v>
      </x:c>
    </x:row>
    <x:row r="1234">
      <x:c r="A1234" t="str">
        <x:v>RAW-IMP-20260516-FULLDRAFT-001217</x:v>
      </x:c>
      <x:c r="B1234" t="str">
        <x:v>IMP-20260516-FULLDRAFT</x:v>
      </x:c>
      <x:c r="C1234" t="str">
        <x:v>KTO001</x:v>
      </x:c>
      <x:c r="D1234" t="str">
        <x:v>16-05-2026_Umsatzliste_Girokonto_DE98120300001061711675.csv</x:v>
      </x:c>
      <x:c r="E1234" t="n">
        <x:v>46163</x:v>
      </x:c>
      <x:c r="F1234" t="n">
        <x:v>1217</x:v>
      </x:c>
      <x:c r="G1234" t="str">
        <x:v>bb78ac43685274841b6c6f28c42e99d4227f2bbb78ab27b07b55312e0d080b0d</x:v>
      </x:c>
      <x:c r="H1234" t="str">
        <x:v>neu</x:v>
      </x:c>
      <x:c r="I1234" t="str">
        <x:v>ok</x:v>
      </x:c>
      <x:c r="J1234"/>
      <x:c r="K1234" t="n">
        <x:v>45755</x:v>
      </x:c>
      <x:c r="L1234" t="n">
        <x:v>45755</x:v>
      </x:c>
      <x:c r="M1234" t="str">
        <x:v>Gebucht</x:v>
      </x:c>
      <x:c r="N1234" t="str">
        <x:v>ISSUER</x:v>
      </x:c>
      <x:c r="O1234" t="str">
        <x:v>EJVINDS.HENNE.STRAND.AP/HENNE</x:v>
      </x:c>
      <x:c r="P1234" t="str">
        <x:v>VISA Debitkartenumsatz vom 05.04.2025 in Fremdwährung / Ursprungsbetrag in Fremdwährung 64,00 DKK / Umrechnungsrate: 1 Euro=7,46179560 DKK</x:v>
      </x:c>
      <x:c r="Q1234" t="str">
        <x:v>Ausgang</x:v>
      </x:c>
      <x:c r="R1234" t="str">
        <x:v>DE96120300009005290904</x:v>
      </x:c>
      <x:c r="S1234" t="n">
        <x:v>-8.58</x:v>
      </x:c>
      <x:c r="T1234" t="str">
        <x:v>"</x:v>
      </x:c>
      <x:c r="U1234" t="str">
        <x:v>"</x:v>
      </x:c>
      <x:c r="V1234" t="str">
        <x:v>485095283432639</x:v>
      </x:c>
    </x:row>
    <x:row r="1235">
      <x:c r="A1235" t="str">
        <x:v>RAW-IMP-20260516-FULLDRAFT-001218</x:v>
      </x:c>
      <x:c r="B1235" t="str">
        <x:v>IMP-20260516-FULLDRAFT</x:v>
      </x:c>
      <x:c r="C1235" t="str">
        <x:v>KTO001</x:v>
      </x:c>
      <x:c r="D1235" t="str">
        <x:v>16-05-2026_Umsatzliste_Girokonto_DE98120300001061711675.csv</x:v>
      </x:c>
      <x:c r="E1235" t="n">
        <x:v>46163</x:v>
      </x:c>
      <x:c r="F1235" t="n">
        <x:v>1218</x:v>
      </x:c>
      <x:c r="G1235" t="str">
        <x:v>6102cc5195ad64f21d4cc2bdc9544e65dada5962d5f9e53b8ef64735ce9c7dc8</x:v>
      </x:c>
      <x:c r="H1235" t="str">
        <x:v>neu</x:v>
      </x:c>
      <x:c r="I1235" t="str">
        <x:v>ok</x:v>
      </x:c>
      <x:c r="J1235"/>
      <x:c r="K1235" t="n">
        <x:v>45755</x:v>
      </x:c>
      <x:c r="L1235" t="n">
        <x:v>45755</x:v>
      </x:c>
      <x:c r="M1235" t="str">
        <x:v>Gebucht</x:v>
      </x:c>
      <x:c r="N1235" t="str">
        <x:v>ISSUER</x:v>
      </x:c>
      <x:c r="O1235" t="str">
        <x:v>SPAR.KOEBMAND.HANSEN/HENNE</x:v>
      </x:c>
      <x:c r="P1235" t="str">
        <x:v>VISA Debitkartenumsatz vom 05.04.2025 in Fremdwährung / Ursprungsbetrag in Fremdwährung 33,25 DKK / Umrechnungsrate: 1 Euro=7,46179560 DKK</x:v>
      </x:c>
      <x:c r="Q1235" t="str">
        <x:v>Ausgang</x:v>
      </x:c>
      <x:c r="R1235" t="str">
        <x:v>DE96120300009005290904</x:v>
      </x:c>
      <x:c r="S1235" t="n">
        <x:v>-4.46</x:v>
      </x:c>
      <x:c r="T1235" t="str">
        <x:v>"</x:v>
      </x:c>
      <x:c r="U1235" t="str">
        <x:v>"</x:v>
      </x:c>
      <x:c r="V1235" t="str">
        <x:v>485095274398215</x:v>
      </x:c>
    </x:row>
    <x:row r="1236">
      <x:c r="A1236" t="str">
        <x:v>RAW-IMP-20260516-FULLDRAFT-001219</x:v>
      </x:c>
      <x:c r="B1236" t="str">
        <x:v>IMP-20260516-FULLDRAFT</x:v>
      </x:c>
      <x:c r="C1236" t="str">
        <x:v>KTO001</x:v>
      </x:c>
      <x:c r="D1236" t="str">
        <x:v>16-05-2026_Umsatzliste_Girokonto_DE98120300001061711675.csv</x:v>
      </x:c>
      <x:c r="E1236" t="n">
        <x:v>46163</x:v>
      </x:c>
      <x:c r="F1236" t="n">
        <x:v>1219</x:v>
      </x:c>
      <x:c r="G1236" t="str">
        <x:v>f5fc6b31ab69ead21b4e95048be2297d0d40f6e376544f5ceeb5c11272c08d9a</x:v>
      </x:c>
      <x:c r="H1236" t="str">
        <x:v>neu</x:v>
      </x:c>
      <x:c r="I1236" t="str">
        <x:v>ok</x:v>
      </x:c>
      <x:c r="J1236"/>
      <x:c r="K1236" t="n">
        <x:v>45755</x:v>
      </x:c>
      <x:c r="L1236" t="n">
        <x:v>45755</x:v>
      </x:c>
      <x:c r="M1236" t="str">
        <x:v>Gebucht</x:v>
      </x:c>
      <x:c r="N1236" t="str">
        <x:v>ISSUER</x:v>
      </x:c>
      <x:c r="O1236" t="str">
        <x:v>EJVINDS.HENNE.STRAND.AP/HENNE</x:v>
      </x:c>
      <x:c r="P1236" t="str">
        <x:v>VISA Debitkartenumsatz vom 06.04.2025 in Fremdwährung / Ursprungsbetrag in Fremdwährung 115,00 DKK / Umrechnungsrate: 1 Euro=7,46179560 DKK</x:v>
      </x:c>
      <x:c r="Q1236" t="str">
        <x:v>Ausgang</x:v>
      </x:c>
      <x:c r="R1236" t="str">
        <x:v>DE96120300009005290904</x:v>
      </x:c>
      <x:c r="S1236" t="n">
        <x:v>-15.41</x:v>
      </x:c>
      <x:c r="T1236" t="str">
        <x:v>"</x:v>
      </x:c>
      <x:c r="U1236" t="str">
        <x:v>"</x:v>
      </x:c>
      <x:c r="V1236" t="str">
        <x:v>485096268602643</x:v>
      </x:c>
    </x:row>
    <x:row r="1237">
      <x:c r="A1237" t="str">
        <x:v>RAW-IMP-20260516-FULLDRAFT-001220</x:v>
      </x:c>
      <x:c r="B1237" t="str">
        <x:v>IMP-20260516-FULLDRAFT</x:v>
      </x:c>
      <x:c r="C1237" t="str">
        <x:v>KTO001</x:v>
      </x:c>
      <x:c r="D1237" t="str">
        <x:v>16-05-2026_Umsatzliste_Girokonto_DE98120300001061711675.csv</x:v>
      </x:c>
      <x:c r="E1237" t="n">
        <x:v>46163</x:v>
      </x:c>
      <x:c r="F1237" t="n">
        <x:v>1220</x:v>
      </x:c>
      <x:c r="G1237" t="str">
        <x:v>cd7778e32563cb492d655a60bf47837acbe2d11c9947f497b1002a20b3200647</x:v>
      </x:c>
      <x:c r="H1237" t="str">
        <x:v>neu</x:v>
      </x:c>
      <x:c r="I1237" t="str">
        <x:v>ok</x:v>
      </x:c>
      <x:c r="J1237"/>
      <x:c r="K1237" t="n">
        <x:v>45755</x:v>
      </x:c>
      <x:c r="L1237" t="n">
        <x:v>45754</x:v>
      </x:c>
      <x:c r="M1237" t="str">
        <x:v>Gebucht</x:v>
      </x:c>
      <x:c r="N1237" t="str">
        <x:v>ISSUER</x:v>
      </x:c>
      <x:c r="O1237" t="str">
        <x:v>APPLE.COM.BILL/ITUNES.COM</x:v>
      </x:c>
      <x:c r="P1237" t="str">
        <x:v>VISA Debitkartenumsatz vom 04.04.2025</x:v>
      </x:c>
      <x:c r="Q1237" t="str">
        <x:v>Ausgang</x:v>
      </x:c>
      <x:c r="R1237" t="str">
        <x:v>DE96120300009005290904</x:v>
      </x:c>
      <x:c r="S1237" t="n">
        <x:v>-7.99</x:v>
      </x:c>
      <x:c r="T1237" t="str">
        <x:v>"</x:v>
      </x:c>
      <x:c r="U1237" t="str">
        <x:v>"</x:v>
      </x:c>
      <x:c r="V1237" t="str">
        <x:v>485094803873899</x:v>
      </x:c>
    </x:row>
    <x:row r="1238">
      <x:c r="A1238" t="str">
        <x:v>RAW-IMP-20260516-FULLDRAFT-001221</x:v>
      </x:c>
      <x:c r="B1238" t="str">
        <x:v>IMP-20260516-FULLDRAFT</x:v>
      </x:c>
      <x:c r="C1238" t="str">
        <x:v>KTO001</x:v>
      </x:c>
      <x:c r="D1238" t="str">
        <x:v>16-05-2026_Umsatzliste_Girokonto_DE98120300001061711675.csv</x:v>
      </x:c>
      <x:c r="E1238" t="n">
        <x:v>46163</x:v>
      </x:c>
      <x:c r="F1238" t="n">
        <x:v>1221</x:v>
      </x:c>
      <x:c r="G1238" t="str">
        <x:v>7805604f31ebda880d53a3b3100e18877070d88314659f1dca26a0ad6e29cfd1</x:v>
      </x:c>
      <x:c r="H1238" t="str">
        <x:v>neu</x:v>
      </x:c>
      <x:c r="I1238" t="str">
        <x:v>ok</x:v>
      </x:c>
      <x:c r="J1238"/>
      <x:c r="K1238" t="n">
        <x:v>45754</x:v>
      </x:c>
      <x:c r="L1238" t="n">
        <x:v>45754</x:v>
      </x:c>
      <x:c r="M1238" t="str">
        <x:v>Gebucht</x:v>
      </x:c>
      <x:c r="N1238" t="str">
        <x:v>ISSUER</x:v>
      </x:c>
      <x:c r="O1238" t="str">
        <x:v>JYSK.SALZGITTER.LEBENST/SALZGITTER.LE</x:v>
      </x:c>
      <x:c r="P1238" t="str">
        <x:v>VISA Debitkartenumsatz vom 04.04.2025</x:v>
      </x:c>
      <x:c r="Q1238" t="str">
        <x:v>Ausgang</x:v>
      </x:c>
      <x:c r="R1238" t="str">
        <x:v>DE96120300009005290904</x:v>
      </x:c>
      <x:c r="S1238" t="n">
        <x:v>-16</x:v>
      </x:c>
      <x:c r="T1238" t="str">
        <x:v>"</x:v>
      </x:c>
      <x:c r="U1238" t="str">
        <x:v>"</x:v>
      </x:c>
      <x:c r="V1238" t="str">
        <x:v>485094300976815</x:v>
      </x:c>
    </x:row>
    <x:row r="1239">
      <x:c r="A1239" t="str">
        <x:v>RAW-IMP-20260516-FULLDRAFT-001222</x:v>
      </x:c>
      <x:c r="B1239" t="str">
        <x:v>IMP-20260516-FULLDRAFT</x:v>
      </x:c>
      <x:c r="C1239" t="str">
        <x:v>KTO001</x:v>
      </x:c>
      <x:c r="D1239" t="str">
        <x:v>16-05-2026_Umsatzliste_Girokonto_DE98120300001061711675.csv</x:v>
      </x:c>
      <x:c r="E1239" t="n">
        <x:v>46163</x:v>
      </x:c>
      <x:c r="F1239" t="n">
        <x:v>1222</x:v>
      </x:c>
      <x:c r="G1239" t="str">
        <x:v>d8c1bd38500c64a9086e6d85cb8582968be1044788d4211ff53cf9a7b2f8b896</x:v>
      </x:c>
      <x:c r="H1239" t="str">
        <x:v>neu</x:v>
      </x:c>
      <x:c r="I1239" t="str">
        <x:v>ok</x:v>
      </x:c>
      <x:c r="J1239"/>
      <x:c r="K1239" t="n">
        <x:v>45754</x:v>
      </x:c>
      <x:c r="L1239" t="n">
        <x:v>45754</x:v>
      </x:c>
      <x:c r="M1239" t="str">
        <x:v>Gebucht</x:v>
      </x:c>
      <x:c r="N1239" t="str">
        <x:v>ISSUER</x:v>
      </x:c>
      <x:c r="O1239" t="str">
        <x:v>MCDONALDS.01054/QUICKBORN</x:v>
      </x:c>
      <x:c r="P1239" t="str">
        <x:v>VISA Debitkartenumsatz vom 04.04.2025</x:v>
      </x:c>
      <x:c r="Q1239" t="str">
        <x:v>Ausgang</x:v>
      </x:c>
      <x:c r="R1239" t="str">
        <x:v>DE96120300009005290904</x:v>
      </x:c>
      <x:c r="S1239" t="n">
        <x:v>-12</x:v>
      </x:c>
      <x:c r="T1239" t="str">
        <x:v>"</x:v>
      </x:c>
      <x:c r="U1239" t="str">
        <x:v>"</x:v>
      </x:c>
      <x:c r="V1239" t="str">
        <x:v>485094532357209</x:v>
      </x:c>
    </x:row>
    <x:row r="1240">
      <x:c r="A1240" t="str">
        <x:v>RAW-IMP-20260516-FULLDRAFT-001223</x:v>
      </x:c>
      <x:c r="B1240" t="str">
        <x:v>IMP-20260516-FULLDRAFT</x:v>
      </x:c>
      <x:c r="C1240" t="str">
        <x:v>KTO001</x:v>
      </x:c>
      <x:c r="D1240" t="str">
        <x:v>16-05-2026_Umsatzliste_Girokonto_DE98120300001061711675.csv</x:v>
      </x:c>
      <x:c r="E1240" t="n">
        <x:v>46163</x:v>
      </x:c>
      <x:c r="F1240" t="n">
        <x:v>1223</x:v>
      </x:c>
      <x:c r="G1240" t="str">
        <x:v>aace7b2c6ca2c30e95c93e9a60f62ae2b78054e40f9cea106e86e6c6791caef9</x:v>
      </x:c>
      <x:c r="H1240" t="str">
        <x:v>neu</x:v>
      </x:c>
      <x:c r="I1240" t="str">
        <x:v>ok</x:v>
      </x:c>
      <x:c r="J1240"/>
      <x:c r="K1240" t="n">
        <x:v>45754</x:v>
      </x:c>
      <x:c r="L1240" t="n">
        <x:v>45754</x:v>
      </x:c>
      <x:c r="M1240" t="str">
        <x:v>Gebucht</x:v>
      </x:c>
      <x:c r="N1240" t="str">
        <x:v>ISSUER</x:v>
      </x:c>
      <x:c r="O1240" t="str">
        <x:v>IONITY.GmbH/Munich</x:v>
      </x:c>
      <x:c r="P1240" t="str">
        <x:v>VISA Debitkartenumsatz</x:v>
      </x:c>
      <x:c r="Q1240" t="str">
        <x:v>Ausgang</x:v>
      </x:c>
      <x:c r="R1240" t="str">
        <x:v>DE96120300009005290904</x:v>
      </x:c>
      <x:c r="S1240" t="n">
        <x:v>-7.99</x:v>
      </x:c>
      <x:c r="T1240" t="str">
        <x:v>"</x:v>
      </x:c>
      <x:c r="U1240" t="str">
        <x:v>"</x:v>
      </x:c>
      <x:c r="V1240" t="str">
        <x:v>485094345305050</x:v>
      </x:c>
    </x:row>
    <x:row r="1241">
      <x:c r="A1241" t="str">
        <x:v>RAW-IMP-20260516-FULLDRAFT-001224</x:v>
      </x:c>
      <x:c r="B1241" t="str">
        <x:v>IMP-20260516-FULLDRAFT</x:v>
      </x:c>
      <x:c r="C1241" t="str">
        <x:v>KTO001</x:v>
      </x:c>
      <x:c r="D1241" t="str">
        <x:v>16-05-2026_Umsatzliste_Girokonto_DE98120300001061711675.csv</x:v>
      </x:c>
      <x:c r="E1241" t="n">
        <x:v>46163</x:v>
      </x:c>
      <x:c r="F1241" t="n">
        <x:v>1224</x:v>
      </x:c>
      <x:c r="G1241" t="str">
        <x:v>b250e273c8172aea920d801b0d84ee0814cc24dc7b395f84ca16ab0acd8785c7</x:v>
      </x:c>
      <x:c r="H1241" t="str">
        <x:v>neu</x:v>
      </x:c>
      <x:c r="I1241" t="str">
        <x:v>ok</x:v>
      </x:c>
      <x:c r="J1241"/>
      <x:c r="K1241" t="n">
        <x:v>45754</x:v>
      </x:c>
      <x:c r="L1241" t="n">
        <x:v>45754</x:v>
      </x:c>
      <x:c r="M1241" t="str">
        <x:v>Gebucht</x:v>
      </x:c>
      <x:c r="N1241" t="str">
        <x:v>ISSUER</x:v>
      </x:c>
      <x:c r="O1241" t="str">
        <x:v>REWE.Salzgitter.Ge/Salzgitter</x:v>
      </x:c>
      <x:c r="P1241" t="str">
        <x:v>VISA Debitkartenumsatz vom 04.04.2025</x:v>
      </x:c>
      <x:c r="Q1241" t="str">
        <x:v>Ausgang</x:v>
      </x:c>
      <x:c r="R1241" t="str">
        <x:v>DE96120300009005290904</x:v>
      </x:c>
      <x:c r="S1241" t="n">
        <x:v>-18.64</x:v>
      </x:c>
      <x:c r="T1241" t="str">
        <x:v>"</x:v>
      </x:c>
      <x:c r="U1241" t="str">
        <x:v>"</x:v>
      </x:c>
      <x:c r="V1241" t="str">
        <x:v>485094343637497</x:v>
      </x:c>
    </x:row>
    <x:row r="1242">
      <x:c r="A1242" t="str">
        <x:v>RAW-IMP-20260516-FULLDRAFT-001225</x:v>
      </x:c>
      <x:c r="B1242" t="str">
        <x:v>IMP-20260516-FULLDRAFT</x:v>
      </x:c>
      <x:c r="C1242" t="str">
        <x:v>KTO001</x:v>
      </x:c>
      <x:c r="D1242" t="str">
        <x:v>16-05-2026_Umsatzliste_Girokonto_DE98120300001061711675.csv</x:v>
      </x:c>
      <x:c r="E1242" t="n">
        <x:v>46163</x:v>
      </x:c>
      <x:c r="F1242" t="n">
        <x:v>1225</x:v>
      </x:c>
      <x:c r="G1242" t="str">
        <x:v>6d7cde0c834fa3a8e35d52b456079d8c8ac9915e4e3b8bfa7c35245d2e7d1880</x:v>
      </x:c>
      <x:c r="H1242" t="str">
        <x:v>neu</x:v>
      </x:c>
      <x:c r="I1242" t="str">
        <x:v>ok</x:v>
      </x:c>
      <x:c r="J1242"/>
      <x:c r="K1242" t="n">
        <x:v>45754</x:v>
      </x:c>
      <x:c r="L1242" t="n">
        <x:v>45754</x:v>
      </x:c>
      <x:c r="M1242" t="str">
        <x:v>Gebucht</x:v>
      </x:c>
      <x:c r="N1242" t="str">
        <x:v>Lars Kohlenberg</x:v>
      </x:c>
      <x:c r="O1242" t="str">
        <x:v>Iman Firat</x:v>
      </x:c>
      <x:c r="P1242" t="str">
        <x:v>2230 Lea Kohlenberg</x:v>
      </x:c>
      <x:c r="Q1242" t="str">
        <x:v>Ausgang</x:v>
      </x:c>
      <x:c r="R1242" t="str">
        <x:v>DE67269910662694298000</x:v>
      </x:c>
      <x:c r="S1242" t="n">
        <x:v>-49.9</x:v>
      </x:c>
      <x:c r="T1242" t="str">
        <x:v>"</x:v>
      </x:c>
      <x:c r="U1242" t="str">
        <x:v>"</x:v>
      </x:c>
      <x:c r="V1242" t="str">
        <x:v>"</x:v>
      </x:c>
    </x:row>
    <x:row r="1243">
      <x:c r="A1243" t="str">
        <x:v>RAW-IMP-20260516-FULLDRAFT-001226</x:v>
      </x:c>
      <x:c r="B1243" t="str">
        <x:v>IMP-20260516-FULLDRAFT</x:v>
      </x:c>
      <x:c r="C1243" t="str">
        <x:v>KTO001</x:v>
      </x:c>
      <x:c r="D1243" t="str">
        <x:v>16-05-2026_Umsatzliste_Girokonto_DE98120300001061711675.csv</x:v>
      </x:c>
      <x:c r="E1243" t="n">
        <x:v>46163</x:v>
      </x:c>
      <x:c r="F1243" t="n">
        <x:v>1226</x:v>
      </x:c>
      <x:c r="G1243" t="str">
        <x:v>3531bfbfd801729e489f2a6f6cde3a8f715a671ecb4372fe4e16fcb77eb3a2e2</x:v>
      </x:c>
      <x:c r="H1243" t="str">
        <x:v>neu</x:v>
      </x:c>
      <x:c r="I1243" t="str">
        <x:v>ok</x:v>
      </x:c>
      <x:c r="J1243"/>
      <x:c r="K1243" t="n">
        <x:v>45751</x:v>
      </x:c>
      <x:c r="L1243" t="n">
        <x:v>45751</x:v>
      </x:c>
      <x:c r="M1243" t="str">
        <x:v>Gebucht</x:v>
      </x:c>
      <x:c r="N1243" t="str">
        <x:v>Caritasverband fur die Diozese Hildesheim e.V.</x:v>
      </x:c>
      <x:c r="O1243" t="str">
        <x:v>Lars Kohlenberg</x:v>
      </x:c>
      <x:c r="P1243" t="str">
        <x:v>8,87 20.03.25 NR. Erstattung verauslagte Kosten</x:v>
      </x:c>
      <x:c r="Q1243" t="str">
        <x:v>Eingang</x:v>
      </x:c>
      <x:c r="R1243" t="str">
        <x:v>DE73400602650023003300</x:v>
      </x:c>
      <x:c r="S1243" t="n">
        <x:v>8.87</x:v>
      </x:c>
      <x:c r="T1243" t="str">
        <x:v>"</x:v>
      </x:c>
      <x:c r="U1243" t="str">
        <x:v>"</x:v>
      </x:c>
      <x:c r="V1243" t="str">
        <x:v>4</x:v>
      </x:c>
    </x:row>
    <x:row r="1244">
      <x:c r="A1244" t="str">
        <x:v>RAW-IMP-20260516-FULLDRAFT-001227</x:v>
      </x:c>
      <x:c r="B1244" t="str">
        <x:v>IMP-20260516-FULLDRAFT</x:v>
      </x:c>
      <x:c r="C1244" t="str">
        <x:v>KTO001</x:v>
      </x:c>
      <x:c r="D1244" t="str">
        <x:v>16-05-2026_Umsatzliste_Girokonto_DE98120300001061711675.csv</x:v>
      </x:c>
      <x:c r="E1244" t="n">
        <x:v>46163</x:v>
      </x:c>
      <x:c r="F1244" t="n">
        <x:v>1227</x:v>
      </x:c>
      <x:c r="G1244" t="str">
        <x:v>1a4e0162a07d028ade1752b421c2aaa00b6e42eab82a9ee467fd2536d652fc29</x:v>
      </x:c>
      <x:c r="H1244" t="str">
        <x:v>neu</x:v>
      </x:c>
      <x:c r="I1244" t="str">
        <x:v>ok</x:v>
      </x:c>
      <x:c r="J1244"/>
      <x:c r="K1244" t="n">
        <x:v>45751</x:v>
      </x:c>
      <x:c r="L1244" t="n">
        <x:v>45751</x:v>
      </x:c>
      <x:c r="M1244" t="str">
        <x:v>Gebucht</x:v>
      </x:c>
      <x:c r="N1244" t="str">
        <x:v>ISSUER</x:v>
      </x:c>
      <x:c r="O1244" t="str">
        <x:v>Landeshauptstadt.Hannov/Hannover</x:v>
      </x:c>
      <x:c r="P1244" t="str">
        <x:v>VISA Debitkartenumsatz vom 03.04.2025</x:v>
      </x:c>
      <x:c r="Q1244" t="str">
        <x:v>Ausgang</x:v>
      </x:c>
      <x:c r="R1244" t="str">
        <x:v>DE96120300009005290904</x:v>
      </x:c>
      <x:c r="S1244" t="n">
        <x:v>-8</x:v>
      </x:c>
      <x:c r="T1244" t="str">
        <x:v>"</x:v>
      </x:c>
      <x:c r="U1244" t="str">
        <x:v>"</x:v>
      </x:c>
      <x:c r="V1244" t="str">
        <x:v>485093256822420</x:v>
      </x:c>
    </x:row>
    <x:row r="1245">
      <x:c r="A1245" t="str">
        <x:v>RAW-IMP-20260516-FULLDRAFT-001228</x:v>
      </x:c>
      <x:c r="B1245" t="str">
        <x:v>IMP-20260516-FULLDRAFT</x:v>
      </x:c>
      <x:c r="C1245" t="str">
        <x:v>KTO001</x:v>
      </x:c>
      <x:c r="D1245" t="str">
        <x:v>16-05-2026_Umsatzliste_Girokonto_DE98120300001061711675.csv</x:v>
      </x:c>
      <x:c r="E1245" t="n">
        <x:v>46163</x:v>
      </x:c>
      <x:c r="F1245" t="n">
        <x:v>1228</x:v>
      </x:c>
      <x:c r="G1245" t="str">
        <x:v>5e53645d8f777480472256a36ce42a2388a2a0b4bf8100149fa2937177f6ba38</x:v>
      </x:c>
      <x:c r="H1245" t="str">
        <x:v>neu</x:v>
      </x:c>
      <x:c r="I1245" t="str">
        <x:v>ok</x:v>
      </x:c>
      <x:c r="J1245"/>
      <x:c r="K1245" t="n">
        <x:v>45751</x:v>
      </x:c>
      <x:c r="L1245" t="n">
        <x:v>45751</x:v>
      </x:c>
      <x:c r="M1245" t="str">
        <x:v>Gebucht</x:v>
      </x:c>
      <x:c r="N1245" t="str">
        <x:v>ISSUER</x:v>
      </x:c>
      <x:c r="O1245" t="str">
        <x:v>Landeshauptstadt.Hannov/Hannover</x:v>
      </x:c>
      <x:c r="P1245" t="str">
        <x:v>VISA Debitkartenumsatz vom 03.04.2025</x:v>
      </x:c>
      <x:c r="Q1245" t="str">
        <x:v>Ausgang</x:v>
      </x:c>
      <x:c r="R1245" t="str">
        <x:v>DE96120300009005290904</x:v>
      </x:c>
      <x:c r="S1245" t="n">
        <x:v>-8</x:v>
      </x:c>
      <x:c r="T1245" t="str">
        <x:v>"</x:v>
      </x:c>
      <x:c r="U1245" t="str">
        <x:v>"</x:v>
      </x:c>
      <x:c r="V1245" t="str">
        <x:v>485093406613428</x:v>
      </x:c>
    </x:row>
    <x:row r="1246">
      <x:c r="A1246" t="str">
        <x:v>RAW-IMP-20260516-FULLDRAFT-001229</x:v>
      </x:c>
      <x:c r="B1246" t="str">
        <x:v>IMP-20260516-FULLDRAFT</x:v>
      </x:c>
      <x:c r="C1246" t="str">
        <x:v>KTO001</x:v>
      </x:c>
      <x:c r="D1246" t="str">
        <x:v>16-05-2026_Umsatzliste_Girokonto_DE98120300001061711675.csv</x:v>
      </x:c>
      <x:c r="E1246" t="n">
        <x:v>46163</x:v>
      </x:c>
      <x:c r="F1246" t="n">
        <x:v>1229</x:v>
      </x:c>
      <x:c r="G1246" t="str">
        <x:v>d55e6b07b59016f942cf5dacdb73032d0f2d662e86f6e8791dfbae51616294c0</x:v>
      </x:c>
      <x:c r="H1246" t="str">
        <x:v>neu</x:v>
      </x:c>
      <x:c r="I1246" t="str">
        <x:v>ok</x:v>
      </x:c>
      <x:c r="J1246"/>
      <x:c r="K1246" t="n">
        <x:v>45751</x:v>
      </x:c>
      <x:c r="L1246" t="n">
        <x:v>45751</x:v>
      </x:c>
      <x:c r="M1246" t="str">
        <x:v>Gebucht</x:v>
      </x:c>
      <x:c r="N1246" t="str">
        <x:v>ISSUER</x:v>
      </x:c>
      <x:c r="O1246" t="str">
        <x:v>NORD.LB...Braunschweigi/GEBHARDSHG</x:v>
      </x:c>
      <x:c r="P1246" t="str">
        <x:v>VISA Debitkartenumsatz vom 03.04.2025</x:v>
      </x:c>
      <x:c r="Q1246" t="str">
        <x:v>Ausgang</x:v>
      </x:c>
      <x:c r="R1246" t="str">
        <x:v>DE96120300009005290904</x:v>
      </x:c>
      <x:c r="S1246" t="n">
        <x:v>-150</x:v>
      </x:c>
      <x:c r="T1246" t="str">
        <x:v>"</x:v>
      </x:c>
      <x:c r="U1246" t="str">
        <x:v>"</x:v>
      </x:c>
      <x:c r="V1246" t="str">
        <x:v>485093611547292</x:v>
      </x:c>
    </x:row>
    <x:row r="1247">
      <x:c r="A1247" t="str">
        <x:v>RAW-IMP-20260516-FULLDRAFT-001230</x:v>
      </x:c>
      <x:c r="B1247" t="str">
        <x:v>IMP-20260516-FULLDRAFT</x:v>
      </x:c>
      <x:c r="C1247" t="str">
        <x:v>KTO001</x:v>
      </x:c>
      <x:c r="D1247" t="str">
        <x:v>16-05-2026_Umsatzliste_Girokonto_DE98120300001061711675.csv</x:v>
      </x:c>
      <x:c r="E1247" t="n">
        <x:v>46163</x:v>
      </x:c>
      <x:c r="F1247" t="n">
        <x:v>1230</x:v>
      </x:c>
      <x:c r="G1247" t="str">
        <x:v>843be27720402d0d7e704c88caa6bbcf2944885d71a20fcef35a161fb4076634</x:v>
      </x:c>
      <x:c r="H1247" t="str">
        <x:v>neu</x:v>
      </x:c>
      <x:c r="I1247" t="str">
        <x:v>ok</x:v>
      </x:c>
      <x:c r="J1247"/>
      <x:c r="K1247" t="n">
        <x:v>45751</x:v>
      </x:c>
      <x:c r="L1247" t="n">
        <x:v>45751</x:v>
      </x:c>
      <x:c r="M1247" t="str">
        <x:v>Gebucht</x:v>
      </x:c>
      <x:c r="N1247" t="str">
        <x:v>Lars Kohlenberg                                                       Johannes-Wosnitza-Str. 8 38229 Salzgitter</x:v>
      </x:c>
      <x:c r="O1247" t="str">
        <x:v>Telekom Deutschland GmbH</x:v>
      </x:c>
      <x:c r="P1247" t="str">
        <x:v>Festnetz Vertragskonto 4763666565 RG 7761167449/26.03.2025</x:v>
      </x:c>
      <x:c r="Q1247" t="str">
        <x:v>Ausgang</x:v>
      </x:c>
      <x:c r="R1247" t="str">
        <x:v>DE07512108001095000911</x:v>
      </x:c>
      <x:c r="S1247" t="n">
        <x:v>-61.93</x:v>
      </x:c>
      <x:c r="T1247" t="str">
        <x:v>DE93ZZZ00000078611</x:v>
      </x:c>
      <x:c r="U1247" t="str">
        <x:v>DE000201000200000000000000012966156</x:v>
      </x:c>
      <x:c r="V1247" t="str">
        <x:v>Zahlbeleg 330740786346</x:v>
      </x:c>
    </x:row>
    <x:row r="1248">
      <x:c r="A1248" t="str">
        <x:v>RAW-IMP-20260516-FULLDRAFT-001231</x:v>
      </x:c>
      <x:c r="B1248" t="str">
        <x:v>IMP-20260516-FULLDRAFT</x:v>
      </x:c>
      <x:c r="C1248" t="str">
        <x:v>KTO001</x:v>
      </x:c>
      <x:c r="D1248" t="str">
        <x:v>16-05-2026_Umsatzliste_Girokonto_DE98120300001061711675.csv</x:v>
      </x:c>
      <x:c r="E1248" t="n">
        <x:v>46163</x:v>
      </x:c>
      <x:c r="F1248" t="n">
        <x:v>1231</x:v>
      </x:c>
      <x:c r="G1248" t="str">
        <x:v>2b50dcd4a50bf9b26d49f259fdeed8f701ed01856ceccbcc89093bd8001e924c</x:v>
      </x:c>
      <x:c r="H1248" t="str">
        <x:v>neu</x:v>
      </x:c>
      <x:c r="I1248" t="str">
        <x:v>ok</x:v>
      </x:c>
      <x:c r="J1248"/>
      <x:c r="K1248" t="n">
        <x:v>45750</x:v>
      </x:c>
      <x:c r="L1248" t="n">
        <x:v>45750</x:v>
      </x:c>
      <x:c r="M1248" t="str">
        <x:v>Gebucht</x:v>
      </x:c>
      <x:c r="N1248" t="str">
        <x:v>ISSUER</x:v>
      </x:c>
      <x:c r="O1248" t="str">
        <x:v>EDEKA.POTRATZ/HILDESHEIM</x:v>
      </x:c>
      <x:c r="P1248" t="str">
        <x:v>VISA Debitkartenumsatz vom 02.04.2025</x:v>
      </x:c>
      <x:c r="Q1248" t="str">
        <x:v>Ausgang</x:v>
      </x:c>
      <x:c r="R1248" t="str">
        <x:v>DE96120300009005290904</x:v>
      </x:c>
      <x:c r="S1248" t="n">
        <x:v>-5.8</x:v>
      </x:c>
      <x:c r="T1248" t="str">
        <x:v>"</x:v>
      </x:c>
      <x:c r="U1248" t="str">
        <x:v>"</x:v>
      </x:c>
      <x:c r="V1248" t="str">
        <x:v>485092230799432</x:v>
      </x:c>
    </x:row>
    <x:row r="1249">
      <x:c r="A1249" t="str">
        <x:v>RAW-IMP-20260516-FULLDRAFT-001232</x:v>
      </x:c>
      <x:c r="B1249" t="str">
        <x:v>IMP-20260516-FULLDRAFT</x:v>
      </x:c>
      <x:c r="C1249" t="str">
        <x:v>KTO001</x:v>
      </x:c>
      <x:c r="D1249" t="str">
        <x:v>16-05-2026_Umsatzliste_Girokonto_DE98120300001061711675.csv</x:v>
      </x:c>
      <x:c r="E1249" t="n">
        <x:v>46163</x:v>
      </x:c>
      <x:c r="F1249" t="n">
        <x:v>1232</x:v>
      </x:c>
      <x:c r="G1249" t="str">
        <x:v>8700f1efd55959739110405b817a7fbfb5281a229d7fb9dfeb86b99d1e05ecd1</x:v>
      </x:c>
      <x:c r="H1249" t="str">
        <x:v>neu</x:v>
      </x:c>
      <x:c r="I1249" t="str">
        <x:v>ok</x:v>
      </x:c>
      <x:c r="J1249"/>
      <x:c r="K1249" t="n">
        <x:v>45750</x:v>
      </x:c>
      <x:c r="L1249" t="n">
        <x:v>45750</x:v>
      </x:c>
      <x:c r="M1249" t="str">
        <x:v>Gebucht</x:v>
      </x:c>
      <x:c r="N1249" t="str">
        <x:v>ISSUER</x:v>
      </x:c>
      <x:c r="O1249" t="str">
        <x:v>NORDSEE.GMBH/HILDESHEIM</x:v>
      </x:c>
      <x:c r="P1249" t="str">
        <x:v>VISA Debitkartenumsatz vom 02.04.2025</x:v>
      </x:c>
      <x:c r="Q1249" t="str">
        <x:v>Ausgang</x:v>
      </x:c>
      <x:c r="R1249" t="str">
        <x:v>DE96120300009005290904</x:v>
      </x:c>
      <x:c r="S1249" t="n">
        <x:v>-3.99</x:v>
      </x:c>
      <x:c r="T1249" t="str">
        <x:v>"</x:v>
      </x:c>
      <x:c r="U1249" t="str">
        <x:v>"</x:v>
      </x:c>
      <x:c r="V1249" t="str">
        <x:v>485092460717475</x:v>
      </x:c>
    </x:row>
    <x:row r="1250">
      <x:c r="A1250" t="str">
        <x:v>RAW-IMP-20260516-FULLDRAFT-001233</x:v>
      </x:c>
      <x:c r="B1250" t="str">
        <x:v>IMP-20260516-FULLDRAFT</x:v>
      </x:c>
      <x:c r="C1250" t="str">
        <x:v>KTO001</x:v>
      </x:c>
      <x:c r="D1250" t="str">
        <x:v>16-05-2026_Umsatzliste_Girokonto_DE98120300001061711675.csv</x:v>
      </x:c>
      <x:c r="E1250" t="n">
        <x:v>46163</x:v>
      </x:c>
      <x:c r="F1250" t="n">
        <x:v>1233</x:v>
      </x:c>
      <x:c r="G1250" t="str">
        <x:v>e6c9348b7fb13809fb06620123f77fb342b4a592f3f534bfd9b7035bbed97470</x:v>
      </x:c>
      <x:c r="H1250" t="str">
        <x:v>neu</x:v>
      </x:c>
      <x:c r="I1250" t="str">
        <x:v>ok</x:v>
      </x:c>
      <x:c r="J1250"/>
      <x:c r="K1250" t="n">
        <x:v>45750</x:v>
      </x:c>
      <x:c r="L1250" t="n">
        <x:v>45750</x:v>
      </x:c>
      <x:c r="M1250" t="str">
        <x:v>Gebucht</x:v>
      </x:c>
      <x:c r="N1250" t="str">
        <x:v>ISSUER</x:v>
      </x:c>
      <x:c r="O1250" t="str">
        <x:v>REWE.Mehmet.Kaysal.oHG/Salzgitter</x:v>
      </x:c>
      <x:c r="P1250" t="str">
        <x:v>VISA Debitkartenumsatz vom 02.04.2025</x:v>
      </x:c>
      <x:c r="Q1250" t="str">
        <x:v>Ausgang</x:v>
      </x:c>
      <x:c r="R1250" t="str">
        <x:v>DE96120300009005290904</x:v>
      </x:c>
      <x:c r="S1250" t="n">
        <x:v>-1.49</x:v>
      </x:c>
      <x:c r="T1250" t="str">
        <x:v>"</x:v>
      </x:c>
      <x:c r="U1250" t="str">
        <x:v>"</x:v>
      </x:c>
      <x:c r="V1250" t="str">
        <x:v>485092576688910</x:v>
      </x:c>
    </x:row>
    <x:row r="1251">
      <x:c r="A1251" t="str">
        <x:v>RAW-IMP-20260516-FULLDRAFT-001234</x:v>
      </x:c>
      <x:c r="B1251" t="str">
        <x:v>IMP-20260516-FULLDRAFT</x:v>
      </x:c>
      <x:c r="C1251" t="str">
        <x:v>KTO001</x:v>
      </x:c>
      <x:c r="D1251" t="str">
        <x:v>16-05-2026_Umsatzliste_Girokonto_DE98120300001061711675.csv</x:v>
      </x:c>
      <x:c r="E1251" t="n">
        <x:v>46163</x:v>
      </x:c>
      <x:c r="F1251" t="n">
        <x:v>1234</x:v>
      </x:c>
      <x:c r="G1251" t="str">
        <x:v>ed9cd3f5bd2caa1e88c043db124625ba0115c33b94f5df3f40c99c718ef359af</x:v>
      </x:c>
      <x:c r="H1251" t="str">
        <x:v>neu</x:v>
      </x:c>
      <x:c r="I1251" t="str">
        <x:v>ok</x:v>
      </x:c>
      <x:c r="J1251"/>
      <x:c r="K1251" t="n">
        <x:v>45750</x:v>
      </x:c>
      <x:c r="L1251" t="n">
        <x:v>45750</x:v>
      </x:c>
      <x:c r="M1251" t="str">
        <x:v>Gebucht</x:v>
      </x:c>
      <x:c r="N1251" t="str">
        <x:v>ISSUER</x:v>
      </x:c>
      <x:c r="O1251" t="str">
        <x:v>KAUFLAND.SALZGITTER.CIT/SALZGITTER</x:v>
      </x:c>
      <x:c r="P1251" t="str">
        <x:v>VISA Debitkartenumsatz vom 01.04.2025</x:v>
      </x:c>
      <x:c r="Q1251" t="str">
        <x:v>Ausgang</x:v>
      </x:c>
      <x:c r="R1251" t="str">
        <x:v>DE96120300009005290904</x:v>
      </x:c>
      <x:c r="S1251" t="n">
        <x:v>-85.37</x:v>
      </x:c>
      <x:c r="T1251" t="str">
        <x:v>"</x:v>
      </x:c>
      <x:c r="U1251" t="str">
        <x:v>"</x:v>
      </x:c>
      <x:c r="V1251" t="str">
        <x:v>485091636603683</x:v>
      </x:c>
    </x:row>
    <x:row r="1252">
      <x:c r="A1252" t="str">
        <x:v>RAW-IMP-20260516-FULLDRAFT-001235</x:v>
      </x:c>
      <x:c r="B1252" t="str">
        <x:v>IMP-20260516-FULLDRAFT</x:v>
      </x:c>
      <x:c r="C1252" t="str">
        <x:v>KTO001</x:v>
      </x:c>
      <x:c r="D1252" t="str">
        <x:v>16-05-2026_Umsatzliste_Girokonto_DE98120300001061711675.csv</x:v>
      </x:c>
      <x:c r="E1252" t="n">
        <x:v>46163</x:v>
      </x:c>
      <x:c r="F1252" t="n">
        <x:v>1235</x:v>
      </x:c>
      <x:c r="G1252" t="str">
        <x:v>afa4cee97a0d21a823b0ad6b19868e6c31e1248905a96fc7dd93686259ffd701</x:v>
      </x:c>
      <x:c r="H1252" t="str">
        <x:v>neu</x:v>
      </x:c>
      <x:c r="I1252" t="str">
        <x:v>ok</x:v>
      </x:c>
      <x:c r="J1252"/>
      <x:c r="K1252" t="n">
        <x:v>45750</x:v>
      </x:c>
      <x:c r="L1252" t="n">
        <x:v>45750</x:v>
      </x:c>
      <x:c r="M1252" t="str">
        <x:v>Gebucht</x:v>
      </x:c>
      <x:c r="N1252" t="str">
        <x:v>Lars Kohlenberg</x:v>
      </x:c>
      <x:c r="O1252" t="str">
        <x:v>Lars Kohlenberg</x:v>
      </x:c>
      <x:c r="P1252" t="str">
        <x:v>Übertrag</x:v>
      </x:c>
      <x:c r="Q1252" t="str">
        <x:v>Ausgang</x:v>
      </x:c>
      <x:c r="R1252" t="str">
        <x:v>DE33269910668923736000</x:v>
      </x:c>
      <x:c r="S1252" t="n">
        <x:v>-500</x:v>
      </x:c>
      <x:c r="T1252" t="str">
        <x:v>"</x:v>
      </x:c>
      <x:c r="U1252" t="str">
        <x:v>"</x:v>
      </x:c>
      <x:c r="V1252" t="str">
        <x:v>"</x:v>
      </x:c>
    </x:row>
    <x:row r="1253">
      <x:c r="A1253" t="str">
        <x:v>RAW-IMP-20260516-FULLDRAFT-001236</x:v>
      </x:c>
      <x:c r="B1253" t="str">
        <x:v>IMP-20260516-FULLDRAFT</x:v>
      </x:c>
      <x:c r="C1253" t="str">
        <x:v>KTO001</x:v>
      </x:c>
      <x:c r="D1253" t="str">
        <x:v>16-05-2026_Umsatzliste_Girokonto_DE98120300001061711675.csv</x:v>
      </x:c>
      <x:c r="E1253" t="n">
        <x:v>46163</x:v>
      </x:c>
      <x:c r="F1253" t="n">
        <x:v>1236</x:v>
      </x:c>
      <x:c r="G1253" t="str">
        <x:v>b98e157927d53ab894017d1d70d15845984f7db830958968dac0544bc3c33b90</x:v>
      </x:c>
      <x:c r="H1253" t="str">
        <x:v>neu</x:v>
      </x:c>
      <x:c r="I1253" t="str">
        <x:v>ok</x:v>
      </x:c>
      <x:c r="J1253"/>
      <x:c r="K1253" t="n">
        <x:v>45749</x:v>
      </x:c>
      <x:c r="L1253" t="n">
        <x:v>45749</x:v>
      </x:c>
      <x:c r="M1253" t="str">
        <x:v>Gebucht</x:v>
      </x:c>
      <x:c r="N1253" t="str">
        <x:v>ISSUER</x:v>
      </x:c>
      <x:c r="O1253" t="str">
        <x:v>PAYPAL..KARTENMACHE/4029357733</x:v>
      </x:c>
      <x:c r="P1253" t="str">
        <x:v>VISA Debitkartenumsatz vom 30.03.2025</x:v>
      </x:c>
      <x:c r="Q1253" t="str">
        <x:v>Ausgang</x:v>
      </x:c>
      <x:c r="R1253" t="str">
        <x:v>DE96120300009005290904</x:v>
      </x:c>
      <x:c r="S1253" t="n">
        <x:v>-45.89</x:v>
      </x:c>
      <x:c r="T1253" t="str">
        <x:v>"</x:v>
      </x:c>
      <x:c r="U1253" t="str">
        <x:v>"</x:v>
      </x:c>
      <x:c r="V1253" t="str">
        <x:v>465089485038076</x:v>
      </x:c>
    </x:row>
    <x:row r="1254">
      <x:c r="A1254" t="str">
        <x:v>RAW-IMP-20260516-FULLDRAFT-001237</x:v>
      </x:c>
      <x:c r="B1254" t="str">
        <x:v>IMP-20260516-FULLDRAFT</x:v>
      </x:c>
      <x:c r="C1254" t="str">
        <x:v>KTO001</x:v>
      </x:c>
      <x:c r="D1254" t="str">
        <x:v>16-05-2026_Umsatzliste_Girokonto_DE98120300001061711675.csv</x:v>
      </x:c>
      <x:c r="E1254" t="n">
        <x:v>46163</x:v>
      </x:c>
      <x:c r="F1254" t="n">
        <x:v>1237</x:v>
      </x:c>
      <x:c r="G1254" t="str">
        <x:v>6cdba2bcd0ebe9e53508d9a6cf82425df0e086777690559620762e9f9a1a0c4d</x:v>
      </x:c>
      <x:c r="H1254" t="str">
        <x:v>neu</x:v>
      </x:c>
      <x:c r="I1254" t="str">
        <x:v>ok</x:v>
      </x:c>
      <x:c r="J1254"/>
      <x:c r="K1254" t="n">
        <x:v>45749</x:v>
      </x:c>
      <x:c r="L1254" t="n">
        <x:v>45749</x:v>
      </x:c>
      <x:c r="M1254" t="str">
        <x:v>Gebucht</x:v>
      </x:c>
      <x:c r="N1254" t="str">
        <x:v>ISSUER</x:v>
      </x:c>
      <x:c r="O1254" t="str">
        <x:v>Rossmann.2376/Salzgitter</x:v>
      </x:c>
      <x:c r="P1254" t="str">
        <x:v>VISA Debitkartenumsatz vom 01.04.2025</x:v>
      </x:c>
      <x:c r="Q1254" t="str">
        <x:v>Ausgang</x:v>
      </x:c>
      <x:c r="R1254" t="str">
        <x:v>DE96120300009005290904</x:v>
      </x:c>
      <x:c r="S1254" t="n">
        <x:v>-26.53</x:v>
      </x:c>
      <x:c r="T1254" t="str">
        <x:v>"</x:v>
      </x:c>
      <x:c r="U1254" t="str">
        <x:v>"</x:v>
      </x:c>
      <x:c r="V1254" t="str">
        <x:v>485091616197002</x:v>
      </x:c>
    </x:row>
    <x:row r="1255">
      <x:c r="A1255" t="str">
        <x:v>RAW-IMP-20260516-FULLDRAFT-001238</x:v>
      </x:c>
      <x:c r="B1255" t="str">
        <x:v>IMP-20260516-FULLDRAFT</x:v>
      </x:c>
      <x:c r="C1255" t="str">
        <x:v>KTO001</x:v>
      </x:c>
      <x:c r="D1255" t="str">
        <x:v>16-05-2026_Umsatzliste_Girokonto_DE98120300001061711675.csv</x:v>
      </x:c>
      <x:c r="E1255" t="n">
        <x:v>46163</x:v>
      </x:c>
      <x:c r="F1255" t="n">
        <x:v>1238</x:v>
      </x:c>
      <x:c r="G1255" t="str">
        <x:v>b9a4499b52fe68df0061e55c6564e812556ade2a705ded5e3c0a276e8a5f7556</x:v>
      </x:c>
      <x:c r="H1255" t="str">
        <x:v>neu</x:v>
      </x:c>
      <x:c r="I1255" t="str">
        <x:v>ok</x:v>
      </x:c>
      <x:c r="J1255"/>
      <x:c r="K1255" t="n">
        <x:v>45749</x:v>
      </x:c>
      <x:c r="L1255" t="n">
        <x:v>45749</x:v>
      </x:c>
      <x:c r="M1255" t="str">
        <x:v>Gebucht</x:v>
      </x:c>
      <x:c r="N1255" t="str">
        <x:v>ISSUER</x:v>
      </x:c>
      <x:c r="O1255" t="str">
        <x:v>PH.City.Parkdeck/Hildesheim</x:v>
      </x:c>
      <x:c r="P1255" t="str">
        <x:v>VISA Debitkartenumsatz vom 01.04.2025</x:v>
      </x:c>
      <x:c r="Q1255" t="str">
        <x:v>Ausgang</x:v>
      </x:c>
      <x:c r="R1255" t="str">
        <x:v>DE96120300009005290904</x:v>
      </x:c>
      <x:c r="S1255" t="n">
        <x:v>-5.5</x:v>
      </x:c>
      <x:c r="T1255" t="str">
        <x:v>"</x:v>
      </x:c>
      <x:c r="U1255" t="str">
        <x:v>"</x:v>
      </x:c>
      <x:c r="V1255" t="str">
        <x:v>485091399810542</x:v>
      </x:c>
    </x:row>
    <x:row r="1256">
      <x:c r="A1256" t="str">
        <x:v>RAW-IMP-20260516-FULLDRAFT-001239</x:v>
      </x:c>
      <x:c r="B1256" t="str">
        <x:v>IMP-20260516-FULLDRAFT</x:v>
      </x:c>
      <x:c r="C1256" t="str">
        <x:v>KTO001</x:v>
      </x:c>
      <x:c r="D1256" t="str">
        <x:v>16-05-2026_Umsatzliste_Girokonto_DE98120300001061711675.csv</x:v>
      </x:c>
      <x:c r="E1256" t="n">
        <x:v>46163</x:v>
      </x:c>
      <x:c r="F1256" t="n">
        <x:v>1239</x:v>
      </x:c>
      <x:c r="G1256" t="str">
        <x:v>34f93654cd69cb6733b98d71ce5341dcbca66600858887df4c043213277bf1ca</x:v>
      </x:c>
      <x:c r="H1256" t="str">
        <x:v>neu</x:v>
      </x:c>
      <x:c r="I1256" t="str">
        <x:v>ok</x:v>
      </x:c>
      <x:c r="J1256"/>
      <x:c r="K1256" t="n">
        <x:v>45749</x:v>
      </x:c>
      <x:c r="L1256" t="n">
        <x:v>45749</x:v>
      </x:c>
      <x:c r="M1256" t="str">
        <x:v>Gebucht</x:v>
      </x:c>
      <x:c r="N1256" t="str">
        <x:v>ISSUER</x:v>
      </x:c>
      <x:c r="O1256" t="str">
        <x:v>.Deutsche.Bank.AG/SZ.LEBENST</x:v>
      </x:c>
      <x:c r="P1256" t="str">
        <x:v>VISA Debitkartenumsatz vom 01.04.2025</x:v>
      </x:c>
      <x:c r="Q1256" t="str">
        <x:v>Ausgang</x:v>
      </x:c>
      <x:c r="R1256" t="str">
        <x:v>DE96120300009005290904</x:v>
      </x:c>
      <x:c r="S1256" t="n">
        <x:v>-80</x:v>
      </x:c>
      <x:c r="T1256" t="str">
        <x:v>"</x:v>
      </x:c>
      <x:c r="U1256" t="str">
        <x:v>"</x:v>
      </x:c>
      <x:c r="V1256" t="str">
        <x:v>485091617538225</x:v>
      </x:c>
    </x:row>
    <x:row r="1257">
      <x:c r="A1257" t="str">
        <x:v>RAW-IMP-20260516-FULLDRAFT-001240</x:v>
      </x:c>
      <x:c r="B1257" t="str">
        <x:v>IMP-20260516-FULLDRAFT</x:v>
      </x:c>
      <x:c r="C1257" t="str">
        <x:v>KTO001</x:v>
      </x:c>
      <x:c r="D1257" t="str">
        <x:v>16-05-2026_Umsatzliste_Girokonto_DE98120300001061711675.csv</x:v>
      </x:c>
      <x:c r="E1257" t="n">
        <x:v>46163</x:v>
      </x:c>
      <x:c r="F1257" t="n">
        <x:v>1240</x:v>
      </x:c>
      <x:c r="G1257" t="str">
        <x:v>a6ef603ad0f122f4c692c9dff1a53c0222b083e5466b2ce9b70f85578eb6d9e9</x:v>
      </x:c>
      <x:c r="H1257" t="str">
        <x:v>neu</x:v>
      </x:c>
      <x:c r="I1257" t="str">
        <x:v>ok</x:v>
      </x:c>
      <x:c r="J1257"/>
      <x:c r="K1257" t="n">
        <x:v>45749</x:v>
      </x:c>
      <x:c r="L1257" t="n">
        <x:v>45749</x:v>
      </x:c>
      <x:c r="M1257" t="str">
        <x:v>Gebucht</x:v>
      </x:c>
      <x:c r="N1257" t="str">
        <x:v>Lars Kohlenberg</x:v>
      </x:c>
      <x:c r="O1257" t="str">
        <x:v>VHV Allg. Versicherung AG</x:v>
      </x:c>
      <x:c r="P1257" t="str">
        <x:v>VHV Versicherung UNFALLVERSICHERUNG U 013-072445/0000 Abrechnung: 01.04.25 - 01.05.25</x:v>
      </x:c>
      <x:c r="Q1257" t="str">
        <x:v>Ausgang</x:v>
      </x:c>
      <x:c r="R1257" t="str">
        <x:v>DE65250500000101411551</x:v>
      </x:c>
      <x:c r="S1257" t="n">
        <x:v>-11.96</x:v>
      </x:c>
      <x:c r="T1257" t="str">
        <x:v>DE32VHV00000150810</x:v>
      </x:c>
      <x:c r="U1257" t="str">
        <x:v>0015012300010039</x:v>
      </x:c>
      <x:c r="V1257" t="str">
        <x:v>31353534909</x:v>
      </x:c>
    </x:row>
    <x:row r="1258">
      <x:c r="A1258" t="str">
        <x:v>RAW-IMP-20260516-FULLDRAFT-001241</x:v>
      </x:c>
      <x:c r="B1258" t="str">
        <x:v>IMP-20260516-FULLDRAFT</x:v>
      </x:c>
      <x:c r="C1258" t="str">
        <x:v>KTO001</x:v>
      </x:c>
      <x:c r="D1258" t="str">
        <x:v>16-05-2026_Umsatzliste_Girokonto_DE98120300001061711675.csv</x:v>
      </x:c>
      <x:c r="E1258" t="n">
        <x:v>46163</x:v>
      </x:c>
      <x:c r="F1258" t="n">
        <x:v>1241</x:v>
      </x:c>
      <x:c r="G1258" t="str">
        <x:v>d1b420b3712e06dd74fcbc6da3e6172dee6dcf672fa39eb68bd54726fea13baa</x:v>
      </x:c>
      <x:c r="H1258" t="str">
        <x:v>neu</x:v>
      </x:c>
      <x:c r="I1258" t="str">
        <x:v>ok</x:v>
      </x:c>
      <x:c r="J1258"/>
      <x:c r="K1258" t="n">
        <x:v>45749</x:v>
      </x:c>
      <x:c r="L1258" t="n">
        <x:v>45749</x:v>
      </x:c>
      <x:c r="M1258" t="str">
        <x:v>Gebucht</x:v>
      </x:c>
      <x:c r="N1258" t="str">
        <x:v>Lars Kohlenberg</x:v>
      </x:c>
      <x:c r="O1258" t="str">
        <x:v>VHV Allg. Versicherung AG</x:v>
      </x:c>
      <x:c r="P1258" t="str">
        <x:v>VHV Versicherung HAFTPFLICHTVERSICHERUNG H 306-298548/0000 Abrechnung: 01.04.25 - 01.07.25</x:v>
      </x:c>
      <x:c r="Q1258" t="str">
        <x:v>Ausgang</x:v>
      </x:c>
      <x:c r="R1258" t="str">
        <x:v>DE65250500000101411551</x:v>
      </x:c>
      <x:c r="S1258" t="n">
        <x:v>-23.63</x:v>
      </x:c>
      <x:c r="T1258" t="str">
        <x:v>DE32VHV00000150810</x:v>
      </x:c>
      <x:c r="U1258" t="str">
        <x:v>0015012300010037</x:v>
      </x:c>
      <x:c r="V1258" t="str">
        <x:v>31353534908</x:v>
      </x:c>
    </x:row>
    <x:row r="1259">
      <x:c r="A1259" t="str">
        <x:v>RAW-IMP-20260516-FULLDRAFT-001242</x:v>
      </x:c>
      <x:c r="B1259" t="str">
        <x:v>IMP-20260516-FULLDRAFT</x:v>
      </x:c>
      <x:c r="C1259" t="str">
        <x:v>KTO001</x:v>
      </x:c>
      <x:c r="D1259" t="str">
        <x:v>16-05-2026_Umsatzliste_Girokonto_DE98120300001061711675.csv</x:v>
      </x:c>
      <x:c r="E1259" t="n">
        <x:v>46163</x:v>
      </x:c>
      <x:c r="F1259" t="n">
        <x:v>1242</x:v>
      </x:c>
      <x:c r="G1259" t="str">
        <x:v>f2939fdb71f30404fc278570ed34c6871eff8db5d9992eff1a3a71a0ff35ff4f</x:v>
      </x:c>
      <x:c r="H1259" t="str">
        <x:v>neu</x:v>
      </x:c>
      <x:c r="I1259" t="str">
        <x:v>ok</x:v>
      </x:c>
      <x:c r="J1259"/>
      <x:c r="K1259" t="n">
        <x:v>45749</x:v>
      </x:c>
      <x:c r="L1259" t="n">
        <x:v>45749</x:v>
      </x:c>
      <x:c r="M1259" t="str">
        <x:v>Gebucht</x:v>
      </x:c>
      <x:c r="N1259" t="str">
        <x:v>Lars Kohlenberg                                                       Johannes-Wosnitza-Str. 8</x:v>
      </x:c>
      <x:c r="O1259" t="str">
        <x:v>FUNKE Medien Nieders.GmbH</x:v>
      </x:c>
      <x:c r="P1259" t="str">
        <x:v>SZ/00001050/VA/01.04.25-30.04.25/Rg-Nr.:6316277889/Kd-Nr:0053112791</x:v>
      </x:c>
      <x:c r="Q1259" t="str">
        <x:v>Ausgang</x:v>
      </x:c>
      <x:c r="R1259" t="str">
        <x:v>DE67250500000000146910</x:v>
      </x:c>
      <x:c r="S1259" t="n">
        <x:v>-57.5</x:v>
      </x:c>
      <x:c r="T1259" t="str">
        <x:v>DE8850000000483288</x:v>
      </x:c>
      <x:c r="U1259" t="str">
        <x:v>0053112791-0500-01300001</x:v>
      </x:c>
      <x:c r="V1259" t="str">
        <x:v>032008128470</x:v>
      </x:c>
    </x:row>
    <x:row r="1260">
      <x:c r="A1260" t="str">
        <x:v>RAW-IMP-20260516-FULLDRAFT-001243</x:v>
      </x:c>
      <x:c r="B1260" t="str">
        <x:v>IMP-20260516-FULLDRAFT</x:v>
      </x:c>
      <x:c r="C1260" t="str">
        <x:v>KTO001</x:v>
      </x:c>
      <x:c r="D1260" t="str">
        <x:v>16-05-2026_Umsatzliste_Girokonto_DE98120300001061711675.csv</x:v>
      </x:c>
      <x:c r="E1260" t="n">
        <x:v>46163</x:v>
      </x:c>
      <x:c r="F1260" t="n">
        <x:v>1243</x:v>
      </x:c>
      <x:c r="G1260" t="str">
        <x:v>07c9b7c0926f90a5983e76d7cfb81e0ff44d60a34b2637d34f340e7a98da141e</x:v>
      </x:c>
      <x:c r="H1260" t="str">
        <x:v>neu</x:v>
      </x:c>
      <x:c r="I1260" t="str">
        <x:v>ok</x:v>
      </x:c>
      <x:c r="J1260"/>
      <x:c r="K1260" t="n">
        <x:v>45748</x:v>
      </x:c>
      <x:c r="L1260" t="n">
        <x:v>45748</x:v>
      </x:c>
      <x:c r="M1260" t="str">
        <x:v>Gebucht</x:v>
      </x:c>
      <x:c r="N1260" t="str">
        <x:v>WILLI KOHLENBERG</x:v>
      </x:c>
      <x:c r="O1260" t="str">
        <x:v>LARS KOHLENBERG</x:v>
      </x:c>
      <x:c r="P1260" t="str">
        <x:v>MIETE 2/3 HAUS</x:v>
      </x:c>
      <x:c r="Q1260" t="str">
        <x:v>Eingang</x:v>
      </x:c>
      <x:c r="R1260" t="str">
        <x:v>DE84270800600651520400</x:v>
      </x:c>
      <x:c r="S1260" t="n">
        <x:v>750</x:v>
      </x:c>
      <x:c r="T1260" t="str">
        <x:v>"</x:v>
      </x:c>
      <x:c r="U1260" t="str">
        <x:v>"</x:v>
      </x:c>
      <x:c r="V1260" t="str">
        <x:v>"</x:v>
      </x:c>
    </x:row>
    <x:row r="1261">
      <x:c r="A1261" t="str">
        <x:v>RAW-IMP-20260516-FULLDRAFT-001244</x:v>
      </x:c>
      <x:c r="B1261" t="str">
        <x:v>IMP-20260516-FULLDRAFT</x:v>
      </x:c>
      <x:c r="C1261" t="str">
        <x:v>KTO001</x:v>
      </x:c>
      <x:c r="D1261" t="str">
        <x:v>16-05-2026_Umsatzliste_Girokonto_DE98120300001061711675.csv</x:v>
      </x:c>
      <x:c r="E1261" t="n">
        <x:v>46163</x:v>
      </x:c>
      <x:c r="F1261" t="n">
        <x:v>1244</x:v>
      </x:c>
      <x:c r="G1261" t="str">
        <x:v>d24f76fddead1766b51384e03db07e0b5bb0d99b39a2e6073c3d4344ae6a4db2</x:v>
      </x:c>
      <x:c r="H1261" t="str">
        <x:v>neu</x:v>
      </x:c>
      <x:c r="I1261" t="str">
        <x:v>ok</x:v>
      </x:c>
      <x:c r="J1261"/>
      <x:c r="K1261" t="n">
        <x:v>45748</x:v>
      </x:c>
      <x:c r="L1261" t="n">
        <x:v>45748</x:v>
      </x:c>
      <x:c r="M1261" t="str">
        <x:v>Gebucht</x:v>
      </x:c>
      <x:c r="N1261" t="str">
        <x:v>Lars Kohlenberg</x:v>
      </x:c>
      <x:c r="O1261" t="str">
        <x:v>KATRIN KOHLENBERG</x:v>
      </x:c>
      <x:c r="P1261" t="str">
        <x:v>Apanage</x:v>
      </x:c>
      <x:c r="Q1261" t="str">
        <x:v>Ausgang</x:v>
      </x:c>
      <x:c r="R1261" t="str">
        <x:v>DE32270727240307336800</x:v>
      </x:c>
      <x:c r="S1261" t="n">
        <x:v>-1800</x:v>
      </x:c>
      <x:c r="T1261" t="str">
        <x:v>"</x:v>
      </x:c>
      <x:c r="U1261" t="str">
        <x:v>"</x:v>
      </x:c>
      <x:c r="V1261" t="str">
        <x:v>"</x:v>
      </x:c>
    </x:row>
    <x:row r="1262">
      <x:c r="A1262" t="str">
        <x:v>RAW-IMP-20260516-FULLDRAFT-001245</x:v>
      </x:c>
      <x:c r="B1262" t="str">
        <x:v>IMP-20260516-FULLDRAFT</x:v>
      </x:c>
      <x:c r="C1262" t="str">
        <x:v>KTO001</x:v>
      </x:c>
      <x:c r="D1262" t="str">
        <x:v>16-05-2026_Umsatzliste_Girokonto_DE98120300001061711675.csv</x:v>
      </x:c>
      <x:c r="E1262" t="n">
        <x:v>46163</x:v>
      </x:c>
      <x:c r="F1262" t="n">
        <x:v>1245</x:v>
      </x:c>
      <x:c r="G1262" t="str">
        <x:v>65af1f4e3fe18ff61892cca09b57a0c4632df014414ddde87987d64438e82973</x:v>
      </x:c>
      <x:c r="H1262" t="str">
        <x:v>neu</x:v>
      </x:c>
      <x:c r="I1262" t="str">
        <x:v>ok</x:v>
      </x:c>
      <x:c r="J1262"/>
      <x:c r="K1262" t="n">
        <x:v>45748</x:v>
      </x:c>
      <x:c r="L1262" t="n">
        <x:v>45748</x:v>
      </x:c>
      <x:c r="M1262" t="str">
        <x:v>Gebucht</x:v>
      </x:c>
      <x:c r="N1262" t="str">
        <x:v>Lars Kohlenberg</x:v>
      </x:c>
      <x:c r="O1262" t="str">
        <x:v>LARS KOHLENBERG</x:v>
      </x:c>
      <x:c r="P1262" t="str">
        <x:v>Sparrate 650,- + 750 EUR Mieteinnahmen</x:v>
      </x:c>
      <x:c r="Q1262" t="str">
        <x:v>Ausgang</x:v>
      </x:c>
      <x:c r="R1262" t="str">
        <x:v>DE91270200001510365800</x:v>
      </x:c>
      <x:c r="S1262" t="n">
        <x:v>-1400</x:v>
      </x:c>
      <x:c r="T1262" t="str">
        <x:v>"</x:v>
      </x:c>
      <x:c r="U1262" t="str">
        <x:v>"</x:v>
      </x:c>
      <x:c r="V1262" t="str">
        <x:v>"</x:v>
      </x:c>
    </x:row>
    <x:row r="1263">
      <x:c r="A1263" t="str">
        <x:v>RAW-IMP-20260516-FULLDRAFT-001246</x:v>
      </x:c>
      <x:c r="B1263" t="str">
        <x:v>IMP-20260516-FULLDRAFT</x:v>
      </x:c>
      <x:c r="C1263" t="str">
        <x:v>KTO001</x:v>
      </x:c>
      <x:c r="D1263" t="str">
        <x:v>16-05-2026_Umsatzliste_Girokonto_DE98120300001061711675.csv</x:v>
      </x:c>
      <x:c r="E1263" t="n">
        <x:v>46163</x:v>
      </x:c>
      <x:c r="F1263" t="n">
        <x:v>1246</x:v>
      </x:c>
      <x:c r="G1263" t="str">
        <x:v>a32f66721b7e26c78a6b91f5d654b54a2b8c350e8c38d5bd154f85bff8e3238f</x:v>
      </x:c>
      <x:c r="H1263" t="str">
        <x:v>neu</x:v>
      </x:c>
      <x:c r="I1263" t="str">
        <x:v>ok</x:v>
      </x:c>
      <x:c r="J1263"/>
      <x:c r="K1263" t="n">
        <x:v>45748</x:v>
      </x:c>
      <x:c r="L1263" t="n">
        <x:v>45748</x:v>
      </x:c>
      <x:c r="M1263" t="str">
        <x:v>Gebucht</x:v>
      </x:c>
      <x:c r="N1263" t="str">
        <x:v>KOHLENBERG, LARS</x:v>
      </x:c>
      <x:c r="O1263" t="str">
        <x:v>VPV-LEBENSVERSICHERUNGS-AG</x:v>
      </x:c>
      <x:c r="P1263" t="str">
        <x:v>VNR 301667726</x:v>
      </x:c>
      <x:c r="Q1263" t="str">
        <x:v>Ausgang</x:v>
      </x:c>
      <x:c r="R1263" t="str">
        <x:v>DE78600501010001166338</x:v>
      </x:c>
      <x:c r="S1263" t="n">
        <x:v>-53.3</x:v>
      </x:c>
      <x:c r="T1263" t="str">
        <x:v>DE96LAG00000064686</x:v>
      </x:c>
      <x:c r="U1263" t="str">
        <x:v>ML700120510</x:v>
      </x:c>
      <x:c r="V1263" t="str">
        <x:v>250331 458362598 ML700120510</x:v>
      </x:c>
    </x:row>
    <x:row r="1264">
      <x:c r="A1264" t="str">
        <x:v>RAW-IMP-20260516-FULLDRAFT-001247</x:v>
      </x:c>
      <x:c r="B1264" t="str">
        <x:v>IMP-20260516-FULLDRAFT</x:v>
      </x:c>
      <x:c r="C1264" t="str">
        <x:v>KTO001</x:v>
      </x:c>
      <x:c r="D1264" t="str">
        <x:v>16-05-2026_Umsatzliste_Girokonto_DE98120300001061711675.csv</x:v>
      </x:c>
      <x:c r="E1264" t="n">
        <x:v>46163</x:v>
      </x:c>
      <x:c r="F1264" t="n">
        <x:v>1247</x:v>
      </x:c>
      <x:c r="G1264" t="str">
        <x:v>0df839af657a6952aa3e37074971fd84555f060087f3508c61cef3318032d1f5</x:v>
      </x:c>
      <x:c r="H1264" t="str">
        <x:v>neu</x:v>
      </x:c>
      <x:c r="I1264" t="str">
        <x:v>ok</x:v>
      </x:c>
      <x:c r="J1264"/>
      <x:c r="K1264" t="n">
        <x:v>45748</x:v>
      </x:c>
      <x:c r="L1264" t="n">
        <x:v>45748</x:v>
      </x:c>
      <x:c r="M1264" t="str">
        <x:v>Gebucht</x:v>
      </x:c>
      <x:c r="N1264" t="str">
        <x:v>Lars Kohlenberg                                                       Johannes-Wosnitza-Str. 8 38229 Salzgitter</x:v>
      </x:c>
      <x:c r="O1264" t="str">
        <x:v>Heidelberger Lebensversicherung AG                                    Im Breitspiel 2-4, 69126 Heidelberg</x:v>
      </x:c>
      <x:c r="P1264" t="str">
        <x:v>60012826 , 04.25</x:v>
      </x:c>
      <x:c r="Q1264" t="str">
        <x:v>Ausgang</x:v>
      </x:c>
      <x:c r="R1264" t="str">
        <x:v>DE38600501010002662604</x:v>
      </x:c>
      <x:c r="S1264" t="n">
        <x:v>-452.71</x:v>
      </x:c>
      <x:c r="T1264" t="str">
        <x:v>DE31HLE00000032682</x:v>
      </x:c>
      <x:c r="U1264" t="str">
        <x:v>11-140000075706</x:v>
      </x:c>
      <x:c r="V1264" t="str">
        <x:v>130043770744</x:v>
      </x:c>
    </x:row>
    <x:row r="1265">
      <x:c r="A1265" t="str">
        <x:v>RAW-IMP-20260516-FULLDRAFT-001248</x:v>
      </x:c>
      <x:c r="B1265" t="str">
        <x:v>IMP-20260516-FULLDRAFT</x:v>
      </x:c>
      <x:c r="C1265" t="str">
        <x:v>KTO001</x:v>
      </x:c>
      <x:c r="D1265" t="str">
        <x:v>16-05-2026_Umsatzliste_Girokonto_DE98120300001061711675.csv</x:v>
      </x:c>
      <x:c r="E1265" t="n">
        <x:v>46163</x:v>
      </x:c>
      <x:c r="F1265" t="n">
        <x:v>1248</x:v>
      </x:c>
      <x:c r="G1265" t="str">
        <x:v>88c0dd58f246a300f49600b6f9633d11d0e27812a912e96de7168f78401c2009</x:v>
      </x:c>
      <x:c r="H1265" t="str">
        <x:v>neu</x:v>
      </x:c>
      <x:c r="I1265" t="str">
        <x:v>ok</x:v>
      </x:c>
      <x:c r="J1265"/>
      <x:c r="K1265" t="n">
        <x:v>45748</x:v>
      </x:c>
      <x:c r="L1265" t="n">
        <x:v>45748</x:v>
      </x:c>
      <x:c r="M1265" t="str">
        <x:v>Gebucht</x:v>
      </x:c>
      <x:c r="N1265" t="str">
        <x:v>Kohlenberg, Lars</x:v>
      </x:c>
      <x:c r="O1265" t="str">
        <x:v>IDEAL Lebensversicherung aG</x:v>
      </x:c>
      <x:c r="P1265" t="str">
        <x:v>2011216280009 LV 041</x:v>
      </x:c>
      <x:c r="Q1265" t="str">
        <x:v>Ausgang</x:v>
      </x:c>
      <x:c r="R1265" t="str">
        <x:v>DE36100700000460303100</x:v>
      </x:c>
      <x:c r="S1265" t="n">
        <x:v>-97.12</x:v>
      </x:c>
      <x:c r="T1265" t="str">
        <x:v>DE40ZZZ00000559230</x:v>
      </x:c>
      <x:c r="U1265" t="str">
        <x:v>2011216280009-001</x:v>
      </x:c>
      <x:c r="V1265" t="str">
        <x:v>GL,KL,PD-20250401-1-2011216280009-0</x:v>
      </x:c>
    </x:row>
    <x:row r="1266">
      <x:c r="A1266" t="str">
        <x:v>RAW-IMP-20260516-FULLDRAFT-001249</x:v>
      </x:c>
      <x:c r="B1266" t="str">
        <x:v>IMP-20260516-FULLDRAFT</x:v>
      </x:c>
      <x:c r="C1266" t="str">
        <x:v>KTO001</x:v>
      </x:c>
      <x:c r="D1266" t="str">
        <x:v>16-05-2026_Umsatzliste_Girokonto_DE98120300001061711675.csv</x:v>
      </x:c>
      <x:c r="E1266" t="n">
        <x:v>46163</x:v>
      </x:c>
      <x:c r="F1266" t="n">
        <x:v>1249</x:v>
      </x:c>
      <x:c r="G1266" t="str">
        <x:v>b7f4eb9ac34a365786fe31cbf4b621f9b3b31bfa78e2cc5c3765fe391407f8a6</x:v>
      </x:c>
      <x:c r="H1266" t="str">
        <x:v>neu</x:v>
      </x:c>
      <x:c r="I1266" t="str">
        <x:v>ok</x:v>
      </x:c>
      <x:c r="J1266"/>
      <x:c r="K1266" t="n">
        <x:v>45748</x:v>
      </x:c>
      <x:c r="L1266" t="n">
        <x:v>45748</x:v>
      </x:c>
      <x:c r="M1266" t="str">
        <x:v>Gebucht</x:v>
      </x:c>
      <x:c r="N1266" t="str">
        <x:v>Kohlenberg Lars</x:v>
      </x:c>
      <x:c r="O1266" t="str">
        <x:v>Allianz Lebensvers. AG</x:v>
      </x:c>
      <x:c r="P1266" t="str">
        <x:v>Vertrag AL-1356867060 bisheriger Vertrag 33 029 619 6 01.04.25 - 30.04.25 RiesRent InvAlphaBal</x:v>
      </x:c>
      <x:c r="Q1266" t="str">
        <x:v>Ausgang</x:v>
      </x:c>
      <x:c r="R1266" t="str">
        <x:v>DE52700202700015152448</x:v>
      </x:c>
      <x:c r="S1266" t="n">
        <x:v>-162.17</x:v>
      </x:c>
      <x:c r="T1266" t="str">
        <x:v>DE07ZZZ00000063475</x:v>
      </x:c>
      <x:c r="U1266" t="str">
        <x:v>LA01L312001066775296</x:v>
      </x:c>
      <x:c r="V1266" t="str">
        <x:v>AB225086-E00665215</x:v>
      </x:c>
    </x:row>
    <x:row r="1267">
      <x:c r="A1267" t="str">
        <x:v>RAW-IMP-20260516-FULLDRAFT-001250</x:v>
      </x:c>
      <x:c r="B1267" t="str">
        <x:v>IMP-20260516-FULLDRAFT</x:v>
      </x:c>
      <x:c r="C1267" t="str">
        <x:v>KTO001</x:v>
      </x:c>
      <x:c r="D1267" t="str">
        <x:v>16-05-2026_Umsatzliste_Girokonto_DE98120300001061711675.csv</x:v>
      </x:c>
      <x:c r="E1267" t="n">
        <x:v>46163</x:v>
      </x:c>
      <x:c r="F1267" t="n">
        <x:v>1250</x:v>
      </x:c>
      <x:c r="G1267" t="str">
        <x:v>0eafedea78d3e8c775135b99a81fe278d0af8046df34c72b4862e00f581ebe1f</x:v>
      </x:c>
      <x:c r="H1267" t="str">
        <x:v>neu</x:v>
      </x:c>
      <x:c r="I1267" t="str">
        <x:v>ok</x:v>
      </x:c>
      <x:c r="J1267"/>
      <x:c r="K1267" t="n">
        <x:v>45748</x:v>
      </x:c>
      <x:c r="L1267" t="n">
        <x:v>45748</x:v>
      </x:c>
      <x:c r="M1267" t="str">
        <x:v>Gebucht</x:v>
      </x:c>
      <x:c r="N1267" t="str">
        <x:v>KOHLENBERG LARS</x:v>
      </x:c>
      <x:c r="O1267" t="str">
        <x:v>VOLKSWOHL BUND Lebensversicherung a.G.</x:v>
      </x:c>
      <x:c r="P1267" t="str">
        <x:v>009893595 LA000750566/ 009893595 LEBEN 68,46</x:v>
      </x:c>
      <x:c r="Q1267" t="str">
        <x:v>Ausgang</x:v>
      </x:c>
      <x:c r="R1267" t="str">
        <x:v>DE76440400370361155500</x:v>
      </x:c>
      <x:c r="S1267" t="n">
        <x:v>-68.46</x:v>
      </x:c>
      <x:c r="T1267" t="str">
        <x:v>DE13ZZZ00000141064</x:v>
      </x:c>
      <x:c r="U1267" t="str">
        <x:v>LA000750566</x:v>
      </x:c>
      <x:c r="V1267" t="str">
        <x:v>009893595/NVMA.G1121-324334</x:v>
      </x:c>
    </x:row>
    <x:row r="1268">
      <x:c r="A1268" t="str">
        <x:v>RAW-IMP-20260516-FULLDRAFT-001251</x:v>
      </x:c>
      <x:c r="B1268" t="str">
        <x:v>IMP-20260516-FULLDRAFT</x:v>
      </x:c>
      <x:c r="C1268" t="str">
        <x:v>KTO001</x:v>
      </x:c>
      <x:c r="D1268" t="str">
        <x:v>16-05-2026_Umsatzliste_Girokonto_DE98120300001061711675.csv</x:v>
      </x:c>
      <x:c r="E1268" t="n">
        <x:v>46163</x:v>
      </x:c>
      <x:c r="F1268" t="n">
        <x:v>1251</x:v>
      </x:c>
      <x:c r="G1268" t="str">
        <x:v>64653a8ae74b8d3327069c5d2aac93e246c6cbd2862582d982d1099e2d1e282a</x:v>
      </x:c>
      <x:c r="H1268" t="str">
        <x:v>neu</x:v>
      </x:c>
      <x:c r="I1268" t="str">
        <x:v>ok</x:v>
      </x:c>
      <x:c r="J1268"/>
      <x:c r="K1268" t="n">
        <x:v>45748</x:v>
      </x:c>
      <x:c r="L1268" t="n">
        <x:v>45748</x:v>
      </x:c>
      <x:c r="M1268" t="str">
        <x:v>Gebucht</x:v>
      </x:c>
      <x:c r="N1268" t="str">
        <x:v>KOHLENBERG, LARS</x:v>
      </x:c>
      <x:c r="O1268" t="str">
        <x:v>Lars und Katrin Kohlenberg</x:v>
      </x:c>
      <x:c r="P1268" t="str">
        <x:v>11520310 VERMOEGENSDEPOT SAMMELBUCHUNG SPARPLAN WKN A1C9ED, 847809</x:v>
      </x:c>
      <x:c r="Q1268" t="str">
        <x:v>Ausgang</x:v>
      </x:c>
      <x:c r="R1268" t="str">
        <x:v>DE27672300000506966162</x:v>
      </x:c>
      <x:c r="S1268" t="n">
        <x:v>-600</x:v>
      </x:c>
      <x:c r="T1268" t="str">
        <x:v>DE53ZZZ00000010849</x:v>
      </x:c>
      <x:c r="U1268" t="str">
        <x:v>WPBF0000180845</x:v>
      </x:c>
      <x:c r="V1268" t="str">
        <x:v>SPARSP 16970055</x:v>
      </x:c>
    </x:row>
    <x:row r="1269">
      <x:c r="A1269" t="str">
        <x:v>RAW-IMP-20260516-FULLDRAFT-001252</x:v>
      </x:c>
      <x:c r="B1269" t="str">
        <x:v>IMP-20260516-FULLDRAFT</x:v>
      </x:c>
      <x:c r="C1269" t="str">
        <x:v>KTO001</x:v>
      </x:c>
      <x:c r="D1269" t="str">
        <x:v>16-05-2026_Umsatzliste_Girokonto_DE98120300001061711675.csv</x:v>
      </x:c>
      <x:c r="E1269" t="n">
        <x:v>46163</x:v>
      </x:c>
      <x:c r="F1269" t="n">
        <x:v>1252</x:v>
      </x:c>
      <x:c r="G1269" t="str">
        <x:v>3e20450e809ad055d3e222432dd4379e3f8399948ef8132d1689ad3c164a0a09</x:v>
      </x:c>
      <x:c r="H1269" t="str">
        <x:v>neu</x:v>
      </x:c>
      <x:c r="I1269" t="str">
        <x:v>ok</x:v>
      </x:c>
      <x:c r="J1269"/>
      <x:c r="K1269" t="n">
        <x:v>45748</x:v>
      </x:c>
      <x:c r="L1269" t="n">
        <x:v>45748</x:v>
      </x:c>
      <x:c r="M1269" t="str">
        <x:v>Gebucht</x:v>
      </x:c>
      <x:c r="N1269" t="str">
        <x:v>Lars Kohlenberg                                                       Johannes-Wosnitza-Str. 8,38229 Salzgitter</x:v>
      </x:c>
      <x:c r="O1269" t="str">
        <x:v>1+1 Mail + Media GmbH                                                 Elgendorfer Str. 57, 56410 Montabaur</x:v>
      </x:c>
      <x:c r="P1269" t="str">
        <x:v>KD-Nr. K7440512/ RG-Nr. 201540481062</x:v>
      </x:c>
      <x:c r="Q1269" t="str">
        <x:v>Ausgang</x:v>
      </x:c>
      <x:c r="R1269" t="str">
        <x:v>DE76700800000881679702</x:v>
      </x:c>
      <x:c r="S1269" t="n">
        <x:v>-8.99</x:v>
      </x:c>
      <x:c r="T1269" t="str">
        <x:v>DE07ZZZ00000569718</x:v>
      </x:c>
      <x:c r="U1269" t="str">
        <x:v>0090001393062</x:v>
      </x:c>
      <x:c r="V1269" t="str">
        <x:v>006321496330</x:v>
      </x:c>
    </x:row>
    <x:row r="1270">
      <x:c r="A1270" t="str">
        <x:v>RAW-IMP-20260516-FULLDRAFT-001253</x:v>
      </x:c>
      <x:c r="B1270" t="str">
        <x:v>IMP-20260516-FULLDRAFT</x:v>
      </x:c>
      <x:c r="C1270" t="str">
        <x:v>KTO001</x:v>
      </x:c>
      <x:c r="D1270" t="str">
        <x:v>16-05-2026_Umsatzliste_Girokonto_DE98120300001061711675.csv</x:v>
      </x:c>
      <x:c r="E1270" t="n">
        <x:v>46163</x:v>
      </x:c>
      <x:c r="F1270" t="n">
        <x:v>1253</x:v>
      </x:c>
      <x:c r="G1270" t="str">
        <x:v>793eb33336ce65e364b1db24bb6e3adec02ab10a43010b660d08ea92a4f7fb25</x:v>
      </x:c>
      <x:c r="H1270" t="str">
        <x:v>neu</x:v>
      </x:c>
      <x:c r="I1270" t="str">
        <x:v>ok</x:v>
      </x:c>
      <x:c r="J1270"/>
      <x:c r="K1270" t="n">
        <x:v>45748</x:v>
      </x:c>
      <x:c r="L1270" t="n">
        <x:v>45748</x:v>
      </x:c>
      <x:c r="M1270" t="str">
        <x:v>Gebucht</x:v>
      </x:c>
      <x:c r="N1270" t="str">
        <x:v>DKB AG</x:v>
      </x:c>
      <x:c r="O1270" t="str">
        <x:v>DKB AG</x:v>
      </x:c>
      <x:c r="P1270" t="str">
        <x:v>Abrechnung 31.03.2025 siehe Anlage Abrechnung 31.03.2025 Information zur Abrechnung Kontostand am 31.03.2025                                        5.564,57 + Abrechnungszeitraum vom 01.01.2025 bis 31.03.2025 Zinsen für eingeräumte Kontoüberziehung                              0,07-  8,6800 v.H. Kred-Zins  bis 27.03.2025 Abrechnung 31.03.2025                                                0,07- Sollzinssätze am 30.03.2025  8,6800 v.H. für eingeräumte Kontoüberziehung (aktuell eingeräumte Kontoüberziehung       2.000,00)  8,6800 v.H. für geduldete Kontoüberziehung über die eingeräumte Kontoüberziehung hinaus Es handelt sich hierbei um eine umsatzsteuerfreie Leistung. Kontostand/Rechnungsabschluss am 31.03.2025                     5.564,50 + Rechnungsnummer: 20250331-BY111-00229219492</x:v>
      </x:c>
      <x:c r="Q1270" t="str">
        <x:v>Ausgang</x:v>
      </x:c>
      <x:c r="R1270" t="str">
        <x:v>0000000000</x:v>
      </x:c>
      <x:c r="S1270" t="n">
        <x:v>-0.07</x:v>
      </x:c>
      <x:c r="T1270" t="str">
        <x:v>"</x:v>
      </x:c>
      <x:c r="U1270" t="str">
        <x:v>"</x:v>
      </x:c>
      <x:c r="V1270" t="str">
        <x:v>"</x:v>
      </x:c>
    </x:row>
    <x:row r="1271">
      <x:c r="A1271" t="str">
        <x:v>RAW-IMP-20260516-FULLDRAFT-001254</x:v>
      </x:c>
      <x:c r="B1271" t="str">
        <x:v>IMP-20260516-FULLDRAFT</x:v>
      </x:c>
      <x:c r="C1271" t="str">
        <x:v>KTO001</x:v>
      </x:c>
      <x:c r="D1271" t="str">
        <x:v>16-05-2026_Umsatzliste_Girokonto_DE98120300001061711675.csv</x:v>
      </x:c>
      <x:c r="E1271" t="n">
        <x:v>46163</x:v>
      </x:c>
      <x:c r="F1271" t="n">
        <x:v>1254</x:v>
      </x:c>
      <x:c r="G1271" t="str">
        <x:v>c5736343b6d627ac0130cb65e0df2cce946e8c273a31230c27feef8781f08369</x:v>
      </x:c>
      <x:c r="H1271" t="str">
        <x:v>neu</x:v>
      </x:c>
      <x:c r="I1271" t="str">
        <x:v>ok</x:v>
      </x:c>
      <x:c r="J1271"/>
      <x:c r="K1271" t="n">
        <x:v>45747</x:v>
      </x:c>
      <x:c r="L1271" t="n">
        <x:v>45747</x:v>
      </x:c>
      <x:c r="M1271" t="str">
        <x:v>Gebucht</x:v>
      </x:c>
      <x:c r="N1271" t="str">
        <x:v>ISSUER</x:v>
      </x:c>
      <x:c r="O1271" t="str">
        <x:v>THALIA.BUCHHANDLUNG.NOR/Braunschweig</x:v>
      </x:c>
      <x:c r="P1271" t="str">
        <x:v>VISA Debitkartenumsatz vom 29.03.2025</x:v>
      </x:c>
      <x:c r="Q1271" t="str">
        <x:v>Ausgang</x:v>
      </x:c>
      <x:c r="R1271" t="str">
        <x:v>DE96120300009005290904</x:v>
      </x:c>
      <x:c r="S1271" t="n">
        <x:v>-29</x:v>
      </x:c>
      <x:c r="T1271" t="str">
        <x:v>"</x:v>
      </x:c>
      <x:c r="U1271" t="str">
        <x:v>"</x:v>
      </x:c>
      <x:c r="V1271" t="str">
        <x:v>485088372138787</x:v>
      </x:c>
    </x:row>
    <x:row r="1272">
      <x:c r="A1272" t="str">
        <x:v>RAW-IMP-20260516-FULLDRAFT-001255</x:v>
      </x:c>
      <x:c r="B1272" t="str">
        <x:v>IMP-20260516-FULLDRAFT</x:v>
      </x:c>
      <x:c r="C1272" t="str">
        <x:v>KTO001</x:v>
      </x:c>
      <x:c r="D1272" t="str">
        <x:v>16-05-2026_Umsatzliste_Girokonto_DE98120300001061711675.csv</x:v>
      </x:c>
      <x:c r="E1272" t="n">
        <x:v>46163</x:v>
      </x:c>
      <x:c r="F1272" t="n">
        <x:v>1255</x:v>
      </x:c>
      <x:c r="G1272" t="str">
        <x:v>ad5e9592436e6d6a8192e4a84d668a6eb5cc28882411f83ff33e6ec9c0109353</x:v>
      </x:c>
      <x:c r="H1272" t="str">
        <x:v>neu</x:v>
      </x:c>
      <x:c r="I1272" t="str">
        <x:v>ok</x:v>
      </x:c>
      <x:c r="J1272"/>
      <x:c r="K1272" t="n">
        <x:v>45747</x:v>
      </x:c>
      <x:c r="L1272" t="n">
        <x:v>45747</x:v>
      </x:c>
      <x:c r="M1272" t="str">
        <x:v>Gebucht</x:v>
      </x:c>
      <x:c r="N1272" t="str">
        <x:v>ISSUER</x:v>
      </x:c>
      <x:c r="O1272" t="str">
        <x:v>METRO.SAGT.DANKE/BRAUNSCHWEIG</x:v>
      </x:c>
      <x:c r="P1272" t="str">
        <x:v>VISA Debitkartenumsatz vom 29.03.2025</x:v>
      </x:c>
      <x:c r="Q1272" t="str">
        <x:v>Ausgang</x:v>
      </x:c>
      <x:c r="R1272" t="str">
        <x:v>DE96120300009005290904</x:v>
      </x:c>
      <x:c r="S1272" t="n">
        <x:v>-48.15</x:v>
      </x:c>
      <x:c r="T1272" t="str">
        <x:v>"</x:v>
      </x:c>
      <x:c r="U1272" t="str">
        <x:v>"</x:v>
      </x:c>
      <x:c r="V1272" t="str">
        <x:v>485088514131092</x:v>
      </x:c>
    </x:row>
    <x:row r="1273">
      <x:c r="A1273" t="str">
        <x:v>RAW-IMP-20260516-FULLDRAFT-001256</x:v>
      </x:c>
      <x:c r="B1273" t="str">
        <x:v>IMP-20260516-FULLDRAFT</x:v>
      </x:c>
      <x:c r="C1273" t="str">
        <x:v>KTO001</x:v>
      </x:c>
      <x:c r="D1273" t="str">
        <x:v>16-05-2026_Umsatzliste_Girokonto_DE98120300001061711675.csv</x:v>
      </x:c>
      <x:c r="E1273" t="n">
        <x:v>46163</x:v>
      </x:c>
      <x:c r="F1273" t="n">
        <x:v>1256</x:v>
      </x:c>
      <x:c r="G1273" t="str">
        <x:v>ac05908e12b557b003f01ee7fb0bb3462486db114719caf260dcddc0fea46208</x:v>
      </x:c>
      <x:c r="H1273" t="str">
        <x:v>neu</x:v>
      </x:c>
      <x:c r="I1273" t="str">
        <x:v>ok</x:v>
      </x:c>
      <x:c r="J1273"/>
      <x:c r="K1273" t="n">
        <x:v>45747</x:v>
      </x:c>
      <x:c r="L1273" t="n">
        <x:v>45747</x:v>
      </x:c>
      <x:c r="M1273" t="str">
        <x:v>Gebucht</x:v>
      </x:c>
      <x:c r="N1273" t="str">
        <x:v>ISSUER</x:v>
      </x:c>
      <x:c r="O1273" t="str">
        <x:v>REWE.Salzgitter.Ge/Salzgitter</x:v>
      </x:c>
      <x:c r="P1273" t="str">
        <x:v>VISA Debitkartenumsatz vom 29.03.2025</x:v>
      </x:c>
      <x:c r="Q1273" t="str">
        <x:v>Ausgang</x:v>
      </x:c>
      <x:c r="R1273" t="str">
        <x:v>DE96120300009005290904</x:v>
      </x:c>
      <x:c r="S1273" t="n">
        <x:v>-26.18</x:v>
      </x:c>
      <x:c r="T1273" t="str">
        <x:v>"</x:v>
      </x:c>
      <x:c r="U1273" t="str">
        <x:v>"</x:v>
      </x:c>
      <x:c r="V1273" t="str">
        <x:v>485088536082673</x:v>
      </x:c>
    </x:row>
    <x:row r="1274">
      <x:c r="A1274" t="str">
        <x:v>RAW-IMP-20260516-FULLDRAFT-001257</x:v>
      </x:c>
      <x:c r="B1274" t="str">
        <x:v>IMP-20260516-FULLDRAFT</x:v>
      </x:c>
      <x:c r="C1274" t="str">
        <x:v>KTO001</x:v>
      </x:c>
      <x:c r="D1274" t="str">
        <x:v>16-05-2026_Umsatzliste_Girokonto_DE98120300001061711675.csv</x:v>
      </x:c>
      <x:c r="E1274" t="n">
        <x:v>46163</x:v>
      </x:c>
      <x:c r="F1274" t="n">
        <x:v>1257</x:v>
      </x:c>
      <x:c r="G1274" t="str">
        <x:v>4dc2e84bb6710c9d46a160494c2066972b2431b79f550a6d778849279ecb1d77</x:v>
      </x:c>
      <x:c r="H1274" t="str">
        <x:v>neu</x:v>
      </x:c>
      <x:c r="I1274" t="str">
        <x:v>ok</x:v>
      </x:c>
      <x:c r="J1274"/>
      <x:c r="K1274" t="n">
        <x:v>45747</x:v>
      </x:c>
      <x:c r="L1274" t="n">
        <x:v>45747</x:v>
      </x:c>
      <x:c r="M1274" t="str">
        <x:v>Gebucht</x:v>
      </x:c>
      <x:c r="N1274" t="str">
        <x:v>ISSUER</x:v>
      </x:c>
      <x:c r="O1274" t="str">
        <x:v>Ditsch.Schloss.Arkaden/Braunschweig</x:v>
      </x:c>
      <x:c r="P1274" t="str">
        <x:v>VISA Debitkartenumsatz vom 29.03.2025</x:v>
      </x:c>
      <x:c r="Q1274" t="str">
        <x:v>Ausgang</x:v>
      </x:c>
      <x:c r="R1274" t="str">
        <x:v>DE96120300009005290904</x:v>
      </x:c>
      <x:c r="S1274" t="n">
        <x:v>-5.4</x:v>
      </x:c>
      <x:c r="T1274" t="str">
        <x:v>"</x:v>
      </x:c>
      <x:c r="U1274" t="str">
        <x:v>"</x:v>
      </x:c>
      <x:c r="V1274" t="str">
        <x:v>485088456268113</x:v>
      </x:c>
    </x:row>
    <x:row r="1275">
      <x:c r="A1275" t="str">
        <x:v>RAW-IMP-20260516-FULLDRAFT-001258</x:v>
      </x:c>
      <x:c r="B1275" t="str">
        <x:v>IMP-20260516-FULLDRAFT</x:v>
      </x:c>
      <x:c r="C1275" t="str">
        <x:v>KTO001</x:v>
      </x:c>
      <x:c r="D1275" t="str">
        <x:v>16-05-2026_Umsatzliste_Girokonto_DE98120300001061711675.csv</x:v>
      </x:c>
      <x:c r="E1275" t="n">
        <x:v>46163</x:v>
      </x:c>
      <x:c r="F1275" t="n">
        <x:v>1258</x:v>
      </x:c>
      <x:c r="G1275" t="str">
        <x:v>abc8c56a8d5415797ee6873594c0e48ef08e06bf962623f08235c35db14fabeb</x:v>
      </x:c>
      <x:c r="H1275" t="str">
        <x:v>neu</x:v>
      </x:c>
      <x:c r="I1275" t="str">
        <x:v>ok</x:v>
      </x:c>
      <x:c r="J1275"/>
      <x:c r="K1275" t="n">
        <x:v>45747</x:v>
      </x:c>
      <x:c r="L1275" t="n">
        <x:v>45747</x:v>
      </x:c>
      <x:c r="M1275" t="str">
        <x:v>Gebucht</x:v>
      </x:c>
      <x:c r="N1275" t="str">
        <x:v>ISSUER</x:v>
      </x:c>
      <x:c r="O1275" t="str">
        <x:v>Rossmann.1800/Braunschweig</x:v>
      </x:c>
      <x:c r="P1275" t="str">
        <x:v>VISA Debitkartenumsatz vom 29.03.2025</x:v>
      </x:c>
      <x:c r="Q1275" t="str">
        <x:v>Ausgang</x:v>
      </x:c>
      <x:c r="R1275" t="str">
        <x:v>DE96120300009005290904</x:v>
      </x:c>
      <x:c r="S1275" t="n">
        <x:v>-11.89</x:v>
      </x:c>
      <x:c r="T1275" t="str">
        <x:v>"</x:v>
      </x:c>
      <x:c r="U1275" t="str">
        <x:v>"</x:v>
      </x:c>
      <x:c r="V1275" t="str">
        <x:v>485088380822629</x:v>
      </x:c>
    </x:row>
    <x:row r="1276">
      <x:c r="A1276" t="str">
        <x:v>RAW-IMP-20260516-FULLDRAFT-001259</x:v>
      </x:c>
      <x:c r="B1276" t="str">
        <x:v>IMP-20260516-FULLDRAFT</x:v>
      </x:c>
      <x:c r="C1276" t="str">
        <x:v>KTO001</x:v>
      </x:c>
      <x:c r="D1276" t="str">
        <x:v>16-05-2026_Umsatzliste_Girokonto_DE98120300001061711675.csv</x:v>
      </x:c>
      <x:c r="E1276" t="n">
        <x:v>46163</x:v>
      </x:c>
      <x:c r="F1276" t="n">
        <x:v>1259</x:v>
      </x:c>
      <x:c r="G1276" t="str">
        <x:v>4407099d277f594606ba5570c0e43c74217f073bd75ed84a435c1909a0405124</x:v>
      </x:c>
      <x:c r="H1276" t="str">
        <x:v>neu</x:v>
      </x:c>
      <x:c r="I1276" t="str">
        <x:v>ok</x:v>
      </x:c>
      <x:c r="J1276"/>
      <x:c r="K1276" t="n">
        <x:v>45747</x:v>
      </x:c>
      <x:c r="L1276" t="n">
        <x:v>45747</x:v>
      </x:c>
      <x:c r="M1276" t="str">
        <x:v>Gebucht</x:v>
      </x:c>
      <x:c r="N1276" t="str">
        <x:v>ISSUER</x:v>
      </x:c>
      <x:c r="O1276" t="str">
        <x:v>Lidl.sagt.Danke/Salzgitter</x:v>
      </x:c>
      <x:c r="P1276" t="str">
        <x:v>VISA Debitkartenumsatz vom 28.03.2025</x:v>
      </x:c>
      <x:c r="Q1276" t="str">
        <x:v>Ausgang</x:v>
      </x:c>
      <x:c r="R1276" t="str">
        <x:v>DE96120300009005290904</x:v>
      </x:c>
      <x:c r="S1276" t="n">
        <x:v>-0.15</x:v>
      </x:c>
      <x:c r="T1276" t="str">
        <x:v>"</x:v>
      </x:c>
      <x:c r="U1276" t="str">
        <x:v>"</x:v>
      </x:c>
      <x:c r="V1276" t="str">
        <x:v>485087654031409</x:v>
      </x:c>
    </x:row>
    <x:row r="1277">
      <x:c r="A1277" t="str">
        <x:v>RAW-IMP-20260516-FULLDRAFT-001260</x:v>
      </x:c>
      <x:c r="B1277" t="str">
        <x:v>IMP-20260516-FULLDRAFT</x:v>
      </x:c>
      <x:c r="C1277" t="str">
        <x:v>KTO001</x:v>
      </x:c>
      <x:c r="D1277" t="str">
        <x:v>16-05-2026_Umsatzliste_Girokonto_DE98120300001061711675.csv</x:v>
      </x:c>
      <x:c r="E1277" t="n">
        <x:v>46163</x:v>
      </x:c>
      <x:c r="F1277" t="n">
        <x:v>1260</x:v>
      </x:c>
      <x:c r="G1277" t="str">
        <x:v>03740f7a9e5218c29165659cb7d75aac93fa5c061089f17fd3bfb4d0d75e4477</x:v>
      </x:c>
      <x:c r="H1277" t="str">
        <x:v>neu</x:v>
      </x:c>
      <x:c r="I1277" t="str">
        <x:v>ok</x:v>
      </x:c>
      <x:c r="J1277"/>
      <x:c r="K1277" t="n">
        <x:v>45747</x:v>
      </x:c>
      <x:c r="L1277" t="n">
        <x:v>45747</x:v>
      </x:c>
      <x:c r="M1277" t="str">
        <x:v>Gebucht</x:v>
      </x:c>
      <x:c r="N1277" t="str">
        <x:v>ISSUER</x:v>
      </x:c>
      <x:c r="O1277" t="str">
        <x:v>LOEWENBAECKER.SCHAPER/SALZGITTER</x:v>
      </x:c>
      <x:c r="P1277" t="str">
        <x:v>VISA Debitkartenumsatz vom 28.03.2025</x:v>
      </x:c>
      <x:c r="Q1277" t="str">
        <x:v>Ausgang</x:v>
      </x:c>
      <x:c r="R1277" t="str">
        <x:v>DE96120300009005290904</x:v>
      </x:c>
      <x:c r="S1277" t="n">
        <x:v>-2.25</x:v>
      </x:c>
      <x:c r="T1277" t="str">
        <x:v>"</x:v>
      </x:c>
      <x:c r="U1277" t="str">
        <x:v>"</x:v>
      </x:c>
      <x:c r="V1277" t="str">
        <x:v>485087255767429</x:v>
      </x:c>
    </x:row>
    <x:row r="1278">
      <x:c r="A1278" t="str">
        <x:v>RAW-IMP-20260516-FULLDRAFT-001261</x:v>
      </x:c>
      <x:c r="B1278" t="str">
        <x:v>IMP-20260516-FULLDRAFT</x:v>
      </x:c>
      <x:c r="C1278" t="str">
        <x:v>KTO001</x:v>
      </x:c>
      <x:c r="D1278" t="str">
        <x:v>16-05-2026_Umsatzliste_Girokonto_DE98120300001061711675.csv</x:v>
      </x:c>
      <x:c r="E1278" t="n">
        <x:v>46163</x:v>
      </x:c>
      <x:c r="F1278" t="n">
        <x:v>1261</x:v>
      </x:c>
      <x:c r="G1278" t="str">
        <x:v>ca88a4102c87da8074362be5c1925af76300b57f6cfdc1b6242d7252e8a6dab5</x:v>
      </x:c>
      <x:c r="H1278" t="str">
        <x:v>neu</x:v>
      </x:c>
      <x:c r="I1278" t="str">
        <x:v>ok</x:v>
      </x:c>
      <x:c r="J1278"/>
      <x:c r="K1278" t="n">
        <x:v>45747</x:v>
      </x:c>
      <x:c r="L1278" t="n">
        <x:v>45747</x:v>
      </x:c>
      <x:c r="M1278" t="str">
        <x:v>Gebucht</x:v>
      </x:c>
      <x:c r="N1278" t="str">
        <x:v>Kohlenberg, Katrin</x:v>
      </x:c>
      <x:c r="O1278" t="str">
        <x:v>WEVG Salzgitter GmbH + Co. KG</x:v>
      </x:c>
      <x:c r="P1278" t="str">
        <x:v>Kd-Nr 79288 Einz 31.03.25 41710/317.00/Johannes-Wosni 100833/76.00/Johannes-Wosni</x:v>
      </x:c>
      <x:c r="Q1278" t="str">
        <x:v>Ausgang</x:v>
      </x:c>
      <x:c r="R1278" t="str">
        <x:v>DE19300700100394127500</x:v>
      </x:c>
      <x:c r="S1278" t="n">
        <x:v>-393</x:v>
      </x:c>
      <x:c r="T1278" t="str">
        <x:v>DE83WEV00000032716</x:v>
      </x:c>
      <x:c r="U1278" t="str">
        <x:v>WEVG0000079288G1000178580</x:v>
      </x:c>
      <x:c r="V1278" t="str">
        <x:v>13581104</x:v>
      </x:c>
    </x:row>
    <x:row r="1279">
      <x:c r="A1279" t="str">
        <x:v>RAW-IMP-20260516-FULLDRAFT-001262</x:v>
      </x:c>
      <x:c r="B1279" t="str">
        <x:v>IMP-20260516-FULLDRAFT</x:v>
      </x:c>
      <x:c r="C1279" t="str">
        <x:v>KTO001</x:v>
      </x:c>
      <x:c r="D1279" t="str">
        <x:v>16-05-2026_Umsatzliste_Girokonto_DE98120300001061711675.csv</x:v>
      </x:c>
      <x:c r="E1279" t="n">
        <x:v>46163</x:v>
      </x:c>
      <x:c r="F1279" t="n">
        <x:v>1262</x:v>
      </x:c>
      <x:c r="G1279" t="str">
        <x:v>8a2d08190e1475f9b402bbb1ef826026288e21cb16359e7063c5b9653a9b41a6</x:v>
      </x:c>
      <x:c r="H1279" t="str">
        <x:v>neu</x:v>
      </x:c>
      <x:c r="I1279" t="str">
        <x:v>ok</x:v>
      </x:c>
      <x:c r="J1279"/>
      <x:c r="K1279" t="n">
        <x:v>45747</x:v>
      </x:c>
      <x:c r="L1279" t="n">
        <x:v>45747</x:v>
      </x:c>
      <x:c r="M1279" t="str">
        <x:v>Gebucht</x:v>
      </x:c>
      <x:c r="N1279" t="str">
        <x:v>Lars Kohlenberg</x:v>
      </x:c>
      <x:c r="O1279" t="str">
        <x:v>LARS KOHLENBERG</x:v>
      </x:c>
      <x:c r="P1279" t="str">
        <x:v>Zins und Tilgung zu 2/3</x:v>
      </x:c>
      <x:c r="Q1279" t="str">
        <x:v>Ausgang</x:v>
      </x:c>
      <x:c r="R1279" t="str">
        <x:v>DE33269910668923736000</x:v>
      </x:c>
      <x:c r="S1279" t="n">
        <x:v>-1153.94</x:v>
      </x:c>
      <x:c r="T1279" t="str">
        <x:v>"</x:v>
      </x:c>
      <x:c r="U1279" t="str">
        <x:v>"</x:v>
      </x:c>
      <x:c r="V1279" t="str">
        <x:v>"</x:v>
      </x:c>
    </x:row>
    <x:row r="1280">
      <x:c r="A1280" t="str">
        <x:v>RAW-IMP-20260516-FULLDRAFT-001263</x:v>
      </x:c>
      <x:c r="B1280" t="str">
        <x:v>IMP-20260516-FULLDRAFT</x:v>
      </x:c>
      <x:c r="C1280" t="str">
        <x:v>KTO001</x:v>
      </x:c>
      <x:c r="D1280" t="str">
        <x:v>16-05-2026_Umsatzliste_Girokonto_DE98120300001061711675.csv</x:v>
      </x:c>
      <x:c r="E1280" t="n">
        <x:v>46163</x:v>
      </x:c>
      <x:c r="F1280" t="n">
        <x:v>1263</x:v>
      </x:c>
      <x:c r="G1280" t="str">
        <x:v>ecc27ca0e6cadbf64ca016c6a871e6cb6913ac1c4f65d2ea68d6db392218afcd</x:v>
      </x:c>
      <x:c r="H1280" t="str">
        <x:v>neu</x:v>
      </x:c>
      <x:c r="I1280" t="str">
        <x:v>ok</x:v>
      </x:c>
      <x:c r="J1280"/>
      <x:c r="K1280" t="n">
        <x:v>45747</x:v>
      </x:c>
      <x:c r="L1280" t="n">
        <x:v>45747</x:v>
      </x:c>
      <x:c r="M1280" t="str">
        <x:v>Gebucht</x:v>
      </x:c>
      <x:c r="N1280" t="str">
        <x:v>Lars Kohlenberg</x:v>
      </x:c>
      <x:c r="O1280" t="str">
        <x:v>Lea kohlenberg</x:v>
      </x:c>
      <x:c r="P1280" t="str">
        <x:v>Taschengeld</x:v>
      </x:c>
      <x:c r="Q1280" t="str">
        <x:v>Ausgang</x:v>
      </x:c>
      <x:c r="R1280" t="str">
        <x:v>DE89269910662833344000</x:v>
      </x:c>
      <x:c r="S1280" t="n">
        <x:v>-10</x:v>
      </x:c>
      <x:c r="T1280" t="str">
        <x:v>"</x:v>
      </x:c>
      <x:c r="U1280" t="str">
        <x:v>"</x:v>
      </x:c>
      <x:c r="V1280" t="str">
        <x:v>"</x:v>
      </x:c>
    </x:row>
    <x:row r="1281">
      <x:c r="A1281" t="str">
        <x:v>RAW-IMP-20260516-FULLDRAFT-001264</x:v>
      </x:c>
      <x:c r="B1281" t="str">
        <x:v>IMP-20260516-FULLDRAFT</x:v>
      </x:c>
      <x:c r="C1281" t="str">
        <x:v>KTO001</x:v>
      </x:c>
      <x:c r="D1281" t="str">
        <x:v>16-05-2026_Umsatzliste_Girokonto_DE98120300001061711675.csv</x:v>
      </x:c>
      <x:c r="E1281" t="n">
        <x:v>46163</x:v>
      </x:c>
      <x:c r="F1281" t="n">
        <x:v>1264</x:v>
      </x:c>
      <x:c r="G1281" t="str">
        <x:v>52f82071808bb7c11087fbff50779ce6e61df6643ec77d7988fd401b12910337</x:v>
      </x:c>
      <x:c r="H1281" t="str">
        <x:v>neu</x:v>
      </x:c>
      <x:c r="I1281" t="str">
        <x:v>ok</x:v>
      </x:c>
      <x:c r="J1281"/>
      <x:c r="K1281" t="n">
        <x:v>45744</x:v>
      </x:c>
      <x:c r="L1281" t="n">
        <x:v>45744</x:v>
      </x:c>
      <x:c r="M1281" t="str">
        <x:v>Gebucht</x:v>
      </x:c>
      <x:c r="N1281" t="str">
        <x:v>Stiftung Kath. Altenhilfe im Bistum Hildesheim</x:v>
      </x:c>
      <x:c r="O1281" t="str">
        <x:v>KOHLENBERG LARS</x:v>
      </x:c>
      <x:c r="P1281" t="str">
        <x:v>GEHALT 3/25</x:v>
      </x:c>
      <x:c r="Q1281" t="str">
        <x:v>Eingang</x:v>
      </x:c>
      <x:c r="R1281" t="str">
        <x:v>DE92400602650023150301</x:v>
      </x:c>
      <x:c r="S1281" t="n">
        <x:v>7548.49</x:v>
      </x:c>
      <x:c r="T1281" t="str">
        <x:v>"</x:v>
      </x:c>
      <x:c r="U1281" t="str">
        <x:v>"</x:v>
      </x:c>
      <x:c r="V1281" t="str">
        <x:v>001001987662SALA015628004</x:v>
      </x:c>
    </x:row>
    <x:row r="1282">
      <x:c r="A1282" t="str">
        <x:v>RAW-IMP-20260516-FULLDRAFT-001265</x:v>
      </x:c>
      <x:c r="B1282" t="str">
        <x:v>IMP-20260516-FULLDRAFT</x:v>
      </x:c>
      <x:c r="C1282" t="str">
        <x:v>KTO001</x:v>
      </x:c>
      <x:c r="D1282" t="str">
        <x:v>16-05-2026_Umsatzliste_Girokonto_DE98120300001061711675.csv</x:v>
      </x:c>
      <x:c r="E1282" t="n">
        <x:v>46163</x:v>
      </x:c>
      <x:c r="F1282" t="n">
        <x:v>1265</x:v>
      </x:c>
      <x:c r="G1282" t="str">
        <x:v>f6027cef38a7b651c4bcaa5608a64c8d400b1c2c9ea964530271d698447ea236</x:v>
      </x:c>
      <x:c r="H1282" t="str">
        <x:v>neu</x:v>
      </x:c>
      <x:c r="I1282" t="str">
        <x:v>ok</x:v>
      </x:c>
      <x:c r="J1282"/>
      <x:c r="K1282" t="n">
        <x:v>45744</x:v>
      </x:c>
      <x:c r="L1282" t="n">
        <x:v>45744</x:v>
      </x:c>
      <x:c r="M1282" t="str">
        <x:v>Gebucht</x:v>
      </x:c>
      <x:c r="N1282" t="str">
        <x:v>ISSUER</x:v>
      </x:c>
      <x:c r="O1282" t="str">
        <x:v>REWE.Salzgitter.Ge/Salzgitter</x:v>
      </x:c>
      <x:c r="P1282" t="str">
        <x:v>VISA Debitkartenumsatz vom 27.03.2025</x:v>
      </x:c>
      <x:c r="Q1282" t="str">
        <x:v>Ausgang</x:v>
      </x:c>
      <x:c r="R1282" t="str">
        <x:v>DE96120300009005290904</x:v>
      </x:c>
      <x:c r="S1282" t="n">
        <x:v>-12.06</x:v>
      </x:c>
      <x:c r="T1282" t="str">
        <x:v>"</x:v>
      </x:c>
      <x:c r="U1282" t="str">
        <x:v>"</x:v>
      </x:c>
      <x:c r="V1282" t="str">
        <x:v>485086625172664</x:v>
      </x:c>
    </x:row>
    <x:row r="1283">
      <x:c r="A1283" t="str">
        <x:v>RAW-IMP-20260516-FULLDRAFT-001266</x:v>
      </x:c>
      <x:c r="B1283" t="str">
        <x:v>IMP-20260516-FULLDRAFT</x:v>
      </x:c>
      <x:c r="C1283" t="str">
        <x:v>KTO001</x:v>
      </x:c>
      <x:c r="D1283" t="str">
        <x:v>16-05-2026_Umsatzliste_Girokonto_DE98120300001061711675.csv</x:v>
      </x:c>
      <x:c r="E1283" t="n">
        <x:v>46163</x:v>
      </x:c>
      <x:c r="F1283" t="n">
        <x:v>1266</x:v>
      </x:c>
      <x:c r="G1283" t="str">
        <x:v>20d0233bc129a5c16d56bf6bd30bdd34e64b1ab0e152a9c8da6abebb11a49112</x:v>
      </x:c>
      <x:c r="H1283" t="str">
        <x:v>neu</x:v>
      </x:c>
      <x:c r="I1283" t="str">
        <x:v>ok</x:v>
      </x:c>
      <x:c r="J1283"/>
      <x:c r="K1283" t="n">
        <x:v>45744</x:v>
      </x:c>
      <x:c r="L1283" t="n">
        <x:v>45744</x:v>
      </x:c>
      <x:c r="M1283" t="str">
        <x:v>Gebucht</x:v>
      </x:c>
      <x:c r="N1283" t="str">
        <x:v>Lars Kohlenberg</x:v>
      </x:c>
      <x:c r="O1283" t="str">
        <x:v>Heise Medien GmbH + Co. KG</x:v>
      </x:c>
      <x:c r="P1283" t="str">
        <x:v>Abo 4707748549 ct Gesamtbetrag EUR 178,10 incl. 7,00 MWST EUR 11,66</x:v>
      </x:c>
      <x:c r="Q1283" t="str">
        <x:v>Ausgang</x:v>
      </x:c>
      <x:c r="R1283" t="str">
        <x:v>DE96250100300457119308</x:v>
      </x:c>
      <x:c r="S1283" t="n">
        <x:v>-178.1</x:v>
      </x:c>
      <x:c r="T1283" t="str">
        <x:v>DE97ZZZ00000169525</x:v>
      </x:c>
      <x:c r="U1283" t="str">
        <x:v>537-4707748549-2</x:v>
      </x:c>
      <x:c r="V1283" t="str">
        <x:v>030000398542</x:v>
      </x:c>
    </x:row>
    <x:row r="1284">
      <x:c r="A1284" t="str">
        <x:v>RAW-IMP-20260516-FULLDRAFT-001267</x:v>
      </x:c>
      <x:c r="B1284" t="str">
        <x:v>IMP-20260516-FULLDRAFT</x:v>
      </x:c>
      <x:c r="C1284" t="str">
        <x:v>KTO001</x:v>
      </x:c>
      <x:c r="D1284" t="str">
        <x:v>16-05-2026_Umsatzliste_Girokonto_DE98120300001061711675.csv</x:v>
      </x:c>
      <x:c r="E1284" t="n">
        <x:v>46163</x:v>
      </x:c>
      <x:c r="F1284" t="n">
        <x:v>1267</x:v>
      </x:c>
      <x:c r="G1284" t="str">
        <x:v>b34ba557fee67b753d9c6344946185ce3a88217442242a7f9ad976812b60253b</x:v>
      </x:c>
      <x:c r="H1284" t="str">
        <x:v>neu</x:v>
      </x:c>
      <x:c r="I1284" t="str">
        <x:v>ok</x:v>
      </x:c>
      <x:c r="J1284"/>
      <x:c r="K1284" t="n">
        <x:v>45743</x:v>
      </x:c>
      <x:c r="L1284" t="n">
        <x:v>45743</x:v>
      </x:c>
      <x:c r="M1284" t="str">
        <x:v>Gebucht</x:v>
      </x:c>
      <x:c r="N1284" t="str">
        <x:v>ISSUER</x:v>
      </x:c>
      <x:c r="O1284" t="str">
        <x:v>EDEKA.POTRATZ/HILDESHEIM</x:v>
      </x:c>
      <x:c r="P1284" t="str">
        <x:v>VISA Debitkartenumsatz vom 26.03.2025</x:v>
      </x:c>
      <x:c r="Q1284" t="str">
        <x:v>Ausgang</x:v>
      </x:c>
      <x:c r="R1284" t="str">
        <x:v>DE96120300009005290904</x:v>
      </x:c>
      <x:c r="S1284" t="n">
        <x:v>-1.99</x:v>
      </x:c>
      <x:c r="T1284" t="str">
        <x:v>"</x:v>
      </x:c>
      <x:c r="U1284" t="str">
        <x:v>"</x:v>
      </x:c>
      <x:c r="V1284" t="str">
        <x:v>485085439006055</x:v>
      </x:c>
    </x:row>
    <x:row r="1285">
      <x:c r="A1285" t="str">
        <x:v>RAW-IMP-20260516-FULLDRAFT-001268</x:v>
      </x:c>
      <x:c r="B1285" t="str">
        <x:v>IMP-20260516-FULLDRAFT</x:v>
      </x:c>
      <x:c r="C1285" t="str">
        <x:v>KTO001</x:v>
      </x:c>
      <x:c r="D1285" t="str">
        <x:v>16-05-2026_Umsatzliste_Girokonto_DE98120300001061711675.csv</x:v>
      </x:c>
      <x:c r="E1285" t="n">
        <x:v>46163</x:v>
      </x:c>
      <x:c r="F1285" t="n">
        <x:v>1268</x:v>
      </x:c>
      <x:c r="G1285" t="str">
        <x:v>f33d779ae79316497a72511b4e7e7fd23e11c2478af04b5d3cf92da7bf73a6bd</x:v>
      </x:c>
      <x:c r="H1285" t="str">
        <x:v>neu</x:v>
      </x:c>
      <x:c r="I1285" t="str">
        <x:v>ok</x:v>
      </x:c>
      <x:c r="J1285"/>
      <x:c r="K1285" t="n">
        <x:v>45743</x:v>
      </x:c>
      <x:c r="L1285" t="n">
        <x:v>45743</x:v>
      </x:c>
      <x:c r="M1285" t="str">
        <x:v>Gebucht</x:v>
      </x:c>
      <x:c r="N1285" t="str">
        <x:v>ISSUER</x:v>
      </x:c>
      <x:c r="O1285" t="str">
        <x:v>Amazon.de.RZ0GC3JA4/AMAZON.DE</x:v>
      </x:c>
      <x:c r="P1285" t="str">
        <x:v>VISA Debitkartenumsatz vom 26.03.2025</x:v>
      </x:c>
      <x:c r="Q1285" t="str">
        <x:v>Ausgang</x:v>
      </x:c>
      <x:c r="R1285" t="str">
        <x:v>DE96120300009005290904</x:v>
      </x:c>
      <x:c r="S1285" t="n">
        <x:v>-4.8</x:v>
      </x:c>
      <x:c r="T1285" t="str">
        <x:v>"</x:v>
      </x:c>
      <x:c r="U1285" t="str">
        <x:v>"</x:v>
      </x:c>
      <x:c r="V1285" t="str">
        <x:v>485085566601430</x:v>
      </x:c>
    </x:row>
    <x:row r="1286">
      <x:c r="A1286" t="str">
        <x:v>RAW-IMP-20260516-FULLDRAFT-001269</x:v>
      </x:c>
      <x:c r="B1286" t="str">
        <x:v>IMP-20260516-FULLDRAFT</x:v>
      </x:c>
      <x:c r="C1286" t="str">
        <x:v>KTO001</x:v>
      </x:c>
      <x:c r="D1286" t="str">
        <x:v>16-05-2026_Umsatzliste_Girokonto_DE98120300001061711675.csv</x:v>
      </x:c>
      <x:c r="E1286" t="n">
        <x:v>46163</x:v>
      </x:c>
      <x:c r="F1286" t="n">
        <x:v>1269</x:v>
      </x:c>
      <x:c r="G1286" t="str">
        <x:v>3a1b76937d3c5473abeb72dfee4bbc9706be2ba4b528138e39dc4b80363d69c1</x:v>
      </x:c>
      <x:c r="H1286" t="str">
        <x:v>neu</x:v>
      </x:c>
      <x:c r="I1286" t="str">
        <x:v>ok</x:v>
      </x:c>
      <x:c r="J1286"/>
      <x:c r="K1286" t="n">
        <x:v>45743</x:v>
      </x:c>
      <x:c r="L1286" t="n">
        <x:v>45743</x:v>
      </x:c>
      <x:c r="M1286" t="str">
        <x:v>Gebucht</x:v>
      </x:c>
      <x:c r="N1286" t="str">
        <x:v>ISSUER</x:v>
      </x:c>
      <x:c r="O1286" t="str">
        <x:v>KAUFLAND.SALZGITTER.CIT/SALZGITTER</x:v>
      </x:c>
      <x:c r="P1286" t="str">
        <x:v>VISA Debitkartenumsatz vom 25.03.2025</x:v>
      </x:c>
      <x:c r="Q1286" t="str">
        <x:v>Ausgang</x:v>
      </x:c>
      <x:c r="R1286" t="str">
        <x:v>DE96120300009005290904</x:v>
      </x:c>
      <x:c r="S1286" t="n">
        <x:v>-42.26</x:v>
      </x:c>
      <x:c r="T1286" t="str">
        <x:v>"</x:v>
      </x:c>
      <x:c r="U1286" t="str">
        <x:v>"</x:v>
      </x:c>
      <x:c r="V1286" t="str">
        <x:v>485084666326357</x:v>
      </x:c>
    </x:row>
    <x:row r="1287">
      <x:c r="A1287" t="str">
        <x:v>RAW-IMP-20260516-FULLDRAFT-001270</x:v>
      </x:c>
      <x:c r="B1287" t="str">
        <x:v>IMP-20260516-FULLDRAFT</x:v>
      </x:c>
      <x:c r="C1287" t="str">
        <x:v>KTO001</x:v>
      </x:c>
      <x:c r="D1287" t="str">
        <x:v>16-05-2026_Umsatzliste_Girokonto_DE98120300001061711675.csv</x:v>
      </x:c>
      <x:c r="E1287" t="n">
        <x:v>46163</x:v>
      </x:c>
      <x:c r="F1287" t="n">
        <x:v>1270</x:v>
      </x:c>
      <x:c r="G1287" t="str">
        <x:v>267b58d9b05b0bea15df25fc958dbeabe5f252bae2850ed1579f611cddf5cf72</x:v>
      </x:c>
      <x:c r="H1287" t="str">
        <x:v>neu</x:v>
      </x:c>
      <x:c r="I1287" t="str">
        <x:v>ok</x:v>
      </x:c>
      <x:c r="J1287"/>
      <x:c r="K1287" t="n">
        <x:v>45743</x:v>
      </x:c>
      <x:c r="L1287" t="n">
        <x:v>45743</x:v>
      </x:c>
      <x:c r="M1287" t="str">
        <x:v>Gebucht</x:v>
      </x:c>
      <x:c r="N1287" t="str">
        <x:v>Lars Kohlenberg</x:v>
      </x:c>
      <x:c r="O1287" t="str">
        <x:v>Gymnasium Salzgitter-Bad</x:v>
      </x:c>
      <x:c r="P1287" t="str">
        <x:v>3-2025-25, Lea Kohlenberg, 10F2 - Berlin 2025</x:v>
      </x:c>
      <x:c r="Q1287" t="str">
        <x:v>Ausgang</x:v>
      </x:c>
      <x:c r="R1287" t="str">
        <x:v>DE36259501300154022560</x:v>
      </x:c>
      <x:c r="S1287" t="n">
        <x:v>-350</x:v>
      </x:c>
      <x:c r="T1287" t="str">
        <x:v>"</x:v>
      </x:c>
      <x:c r="U1287" t="str">
        <x:v>"</x:v>
      </x:c>
      <x:c r="V1287" t="str">
        <x:v>"</x:v>
      </x:c>
    </x:row>
    <x:row r="1288">
      <x:c r="A1288" t="str">
        <x:v>RAW-IMP-20260516-FULLDRAFT-001271</x:v>
      </x:c>
      <x:c r="B1288" t="str">
        <x:v>IMP-20260516-FULLDRAFT</x:v>
      </x:c>
      <x:c r="C1288" t="str">
        <x:v>KTO001</x:v>
      </x:c>
      <x:c r="D1288" t="str">
        <x:v>16-05-2026_Umsatzliste_Girokonto_DE98120300001061711675.csv</x:v>
      </x:c>
      <x:c r="E1288" t="n">
        <x:v>46163</x:v>
      </x:c>
      <x:c r="F1288" t="n">
        <x:v>1271</x:v>
      </x:c>
      <x:c r="G1288" t="str">
        <x:v>f8bc967aae3f9cffebc37aae85494bbbd592b394c4f7cd5101481ac069b01727</x:v>
      </x:c>
      <x:c r="H1288" t="str">
        <x:v>neu</x:v>
      </x:c>
      <x:c r="I1288" t="str">
        <x:v>ok</x:v>
      </x:c>
      <x:c r="J1288"/>
      <x:c r="K1288" t="n">
        <x:v>45742</x:v>
      </x:c>
      <x:c r="L1288" t="n">
        <x:v>45742</x:v>
      </x:c>
      <x:c r="M1288" t="str">
        <x:v>Gebucht</x:v>
      </x:c>
      <x:c r="N1288" t="str">
        <x:v>ISSUER</x:v>
      </x:c>
      <x:c r="O1288" t="str">
        <x:v>EDEKA.POTRATZ/HILDESHEIM</x:v>
      </x:c>
      <x:c r="P1288" t="str">
        <x:v>VISA Debitkartenumsatz vom 25.03.2025</x:v>
      </x:c>
      <x:c r="Q1288" t="str">
        <x:v>Ausgang</x:v>
      </x:c>
      <x:c r="R1288" t="str">
        <x:v>DE96120300009005290904</x:v>
      </x:c>
      <x:c r="S1288" t="n">
        <x:v>-6.2</x:v>
      </x:c>
      <x:c r="T1288" t="str">
        <x:v>"</x:v>
      </x:c>
      <x:c r="U1288" t="str">
        <x:v>"</x:v>
      </x:c>
      <x:c r="V1288" t="str">
        <x:v>485084348798658</x:v>
      </x:c>
    </x:row>
    <x:row r="1289">
      <x:c r="A1289" t="str">
        <x:v>RAW-IMP-20260516-FULLDRAFT-001272</x:v>
      </x:c>
      <x:c r="B1289" t="str">
        <x:v>IMP-20260516-FULLDRAFT</x:v>
      </x:c>
      <x:c r="C1289" t="str">
        <x:v>KTO001</x:v>
      </x:c>
      <x:c r="D1289" t="str">
        <x:v>16-05-2026_Umsatzliste_Girokonto_DE98120300001061711675.csv</x:v>
      </x:c>
      <x:c r="E1289" t="n">
        <x:v>46163</x:v>
      </x:c>
      <x:c r="F1289" t="n">
        <x:v>1272</x:v>
      </x:c>
      <x:c r="G1289" t="str">
        <x:v>446617952692e5318613b311af63e2f015147b6487e74ef0c689c7c25ed24ae8</x:v>
      </x:c>
      <x:c r="H1289" t="str">
        <x:v>neu</x:v>
      </x:c>
      <x:c r="I1289" t="str">
        <x:v>ok</x:v>
      </x:c>
      <x:c r="J1289"/>
      <x:c r="K1289" t="n">
        <x:v>45742</x:v>
      </x:c>
      <x:c r="L1289" t="n">
        <x:v>45742</x:v>
      </x:c>
      <x:c r="M1289" t="str">
        <x:v>Gebucht</x:v>
      </x:c>
      <x:c r="N1289" t="str">
        <x:v>Caritasverband fur die Diozese Hildesheim e.V.</x:v>
      </x:c>
      <x:c r="O1289" t="str">
        <x:v>Lars Kohlenberg</x:v>
      </x:c>
      <x:c r="P1289" t="str">
        <x:v>18,00 04.01.25 NR. Auslagenerstattung 2,00 15.01.25 NR. Parken 15,95 06.02.25 NR. Erstattung verauslagte Kosten</x:v>
      </x:c>
      <x:c r="Q1289" t="str">
        <x:v>Eingang</x:v>
      </x:c>
      <x:c r="R1289" t="str">
        <x:v>DE73400602650023003300</x:v>
      </x:c>
      <x:c r="S1289" t="n">
        <x:v>35.95</x:v>
      </x:c>
      <x:c r="T1289" t="str">
        <x:v>"</x:v>
      </x:c>
      <x:c r="U1289" t="str">
        <x:v>"</x:v>
      </x:c>
      <x:c r="V1289" t="str">
        <x:v>1</x:v>
      </x:c>
    </x:row>
    <x:row r="1290">
      <x:c r="A1290" t="str">
        <x:v>RAW-IMP-20260516-FULLDRAFT-001273</x:v>
      </x:c>
      <x:c r="B1290" t="str">
        <x:v>IMP-20260516-FULLDRAFT</x:v>
      </x:c>
      <x:c r="C1290" t="str">
        <x:v>KTO001</x:v>
      </x:c>
      <x:c r="D1290" t="str">
        <x:v>16-05-2026_Umsatzliste_Girokonto_DE98120300001061711675.csv</x:v>
      </x:c>
      <x:c r="E1290" t="n">
        <x:v>46163</x:v>
      </x:c>
      <x:c r="F1290" t="n">
        <x:v>1273</x:v>
      </x:c>
      <x:c r="G1290" t="str">
        <x:v>b01ebf8ded5654a3cd05f41b62a3b16670ff52c92b2c3e3092506583751b8485</x:v>
      </x:c>
      <x:c r="H1290" t="str">
        <x:v>neu</x:v>
      </x:c>
      <x:c r="I1290" t="str">
        <x:v>ok</x:v>
      </x:c>
      <x:c r="J1290"/>
      <x:c r="K1290" t="n">
        <x:v>45742</x:v>
      </x:c>
      <x:c r="L1290" t="n">
        <x:v>45742</x:v>
      </x:c>
      <x:c r="M1290" t="str">
        <x:v>Gebucht</x:v>
      </x:c>
      <x:c r="N1290" t="str">
        <x:v>Lars Kohlenberg</x:v>
      </x:c>
      <x:c r="O1290" t="str">
        <x:v>GMX by LOTTO24                                                        StraBenbahnring 11 20251 Hamburg</x:v>
      </x:c>
      <x:c r="P1290" t="str">
        <x:v>GMX by LOTTO24 C98983063 - T089733255432</x:v>
      </x:c>
      <x:c r="Q1290" t="str">
        <x:v>Ausgang</x:v>
      </x:c>
      <x:c r="R1290" t="str">
        <x:v>DE52100190001000027873</x:v>
      </x:c>
      <x:c r="S1290" t="n">
        <x:v>-9.04</x:v>
      </x:c>
      <x:c r="T1290" t="str">
        <x:v>NL48ZZZ342764500000</x:v>
      </x:c>
      <x:c r="U1290" t="str">
        <x:v>R372DKN5SSBXZP52</x:v>
      </x:c>
      <x:c r="V1290" t="str">
        <x:v>JSHRM8JGVWVVWWD3</x:v>
      </x:c>
    </x:row>
    <x:row r="1291">
      <x:c r="A1291" t="str">
        <x:v>RAW-IMP-20260516-FULLDRAFT-001274</x:v>
      </x:c>
      <x:c r="B1291" t="str">
        <x:v>IMP-20260516-FULLDRAFT</x:v>
      </x:c>
      <x:c r="C1291" t="str">
        <x:v>KTO001</x:v>
      </x:c>
      <x:c r="D1291" t="str">
        <x:v>16-05-2026_Umsatzliste_Girokonto_DE98120300001061711675.csv</x:v>
      </x:c>
      <x:c r="E1291" t="n">
        <x:v>46163</x:v>
      </x:c>
      <x:c r="F1291" t="n">
        <x:v>1274</x:v>
      </x:c>
      <x:c r="G1291" t="str">
        <x:v>6d571dd775a8124a91531fb27735c3f0f4f428277e309ef059e983d48c291313</x:v>
      </x:c>
      <x:c r="H1291" t="str">
        <x:v>neu</x:v>
      </x:c>
      <x:c r="I1291" t="str">
        <x:v>ok</x:v>
      </x:c>
      <x:c r="J1291"/>
      <x:c r="K1291" t="n">
        <x:v>45741</x:v>
      </x:c>
      <x:c r="L1291" t="n">
        <x:v>45741</x:v>
      </x:c>
      <x:c r="M1291" t="str">
        <x:v>Gebucht</x:v>
      </x:c>
      <x:c r="N1291" t="str">
        <x:v>ISSUER</x:v>
      </x:c>
      <x:c r="O1291" t="str">
        <x:v>SCHAEFERS.35189/SALZGITTER</x:v>
      </x:c>
      <x:c r="P1291" t="str">
        <x:v>VISA Debitkartenumsatz vom 24.03.2025</x:v>
      </x:c>
      <x:c r="Q1291" t="str">
        <x:v>Ausgang</x:v>
      </x:c>
      <x:c r="R1291" t="str">
        <x:v>DE96120300009005290904</x:v>
      </x:c>
      <x:c r="S1291" t="n">
        <x:v>-3.71</x:v>
      </x:c>
      <x:c r="T1291" t="str">
        <x:v>"</x:v>
      </x:c>
      <x:c r="U1291" t="str">
        <x:v>"</x:v>
      </x:c>
      <x:c r="V1291" t="str">
        <x:v>485083630203933</x:v>
      </x:c>
    </x:row>
    <x:row r="1292">
      <x:c r="A1292" t="str">
        <x:v>RAW-IMP-20260516-FULLDRAFT-001275</x:v>
      </x:c>
      <x:c r="B1292" t="str">
        <x:v>IMP-20260516-FULLDRAFT</x:v>
      </x:c>
      <x:c r="C1292" t="str">
        <x:v>KTO001</x:v>
      </x:c>
      <x:c r="D1292" t="str">
        <x:v>16-05-2026_Umsatzliste_Girokonto_DE98120300001061711675.csv</x:v>
      </x:c>
      <x:c r="E1292" t="n">
        <x:v>46163</x:v>
      </x:c>
      <x:c r="F1292" t="n">
        <x:v>1275</x:v>
      </x:c>
      <x:c r="G1292" t="str">
        <x:v>8ea9b5e048106d35b5ce1ebcb9d98d39e601be14225b0dd4606f68cdb99ab68d</x:v>
      </x:c>
      <x:c r="H1292" t="str">
        <x:v>neu</x:v>
      </x:c>
      <x:c r="I1292" t="str">
        <x:v>ok</x:v>
      </x:c>
      <x:c r="J1292"/>
      <x:c r="K1292" t="n">
        <x:v>45741</x:v>
      </x:c>
      <x:c r="L1292" t="n">
        <x:v>45741</x:v>
      </x:c>
      <x:c r="M1292" t="str">
        <x:v>Gebucht</x:v>
      </x:c>
      <x:c r="N1292" t="str">
        <x:v>ISSUER</x:v>
      </x:c>
      <x:c r="O1292" t="str">
        <x:v>AMZN.Mktp.DE.RW9EV26D4/800.279.6620</x:v>
      </x:c>
      <x:c r="P1292" t="str">
        <x:v>VISA Debitkartenumsatz vom 24.03.2025</x:v>
      </x:c>
      <x:c r="Q1292" t="str">
        <x:v>Ausgang</x:v>
      </x:c>
      <x:c r="R1292" t="str">
        <x:v>DE96120300009005290904</x:v>
      </x:c>
      <x:c r="S1292" t="n">
        <x:v>-34.95</x:v>
      </x:c>
      <x:c r="T1292" t="str">
        <x:v>"</x:v>
      </x:c>
      <x:c r="U1292" t="str">
        <x:v>"</x:v>
      </x:c>
      <x:c r="V1292" t="str">
        <x:v>485081617999853</x:v>
      </x:c>
    </x:row>
    <x:row r="1293">
      <x:c r="A1293" t="str">
        <x:v>RAW-IMP-20260516-FULLDRAFT-001276</x:v>
      </x:c>
      <x:c r="B1293" t="str">
        <x:v>IMP-20260516-FULLDRAFT</x:v>
      </x:c>
      <x:c r="C1293" t="str">
        <x:v>KTO001</x:v>
      </x:c>
      <x:c r="D1293" t="str">
        <x:v>16-05-2026_Umsatzliste_Girokonto_DE98120300001061711675.csv</x:v>
      </x:c>
      <x:c r="E1293" t="n">
        <x:v>46163</x:v>
      </x:c>
      <x:c r="F1293" t="n">
        <x:v>1276</x:v>
      </x:c>
      <x:c r="G1293" t="str">
        <x:v>943aa7d1b8c7766aa951fe03c4b236aeb0354b071073dc973b44e7708794a92f</x:v>
      </x:c>
      <x:c r="H1293" t="str">
        <x:v>neu</x:v>
      </x:c>
      <x:c r="I1293" t="str">
        <x:v>ok</x:v>
      </x:c>
      <x:c r="J1293"/>
      <x:c r="K1293" t="n">
        <x:v>45741</x:v>
      </x:c>
      <x:c r="L1293" t="n">
        <x:v>45741</x:v>
      </x:c>
      <x:c r="M1293" t="str">
        <x:v>Gebucht</x:v>
      </x:c>
      <x:c r="N1293" t="str">
        <x:v>ISSUER</x:v>
      </x:c>
      <x:c r="O1293" t="str">
        <x:v>AMZN.Mktp.DE.RW7YP1DB4/800.279.6620</x:v>
      </x:c>
      <x:c r="P1293" t="str">
        <x:v>VISA Debitkartenumsatz vom 24.03.2025</x:v>
      </x:c>
      <x:c r="Q1293" t="str">
        <x:v>Ausgang</x:v>
      </x:c>
      <x:c r="R1293" t="str">
        <x:v>DE96120300009005290904</x:v>
      </x:c>
      <x:c r="S1293" t="n">
        <x:v>-77.89</x:v>
      </x:c>
      <x:c r="T1293" t="str">
        <x:v>"</x:v>
      </x:c>
      <x:c r="U1293" t="str">
        <x:v>"</x:v>
      </x:c>
      <x:c r="V1293" t="str">
        <x:v>485081610697017</x:v>
      </x:c>
    </x:row>
    <x:row r="1294">
      <x:c r="A1294" t="str">
        <x:v>RAW-IMP-20260516-FULLDRAFT-001277</x:v>
      </x:c>
      <x:c r="B1294" t="str">
        <x:v>IMP-20260516-FULLDRAFT</x:v>
      </x:c>
      <x:c r="C1294" t="str">
        <x:v>KTO001</x:v>
      </x:c>
      <x:c r="D1294" t="str">
        <x:v>16-05-2026_Umsatzliste_Girokonto_DE98120300001061711675.csv</x:v>
      </x:c>
      <x:c r="E1294" t="n">
        <x:v>46163</x:v>
      </x:c>
      <x:c r="F1294" t="n">
        <x:v>1277</x:v>
      </x:c>
      <x:c r="G1294" t="str">
        <x:v>ce2f6cfee05dfd7e741268effbd287ae041c743c276020952d214f4110fe76bf</x:v>
      </x:c>
      <x:c r="H1294" t="str">
        <x:v>neu</x:v>
      </x:c>
      <x:c r="I1294" t="str">
        <x:v>ok</x:v>
      </x:c>
      <x:c r="J1294"/>
      <x:c r="K1294" t="n">
        <x:v>45741</x:v>
      </x:c>
      <x:c r="L1294" t="n">
        <x:v>45741</x:v>
      </x:c>
      <x:c r="M1294" t="str">
        <x:v>Gebucht</x:v>
      </x:c>
      <x:c r="N1294" t="str">
        <x:v>Lars Kohlenberg</x:v>
      </x:c>
      <x:c r="O1294" t="str">
        <x:v>Lars Kohlenberg</x:v>
      </x:c>
      <x:c r="P1294" t="str">
        <x:v>Uebertrag</x:v>
      </x:c>
      <x:c r="Q1294" t="str">
        <x:v>Eingang</x:v>
      </x:c>
      <x:c r="R1294" t="str">
        <x:v>DE91270200001510365800</x:v>
      </x:c>
      <x:c r="S1294" t="n">
        <x:v>400</x:v>
      </x:c>
      <x:c r="T1294" t="str">
        <x:v>"</x:v>
      </x:c>
      <x:c r="U1294" t="str">
        <x:v>"</x:v>
      </x:c>
      <x:c r="V1294" t="str">
        <x:v>"</x:v>
      </x:c>
    </x:row>
    <x:row r="1295">
      <x:c r="A1295" t="str">
        <x:v>RAW-IMP-20260516-FULLDRAFT-001278</x:v>
      </x:c>
      <x:c r="B1295" t="str">
        <x:v>IMP-20260516-FULLDRAFT</x:v>
      </x:c>
      <x:c r="C1295" t="str">
        <x:v>KTO001</x:v>
      </x:c>
      <x:c r="D1295" t="str">
        <x:v>16-05-2026_Umsatzliste_Girokonto_DE98120300001061711675.csv</x:v>
      </x:c>
      <x:c r="E1295" t="n">
        <x:v>46163</x:v>
      </x:c>
      <x:c r="F1295" t="n">
        <x:v>1278</x:v>
      </x:c>
      <x:c r="G1295" t="str">
        <x:v>cafe0854a6ac66f979377379a296bb183880ac516708533857f62c2d4e6b5415</x:v>
      </x:c>
      <x:c r="H1295" t="str">
        <x:v>neu</x:v>
      </x:c>
      <x:c r="I1295" t="str">
        <x:v>ok</x:v>
      </x:c>
      <x:c r="J1295"/>
      <x:c r="K1295" t="n">
        <x:v>45740</x:v>
      </x:c>
      <x:c r="L1295" t="n">
        <x:v>45740</x:v>
      </x:c>
      <x:c r="M1295" t="str">
        <x:v>Gebucht</x:v>
      </x:c>
      <x:c r="N1295" t="str">
        <x:v>ISSUER</x:v>
      </x:c>
      <x:c r="O1295" t="str">
        <x:v>SPEISESAAL/BREMERHAVEN</x:v>
      </x:c>
      <x:c r="P1295" t="str">
        <x:v>VISA Debitkartenumsatz vom 23.03.2025</x:v>
      </x:c>
      <x:c r="Q1295" t="str">
        <x:v>Ausgang</x:v>
      </x:c>
      <x:c r="R1295" t="str">
        <x:v>DE96120300009005290904</x:v>
      </x:c>
      <x:c r="S1295" t="n">
        <x:v>-20.8</x:v>
      </x:c>
      <x:c r="T1295" t="str">
        <x:v>"</x:v>
      </x:c>
      <x:c r="U1295" t="str">
        <x:v>"</x:v>
      </x:c>
      <x:c r="V1295" t="str">
        <x:v>485082491421094</x:v>
      </x:c>
    </x:row>
    <x:row r="1296">
      <x:c r="A1296" t="str">
        <x:v>RAW-IMP-20260516-FULLDRAFT-001279</x:v>
      </x:c>
      <x:c r="B1296" t="str">
        <x:v>IMP-20260516-FULLDRAFT</x:v>
      </x:c>
      <x:c r="C1296" t="str">
        <x:v>KTO001</x:v>
      </x:c>
      <x:c r="D1296" t="str">
        <x:v>16-05-2026_Umsatzliste_Girokonto_DE98120300001061711675.csv</x:v>
      </x:c>
      <x:c r="E1296" t="n">
        <x:v>46163</x:v>
      </x:c>
      <x:c r="F1296" t="n">
        <x:v>1279</x:v>
      </x:c>
      <x:c r="G1296" t="str">
        <x:v>17ee2dbb8551ae9fbaa3ba2a132d09387401c837e3507e3d98e19c54104b71a3</x:v>
      </x:c>
      <x:c r="H1296" t="str">
        <x:v>neu</x:v>
      </x:c>
      <x:c r="I1296" t="str">
        <x:v>ok</x:v>
      </x:c>
      <x:c r="J1296"/>
      <x:c r="K1296" t="n">
        <x:v>45740</x:v>
      </x:c>
      <x:c r="L1296" t="n">
        <x:v>45740</x:v>
      </x:c>
      <x:c r="M1296" t="str">
        <x:v>Gebucht</x:v>
      </x:c>
      <x:c r="N1296" t="str">
        <x:v>ISSUER</x:v>
      </x:c>
      <x:c r="O1296" t="str">
        <x:v>KOLONIALWARENLADEN/BREMERHAVEN</x:v>
      </x:c>
      <x:c r="P1296" t="str">
        <x:v>VISA Debitkartenumsatz vom 23.03.2025</x:v>
      </x:c>
      <x:c r="Q1296" t="str">
        <x:v>Ausgang</x:v>
      </x:c>
      <x:c r="R1296" t="str">
        <x:v>DE96120300009005290904</x:v>
      </x:c>
      <x:c r="S1296" t="n">
        <x:v>-10.2</x:v>
      </x:c>
      <x:c r="T1296" t="str">
        <x:v>"</x:v>
      </x:c>
      <x:c r="U1296" t="str">
        <x:v>"</x:v>
      </x:c>
      <x:c r="V1296" t="str">
        <x:v>485082375089927</x:v>
      </x:c>
    </x:row>
    <x:row r="1297">
      <x:c r="A1297" t="str">
        <x:v>RAW-IMP-20260516-FULLDRAFT-001280</x:v>
      </x:c>
      <x:c r="B1297" t="str">
        <x:v>IMP-20260516-FULLDRAFT</x:v>
      </x:c>
      <x:c r="C1297" t="str">
        <x:v>KTO001</x:v>
      </x:c>
      <x:c r="D1297" t="str">
        <x:v>16-05-2026_Umsatzliste_Girokonto_DE98120300001061711675.csv</x:v>
      </x:c>
      <x:c r="E1297" t="n">
        <x:v>46163</x:v>
      </x:c>
      <x:c r="F1297" t="n">
        <x:v>1280</x:v>
      </x:c>
      <x:c r="G1297" t="str">
        <x:v>eeb84daf2badb35828c0116dd9a7718079bdab2cdc5130af1cf083d4ff31c3c6</x:v>
      </x:c>
      <x:c r="H1297" t="str">
        <x:v>neu</x:v>
      </x:c>
      <x:c r="I1297" t="str">
        <x:v>ok</x:v>
      </x:c>
      <x:c r="J1297"/>
      <x:c r="K1297" t="n">
        <x:v>45740</x:v>
      </x:c>
      <x:c r="L1297" t="n">
        <x:v>45740</x:v>
      </x:c>
      <x:c r="M1297" t="str">
        <x:v>Gebucht</x:v>
      </x:c>
      <x:c r="N1297" t="str">
        <x:v>ISSUER</x:v>
      </x:c>
      <x:c r="O1297" t="str">
        <x:v>REWE.Salzgitter.Ge/Salzgitter</x:v>
      </x:c>
      <x:c r="P1297" t="str">
        <x:v>VISA Debitkartenumsatz vom 22.03.2025</x:v>
      </x:c>
      <x:c r="Q1297" t="str">
        <x:v>Ausgang</x:v>
      </x:c>
      <x:c r="R1297" t="str">
        <x:v>DE96120300009005290904</x:v>
      </x:c>
      <x:c r="S1297" t="n">
        <x:v>-9.71</x:v>
      </x:c>
      <x:c r="T1297" t="str">
        <x:v>"</x:v>
      </x:c>
      <x:c r="U1297" t="str">
        <x:v>"</x:v>
      </x:c>
      <x:c r="V1297" t="str">
        <x:v>485081278824239</x:v>
      </x:c>
    </x:row>
    <x:row r="1298">
      <x:c r="A1298" t="str">
        <x:v>RAW-IMP-20260516-FULLDRAFT-001281</x:v>
      </x:c>
      <x:c r="B1298" t="str">
        <x:v>IMP-20260516-FULLDRAFT</x:v>
      </x:c>
      <x:c r="C1298" t="str">
        <x:v>KTO001</x:v>
      </x:c>
      <x:c r="D1298" t="str">
        <x:v>16-05-2026_Umsatzliste_Girokonto_DE98120300001061711675.csv</x:v>
      </x:c>
      <x:c r="E1298" t="n">
        <x:v>46163</x:v>
      </x:c>
      <x:c r="F1298" t="n">
        <x:v>1281</x:v>
      </x:c>
      <x:c r="G1298" t="str">
        <x:v>d0fac4588d0fdd2a5202ecb992a674077ce9e02d4e6dc2dec15dc3bf9793e3d7</x:v>
      </x:c>
      <x:c r="H1298" t="str">
        <x:v>neu</x:v>
      </x:c>
      <x:c r="I1298" t="str">
        <x:v>ok</x:v>
      </x:c>
      <x:c r="J1298"/>
      <x:c r="K1298" t="n">
        <x:v>45740</x:v>
      </x:c>
      <x:c r="L1298" t="n">
        <x:v>45740</x:v>
      </x:c>
      <x:c r="M1298" t="str">
        <x:v>Gebucht</x:v>
      </x:c>
      <x:c r="N1298" t="str">
        <x:v>ISSUER</x:v>
      </x:c>
      <x:c r="O1298" t="str">
        <x:v>Prime.Video.Shop/amzn.de.bill</x:v>
      </x:c>
      <x:c r="P1298" t="str">
        <x:v>VISA Debitkartenumsatz vom 22.03.2025</x:v>
      </x:c>
      <x:c r="Q1298" t="str">
        <x:v>Ausgang</x:v>
      </x:c>
      <x:c r="R1298" t="str">
        <x:v>DE96120300009005290904</x:v>
      </x:c>
      <x:c r="S1298" t="n">
        <x:v>-3.99</x:v>
      </x:c>
      <x:c r="T1298" t="str">
        <x:v>"</x:v>
      </x:c>
      <x:c r="U1298" t="str">
        <x:v>"</x:v>
      </x:c>
      <x:c r="V1298" t="str">
        <x:v>485081660697767</x:v>
      </x:c>
    </x:row>
    <x:row r="1299">
      <x:c r="A1299" t="str">
        <x:v>RAW-IMP-20260516-FULLDRAFT-001282</x:v>
      </x:c>
      <x:c r="B1299" t="str">
        <x:v>IMP-20260516-FULLDRAFT</x:v>
      </x:c>
      <x:c r="C1299" t="str">
        <x:v>KTO001</x:v>
      </x:c>
      <x:c r="D1299" t="str">
        <x:v>16-05-2026_Umsatzliste_Girokonto_DE98120300001061711675.csv</x:v>
      </x:c>
      <x:c r="E1299" t="n">
        <x:v>46163</x:v>
      </x:c>
      <x:c r="F1299" t="n">
        <x:v>1282</x:v>
      </x:c>
      <x:c r="G1299" t="str">
        <x:v>22b817bedce1de8dc5a3cea498a29bb27cd38954d7907896a3a3c17ba783a032</x:v>
      </x:c>
      <x:c r="H1299" t="str">
        <x:v>neu</x:v>
      </x:c>
      <x:c r="I1299" t="str">
        <x:v>ok</x:v>
      </x:c>
      <x:c r="J1299"/>
      <x:c r="K1299" t="n">
        <x:v>45740</x:v>
      </x:c>
      <x:c r="L1299" t="n">
        <x:v>45740</x:v>
      </x:c>
      <x:c r="M1299" t="str">
        <x:v>Gebucht</x:v>
      </x:c>
      <x:c r="N1299" t="str">
        <x:v>ISSUER</x:v>
      </x:c>
      <x:c r="O1299" t="str">
        <x:v>APPLE.COM.BILL/08006645451</x:v>
      </x:c>
      <x:c r="P1299" t="str">
        <x:v>VISA Debitkartenumsatz vom 21.03.2025</x:v>
      </x:c>
      <x:c r="Q1299" t="str">
        <x:v>Ausgang</x:v>
      </x:c>
      <x:c r="R1299" t="str">
        <x:v>DE96120300009005290904</x:v>
      </x:c>
      <x:c r="S1299" t="n">
        <x:v>-2.99</x:v>
      </x:c>
      <x:c r="T1299" t="str">
        <x:v>"</x:v>
      </x:c>
      <x:c r="U1299" t="str">
        <x:v>"</x:v>
      </x:c>
      <x:c r="V1299" t="str">
        <x:v>485080466192669</x:v>
      </x:c>
    </x:row>
    <x:row r="1300">
      <x:c r="A1300" t="str">
        <x:v>RAW-IMP-20260516-FULLDRAFT-001283</x:v>
      </x:c>
      <x:c r="B1300" t="str">
        <x:v>IMP-20260516-FULLDRAFT</x:v>
      </x:c>
      <x:c r="C1300" t="str">
        <x:v>KTO001</x:v>
      </x:c>
      <x:c r="D1300" t="str">
        <x:v>16-05-2026_Umsatzliste_Girokonto_DE98120300001061711675.csv</x:v>
      </x:c>
      <x:c r="E1300" t="n">
        <x:v>46163</x:v>
      </x:c>
      <x:c r="F1300" t="n">
        <x:v>1283</x:v>
      </x:c>
      <x:c r="G1300" t="str">
        <x:v>a4aa34ec745250503b05152a576c9961b48fdd848a62a0cf7c08375fdd71529a</x:v>
      </x:c>
      <x:c r="H1300" t="str">
        <x:v>neu</x:v>
      </x:c>
      <x:c r="I1300" t="str">
        <x:v>ok</x:v>
      </x:c>
      <x:c r="J1300"/>
      <x:c r="K1300" t="n">
        <x:v>45740</x:v>
      </x:c>
      <x:c r="L1300" t="n">
        <x:v>45740</x:v>
      </x:c>
      <x:c r="M1300" t="str">
        <x:v>Gebucht</x:v>
      </x:c>
      <x:c r="N1300" t="str">
        <x:v>ISSUER</x:v>
      </x:c>
      <x:c r="O1300" t="str">
        <x:v>EDEKA.POTRATZ/HILDESHEIM</x:v>
      </x:c>
      <x:c r="P1300" t="str">
        <x:v>VISA Debitkartenumsatz vom 21.03.2025</x:v>
      </x:c>
      <x:c r="Q1300" t="str">
        <x:v>Ausgang</x:v>
      </x:c>
      <x:c r="R1300" t="str">
        <x:v>DE96120300009005290904</x:v>
      </x:c>
      <x:c r="S1300" t="n">
        <x:v>-9.16</x:v>
      </x:c>
      <x:c r="T1300" t="str">
        <x:v>"</x:v>
      </x:c>
      <x:c r="U1300" t="str">
        <x:v>"</x:v>
      </x:c>
      <x:c r="V1300" t="str">
        <x:v>485080263509400</x:v>
      </x:c>
    </x:row>
    <x:row r="1301">
      <x:c r="A1301" t="str">
        <x:v>RAW-IMP-20260516-FULLDRAFT-001284</x:v>
      </x:c>
      <x:c r="B1301" t="str">
        <x:v>IMP-20260516-FULLDRAFT</x:v>
      </x:c>
      <x:c r="C1301" t="str">
        <x:v>KTO001</x:v>
      </x:c>
      <x:c r="D1301" t="str">
        <x:v>16-05-2026_Umsatzliste_Girokonto_DE98120300001061711675.csv</x:v>
      </x:c>
      <x:c r="E1301" t="n">
        <x:v>46163</x:v>
      </x:c>
      <x:c r="F1301" t="n">
        <x:v>1284</x:v>
      </x:c>
      <x:c r="G1301" t="str">
        <x:v>ba18f68e5b65bc30219bc6f7a1ff8759699a66a39a5b43ec727933dee9735ef9</x:v>
      </x:c>
      <x:c r="H1301" t="str">
        <x:v>neu</x:v>
      </x:c>
      <x:c r="I1301" t="str">
        <x:v>ok</x:v>
      </x:c>
      <x:c r="J1301"/>
      <x:c r="K1301" t="n">
        <x:v>45740</x:v>
      </x:c>
      <x:c r="L1301" t="n">
        <x:v>45740</x:v>
      </x:c>
      <x:c r="M1301" t="str">
        <x:v>Gebucht</x:v>
      </x:c>
      <x:c r="N1301" t="str">
        <x:v>ISSUER</x:v>
      </x:c>
      <x:c r="O1301" t="str">
        <x:v>Amazon.de.RW1FJ3MY4/AMAZON.DE</x:v>
      </x:c>
      <x:c r="P1301" t="str">
        <x:v>VISA Debitkartenumsatz vom 22.03.2025</x:v>
      </x:c>
      <x:c r="Q1301" t="str">
        <x:v>Ausgang</x:v>
      </x:c>
      <x:c r="R1301" t="str">
        <x:v>DE96120300009005290904</x:v>
      </x:c>
      <x:c r="S1301" t="n">
        <x:v>-3.97</x:v>
      </x:c>
      <x:c r="T1301" t="str">
        <x:v>"</x:v>
      </x:c>
      <x:c r="U1301" t="str">
        <x:v>"</x:v>
      </x:c>
      <x:c r="V1301" t="str">
        <x:v>485081332027976</x:v>
      </x:c>
    </x:row>
    <x:row r="1302">
      <x:c r="A1302" t="str">
        <x:v>RAW-IMP-20260516-FULLDRAFT-001285</x:v>
      </x:c>
      <x:c r="B1302" t="str">
        <x:v>IMP-20260516-FULLDRAFT</x:v>
      </x:c>
      <x:c r="C1302" t="str">
        <x:v>KTO001</x:v>
      </x:c>
      <x:c r="D1302" t="str">
        <x:v>16-05-2026_Umsatzliste_Girokonto_DE98120300001061711675.csv</x:v>
      </x:c>
      <x:c r="E1302" t="n">
        <x:v>46163</x:v>
      </x:c>
      <x:c r="F1302" t="n">
        <x:v>1285</x:v>
      </x:c>
      <x:c r="G1302" t="str">
        <x:v>473481d62e428daf52b506f1adff4f1ac34413a3f7992636a8a632f5bcd6bf8a</x:v>
      </x:c>
      <x:c r="H1302" t="str">
        <x:v>neu</x:v>
      </x:c>
      <x:c r="I1302" t="str">
        <x:v>ok</x:v>
      </x:c>
      <x:c r="J1302"/>
      <x:c r="K1302" t="n">
        <x:v>45740</x:v>
      </x:c>
      <x:c r="L1302" t="n">
        <x:v>45740</x:v>
      </x:c>
      <x:c r="M1302" t="str">
        <x:v>Gebucht</x:v>
      </x:c>
      <x:c r="N1302" t="str">
        <x:v>ISSUER</x:v>
      </x:c>
      <x:c r="O1302" t="str">
        <x:v>LOEWENBAECKER.SCHAPER/SALZGITTER</x:v>
      </x:c>
      <x:c r="P1302" t="str">
        <x:v>VISA Debitkartenumsatz vom 22.03.2025</x:v>
      </x:c>
      <x:c r="Q1302" t="str">
        <x:v>Ausgang</x:v>
      </x:c>
      <x:c r="R1302" t="str">
        <x:v>DE96120300009005290904</x:v>
      </x:c>
      <x:c r="S1302" t="n">
        <x:v>-6.75</x:v>
      </x:c>
      <x:c r="T1302" t="str">
        <x:v>"</x:v>
      </x:c>
      <x:c r="U1302" t="str">
        <x:v>"</x:v>
      </x:c>
      <x:c r="V1302" t="str">
        <x:v>485081282191018</x:v>
      </x:c>
    </x:row>
    <x:row r="1303">
      <x:c r="A1303" t="str">
        <x:v>RAW-IMP-20260516-FULLDRAFT-001286</x:v>
      </x:c>
      <x:c r="B1303" t="str">
        <x:v>IMP-20260516-FULLDRAFT</x:v>
      </x:c>
      <x:c r="C1303" t="str">
        <x:v>KTO001</x:v>
      </x:c>
      <x:c r="D1303" t="str">
        <x:v>16-05-2026_Umsatzliste_Girokonto_DE98120300001061711675.csv</x:v>
      </x:c>
      <x:c r="E1303" t="n">
        <x:v>46163</x:v>
      </x:c>
      <x:c r="F1303" t="n">
        <x:v>1286</x:v>
      </x:c>
      <x:c r="G1303" t="str">
        <x:v>6e1386575975113216937504eafe8f9a0b66834bd38ad904fcd7d6b5bb053fb6</x:v>
      </x:c>
      <x:c r="H1303" t="str">
        <x:v>neu</x:v>
      </x:c>
      <x:c r="I1303" t="str">
        <x:v>ok</x:v>
      </x:c>
      <x:c r="J1303"/>
      <x:c r="K1303" t="n">
        <x:v>45740</x:v>
      </x:c>
      <x:c r="L1303" t="n">
        <x:v>45740</x:v>
      </x:c>
      <x:c r="M1303" t="str">
        <x:v>Gebucht</x:v>
      </x:c>
      <x:c r="N1303" t="str">
        <x:v>ISSUER</x:v>
      </x:c>
      <x:c r="O1303" t="str">
        <x:v>REWE.Salzgitter.Ge/Salzgitter</x:v>
      </x:c>
      <x:c r="P1303" t="str">
        <x:v>VISA Debitkartenumsatz vom 21.03.2025</x:v>
      </x:c>
      <x:c r="Q1303" t="str">
        <x:v>Ausgang</x:v>
      </x:c>
      <x:c r="R1303" t="str">
        <x:v>DE96120300009005290904</x:v>
      </x:c>
      <x:c r="S1303" t="n">
        <x:v>-13.54</x:v>
      </x:c>
      <x:c r="T1303" t="str">
        <x:v>"</x:v>
      </x:c>
      <x:c r="U1303" t="str">
        <x:v>"</x:v>
      </x:c>
      <x:c r="V1303" t="str">
        <x:v>485080661484972</x:v>
      </x:c>
    </x:row>
    <x:row r="1304">
      <x:c r="A1304" t="str">
        <x:v>RAW-IMP-20260516-FULLDRAFT-001287</x:v>
      </x:c>
      <x:c r="B1304" t="str">
        <x:v>IMP-20260516-FULLDRAFT</x:v>
      </x:c>
      <x:c r="C1304" t="str">
        <x:v>KTO001</x:v>
      </x:c>
      <x:c r="D1304" t="str">
        <x:v>16-05-2026_Umsatzliste_Girokonto_DE98120300001061711675.csv</x:v>
      </x:c>
      <x:c r="E1304" t="n">
        <x:v>46163</x:v>
      </x:c>
      <x:c r="F1304" t="n">
        <x:v>1287</x:v>
      </x:c>
      <x:c r="G1304" t="str">
        <x:v>3692076ff78189fa1ff1b4c7d9861aaabf1121f4b68c5997eb6e456c0e0f912e</x:v>
      </x:c>
      <x:c r="H1304" t="str">
        <x:v>neu</x:v>
      </x:c>
      <x:c r="I1304" t="str">
        <x:v>ok</x:v>
      </x:c>
      <x:c r="J1304"/>
      <x:c r="K1304" t="n">
        <x:v>45737</x:v>
      </x:c>
      <x:c r="L1304" t="n">
        <x:v>45737</x:v>
      </x:c>
      <x:c r="M1304" t="str">
        <x:v>Gebucht</x:v>
      </x:c>
      <x:c r="N1304" t="str">
        <x:v>ISSUER</x:v>
      </x:c>
      <x:c r="O1304" t="str">
        <x:v>Esso.Station.Hildesheim/Hildesheim</x:v>
      </x:c>
      <x:c r="P1304" t="str">
        <x:v>VISA Debitkartenumsatz vom 20.03.2025</x:v>
      </x:c>
      <x:c r="Q1304" t="str">
        <x:v>Ausgang</x:v>
      </x:c>
      <x:c r="R1304" t="str">
        <x:v>DE96120300009005290904</x:v>
      </x:c>
      <x:c r="S1304" t="n">
        <x:v>-8.87</x:v>
      </x:c>
      <x:c r="T1304" t="str">
        <x:v>"</x:v>
      </x:c>
      <x:c r="U1304" t="str">
        <x:v>"</x:v>
      </x:c>
      <x:c r="V1304" t="str">
        <x:v>485079272119063</x:v>
      </x:c>
    </x:row>
    <x:row r="1305">
      <x:c r="A1305" t="str">
        <x:v>RAW-IMP-20260516-FULLDRAFT-001288</x:v>
      </x:c>
      <x:c r="B1305" t="str">
        <x:v>IMP-20260516-FULLDRAFT</x:v>
      </x:c>
      <x:c r="C1305" t="str">
        <x:v>KTO001</x:v>
      </x:c>
      <x:c r="D1305" t="str">
        <x:v>16-05-2026_Umsatzliste_Girokonto_DE98120300001061711675.csv</x:v>
      </x:c>
      <x:c r="E1305" t="n">
        <x:v>46163</x:v>
      </x:c>
      <x:c r="F1305" t="n">
        <x:v>1288</x:v>
      </x:c>
      <x:c r="G1305" t="str">
        <x:v>e15eac15db01d696a16873eb0adf3049b8203c6dba18e29da045244a1dfd6455</x:v>
      </x:c>
      <x:c r="H1305" t="str">
        <x:v>neu</x:v>
      </x:c>
      <x:c r="I1305" t="str">
        <x:v>ok</x:v>
      </x:c>
      <x:c r="J1305"/>
      <x:c r="K1305" t="n">
        <x:v>45736</x:v>
      </x:c>
      <x:c r="L1305" t="n">
        <x:v>45736</x:v>
      </x:c>
      <x:c r="M1305" t="str">
        <x:v>Gebucht</x:v>
      </x:c>
      <x:c r="N1305" t="str">
        <x:v>ISSUER</x:v>
      </x:c>
      <x:c r="O1305" t="str">
        <x:v>PAYPAL..HPDEUTSCHLA/4029357733</x:v>
      </x:c>
      <x:c r="P1305" t="str">
        <x:v>VISA Debitkartenumsatz vom 19.03.2025</x:v>
      </x:c>
      <x:c r="Q1305" t="str">
        <x:v>Ausgang</x:v>
      </x:c>
      <x:c r="R1305" t="str">
        <x:v>DE96120300009005290904</x:v>
      </x:c>
      <x:c r="S1305" t="n">
        <x:v>-4.99</x:v>
      </x:c>
      <x:c r="T1305" t="str">
        <x:v>"</x:v>
      </x:c>
      <x:c r="U1305" t="str">
        <x:v>"</x:v>
      </x:c>
      <x:c r="V1305" t="str">
        <x:v>305078794994222</x:v>
      </x:c>
    </x:row>
    <x:row r="1306">
      <x:c r="A1306" t="str">
        <x:v>RAW-IMP-20260516-FULLDRAFT-001289</x:v>
      </x:c>
      <x:c r="B1306" t="str">
        <x:v>IMP-20260516-FULLDRAFT</x:v>
      </x:c>
      <x:c r="C1306" t="str">
        <x:v>KTO001</x:v>
      </x:c>
      <x:c r="D1306" t="str">
        <x:v>16-05-2026_Umsatzliste_Girokonto_DE98120300001061711675.csv</x:v>
      </x:c>
      <x:c r="E1306" t="n">
        <x:v>46163</x:v>
      </x:c>
      <x:c r="F1306" t="n">
        <x:v>1289</x:v>
      </x:c>
      <x:c r="G1306" t="str">
        <x:v>1a07b7656d918f8bb3f34fab44056142c61889f3b5f7f29c5ce495d1760f14c2</x:v>
      </x:c>
      <x:c r="H1306" t="str">
        <x:v>neu</x:v>
      </x:c>
      <x:c r="I1306" t="str">
        <x:v>ok</x:v>
      </x:c>
      <x:c r="J1306"/>
      <x:c r="K1306" t="n">
        <x:v>45735</x:v>
      </x:c>
      <x:c r="L1306" t="n">
        <x:v>45735</x:v>
      </x:c>
      <x:c r="M1306" t="str">
        <x:v>Gebucht</x:v>
      </x:c>
      <x:c r="N1306" t="str">
        <x:v>ISSUER</x:v>
      </x:c>
      <x:c r="O1306" t="str">
        <x:v>Lidl.sagt.Danke/Salzgitter</x:v>
      </x:c>
      <x:c r="P1306" t="str">
        <x:v>VISA Debitkartenumsatz vom 18.03.2025</x:v>
      </x:c>
      <x:c r="Q1306" t="str">
        <x:v>Ausgang</x:v>
      </x:c>
      <x:c r="R1306" t="str">
        <x:v>DE96120300009005290904</x:v>
      </x:c>
      <x:c r="S1306" t="n">
        <x:v>-17.16</x:v>
      </x:c>
      <x:c r="T1306" t="str">
        <x:v>"</x:v>
      </x:c>
      <x:c r="U1306" t="str">
        <x:v>"</x:v>
      </x:c>
      <x:c r="V1306" t="str">
        <x:v>485077667126961</x:v>
      </x:c>
    </x:row>
    <x:row r="1307">
      <x:c r="A1307" t="str">
        <x:v>RAW-IMP-20260516-FULLDRAFT-001290</x:v>
      </x:c>
      <x:c r="B1307" t="str">
        <x:v>IMP-20260516-FULLDRAFT</x:v>
      </x:c>
      <x:c r="C1307" t="str">
        <x:v>KTO001</x:v>
      </x:c>
      <x:c r="D1307" t="str">
        <x:v>16-05-2026_Umsatzliste_Girokonto_DE98120300001061711675.csv</x:v>
      </x:c>
      <x:c r="E1307" t="n">
        <x:v>46163</x:v>
      </x:c>
      <x:c r="F1307" t="n">
        <x:v>1290</x:v>
      </x:c>
      <x:c r="G1307" t="str">
        <x:v>0673774e476447e0d7ef20fd98bd9447c605b85fe956e956afb877dd42e8347c</x:v>
      </x:c>
      <x:c r="H1307" t="str">
        <x:v>neu</x:v>
      </x:c>
      <x:c r="I1307" t="str">
        <x:v>ok</x:v>
      </x:c>
      <x:c r="J1307"/>
      <x:c r="K1307" t="n">
        <x:v>45735</x:v>
      </x:c>
      <x:c r="L1307" t="n">
        <x:v>45735</x:v>
      </x:c>
      <x:c r="M1307" t="str">
        <x:v>Gebucht</x:v>
      </x:c>
      <x:c r="N1307" t="str">
        <x:v>Lars Kohlenberg</x:v>
      </x:c>
      <x:c r="O1307" t="str">
        <x:v>GMX by LOTTO24                                                        StraBenbahnring 11 20251 Hamburg</x:v>
      </x:c>
      <x:c r="P1307" t="str">
        <x:v>GMX by LOTTO24 C98983063 - T433598170691</x:v>
      </x:c>
      <x:c r="Q1307" t="str">
        <x:v>Ausgang</x:v>
      </x:c>
      <x:c r="R1307" t="str">
        <x:v>DE52100190001000027873</x:v>
      </x:c>
      <x:c r="S1307" t="n">
        <x:v>-18.14</x:v>
      </x:c>
      <x:c r="T1307" t="str">
        <x:v>NL48ZZZ342764500000</x:v>
      </x:c>
      <x:c r="U1307" t="str">
        <x:v>R372DKN5SSBXZP52</x:v>
      </x:c>
      <x:c r="V1307" t="str">
        <x:v>N923K87NKMTZ5WG6</x:v>
      </x:c>
    </x:row>
    <x:row r="1308">
      <x:c r="A1308" t="str">
        <x:v>RAW-IMP-20260516-FULLDRAFT-001291</x:v>
      </x:c>
      <x:c r="B1308" t="str">
        <x:v>IMP-20260516-FULLDRAFT</x:v>
      </x:c>
      <x:c r="C1308" t="str">
        <x:v>KTO001</x:v>
      </x:c>
      <x:c r="D1308" t="str">
        <x:v>16-05-2026_Umsatzliste_Girokonto_DE98120300001061711675.csv</x:v>
      </x:c>
      <x:c r="E1308" t="n">
        <x:v>46163</x:v>
      </x:c>
      <x:c r="F1308" t="n">
        <x:v>1291</x:v>
      </x:c>
      <x:c r="G1308" t="str">
        <x:v>f8db8ecf8eed293d06060114ee8efcb228054a6303f7c5f588f9e8feb236e5d8</x:v>
      </x:c>
      <x:c r="H1308" t="str">
        <x:v>neu</x:v>
      </x:c>
      <x:c r="I1308" t="str">
        <x:v>ok</x:v>
      </x:c>
      <x:c r="J1308"/>
      <x:c r="K1308" t="n">
        <x:v>45733</x:v>
      </x:c>
      <x:c r="L1308" t="n">
        <x:v>45733</x:v>
      </x:c>
      <x:c r="M1308" t="str">
        <x:v>Gebucht</x:v>
      </x:c>
      <x:c r="N1308" t="str">
        <x:v>ISSUER</x:v>
      </x:c>
      <x:c r="O1308" t="str">
        <x:v>FW.BRAUNSCHWEIG/BRAUNSCHWEIG</x:v>
      </x:c>
      <x:c r="P1308" t="str">
        <x:v>VISA Debitkartenumsatz vom 15.03.2025</x:v>
      </x:c>
      <x:c r="Q1308" t="str">
        <x:v>Ausgang</x:v>
      </x:c>
      <x:c r="R1308" t="str">
        <x:v>DE96120300009005290904</x:v>
      </x:c>
      <x:c r="S1308" t="n">
        <x:v>-33.95</x:v>
      </x:c>
      <x:c r="T1308" t="str">
        <x:v>"</x:v>
      </x:c>
      <x:c r="U1308" t="str">
        <x:v>"</x:v>
      </x:c>
      <x:c r="V1308" t="str">
        <x:v>485074409492318</x:v>
      </x:c>
    </x:row>
    <x:row r="1309">
      <x:c r="A1309" t="str">
        <x:v>RAW-IMP-20260516-FULLDRAFT-001292</x:v>
      </x:c>
      <x:c r="B1309" t="str">
        <x:v>IMP-20260516-FULLDRAFT</x:v>
      </x:c>
      <x:c r="C1309" t="str">
        <x:v>KTO001</x:v>
      </x:c>
      <x:c r="D1309" t="str">
        <x:v>16-05-2026_Umsatzliste_Girokonto_DE98120300001061711675.csv</x:v>
      </x:c>
      <x:c r="E1309" t="n">
        <x:v>46163</x:v>
      </x:c>
      <x:c r="F1309" t="n">
        <x:v>1292</x:v>
      </x:c>
      <x:c r="G1309" t="str">
        <x:v>03700c1af95248c3af1c00476294f12d8f5a30a7317616598c0dc67f77f0b9df</x:v>
      </x:c>
      <x:c r="H1309" t="str">
        <x:v>neu</x:v>
      </x:c>
      <x:c r="I1309" t="str">
        <x:v>ok</x:v>
      </x:c>
      <x:c r="J1309"/>
      <x:c r="K1309" t="n">
        <x:v>45733</x:v>
      </x:c>
      <x:c r="L1309" t="n">
        <x:v>45733</x:v>
      </x:c>
      <x:c r="M1309" t="str">
        <x:v>Gebucht</x:v>
      </x:c>
      <x:c r="N1309" t="str">
        <x:v>ISSUER</x:v>
      </x:c>
      <x:c r="O1309" t="str">
        <x:v>DM.Drogerie.Markt/Braunschweig</x:v>
      </x:c>
      <x:c r="P1309" t="str">
        <x:v>VISA Debitkartenumsatz vom 15.03.2025</x:v>
      </x:c>
      <x:c r="Q1309" t="str">
        <x:v>Ausgang</x:v>
      </x:c>
      <x:c r="R1309" t="str">
        <x:v>DE96120300009005290904</x:v>
      </x:c>
      <x:c r="S1309" t="n">
        <x:v>-21.35</x:v>
      </x:c>
      <x:c r="T1309" t="str">
        <x:v>"</x:v>
      </x:c>
      <x:c r="U1309" t="str">
        <x:v>"</x:v>
      </x:c>
      <x:c r="V1309" t="str">
        <x:v>485074476184353</x:v>
      </x:c>
    </x:row>
    <x:row r="1310">
      <x:c r="A1310" t="str">
        <x:v>RAW-IMP-20260516-FULLDRAFT-001293</x:v>
      </x:c>
      <x:c r="B1310" t="str">
        <x:v>IMP-20260516-FULLDRAFT</x:v>
      </x:c>
      <x:c r="C1310" t="str">
        <x:v>KTO001</x:v>
      </x:c>
      <x:c r="D1310" t="str">
        <x:v>16-05-2026_Umsatzliste_Girokonto_DE98120300001061711675.csv</x:v>
      </x:c>
      <x:c r="E1310" t="n">
        <x:v>46163</x:v>
      </x:c>
      <x:c r="F1310" t="n">
        <x:v>1293</x:v>
      </x:c>
      <x:c r="G1310" t="str">
        <x:v>992e66fc5c3aa6734ac42fb6407b37473cbf89345a50fdf15fc11729317682d9</x:v>
      </x:c>
      <x:c r="H1310" t="str">
        <x:v>neu</x:v>
      </x:c>
      <x:c r="I1310" t="str">
        <x:v>ok</x:v>
      </x:c>
      <x:c r="J1310"/>
      <x:c r="K1310" t="n">
        <x:v>45733</x:v>
      </x:c>
      <x:c r="L1310" t="n">
        <x:v>45733</x:v>
      </x:c>
      <x:c r="M1310" t="str">
        <x:v>Gebucht</x:v>
      </x:c>
      <x:c r="N1310" t="str">
        <x:v>ISSUER</x:v>
      </x:c>
      <x:c r="O1310" t="str">
        <x:v>BURGER.KING.10072.SOT/SALZGITTER</x:v>
      </x:c>
      <x:c r="P1310" t="str">
        <x:v>VISA Debitkartenumsatz vom 14.03.2025</x:v>
      </x:c>
      <x:c r="Q1310" t="str">
        <x:v>Ausgang</x:v>
      </x:c>
      <x:c r="R1310" t="str">
        <x:v>DE96120300009005290904</x:v>
      </x:c>
      <x:c r="S1310" t="n">
        <x:v>-9.78</x:v>
      </x:c>
      <x:c r="T1310" t="str">
        <x:v>"</x:v>
      </x:c>
      <x:c r="U1310" t="str">
        <x:v>"</x:v>
      </x:c>
      <x:c r="V1310" t="str">
        <x:v>485073465905629</x:v>
      </x:c>
    </x:row>
    <x:row r="1311">
      <x:c r="A1311" t="str">
        <x:v>RAW-IMP-20260516-FULLDRAFT-001294</x:v>
      </x:c>
      <x:c r="B1311" t="str">
        <x:v>IMP-20260516-FULLDRAFT</x:v>
      </x:c>
      <x:c r="C1311" t="str">
        <x:v>KTO001</x:v>
      </x:c>
      <x:c r="D1311" t="str">
        <x:v>16-05-2026_Umsatzliste_Girokonto_DE98120300001061711675.csv</x:v>
      </x:c>
      <x:c r="E1311" t="n">
        <x:v>46163</x:v>
      </x:c>
      <x:c r="F1311" t="n">
        <x:v>1294</x:v>
      </x:c>
      <x:c r="G1311" t="str">
        <x:v>b5e351d9620f3fd4f78487d3b687b82ae0b44f85393be23b7de9de6d261645b4</x:v>
      </x:c>
      <x:c r="H1311" t="str">
        <x:v>neu</x:v>
      </x:c>
      <x:c r="I1311" t="str">
        <x:v>ok</x:v>
      </x:c>
      <x:c r="J1311"/>
      <x:c r="K1311" t="n">
        <x:v>45733</x:v>
      </x:c>
      <x:c r="L1311" t="n">
        <x:v>45733</x:v>
      </x:c>
      <x:c r="M1311" t="str">
        <x:v>Gebucht</x:v>
      </x:c>
      <x:c r="N1311" t="str">
        <x:v>ISSUER</x:v>
      </x:c>
      <x:c r="O1311" t="str">
        <x:v>REWE.Salzgitter.Ge/Salzgitter</x:v>
      </x:c>
      <x:c r="P1311" t="str">
        <x:v>VISA Debitkartenumsatz vom 14.03.2025</x:v>
      </x:c>
      <x:c r="Q1311" t="str">
        <x:v>Ausgang</x:v>
      </x:c>
      <x:c r="R1311" t="str">
        <x:v>DE96120300009005290904</x:v>
      </x:c>
      <x:c r="S1311" t="n">
        <x:v>-36.03</x:v>
      </x:c>
      <x:c r="T1311" t="str">
        <x:v>"</x:v>
      </x:c>
      <x:c r="U1311" t="str">
        <x:v>"</x:v>
      </x:c>
      <x:c r="V1311" t="str">
        <x:v>485073664505123</x:v>
      </x:c>
    </x:row>
    <x:row r="1312">
      <x:c r="A1312" t="str">
        <x:v>RAW-IMP-20260516-FULLDRAFT-001295</x:v>
      </x:c>
      <x:c r="B1312" t="str">
        <x:v>IMP-20260516-FULLDRAFT</x:v>
      </x:c>
      <x:c r="C1312" t="str">
        <x:v>KTO001</x:v>
      </x:c>
      <x:c r="D1312" t="str">
        <x:v>16-05-2026_Umsatzliste_Girokonto_DE98120300001061711675.csv</x:v>
      </x:c>
      <x:c r="E1312" t="n">
        <x:v>46163</x:v>
      </x:c>
      <x:c r="F1312" t="n">
        <x:v>1295</x:v>
      </x:c>
      <x:c r="G1312" t="str">
        <x:v>85e956bf88a771d7da506b2c774092d31b3213336201391b75229aea2780406d</x:v>
      </x:c>
      <x:c r="H1312" t="str">
        <x:v>neu</x:v>
      </x:c>
      <x:c r="I1312" t="str">
        <x:v>ok</x:v>
      </x:c>
      <x:c r="J1312"/>
      <x:c r="K1312" t="n">
        <x:v>45733</x:v>
      </x:c>
      <x:c r="L1312" t="n">
        <x:v>45733</x:v>
      </x:c>
      <x:c r="M1312" t="str">
        <x:v>Gebucht</x:v>
      </x:c>
      <x:c r="N1312" t="str">
        <x:v>Lars Kohlenberg</x:v>
      </x:c>
      <x:c r="O1312" t="str">
        <x:v>Drillisch Online GmbH                                                 Wilhelm-Rontgen-Strase 1-5, 63477 Maintal</x:v>
      </x:c>
      <x:c r="P1312" t="str">
        <x:v>C0851820 U703707064 B807402395 winSIM</x:v>
      </x:c>
      <x:c r="Q1312" t="str">
        <x:v>Ausgang</x:v>
      </x:c>
      <x:c r="R1312" t="str">
        <x:v>DE87300500000008996811</x:v>
      </x:c>
      <x:c r="S1312" t="n">
        <x:v>-6.99</x:v>
      </x:c>
      <x:c r="T1312" t="str">
        <x:v>DE40ZZZ00000206926</x:v>
      </x:c>
      <x:c r="U1312" t="str">
        <x:v>FB1310D094B04186E02ACE7B8C6</x:v>
      </x:c>
      <x:c r="V1312" t="str">
        <x:v>C0851820+U703707064</x:v>
      </x:c>
    </x:row>
    <x:row r="1313">
      <x:c r="A1313" t="str">
        <x:v>RAW-IMP-20260516-FULLDRAFT-001296</x:v>
      </x:c>
      <x:c r="B1313" t="str">
        <x:v>IMP-20260516-FULLDRAFT</x:v>
      </x:c>
      <x:c r="C1313" t="str">
        <x:v>KTO001</x:v>
      </x:c>
      <x:c r="D1313" t="str">
        <x:v>16-05-2026_Umsatzliste_Girokonto_DE98120300001061711675.csv</x:v>
      </x:c>
      <x:c r="E1313" t="n">
        <x:v>46163</x:v>
      </x:c>
      <x:c r="F1313" t="n">
        <x:v>1296</x:v>
      </x:c>
      <x:c r="G1313" t="str">
        <x:v>e5b4824392b8646a8974391707343e8fdaedb86df8eb3bb94d78f9135ce3e8fb</x:v>
      </x:c>
      <x:c r="H1313" t="str">
        <x:v>neu</x:v>
      </x:c>
      <x:c r="I1313" t="str">
        <x:v>ok</x:v>
      </x:c>
      <x:c r="J1313"/>
      <x:c r="K1313" t="n">
        <x:v>45733</x:v>
      </x:c>
      <x:c r="L1313" t="n">
        <x:v>45733</x:v>
      </x:c>
      <x:c r="M1313" t="str">
        <x:v>Gebucht</x:v>
      </x:c>
      <x:c r="N1313" t="str">
        <x:v>Lars Kohlenberg</x:v>
      </x:c>
      <x:c r="O1313" t="str">
        <x:v>Drillisch Online GmbH                                                 Wilhelm-Rontgen-Strase 1-5, 63477 Maintal</x:v>
      </x:c>
      <x:c r="P1313" t="str">
        <x:v>C0851820 U700526827 B806548348 winSIM</x:v>
      </x:c>
      <x:c r="Q1313" t="str">
        <x:v>Ausgang</x:v>
      </x:c>
      <x:c r="R1313" t="str">
        <x:v>DE87300500000008996811</x:v>
      </x:c>
      <x:c r="S1313" t="n">
        <x:v>-6.99</x:v>
      </x:c>
      <x:c r="T1313" t="str">
        <x:v>DE40ZZZ00000206926</x:v>
      </x:c>
      <x:c r="U1313" t="str">
        <x:v>FB1310D094B04186E02ACE7B8C6</x:v>
      </x:c>
      <x:c r="V1313" t="str">
        <x:v>C0851820+U700526827</x:v>
      </x:c>
    </x:row>
    <x:row r="1314">
      <x:c r="A1314" t="str">
        <x:v>RAW-IMP-20260516-FULLDRAFT-001297</x:v>
      </x:c>
      <x:c r="B1314" t="str">
        <x:v>IMP-20260516-FULLDRAFT</x:v>
      </x:c>
      <x:c r="C1314" t="str">
        <x:v>KTO001</x:v>
      </x:c>
      <x:c r="D1314" t="str">
        <x:v>16-05-2026_Umsatzliste_Girokonto_DE98120300001061711675.csv</x:v>
      </x:c>
      <x:c r="E1314" t="n">
        <x:v>46163</x:v>
      </x:c>
      <x:c r="F1314" t="n">
        <x:v>1297</x:v>
      </x:c>
      <x:c r="G1314" t="str">
        <x:v>ad53e40852ada408b1804b7ac1fb03fc7cf4c9692a12cbd8321d0efc7b74a0b6</x:v>
      </x:c>
      <x:c r="H1314" t="str">
        <x:v>neu</x:v>
      </x:c>
      <x:c r="I1314" t="str">
        <x:v>ok</x:v>
      </x:c>
      <x:c r="J1314"/>
      <x:c r="K1314" t="n">
        <x:v>45733</x:v>
      </x:c>
      <x:c r="L1314" t="n">
        <x:v>45733</x:v>
      </x:c>
      <x:c r="M1314" t="str">
        <x:v>Gebucht</x:v>
      </x:c>
      <x:c r="N1314" t="str">
        <x:v>Lars Kohlenberg</x:v>
      </x:c>
      <x:c r="O1314" t="str">
        <x:v>Drillisch Online GmbH                                                 Wilhelm-Rontgen-Strase 1-5, 63477 Maintal</x:v>
      </x:c>
      <x:c r="P1314" t="str">
        <x:v>C0851820 U701090539 B807566274 winSIM</x:v>
      </x:c>
      <x:c r="Q1314" t="str">
        <x:v>Ausgang</x:v>
      </x:c>
      <x:c r="R1314" t="str">
        <x:v>DE87300500000008996811</x:v>
      </x:c>
      <x:c r="S1314" t="n">
        <x:v>-6.99</x:v>
      </x:c>
      <x:c r="T1314" t="str">
        <x:v>DE40ZZZ00000206926</x:v>
      </x:c>
      <x:c r="U1314" t="str">
        <x:v>FB1310D094B04186E02ACE7B8C6</x:v>
      </x:c>
      <x:c r="V1314" t="str">
        <x:v>C0851820+U701090539</x:v>
      </x:c>
    </x:row>
    <x:row r="1315">
      <x:c r="A1315" t="str">
        <x:v>RAW-IMP-20260516-FULLDRAFT-001298</x:v>
      </x:c>
      <x:c r="B1315" t="str">
        <x:v>IMP-20260516-FULLDRAFT</x:v>
      </x:c>
      <x:c r="C1315" t="str">
        <x:v>KTO001</x:v>
      </x:c>
      <x:c r="D1315" t="str">
        <x:v>16-05-2026_Umsatzliste_Girokonto_DE98120300001061711675.csv</x:v>
      </x:c>
      <x:c r="E1315" t="n">
        <x:v>46163</x:v>
      </x:c>
      <x:c r="F1315" t="n">
        <x:v>1298</x:v>
      </x:c>
      <x:c r="G1315" t="str">
        <x:v>b955496ad0b09f491927a1523e93abc66605004a04e00275a5d0d9a299afb4da</x:v>
      </x:c>
      <x:c r="H1315" t="str">
        <x:v>neu</x:v>
      </x:c>
      <x:c r="I1315" t="str">
        <x:v>ok</x:v>
      </x:c>
      <x:c r="J1315"/>
      <x:c r="K1315" t="n">
        <x:v>45730</x:v>
      </x:c>
      <x:c r="L1315" t="n">
        <x:v>45730</x:v>
      </x:c>
      <x:c r="M1315" t="str">
        <x:v>Gebucht</x:v>
      </x:c>
      <x:c r="N1315" t="str">
        <x:v>ISSUER</x:v>
      </x:c>
      <x:c r="O1315" t="str">
        <x:v>EDEKA.POTRATZ/HILDESHEIM</x:v>
      </x:c>
      <x:c r="P1315" t="str">
        <x:v>VISA Debitkartenumsatz vom 13.03.2025</x:v>
      </x:c>
      <x:c r="Q1315" t="str">
        <x:v>Ausgang</x:v>
      </x:c>
      <x:c r="R1315" t="str">
        <x:v>DE96120300009005290904</x:v>
      </x:c>
      <x:c r="S1315" t="n">
        <x:v>-5.81</x:v>
      </x:c>
      <x:c r="T1315" t="str">
        <x:v>"</x:v>
      </x:c>
      <x:c r="U1315" t="str">
        <x:v>"</x:v>
      </x:c>
      <x:c r="V1315" t="str">
        <x:v>485072398984876</x:v>
      </x:c>
    </x:row>
    <x:row r="1316">
      <x:c r="A1316" t="str">
        <x:v>RAW-IMP-20260516-FULLDRAFT-001299</x:v>
      </x:c>
      <x:c r="B1316" t="str">
        <x:v>IMP-20260516-FULLDRAFT</x:v>
      </x:c>
      <x:c r="C1316" t="str">
        <x:v>KTO001</x:v>
      </x:c>
      <x:c r="D1316" t="str">
        <x:v>16-05-2026_Umsatzliste_Girokonto_DE98120300001061711675.csv</x:v>
      </x:c>
      <x:c r="E1316" t="n">
        <x:v>46163</x:v>
      </x:c>
      <x:c r="F1316" t="n">
        <x:v>1299</x:v>
      </x:c>
      <x:c r="G1316" t="str">
        <x:v>60f431646d373d41c50c46061e270833796628e1716da0a30594868652b31bd1</x:v>
      </x:c>
      <x:c r="H1316" t="str">
        <x:v>neu</x:v>
      </x:c>
      <x:c r="I1316" t="str">
        <x:v>ok</x:v>
      </x:c>
      <x:c r="J1316"/>
      <x:c r="K1316" t="n">
        <x:v>45728</x:v>
      </x:c>
      <x:c r="L1316" t="n">
        <x:v>45728</x:v>
      </x:c>
      <x:c r="M1316" t="str">
        <x:v>Gebucht</x:v>
      </x:c>
      <x:c r="N1316" t="str">
        <x:v>ISSUER</x:v>
      </x:c>
      <x:c r="O1316" t="str">
        <x:v>REWE.Mehmet.Kaysal.oHG/Salzgitter</x:v>
      </x:c>
      <x:c r="P1316" t="str">
        <x:v>VISA Debitkartenumsatz vom 11.03.2025</x:v>
      </x:c>
      <x:c r="Q1316" t="str">
        <x:v>Ausgang</x:v>
      </x:c>
      <x:c r="R1316" t="str">
        <x:v>DE96120300009005290904</x:v>
      </x:c>
      <x:c r="S1316" t="n">
        <x:v>-0.84</x:v>
      </x:c>
      <x:c r="T1316" t="str">
        <x:v>"</x:v>
      </x:c>
      <x:c r="U1316" t="str">
        <x:v>"</x:v>
      </x:c>
      <x:c r="V1316" t="str">
        <x:v>485070678648940</x:v>
      </x:c>
    </x:row>
    <x:row r="1317">
      <x:c r="A1317" t="str">
        <x:v>RAW-IMP-20260516-FULLDRAFT-001300</x:v>
      </x:c>
      <x:c r="B1317" t="str">
        <x:v>IMP-20260516-FULLDRAFT</x:v>
      </x:c>
      <x:c r="C1317" t="str">
        <x:v>KTO001</x:v>
      </x:c>
      <x:c r="D1317" t="str">
        <x:v>16-05-2026_Umsatzliste_Girokonto_DE98120300001061711675.csv</x:v>
      </x:c>
      <x:c r="E1317" t="n">
        <x:v>46163</x:v>
      </x:c>
      <x:c r="F1317" t="n">
        <x:v>1300</x:v>
      </x:c>
      <x:c r="G1317" t="str">
        <x:v>88ae6d18dad88ad002fc9001e48f7bb1709cc803d6b559b481e6bf5760bc2ec0</x:v>
      </x:c>
      <x:c r="H1317" t="str">
        <x:v>neu</x:v>
      </x:c>
      <x:c r="I1317" t="str">
        <x:v>ok</x:v>
      </x:c>
      <x:c r="J1317"/>
      <x:c r="K1317" t="n">
        <x:v>45727</x:v>
      </x:c>
      <x:c r="L1317" t="n">
        <x:v>45727</x:v>
      </x:c>
      <x:c r="M1317" t="str">
        <x:v>Gebucht</x:v>
      </x:c>
      <x:c r="N1317" t="str">
        <x:v>ISSUER</x:v>
      </x:c>
      <x:c r="O1317" t="str">
        <x:v>SCHAEFERS.35189/SALZGITTER</x:v>
      </x:c>
      <x:c r="P1317" t="str">
        <x:v>VISA Debitkartenumsatz vom 10.03.2025</x:v>
      </x:c>
      <x:c r="Q1317" t="str">
        <x:v>Ausgang</x:v>
      </x:c>
      <x:c r="R1317" t="str">
        <x:v>DE96120300009005290904</x:v>
      </x:c>
      <x:c r="S1317" t="n">
        <x:v>-4.5</x:v>
      </x:c>
      <x:c r="T1317" t="str">
        <x:v>"</x:v>
      </x:c>
      <x:c r="U1317" t="str">
        <x:v>"</x:v>
      </x:c>
      <x:c r="V1317" t="str">
        <x:v>485069631865187</x:v>
      </x:c>
    </x:row>
    <x:row r="1318">
      <x:c r="A1318" t="str">
        <x:v>RAW-IMP-20260516-FULLDRAFT-001301</x:v>
      </x:c>
      <x:c r="B1318" t="str">
        <x:v>IMP-20260516-FULLDRAFT</x:v>
      </x:c>
      <x:c r="C1318" t="str">
        <x:v>KTO001</x:v>
      </x:c>
      <x:c r="D1318" t="str">
        <x:v>16-05-2026_Umsatzliste_Girokonto_DE98120300001061711675.csv</x:v>
      </x:c>
      <x:c r="E1318" t="n">
        <x:v>46163</x:v>
      </x:c>
      <x:c r="F1318" t="n">
        <x:v>1301</x:v>
      </x:c>
      <x:c r="G1318" t="str">
        <x:v>0046300034aae31bdc02aa59db57fad8985d3da00ce755a1fbff604171ea29fa</x:v>
      </x:c>
      <x:c r="H1318" t="str">
        <x:v>neu</x:v>
      </x:c>
      <x:c r="I1318" t="str">
        <x:v>ok</x:v>
      </x:c>
      <x:c r="J1318"/>
      <x:c r="K1318" t="n">
        <x:v>45727</x:v>
      </x:c>
      <x:c r="L1318" t="n">
        <x:v>45727</x:v>
      </x:c>
      <x:c r="M1318" t="str">
        <x:v>Gebucht</x:v>
      </x:c>
      <x:c r="N1318" t="str">
        <x:v>Lars Kohlenberg</x:v>
      </x:c>
      <x:c r="O1318" t="str">
        <x:v>Lars Kohlenberg</x:v>
      </x:c>
      <x:c r="P1318" t="str">
        <x:v>Uebertrag</x:v>
      </x:c>
      <x:c r="Q1318" t="str">
        <x:v>Eingang</x:v>
      </x:c>
      <x:c r="R1318" t="str">
        <x:v>DE91270200001510365800</x:v>
      </x:c>
      <x:c r="S1318" t="n">
        <x:v>400</x:v>
      </x:c>
      <x:c r="T1318" t="str">
        <x:v>"</x:v>
      </x:c>
      <x:c r="U1318" t="str">
        <x:v>"</x:v>
      </x:c>
      <x:c r="V1318" t="str">
        <x:v>"</x:v>
      </x:c>
    </x:row>
    <x:row r="1319">
      <x:c r="A1319" t="str">
        <x:v>RAW-IMP-20260516-FULLDRAFT-001302</x:v>
      </x:c>
      <x:c r="B1319" t="str">
        <x:v>IMP-20260516-FULLDRAFT</x:v>
      </x:c>
      <x:c r="C1319" t="str">
        <x:v>KTO001</x:v>
      </x:c>
      <x:c r="D1319" t="str">
        <x:v>16-05-2026_Umsatzliste_Girokonto_DE98120300001061711675.csv</x:v>
      </x:c>
      <x:c r="E1319" t="n">
        <x:v>46163</x:v>
      </x:c>
      <x:c r="F1319" t="n">
        <x:v>1302</x:v>
      </x:c>
      <x:c r="G1319" t="str">
        <x:v>1f6706e130ff65a83e9c7f15eba9ec4d8b81ebb3fbb7d87b076c95f0d71a1e4f</x:v>
      </x:c>
      <x:c r="H1319" t="str">
        <x:v>neu</x:v>
      </x:c>
      <x:c r="I1319" t="str">
        <x:v>ok</x:v>
      </x:c>
      <x:c r="J1319"/>
      <x:c r="K1319" t="n">
        <x:v>45727</x:v>
      </x:c>
      <x:c r="L1319" t="n">
        <x:v>45727</x:v>
      </x:c>
      <x:c r="M1319" t="str">
        <x:v>Gebucht</x:v>
      </x:c>
      <x:c r="N1319" t="str">
        <x:v>LARS KOHLENBERG</x:v>
      </x:c>
      <x:c r="O1319" t="str">
        <x:v>Gothaer Krankenversicherung Aktiengesellschaft</x:v>
      </x:c>
      <x:c r="P1319" t="str">
        <x:v>98.000.055668 ABBUCHUNG AM 11.03.2025 KV 6,76+</x:v>
      </x:c>
      <x:c r="Q1319" t="str">
        <x:v>Ausgang</x:v>
      </x:c>
      <x:c r="R1319" t="str">
        <x:v>DE08370100500079144506</x:v>
      </x:c>
      <x:c r="S1319" t="n">
        <x:v>-6.76</x:v>
      </x:c>
      <x:c r="T1319" t="str">
        <x:v>DE52ZZZ00000070522</x:v>
      </x:c>
      <x:c r="U1319" t="str">
        <x:v>205411613</x:v>
      </x:c>
      <x:c r="V1319" t="str">
        <x:v>T2025030701000008913</x:v>
      </x:c>
    </x:row>
    <x:row r="1320">
      <x:c r="A1320" t="str">
        <x:v>RAW-IMP-20260516-FULLDRAFT-001303</x:v>
      </x:c>
      <x:c r="B1320" t="str">
        <x:v>IMP-20260516-FULLDRAFT</x:v>
      </x:c>
      <x:c r="C1320" t="str">
        <x:v>KTO001</x:v>
      </x:c>
      <x:c r="D1320" t="str">
        <x:v>16-05-2026_Umsatzliste_Girokonto_DE98120300001061711675.csv</x:v>
      </x:c>
      <x:c r="E1320" t="n">
        <x:v>46163</x:v>
      </x:c>
      <x:c r="F1320" t="n">
        <x:v>1303</x:v>
      </x:c>
      <x:c r="G1320" t="str">
        <x:v>4e4986d28fdbf8a4faf4734fa0830a9325c254437903dc7a24ad6d9b96bc1b01</x:v>
      </x:c>
      <x:c r="H1320" t="str">
        <x:v>neu</x:v>
      </x:c>
      <x:c r="I1320" t="str">
        <x:v>ok</x:v>
      </x:c>
      <x:c r="J1320"/>
      <x:c r="K1320" t="n">
        <x:v>45726</x:v>
      </x:c>
      <x:c r="L1320" t="n">
        <x:v>45726</x:v>
      </x:c>
      <x:c r="M1320" t="str">
        <x:v>Gebucht</x:v>
      </x:c>
      <x:c r="N1320" t="str">
        <x:v>ISSUER</x:v>
      </x:c>
      <x:c r="O1320" t="str">
        <x:v>BOSPORUS.GRILL/SALZGITTER</x:v>
      </x:c>
      <x:c r="P1320" t="str">
        <x:v>VISA Debitkartenumsatz vom 09.03.2025</x:v>
      </x:c>
      <x:c r="Q1320" t="str">
        <x:v>Ausgang</x:v>
      </x:c>
      <x:c r="R1320" t="str">
        <x:v>DE96120300009005290904</x:v>
      </x:c>
      <x:c r="S1320" t="n">
        <x:v>-21</x:v>
      </x:c>
      <x:c r="T1320" t="str">
        <x:v>"</x:v>
      </x:c>
      <x:c r="U1320" t="str">
        <x:v>"</x:v>
      </x:c>
      <x:c r="V1320" t="str">
        <x:v>485068609178908</x:v>
      </x:c>
    </x:row>
    <x:row r="1321">
      <x:c r="A1321" t="str">
        <x:v>RAW-IMP-20260516-FULLDRAFT-001304</x:v>
      </x:c>
      <x:c r="B1321" t="str">
        <x:v>IMP-20260516-FULLDRAFT</x:v>
      </x:c>
      <x:c r="C1321" t="str">
        <x:v>KTO001</x:v>
      </x:c>
      <x:c r="D1321" t="str">
        <x:v>16-05-2026_Umsatzliste_Girokonto_DE98120300001061711675.csv</x:v>
      </x:c>
      <x:c r="E1321" t="n">
        <x:v>46163</x:v>
      </x:c>
      <x:c r="F1321" t="n">
        <x:v>1304</x:v>
      </x:c>
      <x:c r="G1321" t="str">
        <x:v>4f1d270523e51ecb2faa2b36fe162b361bf7bd3619a17665047379f32e4936f5</x:v>
      </x:c>
      <x:c r="H1321" t="str">
        <x:v>neu</x:v>
      </x:c>
      <x:c r="I1321" t="str">
        <x:v>ok</x:v>
      </x:c>
      <x:c r="J1321"/>
      <x:c r="K1321" t="n">
        <x:v>45726</x:v>
      </x:c>
      <x:c r="L1321" t="n">
        <x:v>45726</x:v>
      </x:c>
      <x:c r="M1321" t="str">
        <x:v>Gebucht</x:v>
      </x:c>
      <x:c r="N1321" t="str">
        <x:v>ISSUER</x:v>
      </x:c>
      <x:c r="O1321" t="str">
        <x:v>Hornbach.Baumarkt.AG.FI/Braunschweig</x:v>
      </x:c>
      <x:c r="P1321" t="str">
        <x:v>VISA Debitkartenumsatz vom 08.03.2025</x:v>
      </x:c>
      <x:c r="Q1321" t="str">
        <x:v>Ausgang</x:v>
      </x:c>
      <x:c r="R1321" t="str">
        <x:v>DE96120300009005290904</x:v>
      </x:c>
      <x:c r="S1321" t="n">
        <x:v>-15.1</x:v>
      </x:c>
      <x:c r="T1321" t="str">
        <x:v>"</x:v>
      </x:c>
      <x:c r="U1321" t="str">
        <x:v>"</x:v>
      </x:c>
      <x:c r="V1321" t="str">
        <x:v>485067453417597</x:v>
      </x:c>
    </x:row>
    <x:row r="1322">
      <x:c r="A1322" t="str">
        <x:v>RAW-IMP-20260516-FULLDRAFT-001305</x:v>
      </x:c>
      <x:c r="B1322" t="str">
        <x:v>IMP-20260516-FULLDRAFT</x:v>
      </x:c>
      <x:c r="C1322" t="str">
        <x:v>KTO001</x:v>
      </x:c>
      <x:c r="D1322" t="str">
        <x:v>16-05-2026_Umsatzliste_Girokonto_DE98120300001061711675.csv</x:v>
      </x:c>
      <x:c r="E1322" t="n">
        <x:v>46163</x:v>
      </x:c>
      <x:c r="F1322" t="n">
        <x:v>1305</x:v>
      </x:c>
      <x:c r="G1322" t="str">
        <x:v>68d7008e7d4137e3bcd2b24db322e1caf4a631c9ad6797813d4a515f6ef698ca</x:v>
      </x:c>
      <x:c r="H1322" t="str">
        <x:v>neu</x:v>
      </x:c>
      <x:c r="I1322" t="str">
        <x:v>ok</x:v>
      </x:c>
      <x:c r="J1322"/>
      <x:c r="K1322" t="n">
        <x:v>45726</x:v>
      </x:c>
      <x:c r="L1322" t="n">
        <x:v>45726</x:v>
      </x:c>
      <x:c r="M1322" t="str">
        <x:v>Gebucht</x:v>
      </x:c>
      <x:c r="N1322" t="str">
        <x:v>ISSUER</x:v>
      </x:c>
      <x:c r="O1322" t="str">
        <x:v>UNITED.CURRY/BRAUNSCHWEIG</x:v>
      </x:c>
      <x:c r="P1322" t="str">
        <x:v>VISA Debitkartenumsatz vom 08.03.2025</x:v>
      </x:c>
      <x:c r="Q1322" t="str">
        <x:v>Ausgang</x:v>
      </x:c>
      <x:c r="R1322" t="str">
        <x:v>DE96120300009005290904</x:v>
      </x:c>
      <x:c r="S1322" t="n">
        <x:v>-4.9</x:v>
      </x:c>
      <x:c r="T1322" t="str">
        <x:v>"</x:v>
      </x:c>
      <x:c r="U1322" t="str">
        <x:v>"</x:v>
      </x:c>
      <x:c r="V1322" t="str">
        <x:v>485067454761876</x:v>
      </x:c>
    </x:row>
    <x:row r="1323">
      <x:c r="A1323" t="str">
        <x:v>RAW-IMP-20260516-FULLDRAFT-001306</x:v>
      </x:c>
      <x:c r="B1323" t="str">
        <x:v>IMP-20260516-FULLDRAFT</x:v>
      </x:c>
      <x:c r="C1323" t="str">
        <x:v>KTO001</x:v>
      </x:c>
      <x:c r="D1323" t="str">
        <x:v>16-05-2026_Umsatzliste_Girokonto_DE98120300001061711675.csv</x:v>
      </x:c>
      <x:c r="E1323" t="n">
        <x:v>46163</x:v>
      </x:c>
      <x:c r="F1323" t="n">
        <x:v>1306</x:v>
      </x:c>
      <x:c r="G1323" t="str">
        <x:v>ce93e03609d31b39fbae8fcef125abf73616d573b86024512b1fc0da335fd5b0</x:v>
      </x:c>
      <x:c r="H1323" t="str">
        <x:v>neu</x:v>
      </x:c>
      <x:c r="I1323" t="str">
        <x:v>ok</x:v>
      </x:c>
      <x:c r="J1323"/>
      <x:c r="K1323" t="n">
        <x:v>45726</x:v>
      </x:c>
      <x:c r="L1323" t="n">
        <x:v>45726</x:v>
      </x:c>
      <x:c r="M1323" t="str">
        <x:v>Gebucht</x:v>
      </x:c>
      <x:c r="N1323" t="str">
        <x:v>ISSUER</x:v>
      </x:c>
      <x:c r="O1323" t="str">
        <x:v>LOEWENBAECKER.SCHAPER/SALZGITTER</x:v>
      </x:c>
      <x:c r="P1323" t="str">
        <x:v>VISA Debitkartenumsatz vom 08.03.2025</x:v>
      </x:c>
      <x:c r="Q1323" t="str">
        <x:v>Ausgang</x:v>
      </x:c>
      <x:c r="R1323" t="str">
        <x:v>DE96120300009005290904</x:v>
      </x:c>
      <x:c r="S1323" t="n">
        <x:v>-3.2</x:v>
      </x:c>
      <x:c r="T1323" t="str">
        <x:v>"</x:v>
      </x:c>
      <x:c r="U1323" t="str">
        <x:v>"</x:v>
      </x:c>
      <x:c r="V1323" t="str">
        <x:v>485067286035107</x:v>
      </x:c>
    </x:row>
    <x:row r="1324">
      <x:c r="A1324" t="str">
        <x:v>RAW-IMP-20260516-FULLDRAFT-001307</x:v>
      </x:c>
      <x:c r="B1324" t="str">
        <x:v>IMP-20260516-FULLDRAFT</x:v>
      </x:c>
      <x:c r="C1324" t="str">
        <x:v>KTO001</x:v>
      </x:c>
      <x:c r="D1324" t="str">
        <x:v>16-05-2026_Umsatzliste_Girokonto_DE98120300001061711675.csv</x:v>
      </x:c>
      <x:c r="E1324" t="n">
        <x:v>46163</x:v>
      </x:c>
      <x:c r="F1324" t="n">
        <x:v>1307</x:v>
      </x:c>
      <x:c r="G1324" t="str">
        <x:v>364fee9243fe01f967c9c0d9888f73d34fad591bd9185bc651db138a6c8c95b3</x:v>
      </x:c>
      <x:c r="H1324" t="str">
        <x:v>neu</x:v>
      </x:c>
      <x:c r="I1324" t="str">
        <x:v>ok</x:v>
      </x:c>
      <x:c r="J1324"/>
      <x:c r="K1324" t="n">
        <x:v>45726</x:v>
      </x:c>
      <x:c r="L1324" t="n">
        <x:v>45726</x:v>
      </x:c>
      <x:c r="M1324" t="str">
        <x:v>Gebucht</x:v>
      </x:c>
      <x:c r="N1324" t="str">
        <x:v>ISSUER</x:v>
      </x:c>
      <x:c r="O1324" t="str">
        <x:v>AMZN.Mktp.DE.RB4XO0FC4/800.279.6620</x:v>
      </x:c>
      <x:c r="P1324" t="str">
        <x:v>VISA Debitkartenumsatz vom 07.03.2025</x:v>
      </x:c>
      <x:c r="Q1324" t="str">
        <x:v>Ausgang</x:v>
      </x:c>
      <x:c r="R1324" t="str">
        <x:v>DE96120300009005290904</x:v>
      </x:c>
      <x:c r="S1324" t="n">
        <x:v>-17.98</x:v>
      </x:c>
      <x:c r="T1324" t="str">
        <x:v>"</x:v>
      </x:c>
      <x:c r="U1324" t="str">
        <x:v>"</x:v>
      </x:c>
      <x:c r="V1324" t="str">
        <x:v>485066737948373</x:v>
      </x:c>
    </x:row>
    <x:row r="1325">
      <x:c r="A1325" t="str">
        <x:v>RAW-IMP-20260516-FULLDRAFT-001308</x:v>
      </x:c>
      <x:c r="B1325" t="str">
        <x:v>IMP-20260516-FULLDRAFT</x:v>
      </x:c>
      <x:c r="C1325" t="str">
        <x:v>KTO001</x:v>
      </x:c>
      <x:c r="D1325" t="str">
        <x:v>16-05-2026_Umsatzliste_Girokonto_DE98120300001061711675.csv</x:v>
      </x:c>
      <x:c r="E1325" t="n">
        <x:v>46163</x:v>
      </x:c>
      <x:c r="F1325" t="n">
        <x:v>1308</x:v>
      </x:c>
      <x:c r="G1325" t="str">
        <x:v>e2b52634171edd1dfb3627514d9b9d4458646c9cf47a98275473ae074c88a474</x:v>
      </x:c>
      <x:c r="H1325" t="str">
        <x:v>neu</x:v>
      </x:c>
      <x:c r="I1325" t="str">
        <x:v>ok</x:v>
      </x:c>
      <x:c r="J1325"/>
      <x:c r="K1325" t="n">
        <x:v>45726</x:v>
      </x:c>
      <x:c r="L1325" t="n">
        <x:v>45726</x:v>
      </x:c>
      <x:c r="M1325" t="str">
        <x:v>Gebucht</x:v>
      </x:c>
      <x:c r="N1325" t="str">
        <x:v>ISSUER</x:v>
      </x:c>
      <x:c r="O1325" t="str">
        <x:v>REWE.Salzgitter.Ge/Salzgitter</x:v>
      </x:c>
      <x:c r="P1325" t="str">
        <x:v>VISA Debitkartenumsatz vom 08.03.2025</x:v>
      </x:c>
      <x:c r="Q1325" t="str">
        <x:v>Ausgang</x:v>
      </x:c>
      <x:c r="R1325" t="str">
        <x:v>DE96120300009005290904</x:v>
      </x:c>
      <x:c r="S1325" t="n">
        <x:v>-104.85</x:v>
      </x:c>
      <x:c r="T1325" t="str">
        <x:v>"</x:v>
      </x:c>
      <x:c r="U1325" t="str">
        <x:v>"</x:v>
      </x:c>
      <x:c r="V1325" t="str">
        <x:v>485067282407966</x:v>
      </x:c>
    </x:row>
    <x:row r="1326">
      <x:c r="A1326" t="str">
        <x:v>RAW-IMP-20260516-FULLDRAFT-001309</x:v>
      </x:c>
      <x:c r="B1326" t="str">
        <x:v>IMP-20260516-FULLDRAFT</x:v>
      </x:c>
      <x:c r="C1326" t="str">
        <x:v>KTO001</x:v>
      </x:c>
      <x:c r="D1326" t="str">
        <x:v>16-05-2026_Umsatzliste_Girokonto_DE98120300001061711675.csv</x:v>
      </x:c>
      <x:c r="E1326" t="n">
        <x:v>46163</x:v>
      </x:c>
      <x:c r="F1326" t="n">
        <x:v>1309</x:v>
      </x:c>
      <x:c r="G1326" t="str">
        <x:v>75fa0645fa04db6c2bf9c6a7c42c47acef308034a63d79a3328169f0098d4929</x:v>
      </x:c>
      <x:c r="H1326" t="str">
        <x:v>neu</x:v>
      </x:c>
      <x:c r="I1326" t="str">
        <x:v>ok</x:v>
      </x:c>
      <x:c r="J1326"/>
      <x:c r="K1326" t="n">
        <x:v>45726</x:v>
      </x:c>
      <x:c r="L1326" t="n">
        <x:v>45726</x:v>
      </x:c>
      <x:c r="M1326" t="str">
        <x:v>Gebucht</x:v>
      </x:c>
      <x:c r="N1326" t="str">
        <x:v>ISSUER</x:v>
      </x:c>
      <x:c r="O1326" t="str">
        <x:v>Hagebaumarkt.Salzgitter/Salzgitter</x:v>
      </x:c>
      <x:c r="P1326" t="str">
        <x:v>VISA Debitkartenumsatz vom 08.03.2025</x:v>
      </x:c>
      <x:c r="Q1326" t="str">
        <x:v>Ausgang</x:v>
      </x:c>
      <x:c r="R1326" t="str">
        <x:v>DE96120300009005290904</x:v>
      </x:c>
      <x:c r="S1326" t="n">
        <x:v>-26.54</x:v>
      </x:c>
      <x:c r="T1326" t="str">
        <x:v>"</x:v>
      </x:c>
      <x:c r="U1326" t="str">
        <x:v>"</x:v>
      </x:c>
      <x:c r="V1326" t="str">
        <x:v>485067399471998</x:v>
      </x:c>
    </x:row>
    <x:row r="1327">
      <x:c r="A1327" t="str">
        <x:v>RAW-IMP-20260516-FULLDRAFT-001310</x:v>
      </x:c>
      <x:c r="B1327" t="str">
        <x:v>IMP-20260516-FULLDRAFT</x:v>
      </x:c>
      <x:c r="C1327" t="str">
        <x:v>KTO001</x:v>
      </x:c>
      <x:c r="D1327" t="str">
        <x:v>16-05-2026_Umsatzliste_Girokonto_DE98120300001061711675.csv</x:v>
      </x:c>
      <x:c r="E1327" t="n">
        <x:v>46163</x:v>
      </x:c>
      <x:c r="F1327" t="n">
        <x:v>1310</x:v>
      </x:c>
      <x:c r="G1327" t="str">
        <x:v>0c9bcec182e439575eadf23920dbae1110d73ab850709f08090dd4105f7f4ac2</x:v>
      </x:c>
      <x:c r="H1327" t="str">
        <x:v>neu</x:v>
      </x:c>
      <x:c r="I1327" t="str">
        <x:v>ok</x:v>
      </x:c>
      <x:c r="J1327"/>
      <x:c r="K1327" t="n">
        <x:v>45726</x:v>
      </x:c>
      <x:c r="L1327" t="n">
        <x:v>45726</x:v>
      </x:c>
      <x:c r="M1327" t="str">
        <x:v>Gebucht</x:v>
      </x:c>
      <x:c r="N1327" t="str">
        <x:v>ISSUER</x:v>
      </x:c>
      <x:c r="O1327" t="str">
        <x:v>BAUHAUS.607/BRAUNSCHWEIG</x:v>
      </x:c>
      <x:c r="P1327" t="str">
        <x:v>VISA Debitkartenumsatz vom 08.03.2025</x:v>
      </x:c>
      <x:c r="Q1327" t="str">
        <x:v>Ausgang</x:v>
      </x:c>
      <x:c r="R1327" t="str">
        <x:v>DE96120300009005290904</x:v>
      </x:c>
      <x:c r="S1327" t="n">
        <x:v>-279</x:v>
      </x:c>
      <x:c r="T1327" t="str">
        <x:v>"</x:v>
      </x:c>
      <x:c r="U1327" t="str">
        <x:v>"</x:v>
      </x:c>
      <x:c r="V1327" t="str">
        <x:v>485067469321322</x:v>
      </x:c>
    </x:row>
    <x:row r="1328">
      <x:c r="A1328" t="str">
        <x:v>RAW-IMP-20260516-FULLDRAFT-001311</x:v>
      </x:c>
      <x:c r="B1328" t="str">
        <x:v>IMP-20260516-FULLDRAFT</x:v>
      </x:c>
      <x:c r="C1328" t="str">
        <x:v>KTO001</x:v>
      </x:c>
      <x:c r="D1328" t="str">
        <x:v>16-05-2026_Umsatzliste_Girokonto_DE98120300001061711675.csv</x:v>
      </x:c>
      <x:c r="E1328" t="n">
        <x:v>46163</x:v>
      </x:c>
      <x:c r="F1328" t="n">
        <x:v>1311</x:v>
      </x:c>
      <x:c r="G1328" t="str">
        <x:v>6a3d43c3948ec8bff370b82ce36c79fa28df7a3e28e4dc459ac7fec05e8d737e</x:v>
      </x:c>
      <x:c r="H1328" t="str">
        <x:v>neu</x:v>
      </x:c>
      <x:c r="I1328" t="str">
        <x:v>ok</x:v>
      </x:c>
      <x:c r="J1328"/>
      <x:c r="K1328" t="n">
        <x:v>45726</x:v>
      </x:c>
      <x:c r="L1328" t="n">
        <x:v>45726</x:v>
      </x:c>
      <x:c r="M1328" t="str">
        <x:v>Gebucht</x:v>
      </x:c>
      <x:c r="N1328" t="str">
        <x:v>KOHLENBERG, LARS</x:v>
      </x:c>
      <x:c r="O1328" t="str">
        <x:v>Schulverein Gymnasium, Salzgitter-Bad e.V.</x:v>
      </x:c>
      <x:c r="P1328" t="str">
        <x:v>113/KOHLENBERG, LARS MITGLIEDSBEITRAG SCHULVEREIN GYMNASIUM SZ-BAD 2025</x:v>
      </x:c>
      <x:c r="Q1328" t="str">
        <x:v>Ausgang</x:v>
      </x:c>
      <x:c r="R1328" t="str">
        <x:v>DE84259501300178007662</x:v>
      </x:c>
      <x:c r="S1328" t="n">
        <x:v>-12</x:v>
      </x:c>
      <x:c r="T1328" t="str">
        <x:v>DE83ZZZ00001305841</x:v>
      </x:c>
      <x:c r="U1328" t="str">
        <x:v>113-1</x:v>
      </x:c>
      <x:c r="V1328" t="str">
        <x:v>113-1</x:v>
      </x:c>
    </x:row>
    <x:row r="1329">
      <x:c r="A1329" t="str">
        <x:v>RAW-IMP-20260516-FULLDRAFT-001312</x:v>
      </x:c>
      <x:c r="B1329" t="str">
        <x:v>IMP-20260516-FULLDRAFT</x:v>
      </x:c>
      <x:c r="C1329" t="str">
        <x:v>KTO001</x:v>
      </x:c>
      <x:c r="D1329" t="str">
        <x:v>16-05-2026_Umsatzliste_Girokonto_DE98120300001061711675.csv</x:v>
      </x:c>
      <x:c r="E1329" t="n">
        <x:v>46163</x:v>
      </x:c>
      <x:c r="F1329" t="n">
        <x:v>1312</x:v>
      </x:c>
      <x:c r="G1329" t="str">
        <x:v>3eeb5443adc88dbc733f182b86d96de92fd138ef7cbb87ae2acd49f7c969e5df</x:v>
      </x:c>
      <x:c r="H1329" t="str">
        <x:v>neu</x:v>
      </x:c>
      <x:c r="I1329" t="str">
        <x:v>ok</x:v>
      </x:c>
      <x:c r="J1329"/>
      <x:c r="K1329" t="n">
        <x:v>45723</x:v>
      </x:c>
      <x:c r="L1329" t="n">
        <x:v>45723</x:v>
      </x:c>
      <x:c r="M1329" t="str">
        <x:v>Gebucht</x:v>
      </x:c>
      <x:c r="N1329" t="str">
        <x:v>ISSUER</x:v>
      </x:c>
      <x:c r="O1329" t="str">
        <x:v>REWE.Salzgitter.Ge/Salzgitter</x:v>
      </x:c>
      <x:c r="P1329" t="str">
        <x:v>VISA Debitkartenumsatz vom 06.03.2025</x:v>
      </x:c>
      <x:c r="Q1329" t="str">
        <x:v>Ausgang</x:v>
      </x:c>
      <x:c r="R1329" t="str">
        <x:v>DE96120300009005290904</x:v>
      </x:c>
      <x:c r="S1329" t="n">
        <x:v>-1.77</x:v>
      </x:c>
      <x:c r="T1329" t="str">
        <x:v>"</x:v>
      </x:c>
      <x:c r="U1329" t="str">
        <x:v>"</x:v>
      </x:c>
      <x:c r="V1329" t="str">
        <x:v>485065641977015</x:v>
      </x:c>
    </x:row>
    <x:row r="1330">
      <x:c r="A1330" t="str">
        <x:v>RAW-IMP-20260516-FULLDRAFT-001313</x:v>
      </x:c>
      <x:c r="B1330" t="str">
        <x:v>IMP-20260516-FULLDRAFT</x:v>
      </x:c>
      <x:c r="C1330" t="str">
        <x:v>KTO001</x:v>
      </x:c>
      <x:c r="D1330" t="str">
        <x:v>16-05-2026_Umsatzliste_Girokonto_DE98120300001061711675.csv</x:v>
      </x:c>
      <x:c r="E1330" t="n">
        <x:v>46163</x:v>
      </x:c>
      <x:c r="F1330" t="n">
        <x:v>1313</x:v>
      </x:c>
      <x:c r="G1330" t="str">
        <x:v>bb96cb79346d30d6f7cc0d7ba2274a69f48b45776ff3a7182a4e1b3953ace803</x:v>
      </x:c>
      <x:c r="H1330" t="str">
        <x:v>neu</x:v>
      </x:c>
      <x:c r="I1330" t="str">
        <x:v>ok</x:v>
      </x:c>
      <x:c r="J1330"/>
      <x:c r="K1330" t="n">
        <x:v>45722</x:v>
      </x:c>
      <x:c r="L1330" t="n">
        <x:v>45722</x:v>
      </x:c>
      <x:c r="M1330" t="str">
        <x:v>Gebucht</x:v>
      </x:c>
      <x:c r="N1330" t="str">
        <x:v>Lars Kohlenberg                                                       Johannes-Wosnitza-Str. 8 38229 Salzgitter</x:v>
      </x:c>
      <x:c r="O1330" t="str">
        <x:v>Telekom Deutschland GmbH</x:v>
      </x:c>
      <x:c r="P1330" t="str">
        <x:v>Festnetz Vertragskonto 4763666565 RG 7744665028/25.02.2025</x:v>
      </x:c>
      <x:c r="Q1330" t="str">
        <x:v>Ausgang</x:v>
      </x:c>
      <x:c r="R1330" t="str">
        <x:v>DE07512108001095000911</x:v>
      </x:c>
      <x:c r="S1330" t="n">
        <x:v>-61.93</x:v>
      </x:c>
      <x:c r="T1330" t="str">
        <x:v>DE93ZZZ00000078611</x:v>
      </x:c>
      <x:c r="U1330" t="str">
        <x:v>DE000201000200000000000000012966156</x:v>
      </x:c>
      <x:c r="V1330" t="str">
        <x:v>Zahlbeleg 355159537166</x:v>
      </x:c>
    </x:row>
    <x:row r="1331">
      <x:c r="A1331" t="str">
        <x:v>RAW-IMP-20260516-FULLDRAFT-001314</x:v>
      </x:c>
      <x:c r="B1331" t="str">
        <x:v>IMP-20260516-FULLDRAFT</x:v>
      </x:c>
      <x:c r="C1331" t="str">
        <x:v>KTO001</x:v>
      </x:c>
      <x:c r="D1331" t="str">
        <x:v>16-05-2026_Umsatzliste_Girokonto_DE98120300001061711675.csv</x:v>
      </x:c>
      <x:c r="E1331" t="n">
        <x:v>46163</x:v>
      </x:c>
      <x:c r="F1331" t="n">
        <x:v>1314</x:v>
      </x:c>
      <x:c r="G1331" t="str">
        <x:v>5afcd0b866c20700965034aa3ca32ba7f861568879bb92dd56fa5f7864ed3d32</x:v>
      </x:c>
      <x:c r="H1331" t="str">
        <x:v>neu</x:v>
      </x:c>
      <x:c r="I1331" t="str">
        <x:v>ok</x:v>
      </x:c>
      <x:c r="J1331"/>
      <x:c r="K1331" t="n">
        <x:v>45722</x:v>
      </x:c>
      <x:c r="L1331" t="n">
        <x:v>45722</x:v>
      </x:c>
      <x:c r="M1331" t="str">
        <x:v>Gebucht</x:v>
      </x:c>
      <x:c r="N1331" t="str">
        <x:v>Lars Kohlenberg</x:v>
      </x:c>
      <x:c r="O1331" t="str">
        <x:v>Iman Firat</x:v>
      </x:c>
      <x:c r="P1331" t="str">
        <x:v>2230 Lea Kohlenberg</x:v>
      </x:c>
      <x:c r="Q1331" t="str">
        <x:v>Ausgang</x:v>
      </x:c>
      <x:c r="R1331" t="str">
        <x:v>DE67269910662694298000</x:v>
      </x:c>
      <x:c r="S1331" t="n">
        <x:v>-49.9</x:v>
      </x:c>
      <x:c r="T1331" t="str">
        <x:v>"</x:v>
      </x:c>
      <x:c r="U1331" t="str">
        <x:v>"</x:v>
      </x:c>
      <x:c r="V1331" t="str">
        <x:v>"</x:v>
      </x:c>
    </x:row>
    <x:row r="1332">
      <x:c r="A1332" t="str">
        <x:v>RAW-IMP-20260516-FULLDRAFT-001315</x:v>
      </x:c>
      <x:c r="B1332" t="str">
        <x:v>IMP-20260516-FULLDRAFT</x:v>
      </x:c>
      <x:c r="C1332" t="str">
        <x:v>KTO001</x:v>
      </x:c>
      <x:c r="D1332" t="str">
        <x:v>16-05-2026_Umsatzliste_Girokonto_DE98120300001061711675.csv</x:v>
      </x:c>
      <x:c r="E1332" t="n">
        <x:v>46163</x:v>
      </x:c>
      <x:c r="F1332" t="n">
        <x:v>1315</x:v>
      </x:c>
      <x:c r="G1332" t="str">
        <x:v>6f16564b6836a9384e4ed60636b54d7cc4a7642824455ec16398434166863080</x:v>
      </x:c>
      <x:c r="H1332" t="str">
        <x:v>neu</x:v>
      </x:c>
      <x:c r="I1332" t="str">
        <x:v>ok</x:v>
      </x:c>
      <x:c r="J1332"/>
      <x:c r="K1332" t="n">
        <x:v>45722</x:v>
      </x:c>
      <x:c r="L1332" t="n">
        <x:v>45722</x:v>
      </x:c>
      <x:c r="M1332" t="str">
        <x:v>Gebucht</x:v>
      </x:c>
      <x:c r="N1332" t="str">
        <x:v>Kohlenberg, Katrin</x:v>
      </x:c>
      <x:c r="O1332" t="str">
        <x:v>WEVG Salzgitter GmbH + Co. KG</x:v>
      </x:c>
      <x:c r="P1332" t="str">
        <x:v>Kd-Nr 79288 Einz 06.03.25 41710/166.83/Johannes-Wosni</x:v>
      </x:c>
      <x:c r="Q1332" t="str">
        <x:v>Ausgang</x:v>
      </x:c>
      <x:c r="R1332" t="str">
        <x:v>DE19300700100394127500</x:v>
      </x:c>
      <x:c r="S1332" t="n">
        <x:v>-166.83</x:v>
      </x:c>
      <x:c r="T1332" t="str">
        <x:v>DE83WEV00000032716</x:v>
      </x:c>
      <x:c r="U1332" t="str">
        <x:v>WEVG0000079288G1000178580</x:v>
      </x:c>
      <x:c r="V1332" t="str">
        <x:v>13553768</x:v>
      </x:c>
    </x:row>
    <x:row r="1333">
      <x:c r="A1333" t="str">
        <x:v>RAW-IMP-20260516-FULLDRAFT-001316</x:v>
      </x:c>
      <x:c r="B1333" t="str">
        <x:v>IMP-20260516-FULLDRAFT</x:v>
      </x:c>
      <x:c r="C1333" t="str">
        <x:v>KTO001</x:v>
      </x:c>
      <x:c r="D1333" t="str">
        <x:v>16-05-2026_Umsatzliste_Girokonto_DE98120300001061711675.csv</x:v>
      </x:c>
      <x:c r="E1333" t="n">
        <x:v>46163</x:v>
      </x:c>
      <x:c r="F1333" t="n">
        <x:v>1316</x:v>
      </x:c>
      <x:c r="G1333" t="str">
        <x:v>bd406f93783c04e6e901c73d63a7408f947eefea821389be89435b64aa2af394</x:v>
      </x:c>
      <x:c r="H1333" t="str">
        <x:v>neu</x:v>
      </x:c>
      <x:c r="I1333" t="str">
        <x:v>ok</x:v>
      </x:c>
      <x:c r="J1333"/>
      <x:c r="K1333" t="n">
        <x:v>45721</x:v>
      </x:c>
      <x:c r="L1333" t="n">
        <x:v>45721</x:v>
      </x:c>
      <x:c r="M1333" t="str">
        <x:v>Gebucht</x:v>
      </x:c>
      <x:c r="N1333" t="str">
        <x:v>ISSUER</x:v>
      </x:c>
      <x:c r="O1333" t="str">
        <x:v>SCHAEFERS.35189/SALZGITTER</x:v>
      </x:c>
      <x:c r="P1333" t="str">
        <x:v>VISA Debitkartenumsatz vom 04.03.2025</x:v>
      </x:c>
      <x:c r="Q1333" t="str">
        <x:v>Ausgang</x:v>
      </x:c>
      <x:c r="R1333" t="str">
        <x:v>DE96120300009005290904</x:v>
      </x:c>
      <x:c r="S1333" t="n">
        <x:v>-4.3</x:v>
      </x:c>
      <x:c r="T1333" t="str">
        <x:v>"</x:v>
      </x:c>
      <x:c r="U1333" t="str">
        <x:v>"</x:v>
      </x:c>
      <x:c r="V1333" t="str">
        <x:v>485063653067128</x:v>
      </x:c>
    </x:row>
    <x:row r="1334">
      <x:c r="A1334" t="str">
        <x:v>RAW-IMP-20260516-FULLDRAFT-001317</x:v>
      </x:c>
      <x:c r="B1334" t="str">
        <x:v>IMP-20260516-FULLDRAFT</x:v>
      </x:c>
      <x:c r="C1334" t="str">
        <x:v>KTO001</x:v>
      </x:c>
      <x:c r="D1334" t="str">
        <x:v>16-05-2026_Umsatzliste_Girokonto_DE98120300001061711675.csv</x:v>
      </x:c>
      <x:c r="E1334" t="n">
        <x:v>46163</x:v>
      </x:c>
      <x:c r="F1334" t="n">
        <x:v>1317</x:v>
      </x:c>
      <x:c r="G1334" t="str">
        <x:v>fcbb983d8f8917c3949b307e380bbd9fe6f01b4cf9d1eeba5e0d685aa2b475fe</x:v>
      </x:c>
      <x:c r="H1334" t="str">
        <x:v>neu</x:v>
      </x:c>
      <x:c r="I1334" t="str">
        <x:v>ok</x:v>
      </x:c>
      <x:c r="J1334"/>
      <x:c r="K1334" t="n">
        <x:v>45721</x:v>
      </x:c>
      <x:c r="L1334" t="n">
        <x:v>45721</x:v>
      </x:c>
      <x:c r="M1334" t="str">
        <x:v>Gebucht</x:v>
      </x:c>
      <x:c r="N1334" t="str">
        <x:v>ISSUER</x:v>
      </x:c>
      <x:c r="O1334" t="str">
        <x:v>MCDONALDS.0933/GIESEN</x:v>
      </x:c>
      <x:c r="P1334" t="str">
        <x:v>VISA Debitkartenumsatz vom 04.03.2025</x:v>
      </x:c>
      <x:c r="Q1334" t="str">
        <x:v>Ausgang</x:v>
      </x:c>
      <x:c r="R1334" t="str">
        <x:v>DE96120300009005290904</x:v>
      </x:c>
      <x:c r="S1334" t="n">
        <x:v>-19.78</x:v>
      </x:c>
      <x:c r="T1334" t="str">
        <x:v>"</x:v>
      </x:c>
      <x:c r="U1334" t="str">
        <x:v>"</x:v>
      </x:c>
      <x:c r="V1334" t="str">
        <x:v>485063413036526</x:v>
      </x:c>
    </x:row>
    <x:row r="1335">
      <x:c r="A1335" t="str">
        <x:v>RAW-IMP-20260516-FULLDRAFT-001318</x:v>
      </x:c>
      <x:c r="B1335" t="str">
        <x:v>IMP-20260516-FULLDRAFT</x:v>
      </x:c>
      <x:c r="C1335" t="str">
        <x:v>KTO001</x:v>
      </x:c>
      <x:c r="D1335" t="str">
        <x:v>16-05-2026_Umsatzliste_Girokonto_DE98120300001061711675.csv</x:v>
      </x:c>
      <x:c r="E1335" t="n">
        <x:v>46163</x:v>
      </x:c>
      <x:c r="F1335" t="n">
        <x:v>1318</x:v>
      </x:c>
      <x:c r="G1335" t="str">
        <x:v>d18a707f8c694eb5e70378ed663e089c194200001479e830f07f67ae7013d362</x:v>
      </x:c>
      <x:c r="H1335" t="str">
        <x:v>neu</x:v>
      </x:c>
      <x:c r="I1335" t="str">
        <x:v>ok</x:v>
      </x:c>
      <x:c r="J1335"/>
      <x:c r="K1335" t="n">
        <x:v>45720</x:v>
      </x:c>
      <x:c r="L1335" t="n">
        <x:v>45720</x:v>
      </x:c>
      <x:c r="M1335" t="str">
        <x:v>Gebucht</x:v>
      </x:c>
      <x:c r="N1335" t="str">
        <x:v>ISSUER</x:v>
      </x:c>
      <x:c r="O1335" t="str">
        <x:v>REWE.Salzgitter.Ge/Salzgitter</x:v>
      </x:c>
      <x:c r="P1335" t="str">
        <x:v>VISA Debitkartenumsatz vom 03.03.2025</x:v>
      </x:c>
      <x:c r="Q1335" t="str">
        <x:v>Ausgang</x:v>
      </x:c>
      <x:c r="R1335" t="str">
        <x:v>DE96120300009005290904</x:v>
      </x:c>
      <x:c r="S1335" t="n">
        <x:v>-14.64</x:v>
      </x:c>
      <x:c r="T1335" t="str">
        <x:v>"</x:v>
      </x:c>
      <x:c r="U1335" t="str">
        <x:v>"</x:v>
      </x:c>
      <x:c r="V1335" t="str">
        <x:v>485062660340257</x:v>
      </x:c>
    </x:row>
    <x:row r="1336">
      <x:c r="A1336" t="str">
        <x:v>RAW-IMP-20260516-FULLDRAFT-001319</x:v>
      </x:c>
      <x:c r="B1336" t="str">
        <x:v>IMP-20260516-FULLDRAFT</x:v>
      </x:c>
      <x:c r="C1336" t="str">
        <x:v>KTO001</x:v>
      </x:c>
      <x:c r="D1336" t="str">
        <x:v>16-05-2026_Umsatzliste_Girokonto_DE98120300001061711675.csv</x:v>
      </x:c>
      <x:c r="E1336" t="n">
        <x:v>46163</x:v>
      </x:c>
      <x:c r="F1336" t="n">
        <x:v>1319</x:v>
      </x:c>
      <x:c r="G1336" t="str">
        <x:v>73624021263a25bb1ef7562d29f4e1e7fedd158af2609eb3a8f104d72d38fc60</x:v>
      </x:c>
      <x:c r="H1336" t="str">
        <x:v>neu</x:v>
      </x:c>
      <x:c r="I1336" t="str">
        <x:v>ok</x:v>
      </x:c>
      <x:c r="J1336"/>
      <x:c r="K1336" t="n">
        <x:v>45720</x:v>
      </x:c>
      <x:c r="L1336" t="n">
        <x:v>45720</x:v>
      </x:c>
      <x:c r="M1336" t="str">
        <x:v>Gebucht</x:v>
      </x:c>
      <x:c r="N1336" t="str">
        <x:v>ISSUER</x:v>
      </x:c>
      <x:c r="O1336" t="str">
        <x:v>AMZN.Mktp.DE.R25AR8TP4/800.279.6620</x:v>
      </x:c>
      <x:c r="P1336" t="str">
        <x:v>VISA Debitkartenumsatz vom 03.03.2025</x:v>
      </x:c>
      <x:c r="Q1336" t="str">
        <x:v>Ausgang</x:v>
      </x:c>
      <x:c r="R1336" t="str">
        <x:v>DE96120300009005290904</x:v>
      </x:c>
      <x:c r="S1336" t="n">
        <x:v>-16.99</x:v>
      </x:c>
      <x:c r="T1336" t="str">
        <x:v>"</x:v>
      </x:c>
      <x:c r="U1336" t="str">
        <x:v>"</x:v>
      </x:c>
      <x:c r="V1336" t="str">
        <x:v>485061518976639</x:v>
      </x:c>
    </x:row>
    <x:row r="1337">
      <x:c r="A1337" t="str">
        <x:v>RAW-IMP-20260516-FULLDRAFT-001320</x:v>
      </x:c>
      <x:c r="B1337" t="str">
        <x:v>IMP-20260516-FULLDRAFT</x:v>
      </x:c>
      <x:c r="C1337" t="str">
        <x:v>KTO001</x:v>
      </x:c>
      <x:c r="D1337" t="str">
        <x:v>16-05-2026_Umsatzliste_Girokonto_DE98120300001061711675.csv</x:v>
      </x:c>
      <x:c r="E1337" t="n">
        <x:v>46163</x:v>
      </x:c>
      <x:c r="F1337" t="n">
        <x:v>1320</x:v>
      </x:c>
      <x:c r="G1337" t="str">
        <x:v>93b51e1ab89c6c1d3535970be86c8360d5bf4b87b65aebbe6bb89951d08bfc89</x:v>
      </x:c>
      <x:c r="H1337" t="str">
        <x:v>neu</x:v>
      </x:c>
      <x:c r="I1337" t="str">
        <x:v>ok</x:v>
      </x:c>
      <x:c r="J1337"/>
      <x:c r="K1337" t="n">
        <x:v>45720</x:v>
      </x:c>
      <x:c r="L1337" t="n">
        <x:v>45720</x:v>
      </x:c>
      <x:c r="M1337" t="str">
        <x:v>Gebucht</x:v>
      </x:c>
      <x:c r="N1337" t="str">
        <x:v>ISSUER</x:v>
      </x:c>
      <x:c r="O1337" t="str">
        <x:v>AMZN.Mktp.DE.R20M92EW4/800.279.6620</x:v>
      </x:c>
      <x:c r="P1337" t="str">
        <x:v>VISA Debitkartenumsatz vom 03.03.2025</x:v>
      </x:c>
      <x:c r="Q1337" t="str">
        <x:v>Ausgang</x:v>
      </x:c>
      <x:c r="R1337" t="str">
        <x:v>DE96120300009005290904</x:v>
      </x:c>
      <x:c r="S1337" t="n">
        <x:v>-306.15</x:v>
      </x:c>
      <x:c r="T1337" t="str">
        <x:v>"</x:v>
      </x:c>
      <x:c r="U1337" t="str">
        <x:v>"</x:v>
      </x:c>
      <x:c r="V1337" t="str">
        <x:v>485061496059998</x:v>
      </x:c>
    </x:row>
    <x:row r="1338">
      <x:c r="A1338" t="str">
        <x:v>RAW-IMP-20260516-FULLDRAFT-001321</x:v>
      </x:c>
      <x:c r="B1338" t="str">
        <x:v>IMP-20260516-FULLDRAFT</x:v>
      </x:c>
      <x:c r="C1338" t="str">
        <x:v>KTO001</x:v>
      </x:c>
      <x:c r="D1338" t="str">
        <x:v>16-05-2026_Umsatzliste_Girokonto_DE98120300001061711675.csv</x:v>
      </x:c>
      <x:c r="E1338" t="n">
        <x:v>46163</x:v>
      </x:c>
      <x:c r="F1338" t="n">
        <x:v>1321</x:v>
      </x:c>
      <x:c r="G1338" t="str">
        <x:v>903e2abd7682ce8c17c4fd73140f83feb3911eb9b9530388bfa8ff793cd210da</x:v>
      </x:c>
      <x:c r="H1338" t="str">
        <x:v>neu</x:v>
      </x:c>
      <x:c r="I1338" t="str">
        <x:v>ok</x:v>
      </x:c>
      <x:c r="J1338"/>
      <x:c r="K1338" t="n">
        <x:v>45720</x:v>
      </x:c>
      <x:c r="L1338" t="n">
        <x:v>45720</x:v>
      </x:c>
      <x:c r="M1338" t="str">
        <x:v>Gebucht</x:v>
      </x:c>
      <x:c r="N1338" t="str">
        <x:v>KOHLENBERG, LARS</x:v>
      </x:c>
      <x:c r="O1338" t="str">
        <x:v>VPV-LEBENSVERSICHERUNGS-AG</x:v>
      </x:c>
      <x:c r="P1338" t="str">
        <x:v>VNR 301667726</x:v>
      </x:c>
      <x:c r="Q1338" t="str">
        <x:v>Ausgang</x:v>
      </x:c>
      <x:c r="R1338" t="str">
        <x:v>DE78600501010001166338</x:v>
      </x:c>
      <x:c r="S1338" t="n">
        <x:v>-53.3</x:v>
      </x:c>
      <x:c r="T1338" t="str">
        <x:v>DE96LAG00000064686</x:v>
      </x:c>
      <x:c r="U1338" t="str">
        <x:v>ML700120510</x:v>
      </x:c>
      <x:c r="V1338" t="str">
        <x:v>250303 457404782 ML700120510</x:v>
      </x:c>
    </x:row>
    <x:row r="1339">
      <x:c r="A1339" t="str">
        <x:v>RAW-IMP-20260516-FULLDRAFT-001322</x:v>
      </x:c>
      <x:c r="B1339" t="str">
        <x:v>IMP-20260516-FULLDRAFT</x:v>
      </x:c>
      <x:c r="C1339" t="str">
        <x:v>KTO001</x:v>
      </x:c>
      <x:c r="D1339" t="str">
        <x:v>16-05-2026_Umsatzliste_Girokonto_DE98120300001061711675.csv</x:v>
      </x:c>
      <x:c r="E1339" t="n">
        <x:v>46163</x:v>
      </x:c>
      <x:c r="F1339" t="n">
        <x:v>1322</x:v>
      </x:c>
      <x:c r="G1339" t="str">
        <x:v>66a9143f8174a4bcf70aad7fdee8dea33bfe2fd18281351a4f6a873f696a14be</x:v>
      </x:c>
      <x:c r="H1339" t="str">
        <x:v>neu</x:v>
      </x:c>
      <x:c r="I1339" t="str">
        <x:v>ok</x:v>
      </x:c>
      <x:c r="J1339"/>
      <x:c r="K1339" t="n">
        <x:v>45720</x:v>
      </x:c>
      <x:c r="L1339" t="n">
        <x:v>45720</x:v>
      </x:c>
      <x:c r="M1339" t="str">
        <x:v>Gebucht</x:v>
      </x:c>
      <x:c r="N1339" t="str">
        <x:v>Lars Kohlenberg                                                       Johannes-Wosnitza-Str. 8</x:v>
      </x:c>
      <x:c r="O1339" t="str">
        <x:v>FUNKE Medien Nieders.GmbH</x:v>
      </x:c>
      <x:c r="P1339" t="str">
        <x:v>SZ/00001050/VA/01.03.25-31.03.25/Rg-Nr.:6316210917/Kd-Nr:0053112791</x:v>
      </x:c>
      <x:c r="Q1339" t="str">
        <x:v>Ausgang</x:v>
      </x:c>
      <x:c r="R1339" t="str">
        <x:v>DE67250500000000146910</x:v>
      </x:c>
      <x:c r="S1339" t="n">
        <x:v>-57.5</x:v>
      </x:c>
      <x:c r="T1339" t="str">
        <x:v>DE8850000000483288</x:v>
      </x:c>
      <x:c r="U1339" t="str">
        <x:v>0053112791-0500-01300001</x:v>
      </x:c>
      <x:c r="V1339" t="str">
        <x:v>033006573624</x:v>
      </x:c>
    </x:row>
    <x:row r="1340">
      <x:c r="A1340" t="str">
        <x:v>RAW-IMP-20260516-FULLDRAFT-001323</x:v>
      </x:c>
      <x:c r="B1340" t="str">
        <x:v>IMP-20260516-FULLDRAFT</x:v>
      </x:c>
      <x:c r="C1340" t="str">
        <x:v>KTO001</x:v>
      </x:c>
      <x:c r="D1340" t="str">
        <x:v>16-05-2026_Umsatzliste_Girokonto_DE98120300001061711675.csv</x:v>
      </x:c>
      <x:c r="E1340" t="n">
        <x:v>46163</x:v>
      </x:c>
      <x:c r="F1340" t="n">
        <x:v>1323</x:v>
      </x:c>
      <x:c r="G1340" t="str">
        <x:v>c74bfcd934c797d59e27741f9965a8fa6c7755e07b8174931b020d3a583a6fac</x:v>
      </x:c>
      <x:c r="H1340" t="str">
        <x:v>neu</x:v>
      </x:c>
      <x:c r="I1340" t="str">
        <x:v>ok</x:v>
      </x:c>
      <x:c r="J1340"/>
      <x:c r="K1340" t="n">
        <x:v>45720</x:v>
      </x:c>
      <x:c r="L1340" t="n">
        <x:v>45720</x:v>
      </x:c>
      <x:c r="M1340" t="str">
        <x:v>Gebucht</x:v>
      </x:c>
      <x:c r="N1340" t="str">
        <x:v>Lars Kohlenberg</x:v>
      </x:c>
      <x:c r="O1340" t="str">
        <x:v>VHV Allg. Versicherung AG</x:v>
      </x:c>
      <x:c r="P1340" t="str">
        <x:v>VHV Versicherung UNFALLVERSICHERUNG U 013-072445/0000 Abrechnung: 01.03.25 - 01.04.25</x:v>
      </x:c>
      <x:c r="Q1340" t="str">
        <x:v>Ausgang</x:v>
      </x:c>
      <x:c r="R1340" t="str">
        <x:v>DE65250500000101411551</x:v>
      </x:c>
      <x:c r="S1340" t="n">
        <x:v>-11.96</x:v>
      </x:c>
      <x:c r="T1340" t="str">
        <x:v>DE32VHV00000150810</x:v>
      </x:c>
      <x:c r="U1340" t="str">
        <x:v>0015012300010039</x:v>
      </x:c>
      <x:c r="V1340" t="str">
        <x:v>31303354110</x:v>
      </x:c>
    </x:row>
    <x:row r="1341">
      <x:c r="A1341" t="str">
        <x:v>RAW-IMP-20260516-FULLDRAFT-001324</x:v>
      </x:c>
      <x:c r="B1341" t="str">
        <x:v>IMP-20260516-FULLDRAFT</x:v>
      </x:c>
      <x:c r="C1341" t="str">
        <x:v>KTO001</x:v>
      </x:c>
      <x:c r="D1341" t="str">
        <x:v>16-05-2026_Umsatzliste_Girokonto_DE98120300001061711675.csv</x:v>
      </x:c>
      <x:c r="E1341" t="n">
        <x:v>46163</x:v>
      </x:c>
      <x:c r="F1341" t="n">
        <x:v>1324</x:v>
      </x:c>
      <x:c r="G1341" t="str">
        <x:v>ac2fa5e944f916019e995a96d93ac8fc7f90d191655466a17e142b982404a5f3</x:v>
      </x:c>
      <x:c r="H1341" t="str">
        <x:v>neu</x:v>
      </x:c>
      <x:c r="I1341" t="str">
        <x:v>ok</x:v>
      </x:c>
      <x:c r="J1341"/>
      <x:c r="K1341" t="n">
        <x:v>45720</x:v>
      </x:c>
      <x:c r="L1341" t="n">
        <x:v>45720</x:v>
      </x:c>
      <x:c r="M1341" t="str">
        <x:v>Gebucht</x:v>
      </x:c>
      <x:c r="N1341" t="str">
        <x:v>Lars Kohlenberg                                                       Johannes-Wosnitza-Str. 8,38229 Salzgitter</x:v>
      </x:c>
      <x:c r="O1341" t="str">
        <x:v>1.1 Mail . Media GmbH                                                 Elgendorfer Str. 57, 56410 Montabaur</x:v>
      </x:c>
      <x:c r="P1341" t="str">
        <x:v>KD-Nr. K7440512/ RG-Nr. 201540211389</x:v>
      </x:c>
      <x:c r="Q1341" t="str">
        <x:v>Ausgang</x:v>
      </x:c>
      <x:c r="R1341" t="str">
        <x:v>DE76700800000881679702</x:v>
      </x:c>
      <x:c r="S1341" t="n">
        <x:v>-8.99</x:v>
      </x:c>
      <x:c r="T1341" t="str">
        <x:v>DE07ZZZ00000569718</x:v>
      </x:c>
      <x:c r="U1341" t="str">
        <x:v>0090001393062</x:v>
      </x:c>
      <x:c r="V1341" t="str">
        <x:v>006063386736</x:v>
      </x:c>
    </x:row>
    <x:row r="1342">
      <x:c r="A1342" t="str">
        <x:v>RAW-IMP-20260516-FULLDRAFT-001325</x:v>
      </x:c>
      <x:c r="B1342" t="str">
        <x:v>IMP-20260516-FULLDRAFT</x:v>
      </x:c>
      <x:c r="C1342" t="str">
        <x:v>KTO001</x:v>
      </x:c>
      <x:c r="D1342" t="str">
        <x:v>16-05-2026_Umsatzliste_Girokonto_DE98120300001061711675.csv</x:v>
      </x:c>
      <x:c r="E1342" t="n">
        <x:v>46163</x:v>
      </x:c>
      <x:c r="F1342" t="n">
        <x:v>1325</x:v>
      </x:c>
      <x:c r="G1342" t="str">
        <x:v>bc2174065806cc6877926a017318459aad596061337f5481a31c7215714d4b8f</x:v>
      </x:c>
      <x:c r="H1342" t="str">
        <x:v>neu</x:v>
      </x:c>
      <x:c r="I1342" t="str">
        <x:v>ok</x:v>
      </x:c>
      <x:c r="J1342"/>
      <x:c r="K1342" t="n">
        <x:v>45719</x:v>
      </x:c>
      <x:c r="L1342" t="n">
        <x:v>45719</x:v>
      </x:c>
      <x:c r="M1342" t="str">
        <x:v>Gebucht</x:v>
      </x:c>
      <x:c r="N1342" t="str">
        <x:v>ISSUER</x:v>
      </x:c>
      <x:c r="O1342" t="str">
        <x:v>PAYPAL..HIGHCLEANCO/4029357733</x:v>
      </x:c>
      <x:c r="P1342" t="str">
        <x:v>VISA Debitkartenumsatz vom 02.03.2025</x:v>
      </x:c>
      <x:c r="Q1342" t="str">
        <x:v>Ausgang</x:v>
      </x:c>
      <x:c r="R1342" t="str">
        <x:v>DE96120300009005290904</x:v>
      </x:c>
      <x:c r="S1342" t="n">
        <x:v>-199.95</x:v>
      </x:c>
      <x:c r="T1342" t="str">
        <x:v>"</x:v>
      </x:c>
      <x:c r="U1342" t="str">
        <x:v>"</x:v>
      </x:c>
      <x:c r="V1342" t="str">
        <x:v>305061477603161</x:v>
      </x:c>
    </x:row>
    <x:row r="1343">
      <x:c r="A1343" t="str">
        <x:v>RAW-IMP-20260516-FULLDRAFT-001326</x:v>
      </x:c>
      <x:c r="B1343" t="str">
        <x:v>IMP-20260516-FULLDRAFT</x:v>
      </x:c>
      <x:c r="C1343" t="str">
        <x:v>KTO001</x:v>
      </x:c>
      <x:c r="D1343" t="str">
        <x:v>16-05-2026_Umsatzliste_Girokonto_DE98120300001061711675.csv</x:v>
      </x:c>
      <x:c r="E1343" t="n">
        <x:v>46163</x:v>
      </x:c>
      <x:c r="F1343" t="n">
        <x:v>1326</x:v>
      </x:c>
      <x:c r="G1343" t="str">
        <x:v>4b926c999ded04550c06ef71aa6879a1dd099c796f4ff666ed12bc6cb86d113c</x:v>
      </x:c>
      <x:c r="H1343" t="str">
        <x:v>neu</x:v>
      </x:c>
      <x:c r="I1343" t="str">
        <x:v>ok</x:v>
      </x:c>
      <x:c r="J1343"/>
      <x:c r="K1343" t="n">
        <x:v>45719</x:v>
      </x:c>
      <x:c r="L1343" t="n">
        <x:v>45719</x:v>
      </x:c>
      <x:c r="M1343" t="str">
        <x:v>Gebucht</x:v>
      </x:c>
      <x:c r="N1343" t="str">
        <x:v>ISSUER</x:v>
      </x:c>
      <x:c r="O1343" t="str">
        <x:v>AMZN.Mktp.DE.R22ZG8NU4/800.279.6620</x:v>
      </x:c>
      <x:c r="P1343" t="str">
        <x:v>VISA Debitkartenumsatz vom 02.03.2025</x:v>
      </x:c>
      <x:c r="Q1343" t="str">
        <x:v>Ausgang</x:v>
      </x:c>
      <x:c r="R1343" t="str">
        <x:v>DE96120300009005290904</x:v>
      </x:c>
      <x:c r="S1343" t="n">
        <x:v>-6.64</x:v>
      </x:c>
      <x:c r="T1343" t="str">
        <x:v>"</x:v>
      </x:c>
      <x:c r="U1343" t="str">
        <x:v>"</x:v>
      </x:c>
      <x:c r="V1343" t="str">
        <x:v>485060541503013</x:v>
      </x:c>
    </x:row>
    <x:row r="1344">
      <x:c r="A1344" t="str">
        <x:v>RAW-IMP-20260516-FULLDRAFT-001327</x:v>
      </x:c>
      <x:c r="B1344" t="str">
        <x:v>IMP-20260516-FULLDRAFT</x:v>
      </x:c>
      <x:c r="C1344" t="str">
        <x:v>KTO001</x:v>
      </x:c>
      <x:c r="D1344" t="str">
        <x:v>16-05-2026_Umsatzliste_Girokonto_DE98120300001061711675.csv</x:v>
      </x:c>
      <x:c r="E1344" t="n">
        <x:v>46163</x:v>
      </x:c>
      <x:c r="F1344" t="n">
        <x:v>1327</x:v>
      </x:c>
      <x:c r="G1344" t="str">
        <x:v>2ea42283a79721935c20785314ff0a2254a387e6380e2e4b1d802517eded7c1e</x:v>
      </x:c>
      <x:c r="H1344" t="str">
        <x:v>neu</x:v>
      </x:c>
      <x:c r="I1344" t="str">
        <x:v>ok</x:v>
      </x:c>
      <x:c r="J1344"/>
      <x:c r="K1344" t="n">
        <x:v>45719</x:v>
      </x:c>
      <x:c r="L1344" t="n">
        <x:v>45719</x:v>
      </x:c>
      <x:c r="M1344" t="str">
        <x:v>Gebucht</x:v>
      </x:c>
      <x:c r="N1344" t="str">
        <x:v>WILLI KOHLENBERG</x:v>
      </x:c>
      <x:c r="O1344" t="str">
        <x:v>LARS KOHLENBERG</x:v>
      </x:c>
      <x:c r="P1344" t="str">
        <x:v>MIETE 2/3 HAUS</x:v>
      </x:c>
      <x:c r="Q1344" t="str">
        <x:v>Eingang</x:v>
      </x:c>
      <x:c r="R1344" t="str">
        <x:v>DE84270800600651520400</x:v>
      </x:c>
      <x:c r="S1344" t="n">
        <x:v>750</x:v>
      </x:c>
      <x:c r="T1344" t="str">
        <x:v>"</x:v>
      </x:c>
      <x:c r="U1344" t="str">
        <x:v>"</x:v>
      </x:c>
      <x:c r="V1344" t="str">
        <x:v>"</x:v>
      </x:c>
    </x:row>
    <x:row r="1345">
      <x:c r="A1345" t="str">
        <x:v>RAW-IMP-20260516-FULLDRAFT-001328</x:v>
      </x:c>
      <x:c r="B1345" t="str">
        <x:v>IMP-20260516-FULLDRAFT</x:v>
      </x:c>
      <x:c r="C1345" t="str">
        <x:v>KTO001</x:v>
      </x:c>
      <x:c r="D1345" t="str">
        <x:v>16-05-2026_Umsatzliste_Girokonto_DE98120300001061711675.csv</x:v>
      </x:c>
      <x:c r="E1345" t="n">
        <x:v>46163</x:v>
      </x:c>
      <x:c r="F1345" t="n">
        <x:v>1328</x:v>
      </x:c>
      <x:c r="G1345" t="str">
        <x:v>13edb8ecdffc589ae82e635e499e449aa5d5d08c2dd6d12eee20601e594dbdbd</x:v>
      </x:c>
      <x:c r="H1345" t="str">
        <x:v>neu</x:v>
      </x:c>
      <x:c r="I1345" t="str">
        <x:v>ok</x:v>
      </x:c>
      <x:c r="J1345"/>
      <x:c r="K1345" t="n">
        <x:v>45719</x:v>
      </x:c>
      <x:c r="L1345" t="n">
        <x:v>45719</x:v>
      </x:c>
      <x:c r="M1345" t="str">
        <x:v>Gebucht</x:v>
      </x:c>
      <x:c r="N1345" t="str">
        <x:v>ISSUER</x:v>
      </x:c>
      <x:c r="O1345" t="str">
        <x:v>REWE.Acar.oHG/Salzgitter</x:v>
      </x:c>
      <x:c r="P1345" t="str">
        <x:v>VISA Debitkartenumsatz vom 01.03.2025</x:v>
      </x:c>
      <x:c r="Q1345" t="str">
        <x:v>Ausgang</x:v>
      </x:c>
      <x:c r="R1345" t="str">
        <x:v>DE96120300009005290904</x:v>
      </x:c>
      <x:c r="S1345" t="n">
        <x:v>-109.53</x:v>
      </x:c>
      <x:c r="T1345" t="str">
        <x:v>"</x:v>
      </x:c>
      <x:c r="U1345" t="str">
        <x:v>"</x:v>
      </x:c>
      <x:c r="V1345" t="str">
        <x:v>485060443475333</x:v>
      </x:c>
    </x:row>
    <x:row r="1346">
      <x:c r="A1346" t="str">
        <x:v>RAW-IMP-20260516-FULLDRAFT-001329</x:v>
      </x:c>
      <x:c r="B1346" t="str">
        <x:v>IMP-20260516-FULLDRAFT</x:v>
      </x:c>
      <x:c r="C1346" t="str">
        <x:v>KTO001</x:v>
      </x:c>
      <x:c r="D1346" t="str">
        <x:v>16-05-2026_Umsatzliste_Girokonto_DE98120300001061711675.csv</x:v>
      </x:c>
      <x:c r="E1346" t="n">
        <x:v>46163</x:v>
      </x:c>
      <x:c r="F1346" t="n">
        <x:v>1329</x:v>
      </x:c>
      <x:c r="G1346" t="str">
        <x:v>2500b29d8e67d6c10f645f985c5152786945e3cb6b53796fb09c8d0df973ed23</x:v>
      </x:c>
      <x:c r="H1346" t="str">
        <x:v>neu</x:v>
      </x:c>
      <x:c r="I1346" t="str">
        <x:v>ok</x:v>
      </x:c>
      <x:c r="J1346"/>
      <x:c r="K1346" t="n">
        <x:v>45719</x:v>
      </x:c>
      <x:c r="L1346" t="n">
        <x:v>45719</x:v>
      </x:c>
      <x:c r="M1346" t="str">
        <x:v>Gebucht</x:v>
      </x:c>
      <x:c r="N1346" t="str">
        <x:v>ISSUER</x:v>
      </x:c>
      <x:c r="O1346" t="str">
        <x:v>Lidl.sagt.Danke/Salzgitter</x:v>
      </x:c>
      <x:c r="P1346" t="str">
        <x:v>VISA Debitkartenumsatz vom 01.03.2025</x:v>
      </x:c>
      <x:c r="Q1346" t="str">
        <x:v>Ausgang</x:v>
      </x:c>
      <x:c r="R1346" t="str">
        <x:v>DE96120300009005290904</x:v>
      </x:c>
      <x:c r="S1346" t="n">
        <x:v>-86.62</x:v>
      </x:c>
      <x:c r="T1346" t="str">
        <x:v>"</x:v>
      </x:c>
      <x:c r="U1346" t="str">
        <x:v>"</x:v>
      </x:c>
      <x:c r="V1346" t="str">
        <x:v>485060411245678</x:v>
      </x:c>
    </x:row>
    <x:row r="1347">
      <x:c r="A1347" t="str">
        <x:v>RAW-IMP-20260516-FULLDRAFT-001330</x:v>
      </x:c>
      <x:c r="B1347" t="str">
        <x:v>IMP-20260516-FULLDRAFT</x:v>
      </x:c>
      <x:c r="C1347" t="str">
        <x:v>KTO001</x:v>
      </x:c>
      <x:c r="D1347" t="str">
        <x:v>16-05-2026_Umsatzliste_Girokonto_DE98120300001061711675.csv</x:v>
      </x:c>
      <x:c r="E1347" t="n">
        <x:v>46163</x:v>
      </x:c>
      <x:c r="F1347" t="n">
        <x:v>1330</x:v>
      </x:c>
      <x:c r="G1347" t="str">
        <x:v>b34ccb7345dae413832d8d7aa0df72a78c1c5a957b11a85bf5fc85212a452689</x:v>
      </x:c>
      <x:c r="H1347" t="str">
        <x:v>neu</x:v>
      </x:c>
      <x:c r="I1347" t="str">
        <x:v>ok</x:v>
      </x:c>
      <x:c r="J1347"/>
      <x:c r="K1347" t="n">
        <x:v>45719</x:v>
      </x:c>
      <x:c r="L1347" t="n">
        <x:v>45719</x:v>
      </x:c>
      <x:c r="M1347" t="str">
        <x:v>Gebucht</x:v>
      </x:c>
      <x:c r="N1347" t="str">
        <x:v>ISSUER</x:v>
      </x:c>
      <x:c r="O1347" t="str">
        <x:v>NORD.LB...Braunschweigi/GEBHARDSHG</x:v>
      </x:c>
      <x:c r="P1347" t="str">
        <x:v>VISA Debitkartenumsatz vom 01.03.2025</x:v>
      </x:c>
      <x:c r="Q1347" t="str">
        <x:v>Ausgang</x:v>
      </x:c>
      <x:c r="R1347" t="str">
        <x:v>DE96120300009005290904</x:v>
      </x:c>
      <x:c r="S1347" t="n">
        <x:v>-500</x:v>
      </x:c>
      <x:c r="T1347" t="str">
        <x:v>"</x:v>
      </x:c>
      <x:c r="U1347" t="str">
        <x:v>"</x:v>
      </x:c>
      <x:c r="V1347" t="str">
        <x:v>485060352449122</x:v>
      </x:c>
    </x:row>
    <x:row r="1348">
      <x:c r="A1348" t="str">
        <x:v>RAW-IMP-20260516-FULLDRAFT-001331</x:v>
      </x:c>
      <x:c r="B1348" t="str">
        <x:v>IMP-20260516-FULLDRAFT</x:v>
      </x:c>
      <x:c r="C1348" t="str">
        <x:v>KTO001</x:v>
      </x:c>
      <x:c r="D1348" t="str">
        <x:v>16-05-2026_Umsatzliste_Girokonto_DE98120300001061711675.csv</x:v>
      </x:c>
      <x:c r="E1348" t="n">
        <x:v>46163</x:v>
      </x:c>
      <x:c r="F1348" t="n">
        <x:v>1331</x:v>
      </x:c>
      <x:c r="G1348" t="str">
        <x:v>c4105fd7e29bcf744e78cc8ba1f11c0b77f324be8a8d7872c812985ea8d448e3</x:v>
      </x:c>
      <x:c r="H1348" t="str">
        <x:v>neu</x:v>
      </x:c>
      <x:c r="I1348" t="str">
        <x:v>ok</x:v>
      </x:c>
      <x:c r="J1348"/>
      <x:c r="K1348" t="n">
        <x:v>45719</x:v>
      </x:c>
      <x:c r="L1348" t="n">
        <x:v>45719</x:v>
      </x:c>
      <x:c r="M1348" t="str">
        <x:v>Gebucht</x:v>
      </x:c>
      <x:c r="N1348" t="str">
        <x:v>ISSUER</x:v>
      </x:c>
      <x:c r="O1348" t="str">
        <x:v>REWE.Salzgitter.Ge/Salzgitter</x:v>
      </x:c>
      <x:c r="P1348" t="str">
        <x:v>VISA Debitkartenumsatz vom 28.02.2025</x:v>
      </x:c>
      <x:c r="Q1348" t="str">
        <x:v>Ausgang</x:v>
      </x:c>
      <x:c r="R1348" t="str">
        <x:v>DE96120300009005290904</x:v>
      </x:c>
      <x:c r="S1348" t="n">
        <x:v>-14.64</x:v>
      </x:c>
      <x:c r="T1348" t="str">
        <x:v>"</x:v>
      </x:c>
      <x:c r="U1348" t="str">
        <x:v>"</x:v>
      </x:c>
      <x:c r="V1348" t="str">
        <x:v>485059641028413</x:v>
      </x:c>
    </x:row>
    <x:row r="1349">
      <x:c r="A1349" t="str">
        <x:v>RAW-IMP-20260516-FULLDRAFT-001332</x:v>
      </x:c>
      <x:c r="B1349" t="str">
        <x:v>IMP-20260516-FULLDRAFT</x:v>
      </x:c>
      <x:c r="C1349" t="str">
        <x:v>KTO001</x:v>
      </x:c>
      <x:c r="D1349" t="str">
        <x:v>16-05-2026_Umsatzliste_Girokonto_DE98120300001061711675.csv</x:v>
      </x:c>
      <x:c r="E1349" t="n">
        <x:v>46163</x:v>
      </x:c>
      <x:c r="F1349" t="n">
        <x:v>1332</x:v>
      </x:c>
      <x:c r="G1349" t="str">
        <x:v>306a9b8cf3307109a2f13f4286191522e5decc3de637309f6ae481e7fcf54fe4</x:v>
      </x:c>
      <x:c r="H1349" t="str">
        <x:v>neu</x:v>
      </x:c>
      <x:c r="I1349" t="str">
        <x:v>ok</x:v>
      </x:c>
      <x:c r="J1349"/>
      <x:c r="K1349" t="n">
        <x:v>45719</x:v>
      </x:c>
      <x:c r="L1349" t="n">
        <x:v>45719</x:v>
      </x:c>
      <x:c r="M1349" t="str">
        <x:v>Gebucht</x:v>
      </x:c>
      <x:c r="N1349" t="str">
        <x:v>Lars Kohlenberg                                                       Johannes-Wosnitza-Str. 8 38229 Salzgitter</x:v>
      </x:c>
      <x:c r="O1349" t="str">
        <x:v>Heidelberger Lebensversicherung AG                                    Im Breitspiel 2-4, 69126 Heidelberg</x:v>
      </x:c>
      <x:c r="P1349" t="str">
        <x:v>60012826 , 03.25</x:v>
      </x:c>
      <x:c r="Q1349" t="str">
        <x:v>Ausgang</x:v>
      </x:c>
      <x:c r="R1349" t="str">
        <x:v>DE38600501010002662604</x:v>
      </x:c>
      <x:c r="S1349" t="n">
        <x:v>-452.71</x:v>
      </x:c>
      <x:c r="T1349" t="str">
        <x:v>DE31HLE00000032682</x:v>
      </x:c>
      <x:c r="U1349" t="str">
        <x:v>11-140000075706</x:v>
      </x:c>
      <x:c r="V1349" t="str">
        <x:v>152045677657</x:v>
      </x:c>
    </x:row>
    <x:row r="1350">
      <x:c r="A1350" t="str">
        <x:v>RAW-IMP-20260516-FULLDRAFT-001333</x:v>
      </x:c>
      <x:c r="B1350" t="str">
        <x:v>IMP-20260516-FULLDRAFT</x:v>
      </x:c>
      <x:c r="C1350" t="str">
        <x:v>KTO001</x:v>
      </x:c>
      <x:c r="D1350" t="str">
        <x:v>16-05-2026_Umsatzliste_Girokonto_DE98120300001061711675.csv</x:v>
      </x:c>
      <x:c r="E1350" t="n">
        <x:v>46163</x:v>
      </x:c>
      <x:c r="F1350" t="n">
        <x:v>1333</x:v>
      </x:c>
      <x:c r="G1350" t="str">
        <x:v>b4906eff5063227a0d2995a6c2855bd79d8c722c912b49f8c5a5b8e77ebc311c</x:v>
      </x:c>
      <x:c r="H1350" t="str">
        <x:v>neu</x:v>
      </x:c>
      <x:c r="I1350" t="str">
        <x:v>ok</x:v>
      </x:c>
      <x:c r="J1350"/>
      <x:c r="K1350" t="n">
        <x:v>45719</x:v>
      </x:c>
      <x:c r="L1350" t="n">
        <x:v>45719</x:v>
      </x:c>
      <x:c r="M1350" t="str">
        <x:v>Gebucht</x:v>
      </x:c>
      <x:c r="N1350" t="str">
        <x:v>Kohlenberg Lars</x:v>
      </x:c>
      <x:c r="O1350" t="str">
        <x:v>Allianz Lebensvers. AG</x:v>
      </x:c>
      <x:c r="P1350" t="str">
        <x:v>Vertrag AL-1356867060 bisheriger Vertrag 33 029 619 6 01.03.25 - 31.03.25 RiesRent InvAlphaBal</x:v>
      </x:c>
      <x:c r="Q1350" t="str">
        <x:v>Ausgang</x:v>
      </x:c>
      <x:c r="R1350" t="str">
        <x:v>DE52700202700015152448</x:v>
      </x:c>
      <x:c r="S1350" t="n">
        <x:v>-162.17</x:v>
      </x:c>
      <x:c r="T1350" t="str">
        <x:v>DE07ZZZ00000063475</x:v>
      </x:c>
      <x:c r="U1350" t="str">
        <x:v>LA01L312001066775296</x:v>
      </x:c>
      <x:c r="V1350" t="str">
        <x:v>AB225057-E04118296</x:v>
      </x:c>
    </x:row>
    <x:row r="1351">
      <x:c r="A1351" t="str">
        <x:v>RAW-IMP-20260516-FULLDRAFT-001334</x:v>
      </x:c>
      <x:c r="B1351" t="str">
        <x:v>IMP-20260516-FULLDRAFT</x:v>
      </x:c>
      <x:c r="C1351" t="str">
        <x:v>KTO001</x:v>
      </x:c>
      <x:c r="D1351" t="str">
        <x:v>16-05-2026_Umsatzliste_Girokonto_DE98120300001061711675.csv</x:v>
      </x:c>
      <x:c r="E1351" t="n">
        <x:v>46163</x:v>
      </x:c>
      <x:c r="F1351" t="n">
        <x:v>1334</x:v>
      </x:c>
      <x:c r="G1351" t="str">
        <x:v>04990a0184e835cda441468b796215480b729e16a73f0f75266d4245145c4855</x:v>
      </x:c>
      <x:c r="H1351" t="str">
        <x:v>neu</x:v>
      </x:c>
      <x:c r="I1351" t="str">
        <x:v>ok</x:v>
      </x:c>
      <x:c r="J1351"/>
      <x:c r="K1351" t="n">
        <x:v>45719</x:v>
      </x:c>
      <x:c r="L1351" t="n">
        <x:v>45719</x:v>
      </x:c>
      <x:c r="M1351" t="str">
        <x:v>Gebucht</x:v>
      </x:c>
      <x:c r="N1351" t="str">
        <x:v>KOHLENBERG LARS</x:v>
      </x:c>
      <x:c r="O1351" t="str">
        <x:v>VOLKSWOHL BUND Lebensversicherung a.G.</x:v>
      </x:c>
      <x:c r="P1351" t="str">
        <x:v>009893595 LA000750566/ 009893595 LEBEN 68,46</x:v>
      </x:c>
      <x:c r="Q1351" t="str">
        <x:v>Ausgang</x:v>
      </x:c>
      <x:c r="R1351" t="str">
        <x:v>DE76440400370361155500</x:v>
      </x:c>
      <x:c r="S1351" t="n">
        <x:v>-68.46</x:v>
      </x:c>
      <x:c r="T1351" t="str">
        <x:v>DE13ZZZ00000141064</x:v>
      </x:c>
      <x:c r="U1351" t="str">
        <x:v>LA000750566</x:v>
      </x:c>
      <x:c r="V1351" t="str">
        <x:v>009893595/NVMA.G1117-326388</x:v>
      </x:c>
    </x:row>
    <x:row r="1352">
      <x:c r="A1352" t="str">
        <x:v>RAW-IMP-20260516-FULLDRAFT-001335</x:v>
      </x:c>
      <x:c r="B1352" t="str">
        <x:v>IMP-20260516-FULLDRAFT</x:v>
      </x:c>
      <x:c r="C1352" t="str">
        <x:v>KTO001</x:v>
      </x:c>
      <x:c r="D1352" t="str">
        <x:v>16-05-2026_Umsatzliste_Girokonto_DE98120300001061711675.csv</x:v>
      </x:c>
      <x:c r="E1352" t="n">
        <x:v>46163</x:v>
      </x:c>
      <x:c r="F1352" t="n">
        <x:v>1335</x:v>
      </x:c>
      <x:c r="G1352" t="str">
        <x:v>8de0633ce8a8224d698a54072b6f46a163bc4f210742019575036cc572499f20</x:v>
      </x:c>
      <x:c r="H1352" t="str">
        <x:v>neu</x:v>
      </x:c>
      <x:c r="I1352" t="str">
        <x:v>ok</x:v>
      </x:c>
      <x:c r="J1352"/>
      <x:c r="K1352" t="n">
        <x:v>45719</x:v>
      </x:c>
      <x:c r="L1352" t="n">
        <x:v>45719</x:v>
      </x:c>
      <x:c r="M1352" t="str">
        <x:v>Gebucht</x:v>
      </x:c>
      <x:c r="N1352" t="str">
        <x:v>KOHLENBERG, LARS</x:v>
      </x:c>
      <x:c r="O1352" t="str">
        <x:v>Lars und Katrin Kohlenberg</x:v>
      </x:c>
      <x:c r="P1352" t="str">
        <x:v>11397679 VERMOEGENSDEPOT SAMMELBUCHUNG SPARPLAN WKN A1C9ED, 847809</x:v>
      </x:c>
      <x:c r="Q1352" t="str">
        <x:v>Ausgang</x:v>
      </x:c>
      <x:c r="R1352" t="str">
        <x:v>DE27672300000506966162</x:v>
      </x:c>
      <x:c r="S1352" t="n">
        <x:v>-600</x:v>
      </x:c>
      <x:c r="T1352" t="str">
        <x:v>DE53ZZZ00000010849</x:v>
      </x:c>
      <x:c r="U1352" t="str">
        <x:v>WPBF0000180845</x:v>
      </x:c>
      <x:c r="V1352" t="str">
        <x:v>SPARSP 16766187</x:v>
      </x:c>
    </x:row>
    <x:row r="1353">
      <x:c r="A1353" t="str">
        <x:v>RAW-IMP-20260516-FULLDRAFT-001336</x:v>
      </x:c>
      <x:c r="B1353" t="str">
        <x:v>IMP-20260516-FULLDRAFT</x:v>
      </x:c>
      <x:c r="C1353" t="str">
        <x:v>KTO001</x:v>
      </x:c>
      <x:c r="D1353" t="str">
        <x:v>16-05-2026_Umsatzliste_Girokonto_DE98120300001061711675.csv</x:v>
      </x:c>
      <x:c r="E1353" t="n">
        <x:v>46163</x:v>
      </x:c>
      <x:c r="F1353" t="n">
        <x:v>1336</x:v>
      </x:c>
      <x:c r="G1353" t="str">
        <x:v>201e3ed73c816ada5f3d808bdebaa3db89f58866ff567e41a49b50f5ab8bd42e</x:v>
      </x:c>
      <x:c r="H1353" t="str">
        <x:v>neu</x:v>
      </x:c>
      <x:c r="I1353" t="str">
        <x:v>ok</x:v>
      </x:c>
      <x:c r="J1353"/>
      <x:c r="K1353" t="n">
        <x:v>45719</x:v>
      </x:c>
      <x:c r="L1353" t="n">
        <x:v>45719</x:v>
      </x:c>
      <x:c r="M1353" t="str">
        <x:v>Gebucht</x:v>
      </x:c>
      <x:c r="N1353" t="str">
        <x:v>Kohlenberg, Lars</x:v>
      </x:c>
      <x:c r="O1353" t="str">
        <x:v>IDEAL Lebensversicherung aG</x:v>
      </x:c>
      <x:c r="P1353" t="str">
        <x:v>2011216280009 LV 031</x:v>
      </x:c>
      <x:c r="Q1353" t="str">
        <x:v>Ausgang</x:v>
      </x:c>
      <x:c r="R1353" t="str">
        <x:v>DE36100700000460303100</x:v>
      </x:c>
      <x:c r="S1353" t="n">
        <x:v>-97.12</x:v>
      </x:c>
      <x:c r="T1353" t="str">
        <x:v>DE40ZZZ00000559230</x:v>
      </x:c>
      <x:c r="U1353" t="str">
        <x:v>2011216280009-001</x:v>
      </x:c>
      <x:c r="V1353" t="str">
        <x:v>GL,KL,PD-20250301-1-2011216280009-0</x:v>
      </x:c>
    </x:row>
    <x:row r="1354">
      <x:c r="A1354" t="str">
        <x:v>RAW-IMP-20260516-FULLDRAFT-001337</x:v>
      </x:c>
      <x:c r="B1354" t="str">
        <x:v>IMP-20260516-FULLDRAFT</x:v>
      </x:c>
      <x:c r="C1354" t="str">
        <x:v>KTO001</x:v>
      </x:c>
      <x:c r="D1354" t="str">
        <x:v>16-05-2026_Umsatzliste_Girokonto_DE98120300001061711675.csv</x:v>
      </x:c>
      <x:c r="E1354" t="n">
        <x:v>46163</x:v>
      </x:c>
      <x:c r="F1354" t="n">
        <x:v>1337</x:v>
      </x:c>
      <x:c r="G1354" t="str">
        <x:v>68b0f3374a1c63489a686b470a0f662e030462e5a48fb3468f2705740bb4b488</x:v>
      </x:c>
      <x:c r="H1354" t="str">
        <x:v>neu</x:v>
      </x:c>
      <x:c r="I1354" t="str">
        <x:v>ok</x:v>
      </x:c>
      <x:c r="J1354"/>
      <x:c r="K1354" t="n">
        <x:v>45719</x:v>
      </x:c>
      <x:c r="L1354" t="n">
        <x:v>45719</x:v>
      </x:c>
      <x:c r="M1354" t="str">
        <x:v>Gebucht</x:v>
      </x:c>
      <x:c r="N1354" t="str">
        <x:v>Lars Kohlenberg</x:v>
      </x:c>
      <x:c r="O1354" t="str">
        <x:v>KATRIN KOHLENBERG</x:v>
      </x:c>
      <x:c r="P1354" t="str">
        <x:v>Apanage</x:v>
      </x:c>
      <x:c r="Q1354" t="str">
        <x:v>Ausgang</x:v>
      </x:c>
      <x:c r="R1354" t="str">
        <x:v>DE32270727240307336800</x:v>
      </x:c>
      <x:c r="S1354" t="n">
        <x:v>-1800</x:v>
      </x:c>
      <x:c r="T1354" t="str">
        <x:v>"</x:v>
      </x:c>
      <x:c r="U1354" t="str">
        <x:v>"</x:v>
      </x:c>
      <x:c r="V1354" t="str">
        <x:v>"</x:v>
      </x:c>
    </x:row>
    <x:row r="1355">
      <x:c r="A1355" t="str">
        <x:v>RAW-IMP-20260516-FULLDRAFT-001338</x:v>
      </x:c>
      <x:c r="B1355" t="str">
        <x:v>IMP-20260516-FULLDRAFT</x:v>
      </x:c>
      <x:c r="C1355" t="str">
        <x:v>KTO001</x:v>
      </x:c>
      <x:c r="D1355" t="str">
        <x:v>16-05-2026_Umsatzliste_Girokonto_DE98120300001061711675.csv</x:v>
      </x:c>
      <x:c r="E1355" t="n">
        <x:v>46163</x:v>
      </x:c>
      <x:c r="F1355" t="n">
        <x:v>1338</x:v>
      </x:c>
      <x:c r="G1355" t="str">
        <x:v>d947b11727cb85039949b1abfb073262576c68010476d54cb7b7377dd07b9227</x:v>
      </x:c>
      <x:c r="H1355" t="str">
        <x:v>neu</x:v>
      </x:c>
      <x:c r="I1355" t="str">
        <x:v>ok</x:v>
      </x:c>
      <x:c r="J1355"/>
      <x:c r="K1355" t="n">
        <x:v>45719</x:v>
      </x:c>
      <x:c r="L1355" t="n">
        <x:v>45719</x:v>
      </x:c>
      <x:c r="M1355" t="str">
        <x:v>Gebucht</x:v>
      </x:c>
      <x:c r="N1355" t="str">
        <x:v>Lars Kohlenberg</x:v>
      </x:c>
      <x:c r="O1355" t="str">
        <x:v>LARS KOHLENBERG</x:v>
      </x:c>
      <x:c r="P1355" t="str">
        <x:v>Sparrate 650,- + 750 EUR Mieteinnahmen</x:v>
      </x:c>
      <x:c r="Q1355" t="str">
        <x:v>Ausgang</x:v>
      </x:c>
      <x:c r="R1355" t="str">
        <x:v>DE91270200001510365800</x:v>
      </x:c>
      <x:c r="S1355" t="n">
        <x:v>-1400</x:v>
      </x:c>
      <x:c r="T1355" t="str">
        <x:v>"</x:v>
      </x:c>
      <x:c r="U1355" t="str">
        <x:v>"</x:v>
      </x:c>
      <x:c r="V1355" t="str">
        <x:v>"</x:v>
      </x:c>
    </x:row>
    <x:row r="1356">
      <x:c r="A1356" t="str">
        <x:v>RAW-IMP-20260516-FULLDRAFT-001339</x:v>
      </x:c>
      <x:c r="B1356" t="str">
        <x:v>IMP-20260516-FULLDRAFT</x:v>
      </x:c>
      <x:c r="C1356" t="str">
        <x:v>KTO001</x:v>
      </x:c>
      <x:c r="D1356" t="str">
        <x:v>16-05-2026_Umsatzliste_Girokonto_DE98120300001061711675.csv</x:v>
      </x:c>
      <x:c r="E1356" t="n">
        <x:v>46163</x:v>
      </x:c>
      <x:c r="F1356" t="n">
        <x:v>1339</x:v>
      </x:c>
      <x:c r="G1356" t="str">
        <x:v>42444e36912a12bf3fc6c0f3c30b91dd387c67fc6bf1b54d51cf3ca9d34269f4</x:v>
      </x:c>
      <x:c r="H1356" t="str">
        <x:v>neu</x:v>
      </x:c>
      <x:c r="I1356" t="str">
        <x:v>ok</x:v>
      </x:c>
      <x:c r="J1356"/>
      <x:c r="K1356" t="n">
        <x:v>45716</x:v>
      </x:c>
      <x:c r="L1356" t="n">
        <x:v>45716</x:v>
      </x:c>
      <x:c r="M1356" t="str">
        <x:v>Gebucht</x:v>
      </x:c>
      <x:c r="N1356" t="str">
        <x:v>ISSUER</x:v>
      </x:c>
      <x:c r="O1356" t="str">
        <x:v>EDEKA.POTRATZ/HILDESHEIM</x:v>
      </x:c>
      <x:c r="P1356" t="str">
        <x:v>VISA Debitkartenumsatz vom 27.02.2025</x:v>
      </x:c>
      <x:c r="Q1356" t="str">
        <x:v>Ausgang</x:v>
      </x:c>
      <x:c r="R1356" t="str">
        <x:v>DE96120300009005290904</x:v>
      </x:c>
      <x:c r="S1356" t="n">
        <x:v>-7.25</x:v>
      </x:c>
      <x:c r="T1356" t="str">
        <x:v>"</x:v>
      </x:c>
      <x:c r="U1356" t="str">
        <x:v>"</x:v>
      </x:c>
      <x:c r="V1356" t="str">
        <x:v>485058411477975</x:v>
      </x:c>
    </x:row>
    <x:row r="1357">
      <x:c r="A1357" t="str">
        <x:v>RAW-IMP-20260516-FULLDRAFT-001340</x:v>
      </x:c>
      <x:c r="B1357" t="str">
        <x:v>IMP-20260516-FULLDRAFT</x:v>
      </x:c>
      <x:c r="C1357" t="str">
        <x:v>KTO001</x:v>
      </x:c>
      <x:c r="D1357" t="str">
        <x:v>16-05-2026_Umsatzliste_Girokonto_DE98120300001061711675.csv</x:v>
      </x:c>
      <x:c r="E1357" t="n">
        <x:v>46163</x:v>
      </x:c>
      <x:c r="F1357" t="n">
        <x:v>1340</x:v>
      </x:c>
      <x:c r="G1357" t="str">
        <x:v>e2f16ef2d17336f854940cf839c0ed9af0cc4fbbcd3e84e5d9586236562e798a</x:v>
      </x:c>
      <x:c r="H1357" t="str">
        <x:v>neu</x:v>
      </x:c>
      <x:c r="I1357" t="str">
        <x:v>ok</x:v>
      </x:c>
      <x:c r="J1357"/>
      <x:c r="K1357" t="n">
        <x:v>45716</x:v>
      </x:c>
      <x:c r="L1357" t="n">
        <x:v>45716</x:v>
      </x:c>
      <x:c r="M1357" t="str">
        <x:v>Gebucht</x:v>
      </x:c>
      <x:c r="N1357" t="str">
        <x:v>Lars Kohlenberg</x:v>
      </x:c>
      <x:c r="O1357" t="str">
        <x:v>LARS KOHLENBERG</x:v>
      </x:c>
      <x:c r="P1357" t="str">
        <x:v>Zins und Tilgung zu 2/3</x:v>
      </x:c>
      <x:c r="Q1357" t="str">
        <x:v>Ausgang</x:v>
      </x:c>
      <x:c r="R1357" t="str">
        <x:v>DE33269910668923736000</x:v>
      </x:c>
      <x:c r="S1357" t="n">
        <x:v>-1153.94</x:v>
      </x:c>
      <x:c r="T1357" t="str">
        <x:v>"</x:v>
      </x:c>
      <x:c r="U1357" t="str">
        <x:v>"</x:v>
      </x:c>
      <x:c r="V1357" t="str">
        <x:v>"</x:v>
      </x:c>
    </x:row>
    <x:row r="1358">
      <x:c r="A1358" t="str">
        <x:v>RAW-IMP-20260516-FULLDRAFT-001341</x:v>
      </x:c>
      <x:c r="B1358" t="str">
        <x:v>IMP-20260516-FULLDRAFT</x:v>
      </x:c>
      <x:c r="C1358" t="str">
        <x:v>KTO001</x:v>
      </x:c>
      <x:c r="D1358" t="str">
        <x:v>16-05-2026_Umsatzliste_Girokonto_DE98120300001061711675.csv</x:v>
      </x:c>
      <x:c r="E1358" t="n">
        <x:v>46163</x:v>
      </x:c>
      <x:c r="F1358" t="n">
        <x:v>1341</x:v>
      </x:c>
      <x:c r="G1358" t="str">
        <x:v>92f2301b4391f7bb7ecb7f191a4c49da03520f5fc55a7cff0272ab3d64da5a9b</x:v>
      </x:c>
      <x:c r="H1358" t="str">
        <x:v>neu</x:v>
      </x:c>
      <x:c r="I1358" t="str">
        <x:v>ok</x:v>
      </x:c>
      <x:c r="J1358"/>
      <x:c r="K1358" t="n">
        <x:v>45716</x:v>
      </x:c>
      <x:c r="L1358" t="n">
        <x:v>45716</x:v>
      </x:c>
      <x:c r="M1358" t="str">
        <x:v>Gebucht</x:v>
      </x:c>
      <x:c r="N1358" t="str">
        <x:v>Lars Kohlenberg</x:v>
      </x:c>
      <x:c r="O1358" t="str">
        <x:v>Lea kohlenberg</x:v>
      </x:c>
      <x:c r="P1358" t="str">
        <x:v>Taschengeld</x:v>
      </x:c>
      <x:c r="Q1358" t="str">
        <x:v>Ausgang</x:v>
      </x:c>
      <x:c r="R1358" t="str">
        <x:v>DE89269910662833344000</x:v>
      </x:c>
      <x:c r="S1358" t="n">
        <x:v>-10</x:v>
      </x:c>
      <x:c r="T1358" t="str">
        <x:v>"</x:v>
      </x:c>
      <x:c r="U1358" t="str">
        <x:v>"</x:v>
      </x:c>
      <x:c r="V1358" t="str">
        <x:v>"</x:v>
      </x:c>
    </x:row>
    <x:row r="1359">
      <x:c r="A1359" t="str">
        <x:v>RAW-IMP-20260516-FULLDRAFT-001342</x:v>
      </x:c>
      <x:c r="B1359" t="str">
        <x:v>IMP-20260516-FULLDRAFT</x:v>
      </x:c>
      <x:c r="C1359" t="str">
        <x:v>KTO001</x:v>
      </x:c>
      <x:c r="D1359" t="str">
        <x:v>16-05-2026_Umsatzliste_Girokonto_DE98120300001061711675.csv</x:v>
      </x:c>
      <x:c r="E1359" t="n">
        <x:v>46163</x:v>
      </x:c>
      <x:c r="F1359" t="n">
        <x:v>1342</x:v>
      </x:c>
      <x:c r="G1359" t="str">
        <x:v>3d3ae51933f2a050580054631d14c48f02564875bf0f56f328458811645e554e</x:v>
      </x:c>
      <x:c r="H1359" t="str">
        <x:v>neu</x:v>
      </x:c>
      <x:c r="I1359" t="str">
        <x:v>ok</x:v>
      </x:c>
      <x:c r="J1359"/>
      <x:c r="K1359" t="n">
        <x:v>45716</x:v>
      </x:c>
      <x:c r="L1359" t="n">
        <x:v>45716</x:v>
      </x:c>
      <x:c r="M1359" t="str">
        <x:v>Gebucht</x:v>
      </x:c>
      <x:c r="N1359" t="str">
        <x:v>Kohlenberg, Katrin</x:v>
      </x:c>
      <x:c r="O1359" t="str">
        <x:v>WEVG Salzgitter GmbH + Co. KG</x:v>
      </x:c>
      <x:c r="P1359" t="str">
        <x:v>Kd-Nr 79288 Einz 28.02.25 41710/317.00/Johannes-Wosni 100833/76.00/Johannes-Wosni</x:v>
      </x:c>
      <x:c r="Q1359" t="str">
        <x:v>Ausgang</x:v>
      </x:c>
      <x:c r="R1359" t="str">
        <x:v>DE19300700100394127500</x:v>
      </x:c>
      <x:c r="S1359" t="n">
        <x:v>-393</x:v>
      </x:c>
      <x:c r="T1359" t="str">
        <x:v>DE83WEV00000032716</x:v>
      </x:c>
      <x:c r="U1359" t="str">
        <x:v>WEVG0000079288G1000178580</x:v>
      </x:c>
      <x:c r="V1359" t="str">
        <x:v>13520246</x:v>
      </x:c>
    </x:row>
    <x:row r="1360">
      <x:c r="A1360" t="str">
        <x:v>RAW-IMP-20260516-FULLDRAFT-001343</x:v>
      </x:c>
      <x:c r="B1360" t="str">
        <x:v>IMP-20260516-FULLDRAFT</x:v>
      </x:c>
      <x:c r="C1360" t="str">
        <x:v>KTO001</x:v>
      </x:c>
      <x:c r="D1360" t="str">
        <x:v>16-05-2026_Umsatzliste_Girokonto_DE98120300001061711675.csv</x:v>
      </x:c>
      <x:c r="E1360" t="n">
        <x:v>46163</x:v>
      </x:c>
      <x:c r="F1360" t="n">
        <x:v>1343</x:v>
      </x:c>
      <x:c r="G1360" t="str">
        <x:v>ad36414f22c1fc2fa608456fc63fbfcabc4fc7416863e2ffdcce21dcbf4c33a2</x:v>
      </x:c>
      <x:c r="H1360" t="str">
        <x:v>neu</x:v>
      </x:c>
      <x:c r="I1360" t="str">
        <x:v>ok</x:v>
      </x:c>
      <x:c r="J1360"/>
      <x:c r="K1360" t="n">
        <x:v>45715</x:v>
      </x:c>
      <x:c r="L1360" t="n">
        <x:v>45715</x:v>
      </x:c>
      <x:c r="M1360" t="str">
        <x:v>Gebucht</x:v>
      </x:c>
      <x:c r="N1360" t="str">
        <x:v>Stiftung Kath. Altenhilfe im Bistum Hildesheim</x:v>
      </x:c>
      <x:c r="O1360" t="str">
        <x:v>KOHLENBERG LARS</x:v>
      </x:c>
      <x:c r="P1360" t="str">
        <x:v>GEHALT 2/25</x:v>
      </x:c>
      <x:c r="Q1360" t="str">
        <x:v>Eingang</x:v>
      </x:c>
      <x:c r="R1360" t="str">
        <x:v>DE92400602650023150301</x:v>
      </x:c>
      <x:c r="S1360" t="n">
        <x:v>7426.51</x:v>
      </x:c>
      <x:c r="T1360" t="str">
        <x:v>"</x:v>
      </x:c>
      <x:c r="U1360" t="str">
        <x:v>"</x:v>
      </x:c>
      <x:c r="V1360" t="str">
        <x:v>001001987662SALA015058004</x:v>
      </x:c>
    </x:row>
    <x:row r="1361">
      <x:c r="A1361" t="str">
        <x:v>RAW-IMP-20260516-FULLDRAFT-001344</x:v>
      </x:c>
      <x:c r="B1361" t="str">
        <x:v>IMP-20260516-FULLDRAFT</x:v>
      </x:c>
      <x:c r="C1361" t="str">
        <x:v>KTO001</x:v>
      </x:c>
      <x:c r="D1361" t="str">
        <x:v>16-05-2026_Umsatzliste_Girokonto_DE98120300001061711675.csv</x:v>
      </x:c>
      <x:c r="E1361" t="n">
        <x:v>46163</x:v>
      </x:c>
      <x:c r="F1361" t="n">
        <x:v>1344</x:v>
      </x:c>
      <x:c r="G1361" t="str">
        <x:v>13595ae10bba62982668eddff8082d25f7445e0b2037ba61f77a2ce7981e7208</x:v>
      </x:c>
      <x:c r="H1361" t="str">
        <x:v>neu</x:v>
      </x:c>
      <x:c r="I1361" t="str">
        <x:v>ok</x:v>
      </x:c>
      <x:c r="J1361"/>
      <x:c r="K1361" t="n">
        <x:v>45713</x:v>
      </x:c>
      <x:c r="L1361" t="n">
        <x:v>45713</x:v>
      </x:c>
      <x:c r="M1361" t="str">
        <x:v>Gebucht</x:v>
      </x:c>
      <x:c r="N1361" t="str">
        <x:v>ISSUER</x:v>
      </x:c>
      <x:c r="O1361" t="str">
        <x:v>REWE.Salzgitter.Ge/Salzgitter</x:v>
      </x:c>
      <x:c r="P1361" t="str">
        <x:v>VISA Debitkartenumsatz vom 24.02.2025</x:v>
      </x:c>
      <x:c r="Q1361" t="str">
        <x:v>Ausgang</x:v>
      </x:c>
      <x:c r="R1361" t="str">
        <x:v>DE96120300009005290904</x:v>
      </x:c>
      <x:c r="S1361" t="n">
        <x:v>-5.9</x:v>
      </x:c>
      <x:c r="T1361" t="str">
        <x:v>"</x:v>
      </x:c>
      <x:c r="U1361" t="str">
        <x:v>"</x:v>
      </x:c>
      <x:c r="V1361" t="str">
        <x:v>485055639376435</x:v>
      </x:c>
    </x:row>
    <x:row r="1362">
      <x:c r="A1362" t="str">
        <x:v>RAW-IMP-20260516-FULLDRAFT-001345</x:v>
      </x:c>
      <x:c r="B1362" t="str">
        <x:v>IMP-20260516-FULLDRAFT</x:v>
      </x:c>
      <x:c r="C1362" t="str">
        <x:v>KTO001</x:v>
      </x:c>
      <x:c r="D1362" t="str">
        <x:v>16-05-2026_Umsatzliste_Girokonto_DE98120300001061711675.csv</x:v>
      </x:c>
      <x:c r="E1362" t="n">
        <x:v>46163</x:v>
      </x:c>
      <x:c r="F1362" t="n">
        <x:v>1345</x:v>
      </x:c>
      <x:c r="G1362" t="str">
        <x:v>3de3a1445a6606f7df3537177a73999299a4b4d48bb67931424fb8cc5e77c5e0</x:v>
      </x:c>
      <x:c r="H1362" t="str">
        <x:v>neu</x:v>
      </x:c>
      <x:c r="I1362" t="str">
        <x:v>ok</x:v>
      </x:c>
      <x:c r="J1362"/>
      <x:c r="K1362" t="n">
        <x:v>45713</x:v>
      </x:c>
      <x:c r="L1362" t="n">
        <x:v>45713</x:v>
      </x:c>
      <x:c r="M1362" t="str">
        <x:v>Gebucht</x:v>
      </x:c>
      <x:c r="N1362" t="str">
        <x:v>ISSUER</x:v>
      </x:c>
      <x:c r="O1362" t="str">
        <x:v>Hagebaumarkt.Salzgitter/Salzgitter</x:v>
      </x:c>
      <x:c r="P1362" t="str">
        <x:v>VISA Debitkartenumsatz vom 24.02.2025</x:v>
      </x:c>
      <x:c r="Q1362" t="str">
        <x:v>Ausgang</x:v>
      </x:c>
      <x:c r="R1362" t="str">
        <x:v>DE96120300009005290904</x:v>
      </x:c>
      <x:c r="S1362" t="n">
        <x:v>-50</x:v>
      </x:c>
      <x:c r="T1362" t="str">
        <x:v>"</x:v>
      </x:c>
      <x:c r="U1362" t="str">
        <x:v>"</x:v>
      </x:c>
      <x:c r="V1362" t="str">
        <x:v>485055620231849</x:v>
      </x:c>
    </x:row>
    <x:row r="1363">
      <x:c r="A1363" t="str">
        <x:v>RAW-IMP-20260516-FULLDRAFT-001346</x:v>
      </x:c>
      <x:c r="B1363" t="str">
        <x:v>IMP-20260516-FULLDRAFT</x:v>
      </x:c>
      <x:c r="C1363" t="str">
        <x:v>KTO001</x:v>
      </x:c>
      <x:c r="D1363" t="str">
        <x:v>16-05-2026_Umsatzliste_Girokonto_DE98120300001061711675.csv</x:v>
      </x:c>
      <x:c r="E1363" t="n">
        <x:v>46163</x:v>
      </x:c>
      <x:c r="F1363" t="n">
        <x:v>1346</x:v>
      </x:c>
      <x:c r="G1363" t="str">
        <x:v>a0010860497dca2cbfa0e99c63bdca884b70565dc890cc664c124a4a9512e730</x:v>
      </x:c>
      <x:c r="H1363" t="str">
        <x:v>neu</x:v>
      </x:c>
      <x:c r="I1363" t="str">
        <x:v>ok</x:v>
      </x:c>
      <x:c r="J1363"/>
      <x:c r="K1363" t="n">
        <x:v>45712</x:v>
      </x:c>
      <x:c r="L1363" t="n">
        <x:v>45712</x:v>
      </x:c>
      <x:c r="M1363" t="str">
        <x:v>Gebucht</x:v>
      </x:c>
      <x:c r="N1363" t="str">
        <x:v>ISSUER</x:v>
      </x:c>
      <x:c r="O1363" t="str">
        <x:v>WMF.Wolfsburg/Wolfsburg</x:v>
      </x:c>
      <x:c r="P1363" t="str">
        <x:v>VISA Debitkartenumsatz vom 22.02.2025</x:v>
      </x:c>
      <x:c r="Q1363" t="str">
        <x:v>Ausgang</x:v>
      </x:c>
      <x:c r="R1363" t="str">
        <x:v>DE96120300009005290904</x:v>
      </x:c>
      <x:c r="S1363" t="n">
        <x:v>-399</x:v>
      </x:c>
      <x:c r="T1363" t="str">
        <x:v>"</x:v>
      </x:c>
      <x:c r="U1363" t="str">
        <x:v>"</x:v>
      </x:c>
      <x:c r="V1363" t="str">
        <x:v>485053606314756</x:v>
      </x:c>
    </x:row>
    <x:row r="1364">
      <x:c r="A1364" t="str">
        <x:v>RAW-IMP-20260516-FULLDRAFT-001347</x:v>
      </x:c>
      <x:c r="B1364" t="str">
        <x:v>IMP-20260516-FULLDRAFT</x:v>
      </x:c>
      <x:c r="C1364" t="str">
        <x:v>KTO001</x:v>
      </x:c>
      <x:c r="D1364" t="str">
        <x:v>16-05-2026_Umsatzliste_Girokonto_DE98120300001061711675.csv</x:v>
      </x:c>
      <x:c r="E1364" t="n">
        <x:v>46163</x:v>
      </x:c>
      <x:c r="F1364" t="n">
        <x:v>1347</x:v>
      </x:c>
      <x:c r="G1364" t="str">
        <x:v>effad8537c8eeb959994bb53364c5add9bf28a32e71d1f795fb34f8a9c5db2b3</x:v>
      </x:c>
      <x:c r="H1364" t="str">
        <x:v>neu</x:v>
      </x:c>
      <x:c r="I1364" t="str">
        <x:v>ok</x:v>
      </x:c>
      <x:c r="J1364"/>
      <x:c r="K1364" t="n">
        <x:v>45712</x:v>
      </x:c>
      <x:c r="L1364" t="n">
        <x:v>45712</x:v>
      </x:c>
      <x:c r="M1364" t="str">
        <x:v>Gebucht</x:v>
      </x:c>
      <x:c r="N1364" t="str">
        <x:v>ISSUER</x:v>
      </x:c>
      <x:c r="O1364" t="str">
        <x:v>LOsteria.Restaurant.SE/Wolfsburg</x:v>
      </x:c>
      <x:c r="P1364" t="str">
        <x:v>VISA Debitkartenumsatz vom 22.02.2025</x:v>
      </x:c>
      <x:c r="Q1364" t="str">
        <x:v>Ausgang</x:v>
      </x:c>
      <x:c r="R1364" t="str">
        <x:v>DE96120300009005290904</x:v>
      </x:c>
      <x:c r="S1364" t="n">
        <x:v>-80</x:v>
      </x:c>
      <x:c r="T1364" t="str">
        <x:v>"</x:v>
      </x:c>
      <x:c r="U1364" t="str">
        <x:v>"</x:v>
      </x:c>
      <x:c r="V1364" t="str">
        <x:v>485053559356583</x:v>
      </x:c>
    </x:row>
    <x:row r="1365">
      <x:c r="A1365" t="str">
        <x:v>RAW-IMP-20260516-FULLDRAFT-001348</x:v>
      </x:c>
      <x:c r="B1365" t="str">
        <x:v>IMP-20260516-FULLDRAFT</x:v>
      </x:c>
      <x:c r="C1365" t="str">
        <x:v>KTO001</x:v>
      </x:c>
      <x:c r="D1365" t="str">
        <x:v>16-05-2026_Umsatzliste_Girokonto_DE98120300001061711675.csv</x:v>
      </x:c>
      <x:c r="E1365" t="n">
        <x:v>46163</x:v>
      </x:c>
      <x:c r="F1365" t="n">
        <x:v>1348</x:v>
      </x:c>
      <x:c r="G1365" t="str">
        <x:v>b12eb96b6abcaa8d62874f16a1e7c0aabe313512668b51da24d4c85306b868c8</x:v>
      </x:c>
      <x:c r="H1365" t="str">
        <x:v>neu</x:v>
      </x:c>
      <x:c r="I1365" t="str">
        <x:v>ok</x:v>
      </x:c>
      <x:c r="J1365"/>
      <x:c r="K1365" t="n">
        <x:v>45712</x:v>
      </x:c>
      <x:c r="L1365" t="n">
        <x:v>45712</x:v>
      </x:c>
      <x:c r="M1365" t="str">
        <x:v>Gebucht</x:v>
      </x:c>
      <x:c r="N1365" t="str">
        <x:v>ISSUER</x:v>
      </x:c>
      <x:c r="O1365" t="str">
        <x:v>REWE.Salzgitter.Ge/Salzgitter</x:v>
      </x:c>
      <x:c r="P1365" t="str">
        <x:v>VISA Debitkartenumsatz vom 22.02.2025</x:v>
      </x:c>
      <x:c r="Q1365" t="str">
        <x:v>Ausgang</x:v>
      </x:c>
      <x:c r="R1365" t="str">
        <x:v>DE96120300009005290904</x:v>
      </x:c>
      <x:c r="S1365" t="n">
        <x:v>-43.42</x:v>
      </x:c>
      <x:c r="T1365" t="str">
        <x:v>"</x:v>
      </x:c>
      <x:c r="U1365" t="str">
        <x:v>"</x:v>
      </x:c>
      <x:c r="V1365" t="str">
        <x:v>485053671251260</x:v>
      </x:c>
    </x:row>
    <x:row r="1366">
      <x:c r="A1366" t="str">
        <x:v>RAW-IMP-20260516-FULLDRAFT-001349</x:v>
      </x:c>
      <x:c r="B1366" t="str">
        <x:v>IMP-20260516-FULLDRAFT</x:v>
      </x:c>
      <x:c r="C1366" t="str">
        <x:v>KTO001</x:v>
      </x:c>
      <x:c r="D1366" t="str">
        <x:v>16-05-2026_Umsatzliste_Girokonto_DE98120300001061711675.csv</x:v>
      </x:c>
      <x:c r="E1366" t="n">
        <x:v>46163</x:v>
      </x:c>
      <x:c r="F1366" t="n">
        <x:v>1349</x:v>
      </x:c>
      <x:c r="G1366" t="str">
        <x:v>167a71367616d6e9e7e8366b4ecebc2354d0af673daeafd1665172387254e4f0</x:v>
      </x:c>
      <x:c r="H1366" t="str">
        <x:v>neu</x:v>
      </x:c>
      <x:c r="I1366" t="str">
        <x:v>ok</x:v>
      </x:c>
      <x:c r="J1366"/>
      <x:c r="K1366" t="n">
        <x:v>45712</x:v>
      </x:c>
      <x:c r="L1366" t="n">
        <x:v>45712</x:v>
      </x:c>
      <x:c r="M1366" t="str">
        <x:v>Gebucht</x:v>
      </x:c>
      <x:c r="N1366" t="str">
        <x:v>ISSUER</x:v>
      </x:c>
      <x:c r="O1366" t="str">
        <x:v>Storck.Outlet.Wolfsburg/Wolfsburg</x:v>
      </x:c>
      <x:c r="P1366" t="str">
        <x:v>VISA Debitkartenumsatz vom 22.02.2025</x:v>
      </x:c>
      <x:c r="Q1366" t="str">
        <x:v>Ausgang</x:v>
      </x:c>
      <x:c r="R1366" t="str">
        <x:v>DE96120300009005290904</x:v>
      </x:c>
      <x:c r="S1366" t="n">
        <x:v>-6.06</x:v>
      </x:c>
      <x:c r="T1366" t="str">
        <x:v>"</x:v>
      </x:c>
      <x:c r="U1366" t="str">
        <x:v>"</x:v>
      </x:c>
      <x:c r="V1366" t="str">
        <x:v>485053578304697</x:v>
      </x:c>
    </x:row>
    <x:row r="1367">
      <x:c r="A1367" t="str">
        <x:v>RAW-IMP-20260516-FULLDRAFT-001350</x:v>
      </x:c>
      <x:c r="B1367" t="str">
        <x:v>IMP-20260516-FULLDRAFT</x:v>
      </x:c>
      <x:c r="C1367" t="str">
        <x:v>KTO001</x:v>
      </x:c>
      <x:c r="D1367" t="str">
        <x:v>16-05-2026_Umsatzliste_Girokonto_DE98120300001061711675.csv</x:v>
      </x:c>
      <x:c r="E1367" t="n">
        <x:v>46163</x:v>
      </x:c>
      <x:c r="F1367" t="n">
        <x:v>1350</x:v>
      </x:c>
      <x:c r="G1367" t="str">
        <x:v>3957b5549899d0fb03cdbc424dfa1e8e7554a6df40dce21dd49ef8a873bd8cc5</x:v>
      </x:c>
      <x:c r="H1367" t="str">
        <x:v>neu</x:v>
      </x:c>
      <x:c r="I1367" t="str">
        <x:v>ok</x:v>
      </x:c>
      <x:c r="J1367"/>
      <x:c r="K1367" t="n">
        <x:v>45712</x:v>
      </x:c>
      <x:c r="L1367" t="n">
        <x:v>45712</x:v>
      </x:c>
      <x:c r="M1367" t="str">
        <x:v>Gebucht</x:v>
      </x:c>
      <x:c r="N1367" t="str">
        <x:v>ISSUER</x:v>
      </x:c>
      <x:c r="O1367" t="str">
        <x:v>Entdecker.Bistro.im.pha/Wolfsburg</x:v>
      </x:c>
      <x:c r="P1367" t="str">
        <x:v>VISA Debitkartenumsatz vom 22.02.2025</x:v>
      </x:c>
      <x:c r="Q1367" t="str">
        <x:v>Ausgang</x:v>
      </x:c>
      <x:c r="R1367" t="str">
        <x:v>DE96120300009005290904</x:v>
      </x:c>
      <x:c r="S1367" t="n">
        <x:v>-15.6</x:v>
      </x:c>
      <x:c r="T1367" t="str">
        <x:v>"</x:v>
      </x:c>
      <x:c r="U1367" t="str">
        <x:v>"</x:v>
      </x:c>
      <x:c r="V1367" t="str">
        <x:v>485053398724456</x:v>
      </x:c>
    </x:row>
    <x:row r="1368">
      <x:c r="A1368" t="str">
        <x:v>RAW-IMP-20260516-FULLDRAFT-001351</x:v>
      </x:c>
      <x:c r="B1368" t="str">
        <x:v>IMP-20260516-FULLDRAFT</x:v>
      </x:c>
      <x:c r="C1368" t="str">
        <x:v>KTO001</x:v>
      </x:c>
      <x:c r="D1368" t="str">
        <x:v>16-05-2026_Umsatzliste_Girokonto_DE98120300001061711675.csv</x:v>
      </x:c>
      <x:c r="E1368" t="n">
        <x:v>46163</x:v>
      </x:c>
      <x:c r="F1368" t="n">
        <x:v>1351</x:v>
      </x:c>
      <x:c r="G1368" t="str">
        <x:v>2d807320db31a38799ebe09aa59cc49046326c7c1196ae84fff7c392569564fd</x:v>
      </x:c>
      <x:c r="H1368" t="str">
        <x:v>neu</x:v>
      </x:c>
      <x:c r="I1368" t="str">
        <x:v>ok</x:v>
      </x:c>
      <x:c r="J1368"/>
      <x:c r="K1368" t="n">
        <x:v>45712</x:v>
      </x:c>
      <x:c r="L1368" t="n">
        <x:v>45712</x:v>
      </x:c>
      <x:c r="M1368" t="str">
        <x:v>Gebucht</x:v>
      </x:c>
      <x:c r="N1368" t="str">
        <x:v>ISSUER</x:v>
      </x:c>
      <x:c r="O1368" t="str">
        <x:v>APPLE.COM.BILL/08006645451</x:v>
      </x:c>
      <x:c r="P1368" t="str">
        <x:v>VISA Debitkartenumsatz vom 21.02.2025</x:v>
      </x:c>
      <x:c r="Q1368" t="str">
        <x:v>Ausgang</x:v>
      </x:c>
      <x:c r="R1368" t="str">
        <x:v>DE96120300009005290904</x:v>
      </x:c>
      <x:c r="S1368" t="n">
        <x:v>-2.99</x:v>
      </x:c>
      <x:c r="T1368" t="str">
        <x:v>"</x:v>
      </x:c>
      <x:c r="U1368" t="str">
        <x:v>"</x:v>
      </x:c>
      <x:c r="V1368" t="str">
        <x:v>485052502135584</x:v>
      </x:c>
    </x:row>
    <x:row r="1369">
      <x:c r="A1369" t="str">
        <x:v>RAW-IMP-20260516-FULLDRAFT-001352</x:v>
      </x:c>
      <x:c r="B1369" t="str">
        <x:v>IMP-20260516-FULLDRAFT</x:v>
      </x:c>
      <x:c r="C1369" t="str">
        <x:v>KTO001</x:v>
      </x:c>
      <x:c r="D1369" t="str">
        <x:v>16-05-2026_Umsatzliste_Girokonto_DE98120300001061711675.csv</x:v>
      </x:c>
      <x:c r="E1369" t="n">
        <x:v>46163</x:v>
      </x:c>
      <x:c r="F1369" t="n">
        <x:v>1352</x:v>
      </x:c>
      <x:c r="G1369" t="str">
        <x:v>a0f4dd9a28609b319381452cb52dd446b24b86e014826328330d11600f3977b7</x:v>
      </x:c>
      <x:c r="H1369" t="str">
        <x:v>neu</x:v>
      </x:c>
      <x:c r="I1369" t="str">
        <x:v>ok</x:v>
      </x:c>
      <x:c r="J1369"/>
      <x:c r="K1369" t="n">
        <x:v>45709</x:v>
      </x:c>
      <x:c r="L1369" t="n">
        <x:v>45709</x:v>
      </x:c>
      <x:c r="M1369" t="str">
        <x:v>Gebucht</x:v>
      </x:c>
      <x:c r="N1369" t="str">
        <x:v>ISSUER</x:v>
      </x:c>
      <x:c r="O1369" t="str">
        <x:v>REWE.Salzgitter.Ge/Salzgitter</x:v>
      </x:c>
      <x:c r="P1369" t="str">
        <x:v>VISA Debitkartenumsatz vom 20.02.2025</x:v>
      </x:c>
      <x:c r="Q1369" t="str">
        <x:v>Ausgang</x:v>
      </x:c>
      <x:c r="R1369" t="str">
        <x:v>DE96120300009005290904</x:v>
      </x:c>
      <x:c r="S1369" t="n">
        <x:v>-2.99</x:v>
      </x:c>
      <x:c r="T1369" t="str">
        <x:v>"</x:v>
      </x:c>
      <x:c r="U1369" t="str">
        <x:v>"</x:v>
      </x:c>
      <x:c r="V1369" t="str">
        <x:v>485051575970758</x:v>
      </x:c>
    </x:row>
    <x:row r="1370">
      <x:c r="A1370" t="str">
        <x:v>RAW-IMP-20260516-FULLDRAFT-001353</x:v>
      </x:c>
      <x:c r="B1370" t="str">
        <x:v>IMP-20260516-FULLDRAFT</x:v>
      </x:c>
      <x:c r="C1370" t="str">
        <x:v>KTO001</x:v>
      </x:c>
      <x:c r="D1370" t="str">
        <x:v>16-05-2026_Umsatzliste_Girokonto_DE98120300001061711675.csv</x:v>
      </x:c>
      <x:c r="E1370" t="n">
        <x:v>46163</x:v>
      </x:c>
      <x:c r="F1370" t="n">
        <x:v>1353</x:v>
      </x:c>
      <x:c r="G1370" t="str">
        <x:v>22c2f88fc317f0edb9e6c5802e53e71529a0e6b6928424380572cf06361e8232</x:v>
      </x:c>
      <x:c r="H1370" t="str">
        <x:v>neu</x:v>
      </x:c>
      <x:c r="I1370" t="str">
        <x:v>ok</x:v>
      </x:c>
      <x:c r="J1370"/>
      <x:c r="K1370" t="n">
        <x:v>45708</x:v>
      </x:c>
      <x:c r="L1370" t="n">
        <x:v>45708</x:v>
      </x:c>
      <x:c r="M1370" t="str">
        <x:v>Gebucht</x:v>
      </x:c>
      <x:c r="N1370" t="str">
        <x:v>ISSUER</x:v>
      </x:c>
      <x:c r="O1370" t="str">
        <x:v>PAYPAL..HPDEUTSCHLA/4029357733</x:v>
      </x:c>
      <x:c r="P1370" t="str">
        <x:v>VISA Debitkartenumsatz vom 19.02.2025</x:v>
      </x:c>
      <x:c r="Q1370" t="str">
        <x:v>Ausgang</x:v>
      </x:c>
      <x:c r="R1370" t="str">
        <x:v>DE96120300009005290904</x:v>
      </x:c>
      <x:c r="S1370" t="n">
        <x:v>-4.99</x:v>
      </x:c>
      <x:c r="T1370" t="str">
        <x:v>"</x:v>
      </x:c>
      <x:c r="U1370" t="str">
        <x:v>"</x:v>
      </x:c>
      <x:c r="V1370" t="str">
        <x:v>305050687954067</x:v>
      </x:c>
    </x:row>
    <x:row r="1371">
      <x:c r="A1371" t="str">
        <x:v>RAW-IMP-20260516-FULLDRAFT-001354</x:v>
      </x:c>
      <x:c r="B1371" t="str">
        <x:v>IMP-20260516-FULLDRAFT</x:v>
      </x:c>
      <x:c r="C1371" t="str">
        <x:v>KTO001</x:v>
      </x:c>
      <x:c r="D1371" t="str">
        <x:v>16-05-2026_Umsatzliste_Girokonto_DE98120300001061711675.csv</x:v>
      </x:c>
      <x:c r="E1371" t="n">
        <x:v>46163</x:v>
      </x:c>
      <x:c r="F1371" t="n">
        <x:v>1354</x:v>
      </x:c>
      <x:c r="G1371" t="str">
        <x:v>75b9ca71dc44bf92b64583005ca22c92cc5e721895365946da2dc14cbb618837</x:v>
      </x:c>
      <x:c r="H1371" t="str">
        <x:v>neu</x:v>
      </x:c>
      <x:c r="I1371" t="str">
        <x:v>ok</x:v>
      </x:c>
      <x:c r="J1371"/>
      <x:c r="K1371" t="n">
        <x:v>45707</x:v>
      </x:c>
      <x:c r="L1371" t="n">
        <x:v>45707</x:v>
      </x:c>
      <x:c r="M1371" t="str">
        <x:v>Gebucht</x:v>
      </x:c>
      <x:c r="N1371" t="str">
        <x:v>Lars Kohlenberg</x:v>
      </x:c>
      <x:c r="O1371" t="str">
        <x:v>Appelhagen Rechtsanwälte</x:v>
      </x:c>
      <x:c r="P1371" t="str">
        <x:v>Re Nr 0000347/25 Kohlenberg</x:v>
      </x:c>
      <x:c r="Q1371" t="str">
        <x:v>Ausgang</x:v>
      </x:c>
      <x:c r="R1371" t="str">
        <x:v>DE58269910661515055000</x:v>
      </x:c>
      <x:c r="S1371" t="n">
        <x:v>-1390.87</x:v>
      </x:c>
      <x:c r="T1371" t="str">
        <x:v>"</x:v>
      </x:c>
      <x:c r="U1371" t="str">
        <x:v>"</x:v>
      </x:c>
      <x:c r="V1371" t="str">
        <x:v>"</x:v>
      </x:c>
    </x:row>
    <x:row r="1372">
      <x:c r="A1372" t="str">
        <x:v>RAW-IMP-20260516-FULLDRAFT-001355</x:v>
      </x:c>
      <x:c r="B1372" t="str">
        <x:v>IMP-20260516-FULLDRAFT</x:v>
      </x:c>
      <x:c r="C1372" t="str">
        <x:v>KTO001</x:v>
      </x:c>
      <x:c r="D1372" t="str">
        <x:v>16-05-2026_Umsatzliste_Girokonto_DE98120300001061711675.csv</x:v>
      </x:c>
      <x:c r="E1372" t="n">
        <x:v>46163</x:v>
      </x:c>
      <x:c r="F1372" t="n">
        <x:v>1355</x:v>
      </x:c>
      <x:c r="G1372" t="str">
        <x:v>5e65b5e95bc38d1768fcb4b51a8d959e3f9c4be8b96c487793d5f64b08270e4b</x:v>
      </x:c>
      <x:c r="H1372" t="str">
        <x:v>neu</x:v>
      </x:c>
      <x:c r="I1372" t="str">
        <x:v>ok</x:v>
      </x:c>
      <x:c r="J1372"/>
      <x:c r="K1372" t="n">
        <x:v>45707</x:v>
      </x:c>
      <x:c r="L1372" t="n">
        <x:v>45707</x:v>
      </x:c>
      <x:c r="M1372" t="str">
        <x:v>Gebucht</x:v>
      </x:c>
      <x:c r="N1372" t="str">
        <x:v>ISSUER</x:v>
      </x:c>
      <x:c r="O1372" t="str">
        <x:v>MCDONALDS.00404/DELMENHORST</x:v>
      </x:c>
      <x:c r="P1372" t="str">
        <x:v>VISA Debitkartenumsatz vom 18.02.2025</x:v>
      </x:c>
      <x:c r="Q1372" t="str">
        <x:v>Ausgang</x:v>
      </x:c>
      <x:c r="R1372" t="str">
        <x:v>DE96120300009005290904</x:v>
      </x:c>
      <x:c r="S1372" t="n">
        <x:v>-1</x:v>
      </x:c>
      <x:c r="T1372" t="str">
        <x:v>"</x:v>
      </x:c>
      <x:c r="U1372" t="str">
        <x:v>"</x:v>
      </x:c>
      <x:c r="V1372" t="str">
        <x:v>485049558381717</x:v>
      </x:c>
    </x:row>
    <x:row r="1373">
      <x:c r="A1373" t="str">
        <x:v>RAW-IMP-20260516-FULLDRAFT-001356</x:v>
      </x:c>
      <x:c r="B1373" t="str">
        <x:v>IMP-20260516-FULLDRAFT</x:v>
      </x:c>
      <x:c r="C1373" t="str">
        <x:v>KTO001</x:v>
      </x:c>
      <x:c r="D1373" t="str">
        <x:v>16-05-2026_Umsatzliste_Girokonto_DE98120300001061711675.csv</x:v>
      </x:c>
      <x:c r="E1373" t="n">
        <x:v>46163</x:v>
      </x:c>
      <x:c r="F1373" t="n">
        <x:v>1356</x:v>
      </x:c>
      <x:c r="G1373" t="str">
        <x:v>0b8580dab4096a588c17f0c8caf5137eec29e085da3a917f98e4b9402ebfb7a8</x:v>
      </x:c>
      <x:c r="H1373" t="str">
        <x:v>neu</x:v>
      </x:c>
      <x:c r="I1373" t="str">
        <x:v>ok</x:v>
      </x:c>
      <x:c r="J1373"/>
      <x:c r="K1373" t="n">
        <x:v>45707</x:v>
      </x:c>
      <x:c r="L1373" t="n">
        <x:v>45707</x:v>
      </x:c>
      <x:c r="M1373" t="str">
        <x:v>Gebucht</x:v>
      </x:c>
      <x:c r="N1373" t="str">
        <x:v>ISSUER</x:v>
      </x:c>
      <x:c r="O1373" t="str">
        <x:v>Penny.Fredenberg/Salzgitter</x:v>
      </x:c>
      <x:c r="P1373" t="str">
        <x:v>VISA Debitkartenumsatz vom 18.02.2025</x:v>
      </x:c>
      <x:c r="Q1373" t="str">
        <x:v>Ausgang</x:v>
      </x:c>
      <x:c r="R1373" t="str">
        <x:v>DE96120300009005290904</x:v>
      </x:c>
      <x:c r="S1373" t="n">
        <x:v>-0.57</x:v>
      </x:c>
      <x:c r="T1373" t="str">
        <x:v>"</x:v>
      </x:c>
      <x:c r="U1373" t="str">
        <x:v>"</x:v>
      </x:c>
      <x:c r="V1373" t="str">
        <x:v>485049669104935</x:v>
      </x:c>
    </x:row>
    <x:row r="1374">
      <x:c r="A1374" t="str">
        <x:v>RAW-IMP-20260516-FULLDRAFT-001357</x:v>
      </x:c>
      <x:c r="B1374" t="str">
        <x:v>IMP-20260516-FULLDRAFT</x:v>
      </x:c>
      <x:c r="C1374" t="str">
        <x:v>KTO001</x:v>
      </x:c>
      <x:c r="D1374" t="str">
        <x:v>16-05-2026_Umsatzliste_Girokonto_DE98120300001061711675.csv</x:v>
      </x:c>
      <x:c r="E1374" t="n">
        <x:v>46163</x:v>
      </x:c>
      <x:c r="F1374" t="n">
        <x:v>1357</x:v>
      </x:c>
      <x:c r="G1374" t="str">
        <x:v>4727cec951899416f223ccdea404fec67ddcb00e1d92ef4501dc67ff8244dcc3</x:v>
      </x:c>
      <x:c r="H1374" t="str">
        <x:v>neu</x:v>
      </x:c>
      <x:c r="I1374" t="str">
        <x:v>ok</x:v>
      </x:c>
      <x:c r="J1374"/>
      <x:c r="K1374" t="n">
        <x:v>45707</x:v>
      </x:c>
      <x:c r="L1374" t="n">
        <x:v>45707</x:v>
      </x:c>
      <x:c r="M1374" t="str">
        <x:v>Gebucht</x:v>
      </x:c>
      <x:c r="N1374" t="str">
        <x:v>Lars Kohlenberg</x:v>
      </x:c>
      <x:c r="O1374" t="str">
        <x:v>Lars Kohlenberg</x:v>
      </x:c>
      <x:c r="P1374" t="str">
        <x:v>Uebertrag Anwaltskosten</x:v>
      </x:c>
      <x:c r="Q1374" t="str">
        <x:v>Eingang</x:v>
      </x:c>
      <x:c r="R1374" t="str">
        <x:v>DE91270200001510365800</x:v>
      </x:c>
      <x:c r="S1374" t="n">
        <x:v>1400</x:v>
      </x:c>
      <x:c r="T1374" t="str">
        <x:v>"</x:v>
      </x:c>
      <x:c r="U1374" t="str">
        <x:v>"</x:v>
      </x:c>
      <x:c r="V1374" t="str">
        <x:v>"</x:v>
      </x:c>
    </x:row>
    <x:row r="1375">
      <x:c r="A1375" t="str">
        <x:v>RAW-IMP-20260516-FULLDRAFT-001358</x:v>
      </x:c>
      <x:c r="B1375" t="str">
        <x:v>IMP-20260516-FULLDRAFT</x:v>
      </x:c>
      <x:c r="C1375" t="str">
        <x:v>KTO001</x:v>
      </x:c>
      <x:c r="D1375" t="str">
        <x:v>16-05-2026_Umsatzliste_Girokonto_DE98120300001061711675.csv</x:v>
      </x:c>
      <x:c r="E1375" t="n">
        <x:v>46163</x:v>
      </x:c>
      <x:c r="F1375" t="n">
        <x:v>1358</x:v>
      </x:c>
      <x:c r="G1375" t="str">
        <x:v>20416aa6e7c511794cc80c1c1c7529818f858774980cd245cc91273df9306651</x:v>
      </x:c>
      <x:c r="H1375" t="str">
        <x:v>neu</x:v>
      </x:c>
      <x:c r="I1375" t="str">
        <x:v>ok</x:v>
      </x:c>
      <x:c r="J1375"/>
      <x:c r="K1375" t="n">
        <x:v>45706</x:v>
      </x:c>
      <x:c r="L1375" t="n">
        <x:v>45706</x:v>
      </x:c>
      <x:c r="M1375" t="str">
        <x:v>Gebucht</x:v>
      </x:c>
      <x:c r="N1375" t="str">
        <x:v>ISSUER</x:v>
      </x:c>
      <x:c r="O1375" t="str">
        <x:v>MCDONALDS.00404/DELMENHORST</x:v>
      </x:c>
      <x:c r="P1375" t="str">
        <x:v>VISA Debitkartenumsatz vom 17.02.2025</x:v>
      </x:c>
      <x:c r="Q1375" t="str">
        <x:v>Ausgang</x:v>
      </x:c>
      <x:c r="R1375" t="str">
        <x:v>DE96120300009005290904</x:v>
      </x:c>
      <x:c r="S1375" t="n">
        <x:v>-18.06</x:v>
      </x:c>
      <x:c r="T1375" t="str">
        <x:v>"</x:v>
      </x:c>
      <x:c r="U1375" t="str">
        <x:v>"</x:v>
      </x:c>
      <x:c r="V1375" t="str">
        <x:v>485048368073493</x:v>
      </x:c>
    </x:row>
    <x:row r="1376">
      <x:c r="A1376" t="str">
        <x:v>RAW-IMP-20260516-FULLDRAFT-001359</x:v>
      </x:c>
      <x:c r="B1376" t="str">
        <x:v>IMP-20260516-FULLDRAFT</x:v>
      </x:c>
      <x:c r="C1376" t="str">
        <x:v>KTO001</x:v>
      </x:c>
      <x:c r="D1376" t="str">
        <x:v>16-05-2026_Umsatzliste_Girokonto_DE98120300001061711675.csv</x:v>
      </x:c>
      <x:c r="E1376" t="n">
        <x:v>46163</x:v>
      </x:c>
      <x:c r="F1376" t="n">
        <x:v>1359</x:v>
      </x:c>
      <x:c r="G1376" t="str">
        <x:v>e3fd3fb1a1c0de000a9ba9dd4351ffc03d0c98e696a0a80f0194689c27999234</x:v>
      </x:c>
      <x:c r="H1376" t="str">
        <x:v>neu</x:v>
      </x:c>
      <x:c r="I1376" t="str">
        <x:v>ok</x:v>
      </x:c>
      <x:c r="J1376"/>
      <x:c r="K1376" t="n">
        <x:v>45706</x:v>
      </x:c>
      <x:c r="L1376" t="n">
        <x:v>45706</x:v>
      </x:c>
      <x:c r="M1376" t="str">
        <x:v>Gebucht</x:v>
      </x:c>
      <x:c r="N1376" t="str">
        <x:v>Lars Kohlenberg</x:v>
      </x:c>
      <x:c r="O1376" t="str">
        <x:v>Lars Kohlenberg</x:v>
      </x:c>
      <x:c r="P1376" t="str">
        <x:v>Urlaub 2025</x:v>
      </x:c>
      <x:c r="Q1376" t="str">
        <x:v>Eingang</x:v>
      </x:c>
      <x:c r="R1376" t="str">
        <x:v>DE91270200001510365800</x:v>
      </x:c>
      <x:c r="S1376" t="n">
        <x:v>600</x:v>
      </x:c>
      <x:c r="T1376" t="str">
        <x:v>"</x:v>
      </x:c>
      <x:c r="U1376" t="str">
        <x:v>"</x:v>
      </x:c>
      <x:c r="V1376" t="str">
        <x:v>"</x:v>
      </x:c>
    </x:row>
    <x:row r="1377">
      <x:c r="A1377" t="str">
        <x:v>RAW-IMP-20260516-FULLDRAFT-001360</x:v>
      </x:c>
      <x:c r="B1377" t="str">
        <x:v>IMP-20260516-FULLDRAFT</x:v>
      </x:c>
      <x:c r="C1377" t="str">
        <x:v>KTO001</x:v>
      </x:c>
      <x:c r="D1377" t="str">
        <x:v>16-05-2026_Umsatzliste_Girokonto_DE98120300001061711675.csv</x:v>
      </x:c>
      <x:c r="E1377" t="n">
        <x:v>46163</x:v>
      </x:c>
      <x:c r="F1377" t="n">
        <x:v>1360</x:v>
      </x:c>
      <x:c r="G1377" t="str">
        <x:v>7353b9a4692e6eff7c6867e848aee896875297e9979aa028eba9a1dcb142cfe0</x:v>
      </x:c>
      <x:c r="H1377" t="str">
        <x:v>neu</x:v>
      </x:c>
      <x:c r="I1377" t="str">
        <x:v>ok</x:v>
      </x:c>
      <x:c r="J1377"/>
      <x:c r="K1377" t="n">
        <x:v>45705</x:v>
      </x:c>
      <x:c r="L1377" t="n">
        <x:v>45705</x:v>
      </x:c>
      <x:c r="M1377" t="str">
        <x:v>Gebucht</x:v>
      </x:c>
      <x:c r="N1377" t="str">
        <x:v>ISSUER</x:v>
      </x:c>
      <x:c r="O1377" t="str">
        <x:v>ACCOR..NOVOTEL.GRENOBL/ALL.ACCOR.COM</x:v>
      </x:c>
      <x:c r="P1377" t="str">
        <x:v>VISA Debitkartenumsatz vom 16.02.2025</x:v>
      </x:c>
      <x:c r="Q1377" t="str">
        <x:v>Ausgang</x:v>
      </x:c>
      <x:c r="R1377" t="str">
        <x:v>DE96120300009005290904</x:v>
      </x:c>
      <x:c r="S1377" t="n">
        <x:v>-183.98</x:v>
      </x:c>
      <x:c r="T1377" t="str">
        <x:v>"</x:v>
      </x:c>
      <x:c r="U1377" t="str">
        <x:v>"</x:v>
      </x:c>
      <x:c r="V1377" t="str">
        <x:v>485047302258073</x:v>
      </x:c>
    </x:row>
    <x:row r="1378">
      <x:c r="A1378" t="str">
        <x:v>RAW-IMP-20260516-FULLDRAFT-001361</x:v>
      </x:c>
      <x:c r="B1378" t="str">
        <x:v>IMP-20260516-FULLDRAFT</x:v>
      </x:c>
      <x:c r="C1378" t="str">
        <x:v>KTO001</x:v>
      </x:c>
      <x:c r="D1378" t="str">
        <x:v>16-05-2026_Umsatzliste_Girokonto_DE98120300001061711675.csv</x:v>
      </x:c>
      <x:c r="E1378" t="n">
        <x:v>46163</x:v>
      </x:c>
      <x:c r="F1378" t="n">
        <x:v>1361</x:v>
      </x:c>
      <x:c r="G1378" t="str">
        <x:v>1f15134ab1749dd7a8563b314ab44bb333a7a393566cc3fb8b9e3bea17856fb0</x:v>
      </x:c>
      <x:c r="H1378" t="str">
        <x:v>neu</x:v>
      </x:c>
      <x:c r="I1378" t="str">
        <x:v>ok</x:v>
      </x:c>
      <x:c r="J1378"/>
      <x:c r="K1378" t="n">
        <x:v>45705</x:v>
      </x:c>
      <x:c r="L1378" t="n">
        <x:v>45705</x:v>
      </x:c>
      <x:c r="M1378" t="str">
        <x:v>Gebucht</x:v>
      </x:c>
      <x:c r="N1378" t="str">
        <x:v>ISSUER</x:v>
      </x:c>
      <x:c r="O1378" t="str">
        <x:v>ACCOR..NOVOTEL.PERPIGN/ALL.ACCOR.COM</x:v>
      </x:c>
      <x:c r="P1378" t="str">
        <x:v>VISA Debitkartenumsatz vom 16.02.2025</x:v>
      </x:c>
      <x:c r="Q1378" t="str">
        <x:v>Ausgang</x:v>
      </x:c>
      <x:c r="R1378" t="str">
        <x:v>DE96120300009005290904</x:v>
      </x:c>
      <x:c r="S1378" t="n">
        <x:v>-169.1</x:v>
      </x:c>
      <x:c r="T1378" t="str">
        <x:v>"</x:v>
      </x:c>
      <x:c r="U1378" t="str">
        <x:v>"</x:v>
      </x:c>
      <x:c r="V1378" t="str">
        <x:v>485047553555611</x:v>
      </x:c>
    </x:row>
    <x:row r="1379">
      <x:c r="A1379" t="str">
        <x:v>RAW-IMP-20260516-FULLDRAFT-001362</x:v>
      </x:c>
      <x:c r="B1379" t="str">
        <x:v>IMP-20260516-FULLDRAFT</x:v>
      </x:c>
      <x:c r="C1379" t="str">
        <x:v>KTO001</x:v>
      </x:c>
      <x:c r="D1379" t="str">
        <x:v>16-05-2026_Umsatzliste_Girokonto_DE98120300001061711675.csv</x:v>
      </x:c>
      <x:c r="E1379" t="n">
        <x:v>46163</x:v>
      </x:c>
      <x:c r="F1379" t="n">
        <x:v>1362</x:v>
      </x:c>
      <x:c r="G1379" t="str">
        <x:v>70f361aa016d94228339a0bb1d8728866014898108d1dfd95c36909237344530</x:v>
      </x:c>
      <x:c r="H1379" t="str">
        <x:v>neu</x:v>
      </x:c>
      <x:c r="I1379" t="str">
        <x:v>ok</x:v>
      </x:c>
      <x:c r="J1379"/>
      <x:c r="K1379" t="n">
        <x:v>45705</x:v>
      </x:c>
      <x:c r="L1379" t="n">
        <x:v>45705</x:v>
      </x:c>
      <x:c r="M1379" t="str">
        <x:v>Gebucht</x:v>
      </x:c>
      <x:c r="N1379" t="str">
        <x:v>ISSUER</x:v>
      </x:c>
      <x:c r="O1379" t="str">
        <x:v>REWE.Salzgitter.Ge/Salzgitter</x:v>
      </x:c>
      <x:c r="P1379" t="str">
        <x:v>VISA Debitkartenumsatz vom 14.02.2025</x:v>
      </x:c>
      <x:c r="Q1379" t="str">
        <x:v>Ausgang</x:v>
      </x:c>
      <x:c r="R1379" t="str">
        <x:v>DE96120300009005290904</x:v>
      </x:c>
      <x:c r="S1379" t="n">
        <x:v>-6.07</x:v>
      </x:c>
      <x:c r="T1379" t="str">
        <x:v>"</x:v>
      </x:c>
      <x:c r="U1379" t="str">
        <x:v>"</x:v>
      </x:c>
      <x:c r="V1379" t="str">
        <x:v>485045673375859</x:v>
      </x:c>
    </x:row>
    <x:row r="1380">
      <x:c r="A1380" t="str">
        <x:v>RAW-IMP-20260516-FULLDRAFT-001363</x:v>
      </x:c>
      <x:c r="B1380" t="str">
        <x:v>IMP-20260516-FULLDRAFT</x:v>
      </x:c>
      <x:c r="C1380" t="str">
        <x:v>KTO001</x:v>
      </x:c>
      <x:c r="D1380" t="str">
        <x:v>16-05-2026_Umsatzliste_Girokonto_DE98120300001061711675.csv</x:v>
      </x:c>
      <x:c r="E1380" t="n">
        <x:v>46163</x:v>
      </x:c>
      <x:c r="F1380" t="n">
        <x:v>1363</x:v>
      </x:c>
      <x:c r="G1380" t="str">
        <x:v>1dd7113e6a5b49921517b44c3ad26a0327bfca8c8be36f2e82162102ce6f51bd</x:v>
      </x:c>
      <x:c r="H1380" t="str">
        <x:v>neu</x:v>
      </x:c>
      <x:c r="I1380" t="str">
        <x:v>ok</x:v>
      </x:c>
      <x:c r="J1380"/>
      <x:c r="K1380" t="n">
        <x:v>45705</x:v>
      </x:c>
      <x:c r="L1380" t="n">
        <x:v>45705</x:v>
      </x:c>
      <x:c r="M1380" t="str">
        <x:v>Gebucht</x:v>
      </x:c>
      <x:c r="N1380" t="str">
        <x:v>ISSUER</x:v>
      </x:c>
      <x:c r="O1380" t="str">
        <x:v>RESTAURANT.GLUECK.AUF/SALZGITTER.BA</x:v>
      </x:c>
      <x:c r="P1380" t="str">
        <x:v>VISA Debitkartenumsatz vom 14.02.2025</x:v>
      </x:c>
      <x:c r="Q1380" t="str">
        <x:v>Ausgang</x:v>
      </x:c>
      <x:c r="R1380" t="str">
        <x:v>DE96120300009005290904</x:v>
      </x:c>
      <x:c r="S1380" t="n">
        <x:v>-36.9</x:v>
      </x:c>
      <x:c r="T1380" t="str">
        <x:v>"</x:v>
      </x:c>
      <x:c r="U1380" t="str">
        <x:v>"</x:v>
      </x:c>
      <x:c r="V1380" t="str">
        <x:v>485045688494298</x:v>
      </x:c>
    </x:row>
    <x:row r="1381">
      <x:c r="A1381" t="str">
        <x:v>RAW-IMP-20260516-FULLDRAFT-001364</x:v>
      </x:c>
      <x:c r="B1381" t="str">
        <x:v>IMP-20260516-FULLDRAFT</x:v>
      </x:c>
      <x:c r="C1381" t="str">
        <x:v>KTO001</x:v>
      </x:c>
      <x:c r="D1381" t="str">
        <x:v>16-05-2026_Umsatzliste_Girokonto_DE98120300001061711675.csv</x:v>
      </x:c>
      <x:c r="E1381" t="n">
        <x:v>46163</x:v>
      </x:c>
      <x:c r="F1381" t="n">
        <x:v>1364</x:v>
      </x:c>
      <x:c r="G1381" t="str">
        <x:v>a7a001e67b8a588d405ac8a58614e20a466147e9734516156fdbb3bb81d847ca</x:v>
      </x:c>
      <x:c r="H1381" t="str">
        <x:v>neu</x:v>
      </x:c>
      <x:c r="I1381" t="str">
        <x:v>ok</x:v>
      </x:c>
      <x:c r="J1381"/>
      <x:c r="K1381" t="n">
        <x:v>45705</x:v>
      </x:c>
      <x:c r="L1381" t="n">
        <x:v>45705</x:v>
      </x:c>
      <x:c r="M1381" t="str">
        <x:v>Gebucht</x:v>
      </x:c>
      <x:c r="N1381" t="str">
        <x:v>ISSUER</x:v>
      </x:c>
      <x:c r="O1381" t="str">
        <x:v>REWE.Acar.oHG/Salzgitter</x:v>
      </x:c>
      <x:c r="P1381" t="str">
        <x:v>VISA Debitkartenumsatz vom 15.02.2025</x:v>
      </x:c>
      <x:c r="Q1381" t="str">
        <x:v>Ausgang</x:v>
      </x:c>
      <x:c r="R1381" t="str">
        <x:v>DE96120300009005290904</x:v>
      </x:c>
      <x:c r="S1381" t="n">
        <x:v>-170.19</x:v>
      </x:c>
      <x:c r="T1381" t="str">
        <x:v>"</x:v>
      </x:c>
      <x:c r="U1381" t="str">
        <x:v>"</x:v>
      </x:c>
      <x:c r="V1381" t="str">
        <x:v>485046326312071</x:v>
      </x:c>
    </x:row>
    <x:row r="1382">
      <x:c r="A1382" t="str">
        <x:v>RAW-IMP-20260516-FULLDRAFT-001365</x:v>
      </x:c>
      <x:c r="B1382" t="str">
        <x:v>IMP-20260516-FULLDRAFT</x:v>
      </x:c>
      <x:c r="C1382" t="str">
        <x:v>KTO001</x:v>
      </x:c>
      <x:c r="D1382" t="str">
        <x:v>16-05-2026_Umsatzliste_Girokonto_DE98120300001061711675.csv</x:v>
      </x:c>
      <x:c r="E1382" t="n">
        <x:v>46163</x:v>
      </x:c>
      <x:c r="F1382" t="n">
        <x:v>1365</x:v>
      </x:c>
      <x:c r="G1382" t="str">
        <x:v>4e3aef89cd5f642ba68d28138aec78ab0beda00d48d94cf04fcb56b4d769d60c</x:v>
      </x:c>
      <x:c r="H1382" t="str">
        <x:v>neu</x:v>
      </x:c>
      <x:c r="I1382" t="str">
        <x:v>ok</x:v>
      </x:c>
      <x:c r="J1382"/>
      <x:c r="K1382" t="n">
        <x:v>45705</x:v>
      </x:c>
      <x:c r="L1382" t="n">
        <x:v>45705</x:v>
      </x:c>
      <x:c r="M1382" t="str">
        <x:v>Gebucht</x:v>
      </x:c>
      <x:c r="N1382" t="str">
        <x:v>Lars Kohlenberg</x:v>
      </x:c>
      <x:c r="O1382" t="str">
        <x:v>Drillisch Online GmbH                                                 Wilhelm-Rontgen-Strase 1-5, 63477 Maintal</x:v>
      </x:c>
      <x:c r="P1382" t="str">
        <x:v>C0851820 U694056816 B798744204 winSIM</x:v>
      </x:c>
      <x:c r="Q1382" t="str">
        <x:v>Ausgang</x:v>
      </x:c>
      <x:c r="R1382" t="str">
        <x:v>DE87300500000008996811</x:v>
      </x:c>
      <x:c r="S1382" t="n">
        <x:v>-6.99</x:v>
      </x:c>
      <x:c r="T1382" t="str">
        <x:v>DE40ZZZ00000206926</x:v>
      </x:c>
      <x:c r="U1382" t="str">
        <x:v>FB1310D094B04186E02ACE7B8C6</x:v>
      </x:c>
      <x:c r="V1382" t="str">
        <x:v>C0851820+U694056816</x:v>
      </x:c>
    </x:row>
    <x:row r="1383">
      <x:c r="A1383" t="str">
        <x:v>RAW-IMP-20260516-FULLDRAFT-001366</x:v>
      </x:c>
      <x:c r="B1383" t="str">
        <x:v>IMP-20260516-FULLDRAFT</x:v>
      </x:c>
      <x:c r="C1383" t="str">
        <x:v>KTO001</x:v>
      </x:c>
      <x:c r="D1383" t="str">
        <x:v>16-05-2026_Umsatzliste_Girokonto_DE98120300001061711675.csv</x:v>
      </x:c>
      <x:c r="E1383" t="n">
        <x:v>46163</x:v>
      </x:c>
      <x:c r="F1383" t="n">
        <x:v>1366</x:v>
      </x:c>
      <x:c r="G1383" t="str">
        <x:v>98e8d4f74c678ff1d4b0c1825ddcbb77b6c3a1b7836697692d6e2c5e9b4ec6a6</x:v>
      </x:c>
      <x:c r="H1383" t="str">
        <x:v>neu</x:v>
      </x:c>
      <x:c r="I1383" t="str">
        <x:v>ok</x:v>
      </x:c>
      <x:c r="J1383"/>
      <x:c r="K1383" t="n">
        <x:v>45705</x:v>
      </x:c>
      <x:c r="L1383" t="n">
        <x:v>45705</x:v>
      </x:c>
      <x:c r="M1383" t="str">
        <x:v>Gebucht</x:v>
      </x:c>
      <x:c r="N1383" t="str">
        <x:v>Lars Kohlenberg</x:v>
      </x:c>
      <x:c r="O1383" t="str">
        <x:v>Drillisch Online GmbH                                                 Wilhelm-Rontgen-Strase 1-5, 63477 Maintal</x:v>
      </x:c>
      <x:c r="P1383" t="str">
        <x:v>C0851820 U693846452 B797479708 winSIM</x:v>
      </x:c>
      <x:c r="Q1383" t="str">
        <x:v>Ausgang</x:v>
      </x:c>
      <x:c r="R1383" t="str">
        <x:v>DE87300500000008996811</x:v>
      </x:c>
      <x:c r="S1383" t="n">
        <x:v>-6.99</x:v>
      </x:c>
      <x:c r="T1383" t="str">
        <x:v>DE40ZZZ00000206926</x:v>
      </x:c>
      <x:c r="U1383" t="str">
        <x:v>FB1310D094B04186E02ACE7B8C6</x:v>
      </x:c>
      <x:c r="V1383" t="str">
        <x:v>C0851820+U693846452</x:v>
      </x:c>
    </x:row>
    <x:row r="1384">
      <x:c r="A1384" t="str">
        <x:v>RAW-IMP-20260516-FULLDRAFT-001367</x:v>
      </x:c>
      <x:c r="B1384" t="str">
        <x:v>IMP-20260516-FULLDRAFT</x:v>
      </x:c>
      <x:c r="C1384" t="str">
        <x:v>KTO001</x:v>
      </x:c>
      <x:c r="D1384" t="str">
        <x:v>16-05-2026_Umsatzliste_Girokonto_DE98120300001061711675.csv</x:v>
      </x:c>
      <x:c r="E1384" t="n">
        <x:v>46163</x:v>
      </x:c>
      <x:c r="F1384" t="n">
        <x:v>1367</x:v>
      </x:c>
      <x:c r="G1384" t="str">
        <x:v>0521f61eb56218f824333bcda9ac0729ca796e0a02c2171a659d1aaf113a433b</x:v>
      </x:c>
      <x:c r="H1384" t="str">
        <x:v>neu</x:v>
      </x:c>
      <x:c r="I1384" t="str">
        <x:v>ok</x:v>
      </x:c>
      <x:c r="J1384"/>
      <x:c r="K1384" t="n">
        <x:v>45705</x:v>
      </x:c>
      <x:c r="L1384" t="n">
        <x:v>45705</x:v>
      </x:c>
      <x:c r="M1384" t="str">
        <x:v>Gebucht</x:v>
      </x:c>
      <x:c r="N1384" t="str">
        <x:v>Lars Kohlenberg</x:v>
      </x:c>
      <x:c r="O1384" t="str">
        <x:v>Drillisch Online GmbH                                                 Wilhelm-Rontgen-Strase 1-5, 63477 Maintal</x:v>
      </x:c>
      <x:c r="P1384" t="str">
        <x:v>C0851820 U696916252 B798501685 winSIM</x:v>
      </x:c>
      <x:c r="Q1384" t="str">
        <x:v>Ausgang</x:v>
      </x:c>
      <x:c r="R1384" t="str">
        <x:v>DE87300500000008996811</x:v>
      </x:c>
      <x:c r="S1384" t="n">
        <x:v>-6.99</x:v>
      </x:c>
      <x:c r="T1384" t="str">
        <x:v>DE40ZZZ00000206926</x:v>
      </x:c>
      <x:c r="U1384" t="str">
        <x:v>FB1310D094B04186E02ACE7B8C6</x:v>
      </x:c>
      <x:c r="V1384" t="str">
        <x:v>C0851820+U696916252</x:v>
      </x:c>
    </x:row>
    <x:row r="1385">
      <x:c r="A1385" t="str">
        <x:v>RAW-IMP-20260516-FULLDRAFT-001368</x:v>
      </x:c>
      <x:c r="B1385" t="str">
        <x:v>IMP-20260516-FULLDRAFT</x:v>
      </x:c>
      <x:c r="C1385" t="str">
        <x:v>KTO001</x:v>
      </x:c>
      <x:c r="D1385" t="str">
        <x:v>16-05-2026_Umsatzliste_Girokonto_DE98120300001061711675.csv</x:v>
      </x:c>
      <x:c r="E1385" t="n">
        <x:v>46163</x:v>
      </x:c>
      <x:c r="F1385" t="n">
        <x:v>1368</x:v>
      </x:c>
      <x:c r="G1385" t="str">
        <x:v>c2d24e06f241b23be082d1c9d1940f4a65cfd723d65d899fdd4d07d31e8a23cd</x:v>
      </x:c>
      <x:c r="H1385" t="str">
        <x:v>neu</x:v>
      </x:c>
      <x:c r="I1385" t="str">
        <x:v>ok</x:v>
      </x:c>
      <x:c r="J1385"/>
      <x:c r="K1385" t="n">
        <x:v>45702</x:v>
      </x:c>
      <x:c r="L1385" t="n">
        <x:v>45702</x:v>
      </x:c>
      <x:c r="M1385" t="str">
        <x:v>Gebucht</x:v>
      </x:c>
      <x:c r="N1385" t="str">
        <x:v>ISSUER</x:v>
      </x:c>
      <x:c r="O1385" t="str">
        <x:v>EDEKA.POTRATZ/HILDESHEIM</x:v>
      </x:c>
      <x:c r="P1385" t="str">
        <x:v>VISA Debitkartenumsatz vom 13.02.2025</x:v>
      </x:c>
      <x:c r="Q1385" t="str">
        <x:v>Ausgang</x:v>
      </x:c>
      <x:c r="R1385" t="str">
        <x:v>DE96120300009005290904</x:v>
      </x:c>
      <x:c r="S1385" t="n">
        <x:v>-7.76</x:v>
      </x:c>
      <x:c r="T1385" t="str">
        <x:v>"</x:v>
      </x:c>
      <x:c r="U1385" t="str">
        <x:v>"</x:v>
      </x:c>
      <x:c r="V1385" t="str">
        <x:v>485044475249286</x:v>
      </x:c>
    </x:row>
    <x:row r="1386">
      <x:c r="A1386" t="str">
        <x:v>RAW-IMP-20260516-FULLDRAFT-001369</x:v>
      </x:c>
      <x:c r="B1386" t="str">
        <x:v>IMP-20260516-FULLDRAFT</x:v>
      </x:c>
      <x:c r="C1386" t="str">
        <x:v>KTO001</x:v>
      </x:c>
      <x:c r="D1386" t="str">
        <x:v>16-05-2026_Umsatzliste_Girokonto_DE98120300001061711675.csv</x:v>
      </x:c>
      <x:c r="E1386" t="n">
        <x:v>46163</x:v>
      </x:c>
      <x:c r="F1386" t="n">
        <x:v>1369</x:v>
      </x:c>
      <x:c r="G1386" t="str">
        <x:v>0e5c52f80adc3ee5692abd6231b3526d06eae88c320958cbb3a8ece408c19a63</x:v>
      </x:c>
      <x:c r="H1386" t="str">
        <x:v>neu</x:v>
      </x:c>
      <x:c r="I1386" t="str">
        <x:v>ok</x:v>
      </x:c>
      <x:c r="J1386"/>
      <x:c r="K1386" t="n">
        <x:v>45701</x:v>
      </x:c>
      <x:c r="L1386" t="n">
        <x:v>45701</x:v>
      </x:c>
      <x:c r="M1386" t="str">
        <x:v>Gebucht</x:v>
      </x:c>
      <x:c r="N1386" t="str">
        <x:v>ISSUER</x:v>
      </x:c>
      <x:c r="O1386" t="str">
        <x:v>BOSPORUS.GRILL/SALZGITTER</x:v>
      </x:c>
      <x:c r="P1386" t="str">
        <x:v>VISA Debitkartenumsatz vom 12.02.2025</x:v>
      </x:c>
      <x:c r="Q1386" t="str">
        <x:v>Ausgang</x:v>
      </x:c>
      <x:c r="R1386" t="str">
        <x:v>DE96120300009005290904</x:v>
      </x:c>
      <x:c r="S1386" t="n">
        <x:v>-12</x:v>
      </x:c>
      <x:c r="T1386" t="str">
        <x:v>"</x:v>
      </x:c>
      <x:c r="U1386" t="str">
        <x:v>"</x:v>
      </x:c>
      <x:c r="V1386" t="str">
        <x:v>485043691049247</x:v>
      </x:c>
    </x:row>
    <x:row r="1387">
      <x:c r="A1387" t="str">
        <x:v>RAW-IMP-20260516-FULLDRAFT-001370</x:v>
      </x:c>
      <x:c r="B1387" t="str">
        <x:v>IMP-20260516-FULLDRAFT</x:v>
      </x:c>
      <x:c r="C1387" t="str">
        <x:v>KTO001</x:v>
      </x:c>
      <x:c r="D1387" t="str">
        <x:v>16-05-2026_Umsatzliste_Girokonto_DE98120300001061711675.csv</x:v>
      </x:c>
      <x:c r="E1387" t="n">
        <x:v>46163</x:v>
      </x:c>
      <x:c r="F1387" t="n">
        <x:v>1370</x:v>
      </x:c>
      <x:c r="G1387" t="str">
        <x:v>f16edceefb3d336a13ca55e3c7e8455ae032dba8b6f25b428281829e5ee08080</x:v>
      </x:c>
      <x:c r="H1387" t="str">
        <x:v>neu</x:v>
      </x:c>
      <x:c r="I1387" t="str">
        <x:v>ok</x:v>
      </x:c>
      <x:c r="J1387"/>
      <x:c r="K1387" t="n">
        <x:v>45701</x:v>
      </x:c>
      <x:c r="L1387" t="n">
        <x:v>45701</x:v>
      </x:c>
      <x:c r="M1387" t="str">
        <x:v>Gebucht</x:v>
      </x:c>
      <x:c r="N1387" t="str">
        <x:v>Jan Niklas Kohlenberg</x:v>
      </x:c>
      <x:c r="O1387" t="str">
        <x:v>Jan Niklas Kohlenberg</x:v>
      </x:c>
      <x:c r="P1387" t="str">
        <x:v>Uebertrag Lego Roboter 100,-</x:v>
      </x:c>
      <x:c r="Q1387" t="str">
        <x:v>Eingang</x:v>
      </x:c>
      <x:c r="R1387" t="str">
        <x:v>DE43270200001527701534</x:v>
      </x:c>
      <x:c r="S1387" t="n">
        <x:v>100</x:v>
      </x:c>
      <x:c r="T1387" t="str">
        <x:v>"</x:v>
      </x:c>
      <x:c r="U1387" t="str">
        <x:v>"</x:v>
      </x:c>
      <x:c r="V1387" t="str">
        <x:v>"</x:v>
      </x:c>
    </x:row>
    <x:row r="1388">
      <x:c r="A1388" t="str">
        <x:v>RAW-IMP-20260516-FULLDRAFT-001371</x:v>
      </x:c>
      <x:c r="B1388" t="str">
        <x:v>IMP-20260516-FULLDRAFT</x:v>
      </x:c>
      <x:c r="C1388" t="str">
        <x:v>KTO001</x:v>
      </x:c>
      <x:c r="D1388" t="str">
        <x:v>16-05-2026_Umsatzliste_Girokonto_DE98120300001061711675.csv</x:v>
      </x:c>
      <x:c r="E1388" t="n">
        <x:v>46163</x:v>
      </x:c>
      <x:c r="F1388" t="n">
        <x:v>1371</x:v>
      </x:c>
      <x:c r="G1388" t="str">
        <x:v>6e448b414d30b12f156b12490b34c65bb431c92dcbefc4942aa1a1de5e9ddcbb</x:v>
      </x:c>
      <x:c r="H1388" t="str">
        <x:v>neu</x:v>
      </x:c>
      <x:c r="I1388" t="str">
        <x:v>ok</x:v>
      </x:c>
      <x:c r="J1388"/>
      <x:c r="K1388" t="n">
        <x:v>45700</x:v>
      </x:c>
      <x:c r="L1388" t="n">
        <x:v>45700</x:v>
      </x:c>
      <x:c r="M1388" t="str">
        <x:v>Gebucht</x:v>
      </x:c>
      <x:c r="N1388" t="str">
        <x:v>ISSUER</x:v>
      </x:c>
      <x:c r="O1388" t="str">
        <x:v>Penny.Fredenberg/Salzgitter</x:v>
      </x:c>
      <x:c r="P1388" t="str">
        <x:v>VISA Debitkartenumsatz vom 11.02.2025</x:v>
      </x:c>
      <x:c r="Q1388" t="str">
        <x:v>Ausgang</x:v>
      </x:c>
      <x:c r="R1388" t="str">
        <x:v>DE96120300009005290904</x:v>
      </x:c>
      <x:c r="S1388" t="n">
        <x:v>-0.99</x:v>
      </x:c>
      <x:c r="T1388" t="str">
        <x:v>"</x:v>
      </x:c>
      <x:c r="U1388" t="str">
        <x:v>"</x:v>
      </x:c>
      <x:c r="V1388" t="str">
        <x:v>485042607428029</x:v>
      </x:c>
    </x:row>
    <x:row r="1389">
      <x:c r="A1389" t="str">
        <x:v>RAW-IMP-20260516-FULLDRAFT-001372</x:v>
      </x:c>
      <x:c r="B1389" t="str">
        <x:v>IMP-20260516-FULLDRAFT</x:v>
      </x:c>
      <x:c r="C1389" t="str">
        <x:v>KTO001</x:v>
      </x:c>
      <x:c r="D1389" t="str">
        <x:v>16-05-2026_Umsatzliste_Girokonto_DE98120300001061711675.csv</x:v>
      </x:c>
      <x:c r="E1389" t="n">
        <x:v>46163</x:v>
      </x:c>
      <x:c r="F1389" t="n">
        <x:v>1372</x:v>
      </x:c>
      <x:c r="G1389" t="str">
        <x:v>1f5861e19eb2dfbe16df7fed932ffe86aeaf33f488fd7c667a7c56b001f97157</x:v>
      </x:c>
      <x:c r="H1389" t="str">
        <x:v>neu</x:v>
      </x:c>
      <x:c r="I1389" t="str">
        <x:v>ok</x:v>
      </x:c>
      <x:c r="J1389"/>
      <x:c r="K1389" t="n">
        <x:v>45699</x:v>
      </x:c>
      <x:c r="L1389" t="n">
        <x:v>45699</x:v>
      </x:c>
      <x:c r="M1389" t="str">
        <x:v>Gebucht</x:v>
      </x:c>
      <x:c r="N1389" t="str">
        <x:v>ISSUER</x:v>
      </x:c>
      <x:c r="O1389" t="str">
        <x:v>Lidl.sagt.Danke/Salzgitter</x:v>
      </x:c>
      <x:c r="P1389" t="str">
        <x:v>VISA Debitkartenumsatz vom 10.02.2025</x:v>
      </x:c>
      <x:c r="Q1389" t="str">
        <x:v>Ausgang</x:v>
      </x:c>
      <x:c r="R1389" t="str">
        <x:v>DE96120300009005290904</x:v>
      </x:c>
      <x:c r="S1389" t="n">
        <x:v>-18.78</x:v>
      </x:c>
      <x:c r="T1389" t="str">
        <x:v>"</x:v>
      </x:c>
      <x:c r="U1389" t="str">
        <x:v>"</x:v>
      </x:c>
      <x:c r="V1389" t="str">
        <x:v>485041622265053</x:v>
      </x:c>
    </x:row>
    <x:row r="1390">
      <x:c r="A1390" t="str">
        <x:v>RAW-IMP-20260516-FULLDRAFT-001373</x:v>
      </x:c>
      <x:c r="B1390" t="str">
        <x:v>IMP-20260516-FULLDRAFT</x:v>
      </x:c>
      <x:c r="C1390" t="str">
        <x:v>KTO001</x:v>
      </x:c>
      <x:c r="D1390" t="str">
        <x:v>16-05-2026_Umsatzliste_Girokonto_DE98120300001061711675.csv</x:v>
      </x:c>
      <x:c r="E1390" t="n">
        <x:v>46163</x:v>
      </x:c>
      <x:c r="F1390" t="n">
        <x:v>1373</x:v>
      </x:c>
      <x:c r="G1390" t="str">
        <x:v>9c32c54f62e9a1395bb4bd54b532ced6d2528a25572f1085801ec05aa318d585</x:v>
      </x:c>
      <x:c r="H1390" t="str">
        <x:v>neu</x:v>
      </x:c>
      <x:c r="I1390" t="str">
        <x:v>ok</x:v>
      </x:c>
      <x:c r="J1390"/>
      <x:c r="K1390" t="n">
        <x:v>45698</x:v>
      </x:c>
      <x:c r="L1390" t="n">
        <x:v>45698</x:v>
      </x:c>
      <x:c r="M1390" t="str">
        <x:v>Gebucht</x:v>
      </x:c>
      <x:c r="N1390" t="str">
        <x:v>ISSUER</x:v>
      </x:c>
      <x:c r="O1390" t="str">
        <x:v>NORD.LB...Braunschweigi/GEBHARDSHG</x:v>
      </x:c>
      <x:c r="P1390" t="str">
        <x:v>VISA Debitkartenumsatz vom 09.02.2025</x:v>
      </x:c>
      <x:c r="Q1390" t="str">
        <x:v>Ausgang</x:v>
      </x:c>
      <x:c r="R1390" t="str">
        <x:v>DE96120300009005290904</x:v>
      </x:c>
      <x:c r="S1390" t="n">
        <x:v>-100</x:v>
      </x:c>
      <x:c r="T1390" t="str">
        <x:v>"</x:v>
      </x:c>
      <x:c r="U1390" t="str">
        <x:v>"</x:v>
      </x:c>
      <x:c r="V1390" t="str">
        <x:v>485040435663439</x:v>
      </x:c>
    </x:row>
    <x:row r="1391">
      <x:c r="A1391" t="str">
        <x:v>RAW-IMP-20260516-FULLDRAFT-001374</x:v>
      </x:c>
      <x:c r="B1391" t="str">
        <x:v>IMP-20260516-FULLDRAFT</x:v>
      </x:c>
      <x:c r="C1391" t="str">
        <x:v>KTO001</x:v>
      </x:c>
      <x:c r="D1391" t="str">
        <x:v>16-05-2026_Umsatzliste_Girokonto_DE98120300001061711675.csv</x:v>
      </x:c>
      <x:c r="E1391" t="n">
        <x:v>46163</x:v>
      </x:c>
      <x:c r="F1391" t="n">
        <x:v>1374</x:v>
      </x:c>
      <x:c r="G1391" t="str">
        <x:v>1d6ae878bcb0bf6b39c6f9820748d2dd4941dde6f7577c18b10b022c170930eb</x:v>
      </x:c>
      <x:c r="H1391" t="str">
        <x:v>neu</x:v>
      </x:c>
      <x:c r="I1391" t="str">
        <x:v>ok</x:v>
      </x:c>
      <x:c r="J1391"/>
      <x:c r="K1391" t="n">
        <x:v>45698</x:v>
      </x:c>
      <x:c r="L1391" t="n">
        <x:v>45698</x:v>
      </x:c>
      <x:c r="M1391" t="str">
        <x:v>Gebucht</x:v>
      </x:c>
      <x:c r="N1391" t="str">
        <x:v>ISSUER</x:v>
      </x:c>
      <x:c r="O1391" t="str">
        <x:v>REWE.Salzgitter.Ge/Salzgitter</x:v>
      </x:c>
      <x:c r="P1391" t="str">
        <x:v>VISA Debitkartenumsatz vom 07.02.2025</x:v>
      </x:c>
      <x:c r="Q1391" t="str">
        <x:v>Ausgang</x:v>
      </x:c>
      <x:c r="R1391" t="str">
        <x:v>DE96120300009005290904</x:v>
      </x:c>
      <x:c r="S1391" t="n">
        <x:v>-98.23</x:v>
      </x:c>
      <x:c r="T1391" t="str">
        <x:v>"</x:v>
      </x:c>
      <x:c r="U1391" t="str">
        <x:v>"</x:v>
      </x:c>
      <x:c r="V1391" t="str">
        <x:v>485038605666199</x:v>
      </x:c>
    </x:row>
    <x:row r="1392">
      <x:c r="A1392" t="str">
        <x:v>RAW-IMP-20260516-FULLDRAFT-001375</x:v>
      </x:c>
      <x:c r="B1392" t="str">
        <x:v>IMP-20260516-FULLDRAFT</x:v>
      </x:c>
      <x:c r="C1392" t="str">
        <x:v>KTO001</x:v>
      </x:c>
      <x:c r="D1392" t="str">
        <x:v>16-05-2026_Umsatzliste_Girokonto_DE98120300001061711675.csv</x:v>
      </x:c>
      <x:c r="E1392" t="n">
        <x:v>46163</x:v>
      </x:c>
      <x:c r="F1392" t="n">
        <x:v>1375</x:v>
      </x:c>
      <x:c r="G1392" t="str">
        <x:v>39cc394f39e3345d36e207e9b8ba31a40661280a0a628d48c1748adcc6ab09af</x:v>
      </x:c>
      <x:c r="H1392" t="str">
        <x:v>neu</x:v>
      </x:c>
      <x:c r="I1392" t="str">
        <x:v>ok</x:v>
      </x:c>
      <x:c r="J1392"/>
      <x:c r="K1392" t="n">
        <x:v>45698</x:v>
      </x:c>
      <x:c r="L1392" t="n">
        <x:v>45698</x:v>
      </x:c>
      <x:c r="M1392" t="str">
        <x:v>Gebucht</x:v>
      </x:c>
      <x:c r="N1392" t="str">
        <x:v>ISSUER</x:v>
      </x:c>
      <x:c r="O1392" t="str">
        <x:v>Sehusa.Wasserwelt/Seesen</x:v>
      </x:c>
      <x:c r="P1392" t="str">
        <x:v>VISA Debitkartenumsatz vom 08.02.2025</x:v>
      </x:c>
      <x:c r="Q1392" t="str">
        <x:v>Ausgang</x:v>
      </x:c>
      <x:c r="R1392" t="str">
        <x:v>DE96120300009005290904</x:v>
      </x:c>
      <x:c r="S1392" t="n">
        <x:v>-25.8</x:v>
      </x:c>
      <x:c r="T1392" t="str">
        <x:v>"</x:v>
      </x:c>
      <x:c r="U1392" t="str">
        <x:v>"</x:v>
      </x:c>
      <x:c r="V1392" t="str">
        <x:v>485039570997781</x:v>
      </x:c>
    </x:row>
    <x:row r="1393">
      <x:c r="A1393" t="str">
        <x:v>RAW-IMP-20260516-FULLDRAFT-001376</x:v>
      </x:c>
      <x:c r="B1393" t="str">
        <x:v>IMP-20260516-FULLDRAFT</x:v>
      </x:c>
      <x:c r="C1393" t="str">
        <x:v>KTO001</x:v>
      </x:c>
      <x:c r="D1393" t="str">
        <x:v>16-05-2026_Umsatzliste_Girokonto_DE98120300001061711675.csv</x:v>
      </x:c>
      <x:c r="E1393" t="n">
        <x:v>46163</x:v>
      </x:c>
      <x:c r="F1393" t="n">
        <x:v>1376</x:v>
      </x:c>
      <x:c r="G1393" t="str">
        <x:v>706a44db83ea3d64870ea60e6bc802d2b9eba9783495172e510147ed6e410d8a</x:v>
      </x:c>
      <x:c r="H1393" t="str">
        <x:v>neu</x:v>
      </x:c>
      <x:c r="I1393" t="str">
        <x:v>ok</x:v>
      </x:c>
      <x:c r="J1393"/>
      <x:c r="K1393" t="n">
        <x:v>45698</x:v>
      </x:c>
      <x:c r="L1393" t="n">
        <x:v>45698</x:v>
      </x:c>
      <x:c r="M1393" t="str">
        <x:v>Gebucht</x:v>
      </x:c>
      <x:c r="N1393" t="str">
        <x:v>ISSUER</x:v>
      </x:c>
      <x:c r="O1393" t="str">
        <x:v>REWE.Christian.Thalheim/Seesen</x:v>
      </x:c>
      <x:c r="P1393" t="str">
        <x:v>VISA Debitkartenumsatz vom 08.02.2025</x:v>
      </x:c>
      <x:c r="Q1393" t="str">
        <x:v>Ausgang</x:v>
      </x:c>
      <x:c r="R1393" t="str">
        <x:v>DE96120300009005290904</x:v>
      </x:c>
      <x:c r="S1393" t="n">
        <x:v>-31.86</x:v>
      </x:c>
      <x:c r="T1393" t="str">
        <x:v>"</x:v>
      </x:c>
      <x:c r="U1393" t="str">
        <x:v>"</x:v>
      </x:c>
      <x:c r="V1393" t="str">
        <x:v>485039588003063</x:v>
      </x:c>
    </x:row>
    <x:row r="1394">
      <x:c r="A1394" t="str">
        <x:v>RAW-IMP-20260516-FULLDRAFT-001377</x:v>
      </x:c>
      <x:c r="B1394" t="str">
        <x:v>IMP-20260516-FULLDRAFT</x:v>
      </x:c>
      <x:c r="C1394" t="str">
        <x:v>KTO001</x:v>
      </x:c>
      <x:c r="D1394" t="str">
        <x:v>16-05-2026_Umsatzliste_Girokonto_DE98120300001061711675.csv</x:v>
      </x:c>
      <x:c r="E1394" t="n">
        <x:v>46163</x:v>
      </x:c>
      <x:c r="F1394" t="n">
        <x:v>1377</x:v>
      </x:c>
      <x:c r="G1394" t="str">
        <x:v>a1b125542613e4c81be387faf81724899a89d4d1e0c62e8192b7e3e95d0020db</x:v>
      </x:c>
      <x:c r="H1394" t="str">
        <x:v>neu</x:v>
      </x:c>
      <x:c r="I1394" t="str">
        <x:v>ok</x:v>
      </x:c>
      <x:c r="J1394"/>
      <x:c r="K1394" t="n">
        <x:v>45698</x:v>
      </x:c>
      <x:c r="L1394" t="n">
        <x:v>45698</x:v>
      </x:c>
      <x:c r="M1394" t="str">
        <x:v>Gebucht</x:v>
      </x:c>
      <x:c r="N1394" t="str">
        <x:v>ISSUER</x:v>
      </x:c>
      <x:c r="O1394" t="str">
        <x:v>Aral.Station.160762167/Hildesheim</x:v>
      </x:c>
      <x:c r="P1394" t="str">
        <x:v>VISA Debitkartenumsatz vom 06.02.2025</x:v>
      </x:c>
      <x:c r="Q1394" t="str">
        <x:v>Ausgang</x:v>
      </x:c>
      <x:c r="R1394" t="str">
        <x:v>DE96120300009005290904</x:v>
      </x:c>
      <x:c r="S1394" t="n">
        <x:v>-15.95</x:v>
      </x:c>
      <x:c r="T1394" t="str">
        <x:v>"</x:v>
      </x:c>
      <x:c r="U1394" t="str">
        <x:v>"</x:v>
      </x:c>
      <x:c r="V1394" t="str">
        <x:v>485037311354935</x:v>
      </x:c>
    </x:row>
    <x:row r="1395">
      <x:c r="A1395" t="str">
        <x:v>RAW-IMP-20260516-FULLDRAFT-001378</x:v>
      </x:c>
      <x:c r="B1395" t="str">
        <x:v>IMP-20260516-FULLDRAFT</x:v>
      </x:c>
      <x:c r="C1395" t="str">
        <x:v>KTO001</x:v>
      </x:c>
      <x:c r="D1395" t="str">
        <x:v>16-05-2026_Umsatzliste_Girokonto_DE98120300001061711675.csv</x:v>
      </x:c>
      <x:c r="E1395" t="n">
        <x:v>46163</x:v>
      </x:c>
      <x:c r="F1395" t="n">
        <x:v>1378</x:v>
      </x:c>
      <x:c r="G1395" t="str">
        <x:v>76468a9a45eaa6fcbe856d2253191e9d5ae309611d45eb81a7fc88d441cc2135</x:v>
      </x:c>
      <x:c r="H1395" t="str">
        <x:v>neu</x:v>
      </x:c>
      <x:c r="I1395" t="str">
        <x:v>ok</x:v>
      </x:c>
      <x:c r="J1395"/>
      <x:c r="K1395" t="n">
        <x:v>45698</x:v>
      </x:c>
      <x:c r="L1395" t="n">
        <x:v>45698</x:v>
      </x:c>
      <x:c r="M1395" t="str">
        <x:v>Gebucht</x:v>
      </x:c>
      <x:c r="N1395" t="str">
        <x:v>ISSUER</x:v>
      </x:c>
      <x:c r="O1395" t="str">
        <x:v>Sehusa.Wasserwelt/Seesen</x:v>
      </x:c>
      <x:c r="P1395" t="str">
        <x:v>VISA Debitkartenumsatz vom 08.02.2025</x:v>
      </x:c>
      <x:c r="Q1395" t="str">
        <x:v>Ausgang</x:v>
      </x:c>
      <x:c r="R1395" t="str">
        <x:v>DE96120300009005290904</x:v>
      </x:c>
      <x:c r="S1395" t="n">
        <x:v>-36</x:v>
      </x:c>
      <x:c r="T1395" t="str">
        <x:v>"</x:v>
      </x:c>
      <x:c r="U1395" t="str">
        <x:v>"</x:v>
      </x:c>
      <x:c r="V1395" t="str">
        <x:v>485039354324311</x:v>
      </x:c>
    </x:row>
    <x:row r="1396">
      <x:c r="A1396" t="str">
        <x:v>RAW-IMP-20260516-FULLDRAFT-001379</x:v>
      </x:c>
      <x:c r="B1396" t="str">
        <x:v>IMP-20260516-FULLDRAFT</x:v>
      </x:c>
      <x:c r="C1396" t="str">
        <x:v>KTO001</x:v>
      </x:c>
      <x:c r="D1396" t="str">
        <x:v>16-05-2026_Umsatzliste_Girokonto_DE98120300001061711675.csv</x:v>
      </x:c>
      <x:c r="E1396" t="n">
        <x:v>46163</x:v>
      </x:c>
      <x:c r="F1396" t="n">
        <x:v>1379</x:v>
      </x:c>
      <x:c r="G1396" t="str">
        <x:v>dfd8625f33a4fde87eef04ae13c42bd17c3c690d87148cc1b0fbe34f382eaebe</x:v>
      </x:c>
      <x:c r="H1396" t="str">
        <x:v>neu</x:v>
      </x:c>
      <x:c r="I1396" t="str">
        <x:v>ok</x:v>
      </x:c>
      <x:c r="J1396"/>
      <x:c r="K1396" t="n">
        <x:v>45698</x:v>
      </x:c>
      <x:c r="L1396" t="n">
        <x:v>45698</x:v>
      </x:c>
      <x:c r="M1396" t="str">
        <x:v>Gebucht</x:v>
      </x:c>
      <x:c r="N1396" t="str">
        <x:v>ISSUER</x:v>
      </x:c>
      <x:c r="O1396" t="str">
        <x:v>ENTSORGUNGSZENTRUM.SAL/SALZGITTER</x:v>
      </x:c>
      <x:c r="P1396" t="str">
        <x:v>VISA Debitkartenumsatz vom 07.02.2025</x:v>
      </x:c>
      <x:c r="Q1396" t="str">
        <x:v>Ausgang</x:v>
      </x:c>
      <x:c r="R1396" t="str">
        <x:v>DE96120300009005290904</x:v>
      </x:c>
      <x:c r="S1396" t="n">
        <x:v>-7</x:v>
      </x:c>
      <x:c r="T1396" t="str">
        <x:v>"</x:v>
      </x:c>
      <x:c r="U1396" t="str">
        <x:v>"</x:v>
      </x:c>
      <x:c r="V1396" t="str">
        <x:v>485038516661681</x:v>
      </x:c>
    </x:row>
    <x:row r="1397">
      <x:c r="A1397" t="str">
        <x:v>RAW-IMP-20260516-FULLDRAFT-001380</x:v>
      </x:c>
      <x:c r="B1397" t="str">
        <x:v>IMP-20260516-FULLDRAFT</x:v>
      </x:c>
      <x:c r="C1397" t="str">
        <x:v>KTO001</x:v>
      </x:c>
      <x:c r="D1397" t="str">
        <x:v>16-05-2026_Umsatzliste_Girokonto_DE98120300001061711675.csv</x:v>
      </x:c>
      <x:c r="E1397" t="n">
        <x:v>46163</x:v>
      </x:c>
      <x:c r="F1397" t="n">
        <x:v>1380</x:v>
      </x:c>
      <x:c r="G1397" t="str">
        <x:v>c66e286fcbb9056cd3ead2fd4e3b31c86f217a3548772a05f75f03483c156e6a</x:v>
      </x:c>
      <x:c r="H1397" t="str">
        <x:v>neu</x:v>
      </x:c>
      <x:c r="I1397" t="str">
        <x:v>ok</x:v>
      </x:c>
      <x:c r="J1397"/>
      <x:c r="K1397" t="n">
        <x:v>45698</x:v>
      </x:c>
      <x:c r="L1397" t="n">
        <x:v>45698</x:v>
      </x:c>
      <x:c r="M1397" t="str">
        <x:v>Gebucht</x:v>
      </x:c>
      <x:c r="N1397" t="str">
        <x:v>ISSUER</x:v>
      </x:c>
      <x:c r="O1397" t="str">
        <x:v>Amazon.de.TK0YZ76Z4/AMAZON.DE</x:v>
      </x:c>
      <x:c r="P1397" t="str">
        <x:v>VISA Debitkartenumsatz vom 09.02.2025</x:v>
      </x:c>
      <x:c r="Q1397" t="str">
        <x:v>Ausgang</x:v>
      </x:c>
      <x:c r="R1397" t="str">
        <x:v>DE96120300009005290904</x:v>
      </x:c>
      <x:c r="S1397" t="n">
        <x:v>-30</x:v>
      </x:c>
      <x:c r="T1397" t="str">
        <x:v>"</x:v>
      </x:c>
      <x:c r="U1397" t="str">
        <x:v>"</x:v>
      </x:c>
      <x:c r="V1397" t="str">
        <x:v>485040293493143</x:v>
      </x:c>
    </x:row>
    <x:row r="1398">
      <x:c r="A1398" t="str">
        <x:v>RAW-IMP-20260516-FULLDRAFT-001381</x:v>
      </x:c>
      <x:c r="B1398" t="str">
        <x:v>IMP-20260516-FULLDRAFT</x:v>
      </x:c>
      <x:c r="C1398" t="str">
        <x:v>KTO001</x:v>
      </x:c>
      <x:c r="D1398" t="str">
        <x:v>16-05-2026_Umsatzliste_Girokonto_DE98120300001061711675.csv</x:v>
      </x:c>
      <x:c r="E1398" t="n">
        <x:v>46163</x:v>
      </x:c>
      <x:c r="F1398" t="n">
        <x:v>1381</x:v>
      </x:c>
      <x:c r="G1398" t="str">
        <x:v>93c9e30dc710c7dfbdb2cd916504e70c0281a8eb1a6654749c30653b998a93dc</x:v>
      </x:c>
      <x:c r="H1398" t="str">
        <x:v>neu</x:v>
      </x:c>
      <x:c r="I1398" t="str">
        <x:v>ok</x:v>
      </x:c>
      <x:c r="J1398"/>
      <x:c r="K1398" t="n">
        <x:v>45698</x:v>
      </x:c>
      <x:c r="L1398" t="n">
        <x:v>45698</x:v>
      </x:c>
      <x:c r="M1398" t="str">
        <x:v>Gebucht</x:v>
      </x:c>
      <x:c r="N1398" t="str">
        <x:v>ISSUER</x:v>
      </x:c>
      <x:c r="O1398" t="str">
        <x:v>ENTSORGUNGSZENTRUM.SAL/SALZGITTER</x:v>
      </x:c>
      <x:c r="P1398" t="str">
        <x:v>VISA Debitkartenumsatz vom 07.02.2025</x:v>
      </x:c>
      <x:c r="Q1398" t="str">
        <x:v>Ausgang</x:v>
      </x:c>
      <x:c r="R1398" t="str">
        <x:v>DE96120300009005290904</x:v>
      </x:c>
      <x:c r="S1398" t="n">
        <x:v>-7</x:v>
      </x:c>
      <x:c r="T1398" t="str">
        <x:v>"</x:v>
      </x:c>
      <x:c r="U1398" t="str">
        <x:v>"</x:v>
      </x:c>
      <x:c r="V1398" t="str">
        <x:v>485038537245805</x:v>
      </x:c>
    </x:row>
    <x:row r="1399">
      <x:c r="A1399" t="str">
        <x:v>RAW-IMP-20260516-FULLDRAFT-001382</x:v>
      </x:c>
      <x:c r="B1399" t="str">
        <x:v>IMP-20260516-FULLDRAFT</x:v>
      </x:c>
      <x:c r="C1399" t="str">
        <x:v>KTO001</x:v>
      </x:c>
      <x:c r="D1399" t="str">
        <x:v>16-05-2026_Umsatzliste_Girokonto_DE98120300001061711675.csv</x:v>
      </x:c>
      <x:c r="E1399" t="n">
        <x:v>46163</x:v>
      </x:c>
      <x:c r="F1399" t="n">
        <x:v>1382</x:v>
      </x:c>
      <x:c r="G1399" t="str">
        <x:v>f3f1a2e193131e5a72a0721055a8570ec9e1cc24977050b18a2cb62a9865ed64</x:v>
      </x:c>
      <x:c r="H1399" t="str">
        <x:v>neu</x:v>
      </x:c>
      <x:c r="I1399" t="str">
        <x:v>ok</x:v>
      </x:c>
      <x:c r="J1399"/>
      <x:c r="K1399" t="n">
        <x:v>45698</x:v>
      </x:c>
      <x:c r="L1399" t="n">
        <x:v>45698</x:v>
      </x:c>
      <x:c r="M1399" t="str">
        <x:v>Gebucht</x:v>
      </x:c>
      <x:c r="N1399" t="str">
        <x:v>Lars Kohlenberg</x:v>
      </x:c>
      <x:c r="O1399" t="str">
        <x:v>GMX by LOTTO24                                                        StraBenbahnring 11 20251 Hamburg</x:v>
      </x:c>
      <x:c r="P1399" t="str">
        <x:v>GMX by LOTTO24 C98983063 - T640202099856</x:v>
      </x:c>
      <x:c r="Q1399" t="str">
        <x:v>Ausgang</x:v>
      </x:c>
      <x:c r="R1399" t="str">
        <x:v>DE52100190001000027873</x:v>
      </x:c>
      <x:c r="S1399" t="n">
        <x:v>-18.14</x:v>
      </x:c>
      <x:c r="T1399" t="str">
        <x:v>NL48ZZZ342764500000</x:v>
      </x:c>
      <x:c r="U1399" t="str">
        <x:v>R372DKN5SSBXZP52</x:v>
      </x:c>
      <x:c r="V1399" t="str">
        <x:v>G3GRNB7DK3NP3RF6</x:v>
      </x:c>
    </x:row>
    <x:row r="1400">
      <x:c r="A1400" t="str">
        <x:v>RAW-IMP-20260516-FULLDRAFT-001383</x:v>
      </x:c>
      <x:c r="B1400" t="str">
        <x:v>IMP-20260516-FULLDRAFT</x:v>
      </x:c>
      <x:c r="C1400" t="str">
        <x:v>KTO001</x:v>
      </x:c>
      <x:c r="D1400" t="str">
        <x:v>16-05-2026_Umsatzliste_Girokonto_DE98120300001061711675.csv</x:v>
      </x:c>
      <x:c r="E1400" t="n">
        <x:v>46163</x:v>
      </x:c>
      <x:c r="F1400" t="n">
        <x:v>1383</x:v>
      </x:c>
      <x:c r="G1400" t="str">
        <x:v>f4ae53ffebbefe33e8db525d6c43fbcdbed3fbdbe05d17aa0f44b311bf1c2e9f</x:v>
      </x:c>
      <x:c r="H1400" t="str">
        <x:v>neu</x:v>
      </x:c>
      <x:c r="I1400" t="str">
        <x:v>ok</x:v>
      </x:c>
      <x:c r="J1400"/>
      <x:c r="K1400" t="n">
        <x:v>45695</x:v>
      </x:c>
      <x:c r="L1400" t="n">
        <x:v>45695</x:v>
      </x:c>
      <x:c r="M1400" t="str">
        <x:v>Gebucht</x:v>
      </x:c>
      <x:c r="N1400" t="str">
        <x:v>ISSUER</x:v>
      </x:c>
      <x:c r="O1400" t="str">
        <x:v>EDEKA.POTRATZ/HILDESHEIM</x:v>
      </x:c>
      <x:c r="P1400" t="str">
        <x:v>VISA Debitkartenumsatz vom 06.02.2025</x:v>
      </x:c>
      <x:c r="Q1400" t="str">
        <x:v>Ausgang</x:v>
      </x:c>
      <x:c r="R1400" t="str">
        <x:v>DE96120300009005290904</x:v>
      </x:c>
      <x:c r="S1400" t="n">
        <x:v>-2.01</x:v>
      </x:c>
      <x:c r="T1400" t="str">
        <x:v>"</x:v>
      </x:c>
      <x:c r="U1400" t="str">
        <x:v>"</x:v>
      </x:c>
      <x:c r="V1400" t="str">
        <x:v>485037408038827</x:v>
      </x:c>
    </x:row>
    <x:row r="1401">
      <x:c r="A1401" t="str">
        <x:v>RAW-IMP-20260516-FULLDRAFT-001384</x:v>
      </x:c>
      <x:c r="B1401" t="str">
        <x:v>IMP-20260516-FULLDRAFT</x:v>
      </x:c>
      <x:c r="C1401" t="str">
        <x:v>KTO001</x:v>
      </x:c>
      <x:c r="D1401" t="str">
        <x:v>16-05-2026_Umsatzliste_Girokonto_DE98120300001061711675.csv</x:v>
      </x:c>
      <x:c r="E1401" t="n">
        <x:v>46163</x:v>
      </x:c>
      <x:c r="F1401" t="n">
        <x:v>1384</x:v>
      </x:c>
      <x:c r="G1401" t="str">
        <x:v>96af9e1f43a3d5d7fd0f3eac70350dd6ce43118a8760f1c2773bfa58cbb274fe</x:v>
      </x:c>
      <x:c r="H1401" t="str">
        <x:v>neu</x:v>
      </x:c>
      <x:c r="I1401" t="str">
        <x:v>ok</x:v>
      </x:c>
      <x:c r="J1401"/>
      <x:c r="K1401" t="n">
        <x:v>45695</x:v>
      </x:c>
      <x:c r="L1401" t="n">
        <x:v>45695</x:v>
      </x:c>
      <x:c r="M1401" t="str">
        <x:v>Gebucht</x:v>
      </x:c>
      <x:c r="N1401" t="str">
        <x:v>ISSUER</x:v>
      </x:c>
      <x:c r="O1401" t="str">
        <x:v>MEISTERBAECKEREI.STEIN/HILDESHEIM</x:v>
      </x:c>
      <x:c r="P1401" t="str">
        <x:v>VISA Debitkartenumsatz vom 06.02.2025</x:v>
      </x:c>
      <x:c r="Q1401" t="str">
        <x:v>Ausgang</x:v>
      </x:c>
      <x:c r="R1401" t="str">
        <x:v>DE96120300009005290904</x:v>
      </x:c>
      <x:c r="S1401" t="n">
        <x:v>-3.8</x:v>
      </x:c>
      <x:c r="T1401" t="str">
        <x:v>"</x:v>
      </x:c>
      <x:c r="U1401" t="str">
        <x:v>"</x:v>
      </x:c>
      <x:c r="V1401" t="str">
        <x:v>485037302982316</x:v>
      </x:c>
    </x:row>
    <x:row r="1402">
      <x:c r="A1402" t="str">
        <x:v>RAW-IMP-20260516-FULLDRAFT-001385</x:v>
      </x:c>
      <x:c r="B1402" t="str">
        <x:v>IMP-20260516-FULLDRAFT</x:v>
      </x:c>
      <x:c r="C1402" t="str">
        <x:v>KTO001</x:v>
      </x:c>
      <x:c r="D1402" t="str">
        <x:v>16-05-2026_Umsatzliste_Girokonto_DE98120300001061711675.csv</x:v>
      </x:c>
      <x:c r="E1402" t="n">
        <x:v>46163</x:v>
      </x:c>
      <x:c r="F1402" t="n">
        <x:v>1385</x:v>
      </x:c>
      <x:c r="G1402" t="str">
        <x:v>130da8fcfca99fa22a1a21dbf142a7bfef2c172fb80d02569bf739d2be84dba6</x:v>
      </x:c>
      <x:c r="H1402" t="str">
        <x:v>neu</x:v>
      </x:c>
      <x:c r="I1402" t="str">
        <x:v>ok</x:v>
      </x:c>
      <x:c r="J1402"/>
      <x:c r="K1402" t="n">
        <x:v>45695</x:v>
      </x:c>
      <x:c r="L1402" t="n">
        <x:v>45695</x:v>
      </x:c>
      <x:c r="M1402" t="str">
        <x:v>Gebucht</x:v>
      </x:c>
      <x:c r="N1402" t="str">
        <x:v>Lars Kohlenberg</x:v>
      </x:c>
      <x:c r="O1402" t="str">
        <x:v>EnBW Energie Baden-Wurttemberg AG                                     Durlacher Allee 93, 76131 Karlsruhe</x:v>
      </x:c>
      <x:c r="P1402" t="str">
        <x:v>720016881366 Mobility+ Rechnung</x:v>
      </x:c>
      <x:c r="Q1402" t="str">
        <x:v>Ausgang</x:v>
      </x:c>
      <x:c r="R1402" t="str">
        <x:v>DE30600501010004095341</x:v>
      </x:c>
      <x:c r="S1402" t="n">
        <x:v>-119.96</x:v>
      </x:c>
      <x:c r="T1402" t="str">
        <x:v>DE6900000000084184</x:v>
      </x:c>
      <x:c r="U1402" t="str">
        <x:v>V5500000100835916</x:v>
      </x:c>
      <x:c r="V1402" t="str">
        <x:v>B22750293261 720016881366</x:v>
      </x:c>
    </x:row>
    <x:row r="1403">
      <x:c r="A1403" t="str">
        <x:v>RAW-IMP-20260516-FULLDRAFT-001386</x:v>
      </x:c>
      <x:c r="B1403" t="str">
        <x:v>IMP-20260516-FULLDRAFT</x:v>
      </x:c>
      <x:c r="C1403" t="str">
        <x:v>KTO001</x:v>
      </x:c>
      <x:c r="D1403" t="str">
        <x:v>16-05-2026_Umsatzliste_Girokonto_DE98120300001061711675.csv</x:v>
      </x:c>
      <x:c r="E1403" t="n">
        <x:v>46163</x:v>
      </x:c>
      <x:c r="F1403" t="n">
        <x:v>1386</x:v>
      </x:c>
      <x:c r="G1403" t="str">
        <x:v>3d858209b2e9bd8211d8686082305fd9d9c42e29e10314bd32b85fb9426db478</x:v>
      </x:c>
      <x:c r="H1403" t="str">
        <x:v>neu</x:v>
      </x:c>
      <x:c r="I1403" t="str">
        <x:v>ok</x:v>
      </x:c>
      <x:c r="J1403"/>
      <x:c r="K1403" t="n">
        <x:v>45694</x:v>
      </x:c>
      <x:c r="L1403" t="n">
        <x:v>45694</x:v>
      </x:c>
      <x:c r="M1403" t="str">
        <x:v>Gebucht</x:v>
      </x:c>
      <x:c r="N1403" t="str">
        <x:v>Lars Kohlenberg                                                       Johannes-Wosnitza-Str. 8 38229 Salzgitter</x:v>
      </x:c>
      <x:c r="O1403" t="str">
        <x:v>Telekom Deutschland GmbH</x:v>
      </x:c>
      <x:c r="P1403" t="str">
        <x:v>Festnetz Vertragskonto 4763666565 RG 7727966848/28.01.2025</x:v>
      </x:c>
      <x:c r="Q1403" t="str">
        <x:v>Ausgang</x:v>
      </x:c>
      <x:c r="R1403" t="str">
        <x:v>DE07512108001095000911</x:v>
      </x:c>
      <x:c r="S1403" t="n">
        <x:v>-61.93</x:v>
      </x:c>
      <x:c r="T1403" t="str">
        <x:v>DE93ZZZ00000078611</x:v>
      </x:c>
      <x:c r="U1403" t="str">
        <x:v>DE000201000200000000000000012966156</x:v>
      </x:c>
      <x:c r="V1403" t="str">
        <x:v>Zahlbeleg 302359236121</x:v>
      </x:c>
    </x:row>
    <x:row r="1404">
      <x:c r="A1404" t="str">
        <x:v>RAW-IMP-20260516-FULLDRAFT-001387</x:v>
      </x:c>
      <x:c r="B1404" t="str">
        <x:v>IMP-20260516-FULLDRAFT</x:v>
      </x:c>
      <x:c r="C1404" t="str">
        <x:v>KTO001</x:v>
      </x:c>
      <x:c r="D1404" t="str">
        <x:v>16-05-2026_Umsatzliste_Girokonto_DE98120300001061711675.csv</x:v>
      </x:c>
      <x:c r="E1404" t="n">
        <x:v>46163</x:v>
      </x:c>
      <x:c r="F1404" t="n">
        <x:v>1387</x:v>
      </x:c>
      <x:c r="G1404" t="str">
        <x:v>23bc143e4022888ade09a26c332d8a84738ecc85d1060c4d143bea27648a307b</x:v>
      </x:c>
      <x:c r="H1404" t="str">
        <x:v>neu</x:v>
      </x:c>
      <x:c r="I1404" t="str">
        <x:v>ok</x:v>
      </x:c>
      <x:c r="J1404"/>
      <x:c r="K1404" t="n">
        <x:v>45694</x:v>
      </x:c>
      <x:c r="L1404" t="n">
        <x:v>45694</x:v>
      </x:c>
      <x:c r="M1404" t="str">
        <x:v>Gebucht</x:v>
      </x:c>
      <x:c r="N1404" t="str">
        <x:v>Lars Kohlenberg</x:v>
      </x:c>
      <x:c r="O1404" t="str">
        <x:v>Iman Firat</x:v>
      </x:c>
      <x:c r="P1404" t="str">
        <x:v>2230 Lea Kohlenberg</x:v>
      </x:c>
      <x:c r="Q1404" t="str">
        <x:v>Ausgang</x:v>
      </x:c>
      <x:c r="R1404" t="str">
        <x:v>DE67269910662694298000</x:v>
      </x:c>
      <x:c r="S1404" t="n">
        <x:v>-49.9</x:v>
      </x:c>
      <x:c r="T1404" t="str">
        <x:v>"</x:v>
      </x:c>
      <x:c r="U1404" t="str">
        <x:v>"</x:v>
      </x:c>
      <x:c r="V1404" t="str">
        <x:v>"</x:v>
      </x:c>
    </x:row>
    <x:row r="1405">
      <x:c r="A1405" t="str">
        <x:v>RAW-IMP-20260516-FULLDRAFT-001388</x:v>
      </x:c>
      <x:c r="B1405" t="str">
        <x:v>IMP-20260516-FULLDRAFT</x:v>
      </x:c>
      <x:c r="C1405" t="str">
        <x:v>KTO001</x:v>
      </x:c>
      <x:c r="D1405" t="str">
        <x:v>16-05-2026_Umsatzliste_Girokonto_DE98120300001061711675.csv</x:v>
      </x:c>
      <x:c r="E1405" t="n">
        <x:v>46163</x:v>
      </x:c>
      <x:c r="F1405" t="n">
        <x:v>1388</x:v>
      </x:c>
      <x:c r="G1405" t="str">
        <x:v>10c1fcb9ef676180cf05109f7ede762bb751429ac5e86605ef3f9790d7562c30</x:v>
      </x:c>
      <x:c r="H1405" t="str">
        <x:v>neu</x:v>
      </x:c>
      <x:c r="I1405" t="str">
        <x:v>ok</x:v>
      </x:c>
      <x:c r="J1405"/>
      <x:c r="K1405" t="n">
        <x:v>45693</x:v>
      </x:c>
      <x:c r="L1405" t="n">
        <x:v>45693</x:v>
      </x:c>
      <x:c r="M1405" t="str">
        <x:v>Gebucht</x:v>
      </x:c>
      <x:c r="N1405" t="str">
        <x:v>ISSUER</x:v>
      </x:c>
      <x:c r="O1405" t="str">
        <x:v>REWE.Salzgitter.Ge/Salzgitter</x:v>
      </x:c>
      <x:c r="P1405" t="str">
        <x:v>VISA Debitkartenumsatz vom 04.02.2025</x:v>
      </x:c>
      <x:c r="Q1405" t="str">
        <x:v>Ausgang</x:v>
      </x:c>
      <x:c r="R1405" t="str">
        <x:v>DE96120300009005290904</x:v>
      </x:c>
      <x:c r="S1405" t="n">
        <x:v>-4.29</x:v>
      </x:c>
      <x:c r="T1405" t="str">
        <x:v>"</x:v>
      </x:c>
      <x:c r="U1405" t="str">
        <x:v>"</x:v>
      </x:c>
      <x:c r="V1405" t="str">
        <x:v>485035597649238</x:v>
      </x:c>
    </x:row>
    <x:row r="1406">
      <x:c r="A1406" t="str">
        <x:v>RAW-IMP-20260516-FULLDRAFT-001389</x:v>
      </x:c>
      <x:c r="B1406" t="str">
        <x:v>IMP-20260516-FULLDRAFT</x:v>
      </x:c>
      <x:c r="C1406" t="str">
        <x:v>KTO001</x:v>
      </x:c>
      <x:c r="D1406" t="str">
        <x:v>16-05-2026_Umsatzliste_Girokonto_DE98120300001061711675.csv</x:v>
      </x:c>
      <x:c r="E1406" t="n">
        <x:v>46163</x:v>
      </x:c>
      <x:c r="F1406" t="n">
        <x:v>1389</x:v>
      </x:c>
      <x:c r="G1406" t="str">
        <x:v>4d49a725cd89b2f4c8971b404bf1301ee76ee47256f5d66da6a07f1c043afd83</x:v>
      </x:c>
      <x:c r="H1406" t="str">
        <x:v>neu</x:v>
      </x:c>
      <x:c r="I1406" t="str">
        <x:v>ok</x:v>
      </x:c>
      <x:c r="J1406"/>
      <x:c r="K1406" t="n">
        <x:v>45693</x:v>
      </x:c>
      <x:c r="L1406" t="n">
        <x:v>45693</x:v>
      </x:c>
      <x:c r="M1406" t="str">
        <x:v>Gebucht</x:v>
      </x:c>
      <x:c r="N1406" t="str">
        <x:v>Kohlenberg Lars</x:v>
      </x:c>
      <x:c r="O1406" t="str">
        <x:v>Verein fur Leibesubungen (VfL) Salder e.V.</x:v>
      </x:c>
      <x:c r="P1406" t="str">
        <x:v>VfL Salder e.V., Kohlenberg, Jan Niklas, 3191, Beitrag 2025</x:v>
      </x:c>
      <x:c r="Q1406" t="str">
        <x:v>Ausgang</x:v>
      </x:c>
      <x:c r="R1406" t="str">
        <x:v>DE47270925550000226700</x:v>
      </x:c>
      <x:c r="S1406" t="n">
        <x:v>-90</x:v>
      </x:c>
      <x:c r="T1406" t="str">
        <x:v>DE72VFL00000575435</x:v>
      </x:c>
      <x:c r="U1406" t="str">
        <x:v>11224</x:v>
      </x:c>
      <x:c r="V1406" t="str">
        <x:v>82133632</x:v>
      </x:c>
    </x:row>
    <x:row r="1407">
      <x:c r="A1407" t="str">
        <x:v>RAW-IMP-20260516-FULLDRAFT-001390</x:v>
      </x:c>
      <x:c r="B1407" t="str">
        <x:v>IMP-20260516-FULLDRAFT</x:v>
      </x:c>
      <x:c r="C1407" t="str">
        <x:v>KTO001</x:v>
      </x:c>
      <x:c r="D1407" t="str">
        <x:v>16-05-2026_Umsatzliste_Girokonto_DE98120300001061711675.csv</x:v>
      </x:c>
      <x:c r="E1407" t="n">
        <x:v>46163</x:v>
      </x:c>
      <x:c r="F1407" t="n">
        <x:v>1390</x:v>
      </x:c>
      <x:c r="G1407" t="str">
        <x:v>50487ff9575de6da92610015b0d73c377eb49720b6ea35caa0bf5d6a8a947b97</x:v>
      </x:c>
      <x:c r="H1407" t="str">
        <x:v>neu</x:v>
      </x:c>
      <x:c r="I1407" t="str">
        <x:v>ok</x:v>
      </x:c>
      <x:c r="J1407"/>
      <x:c r="K1407" t="n">
        <x:v>45692</x:v>
      </x:c>
      <x:c r="L1407" t="n">
        <x:v>45692</x:v>
      </x:c>
      <x:c r="M1407" t="str">
        <x:v>Gebucht</x:v>
      </x:c>
      <x:c r="N1407" t="str">
        <x:v>ISSUER</x:v>
      </x:c>
      <x:c r="O1407" t="str">
        <x:v>ENTSORGUNGSZENTRUM.SAL/SALZGITTER</x:v>
      </x:c>
      <x:c r="P1407" t="str">
        <x:v>VISA Debitkartenumsatz vom 01.02.2025</x:v>
      </x:c>
      <x:c r="Q1407" t="str">
        <x:v>Ausgang</x:v>
      </x:c>
      <x:c r="R1407" t="str">
        <x:v>DE96120300009005290904</x:v>
      </x:c>
      <x:c r="S1407" t="n">
        <x:v>-7</x:v>
      </x:c>
      <x:c r="T1407" t="str">
        <x:v>"</x:v>
      </x:c>
      <x:c r="U1407" t="str">
        <x:v>"</x:v>
      </x:c>
      <x:c r="V1407" t="str">
        <x:v>485032324343960</x:v>
      </x:c>
    </x:row>
    <x:row r="1408">
      <x:c r="A1408" t="str">
        <x:v>RAW-IMP-20260516-FULLDRAFT-001391</x:v>
      </x:c>
      <x:c r="B1408" t="str">
        <x:v>IMP-20260516-FULLDRAFT</x:v>
      </x:c>
      <x:c r="C1408" t="str">
        <x:v>KTO001</x:v>
      </x:c>
      <x:c r="D1408" t="str">
        <x:v>16-05-2026_Umsatzliste_Girokonto_DE98120300001061711675.csv</x:v>
      </x:c>
      <x:c r="E1408" t="n">
        <x:v>46163</x:v>
      </x:c>
      <x:c r="F1408" t="n">
        <x:v>1391</x:v>
      </x:c>
      <x:c r="G1408" t="str">
        <x:v>de70a9527be2b27d210d8120a548e6afd5f996347f26dc2dbd34fe4b98998300</x:v>
      </x:c>
      <x:c r="H1408" t="str">
        <x:v>neu</x:v>
      </x:c>
      <x:c r="I1408" t="str">
        <x:v>ok</x:v>
      </x:c>
      <x:c r="J1408"/>
      <x:c r="K1408" t="n">
        <x:v>45692</x:v>
      </x:c>
      <x:c r="L1408" t="n">
        <x:v>45692</x:v>
      </x:c>
      <x:c r="M1408" t="str">
        <x:v>Gebucht</x:v>
      </x:c>
      <x:c r="N1408" t="str">
        <x:v>ISSUER</x:v>
      </x:c>
      <x:c r="O1408" t="str">
        <x:v>ENTSORGUNGSZENTRUM.SAL/SALZGITTER</x:v>
      </x:c>
      <x:c r="P1408" t="str">
        <x:v>VISA Debitkartenumsatz vom 01.02.2025</x:v>
      </x:c>
      <x:c r="Q1408" t="str">
        <x:v>Ausgang</x:v>
      </x:c>
      <x:c r="R1408" t="str">
        <x:v>DE96120300009005290904</x:v>
      </x:c>
      <x:c r="S1408" t="n">
        <x:v>-7</x:v>
      </x:c>
      <x:c r="T1408" t="str">
        <x:v>"</x:v>
      </x:c>
      <x:c r="U1408" t="str">
        <x:v>"</x:v>
      </x:c>
      <x:c r="V1408" t="str">
        <x:v>485032363422532</x:v>
      </x:c>
    </x:row>
    <x:row r="1409">
      <x:c r="A1409" t="str">
        <x:v>RAW-IMP-20260516-FULLDRAFT-001392</x:v>
      </x:c>
      <x:c r="B1409" t="str">
        <x:v>IMP-20260516-FULLDRAFT</x:v>
      </x:c>
      <x:c r="C1409" t="str">
        <x:v>KTO001</x:v>
      </x:c>
      <x:c r="D1409" t="str">
        <x:v>16-05-2026_Umsatzliste_Girokonto_DE98120300001061711675.csv</x:v>
      </x:c>
      <x:c r="E1409" t="n">
        <x:v>46163</x:v>
      </x:c>
      <x:c r="F1409" t="n">
        <x:v>1392</x:v>
      </x:c>
      <x:c r="G1409" t="str">
        <x:v>eb2315eaa8f264e43c98bc8358baee0f5f217bec8604430aeed00fba45b4bf7c</x:v>
      </x:c>
      <x:c r="H1409" t="str">
        <x:v>neu</x:v>
      </x:c>
      <x:c r="I1409" t="str">
        <x:v>ok</x:v>
      </x:c>
      <x:c r="J1409"/>
      <x:c r="K1409" t="n">
        <x:v>45692</x:v>
      </x:c>
      <x:c r="L1409" t="n">
        <x:v>45692</x:v>
      </x:c>
      <x:c r="M1409" t="str">
        <x:v>Gebucht</x:v>
      </x:c>
      <x:c r="N1409" t="str">
        <x:v>ISSUER</x:v>
      </x:c>
      <x:c r="O1409" t="str">
        <x:v>E.CENTER.3375/SALZGITTER</x:v>
      </x:c>
      <x:c r="P1409" t="str">
        <x:v>VISA Debitkartenumsatz vom 01.02.2025</x:v>
      </x:c>
      <x:c r="Q1409" t="str">
        <x:v>Ausgang</x:v>
      </x:c>
      <x:c r="R1409" t="str">
        <x:v>DE96120300009005290904</x:v>
      </x:c>
      <x:c r="S1409" t="n">
        <x:v>-9.27</x:v>
      </x:c>
      <x:c r="T1409" t="str">
        <x:v>"</x:v>
      </x:c>
      <x:c r="U1409" t="str">
        <x:v>"</x:v>
      </x:c>
      <x:c r="V1409" t="str">
        <x:v>485032586947639</x:v>
      </x:c>
    </x:row>
    <x:row r="1410">
      <x:c r="A1410" t="str">
        <x:v>RAW-IMP-20260516-FULLDRAFT-001393</x:v>
      </x:c>
      <x:c r="B1410" t="str">
        <x:v>IMP-20260516-FULLDRAFT</x:v>
      </x:c>
      <x:c r="C1410" t="str">
        <x:v>KTO001</x:v>
      </x:c>
      <x:c r="D1410" t="str">
        <x:v>16-05-2026_Umsatzliste_Girokonto_DE98120300001061711675.csv</x:v>
      </x:c>
      <x:c r="E1410" t="n">
        <x:v>46163</x:v>
      </x:c>
      <x:c r="F1410" t="n">
        <x:v>1393</x:v>
      </x:c>
      <x:c r="G1410" t="str">
        <x:v>6504938f21322be18ee1124c62ac2735c832ac392dca2a93bb590c85a5625366</x:v>
      </x:c>
      <x:c r="H1410" t="str">
        <x:v>neu</x:v>
      </x:c>
      <x:c r="I1410" t="str">
        <x:v>ok</x:v>
      </x:c>
      <x:c r="J1410"/>
      <x:c r="K1410" t="n">
        <x:v>45692</x:v>
      </x:c>
      <x:c r="L1410" t="n">
        <x:v>45692</x:v>
      </x:c>
      <x:c r="M1410" t="str">
        <x:v>Gebucht</x:v>
      </x:c>
      <x:c r="N1410" t="str">
        <x:v>ISSUER</x:v>
      </x:c>
      <x:c r="O1410" t="str">
        <x:v>LOEWENBAECKER.SCHAPER/SALZGITTER</x:v>
      </x:c>
      <x:c r="P1410" t="str">
        <x:v>VISA Debitkartenumsatz vom 01.02.2025</x:v>
      </x:c>
      <x:c r="Q1410" t="str">
        <x:v>Ausgang</x:v>
      </x:c>
      <x:c r="R1410" t="str">
        <x:v>DE96120300009005290904</x:v>
      </x:c>
      <x:c r="S1410" t="n">
        <x:v>-4.5</x:v>
      </x:c>
      <x:c r="T1410" t="str">
        <x:v>"</x:v>
      </x:c>
      <x:c r="U1410" t="str">
        <x:v>"</x:v>
      </x:c>
      <x:c r="V1410" t="str">
        <x:v>485032286096372</x:v>
      </x:c>
    </x:row>
    <x:row r="1411">
      <x:c r="A1411" t="str">
        <x:v>RAW-IMP-20260516-FULLDRAFT-001394</x:v>
      </x:c>
      <x:c r="B1411" t="str">
        <x:v>IMP-20260516-FULLDRAFT</x:v>
      </x:c>
      <x:c r="C1411" t="str">
        <x:v>KTO001</x:v>
      </x:c>
      <x:c r="D1411" t="str">
        <x:v>16-05-2026_Umsatzliste_Girokonto_DE98120300001061711675.csv</x:v>
      </x:c>
      <x:c r="E1411" t="n">
        <x:v>46163</x:v>
      </x:c>
      <x:c r="F1411" t="n">
        <x:v>1394</x:v>
      </x:c>
      <x:c r="G1411" t="str">
        <x:v>ec04629518fe0554ad57df57fcdd5871c36d80bb046bbf1a1bb870fa254c9738</x:v>
      </x:c>
      <x:c r="H1411" t="str">
        <x:v>neu</x:v>
      </x:c>
      <x:c r="I1411" t="str">
        <x:v>ok</x:v>
      </x:c>
      <x:c r="J1411"/>
      <x:c r="K1411" t="n">
        <x:v>45692</x:v>
      </x:c>
      <x:c r="L1411" t="n">
        <x:v>45691</x:v>
      </x:c>
      <x:c r="M1411" t="str">
        <x:v>Gebucht</x:v>
      </x:c>
      <x:c r="N1411" t="str">
        <x:v>ISSUER</x:v>
      </x:c>
      <x:c r="O1411" t="str">
        <x:v>REWE.Acar.oHG/Salzgitter</x:v>
      </x:c>
      <x:c r="P1411" t="str">
        <x:v>VISA Debitkartenumsatz vom 01.02.2025</x:v>
      </x:c>
      <x:c r="Q1411" t="str">
        <x:v>Ausgang</x:v>
      </x:c>
      <x:c r="R1411" t="str">
        <x:v>DE96120300009005290904</x:v>
      </x:c>
      <x:c r="S1411" t="n">
        <x:v>-128</x:v>
      </x:c>
      <x:c r="T1411" t="str">
        <x:v>"</x:v>
      </x:c>
      <x:c r="U1411" t="str">
        <x:v>"</x:v>
      </x:c>
      <x:c r="V1411" t="str">
        <x:v>485032576229880</x:v>
      </x:c>
    </x:row>
    <x:row r="1412">
      <x:c r="A1412" t="str">
        <x:v>RAW-IMP-20260516-FULLDRAFT-001395</x:v>
      </x:c>
      <x:c r="B1412" t="str">
        <x:v>IMP-20260516-FULLDRAFT</x:v>
      </x:c>
      <x:c r="C1412" t="str">
        <x:v>KTO001</x:v>
      </x:c>
      <x:c r="D1412" t="str">
        <x:v>16-05-2026_Umsatzliste_Girokonto_DE98120300001061711675.csv</x:v>
      </x:c>
      <x:c r="E1412" t="n">
        <x:v>46163</x:v>
      </x:c>
      <x:c r="F1412" t="n">
        <x:v>1395</x:v>
      </x:c>
      <x:c r="G1412" t="str">
        <x:v>b103a6d0a4bf9ca3eda680126d45dd434e2ac714efb462d86e66851dbbd69e24</x:v>
      </x:c>
      <x:c r="H1412" t="str">
        <x:v>neu</x:v>
      </x:c>
      <x:c r="I1412" t="str">
        <x:v>ok</x:v>
      </x:c>
      <x:c r="J1412"/>
      <x:c r="K1412" t="n">
        <x:v>45692</x:v>
      </x:c>
      <x:c r="L1412" t="n">
        <x:v>45691</x:v>
      </x:c>
      <x:c r="M1412" t="str">
        <x:v>Gebucht</x:v>
      </x:c>
      <x:c r="N1412" t="str">
        <x:v>ISSUER</x:v>
      </x:c>
      <x:c r="O1412" t="str">
        <x:v>REWE.Salzgitter.Ge/Salzgitter</x:v>
      </x:c>
      <x:c r="P1412" t="str">
        <x:v>VISA Debitkartenumsatz vom 01.02.2025</x:v>
      </x:c>
      <x:c r="Q1412" t="str">
        <x:v>Ausgang</x:v>
      </x:c>
      <x:c r="R1412" t="str">
        <x:v>DE96120300009005290904</x:v>
      </x:c>
      <x:c r="S1412" t="n">
        <x:v>-1.69</x:v>
      </x:c>
      <x:c r="T1412" t="str">
        <x:v>"</x:v>
      </x:c>
      <x:c r="U1412" t="str">
        <x:v>"</x:v>
      </x:c>
      <x:c r="V1412" t="str">
        <x:v>485032614167555</x:v>
      </x:c>
    </x:row>
    <x:row r="1413">
      <x:c r="A1413" t="str">
        <x:v>RAW-IMP-20260516-FULLDRAFT-001396</x:v>
      </x:c>
      <x:c r="B1413" t="str">
        <x:v>IMP-20260516-FULLDRAFT</x:v>
      </x:c>
      <x:c r="C1413" t="str">
        <x:v>KTO001</x:v>
      </x:c>
      <x:c r="D1413" t="str">
        <x:v>16-05-2026_Umsatzliste_Girokonto_DE98120300001061711675.csv</x:v>
      </x:c>
      <x:c r="E1413" t="n">
        <x:v>46163</x:v>
      </x:c>
      <x:c r="F1413" t="n">
        <x:v>1396</x:v>
      </x:c>
      <x:c r="G1413" t="str">
        <x:v>610f125d419f8d8b2b8c03ff023394a41479b3eaaabe16aacfc273afe162552e</x:v>
      </x:c>
      <x:c r="H1413" t="str">
        <x:v>neu</x:v>
      </x:c>
      <x:c r="I1413" t="str">
        <x:v>ok</x:v>
      </x:c>
      <x:c r="J1413"/>
      <x:c r="K1413" t="n">
        <x:v>45692</x:v>
      </x:c>
      <x:c r="L1413" t="n">
        <x:v>45691</x:v>
      </x:c>
      <x:c r="M1413" t="str">
        <x:v>Gebucht</x:v>
      </x:c>
      <x:c r="N1413" t="str">
        <x:v>ISSUER</x:v>
      </x:c>
      <x:c r="O1413" t="str">
        <x:v>SPC.Bader..Sport.und.Fr/Salzgitter</x:v>
      </x:c>
      <x:c r="P1413" t="str">
        <x:v>VISA Debitkartenumsatz vom 02.02.2025</x:v>
      </x:c>
      <x:c r="Q1413" t="str">
        <x:v>Ausgang</x:v>
      </x:c>
      <x:c r="R1413" t="str">
        <x:v>DE96120300009005290904</x:v>
      </x:c>
      <x:c r="S1413" t="n">
        <x:v>-25</x:v>
      </x:c>
      <x:c r="T1413" t="str">
        <x:v>"</x:v>
      </x:c>
      <x:c r="U1413" t="str">
        <x:v>"</x:v>
      </x:c>
      <x:c r="V1413" t="str">
        <x:v>485033401773730</x:v>
      </x:c>
    </x:row>
    <x:row r="1414">
      <x:c r="A1414" t="str">
        <x:v>RAW-IMP-20260516-FULLDRAFT-001397</x:v>
      </x:c>
      <x:c r="B1414" t="str">
        <x:v>IMP-20260516-FULLDRAFT</x:v>
      </x:c>
      <x:c r="C1414" t="str">
        <x:v>KTO001</x:v>
      </x:c>
      <x:c r="D1414" t="str">
        <x:v>16-05-2026_Umsatzliste_Girokonto_DE98120300001061711675.csv</x:v>
      </x:c>
      <x:c r="E1414" t="n">
        <x:v>46163</x:v>
      </x:c>
      <x:c r="F1414" t="n">
        <x:v>1397</x:v>
      </x:c>
      <x:c r="G1414" t="str">
        <x:v>c8985dcf4c14f555501de59117eb7007d8aac8ba59630c8d92f05c9be4fdabc8</x:v>
      </x:c>
      <x:c r="H1414" t="str">
        <x:v>neu</x:v>
      </x:c>
      <x:c r="I1414" t="str">
        <x:v>ok</x:v>
      </x:c>
      <x:c r="J1414"/>
      <x:c r="K1414" t="n">
        <x:v>45692</x:v>
      </x:c>
      <x:c r="L1414" t="n">
        <x:v>45691</x:v>
      </x:c>
      <x:c r="M1414" t="str">
        <x:v>Gebucht</x:v>
      </x:c>
      <x:c r="N1414" t="str">
        <x:v>ISSUER</x:v>
      </x:c>
      <x:c r="O1414" t="str">
        <x:v>SPC.Bader..Sport.und.Fr/Salzgitter</x:v>
      </x:c>
      <x:c r="P1414" t="str">
        <x:v>VISA Debitkartenumsatz vom 02.02.2025</x:v>
      </x:c>
      <x:c r="Q1414" t="str">
        <x:v>Ausgang</x:v>
      </x:c>
      <x:c r="R1414" t="str">
        <x:v>DE96120300009005290904</x:v>
      </x:c>
      <x:c r="S1414" t="n">
        <x:v>-8.3</x:v>
      </x:c>
      <x:c r="T1414" t="str">
        <x:v>"</x:v>
      </x:c>
      <x:c r="U1414" t="str">
        <x:v>"</x:v>
      </x:c>
      <x:c r="V1414" t="str">
        <x:v>485033455436897</x:v>
      </x:c>
    </x:row>
    <x:row r="1415">
      <x:c r="A1415" t="str">
        <x:v>RAW-IMP-20260516-FULLDRAFT-001398</x:v>
      </x:c>
      <x:c r="B1415" t="str">
        <x:v>IMP-20260516-FULLDRAFT</x:v>
      </x:c>
      <x:c r="C1415" t="str">
        <x:v>KTO001</x:v>
      </x:c>
      <x:c r="D1415" t="str">
        <x:v>16-05-2026_Umsatzliste_Girokonto_DE98120300001061711675.csv</x:v>
      </x:c>
      <x:c r="E1415" t="n">
        <x:v>46163</x:v>
      </x:c>
      <x:c r="F1415" t="n">
        <x:v>1398</x:v>
      </x:c>
      <x:c r="G1415" t="str">
        <x:v>56b01b25f613f617502821dd998d8a84cefc16022b64e2e6ffaeb09ca9f02cd8</x:v>
      </x:c>
      <x:c r="H1415" t="str">
        <x:v>neu</x:v>
      </x:c>
      <x:c r="I1415" t="str">
        <x:v>ok</x:v>
      </x:c>
      <x:c r="J1415"/>
      <x:c r="K1415" t="n">
        <x:v>45692</x:v>
      </x:c>
      <x:c r="L1415" t="n">
        <x:v>45692</x:v>
      </x:c>
      <x:c r="M1415" t="str">
        <x:v>Gebucht</x:v>
      </x:c>
      <x:c r="N1415" t="str">
        <x:v>Lars Kohlenberg                                                       Johannes-Wosnitza-Str. 8</x:v>
      </x:c>
      <x:c r="O1415" t="str">
        <x:v>FUNKE Medien Nieders.GmbH</x:v>
      </x:c>
      <x:c r="P1415" t="str">
        <x:v>SZ/00001050/VA/01.02.25-28.02.25/Rg-Nr.:6316144676/Kd-Nr:0053112791</x:v>
      </x:c>
      <x:c r="Q1415" t="str">
        <x:v>Ausgang</x:v>
      </x:c>
      <x:c r="R1415" t="str">
        <x:v>DE67250500000000146910</x:v>
      </x:c>
      <x:c r="S1415" t="n">
        <x:v>-57.5</x:v>
      </x:c>
      <x:c r="T1415" t="str">
        <x:v>DE8850000000483288</x:v>
      </x:c>
      <x:c r="U1415" t="str">
        <x:v>0053112791-0500-01300001</x:v>
      </x:c>
      <x:c r="V1415" t="str">
        <x:v>031007729538</x:v>
      </x:c>
    </x:row>
    <x:row r="1416">
      <x:c r="A1416" t="str">
        <x:v>RAW-IMP-20260516-FULLDRAFT-001399</x:v>
      </x:c>
      <x:c r="B1416" t="str">
        <x:v>IMP-20260516-FULLDRAFT</x:v>
      </x:c>
      <x:c r="C1416" t="str">
        <x:v>KTO001</x:v>
      </x:c>
      <x:c r="D1416" t="str">
        <x:v>16-05-2026_Umsatzliste_Girokonto_DE98120300001061711675.csv</x:v>
      </x:c>
      <x:c r="E1416" t="n">
        <x:v>46163</x:v>
      </x:c>
      <x:c r="F1416" t="n">
        <x:v>1399</x:v>
      </x:c>
      <x:c r="G1416" t="str">
        <x:v>8e94d0677646fb15dfd4b5a5d64a7ac587d084b939c1782fbbe341173243592c</x:v>
      </x:c>
      <x:c r="H1416" t="str">
        <x:v>neu</x:v>
      </x:c>
      <x:c r="I1416" t="str">
        <x:v>ok</x:v>
      </x:c>
      <x:c r="J1416"/>
      <x:c r="K1416" t="n">
        <x:v>45692</x:v>
      </x:c>
      <x:c r="L1416" t="n">
        <x:v>45692</x:v>
      </x:c>
      <x:c r="M1416" t="str">
        <x:v>Gebucht</x:v>
      </x:c>
      <x:c r="N1416" t="str">
        <x:v>Lars Kohlenberg</x:v>
      </x:c>
      <x:c r="O1416" t="str">
        <x:v>VHV Allg. Versicherung AG</x:v>
      </x:c>
      <x:c r="P1416" t="str">
        <x:v>VHV Versicherung UNFALLVERSICHERUNG U 013-072445/0000 Abrechnung: 01.02.25 - 01.03.25</x:v>
      </x:c>
      <x:c r="Q1416" t="str">
        <x:v>Ausgang</x:v>
      </x:c>
      <x:c r="R1416" t="str">
        <x:v>DE65250500000101411551</x:v>
      </x:c>
      <x:c r="S1416" t="n">
        <x:v>-11.96</x:v>
      </x:c>
      <x:c r="T1416" t="str">
        <x:v>DE32VHV00000150810</x:v>
      </x:c>
      <x:c r="U1416" t="str">
        <x:v>0015012300010039</x:v>
      </x:c>
      <x:c r="V1416" t="str">
        <x:v>31313409294</x:v>
      </x:c>
    </x:row>
    <x:row r="1417">
      <x:c r="A1417" t="str">
        <x:v>RAW-IMP-20260516-FULLDRAFT-001400</x:v>
      </x:c>
      <x:c r="B1417" t="str">
        <x:v>IMP-20260516-FULLDRAFT</x:v>
      </x:c>
      <x:c r="C1417" t="str">
        <x:v>KTO001</x:v>
      </x:c>
      <x:c r="D1417" t="str">
        <x:v>16-05-2026_Umsatzliste_Girokonto_DE98120300001061711675.csv</x:v>
      </x:c>
      <x:c r="E1417" t="n">
        <x:v>46163</x:v>
      </x:c>
      <x:c r="F1417" t="n">
        <x:v>1400</x:v>
      </x:c>
      <x:c r="G1417" t="str">
        <x:v>4d8259c5e1a5068f09e734c511312d12dd22b1467dd5e247548f7d98aa8fdb62</x:v>
      </x:c>
      <x:c r="H1417" t="str">
        <x:v>neu</x:v>
      </x:c>
      <x:c r="I1417" t="str">
        <x:v>ok</x:v>
      </x:c>
      <x:c r="J1417"/>
      <x:c r="K1417" t="n">
        <x:v>45692</x:v>
      </x:c>
      <x:c r="L1417" t="n">
        <x:v>45692</x:v>
      </x:c>
      <x:c r="M1417" t="str">
        <x:v>Gebucht</x:v>
      </x:c>
      <x:c r="N1417" t="str">
        <x:v>KOHLENBERG, LARS</x:v>
      </x:c>
      <x:c r="O1417" t="str">
        <x:v>VPV-LEBENSVERSICHERUNGS-AG</x:v>
      </x:c>
      <x:c r="P1417" t="str">
        <x:v>VNR 301667726</x:v>
      </x:c>
      <x:c r="Q1417" t="str">
        <x:v>Ausgang</x:v>
      </x:c>
      <x:c r="R1417" t="str">
        <x:v>DE78600501010001166338</x:v>
      </x:c>
      <x:c r="S1417" t="n">
        <x:v>-53.3</x:v>
      </x:c>
      <x:c r="T1417" t="str">
        <x:v>DE96LAG00000064686</x:v>
      </x:c>
      <x:c r="U1417" t="str">
        <x:v>ML700120510</x:v>
      </x:c>
      <x:c r="V1417" t="str">
        <x:v>250203 456428267 ML700120510</x:v>
      </x:c>
    </x:row>
    <x:row r="1418">
      <x:c r="A1418" t="str">
        <x:v>RAW-IMP-20260516-FULLDRAFT-001401</x:v>
      </x:c>
      <x:c r="B1418" t="str">
        <x:v>IMP-20260516-FULLDRAFT</x:v>
      </x:c>
      <x:c r="C1418" t="str">
        <x:v>KTO001</x:v>
      </x:c>
      <x:c r="D1418" t="str">
        <x:v>16-05-2026_Umsatzliste_Girokonto_DE98120300001061711675.csv</x:v>
      </x:c>
      <x:c r="E1418" t="n">
        <x:v>46163</x:v>
      </x:c>
      <x:c r="F1418" t="n">
        <x:v>1401</x:v>
      </x:c>
      <x:c r="G1418" t="str">
        <x:v>a2426098540b75d9ee93535a87af9096d44e3bca7fa1bf6c000dfdd633f86921</x:v>
      </x:c>
      <x:c r="H1418" t="str">
        <x:v>neu</x:v>
      </x:c>
      <x:c r="I1418" t="str">
        <x:v>ok</x:v>
      </x:c>
      <x:c r="J1418"/>
      <x:c r="K1418" t="n">
        <x:v>45692</x:v>
      </x:c>
      <x:c r="L1418" t="n">
        <x:v>45692</x:v>
      </x:c>
      <x:c r="M1418" t="str">
        <x:v>Gebucht</x:v>
      </x:c>
      <x:c r="N1418" t="str">
        <x:v>Lars Kohlenberg</x:v>
      </x:c>
      <x:c r="O1418" t="str">
        <x:v>GMX by LOTTO24                                                        StraBenbahnring 11 20251 Hamburg</x:v>
      </x:c>
      <x:c r="P1418" t="str">
        <x:v>GMX by LOTTO24 C98983063 - T392587013386</x:v>
      </x:c>
      <x:c r="Q1418" t="str">
        <x:v>Ausgang</x:v>
      </x:c>
      <x:c r="R1418" t="str">
        <x:v>DE52100190001000027873</x:v>
      </x:c>
      <x:c r="S1418" t="n">
        <x:v>-18.14</x:v>
      </x:c>
      <x:c r="T1418" t="str">
        <x:v>NL48ZZZ342764500000</x:v>
      </x:c>
      <x:c r="U1418" t="str">
        <x:v>R372DKN5SSBXZP52</x:v>
      </x:c>
      <x:c r="V1418" t="str">
        <x:v>VBHRH4LB8MFQ5WX3</x:v>
      </x:c>
    </x:row>
    <x:row r="1419">
      <x:c r="A1419" t="str">
        <x:v>RAW-IMP-20260516-FULLDRAFT-001402</x:v>
      </x:c>
      <x:c r="B1419" t="str">
        <x:v>IMP-20260516-FULLDRAFT</x:v>
      </x:c>
      <x:c r="C1419" t="str">
        <x:v>KTO001</x:v>
      </x:c>
      <x:c r="D1419" t="str">
        <x:v>16-05-2026_Umsatzliste_Girokonto_DE98120300001061711675.csv</x:v>
      </x:c>
      <x:c r="E1419" t="n">
        <x:v>46163</x:v>
      </x:c>
      <x:c r="F1419" t="n">
        <x:v>1402</x:v>
      </x:c>
      <x:c r="G1419" t="str">
        <x:v>5b21affd653ff1ef71cf4671c9d2baacd42c5328c1d4386b0053c0ce90f7e87d</x:v>
      </x:c>
      <x:c r="H1419" t="str">
        <x:v>neu</x:v>
      </x:c>
      <x:c r="I1419" t="str">
        <x:v>ok</x:v>
      </x:c>
      <x:c r="J1419"/>
      <x:c r="K1419" t="n">
        <x:v>45691</x:v>
      </x:c>
      <x:c r="L1419" t="n">
        <x:v>45691</x:v>
      </x:c>
      <x:c r="M1419" t="str">
        <x:v>Gebucht</x:v>
      </x:c>
      <x:c r="N1419" t="str">
        <x:v>ISSUER</x:v>
      </x:c>
      <x:c r="O1419" t="str">
        <x:v>Amazon.de.G67B50GA5/AMAZON.DE</x:v>
      </x:c>
      <x:c r="P1419" t="str">
        <x:v>VISA Debitkartenumsatz vom 31.01.2025</x:v>
      </x:c>
      <x:c r="Q1419" t="str">
        <x:v>Ausgang</x:v>
      </x:c>
      <x:c r="R1419" t="str">
        <x:v>DE96120300009005290904</x:v>
      </x:c>
      <x:c r="S1419" t="n">
        <x:v>-15.95</x:v>
      </x:c>
      <x:c r="T1419" t="str">
        <x:v>"</x:v>
      </x:c>
      <x:c r="U1419" t="str">
        <x:v>"</x:v>
      </x:c>
      <x:c r="V1419" t="str">
        <x:v>485031386798405</x:v>
      </x:c>
    </x:row>
    <x:row r="1420">
      <x:c r="A1420" t="str">
        <x:v>RAW-IMP-20260516-FULLDRAFT-001403</x:v>
      </x:c>
      <x:c r="B1420" t="str">
        <x:v>IMP-20260516-FULLDRAFT</x:v>
      </x:c>
      <x:c r="C1420" t="str">
        <x:v>KTO001</x:v>
      </x:c>
      <x:c r="D1420" t="str">
        <x:v>16-05-2026_Umsatzliste_Girokonto_DE98120300001061711675.csv</x:v>
      </x:c>
      <x:c r="E1420" t="n">
        <x:v>46163</x:v>
      </x:c>
      <x:c r="F1420" t="n">
        <x:v>1403</x:v>
      </x:c>
      <x:c r="G1420" t="str">
        <x:v>a8500be1ba5bc5a83685179a82f5370a0678dac1c05a1b05f82f9dc3d6c17113</x:v>
      </x:c>
      <x:c r="H1420" t="str">
        <x:v>neu</x:v>
      </x:c>
      <x:c r="I1420" t="str">
        <x:v>ok</x:v>
      </x:c>
      <x:c r="J1420"/>
      <x:c r="K1420" t="n">
        <x:v>45691</x:v>
      </x:c>
      <x:c r="L1420" t="n">
        <x:v>45691</x:v>
      </x:c>
      <x:c r="M1420" t="str">
        <x:v>Gebucht</x:v>
      </x:c>
      <x:c r="N1420" t="str">
        <x:v>ISSUER</x:v>
      </x:c>
      <x:c r="O1420" t="str">
        <x:v>KAUFLAND.SALZGITTER.CIT/SALZGITTER</x:v>
      </x:c>
      <x:c r="P1420" t="str">
        <x:v>VISA Debitkartenumsatz vom 30.01.2025</x:v>
      </x:c>
      <x:c r="Q1420" t="str">
        <x:v>Ausgang</x:v>
      </x:c>
      <x:c r="R1420" t="str">
        <x:v>DE96120300009005290904</x:v>
      </x:c>
      <x:c r="S1420" t="n">
        <x:v>-32.85</x:v>
      </x:c>
      <x:c r="T1420" t="str">
        <x:v>"</x:v>
      </x:c>
      <x:c r="U1420" t="str">
        <x:v>"</x:v>
      </x:c>
      <x:c r="V1420" t="str">
        <x:v>485030660141640</x:v>
      </x:c>
    </x:row>
    <x:row r="1421">
      <x:c r="A1421" t="str">
        <x:v>RAW-IMP-20260516-FULLDRAFT-001404</x:v>
      </x:c>
      <x:c r="B1421" t="str">
        <x:v>IMP-20260516-FULLDRAFT</x:v>
      </x:c>
      <x:c r="C1421" t="str">
        <x:v>KTO001</x:v>
      </x:c>
      <x:c r="D1421" t="str">
        <x:v>16-05-2026_Umsatzliste_Girokonto_DE98120300001061711675.csv</x:v>
      </x:c>
      <x:c r="E1421" t="n">
        <x:v>46163</x:v>
      </x:c>
      <x:c r="F1421" t="n">
        <x:v>1404</x:v>
      </x:c>
      <x:c r="G1421" t="str">
        <x:v>cc18537779ca82a1eefbe113906ac708a81d50001de64e8274a6d8346f044e54</x:v>
      </x:c>
      <x:c r="H1421" t="str">
        <x:v>neu</x:v>
      </x:c>
      <x:c r="I1421" t="str">
        <x:v>ok</x:v>
      </x:c>
      <x:c r="J1421"/>
      <x:c r="K1421" t="n">
        <x:v>45691</x:v>
      </x:c>
      <x:c r="L1421" t="n">
        <x:v>45691</x:v>
      </x:c>
      <x:c r="M1421" t="str">
        <x:v>Gebucht</x:v>
      </x:c>
      <x:c r="N1421" t="str">
        <x:v>ISSUER</x:v>
      </x:c>
      <x:c r="O1421" t="str">
        <x:v>Aral.Tankstelle.1314970/Melle</x:v>
      </x:c>
      <x:c r="P1421" t="str">
        <x:v>VISA Debitkartenumsatz vom 30.01.2025</x:v>
      </x:c>
      <x:c r="Q1421" t="str">
        <x:v>Ausgang</x:v>
      </x:c>
      <x:c r="R1421" t="str">
        <x:v>DE96120300009005290904</x:v>
      </x:c>
      <x:c r="S1421" t="n">
        <x:v>-2.29</x:v>
      </x:c>
      <x:c r="T1421" t="str">
        <x:v>"</x:v>
      </x:c>
      <x:c r="U1421" t="str">
        <x:v>"</x:v>
      </x:c>
      <x:c r="V1421" t="str">
        <x:v>485030405649707</x:v>
      </x:c>
    </x:row>
    <x:row r="1422">
      <x:c r="A1422" t="str">
        <x:v>RAW-IMP-20260516-FULLDRAFT-001405</x:v>
      </x:c>
      <x:c r="B1422" t="str">
        <x:v>IMP-20260516-FULLDRAFT</x:v>
      </x:c>
      <x:c r="C1422" t="str">
        <x:v>KTO001</x:v>
      </x:c>
      <x:c r="D1422" t="str">
        <x:v>16-05-2026_Umsatzliste_Girokonto_DE98120300001061711675.csv</x:v>
      </x:c>
      <x:c r="E1422" t="n">
        <x:v>46163</x:v>
      </x:c>
      <x:c r="F1422" t="n">
        <x:v>1405</x:v>
      </x:c>
      <x:c r="G1422" t="str">
        <x:v>336327f2ba307debca7d506669726fed068f18cde34f566e6168c155901237e5</x:v>
      </x:c>
      <x:c r="H1422" t="str">
        <x:v>neu</x:v>
      </x:c>
      <x:c r="I1422" t="str">
        <x:v>ok</x:v>
      </x:c>
      <x:c r="J1422"/>
      <x:c r="K1422" t="n">
        <x:v>45691</x:v>
      </x:c>
      <x:c r="L1422" t="n">
        <x:v>45691</x:v>
      </x:c>
      <x:c r="M1422" t="str">
        <x:v>Gebucht</x:v>
      </x:c>
      <x:c r="N1422" t="str">
        <x:v>ISSUER</x:v>
      </x:c>
      <x:c r="O1422" t="str">
        <x:v>REWE.Salzgitter.Ge/Salzgitter</x:v>
      </x:c>
      <x:c r="P1422" t="str">
        <x:v>VISA Debitkartenumsatz vom 31.01.2025</x:v>
      </x:c>
      <x:c r="Q1422" t="str">
        <x:v>Ausgang</x:v>
      </x:c>
      <x:c r="R1422" t="str">
        <x:v>DE96120300009005290904</x:v>
      </x:c>
      <x:c r="S1422" t="n">
        <x:v>-18.03</x:v>
      </x:c>
      <x:c r="T1422" t="str">
        <x:v>"</x:v>
      </x:c>
      <x:c r="U1422" t="str">
        <x:v>"</x:v>
      </x:c>
      <x:c r="V1422" t="str">
        <x:v>485031568578509</x:v>
      </x:c>
    </x:row>
    <x:row r="1423">
      <x:c r="A1423" t="str">
        <x:v>RAW-IMP-20260516-FULLDRAFT-001406</x:v>
      </x:c>
      <x:c r="B1423" t="str">
        <x:v>IMP-20260516-FULLDRAFT</x:v>
      </x:c>
      <x:c r="C1423" t="str">
        <x:v>KTO001</x:v>
      </x:c>
      <x:c r="D1423" t="str">
        <x:v>16-05-2026_Umsatzliste_Girokonto_DE98120300001061711675.csv</x:v>
      </x:c>
      <x:c r="E1423" t="n">
        <x:v>46163</x:v>
      </x:c>
      <x:c r="F1423" t="n">
        <x:v>1406</x:v>
      </x:c>
      <x:c r="G1423" t="str">
        <x:v>69fb62c35aaaaa1ef976862989186e3a9dc87648bc997a7710719fccc7ff1cb0</x:v>
      </x:c>
      <x:c r="H1423" t="str">
        <x:v>neu</x:v>
      </x:c>
      <x:c r="I1423" t="str">
        <x:v>ok</x:v>
      </x:c>
      <x:c r="J1423"/>
      <x:c r="K1423" t="n">
        <x:v>45691</x:v>
      </x:c>
      <x:c r="L1423" t="n">
        <x:v>45691</x:v>
      </x:c>
      <x:c r="M1423" t="str">
        <x:v>Gebucht</x:v>
      </x:c>
      <x:c r="N1423" t="str">
        <x:v>WILLI KOHLENBERG</x:v>
      </x:c>
      <x:c r="O1423" t="str">
        <x:v>LARS KOHLENBERG</x:v>
      </x:c>
      <x:c r="P1423" t="str">
        <x:v>MIETE 2/3 HAUS</x:v>
      </x:c>
      <x:c r="Q1423" t="str">
        <x:v>Eingang</x:v>
      </x:c>
      <x:c r="R1423" t="str">
        <x:v>DE84270800600651520400</x:v>
      </x:c>
      <x:c r="S1423" t="n">
        <x:v>750</x:v>
      </x:c>
      <x:c r="T1423" t="str">
        <x:v>"</x:v>
      </x:c>
      <x:c r="U1423" t="str">
        <x:v>"</x:v>
      </x:c>
      <x:c r="V1423" t="str">
        <x:v>"</x:v>
      </x:c>
    </x:row>
    <x:row r="1424">
      <x:c r="A1424" t="str">
        <x:v>RAW-IMP-20260516-FULLDRAFT-001407</x:v>
      </x:c>
      <x:c r="B1424" t="str">
        <x:v>IMP-20260516-FULLDRAFT</x:v>
      </x:c>
      <x:c r="C1424" t="str">
        <x:v>KTO001</x:v>
      </x:c>
      <x:c r="D1424" t="str">
        <x:v>16-05-2026_Umsatzliste_Girokonto_DE98120300001061711675.csv</x:v>
      </x:c>
      <x:c r="E1424" t="n">
        <x:v>46163</x:v>
      </x:c>
      <x:c r="F1424" t="n">
        <x:v>1407</x:v>
      </x:c>
      <x:c r="G1424" t="str">
        <x:v>6fae4ed08900f81a0d557c58b9c6242da6cc629909832dac025bc505a15953f3</x:v>
      </x:c>
      <x:c r="H1424" t="str">
        <x:v>neu</x:v>
      </x:c>
      <x:c r="I1424" t="str">
        <x:v>ok</x:v>
      </x:c>
      <x:c r="J1424"/>
      <x:c r="K1424" t="n">
        <x:v>45691</x:v>
      </x:c>
      <x:c r="L1424" t="n">
        <x:v>45691</x:v>
      </x:c>
      <x:c r="M1424" t="str">
        <x:v>Gebucht</x:v>
      </x:c>
      <x:c r="N1424" t="str">
        <x:v>Lars Kohlenberg                                                       Johannes-Wosnitza-Str. 8 38229 Salzgitter</x:v>
      </x:c>
      <x:c r="O1424" t="str">
        <x:v>Heidelberger Lebensversicherung AG                                    Im Breitspiel 2-4, 69126 Heidelberg</x:v>
      </x:c>
      <x:c r="P1424" t="str">
        <x:v>60012826 , 02.25</x:v>
      </x:c>
      <x:c r="Q1424" t="str">
        <x:v>Ausgang</x:v>
      </x:c>
      <x:c r="R1424" t="str">
        <x:v>DE38600501010002662604</x:v>
      </x:c>
      <x:c r="S1424" t="n">
        <x:v>-452.71</x:v>
      </x:c>
      <x:c r="T1424" t="str">
        <x:v>DE31HLE00000032682</x:v>
      </x:c>
      <x:c r="U1424" t="str">
        <x:v>11-140000075706</x:v>
      </x:c>
      <x:c r="V1424" t="str">
        <x:v>120043056290</x:v>
      </x:c>
    </x:row>
    <x:row r="1425">
      <x:c r="A1425" t="str">
        <x:v>RAW-IMP-20260516-FULLDRAFT-001408</x:v>
      </x:c>
      <x:c r="B1425" t="str">
        <x:v>IMP-20260516-FULLDRAFT</x:v>
      </x:c>
      <x:c r="C1425" t="str">
        <x:v>KTO001</x:v>
      </x:c>
      <x:c r="D1425" t="str">
        <x:v>16-05-2026_Umsatzliste_Girokonto_DE98120300001061711675.csv</x:v>
      </x:c>
      <x:c r="E1425" t="n">
        <x:v>46163</x:v>
      </x:c>
      <x:c r="F1425" t="n">
        <x:v>1408</x:v>
      </x:c>
      <x:c r="G1425" t="str">
        <x:v>31430f7a8a43d9ad3972a440651820318dc99c8af22b36ce5a6e56fbc8b5ced8</x:v>
      </x:c>
      <x:c r="H1425" t="str">
        <x:v>neu</x:v>
      </x:c>
      <x:c r="I1425" t="str">
        <x:v>ok</x:v>
      </x:c>
      <x:c r="J1425"/>
      <x:c r="K1425" t="n">
        <x:v>45691</x:v>
      </x:c>
      <x:c r="L1425" t="n">
        <x:v>45691</x:v>
      </x:c>
      <x:c r="M1425" t="str">
        <x:v>Gebucht</x:v>
      </x:c>
      <x:c r="N1425" t="str">
        <x:v>Lars Kohlenberg</x:v>
      </x:c>
      <x:c r="O1425" t="str">
        <x:v>Peggau Bernhard Spormann Steuerberatungsgesellschaft</x:v>
      </x:c>
      <x:c r="P1425" t="str">
        <x:v>ReNr. 5780, Mand. Nr. 50611</x:v>
      </x:c>
      <x:c r="Q1425" t="str">
        <x:v>Ausgang</x:v>
      </x:c>
      <x:c r="R1425" t="str">
        <x:v>DE88269910661328409000</x:v>
      </x:c>
      <x:c r="S1425" t="n">
        <x:v>-312.67</x:v>
      </x:c>
      <x:c r="T1425" t="str">
        <x:v>"</x:v>
      </x:c>
      <x:c r="U1425" t="str">
        <x:v>"</x:v>
      </x:c>
      <x:c r="V1425" t="str">
        <x:v>"</x:v>
      </x:c>
    </x:row>
    <x:row r="1426">
      <x:c r="A1426" t="str">
        <x:v>RAW-IMP-20260516-FULLDRAFT-001409</x:v>
      </x:c>
      <x:c r="B1426" t="str">
        <x:v>IMP-20260516-FULLDRAFT</x:v>
      </x:c>
      <x:c r="C1426" t="str">
        <x:v>KTO001</x:v>
      </x:c>
      <x:c r="D1426" t="str">
        <x:v>16-05-2026_Umsatzliste_Girokonto_DE98120300001061711675.csv</x:v>
      </x:c>
      <x:c r="E1426" t="n">
        <x:v>46163</x:v>
      </x:c>
      <x:c r="F1426" t="n">
        <x:v>1409</x:v>
      </x:c>
      <x:c r="G1426" t="str">
        <x:v>ecaa4abe5241c4d4ea0c03efa6cafe7d6432dfdcf2950d1fff5ea04e4c0c2c6e</x:v>
      </x:c>
      <x:c r="H1426" t="str">
        <x:v>neu</x:v>
      </x:c>
      <x:c r="I1426" t="str">
        <x:v>ok</x:v>
      </x:c>
      <x:c r="J1426"/>
      <x:c r="K1426" t="n">
        <x:v>45691</x:v>
      </x:c>
      <x:c r="L1426" t="n">
        <x:v>45691</x:v>
      </x:c>
      <x:c r="M1426" t="str">
        <x:v>Gebucht</x:v>
      </x:c>
      <x:c r="N1426" t="str">
        <x:v>Lars Kohlenberg</x:v>
      </x:c>
      <x:c r="O1426" t="str">
        <x:v>Vaillant</x:v>
      </x:c>
      <x:c r="P1426" t="str">
        <x:v>Rechnung 5186450, Kohlenberg</x:v>
      </x:c>
      <x:c r="Q1426" t="str">
        <x:v>Ausgang</x:v>
      </x:c>
      <x:c r="R1426" t="str">
        <x:v>DE96340400490621250002</x:v>
      </x:c>
      <x:c r="S1426" t="n">
        <x:v>-430.36</x:v>
      </x:c>
      <x:c r="T1426" t="str">
        <x:v>"</x:v>
      </x:c>
      <x:c r="U1426" t="str">
        <x:v>"</x:v>
      </x:c>
      <x:c r="V1426" t="str">
        <x:v>"</x:v>
      </x:c>
    </x:row>
    <x:row r="1427">
      <x:c r="A1427" t="str">
        <x:v>RAW-IMP-20260516-FULLDRAFT-001410</x:v>
      </x:c>
      <x:c r="B1427" t="str">
        <x:v>IMP-20260516-FULLDRAFT</x:v>
      </x:c>
      <x:c r="C1427" t="str">
        <x:v>KTO001</x:v>
      </x:c>
      <x:c r="D1427" t="str">
        <x:v>16-05-2026_Umsatzliste_Girokonto_DE98120300001061711675.csv</x:v>
      </x:c>
      <x:c r="E1427" t="n">
        <x:v>46163</x:v>
      </x:c>
      <x:c r="F1427" t="n">
        <x:v>1410</x:v>
      </x:c>
      <x:c r="G1427" t="str">
        <x:v>aeb186cb470abbc14559b84cd944560c31e7de35d3f217d31a7797cea35018ae</x:v>
      </x:c>
      <x:c r="H1427" t="str">
        <x:v>neu</x:v>
      </x:c>
      <x:c r="I1427" t="str">
        <x:v>ok</x:v>
      </x:c>
      <x:c r="J1427"/>
      <x:c r="K1427" t="n">
        <x:v>45691</x:v>
      </x:c>
      <x:c r="L1427" t="n">
        <x:v>45691</x:v>
      </x:c>
      <x:c r="M1427" t="str">
        <x:v>Gebucht</x:v>
      </x:c>
      <x:c r="N1427" t="str">
        <x:v>KOHLENBERG, LARS</x:v>
      </x:c>
      <x:c r="O1427" t="str">
        <x:v>Lars und Katrin Kohlenberg</x:v>
      </x:c>
      <x:c r="P1427" t="str">
        <x:v>11274936 VERMOEGENSDEPOT SAMMELBUCHUNG SPARPLAN WKN A1C9ED, 847809</x:v>
      </x:c>
      <x:c r="Q1427" t="str">
        <x:v>Ausgang</x:v>
      </x:c>
      <x:c r="R1427" t="str">
        <x:v>DE27672300000506966162</x:v>
      </x:c>
      <x:c r="S1427" t="n">
        <x:v>-600</x:v>
      </x:c>
      <x:c r="T1427" t="str">
        <x:v>DE53ZZZ00000010849</x:v>
      </x:c>
      <x:c r="U1427" t="str">
        <x:v>WPBF0000180845</x:v>
      </x:c>
      <x:c r="V1427" t="str">
        <x:v>SPARSP 16599865</x:v>
      </x:c>
    </x:row>
    <x:row r="1428">
      <x:c r="A1428" t="str">
        <x:v>RAW-IMP-20260516-FULLDRAFT-001411</x:v>
      </x:c>
      <x:c r="B1428" t="str">
        <x:v>IMP-20260516-FULLDRAFT</x:v>
      </x:c>
      <x:c r="C1428" t="str">
        <x:v>KTO001</x:v>
      </x:c>
      <x:c r="D1428" t="str">
        <x:v>16-05-2026_Umsatzliste_Girokonto_DE98120300001061711675.csv</x:v>
      </x:c>
      <x:c r="E1428" t="n">
        <x:v>46163</x:v>
      </x:c>
      <x:c r="F1428" t="n">
        <x:v>1411</x:v>
      </x:c>
      <x:c r="G1428" t="str">
        <x:v>42d34f95480b8f15675549af4e3444a7decd4a18ac214d07b0ca24a86fd2c5fa</x:v>
      </x:c>
      <x:c r="H1428" t="str">
        <x:v>neu</x:v>
      </x:c>
      <x:c r="I1428" t="str">
        <x:v>ok</x:v>
      </x:c>
      <x:c r="J1428"/>
      <x:c r="K1428" t="n">
        <x:v>45691</x:v>
      </x:c>
      <x:c r="L1428" t="n">
        <x:v>45691</x:v>
      </x:c>
      <x:c r="M1428" t="str">
        <x:v>Gebucht</x:v>
      </x:c>
      <x:c r="N1428" t="str">
        <x:v>KOHLENBERG LARS</x:v>
      </x:c>
      <x:c r="O1428" t="str">
        <x:v>VOLKSWOHL BUND Lebensversicherung a.G.</x:v>
      </x:c>
      <x:c r="P1428" t="str">
        <x:v>009893595 LA000750566/ 009893595 LEBEN 68,46</x:v>
      </x:c>
      <x:c r="Q1428" t="str">
        <x:v>Ausgang</x:v>
      </x:c>
      <x:c r="R1428" t="str">
        <x:v>DE76440400370361155500</x:v>
      </x:c>
      <x:c r="S1428" t="n">
        <x:v>-68.46</x:v>
      </x:c>
      <x:c r="T1428" t="str">
        <x:v>DE13ZZZ00000141064</x:v>
      </x:c>
      <x:c r="U1428" t="str">
        <x:v>LA000750566</x:v>
      </x:c>
      <x:c r="V1428" t="str">
        <x:v>009893595/NVMA.G1113-327498</x:v>
      </x:c>
    </x:row>
    <x:row r="1429">
      <x:c r="A1429" t="str">
        <x:v>RAW-IMP-20260516-FULLDRAFT-001412</x:v>
      </x:c>
      <x:c r="B1429" t="str">
        <x:v>IMP-20260516-FULLDRAFT</x:v>
      </x:c>
      <x:c r="C1429" t="str">
        <x:v>KTO001</x:v>
      </x:c>
      <x:c r="D1429" t="str">
        <x:v>16-05-2026_Umsatzliste_Girokonto_DE98120300001061711675.csv</x:v>
      </x:c>
      <x:c r="E1429" t="n">
        <x:v>46163</x:v>
      </x:c>
      <x:c r="F1429" t="n">
        <x:v>1412</x:v>
      </x:c>
      <x:c r="G1429" t="str">
        <x:v>8327ea1ab496695eb53533cd68524c9608fa2b4f9f5543fee483bd870a1c47cf</x:v>
      </x:c>
      <x:c r="H1429" t="str">
        <x:v>neu</x:v>
      </x:c>
      <x:c r="I1429" t="str">
        <x:v>ok</x:v>
      </x:c>
      <x:c r="J1429"/>
      <x:c r="K1429" t="n">
        <x:v>45691</x:v>
      </x:c>
      <x:c r="L1429" t="n">
        <x:v>45691</x:v>
      </x:c>
      <x:c r="M1429" t="str">
        <x:v>Gebucht</x:v>
      </x:c>
      <x:c r="N1429" t="str">
        <x:v>Kohlenberg Lars</x:v>
      </x:c>
      <x:c r="O1429" t="str">
        <x:v>Allianz Lebensvers. AG</x:v>
      </x:c>
      <x:c r="P1429" t="str">
        <x:v>330296196 0225</x:v>
      </x:c>
      <x:c r="Q1429" t="str">
        <x:v>Ausgang</x:v>
      </x:c>
      <x:c r="R1429" t="str">
        <x:v>DE77700202700062328142</x:v>
      </x:c>
      <x:c r="S1429" t="n">
        <x:v>-162.17</x:v>
      </x:c>
      <x:c r="T1429" t="str">
        <x:v>DE07ZZZ00000063475</x:v>
      </x:c>
      <x:c r="U1429" t="str">
        <x:v>LA01L312001066775296</x:v>
      </x:c>
      <x:c r="V1429" t="str">
        <x:v>A7025024-000330296196005747634038</x:v>
      </x:c>
    </x:row>
    <x:row r="1430">
      <x:c r="A1430" t="str">
        <x:v>RAW-IMP-20260516-FULLDRAFT-001413</x:v>
      </x:c>
      <x:c r="B1430" t="str">
        <x:v>IMP-20260516-FULLDRAFT</x:v>
      </x:c>
      <x:c r="C1430" t="str">
        <x:v>KTO001</x:v>
      </x:c>
      <x:c r="D1430" t="str">
        <x:v>16-05-2026_Umsatzliste_Girokonto_DE98120300001061711675.csv</x:v>
      </x:c>
      <x:c r="E1430" t="n">
        <x:v>46163</x:v>
      </x:c>
      <x:c r="F1430" t="n">
        <x:v>1413</x:v>
      </x:c>
      <x:c r="G1430" t="str">
        <x:v>adeda66f143920e1ab8830a5491acb062f3105ce5cd6da342f4c71ba2742c591</x:v>
      </x:c>
      <x:c r="H1430" t="str">
        <x:v>neu</x:v>
      </x:c>
      <x:c r="I1430" t="str">
        <x:v>ok</x:v>
      </x:c>
      <x:c r="J1430"/>
      <x:c r="K1430" t="n">
        <x:v>45691</x:v>
      </x:c>
      <x:c r="L1430" t="n">
        <x:v>45691</x:v>
      </x:c>
      <x:c r="M1430" t="str">
        <x:v>Gebucht</x:v>
      </x:c>
      <x:c r="N1430" t="str">
        <x:v>Kohlenberg, Lars</x:v>
      </x:c>
      <x:c r="O1430" t="str">
        <x:v>IDEAL Lebensversicherung aG</x:v>
      </x:c>
      <x:c r="P1430" t="str">
        <x:v>2011216280009 LV 021</x:v>
      </x:c>
      <x:c r="Q1430" t="str">
        <x:v>Ausgang</x:v>
      </x:c>
      <x:c r="R1430" t="str">
        <x:v>DE36100700000460303100</x:v>
      </x:c>
      <x:c r="S1430" t="n">
        <x:v>-97.12</x:v>
      </x:c>
      <x:c r="T1430" t="str">
        <x:v>DE40ZZZ00000559230</x:v>
      </x:c>
      <x:c r="U1430" t="str">
        <x:v>2011216280009-001</x:v>
      </x:c>
      <x:c r="V1430" t="str">
        <x:v>GL,KL,PD-20250201-1-2011216280009-0</x:v>
      </x:c>
    </x:row>
    <x:row r="1431">
      <x:c r="A1431" t="str">
        <x:v>RAW-IMP-20260516-FULLDRAFT-001414</x:v>
      </x:c>
      <x:c r="B1431" t="str">
        <x:v>IMP-20260516-FULLDRAFT</x:v>
      </x:c>
      <x:c r="C1431" t="str">
        <x:v>KTO001</x:v>
      </x:c>
      <x:c r="D1431" t="str">
        <x:v>16-05-2026_Umsatzliste_Girokonto_DE98120300001061711675.csv</x:v>
      </x:c>
      <x:c r="E1431" t="n">
        <x:v>46163</x:v>
      </x:c>
      <x:c r="F1431" t="n">
        <x:v>1414</x:v>
      </x:c>
      <x:c r="G1431" t="str">
        <x:v>a5ec5af314d2b050e6860e58d1315c5d3334c26635bc874efb9e713c8f600975</x:v>
      </x:c>
      <x:c r="H1431" t="str">
        <x:v>neu</x:v>
      </x:c>
      <x:c r="I1431" t="str">
        <x:v>ok</x:v>
      </x:c>
      <x:c r="J1431"/>
      <x:c r="K1431" t="n">
        <x:v>45691</x:v>
      </x:c>
      <x:c r="L1431" t="n">
        <x:v>45691</x:v>
      </x:c>
      <x:c r="M1431" t="str">
        <x:v>Gebucht</x:v>
      </x:c>
      <x:c r="N1431" t="str">
        <x:v>Lars Kohlenberg</x:v>
      </x:c>
      <x:c r="O1431" t="str">
        <x:v>KATRIN KOHLENBERG</x:v>
      </x:c>
      <x:c r="P1431" t="str">
        <x:v>Apanage</x:v>
      </x:c>
      <x:c r="Q1431" t="str">
        <x:v>Ausgang</x:v>
      </x:c>
      <x:c r="R1431" t="str">
        <x:v>DE32270727240307336800</x:v>
      </x:c>
      <x:c r="S1431" t="n">
        <x:v>-1800</x:v>
      </x:c>
      <x:c r="T1431" t="str">
        <x:v>"</x:v>
      </x:c>
      <x:c r="U1431" t="str">
        <x:v>"</x:v>
      </x:c>
      <x:c r="V1431" t="str">
        <x:v>"</x:v>
      </x:c>
    </x:row>
    <x:row r="1432">
      <x:c r="A1432" t="str">
        <x:v>RAW-IMP-20260516-FULLDRAFT-001415</x:v>
      </x:c>
      <x:c r="B1432" t="str">
        <x:v>IMP-20260516-FULLDRAFT</x:v>
      </x:c>
      <x:c r="C1432" t="str">
        <x:v>KTO001</x:v>
      </x:c>
      <x:c r="D1432" t="str">
        <x:v>16-05-2026_Umsatzliste_Girokonto_DE98120300001061711675.csv</x:v>
      </x:c>
      <x:c r="E1432" t="n">
        <x:v>46163</x:v>
      </x:c>
      <x:c r="F1432" t="n">
        <x:v>1415</x:v>
      </x:c>
      <x:c r="G1432" t="str">
        <x:v>5305eeeb03ec744a5ab7be1d902981cdae0f33f11016b01a34e1740008d693f1</x:v>
      </x:c>
      <x:c r="H1432" t="str">
        <x:v>neu</x:v>
      </x:c>
      <x:c r="I1432" t="str">
        <x:v>ok</x:v>
      </x:c>
      <x:c r="J1432"/>
      <x:c r="K1432" t="n">
        <x:v>45691</x:v>
      </x:c>
      <x:c r="L1432" t="n">
        <x:v>45691</x:v>
      </x:c>
      <x:c r="M1432" t="str">
        <x:v>Gebucht</x:v>
      </x:c>
      <x:c r="N1432" t="str">
        <x:v>Lars Kohlenberg</x:v>
      </x:c>
      <x:c r="O1432" t="str">
        <x:v>LARS KOHLENBERG</x:v>
      </x:c>
      <x:c r="P1432" t="str">
        <x:v>Sparrate 650,- + 750 EUR Mieteinnahmen</x:v>
      </x:c>
      <x:c r="Q1432" t="str">
        <x:v>Ausgang</x:v>
      </x:c>
      <x:c r="R1432" t="str">
        <x:v>DE91270200001510365800</x:v>
      </x:c>
      <x:c r="S1432" t="n">
        <x:v>-1400</x:v>
      </x:c>
      <x:c r="T1432" t="str">
        <x:v>"</x:v>
      </x:c>
      <x:c r="U1432" t="str">
        <x:v>"</x:v>
      </x:c>
      <x:c r="V1432" t="str">
        <x:v>"</x:v>
      </x:c>
    </x:row>
    <x:row r="1433">
      <x:c r="A1433" t="str">
        <x:v>RAW-IMP-20260516-FULLDRAFT-001416</x:v>
      </x:c>
      <x:c r="B1433" t="str">
        <x:v>IMP-20260516-FULLDRAFT</x:v>
      </x:c>
      <x:c r="C1433" t="str">
        <x:v>KTO001</x:v>
      </x:c>
      <x:c r="D1433" t="str">
        <x:v>16-05-2026_Umsatzliste_Girokonto_DE98120300001061711675.csv</x:v>
      </x:c>
      <x:c r="E1433" t="n">
        <x:v>46163</x:v>
      </x:c>
      <x:c r="F1433" t="n">
        <x:v>1416</x:v>
      </x:c>
      <x:c r="G1433" t="str">
        <x:v>69d2efdaab8d3871ac79129c569a06cb6e6e11ef64ae6e96c190920f45d1e4ed</x:v>
      </x:c>
      <x:c r="H1433" t="str">
        <x:v>neu</x:v>
      </x:c>
      <x:c r="I1433" t="str">
        <x:v>ok</x:v>
      </x:c>
      <x:c r="J1433"/>
      <x:c r="K1433" t="n">
        <x:v>45688</x:v>
      </x:c>
      <x:c r="L1433" t="n">
        <x:v>45688</x:v>
      </x:c>
      <x:c r="M1433" t="str">
        <x:v>Gebucht</x:v>
      </x:c>
      <x:c r="N1433" t="str">
        <x:v>ISSUER</x:v>
      </x:c>
      <x:c r="O1433" t="str">
        <x:v>BURGER.KING.12184/LAUENAU</x:v>
      </x:c>
      <x:c r="P1433" t="str">
        <x:v>VISA Debitkartenumsatz vom 30.01.2025</x:v>
      </x:c>
      <x:c r="Q1433" t="str">
        <x:v>Ausgang</x:v>
      </x:c>
      <x:c r="R1433" t="str">
        <x:v>DE96120300009005290904</x:v>
      </x:c>
      <x:c r="S1433" t="n">
        <x:v>-7.99</x:v>
      </x:c>
      <x:c r="T1433" t="str">
        <x:v>"</x:v>
      </x:c>
      <x:c r="U1433" t="str">
        <x:v>"</x:v>
      </x:c>
      <x:c r="V1433" t="str">
        <x:v>485030597027038</x:v>
      </x:c>
    </x:row>
    <x:row r="1434">
      <x:c r="A1434" t="str">
        <x:v>RAW-IMP-20260516-FULLDRAFT-001417</x:v>
      </x:c>
      <x:c r="B1434" t="str">
        <x:v>IMP-20260516-FULLDRAFT</x:v>
      </x:c>
      <x:c r="C1434" t="str">
        <x:v>KTO001</x:v>
      </x:c>
      <x:c r="D1434" t="str">
        <x:v>16-05-2026_Umsatzliste_Girokonto_DE98120300001061711675.csv</x:v>
      </x:c>
      <x:c r="E1434" t="n">
        <x:v>46163</x:v>
      </x:c>
      <x:c r="F1434" t="n">
        <x:v>1417</x:v>
      </x:c>
      <x:c r="G1434" t="str">
        <x:v>71e9ec4f8db405174b0ab6f7a25985e414ed52280e92876b3a3c276dc42730a2</x:v>
      </x:c>
      <x:c r="H1434" t="str">
        <x:v>neu</x:v>
      </x:c>
      <x:c r="I1434" t="str">
        <x:v>ok</x:v>
      </x:c>
      <x:c r="J1434"/>
      <x:c r="K1434" t="n">
        <x:v>45688</x:v>
      </x:c>
      <x:c r="L1434" t="n">
        <x:v>45688</x:v>
      </x:c>
      <x:c r="M1434" t="str">
        <x:v>Gebucht</x:v>
      </x:c>
      <x:c r="N1434" t="str">
        <x:v>ISSUER</x:v>
      </x:c>
      <x:c r="O1434" t="str">
        <x:v>Rastanlage.Groenegau.No/Melle</x:v>
      </x:c>
      <x:c r="P1434" t="str">
        <x:v>VISA Debitkartenumsatz vom 30.01.2025</x:v>
      </x:c>
      <x:c r="Q1434" t="str">
        <x:v>Ausgang</x:v>
      </x:c>
      <x:c r="R1434" t="str">
        <x:v>DE96120300009005290904</x:v>
      </x:c>
      <x:c r="S1434" t="n">
        <x:v>-1</x:v>
      </x:c>
      <x:c r="T1434" t="str">
        <x:v>"</x:v>
      </x:c>
      <x:c r="U1434" t="str">
        <x:v>"</x:v>
      </x:c>
      <x:c r="V1434" t="str">
        <x:v>485030403674095</x:v>
      </x:c>
    </x:row>
    <x:row r="1435">
      <x:c r="A1435" t="str">
        <x:v>RAW-IMP-20260516-FULLDRAFT-001418</x:v>
      </x:c>
      <x:c r="B1435" t="str">
        <x:v>IMP-20260516-FULLDRAFT</x:v>
      </x:c>
      <x:c r="C1435" t="str">
        <x:v>KTO001</x:v>
      </x:c>
      <x:c r="D1435" t="str">
        <x:v>16-05-2026_Umsatzliste_Girokonto_DE98120300001061711675.csv</x:v>
      </x:c>
      <x:c r="E1435" t="n">
        <x:v>46163</x:v>
      </x:c>
      <x:c r="F1435" t="n">
        <x:v>1418</x:v>
      </x:c>
      <x:c r="G1435" t="str">
        <x:v>2520518c65281934645b7fc45060212cffc48477a0e921b88f286b23daabff3b</x:v>
      </x:c>
      <x:c r="H1435" t="str">
        <x:v>neu</x:v>
      </x:c>
      <x:c r="I1435" t="str">
        <x:v>ok</x:v>
      </x:c>
      <x:c r="J1435"/>
      <x:c r="K1435" t="n">
        <x:v>45688</x:v>
      </x:c>
      <x:c r="L1435" t="n">
        <x:v>45688</x:v>
      </x:c>
      <x:c r="M1435" t="str">
        <x:v>Gebucht</x:v>
      </x:c>
      <x:c r="N1435" t="str">
        <x:v>Kohlenberg, Katrin</x:v>
      </x:c>
      <x:c r="O1435" t="str">
        <x:v>WEVG Salzgitter GmbH + Co. KG</x:v>
      </x:c>
      <x:c r="P1435" t="str">
        <x:v>Kd-Nr 79288 Einz 31.01.25 100833/76.00/Johannes-Wosni</x:v>
      </x:c>
      <x:c r="Q1435" t="str">
        <x:v>Ausgang</x:v>
      </x:c>
      <x:c r="R1435" t="str">
        <x:v>DE19300700100394127500</x:v>
      </x:c>
      <x:c r="S1435" t="n">
        <x:v>-76</x:v>
      </x:c>
      <x:c r="T1435" t="str">
        <x:v>DE83WEV00000032716</x:v>
      </x:c>
      <x:c r="U1435" t="str">
        <x:v>WEVG0000079288G1000178580</x:v>
      </x:c>
      <x:c r="V1435" t="str">
        <x:v>13463262</x:v>
      </x:c>
    </x:row>
    <x:row r="1436">
      <x:c r="A1436" t="str">
        <x:v>RAW-IMP-20260516-FULLDRAFT-001419</x:v>
      </x:c>
      <x:c r="B1436" t="str">
        <x:v>IMP-20260516-FULLDRAFT</x:v>
      </x:c>
      <x:c r="C1436" t="str">
        <x:v>KTO001</x:v>
      </x:c>
      <x:c r="D1436" t="str">
        <x:v>16-05-2026_Umsatzliste_Girokonto_DE98120300001061711675.csv</x:v>
      </x:c>
      <x:c r="E1436" t="n">
        <x:v>46163</x:v>
      </x:c>
      <x:c r="F1436" t="n">
        <x:v>1419</x:v>
      </x:c>
      <x:c r="G1436" t="str">
        <x:v>657245326370e6e47066002225bc5876c51ac8cf04e59dc06129486f6d492b34</x:v>
      </x:c>
      <x:c r="H1436" t="str">
        <x:v>neu</x:v>
      </x:c>
      <x:c r="I1436" t="str">
        <x:v>ok</x:v>
      </x:c>
      <x:c r="J1436"/>
      <x:c r="K1436" t="n">
        <x:v>45688</x:v>
      </x:c>
      <x:c r="L1436" t="n">
        <x:v>45688</x:v>
      </x:c>
      <x:c r="M1436" t="str">
        <x:v>Gebucht</x:v>
      </x:c>
      <x:c r="N1436" t="str">
        <x:v>Lars Kohlenberg</x:v>
      </x:c>
      <x:c r="O1436" t="str">
        <x:v>LARS KOHLENBERG</x:v>
      </x:c>
      <x:c r="P1436" t="str">
        <x:v>Zins und Tilgung zu 2/3</x:v>
      </x:c>
      <x:c r="Q1436" t="str">
        <x:v>Ausgang</x:v>
      </x:c>
      <x:c r="R1436" t="str">
        <x:v>DE33269910668923736000</x:v>
      </x:c>
      <x:c r="S1436" t="n">
        <x:v>-1153.94</x:v>
      </x:c>
      <x:c r="T1436" t="str">
        <x:v>"</x:v>
      </x:c>
      <x:c r="U1436" t="str">
        <x:v>"</x:v>
      </x:c>
      <x:c r="V1436" t="str">
        <x:v>"</x:v>
      </x:c>
    </x:row>
    <x:row r="1437">
      <x:c r="A1437" t="str">
        <x:v>RAW-IMP-20260516-FULLDRAFT-001420</x:v>
      </x:c>
      <x:c r="B1437" t="str">
        <x:v>IMP-20260516-FULLDRAFT</x:v>
      </x:c>
      <x:c r="C1437" t="str">
        <x:v>KTO001</x:v>
      </x:c>
      <x:c r="D1437" t="str">
        <x:v>16-05-2026_Umsatzliste_Girokonto_DE98120300001061711675.csv</x:v>
      </x:c>
      <x:c r="E1437" t="n">
        <x:v>46163</x:v>
      </x:c>
      <x:c r="F1437" t="n">
        <x:v>1420</x:v>
      </x:c>
      <x:c r="G1437" t="str">
        <x:v>d100cc46e3f68662f9468d7aefd0111b73e4d701f0857e2b8c03815da776d255</x:v>
      </x:c>
      <x:c r="H1437" t="str">
        <x:v>neu</x:v>
      </x:c>
      <x:c r="I1437" t="str">
        <x:v>ok</x:v>
      </x:c>
      <x:c r="J1437"/>
      <x:c r="K1437" t="n">
        <x:v>45687</x:v>
      </x:c>
      <x:c r="L1437" t="n">
        <x:v>45687</x:v>
      </x:c>
      <x:c r="M1437" t="str">
        <x:v>Gebucht</x:v>
      </x:c>
      <x:c r="N1437" t="str">
        <x:v>Stiftung Kath. Altenhilfe im Bistum Hildesheim</x:v>
      </x:c>
      <x:c r="O1437" t="str">
        <x:v>KOHLENBERG LARS</x:v>
      </x:c>
      <x:c r="P1437" t="str">
        <x:v>GEHALT 1/25</x:v>
      </x:c>
      <x:c r="Q1437" t="str">
        <x:v>Eingang</x:v>
      </x:c>
      <x:c r="R1437" t="str">
        <x:v>DE92400602650023150301</x:v>
      </x:c>
      <x:c r="S1437" t="n">
        <x:v>7426.51</x:v>
      </x:c>
      <x:c r="T1437" t="str">
        <x:v>"</x:v>
      </x:c>
      <x:c r="U1437" t="str">
        <x:v>"</x:v>
      </x:c>
      <x:c r="V1437" t="str">
        <x:v>001001987662SALA014353004</x:v>
      </x:c>
    </x:row>
    <x:row r="1438">
      <x:c r="A1438" t="str">
        <x:v>RAW-IMP-20260516-FULLDRAFT-001421</x:v>
      </x:c>
      <x:c r="B1438" t="str">
        <x:v>IMP-20260516-FULLDRAFT</x:v>
      </x:c>
      <x:c r="C1438" t="str">
        <x:v>KTO001</x:v>
      </x:c>
      <x:c r="D1438" t="str">
        <x:v>16-05-2026_Umsatzliste_Girokonto_DE98120300001061711675.csv</x:v>
      </x:c>
      <x:c r="E1438" t="n">
        <x:v>46163</x:v>
      </x:c>
      <x:c r="F1438" t="n">
        <x:v>1421</x:v>
      </x:c>
      <x:c r="G1438" t="str">
        <x:v>3051c49a564171578001cb0f187d779af5fa38608c74a922a5202bcfbd52e149</x:v>
      </x:c>
      <x:c r="H1438" t="str">
        <x:v>neu</x:v>
      </x:c>
      <x:c r="I1438" t="str">
        <x:v>ok</x:v>
      </x:c>
      <x:c r="J1438"/>
      <x:c r="K1438" t="n">
        <x:v>45687</x:v>
      </x:c>
      <x:c r="L1438" t="n">
        <x:v>45687</x:v>
      </x:c>
      <x:c r="M1438" t="str">
        <x:v>Gebucht</x:v>
      </x:c>
      <x:c r="N1438" t="str">
        <x:v>Kohlenberg, Katrin</x:v>
      </x:c>
      <x:c r="O1438" t="str">
        <x:v>WEVG Salzgitter GmbH + Co. KG</x:v>
      </x:c>
      <x:c r="P1438" t="str">
        <x:v>Kd-Nr 79288 Einz 30.01.25 100833/31.94/Johannes-Wosni</x:v>
      </x:c>
      <x:c r="Q1438" t="str">
        <x:v>Ausgang</x:v>
      </x:c>
      <x:c r="R1438" t="str">
        <x:v>DE19300700100394127500</x:v>
      </x:c>
      <x:c r="S1438" t="n">
        <x:v>-31.94</x:v>
      </x:c>
      <x:c r="T1438" t="str">
        <x:v>DE83WEV00000032716</x:v>
      </x:c>
      <x:c r="U1438" t="str">
        <x:v>WEVG0000079288G1000178580</x:v>
      </x:c>
      <x:c r="V1438" t="str">
        <x:v>13440769</x:v>
      </x:c>
    </x:row>
    <x:row r="1439">
      <x:c r="A1439" t="str">
        <x:v>RAW-IMP-20260516-FULLDRAFT-001422</x:v>
      </x:c>
      <x:c r="B1439" t="str">
        <x:v>IMP-20260516-FULLDRAFT</x:v>
      </x:c>
      <x:c r="C1439" t="str">
        <x:v>KTO001</x:v>
      </x:c>
      <x:c r="D1439" t="str">
        <x:v>16-05-2026_Umsatzliste_Girokonto_DE98120300001061711675.csv</x:v>
      </x:c>
      <x:c r="E1439" t="n">
        <x:v>46163</x:v>
      </x:c>
      <x:c r="F1439" t="n">
        <x:v>1422</x:v>
      </x:c>
      <x:c r="G1439" t="str">
        <x:v>978f09e3488848a0327e123f752e940e1082b3a753201306d46608c7fbe8c03b</x:v>
      </x:c>
      <x:c r="H1439" t="str">
        <x:v>neu</x:v>
      </x:c>
      <x:c r="I1439" t="str">
        <x:v>ok</x:v>
      </x:c>
      <x:c r="J1439"/>
      <x:c r="K1439" t="n">
        <x:v>45687</x:v>
      </x:c>
      <x:c r="L1439" t="n">
        <x:v>45687</x:v>
      </x:c>
      <x:c r="M1439" t="str">
        <x:v>Gebucht</x:v>
      </x:c>
      <x:c r="N1439" t="str">
        <x:v>Lars Kohlenberg</x:v>
      </x:c>
      <x:c r="O1439" t="str">
        <x:v>Lea kohlenberg</x:v>
      </x:c>
      <x:c r="P1439" t="str">
        <x:v>Taschengeld</x:v>
      </x:c>
      <x:c r="Q1439" t="str">
        <x:v>Ausgang</x:v>
      </x:c>
      <x:c r="R1439" t="str">
        <x:v>DE89269910662833344000</x:v>
      </x:c>
      <x:c r="S1439" t="n">
        <x:v>-10</x:v>
      </x:c>
      <x:c r="T1439" t="str">
        <x:v>"</x:v>
      </x:c>
      <x:c r="U1439" t="str">
        <x:v>"</x:v>
      </x:c>
      <x:c r="V1439" t="str">
        <x:v>"</x:v>
      </x:c>
    </x:row>
    <x:row r="1440">
      <x:c r="A1440" t="str">
        <x:v>RAW-IMP-20260516-FULLDRAFT-001423</x:v>
      </x:c>
      <x:c r="B1440" t="str">
        <x:v>IMP-20260516-FULLDRAFT</x:v>
      </x:c>
      <x:c r="C1440" t="str">
        <x:v>KTO001</x:v>
      </x:c>
      <x:c r="D1440" t="str">
        <x:v>16-05-2026_Umsatzliste_Girokonto_DE98120300001061711675.csv</x:v>
      </x:c>
      <x:c r="E1440" t="n">
        <x:v>46163</x:v>
      </x:c>
      <x:c r="F1440" t="n">
        <x:v>1423</x:v>
      </x:c>
      <x:c r="G1440" t="str">
        <x:v>23a7940267bd2f35e1f2b785d38973a455eb563ce3f67ba8ad41ff23a7ce651b</x:v>
      </x:c>
      <x:c r="H1440" t="str">
        <x:v>neu</x:v>
      </x:c>
      <x:c r="I1440" t="str">
        <x:v>ok</x:v>
      </x:c>
      <x:c r="J1440"/>
      <x:c r="K1440" t="n">
        <x:v>45687</x:v>
      </x:c>
      <x:c r="L1440" t="n">
        <x:v>45687</x:v>
      </x:c>
      <x:c r="M1440" t="str">
        <x:v>Gebucht</x:v>
      </x:c>
      <x:c r="N1440" t="str">
        <x:v>Lars Kohlenberg                                                       Johannes-Wosnitza-Str. 8,38229 Salzgitter</x:v>
      </x:c>
      <x:c r="O1440" t="str">
        <x:v>1.1 Mail . Media GmbH                                                 Elgendorfer Str. 57, 56410 Montabaur</x:v>
      </x:c>
      <x:c r="P1440" t="str">
        <x:v>KD-Nr. K7440512/ RG-Nr. 201539859708</x:v>
      </x:c>
      <x:c r="Q1440" t="str">
        <x:v>Ausgang</x:v>
      </x:c>
      <x:c r="R1440" t="str">
        <x:v>DE76700800000881679702</x:v>
      </x:c>
      <x:c r="S1440" t="n">
        <x:v>-8.99</x:v>
      </x:c>
      <x:c r="T1440" t="str">
        <x:v>DE07ZZZ00000569718</x:v>
      </x:c>
      <x:c r="U1440" t="str">
        <x:v>0090001393062</x:v>
      </x:c>
      <x:c r="V1440" t="str">
        <x:v>005825243185</x:v>
      </x:c>
    </x:row>
    <x:row r="1441">
      <x:c r="A1441" t="str">
        <x:v>RAW-IMP-20260516-FULLDRAFT-001424</x:v>
      </x:c>
      <x:c r="B1441" t="str">
        <x:v>IMP-20260516-FULLDRAFT</x:v>
      </x:c>
      <x:c r="C1441" t="str">
        <x:v>KTO001</x:v>
      </x:c>
      <x:c r="D1441" t="str">
        <x:v>16-05-2026_Umsatzliste_Girokonto_DE98120300001061711675.csv</x:v>
      </x:c>
      <x:c r="E1441" t="n">
        <x:v>46163</x:v>
      </x:c>
      <x:c r="F1441" t="n">
        <x:v>1424</x:v>
      </x:c>
      <x:c r="G1441" t="str">
        <x:v>da23eb8e449c1b5aebbff614e31a5a23896905c5f135deab358b50f12e0441f2</x:v>
      </x:c>
      <x:c r="H1441" t="str">
        <x:v>neu</x:v>
      </x:c>
      <x:c r="I1441" t="str">
        <x:v>ok</x:v>
      </x:c>
      <x:c r="J1441"/>
      <x:c r="K1441" t="n">
        <x:v>45686</x:v>
      </x:c>
      <x:c r="L1441" t="n">
        <x:v>45686</x:v>
      </x:c>
      <x:c r="M1441" t="str">
        <x:v>Gebucht</x:v>
      </x:c>
      <x:c r="N1441" t="str">
        <x:v>ISSUER</x:v>
      </x:c>
      <x:c r="O1441" t="str">
        <x:v>REWE.Mehmet.Kaysal.oHG/Salzgitter</x:v>
      </x:c>
      <x:c r="P1441" t="str">
        <x:v>VISA Debitkartenumsatz vom 28.01.2025</x:v>
      </x:c>
      <x:c r="Q1441" t="str">
        <x:v>Ausgang</x:v>
      </x:c>
      <x:c r="R1441" t="str">
        <x:v>DE96120300009005290904</x:v>
      </x:c>
      <x:c r="S1441" t="n">
        <x:v>-51.1</x:v>
      </x:c>
      <x:c r="T1441" t="str">
        <x:v>"</x:v>
      </x:c>
      <x:c r="U1441" t="str">
        <x:v>"</x:v>
      </x:c>
      <x:c r="V1441" t="str">
        <x:v>485028683458658</x:v>
      </x:c>
    </x:row>
    <x:row r="1442">
      <x:c r="A1442" t="str">
        <x:v>RAW-IMP-20260516-FULLDRAFT-001425</x:v>
      </x:c>
      <x:c r="B1442" t="str">
        <x:v>IMP-20260516-FULLDRAFT</x:v>
      </x:c>
      <x:c r="C1442" t="str">
        <x:v>KTO001</x:v>
      </x:c>
      <x:c r="D1442" t="str">
        <x:v>16-05-2026_Umsatzliste_Girokonto_DE98120300001061711675.csv</x:v>
      </x:c>
      <x:c r="E1442" t="n">
        <x:v>46163</x:v>
      </x:c>
      <x:c r="F1442" t="n">
        <x:v>1425</x:v>
      </x:c>
      <x:c r="G1442" t="str">
        <x:v>1921a5bc4af8c60ff3b856da4f5469ddc5358cfc8bd3c91cdbbd552ee47fc147</x:v>
      </x:c>
      <x:c r="H1442" t="str">
        <x:v>neu</x:v>
      </x:c>
      <x:c r="I1442" t="str">
        <x:v>ok</x:v>
      </x:c>
      <x:c r="J1442"/>
      <x:c r="K1442" t="n">
        <x:v>45686</x:v>
      </x:c>
      <x:c r="L1442" t="n">
        <x:v>45686</x:v>
      </x:c>
      <x:c r="M1442" t="str">
        <x:v>Gebucht</x:v>
      </x:c>
      <x:c r="N1442" t="str">
        <x:v>ISSUER</x:v>
      </x:c>
      <x:c r="O1442" t="str">
        <x:v>Lidl.sagt.Danke/Salzgitter</x:v>
      </x:c>
      <x:c r="P1442" t="str">
        <x:v>VISA Debitkartenumsatz vom 28.01.2025</x:v>
      </x:c>
      <x:c r="Q1442" t="str">
        <x:v>Ausgang</x:v>
      </x:c>
      <x:c r="R1442" t="str">
        <x:v>DE96120300009005290904</x:v>
      </x:c>
      <x:c r="S1442" t="n">
        <x:v>-44.59</x:v>
      </x:c>
      <x:c r="T1442" t="str">
        <x:v>"</x:v>
      </x:c>
      <x:c r="U1442" t="str">
        <x:v>"</x:v>
      </x:c>
      <x:c r="V1442" t="str">
        <x:v>485028657718904</x:v>
      </x:c>
    </x:row>
    <x:row r="1443">
      <x:c r="A1443" t="str">
        <x:v>RAW-IMP-20260516-FULLDRAFT-001426</x:v>
      </x:c>
      <x:c r="B1443" t="str">
        <x:v>IMP-20260516-FULLDRAFT</x:v>
      </x:c>
      <x:c r="C1443" t="str">
        <x:v>KTO001</x:v>
      </x:c>
      <x:c r="D1443" t="str">
        <x:v>16-05-2026_Umsatzliste_Girokonto_DE98120300001061711675.csv</x:v>
      </x:c>
      <x:c r="E1443" t="n">
        <x:v>46163</x:v>
      </x:c>
      <x:c r="F1443" t="n">
        <x:v>1426</x:v>
      </x:c>
      <x:c r="G1443" t="str">
        <x:v>99b0e4b4c71ed0fdd90df6424816b15018c1a320bceaf20c4cebd8c674a89257</x:v>
      </x:c>
      <x:c r="H1443" t="str">
        <x:v>neu</x:v>
      </x:c>
      <x:c r="I1443" t="str">
        <x:v>ok</x:v>
      </x:c>
      <x:c r="J1443"/>
      <x:c r="K1443" t="n">
        <x:v>45686</x:v>
      </x:c>
      <x:c r="L1443" t="n">
        <x:v>45686</x:v>
      </x:c>
      <x:c r="M1443" t="str">
        <x:v>Gebucht</x:v>
      </x:c>
      <x:c r="N1443" t="str">
        <x:v>Lars Kohlenberg</x:v>
      </x:c>
      <x:c r="O1443" t="str">
        <x:v>Küchen und Ideen Rollwage</x:v>
      </x:c>
      <x:c r="P1443" t="str">
        <x:v>Rechnung 20250005 Kohlenberg</x:v>
      </x:c>
      <x:c r="Q1443" t="str">
        <x:v>Ausgang</x:v>
      </x:c>
      <x:c r="R1443" t="str">
        <x:v>DE52250500000003481652</x:v>
      </x:c>
      <x:c r="S1443" t="n">
        <x:v>-26700</x:v>
      </x:c>
      <x:c r="T1443" t="str">
        <x:v>"</x:v>
      </x:c>
      <x:c r="U1443" t="str">
        <x:v>"</x:v>
      </x:c>
      <x:c r="V1443" t="str">
        <x:v>"</x:v>
      </x:c>
    </x:row>
    <x:row r="1444">
      <x:c r="A1444" t="str">
        <x:v>RAW-IMP-20260516-FULLDRAFT-001427</x:v>
      </x:c>
      <x:c r="B1444" t="str">
        <x:v>IMP-20260516-FULLDRAFT</x:v>
      </x:c>
      <x:c r="C1444" t="str">
        <x:v>KTO001</x:v>
      </x:c>
      <x:c r="D1444" t="str">
        <x:v>16-05-2026_Umsatzliste_Girokonto_DE98120300001061711675.csv</x:v>
      </x:c>
      <x:c r="E1444" t="n">
        <x:v>46163</x:v>
      </x:c>
      <x:c r="F1444" t="n">
        <x:v>1427</x:v>
      </x:c>
      <x:c r="G1444" t="str">
        <x:v>ea59564a3f7a180c5eef76fc1e46e59505c2cb238794916add78cc6765f4779f</x:v>
      </x:c>
      <x:c r="H1444" t="str">
        <x:v>neu</x:v>
      </x:c>
      <x:c r="I1444" t="str">
        <x:v>ok</x:v>
      </x:c>
      <x:c r="J1444"/>
      <x:c r="K1444" t="n">
        <x:v>45684</x:v>
      </x:c>
      <x:c r="L1444" t="n">
        <x:v>45684</x:v>
      </x:c>
      <x:c r="M1444" t="str">
        <x:v>Gebucht</x:v>
      </x:c>
      <x:c r="N1444" t="str">
        <x:v>GLOBUS FACHMAERKTE</x:v>
      </x:c>
      <x:c r="O1444" t="str">
        <x:v>/CDGM/4825110010617116753/0/2612</x:v>
      </x:c>
      <x:c r="P1444" t="str">
        <x:v>ELV54162287 24.01 16.43 ME0()GLOBUS FACHMAERKTE//SALZGITTER</x:v>
      </x:c>
      <x:c r="Q1444" t="str">
        <x:v>Eingang</x:v>
      </x:c>
      <x:c r="R1444" t="str">
        <x:v>DE98590400000560707200</x:v>
      </x:c>
      <x:c r="S1444" t="n">
        <x:v>47.99</x:v>
      </x:c>
      <x:c r="T1444" t="str">
        <x:v>"</x:v>
      </x:c>
      <x:c r="U1444" t="str">
        <x:v>"</x:v>
      </x:c>
      <x:c r="V1444" t="str">
        <x:v>P025012454162287151329()GLOBUS BM</x:v>
      </x:c>
    </x:row>
    <x:row r="1445">
      <x:c r="A1445" t="str">
        <x:v>RAW-IMP-20260516-FULLDRAFT-001428</x:v>
      </x:c>
      <x:c r="B1445" t="str">
        <x:v>IMP-20260516-FULLDRAFT</x:v>
      </x:c>
      <x:c r="C1445" t="str">
        <x:v>KTO001</x:v>
      </x:c>
      <x:c r="D1445" t="str">
        <x:v>16-05-2026_Umsatzliste_Girokonto_DE98120300001061711675.csv</x:v>
      </x:c>
      <x:c r="E1445" t="n">
        <x:v>46163</x:v>
      </x:c>
      <x:c r="F1445" t="n">
        <x:v>1428</x:v>
      </x:c>
      <x:c r="G1445" t="str">
        <x:v>e653f14b4efd7d3dc4dcaac283af2b60cdd78eb66b1cee117baaa07a73326aec</x:v>
      </x:c>
      <x:c r="H1445" t="str">
        <x:v>neu</x:v>
      </x:c>
      <x:c r="I1445" t="str">
        <x:v>ok</x:v>
      </x:c>
      <x:c r="J1445"/>
      <x:c r="K1445" t="n">
        <x:v>45684</x:v>
      </x:c>
      <x:c r="L1445" t="n">
        <x:v>45684</x:v>
      </x:c>
      <x:c r="M1445" t="str">
        <x:v>Gebucht</x:v>
      </x:c>
      <x:c r="N1445" t="str">
        <x:v>ISSUER</x:v>
      </x:c>
      <x:c r="O1445" t="str">
        <x:v>Backerei.Kamps/Braunschweig</x:v>
      </x:c>
      <x:c r="P1445" t="str">
        <x:v>VISA Debitkartenumsatz vom 25.01.2025</x:v>
      </x:c>
      <x:c r="Q1445" t="str">
        <x:v>Ausgang</x:v>
      </x:c>
      <x:c r="R1445" t="str">
        <x:v>DE96120300009005290904</x:v>
      </x:c>
      <x:c r="S1445" t="n">
        <x:v>-4.55</x:v>
      </x:c>
      <x:c r="T1445" t="str">
        <x:v>"</x:v>
      </x:c>
      <x:c r="U1445" t="str">
        <x:v>"</x:v>
      </x:c>
      <x:c r="V1445" t="str">
        <x:v>485025317680994</x:v>
      </x:c>
    </x:row>
    <x:row r="1446">
      <x:c r="A1446" t="str">
        <x:v>RAW-IMP-20260516-FULLDRAFT-001429</x:v>
      </x:c>
      <x:c r="B1446" t="str">
        <x:v>IMP-20260516-FULLDRAFT</x:v>
      </x:c>
      <x:c r="C1446" t="str">
        <x:v>KTO001</x:v>
      </x:c>
      <x:c r="D1446" t="str">
        <x:v>16-05-2026_Umsatzliste_Girokonto_DE98120300001061711675.csv</x:v>
      </x:c>
      <x:c r="E1446" t="n">
        <x:v>46163</x:v>
      </x:c>
      <x:c r="F1446" t="n">
        <x:v>1429</x:v>
      </x:c>
      <x:c r="G1446" t="str">
        <x:v>7c51f178a7b80d3144b964b154e732ad596aa8a9e098ae9f603fb4d4821cb61c</x:v>
      </x:c>
      <x:c r="H1446" t="str">
        <x:v>neu</x:v>
      </x:c>
      <x:c r="I1446" t="str">
        <x:v>ok</x:v>
      </x:c>
      <x:c r="J1446"/>
      <x:c r="K1446" t="n">
        <x:v>45684</x:v>
      </x:c>
      <x:c r="L1446" t="n">
        <x:v>45684</x:v>
      </x:c>
      <x:c r="M1446" t="str">
        <x:v>Gebucht</x:v>
      </x:c>
      <x:c r="N1446" t="str">
        <x:v>ISSUER</x:v>
      </x:c>
      <x:c r="O1446" t="str">
        <x:v>HENNESTRAND.DE/HENNE</x:v>
      </x:c>
      <x:c r="P1446" t="str">
        <x:v>VISA Debitkartenumsatz vom 23.01.2025</x:v>
      </x:c>
      <x:c r="Q1446" t="str">
        <x:v>Ausgang</x:v>
      </x:c>
      <x:c r="R1446" t="str">
        <x:v>DE96120300009005290904</x:v>
      </x:c>
      <x:c r="S1446" t="n">
        <x:v>-1193</x:v>
      </x:c>
      <x:c r="T1446" t="str">
        <x:v>"</x:v>
      </x:c>
      <x:c r="U1446" t="str">
        <x:v>"</x:v>
      </x:c>
      <x:c r="V1446" t="str">
        <x:v>485023776530827</x:v>
      </x:c>
    </x:row>
    <x:row r="1447">
      <x:c r="A1447" t="str">
        <x:v>RAW-IMP-20260516-FULLDRAFT-001430</x:v>
      </x:c>
      <x:c r="B1447" t="str">
        <x:v>IMP-20260516-FULLDRAFT</x:v>
      </x:c>
      <x:c r="C1447" t="str">
        <x:v>KTO001</x:v>
      </x:c>
      <x:c r="D1447" t="str">
        <x:v>16-05-2026_Umsatzliste_Girokonto_DE98120300001061711675.csv</x:v>
      </x:c>
      <x:c r="E1447" t="n">
        <x:v>46163</x:v>
      </x:c>
      <x:c r="F1447" t="n">
        <x:v>1430</x:v>
      </x:c>
      <x:c r="G1447" t="str">
        <x:v>0fc04c1db623baaadc5e4216fc250a31e67d4e0dac4cf7cb43ecde49fbb4be2a</x:v>
      </x:c>
      <x:c r="H1447" t="str">
        <x:v>neu</x:v>
      </x:c>
      <x:c r="I1447" t="str">
        <x:v>ok</x:v>
      </x:c>
      <x:c r="J1447"/>
      <x:c r="K1447" t="n">
        <x:v>45684</x:v>
      </x:c>
      <x:c r="L1447" t="n">
        <x:v>45684</x:v>
      </x:c>
      <x:c r="M1447" t="str">
        <x:v>Gebucht</x:v>
      </x:c>
      <x:c r="N1447" t="str">
        <x:v>ISSUER</x:v>
      </x:c>
      <x:c r="O1447" t="str">
        <x:v>TELEKOM.SHOP.BRAUNSCHWE/BRAUNSCHWEIG</x:v>
      </x:c>
      <x:c r="P1447" t="str">
        <x:v>VISA Debitkartenumsatz vom 25.01.2025</x:v>
      </x:c>
      <x:c r="Q1447" t="str">
        <x:v>Ausgang</x:v>
      </x:c>
      <x:c r="R1447" t="str">
        <x:v>DE96120300009005290904</x:v>
      </x:c>
      <x:c r="S1447" t="n">
        <x:v>-107</x:v>
      </x:c>
      <x:c r="T1447" t="str">
        <x:v>"</x:v>
      </x:c>
      <x:c r="U1447" t="str">
        <x:v>"</x:v>
      </x:c>
      <x:c r="V1447" t="str">
        <x:v>485025329303942</x:v>
      </x:c>
    </x:row>
    <x:row r="1448">
      <x:c r="A1448" t="str">
        <x:v>RAW-IMP-20260516-FULLDRAFT-001431</x:v>
      </x:c>
      <x:c r="B1448" t="str">
        <x:v>IMP-20260516-FULLDRAFT</x:v>
      </x:c>
      <x:c r="C1448" t="str">
        <x:v>KTO001</x:v>
      </x:c>
      <x:c r="D1448" t="str">
        <x:v>16-05-2026_Umsatzliste_Girokonto_DE98120300001061711675.csv</x:v>
      </x:c>
      <x:c r="E1448" t="n">
        <x:v>46163</x:v>
      </x:c>
      <x:c r="F1448" t="n">
        <x:v>1431</x:v>
      </x:c>
      <x:c r="G1448" t="str">
        <x:v>29655acc604b7e95bdd26f04b665ef1a051abad17599ea89b9893c3b4d19b92c</x:v>
      </x:c>
      <x:c r="H1448" t="str">
        <x:v>neu</x:v>
      </x:c>
      <x:c r="I1448" t="str">
        <x:v>ok</x:v>
      </x:c>
      <x:c r="J1448"/>
      <x:c r="K1448" t="n">
        <x:v>45684</x:v>
      </x:c>
      <x:c r="L1448" t="n">
        <x:v>45684</x:v>
      </x:c>
      <x:c r="M1448" t="str">
        <x:v>Gebucht</x:v>
      </x:c>
      <x:c r="N1448" t="str">
        <x:v>ISSUER</x:v>
      </x:c>
      <x:c r="O1448" t="str">
        <x:v>REWE.Salzgitter.Ge/Salzgitter</x:v>
      </x:c>
      <x:c r="P1448" t="str">
        <x:v>VISA Debitkartenumsatz vom 25.01.2025</x:v>
      </x:c>
      <x:c r="Q1448" t="str">
        <x:v>Ausgang</x:v>
      </x:c>
      <x:c r="R1448" t="str">
        <x:v>DE96120300009005290904</x:v>
      </x:c>
      <x:c r="S1448" t="n">
        <x:v>-130.78</x:v>
      </x:c>
      <x:c r="T1448" t="str">
        <x:v>"</x:v>
      </x:c>
      <x:c r="U1448" t="str">
        <x:v>"</x:v>
      </x:c>
      <x:c r="V1448" t="str">
        <x:v>485025561107501</x:v>
      </x:c>
    </x:row>
    <x:row r="1449">
      <x:c r="A1449" t="str">
        <x:v>RAW-IMP-20260516-FULLDRAFT-001432</x:v>
      </x:c>
      <x:c r="B1449" t="str">
        <x:v>IMP-20260516-FULLDRAFT</x:v>
      </x:c>
      <x:c r="C1449" t="str">
        <x:v>KTO001</x:v>
      </x:c>
      <x:c r="D1449" t="str">
        <x:v>16-05-2026_Umsatzliste_Girokonto_DE98120300001061711675.csv</x:v>
      </x:c>
      <x:c r="E1449" t="n">
        <x:v>46163</x:v>
      </x:c>
      <x:c r="F1449" t="n">
        <x:v>1432</x:v>
      </x:c>
      <x:c r="G1449" t="str">
        <x:v>6dc961f8a580bacb625684371c8d3d564249f8dbb136491920a100f0d0efd30d</x:v>
      </x:c>
      <x:c r="H1449" t="str">
        <x:v>neu</x:v>
      </x:c>
      <x:c r="I1449" t="str">
        <x:v>ok</x:v>
      </x:c>
      <x:c r="J1449"/>
      <x:c r="K1449" t="n">
        <x:v>45684</x:v>
      </x:c>
      <x:c r="L1449" t="n">
        <x:v>45684</x:v>
      </x:c>
      <x:c r="M1449" t="str">
        <x:v>Gebucht</x:v>
      </x:c>
      <x:c r="N1449" t="str">
        <x:v>ISSUER</x:v>
      </x:c>
      <x:c r="O1449" t="str">
        <x:v>DM.Drogerie.Markt/Braunschweig</x:v>
      </x:c>
      <x:c r="P1449" t="str">
        <x:v>VISA Debitkartenumsatz vom 25.01.2025</x:v>
      </x:c>
      <x:c r="Q1449" t="str">
        <x:v>Ausgang</x:v>
      </x:c>
      <x:c r="R1449" t="str">
        <x:v>DE96120300009005290904</x:v>
      </x:c>
      <x:c r="S1449" t="n">
        <x:v>-15.35</x:v>
      </x:c>
      <x:c r="T1449" t="str">
        <x:v>"</x:v>
      </x:c>
      <x:c r="U1449" t="str">
        <x:v>"</x:v>
      </x:c>
      <x:c r="V1449" t="str">
        <x:v>485025316662559</x:v>
      </x:c>
    </x:row>
    <x:row r="1450">
      <x:c r="A1450" t="str">
        <x:v>RAW-IMP-20260516-FULLDRAFT-001433</x:v>
      </x:c>
      <x:c r="B1450" t="str">
        <x:v>IMP-20260516-FULLDRAFT</x:v>
      </x:c>
      <x:c r="C1450" t="str">
        <x:v>KTO001</x:v>
      </x:c>
      <x:c r="D1450" t="str">
        <x:v>16-05-2026_Umsatzliste_Girokonto_DE98120300001061711675.csv</x:v>
      </x:c>
      <x:c r="E1450" t="n">
        <x:v>46163</x:v>
      </x:c>
      <x:c r="F1450" t="n">
        <x:v>1433</x:v>
      </x:c>
      <x:c r="G1450" t="str">
        <x:v>8168afa7573a060090f35a0868646a7120d1af08e98ee3afa7973205acf3bca5</x:v>
      </x:c>
      <x:c r="H1450" t="str">
        <x:v>neu</x:v>
      </x:c>
      <x:c r="I1450" t="str">
        <x:v>ok</x:v>
      </x:c>
      <x:c r="J1450"/>
      <x:c r="K1450" t="n">
        <x:v>45684</x:v>
      </x:c>
      <x:c r="L1450" t="n">
        <x:v>45684</x:v>
      </x:c>
      <x:c r="M1450" t="str">
        <x:v>Gebucht</x:v>
      </x:c>
      <x:c r="N1450" t="str">
        <x:v>ISSUER</x:v>
      </x:c>
      <x:c r="O1450" t="str">
        <x:v>REWE.Salzgitter.Ge/Salzgitter</x:v>
      </x:c>
      <x:c r="P1450" t="str">
        <x:v>VISA Debitkartenumsatz vom 24.01.2025</x:v>
      </x:c>
      <x:c r="Q1450" t="str">
        <x:v>Ausgang</x:v>
      </x:c>
      <x:c r="R1450" t="str">
        <x:v>DE96120300009005290904</x:v>
      </x:c>
      <x:c r="S1450" t="n">
        <x:v>-15.15</x:v>
      </x:c>
      <x:c r="T1450" t="str">
        <x:v>"</x:v>
      </x:c>
      <x:c r="U1450" t="str">
        <x:v>"</x:v>
      </x:c>
      <x:c r="V1450" t="str">
        <x:v>485024499887002</x:v>
      </x:c>
    </x:row>
    <x:row r="1451">
      <x:c r="A1451" t="str">
        <x:v>RAW-IMP-20260516-FULLDRAFT-001434</x:v>
      </x:c>
      <x:c r="B1451" t="str">
        <x:v>IMP-20260516-FULLDRAFT</x:v>
      </x:c>
      <x:c r="C1451" t="str">
        <x:v>KTO001</x:v>
      </x:c>
      <x:c r="D1451" t="str">
        <x:v>16-05-2026_Umsatzliste_Girokonto_DE98120300001061711675.csv</x:v>
      </x:c>
      <x:c r="E1451" t="n">
        <x:v>46163</x:v>
      </x:c>
      <x:c r="F1451" t="n">
        <x:v>1434</x:v>
      </x:c>
      <x:c r="G1451" t="str">
        <x:v>80d30ab9e4f21959f9e5ca2acd516a2f90d2a919dfee0857ce9e8edb6a7ddbcc</x:v>
      </x:c>
      <x:c r="H1451" t="str">
        <x:v>neu</x:v>
      </x:c>
      <x:c r="I1451" t="str">
        <x:v>ok</x:v>
      </x:c>
      <x:c r="J1451"/>
      <x:c r="K1451" t="n">
        <x:v>45684</x:v>
      </x:c>
      <x:c r="L1451" t="n">
        <x:v>45684</x:v>
      </x:c>
      <x:c r="M1451" t="str">
        <x:v>Gebucht</x:v>
      </x:c>
      <x:c r="N1451" t="str">
        <x:v>ISSUER</x:v>
      </x:c>
      <x:c r="O1451" t="str">
        <x:v>Hagebaumarkt.Salzgitter/Salzgitter</x:v>
      </x:c>
      <x:c r="P1451" t="str">
        <x:v>VISA Debitkartenumsatz vom 24.01.2025</x:v>
      </x:c>
      <x:c r="Q1451" t="str">
        <x:v>Ausgang</x:v>
      </x:c>
      <x:c r="R1451" t="str">
        <x:v>DE96120300009005290904</x:v>
      </x:c>
      <x:c r="S1451" t="n">
        <x:v>-9.76</x:v>
      </x:c>
      <x:c r="T1451" t="str">
        <x:v>"</x:v>
      </x:c>
      <x:c r="U1451" t="str">
        <x:v>"</x:v>
      </x:c>
      <x:c r="V1451" t="str">
        <x:v>485024558847353</x:v>
      </x:c>
    </x:row>
    <x:row r="1452">
      <x:c r="A1452" t="str">
        <x:v>RAW-IMP-20260516-FULLDRAFT-001435</x:v>
      </x:c>
      <x:c r="B1452" t="str">
        <x:v>IMP-20260516-FULLDRAFT</x:v>
      </x:c>
      <x:c r="C1452" t="str">
        <x:v>KTO001</x:v>
      </x:c>
      <x:c r="D1452" t="str">
        <x:v>16-05-2026_Umsatzliste_Girokonto_DE98120300001061711675.csv</x:v>
      </x:c>
      <x:c r="E1452" t="n">
        <x:v>46163</x:v>
      </x:c>
      <x:c r="F1452" t="n">
        <x:v>1435</x:v>
      </x:c>
      <x:c r="G1452" t="str">
        <x:v>3634c12566ab40d8efb55efcbbc7213ce22d33820e284e2f9d694d34ad1858f2</x:v>
      </x:c>
      <x:c r="H1452" t="str">
        <x:v>neu</x:v>
      </x:c>
      <x:c r="I1452" t="str">
        <x:v>ok</x:v>
      </x:c>
      <x:c r="J1452"/>
      <x:c r="K1452" t="n">
        <x:v>45680</x:v>
      </x:c>
      <x:c r="L1452" t="n">
        <x:v>45680</x:v>
      </x:c>
      <x:c r="M1452" t="str">
        <x:v>Gebucht</x:v>
      </x:c>
      <x:c r="N1452" t="str">
        <x:v>ISSUER</x:v>
      </x:c>
      <x:c r="O1452" t="str">
        <x:v>REWE.Salzgitter.Ge/Salzgitter</x:v>
      </x:c>
      <x:c r="P1452" t="str">
        <x:v>VISA Debitkartenumsatz vom 22.01.2025</x:v>
      </x:c>
      <x:c r="Q1452" t="str">
        <x:v>Ausgang</x:v>
      </x:c>
      <x:c r="R1452" t="str">
        <x:v>DE96120300009005290904</x:v>
      </x:c>
      <x:c r="S1452" t="n">
        <x:v>-18.08</x:v>
      </x:c>
      <x:c r="T1452" t="str">
        <x:v>"</x:v>
      </x:c>
      <x:c r="U1452" t="str">
        <x:v>"</x:v>
      </x:c>
      <x:c r="V1452" t="str">
        <x:v>485022665517745</x:v>
      </x:c>
    </x:row>
    <x:row r="1453">
      <x:c r="A1453" t="str">
        <x:v>RAW-IMP-20260516-FULLDRAFT-001436</x:v>
      </x:c>
      <x:c r="B1453" t="str">
        <x:v>IMP-20260516-FULLDRAFT</x:v>
      </x:c>
      <x:c r="C1453" t="str">
        <x:v>KTO001</x:v>
      </x:c>
      <x:c r="D1453" t="str">
        <x:v>16-05-2026_Umsatzliste_Girokonto_DE98120300001061711675.csv</x:v>
      </x:c>
      <x:c r="E1453" t="n">
        <x:v>46163</x:v>
      </x:c>
      <x:c r="F1453" t="n">
        <x:v>1436</x:v>
      </x:c>
      <x:c r="G1453" t="str">
        <x:v>65b393d26bbab665faee3f9fdf1342e835ccfd64b410b9784f6ffc303f7314ff</x:v>
      </x:c>
      <x:c r="H1453" t="str">
        <x:v>neu</x:v>
      </x:c>
      <x:c r="I1453" t="str">
        <x:v>ok</x:v>
      </x:c>
      <x:c r="J1453"/>
      <x:c r="K1453" t="n">
        <x:v>45679</x:v>
      </x:c>
      <x:c r="L1453" t="n">
        <x:v>45679</x:v>
      </x:c>
      <x:c r="M1453" t="str">
        <x:v>Gebucht</x:v>
      </x:c>
      <x:c r="N1453" t="str">
        <x:v>Katrin Kohlenberg</x:v>
      </x:c>
      <x:c r="O1453" t="str">
        <x:v>Lars Kohlenberg</x:v>
      </x:c>
      <x:c r="P1453" t="str">
        <x:v>Kuche</x:v>
      </x:c>
      <x:c r="Q1453" t="str">
        <x:v>Eingang</x:v>
      </x:c>
      <x:c r="R1453" t="str">
        <x:v>DE32270727240307336800</x:v>
      </x:c>
      <x:c r="S1453" t="n">
        <x:v>6000</x:v>
      </x:c>
      <x:c r="T1453" t="str">
        <x:v>"</x:v>
      </x:c>
      <x:c r="U1453" t="str">
        <x:v>"</x:v>
      </x:c>
      <x:c r="V1453" t="str">
        <x:v>"</x:v>
      </x:c>
    </x:row>
    <x:row r="1454">
      <x:c r="A1454" t="str">
        <x:v>RAW-IMP-20260516-FULLDRAFT-001437</x:v>
      </x:c>
      <x:c r="B1454" t="str">
        <x:v>IMP-20260516-FULLDRAFT</x:v>
      </x:c>
      <x:c r="C1454" t="str">
        <x:v>KTO001</x:v>
      </x:c>
      <x:c r="D1454" t="str">
        <x:v>16-05-2026_Umsatzliste_Girokonto_DE98120300001061711675.csv</x:v>
      </x:c>
      <x:c r="E1454" t="n">
        <x:v>46163</x:v>
      </x:c>
      <x:c r="F1454" t="n">
        <x:v>1437</x:v>
      </x:c>
      <x:c r="G1454" t="str">
        <x:v>58668d5234e8df047654adca42293f03cc4b4c515ab934d761e7b92a4cab2101</x:v>
      </x:c>
      <x:c r="H1454" t="str">
        <x:v>neu</x:v>
      </x:c>
      <x:c r="I1454" t="str">
        <x:v>ok</x:v>
      </x:c>
      <x:c r="J1454"/>
      <x:c r="K1454" t="n">
        <x:v>45679</x:v>
      </x:c>
      <x:c r="L1454" t="n">
        <x:v>45679</x:v>
      </x:c>
      <x:c r="M1454" t="str">
        <x:v>Gebucht</x:v>
      </x:c>
      <x:c r="N1454" t="str">
        <x:v>ISSUER</x:v>
      </x:c>
      <x:c r="O1454" t="str">
        <x:v>REWE.Salzgitter.Ge/Salzgitter</x:v>
      </x:c>
      <x:c r="P1454" t="str">
        <x:v>VISA Debitkartenumsatz vom 21.01.2025</x:v>
      </x:c>
      <x:c r="Q1454" t="str">
        <x:v>Ausgang</x:v>
      </x:c>
      <x:c r="R1454" t="str">
        <x:v>DE96120300009005290904</x:v>
      </x:c>
      <x:c r="S1454" t="n">
        <x:v>-5.67</x:v>
      </x:c>
      <x:c r="T1454" t="str">
        <x:v>"</x:v>
      </x:c>
      <x:c r="U1454" t="str">
        <x:v>"</x:v>
      </x:c>
      <x:c r="V1454" t="str">
        <x:v>485021410666236</x:v>
      </x:c>
    </x:row>
    <x:row r="1455">
      <x:c r="A1455" t="str">
        <x:v>RAW-IMP-20260516-FULLDRAFT-001438</x:v>
      </x:c>
      <x:c r="B1455" t="str">
        <x:v>IMP-20260516-FULLDRAFT</x:v>
      </x:c>
      <x:c r="C1455" t="str">
        <x:v>KTO001</x:v>
      </x:c>
      <x:c r="D1455" t="str">
        <x:v>16-05-2026_Umsatzliste_Girokonto_DE98120300001061711675.csv</x:v>
      </x:c>
      <x:c r="E1455" t="n">
        <x:v>46163</x:v>
      </x:c>
      <x:c r="F1455" t="n">
        <x:v>1438</x:v>
      </x:c>
      <x:c r="G1455" t="str">
        <x:v>29411dec72f021e48c8097abcfc539aa272572ac13321650af25b212922e23e5</x:v>
      </x:c>
      <x:c r="H1455" t="str">
        <x:v>neu</x:v>
      </x:c>
      <x:c r="I1455" t="str">
        <x:v>ok</x:v>
      </x:c>
      <x:c r="J1455"/>
      <x:c r="K1455" t="n">
        <x:v>45679</x:v>
      </x:c>
      <x:c r="L1455" t="n">
        <x:v>45679</x:v>
      </x:c>
      <x:c r="M1455" t="str">
        <x:v>Gebucht</x:v>
      </x:c>
      <x:c r="N1455" t="str">
        <x:v>ISSUER</x:v>
      </x:c>
      <x:c r="O1455" t="str">
        <x:v>APPLE.COM.BILL/08006645451</x:v>
      </x:c>
      <x:c r="P1455" t="str">
        <x:v>VISA Debitkartenumsatz vom 21.01.2025</x:v>
      </x:c>
      <x:c r="Q1455" t="str">
        <x:v>Ausgang</x:v>
      </x:c>
      <x:c r="R1455" t="str">
        <x:v>DE96120300009005290904</x:v>
      </x:c>
      <x:c r="S1455" t="n">
        <x:v>-2.99</x:v>
      </x:c>
      <x:c r="T1455" t="str">
        <x:v>"</x:v>
      </x:c>
      <x:c r="U1455" t="str">
        <x:v>"</x:v>
      </x:c>
      <x:c r="V1455" t="str">
        <x:v>485021502144208</x:v>
      </x:c>
    </x:row>
    <x:row r="1456">
      <x:c r="A1456" t="str">
        <x:v>RAW-IMP-20260516-FULLDRAFT-001439</x:v>
      </x:c>
      <x:c r="B1456" t="str">
        <x:v>IMP-20260516-FULLDRAFT</x:v>
      </x:c>
      <x:c r="C1456" t="str">
        <x:v>KTO001</x:v>
      </x:c>
      <x:c r="D1456" t="str">
        <x:v>16-05-2026_Umsatzliste_Girokonto_DE98120300001061711675.csv</x:v>
      </x:c>
      <x:c r="E1456" t="n">
        <x:v>46163</x:v>
      </x:c>
      <x:c r="F1456" t="n">
        <x:v>1439</x:v>
      </x:c>
      <x:c r="G1456" t="str">
        <x:v>690f496099839d80e73e8efb916ad3d570a25bac69bb909e019aa8936023fceb</x:v>
      </x:c>
      <x:c r="H1456" t="str">
        <x:v>neu</x:v>
      </x:c>
      <x:c r="I1456" t="str">
        <x:v>ok</x:v>
      </x:c>
      <x:c r="J1456"/>
      <x:c r="K1456" t="n">
        <x:v>45679</x:v>
      </x:c>
      <x:c r="L1456" t="n">
        <x:v>45678</x:v>
      </x:c>
      <x:c r="M1456" t="str">
        <x:v>Gebucht</x:v>
      </x:c>
      <x:c r="N1456" t="str">
        <x:v>Gerd-Hinrich Hasmann Jessica Hasmann</x:v>
      </x:c>
      <x:c r="O1456" t="str">
        <x:v>Kohlenberg, Lars</x:v>
      </x:c>
      <x:c r="P1456" t="str">
        <x:v>Daenemark 04. - 11.04.2025</x:v>
      </x:c>
      <x:c r="Q1456" t="str">
        <x:v>Eingang</x:v>
      </x:c>
      <x:c r="R1456" t="str">
        <x:v>DE41440100460053002465</x:v>
      </x:c>
      <x:c r="S1456" t="n">
        <x:v>795</x:v>
      </x:c>
      <x:c r="T1456" t="str">
        <x:v>"</x:v>
      </x:c>
      <x:c r="U1456" t="str">
        <x:v>"</x:v>
      </x:c>
      <x:c r="V1456" t="str">
        <x:v>"</x:v>
      </x:c>
    </x:row>
    <x:row r="1457">
      <x:c r="A1457" t="str">
        <x:v>RAW-IMP-20260516-FULLDRAFT-001440</x:v>
      </x:c>
      <x:c r="B1457" t="str">
        <x:v>IMP-20260516-FULLDRAFT</x:v>
      </x:c>
      <x:c r="C1457" t="str">
        <x:v>KTO001</x:v>
      </x:c>
      <x:c r="D1457" t="str">
        <x:v>16-05-2026_Umsatzliste_Girokonto_DE98120300001061711675.csv</x:v>
      </x:c>
      <x:c r="E1457" t="n">
        <x:v>46163</x:v>
      </x:c>
      <x:c r="F1457" t="n">
        <x:v>1440</x:v>
      </x:c>
      <x:c r="G1457" t="str">
        <x:v>54dde1723b654c4586a033853d8b9b6a6bdf554a8a8a9ebb6e730ed69eb1e651</x:v>
      </x:c>
      <x:c r="H1457" t="str">
        <x:v>neu</x:v>
      </x:c>
      <x:c r="I1457" t="str">
        <x:v>ok</x:v>
      </x:c>
      <x:c r="J1457"/>
      <x:c r="K1457" t="n">
        <x:v>45678</x:v>
      </x:c>
      <x:c r="L1457" t="n">
        <x:v>45678</x:v>
      </x:c>
      <x:c r="M1457" t="str">
        <x:v>Gebucht</x:v>
      </x:c>
      <x:c r="N1457" t="str">
        <x:v>ISSUER</x:v>
      </x:c>
      <x:c r="O1457" t="str">
        <x:v>EDEKA.POTRATZ/HILDESHEIM</x:v>
      </x:c>
      <x:c r="P1457" t="str">
        <x:v>VISA Debitkartenumsatz vom 20.01.2025</x:v>
      </x:c>
      <x:c r="Q1457" t="str">
        <x:v>Ausgang</x:v>
      </x:c>
      <x:c r="R1457" t="str">
        <x:v>DE96120300009005290904</x:v>
      </x:c>
      <x:c r="S1457" t="n">
        <x:v>-5.54</x:v>
      </x:c>
      <x:c r="T1457" t="str">
        <x:v>"</x:v>
      </x:c>
      <x:c r="U1457" t="str">
        <x:v>"</x:v>
      </x:c>
      <x:c r="V1457" t="str">
        <x:v>485020417470370</x:v>
      </x:c>
    </x:row>
    <x:row r="1458">
      <x:c r="A1458" t="str">
        <x:v>RAW-IMP-20260516-FULLDRAFT-001441</x:v>
      </x:c>
      <x:c r="B1458" t="str">
        <x:v>IMP-20260516-FULLDRAFT</x:v>
      </x:c>
      <x:c r="C1458" t="str">
        <x:v>KTO001</x:v>
      </x:c>
      <x:c r="D1458" t="str">
        <x:v>16-05-2026_Umsatzliste_Girokonto_DE98120300001061711675.csv</x:v>
      </x:c>
      <x:c r="E1458" t="n">
        <x:v>46163</x:v>
      </x:c>
      <x:c r="F1458" t="n">
        <x:v>1441</x:v>
      </x:c>
      <x:c r="G1458" t="str">
        <x:v>a2e3ea4341cb1b33d006eb9b82a1fa90ac33fcf3f96723cba79819d04f36211d</x:v>
      </x:c>
      <x:c r="H1458" t="str">
        <x:v>neu</x:v>
      </x:c>
      <x:c r="I1458" t="str">
        <x:v>ok</x:v>
      </x:c>
      <x:c r="J1458"/>
      <x:c r="K1458" t="n">
        <x:v>45678</x:v>
      </x:c>
      <x:c r="L1458" t="n">
        <x:v>45678</x:v>
      </x:c>
      <x:c r="M1458" t="str">
        <x:v>Gebucht</x:v>
      </x:c>
      <x:c r="N1458" t="str">
        <x:v>ISSUER</x:v>
      </x:c>
      <x:c r="O1458" t="str">
        <x:v>WITWE.BOLTE/HILDESHEIM</x:v>
      </x:c>
      <x:c r="P1458" t="str">
        <x:v>VISA Debitkartenumsatz vom 20.01.2025</x:v>
      </x:c>
      <x:c r="Q1458" t="str">
        <x:v>Ausgang</x:v>
      </x:c>
      <x:c r="R1458" t="str">
        <x:v>DE96120300009005290904</x:v>
      </x:c>
      <x:c r="S1458" t="n">
        <x:v>-6.4</x:v>
      </x:c>
      <x:c r="T1458" t="str">
        <x:v>"</x:v>
      </x:c>
      <x:c r="U1458" t="str">
        <x:v>"</x:v>
      </x:c>
      <x:c r="V1458" t="str">
        <x:v>485020622095489</x:v>
      </x:c>
    </x:row>
    <x:row r="1459">
      <x:c r="A1459" t="str">
        <x:v>RAW-IMP-20260516-FULLDRAFT-001442</x:v>
      </x:c>
      <x:c r="B1459" t="str">
        <x:v>IMP-20260516-FULLDRAFT</x:v>
      </x:c>
      <x:c r="C1459" t="str">
        <x:v>KTO001</x:v>
      </x:c>
      <x:c r="D1459" t="str">
        <x:v>16-05-2026_Umsatzliste_Girokonto_DE98120300001061711675.csv</x:v>
      </x:c>
      <x:c r="E1459" t="n">
        <x:v>46163</x:v>
      </x:c>
      <x:c r="F1459" t="n">
        <x:v>1442</x:v>
      </x:c>
      <x:c r="G1459" t="str">
        <x:v>1916a119354d6fab1bb40f79ceb5eef674ff2300a72efb5fa2acb4669820f7f6</x:v>
      </x:c>
      <x:c r="H1459" t="str">
        <x:v>neu</x:v>
      </x:c>
      <x:c r="I1459" t="str">
        <x:v>ok</x:v>
      </x:c>
      <x:c r="J1459"/>
      <x:c r="K1459" t="n">
        <x:v>45678</x:v>
      </x:c>
      <x:c r="L1459" t="n">
        <x:v>45678</x:v>
      </x:c>
      <x:c r="M1459" t="str">
        <x:v>Gebucht</x:v>
      </x:c>
      <x:c r="N1459" t="str">
        <x:v>ISSUER</x:v>
      </x:c>
      <x:c r="O1459" t="str">
        <x:v>REWE.Salzgitter.Ge/Salzgitter</x:v>
      </x:c>
      <x:c r="P1459" t="str">
        <x:v>VISA Debitkartenumsatz vom 20.01.2025</x:v>
      </x:c>
      <x:c r="Q1459" t="str">
        <x:v>Ausgang</x:v>
      </x:c>
      <x:c r="R1459" t="str">
        <x:v>DE96120300009005290904</x:v>
      </x:c>
      <x:c r="S1459" t="n">
        <x:v>-8.93</x:v>
      </x:c>
      <x:c r="T1459" t="str">
        <x:v>"</x:v>
      </x:c>
      <x:c r="U1459" t="str">
        <x:v>"</x:v>
      </x:c>
      <x:c r="V1459" t="str">
        <x:v>485020621224080</x:v>
      </x:c>
    </x:row>
    <x:row r="1460">
      <x:c r="A1460" t="str">
        <x:v>RAW-IMP-20260516-FULLDRAFT-001443</x:v>
      </x:c>
      <x:c r="B1460" t="str">
        <x:v>IMP-20260516-FULLDRAFT</x:v>
      </x:c>
      <x:c r="C1460" t="str">
        <x:v>KTO001</x:v>
      </x:c>
      <x:c r="D1460" t="str">
        <x:v>16-05-2026_Umsatzliste_Girokonto_DE98120300001061711675.csv</x:v>
      </x:c>
      <x:c r="E1460" t="n">
        <x:v>46163</x:v>
      </x:c>
      <x:c r="F1460" t="n">
        <x:v>1443</x:v>
      </x:c>
      <x:c r="G1460" t="str">
        <x:v>9999eeba2a4561d564163bd7a06c7c2cfe59bd52058f18324da3fb233209725d</x:v>
      </x:c>
      <x:c r="H1460" t="str">
        <x:v>neu</x:v>
      </x:c>
      <x:c r="I1460" t="str">
        <x:v>ok</x:v>
      </x:c>
      <x:c r="J1460"/>
      <x:c r="K1460" t="n">
        <x:v>45678</x:v>
      </x:c>
      <x:c r="L1460" t="n">
        <x:v>45678</x:v>
      </x:c>
      <x:c r="M1460" t="str">
        <x:v>Gebucht</x:v>
      </x:c>
      <x:c r="N1460" t="str">
        <x:v>ISSUER</x:v>
      </x:c>
      <x:c r="O1460" t="str">
        <x:v>Hagebaumarkt.Salzgitter/Salzgitter</x:v>
      </x:c>
      <x:c r="P1460" t="str">
        <x:v>VISA Debitkartenumsatz vom 20.01.2025</x:v>
      </x:c>
      <x:c r="Q1460" t="str">
        <x:v>Ausgang</x:v>
      </x:c>
      <x:c r="R1460" t="str">
        <x:v>DE96120300009005290904</x:v>
      </x:c>
      <x:c r="S1460" t="n">
        <x:v>-48.35</x:v>
      </x:c>
      <x:c r="T1460" t="str">
        <x:v>"</x:v>
      </x:c>
      <x:c r="U1460" t="str">
        <x:v>"</x:v>
      </x:c>
      <x:c r="V1460" t="str">
        <x:v>485020610515633</x:v>
      </x:c>
    </x:row>
    <x:row r="1461">
      <x:c r="A1461" t="str">
        <x:v>RAW-IMP-20260516-FULLDRAFT-001444</x:v>
      </x:c>
      <x:c r="B1461" t="str">
        <x:v>IMP-20260516-FULLDRAFT</x:v>
      </x:c>
      <x:c r="C1461" t="str">
        <x:v>KTO001</x:v>
      </x:c>
      <x:c r="D1461" t="str">
        <x:v>16-05-2026_Umsatzliste_Girokonto_DE98120300001061711675.csv</x:v>
      </x:c>
      <x:c r="E1461" t="n">
        <x:v>46163</x:v>
      </x:c>
      <x:c r="F1461" t="n">
        <x:v>1444</x:v>
      </x:c>
      <x:c r="G1461" t="str">
        <x:v>b92c30e48229adbfd78e730d20dad21cde4651b096bf5dae2e74c3b3eecb1518</x:v>
      </x:c>
      <x:c r="H1461" t="str">
        <x:v>neu</x:v>
      </x:c>
      <x:c r="I1461" t="str">
        <x:v>ok</x:v>
      </x:c>
      <x:c r="J1461"/>
      <x:c r="K1461" t="n">
        <x:v>45678</x:v>
      </x:c>
      <x:c r="L1461" t="n">
        <x:v>45678</x:v>
      </x:c>
      <x:c r="M1461" t="str">
        <x:v>Gebucht</x:v>
      </x:c>
      <x:c r="N1461" t="str">
        <x:v>ISSUER</x:v>
      </x:c>
      <x:c r="O1461" t="str">
        <x:v>PAYPAL..w.marquitan/Visa.Direct</x:v>
      </x:c>
      <x:c r="P1461" t="str">
        <x:v>VISA Debitkartenumsatz vom 20.01.2025</x:v>
      </x:c>
      <x:c r="Q1461" t="str">
        <x:v>Ausgang</x:v>
      </x:c>
      <x:c r="R1461" t="str">
        <x:v>DE96120300009005290904</x:v>
      </x:c>
      <x:c r="S1461" t="n">
        <x:v>-70</x:v>
      </x:c>
      <x:c r="T1461" t="str">
        <x:v>"</x:v>
      </x:c>
      <x:c r="U1461" t="str">
        <x:v>"</x:v>
      </x:c>
      <x:c r="V1461" t="str">
        <x:v>585020587294583</x:v>
      </x:c>
    </x:row>
    <x:row r="1462">
      <x:c r="A1462" t="str">
        <x:v>RAW-IMP-20260516-FULLDRAFT-001445</x:v>
      </x:c>
      <x:c r="B1462" t="str">
        <x:v>IMP-20260516-FULLDRAFT</x:v>
      </x:c>
      <x:c r="C1462" t="str">
        <x:v>KTO001</x:v>
      </x:c>
      <x:c r="D1462" t="str">
        <x:v>16-05-2026_Umsatzliste_Girokonto_DE98120300001061711675.csv</x:v>
      </x:c>
      <x:c r="E1462" t="n">
        <x:v>46163</x:v>
      </x:c>
      <x:c r="F1462" t="n">
        <x:v>1445</x:v>
      </x:c>
      <x:c r="G1462" t="str">
        <x:v>1696b80aee4021457ac5255dbfaa884b01c3a788aadaa6cee925ab0dc86dc74b</x:v>
      </x:c>
      <x:c r="H1462" t="str">
        <x:v>neu</x:v>
      </x:c>
      <x:c r="I1462" t="str">
        <x:v>ok</x:v>
      </x:c>
      <x:c r="J1462"/>
      <x:c r="K1462" t="n">
        <x:v>45678</x:v>
      </x:c>
      <x:c r="L1462" t="n">
        <x:v>45678</x:v>
      </x:c>
      <x:c r="M1462" t="str">
        <x:v>Gebucht</x:v>
      </x:c>
      <x:c r="N1462" t="str">
        <x:v>Lars Kohlenberg</x:v>
      </x:c>
      <x:c r="O1462" t="str">
        <x:v>Lars Kohlenberg</x:v>
      </x:c>
      <x:c r="P1462" t="str">
        <x:v>Uebertrag fuer Kueche</x:v>
      </x:c>
      <x:c r="Q1462" t="str">
        <x:v>Eingang</x:v>
      </x:c>
      <x:c r="R1462" t="str">
        <x:v>DE91270200001510365800</x:v>
      </x:c>
      <x:c r="S1462" t="n">
        <x:v>10000</x:v>
      </x:c>
      <x:c r="T1462" t="str">
        <x:v>"</x:v>
      </x:c>
      <x:c r="U1462" t="str">
        <x:v>"</x:v>
      </x:c>
      <x:c r="V1462" t="str">
        <x:v>"</x:v>
      </x:c>
    </x:row>
    <x:row r="1463">
      <x:c r="A1463" t="str">
        <x:v>RAW-IMP-20260516-FULLDRAFT-001446</x:v>
      </x:c>
      <x:c r="B1463" t="str">
        <x:v>IMP-20260516-FULLDRAFT</x:v>
      </x:c>
      <x:c r="C1463" t="str">
        <x:v>KTO001</x:v>
      </x:c>
      <x:c r="D1463" t="str">
        <x:v>16-05-2026_Umsatzliste_Girokonto_DE98120300001061711675.csv</x:v>
      </x:c>
      <x:c r="E1463" t="n">
        <x:v>46163</x:v>
      </x:c>
      <x:c r="F1463" t="n">
        <x:v>1446</x:v>
      </x:c>
      <x:c r="G1463" t="str">
        <x:v>0f47fa37afa0921b6ba7708b0a09f3e55a60b1699a2a417b1b13fcc789f307c2</x:v>
      </x:c>
      <x:c r="H1463" t="str">
        <x:v>neu</x:v>
      </x:c>
      <x:c r="I1463" t="str">
        <x:v>ok</x:v>
      </x:c>
      <x:c r="J1463"/>
      <x:c r="K1463" t="n">
        <x:v>45678</x:v>
      </x:c>
      <x:c r="L1463" t="n">
        <x:v>45678</x:v>
      </x:c>
      <x:c r="M1463" t="str">
        <x:v>Gebucht</x:v>
      </x:c>
      <x:c r="N1463" t="str">
        <x:v>Lars Kohlenberg</x:v>
      </x:c>
      <x:c r="O1463" t="str">
        <x:v>Lars Kohlenberg</x:v>
      </x:c>
      <x:c r="P1463" t="str">
        <x:v>Uebertrag Kueche 2. Teil</x:v>
      </x:c>
      <x:c r="Q1463" t="str">
        <x:v>Eingang</x:v>
      </x:c>
      <x:c r="R1463" t="str">
        <x:v>DE91270200001510365800</x:v>
      </x:c>
      <x:c r="S1463" t="n">
        <x:v>3000</x:v>
      </x:c>
      <x:c r="T1463" t="str">
        <x:v>"</x:v>
      </x:c>
      <x:c r="U1463" t="str">
        <x:v>"</x:v>
      </x:c>
      <x:c r="V1463" t="str">
        <x:v>"</x:v>
      </x:c>
    </x:row>
    <x:row r="1464">
      <x:c r="A1464" t="str">
        <x:v>RAW-IMP-20260516-FULLDRAFT-001447</x:v>
      </x:c>
      <x:c r="B1464" t="str">
        <x:v>IMP-20260516-FULLDRAFT</x:v>
      </x:c>
      <x:c r="C1464" t="str">
        <x:v>KTO001</x:v>
      </x:c>
      <x:c r="D1464" t="str">
        <x:v>16-05-2026_Umsatzliste_Girokonto_DE98120300001061711675.csv</x:v>
      </x:c>
      <x:c r="E1464" t="n">
        <x:v>46163</x:v>
      </x:c>
      <x:c r="F1464" t="n">
        <x:v>1447</x:v>
      </x:c>
      <x:c r="G1464" t="str">
        <x:v>e7de2800a2fd344b1765ba8df302a420b55f988ea0c8cce7cfaf526f417defec</x:v>
      </x:c>
      <x:c r="H1464" t="str">
        <x:v>neu</x:v>
      </x:c>
      <x:c r="I1464" t="str">
        <x:v>ok</x:v>
      </x:c>
      <x:c r="J1464"/>
      <x:c r="K1464" t="n">
        <x:v>45677</x:v>
      </x:c>
      <x:c r="L1464" t="n">
        <x:v>45677</x:v>
      </x:c>
      <x:c r="M1464" t="str">
        <x:v>Gebucht</x:v>
      </x:c>
      <x:c r="N1464" t="str">
        <x:v>ISSUER</x:v>
      </x:c>
      <x:c r="O1464" t="str">
        <x:v>PAYPAL..HPDEUTSCHLA/4029357733</x:v>
      </x:c>
      <x:c r="P1464" t="str">
        <x:v>VISA Debitkartenumsatz vom 19.01.2025</x:v>
      </x:c>
      <x:c r="Q1464" t="str">
        <x:v>Ausgang</x:v>
      </x:c>
      <x:c r="R1464" t="str">
        <x:v>DE96120300009005290904</x:v>
      </x:c>
      <x:c r="S1464" t="n">
        <x:v>-4.99</x:v>
      </x:c>
      <x:c r="T1464" t="str">
        <x:v>"</x:v>
      </x:c>
      <x:c r="U1464" t="str">
        <x:v>"</x:v>
      </x:c>
      <x:c r="V1464" t="str">
        <x:v>385019685899804</x:v>
      </x:c>
    </x:row>
    <x:row r="1465">
      <x:c r="A1465" t="str">
        <x:v>RAW-IMP-20260516-FULLDRAFT-001448</x:v>
      </x:c>
      <x:c r="B1465" t="str">
        <x:v>IMP-20260516-FULLDRAFT</x:v>
      </x:c>
      <x:c r="C1465" t="str">
        <x:v>KTO001</x:v>
      </x:c>
      <x:c r="D1465" t="str">
        <x:v>16-05-2026_Umsatzliste_Girokonto_DE98120300001061711675.csv</x:v>
      </x:c>
      <x:c r="E1465" t="n">
        <x:v>46163</x:v>
      </x:c>
      <x:c r="F1465" t="n">
        <x:v>1448</x:v>
      </x:c>
      <x:c r="G1465" t="str">
        <x:v>d342d4c5989322589ba64bef8a59c09600c32d8752ef16bf6415a68d3881ec20</x:v>
      </x:c>
      <x:c r="H1465" t="str">
        <x:v>neu</x:v>
      </x:c>
      <x:c r="I1465" t="str">
        <x:v>ok</x:v>
      </x:c>
      <x:c r="J1465"/>
      <x:c r="K1465" t="n">
        <x:v>45674</x:v>
      </x:c>
      <x:c r="L1465" t="n">
        <x:v>45674</x:v>
      </x:c>
      <x:c r="M1465" t="str">
        <x:v>Gebucht</x:v>
      </x:c>
      <x:c r="N1465" t="str">
        <x:v>Caritasverband fur die Diozese Hildesheim e.V.</x:v>
      </x:c>
      <x:c r="O1465" t="str">
        <x:v>Lars Kohlenberg</x:v>
      </x:c>
      <x:c r="P1465" t="str">
        <x:v>2,50 19.12.24 NR. Erst. Parkgebuehren</x:v>
      </x:c>
      <x:c r="Q1465" t="str">
        <x:v>Eingang</x:v>
      </x:c>
      <x:c r="R1465" t="str">
        <x:v>DE73400602650023003300</x:v>
      </x:c>
      <x:c r="S1465" t="n">
        <x:v>2.5</x:v>
      </x:c>
      <x:c r="T1465" t="str">
        <x:v>"</x:v>
      </x:c>
      <x:c r="U1465" t="str">
        <x:v>"</x:v>
      </x:c>
      <x:c r="V1465" t="str">
        <x:v>11</x:v>
      </x:c>
    </x:row>
    <x:row r="1466">
      <x:c r="A1466" t="str">
        <x:v>RAW-IMP-20260516-FULLDRAFT-001449</x:v>
      </x:c>
      <x:c r="B1466" t="str">
        <x:v>IMP-20260516-FULLDRAFT</x:v>
      </x:c>
      <x:c r="C1466" t="str">
        <x:v>KTO001</x:v>
      </x:c>
      <x:c r="D1466" t="str">
        <x:v>16-05-2026_Umsatzliste_Girokonto_DE98120300001061711675.csv</x:v>
      </x:c>
      <x:c r="E1466" t="n">
        <x:v>46163</x:v>
      </x:c>
      <x:c r="F1466" t="n">
        <x:v>1449</x:v>
      </x:c>
      <x:c r="G1466" t="str">
        <x:v>fb77ef0352c15dcc6190c3e8911314ad86ddba57494f3ce38b072cd9cf882795</x:v>
      </x:c>
      <x:c r="H1466" t="str">
        <x:v>neu</x:v>
      </x:c>
      <x:c r="I1466" t="str">
        <x:v>ok</x:v>
      </x:c>
      <x:c r="J1466"/>
      <x:c r="K1466" t="n">
        <x:v>45674</x:v>
      </x:c>
      <x:c r="L1466" t="n">
        <x:v>45674</x:v>
      </x:c>
      <x:c r="M1466" t="str">
        <x:v>Gebucht</x:v>
      </x:c>
      <x:c r="N1466" t="str">
        <x:v>ISSUER</x:v>
      </x:c>
      <x:c r="O1466" t="str">
        <x:v>EDEKA.POTRATZ/HILDESHEIM</x:v>
      </x:c>
      <x:c r="P1466" t="str">
        <x:v>VISA Debitkartenumsatz vom 16.01.2025</x:v>
      </x:c>
      <x:c r="Q1466" t="str">
        <x:v>Ausgang</x:v>
      </x:c>
      <x:c r="R1466" t="str">
        <x:v>DE96120300009005290904</x:v>
      </x:c>
      <x:c r="S1466" t="n">
        <x:v>-9.51</x:v>
      </x:c>
      <x:c r="T1466" t="str">
        <x:v>"</x:v>
      </x:c>
      <x:c r="U1466" t="str">
        <x:v>"</x:v>
      </x:c>
      <x:c r="V1466" t="str">
        <x:v>485016413341633</x:v>
      </x:c>
    </x:row>
    <x:row r="1467">
      <x:c r="A1467" t="str">
        <x:v>RAW-IMP-20260516-FULLDRAFT-001450</x:v>
      </x:c>
      <x:c r="B1467" t="str">
        <x:v>IMP-20260516-FULLDRAFT</x:v>
      </x:c>
      <x:c r="C1467" t="str">
        <x:v>KTO001</x:v>
      </x:c>
      <x:c r="D1467" t="str">
        <x:v>16-05-2026_Umsatzliste_Girokonto_DE98120300001061711675.csv</x:v>
      </x:c>
      <x:c r="E1467" t="n">
        <x:v>46163</x:v>
      </x:c>
      <x:c r="F1467" t="n">
        <x:v>1450</x:v>
      </x:c>
      <x:c r="G1467" t="str">
        <x:v>a1b3042f99c03f51a619d8097a6ecf54f5f5c452b1a423a88d59a3e0db268dd0</x:v>
      </x:c>
      <x:c r="H1467" t="str">
        <x:v>neu</x:v>
      </x:c>
      <x:c r="I1467" t="str">
        <x:v>ok</x:v>
      </x:c>
      <x:c r="J1467"/>
      <x:c r="K1467" t="n">
        <x:v>45674</x:v>
      </x:c>
      <x:c r="L1467" t="n">
        <x:v>45674</x:v>
      </x:c>
      <x:c r="M1467" t="str">
        <x:v>Gebucht</x:v>
      </x:c>
      <x:c r="N1467" t="str">
        <x:v>ISSUER</x:v>
      </x:c>
      <x:c r="O1467" t="str">
        <x:v>Lidl.sagt.Danke/Salzgitter</x:v>
      </x:c>
      <x:c r="P1467" t="str">
        <x:v>VISA Debitkartenumsatz vom 16.01.2025</x:v>
      </x:c>
      <x:c r="Q1467" t="str">
        <x:v>Ausgang</x:v>
      </x:c>
      <x:c r="R1467" t="str">
        <x:v>DE96120300009005290904</x:v>
      </x:c>
      <x:c r="S1467" t="n">
        <x:v>-49.65</x:v>
      </x:c>
      <x:c r="T1467" t="str">
        <x:v>"</x:v>
      </x:c>
      <x:c r="U1467" t="str">
        <x:v>"</x:v>
      </x:c>
      <x:c r="V1467" t="str">
        <x:v>485016633119059</x:v>
      </x:c>
    </x:row>
    <x:row r="1468">
      <x:c r="A1468" t="str">
        <x:v>RAW-IMP-20260516-FULLDRAFT-001451</x:v>
      </x:c>
      <x:c r="B1468" t="str">
        <x:v>IMP-20260516-FULLDRAFT</x:v>
      </x:c>
      <x:c r="C1468" t="str">
        <x:v>KTO001</x:v>
      </x:c>
      <x:c r="D1468" t="str">
        <x:v>16-05-2026_Umsatzliste_Girokonto_DE98120300001061711675.csv</x:v>
      </x:c>
      <x:c r="E1468" t="n">
        <x:v>46163</x:v>
      </x:c>
      <x:c r="F1468" t="n">
        <x:v>1451</x:v>
      </x:c>
      <x:c r="G1468" t="str">
        <x:v>47157aa2629701aa848a7171869c8f541df7674d367220e5e58538f5d5f8e524</x:v>
      </x:c>
      <x:c r="H1468" t="str">
        <x:v>neu</x:v>
      </x:c>
      <x:c r="I1468" t="str">
        <x:v>ok</x:v>
      </x:c>
      <x:c r="J1468"/>
      <x:c r="K1468" t="n">
        <x:v>45673</x:v>
      </x:c>
      <x:c r="L1468" t="n">
        <x:v>45673</x:v>
      </x:c>
      <x:c r="M1468" t="str">
        <x:v>Gebucht</x:v>
      </x:c>
      <x:c r="N1468" t="str">
        <x:v>ISSUER</x:v>
      </x:c>
      <x:c r="O1468" t="str">
        <x:v>EDEKA.POTRATZ/HILDESHEIM</x:v>
      </x:c>
      <x:c r="P1468" t="str">
        <x:v>VISA Debitkartenumsatz vom 15.01.2025</x:v>
      </x:c>
      <x:c r="Q1468" t="str">
        <x:v>Ausgang</x:v>
      </x:c>
      <x:c r="R1468" t="str">
        <x:v>DE96120300009005290904</x:v>
      </x:c>
      <x:c r="S1468" t="n">
        <x:v>-10.1</x:v>
      </x:c>
      <x:c r="T1468" t="str">
        <x:v>"</x:v>
      </x:c>
      <x:c r="U1468" t="str">
        <x:v>"</x:v>
      </x:c>
      <x:c r="V1468" t="str">
        <x:v>485015416472694</x:v>
      </x:c>
    </x:row>
    <x:row r="1469">
      <x:c r="A1469" t="str">
        <x:v>RAW-IMP-20260516-FULLDRAFT-001452</x:v>
      </x:c>
      <x:c r="B1469" t="str">
        <x:v>IMP-20260516-FULLDRAFT</x:v>
      </x:c>
      <x:c r="C1469" t="str">
        <x:v>KTO001</x:v>
      </x:c>
      <x:c r="D1469" t="str">
        <x:v>16-05-2026_Umsatzliste_Girokonto_DE98120300001061711675.csv</x:v>
      </x:c>
      <x:c r="E1469" t="n">
        <x:v>46163</x:v>
      </x:c>
      <x:c r="F1469" t="n">
        <x:v>1452</x:v>
      </x:c>
      <x:c r="G1469" t="str">
        <x:v>faf2d5b34944664c3ce20a74c6d701869e0eb416517aed82a35997d850308641</x:v>
      </x:c>
      <x:c r="H1469" t="str">
        <x:v>neu</x:v>
      </x:c>
      <x:c r="I1469" t="str">
        <x:v>ok</x:v>
      </x:c>
      <x:c r="J1469"/>
      <x:c r="K1469" t="n">
        <x:v>45673</x:v>
      </x:c>
      <x:c r="L1469" t="n">
        <x:v>45673</x:v>
      </x:c>
      <x:c r="M1469" t="str">
        <x:v>Gebucht</x:v>
      </x:c>
      <x:c r="N1469" t="str">
        <x:v>Lars Kohlenberg</x:v>
      </x:c>
      <x:c r="O1469" t="str">
        <x:v>Drillisch Online GmbH                                                 Wilhelm-Rontgen-Strase 1-5, 63477 Maintal</x:v>
      </x:c>
      <x:c r="P1469" t="str">
        <x:v>C0851820 U686476160 B789166076 winSIM</x:v>
      </x:c>
      <x:c r="Q1469" t="str">
        <x:v>Ausgang</x:v>
      </x:c>
      <x:c r="R1469" t="str">
        <x:v>DE87300500000008996811</x:v>
      </x:c>
      <x:c r="S1469" t="n">
        <x:v>-6.99</x:v>
      </x:c>
      <x:c r="T1469" t="str">
        <x:v>DE40ZZZ00000206926</x:v>
      </x:c>
      <x:c r="U1469" t="str">
        <x:v>FB1310D094B04186E02ACE7B8C6</x:v>
      </x:c>
      <x:c r="V1469" t="str">
        <x:v>C0851820+U686476160</x:v>
      </x:c>
    </x:row>
    <x:row r="1470">
      <x:c r="A1470" t="str">
        <x:v>RAW-IMP-20260516-FULLDRAFT-001453</x:v>
      </x:c>
      <x:c r="B1470" t="str">
        <x:v>IMP-20260516-FULLDRAFT</x:v>
      </x:c>
      <x:c r="C1470" t="str">
        <x:v>KTO001</x:v>
      </x:c>
      <x:c r="D1470" t="str">
        <x:v>16-05-2026_Umsatzliste_Girokonto_DE98120300001061711675.csv</x:v>
      </x:c>
      <x:c r="E1470" t="n">
        <x:v>46163</x:v>
      </x:c>
      <x:c r="F1470" t="n">
        <x:v>1453</x:v>
      </x:c>
      <x:c r="G1470" t="str">
        <x:v>32871fcef7627ee0f9294427ab043a8d5ffd9fe7fcaa45ff3ffbb619faedf2ff</x:v>
      </x:c>
      <x:c r="H1470" t="str">
        <x:v>neu</x:v>
      </x:c>
      <x:c r="I1470" t="str">
        <x:v>ok</x:v>
      </x:c>
      <x:c r="J1470"/>
      <x:c r="K1470" t="n">
        <x:v>45673</x:v>
      </x:c>
      <x:c r="L1470" t="n">
        <x:v>45673</x:v>
      </x:c>
      <x:c r="M1470" t="str">
        <x:v>Gebucht</x:v>
      </x:c>
      <x:c r="N1470" t="str">
        <x:v>Lars Kohlenberg</x:v>
      </x:c>
      <x:c r="O1470" t="str">
        <x:v>Drillisch Online GmbH                                                 Wilhelm-Rontgen-Strase 1-5, 63477 Maintal</x:v>
      </x:c>
      <x:c r="P1470" t="str">
        <x:v>C0851820 U686977493 B790212767 winSIM</x:v>
      </x:c>
      <x:c r="Q1470" t="str">
        <x:v>Ausgang</x:v>
      </x:c>
      <x:c r="R1470" t="str">
        <x:v>DE87300500000008996811</x:v>
      </x:c>
      <x:c r="S1470" t="n">
        <x:v>-6.99</x:v>
      </x:c>
      <x:c r="T1470" t="str">
        <x:v>DE40ZZZ00000206926</x:v>
      </x:c>
      <x:c r="U1470" t="str">
        <x:v>FB1310D094B04186E02ACE7B8C6</x:v>
      </x:c>
      <x:c r="V1470" t="str">
        <x:v>C0851820+U686977493</x:v>
      </x:c>
    </x:row>
    <x:row r="1471">
      <x:c r="A1471" t="str">
        <x:v>RAW-IMP-20260516-FULLDRAFT-001454</x:v>
      </x:c>
      <x:c r="B1471" t="str">
        <x:v>IMP-20260516-FULLDRAFT</x:v>
      </x:c>
      <x:c r="C1471" t="str">
        <x:v>KTO001</x:v>
      </x:c>
      <x:c r="D1471" t="str">
        <x:v>16-05-2026_Umsatzliste_Girokonto_DE98120300001061711675.csv</x:v>
      </x:c>
      <x:c r="E1471" t="n">
        <x:v>46163</x:v>
      </x:c>
      <x:c r="F1471" t="n">
        <x:v>1454</x:v>
      </x:c>
      <x:c r="G1471" t="str">
        <x:v>55c14c36efe411be1a77d342af4a8ad66224644847594eeedd81af180ebe5400</x:v>
      </x:c>
      <x:c r="H1471" t="str">
        <x:v>neu</x:v>
      </x:c>
      <x:c r="I1471" t="str">
        <x:v>ok</x:v>
      </x:c>
      <x:c r="J1471"/>
      <x:c r="K1471" t="n">
        <x:v>45673</x:v>
      </x:c>
      <x:c r="L1471" t="n">
        <x:v>45673</x:v>
      </x:c>
      <x:c r="M1471" t="str">
        <x:v>Gebucht</x:v>
      </x:c>
      <x:c r="N1471" t="str">
        <x:v>Lars Kohlenberg</x:v>
      </x:c>
      <x:c r="O1471" t="str">
        <x:v>Drillisch Online GmbH                                                 Wilhelm-Rontgen-Strase 1-5, 63477 Maintal</x:v>
      </x:c>
      <x:c r="P1471" t="str">
        <x:v>C0851820 U689892204 B791502336 winSIM</x:v>
      </x:c>
      <x:c r="Q1471" t="str">
        <x:v>Ausgang</x:v>
      </x:c>
      <x:c r="R1471" t="str">
        <x:v>DE87300500000008996811</x:v>
      </x:c>
      <x:c r="S1471" t="n">
        <x:v>-6.99</x:v>
      </x:c>
      <x:c r="T1471" t="str">
        <x:v>DE40ZZZ00000206926</x:v>
      </x:c>
      <x:c r="U1471" t="str">
        <x:v>FB1310D094B04186E02ACE7B8C6</x:v>
      </x:c>
      <x:c r="V1471" t="str">
        <x:v>C0851820+U689892204</x:v>
      </x:c>
    </x:row>
    <x:row r="1472">
      <x:c r="A1472" t="str">
        <x:v>RAW-IMP-20260516-FULLDRAFT-001455</x:v>
      </x:c>
      <x:c r="B1472" t="str">
        <x:v>IMP-20260516-FULLDRAFT</x:v>
      </x:c>
      <x:c r="C1472" t="str">
        <x:v>KTO001</x:v>
      </x:c>
      <x:c r="D1472" t="str">
        <x:v>16-05-2026_Umsatzliste_Girokonto_DE98120300001061711675.csv</x:v>
      </x:c>
      <x:c r="E1472" t="n">
        <x:v>46163</x:v>
      </x:c>
      <x:c r="F1472" t="n">
        <x:v>1455</x:v>
      </x:c>
      <x:c r="G1472" t="str">
        <x:v>0b593ac582f8b9d62e9fba1bb967a8109eb27179c0595f1813f3f4736a370ebb</x:v>
      </x:c>
      <x:c r="H1472" t="str">
        <x:v>neu</x:v>
      </x:c>
      <x:c r="I1472" t="str">
        <x:v>ok</x:v>
      </x:c>
      <x:c r="J1472"/>
      <x:c r="K1472" t="n">
        <x:v>45672</x:v>
      </x:c>
      <x:c r="L1472" t="n">
        <x:v>45672</x:v>
      </x:c>
      <x:c r="M1472" t="str">
        <x:v>Gebucht</x:v>
      </x:c>
      <x:c r="N1472" t="str">
        <x:v>ISSUER</x:v>
      </x:c>
      <x:c r="O1472" t="str">
        <x:v>REUTER.DE/DUSSELDORF</x:v>
      </x:c>
      <x:c r="P1472" t="str">
        <x:v>VISA Debitkartenumsatz vom 14.01.2025</x:v>
      </x:c>
      <x:c r="Q1472" t="str">
        <x:v>Ausgang</x:v>
      </x:c>
      <x:c r="R1472" t="str">
        <x:v>DE96120300009005290904</x:v>
      </x:c>
      <x:c r="S1472" t="n">
        <x:v>-897.9</x:v>
      </x:c>
      <x:c r="T1472" t="str">
        <x:v>"</x:v>
      </x:c>
      <x:c r="U1472" t="str">
        <x:v>"</x:v>
      </x:c>
      <x:c r="V1472" t="str">
        <x:v>485014426620667</x:v>
      </x:c>
    </x:row>
    <x:row r="1473">
      <x:c r="A1473" t="str">
        <x:v>RAW-IMP-20260516-FULLDRAFT-001456</x:v>
      </x:c>
      <x:c r="B1473" t="str">
        <x:v>IMP-20260516-FULLDRAFT</x:v>
      </x:c>
      <x:c r="C1473" t="str">
        <x:v>KTO001</x:v>
      </x:c>
      <x:c r="D1473" t="str">
        <x:v>16-05-2026_Umsatzliste_Girokonto_DE98120300001061711675.csv</x:v>
      </x:c>
      <x:c r="E1473" t="n">
        <x:v>46163</x:v>
      </x:c>
      <x:c r="F1473" t="n">
        <x:v>1456</x:v>
      </x:c>
      <x:c r="G1473" t="str">
        <x:v>ce73d26c023a9f2b4be50c2600a61eb703ed08aa6cf67d47abcd6246c3d5b3b7</x:v>
      </x:c>
      <x:c r="H1473" t="str">
        <x:v>neu</x:v>
      </x:c>
      <x:c r="I1473" t="str">
        <x:v>ok</x:v>
      </x:c>
      <x:c r="J1473"/>
      <x:c r="K1473" t="n">
        <x:v>45672</x:v>
      </x:c>
      <x:c r="L1473" t="n">
        <x:v>45672</x:v>
      </x:c>
      <x:c r="M1473" t="str">
        <x:v>Gebucht</x:v>
      </x:c>
      <x:c r="N1473" t="str">
        <x:v>ISSUER</x:v>
      </x:c>
      <x:c r="O1473" t="str">
        <x:v>LUXVENUM/26716597906</x:v>
      </x:c>
      <x:c r="P1473" t="str">
        <x:v>VISA Debitkartenumsatz vom 14.01.2025</x:v>
      </x:c>
      <x:c r="Q1473" t="str">
        <x:v>Ausgang</x:v>
      </x:c>
      <x:c r="R1473" t="str">
        <x:v>DE96120300009005290904</x:v>
      </x:c>
      <x:c r="S1473" t="n">
        <x:v>-109.47</x:v>
      </x:c>
      <x:c r="T1473" t="str">
        <x:v>"</x:v>
      </x:c>
      <x:c r="U1473" t="str">
        <x:v>"</x:v>
      </x:c>
      <x:c r="V1473" t="str">
        <x:v>585014418194174</x:v>
      </x:c>
    </x:row>
    <x:row r="1474">
      <x:c r="A1474" t="str">
        <x:v>RAW-IMP-20260516-FULLDRAFT-001457</x:v>
      </x:c>
      <x:c r="B1474" t="str">
        <x:v>IMP-20260516-FULLDRAFT</x:v>
      </x:c>
      <x:c r="C1474" t="str">
        <x:v>KTO001</x:v>
      </x:c>
      <x:c r="D1474" t="str">
        <x:v>16-05-2026_Umsatzliste_Girokonto_DE98120300001061711675.csv</x:v>
      </x:c>
      <x:c r="E1474" t="n">
        <x:v>46163</x:v>
      </x:c>
      <x:c r="F1474" t="n">
        <x:v>1457</x:v>
      </x:c>
      <x:c r="G1474" t="str">
        <x:v>52cae3aeee21a25a17f3ad3392be642d5d46eb8f95f341cbb19ebcc173e645da</x:v>
      </x:c>
      <x:c r="H1474" t="str">
        <x:v>neu</x:v>
      </x:c>
      <x:c r="I1474" t="str">
        <x:v>ok</x:v>
      </x:c>
      <x:c r="J1474"/>
      <x:c r="K1474" t="n">
        <x:v>45672</x:v>
      </x:c>
      <x:c r="L1474" t="n">
        <x:v>45672</x:v>
      </x:c>
      <x:c r="M1474" t="str">
        <x:v>Gebucht</x:v>
      </x:c>
      <x:c r="N1474" t="str">
        <x:v>ISSUER</x:v>
      </x:c>
      <x:c r="O1474" t="str">
        <x:v>AMZN.Mktp.DE.P19N33115/800.279.6620</x:v>
      </x:c>
      <x:c r="P1474" t="str">
        <x:v>VISA Debitkartenumsatz vom 14.01.2025</x:v>
      </x:c>
      <x:c r="Q1474" t="str">
        <x:v>Ausgang</x:v>
      </x:c>
      <x:c r="R1474" t="str">
        <x:v>DE96120300009005290904</x:v>
      </x:c>
      <x:c r="S1474" t="n">
        <x:v>-147.48</x:v>
      </x:c>
      <x:c r="T1474" t="str">
        <x:v>"</x:v>
      </x:c>
      <x:c r="U1474" t="str">
        <x:v>"</x:v>
      </x:c>
      <x:c r="V1474" t="str">
        <x:v>485014418627196</x:v>
      </x:c>
    </x:row>
    <x:row r="1475">
      <x:c r="A1475" t="str">
        <x:v>RAW-IMP-20260516-FULLDRAFT-001458</x:v>
      </x:c>
      <x:c r="B1475" t="str">
        <x:v>IMP-20260516-FULLDRAFT</x:v>
      </x:c>
      <x:c r="C1475" t="str">
        <x:v>KTO001</x:v>
      </x:c>
      <x:c r="D1475" t="str">
        <x:v>16-05-2026_Umsatzliste_Girokonto_DE98120300001061711675.csv</x:v>
      </x:c>
      <x:c r="E1475" t="n">
        <x:v>46163</x:v>
      </x:c>
      <x:c r="F1475" t="n">
        <x:v>1458</x:v>
      </x:c>
      <x:c r="G1475" t="str">
        <x:v>48821c02c389713c14911f4d2c6529bab0be40149ebd462333bd4529af1813b6</x:v>
      </x:c>
      <x:c r="H1475" t="str">
        <x:v>neu</x:v>
      </x:c>
      <x:c r="I1475" t="str">
        <x:v>ok</x:v>
      </x:c>
      <x:c r="J1475"/>
      <x:c r="K1475" t="n">
        <x:v>45672</x:v>
      </x:c>
      <x:c r="L1475" t="n">
        <x:v>45672</x:v>
      </x:c>
      <x:c r="M1475" t="str">
        <x:v>Gebucht</x:v>
      </x:c>
      <x:c r="N1475" t="str">
        <x:v>Lars Kohlenberg</x:v>
      </x:c>
      <x:c r="O1475" t="str">
        <x:v>EnBW Energie Baden-Wurttemberg AG                                     Durlacher Allee 93, 76131 Karlsruhe</x:v>
      </x:c>
      <x:c r="P1475" t="str">
        <x:v>720016881366 Mobility+ Rechnung</x:v>
      </x:c>
      <x:c r="Q1475" t="str">
        <x:v>Ausgang</x:v>
      </x:c>
      <x:c r="R1475" t="str">
        <x:v>DE30600501010004095341</x:v>
      </x:c>
      <x:c r="S1475" t="n">
        <x:v>-69.37</x:v>
      </x:c>
      <x:c r="T1475" t="str">
        <x:v>DE6900000000084184</x:v>
      </x:c>
      <x:c r="U1475" t="str">
        <x:v>V5500000100835916</x:v>
      </x:c>
      <x:c r="V1475" t="str">
        <x:v>B22250524679 720016881366</x:v>
      </x:c>
    </x:row>
    <x:row r="1476">
      <x:c r="A1476" t="str">
        <x:v>RAW-IMP-20260516-FULLDRAFT-001459</x:v>
      </x:c>
      <x:c r="B1476" t="str">
        <x:v>IMP-20260516-FULLDRAFT</x:v>
      </x:c>
      <x:c r="C1476" t="str">
        <x:v>KTO001</x:v>
      </x:c>
      <x:c r="D1476" t="str">
        <x:v>16-05-2026_Umsatzliste_Girokonto_DE98120300001061711675.csv</x:v>
      </x:c>
      <x:c r="E1476" t="n">
        <x:v>46163</x:v>
      </x:c>
      <x:c r="F1476" t="n">
        <x:v>1459</x:v>
      </x:c>
      <x:c r="G1476" t="str">
        <x:v>5db85f941a614c6285a8ca18a144140b44ee7a6275414c9ad8e881840c7906b7</x:v>
      </x:c>
      <x:c r="H1476" t="str">
        <x:v>neu</x:v>
      </x:c>
      <x:c r="I1476" t="str">
        <x:v>ok</x:v>
      </x:c>
      <x:c r="J1476"/>
      <x:c r="K1476" t="n">
        <x:v>45671</x:v>
      </x:c>
      <x:c r="L1476" t="n">
        <x:v>45671</x:v>
      </x:c>
      <x:c r="M1476" t="str">
        <x:v>Gebucht</x:v>
      </x:c>
      <x:c r="N1476" t="str">
        <x:v>ISSUER</x:v>
      </x:c>
      <x:c r="O1476" t="str">
        <x:v>BAUHAUS.607/BRAUNSCHWEIG</x:v>
      </x:c>
      <x:c r="P1476" t="str">
        <x:v>VISA Debitkartenumsatz vom 13.01.2025</x:v>
      </x:c>
      <x:c r="Q1476" t="str">
        <x:v>Ausgang</x:v>
      </x:c>
      <x:c r="R1476" t="str">
        <x:v>DE96120300009005290904</x:v>
      </x:c>
      <x:c r="S1476" t="n">
        <x:v>-9.45</x:v>
      </x:c>
      <x:c r="T1476" t="str">
        <x:v>"</x:v>
      </x:c>
      <x:c r="U1476" t="str">
        <x:v>"</x:v>
      </x:c>
      <x:c r="V1476" t="str">
        <x:v>485013436805478</x:v>
      </x:c>
    </x:row>
    <x:row r="1477">
      <x:c r="A1477" t="str">
        <x:v>RAW-IMP-20260516-FULLDRAFT-001460</x:v>
      </x:c>
      <x:c r="B1477" t="str">
        <x:v>IMP-20260516-FULLDRAFT</x:v>
      </x:c>
      <x:c r="C1477" t="str">
        <x:v>KTO001</x:v>
      </x:c>
      <x:c r="D1477" t="str">
        <x:v>16-05-2026_Umsatzliste_Girokonto_DE98120300001061711675.csv</x:v>
      </x:c>
      <x:c r="E1477" t="n">
        <x:v>46163</x:v>
      </x:c>
      <x:c r="F1477" t="n">
        <x:v>1460</x:v>
      </x:c>
      <x:c r="G1477" t="str">
        <x:v>c78356a5e05ec8102559a17b47ea0cfc152080d1c9f0efe553a8e845a32ebe66</x:v>
      </x:c>
      <x:c r="H1477" t="str">
        <x:v>neu</x:v>
      </x:c>
      <x:c r="I1477" t="str">
        <x:v>ok</x:v>
      </x:c>
      <x:c r="J1477"/>
      <x:c r="K1477" t="n">
        <x:v>45671</x:v>
      </x:c>
      <x:c r="L1477" t="n">
        <x:v>45671</x:v>
      </x:c>
      <x:c r="M1477" t="str">
        <x:v>Gebucht</x:v>
      </x:c>
      <x:c r="N1477" t="str">
        <x:v>ISSUER</x:v>
      </x:c>
      <x:c r="O1477" t="str">
        <x:v>MCDONALDS.00293/SALZGITTER</x:v>
      </x:c>
      <x:c r="P1477" t="str">
        <x:v>VISA Debitkartenumsatz vom 13.01.2025</x:v>
      </x:c>
      <x:c r="Q1477" t="str">
        <x:v>Ausgang</x:v>
      </x:c>
      <x:c r="R1477" t="str">
        <x:v>DE96120300009005290904</x:v>
      </x:c>
      <x:c r="S1477" t="n">
        <x:v>-22.86</x:v>
      </x:c>
      <x:c r="T1477" t="str">
        <x:v>"</x:v>
      </x:c>
      <x:c r="U1477" t="str">
        <x:v>"</x:v>
      </x:c>
      <x:c r="V1477" t="str">
        <x:v>485013452243441</x:v>
      </x:c>
    </x:row>
    <x:row r="1478">
      <x:c r="A1478" t="str">
        <x:v>RAW-IMP-20260516-FULLDRAFT-001461</x:v>
      </x:c>
      <x:c r="B1478" t="str">
        <x:v>IMP-20260516-FULLDRAFT</x:v>
      </x:c>
      <x:c r="C1478" t="str">
        <x:v>KTO001</x:v>
      </x:c>
      <x:c r="D1478" t="str">
        <x:v>16-05-2026_Umsatzliste_Girokonto_DE98120300001061711675.csv</x:v>
      </x:c>
      <x:c r="E1478" t="n">
        <x:v>46163</x:v>
      </x:c>
      <x:c r="F1478" t="n">
        <x:v>1461</x:v>
      </x:c>
      <x:c r="G1478" t="str">
        <x:v>748a19bfc1f5496e4c386d2d144e40535b41aee22415112db5798be800f39ea8</x:v>
      </x:c>
      <x:c r="H1478" t="str">
        <x:v>neu</x:v>
      </x:c>
      <x:c r="I1478" t="str">
        <x:v>ok</x:v>
      </x:c>
      <x:c r="J1478"/>
      <x:c r="K1478" t="n">
        <x:v>45671</x:v>
      </x:c>
      <x:c r="L1478" t="n">
        <x:v>45671</x:v>
      </x:c>
      <x:c r="M1478" t="str">
        <x:v>Gebucht</x:v>
      </x:c>
      <x:c r="N1478" t="str">
        <x:v>Hornbach.Baumarkt.AG.FI/Braunschweig</x:v>
      </x:c>
      <x:c r="O1478" t="str">
        <x:v>NOTPROVIDED</x:v>
      </x:c>
      <x:c r="P1478" t="str">
        <x:v>20250114191452 Hornbach.Baumarkt.AG.FI DE</x:v>
      </x:c>
      <x:c r="Q1478" t="str">
        <x:v>Eingang</x:v>
      </x:c>
      <x:c r="R1478" t="str">
        <x:v>DE96120300009005290904</x:v>
      </x:c>
      <x:c r="S1478" t="n">
        <x:v>12.35</x:v>
      </x:c>
      <x:c r="T1478" t="str">
        <x:v>"</x:v>
      </x:c>
      <x:c r="U1478" t="str">
        <x:v>"</x:v>
      </x:c>
      <x:c r="V1478" t="str">
        <x:v>635014478042216</x:v>
      </x:c>
    </x:row>
    <x:row r="1479">
      <x:c r="A1479" t="str">
        <x:v>RAW-IMP-20260516-FULLDRAFT-001462</x:v>
      </x:c>
      <x:c r="B1479" t="str">
        <x:v>IMP-20260516-FULLDRAFT</x:v>
      </x:c>
      <x:c r="C1479" t="str">
        <x:v>KTO001</x:v>
      </x:c>
      <x:c r="D1479" t="str">
        <x:v>16-05-2026_Umsatzliste_Girokonto_DE98120300001061711675.csv</x:v>
      </x:c>
      <x:c r="E1479" t="n">
        <x:v>46163</x:v>
      </x:c>
      <x:c r="F1479" t="n">
        <x:v>1462</x:v>
      </x:c>
      <x:c r="G1479" t="str">
        <x:v>f90fcbba1ab99d5f5a3b5ddd3fb4611145333ad0b8b1265283de665590175218</x:v>
      </x:c>
      <x:c r="H1479" t="str">
        <x:v>neu</x:v>
      </x:c>
      <x:c r="I1479" t="str">
        <x:v>ok</x:v>
      </x:c>
      <x:c r="J1479"/>
      <x:c r="K1479" t="n">
        <x:v>45671</x:v>
      </x:c>
      <x:c r="L1479" t="n">
        <x:v>45671</x:v>
      </x:c>
      <x:c r="M1479" t="str">
        <x:v>Gebucht</x:v>
      </x:c>
      <x:c r="N1479" t="str">
        <x:v>ISSUER</x:v>
      </x:c>
      <x:c r="O1479" t="str">
        <x:v>Globus.Baumarkt/Salzgitter</x:v>
      </x:c>
      <x:c r="P1479" t="str">
        <x:v>VISA Debitkartenumsatz vom 13.01.2025</x:v>
      </x:c>
      <x:c r="Q1479" t="str">
        <x:v>Ausgang</x:v>
      </x:c>
      <x:c r="R1479" t="str">
        <x:v>DE96120300009005290904</x:v>
      </x:c>
      <x:c r="S1479" t="n">
        <x:v>-16.97</x:v>
      </x:c>
      <x:c r="T1479" t="str">
        <x:v>"</x:v>
      </x:c>
      <x:c r="U1479" t="str">
        <x:v>"</x:v>
      </x:c>
      <x:c r="V1479" t="str">
        <x:v>485013583272370</x:v>
      </x:c>
    </x:row>
    <x:row r="1480">
      <x:c r="A1480" t="str">
        <x:v>RAW-IMP-20260516-FULLDRAFT-001463</x:v>
      </x:c>
      <x:c r="B1480" t="str">
        <x:v>IMP-20260516-FULLDRAFT</x:v>
      </x:c>
      <x:c r="C1480" t="str">
        <x:v>KTO001</x:v>
      </x:c>
      <x:c r="D1480" t="str">
        <x:v>16-05-2026_Umsatzliste_Girokonto_DE98120300001061711675.csv</x:v>
      </x:c>
      <x:c r="E1480" t="n">
        <x:v>46163</x:v>
      </x:c>
      <x:c r="F1480" t="n">
        <x:v>1463</x:v>
      </x:c>
      <x:c r="G1480" t="str">
        <x:v>1fdce3b4a35ded4a530c2cb4a732dd7a3e986c90191599def069a9c3bbc1c4fc</x:v>
      </x:c>
      <x:c r="H1480" t="str">
        <x:v>neu</x:v>
      </x:c>
      <x:c r="I1480" t="str">
        <x:v>ok</x:v>
      </x:c>
      <x:c r="J1480"/>
      <x:c r="K1480" t="n">
        <x:v>45670</x:v>
      </x:c>
      <x:c r="L1480" t="n">
        <x:v>45670</x:v>
      </x:c>
      <x:c r="M1480" t="str">
        <x:v>Gebucht</x:v>
      </x:c>
      <x:c r="N1480" t="str">
        <x:v>Caritasverband fur die Diozese Hildesheim e.V.</x:v>
      </x:c>
      <x:c r="O1480" t="str">
        <x:v>Lars Kohlenberg</x:v>
      </x:c>
      <x:c r="P1480" t="str">
        <x:v>85,11 15.10.24 NR. Auslagenerstattung</x:v>
      </x:c>
      <x:c r="Q1480" t="str">
        <x:v>Eingang</x:v>
      </x:c>
      <x:c r="R1480" t="str">
        <x:v>DE73400602650023003300</x:v>
      </x:c>
      <x:c r="S1480" t="n">
        <x:v>85.11</x:v>
      </x:c>
      <x:c r="T1480" t="str">
        <x:v>"</x:v>
      </x:c>
      <x:c r="U1480" t="str">
        <x:v>"</x:v>
      </x:c>
      <x:c r="V1480" t="str">
        <x:v>7</x:v>
      </x:c>
    </x:row>
    <x:row r="1481">
      <x:c r="A1481" t="str">
        <x:v>RAW-IMP-20260516-FULLDRAFT-001464</x:v>
      </x:c>
      <x:c r="B1481" t="str">
        <x:v>IMP-20260516-FULLDRAFT</x:v>
      </x:c>
      <x:c r="C1481" t="str">
        <x:v>KTO001</x:v>
      </x:c>
      <x:c r="D1481" t="str">
        <x:v>16-05-2026_Umsatzliste_Girokonto_DE98120300001061711675.csv</x:v>
      </x:c>
      <x:c r="E1481" t="n">
        <x:v>46163</x:v>
      </x:c>
      <x:c r="F1481" t="n">
        <x:v>1464</x:v>
      </x:c>
      <x:c r="G1481" t="str">
        <x:v>3c57efcc6ece70c1fdb11158b2f1eca4d2bf506130241c05e6d9474c3dff838c</x:v>
      </x:c>
      <x:c r="H1481" t="str">
        <x:v>neu</x:v>
      </x:c>
      <x:c r="I1481" t="str">
        <x:v>ok</x:v>
      </x:c>
      <x:c r="J1481"/>
      <x:c r="K1481" t="n">
        <x:v>45670</x:v>
      </x:c>
      <x:c r="L1481" t="n">
        <x:v>45670</x:v>
      </x:c>
      <x:c r="M1481" t="str">
        <x:v>Gebucht</x:v>
      </x:c>
      <x:c r="N1481" t="str">
        <x:v>FINANZKASSE WOLFENBUETTEL</x:v>
      </x:c>
      <x:c r="O1481" t="str">
        <x:v>KOHLENBERG LARS</x:v>
      </x:c>
      <x:c r="P1481" t="str">
        <x:v>ERSTATT.51/023/12991 EST-VERANL. 22</x:v>
      </x:c>
      <x:c r="Q1481" t="str">
        <x:v>Eingang</x:v>
      </x:c>
      <x:c r="R1481" t="str">
        <x:v>DE19250500000101431294</x:v>
      </x:c>
      <x:c r="S1481" t="n">
        <x:v>9761.59</x:v>
      </x:c>
      <x:c r="T1481" t="str">
        <x:v>"</x:v>
      </x:c>
      <x:c r="U1481" t="str">
        <x:v>"</x:v>
      </x:c>
      <x:c r="V1481" t="str">
        <x:v>51/023/12991 EST-VG0901202500310019</x:v>
      </x:c>
    </x:row>
    <x:row r="1482">
      <x:c r="A1482" t="str">
        <x:v>RAW-IMP-20260516-FULLDRAFT-001465</x:v>
      </x:c>
      <x:c r="B1482" t="str">
        <x:v>IMP-20260516-FULLDRAFT</x:v>
      </x:c>
      <x:c r="C1482" t="str">
        <x:v>KTO001</x:v>
      </x:c>
      <x:c r="D1482" t="str">
        <x:v>16-05-2026_Umsatzliste_Girokonto_DE98120300001061711675.csv</x:v>
      </x:c>
      <x:c r="E1482" t="n">
        <x:v>46163</x:v>
      </x:c>
      <x:c r="F1482" t="n">
        <x:v>1465</x:v>
      </x:c>
      <x:c r="G1482" t="str">
        <x:v>916c0bd0d81e8a4a9293ad9a75293b9fd967f6c5bc6e1d1e39eeac50aa50341e</x:v>
      </x:c>
      <x:c r="H1482" t="str">
        <x:v>neu</x:v>
      </x:c>
      <x:c r="I1482" t="str">
        <x:v>ok</x:v>
      </x:c>
      <x:c r="J1482"/>
      <x:c r="K1482" t="n">
        <x:v>45670</x:v>
      </x:c>
      <x:c r="L1482" t="n">
        <x:v>45670</x:v>
      </x:c>
      <x:c r="M1482" t="str">
        <x:v>Gebucht</x:v>
      </x:c>
      <x:c r="N1482" t="str">
        <x:v>ISSUER</x:v>
      </x:c>
      <x:c r="O1482" t="str">
        <x:v>Hornbach.Baumarkt.AG.FI/Braunschweig</x:v>
      </x:c>
      <x:c r="P1482" t="str">
        <x:v>VISA Debitkartenumsatz vom 11.01.2025</x:v>
      </x:c>
      <x:c r="Q1482" t="str">
        <x:v>Ausgang</x:v>
      </x:c>
      <x:c r="R1482" t="str">
        <x:v>DE96120300009005290904</x:v>
      </x:c>
      <x:c r="S1482" t="n">
        <x:v>-53.21</x:v>
      </x:c>
      <x:c r="T1482" t="str">
        <x:v>"</x:v>
      </x:c>
      <x:c r="U1482" t="str">
        <x:v>"</x:v>
      </x:c>
      <x:c r="V1482" t="str">
        <x:v>485011449416998</x:v>
      </x:c>
    </x:row>
    <x:row r="1483">
      <x:c r="A1483" t="str">
        <x:v>RAW-IMP-20260516-FULLDRAFT-001466</x:v>
      </x:c>
      <x:c r="B1483" t="str">
        <x:v>IMP-20260516-FULLDRAFT</x:v>
      </x:c>
      <x:c r="C1483" t="str">
        <x:v>KTO001</x:v>
      </x:c>
      <x:c r="D1483" t="str">
        <x:v>16-05-2026_Umsatzliste_Girokonto_DE98120300001061711675.csv</x:v>
      </x:c>
      <x:c r="E1483" t="n">
        <x:v>46163</x:v>
      </x:c>
      <x:c r="F1483" t="n">
        <x:v>1466</x:v>
      </x:c>
      <x:c r="G1483" t="str">
        <x:v>5f913ede19f62a59f5e0bb146d9cd7681a8e38e6012bd1769afc542e785a0e3f</x:v>
      </x:c>
      <x:c r="H1483" t="str">
        <x:v>neu</x:v>
      </x:c>
      <x:c r="I1483" t="str">
        <x:v>ok</x:v>
      </x:c>
      <x:c r="J1483"/>
      <x:c r="K1483" t="n">
        <x:v>45670</x:v>
      </x:c>
      <x:c r="L1483" t="n">
        <x:v>45670</x:v>
      </x:c>
      <x:c r="M1483" t="str">
        <x:v>Gebucht</x:v>
      </x:c>
      <x:c r="N1483" t="str">
        <x:v>ISSUER</x:v>
      </x:c>
      <x:c r="O1483" t="str">
        <x:v>REWE.Salzgitter.Ge/Salzgitter</x:v>
      </x:c>
      <x:c r="P1483" t="str">
        <x:v>VISA Debitkartenumsatz vom 11.01.2025</x:v>
      </x:c>
      <x:c r="Q1483" t="str">
        <x:v>Ausgang</x:v>
      </x:c>
      <x:c r="R1483" t="str">
        <x:v>DE96120300009005290904</x:v>
      </x:c>
      <x:c r="S1483" t="n">
        <x:v>-23.02</x:v>
      </x:c>
      <x:c r="T1483" t="str">
        <x:v>"</x:v>
      </x:c>
      <x:c r="U1483" t="str">
        <x:v>"</x:v>
      </x:c>
      <x:c r="V1483" t="str">
        <x:v>485011696674895</x:v>
      </x:c>
    </x:row>
    <x:row r="1484">
      <x:c r="A1484" t="str">
        <x:v>RAW-IMP-20260516-FULLDRAFT-001467</x:v>
      </x:c>
      <x:c r="B1484" t="str">
        <x:v>IMP-20260516-FULLDRAFT</x:v>
      </x:c>
      <x:c r="C1484" t="str">
        <x:v>KTO001</x:v>
      </x:c>
      <x:c r="D1484" t="str">
        <x:v>16-05-2026_Umsatzliste_Girokonto_DE98120300001061711675.csv</x:v>
      </x:c>
      <x:c r="E1484" t="n">
        <x:v>46163</x:v>
      </x:c>
      <x:c r="F1484" t="n">
        <x:v>1467</x:v>
      </x:c>
      <x:c r="G1484" t="str">
        <x:v>d1e7e15c671419842d049d9159172216beef54b43bf2d756bb9274f18139be54</x:v>
      </x:c>
      <x:c r="H1484" t="str">
        <x:v>neu</x:v>
      </x:c>
      <x:c r="I1484" t="str">
        <x:v>ok</x:v>
      </x:c>
      <x:c r="J1484"/>
      <x:c r="K1484" t="n">
        <x:v>45670</x:v>
      </x:c>
      <x:c r="L1484" t="n">
        <x:v>45670</x:v>
      </x:c>
      <x:c r="M1484" t="str">
        <x:v>Gebucht</x:v>
      </x:c>
      <x:c r="N1484" t="str">
        <x:v>ISSUER</x:v>
      </x:c>
      <x:c r="O1484" t="str">
        <x:v>BOSPORUS.GRILL/SALZGITTER</x:v>
      </x:c>
      <x:c r="P1484" t="str">
        <x:v>VISA Debitkartenumsatz vom 11.01.2025</x:v>
      </x:c>
      <x:c r="Q1484" t="str">
        <x:v>Ausgang</x:v>
      </x:c>
      <x:c r="R1484" t="str">
        <x:v>DE96120300009005290904</x:v>
      </x:c>
      <x:c r="S1484" t="n">
        <x:v>-21</x:v>
      </x:c>
      <x:c r="T1484" t="str">
        <x:v>"</x:v>
      </x:c>
      <x:c r="U1484" t="str">
        <x:v>"</x:v>
      </x:c>
      <x:c r="V1484" t="str">
        <x:v>485011704429178</x:v>
      </x:c>
    </x:row>
    <x:row r="1485">
      <x:c r="A1485" t="str">
        <x:v>RAW-IMP-20260516-FULLDRAFT-001468</x:v>
      </x:c>
      <x:c r="B1485" t="str">
        <x:v>IMP-20260516-FULLDRAFT</x:v>
      </x:c>
      <x:c r="C1485" t="str">
        <x:v>KTO001</x:v>
      </x:c>
      <x:c r="D1485" t="str">
        <x:v>16-05-2026_Umsatzliste_Girokonto_DE98120300001061711675.csv</x:v>
      </x:c>
      <x:c r="E1485" t="n">
        <x:v>46163</x:v>
      </x:c>
      <x:c r="F1485" t="n">
        <x:v>1468</x:v>
      </x:c>
      <x:c r="G1485" t="str">
        <x:v>a0a44cc8c3ffd085a36c53bc30d2c3acd2a97d415b59d1f39aa69960878a099b</x:v>
      </x:c>
      <x:c r="H1485" t="str">
        <x:v>neu</x:v>
      </x:c>
      <x:c r="I1485" t="str">
        <x:v>ok</x:v>
      </x:c>
      <x:c r="J1485"/>
      <x:c r="K1485" t="n">
        <x:v>45670</x:v>
      </x:c>
      <x:c r="L1485" t="n">
        <x:v>45670</x:v>
      </x:c>
      <x:c r="M1485" t="str">
        <x:v>Gebucht</x:v>
      </x:c>
      <x:c r="N1485" t="str">
        <x:v>ISSUER</x:v>
      </x:c>
      <x:c r="O1485" t="str">
        <x:v>BAUKING.Ostfalen.GmbH/Braunschweig</x:v>
      </x:c>
      <x:c r="P1485" t="str">
        <x:v>VISA Debitkartenumsatz vom 11.01.2025</x:v>
      </x:c>
      <x:c r="Q1485" t="str">
        <x:v>Ausgang</x:v>
      </x:c>
      <x:c r="R1485" t="str">
        <x:v>DE96120300009005290904</x:v>
      </x:c>
      <x:c r="S1485" t="n">
        <x:v>-27.36</x:v>
      </x:c>
      <x:c r="T1485" t="str">
        <x:v>"</x:v>
      </x:c>
      <x:c r="U1485" t="str">
        <x:v>"</x:v>
      </x:c>
      <x:c r="V1485" t="str">
        <x:v>485011414008264</x:v>
      </x:c>
    </x:row>
    <x:row r="1486">
      <x:c r="A1486" t="str">
        <x:v>RAW-IMP-20260516-FULLDRAFT-001469</x:v>
      </x:c>
      <x:c r="B1486" t="str">
        <x:v>IMP-20260516-FULLDRAFT</x:v>
      </x:c>
      <x:c r="C1486" t="str">
        <x:v>KTO001</x:v>
      </x:c>
      <x:c r="D1486" t="str">
        <x:v>16-05-2026_Umsatzliste_Girokonto_DE98120300001061711675.csv</x:v>
      </x:c>
      <x:c r="E1486" t="n">
        <x:v>46163</x:v>
      </x:c>
      <x:c r="F1486" t="n">
        <x:v>1469</x:v>
      </x:c>
      <x:c r="G1486" t="str">
        <x:v>b040b5d47ef5a0ed80470af57e1f02f6c94d4df61172fe1cfb7dbd1d861ae829</x:v>
      </x:c>
      <x:c r="H1486" t="str">
        <x:v>neu</x:v>
      </x:c>
      <x:c r="I1486" t="str">
        <x:v>ok</x:v>
      </x:c>
      <x:c r="J1486"/>
      <x:c r="K1486" t="n">
        <x:v>45670</x:v>
      </x:c>
      <x:c r="L1486" t="n">
        <x:v>45670</x:v>
      </x:c>
      <x:c r="M1486" t="str">
        <x:v>Gebucht</x:v>
      </x:c>
      <x:c r="N1486" t="str">
        <x:v>ISSUER</x:v>
      </x:c>
      <x:c r="O1486" t="str">
        <x:v>LOEWENBAECKER.SCHAPER/SALZGITTER</x:v>
      </x:c>
      <x:c r="P1486" t="str">
        <x:v>VISA Debitkartenumsatz vom 11.01.2025</x:v>
      </x:c>
      <x:c r="Q1486" t="str">
        <x:v>Ausgang</x:v>
      </x:c>
      <x:c r="R1486" t="str">
        <x:v>DE96120300009005290904</x:v>
      </x:c>
      <x:c r="S1486" t="n">
        <x:v>-3.8</x:v>
      </x:c>
      <x:c r="T1486" t="str">
        <x:v>"</x:v>
      </x:c>
      <x:c r="U1486" t="str">
        <x:v>"</x:v>
      </x:c>
      <x:c r="V1486" t="str">
        <x:v>485011465238884</x:v>
      </x:c>
    </x:row>
    <x:row r="1487">
      <x:c r="A1487" t="str">
        <x:v>RAW-IMP-20260516-FULLDRAFT-001470</x:v>
      </x:c>
      <x:c r="B1487" t="str">
        <x:v>IMP-20260516-FULLDRAFT</x:v>
      </x:c>
      <x:c r="C1487" t="str">
        <x:v>KTO001</x:v>
      </x:c>
      <x:c r="D1487" t="str">
        <x:v>16-05-2026_Umsatzliste_Girokonto_DE98120300001061711675.csv</x:v>
      </x:c>
      <x:c r="E1487" t="n">
        <x:v>46163</x:v>
      </x:c>
      <x:c r="F1487" t="n">
        <x:v>1470</x:v>
      </x:c>
      <x:c r="G1487" t="str">
        <x:v>6c9be0d5e6c0315d6b25aa44eb2cd10009553e967420b75b909f789d821c9dfa</x:v>
      </x:c>
      <x:c r="H1487" t="str">
        <x:v>neu</x:v>
      </x:c>
      <x:c r="I1487" t="str">
        <x:v>ok</x:v>
      </x:c>
      <x:c r="J1487"/>
      <x:c r="K1487" t="n">
        <x:v>45670</x:v>
      </x:c>
      <x:c r="L1487" t="n">
        <x:v>45668</x:v>
      </x:c>
      <x:c r="M1487" t="str">
        <x:v>Gebucht</x:v>
      </x:c>
      <x:c r="N1487" t="str">
        <x:v>DKB AG</x:v>
      </x:c>
      <x:c r="O1487" t="str">
        <x:v>DKB AG</x:v>
      </x:c>
      <x:c r="P1487" t="str">
        <x:v>Rechnung DEUTSCHE KREDITBANK AG Entgelt Girokarte für 2025/KartNr.******4414 LARS KOHLENBERG 20250113-BY111-00222109091</x:v>
      </x:c>
      <x:c r="Q1487" t="str">
        <x:v>Ausgang</x:v>
      </x:c>
      <x:c r="R1487" t="str">
        <x:v>0000000000</x:v>
      </x:c>
      <x:c r="S1487" t="n">
        <x:v>-11.88</x:v>
      </x:c>
      <x:c r="T1487" t="str">
        <x:v>"</x:v>
      </x:c>
      <x:c r="U1487" t="str">
        <x:v>"</x:v>
      </x:c>
      <x:c r="V1487" t="str">
        <x:v>"</x:v>
      </x:c>
    </x:row>
    <x:row r="1488">
      <x:c r="A1488" t="str">
        <x:v>RAW-IMP-20260516-FULLDRAFT-001471</x:v>
      </x:c>
      <x:c r="B1488" t="str">
        <x:v>IMP-20260516-FULLDRAFT</x:v>
      </x:c>
      <x:c r="C1488" t="str">
        <x:v>KTO001</x:v>
      </x:c>
      <x:c r="D1488" t="str">
        <x:v>16-05-2026_Umsatzliste_Girokonto_DE98120300001061711675.csv</x:v>
      </x:c>
      <x:c r="E1488" t="n">
        <x:v>46163</x:v>
      </x:c>
      <x:c r="F1488" t="n">
        <x:v>1471</x:v>
      </x:c>
      <x:c r="G1488" t="str">
        <x:v>89826123a9d859795648a5af68a0662723231ec58e7b46b3677c09db8ea2f313</x:v>
      </x:c>
      <x:c r="H1488" t="str">
        <x:v>neu</x:v>
      </x:c>
      <x:c r="I1488" t="str">
        <x:v>ok</x:v>
      </x:c>
      <x:c r="J1488"/>
      <x:c r="K1488" t="n">
        <x:v>45667</x:v>
      </x:c>
      <x:c r="L1488" t="n">
        <x:v>45667</x:v>
      </x:c>
      <x:c r="M1488" t="str">
        <x:v>Gebucht</x:v>
      </x:c>
      <x:c r="N1488" t="str">
        <x:v>Lars Kohlenberg</x:v>
      </x:c>
      <x:c r="O1488" t="str">
        <x:v>VHV Allg. Versicherung AG</x:v>
      </x:c>
      <x:c r="P1488" t="str">
        <x:v>VHV Versicherung UNFALLVERSICHERUNG U 013-072445/0000 Abrechnung: 01.01.25 - 01.02.25</x:v>
      </x:c>
      <x:c r="Q1488" t="str">
        <x:v>Ausgang</x:v>
      </x:c>
      <x:c r="R1488" t="str">
        <x:v>DE65250500000101411551</x:v>
      </x:c>
      <x:c r="S1488" t="n">
        <x:v>-11.96</x:v>
      </x:c>
      <x:c r="T1488" t="str">
        <x:v>DE32VHV00000150810</x:v>
      </x:c>
      <x:c r="U1488" t="str">
        <x:v>0015012300010039</x:v>
      </x:c>
      <x:c r="V1488" t="str">
        <x:v>31193243174</x:v>
      </x:c>
    </x:row>
    <x:row r="1489">
      <x:c r="A1489" t="str">
        <x:v>RAW-IMP-20260516-FULLDRAFT-001472</x:v>
      </x:c>
      <x:c r="B1489" t="str">
        <x:v>IMP-20260516-FULLDRAFT</x:v>
      </x:c>
      <x:c r="C1489" t="str">
        <x:v>KTO001</x:v>
      </x:c>
      <x:c r="D1489" t="str">
        <x:v>16-05-2026_Umsatzliste_Girokonto_DE98120300001061711675.csv</x:v>
      </x:c>
      <x:c r="E1489" t="n">
        <x:v>46163</x:v>
      </x:c>
      <x:c r="F1489" t="n">
        <x:v>1472</x:v>
      </x:c>
      <x:c r="G1489" t="str">
        <x:v>c21de15841186b20f4f1340c0e652f0a3c6d96ef61f23a9ae4ad0135edfc3c60</x:v>
      </x:c>
      <x:c r="H1489" t="str">
        <x:v>neu</x:v>
      </x:c>
      <x:c r="I1489" t="str">
        <x:v>ok</x:v>
      </x:c>
      <x:c r="J1489"/>
      <x:c r="K1489" t="n">
        <x:v>45667</x:v>
      </x:c>
      <x:c r="L1489" t="n">
        <x:v>45667</x:v>
      </x:c>
      <x:c r="M1489" t="str">
        <x:v>Gebucht</x:v>
      </x:c>
      <x:c r="N1489" t="str">
        <x:v>Lars Kohlenberg</x:v>
      </x:c>
      <x:c r="O1489" t="str">
        <x:v>VHV Allg. Versicherung AG</x:v>
      </x:c>
      <x:c r="P1489" t="str">
        <x:v>VHV Versicherung HAFTPFLICHTVERSICHERUNG H 306-298548/0000 Abrechnung: 01.01.25 - 01.04.25</x:v>
      </x:c>
      <x:c r="Q1489" t="str">
        <x:v>Ausgang</x:v>
      </x:c>
      <x:c r="R1489" t="str">
        <x:v>DE65250500000101411551</x:v>
      </x:c>
      <x:c r="S1489" t="n">
        <x:v>-23.63</x:v>
      </x:c>
      <x:c r="T1489" t="str">
        <x:v>DE32VHV00000150810</x:v>
      </x:c>
      <x:c r="U1489" t="str">
        <x:v>0015012300010037</x:v>
      </x:c>
      <x:c r="V1489" t="str">
        <x:v>31193243173</x:v>
      </x:c>
    </x:row>
    <x:row r="1490">
      <x:c r="A1490" t="str">
        <x:v>RAW-IMP-20260516-FULLDRAFT-001473</x:v>
      </x:c>
      <x:c r="B1490" t="str">
        <x:v>IMP-20260516-FULLDRAFT</x:v>
      </x:c>
      <x:c r="C1490" t="str">
        <x:v>KTO001</x:v>
      </x:c>
      <x:c r="D1490" t="str">
        <x:v>16-05-2026_Umsatzliste_Girokonto_DE98120300001061711675.csv</x:v>
      </x:c>
      <x:c r="E1490" t="n">
        <x:v>46163</x:v>
      </x:c>
      <x:c r="F1490" t="n">
        <x:v>1473</x:v>
      </x:c>
      <x:c r="G1490" t="str">
        <x:v>f15914e48ab128d63801663596c72151208b271cb026596061c1117859725288</x:v>
      </x:c>
      <x:c r="H1490" t="str">
        <x:v>neu</x:v>
      </x:c>
      <x:c r="I1490" t="str">
        <x:v>ok</x:v>
      </x:c>
      <x:c r="J1490"/>
      <x:c r="K1490" t="n">
        <x:v>45667</x:v>
      </x:c>
      <x:c r="L1490" t="n">
        <x:v>45667</x:v>
      </x:c>
      <x:c r="M1490" t="str">
        <x:v>Gebucht</x:v>
      </x:c>
      <x:c r="N1490" t="str">
        <x:v>Lars Kohlenberg</x:v>
      </x:c>
      <x:c r="O1490" t="str">
        <x:v>VHV Allg. Versicherung AG</x:v>
      </x:c>
      <x:c r="P1490" t="str">
        <x:v>VHV Versicherung KFZ-VERSICHERUNG SZ-KL 910 K 809-411325/0002 Abrechnung: 01.01.25 - 01.01.26</x:v>
      </x:c>
      <x:c r="Q1490" t="str">
        <x:v>Ausgang</x:v>
      </x:c>
      <x:c r="R1490" t="str">
        <x:v>DE65250500000101411551</x:v>
      </x:c>
      <x:c r="S1490" t="n">
        <x:v>-424.05</x:v>
      </x:c>
      <x:c r="T1490" t="str">
        <x:v>DE32VHV00000150810</x:v>
      </x:c>
      <x:c r="U1490" t="str">
        <x:v>0015012300010038</x:v>
      </x:c>
      <x:c r="V1490" t="str">
        <x:v>31193243175</x:v>
      </x:c>
    </x:row>
    <x:row r="1491">
      <x:c r="A1491" t="str">
        <x:v>RAW-IMP-20260516-FULLDRAFT-001474</x:v>
      </x:c>
      <x:c r="B1491" t="str">
        <x:v>IMP-20260516-FULLDRAFT</x:v>
      </x:c>
      <x:c r="C1491" t="str">
        <x:v>KTO001</x:v>
      </x:c>
      <x:c r="D1491" t="str">
        <x:v>16-05-2026_Umsatzliste_Girokonto_DE98120300001061711675.csv</x:v>
      </x:c>
      <x:c r="E1491" t="n">
        <x:v>46163</x:v>
      </x:c>
      <x:c r="F1491" t="n">
        <x:v>1474</x:v>
      </x:c>
      <x:c r="G1491" t="str">
        <x:v>ed5ea2282c36536ecf0ea8c146e76d51929be61e7b5442a837461a404d720031</x:v>
      </x:c>
      <x:c r="H1491" t="str">
        <x:v>neu</x:v>
      </x:c>
      <x:c r="I1491" t="str">
        <x:v>ok</x:v>
      </x:c>
      <x:c r="J1491"/>
      <x:c r="K1491" t="n">
        <x:v>45666</x:v>
      </x:c>
      <x:c r="L1491" t="n">
        <x:v>45666</x:v>
      </x:c>
      <x:c r="M1491" t="str">
        <x:v>Gebucht</x:v>
      </x:c>
      <x:c r="N1491" t="str">
        <x:v>Caritasverband fur die Diozese Hildesheim e.V.</x:v>
      </x:c>
      <x:c r="O1491" t="str">
        <x:v>Lars Kohlenberg</x:v>
      </x:c>
      <x:c r="P1491" t="str">
        <x:v>7,00 19.12.25 NR. Erst. Parkkosten</x:v>
      </x:c>
      <x:c r="Q1491" t="str">
        <x:v>Eingang</x:v>
      </x:c>
      <x:c r="R1491" t="str">
        <x:v>DE73400602650023003300</x:v>
      </x:c>
      <x:c r="S1491" t="n">
        <x:v>7</x:v>
      </x:c>
      <x:c r="T1491" t="str">
        <x:v>"</x:v>
      </x:c>
      <x:c r="U1491" t="str">
        <x:v>"</x:v>
      </x:c>
      <x:c r="V1491" t="str">
        <x:v>35</x:v>
      </x:c>
    </x:row>
    <x:row r="1492">
      <x:c r="A1492" t="str">
        <x:v>RAW-IMP-20260516-FULLDRAFT-001475</x:v>
      </x:c>
      <x:c r="B1492" t="str">
        <x:v>IMP-20260516-FULLDRAFT</x:v>
      </x:c>
      <x:c r="C1492" t="str">
        <x:v>KTO001</x:v>
      </x:c>
      <x:c r="D1492" t="str">
        <x:v>16-05-2026_Umsatzliste_Girokonto_DE98120300001061711675.csv</x:v>
      </x:c>
      <x:c r="E1492" t="n">
        <x:v>46163</x:v>
      </x:c>
      <x:c r="F1492" t="n">
        <x:v>1475</x:v>
      </x:c>
      <x:c r="G1492" t="str">
        <x:v>694988e2e295cf66a0c7341ef93385d04ff77ab7b9c1e703529746461219edb7</x:v>
      </x:c>
      <x:c r="H1492" t="str">
        <x:v>neu</x:v>
      </x:c>
      <x:c r="I1492" t="str">
        <x:v>ok</x:v>
      </x:c>
      <x:c r="J1492"/>
      <x:c r="K1492" t="n">
        <x:v>45666</x:v>
      </x:c>
      <x:c r="L1492" t="n">
        <x:v>45666</x:v>
      </x:c>
      <x:c r="M1492" t="str">
        <x:v>Gebucht</x:v>
      </x:c>
      <x:c r="N1492" t="str">
        <x:v>ISSUER</x:v>
      </x:c>
      <x:c r="O1492" t="str">
        <x:v>APOTHEKE.AM.STADTGRABE/WUNSTORF</x:v>
      </x:c>
      <x:c r="P1492" t="str">
        <x:v>VISA Debitkartenumsatz vom 08.01.2025</x:v>
      </x:c>
      <x:c r="Q1492" t="str">
        <x:v>Ausgang</x:v>
      </x:c>
      <x:c r="R1492" t="str">
        <x:v>DE96120300009005290904</x:v>
      </x:c>
      <x:c r="S1492" t="n">
        <x:v>-5</x:v>
      </x:c>
      <x:c r="T1492" t="str">
        <x:v>"</x:v>
      </x:c>
      <x:c r="U1492" t="str">
        <x:v>"</x:v>
      </x:c>
      <x:c r="V1492" t="str">
        <x:v>485008310520250</x:v>
      </x:c>
    </x:row>
    <x:row r="1493">
      <x:c r="A1493" t="str">
        <x:v>RAW-IMP-20260516-FULLDRAFT-001476</x:v>
      </x:c>
      <x:c r="B1493" t="str">
        <x:v>IMP-20260516-FULLDRAFT</x:v>
      </x:c>
      <x:c r="C1493" t="str">
        <x:v>KTO001</x:v>
      </x:c>
      <x:c r="D1493" t="str">
        <x:v>16-05-2026_Umsatzliste_Girokonto_DE98120300001061711675.csv</x:v>
      </x:c>
      <x:c r="E1493" t="n">
        <x:v>46163</x:v>
      </x:c>
      <x:c r="F1493" t="n">
        <x:v>1476</x:v>
      </x:c>
      <x:c r="G1493" t="str">
        <x:v>e36930593e6d8ed811a0832a4a22834bcefb68cdfe1012a9b73d4bf30a443303</x:v>
      </x:c>
      <x:c r="H1493" t="str">
        <x:v>neu</x:v>
      </x:c>
      <x:c r="I1493" t="str">
        <x:v>ok</x:v>
      </x:c>
      <x:c r="J1493"/>
      <x:c r="K1493" t="n">
        <x:v>45666</x:v>
      </x:c>
      <x:c r="L1493" t="n">
        <x:v>45666</x:v>
      </x:c>
      <x:c r="M1493" t="str">
        <x:v>Gebucht</x:v>
      </x:c>
      <x:c r="N1493" t="str">
        <x:v>Lars Kohlenberg</x:v>
      </x:c>
      <x:c r="O1493" t="str">
        <x:v>GMX by LOTTO24                                                        StraBenbahnring 11 20251 Hamburg</x:v>
      </x:c>
      <x:c r="P1493" t="str">
        <x:v>GMX by LOTTO24 C98983063 - T217164543094</x:v>
      </x:c>
      <x:c r="Q1493" t="str">
        <x:v>Ausgang</x:v>
      </x:c>
      <x:c r="R1493" t="str">
        <x:v>DE52100190001000027873</x:v>
      </x:c>
      <x:c r="S1493" t="n">
        <x:v>-18.14</x:v>
      </x:c>
      <x:c r="T1493" t="str">
        <x:v>NL48ZZZ342764500000</x:v>
      </x:c>
      <x:c r="U1493" t="str">
        <x:v>R372DKN5SSBXZP52</x:v>
      </x:c>
      <x:c r="V1493" t="str">
        <x:v>CLJ55JBL4T6TWDX3</x:v>
      </x:c>
    </x:row>
    <x:row r="1494">
      <x:c r="A1494" t="str">
        <x:v>RAW-IMP-20260516-FULLDRAFT-001477</x:v>
      </x:c>
      <x:c r="B1494" t="str">
        <x:v>IMP-20260516-FULLDRAFT</x:v>
      </x:c>
      <x:c r="C1494" t="str">
        <x:v>KTO001</x:v>
      </x:c>
      <x:c r="D1494" t="str">
        <x:v>16-05-2026_Umsatzliste_Girokonto_DE98120300001061711675.csv</x:v>
      </x:c>
      <x:c r="E1494" t="n">
        <x:v>46163</x:v>
      </x:c>
      <x:c r="F1494" t="n">
        <x:v>1477</x:v>
      </x:c>
      <x:c r="G1494" t="str">
        <x:v>5036536cab4727a460f987094f85c13e937026edba2e3982b8cb6c73200ed8cf</x:v>
      </x:c>
      <x:c r="H1494" t="str">
        <x:v>neu</x:v>
      </x:c>
      <x:c r="I1494" t="str">
        <x:v>ok</x:v>
      </x:c>
      <x:c r="J1494"/>
      <x:c r="K1494" t="n">
        <x:v>45665</x:v>
      </x:c>
      <x:c r="L1494" t="n">
        <x:v>45665</x:v>
      </x:c>
      <x:c r="M1494" t="str">
        <x:v>Gebucht</x:v>
      </x:c>
      <x:c r="N1494" t="str">
        <x:v>ISSUER</x:v>
      </x:c>
      <x:c r="O1494" t="str">
        <x:v>REWE.Salzgitter.Ge/Salzgitter</x:v>
      </x:c>
      <x:c r="P1494" t="str">
        <x:v>VISA Debitkartenumsatz vom 07.01.2025</x:v>
      </x:c>
      <x:c r="Q1494" t="str">
        <x:v>Ausgang</x:v>
      </x:c>
      <x:c r="R1494" t="str">
        <x:v>DE96120300009005290904</x:v>
      </x:c>
      <x:c r="S1494" t="n">
        <x:v>-40.72</x:v>
      </x:c>
      <x:c r="T1494" t="str">
        <x:v>"</x:v>
      </x:c>
      <x:c r="U1494" t="str">
        <x:v>"</x:v>
      </x:c>
      <x:c r="V1494" t="str">
        <x:v>485007643230529</x:v>
      </x:c>
    </x:row>
    <x:row r="1495">
      <x:c r="A1495" t="str">
        <x:v>RAW-IMP-20260516-FULLDRAFT-001478</x:v>
      </x:c>
      <x:c r="B1495" t="str">
        <x:v>IMP-20260516-FULLDRAFT</x:v>
      </x:c>
      <x:c r="C1495" t="str">
        <x:v>KTO001</x:v>
      </x:c>
      <x:c r="D1495" t="str">
        <x:v>16-05-2026_Umsatzliste_Girokonto_DE98120300001061711675.csv</x:v>
      </x:c>
      <x:c r="E1495" t="n">
        <x:v>46163</x:v>
      </x:c>
      <x:c r="F1495" t="n">
        <x:v>1478</x:v>
      </x:c>
      <x:c r="G1495" t="str">
        <x:v>17e71914603226866391873b3669ff5a234eaa1908695ab2e58ba101ad482ffd</x:v>
      </x:c>
      <x:c r="H1495" t="str">
        <x:v>neu</x:v>
      </x:c>
      <x:c r="I1495" t="str">
        <x:v>ok</x:v>
      </x:c>
      <x:c r="J1495"/>
      <x:c r="K1495" t="n">
        <x:v>45664</x:v>
      </x:c>
      <x:c r="L1495" t="n">
        <x:v>45664</x:v>
      </x:c>
      <x:c r="M1495" t="str">
        <x:v>Gebucht</x:v>
      </x:c>
      <x:c r="N1495" t="str">
        <x:v>Lars Kohlenberg                                                       Johannes-Wosnitza-Str. 8 38229 Salzgitter</x:v>
      </x:c>
      <x:c r="O1495" t="str">
        <x:v>Telekom Deutschland GmbH</x:v>
      </x:c>
      <x:c r="P1495" t="str">
        <x:v>Festnetz Vertragskonto 4763666565 RG 7711464695/20.12.2024</x:v>
      </x:c>
      <x:c r="Q1495" t="str">
        <x:v>Ausgang</x:v>
      </x:c>
      <x:c r="R1495" t="str">
        <x:v>DE07512108001095000911</x:v>
      </x:c>
      <x:c r="S1495" t="n">
        <x:v>-61.93</x:v>
      </x:c>
      <x:c r="T1495" t="str">
        <x:v>DE93ZZZ00000078611</x:v>
      </x:c>
      <x:c r="U1495" t="str">
        <x:v>DE000201000200000000000000012966156</x:v>
      </x:c>
      <x:c r="V1495" t="str">
        <x:v>Zahlbeleg 365059988936</x:v>
      </x:c>
    </x:row>
    <x:row r="1496">
      <x:c r="A1496" t="str">
        <x:v>RAW-IMP-20260516-FULLDRAFT-001479</x:v>
      </x:c>
      <x:c r="B1496" t="str">
        <x:v>IMP-20260516-FULLDRAFT</x:v>
      </x:c>
      <x:c r="C1496" t="str">
        <x:v>KTO001</x:v>
      </x:c>
      <x:c r="D1496" t="str">
        <x:v>16-05-2026_Umsatzliste_Girokonto_DE98120300001061711675.csv</x:v>
      </x:c>
      <x:c r="E1496" t="n">
        <x:v>46163</x:v>
      </x:c>
      <x:c r="F1496" t="n">
        <x:v>1479</x:v>
      </x:c>
      <x:c r="G1496" t="str">
        <x:v>14bac1093db4bfcd9d4d64b221335980fa8f15fff2298383195affd83ef2d943</x:v>
      </x:c>
      <x:c r="H1496" t="str">
        <x:v>neu</x:v>
      </x:c>
      <x:c r="I1496" t="str">
        <x:v>ok</x:v>
      </x:c>
      <x:c r="J1496"/>
      <x:c r="K1496" t="n">
        <x:v>45664</x:v>
      </x:c>
      <x:c r="L1496" t="n">
        <x:v>45664</x:v>
      </x:c>
      <x:c r="M1496" t="str">
        <x:v>Gebucht</x:v>
      </x:c>
      <x:c r="N1496" t="str">
        <x:v>Lars Kohlenberg</x:v>
      </x:c>
      <x:c r="O1496" t="str">
        <x:v>Lars Kohlenberg</x:v>
      </x:c>
      <x:c r="P1496" t="str">
        <x:v>Uebertrag</x:v>
      </x:c>
      <x:c r="Q1496" t="str">
        <x:v>Eingang</x:v>
      </x:c>
      <x:c r="R1496" t="str">
        <x:v>DE91270200001510365800</x:v>
      </x:c>
      <x:c r="S1496" t="n">
        <x:v>500</x:v>
      </x:c>
      <x:c r="T1496" t="str">
        <x:v>"</x:v>
      </x:c>
      <x:c r="U1496" t="str">
        <x:v>"</x:v>
      </x:c>
      <x:c r="V1496" t="str">
        <x:v>"</x:v>
      </x:c>
    </x:row>
    <x:row r="1497">
      <x:c r="A1497" t="str">
        <x:v>RAW-IMP-20260516-FULLDRAFT-001480</x:v>
      </x:c>
      <x:c r="B1497" t="str">
        <x:v>IMP-20260516-FULLDRAFT</x:v>
      </x:c>
      <x:c r="C1497" t="str">
        <x:v>KTO001</x:v>
      </x:c>
      <x:c r="D1497" t="str">
        <x:v>16-05-2026_Umsatzliste_Girokonto_DE98120300001061711675.csv</x:v>
      </x:c>
      <x:c r="E1497" t="n">
        <x:v>46163</x:v>
      </x:c>
      <x:c r="F1497" t="n">
        <x:v>1480</x:v>
      </x:c>
      <x:c r="G1497" t="str">
        <x:v>3dfa841ff5b9f57a2375b0dd4de424fa5e2a2d048bf1d8ec0fa0290485caa97a</x:v>
      </x:c>
      <x:c r="H1497" t="str">
        <x:v>neu</x:v>
      </x:c>
      <x:c r="I1497" t="str">
        <x:v>ok</x:v>
      </x:c>
      <x:c r="J1497"/>
      <x:c r="K1497" t="n">
        <x:v>45663</x:v>
      </x:c>
      <x:c r="L1497" t="n">
        <x:v>45663</x:v>
      </x:c>
      <x:c r="M1497" t="str">
        <x:v>Gebucht</x:v>
      </x:c>
      <x:c r="N1497" t="str">
        <x:v>ISSUER</x:v>
      </x:c>
      <x:c r="O1497" t="str">
        <x:v>PAYPAL..ATG.TICKETS/1732966830</x:v>
      </x:c>
      <x:c r="P1497" t="str">
        <x:v>VISA Debitkartenumsatz vom 05.01.2025</x:v>
      </x:c>
      <x:c r="Q1497" t="str">
        <x:v>Ausgang</x:v>
      </x:c>
      <x:c r="R1497" t="str">
        <x:v>DE96120300009005290904</x:v>
      </x:c>
      <x:c r="S1497" t="n">
        <x:v>-489.95</x:v>
      </x:c>
      <x:c r="T1497" t="str">
        <x:v>"</x:v>
      </x:c>
      <x:c r="U1497" t="str">
        <x:v>"</x:v>
      </x:c>
      <x:c r="V1497" t="str">
        <x:v>465005420215549</x:v>
      </x:c>
    </x:row>
    <x:row r="1498">
      <x:c r="A1498" t="str">
        <x:v>RAW-IMP-20260516-FULLDRAFT-001481</x:v>
      </x:c>
      <x:c r="B1498" t="str">
        <x:v>IMP-20260516-FULLDRAFT</x:v>
      </x:c>
      <x:c r="C1498" t="str">
        <x:v>KTO001</x:v>
      </x:c>
      <x:c r="D1498" t="str">
        <x:v>16-05-2026_Umsatzliste_Girokonto_DE98120300001061711675.csv</x:v>
      </x:c>
      <x:c r="E1498" t="n">
        <x:v>46163</x:v>
      </x:c>
      <x:c r="F1498" t="n">
        <x:v>1481</x:v>
      </x:c>
      <x:c r="G1498" t="str">
        <x:v>a080c0f88a1b1a072171fdd3f228923c38fc2f0e69faef93b5f8098fd09b8ecd</x:v>
      </x:c>
      <x:c r="H1498" t="str">
        <x:v>neu</x:v>
      </x:c>
      <x:c r="I1498" t="str">
        <x:v>ok</x:v>
      </x:c>
      <x:c r="J1498"/>
      <x:c r="K1498" t="n">
        <x:v>45663</x:v>
      </x:c>
      <x:c r="L1498" t="n">
        <x:v>45663</x:v>
      </x:c>
      <x:c r="M1498" t="str">
        <x:v>Gebucht</x:v>
      </x:c>
      <x:c r="N1498" t="str">
        <x:v>ISSUER</x:v>
      </x:c>
      <x:c r="O1498" t="str">
        <x:v>LOEWENBAECKER.SCHAPER/SALZGITTER</x:v>
      </x:c>
      <x:c r="P1498" t="str">
        <x:v>VISA Debitkartenumsatz vom 03.01.2025</x:v>
      </x:c>
      <x:c r="Q1498" t="str">
        <x:v>Ausgang</x:v>
      </x:c>
      <x:c r="R1498" t="str">
        <x:v>DE96120300009005290904</x:v>
      </x:c>
      <x:c r="S1498" t="n">
        <x:v>-2.15</x:v>
      </x:c>
      <x:c r="T1498" t="str">
        <x:v>"</x:v>
      </x:c>
      <x:c r="U1498" t="str">
        <x:v>"</x:v>
      </x:c>
      <x:c r="V1498" t="str">
        <x:v>485003588447534</x:v>
      </x:c>
    </x:row>
    <x:row r="1499">
      <x:c r="A1499" t="str">
        <x:v>RAW-IMP-20260516-FULLDRAFT-001482</x:v>
      </x:c>
      <x:c r="B1499" t="str">
        <x:v>IMP-20260516-FULLDRAFT</x:v>
      </x:c>
      <x:c r="C1499" t="str">
        <x:v>KTO001</x:v>
      </x:c>
      <x:c r="D1499" t="str">
        <x:v>16-05-2026_Umsatzliste_Girokonto_DE98120300001061711675.csv</x:v>
      </x:c>
      <x:c r="E1499" t="n">
        <x:v>46163</x:v>
      </x:c>
      <x:c r="F1499" t="n">
        <x:v>1482</x:v>
      </x:c>
      <x:c r="G1499" t="str">
        <x:v>e26d4d545bac40ba15119b53be961e91cf5bf3c7d8cb874c6a25f2d76f857b77</x:v>
      </x:c>
      <x:c r="H1499" t="str">
        <x:v>neu</x:v>
      </x:c>
      <x:c r="I1499" t="str">
        <x:v>ok</x:v>
      </x:c>
      <x:c r="J1499"/>
      <x:c r="K1499" t="n">
        <x:v>45663</x:v>
      </x:c>
      <x:c r="L1499" t="n">
        <x:v>45663</x:v>
      </x:c>
      <x:c r="M1499" t="str">
        <x:v>Gebucht</x:v>
      </x:c>
      <x:c r="N1499" t="str">
        <x:v>ISSUER</x:v>
      </x:c>
      <x:c r="O1499" t="str">
        <x:v>LOEWENBAECKER.SCHAPER/SALZGITTER</x:v>
      </x:c>
      <x:c r="P1499" t="str">
        <x:v>VISA Debitkartenumsatz vom 04.01.2025</x:v>
      </x:c>
      <x:c r="Q1499" t="str">
        <x:v>Ausgang</x:v>
      </x:c>
      <x:c r="R1499" t="str">
        <x:v>DE96120300009005290904</x:v>
      </x:c>
      <x:c r="S1499" t="n">
        <x:v>-3.59</x:v>
      </x:c>
      <x:c r="T1499" t="str">
        <x:v>"</x:v>
      </x:c>
      <x:c r="U1499" t="str">
        <x:v>"</x:v>
      </x:c>
      <x:c r="V1499" t="str">
        <x:v>485004314973843</x:v>
      </x:c>
    </x:row>
    <x:row r="1500">
      <x:c r="A1500" t="str">
        <x:v>RAW-IMP-20260516-FULLDRAFT-001483</x:v>
      </x:c>
      <x:c r="B1500" t="str">
        <x:v>IMP-20260516-FULLDRAFT</x:v>
      </x:c>
      <x:c r="C1500" t="str">
        <x:v>KTO001</x:v>
      </x:c>
      <x:c r="D1500" t="str">
        <x:v>16-05-2026_Umsatzliste_Girokonto_DE98120300001061711675.csv</x:v>
      </x:c>
      <x:c r="E1500" t="n">
        <x:v>46163</x:v>
      </x:c>
      <x:c r="F1500" t="n">
        <x:v>1483</x:v>
      </x:c>
      <x:c r="G1500" t="str">
        <x:v>f3d736c6784055a5cf79de683ac63aba963c5aaca0ecb0ac08176efe81935d44</x:v>
      </x:c>
      <x:c r="H1500" t="str">
        <x:v>neu</x:v>
      </x:c>
      <x:c r="I1500" t="str">
        <x:v>ok</x:v>
      </x:c>
      <x:c r="J1500"/>
      <x:c r="K1500" t="n">
        <x:v>45663</x:v>
      </x:c>
      <x:c r="L1500" t="n">
        <x:v>45663</x:v>
      </x:c>
      <x:c r="M1500" t="str">
        <x:v>Gebucht</x:v>
      </x:c>
      <x:c r="N1500" t="str">
        <x:v>ISSUER</x:v>
      </x:c>
      <x:c r="O1500" t="str">
        <x:v>REWE.Salzgitter.Ge/Salzgitter</x:v>
      </x:c>
      <x:c r="P1500" t="str">
        <x:v>VISA Debitkartenumsatz vom 03.01.2025</x:v>
      </x:c>
      <x:c r="Q1500" t="str">
        <x:v>Ausgang</x:v>
      </x:c>
      <x:c r="R1500" t="str">
        <x:v>DE96120300009005290904</x:v>
      </x:c>
      <x:c r="S1500" t="n">
        <x:v>-5.48</x:v>
      </x:c>
      <x:c r="T1500" t="str">
        <x:v>"</x:v>
      </x:c>
      <x:c r="U1500" t="str">
        <x:v>"</x:v>
      </x:c>
      <x:c r="V1500" t="str">
        <x:v>485003593567894</x:v>
      </x:c>
    </x:row>
    <x:row r="1501">
      <x:c r="A1501" t="str">
        <x:v>RAW-IMP-20260516-FULLDRAFT-001484</x:v>
      </x:c>
      <x:c r="B1501" t="str">
        <x:v>IMP-20260516-FULLDRAFT</x:v>
      </x:c>
      <x:c r="C1501" t="str">
        <x:v>KTO001</x:v>
      </x:c>
      <x:c r="D1501" t="str">
        <x:v>16-05-2026_Umsatzliste_Girokonto_DE98120300001061711675.csv</x:v>
      </x:c>
      <x:c r="E1501" t="n">
        <x:v>46163</x:v>
      </x:c>
      <x:c r="F1501" t="n">
        <x:v>1484</x:v>
      </x:c>
      <x:c r="G1501" t="str">
        <x:v>701378cd5291a2ee24880a2c2c0168ae7fd63117342516ea73490a10d53985f4</x:v>
      </x:c>
      <x:c r="H1501" t="str">
        <x:v>neu</x:v>
      </x:c>
      <x:c r="I1501" t="str">
        <x:v>ok</x:v>
      </x:c>
      <x:c r="J1501"/>
      <x:c r="K1501" t="n">
        <x:v>45663</x:v>
      </x:c>
      <x:c r="L1501" t="n">
        <x:v>45663</x:v>
      </x:c>
      <x:c r="M1501" t="str">
        <x:v>Gebucht</x:v>
      </x:c>
      <x:c r="N1501" t="str">
        <x:v>ISSUER</x:v>
      </x:c>
      <x:c r="O1501" t="str">
        <x:v>REWE.Salzgitter.Ge/Salzgitter</x:v>
      </x:c>
      <x:c r="P1501" t="str">
        <x:v>VISA Debitkartenumsatz vom 04.01.2025</x:v>
      </x:c>
      <x:c r="Q1501" t="str">
        <x:v>Ausgang</x:v>
      </x:c>
      <x:c r="R1501" t="str">
        <x:v>DE96120300009005290904</x:v>
      </x:c>
      <x:c r="S1501" t="n">
        <x:v>-36.88</x:v>
      </x:c>
      <x:c r="T1501" t="str">
        <x:v>"</x:v>
      </x:c>
      <x:c r="U1501" t="str">
        <x:v>"</x:v>
      </x:c>
      <x:c r="V1501" t="str">
        <x:v>485004544111582</x:v>
      </x:c>
    </x:row>
    <x:row r="1502">
      <x:c r="A1502" t="str">
        <x:v>RAW-IMP-20260516-FULLDRAFT-001485</x:v>
      </x:c>
      <x:c r="B1502" t="str">
        <x:v>IMP-20260516-FULLDRAFT</x:v>
      </x:c>
      <x:c r="C1502" t="str">
        <x:v>KTO001</x:v>
      </x:c>
      <x:c r="D1502" t="str">
        <x:v>16-05-2026_Umsatzliste_Girokonto_DE98120300001061711675.csv</x:v>
      </x:c>
      <x:c r="E1502" t="n">
        <x:v>46163</x:v>
      </x:c>
      <x:c r="F1502" t="n">
        <x:v>1485</x:v>
      </x:c>
      <x:c r="G1502" t="str">
        <x:v>60dc39c75e3d339253c40f6b2fafcb9347e2aae9beb5a5952c8f3da9b0e95db4</x:v>
      </x:c>
      <x:c r="H1502" t="str">
        <x:v>neu</x:v>
      </x:c>
      <x:c r="I1502" t="str">
        <x:v>ok</x:v>
      </x:c>
      <x:c r="J1502"/>
      <x:c r="K1502" t="n">
        <x:v>45663</x:v>
      </x:c>
      <x:c r="L1502" t="n">
        <x:v>45663</x:v>
      </x:c>
      <x:c r="M1502" t="str">
        <x:v>Gebucht</x:v>
      </x:c>
      <x:c r="N1502" t="str">
        <x:v>ISSUER</x:v>
      </x:c>
      <x:c r="O1502" t="str">
        <x:v>ACCOR..NOVOTEL.HAMBURG/ALL.ACCOR.COM</x:v>
      </x:c>
      <x:c r="P1502" t="str">
        <x:v>VISA Debitkartenumsatz vom 05.01.2025</x:v>
      </x:c>
      <x:c r="Q1502" t="str">
        <x:v>Ausgang</x:v>
      </x:c>
      <x:c r="R1502" t="str">
        <x:v>DE96120300009005290904</x:v>
      </x:c>
      <x:c r="S1502" t="n">
        <x:v>-208.93</x:v>
      </x:c>
      <x:c r="T1502" t="str">
        <x:v>"</x:v>
      </x:c>
      <x:c r="U1502" t="str">
        <x:v>"</x:v>
      </x:c>
      <x:c r="V1502" t="str">
        <x:v>485005393554448</x:v>
      </x:c>
    </x:row>
    <x:row r="1503">
      <x:c r="A1503" t="str">
        <x:v>RAW-IMP-20260516-FULLDRAFT-001486</x:v>
      </x:c>
      <x:c r="B1503" t="str">
        <x:v>IMP-20260516-FULLDRAFT</x:v>
      </x:c>
      <x:c r="C1503" t="str">
        <x:v>KTO001</x:v>
      </x:c>
      <x:c r="D1503" t="str">
        <x:v>16-05-2026_Umsatzliste_Girokonto_DE98120300001061711675.csv</x:v>
      </x:c>
      <x:c r="E1503" t="n">
        <x:v>46163</x:v>
      </x:c>
      <x:c r="F1503" t="n">
        <x:v>1486</x:v>
      </x:c>
      <x:c r="G1503" t="str">
        <x:v>d80a1f5e125a2bf388628067ecfcc41b3312fdcbd63a7d1f3831ddbe59f8f577</x:v>
      </x:c>
      <x:c r="H1503" t="str">
        <x:v>neu</x:v>
      </x:c>
      <x:c r="I1503" t="str">
        <x:v>ok</x:v>
      </x:c>
      <x:c r="J1503"/>
      <x:c r="K1503" t="n">
        <x:v>45663</x:v>
      </x:c>
      <x:c r="L1503" t="n">
        <x:v>45663</x:v>
      </x:c>
      <x:c r="M1503" t="str">
        <x:v>Gebucht</x:v>
      </x:c>
      <x:c r="N1503" t="str">
        <x:v>Lars Kohlenberg</x:v>
      </x:c>
      <x:c r="O1503" t="str">
        <x:v>Iman Firat</x:v>
      </x:c>
      <x:c r="P1503" t="str">
        <x:v>2230 Lea Kohlenberg</x:v>
      </x:c>
      <x:c r="Q1503" t="str">
        <x:v>Ausgang</x:v>
      </x:c>
      <x:c r="R1503" t="str">
        <x:v>DE67269910662694298000</x:v>
      </x:c>
      <x:c r="S1503" t="n">
        <x:v>-49.9</x:v>
      </x:c>
      <x:c r="T1503" t="str">
        <x:v>"</x:v>
      </x:c>
      <x:c r="U1503" t="str">
        <x:v>"</x:v>
      </x:c>
      <x:c r="V1503" t="str">
        <x:v>"</x:v>
      </x:c>
    </x:row>
    <x:row r="1504">
      <x:c r="A1504" t="str">
        <x:v>RAW-IMP-20260516-FULLDRAFT-001487</x:v>
      </x:c>
      <x:c r="B1504" t="str">
        <x:v>IMP-20260516-FULLDRAFT</x:v>
      </x:c>
      <x:c r="C1504" t="str">
        <x:v>KTO001</x:v>
      </x:c>
      <x:c r="D1504" t="str">
        <x:v>16-05-2026_Umsatzliste_Girokonto_DE98120300001061711675.csv</x:v>
      </x:c>
      <x:c r="E1504" t="n">
        <x:v>46163</x:v>
      </x:c>
      <x:c r="F1504" t="n">
        <x:v>1487</x:v>
      </x:c>
      <x:c r="G1504" t="str">
        <x:v>d524079134d6e737db8a86a470910e3f44d323aa45e6c9020922fd934c696ad2</x:v>
      </x:c>
      <x:c r="H1504" t="str">
        <x:v>neu</x:v>
      </x:c>
      <x:c r="I1504" t="str">
        <x:v>ok</x:v>
      </x:c>
      <x:c r="J1504"/>
      <x:c r="K1504" t="n">
        <x:v>45660</x:v>
      </x:c>
      <x:c r="L1504" t="n">
        <x:v>45660</x:v>
      </x:c>
      <x:c r="M1504" t="str">
        <x:v>Gebucht</x:v>
      </x:c>
      <x:c r="N1504" t="str">
        <x:v>ISSUER</x:v>
      </x:c>
      <x:c r="O1504" t="str">
        <x:v>GLUECKAUF.APOTHEKE/SALZGITTER</x:v>
      </x:c>
      <x:c r="P1504" t="str">
        <x:v>VISA Debitkartenumsatz vom 02.01.2025</x:v>
      </x:c>
      <x:c r="Q1504" t="str">
        <x:v>Ausgang</x:v>
      </x:c>
      <x:c r="R1504" t="str">
        <x:v>DE96120300009005290904</x:v>
      </x:c>
      <x:c r="S1504" t="n">
        <x:v>-5</x:v>
      </x:c>
      <x:c r="T1504" t="str">
        <x:v>"</x:v>
      </x:c>
      <x:c r="U1504" t="str">
        <x:v>"</x:v>
      </x:c>
      <x:c r="V1504" t="str">
        <x:v>485002396872040</x:v>
      </x:c>
    </x:row>
    <x:row r="1505">
      <x:c r="A1505" t="str">
        <x:v>RAW-IMP-20260516-FULLDRAFT-001488</x:v>
      </x:c>
      <x:c r="B1505" t="str">
        <x:v>IMP-20260516-FULLDRAFT</x:v>
      </x:c>
      <x:c r="C1505" t="str">
        <x:v>KTO001</x:v>
      </x:c>
      <x:c r="D1505" t="str">
        <x:v>16-05-2026_Umsatzliste_Girokonto_DE98120300001061711675.csv</x:v>
      </x:c>
      <x:c r="E1505" t="n">
        <x:v>46163</x:v>
      </x:c>
      <x:c r="F1505" t="n">
        <x:v>1488</x:v>
      </x:c>
      <x:c r="G1505" t="str">
        <x:v>594e81c71bc315bc7f3a7f0a46567173b0df25d1d15374abc91be2fcd06911ae</x:v>
      </x:c>
      <x:c r="H1505" t="str">
        <x:v>neu</x:v>
      </x:c>
      <x:c r="I1505" t="str">
        <x:v>ok</x:v>
      </x:c>
      <x:c r="J1505"/>
      <x:c r="K1505" t="n">
        <x:v>45660</x:v>
      </x:c>
      <x:c r="L1505" t="n">
        <x:v>45660</x:v>
      </x:c>
      <x:c r="M1505" t="str">
        <x:v>Gebucht</x:v>
      </x:c>
      <x:c r="N1505" t="str">
        <x:v>ISSUER</x:v>
      </x:c>
      <x:c r="O1505" t="str">
        <x:v>AMZN.Mktp.DE.J271Z94A5/800.279.6620</x:v>
      </x:c>
      <x:c r="P1505" t="str">
        <x:v>VISA Debitkartenumsatz vom 02.01.2025</x:v>
      </x:c>
      <x:c r="Q1505" t="str">
        <x:v>Ausgang</x:v>
      </x:c>
      <x:c r="R1505" t="str">
        <x:v>DE96120300009005290904</x:v>
      </x:c>
      <x:c r="S1505" t="n">
        <x:v>-25.64</x:v>
      </x:c>
      <x:c r="T1505" t="str">
        <x:v>"</x:v>
      </x:c>
      <x:c r="U1505" t="str">
        <x:v>"</x:v>
      </x:c>
      <x:c r="V1505" t="str">
        <x:v>484365807401638</x:v>
      </x:c>
    </x:row>
    <x:row r="1506">
      <x:c r="A1506" t="str">
        <x:v>RAW-IMP-20260516-FULLDRAFT-001489</x:v>
      </x:c>
      <x:c r="B1506" t="str">
        <x:v>IMP-20260516-FULLDRAFT</x:v>
      </x:c>
      <x:c r="C1506" t="str">
        <x:v>KTO001</x:v>
      </x:c>
      <x:c r="D1506" t="str">
        <x:v>16-05-2026_Umsatzliste_Girokonto_DE98120300001061711675.csv</x:v>
      </x:c>
      <x:c r="E1506" t="n">
        <x:v>46163</x:v>
      </x:c>
      <x:c r="F1506" t="n">
        <x:v>1489</x:v>
      </x:c>
      <x:c r="G1506" t="str">
        <x:v>24d66845fa29e5ffc0d323b4399f1b2b51f94a9a4a7aec149421e30d6b7704ba</x:v>
      </x:c>
      <x:c r="H1506" t="str">
        <x:v>neu</x:v>
      </x:c>
      <x:c r="I1506" t="str">
        <x:v>ok</x:v>
      </x:c>
      <x:c r="J1506"/>
      <x:c r="K1506" t="n">
        <x:v>45660</x:v>
      </x:c>
      <x:c r="L1506" t="n">
        <x:v>45660</x:v>
      </x:c>
      <x:c r="M1506" t="str">
        <x:v>Gebucht</x:v>
      </x:c>
      <x:c r="N1506" t="str">
        <x:v>KOHLENBERG, LARS</x:v>
      </x:c>
      <x:c r="O1506" t="str">
        <x:v>VPV-LEBENSVERSICHERUNGS-AG</x:v>
      </x:c>
      <x:c r="P1506" t="str">
        <x:v>VNR 301667726</x:v>
      </x:c>
      <x:c r="Q1506" t="str">
        <x:v>Ausgang</x:v>
      </x:c>
      <x:c r="R1506" t="str">
        <x:v>DE78600501010001166338</x:v>
      </x:c>
      <x:c r="S1506" t="n">
        <x:v>-53.3</x:v>
      </x:c>
      <x:c r="T1506" t="str">
        <x:v>DE96LAG00000064686</x:v>
      </x:c>
      <x:c r="U1506" t="str">
        <x:v>ML700120510</x:v>
      </x:c>
      <x:c r="V1506" t="str">
        <x:v>250102 455435686 ML700120510</x:v>
      </x:c>
    </x:row>
    <x:row r="1507">
      <x:c r="A1507" t="str">
        <x:v>RAW-IMP-20260516-FULLDRAFT-001490</x:v>
      </x:c>
      <x:c r="B1507" t="str">
        <x:v>IMP-20260516-FULLDRAFT</x:v>
      </x:c>
      <x:c r="C1507" t="str">
        <x:v>KTO001</x:v>
      </x:c>
      <x:c r="D1507" t="str">
        <x:v>16-05-2026_Umsatzliste_Girokonto_DE98120300001061711675.csv</x:v>
      </x:c>
      <x:c r="E1507" t="n">
        <x:v>46163</x:v>
      </x:c>
      <x:c r="F1507" t="n">
        <x:v>1490</x:v>
      </x:c>
      <x:c r="G1507" t="str">
        <x:v>c49f6bab514e8aa55d5204313772d650fdc43953b5f7c06f35dfc78b989628b6</x:v>
      </x:c>
      <x:c r="H1507" t="str">
        <x:v>neu</x:v>
      </x:c>
      <x:c r="I1507" t="str">
        <x:v>ok</x:v>
      </x:c>
      <x:c r="J1507"/>
      <x:c r="K1507" t="n">
        <x:v>45660</x:v>
      </x:c>
      <x:c r="L1507" t="n">
        <x:v>45660</x:v>
      </x:c>
      <x:c r="M1507" t="str">
        <x:v>Gebucht</x:v>
      </x:c>
      <x:c r="N1507" t="str">
        <x:v>Lars Kohlenberg                                                       Johannes-Wosnitza-Str. 8</x:v>
      </x:c>
      <x:c r="O1507" t="str">
        <x:v>FUNKE Medien Nieders.GmbH</x:v>
      </x:c>
      <x:c r="P1507" t="str">
        <x:v>SZ/00001050/VA/01.01.25-31.01.25/Rg-Nr.:6316077953/Kd-Nr:0053112791</x:v>
      </x:c>
      <x:c r="Q1507" t="str">
        <x:v>Ausgang</x:v>
      </x:c>
      <x:c r="R1507" t="str">
        <x:v>DE67250500000000146910</x:v>
      </x:c>
      <x:c r="S1507" t="n">
        <x:v>-57.5</x:v>
      </x:c>
      <x:c r="T1507" t="str">
        <x:v>DE8850000000483288</x:v>
      </x:c>
      <x:c r="U1507" t="str">
        <x:v>0053112791-0500-01300001</x:v>
      </x:c>
      <x:c r="V1507" t="str">
        <x:v>032007846778</x:v>
      </x:c>
    </x:row>
    <x:row r="1508">
      <x:c r="A1508" t="str">
        <x:v>RAW-IMP-20260516-FULLDRAFT-001491</x:v>
      </x:c>
      <x:c r="B1508" t="str">
        <x:v>IMP-20260516-FULLDRAFT</x:v>
      </x:c>
      <x:c r="C1508" t="str">
        <x:v>KTO001</x:v>
      </x:c>
      <x:c r="D1508" t="str">
        <x:v>16-05-2026_Umsatzliste_Girokonto_DE98120300001061711675.csv</x:v>
      </x:c>
      <x:c r="E1508" t="n">
        <x:v>46163</x:v>
      </x:c>
      <x:c r="F1508" t="n">
        <x:v>1491</x:v>
      </x:c>
      <x:c r="G1508" t="str">
        <x:v>aeb326df78bccca59bf171a9aa206aa61053cf98a0121cd024c50862988da297</x:v>
      </x:c>
      <x:c r="H1508" t="str">
        <x:v>neu</x:v>
      </x:c>
      <x:c r="I1508" t="str">
        <x:v>ok</x:v>
      </x:c>
      <x:c r="J1508"/>
      <x:c r="K1508" t="n">
        <x:v>45660</x:v>
      </x:c>
      <x:c r="L1508" t="n">
        <x:v>45660</x:v>
      </x:c>
      <x:c r="M1508" t="str">
        <x:v>Gebucht</x:v>
      </x:c>
      <x:c r="N1508" t="str">
        <x:v>KOHLENBERG, LARS</x:v>
      </x:c>
      <x:c r="O1508" t="str">
        <x:v>Lars und Katrin Kohlenberg</x:v>
      </x:c>
      <x:c r="P1508" t="str">
        <x:v>11152106 VERMOEGENSDEPOT SAMMELBUCHUNG SPARPLAN WKN A1C9ED, 847809</x:v>
      </x:c>
      <x:c r="Q1508" t="str">
        <x:v>Ausgang</x:v>
      </x:c>
      <x:c r="R1508" t="str">
        <x:v>DE27672300000506966162</x:v>
      </x:c>
      <x:c r="S1508" t="n">
        <x:v>-600</x:v>
      </x:c>
      <x:c r="T1508" t="str">
        <x:v>DE53ZZZ00000010849</x:v>
      </x:c>
      <x:c r="U1508" t="str">
        <x:v>WPBF0000180845</x:v>
      </x:c>
      <x:c r="V1508" t="str">
        <x:v>SPARSP 16134184</x:v>
      </x:c>
    </x:row>
    <x:row r="1509">
      <x:c r="A1509" t="str">
        <x:v>RAW-IMP-20260516-FULLDRAFT-001492</x:v>
      </x:c>
      <x:c r="B1509" t="str">
        <x:v>IMP-20260516-FULLDRAFT</x:v>
      </x:c>
      <x:c r="C1509" t="str">
        <x:v>KTO001</x:v>
      </x:c>
      <x:c r="D1509" t="str">
        <x:v>16-05-2026_Umsatzliste_Girokonto_DE98120300001061711675.csv</x:v>
      </x:c>
      <x:c r="E1509" t="n">
        <x:v>46163</x:v>
      </x:c>
      <x:c r="F1509" t="n">
        <x:v>1492</x:v>
      </x:c>
      <x:c r="G1509" t="str">
        <x:v>bcad856eccfa6e7a275bbcebdc95fba0596f23d4876b9b81dd4656bb82830c43</x:v>
      </x:c>
      <x:c r="H1509" t="str">
        <x:v>neu</x:v>
      </x:c>
      <x:c r="I1509" t="str">
        <x:v>ok</x:v>
      </x:c>
      <x:c r="J1509"/>
      <x:c r="K1509" t="n">
        <x:v>45659</x:v>
      </x:c>
      <x:c r="L1509" t="n">
        <x:v>45659</x:v>
      </x:c>
      <x:c r="M1509" t="str">
        <x:v>Gebucht</x:v>
      </x:c>
      <x:c r="N1509" t="str">
        <x:v>Lars Kohlenberg</x:v>
      </x:c>
      <x:c r="O1509" t="str">
        <x:v>Reiner Eisenhut</x:v>
      </x:c>
      <x:c r="P1509" t="str">
        <x:v>2214/Villa Pura Vida, 05.07.2025 - 05.07.2025/ Kohlenberg 2. Rate</x:v>
      </x:c>
      <x:c r="Q1509" t="str">
        <x:v>Ausgang</x:v>
      </x:c>
      <x:c r="R1509" t="str">
        <x:v>ES0400810674650002302435</x:v>
      </x:c>
      <x:c r="S1509" t="n">
        <x:v>-732</x:v>
      </x:c>
      <x:c r="T1509" t="str">
        <x:v>"</x:v>
      </x:c>
      <x:c r="U1509" t="str">
        <x:v>"</x:v>
      </x:c>
      <x:c r="V1509" t="str">
        <x:v>"</x:v>
      </x:c>
    </x:row>
    <x:row r="1510">
      <x:c r="A1510" t="str">
        <x:v>RAW-IMP-20260516-FULLDRAFT-001493</x:v>
      </x:c>
      <x:c r="B1510" t="str">
        <x:v>IMP-20260516-FULLDRAFT</x:v>
      </x:c>
      <x:c r="C1510" t="str">
        <x:v>KTO001</x:v>
      </x:c>
      <x:c r="D1510" t="str">
        <x:v>16-05-2026_Umsatzliste_Girokonto_DE98120300001061711675.csv</x:v>
      </x:c>
      <x:c r="E1510" t="n">
        <x:v>46163</x:v>
      </x:c>
      <x:c r="F1510" t="n">
        <x:v>1493</x:v>
      </x:c>
      <x:c r="G1510" t="str">
        <x:v>59945d0d606c80865623fff4e8da0968febc6230429e6325b179cab590e929be</x:v>
      </x:c>
      <x:c r="H1510" t="str">
        <x:v>neu</x:v>
      </x:c>
      <x:c r="I1510" t="str">
        <x:v>ok</x:v>
      </x:c>
      <x:c r="J1510"/>
      <x:c r="K1510" t="n">
        <x:v>45659</x:v>
      </x:c>
      <x:c r="L1510" t="n">
        <x:v>45659</x:v>
      </x:c>
      <x:c r="M1510" t="str">
        <x:v>Gebucht</x:v>
      </x:c>
      <x:c r="N1510" t="str">
        <x:v>WILLI KOHLENBERG</x:v>
      </x:c>
      <x:c r="O1510" t="str">
        <x:v>LARS KOHLENBERG</x:v>
      </x:c>
      <x:c r="P1510" t="str">
        <x:v>MIETE 2/3 HAUS</x:v>
      </x:c>
      <x:c r="Q1510" t="str">
        <x:v>Eingang</x:v>
      </x:c>
      <x:c r="R1510" t="str">
        <x:v>DE84270800600651520400</x:v>
      </x:c>
      <x:c r="S1510" t="n">
        <x:v>750</x:v>
      </x:c>
      <x:c r="T1510" t="str">
        <x:v>"</x:v>
      </x:c>
      <x:c r="U1510" t="str">
        <x:v>"</x:v>
      </x:c>
      <x:c r="V1510" t="str">
        <x:v>"</x:v>
      </x:c>
    </x:row>
    <x:row r="1511">
      <x:c r="A1511" t="str">
        <x:v>RAW-IMP-20260516-FULLDRAFT-001494</x:v>
      </x:c>
      <x:c r="B1511" t="str">
        <x:v>IMP-20260516-FULLDRAFT</x:v>
      </x:c>
      <x:c r="C1511" t="str">
        <x:v>KTO001</x:v>
      </x:c>
      <x:c r="D1511" t="str">
        <x:v>16-05-2026_Umsatzliste_Girokonto_DE98120300001061711675.csv</x:v>
      </x:c>
      <x:c r="E1511" t="n">
        <x:v>46163</x:v>
      </x:c>
      <x:c r="F1511" t="n">
        <x:v>1494</x:v>
      </x:c>
      <x:c r="G1511" t="str">
        <x:v>999dc10d5436ada8beb945ae612d82d08d41f738a631caac6a2ca888a294133e</x:v>
      </x:c>
      <x:c r="H1511" t="str">
        <x:v>neu</x:v>
      </x:c>
      <x:c r="I1511" t="str">
        <x:v>ok</x:v>
      </x:c>
      <x:c r="J1511"/>
      <x:c r="K1511" t="n">
        <x:v>45659</x:v>
      </x:c>
      <x:c r="L1511" t="n">
        <x:v>45657</x:v>
      </x:c>
      <x:c r="M1511" t="str">
        <x:v>Gebucht</x:v>
      </x:c>
      <x:c r="N1511" t="str">
        <x:v>ISSUER</x:v>
      </x:c>
      <x:c r="O1511" t="str">
        <x:v>REWE.Salzgitter.Ge/Salzgitter</x:v>
      </x:c>
      <x:c r="P1511" t="str">
        <x:v>VISA Debitkartenumsatz vom 30.12.2024</x:v>
      </x:c>
      <x:c r="Q1511" t="str">
        <x:v>Ausgang</x:v>
      </x:c>
      <x:c r="R1511" t="str">
        <x:v>DE96120300009005290904</x:v>
      </x:c>
      <x:c r="S1511" t="n">
        <x:v>-117.7</x:v>
      </x:c>
      <x:c r="T1511" t="str">
        <x:v>"</x:v>
      </x:c>
      <x:c r="U1511" t="str">
        <x:v>"</x:v>
      </x:c>
      <x:c r="V1511" t="str">
        <x:v>484365497985116</x:v>
      </x:c>
    </x:row>
    <x:row r="1512">
      <x:c r="A1512" t="str">
        <x:v>RAW-IMP-20260516-FULLDRAFT-001495</x:v>
      </x:c>
      <x:c r="B1512" t="str">
        <x:v>IMP-20260516-FULLDRAFT</x:v>
      </x:c>
      <x:c r="C1512" t="str">
        <x:v>KTO001</x:v>
      </x:c>
      <x:c r="D1512" t="str">
        <x:v>16-05-2026_Umsatzliste_Girokonto_DE98120300001061711675.csv</x:v>
      </x:c>
      <x:c r="E1512" t="n">
        <x:v>46163</x:v>
      </x:c>
      <x:c r="F1512" t="n">
        <x:v>1495</x:v>
      </x:c>
      <x:c r="G1512" t="str">
        <x:v>e948fa532e5a33fcf85b767d58eed1a33e7c1b18de1234897dc9f2edb29db277</x:v>
      </x:c>
      <x:c r="H1512" t="str">
        <x:v>neu</x:v>
      </x:c>
      <x:c r="I1512" t="str">
        <x:v>ok</x:v>
      </x:c>
      <x:c r="J1512"/>
      <x:c r="K1512" t="n">
        <x:v>45659</x:v>
      </x:c>
      <x:c r="L1512" t="n">
        <x:v>45659</x:v>
      </x:c>
      <x:c r="M1512" t="str">
        <x:v>Gebucht</x:v>
      </x:c>
      <x:c r="N1512" t="str">
        <x:v>Kohlenberg Lars</x:v>
      </x:c>
      <x:c r="O1512" t="str">
        <x:v>Allianz Lebensvers. AG</x:v>
      </x:c>
      <x:c r="P1512" t="str">
        <x:v>330296196 0125</x:v>
      </x:c>
      <x:c r="Q1512" t="str">
        <x:v>Ausgang</x:v>
      </x:c>
      <x:c r="R1512" t="str">
        <x:v>DE77700202700062328142</x:v>
      </x:c>
      <x:c r="S1512" t="n">
        <x:v>-162.17</x:v>
      </x:c>
      <x:c r="T1512" t="str">
        <x:v>DE07ZZZ00000063475</x:v>
      </x:c>
      <x:c r="U1512" t="str">
        <x:v>LA01L312001066775296</x:v>
      </x:c>
      <x:c r="V1512" t="str">
        <x:v>A7024353-000330296196021455130763</x:v>
      </x:c>
    </x:row>
    <x:row r="1513">
      <x:c r="A1513" t="str">
        <x:v>RAW-IMP-20260516-FULLDRAFT-001496</x:v>
      </x:c>
      <x:c r="B1513" t="str">
        <x:v>IMP-20260516-FULLDRAFT</x:v>
      </x:c>
      <x:c r="C1513" t="str">
        <x:v>KTO001</x:v>
      </x:c>
      <x:c r="D1513" t="str">
        <x:v>16-05-2026_Umsatzliste_Girokonto_DE98120300001061711675.csv</x:v>
      </x:c>
      <x:c r="E1513" t="n">
        <x:v>46163</x:v>
      </x:c>
      <x:c r="F1513" t="n">
        <x:v>1496</x:v>
      </x:c>
      <x:c r="G1513" t="str">
        <x:v>22f9125c2cd742df3220192282caa9a39729713f8286e78dc6aaf94350a2dfdb</x:v>
      </x:c>
      <x:c r="H1513" t="str">
        <x:v>neu</x:v>
      </x:c>
      <x:c r="I1513" t="str">
        <x:v>ok</x:v>
      </x:c>
      <x:c r="J1513"/>
      <x:c r="K1513" t="n">
        <x:v>45659</x:v>
      </x:c>
      <x:c r="L1513" t="n">
        <x:v>45659</x:v>
      </x:c>
      <x:c r="M1513" t="str">
        <x:v>Gebucht</x:v>
      </x:c>
      <x:c r="N1513" t="str">
        <x:v>KOHLENBERG LARS</x:v>
      </x:c>
      <x:c r="O1513" t="str">
        <x:v>VOLKSWOHL BUND Lebensversicherung a.G.</x:v>
      </x:c>
      <x:c r="P1513" t="str">
        <x:v>009893595 LA000750566/ 009893595 LEBEN 68,46</x:v>
      </x:c>
      <x:c r="Q1513" t="str">
        <x:v>Ausgang</x:v>
      </x:c>
      <x:c r="R1513" t="str">
        <x:v>DE76440400370361155500</x:v>
      </x:c>
      <x:c r="S1513" t="n">
        <x:v>-68.46</x:v>
      </x:c>
      <x:c r="T1513" t="str">
        <x:v>DE13ZZZ00000141064</x:v>
      </x:c>
      <x:c r="U1513" t="str">
        <x:v>LA000750566</x:v>
      </x:c>
      <x:c r="V1513" t="str">
        <x:v>009893595/NVMA.G1109-331079</x:v>
      </x:c>
    </x:row>
    <x:row r="1514">
      <x:c r="A1514" t="str">
        <x:v>RAW-IMP-20260516-FULLDRAFT-001497</x:v>
      </x:c>
      <x:c r="B1514" t="str">
        <x:v>IMP-20260516-FULLDRAFT</x:v>
      </x:c>
      <x:c r="C1514" t="str">
        <x:v>KTO001</x:v>
      </x:c>
      <x:c r="D1514" t="str">
        <x:v>16-05-2026_Umsatzliste_Girokonto_DE98120300001061711675.csv</x:v>
      </x:c>
      <x:c r="E1514" t="n">
        <x:v>46163</x:v>
      </x:c>
      <x:c r="F1514" t="n">
        <x:v>1497</x:v>
      </x:c>
      <x:c r="G1514" t="str">
        <x:v>568f4e660c8ae2f720f13f30f3461fac7c8b0d1e52c1c0188181edd3e3e9992d</x:v>
      </x:c>
      <x:c r="H1514" t="str">
        <x:v>neu</x:v>
      </x:c>
      <x:c r="I1514" t="str">
        <x:v>ok</x:v>
      </x:c>
      <x:c r="J1514"/>
      <x:c r="K1514" t="n">
        <x:v>45659</x:v>
      </x:c>
      <x:c r="L1514" t="n">
        <x:v>45657</x:v>
      </x:c>
      <x:c r="M1514" t="str">
        <x:v>Gebucht</x:v>
      </x:c>
      <x:c r="N1514" t="str">
        <x:v>ISSUER</x:v>
      </x:c>
      <x:c r="O1514" t="str">
        <x:v>Lidl.sagt.Danke/Salzgitter</x:v>
      </x:c>
      <x:c r="P1514" t="str">
        <x:v>VISA Debitkartenumsatz vom 30.12.2024</x:v>
      </x:c>
      <x:c r="Q1514" t="str">
        <x:v>Ausgang</x:v>
      </x:c>
      <x:c r="R1514" t="str">
        <x:v>DE96120300009005290904</x:v>
      </x:c>
      <x:c r="S1514" t="n">
        <x:v>-43.91</x:v>
      </x:c>
      <x:c r="T1514" t="str">
        <x:v>"</x:v>
      </x:c>
      <x:c r="U1514" t="str">
        <x:v>"</x:v>
      </x:c>
      <x:c r="V1514" t="str">
        <x:v>484365536459357</x:v>
      </x:c>
    </x:row>
    <x:row r="1515">
      <x:c r="A1515" t="str">
        <x:v>RAW-IMP-20260516-FULLDRAFT-001498</x:v>
      </x:c>
      <x:c r="B1515" t="str">
        <x:v>IMP-20260516-FULLDRAFT</x:v>
      </x:c>
      <x:c r="C1515" t="str">
        <x:v>KTO001</x:v>
      </x:c>
      <x:c r="D1515" t="str">
        <x:v>16-05-2026_Umsatzliste_Girokonto_DE98120300001061711675.csv</x:v>
      </x:c>
      <x:c r="E1515" t="n">
        <x:v>46163</x:v>
      </x:c>
      <x:c r="F1515" t="n">
        <x:v>1498</x:v>
      </x:c>
      <x:c r="G1515" t="str">
        <x:v>352705538a96a669806a8f8dd9cabeeed640de99d561e89105c7a4bbee73649d</x:v>
      </x:c>
      <x:c r="H1515" t="str">
        <x:v>neu</x:v>
      </x:c>
      <x:c r="I1515" t="str">
        <x:v>ok</x:v>
      </x:c>
      <x:c r="J1515"/>
      <x:c r="K1515" t="n">
        <x:v>45659</x:v>
      </x:c>
      <x:c r="L1515" t="n">
        <x:v>45659</x:v>
      </x:c>
      <x:c r="M1515" t="str">
        <x:v>Gebucht</x:v>
      </x:c>
      <x:c r="N1515" t="str">
        <x:v>Lars Kohlenberg                                                       Johannes-Wosnitza-Str. 8 38229 Salzgitter</x:v>
      </x:c>
      <x:c r="O1515" t="str">
        <x:v>Heidelberger Lebensversicherung AG                                    Im Breitspiel 2-4, 69126 Heidelberg</x:v>
      </x:c>
      <x:c r="P1515" t="str">
        <x:v>60012826 , 01.25</x:v>
      </x:c>
      <x:c r="Q1515" t="str">
        <x:v>Ausgang</x:v>
      </x:c>
      <x:c r="R1515" t="str">
        <x:v>DE38600501010002662604</x:v>
      </x:c>
      <x:c r="S1515" t="n">
        <x:v>-452.71</x:v>
      </x:c>
      <x:c r="T1515" t="str">
        <x:v>DE31HLE00000032682</x:v>
      </x:c>
      <x:c r="U1515" t="str">
        <x:v>11-140000075706</x:v>
      </x:c>
      <x:c r="V1515" t="str">
        <x:v>100043146287</x:v>
      </x:c>
    </x:row>
    <x:row r="1516">
      <x:c r="A1516" t="str">
        <x:v>RAW-IMP-20260516-FULLDRAFT-001499</x:v>
      </x:c>
      <x:c r="B1516" t="str">
        <x:v>IMP-20260516-FULLDRAFT</x:v>
      </x:c>
      <x:c r="C1516" t="str">
        <x:v>KTO001</x:v>
      </x:c>
      <x:c r="D1516" t="str">
        <x:v>16-05-2026_Umsatzliste_Girokonto_DE98120300001061711675.csv</x:v>
      </x:c>
      <x:c r="E1516" t="n">
        <x:v>46163</x:v>
      </x:c>
      <x:c r="F1516" t="n">
        <x:v>1499</x:v>
      </x:c>
      <x:c r="G1516" t="str">
        <x:v>5e3c1f7f00bae360eafe975c46479d6cc1c9227bd2b11c2fc727f21a9600b2dc</x:v>
      </x:c>
      <x:c r="H1516" t="str">
        <x:v>neu</x:v>
      </x:c>
      <x:c r="I1516" t="str">
        <x:v>ok</x:v>
      </x:c>
      <x:c r="J1516"/>
      <x:c r="K1516" t="n">
        <x:v>45659</x:v>
      </x:c>
      <x:c r="L1516" t="n">
        <x:v>45659</x:v>
      </x:c>
      <x:c r="M1516" t="str">
        <x:v>Gebucht</x:v>
      </x:c>
      <x:c r="N1516" t="str">
        <x:v>Kohlenberg, Lars</x:v>
      </x:c>
      <x:c r="O1516" t="str">
        <x:v>IDEAL Lebensversicherung aG</x:v>
      </x:c>
      <x:c r="P1516" t="str">
        <x:v>2011216280009 LV 011</x:v>
      </x:c>
      <x:c r="Q1516" t="str">
        <x:v>Ausgang</x:v>
      </x:c>
      <x:c r="R1516" t="str">
        <x:v>DE36100700000460303100</x:v>
      </x:c>
      <x:c r="S1516" t="n">
        <x:v>-97.12</x:v>
      </x:c>
      <x:c r="T1516" t="str">
        <x:v>DE40ZZZ00000559230</x:v>
      </x:c>
      <x:c r="U1516" t="str">
        <x:v>2011216280009-001</x:v>
      </x:c>
      <x:c r="V1516" t="str">
        <x:v>GL,KL,PD-20250101-1-2011216280009-0</x:v>
      </x:c>
    </x:row>
    <x:row r="1517">
      <x:c r="A1517" t="str">
        <x:v>RAW-IMP-20260516-FULLDRAFT-001500</x:v>
      </x:c>
      <x:c r="B1517" t="str">
        <x:v>IMP-20260516-FULLDRAFT</x:v>
      </x:c>
      <x:c r="C1517" t="str">
        <x:v>KTO001</x:v>
      </x:c>
      <x:c r="D1517" t="str">
        <x:v>16-05-2026_Umsatzliste_Girokonto_DE98120300001061711675.csv</x:v>
      </x:c>
      <x:c r="E1517" t="n">
        <x:v>46163</x:v>
      </x:c>
      <x:c r="F1517" t="n">
        <x:v>1500</x:v>
      </x:c>
      <x:c r="G1517" t="str">
        <x:v>51e6d4cf009b41516ff996b3ab973e7da5f7d7b1b9aa8ef5e4eb3b289ca0ebce</x:v>
      </x:c>
      <x:c r="H1517" t="str">
        <x:v>neu</x:v>
      </x:c>
      <x:c r="I1517" t="str">
        <x:v>ok</x:v>
      </x:c>
      <x:c r="J1517"/>
      <x:c r="K1517" t="n">
        <x:v>45659</x:v>
      </x:c>
      <x:c r="L1517" t="n">
        <x:v>45659</x:v>
      </x:c>
      <x:c r="M1517" t="str">
        <x:v>Gebucht</x:v>
      </x:c>
      <x:c r="N1517" t="str">
        <x:v>LARS KOHLENBERG</x:v>
      </x:c>
      <x:c r="O1517" t="str">
        <x:v>Gothaer Krankenversicherung Aktiengesellschaft</x:v>
      </x:c>
      <x:c r="P1517" t="str">
        <x:v>98.000.055668 ABBUCHUNG AM 02.01.2025 KV 197,68+</x:v>
      </x:c>
      <x:c r="Q1517" t="str">
        <x:v>Ausgang</x:v>
      </x:c>
      <x:c r="R1517" t="str">
        <x:v>DE08370100500079144506</x:v>
      </x:c>
      <x:c r="S1517" t="n">
        <x:v>-197.68</x:v>
      </x:c>
      <x:c r="T1517" t="str">
        <x:v>DE52ZZZ00000070522</x:v>
      </x:c>
      <x:c r="U1517" t="str">
        <x:v>205411613</x:v>
      </x:c>
      <x:c r="V1517" t="str">
        <x:v>S2024121801001025990</x:v>
      </x:c>
    </x:row>
    <x:row r="1518">
      <x:c r="A1518" t="str">
        <x:v>RAW-IMP-20260516-FULLDRAFT-001501</x:v>
      </x:c>
      <x:c r="B1518" t="str">
        <x:v>IMP-20260516-FULLDRAFT</x:v>
      </x:c>
      <x:c r="C1518" t="str">
        <x:v>KTO001</x:v>
      </x:c>
      <x:c r="D1518" t="str">
        <x:v>16-05-2026_Umsatzliste_Girokonto_DE98120300001061711675.csv</x:v>
      </x:c>
      <x:c r="E1518" t="n">
        <x:v>46163</x:v>
      </x:c>
      <x:c r="F1518" t="n">
        <x:v>1501</x:v>
      </x:c>
      <x:c r="G1518" t="str">
        <x:v>f930eddc2eaa8f255a100497b10013febf34a33f96027f51d3ca698420228ebb</x:v>
      </x:c>
      <x:c r="H1518" t="str">
        <x:v>neu</x:v>
      </x:c>
      <x:c r="I1518" t="str">
        <x:v>ok</x:v>
      </x:c>
      <x:c r="J1518"/>
      <x:c r="K1518" t="n">
        <x:v>45659</x:v>
      </x:c>
      <x:c r="L1518" t="n">
        <x:v>45659</x:v>
      </x:c>
      <x:c r="M1518" t="str">
        <x:v>Gebucht</x:v>
      </x:c>
      <x:c r="N1518" t="str">
        <x:v>Lars Kohlenberg                                                       Johannes-Wosnitza-Str. 8 38229 Salzgitter</x:v>
      </x:c>
      <x:c r="O1518" t="str">
        <x:v>1.1 Mail . Media GmbH                                                 Elgendorfer Str. 57, 56410 Montabaur</x:v>
      </x:c>
      <x:c r="P1518" t="str">
        <x:v>GMX / WEB.DE / KD-Nr. K7440512/ RG-Nr. 201539229109</x:v>
      </x:c>
      <x:c r="Q1518" t="str">
        <x:v>Ausgang</x:v>
      </x:c>
      <x:c r="R1518" t="str">
        <x:v>DE76700800000881679702</x:v>
      </x:c>
      <x:c r="S1518" t="n">
        <x:v>-8.99</x:v>
      </x:c>
      <x:c r="T1518" t="str">
        <x:v>DE07ZZZ00000569718</x:v>
      </x:c>
      <x:c r="U1518" t="str">
        <x:v>0090001393062</x:v>
      </x:c>
      <x:c r="V1518" t="str">
        <x:v>005874834526</x:v>
      </x:c>
    </x:row>
    <x:row r="1519">
      <x:c r="A1519" t="str">
        <x:v>RAW-IMP-20260516-FULLDRAFT-001502</x:v>
      </x:c>
      <x:c r="B1519" t="str">
        <x:v>IMP-20260516-FULLDRAFT</x:v>
      </x:c>
      <x:c r="C1519" t="str">
        <x:v>KTO001</x:v>
      </x:c>
      <x:c r="D1519" t="str">
        <x:v>16-05-2026_Umsatzliste_Girokonto_DE98120300001061711675.csv</x:v>
      </x:c>
      <x:c r="E1519" t="n">
        <x:v>46163</x:v>
      </x:c>
      <x:c r="F1519" t="n">
        <x:v>1502</x:v>
      </x:c>
      <x:c r="G1519" t="str">
        <x:v>75a27a9d381ad75330a8d74463b93dbcf60b36a974ceab253d14dd5f837cd014</x:v>
      </x:c>
      <x:c r="H1519" t="str">
        <x:v>neu</x:v>
      </x:c>
      <x:c r="I1519" t="str">
        <x:v>ok</x:v>
      </x:c>
      <x:c r="J1519"/>
      <x:c r="K1519" t="n">
        <x:v>45659</x:v>
      </x:c>
      <x:c r="L1519" t="n">
        <x:v>45659</x:v>
      </x:c>
      <x:c r="M1519" t="str">
        <x:v>Gebucht</x:v>
      </x:c>
      <x:c r="N1519" t="str">
        <x:v>Lars Kohlenberg</x:v>
      </x:c>
      <x:c r="O1519" t="str">
        <x:v>KATRIN KOHLENBERG</x:v>
      </x:c>
      <x:c r="P1519" t="str">
        <x:v>Apanage</x:v>
      </x:c>
      <x:c r="Q1519" t="str">
        <x:v>Ausgang</x:v>
      </x:c>
      <x:c r="R1519" t="str">
        <x:v>DE32270727240307336800</x:v>
      </x:c>
      <x:c r="S1519" t="n">
        <x:v>-1800</x:v>
      </x:c>
      <x:c r="T1519" t="str">
        <x:v>"</x:v>
      </x:c>
      <x:c r="U1519" t="str">
        <x:v>"</x:v>
      </x:c>
      <x:c r="V1519" t="str">
        <x:v>"</x:v>
      </x:c>
    </x:row>
    <x:row r="1520">
      <x:c r="A1520" t="str">
        <x:v>RAW-IMP-20260516-FULLDRAFT-001503</x:v>
      </x:c>
      <x:c r="B1520" t="str">
        <x:v>IMP-20260516-FULLDRAFT</x:v>
      </x:c>
      <x:c r="C1520" t="str">
        <x:v>KTO001</x:v>
      </x:c>
      <x:c r="D1520" t="str">
        <x:v>16-05-2026_Umsatzliste_Girokonto_DE98120300001061711675.csv</x:v>
      </x:c>
      <x:c r="E1520" t="n">
        <x:v>46163</x:v>
      </x:c>
      <x:c r="F1520" t="n">
        <x:v>1503</x:v>
      </x:c>
      <x:c r="G1520" t="str">
        <x:v>793aedc8239461e7816148deebb7514424349554d5930fb1e793e154c5a4ec69</x:v>
      </x:c>
      <x:c r="H1520" t="str">
        <x:v>neu</x:v>
      </x:c>
      <x:c r="I1520" t="str">
        <x:v>ok</x:v>
      </x:c>
      <x:c r="J1520"/>
      <x:c r="K1520" t="n">
        <x:v>45659</x:v>
      </x:c>
      <x:c r="L1520" t="n">
        <x:v>45659</x:v>
      </x:c>
      <x:c r="M1520" t="str">
        <x:v>Gebucht</x:v>
      </x:c>
      <x:c r="N1520" t="str">
        <x:v>Lars Kohlenberg</x:v>
      </x:c>
      <x:c r="O1520" t="str">
        <x:v>LARS KOHLENBERG</x:v>
      </x:c>
      <x:c r="P1520" t="str">
        <x:v>Sparrate 650,- + 750 EUR Mieteinnahmen</x:v>
      </x:c>
      <x:c r="Q1520" t="str">
        <x:v>Ausgang</x:v>
      </x:c>
      <x:c r="R1520" t="str">
        <x:v>DE91270200001510365800</x:v>
      </x:c>
      <x:c r="S1520" t="n">
        <x:v>-1400</x:v>
      </x:c>
      <x:c r="T1520" t="str">
        <x:v>"</x:v>
      </x:c>
      <x:c r="U1520" t="str">
        <x:v>"</x:v>
      </x:c>
      <x:c r="V1520" t="str">
        <x:v>"</x:v>
      </x:c>
    </x:row>
    <x:row r="1521">
      <x:c r="A1521" t="str">
        <x:v>RAW-IMP-20260516-FULLDRAFT-001504</x:v>
      </x:c>
      <x:c r="B1521" t="str">
        <x:v>IMP-20260516-FULLDRAFT</x:v>
      </x:c>
      <x:c r="C1521" t="str">
        <x:v>KTO001</x:v>
      </x:c>
      <x:c r="D1521" t="str">
        <x:v>16-05-2026_Umsatzliste_Girokonto_DE98120300001061711675.csv</x:v>
      </x:c>
      <x:c r="E1521" t="n">
        <x:v>46163</x:v>
      </x:c>
      <x:c r="F1521" t="n">
        <x:v>1504</x:v>
      </x:c>
      <x:c r="G1521" t="str">
        <x:v>f668ee7a757a8f6a71ccf668c7b1c3007e7f772191b53f8c5c38ae8a9c205eaa</x:v>
      </x:c>
      <x:c r="H1521" t="str">
        <x:v>neu</x:v>
      </x:c>
      <x:c r="I1521" t="str">
        <x:v>ok</x:v>
      </x:c>
      <x:c r="J1521"/>
      <x:c r="K1521" t="n">
        <x:v>45659</x:v>
      </x:c>
      <x:c r="L1521" t="n">
        <x:v>45657</x:v>
      </x:c>
      <x:c r="M1521" t="str">
        <x:v>Gebucht</x:v>
      </x:c>
      <x:c r="N1521" t="str">
        <x:v>Lars Kohlenberg</x:v>
      </x:c>
      <x:c r="O1521" t="str">
        <x:v>LARS KOHLENBERG</x:v>
      </x:c>
      <x:c r="P1521" t="str">
        <x:v>Zins und Tilgung zu 2/3</x:v>
      </x:c>
      <x:c r="Q1521" t="str">
        <x:v>Ausgang</x:v>
      </x:c>
      <x:c r="R1521" t="str">
        <x:v>DE33269910668923736000</x:v>
      </x:c>
      <x:c r="S1521" t="n">
        <x:v>-1153.94</x:v>
      </x:c>
      <x:c r="T1521" t="str">
        <x:v>"</x:v>
      </x:c>
      <x:c r="U1521" t="str">
        <x:v>"</x:v>
      </x:c>
      <x:c r="V1521" t="str">
        <x:v>"</x:v>
      </x:c>
    </x:row>
    <x:row r="1522">
      <x:c r="A1522" t="str">
        <x:v>RAW-IMP-20260516-FULLDRAFT-001505</x:v>
      </x:c>
      <x:c r="B1522" t="str">
        <x:v>IMP-20260516-FULLDRAFT</x:v>
      </x:c>
      <x:c r="C1522" t="str">
        <x:v>KTO001</x:v>
      </x:c>
      <x:c r="D1522" t="str">
        <x:v>16-05-2026_Umsatzliste_Girokonto_DE98120300001061711675.csv</x:v>
      </x:c>
      <x:c r="E1522" t="n">
        <x:v>46163</x:v>
      </x:c>
      <x:c r="F1522" t="n">
        <x:v>1505</x:v>
      </x:c>
      <x:c r="G1522" t="str">
        <x:v>866dad6874bc1f913bde61aedbf1f772ba07c13b369be64ea6edb505fd9276d1</x:v>
      </x:c>
      <x:c r="H1522" t="str">
        <x:v>neu</x:v>
      </x:c>
      <x:c r="I1522" t="str">
        <x:v>ok</x:v>
      </x:c>
      <x:c r="J1522"/>
      <x:c r="K1522" t="n">
        <x:v>45656</x:v>
      </x:c>
      <x:c r="L1522" t="n">
        <x:v>45658</x:v>
      </x:c>
      <x:c r="M1522" t="str">
        <x:v>Gebucht</x:v>
      </x:c>
      <x:c r="N1522" t="str">
        <x:v>DKB AG</x:v>
      </x:c>
      <x:c r="O1522" t="str">
        <x:v>DKB AG</x:v>
      </x:c>
      <x:c r="P1522" t="str">
        <x:v>Abrechnung 30.12.2024 siehe Anlage Abrechnung 30.12.2024 Information zur Abrechnung Kontostand am 30.12.2024                                        7.426,28 + Abrechnungszeitraum vom 01.10.2024 bis 31.12.2024 Abrechnung 31.12.2024                                                0,00+ Sollzinssätze am 30.12.2024  8,6800 v.H. für eingeräumte Kontoüberziehung (aktuell eingeräumte Kontoüberziehung       2.000,00)  8,6800 v.H. für geduldete Kontoüberziehung über die eingeräumte Kontoüberziehung hinaus Kontostand/Rechnungsabschluss am 30.12.2024                     7.426,28 + Rechnungsnummer: 20241230-BY111-00217636313</x:v>
      </x:c>
      <x:c r="Q1522" t="str">
        <x:v>Eingang</x:v>
      </x:c>
      <x:c r="R1522" t="str">
        <x:v>1061711675</x:v>
      </x:c>
      <x:c r="S1522" t="n">
        <x:v>0</x:v>
      </x:c>
      <x:c r="T1522" t="str">
        <x:v>"</x:v>
      </x:c>
      <x:c r="U1522" t="str">
        <x:v>"</x:v>
      </x:c>
      <x:c r="V1522" t="str">
        <x:v>"</x:v>
      </x:c>
    </x:row>
    <x:row r="1523">
      <x:c r="A1523" t="str">
        <x:v>RAW-IMP-20260516-FULLDRAFT-001506</x:v>
      </x:c>
      <x:c r="B1523" t="str">
        <x:v>IMP-20260516-FULLDRAFT</x:v>
      </x:c>
      <x:c r="C1523" t="str">
        <x:v>KTO001</x:v>
      </x:c>
      <x:c r="D1523" t="str">
        <x:v>16-05-2026_Umsatzliste_Girokonto_DE98120300001061711675.csv</x:v>
      </x:c>
      <x:c r="E1523" t="n">
        <x:v>46163</x:v>
      </x:c>
      <x:c r="F1523" t="n">
        <x:v>1506</x:v>
      </x:c>
      <x:c r="G1523" t="str">
        <x:v>fbe16c180e52d4be6743fe0717e0f85354c3c7975c61efb07ca0bf37b1b58566</x:v>
      </x:c>
      <x:c r="H1523" t="str">
        <x:v>neu</x:v>
      </x:c>
      <x:c r="I1523" t="str">
        <x:v>ok</x:v>
      </x:c>
      <x:c r="J1523"/>
      <x:c r="K1523" t="n">
        <x:v>45656</x:v>
      </x:c>
      <x:c r="L1523" t="n">
        <x:v>45656</x:v>
      </x:c>
      <x:c r="M1523" t="str">
        <x:v>Gebucht</x:v>
      </x:c>
      <x:c r="N1523" t="str">
        <x:v>Stiftung Kath. Altenhilfe im Bistum Hildesheim</x:v>
      </x:c>
      <x:c r="O1523" t="str">
        <x:v>KOHLENBERG LARS</x:v>
      </x:c>
      <x:c r="P1523" t="str">
        <x:v>GEHALT 12/24</x:v>
      </x:c>
      <x:c r="Q1523" t="str">
        <x:v>Eingang</x:v>
      </x:c>
      <x:c r="R1523" t="str">
        <x:v>DE92400602650023150301</x:v>
      </x:c>
      <x:c r="S1523" t="n">
        <x:v>7815.84</x:v>
      </x:c>
      <x:c r="T1523" t="str">
        <x:v>"</x:v>
      </x:c>
      <x:c r="U1523" t="str">
        <x:v>"</x:v>
      </x:c>
      <x:c r="V1523" t="str">
        <x:v>001001987662SALA020854004</x:v>
      </x:c>
    </x:row>
    <x:row r="1524">
      <x:c r="A1524" t="str">
        <x:v>RAW-IMP-20260516-FULLDRAFT-001507</x:v>
      </x:c>
      <x:c r="B1524" t="str">
        <x:v>IMP-20260516-FULLDRAFT</x:v>
      </x:c>
      <x:c r="C1524" t="str">
        <x:v>KTO001</x:v>
      </x:c>
      <x:c r="D1524" t="str">
        <x:v>16-05-2026_Umsatzliste_Girokonto_DE98120300001061711675.csv</x:v>
      </x:c>
      <x:c r="E1524" t="n">
        <x:v>46163</x:v>
      </x:c>
      <x:c r="F1524" t="n">
        <x:v>1507</x:v>
      </x:c>
      <x:c r="G1524" t="str">
        <x:v>eb92368d4c3c036cd364a0b5822037e5550a69301563bd2345f7fef69d239b64</x:v>
      </x:c>
      <x:c r="H1524" t="str">
        <x:v>neu</x:v>
      </x:c>
      <x:c r="I1524" t="str">
        <x:v>ok</x:v>
      </x:c>
      <x:c r="J1524"/>
      <x:c r="K1524" t="n">
        <x:v>45656</x:v>
      </x:c>
      <x:c r="L1524" t="n">
        <x:v>45656</x:v>
      </x:c>
      <x:c r="M1524" t="str">
        <x:v>Gebucht</x:v>
      </x:c>
      <x:c r="N1524" t="str">
        <x:v>ISSUER</x:v>
      </x:c>
      <x:c r="O1524" t="str">
        <x:v>LOEWENBAECKER.SCHAPER/SALZGITTER</x:v>
      </x:c>
      <x:c r="P1524" t="str">
        <x:v>VISA Debitkartenumsatz vom 27.12.2024</x:v>
      </x:c>
      <x:c r="Q1524" t="str">
        <x:v>Ausgang</x:v>
      </x:c>
      <x:c r="R1524" t="str">
        <x:v>DE96120300009005290904</x:v>
      </x:c>
      <x:c r="S1524" t="n">
        <x:v>-6.45</x:v>
      </x:c>
      <x:c r="T1524" t="str">
        <x:v>"</x:v>
      </x:c>
      <x:c r="U1524" t="str">
        <x:v>"</x:v>
      </x:c>
      <x:c r="V1524" t="str">
        <x:v>484362311739011</x:v>
      </x:c>
    </x:row>
    <x:row r="1525">
      <x:c r="A1525" t="str">
        <x:v>RAW-IMP-20260516-FULLDRAFT-001508</x:v>
      </x:c>
      <x:c r="B1525" t="str">
        <x:v>IMP-20260516-FULLDRAFT</x:v>
      </x:c>
      <x:c r="C1525" t="str">
        <x:v>KTO001</x:v>
      </x:c>
      <x:c r="D1525" t="str">
        <x:v>16-05-2026_Umsatzliste_Girokonto_DE98120300001061711675.csv</x:v>
      </x:c>
      <x:c r="E1525" t="n">
        <x:v>46163</x:v>
      </x:c>
      <x:c r="F1525" t="n">
        <x:v>1508</x:v>
      </x:c>
      <x:c r="G1525" t="str">
        <x:v>36b68081faa0578df76499382bb7bfd054ca7b2f183359b66e23bac5565f16a8</x:v>
      </x:c>
      <x:c r="H1525" t="str">
        <x:v>neu</x:v>
      </x:c>
      <x:c r="I1525" t="str">
        <x:v>ok</x:v>
      </x:c>
      <x:c r="J1525"/>
      <x:c r="K1525" t="n">
        <x:v>45656</x:v>
      </x:c>
      <x:c r="L1525" t="n">
        <x:v>45656</x:v>
      </x:c>
      <x:c r="M1525" t="str">
        <x:v>Gebucht</x:v>
      </x:c>
      <x:c r="N1525" t="str">
        <x:v>ISSUER</x:v>
      </x:c>
      <x:c r="O1525" t="str">
        <x:v>AMZN.Mktp.DE.3S7FA9EF5/800.279.6620</x:v>
      </x:c>
      <x:c r="P1525" t="str">
        <x:v>VISA Debitkartenumsatz vom 27.12.2024</x:v>
      </x:c>
      <x:c r="Q1525" t="str">
        <x:v>Ausgang</x:v>
      </x:c>
      <x:c r="R1525" t="str">
        <x:v>DE96120300009005290904</x:v>
      </x:c>
      <x:c r="S1525" t="n">
        <x:v>-16.99</x:v>
      </x:c>
      <x:c r="T1525" t="str">
        <x:v>"</x:v>
      </x:c>
      <x:c r="U1525" t="str">
        <x:v>"</x:v>
      </x:c>
      <x:c r="V1525" t="str">
        <x:v>484360322912039</x:v>
      </x:c>
    </x:row>
    <x:row r="1526">
      <x:c r="A1526" t="str">
        <x:v>RAW-IMP-20260516-FULLDRAFT-001509</x:v>
      </x:c>
      <x:c r="B1526" t="str">
        <x:v>IMP-20260516-FULLDRAFT</x:v>
      </x:c>
      <x:c r="C1526" t="str">
        <x:v>KTO001</x:v>
      </x:c>
      <x:c r="D1526" t="str">
        <x:v>16-05-2026_Umsatzliste_Girokonto_DE98120300001061711675.csv</x:v>
      </x:c>
      <x:c r="E1526" t="n">
        <x:v>46163</x:v>
      </x:c>
      <x:c r="F1526" t="n">
        <x:v>1509</x:v>
      </x:c>
      <x:c r="G1526" t="str">
        <x:v>0c27498a1c401db99bf5f88c666163810f93f8544bfc61548b8ca84911d9ec48</x:v>
      </x:c>
      <x:c r="H1526" t="str">
        <x:v>neu</x:v>
      </x:c>
      <x:c r="I1526" t="str">
        <x:v>ok</x:v>
      </x:c>
      <x:c r="J1526"/>
      <x:c r="K1526" t="n">
        <x:v>45656</x:v>
      </x:c>
      <x:c r="L1526" t="n">
        <x:v>45656</x:v>
      </x:c>
      <x:c r="M1526" t="str">
        <x:v>Gebucht</x:v>
      </x:c>
      <x:c r="N1526" t="str">
        <x:v>ISSUER</x:v>
      </x:c>
      <x:c r="O1526" t="str">
        <x:v>REWE.Salzgitter.Ge/Salzgitter</x:v>
      </x:c>
      <x:c r="P1526" t="str">
        <x:v>VISA Debitkartenumsatz vom 27.12.2024</x:v>
      </x:c>
      <x:c r="Q1526" t="str">
        <x:v>Ausgang</x:v>
      </x:c>
      <x:c r="R1526" t="str">
        <x:v>DE96120300009005290904</x:v>
      </x:c>
      <x:c r="S1526" t="n">
        <x:v>-16.1</x:v>
      </x:c>
      <x:c r="T1526" t="str">
        <x:v>"</x:v>
      </x:c>
      <x:c r="U1526" t="str">
        <x:v>"</x:v>
      </x:c>
      <x:c r="V1526" t="str">
        <x:v>484362618743073</x:v>
      </x:c>
    </x:row>
    <x:row r="1527">
      <x:c r="A1527" t="str">
        <x:v>RAW-IMP-20260516-FULLDRAFT-001510</x:v>
      </x:c>
      <x:c r="B1527" t="str">
        <x:v>IMP-20260516-FULLDRAFT</x:v>
      </x:c>
      <x:c r="C1527" t="str">
        <x:v>KTO001</x:v>
      </x:c>
      <x:c r="D1527" t="str">
        <x:v>16-05-2026_Umsatzliste_Girokonto_DE98120300001061711675.csv</x:v>
      </x:c>
      <x:c r="E1527" t="n">
        <x:v>46163</x:v>
      </x:c>
      <x:c r="F1527" t="n">
        <x:v>1510</x:v>
      </x:c>
      <x:c r="G1527" t="str">
        <x:v>07d80754c34b480bd525c5c81e730675ea25ba293abeb0e9e7a8f755958560af</x:v>
      </x:c>
      <x:c r="H1527" t="str">
        <x:v>neu</x:v>
      </x:c>
      <x:c r="I1527" t="str">
        <x:v>ok</x:v>
      </x:c>
      <x:c r="J1527"/>
      <x:c r="K1527" t="n">
        <x:v>45656</x:v>
      </x:c>
      <x:c r="L1527" t="n">
        <x:v>45656</x:v>
      </x:c>
      <x:c r="M1527" t="str">
        <x:v>Gebucht</x:v>
      </x:c>
      <x:c r="N1527" t="str">
        <x:v>ISSUER</x:v>
      </x:c>
      <x:c r="O1527" t="str">
        <x:v>REWE.Salzgitter.Ge/Salzgitter</x:v>
      </x:c>
      <x:c r="P1527" t="str">
        <x:v>VISA Debitkartenumsatz vom 28.12.2024</x:v>
      </x:c>
      <x:c r="Q1527" t="str">
        <x:v>Ausgang</x:v>
      </x:c>
      <x:c r="R1527" t="str">
        <x:v>DE96120300009005290904</x:v>
      </x:c>
      <x:c r="S1527" t="n">
        <x:v>-150.63</x:v>
      </x:c>
      <x:c r="T1527" t="str">
        <x:v>"</x:v>
      </x:c>
      <x:c r="U1527" t="str">
        <x:v>"</x:v>
      </x:c>
      <x:c r="V1527" t="str">
        <x:v>484363373165351</x:v>
      </x:c>
    </x:row>
    <x:row r="1528">
      <x:c r="A1528" t="str">
        <x:v>RAW-IMP-20260516-FULLDRAFT-001511</x:v>
      </x:c>
      <x:c r="B1528" t="str">
        <x:v>IMP-20260516-FULLDRAFT</x:v>
      </x:c>
      <x:c r="C1528" t="str">
        <x:v>KTO001</x:v>
      </x:c>
      <x:c r="D1528" t="str">
        <x:v>16-05-2026_Umsatzliste_Girokonto_DE98120300001061711675.csv</x:v>
      </x:c>
      <x:c r="E1528" t="n">
        <x:v>46163</x:v>
      </x:c>
      <x:c r="F1528" t="n">
        <x:v>1511</x:v>
      </x:c>
      <x:c r="G1528" t="str">
        <x:v>ccc244052c7ae9e8882646f0166614f2438b7b8a40dae25ecabdb3b8b53cfd3d</x:v>
      </x:c>
      <x:c r="H1528" t="str">
        <x:v>neu</x:v>
      </x:c>
      <x:c r="I1528" t="str">
        <x:v>ok</x:v>
      </x:c>
      <x:c r="J1528"/>
      <x:c r="K1528" t="n">
        <x:v>45656</x:v>
      </x:c>
      <x:c r="L1528" t="n">
        <x:v>45656</x:v>
      </x:c>
      <x:c r="M1528" t="str">
        <x:v>Gebucht</x:v>
      </x:c>
      <x:c r="N1528" t="str">
        <x:v>ISSUER</x:v>
      </x:c>
      <x:c r="O1528" t="str">
        <x:v>Amazon.de.TP5L31FV5/AMAZON.DE</x:v>
      </x:c>
      <x:c r="P1528" t="str">
        <x:v>VISA Debitkartenumsatz vom 27.12.2024</x:v>
      </x:c>
      <x:c r="Q1528" t="str">
        <x:v>Ausgang</x:v>
      </x:c>
      <x:c r="R1528" t="str">
        <x:v>DE96120300009005290904</x:v>
      </x:c>
      <x:c r="S1528" t="n">
        <x:v>-41.12</x:v>
      </x:c>
      <x:c r="T1528" t="str">
        <x:v>"</x:v>
      </x:c>
      <x:c r="U1528" t="str">
        <x:v>"</x:v>
      </x:c>
      <x:c r="V1528" t="str">
        <x:v>484359625207837</x:v>
      </x:c>
    </x:row>
    <x:row r="1529">
      <x:c r="A1529" t="str">
        <x:v>RAW-IMP-20260516-FULLDRAFT-001512</x:v>
      </x:c>
      <x:c r="B1529" t="str">
        <x:v>IMP-20260516-FULLDRAFT</x:v>
      </x:c>
      <x:c r="C1529" t="str">
        <x:v>KTO001</x:v>
      </x:c>
      <x:c r="D1529" t="str">
        <x:v>16-05-2026_Umsatzliste_Girokonto_DE98120300001061711675.csv</x:v>
      </x:c>
      <x:c r="E1529" t="n">
        <x:v>46163</x:v>
      </x:c>
      <x:c r="F1529" t="n">
        <x:v>1512</x:v>
      </x:c>
      <x:c r="G1529" t="str">
        <x:v>f6527eeaa2d36a353dd71fb454fba5c70cd0c89a10fd97cbfdaa7a1405cbe608</x:v>
      </x:c>
      <x:c r="H1529" t="str">
        <x:v>neu</x:v>
      </x:c>
      <x:c r="I1529" t="str">
        <x:v>ok</x:v>
      </x:c>
      <x:c r="J1529"/>
      <x:c r="K1529" t="n">
        <x:v>45656</x:v>
      </x:c>
      <x:c r="L1529" t="n">
        <x:v>45656</x:v>
      </x:c>
      <x:c r="M1529" t="str">
        <x:v>Gebucht</x:v>
      </x:c>
      <x:c r="N1529" t="str">
        <x:v>Kohlenberg, Katrin</x:v>
      </x:c>
      <x:c r="O1529" t="str">
        <x:v>WEVG Salzgitter GmbH + Co. KG</x:v>
      </x:c>
      <x:c r="P1529" t="str">
        <x:v>Kd-Nr 79288 Einz 30.12.24 41710/352.00/Johannes-Wosni 100833/70.00/Johannes-Wosni</x:v>
      </x:c>
      <x:c r="Q1529" t="str">
        <x:v>Ausgang</x:v>
      </x:c>
      <x:c r="R1529" t="str">
        <x:v>DE19300700100394127500</x:v>
      </x:c>
      <x:c r="S1529" t="n">
        <x:v>-422</x:v>
      </x:c>
      <x:c r="T1529" t="str">
        <x:v>DE83WEV00000032716</x:v>
      </x:c>
      <x:c r="U1529" t="str">
        <x:v>WEVG0000079288G1000178580</x:v>
      </x:c>
      <x:c r="V1529" t="str">
        <x:v>13384933</x:v>
      </x:c>
    </x:row>
    <x:row r="1530">
      <x:c r="A1530" t="str">
        <x:v>RAW-IMP-20260516-FULLDRAFT-001513</x:v>
      </x:c>
      <x:c r="B1530" t="str">
        <x:v>IMP-20260516-FULLDRAFT</x:v>
      </x:c>
      <x:c r="C1530" t="str">
        <x:v>KTO001</x:v>
      </x:c>
      <x:c r="D1530" t="str">
        <x:v>16-05-2026_Umsatzliste_Girokonto_DE98120300001061711675.csv</x:v>
      </x:c>
      <x:c r="E1530" t="n">
        <x:v>46163</x:v>
      </x:c>
      <x:c r="F1530" t="n">
        <x:v>1513</x:v>
      </x:c>
      <x:c r="G1530" t="str">
        <x:v>f90388067a258a17e7561c5bc7aee127bdafec06516ffa06486d53bc56e2818e</x:v>
      </x:c>
      <x:c r="H1530" t="str">
        <x:v>neu</x:v>
      </x:c>
      <x:c r="I1530" t="str">
        <x:v>ok</x:v>
      </x:c>
      <x:c r="J1530"/>
      <x:c r="K1530" t="n">
        <x:v>45656</x:v>
      </x:c>
      <x:c r="L1530" t="n">
        <x:v>45656</x:v>
      </x:c>
      <x:c r="M1530" t="str">
        <x:v>Gebucht</x:v>
      </x:c>
      <x:c r="N1530" t="str">
        <x:v>Lars Kohlenberg</x:v>
      </x:c>
      <x:c r="O1530" t="str">
        <x:v>Lea kohlenberg</x:v>
      </x:c>
      <x:c r="P1530" t="str">
        <x:v>Taschengeld</x:v>
      </x:c>
      <x:c r="Q1530" t="str">
        <x:v>Ausgang</x:v>
      </x:c>
      <x:c r="R1530" t="str">
        <x:v>DE89269910662833344000</x:v>
      </x:c>
      <x:c r="S1530" t="n">
        <x:v>-10</x:v>
      </x:c>
      <x:c r="T1530" t="str">
        <x:v>"</x:v>
      </x:c>
      <x:c r="U1530" t="str">
        <x:v>"</x:v>
      </x:c>
      <x:c r="V1530" t="str">
        <x:v>"</x:v>
      </x:c>
    </x:row>
    <x:row r="1531">
      <x:c r="A1531" t="str">
        <x:v>RAW-IMP-20260516-FULLDRAFT-001514</x:v>
      </x:c>
      <x:c r="B1531" t="str">
        <x:v>IMP-20260516-FULLDRAFT</x:v>
      </x:c>
      <x:c r="C1531" t="str">
        <x:v>KTO001</x:v>
      </x:c>
      <x:c r="D1531" t="str">
        <x:v>16-05-2026_Umsatzliste_Girokonto_DE98120300001061711675.csv</x:v>
      </x:c>
      <x:c r="E1531" t="n">
        <x:v>46163</x:v>
      </x:c>
      <x:c r="F1531" t="n">
        <x:v>1514</x:v>
      </x:c>
      <x:c r="G1531" t="str">
        <x:v>0b2179e9dc2cadf2032147993b7be534591501b6ad15322cd164b1d8cf356a00</x:v>
      </x:c>
      <x:c r="H1531" t="str">
        <x:v>neu</x:v>
      </x:c>
      <x:c r="I1531" t="str">
        <x:v>ok</x:v>
      </x:c>
      <x:c r="J1531"/>
      <x:c r="K1531" t="n">
        <x:v>45653</x:v>
      </x:c>
      <x:c r="L1531" t="n">
        <x:v>45653</x:v>
      </x:c>
      <x:c r="M1531" t="str">
        <x:v>Gebucht</x:v>
      </x:c>
      <x:c r="N1531" t="str">
        <x:v>ISSUER</x:v>
      </x:c>
      <x:c r="O1531" t="str">
        <x:v>PAYPAL..STEAM.GAMES/2066609771</x:v>
      </x:c>
      <x:c r="P1531" t="str">
        <x:v>VISA Debitkartenumsatz vom 24.12.2024</x:v>
      </x:c>
      <x:c r="Q1531" t="str">
        <x:v>Ausgang</x:v>
      </x:c>
      <x:c r="R1531" t="str">
        <x:v>DE96120300009005290904</x:v>
      </x:c>
      <x:c r="S1531" t="n">
        <x:v>-15.94</x:v>
      </x:c>
      <x:c r="T1531" t="str">
        <x:v>"</x:v>
      </x:c>
      <x:c r="U1531" t="str">
        <x:v>"</x:v>
      </x:c>
      <x:c r="V1531" t="str">
        <x:v>304359442483004</x:v>
      </x:c>
    </x:row>
    <x:row r="1532">
      <x:c r="A1532" t="str">
        <x:v>RAW-IMP-20260516-FULLDRAFT-001515</x:v>
      </x:c>
      <x:c r="B1532" t="str">
        <x:v>IMP-20260516-FULLDRAFT</x:v>
      </x:c>
      <x:c r="C1532" t="str">
        <x:v>KTO001</x:v>
      </x:c>
      <x:c r="D1532" t="str">
        <x:v>16-05-2026_Umsatzliste_Girokonto_DE98120300001061711675.csv</x:v>
      </x:c>
      <x:c r="E1532" t="n">
        <x:v>46163</x:v>
      </x:c>
      <x:c r="F1532" t="n">
        <x:v>1515</x:v>
      </x:c>
      <x:c r="G1532" t="str">
        <x:v>f6493cf9205db3a8e265da758b01913dfb3573cefbbda48e92462c56438228e6</x:v>
      </x:c>
      <x:c r="H1532" t="str">
        <x:v>neu</x:v>
      </x:c>
      <x:c r="I1532" t="str">
        <x:v>ok</x:v>
      </x:c>
      <x:c r="J1532"/>
      <x:c r="K1532" t="n">
        <x:v>45653</x:v>
      </x:c>
      <x:c r="L1532" t="n">
        <x:v>45653</x:v>
      </x:c>
      <x:c r="M1532" t="str">
        <x:v>Gebucht</x:v>
      </x:c>
      <x:c r="N1532" t="str">
        <x:v>ISSUER</x:v>
      </x:c>
      <x:c r="O1532" t="str">
        <x:v>THALIA.DEUTSCHLAND.1028/Salzgitter</x:v>
      </x:c>
      <x:c r="P1532" t="str">
        <x:v>VISA Debitkartenumsatz vom 23.12.2024</x:v>
      </x:c>
      <x:c r="Q1532" t="str">
        <x:v>Ausgang</x:v>
      </x:c>
      <x:c r="R1532" t="str">
        <x:v>DE96120300009005290904</x:v>
      </x:c>
      <x:c r="S1532" t="n">
        <x:v>-12.98</x:v>
      </x:c>
      <x:c r="T1532" t="str">
        <x:v>"</x:v>
      </x:c>
      <x:c r="U1532" t="str">
        <x:v>"</x:v>
      </x:c>
      <x:c r="V1532" t="str">
        <x:v>484358591244914</x:v>
      </x:c>
    </x:row>
    <x:row r="1533">
      <x:c r="A1533" t="str">
        <x:v>RAW-IMP-20260516-FULLDRAFT-001516</x:v>
      </x:c>
      <x:c r="B1533" t="str">
        <x:v>IMP-20260516-FULLDRAFT</x:v>
      </x:c>
      <x:c r="C1533" t="str">
        <x:v>KTO001</x:v>
      </x:c>
      <x:c r="D1533" t="str">
        <x:v>16-05-2026_Umsatzliste_Girokonto_DE98120300001061711675.csv</x:v>
      </x:c>
      <x:c r="E1533" t="n">
        <x:v>46163</x:v>
      </x:c>
      <x:c r="F1533" t="n">
        <x:v>1516</x:v>
      </x:c>
      <x:c r="G1533" t="str">
        <x:v>af0f7bde0f47a260fddf040f21222c5fcc0e00f638967917ecbe0b156d140cfc</x:v>
      </x:c>
      <x:c r="H1533" t="str">
        <x:v>neu</x:v>
      </x:c>
      <x:c r="I1533" t="str">
        <x:v>ok</x:v>
      </x:c>
      <x:c r="J1533"/>
      <x:c r="K1533" t="n">
        <x:v>45653</x:v>
      </x:c>
      <x:c r="L1533" t="n">
        <x:v>45650</x:v>
      </x:c>
      <x:c r="M1533" t="str">
        <x:v>Gebucht</x:v>
      </x:c>
      <x:c r="N1533" t="str">
        <x:v>ISSUER</x:v>
      </x:c>
      <x:c r="O1533" t="str">
        <x:v>DM.Drogerie.Markt/Salzgitter</x:v>
      </x:c>
      <x:c r="P1533" t="str">
        <x:v>VISA Debitkartenumsatz vom 23.12.2024</x:v>
      </x:c>
      <x:c r="Q1533" t="str">
        <x:v>Ausgang</x:v>
      </x:c>
      <x:c r="R1533" t="str">
        <x:v>DE96120300009005290904</x:v>
      </x:c>
      <x:c r="S1533" t="n">
        <x:v>-41.07</x:v>
      </x:c>
      <x:c r="T1533" t="str">
        <x:v>"</x:v>
      </x:c>
      <x:c r="U1533" t="str">
        <x:v>"</x:v>
      </x:c>
      <x:c r="V1533" t="str">
        <x:v>484358594582262</x:v>
      </x:c>
    </x:row>
    <x:row r="1534">
      <x:c r="A1534" t="str">
        <x:v>RAW-IMP-20260516-FULLDRAFT-001517</x:v>
      </x:c>
      <x:c r="B1534" t="str">
        <x:v>IMP-20260516-FULLDRAFT</x:v>
      </x:c>
      <x:c r="C1534" t="str">
        <x:v>KTO001</x:v>
      </x:c>
      <x:c r="D1534" t="str">
        <x:v>16-05-2026_Umsatzliste_Girokonto_DE98120300001061711675.csv</x:v>
      </x:c>
      <x:c r="E1534" t="n">
        <x:v>46163</x:v>
      </x:c>
      <x:c r="F1534" t="n">
        <x:v>1517</x:v>
      </x:c>
      <x:c r="G1534" t="str">
        <x:v>7b6cd57d866105d4d62fa14fb0a238299bcc1bec4f0f90b433c5d0c530405e89</x:v>
      </x:c>
      <x:c r="H1534" t="str">
        <x:v>neu</x:v>
      </x:c>
      <x:c r="I1534" t="str">
        <x:v>ok</x:v>
      </x:c>
      <x:c r="J1534"/>
      <x:c r="K1534" t="n">
        <x:v>45653</x:v>
      </x:c>
      <x:c r="L1534" t="n">
        <x:v>45653</x:v>
      </x:c>
      <x:c r="M1534" t="str">
        <x:v>Gebucht</x:v>
      </x:c>
      <x:c r="N1534" t="str">
        <x:v>ISSUER</x:v>
      </x:c>
      <x:c r="O1534" t="str">
        <x:v>KAUFLAND.SALZGITTER.CIT/SALZGITTER</x:v>
      </x:c>
      <x:c r="P1534" t="str">
        <x:v>VISA Debitkartenumsatz vom 23.12.2024</x:v>
      </x:c>
      <x:c r="Q1534" t="str">
        <x:v>Ausgang</x:v>
      </x:c>
      <x:c r="R1534" t="str">
        <x:v>DE96120300009005290904</x:v>
      </x:c>
      <x:c r="S1534" t="n">
        <x:v>-31.44</x:v>
      </x:c>
      <x:c r="T1534" t="str">
        <x:v>"</x:v>
      </x:c>
      <x:c r="U1534" t="str">
        <x:v>"</x:v>
      </x:c>
      <x:c r="V1534" t="str">
        <x:v>484358604227214</x:v>
      </x:c>
    </x:row>
    <x:row r="1535">
      <x:c r="A1535" t="str">
        <x:v>RAW-IMP-20260516-FULLDRAFT-001518</x:v>
      </x:c>
      <x:c r="B1535" t="str">
        <x:v>IMP-20260516-FULLDRAFT</x:v>
      </x:c>
      <x:c r="C1535" t="str">
        <x:v>KTO001</x:v>
      </x:c>
      <x:c r="D1535" t="str">
        <x:v>16-05-2026_Umsatzliste_Girokonto_DE98120300001061711675.csv</x:v>
      </x:c>
      <x:c r="E1535" t="n">
        <x:v>46163</x:v>
      </x:c>
      <x:c r="F1535" t="n">
        <x:v>1518</x:v>
      </x:c>
      <x:c r="G1535" t="str">
        <x:v>afc5384a356cde3f1278c470a675d8b081b4888b95dc0307b61fd47e73bcd823</x:v>
      </x:c>
      <x:c r="H1535" t="str">
        <x:v>neu</x:v>
      </x:c>
      <x:c r="I1535" t="str">
        <x:v>ok</x:v>
      </x:c>
      <x:c r="J1535"/>
      <x:c r="K1535" t="n">
        <x:v>45653</x:v>
      </x:c>
      <x:c r="L1535" t="n">
        <x:v>45653</x:v>
      </x:c>
      <x:c r="M1535" t="str">
        <x:v>Gebucht</x:v>
      </x:c>
      <x:c r="N1535" t="str">
        <x:v>ISSUER</x:v>
      </x:c>
      <x:c r="O1535" t="str">
        <x:v>LOEWENBAECKER.SCHAPER/SALZGITTER</x:v>
      </x:c>
      <x:c r="P1535" t="str">
        <x:v>VISA Debitkartenumsatz vom 24.12.2024</x:v>
      </x:c>
      <x:c r="Q1535" t="str">
        <x:v>Ausgang</x:v>
      </x:c>
      <x:c r="R1535" t="str">
        <x:v>DE96120300009005290904</x:v>
      </x:c>
      <x:c r="S1535" t="n">
        <x:v>-6.37</x:v>
      </x:c>
      <x:c r="T1535" t="str">
        <x:v>"</x:v>
      </x:c>
      <x:c r="U1535" t="str">
        <x:v>"</x:v>
      </x:c>
      <x:c r="V1535" t="str">
        <x:v>484359348655670</x:v>
      </x:c>
    </x:row>
    <x:row r="1536">
      <x:c r="A1536" t="str">
        <x:v>RAW-IMP-20260516-FULLDRAFT-001519</x:v>
      </x:c>
      <x:c r="B1536" t="str">
        <x:v>IMP-20260516-FULLDRAFT</x:v>
      </x:c>
      <x:c r="C1536" t="str">
        <x:v>KTO001</x:v>
      </x:c>
      <x:c r="D1536" t="str">
        <x:v>16-05-2026_Umsatzliste_Girokonto_DE98120300001061711675.csv</x:v>
      </x:c>
      <x:c r="E1536" t="n">
        <x:v>46163</x:v>
      </x:c>
      <x:c r="F1536" t="n">
        <x:v>1519</x:v>
      </x:c>
      <x:c r="G1536" t="str">
        <x:v>b2f43bf6d4bf7667d833176502fb5f061c01d8f3a9aa2d3b7e4a9cc404cd7974</x:v>
      </x:c>
      <x:c r="H1536" t="str">
        <x:v>neu</x:v>
      </x:c>
      <x:c r="I1536" t="str">
        <x:v>ok</x:v>
      </x:c>
      <x:c r="J1536"/>
      <x:c r="K1536" t="n">
        <x:v>45653</x:v>
      </x:c>
      <x:c r="L1536" t="n">
        <x:v>45650</x:v>
      </x:c>
      <x:c r="M1536" t="str">
        <x:v>Gebucht</x:v>
      </x:c>
      <x:c r="N1536" t="str">
        <x:v>ISSUER</x:v>
      </x:c>
      <x:c r="O1536" t="str">
        <x:v>AMZN.Mktp.DE.CS0WF8Q65/800.279.6620</x:v>
      </x:c>
      <x:c r="P1536" t="str">
        <x:v>VISA Debitkartenumsatz vom 23.12.2024</x:v>
      </x:c>
      <x:c r="Q1536" t="str">
        <x:v>Ausgang</x:v>
      </x:c>
      <x:c r="R1536" t="str">
        <x:v>DE96120300009005290904</x:v>
      </x:c>
      <x:c r="S1536" t="n">
        <x:v>-23.19</x:v>
      </x:c>
      <x:c r="T1536" t="str">
        <x:v>"</x:v>
      </x:c>
      <x:c r="U1536" t="str">
        <x:v>"</x:v>
      </x:c>
      <x:c r="V1536" t="str">
        <x:v>484357443547351</x:v>
      </x:c>
    </x:row>
    <x:row r="1537">
      <x:c r="A1537" t="str">
        <x:v>RAW-IMP-20260516-FULLDRAFT-001520</x:v>
      </x:c>
      <x:c r="B1537" t="str">
        <x:v>IMP-20260516-FULLDRAFT</x:v>
      </x:c>
      <x:c r="C1537" t="str">
        <x:v>KTO001</x:v>
      </x:c>
      <x:c r="D1537" t="str">
        <x:v>16-05-2026_Umsatzliste_Girokonto_DE98120300001061711675.csv</x:v>
      </x:c>
      <x:c r="E1537" t="n">
        <x:v>46163</x:v>
      </x:c>
      <x:c r="F1537" t="n">
        <x:v>1520</x:v>
      </x:c>
      <x:c r="G1537" t="str">
        <x:v>09dc0af1bfd56591bd78a18d5391da08bc4f9d0135397741b709a962580c0692</x:v>
      </x:c>
      <x:c r="H1537" t="str">
        <x:v>neu</x:v>
      </x:c>
      <x:c r="I1537" t="str">
        <x:v>ok</x:v>
      </x:c>
      <x:c r="J1537"/>
      <x:c r="K1537" t="n">
        <x:v>45653</x:v>
      </x:c>
      <x:c r="L1537" t="n">
        <x:v>45650</x:v>
      </x:c>
      <x:c r="M1537" t="str">
        <x:v>Gebucht</x:v>
      </x:c>
      <x:c r="N1537" t="str">
        <x:v>ISSUER</x:v>
      </x:c>
      <x:c r="O1537" t="str">
        <x:v>BRAUNSCHWEIGER.IMMOBIL/SALZGITTER</x:v>
      </x:c>
      <x:c r="P1537" t="str">
        <x:v>VISA Debitkartenumsatz vom 23.12.2024</x:v>
      </x:c>
      <x:c r="Q1537" t="str">
        <x:v>Ausgang</x:v>
      </x:c>
      <x:c r="R1537" t="str">
        <x:v>DE96120300009005290904</x:v>
      </x:c>
      <x:c r="S1537" t="n">
        <x:v>-1.5</x:v>
      </x:c>
      <x:c r="T1537" t="str">
        <x:v>"</x:v>
      </x:c>
      <x:c r="U1537" t="str">
        <x:v>"</x:v>
      </x:c>
      <x:c r="V1537" t="str">
        <x:v>484358607933043</x:v>
      </x:c>
    </x:row>
    <x:row r="1538">
      <x:c r="A1538" t="str">
        <x:v>RAW-IMP-20260516-FULLDRAFT-001521</x:v>
      </x:c>
      <x:c r="B1538" t="str">
        <x:v>IMP-20260516-FULLDRAFT</x:v>
      </x:c>
      <x:c r="C1538" t="str">
        <x:v>KTO001</x:v>
      </x:c>
      <x:c r="D1538" t="str">
        <x:v>16-05-2026_Umsatzliste_Girokonto_DE98120300001061711675.csv</x:v>
      </x:c>
      <x:c r="E1538" t="n">
        <x:v>46163</x:v>
      </x:c>
      <x:c r="F1538" t="n">
        <x:v>1521</x:v>
      </x:c>
      <x:c r="G1538" t="str">
        <x:v>fe712130209141ef779178aa3afe0857fc3e161f9965dd0664fcbc2b58f8aece</x:v>
      </x:c>
      <x:c r="H1538" t="str">
        <x:v>neu</x:v>
      </x:c>
      <x:c r="I1538" t="str">
        <x:v>ok</x:v>
      </x:c>
      <x:c r="J1538"/>
      <x:c r="K1538" t="n">
        <x:v>45653</x:v>
      </x:c>
      <x:c r="L1538" t="n">
        <x:v>45650</x:v>
      </x:c>
      <x:c r="M1538" t="str">
        <x:v>Gebucht</x:v>
      </x:c>
      <x:c r="N1538" t="str">
        <x:v>ISSUER</x:v>
      </x:c>
      <x:c r="O1538" t="str">
        <x:v>ENTSORGUNGSZENTRUM.SAL/SALZGITTER</x:v>
      </x:c>
      <x:c r="P1538" t="str">
        <x:v>VISA Debitkartenumsatz vom 23.12.2024</x:v>
      </x:c>
      <x:c r="Q1538" t="str">
        <x:v>Ausgang</x:v>
      </x:c>
      <x:c r="R1538" t="str">
        <x:v>DE96120300009005290904</x:v>
      </x:c>
      <x:c r="S1538" t="n">
        <x:v>-7</x:v>
      </x:c>
      <x:c r="T1538" t="str">
        <x:v>"</x:v>
      </x:c>
      <x:c r="U1538" t="str">
        <x:v>"</x:v>
      </x:c>
      <x:c r="V1538" t="str">
        <x:v>484358352155495</x:v>
      </x:c>
    </x:row>
    <x:row r="1539">
      <x:c r="A1539" t="str">
        <x:v>RAW-IMP-20260516-FULLDRAFT-001522</x:v>
      </x:c>
      <x:c r="B1539" t="str">
        <x:v>IMP-20260516-FULLDRAFT</x:v>
      </x:c>
      <x:c r="C1539" t="str">
        <x:v>KTO001</x:v>
      </x:c>
      <x:c r="D1539" t="str">
        <x:v>16-05-2026_Umsatzliste_Girokonto_DE98120300001061711675.csv</x:v>
      </x:c>
      <x:c r="E1539" t="n">
        <x:v>46163</x:v>
      </x:c>
      <x:c r="F1539" t="n">
        <x:v>1522</x:v>
      </x:c>
      <x:c r="G1539" t="str">
        <x:v>b2f6554beb5d5a0b49a5f7fc7e37e29d64bb17225df16bdc634e55609b566cc4</x:v>
      </x:c>
      <x:c r="H1539" t="str">
        <x:v>neu</x:v>
      </x:c>
      <x:c r="I1539" t="str">
        <x:v>ok</x:v>
      </x:c>
      <x:c r="J1539"/>
      <x:c r="K1539" t="n">
        <x:v>45653</x:v>
      </x:c>
      <x:c r="L1539" t="n">
        <x:v>45653</x:v>
      </x:c>
      <x:c r="M1539" t="str">
        <x:v>Gebucht</x:v>
      </x:c>
      <x:c r="N1539" t="str">
        <x:v>ISSUER</x:v>
      </x:c>
      <x:c r="O1539" t="str">
        <x:v>.Deutsche.Bank.AG/GOSLAR</x:v>
      </x:c>
      <x:c r="P1539" t="str">
        <x:v>VISA Debitkartenumsatz vom 26.12.2024</x:v>
      </x:c>
      <x:c r="Q1539" t="str">
        <x:v>Ausgang</x:v>
      </x:c>
      <x:c r="R1539" t="str">
        <x:v>DE96120300009005290904</x:v>
      </x:c>
      <x:c r="S1539" t="n">
        <x:v>-100</x:v>
      </x:c>
      <x:c r="T1539" t="str">
        <x:v>"</x:v>
      </x:c>
      <x:c r="U1539" t="str">
        <x:v>"</x:v>
      </x:c>
      <x:c r="V1539" t="str">
        <x:v>484361534483556</x:v>
      </x:c>
    </x:row>
    <x:row r="1540">
      <x:c r="A1540" t="str">
        <x:v>RAW-IMP-20260516-FULLDRAFT-001523</x:v>
      </x:c>
      <x:c r="B1540" t="str">
        <x:v>IMP-20260516-FULLDRAFT</x:v>
      </x:c>
      <x:c r="C1540" t="str">
        <x:v>KTO001</x:v>
      </x:c>
      <x:c r="D1540" t="str">
        <x:v>16-05-2026_Umsatzliste_Girokonto_DE98120300001061711675.csv</x:v>
      </x:c>
      <x:c r="E1540" t="n">
        <x:v>46163</x:v>
      </x:c>
      <x:c r="F1540" t="n">
        <x:v>1523</x:v>
      </x:c>
      <x:c r="G1540" t="str">
        <x:v>fecf65cbe6e73b1fb70ddb9a67b458e87c1f3a0ccf0443132de1ad38ca1cf419</x:v>
      </x:c>
      <x:c r="H1540" t="str">
        <x:v>neu</x:v>
      </x:c>
      <x:c r="I1540" t="str">
        <x:v>ok</x:v>
      </x:c>
      <x:c r="J1540"/>
      <x:c r="K1540" t="n">
        <x:v>45649</x:v>
      </x:c>
      <x:c r="L1540" t="n">
        <x:v>45649</x:v>
      </x:c>
      <x:c r="M1540" t="str">
        <x:v>Gebucht</x:v>
      </x:c>
      <x:c r="N1540" t="str">
        <x:v>ISSUER</x:v>
      </x:c>
      <x:c r="O1540" t="str">
        <x:v>APPLE.COM.BILL/08006645451</x:v>
      </x:c>
      <x:c r="P1540" t="str">
        <x:v>VISA Debitkartenumsatz vom 21.12.2024</x:v>
      </x:c>
      <x:c r="Q1540" t="str">
        <x:v>Ausgang</x:v>
      </x:c>
      <x:c r="R1540" t="str">
        <x:v>DE96120300009005290904</x:v>
      </x:c>
      <x:c r="S1540" t="n">
        <x:v>-2.99</x:v>
      </x:c>
      <x:c r="T1540" t="str">
        <x:v>"</x:v>
      </x:c>
      <x:c r="U1540" t="str">
        <x:v>"</x:v>
      </x:c>
      <x:c r="V1540" t="str">
        <x:v>484356502163378</x:v>
      </x:c>
    </x:row>
    <x:row r="1541">
      <x:c r="A1541" t="str">
        <x:v>RAW-IMP-20260516-FULLDRAFT-001524</x:v>
      </x:c>
      <x:c r="B1541" t="str">
        <x:v>IMP-20260516-FULLDRAFT</x:v>
      </x:c>
      <x:c r="C1541" t="str">
        <x:v>KTO001</x:v>
      </x:c>
      <x:c r="D1541" t="str">
        <x:v>16-05-2026_Umsatzliste_Girokonto_DE98120300001061711675.csv</x:v>
      </x:c>
      <x:c r="E1541" t="n">
        <x:v>46163</x:v>
      </x:c>
      <x:c r="F1541" t="n">
        <x:v>1524</x:v>
      </x:c>
      <x:c r="G1541" t="str">
        <x:v>9c9384ab2c85896ebd16a95eafe8a0633ccb2da59a4547ae6d8d6e56d820902b</x:v>
      </x:c>
      <x:c r="H1541" t="str">
        <x:v>neu</x:v>
      </x:c>
      <x:c r="I1541" t="str">
        <x:v>ok</x:v>
      </x:c>
      <x:c r="J1541"/>
      <x:c r="K1541" t="n">
        <x:v>45649</x:v>
      </x:c>
      <x:c r="L1541" t="n">
        <x:v>45649</x:v>
      </x:c>
      <x:c r="M1541" t="str">
        <x:v>Gebucht</x:v>
      </x:c>
      <x:c r="N1541" t="str">
        <x:v>ISSUER</x:v>
      </x:c>
      <x:c r="O1541" t="str">
        <x:v>REWE.Acar.oHG/Salzgitter</x:v>
      </x:c>
      <x:c r="P1541" t="str">
        <x:v>VISA Debitkartenumsatz vom 21.12.2024</x:v>
      </x:c>
      <x:c r="Q1541" t="str">
        <x:v>Ausgang</x:v>
      </x:c>
      <x:c r="R1541" t="str">
        <x:v>DE96120300009005290904</x:v>
      </x:c>
      <x:c r="S1541" t="n">
        <x:v>-38.35</x:v>
      </x:c>
      <x:c r="T1541" t="str">
        <x:v>"</x:v>
      </x:c>
      <x:c r="U1541" t="str">
        <x:v>"</x:v>
      </x:c>
      <x:c r="V1541" t="str">
        <x:v>484356432256636</x:v>
      </x:c>
    </x:row>
    <x:row r="1542">
      <x:c r="A1542" t="str">
        <x:v>RAW-IMP-20260516-FULLDRAFT-001525</x:v>
      </x:c>
      <x:c r="B1542" t="str">
        <x:v>IMP-20260516-FULLDRAFT</x:v>
      </x:c>
      <x:c r="C1542" t="str">
        <x:v>KTO001</x:v>
      </x:c>
      <x:c r="D1542" t="str">
        <x:v>16-05-2026_Umsatzliste_Girokonto_DE98120300001061711675.csv</x:v>
      </x:c>
      <x:c r="E1542" t="n">
        <x:v>46163</x:v>
      </x:c>
      <x:c r="F1542" t="n">
        <x:v>1525</x:v>
      </x:c>
      <x:c r="G1542" t="str">
        <x:v>e85a203c3d2a5792bd73fe940adf490541a823b64ab39d2b1166df4e12334d3e</x:v>
      </x:c>
      <x:c r="H1542" t="str">
        <x:v>neu</x:v>
      </x:c>
      <x:c r="I1542" t="str">
        <x:v>ok</x:v>
      </x:c>
      <x:c r="J1542"/>
      <x:c r="K1542" t="n">
        <x:v>45649</x:v>
      </x:c>
      <x:c r="L1542" t="n">
        <x:v>45649</x:v>
      </x:c>
      <x:c r="M1542" t="str">
        <x:v>Gebucht</x:v>
      </x:c>
      <x:c r="N1542" t="str">
        <x:v>ISSUER</x:v>
      </x:c>
      <x:c r="O1542" t="str">
        <x:v>REWE.Salzgitter.Ge/Salzgitter</x:v>
      </x:c>
      <x:c r="P1542" t="str">
        <x:v>VISA Debitkartenumsatz vom 21.12.2024</x:v>
      </x:c>
      <x:c r="Q1542" t="str">
        <x:v>Ausgang</x:v>
      </x:c>
      <x:c r="R1542" t="str">
        <x:v>DE96120300009005290904</x:v>
      </x:c>
      <x:c r="S1542" t="n">
        <x:v>-214.91</x:v>
      </x:c>
      <x:c r="T1542" t="str">
        <x:v>"</x:v>
      </x:c>
      <x:c r="U1542" t="str">
        <x:v>"</x:v>
      </x:c>
      <x:c r="V1542" t="str">
        <x:v>484356403437420</x:v>
      </x:c>
    </x:row>
    <x:row r="1543">
      <x:c r="A1543" t="str">
        <x:v>RAW-IMP-20260516-FULLDRAFT-001526</x:v>
      </x:c>
      <x:c r="B1543" t="str">
        <x:v>IMP-20260516-FULLDRAFT</x:v>
      </x:c>
      <x:c r="C1543" t="str">
        <x:v>KTO001</x:v>
      </x:c>
      <x:c r="D1543" t="str">
        <x:v>16-05-2026_Umsatzliste_Girokonto_DE98120300001061711675.csv</x:v>
      </x:c>
      <x:c r="E1543" t="n">
        <x:v>46163</x:v>
      </x:c>
      <x:c r="F1543" t="n">
        <x:v>1526</x:v>
      </x:c>
      <x:c r="G1543" t="str">
        <x:v>cc8b60ff771bf16bc01cbce51764e6f3224e4f32618f633647b35fe6d5a36d28</x:v>
      </x:c>
      <x:c r="H1543" t="str">
        <x:v>neu</x:v>
      </x:c>
      <x:c r="I1543" t="str">
        <x:v>ok</x:v>
      </x:c>
      <x:c r="J1543"/>
      <x:c r="K1543" t="n">
        <x:v>45646</x:v>
      </x:c>
      <x:c r="L1543" t="n">
        <x:v>45646</x:v>
      </x:c>
      <x:c r="M1543" t="str">
        <x:v>Gebucht</x:v>
      </x:c>
      <x:c r="N1543" t="str">
        <x:v>ISSUER</x:v>
      </x:c>
      <x:c r="O1543" t="str">
        <x:v>Amazon.de.SP50U4R35/AMAZON.DE</x:v>
      </x:c>
      <x:c r="P1543" t="str">
        <x:v>VISA Debitkartenumsatz vom 19.12.2024</x:v>
      </x:c>
      <x:c r="Q1543" t="str">
        <x:v>Ausgang</x:v>
      </x:c>
      <x:c r="R1543" t="str">
        <x:v>DE96120300009005290904</x:v>
      </x:c>
      <x:c r="S1543" t="n">
        <x:v>-176.27</x:v>
      </x:c>
      <x:c r="T1543" t="str">
        <x:v>"</x:v>
      </x:c>
      <x:c r="U1543" t="str">
        <x:v>"</x:v>
      </x:c>
      <x:c r="V1543" t="str">
        <x:v>484354570153149</x:v>
      </x:c>
    </x:row>
    <x:row r="1544">
      <x:c r="A1544" t="str">
        <x:v>RAW-IMP-20260516-FULLDRAFT-001527</x:v>
      </x:c>
      <x:c r="B1544" t="str">
        <x:v>IMP-20260516-FULLDRAFT</x:v>
      </x:c>
      <x:c r="C1544" t="str">
        <x:v>KTO001</x:v>
      </x:c>
      <x:c r="D1544" t="str">
        <x:v>16-05-2026_Umsatzliste_Girokonto_DE98120300001061711675.csv</x:v>
      </x:c>
      <x:c r="E1544" t="n">
        <x:v>46163</x:v>
      </x:c>
      <x:c r="F1544" t="n">
        <x:v>1527</x:v>
      </x:c>
      <x:c r="G1544" t="str">
        <x:v>5a4fc7ae34de266b5a23594c7d08a378de915cc1e75fc3b1d325ef99710f9c50</x:v>
      </x:c>
      <x:c r="H1544" t="str">
        <x:v>neu</x:v>
      </x:c>
      <x:c r="I1544" t="str">
        <x:v>ok</x:v>
      </x:c>
      <x:c r="J1544"/>
      <x:c r="K1544" t="n">
        <x:v>45646</x:v>
      </x:c>
      <x:c r="L1544" t="n">
        <x:v>45646</x:v>
      </x:c>
      <x:c r="M1544" t="str">
        <x:v>Gebucht</x:v>
      </x:c>
      <x:c r="N1544" t="str">
        <x:v>ISSUER</x:v>
      </x:c>
      <x:c r="O1544" t="str">
        <x:v>Amazon.de.S527D1F85/AMAZON.DE</x:v>
      </x:c>
      <x:c r="P1544" t="str">
        <x:v>VISA Debitkartenumsatz vom 19.12.2024</x:v>
      </x:c>
      <x:c r="Q1544" t="str">
        <x:v>Ausgang</x:v>
      </x:c>
      <x:c r="R1544" t="str">
        <x:v>DE96120300009005290904</x:v>
      </x:c>
      <x:c r="S1544" t="n">
        <x:v>-19.58</x:v>
      </x:c>
      <x:c r="T1544" t="str">
        <x:v>"</x:v>
      </x:c>
      <x:c r="U1544" t="str">
        <x:v>"</x:v>
      </x:c>
      <x:c r="V1544" t="str">
        <x:v>484354570132949</x:v>
      </x:c>
    </x:row>
    <x:row r="1545">
      <x:c r="A1545" t="str">
        <x:v>RAW-IMP-20260516-FULLDRAFT-001528</x:v>
      </x:c>
      <x:c r="B1545" t="str">
        <x:v>IMP-20260516-FULLDRAFT</x:v>
      </x:c>
      <x:c r="C1545" t="str">
        <x:v>KTO001</x:v>
      </x:c>
      <x:c r="D1545" t="str">
        <x:v>16-05-2026_Umsatzliste_Girokonto_DE98120300001061711675.csv</x:v>
      </x:c>
      <x:c r="E1545" t="n">
        <x:v>46163</x:v>
      </x:c>
      <x:c r="F1545" t="n">
        <x:v>1528</x:v>
      </x:c>
      <x:c r="G1545" t="str">
        <x:v>04d4810bd51fba8f614f0fcf8947324e2431e942a626abd5cfa95ba45292be1e</x:v>
      </x:c>
      <x:c r="H1545" t="str">
        <x:v>neu</x:v>
      </x:c>
      <x:c r="I1545" t="str">
        <x:v>ok</x:v>
      </x:c>
      <x:c r="J1545"/>
      <x:c r="K1545" t="n">
        <x:v>45644</x:v>
      </x:c>
      <x:c r="L1545" t="n">
        <x:v>45644</x:v>
      </x:c>
      <x:c r="M1545" t="str">
        <x:v>Gebucht</x:v>
      </x:c>
      <x:c r="N1545" t="str">
        <x:v>ISSUER</x:v>
      </x:c>
      <x:c r="O1545" t="str">
        <x:v>EDEKA.POTRATZ/HILDESHEIM</x:v>
      </x:c>
      <x:c r="P1545" t="str">
        <x:v>VISA Debitkartenumsatz vom 17.12.2024</x:v>
      </x:c>
      <x:c r="Q1545" t="str">
        <x:v>Ausgang</x:v>
      </x:c>
      <x:c r="R1545" t="str">
        <x:v>DE96120300009005290904</x:v>
      </x:c>
      <x:c r="S1545" t="n">
        <x:v>-3</x:v>
      </x:c>
      <x:c r="T1545" t="str">
        <x:v>"</x:v>
      </x:c>
      <x:c r="U1545" t="str">
        <x:v>"</x:v>
      </x:c>
      <x:c r="V1545" t="str">
        <x:v>484352451570796</x:v>
      </x:c>
    </x:row>
    <x:row r="1546">
      <x:c r="A1546" t="str">
        <x:v>RAW-IMP-20260516-FULLDRAFT-001529</x:v>
      </x:c>
      <x:c r="B1546" t="str">
        <x:v>IMP-20260516-FULLDRAFT</x:v>
      </x:c>
      <x:c r="C1546" t="str">
        <x:v>KTO001</x:v>
      </x:c>
      <x:c r="D1546" t="str">
        <x:v>16-05-2026_Umsatzliste_Girokonto_DE98120300001061711675.csv</x:v>
      </x:c>
      <x:c r="E1546" t="n">
        <x:v>46163</x:v>
      </x:c>
      <x:c r="F1546" t="n">
        <x:v>1529</x:v>
      </x:c>
      <x:c r="G1546" t="str">
        <x:v>eede2a00587e49ba6c722fb4674e5a0f33bd53084764ca7a76944675d9920447</x:v>
      </x:c>
      <x:c r="H1546" t="str">
        <x:v>neu</x:v>
      </x:c>
      <x:c r="I1546" t="str">
        <x:v>ok</x:v>
      </x:c>
      <x:c r="J1546"/>
      <x:c r="K1546" t="n">
        <x:v>45644</x:v>
      </x:c>
      <x:c r="L1546" t="n">
        <x:v>45644</x:v>
      </x:c>
      <x:c r="M1546" t="str">
        <x:v>Gebucht</x:v>
      </x:c>
      <x:c r="N1546" t="str">
        <x:v>ISSUER</x:v>
      </x:c>
      <x:c r="O1546" t="str">
        <x:v>REWE.Salzgitter.Ge/Salzgitter</x:v>
      </x:c>
      <x:c r="P1546" t="str">
        <x:v>VISA Debitkartenumsatz vom 17.12.2024</x:v>
      </x:c>
      <x:c r="Q1546" t="str">
        <x:v>Ausgang</x:v>
      </x:c>
      <x:c r="R1546" t="str">
        <x:v>DE96120300009005290904</x:v>
      </x:c>
      <x:c r="S1546" t="n">
        <x:v>-15.75</x:v>
      </x:c>
      <x:c r="T1546" t="str">
        <x:v>"</x:v>
      </x:c>
      <x:c r="U1546" t="str">
        <x:v>"</x:v>
      </x:c>
      <x:c r="V1546" t="str">
        <x:v>484352646500420</x:v>
      </x:c>
    </x:row>
    <x:row r="1547">
      <x:c r="A1547" t="str">
        <x:v>RAW-IMP-20260516-FULLDRAFT-001530</x:v>
      </x:c>
      <x:c r="B1547" t="str">
        <x:v>IMP-20260516-FULLDRAFT</x:v>
      </x:c>
      <x:c r="C1547" t="str">
        <x:v>KTO001</x:v>
      </x:c>
      <x:c r="D1547" t="str">
        <x:v>16-05-2026_Umsatzliste_Girokonto_DE98120300001061711675.csv</x:v>
      </x:c>
      <x:c r="E1547" t="n">
        <x:v>46163</x:v>
      </x:c>
      <x:c r="F1547" t="n">
        <x:v>1530</x:v>
      </x:c>
      <x:c r="G1547" t="str">
        <x:v>23e73e477db65340f86c9b8e3840487a347c2956f591dab5bed0e56baa4d7db8</x:v>
      </x:c>
      <x:c r="H1547" t="str">
        <x:v>neu</x:v>
      </x:c>
      <x:c r="I1547" t="str">
        <x:v>ok</x:v>
      </x:c>
      <x:c r="J1547"/>
      <x:c r="K1547" t="n">
        <x:v>45644</x:v>
      </x:c>
      <x:c r="L1547" t="n">
        <x:v>45644</x:v>
      </x:c>
      <x:c r="M1547" t="str">
        <x:v>Gebucht</x:v>
      </x:c>
      <x:c r="N1547" t="str">
        <x:v>Lars Kohlenberg</x:v>
      </x:c>
      <x:c r="O1547" t="str">
        <x:v>Deutsches Jugendherbergswerk Hauptverband e. V.</x:v>
      </x:c>
      <x:c r="P1547" t="str">
        <x:v>22,50.Beitrag-25..27100965</x:v>
      </x:c>
      <x:c r="Q1547" t="str">
        <x:v>Ausgang</x:v>
      </x:c>
      <x:c r="R1547" t="str">
        <x:v>DE54370205000007053000</x:v>
      </x:c>
      <x:c r="S1547" t="n">
        <x:v>-22.5</x:v>
      </x:c>
      <x:c r="T1547" t="str">
        <x:v>DE52DJH00000630503</x:v>
      </x:c>
      <x:c r="U1547" t="str">
        <x:v>27100965V001</x:v>
      </x:c>
      <x:c r="V1547" t="str">
        <x:v>"</x:v>
      </x:c>
    </x:row>
    <x:row r="1548">
      <x:c r="A1548" t="str">
        <x:v>RAW-IMP-20260516-FULLDRAFT-001531</x:v>
      </x:c>
      <x:c r="B1548" t="str">
        <x:v>IMP-20260516-FULLDRAFT</x:v>
      </x:c>
      <x:c r="C1548" t="str">
        <x:v>KTO001</x:v>
      </x:c>
      <x:c r="D1548" t="str">
        <x:v>16-05-2026_Umsatzliste_Girokonto_DE98120300001061711675.csv</x:v>
      </x:c>
      <x:c r="E1548" t="n">
        <x:v>46163</x:v>
      </x:c>
      <x:c r="F1548" t="n">
        <x:v>1531</x:v>
      </x:c>
      <x:c r="G1548" t="str">
        <x:v>8d15490ef09d29e7305e7aff2e18fc7bf2b19a0f9acd6a4a78a366204f5e129c</x:v>
      </x:c>
      <x:c r="H1548" t="str">
        <x:v>neu</x:v>
      </x:c>
      <x:c r="I1548" t="str">
        <x:v>ok</x:v>
      </x:c>
      <x:c r="J1548"/>
      <x:c r="K1548" t="n">
        <x:v>45643</x:v>
      </x:c>
      <x:c r="L1548" t="n">
        <x:v>45643</x:v>
      </x:c>
      <x:c r="M1548" t="str">
        <x:v>Gebucht</x:v>
      </x:c>
      <x:c r="N1548" t="str">
        <x:v>ISSUER</x:v>
      </x:c>
      <x:c r="O1548" t="str">
        <x:v>REWE.Salzgitter.Ge/Salzgitter</x:v>
      </x:c>
      <x:c r="P1548" t="str">
        <x:v>VISA Debitkartenumsatz vom 16.12.2024</x:v>
      </x:c>
      <x:c r="Q1548" t="str">
        <x:v>Ausgang</x:v>
      </x:c>
      <x:c r="R1548" t="str">
        <x:v>DE96120300009005290904</x:v>
      </x:c>
      <x:c r="S1548" t="n">
        <x:v>-2.34</x:v>
      </x:c>
      <x:c r="T1548" t="str">
        <x:v>"</x:v>
      </x:c>
      <x:c r="U1548" t="str">
        <x:v>"</x:v>
      </x:c>
      <x:c r="V1548" t="str">
        <x:v>484351660775160</x:v>
      </x:c>
    </x:row>
    <x:row r="1549">
      <x:c r="A1549" t="str">
        <x:v>RAW-IMP-20260516-FULLDRAFT-001532</x:v>
      </x:c>
      <x:c r="B1549" t="str">
        <x:v>IMP-20260516-FULLDRAFT</x:v>
      </x:c>
      <x:c r="C1549" t="str">
        <x:v>KTO001</x:v>
      </x:c>
      <x:c r="D1549" t="str">
        <x:v>16-05-2026_Umsatzliste_Girokonto_DE98120300001061711675.csv</x:v>
      </x:c>
      <x:c r="E1549" t="n">
        <x:v>46163</x:v>
      </x:c>
      <x:c r="F1549" t="n">
        <x:v>1532</x:v>
      </x:c>
      <x:c r="G1549" t="str">
        <x:v>6d5b5db90a144407ee7d427135aece60d315f28226d0f48d42932afd2ecf98ab</x:v>
      </x:c>
      <x:c r="H1549" t="str">
        <x:v>neu</x:v>
      </x:c>
      <x:c r="I1549" t="str">
        <x:v>ok</x:v>
      </x:c>
      <x:c r="J1549"/>
      <x:c r="K1549" t="n">
        <x:v>45643</x:v>
      </x:c>
      <x:c r="L1549" t="n">
        <x:v>45643</x:v>
      </x:c>
      <x:c r="M1549" t="str">
        <x:v>Gebucht</x:v>
      </x:c>
      <x:c r="N1549" t="str">
        <x:v>Lars Kohlenberg</x:v>
      </x:c>
      <x:c r="O1549" t="str">
        <x:v>Drillisch Online GmbH                                                 Wilhelm-Rontgen-Strase 1-5, 63477 Maintal</x:v>
      </x:c>
      <x:c r="P1549" t="str">
        <x:v>C0851820 U682715459 B780263084 winSIM</x:v>
      </x:c>
      <x:c r="Q1549" t="str">
        <x:v>Ausgang</x:v>
      </x:c>
      <x:c r="R1549" t="str">
        <x:v>DE87300500000008996811</x:v>
      </x:c>
      <x:c r="S1549" t="n">
        <x:v>-6.99</x:v>
      </x:c>
      <x:c r="T1549" t="str">
        <x:v>DE40ZZZ00000206926</x:v>
      </x:c>
      <x:c r="U1549" t="str">
        <x:v>FB1310D094B04186E02ACE7B8C6</x:v>
      </x:c>
      <x:c r="V1549" t="str">
        <x:v>C0851820+U682715459</x:v>
      </x:c>
    </x:row>
    <x:row r="1550">
      <x:c r="A1550" t="str">
        <x:v>RAW-IMP-20260516-FULLDRAFT-001533</x:v>
      </x:c>
      <x:c r="B1550" t="str">
        <x:v>IMP-20260516-FULLDRAFT</x:v>
      </x:c>
      <x:c r="C1550" t="str">
        <x:v>KTO001</x:v>
      </x:c>
      <x:c r="D1550" t="str">
        <x:v>16-05-2026_Umsatzliste_Girokonto_DE98120300001061711675.csv</x:v>
      </x:c>
      <x:c r="E1550" t="n">
        <x:v>46163</x:v>
      </x:c>
      <x:c r="F1550" t="n">
        <x:v>1533</x:v>
      </x:c>
      <x:c r="G1550" t="str">
        <x:v>a45074b3ee4d782bcbeaa04bd15b4c5ebd757e6823cdfeb59227ba1e2e468f02</x:v>
      </x:c>
      <x:c r="H1550" t="str">
        <x:v>neu</x:v>
      </x:c>
      <x:c r="I1550" t="str">
        <x:v>ok</x:v>
      </x:c>
      <x:c r="J1550"/>
      <x:c r="K1550" t="n">
        <x:v>45643</x:v>
      </x:c>
      <x:c r="L1550" t="n">
        <x:v>45643</x:v>
      </x:c>
      <x:c r="M1550" t="str">
        <x:v>Gebucht</x:v>
      </x:c>
      <x:c r="N1550" t="str">
        <x:v>Lars Kohlenberg</x:v>
      </x:c>
      <x:c r="O1550" t="str">
        <x:v>Drillisch Online GmbH                                                 Wilhelm-Rontgen-Strase 1-5, 63477 Maintal</x:v>
      </x:c>
      <x:c r="P1550" t="str">
        <x:v>C0851820 U685368675 B780367711 winSIM</x:v>
      </x:c>
      <x:c r="Q1550" t="str">
        <x:v>Ausgang</x:v>
      </x:c>
      <x:c r="R1550" t="str">
        <x:v>DE87300500000008996811</x:v>
      </x:c>
      <x:c r="S1550" t="n">
        <x:v>-6.99</x:v>
      </x:c>
      <x:c r="T1550" t="str">
        <x:v>DE40ZZZ00000206926</x:v>
      </x:c>
      <x:c r="U1550" t="str">
        <x:v>FB1310D094B04186E02ACE7B8C6</x:v>
      </x:c>
      <x:c r="V1550" t="str">
        <x:v>C0851820+U685368675</x:v>
      </x:c>
    </x:row>
    <x:row r="1551">
      <x:c r="A1551" t="str">
        <x:v>RAW-IMP-20260516-FULLDRAFT-001534</x:v>
      </x:c>
      <x:c r="B1551" t="str">
        <x:v>IMP-20260516-FULLDRAFT</x:v>
      </x:c>
      <x:c r="C1551" t="str">
        <x:v>KTO001</x:v>
      </x:c>
      <x:c r="D1551" t="str">
        <x:v>16-05-2026_Umsatzliste_Girokonto_DE98120300001061711675.csv</x:v>
      </x:c>
      <x:c r="E1551" t="n">
        <x:v>46163</x:v>
      </x:c>
      <x:c r="F1551" t="n">
        <x:v>1534</x:v>
      </x:c>
      <x:c r="G1551" t="str">
        <x:v>2e02e81770390deb8ecf69a9637a4075677efce7a636dc5f8bd4c00ad310e64b</x:v>
      </x:c>
      <x:c r="H1551" t="str">
        <x:v>neu</x:v>
      </x:c>
      <x:c r="I1551" t="str">
        <x:v>ok</x:v>
      </x:c>
      <x:c r="J1551"/>
      <x:c r="K1551" t="n">
        <x:v>45643</x:v>
      </x:c>
      <x:c r="L1551" t="n">
        <x:v>45643</x:v>
      </x:c>
      <x:c r="M1551" t="str">
        <x:v>Gebucht</x:v>
      </x:c>
      <x:c r="N1551" t="str">
        <x:v>Lars Kohlenberg</x:v>
      </x:c>
      <x:c r="O1551" t="str">
        <x:v>Drillisch Online GmbH                                                 Wilhelm-Rontgen-Strase 1-5, 63477 Maintal</x:v>
      </x:c>
      <x:c r="P1551" t="str">
        <x:v>C0851820 U679709055 B781056441 winSIM</x:v>
      </x:c>
      <x:c r="Q1551" t="str">
        <x:v>Ausgang</x:v>
      </x:c>
      <x:c r="R1551" t="str">
        <x:v>DE87300500000008996811</x:v>
      </x:c>
      <x:c r="S1551" t="n">
        <x:v>-6.99</x:v>
      </x:c>
      <x:c r="T1551" t="str">
        <x:v>DE40ZZZ00000206926</x:v>
      </x:c>
      <x:c r="U1551" t="str">
        <x:v>FB1310D094B04186E02ACE7B8C6</x:v>
      </x:c>
      <x:c r="V1551" t="str">
        <x:v>C0851820+U679709055</x:v>
      </x:c>
    </x:row>
    <x:row r="1552">
      <x:c r="A1552" t="str">
        <x:v>RAW-IMP-20260516-FULLDRAFT-001535</x:v>
      </x:c>
      <x:c r="B1552" t="str">
        <x:v>IMP-20260516-FULLDRAFT</x:v>
      </x:c>
      <x:c r="C1552" t="str">
        <x:v>KTO001</x:v>
      </x:c>
      <x:c r="D1552" t="str">
        <x:v>16-05-2026_Umsatzliste_Girokonto_DE98120300001061711675.csv</x:v>
      </x:c>
      <x:c r="E1552" t="n">
        <x:v>46163</x:v>
      </x:c>
      <x:c r="F1552" t="n">
        <x:v>1535</x:v>
      </x:c>
      <x:c r="G1552" t="str">
        <x:v>60d5a3b1f33b3e18170ffff95ebff5d9181a50e9d6771ceef516c736fa91dbfc</x:v>
      </x:c>
      <x:c r="H1552" t="str">
        <x:v>neu</x:v>
      </x:c>
      <x:c r="I1552" t="str">
        <x:v>ok</x:v>
      </x:c>
      <x:c r="J1552"/>
      <x:c r="K1552" t="n">
        <x:v>45642</x:v>
      </x:c>
      <x:c r="L1552" t="n">
        <x:v>45642</x:v>
      </x:c>
      <x:c r="M1552" t="str">
        <x:v>Gebucht</x:v>
      </x:c>
      <x:c r="N1552" t="str">
        <x:v>ISSUER</x:v>
      </x:c>
      <x:c r="O1552" t="str">
        <x:v>Lidl.sagt.Danke/Salzgitter</x:v>
      </x:c>
      <x:c r="P1552" t="str">
        <x:v>VISA Debitkartenumsatz vom 14.12.2024</x:v>
      </x:c>
      <x:c r="Q1552" t="str">
        <x:v>Ausgang</x:v>
      </x:c>
      <x:c r="R1552" t="str">
        <x:v>DE96120300009005290904</x:v>
      </x:c>
      <x:c r="S1552" t="n">
        <x:v>-16.89</x:v>
      </x:c>
      <x:c r="T1552" t="str">
        <x:v>"</x:v>
      </x:c>
      <x:c r="U1552" t="str">
        <x:v>"</x:v>
      </x:c>
      <x:c r="V1552" t="str">
        <x:v>484349307140558</x:v>
      </x:c>
    </x:row>
    <x:row r="1553">
      <x:c r="A1553" t="str">
        <x:v>RAW-IMP-20260516-FULLDRAFT-001536</x:v>
      </x:c>
      <x:c r="B1553" t="str">
        <x:v>IMP-20260516-FULLDRAFT</x:v>
      </x:c>
      <x:c r="C1553" t="str">
        <x:v>KTO001</x:v>
      </x:c>
      <x:c r="D1553" t="str">
        <x:v>16-05-2026_Umsatzliste_Girokonto_DE98120300001061711675.csv</x:v>
      </x:c>
      <x:c r="E1553" t="n">
        <x:v>46163</x:v>
      </x:c>
      <x:c r="F1553" t="n">
        <x:v>1536</x:v>
      </x:c>
      <x:c r="G1553" t="str">
        <x:v>d5c40ec06c1a33ce1a2a7759f6a6e466f264cac8dd80aad4abc1f4fd0c9998c3</x:v>
      </x:c>
      <x:c r="H1553" t="str">
        <x:v>neu</x:v>
      </x:c>
      <x:c r="I1553" t="str">
        <x:v>ok</x:v>
      </x:c>
      <x:c r="J1553"/>
      <x:c r="K1553" t="n">
        <x:v>45639</x:v>
      </x:c>
      <x:c r="L1553" t="n">
        <x:v>45639</x:v>
      </x:c>
      <x:c r="M1553" t="str">
        <x:v>Gebucht</x:v>
      </x:c>
      <x:c r="N1553" t="str">
        <x:v>Lars Kohlenberg</x:v>
      </x:c>
      <x:c r="O1553" t="str">
        <x:v>EnBW Energie Baden-Wurttemberg AG                                     Durlacher Allee 93, 76131 Karlsruhe</x:v>
      </x:c>
      <x:c r="P1553" t="str">
        <x:v>720016881366 Mobility+ Rechnung</x:v>
      </x:c>
      <x:c r="Q1553" t="str">
        <x:v>Ausgang</x:v>
      </x:c>
      <x:c r="R1553" t="str">
        <x:v>DE30600501010004095341</x:v>
      </x:c>
      <x:c r="S1553" t="n">
        <x:v>-85.11</x:v>
      </x:c>
      <x:c r="T1553" t="str">
        <x:v>DE6900000000084184</x:v>
      </x:c>
      <x:c r="U1553" t="str">
        <x:v>V5500000100835916</x:v>
      </x:c>
      <x:c r="V1553" t="str">
        <x:v>B25000645587 720016881366</x:v>
      </x:c>
    </x:row>
    <x:row r="1554">
      <x:c r="A1554" t="str">
        <x:v>RAW-IMP-20260516-FULLDRAFT-001537</x:v>
      </x:c>
      <x:c r="B1554" t="str">
        <x:v>IMP-20260516-FULLDRAFT</x:v>
      </x:c>
      <x:c r="C1554" t="str">
        <x:v>KTO001</x:v>
      </x:c>
      <x:c r="D1554" t="str">
        <x:v>16-05-2026_Umsatzliste_Girokonto_DE98120300001061711675.csv</x:v>
      </x:c>
      <x:c r="E1554" t="n">
        <x:v>46163</x:v>
      </x:c>
      <x:c r="F1554" t="n">
        <x:v>1537</x:v>
      </x:c>
      <x:c r="G1554" t="str">
        <x:v>c286ad1f6e50dad1fbb48c165543c839064bed06fde49bd97cd7b585de80bb6c</x:v>
      </x:c>
      <x:c r="H1554" t="str">
        <x:v>neu</x:v>
      </x:c>
      <x:c r="I1554" t="str">
        <x:v>ok</x:v>
      </x:c>
      <x:c r="J1554"/>
      <x:c r="K1554" t="n">
        <x:v>45638</x:v>
      </x:c>
      <x:c r="L1554" t="n">
        <x:v>45638</x:v>
      </x:c>
      <x:c r="M1554" t="str">
        <x:v>Gebucht</x:v>
      </x:c>
      <x:c r="N1554" t="str">
        <x:v>ISSUER</x:v>
      </x:c>
      <x:c r="O1554" t="str">
        <x:v>HENNESTRAND.DE/HENNE</x:v>
      </x:c>
      <x:c r="P1554" t="str">
        <x:v>VISA Debitkartenumsatz vom 11.12.2024</x:v>
      </x:c>
      <x:c r="Q1554" t="str">
        <x:v>Ausgang</x:v>
      </x:c>
      <x:c r="R1554" t="str">
        <x:v>DE96120300009005290904</x:v>
      </x:c>
      <x:c r="S1554" t="n">
        <x:v>-397</x:v>
      </x:c>
      <x:c r="T1554" t="str">
        <x:v>"</x:v>
      </x:c>
      <x:c r="U1554" t="str">
        <x:v>"</x:v>
      </x:c>
      <x:c r="V1554" t="str">
        <x:v>484346298541922</x:v>
      </x:c>
    </x:row>
    <x:row r="1555">
      <x:c r="A1555" t="str">
        <x:v>RAW-IMP-20260516-FULLDRAFT-001538</x:v>
      </x:c>
      <x:c r="B1555" t="str">
        <x:v>IMP-20260516-FULLDRAFT</x:v>
      </x:c>
      <x:c r="C1555" t="str">
        <x:v>KTO001</x:v>
      </x:c>
      <x:c r="D1555" t="str">
        <x:v>16-05-2026_Umsatzliste_Girokonto_DE98120300001061711675.csv</x:v>
      </x:c>
      <x:c r="E1555" t="n">
        <x:v>46163</x:v>
      </x:c>
      <x:c r="F1555" t="n">
        <x:v>1538</x:v>
      </x:c>
      <x:c r="G1555" t="str">
        <x:v>4136922b814941b282d68147a1bbf86663b994f4f13bdc80f0d6b9611904ba60</x:v>
      </x:c>
      <x:c r="H1555" t="str">
        <x:v>neu</x:v>
      </x:c>
      <x:c r="I1555" t="str">
        <x:v>ok</x:v>
      </x:c>
      <x:c r="J1555"/>
      <x:c r="K1555" t="n">
        <x:v>45637</x:v>
      </x:c>
      <x:c r="L1555" t="n">
        <x:v>45637</x:v>
      </x:c>
      <x:c r="M1555" t="str">
        <x:v>Gebucht</x:v>
      </x:c>
      <x:c r="N1555" t="str">
        <x:v>Lars Kohlenberg</x:v>
      </x:c>
      <x:c r="O1555" t="str">
        <x:v>Lars Kohlenberg</x:v>
      </x:c>
      <x:c r="P1555" t="str">
        <x:v>RUECKUEBERWEISUNG Konto gesperrt RUECKUEBERWEISUNG Konto gesperrt Taschengeld</x:v>
      </x:c>
      <x:c r="Q1555" t="str">
        <x:v>Eingang</x:v>
      </x:c>
      <x:c r="R1555" t="str">
        <x:v>DE98120300001061711675</x:v>
      </x:c>
      <x:c r="S1555" t="n">
        <x:v>10</x:v>
      </x:c>
      <x:c r="T1555" t="str">
        <x:v>"</x:v>
      </x:c>
      <x:c r="U1555" t="str">
        <x:v>"</x:v>
      </x:c>
      <x:c r="V1555" t="str">
        <x:v>"</x:v>
      </x:c>
    </x:row>
    <x:row r="1556">
      <x:c r="A1556" t="str">
        <x:v>RAW-IMP-20260516-FULLDRAFT-001539</x:v>
      </x:c>
      <x:c r="B1556" t="str">
        <x:v>IMP-20260516-FULLDRAFT</x:v>
      </x:c>
      <x:c r="C1556" t="str">
        <x:v>KTO001</x:v>
      </x:c>
      <x:c r="D1556" t="str">
        <x:v>16-05-2026_Umsatzliste_Girokonto_DE98120300001061711675.csv</x:v>
      </x:c>
      <x:c r="E1556" t="n">
        <x:v>46163</x:v>
      </x:c>
      <x:c r="F1556" t="n">
        <x:v>1539</x:v>
      </x:c>
      <x:c r="G1556" t="str">
        <x:v>c4a28be45292ad1ee5165ef3700e9517e757650337f6cec620f6909dcfdbc4f6</x:v>
      </x:c>
      <x:c r="H1556" t="str">
        <x:v>neu</x:v>
      </x:c>
      <x:c r="I1556" t="str">
        <x:v>ok</x:v>
      </x:c>
      <x:c r="J1556"/>
      <x:c r="K1556" t="n">
        <x:v>45637</x:v>
      </x:c>
      <x:c r="L1556" t="n">
        <x:v>45637</x:v>
      </x:c>
      <x:c r="M1556" t="str">
        <x:v>Gebucht</x:v>
      </x:c>
      <x:c r="N1556" t="str">
        <x:v>ISSUER</x:v>
      </x:c>
      <x:c r="O1556" t="str">
        <x:v>REWE.Salzgitter.Ge/Salzgitter</x:v>
      </x:c>
      <x:c r="P1556" t="str">
        <x:v>VISA Debitkartenumsatz vom 10.12.2024</x:v>
      </x:c>
      <x:c r="Q1556" t="str">
        <x:v>Ausgang</x:v>
      </x:c>
      <x:c r="R1556" t="str">
        <x:v>DE96120300009005290904</x:v>
      </x:c>
      <x:c r="S1556" t="n">
        <x:v>-4.98</x:v>
      </x:c>
      <x:c r="T1556" t="str">
        <x:v>"</x:v>
      </x:c>
      <x:c r="U1556" t="str">
        <x:v>"</x:v>
      </x:c>
      <x:c r="V1556" t="str">
        <x:v>484345426996247</x:v>
      </x:c>
    </x:row>
    <x:row r="1557">
      <x:c r="A1557" t="str">
        <x:v>RAW-IMP-20260516-FULLDRAFT-001540</x:v>
      </x:c>
      <x:c r="B1557" t="str">
        <x:v>IMP-20260516-FULLDRAFT</x:v>
      </x:c>
      <x:c r="C1557" t="str">
        <x:v>KTO001</x:v>
      </x:c>
      <x:c r="D1557" t="str">
        <x:v>16-05-2026_Umsatzliste_Girokonto_DE98120300001061711675.csv</x:v>
      </x:c>
      <x:c r="E1557" t="n">
        <x:v>46163</x:v>
      </x:c>
      <x:c r="F1557" t="n">
        <x:v>1540</x:v>
      </x:c>
      <x:c r="G1557" t="str">
        <x:v>38007bdbe6e9f39a8ab46c837f406f8efcb74b2bf65ce99fded2588a7609c8fc</x:v>
      </x:c>
      <x:c r="H1557" t="str">
        <x:v>neu</x:v>
      </x:c>
      <x:c r="I1557" t="str">
        <x:v>ok</x:v>
      </x:c>
      <x:c r="J1557"/>
      <x:c r="K1557" t="n">
        <x:v>45636</x:v>
      </x:c>
      <x:c r="L1557" t="n">
        <x:v>45636</x:v>
      </x:c>
      <x:c r="M1557" t="str">
        <x:v>Gebucht</x:v>
      </x:c>
      <x:c r="N1557" t="str">
        <x:v>ISSUER</x:v>
      </x:c>
      <x:c r="O1557" t="str">
        <x:v>Amazon.de.I40928OK5/AMAZON.DE</x:v>
      </x:c>
      <x:c r="P1557" t="str">
        <x:v>VISA Debitkartenumsatz vom 09.12.2024</x:v>
      </x:c>
      <x:c r="Q1557" t="str">
        <x:v>Ausgang</x:v>
      </x:c>
      <x:c r="R1557" t="str">
        <x:v>DE96120300009005290904</x:v>
      </x:c>
      <x:c r="S1557" t="n">
        <x:v>-31.99</x:v>
      </x:c>
      <x:c r="T1557" t="str">
        <x:v>"</x:v>
      </x:c>
      <x:c r="U1557" t="str">
        <x:v>"</x:v>
      </x:c>
      <x:c r="V1557" t="str">
        <x:v>484343414695848</x:v>
      </x:c>
    </x:row>
    <x:row r="1558">
      <x:c r="A1558" t="str">
        <x:v>RAW-IMP-20260516-FULLDRAFT-001541</x:v>
      </x:c>
      <x:c r="B1558" t="str">
        <x:v>IMP-20260516-FULLDRAFT</x:v>
      </x:c>
      <x:c r="C1558" t="str">
        <x:v>KTO001</x:v>
      </x:c>
      <x:c r="D1558" t="str">
        <x:v>16-05-2026_Umsatzliste_Girokonto_DE98120300001061711675.csv</x:v>
      </x:c>
      <x:c r="E1558" t="n">
        <x:v>46163</x:v>
      </x:c>
      <x:c r="F1558" t="n">
        <x:v>1541</x:v>
      </x:c>
      <x:c r="G1558" t="str">
        <x:v>8a620bbbd73ac63f5eeb6cbcf770f17341a4701925f217fa0105ce7aad517c39</x:v>
      </x:c>
      <x:c r="H1558" t="str">
        <x:v>neu</x:v>
      </x:c>
      <x:c r="I1558" t="str">
        <x:v>ok</x:v>
      </x:c>
      <x:c r="J1558"/>
      <x:c r="K1558" t="n">
        <x:v>45636</x:v>
      </x:c>
      <x:c r="L1558" t="n">
        <x:v>45636</x:v>
      </x:c>
      <x:c r="M1558" t="str">
        <x:v>Gebucht</x:v>
      </x:c>
      <x:c r="N1558" t="str">
        <x:v>Lars Kohlenberg</x:v>
      </x:c>
      <x:c r="O1558" t="str">
        <x:v>Lars Kohlenberg</x:v>
      </x:c>
      <x:c r="P1558" t="str">
        <x:v>RUECKUEBERWEISUNG Konto gesperrt Taschengeld</x:v>
      </x:c>
      <x:c r="Q1558" t="str">
        <x:v>Ausgang</x:v>
      </x:c>
      <x:c r="R1558" t="str">
        <x:v>DE89269910662833344000</x:v>
      </x:c>
      <x:c r="S1558" t="n">
        <x:v>-10</x:v>
      </x:c>
      <x:c r="T1558" t="str">
        <x:v>"</x:v>
      </x:c>
      <x:c r="U1558" t="str">
        <x:v>"</x:v>
      </x:c>
      <x:c r="V1558" t="str">
        <x:v>"</x:v>
      </x:c>
    </x:row>
    <x:row r="1559">
      <x:c r="A1559" t="str">
        <x:v>RAW-IMP-20260516-FULLDRAFT-001542</x:v>
      </x:c>
      <x:c r="B1559" t="str">
        <x:v>IMP-20260516-FULLDRAFT</x:v>
      </x:c>
      <x:c r="C1559" t="str">
        <x:v>KTO001</x:v>
      </x:c>
      <x:c r="D1559" t="str">
        <x:v>16-05-2026_Umsatzliste_Girokonto_DE98120300001061711675.csv</x:v>
      </x:c>
      <x:c r="E1559" t="n">
        <x:v>46163</x:v>
      </x:c>
      <x:c r="F1559" t="n">
        <x:v>1542</x:v>
      </x:c>
      <x:c r="G1559" t="str">
        <x:v>fa97747374966f28dcdd0a4bc14381fd890bcc5f74e9250815ca39ac82268917</x:v>
      </x:c>
      <x:c r="H1559" t="str">
        <x:v>neu</x:v>
      </x:c>
      <x:c r="I1559" t="str">
        <x:v>ok</x:v>
      </x:c>
      <x:c r="J1559"/>
      <x:c r="K1559" t="n">
        <x:v>45635</x:v>
      </x:c>
      <x:c r="L1559" t="n">
        <x:v>45635</x:v>
      </x:c>
      <x:c r="M1559" t="str">
        <x:v>Gebucht</x:v>
      </x:c>
      <x:c r="N1559" t="str">
        <x:v>ISSUER</x:v>
      </x:c>
      <x:c r="O1559" t="str">
        <x:v>REWE.Salzgitter.Ge/Salzgitter</x:v>
      </x:c>
      <x:c r="P1559" t="str">
        <x:v>VISA Debitkartenumsatz vom 06.12.2024</x:v>
      </x:c>
      <x:c r="Q1559" t="str">
        <x:v>Ausgang</x:v>
      </x:c>
      <x:c r="R1559" t="str">
        <x:v>DE96120300009005290904</x:v>
      </x:c>
      <x:c r="S1559" t="n">
        <x:v>-3.28</x:v>
      </x:c>
      <x:c r="T1559" t="str">
        <x:v>"</x:v>
      </x:c>
      <x:c r="U1559" t="str">
        <x:v>"</x:v>
      </x:c>
      <x:c r="V1559" t="str">
        <x:v>484341437668644</x:v>
      </x:c>
    </x:row>
    <x:row r="1560">
      <x:c r="A1560" t="str">
        <x:v>RAW-IMP-20260516-FULLDRAFT-001543</x:v>
      </x:c>
      <x:c r="B1560" t="str">
        <x:v>IMP-20260516-FULLDRAFT</x:v>
      </x:c>
      <x:c r="C1560" t="str">
        <x:v>KTO001</x:v>
      </x:c>
      <x:c r="D1560" t="str">
        <x:v>16-05-2026_Umsatzliste_Girokonto_DE98120300001061711675.csv</x:v>
      </x:c>
      <x:c r="E1560" t="n">
        <x:v>46163</x:v>
      </x:c>
      <x:c r="F1560" t="n">
        <x:v>1543</x:v>
      </x:c>
      <x:c r="G1560" t="str">
        <x:v>0c8eaaf64638711b91f60e1c997cea9c4fbb4fa31890fb458b3fc3b646a31bc1</x:v>
      </x:c>
      <x:c r="H1560" t="str">
        <x:v>neu</x:v>
      </x:c>
      <x:c r="I1560" t="str">
        <x:v>ok</x:v>
      </x:c>
      <x:c r="J1560"/>
      <x:c r="K1560" t="n">
        <x:v>45635</x:v>
      </x:c>
      <x:c r="L1560" t="n">
        <x:v>45635</x:v>
      </x:c>
      <x:c r="M1560" t="str">
        <x:v>Gebucht</x:v>
      </x:c>
      <x:c r="N1560" t="str">
        <x:v>ISSUER</x:v>
      </x:c>
      <x:c r="O1560" t="str">
        <x:v>Amazon.de.097036CA5/AMAZON.DE</x:v>
      </x:c>
      <x:c r="P1560" t="str">
        <x:v>VISA Debitkartenumsatz vom 06.12.2024</x:v>
      </x:c>
      <x:c r="Q1560" t="str">
        <x:v>Ausgang</x:v>
      </x:c>
      <x:c r="R1560" t="str">
        <x:v>DE96120300009005290904</x:v>
      </x:c>
      <x:c r="S1560" t="n">
        <x:v>-27.99</x:v>
      </x:c>
      <x:c r="T1560" t="str">
        <x:v>"</x:v>
      </x:c>
      <x:c r="U1560" t="str">
        <x:v>"</x:v>
      </x:c>
      <x:c r="V1560" t="str">
        <x:v>484336325530669</x:v>
      </x:c>
    </x:row>
    <x:row r="1561">
      <x:c r="A1561" t="str">
        <x:v>RAW-IMP-20260516-FULLDRAFT-001544</x:v>
      </x:c>
      <x:c r="B1561" t="str">
        <x:v>IMP-20260516-FULLDRAFT</x:v>
      </x:c>
      <x:c r="C1561" t="str">
        <x:v>KTO001</x:v>
      </x:c>
      <x:c r="D1561" t="str">
        <x:v>16-05-2026_Umsatzliste_Girokonto_DE98120300001061711675.csv</x:v>
      </x:c>
      <x:c r="E1561" t="n">
        <x:v>46163</x:v>
      </x:c>
      <x:c r="F1561" t="n">
        <x:v>1544</x:v>
      </x:c>
      <x:c r="G1561" t="str">
        <x:v>3de338e33399fc9675571308343ad52abc91db98ee10471f2abe2d5dbffdcb1d</x:v>
      </x:c>
      <x:c r="H1561" t="str">
        <x:v>neu</x:v>
      </x:c>
      <x:c r="I1561" t="str">
        <x:v>ok</x:v>
      </x:c>
      <x:c r="J1561"/>
      <x:c r="K1561" t="n">
        <x:v>45635</x:v>
      </x:c>
      <x:c r="L1561" t="n">
        <x:v>45635</x:v>
      </x:c>
      <x:c r="M1561" t="str">
        <x:v>Gebucht</x:v>
      </x:c>
      <x:c r="N1561" t="str">
        <x:v>ISSUER</x:v>
      </x:c>
      <x:c r="O1561" t="str">
        <x:v>REWE.Salzgitter.Ge/Salzgitter</x:v>
      </x:c>
      <x:c r="P1561" t="str">
        <x:v>VISA Debitkartenumsatz vom 07.12.2024</x:v>
      </x:c>
      <x:c r="Q1561" t="str">
        <x:v>Ausgang</x:v>
      </x:c>
      <x:c r="R1561" t="str">
        <x:v>DE96120300009005290904</x:v>
      </x:c>
      <x:c r="S1561" t="n">
        <x:v>-55.28</x:v>
      </x:c>
      <x:c r="T1561" t="str">
        <x:v>"</x:v>
      </x:c>
      <x:c r="U1561" t="str">
        <x:v>"</x:v>
      </x:c>
      <x:c r="V1561" t="str">
        <x:v>484342405886382</x:v>
      </x:c>
    </x:row>
    <x:row r="1562">
      <x:c r="A1562" t="str">
        <x:v>RAW-IMP-20260516-FULLDRAFT-001545</x:v>
      </x:c>
      <x:c r="B1562" t="str">
        <x:v>IMP-20260516-FULLDRAFT</x:v>
      </x:c>
      <x:c r="C1562" t="str">
        <x:v>KTO001</x:v>
      </x:c>
      <x:c r="D1562" t="str">
        <x:v>16-05-2026_Umsatzliste_Girokonto_DE98120300001061711675.csv</x:v>
      </x:c>
      <x:c r="E1562" t="n">
        <x:v>46163</x:v>
      </x:c>
      <x:c r="F1562" t="n">
        <x:v>1545</x:v>
      </x:c>
      <x:c r="G1562" t="str">
        <x:v>2ec8097257cf9e9667d947bd91e96cf35d6e659c89015e9fc818d36e83915dd7</x:v>
      </x:c>
      <x:c r="H1562" t="str">
        <x:v>neu</x:v>
      </x:c>
      <x:c r="I1562" t="str">
        <x:v>ok</x:v>
      </x:c>
      <x:c r="J1562"/>
      <x:c r="K1562" t="n">
        <x:v>45635</x:v>
      </x:c>
      <x:c r="L1562" t="n">
        <x:v>45635</x:v>
      </x:c>
      <x:c r="M1562" t="str">
        <x:v>Gebucht</x:v>
      </x:c>
      <x:c r="N1562" t="str">
        <x:v>Lars Kohlenberg</x:v>
      </x:c>
      <x:c r="O1562" t="str">
        <x:v>GMX by LOTTO24                                                        Simon Carmiggeltstraat 6-50 1011DJ Amsterdam 6</x:v>
      </x:c>
      <x:c r="P1562" t="str">
        <x:v>GMX by LOTTO24 C98983063 - T227353739288</x:v>
      </x:c>
      <x:c r="Q1562" t="str">
        <x:v>Ausgang</x:v>
      </x:c>
      <x:c r="R1562" t="str">
        <x:v>DE52100190001000027873</x:v>
      </x:c>
      <x:c r="S1562" t="n">
        <x:v>-9.04</x:v>
      </x:c>
      <x:c r="T1562" t="str">
        <x:v>NL48ZZZ342764500000</x:v>
      </x:c>
      <x:c r="U1562" t="str">
        <x:v>R372DKN5SSBXZP52</x:v>
      </x:c>
      <x:c r="V1562" t="str">
        <x:v>FVTLLDF7CRS5QJF3</x:v>
      </x:c>
    </x:row>
    <x:row r="1563">
      <x:c r="A1563" t="str">
        <x:v>RAW-IMP-20260516-FULLDRAFT-001546</x:v>
      </x:c>
      <x:c r="B1563" t="str">
        <x:v>IMP-20260516-FULLDRAFT</x:v>
      </x:c>
      <x:c r="C1563" t="str">
        <x:v>KTO001</x:v>
      </x:c>
      <x:c r="D1563" t="str">
        <x:v>16-05-2026_Umsatzliste_Girokonto_DE98120300001061711675.csv</x:v>
      </x:c>
      <x:c r="E1563" t="n">
        <x:v>46163</x:v>
      </x:c>
      <x:c r="F1563" t="n">
        <x:v>1546</x:v>
      </x:c>
      <x:c r="G1563" t="str">
        <x:v>9adcf276b8ae6129f354ad964d3a3b0f339c565a735543e828439b18084b78bc</x:v>
      </x:c>
      <x:c r="H1563" t="str">
        <x:v>neu</x:v>
      </x:c>
      <x:c r="I1563" t="str">
        <x:v>ok</x:v>
      </x:c>
      <x:c r="J1563"/>
      <x:c r="K1563" t="n">
        <x:v>45632</x:v>
      </x:c>
      <x:c r="L1563" t="n">
        <x:v>45632</x:v>
      </x:c>
      <x:c r="M1563" t="str">
        <x:v>Gebucht</x:v>
      </x:c>
      <x:c r="N1563" t="str">
        <x:v>Lars Kohlenberg</x:v>
      </x:c>
      <x:c r="O1563" t="str">
        <x:v>Iman Firat</x:v>
      </x:c>
      <x:c r="P1563" t="str">
        <x:v>2230 Lea Kohlenberg</x:v>
      </x:c>
      <x:c r="Q1563" t="str">
        <x:v>Ausgang</x:v>
      </x:c>
      <x:c r="R1563" t="str">
        <x:v>DE67269910662694298000</x:v>
      </x:c>
      <x:c r="S1563" t="n">
        <x:v>-49.9</x:v>
      </x:c>
      <x:c r="T1563" t="str">
        <x:v>"</x:v>
      </x:c>
      <x:c r="U1563" t="str">
        <x:v>"</x:v>
      </x:c>
      <x:c r="V1563" t="str">
        <x:v>"</x:v>
      </x:c>
    </x:row>
    <x:row r="1564">
      <x:c r="A1564" t="str">
        <x:v>RAW-IMP-20260516-FULLDRAFT-001547</x:v>
      </x:c>
      <x:c r="B1564" t="str">
        <x:v>IMP-20260516-FULLDRAFT</x:v>
      </x:c>
      <x:c r="C1564" t="str">
        <x:v>KTO001</x:v>
      </x:c>
      <x:c r="D1564" t="str">
        <x:v>16-05-2026_Umsatzliste_Girokonto_DE98120300001061711675.csv</x:v>
      </x:c>
      <x:c r="E1564" t="n">
        <x:v>46163</x:v>
      </x:c>
      <x:c r="F1564" t="n">
        <x:v>1547</x:v>
      </x:c>
      <x:c r="G1564" t="str">
        <x:v>f01a5a6329122e55b8aeb47fbda2099427a43ec42d0740f66ffa040cb8af756a</x:v>
      </x:c>
      <x:c r="H1564" t="str">
        <x:v>neu</x:v>
      </x:c>
      <x:c r="I1564" t="str">
        <x:v>ok</x:v>
      </x:c>
      <x:c r="J1564"/>
      <x:c r="K1564" t="n">
        <x:v>45631</x:v>
      </x:c>
      <x:c r="L1564" t="n">
        <x:v>45631</x:v>
      </x:c>
      <x:c r="M1564" t="str">
        <x:v>Gebucht</x:v>
      </x:c>
      <x:c r="N1564" t="str">
        <x:v>Lars Kohlenberg</x:v>
      </x:c>
      <x:c r="O1564" t="str">
        <x:v>Gymnasium Salzgitter Bad</x:v>
      </x:c>
      <x:c r="P1564" t="str">
        <x:v>Lea Sophie Kohlenberg, 10F2, USA Austausch, 3-2025-19</x:v>
      </x:c>
      <x:c r="Q1564" t="str">
        <x:v>Ausgang</x:v>
      </x:c>
      <x:c r="R1564" t="str">
        <x:v>DE36259501300154022560</x:v>
      </x:c>
      <x:c r="S1564" t="n">
        <x:v>-1000</x:v>
      </x:c>
      <x:c r="T1564" t="str">
        <x:v>"</x:v>
      </x:c>
      <x:c r="U1564" t="str">
        <x:v>"</x:v>
      </x:c>
      <x:c r="V1564" t="str">
        <x:v>"</x:v>
      </x:c>
    </x:row>
    <x:row r="1565">
      <x:c r="A1565" t="str">
        <x:v>RAW-IMP-20260516-FULLDRAFT-001548</x:v>
      </x:c>
      <x:c r="B1565" t="str">
        <x:v>IMP-20260516-FULLDRAFT</x:v>
      </x:c>
      <x:c r="C1565" t="str">
        <x:v>KTO001</x:v>
      </x:c>
      <x:c r="D1565" t="str">
        <x:v>16-05-2026_Umsatzliste_Girokonto_DE98120300001061711675.csv</x:v>
      </x:c>
      <x:c r="E1565" t="n">
        <x:v>46163</x:v>
      </x:c>
      <x:c r="F1565" t="n">
        <x:v>1548</x:v>
      </x:c>
      <x:c r="G1565" t="str">
        <x:v>1830d078a1cfd163b8cc7a08449325d219d21ca941cf3169ea2ee9a0d533f3ba</x:v>
      </x:c>
      <x:c r="H1565" t="str">
        <x:v>neu</x:v>
      </x:c>
      <x:c r="I1565" t="str">
        <x:v>ok</x:v>
      </x:c>
      <x:c r="J1565"/>
      <x:c r="K1565" t="n">
        <x:v>45631</x:v>
      </x:c>
      <x:c r="L1565" t="n">
        <x:v>45631</x:v>
      </x:c>
      <x:c r="M1565" t="str">
        <x:v>Gebucht</x:v>
      </x:c>
      <x:c r="N1565" t="str">
        <x:v>ISSUER</x:v>
      </x:c>
      <x:c r="O1565" t="str">
        <x:v>REWE.Salzgitter.Ge/Salzgitter</x:v>
      </x:c>
      <x:c r="P1565" t="str">
        <x:v>VISA Debitkartenumsatz vom 04.12.2024</x:v>
      </x:c>
      <x:c r="Q1565" t="str">
        <x:v>Ausgang</x:v>
      </x:c>
      <x:c r="R1565" t="str">
        <x:v>DE96120300009005290904</x:v>
      </x:c>
      <x:c r="S1565" t="n">
        <x:v>-60.1</x:v>
      </x:c>
      <x:c r="T1565" t="str">
        <x:v>"</x:v>
      </x:c>
      <x:c r="U1565" t="str">
        <x:v>"</x:v>
      </x:c>
      <x:c r="V1565" t="str">
        <x:v>484339628037566</x:v>
      </x:c>
    </x:row>
    <x:row r="1566">
      <x:c r="A1566" t="str">
        <x:v>RAW-IMP-20260516-FULLDRAFT-001549</x:v>
      </x:c>
      <x:c r="B1566" t="str">
        <x:v>IMP-20260516-FULLDRAFT</x:v>
      </x:c>
      <x:c r="C1566" t="str">
        <x:v>KTO001</x:v>
      </x:c>
      <x:c r="D1566" t="str">
        <x:v>16-05-2026_Umsatzliste_Girokonto_DE98120300001061711675.csv</x:v>
      </x:c>
      <x:c r="E1566" t="n">
        <x:v>46163</x:v>
      </x:c>
      <x:c r="F1566" t="n">
        <x:v>1549</x:v>
      </x:c>
      <x:c r="G1566" t="str">
        <x:v>3f31f0a81da120c72ec06821801666a47a7b5deec86db1aa7cd4f5a835371a93</x:v>
      </x:c>
      <x:c r="H1566" t="str">
        <x:v>neu</x:v>
      </x:c>
      <x:c r="I1566" t="str">
        <x:v>ok</x:v>
      </x:c>
      <x:c r="J1566"/>
      <x:c r="K1566" t="n">
        <x:v>45631</x:v>
      </x:c>
      <x:c r="L1566" t="n">
        <x:v>45631</x:v>
      </x:c>
      <x:c r="M1566" t="str">
        <x:v>Gebucht</x:v>
      </x:c>
      <x:c r="N1566" t="str">
        <x:v>ISSUER</x:v>
      </x:c>
      <x:c r="O1566" t="str">
        <x:v>AMZN.Mktp.DE.XI9S05ZG5/800.279.6620</x:v>
      </x:c>
      <x:c r="P1566" t="str">
        <x:v>VISA Debitkartenumsatz vom 04.12.2024</x:v>
      </x:c>
      <x:c r="Q1566" t="str">
        <x:v>Ausgang</x:v>
      </x:c>
      <x:c r="R1566" t="str">
        <x:v>DE96120300009005290904</x:v>
      </x:c>
      <x:c r="S1566" t="n">
        <x:v>-5.98</x:v>
      </x:c>
      <x:c r="T1566" t="str">
        <x:v>"</x:v>
      </x:c>
      <x:c r="U1566" t="str">
        <x:v>"</x:v>
      </x:c>
      <x:c r="V1566" t="str">
        <x:v>484338634294948</x:v>
      </x:c>
    </x:row>
    <x:row r="1567">
      <x:c r="A1567" t="str">
        <x:v>RAW-IMP-20260516-FULLDRAFT-001550</x:v>
      </x:c>
      <x:c r="B1567" t="str">
        <x:v>IMP-20260516-FULLDRAFT</x:v>
      </x:c>
      <x:c r="C1567" t="str">
        <x:v>KTO001</x:v>
      </x:c>
      <x:c r="D1567" t="str">
        <x:v>16-05-2026_Umsatzliste_Girokonto_DE98120300001061711675.csv</x:v>
      </x:c>
      <x:c r="E1567" t="n">
        <x:v>46163</x:v>
      </x:c>
      <x:c r="F1567" t="n">
        <x:v>1550</x:v>
      </x:c>
      <x:c r="G1567" t="str">
        <x:v>0793ce064e449eaf7195db1c7af440beb003d37cd9bcbcb7971cf1882588db84</x:v>
      </x:c>
      <x:c r="H1567" t="str">
        <x:v>neu</x:v>
      </x:c>
      <x:c r="I1567" t="str">
        <x:v>ok</x:v>
      </x:c>
      <x:c r="J1567"/>
      <x:c r="K1567" t="n">
        <x:v>45631</x:v>
      </x:c>
      <x:c r="L1567" t="n">
        <x:v>45631</x:v>
      </x:c>
      <x:c r="M1567" t="str">
        <x:v>Gebucht</x:v>
      </x:c>
      <x:c r="N1567" t="str">
        <x:v>ISSUER</x:v>
      </x:c>
      <x:c r="O1567" t="str">
        <x:v>AMZN.Mktp.DE.JR8SV67I5/800.279.6620</x:v>
      </x:c>
      <x:c r="P1567" t="str">
        <x:v>VISA Debitkartenumsatz vom 04.12.2024</x:v>
      </x:c>
      <x:c r="Q1567" t="str">
        <x:v>Ausgang</x:v>
      </x:c>
      <x:c r="R1567" t="str">
        <x:v>DE96120300009005290904</x:v>
      </x:c>
      <x:c r="S1567" t="n">
        <x:v>-22.24</x:v>
      </x:c>
      <x:c r="T1567" t="str">
        <x:v>"</x:v>
      </x:c>
      <x:c r="U1567" t="str">
        <x:v>"</x:v>
      </x:c>
      <x:c r="V1567" t="str">
        <x:v>484339553357754</x:v>
      </x:c>
    </x:row>
    <x:row r="1568">
      <x:c r="A1568" t="str">
        <x:v>RAW-IMP-20260516-FULLDRAFT-001551</x:v>
      </x:c>
      <x:c r="B1568" t="str">
        <x:v>IMP-20260516-FULLDRAFT</x:v>
      </x:c>
      <x:c r="C1568" t="str">
        <x:v>KTO001</x:v>
      </x:c>
      <x:c r="D1568" t="str">
        <x:v>16-05-2026_Umsatzliste_Girokonto_DE98120300001061711675.csv</x:v>
      </x:c>
      <x:c r="E1568" t="n">
        <x:v>46163</x:v>
      </x:c>
      <x:c r="F1568" t="n">
        <x:v>1551</x:v>
      </x:c>
      <x:c r="G1568" t="str">
        <x:v>0809f248e15d84f915fc35de8e7b23551695856c1179af1f4a14adf46c4e37e6</x:v>
      </x:c>
      <x:c r="H1568" t="str">
        <x:v>neu</x:v>
      </x:c>
      <x:c r="I1568" t="str">
        <x:v>ok</x:v>
      </x:c>
      <x:c r="J1568"/>
      <x:c r="K1568" t="n">
        <x:v>45630</x:v>
      </x:c>
      <x:c r="L1568" t="n">
        <x:v>45630</x:v>
      </x:c>
      <x:c r="M1568" t="str">
        <x:v>Gebucht</x:v>
      </x:c>
      <x:c r="N1568" t="str">
        <x:v>ISSUER</x:v>
      </x:c>
      <x:c r="O1568" t="str">
        <x:v>REWE.Salzgitter.Ge/Salzgitter</x:v>
      </x:c>
      <x:c r="P1568" t="str">
        <x:v>VISA Debitkartenumsatz vom 03.12.2024</x:v>
      </x:c>
      <x:c r="Q1568" t="str">
        <x:v>Ausgang</x:v>
      </x:c>
      <x:c r="R1568" t="str">
        <x:v>DE96120300009005290904</x:v>
      </x:c>
      <x:c r="S1568" t="n">
        <x:v>-6.88</x:v>
      </x:c>
      <x:c r="T1568" t="str">
        <x:v>"</x:v>
      </x:c>
      <x:c r="U1568" t="str">
        <x:v>"</x:v>
      </x:c>
      <x:c r="V1568" t="str">
        <x:v>484338424982391</x:v>
      </x:c>
    </x:row>
    <x:row r="1569">
      <x:c r="A1569" t="str">
        <x:v>RAW-IMP-20260516-FULLDRAFT-001552</x:v>
      </x:c>
      <x:c r="B1569" t="str">
        <x:v>IMP-20260516-FULLDRAFT</x:v>
      </x:c>
      <x:c r="C1569" t="str">
        <x:v>KTO001</x:v>
      </x:c>
      <x:c r="D1569" t="str">
        <x:v>16-05-2026_Umsatzliste_Girokonto_DE98120300001061711675.csv</x:v>
      </x:c>
      <x:c r="E1569" t="n">
        <x:v>46163</x:v>
      </x:c>
      <x:c r="F1569" t="n">
        <x:v>1552</x:v>
      </x:c>
      <x:c r="G1569" t="str">
        <x:v>0f4bc44d7382f992e6e8d4619cf99fcb31832f9c10512993959b5570415b5b82</x:v>
      </x:c>
      <x:c r="H1569" t="str">
        <x:v>neu</x:v>
      </x:c>
      <x:c r="I1569" t="str">
        <x:v>ok</x:v>
      </x:c>
      <x:c r="J1569"/>
      <x:c r="K1569" t="n">
        <x:v>45630</x:v>
      </x:c>
      <x:c r="L1569" t="n">
        <x:v>45630</x:v>
      </x:c>
      <x:c r="M1569" t="str">
        <x:v>Gebucht</x:v>
      </x:c>
      <x:c r="N1569" t="str">
        <x:v>Lars Kohlenberg</x:v>
      </x:c>
      <x:c r="O1569" t="str">
        <x:v>GMX by LOTTO24                                                        Simon Carmiggeltstraat 6-50 1011DJ Amsterdam 6</x:v>
      </x:c>
      <x:c r="P1569" t="str">
        <x:v>GMX by LOTTO24 C98983063 - T556362732505</x:v>
      </x:c>
      <x:c r="Q1569" t="str">
        <x:v>Ausgang</x:v>
      </x:c>
      <x:c r="R1569" t="str">
        <x:v>DE52100190001000027873</x:v>
      </x:c>
      <x:c r="S1569" t="n">
        <x:v>-18.14</x:v>
      </x:c>
      <x:c r="T1569" t="str">
        <x:v>NL48ZZZ342764500000</x:v>
      </x:c>
      <x:c r="U1569" t="str">
        <x:v>R372DKN5SSBXZP52</x:v>
      </x:c>
      <x:c r="V1569" t="str">
        <x:v>XKLRWZ5DSBJT27F3</x:v>
      </x:c>
    </x:row>
    <x:row r="1570">
      <x:c r="A1570" t="str">
        <x:v>RAW-IMP-20260516-FULLDRAFT-001553</x:v>
      </x:c>
      <x:c r="B1570" t="str">
        <x:v>IMP-20260516-FULLDRAFT</x:v>
      </x:c>
      <x:c r="C1570" t="str">
        <x:v>KTO001</x:v>
      </x:c>
      <x:c r="D1570" t="str">
        <x:v>16-05-2026_Umsatzliste_Girokonto_DE98120300001061711675.csv</x:v>
      </x:c>
      <x:c r="E1570" t="n">
        <x:v>46163</x:v>
      </x:c>
      <x:c r="F1570" t="n">
        <x:v>1553</x:v>
      </x:c>
      <x:c r="G1570" t="str">
        <x:v>816d7fcfc95325e3814d6d60e3e856a677e3ebaaecf0b3468ef7d45c40f3dfd1</x:v>
      </x:c>
      <x:c r="H1570" t="str">
        <x:v>neu</x:v>
      </x:c>
      <x:c r="I1570" t="str">
        <x:v>ok</x:v>
      </x:c>
      <x:c r="J1570"/>
      <x:c r="K1570" t="n">
        <x:v>45629</x:v>
      </x:c>
      <x:c r="L1570" t="n">
        <x:v>45629</x:v>
      </x:c>
      <x:c r="M1570" t="str">
        <x:v>Gebucht</x:v>
      </x:c>
      <x:c r="N1570" t="str">
        <x:v>Lars Kohlenberg</x:v>
      </x:c>
      <x:c r="O1570" t="str">
        <x:v>Lea kohlenberg</x:v>
      </x:c>
      <x:c r="P1570" t="str">
        <x:v>RUECKUEBERWEISUNG Konto gesperrt Taschengeld</x:v>
      </x:c>
      <x:c r="Q1570" t="str">
        <x:v>Eingang</x:v>
      </x:c>
      <x:c r="R1570" t="str">
        <x:v>DE98120300001061711675</x:v>
      </x:c>
      <x:c r="S1570" t="n">
        <x:v>10</x:v>
      </x:c>
      <x:c r="T1570" t="str">
        <x:v>"</x:v>
      </x:c>
      <x:c r="U1570" t="str">
        <x:v>"</x:v>
      </x:c>
      <x:c r="V1570" t="str">
        <x:v>"</x:v>
      </x:c>
    </x:row>
    <x:row r="1571">
      <x:c r="A1571" t="str">
        <x:v>RAW-IMP-20260516-FULLDRAFT-001554</x:v>
      </x:c>
      <x:c r="B1571" t="str">
        <x:v>IMP-20260516-FULLDRAFT</x:v>
      </x:c>
      <x:c r="C1571" t="str">
        <x:v>KTO001</x:v>
      </x:c>
      <x:c r="D1571" t="str">
        <x:v>16-05-2026_Umsatzliste_Girokonto_DE98120300001061711675.csv</x:v>
      </x:c>
      <x:c r="E1571" t="n">
        <x:v>46163</x:v>
      </x:c>
      <x:c r="F1571" t="n">
        <x:v>1554</x:v>
      </x:c>
      <x:c r="G1571" t="str">
        <x:v>431d54bc4db3ed10d9c827da05675a4ed0c892e2dd9f88a3550a377d86887d52</x:v>
      </x:c>
      <x:c r="H1571" t="str">
        <x:v>neu</x:v>
      </x:c>
      <x:c r="I1571" t="str">
        <x:v>ok</x:v>
      </x:c>
      <x:c r="J1571"/>
      <x:c r="K1571" t="n">
        <x:v>45629</x:v>
      </x:c>
      <x:c r="L1571" t="n">
        <x:v>45629</x:v>
      </x:c>
      <x:c r="M1571" t="str">
        <x:v>Gebucht</x:v>
      </x:c>
      <x:c r="N1571" t="str">
        <x:v>FINANZKASSE WOLFENBUETTEL</x:v>
      </x:c>
      <x:c r="O1571" t="str">
        <x:v>KOHLENBERG LARS</x:v>
      </x:c>
      <x:c r="P1571" t="str">
        <x:v>ERSTATT.51/023/12991 EST-VERANL. 21</x:v>
      </x:c>
      <x:c r="Q1571" t="str">
        <x:v>Eingang</x:v>
      </x:c>
      <x:c r="R1571" t="str">
        <x:v>DE19250500000101431294</x:v>
      </x:c>
      <x:c r="S1571" t="n">
        <x:v>556.07</x:v>
      </x:c>
      <x:c r="T1571" t="str">
        <x:v>"</x:v>
      </x:c>
      <x:c r="U1571" t="str">
        <x:v>"</x:v>
      </x:c>
      <x:c r="V1571" t="str">
        <x:v>51/023/12991 EST-VG2911202403750045</x:v>
      </x:c>
    </x:row>
    <x:row r="1572">
      <x:c r="A1572" t="str">
        <x:v>RAW-IMP-20260516-FULLDRAFT-001555</x:v>
      </x:c>
      <x:c r="B1572" t="str">
        <x:v>IMP-20260516-FULLDRAFT</x:v>
      </x:c>
      <x:c r="C1572" t="str">
        <x:v>KTO001</x:v>
      </x:c>
      <x:c r="D1572" t="str">
        <x:v>16-05-2026_Umsatzliste_Girokonto_DE98120300001061711675.csv</x:v>
      </x:c>
      <x:c r="E1572" t="n">
        <x:v>46163</x:v>
      </x:c>
      <x:c r="F1572" t="n">
        <x:v>1555</x:v>
      </x:c>
      <x:c r="G1572" t="str">
        <x:v>b44ad35232da7578fccd6c7af89be56396ae591dc5c7bae7a0bf007d7656e523</x:v>
      </x:c>
      <x:c r="H1572" t="str">
        <x:v>neu</x:v>
      </x:c>
      <x:c r="I1572" t="str">
        <x:v>ok</x:v>
      </x:c>
      <x:c r="J1572"/>
      <x:c r="K1572" t="n">
        <x:v>45629</x:v>
      </x:c>
      <x:c r="L1572" t="n">
        <x:v>45629</x:v>
      </x:c>
      <x:c r="M1572" t="str">
        <x:v>Gebucht</x:v>
      </x:c>
      <x:c r="N1572" t="str">
        <x:v>ISSUER</x:v>
      </x:c>
      <x:c r="O1572" t="str">
        <x:v>GLUECKAUF.APOTHEKE/SALZGITTER</x:v>
      </x:c>
      <x:c r="P1572" t="str">
        <x:v>VISA Debitkartenumsatz vom 02.12.2024</x:v>
      </x:c>
      <x:c r="Q1572" t="str">
        <x:v>Ausgang</x:v>
      </x:c>
      <x:c r="R1572" t="str">
        <x:v>DE96120300009005290904</x:v>
      </x:c>
      <x:c r="S1572" t="n">
        <x:v>-5</x:v>
      </x:c>
      <x:c r="T1572" t="str">
        <x:v>"</x:v>
      </x:c>
      <x:c r="U1572" t="str">
        <x:v>"</x:v>
      </x:c>
      <x:c r="V1572" t="str">
        <x:v>484337596200613</x:v>
      </x:c>
    </x:row>
    <x:row r="1573">
      <x:c r="A1573" t="str">
        <x:v>RAW-IMP-20260516-FULLDRAFT-001556</x:v>
      </x:c>
      <x:c r="B1573" t="str">
        <x:v>IMP-20260516-FULLDRAFT</x:v>
      </x:c>
      <x:c r="C1573" t="str">
        <x:v>KTO001</x:v>
      </x:c>
      <x:c r="D1573" t="str">
        <x:v>16-05-2026_Umsatzliste_Girokonto_DE98120300001061711675.csv</x:v>
      </x:c>
      <x:c r="E1573" t="n">
        <x:v>46163</x:v>
      </x:c>
      <x:c r="F1573" t="n">
        <x:v>1556</x:v>
      </x:c>
      <x:c r="G1573" t="str">
        <x:v>ce6c60bc27b72fe3d6477b407df93588a88706e4dcdceb520cbb4e2407b3a0e0</x:v>
      </x:c>
      <x:c r="H1573" t="str">
        <x:v>neu</x:v>
      </x:c>
      <x:c r="I1573" t="str">
        <x:v>ok</x:v>
      </x:c>
      <x:c r="J1573"/>
      <x:c r="K1573" t="n">
        <x:v>45629</x:v>
      </x:c>
      <x:c r="L1573" t="n">
        <x:v>45629</x:v>
      </x:c>
      <x:c r="M1573" t="str">
        <x:v>Gebucht</x:v>
      </x:c>
      <x:c r="N1573" t="str">
        <x:v>Lars Kohlenberg                                                       Johannes-Wosnitza-Str. 8</x:v>
      </x:c>
      <x:c r="O1573" t="str">
        <x:v>FUNKE Medien Nieders.GmbH</x:v>
      </x:c>
      <x:c r="P1573" t="str">
        <x:v>SZ/00001050/VA/01.12.24-31.12.24/Rg-Nr.:6316009516/Kd-Nr:0053112791/Steuer:3.76</x:v>
      </x:c>
      <x:c r="Q1573" t="str">
        <x:v>Ausgang</x:v>
      </x:c>
      <x:c r="R1573" t="str">
        <x:v>DE67250500000000146910</x:v>
      </x:c>
      <x:c r="S1573" t="n">
        <x:v>-57.5</x:v>
      </x:c>
      <x:c r="T1573" t="str">
        <x:v>DE8850000000483288</x:v>
      </x:c>
      <x:c r="U1573" t="str">
        <x:v>0053112791-0500-01300001</x:v>
      </x:c>
      <x:c r="V1573" t="str">
        <x:v>032007797631</x:v>
      </x:c>
    </x:row>
    <x:row r="1574">
      <x:c r="A1574" t="str">
        <x:v>RAW-IMP-20260516-FULLDRAFT-001557</x:v>
      </x:c>
      <x:c r="B1574" t="str">
        <x:v>IMP-20260516-FULLDRAFT</x:v>
      </x:c>
      <x:c r="C1574" t="str">
        <x:v>KTO001</x:v>
      </x:c>
      <x:c r="D1574" t="str">
        <x:v>16-05-2026_Umsatzliste_Girokonto_DE98120300001061711675.csv</x:v>
      </x:c>
      <x:c r="E1574" t="n">
        <x:v>46163</x:v>
      </x:c>
      <x:c r="F1574" t="n">
        <x:v>1557</x:v>
      </x:c>
      <x:c r="G1574" t="str">
        <x:v>1222421a67a69579993ef16375d3f2eb8cc6679fed50bb5687d9da0a2b2623d0</x:v>
      </x:c>
      <x:c r="H1574" t="str">
        <x:v>neu</x:v>
      </x:c>
      <x:c r="I1574" t="str">
        <x:v>ok</x:v>
      </x:c>
      <x:c r="J1574"/>
      <x:c r="K1574" t="n">
        <x:v>45629</x:v>
      </x:c>
      <x:c r="L1574" t="n">
        <x:v>45629</x:v>
      </x:c>
      <x:c r="M1574" t="str">
        <x:v>Gebucht</x:v>
      </x:c>
      <x:c r="N1574" t="str">
        <x:v>Lars Kohlenberg</x:v>
      </x:c>
      <x:c r="O1574" t="str">
        <x:v>VHV Allg. Versicherung AG</x:v>
      </x:c>
      <x:c r="P1574" t="str">
        <x:v>VHV Versicherung UNFALLVERSICHERUNG U 013-072445/0000 Abrechnung: 01.12.24 - 01.01.25</x:v>
      </x:c>
      <x:c r="Q1574" t="str">
        <x:v>Ausgang</x:v>
      </x:c>
      <x:c r="R1574" t="str">
        <x:v>DE65250500000101411551</x:v>
      </x:c>
      <x:c r="S1574" t="n">
        <x:v>-11.96</x:v>
      </x:c>
      <x:c r="T1574" t="str">
        <x:v>DE32VHV00000150810</x:v>
      </x:c>
      <x:c r="U1574" t="str">
        <x:v>0015012300010039</x:v>
      </x:c>
      <x:c r="V1574" t="str">
        <x:v>31373780778</x:v>
      </x:c>
    </x:row>
    <x:row r="1575">
      <x:c r="A1575" t="str">
        <x:v>RAW-IMP-20260516-FULLDRAFT-001558</x:v>
      </x:c>
      <x:c r="B1575" t="str">
        <x:v>IMP-20260516-FULLDRAFT</x:v>
      </x:c>
      <x:c r="C1575" t="str">
        <x:v>KTO001</x:v>
      </x:c>
      <x:c r="D1575" t="str">
        <x:v>16-05-2026_Umsatzliste_Girokonto_DE98120300001061711675.csv</x:v>
      </x:c>
      <x:c r="E1575" t="n">
        <x:v>46163</x:v>
      </x:c>
      <x:c r="F1575" t="n">
        <x:v>1558</x:v>
      </x:c>
      <x:c r="G1575" t="str">
        <x:v>f186fb2282a045780a09a09e3cbc91edb5e1567732027a1e077f05060f4484eb</x:v>
      </x:c>
      <x:c r="H1575" t="str">
        <x:v>neu</x:v>
      </x:c>
      <x:c r="I1575" t="str">
        <x:v>ok</x:v>
      </x:c>
      <x:c r="J1575"/>
      <x:c r="K1575" t="n">
        <x:v>45629</x:v>
      </x:c>
      <x:c r="L1575" t="n">
        <x:v>45629</x:v>
      </x:c>
      <x:c r="M1575" t="str">
        <x:v>Gebucht</x:v>
      </x:c>
      <x:c r="N1575" t="str">
        <x:v>KOHLENBERG, LARS</x:v>
      </x:c>
      <x:c r="O1575" t="str">
        <x:v>VPV-LEBENSVERSICHERUNGS-AG</x:v>
      </x:c>
      <x:c r="P1575" t="str">
        <x:v>VNR 301667726</x:v>
      </x:c>
      <x:c r="Q1575" t="str">
        <x:v>Ausgang</x:v>
      </x:c>
      <x:c r="R1575" t="str">
        <x:v>DE78600501010001166338</x:v>
      </x:c>
      <x:c r="S1575" t="n">
        <x:v>-53.3</x:v>
      </x:c>
      <x:c r="T1575" t="str">
        <x:v>DE96LAG00000064686</x:v>
      </x:c>
      <x:c r="U1575" t="str">
        <x:v>ML700120510</x:v>
      </x:c>
      <x:c r="V1575" t="str">
        <x:v>241202 454447913 ML700120510</x:v>
      </x:c>
    </x:row>
    <x:row r="1576">
      <x:c r="A1576" t="str">
        <x:v>RAW-IMP-20260516-FULLDRAFT-001559</x:v>
      </x:c>
      <x:c r="B1576" t="str">
        <x:v>IMP-20260516-FULLDRAFT</x:v>
      </x:c>
      <x:c r="C1576" t="str">
        <x:v>KTO001</x:v>
      </x:c>
      <x:c r="D1576" t="str">
        <x:v>16-05-2026_Umsatzliste_Girokonto_DE98120300001061711675.csv</x:v>
      </x:c>
      <x:c r="E1576" t="n">
        <x:v>46163</x:v>
      </x:c>
      <x:c r="F1576" t="n">
        <x:v>1559</x:v>
      </x:c>
      <x:c r="G1576" t="str">
        <x:v>33f61ce6670db3c01490ad2fab1bb12434f66be13611eecd067ce767901fd74b</x:v>
      </x:c>
      <x:c r="H1576" t="str">
        <x:v>neu</x:v>
      </x:c>
      <x:c r="I1576" t="str">
        <x:v>ok</x:v>
      </x:c>
      <x:c r="J1576"/>
      <x:c r="K1576" t="n">
        <x:v>45629</x:v>
      </x:c>
      <x:c r="L1576" t="n">
        <x:v>45629</x:v>
      </x:c>
      <x:c r="M1576" t="str">
        <x:v>Gebucht</x:v>
      </x:c>
      <x:c r="N1576" t="str">
        <x:v>Lars Kohlenberg                                                       Johannes-Wosnitza-Str. 8 38229 Salzgitter</x:v>
      </x:c>
      <x:c r="O1576" t="str">
        <x:v>Telekom Deutschland GmbH</x:v>
      </x:c>
      <x:c r="P1576" t="str">
        <x:v>Festnetz Vertragskonto 4763666565 RG 7695023070/22.11.2024</x:v>
      </x:c>
      <x:c r="Q1576" t="str">
        <x:v>Ausgang</x:v>
      </x:c>
      <x:c r="R1576" t="str">
        <x:v>DE07512108001095000911</x:v>
      </x:c>
      <x:c r="S1576" t="n">
        <x:v>-61.92</x:v>
      </x:c>
      <x:c r="T1576" t="str">
        <x:v>DE93ZZZ00000078611</x:v>
      </x:c>
      <x:c r="U1576" t="str">
        <x:v>DE000201000200000000000000012966156</x:v>
      </x:c>
      <x:c r="V1576" t="str">
        <x:v>Zahlbeleg 339979264791</x:v>
      </x:c>
    </x:row>
    <x:row r="1577">
      <x:c r="A1577" t="str">
        <x:v>RAW-IMP-20260516-FULLDRAFT-001560</x:v>
      </x:c>
      <x:c r="B1577" t="str">
        <x:v>IMP-20260516-FULLDRAFT</x:v>
      </x:c>
      <x:c r="C1577" t="str">
        <x:v>KTO001</x:v>
      </x:c>
      <x:c r="D1577" t="str">
        <x:v>16-05-2026_Umsatzliste_Girokonto_DE98120300001061711675.csv</x:v>
      </x:c>
      <x:c r="E1577" t="n">
        <x:v>46163</x:v>
      </x:c>
      <x:c r="F1577" t="n">
        <x:v>1560</x:v>
      </x:c>
      <x:c r="G1577" t="str">
        <x:v>c6e070a6fc482e466efaa59ca7c20f9a576ad68f80595e63fbf309ae849fff71</x:v>
      </x:c>
      <x:c r="H1577" t="str">
        <x:v>neu</x:v>
      </x:c>
      <x:c r="I1577" t="str">
        <x:v>ok</x:v>
      </x:c>
      <x:c r="J1577"/>
      <x:c r="K1577" t="n">
        <x:v>45628</x:v>
      </x:c>
      <x:c r="L1577" t="n">
        <x:v>45628</x:v>
      </x:c>
      <x:c r="M1577" t="str">
        <x:v>Gebucht</x:v>
      </x:c>
      <x:c r="N1577" t="str">
        <x:v>ISSUER</x:v>
      </x:c>
      <x:c r="O1577" t="str">
        <x:v>THALIA.BUCHHANDLUNG.NOR/Braunschweig</x:v>
      </x:c>
      <x:c r="P1577" t="str">
        <x:v>VISA Debitkartenumsatz vom 30.11.2024</x:v>
      </x:c>
      <x:c r="Q1577" t="str">
        <x:v>Ausgang</x:v>
      </x:c>
      <x:c r="R1577" t="str">
        <x:v>DE96120300009005290904</x:v>
      </x:c>
      <x:c r="S1577" t="n">
        <x:v>-36.99</x:v>
      </x:c>
      <x:c r="T1577" t="str">
        <x:v>"</x:v>
      </x:c>
      <x:c r="U1577" t="str">
        <x:v>"</x:v>
      </x:c>
      <x:c r="V1577" t="str">
        <x:v>484335335960479</x:v>
      </x:c>
    </x:row>
    <x:row r="1578">
      <x:c r="A1578" t="str">
        <x:v>RAW-IMP-20260516-FULLDRAFT-001561</x:v>
      </x:c>
      <x:c r="B1578" t="str">
        <x:v>IMP-20260516-FULLDRAFT</x:v>
      </x:c>
      <x:c r="C1578" t="str">
        <x:v>KTO001</x:v>
      </x:c>
      <x:c r="D1578" t="str">
        <x:v>16-05-2026_Umsatzliste_Girokonto_DE98120300001061711675.csv</x:v>
      </x:c>
      <x:c r="E1578" t="n">
        <x:v>46163</x:v>
      </x:c>
      <x:c r="F1578" t="n">
        <x:v>1561</x:v>
      </x:c>
      <x:c r="G1578" t="str">
        <x:v>17f0de124d05acb754545d3d818853c4bf26aaa83a4b10322f87539089ecf5ea</x:v>
      </x:c>
      <x:c r="H1578" t="str">
        <x:v>neu</x:v>
      </x:c>
      <x:c r="I1578" t="str">
        <x:v>ok</x:v>
      </x:c>
      <x:c r="J1578"/>
      <x:c r="K1578" t="n">
        <x:v>45628</x:v>
      </x:c>
      <x:c r="L1578" t="n">
        <x:v>45628</x:v>
      </x:c>
      <x:c r="M1578" t="str">
        <x:v>Gebucht</x:v>
      </x:c>
      <x:c r="N1578" t="str">
        <x:v>ISSUER</x:v>
      </x:c>
      <x:c r="O1578" t="str">
        <x:v>Penny.Fredenberg/Salzgitter</x:v>
      </x:c>
      <x:c r="P1578" t="str">
        <x:v>VISA Debitkartenumsatz vom 29.11.2024</x:v>
      </x:c>
      <x:c r="Q1578" t="str">
        <x:v>Ausgang</x:v>
      </x:c>
      <x:c r="R1578" t="str">
        <x:v>DE96120300009005290904</x:v>
      </x:c>
      <x:c r="S1578" t="n">
        <x:v>-10.66</x:v>
      </x:c>
      <x:c r="T1578" t="str">
        <x:v>"</x:v>
      </x:c>
      <x:c r="U1578" t="str">
        <x:v>"</x:v>
      </x:c>
      <x:c r="V1578" t="str">
        <x:v>484334595750856</x:v>
      </x:c>
    </x:row>
    <x:row r="1579">
      <x:c r="A1579" t="str">
        <x:v>RAW-IMP-20260516-FULLDRAFT-001562</x:v>
      </x:c>
      <x:c r="B1579" t="str">
        <x:v>IMP-20260516-FULLDRAFT</x:v>
      </x:c>
      <x:c r="C1579" t="str">
        <x:v>KTO001</x:v>
      </x:c>
      <x:c r="D1579" t="str">
        <x:v>16-05-2026_Umsatzliste_Girokonto_DE98120300001061711675.csv</x:v>
      </x:c>
      <x:c r="E1579" t="n">
        <x:v>46163</x:v>
      </x:c>
      <x:c r="F1579" t="n">
        <x:v>1562</x:v>
      </x:c>
      <x:c r="G1579" t="str">
        <x:v>30e1e7350ac8a5b25f62ebffecb05d3fbf6cd2b8ece5d8b084948e3d8e2c1130</x:v>
      </x:c>
      <x:c r="H1579" t="str">
        <x:v>neu</x:v>
      </x:c>
      <x:c r="I1579" t="str">
        <x:v>ok</x:v>
      </x:c>
      <x:c r="J1579"/>
      <x:c r="K1579" t="n">
        <x:v>45628</x:v>
      </x:c>
      <x:c r="L1579" t="n">
        <x:v>45628</x:v>
      </x:c>
      <x:c r="M1579" t="str">
        <x:v>Gebucht</x:v>
      </x:c>
      <x:c r="N1579" t="str">
        <x:v>ISSUER</x:v>
      </x:c>
      <x:c r="O1579" t="str">
        <x:v>METRO.SAGT.DANKE/BRAUNSCHWEIG</x:v>
      </x:c>
      <x:c r="P1579" t="str">
        <x:v>VISA Debitkartenumsatz vom 30.11.2024</x:v>
      </x:c>
      <x:c r="Q1579" t="str">
        <x:v>Ausgang</x:v>
      </x:c>
      <x:c r="R1579" t="str">
        <x:v>DE96120300009005290904</x:v>
      </x:c>
      <x:c r="S1579" t="n">
        <x:v>-103.09</x:v>
      </x:c>
      <x:c r="T1579" t="str">
        <x:v>"</x:v>
      </x:c>
      <x:c r="U1579" t="str">
        <x:v>"</x:v>
      </x:c>
      <x:c r="V1579" t="str">
        <x:v>484335530193468</x:v>
      </x:c>
    </x:row>
    <x:row r="1580">
      <x:c r="A1580" t="str">
        <x:v>RAW-IMP-20260516-FULLDRAFT-001563</x:v>
      </x:c>
      <x:c r="B1580" t="str">
        <x:v>IMP-20260516-FULLDRAFT</x:v>
      </x:c>
      <x:c r="C1580" t="str">
        <x:v>KTO001</x:v>
      </x:c>
      <x:c r="D1580" t="str">
        <x:v>16-05-2026_Umsatzliste_Girokonto_DE98120300001061711675.csv</x:v>
      </x:c>
      <x:c r="E1580" t="n">
        <x:v>46163</x:v>
      </x:c>
      <x:c r="F1580" t="n">
        <x:v>1563</x:v>
      </x:c>
      <x:c r="G1580" t="str">
        <x:v>3578d2b52b410bdd4104d0386ece05e54e3652ebbf4520e9a85f1a8eff79c49a</x:v>
      </x:c>
      <x:c r="H1580" t="str">
        <x:v>neu</x:v>
      </x:c>
      <x:c r="I1580" t="str">
        <x:v>ok</x:v>
      </x:c>
      <x:c r="J1580"/>
      <x:c r="K1580" t="n">
        <x:v>45628</x:v>
      </x:c>
      <x:c r="L1580" t="n">
        <x:v>45628</x:v>
      </x:c>
      <x:c r="M1580" t="str">
        <x:v>Gebucht</x:v>
      </x:c>
      <x:c r="N1580" t="str">
        <x:v>ISSUER</x:v>
      </x:c>
      <x:c r="O1580" t="str">
        <x:v>SATURN.ELECTRO.HANDELS/BRAUNSCHWEIG</x:v>
      </x:c>
      <x:c r="P1580" t="str">
        <x:v>VISA Debitkartenumsatz vom 30.11.2024</x:v>
      </x:c>
      <x:c r="Q1580" t="str">
        <x:v>Ausgang</x:v>
      </x:c>
      <x:c r="R1580" t="str">
        <x:v>DE96120300009005290904</x:v>
      </x:c>
      <x:c r="S1580" t="n">
        <x:v>-77.99</x:v>
      </x:c>
      <x:c r="T1580" t="str">
        <x:v>"</x:v>
      </x:c>
      <x:c r="U1580" t="str">
        <x:v>"</x:v>
      </x:c>
      <x:c r="V1580" t="str">
        <x:v>484335325080897</x:v>
      </x:c>
    </x:row>
    <x:row r="1581">
      <x:c r="A1581" t="str">
        <x:v>RAW-IMP-20260516-FULLDRAFT-001564</x:v>
      </x:c>
      <x:c r="B1581" t="str">
        <x:v>IMP-20260516-FULLDRAFT</x:v>
      </x:c>
      <x:c r="C1581" t="str">
        <x:v>KTO001</x:v>
      </x:c>
      <x:c r="D1581" t="str">
        <x:v>16-05-2026_Umsatzliste_Girokonto_DE98120300001061711675.csv</x:v>
      </x:c>
      <x:c r="E1581" t="n">
        <x:v>46163</x:v>
      </x:c>
      <x:c r="F1581" t="n">
        <x:v>1564</x:v>
      </x:c>
      <x:c r="G1581" t="str">
        <x:v>86c8f8cfe73158ca7a9363597f9a2c676dd5f9dc99008a82da96694dfaad2e0f</x:v>
      </x:c>
      <x:c r="H1581" t="str">
        <x:v>neu</x:v>
      </x:c>
      <x:c r="I1581" t="str">
        <x:v>ok</x:v>
      </x:c>
      <x:c r="J1581"/>
      <x:c r="K1581" t="n">
        <x:v>45628</x:v>
      </x:c>
      <x:c r="L1581" t="n">
        <x:v>45628</x:v>
      </x:c>
      <x:c r="M1581" t="str">
        <x:v>Gebucht</x:v>
      </x:c>
      <x:c r="N1581" t="str">
        <x:v>ISSUER</x:v>
      </x:c>
      <x:c r="O1581" t="str">
        <x:v>ASIA.HAIKY/BRAUNSCHWEIG</x:v>
      </x:c>
      <x:c r="P1581" t="str">
        <x:v>VISA Debitkartenumsatz vom 30.11.2024</x:v>
      </x:c>
      <x:c r="Q1581" t="str">
        <x:v>Ausgang</x:v>
      </x:c>
      <x:c r="R1581" t="str">
        <x:v>DE96120300009005290904</x:v>
      </x:c>
      <x:c r="S1581" t="n">
        <x:v>-14.3</x:v>
      </x:c>
      <x:c r="T1581" t="str">
        <x:v>"</x:v>
      </x:c>
      <x:c r="U1581" t="str">
        <x:v>"</x:v>
      </x:c>
      <x:c r="V1581" t="str">
        <x:v>484335383420799</x:v>
      </x:c>
    </x:row>
    <x:row r="1582">
      <x:c r="A1582" t="str">
        <x:v>RAW-IMP-20260516-FULLDRAFT-001565</x:v>
      </x:c>
      <x:c r="B1582" t="str">
        <x:v>IMP-20260516-FULLDRAFT</x:v>
      </x:c>
      <x:c r="C1582" t="str">
        <x:v>KTO001</x:v>
      </x:c>
      <x:c r="D1582" t="str">
        <x:v>16-05-2026_Umsatzliste_Girokonto_DE98120300001061711675.csv</x:v>
      </x:c>
      <x:c r="E1582" t="n">
        <x:v>46163</x:v>
      </x:c>
      <x:c r="F1582" t="n">
        <x:v>1565</x:v>
      </x:c>
      <x:c r="G1582" t="str">
        <x:v>c8d3f875bb153247d60b6357920e4cfb959101d1071cf9ae8d4640bfc7eb996c</x:v>
      </x:c>
      <x:c r="H1582" t="str">
        <x:v>neu</x:v>
      </x:c>
      <x:c r="I1582" t="str">
        <x:v>ok</x:v>
      </x:c>
      <x:c r="J1582"/>
      <x:c r="K1582" t="n">
        <x:v>45628</x:v>
      </x:c>
      <x:c r="L1582" t="n">
        <x:v>45628</x:v>
      </x:c>
      <x:c r="M1582" t="str">
        <x:v>Gebucht</x:v>
      </x:c>
      <x:c r="N1582" t="str">
        <x:v>WILLI KOHLENBERG</x:v>
      </x:c>
      <x:c r="O1582" t="str">
        <x:v>LARS KOHLENBERG</x:v>
      </x:c>
      <x:c r="P1582" t="str">
        <x:v>MIETE 2/3 HAUS</x:v>
      </x:c>
      <x:c r="Q1582" t="str">
        <x:v>Eingang</x:v>
      </x:c>
      <x:c r="R1582" t="str">
        <x:v>DE84270800600651520400</x:v>
      </x:c>
      <x:c r="S1582" t="n">
        <x:v>750</x:v>
      </x:c>
      <x:c r="T1582" t="str">
        <x:v>"</x:v>
      </x:c>
      <x:c r="U1582" t="str">
        <x:v>"</x:v>
      </x:c>
      <x:c r="V1582" t="str">
        <x:v>"</x:v>
      </x:c>
    </x:row>
    <x:row r="1583">
      <x:c r="A1583" t="str">
        <x:v>RAW-IMP-20260516-FULLDRAFT-001566</x:v>
      </x:c>
      <x:c r="B1583" t="str">
        <x:v>IMP-20260516-FULLDRAFT</x:v>
      </x:c>
      <x:c r="C1583" t="str">
        <x:v>KTO001</x:v>
      </x:c>
      <x:c r="D1583" t="str">
        <x:v>16-05-2026_Umsatzliste_Girokonto_DE98120300001061711675.csv</x:v>
      </x:c>
      <x:c r="E1583" t="n">
        <x:v>46163</x:v>
      </x:c>
      <x:c r="F1583" t="n">
        <x:v>1566</x:v>
      </x:c>
      <x:c r="G1583" t="str">
        <x:v>5a6272c6cbcd05c99c067ddf8e1ca6ac7dc9519b48bd222a052f8f541a2d1545</x:v>
      </x:c>
      <x:c r="H1583" t="str">
        <x:v>neu</x:v>
      </x:c>
      <x:c r="I1583" t="str">
        <x:v>ok</x:v>
      </x:c>
      <x:c r="J1583"/>
      <x:c r="K1583" t="n">
        <x:v>45628</x:v>
      </x:c>
      <x:c r="L1583" t="n">
        <x:v>45628</x:v>
      </x:c>
      <x:c r="M1583" t="str">
        <x:v>Gebucht</x:v>
      </x:c>
      <x:c r="N1583" t="str">
        <x:v>ISSUER</x:v>
      </x:c>
      <x:c r="O1583" t="str">
        <x:v>AMZN.Mktp.DE.TD9E40CO4/800.279.6620</x:v>
      </x:c>
      <x:c r="P1583" t="str">
        <x:v>VISA Debitkartenumsatz vom 29.11.2024</x:v>
      </x:c>
      <x:c r="Q1583" t="str">
        <x:v>Ausgang</x:v>
      </x:c>
      <x:c r="R1583" t="str">
        <x:v>DE96120300009005290904</x:v>
      </x:c>
      <x:c r="S1583" t="n">
        <x:v>-22.99</x:v>
      </x:c>
      <x:c r="T1583" t="str">
        <x:v>"</x:v>
      </x:c>
      <x:c r="U1583" t="str">
        <x:v>"</x:v>
      </x:c>
      <x:c r="V1583" t="str">
        <x:v>484333218094996</x:v>
      </x:c>
    </x:row>
    <x:row r="1584">
      <x:c r="A1584" t="str">
        <x:v>RAW-IMP-20260516-FULLDRAFT-001567</x:v>
      </x:c>
      <x:c r="B1584" t="str">
        <x:v>IMP-20260516-FULLDRAFT</x:v>
      </x:c>
      <x:c r="C1584" t="str">
        <x:v>KTO001</x:v>
      </x:c>
      <x:c r="D1584" t="str">
        <x:v>16-05-2026_Umsatzliste_Girokonto_DE98120300001061711675.csv</x:v>
      </x:c>
      <x:c r="E1584" t="n">
        <x:v>46163</x:v>
      </x:c>
      <x:c r="F1584" t="n">
        <x:v>1567</x:v>
      </x:c>
      <x:c r="G1584" t="str">
        <x:v>8b1a42b0efda799b08a51d139dfd0d7ed53d462e8dee176c79d3bb86d6bf2a06</x:v>
      </x:c>
      <x:c r="H1584" t="str">
        <x:v>neu</x:v>
      </x:c>
      <x:c r="I1584" t="str">
        <x:v>ok</x:v>
      </x:c>
      <x:c r="J1584"/>
      <x:c r="K1584" t="n">
        <x:v>45628</x:v>
      </x:c>
      <x:c r="L1584" t="n">
        <x:v>45628</x:v>
      </x:c>
      <x:c r="M1584" t="str">
        <x:v>Gebucht</x:v>
      </x:c>
      <x:c r="N1584" t="str">
        <x:v>ISSUER</x:v>
      </x:c>
      <x:c r="O1584" t="str">
        <x:v>NORD.LB...Braunschweigi/GEBHARDSHG</x:v>
      </x:c>
      <x:c r="P1584" t="str">
        <x:v>VISA Debitkartenumsatz vom 01.12.2024</x:v>
      </x:c>
      <x:c r="Q1584" t="str">
        <x:v>Ausgang</x:v>
      </x:c>
      <x:c r="R1584" t="str">
        <x:v>DE96120300009005290904</x:v>
      </x:c>
      <x:c r="S1584" t="n">
        <x:v>-95</x:v>
      </x:c>
      <x:c r="T1584" t="str">
        <x:v>"</x:v>
      </x:c>
      <x:c r="U1584" t="str">
        <x:v>"</x:v>
      </x:c>
      <x:c r="V1584" t="str">
        <x:v>484336416057253</x:v>
      </x:c>
    </x:row>
    <x:row r="1585">
      <x:c r="A1585" t="str">
        <x:v>RAW-IMP-20260516-FULLDRAFT-001568</x:v>
      </x:c>
      <x:c r="B1585" t="str">
        <x:v>IMP-20260516-FULLDRAFT</x:v>
      </x:c>
      <x:c r="C1585" t="str">
        <x:v>KTO001</x:v>
      </x:c>
      <x:c r="D1585" t="str">
        <x:v>16-05-2026_Umsatzliste_Girokonto_DE98120300001061711675.csv</x:v>
      </x:c>
      <x:c r="E1585" t="n">
        <x:v>46163</x:v>
      </x:c>
      <x:c r="F1585" t="n">
        <x:v>1568</x:v>
      </x:c>
      <x:c r="G1585" t="str">
        <x:v>1e71413f4f1d6702637daf9162330c26e4ff765dfd437f72378d7a44e0508d51</x:v>
      </x:c>
      <x:c r="H1585" t="str">
        <x:v>neu</x:v>
      </x:c>
      <x:c r="I1585" t="str">
        <x:v>ok</x:v>
      </x:c>
      <x:c r="J1585"/>
      <x:c r="K1585" t="n">
        <x:v>45628</x:v>
      </x:c>
      <x:c r="L1585" t="n">
        <x:v>45628</x:v>
      </x:c>
      <x:c r="M1585" t="str">
        <x:v>Gebucht</x:v>
      </x:c>
      <x:c r="N1585" t="str">
        <x:v>ISSUER</x:v>
      </x:c>
      <x:c r="O1585" t="str">
        <x:v>ASIA.HAIKY/BRAUNSCHWEIG</x:v>
      </x:c>
      <x:c r="P1585" t="str">
        <x:v>VISA Debitkartenumsatz vom 30.11.2024</x:v>
      </x:c>
      <x:c r="Q1585" t="str">
        <x:v>Ausgang</x:v>
      </x:c>
      <x:c r="R1585" t="str">
        <x:v>DE96120300009005290904</x:v>
      </x:c>
      <x:c r="S1585" t="n">
        <x:v>-5.8</x:v>
      </x:c>
      <x:c r="T1585" t="str">
        <x:v>"</x:v>
      </x:c>
      <x:c r="U1585" t="str">
        <x:v>"</x:v>
      </x:c>
      <x:c r="V1585" t="str">
        <x:v>484335384136517</x:v>
      </x:c>
    </x:row>
    <x:row r="1586">
      <x:c r="A1586" t="str">
        <x:v>RAW-IMP-20260516-FULLDRAFT-001569</x:v>
      </x:c>
      <x:c r="B1586" t="str">
        <x:v>IMP-20260516-FULLDRAFT</x:v>
      </x:c>
      <x:c r="C1586" t="str">
        <x:v>KTO001</x:v>
      </x:c>
      <x:c r="D1586" t="str">
        <x:v>16-05-2026_Umsatzliste_Girokonto_DE98120300001061711675.csv</x:v>
      </x:c>
      <x:c r="E1586" t="n">
        <x:v>46163</x:v>
      </x:c>
      <x:c r="F1586" t="n">
        <x:v>1569</x:v>
      </x:c>
      <x:c r="G1586" t="str">
        <x:v>47d26641238a3d1ea6c62b812ebf25f003540261d81db55623556cb5537d3324</x:v>
      </x:c>
      <x:c r="H1586" t="str">
        <x:v>neu</x:v>
      </x:c>
      <x:c r="I1586" t="str">
        <x:v>ok</x:v>
      </x:c>
      <x:c r="J1586"/>
      <x:c r="K1586" t="n">
        <x:v>45628</x:v>
      </x:c>
      <x:c r="L1586" t="n">
        <x:v>45628</x:v>
      </x:c>
      <x:c r="M1586" t="str">
        <x:v>Gebucht</x:v>
      </x:c>
      <x:c r="N1586" t="str">
        <x:v>ISSUER</x:v>
      </x:c>
      <x:c r="O1586" t="str">
        <x:v>Elbenwald.Store.Braunsc/Braunschweig</x:v>
      </x:c>
      <x:c r="P1586" t="str">
        <x:v>VISA Debitkartenumsatz vom 30.11.2024</x:v>
      </x:c>
      <x:c r="Q1586" t="str">
        <x:v>Ausgang</x:v>
      </x:c>
      <x:c r="R1586" t="str">
        <x:v>DE96120300009005290904</x:v>
      </x:c>
      <x:c r="S1586" t="n">
        <x:v>-58.42</x:v>
      </x:c>
      <x:c r="T1586" t="str">
        <x:v>"</x:v>
      </x:c>
      <x:c r="U1586" t="str">
        <x:v>"</x:v>
      </x:c>
      <x:c r="V1586" t="str">
        <x:v>484335329801194</x:v>
      </x:c>
    </x:row>
    <x:row r="1587">
      <x:c r="A1587" t="str">
        <x:v>RAW-IMP-20260516-FULLDRAFT-001570</x:v>
      </x:c>
      <x:c r="B1587" t="str">
        <x:v>IMP-20260516-FULLDRAFT</x:v>
      </x:c>
      <x:c r="C1587" t="str">
        <x:v>KTO001</x:v>
      </x:c>
      <x:c r="D1587" t="str">
        <x:v>16-05-2026_Umsatzliste_Girokonto_DE98120300001061711675.csv</x:v>
      </x:c>
      <x:c r="E1587" t="n">
        <x:v>46163</x:v>
      </x:c>
      <x:c r="F1587" t="n">
        <x:v>1570</x:v>
      </x:c>
      <x:c r="G1587" t="str">
        <x:v>ed09db857efd8b4e7cb93db476d26b5fe287e91aa632feb39d8756a3bc449cee</x:v>
      </x:c>
      <x:c r="H1587" t="str">
        <x:v>neu</x:v>
      </x:c>
      <x:c r="I1587" t="str">
        <x:v>ok</x:v>
      </x:c>
      <x:c r="J1587"/>
      <x:c r="K1587" t="n">
        <x:v>45628</x:v>
      </x:c>
      <x:c r="L1587" t="n">
        <x:v>45628</x:v>
      </x:c>
      <x:c r="M1587" t="str">
        <x:v>Gebucht</x:v>
      </x:c>
      <x:c r="N1587" t="str">
        <x:v>ISSUER</x:v>
      </x:c>
      <x:c r="O1587" t="str">
        <x:v>Marc.OPolo.Einzelhandel/Braunschweig</x:v>
      </x:c>
      <x:c r="P1587" t="str">
        <x:v>VISA Debitkartenumsatz vom 30.11.2024</x:v>
      </x:c>
      <x:c r="Q1587" t="str">
        <x:v>Ausgang</x:v>
      </x:c>
      <x:c r="R1587" t="str">
        <x:v>DE96120300009005290904</x:v>
      </x:c>
      <x:c r="S1587" t="n">
        <x:v>-104.94</x:v>
      </x:c>
      <x:c r="T1587" t="str">
        <x:v>"</x:v>
      </x:c>
      <x:c r="U1587" t="str">
        <x:v>"</x:v>
      </x:c>
      <x:c r="V1587" t="str">
        <x:v>484335380861581</x:v>
      </x:c>
    </x:row>
    <x:row r="1588">
      <x:c r="A1588" t="str">
        <x:v>RAW-IMP-20260516-FULLDRAFT-001571</x:v>
      </x:c>
      <x:c r="B1588" t="str">
        <x:v>IMP-20260516-FULLDRAFT</x:v>
      </x:c>
      <x:c r="C1588" t="str">
        <x:v>KTO001</x:v>
      </x:c>
      <x:c r="D1588" t="str">
        <x:v>16-05-2026_Umsatzliste_Girokonto_DE98120300001061711675.csv</x:v>
      </x:c>
      <x:c r="E1588" t="n">
        <x:v>46163</x:v>
      </x:c>
      <x:c r="F1588" t="n">
        <x:v>1571</x:v>
      </x:c>
      <x:c r="G1588" t="str">
        <x:v>e0c853c1616b6e18d8926cae3f3c107d6377c0b199e35c6c7b30a0a3dd62adf9</x:v>
      </x:c>
      <x:c r="H1588" t="str">
        <x:v>neu</x:v>
      </x:c>
      <x:c r="I1588" t="str">
        <x:v>ok</x:v>
      </x:c>
      <x:c r="J1588"/>
      <x:c r="K1588" t="n">
        <x:v>45628</x:v>
      </x:c>
      <x:c r="L1588" t="n">
        <x:v>45628</x:v>
      </x:c>
      <x:c r="M1588" t="str">
        <x:v>Gebucht</x:v>
      </x:c>
      <x:c r="N1588" t="str">
        <x:v>ISSUER</x:v>
      </x:c>
      <x:c r="O1588" t="str">
        <x:v>Lidl.sagt.Danke/Salzgitter</x:v>
      </x:c>
      <x:c r="P1588" t="str">
        <x:v>VISA Debitkartenumsatz vom 30.11.2024</x:v>
      </x:c>
      <x:c r="Q1588" t="str">
        <x:v>Ausgang</x:v>
      </x:c>
      <x:c r="R1588" t="str">
        <x:v>DE96120300009005290904</x:v>
      </x:c>
      <x:c r="S1588" t="n">
        <x:v>-107.84</x:v>
      </x:c>
      <x:c r="T1588" t="str">
        <x:v>"</x:v>
      </x:c>
      <x:c r="U1588" t="str">
        <x:v>"</x:v>
      </x:c>
      <x:c r="V1588" t="str">
        <x:v>484335556377986</x:v>
      </x:c>
    </x:row>
    <x:row r="1589">
      <x:c r="A1589" t="str">
        <x:v>RAW-IMP-20260516-FULLDRAFT-001572</x:v>
      </x:c>
      <x:c r="B1589" t="str">
        <x:v>IMP-20260516-FULLDRAFT</x:v>
      </x:c>
      <x:c r="C1589" t="str">
        <x:v>KTO001</x:v>
      </x:c>
      <x:c r="D1589" t="str">
        <x:v>16-05-2026_Umsatzliste_Girokonto_DE98120300001061711675.csv</x:v>
      </x:c>
      <x:c r="E1589" t="n">
        <x:v>46163</x:v>
      </x:c>
      <x:c r="F1589" t="n">
        <x:v>1572</x:v>
      </x:c>
      <x:c r="G1589" t="str">
        <x:v>1451b2278d8e5cc6aa7c3e95af59869a5ba5c5a4735cfdefa3370a215b2eadc4</x:v>
      </x:c>
      <x:c r="H1589" t="str">
        <x:v>neu</x:v>
      </x:c>
      <x:c r="I1589" t="str">
        <x:v>ok</x:v>
      </x:c>
      <x:c r="J1589"/>
      <x:c r="K1589" t="n">
        <x:v>45628</x:v>
      </x:c>
      <x:c r="L1589" t="n">
        <x:v>45628</x:v>
      </x:c>
      <x:c r="M1589" t="str">
        <x:v>Gebucht</x:v>
      </x:c>
      <x:c r="N1589" t="str">
        <x:v>ISSUER</x:v>
      </x:c>
      <x:c r="O1589" t="str">
        <x:v>REWE.Markt.Salzgitter.G/Salzgitter</x:v>
      </x:c>
      <x:c r="P1589" t="str">
        <x:v>VISA Debitkartenumsatz vom 30.11.2024</x:v>
      </x:c>
      <x:c r="Q1589" t="str">
        <x:v>Ausgang</x:v>
      </x:c>
      <x:c r="R1589" t="str">
        <x:v>DE96120300009005290904</x:v>
      </x:c>
      <x:c r="S1589" t="n">
        <x:v>-16.72</x:v>
      </x:c>
      <x:c r="T1589" t="str">
        <x:v>"</x:v>
      </x:c>
      <x:c r="U1589" t="str">
        <x:v>"</x:v>
      </x:c>
      <x:c r="V1589" t="str">
        <x:v>484335574251558</x:v>
      </x:c>
    </x:row>
    <x:row r="1590">
      <x:c r="A1590" t="str">
        <x:v>RAW-IMP-20260516-FULLDRAFT-001573</x:v>
      </x:c>
      <x:c r="B1590" t="str">
        <x:v>IMP-20260516-FULLDRAFT</x:v>
      </x:c>
      <x:c r="C1590" t="str">
        <x:v>KTO001</x:v>
      </x:c>
      <x:c r="D1590" t="str">
        <x:v>16-05-2026_Umsatzliste_Girokonto_DE98120300001061711675.csv</x:v>
      </x:c>
      <x:c r="E1590" t="n">
        <x:v>46163</x:v>
      </x:c>
      <x:c r="F1590" t="n">
        <x:v>1573</x:v>
      </x:c>
      <x:c r="G1590" t="str">
        <x:v>6756be00b95e3200883da3d45ca0b9b1339d9f14332b21f97ecd6161db807e08</x:v>
      </x:c>
      <x:c r="H1590" t="str">
        <x:v>neu</x:v>
      </x:c>
      <x:c r="I1590" t="str">
        <x:v>ok</x:v>
      </x:c>
      <x:c r="J1590"/>
      <x:c r="K1590" t="n">
        <x:v>45628</x:v>
      </x:c>
      <x:c r="L1590" t="n">
        <x:v>45628</x:v>
      </x:c>
      <x:c r="M1590" t="str">
        <x:v>Gebucht</x:v>
      </x:c>
      <x:c r="N1590" t="str">
        <x:v>ISSUER</x:v>
      </x:c>
      <x:c r="O1590" t="str">
        <x:v>Heide.Backerei.Meyer.21/Hannover</x:v>
      </x:c>
      <x:c r="P1590" t="str">
        <x:v>VISA Debitkartenumsatz vom 29.11.2024</x:v>
      </x:c>
      <x:c r="Q1590" t="str">
        <x:v>Ausgang</x:v>
      </x:c>
      <x:c r="R1590" t="str">
        <x:v>DE96120300009005290904</x:v>
      </x:c>
      <x:c r="S1590" t="n">
        <x:v>-1.75</x:v>
      </x:c>
      <x:c r="T1590" t="str">
        <x:v>"</x:v>
      </x:c>
      <x:c r="U1590" t="str">
        <x:v>"</x:v>
      </x:c>
      <x:c r="V1590" t="str">
        <x:v>484334290893280</x:v>
      </x:c>
    </x:row>
    <x:row r="1591">
      <x:c r="A1591" t="str">
        <x:v>RAW-IMP-20260516-FULLDRAFT-001574</x:v>
      </x:c>
      <x:c r="B1591" t="str">
        <x:v>IMP-20260516-FULLDRAFT</x:v>
      </x:c>
      <x:c r="C1591" t="str">
        <x:v>KTO001</x:v>
      </x:c>
      <x:c r="D1591" t="str">
        <x:v>16-05-2026_Umsatzliste_Girokonto_DE98120300001061711675.csv</x:v>
      </x:c>
      <x:c r="E1591" t="n">
        <x:v>46163</x:v>
      </x:c>
      <x:c r="F1591" t="n">
        <x:v>1574</x:v>
      </x:c>
      <x:c r="G1591" t="str">
        <x:v>bfe1a8d142b75022072a170cd46299a1ec1484077cb2d1b1527d54ffa0e18931</x:v>
      </x:c>
      <x:c r="H1591" t="str">
        <x:v>neu</x:v>
      </x:c>
      <x:c r="I1591" t="str">
        <x:v>ok</x:v>
      </x:c>
      <x:c r="J1591"/>
      <x:c r="K1591" t="n">
        <x:v>45628</x:v>
      </x:c>
      <x:c r="L1591" t="n">
        <x:v>45628</x:v>
      </x:c>
      <x:c r="M1591" t="str">
        <x:v>Gebucht</x:v>
      </x:c>
      <x:c r="N1591" t="str">
        <x:v>KOHLENBERG, LARS</x:v>
      </x:c>
      <x:c r="O1591" t="str">
        <x:v>Lars und Katrin Kohlenberg</x:v>
      </x:c>
      <x:c r="P1591" t="str">
        <x:v>11029450 VERMOEGENSDEPOT SAMMELBUCHUNG SPARPLAN WKN A1C9ED, 847809</x:v>
      </x:c>
      <x:c r="Q1591" t="str">
        <x:v>Ausgang</x:v>
      </x:c>
      <x:c r="R1591" t="str">
        <x:v>DE27672300000506966162</x:v>
      </x:c>
      <x:c r="S1591" t="n">
        <x:v>-600</x:v>
      </x:c>
      <x:c r="T1591" t="str">
        <x:v>DE53ZZZ00000010849</x:v>
      </x:c>
      <x:c r="U1591" t="str">
        <x:v>WPBF0000180845</x:v>
      </x:c>
      <x:c r="V1591" t="str">
        <x:v>SPARSP 15940212</x:v>
      </x:c>
    </x:row>
    <x:row r="1592">
      <x:c r="A1592" t="str">
        <x:v>RAW-IMP-20260516-FULLDRAFT-001575</x:v>
      </x:c>
      <x:c r="B1592" t="str">
        <x:v>IMP-20260516-FULLDRAFT</x:v>
      </x:c>
      <x:c r="C1592" t="str">
        <x:v>KTO001</x:v>
      </x:c>
      <x:c r="D1592" t="str">
        <x:v>16-05-2026_Umsatzliste_Girokonto_DE98120300001061711675.csv</x:v>
      </x:c>
      <x:c r="E1592" t="n">
        <x:v>46163</x:v>
      </x:c>
      <x:c r="F1592" t="n">
        <x:v>1575</x:v>
      </x:c>
      <x:c r="G1592" t="str">
        <x:v>18f3bbcd71d99b09a7ad40cd661688f2c56bfd90251ae7ff5574e038bd25c8a5</x:v>
      </x:c>
      <x:c r="H1592" t="str">
        <x:v>neu</x:v>
      </x:c>
      <x:c r="I1592" t="str">
        <x:v>ok</x:v>
      </x:c>
      <x:c r="J1592"/>
      <x:c r="K1592" t="n">
        <x:v>45628</x:v>
      </x:c>
      <x:c r="L1592" t="n">
        <x:v>45628</x:v>
      </x:c>
      <x:c r="M1592" t="str">
        <x:v>Gebucht</x:v>
      </x:c>
      <x:c r="N1592" t="str">
        <x:v>Kohlenberg, Lars</x:v>
      </x:c>
      <x:c r="O1592" t="str">
        <x:v>IDEAL Lebensversicherung aG</x:v>
      </x:c>
      <x:c r="P1592" t="str">
        <x:v>2011216280009 LV 121</x:v>
      </x:c>
      <x:c r="Q1592" t="str">
        <x:v>Ausgang</x:v>
      </x:c>
      <x:c r="R1592" t="str">
        <x:v>DE36100700000460303100</x:v>
      </x:c>
      <x:c r="S1592" t="n">
        <x:v>-97.12</x:v>
      </x:c>
      <x:c r="T1592" t="str">
        <x:v>DE40ZZZ00000559230</x:v>
      </x:c>
      <x:c r="U1592" t="str">
        <x:v>2011216280009-001</x:v>
      </x:c>
      <x:c r="V1592" t="str">
        <x:v>GL,KL,PD-20241201-1-2011216280009-0</x:v>
      </x:c>
    </x:row>
    <x:row r="1593">
      <x:c r="A1593" t="str">
        <x:v>RAW-IMP-20260516-FULLDRAFT-001576</x:v>
      </x:c>
      <x:c r="B1593" t="str">
        <x:v>IMP-20260516-FULLDRAFT</x:v>
      </x:c>
      <x:c r="C1593" t="str">
        <x:v>KTO001</x:v>
      </x:c>
      <x:c r="D1593" t="str">
        <x:v>16-05-2026_Umsatzliste_Girokonto_DE98120300001061711675.csv</x:v>
      </x:c>
      <x:c r="E1593" t="n">
        <x:v>46163</x:v>
      </x:c>
      <x:c r="F1593" t="n">
        <x:v>1576</x:v>
      </x:c>
      <x:c r="G1593" t="str">
        <x:v>f5f7224395f5be36888018c04e8f6c6f79799e352dbeef2813013e02871a937d</x:v>
      </x:c>
      <x:c r="H1593" t="str">
        <x:v>neu</x:v>
      </x:c>
      <x:c r="I1593" t="str">
        <x:v>ok</x:v>
      </x:c>
      <x:c r="J1593"/>
      <x:c r="K1593" t="n">
        <x:v>45628</x:v>
      </x:c>
      <x:c r="L1593" t="n">
        <x:v>45628</x:v>
      </x:c>
      <x:c r="M1593" t="str">
        <x:v>Gebucht</x:v>
      </x:c>
      <x:c r="N1593" t="str">
        <x:v>Lars Kohlenberg                                                       Johannes-Wosnitza-Str. 8 38229 Salzgitter</x:v>
      </x:c>
      <x:c r="O1593" t="str">
        <x:v>1.1 Mail . Media GmbH                                                 Elgendorfer Str. 57, 56410 Montabaur</x:v>
      </x:c>
      <x:c r="P1593" t="str">
        <x:v>GMX / WEB.DE / KD-Nr. K7440512/ RG-Nr. 201539286898</x:v>
      </x:c>
      <x:c r="Q1593" t="str">
        <x:v>Ausgang</x:v>
      </x:c>
      <x:c r="R1593" t="str">
        <x:v>DE76700800000881679702</x:v>
      </x:c>
      <x:c r="S1593" t="n">
        <x:v>-8.99</x:v>
      </x:c>
      <x:c r="T1593" t="str">
        <x:v>DE07ZZZ00000569718</x:v>
      </x:c>
      <x:c r="U1593" t="str">
        <x:v>0090001393062</x:v>
      </x:c>
      <x:c r="V1593" t="str">
        <x:v>006361193855</x:v>
      </x:c>
    </x:row>
    <x:row r="1594">
      <x:c r="A1594" t="str">
        <x:v>RAW-IMP-20260516-FULLDRAFT-001577</x:v>
      </x:c>
      <x:c r="B1594" t="str">
        <x:v>IMP-20260516-FULLDRAFT</x:v>
      </x:c>
      <x:c r="C1594" t="str">
        <x:v>KTO001</x:v>
      </x:c>
      <x:c r="D1594" t="str">
        <x:v>16-05-2026_Umsatzliste_Girokonto_DE98120300001061711675.csv</x:v>
      </x:c>
      <x:c r="E1594" t="n">
        <x:v>46163</x:v>
      </x:c>
      <x:c r="F1594" t="n">
        <x:v>1577</x:v>
      </x:c>
      <x:c r="G1594" t="str">
        <x:v>12f9aaa925a85f0d092b254c516f87c7e600c74f92ad7653fa2edd92840e0ede</x:v>
      </x:c>
      <x:c r="H1594" t="str">
        <x:v>neu</x:v>
      </x:c>
      <x:c r="I1594" t="str">
        <x:v>ok</x:v>
      </x:c>
      <x:c r="J1594"/>
      <x:c r="K1594" t="n">
        <x:v>45628</x:v>
      </x:c>
      <x:c r="L1594" t="n">
        <x:v>45628</x:v>
      </x:c>
      <x:c r="M1594" t="str">
        <x:v>Gebucht</x:v>
      </x:c>
      <x:c r="N1594" t="str">
        <x:v>Lars Kohlenberg                                                       Johannes-Wosnitza-Str. 8 38229 Salzgitter</x:v>
      </x:c>
      <x:c r="O1594" t="str">
        <x:v>Heidelberger Lebensversicherung AG                                    Im Breitspiel 2-4, 69126 Heidelberg</x:v>
      </x:c>
      <x:c r="P1594" t="str">
        <x:v>60012826 , 12.24</x:v>
      </x:c>
      <x:c r="Q1594" t="str">
        <x:v>Ausgang</x:v>
      </x:c>
      <x:c r="R1594" t="str">
        <x:v>DE38600501010002662604</x:v>
      </x:c>
      <x:c r="S1594" t="n">
        <x:v>-452.71</x:v>
      </x:c>
      <x:c r="T1594" t="str">
        <x:v>DE31HLE00000032682</x:v>
      </x:c>
      <x:c r="U1594" t="str">
        <x:v>11-140000075706</x:v>
      </x:c>
      <x:c r="V1594" t="str">
        <x:v>130042181748</x:v>
      </x:c>
    </x:row>
    <x:row r="1595">
      <x:c r="A1595" t="str">
        <x:v>RAW-IMP-20260516-FULLDRAFT-001578</x:v>
      </x:c>
      <x:c r="B1595" t="str">
        <x:v>IMP-20260516-FULLDRAFT</x:v>
      </x:c>
      <x:c r="C1595" t="str">
        <x:v>KTO001</x:v>
      </x:c>
      <x:c r="D1595" t="str">
        <x:v>16-05-2026_Umsatzliste_Girokonto_DE98120300001061711675.csv</x:v>
      </x:c>
      <x:c r="E1595" t="n">
        <x:v>46163</x:v>
      </x:c>
      <x:c r="F1595" t="n">
        <x:v>1578</x:v>
      </x:c>
      <x:c r="G1595" t="str">
        <x:v>ce8ead8d71ce89787910e144e7cfc03c9a68c78dd77f54cc9d51b8a2e6748265</x:v>
      </x:c>
      <x:c r="H1595" t="str">
        <x:v>neu</x:v>
      </x:c>
      <x:c r="I1595" t="str">
        <x:v>ok</x:v>
      </x:c>
      <x:c r="J1595"/>
      <x:c r="K1595" t="n">
        <x:v>45628</x:v>
      </x:c>
      <x:c r="L1595" t="n">
        <x:v>45628</x:v>
      </x:c>
      <x:c r="M1595" t="str">
        <x:v>Gebucht</x:v>
      </x:c>
      <x:c r="N1595" t="str">
        <x:v>Kohlenberg Lars</x:v>
      </x:c>
      <x:c r="O1595" t="str">
        <x:v>Allianz Lebensvers. AG</x:v>
      </x:c>
      <x:c r="P1595" t="str">
        <x:v>330296196 1224</x:v>
      </x:c>
      <x:c r="Q1595" t="str">
        <x:v>Ausgang</x:v>
      </x:c>
      <x:c r="R1595" t="str">
        <x:v>DE77700202700062328142</x:v>
      </x:c>
      <x:c r="S1595" t="n">
        <x:v>-162.17</x:v>
      </x:c>
      <x:c r="T1595" t="str">
        <x:v>DE07ZZZ00000063475</x:v>
      </x:c>
      <x:c r="U1595" t="str">
        <x:v>LA01L312001066775296</x:v>
      </x:c>
      <x:c r="V1595" t="str">
        <x:v>A7024327-000330296196011231896616</x:v>
      </x:c>
    </x:row>
    <x:row r="1596">
      <x:c r="A1596" t="str">
        <x:v>RAW-IMP-20260516-FULLDRAFT-001579</x:v>
      </x:c>
      <x:c r="B1596" t="str">
        <x:v>IMP-20260516-FULLDRAFT</x:v>
      </x:c>
      <x:c r="C1596" t="str">
        <x:v>KTO001</x:v>
      </x:c>
      <x:c r="D1596" t="str">
        <x:v>16-05-2026_Umsatzliste_Girokonto_DE98120300001061711675.csv</x:v>
      </x:c>
      <x:c r="E1596" t="n">
        <x:v>46163</x:v>
      </x:c>
      <x:c r="F1596" t="n">
        <x:v>1579</x:v>
      </x:c>
      <x:c r="G1596" t="str">
        <x:v>5f68ee0d21ca3527db6491c329a056db37badcab172f717f2c79a7b24c9f54bd</x:v>
      </x:c>
      <x:c r="H1596" t="str">
        <x:v>neu</x:v>
      </x:c>
      <x:c r="I1596" t="str">
        <x:v>ok</x:v>
      </x:c>
      <x:c r="J1596"/>
      <x:c r="K1596" t="n">
        <x:v>45628</x:v>
      </x:c>
      <x:c r="L1596" t="n">
        <x:v>45628</x:v>
      </x:c>
      <x:c r="M1596" t="str">
        <x:v>Gebucht</x:v>
      </x:c>
      <x:c r="N1596" t="str">
        <x:v>KOHLENBERG LARS</x:v>
      </x:c>
      <x:c r="O1596" t="str">
        <x:v>VOLKSWOHL BUND Lebensversicherung a.G.</x:v>
      </x:c>
      <x:c r="P1596" t="str">
        <x:v>009893595 LA000750566/ 009893595 LEBEN 68,46</x:v>
      </x:c>
      <x:c r="Q1596" t="str">
        <x:v>Ausgang</x:v>
      </x:c>
      <x:c r="R1596" t="str">
        <x:v>DE76440400370361155500</x:v>
      </x:c>
      <x:c r="S1596" t="n">
        <x:v>-68.46</x:v>
      </x:c>
      <x:c r="T1596" t="str">
        <x:v>DE13ZZZ00000141064</x:v>
      </x:c>
      <x:c r="U1596" t="str">
        <x:v>LA000750566</x:v>
      </x:c>
      <x:c r="V1596" t="str">
        <x:v>009893595/NVMA.G1105-341679</x:v>
      </x:c>
    </x:row>
    <x:row r="1597">
      <x:c r="A1597" t="str">
        <x:v>RAW-IMP-20260516-FULLDRAFT-001580</x:v>
      </x:c>
      <x:c r="B1597" t="str">
        <x:v>IMP-20260516-FULLDRAFT</x:v>
      </x:c>
      <x:c r="C1597" t="str">
        <x:v>KTO001</x:v>
      </x:c>
      <x:c r="D1597" t="str">
        <x:v>16-05-2026_Umsatzliste_Girokonto_DE98120300001061711675.csv</x:v>
      </x:c>
      <x:c r="E1597" t="n">
        <x:v>46163</x:v>
      </x:c>
      <x:c r="F1597" t="n">
        <x:v>1580</x:v>
      </x:c>
      <x:c r="G1597" t="str">
        <x:v>88e443dca510b8926332a59f8d11d0133c167029ebe2a03b59a35b256fdc59bb</x:v>
      </x:c>
      <x:c r="H1597" t="str">
        <x:v>neu</x:v>
      </x:c>
      <x:c r="I1597" t="str">
        <x:v>ok</x:v>
      </x:c>
      <x:c r="J1597"/>
      <x:c r="K1597" t="n">
        <x:v>45628</x:v>
      </x:c>
      <x:c r="L1597" t="n">
        <x:v>45628</x:v>
      </x:c>
      <x:c r="M1597" t="str">
        <x:v>Gebucht</x:v>
      </x:c>
      <x:c r="N1597" t="str">
        <x:v>Kohlenberg Lars</x:v>
      </x:c>
      <x:c r="O1597" t="str">
        <x:v>Allianz Private Krankenv.</x:v>
      </x:c>
      <x:c r="P1597" t="str">
        <x:v>Vertrag AK-1356648926 Private Krankenversicherung 01.12.24 - 30.11.25</x:v>
      </x:c>
      <x:c r="Q1597" t="str">
        <x:v>Ausgang</x:v>
      </x:c>
      <x:c r="R1597" t="str">
        <x:v>DE97700202700010011511</x:v>
      </x:c>
      <x:c r="S1597" t="n">
        <x:v>-91.24</x:v>
      </x:c>
      <x:c r="T1597" t="str">
        <x:v>DE40ZZZ00000063851</x:v>
      </x:c>
      <x:c r="U1597" t="str">
        <x:v>VVKA000000000057412</x:v>
      </x:c>
      <x:c r="V1597" t="str">
        <x:v>AB224332-E01768101</x:v>
      </x:c>
    </x:row>
    <x:row r="1598">
      <x:c r="A1598" t="str">
        <x:v>RAW-IMP-20260516-FULLDRAFT-001581</x:v>
      </x:c>
      <x:c r="B1598" t="str">
        <x:v>IMP-20260516-FULLDRAFT</x:v>
      </x:c>
      <x:c r="C1598" t="str">
        <x:v>KTO001</x:v>
      </x:c>
      <x:c r="D1598" t="str">
        <x:v>16-05-2026_Umsatzliste_Girokonto_DE98120300001061711675.csv</x:v>
      </x:c>
      <x:c r="E1598" t="n">
        <x:v>46163</x:v>
      </x:c>
      <x:c r="F1598" t="n">
        <x:v>1581</x:v>
      </x:c>
      <x:c r="G1598" t="str">
        <x:v>023c4a1721fcb525c799e19c02adba99d2122a9ee65a26c07d72efeabc60cdbe</x:v>
      </x:c>
      <x:c r="H1598" t="str">
        <x:v>neu</x:v>
      </x:c>
      <x:c r="I1598" t="str">
        <x:v>ok</x:v>
      </x:c>
      <x:c r="J1598"/>
      <x:c r="K1598" t="n">
        <x:v>45628</x:v>
      </x:c>
      <x:c r="L1598" t="n">
        <x:v>45628</x:v>
      </x:c>
      <x:c r="M1598" t="str">
        <x:v>Gebucht</x:v>
      </x:c>
      <x:c r="N1598" t="str">
        <x:v>Kohlenberg, Katrin</x:v>
      </x:c>
      <x:c r="O1598" t="str">
        <x:v>WEVG Salzgitter GmbH + Co. KG</x:v>
      </x:c>
      <x:c r="P1598" t="str">
        <x:v>Kd-Nr 79288 Einz 30.11.24 41710/352.00/Johannes-Wosni 100833/70.00/Johannes-Wosni</x:v>
      </x:c>
      <x:c r="Q1598" t="str">
        <x:v>Ausgang</x:v>
      </x:c>
      <x:c r="R1598" t="str">
        <x:v>DE19300700100394127500</x:v>
      </x:c>
      <x:c r="S1598" t="n">
        <x:v>-422</x:v>
      </x:c>
      <x:c r="T1598" t="str">
        <x:v>DE83WEV00000032716</x:v>
      </x:c>
      <x:c r="U1598" t="str">
        <x:v>WEVG0000079288G1000178580</x:v>
      </x:c>
      <x:c r="V1598" t="str">
        <x:v>13330665</x:v>
      </x:c>
    </x:row>
    <x:row r="1599">
      <x:c r="A1599" t="str">
        <x:v>RAW-IMP-20260516-FULLDRAFT-001582</x:v>
      </x:c>
      <x:c r="B1599" t="str">
        <x:v>IMP-20260516-FULLDRAFT</x:v>
      </x:c>
      <x:c r="C1599" t="str">
        <x:v>KTO001</x:v>
      </x:c>
      <x:c r="D1599" t="str">
        <x:v>16-05-2026_Umsatzliste_Girokonto_DE98120300001061711675.csv</x:v>
      </x:c>
      <x:c r="E1599" t="n">
        <x:v>46163</x:v>
      </x:c>
      <x:c r="F1599" t="n">
        <x:v>1582</x:v>
      </x:c>
      <x:c r="G1599" t="str">
        <x:v>af0408850923cbc1ffcb5c56ad84c8d618400f765e8b500fc4481315c88e41c7</x:v>
      </x:c>
      <x:c r="H1599" t="str">
        <x:v>neu</x:v>
      </x:c>
      <x:c r="I1599" t="str">
        <x:v>ok</x:v>
      </x:c>
      <x:c r="J1599"/>
      <x:c r="K1599" t="n">
        <x:v>45628</x:v>
      </x:c>
      <x:c r="L1599" t="n">
        <x:v>45628</x:v>
      </x:c>
      <x:c r="M1599" t="str">
        <x:v>Gebucht</x:v>
      </x:c>
      <x:c r="N1599" t="str">
        <x:v>Lars Kohlenberg</x:v>
      </x:c>
      <x:c r="O1599" t="str">
        <x:v>LARS KOHLENBERG</x:v>
      </x:c>
      <x:c r="P1599" t="str">
        <x:v>Sparrate 650,- + 750 EUR Mieteinnahmen</x:v>
      </x:c>
      <x:c r="Q1599" t="str">
        <x:v>Ausgang</x:v>
      </x:c>
      <x:c r="R1599" t="str">
        <x:v>DE91270200001510365800</x:v>
      </x:c>
      <x:c r="S1599" t="n">
        <x:v>-1400</x:v>
      </x:c>
      <x:c r="T1599" t="str">
        <x:v>"</x:v>
      </x:c>
      <x:c r="U1599" t="str">
        <x:v>"</x:v>
      </x:c>
      <x:c r="V1599" t="str">
        <x:v>"</x:v>
      </x:c>
    </x:row>
    <x:row r="1600">
      <x:c r="A1600" t="str">
        <x:v>RAW-IMP-20260516-FULLDRAFT-001583</x:v>
      </x:c>
      <x:c r="B1600" t="str">
        <x:v>IMP-20260516-FULLDRAFT</x:v>
      </x:c>
      <x:c r="C1600" t="str">
        <x:v>KTO001</x:v>
      </x:c>
      <x:c r="D1600" t="str">
        <x:v>16-05-2026_Umsatzliste_Girokonto_DE98120300001061711675.csv</x:v>
      </x:c>
      <x:c r="E1600" t="n">
        <x:v>46163</x:v>
      </x:c>
      <x:c r="F1600" t="n">
        <x:v>1583</x:v>
      </x:c>
      <x:c r="G1600" t="str">
        <x:v>4533b08c2b53181f57768156458e11592d8c7a7968af5af57538a50ade8dc8be</x:v>
      </x:c>
      <x:c r="H1600" t="str">
        <x:v>neu</x:v>
      </x:c>
      <x:c r="I1600" t="str">
        <x:v>ok</x:v>
      </x:c>
      <x:c r="J1600"/>
      <x:c r="K1600" t="n">
        <x:v>45628</x:v>
      </x:c>
      <x:c r="L1600" t="n">
        <x:v>45628</x:v>
      </x:c>
      <x:c r="M1600" t="str">
        <x:v>Gebucht</x:v>
      </x:c>
      <x:c r="N1600" t="str">
        <x:v>Lars Kohlenberg</x:v>
      </x:c>
      <x:c r="O1600" t="str">
        <x:v>KATRIN KOHLENBERG</x:v>
      </x:c>
      <x:c r="P1600" t="str">
        <x:v>Apanage</x:v>
      </x:c>
      <x:c r="Q1600" t="str">
        <x:v>Ausgang</x:v>
      </x:c>
      <x:c r="R1600" t="str">
        <x:v>DE32270727240307336800</x:v>
      </x:c>
      <x:c r="S1600" t="n">
        <x:v>-1800</x:v>
      </x:c>
      <x:c r="T1600" t="str">
        <x:v>"</x:v>
      </x:c>
      <x:c r="U1600" t="str">
        <x:v>"</x:v>
      </x:c>
      <x:c r="V1600" t="str">
        <x:v>"</x:v>
      </x:c>
    </x:row>
    <x:row r="1601">
      <x:c r="A1601" t="str">
        <x:v>RAW-IMP-20260516-FULLDRAFT-001584</x:v>
      </x:c>
      <x:c r="B1601" t="str">
        <x:v>IMP-20260516-FULLDRAFT</x:v>
      </x:c>
      <x:c r="C1601" t="str">
        <x:v>KTO001</x:v>
      </x:c>
      <x:c r="D1601" t="str">
        <x:v>16-05-2026_Umsatzliste_Girokonto_DE98120300001061711675.csv</x:v>
      </x:c>
      <x:c r="E1601" t="n">
        <x:v>46163</x:v>
      </x:c>
      <x:c r="F1601" t="n">
        <x:v>1584</x:v>
      </x:c>
      <x:c r="G1601" t="str">
        <x:v>1c5550a78b498df51e65fb2822d8650f42082c9ffc0433ec2f74802a0785d08f</x:v>
      </x:c>
      <x:c r="H1601" t="str">
        <x:v>neu</x:v>
      </x:c>
      <x:c r="I1601" t="str">
        <x:v>ok</x:v>
      </x:c>
      <x:c r="J1601"/>
      <x:c r="K1601" t="n">
        <x:v>45628</x:v>
      </x:c>
      <x:c r="L1601" t="n">
        <x:v>45628</x:v>
      </x:c>
      <x:c r="M1601" t="str">
        <x:v>Gebucht</x:v>
      </x:c>
      <x:c r="N1601" t="str">
        <x:v>Lars Kohlenberg</x:v>
      </x:c>
      <x:c r="O1601" t="str">
        <x:v>Lea kohlenberg</x:v>
      </x:c>
      <x:c r="P1601" t="str">
        <x:v>Taschengeld</x:v>
      </x:c>
      <x:c r="Q1601" t="str">
        <x:v>Ausgang</x:v>
      </x:c>
      <x:c r="R1601" t="str">
        <x:v>DE89269910662833344000</x:v>
      </x:c>
      <x:c r="S1601" t="n">
        <x:v>-10</x:v>
      </x:c>
      <x:c r="T1601" t="str">
        <x:v>"</x:v>
      </x:c>
      <x:c r="U1601" t="str">
        <x:v>"</x:v>
      </x:c>
      <x:c r="V1601" t="str">
        <x:v>"</x:v>
      </x:c>
    </x:row>
    <x:row r="1602">
      <x:c r="A1602" t="str">
        <x:v>RAW-IMP-20260516-FULLDRAFT-001585</x:v>
      </x:c>
      <x:c r="B1602" t="str">
        <x:v>IMP-20260516-FULLDRAFT</x:v>
      </x:c>
      <x:c r="C1602" t="str">
        <x:v>KTO001</x:v>
      </x:c>
      <x:c r="D1602" t="str">
        <x:v>16-05-2026_Umsatzliste_Girokonto_DE98120300001061711675.csv</x:v>
      </x:c>
      <x:c r="E1602" t="n">
        <x:v>46163</x:v>
      </x:c>
      <x:c r="F1602" t="n">
        <x:v>1585</x:v>
      </x:c>
      <x:c r="G1602" t="str">
        <x:v>d8526496d36ced4425a9192ea6541ec077cde491677cf9a996f45b6c04e409e0</x:v>
      </x:c>
      <x:c r="H1602" t="str">
        <x:v>neu</x:v>
      </x:c>
      <x:c r="I1602" t="str">
        <x:v>ok</x:v>
      </x:c>
      <x:c r="J1602"/>
      <x:c r="K1602" t="n">
        <x:v>45628</x:v>
      </x:c>
      <x:c r="L1602" t="n">
        <x:v>45628</x:v>
      </x:c>
      <x:c r="M1602" t="str">
        <x:v>Gebucht</x:v>
      </x:c>
      <x:c r="N1602" t="str">
        <x:v>Lars Kohlenberg</x:v>
      </x:c>
      <x:c r="O1602" t="str">
        <x:v>LARS KOHLENBERG</x:v>
      </x:c>
      <x:c r="P1602" t="str">
        <x:v>Zins und Tilgung zu 2/3</x:v>
      </x:c>
      <x:c r="Q1602" t="str">
        <x:v>Ausgang</x:v>
      </x:c>
      <x:c r="R1602" t="str">
        <x:v>DE33269910668923736000</x:v>
      </x:c>
      <x:c r="S1602" t="n">
        <x:v>-1153.94</x:v>
      </x:c>
      <x:c r="T1602" t="str">
        <x:v>"</x:v>
      </x:c>
      <x:c r="U1602" t="str">
        <x:v>"</x:v>
      </x:c>
      <x:c r="V1602" t="str">
        <x:v>"</x:v>
      </x:c>
    </x:row>
    <x:row r="1603">
      <x:c r="A1603" t="str">
        <x:v>RAW-IMP-20260516-FULLDRAFT-001586</x:v>
      </x:c>
      <x:c r="B1603" t="str">
        <x:v>IMP-20260516-FULLDRAFT</x:v>
      </x:c>
      <x:c r="C1603" t="str">
        <x:v>KTO001</x:v>
      </x:c>
      <x:c r="D1603" t="str">
        <x:v>16-05-2026_Umsatzliste_Girokonto_DE98120300001061711675.csv</x:v>
      </x:c>
      <x:c r="E1603" t="n">
        <x:v>46163</x:v>
      </x:c>
      <x:c r="F1603" t="n">
        <x:v>1586</x:v>
      </x:c>
      <x:c r="G1603" t="str">
        <x:v>bf2af2f6533bdb83c87ecdeba3f3a02388a75b493ac2317d9cd90ba1e50094f5</x:v>
      </x:c>
      <x:c r="H1603" t="str">
        <x:v>neu</x:v>
      </x:c>
      <x:c r="I1603" t="str">
        <x:v>ok</x:v>
      </x:c>
      <x:c r="J1603"/>
      <x:c r="K1603" t="n">
        <x:v>45625</x:v>
      </x:c>
      <x:c r="L1603" t="n">
        <x:v>45625</x:v>
      </x:c>
      <x:c r="M1603" t="str">
        <x:v>Gebucht</x:v>
      </x:c>
      <x:c r="N1603" t="str">
        <x:v>ISSUER</x:v>
      </x:c>
      <x:c r="O1603" t="str">
        <x:v>EDEKA.POTRATZ/HILDESHEIM</x:v>
      </x:c>
      <x:c r="P1603" t="str">
        <x:v>VISA Debitkartenumsatz vom 28.11.2024</x:v>
      </x:c>
      <x:c r="Q1603" t="str">
        <x:v>Ausgang</x:v>
      </x:c>
      <x:c r="R1603" t="str">
        <x:v>DE96120300009005290904</x:v>
      </x:c>
      <x:c r="S1603" t="n">
        <x:v>-1.69</x:v>
      </x:c>
      <x:c r="T1603" t="str">
        <x:v>"</x:v>
      </x:c>
      <x:c r="U1603" t="str">
        <x:v>"</x:v>
      </x:c>
      <x:c r="V1603" t="str">
        <x:v>484333613998293</x:v>
      </x:c>
    </x:row>
    <x:row r="1604">
      <x:c r="A1604" t="str">
        <x:v>RAW-IMP-20260516-FULLDRAFT-001587</x:v>
      </x:c>
      <x:c r="B1604" t="str">
        <x:v>IMP-20260516-FULLDRAFT</x:v>
      </x:c>
      <x:c r="C1604" t="str">
        <x:v>KTO001</x:v>
      </x:c>
      <x:c r="D1604" t="str">
        <x:v>16-05-2026_Umsatzliste_Girokonto_DE98120300001061711675.csv</x:v>
      </x:c>
      <x:c r="E1604" t="n">
        <x:v>46163</x:v>
      </x:c>
      <x:c r="F1604" t="n">
        <x:v>1587</x:v>
      </x:c>
      <x:c r="G1604" t="str">
        <x:v>e21b5a548a00f713f03aa0bb71b0db08125da3fcda522a86e4b70972bec496db</x:v>
      </x:c>
      <x:c r="H1604" t="str">
        <x:v>neu</x:v>
      </x:c>
      <x:c r="I1604" t="str">
        <x:v>ok</x:v>
      </x:c>
      <x:c r="J1604"/>
      <x:c r="K1604" t="n">
        <x:v>45624</x:v>
      </x:c>
      <x:c r="L1604" t="n">
        <x:v>45624</x:v>
      </x:c>
      <x:c r="M1604" t="str">
        <x:v>Gebucht</x:v>
      </x:c>
      <x:c r="N1604" t="str">
        <x:v>Stiftung Kath. Altenhilfe im Bistum Hildesheim</x:v>
      </x:c>
      <x:c r="O1604" t="str">
        <x:v>KOHLENBERG LARS</x:v>
      </x:c>
      <x:c r="P1604" t="str">
        <x:v>GEHALT 11/24</x:v>
      </x:c>
      <x:c r="Q1604" t="str">
        <x:v>Eingang</x:v>
      </x:c>
      <x:c r="R1604" t="str">
        <x:v>DE92400602650023150301</x:v>
      </x:c>
      <x:c r="S1604" t="n">
        <x:v>7247.5</x:v>
      </x:c>
      <x:c r="T1604" t="str">
        <x:v>"</x:v>
      </x:c>
      <x:c r="U1604" t="str">
        <x:v>"</x:v>
      </x:c>
      <x:c r="V1604" t="str">
        <x:v>001001987662SALA022106004</x:v>
      </x:c>
    </x:row>
    <x:row r="1605">
      <x:c r="A1605" t="str">
        <x:v>RAW-IMP-20260516-FULLDRAFT-001588</x:v>
      </x:c>
      <x:c r="B1605" t="str">
        <x:v>IMP-20260516-FULLDRAFT</x:v>
      </x:c>
      <x:c r="C1605" t="str">
        <x:v>KTO001</x:v>
      </x:c>
      <x:c r="D1605" t="str">
        <x:v>16-05-2026_Umsatzliste_Girokonto_DE98120300001061711675.csv</x:v>
      </x:c>
      <x:c r="E1605" t="n">
        <x:v>46163</x:v>
      </x:c>
      <x:c r="F1605" t="n">
        <x:v>1588</x:v>
      </x:c>
      <x:c r="G1605" t="str">
        <x:v>9cc93a9c13d6ac8853a7f79e4fda3d3d3c9ce970795ebccb15340e754a07c365</x:v>
      </x:c>
      <x:c r="H1605" t="str">
        <x:v>neu</x:v>
      </x:c>
      <x:c r="I1605" t="str">
        <x:v>ok</x:v>
      </x:c>
      <x:c r="J1605"/>
      <x:c r="K1605" t="n">
        <x:v>45624</x:v>
      </x:c>
      <x:c r="L1605" t="n">
        <x:v>45624</x:v>
      </x:c>
      <x:c r="M1605" t="str">
        <x:v>Gebucht</x:v>
      </x:c>
      <x:c r="N1605" t="str">
        <x:v>ISSUER</x:v>
      </x:c>
      <x:c r="O1605" t="str">
        <x:v>MCDONALDS.00948/GOSLAR</x:v>
      </x:c>
      <x:c r="P1605" t="str">
        <x:v>VISA Debitkartenumsatz vom 27.11.2024</x:v>
      </x:c>
      <x:c r="Q1605" t="str">
        <x:v>Ausgang</x:v>
      </x:c>
      <x:c r="R1605" t="str">
        <x:v>DE96120300009005290904</x:v>
      </x:c>
      <x:c r="S1605" t="n">
        <x:v>-11.99</x:v>
      </x:c>
      <x:c r="T1605" t="str">
        <x:v>"</x:v>
      </x:c>
      <x:c r="U1605" t="str">
        <x:v>"</x:v>
      </x:c>
      <x:c r="V1605" t="str">
        <x:v>484332513838087</x:v>
      </x:c>
    </x:row>
    <x:row r="1606">
      <x:c r="A1606" t="str">
        <x:v>RAW-IMP-20260516-FULLDRAFT-001589</x:v>
      </x:c>
      <x:c r="B1606" t="str">
        <x:v>IMP-20260516-FULLDRAFT</x:v>
      </x:c>
      <x:c r="C1606" t="str">
        <x:v>KTO001</x:v>
      </x:c>
      <x:c r="D1606" t="str">
        <x:v>16-05-2026_Umsatzliste_Girokonto_DE98120300001061711675.csv</x:v>
      </x:c>
      <x:c r="E1606" t="n">
        <x:v>46163</x:v>
      </x:c>
      <x:c r="F1606" t="n">
        <x:v>1589</x:v>
      </x:c>
      <x:c r="G1606" t="str">
        <x:v>7f065a688bf7899c8cf9e5ba8508752b9370860d3ccadc714e98726a2bfed14c</x:v>
      </x:c>
      <x:c r="H1606" t="str">
        <x:v>neu</x:v>
      </x:c>
      <x:c r="I1606" t="str">
        <x:v>ok</x:v>
      </x:c>
      <x:c r="J1606"/>
      <x:c r="K1606" t="n">
        <x:v>45624</x:v>
      </x:c>
      <x:c r="L1606" t="n">
        <x:v>45624</x:v>
      </x:c>
      <x:c r="M1606" t="str">
        <x:v>Gebucht</x:v>
      </x:c>
      <x:c r="N1606" t="str">
        <x:v>ISSUER</x:v>
      </x:c>
      <x:c r="O1606" t="str">
        <x:v>AMZN.Mktp.DE.TP0VH65N4/800.279.6620</x:v>
      </x:c>
      <x:c r="P1606" t="str">
        <x:v>VISA Debitkartenumsatz vom 27.11.2024</x:v>
      </x:c>
      <x:c r="Q1606" t="str">
        <x:v>Ausgang</x:v>
      </x:c>
      <x:c r="R1606" t="str">
        <x:v>DE96120300009005290904</x:v>
      </x:c>
      <x:c r="S1606" t="n">
        <x:v>-107.52</x:v>
      </x:c>
      <x:c r="T1606" t="str">
        <x:v>"</x:v>
      </x:c>
      <x:c r="U1606" t="str">
        <x:v>"</x:v>
      </x:c>
      <x:c r="V1606" t="str">
        <x:v>484329535340925</x:v>
      </x:c>
    </x:row>
    <x:row r="1607">
      <x:c r="A1607" t="str">
        <x:v>RAW-IMP-20260516-FULLDRAFT-001590</x:v>
      </x:c>
      <x:c r="B1607" t="str">
        <x:v>IMP-20260516-FULLDRAFT</x:v>
      </x:c>
      <x:c r="C1607" t="str">
        <x:v>KTO001</x:v>
      </x:c>
      <x:c r="D1607" t="str">
        <x:v>16-05-2026_Umsatzliste_Girokonto_DE98120300001061711675.csv</x:v>
      </x:c>
      <x:c r="E1607" t="n">
        <x:v>46163</x:v>
      </x:c>
      <x:c r="F1607" t="n">
        <x:v>1590</x:v>
      </x:c>
      <x:c r="G1607" t="str">
        <x:v>94d7b3dcc4d256dd63ebdf17fbce3dfd9a0beecbcc80659849f557eb81a25392</x:v>
      </x:c>
      <x:c r="H1607" t="str">
        <x:v>neu</x:v>
      </x:c>
      <x:c r="I1607" t="str">
        <x:v>ok</x:v>
      </x:c>
      <x:c r="J1607"/>
      <x:c r="K1607" t="n">
        <x:v>45623</x:v>
      </x:c>
      <x:c r="L1607" t="n">
        <x:v>45623</x:v>
      </x:c>
      <x:c r="M1607" t="str">
        <x:v>Gebucht</x:v>
      </x:c>
      <x:c r="N1607" t="str">
        <x:v>ISSUER</x:v>
      </x:c>
      <x:c r="O1607" t="str">
        <x:v>Amazon.de.TP07Y00B4/AMAZON.DE</x:v>
      </x:c>
      <x:c r="P1607" t="str">
        <x:v>VISA Debitkartenumsatz vom 26.11.2024</x:v>
      </x:c>
      <x:c r="Q1607" t="str">
        <x:v>Ausgang</x:v>
      </x:c>
      <x:c r="R1607" t="str">
        <x:v>DE96120300009005290904</x:v>
      </x:c>
      <x:c r="S1607" t="n">
        <x:v>-222.99</x:v>
      </x:c>
      <x:c r="T1607" t="str">
        <x:v>"</x:v>
      </x:c>
      <x:c r="U1607" t="str">
        <x:v>"</x:v>
      </x:c>
      <x:c r="V1607" t="str">
        <x:v>484330785821157</x:v>
      </x:c>
    </x:row>
    <x:row r="1608">
      <x:c r="A1608" t="str">
        <x:v>RAW-IMP-20260516-FULLDRAFT-001591</x:v>
      </x:c>
      <x:c r="B1608" t="str">
        <x:v>IMP-20260516-FULLDRAFT</x:v>
      </x:c>
      <x:c r="C1608" t="str">
        <x:v>KTO001</x:v>
      </x:c>
      <x:c r="D1608" t="str">
        <x:v>16-05-2026_Umsatzliste_Girokonto_DE98120300001061711675.csv</x:v>
      </x:c>
      <x:c r="E1608" t="n">
        <x:v>46163</x:v>
      </x:c>
      <x:c r="F1608" t="n">
        <x:v>1591</x:v>
      </x:c>
      <x:c r="G1608" t="str">
        <x:v>5d11cb9f6031081e09c80129a3dbd6ee6dd8e3b41cc495853211c619654ce10d</x:v>
      </x:c>
      <x:c r="H1608" t="str">
        <x:v>neu</x:v>
      </x:c>
      <x:c r="I1608" t="str">
        <x:v>ok</x:v>
      </x:c>
      <x:c r="J1608"/>
      <x:c r="K1608" t="n">
        <x:v>45622</x:v>
      </x:c>
      <x:c r="L1608" t="n">
        <x:v>45622</x:v>
      </x:c>
      <x:c r="M1608" t="str">
        <x:v>Gebucht</x:v>
      </x:c>
      <x:c r="N1608" t="str">
        <x:v>ISSUER</x:v>
      </x:c>
      <x:c r="O1608" t="str">
        <x:v>WITWE.BOLTE/HILDESHEIM</x:v>
      </x:c>
      <x:c r="P1608" t="str">
        <x:v>VISA Debitkartenumsatz vom 25.11.2024</x:v>
      </x:c>
      <x:c r="Q1608" t="str">
        <x:v>Ausgang</x:v>
      </x:c>
      <x:c r="R1608" t="str">
        <x:v>DE96120300009005290904</x:v>
      </x:c>
      <x:c r="S1608" t="n">
        <x:v>-6.4</x:v>
      </x:c>
      <x:c r="T1608" t="str">
        <x:v>"</x:v>
      </x:c>
      <x:c r="U1608" t="str">
        <x:v>"</x:v>
      </x:c>
      <x:c r="V1608" t="str">
        <x:v>484330587938263</x:v>
      </x:c>
    </x:row>
    <x:row r="1609">
      <x:c r="A1609" t="str">
        <x:v>RAW-IMP-20260516-FULLDRAFT-001592</x:v>
      </x:c>
      <x:c r="B1609" t="str">
        <x:v>IMP-20260516-FULLDRAFT</x:v>
      </x:c>
      <x:c r="C1609" t="str">
        <x:v>KTO001</x:v>
      </x:c>
      <x:c r="D1609" t="str">
        <x:v>16-05-2026_Umsatzliste_Girokonto_DE98120300001061711675.csv</x:v>
      </x:c>
      <x:c r="E1609" t="n">
        <x:v>46163</x:v>
      </x:c>
      <x:c r="F1609" t="n">
        <x:v>1592</x:v>
      </x:c>
      <x:c r="G1609" t="str">
        <x:v>92404a0d525607c11c24e6450ce6778a2f4d3dc15a8169ec7fe06583b29b269d</x:v>
      </x:c>
      <x:c r="H1609" t="str">
        <x:v>neu</x:v>
      </x:c>
      <x:c r="I1609" t="str">
        <x:v>ok</x:v>
      </x:c>
      <x:c r="J1609"/>
      <x:c r="K1609" t="n">
        <x:v>45622</x:v>
      </x:c>
      <x:c r="L1609" t="n">
        <x:v>45622</x:v>
      </x:c>
      <x:c r="M1609" t="str">
        <x:v>Gebucht</x:v>
      </x:c>
      <x:c r="N1609" t="str">
        <x:v>ISSUER</x:v>
      </x:c>
      <x:c r="O1609" t="str">
        <x:v>REWE.Salzgitter.Ge/Salzgitter</x:v>
      </x:c>
      <x:c r="P1609" t="str">
        <x:v>VISA Debitkartenumsatz vom 25.11.2024</x:v>
      </x:c>
      <x:c r="Q1609" t="str">
        <x:v>Ausgang</x:v>
      </x:c>
      <x:c r="R1609" t="str">
        <x:v>DE96120300009005290904</x:v>
      </x:c>
      <x:c r="S1609" t="n">
        <x:v>-7.44</x:v>
      </x:c>
      <x:c r="T1609" t="str">
        <x:v>"</x:v>
      </x:c>
      <x:c r="U1609" t="str">
        <x:v>"</x:v>
      </x:c>
      <x:c r="V1609" t="str">
        <x:v>484330587262058</x:v>
      </x:c>
    </x:row>
    <x:row r="1610">
      <x:c r="A1610" t="str">
        <x:v>RAW-IMP-20260516-FULLDRAFT-001593</x:v>
      </x:c>
      <x:c r="B1610" t="str">
        <x:v>IMP-20260516-FULLDRAFT</x:v>
      </x:c>
      <x:c r="C1610" t="str">
        <x:v>KTO001</x:v>
      </x:c>
      <x:c r="D1610" t="str">
        <x:v>16-05-2026_Umsatzliste_Girokonto_DE98120300001061711675.csv</x:v>
      </x:c>
      <x:c r="E1610" t="n">
        <x:v>46163</x:v>
      </x:c>
      <x:c r="F1610" t="n">
        <x:v>1593</x:v>
      </x:c>
      <x:c r="G1610" t="str">
        <x:v>be46734983aa8eed5529ee0b937917f96f3e9d0f545291b75fc35cd714beb0c3</x:v>
      </x:c>
      <x:c r="H1610" t="str">
        <x:v>neu</x:v>
      </x:c>
      <x:c r="I1610" t="str">
        <x:v>ok</x:v>
      </x:c>
      <x:c r="J1610"/>
      <x:c r="K1610" t="n">
        <x:v>45621</x:v>
      </x:c>
      <x:c r="L1610" t="n">
        <x:v>45621</x:v>
      </x:c>
      <x:c r="M1610" t="str">
        <x:v>Gebucht</x:v>
      </x:c>
      <x:c r="N1610" t="str">
        <x:v>ISSUER</x:v>
      </x:c>
      <x:c r="O1610" t="str">
        <x:v>REWE.Salzgitter.Ge/Salzgitter</x:v>
      </x:c>
      <x:c r="P1610" t="str">
        <x:v>VISA Debitkartenumsatz vom 22.11.2024</x:v>
      </x:c>
      <x:c r="Q1610" t="str">
        <x:v>Ausgang</x:v>
      </x:c>
      <x:c r="R1610" t="str">
        <x:v>DE96120300009005290904</x:v>
      </x:c>
      <x:c r="S1610" t="n">
        <x:v>-47.86</x:v>
      </x:c>
      <x:c r="T1610" t="str">
        <x:v>"</x:v>
      </x:c>
      <x:c r="U1610" t="str">
        <x:v>"</x:v>
      </x:c>
      <x:c r="V1610" t="str">
        <x:v>484327666136235</x:v>
      </x:c>
    </x:row>
    <x:row r="1611">
      <x:c r="A1611" t="str">
        <x:v>RAW-IMP-20260516-FULLDRAFT-001594</x:v>
      </x:c>
      <x:c r="B1611" t="str">
        <x:v>IMP-20260516-FULLDRAFT</x:v>
      </x:c>
      <x:c r="C1611" t="str">
        <x:v>KTO001</x:v>
      </x:c>
      <x:c r="D1611" t="str">
        <x:v>16-05-2026_Umsatzliste_Girokonto_DE98120300001061711675.csv</x:v>
      </x:c>
      <x:c r="E1611" t="n">
        <x:v>46163</x:v>
      </x:c>
      <x:c r="F1611" t="n">
        <x:v>1594</x:v>
      </x:c>
      <x:c r="G1611" t="str">
        <x:v>cde91dc8545b0c7e89974fe953a711f4676cf21a7795f51903bb5773fbae2ad4</x:v>
      </x:c>
      <x:c r="H1611" t="str">
        <x:v>neu</x:v>
      </x:c>
      <x:c r="I1611" t="str">
        <x:v>ok</x:v>
      </x:c>
      <x:c r="J1611"/>
      <x:c r="K1611" t="n">
        <x:v>45621</x:v>
      </x:c>
      <x:c r="L1611" t="n">
        <x:v>45621</x:v>
      </x:c>
      <x:c r="M1611" t="str">
        <x:v>Gebucht</x:v>
      </x:c>
      <x:c r="N1611" t="str">
        <x:v>ISSUER</x:v>
      </x:c>
      <x:c r="O1611" t="str">
        <x:v>Dube.Parkhaus.u.Immobil/Braunschweig</x:v>
      </x:c>
      <x:c r="P1611" t="str">
        <x:v>VISA Debitkartenumsatz vom 23.11.2024</x:v>
      </x:c>
      <x:c r="Q1611" t="str">
        <x:v>Ausgang</x:v>
      </x:c>
      <x:c r="R1611" t="str">
        <x:v>DE96120300009005290904</x:v>
      </x:c>
      <x:c r="S1611" t="n">
        <x:v>-8</x:v>
      </x:c>
      <x:c r="T1611" t="str">
        <x:v>"</x:v>
      </x:c>
      <x:c r="U1611" t="str">
        <x:v>"</x:v>
      </x:c>
      <x:c r="V1611" t="str">
        <x:v>484328805465112</x:v>
      </x:c>
    </x:row>
    <x:row r="1612">
      <x:c r="A1612" t="str">
        <x:v>RAW-IMP-20260516-FULLDRAFT-001595</x:v>
      </x:c>
      <x:c r="B1612" t="str">
        <x:v>IMP-20260516-FULLDRAFT</x:v>
      </x:c>
      <x:c r="C1612" t="str">
        <x:v>KTO001</x:v>
      </x:c>
      <x:c r="D1612" t="str">
        <x:v>16-05-2026_Umsatzliste_Girokonto_DE98120300001061711675.csv</x:v>
      </x:c>
      <x:c r="E1612" t="n">
        <x:v>46163</x:v>
      </x:c>
      <x:c r="F1612" t="n">
        <x:v>1595</x:v>
      </x:c>
      <x:c r="G1612" t="str">
        <x:v>5559ba9583ec24ea91b1b75d839af6d70e46a08b075e60e2ac9a16f041a30640</x:v>
      </x:c>
      <x:c r="H1612" t="str">
        <x:v>neu</x:v>
      </x:c>
      <x:c r="I1612" t="str">
        <x:v>ok</x:v>
      </x:c>
      <x:c r="J1612"/>
      <x:c r="K1612" t="n">
        <x:v>45621</x:v>
      </x:c>
      <x:c r="L1612" t="n">
        <x:v>45621</x:v>
      </x:c>
      <x:c r="M1612" t="str">
        <x:v>Gebucht</x:v>
      </x:c>
      <x:c r="N1612" t="str">
        <x:v>ISSUER</x:v>
      </x:c>
      <x:c r="O1612" t="str">
        <x:v>ALEX.BRAUNSCHWEIG..1420/BRAUNSCHWEIG</x:v>
      </x:c>
      <x:c r="P1612" t="str">
        <x:v>VISA Debitkartenumsatz vom 23.11.2024</x:v>
      </x:c>
      <x:c r="Q1612" t="str">
        <x:v>Ausgang</x:v>
      </x:c>
      <x:c r="R1612" t="str">
        <x:v>DE96120300009005290904</x:v>
      </x:c>
      <x:c r="S1612" t="n">
        <x:v>-65</x:v>
      </x:c>
      <x:c r="T1612" t="str">
        <x:v>"</x:v>
      </x:c>
      <x:c r="U1612" t="str">
        <x:v>"</x:v>
      </x:c>
      <x:c r="V1612" t="str">
        <x:v>484328611778062</x:v>
      </x:c>
    </x:row>
    <x:row r="1613">
      <x:c r="A1613" t="str">
        <x:v>RAW-IMP-20260516-FULLDRAFT-001596</x:v>
      </x:c>
      <x:c r="B1613" t="str">
        <x:v>IMP-20260516-FULLDRAFT</x:v>
      </x:c>
      <x:c r="C1613" t="str">
        <x:v>KTO001</x:v>
      </x:c>
      <x:c r="D1613" t="str">
        <x:v>16-05-2026_Umsatzliste_Girokonto_DE98120300001061711675.csv</x:v>
      </x:c>
      <x:c r="E1613" t="n">
        <x:v>46163</x:v>
      </x:c>
      <x:c r="F1613" t="n">
        <x:v>1596</x:v>
      </x:c>
      <x:c r="G1613" t="str">
        <x:v>f86e19f5254c340c318fde52eec56d81d83b34a52ee43aaf00020d93ca40a7cb</x:v>
      </x:c>
      <x:c r="H1613" t="str">
        <x:v>neu</x:v>
      </x:c>
      <x:c r="I1613" t="str">
        <x:v>ok</x:v>
      </x:c>
      <x:c r="J1613"/>
      <x:c r="K1613" t="n">
        <x:v>45621</x:v>
      </x:c>
      <x:c r="L1613" t="n">
        <x:v>45621</x:v>
      </x:c>
      <x:c r="M1613" t="str">
        <x:v>Gebucht</x:v>
      </x:c>
      <x:c r="N1613" t="str">
        <x:v>Lars Kohlenberg</x:v>
      </x:c>
      <x:c r="O1613" t="str">
        <x:v>GMX by LOTTO24                                                        Simon Carmiggeltstraat 6-50 1011DJ Amsterdam 6</x:v>
      </x:c>
      <x:c r="P1613" t="str">
        <x:v>GMX by LOTTO24 C98983063 - T663545244551</x:v>
      </x:c>
      <x:c r="Q1613" t="str">
        <x:v>Ausgang</x:v>
      </x:c>
      <x:c r="R1613" t="str">
        <x:v>DE52100190001000027873</x:v>
      </x:c>
      <x:c r="S1613" t="n">
        <x:v>-18.14</x:v>
      </x:c>
      <x:c r="T1613" t="str">
        <x:v>NL48ZZZ342764500000</x:v>
      </x:c>
      <x:c r="U1613" t="str">
        <x:v>R372DKN5SSBXZP52</x:v>
      </x:c>
      <x:c r="V1613" t="str">
        <x:v>LJVC6GTSM5ZD44Z3</x:v>
      </x:c>
    </x:row>
    <x:row r="1614">
      <x:c r="A1614" t="str">
        <x:v>RAW-IMP-20260516-FULLDRAFT-001597</x:v>
      </x:c>
      <x:c r="B1614" t="str">
        <x:v>IMP-20260516-FULLDRAFT</x:v>
      </x:c>
      <x:c r="C1614" t="str">
        <x:v>KTO001</x:v>
      </x:c>
      <x:c r="D1614" t="str">
        <x:v>16-05-2026_Umsatzliste_Girokonto_DE98120300001061711675.csv</x:v>
      </x:c>
      <x:c r="E1614" t="n">
        <x:v>46163</x:v>
      </x:c>
      <x:c r="F1614" t="n">
        <x:v>1597</x:v>
      </x:c>
      <x:c r="G1614" t="str">
        <x:v>486b8d07e39228e87ae7ed20c19cb5c46dedc1e0df8a9759567adc750eeebeec</x:v>
      </x:c>
      <x:c r="H1614" t="str">
        <x:v>neu</x:v>
      </x:c>
      <x:c r="I1614" t="str">
        <x:v>ok</x:v>
      </x:c>
      <x:c r="J1614"/>
      <x:c r="K1614" t="n">
        <x:v>45618</x:v>
      </x:c>
      <x:c r="L1614" t="n">
        <x:v>45618</x:v>
      </x:c>
      <x:c r="M1614" t="str">
        <x:v>Gebucht</x:v>
      </x:c>
      <x:c r="N1614" t="str">
        <x:v>ISSUER</x:v>
      </x:c>
      <x:c r="O1614" t="str">
        <x:v>REWE.Salzgitter.Ge/Salzgitter</x:v>
      </x:c>
      <x:c r="P1614" t="str">
        <x:v>VISA Debitkartenumsatz vom 21.11.2024</x:v>
      </x:c>
      <x:c r="Q1614" t="str">
        <x:v>Ausgang</x:v>
      </x:c>
      <x:c r="R1614" t="str">
        <x:v>DE96120300009005290904</x:v>
      </x:c>
      <x:c r="S1614" t="n">
        <x:v>-26.85</x:v>
      </x:c>
      <x:c r="T1614" t="str">
        <x:v>"</x:v>
      </x:c>
      <x:c r="U1614" t="str">
        <x:v>"</x:v>
      </x:c>
      <x:c r="V1614" t="str">
        <x:v>484326653932347</x:v>
      </x:c>
    </x:row>
    <x:row r="1615">
      <x:c r="A1615" t="str">
        <x:v>RAW-IMP-20260516-FULLDRAFT-001598</x:v>
      </x:c>
      <x:c r="B1615" t="str">
        <x:v>IMP-20260516-FULLDRAFT</x:v>
      </x:c>
      <x:c r="C1615" t="str">
        <x:v>KTO001</x:v>
      </x:c>
      <x:c r="D1615" t="str">
        <x:v>16-05-2026_Umsatzliste_Girokonto_DE98120300001061711675.csv</x:v>
      </x:c>
      <x:c r="E1615" t="n">
        <x:v>46163</x:v>
      </x:c>
      <x:c r="F1615" t="n">
        <x:v>1598</x:v>
      </x:c>
      <x:c r="G1615" t="str">
        <x:v>02d019159ed8d54274d1c074e3a9bb4d643fc9a459e8256297ef9331923d7a2e</x:v>
      </x:c>
      <x:c r="H1615" t="str">
        <x:v>neu</x:v>
      </x:c>
      <x:c r="I1615" t="str">
        <x:v>ok</x:v>
      </x:c>
      <x:c r="J1615"/>
      <x:c r="K1615" t="n">
        <x:v>45618</x:v>
      </x:c>
      <x:c r="L1615" t="n">
        <x:v>45618</x:v>
      </x:c>
      <x:c r="M1615" t="str">
        <x:v>Gebucht</x:v>
      </x:c>
      <x:c r="N1615" t="str">
        <x:v>ISSUER</x:v>
      </x:c>
      <x:c r="O1615" t="str">
        <x:v>APPLE.COM.BILL/08006645451</x:v>
      </x:c>
      <x:c r="P1615" t="str">
        <x:v>VISA Debitkartenumsatz vom 21.11.2024</x:v>
      </x:c>
      <x:c r="Q1615" t="str">
        <x:v>Ausgang</x:v>
      </x:c>
      <x:c r="R1615" t="str">
        <x:v>DE96120300009005290904</x:v>
      </x:c>
      <x:c r="S1615" t="n">
        <x:v>-2.99</x:v>
      </x:c>
      <x:c r="T1615" t="str">
        <x:v>"</x:v>
      </x:c>
      <x:c r="U1615" t="str">
        <x:v>"</x:v>
      </x:c>
      <x:c r="V1615" t="str">
        <x:v>484326502361395</x:v>
      </x:c>
    </x:row>
    <x:row r="1616">
      <x:c r="A1616" t="str">
        <x:v>RAW-IMP-20260516-FULLDRAFT-001599</x:v>
      </x:c>
      <x:c r="B1616" t="str">
        <x:v>IMP-20260516-FULLDRAFT</x:v>
      </x:c>
      <x:c r="C1616" t="str">
        <x:v>KTO001</x:v>
      </x:c>
      <x:c r="D1616" t="str">
        <x:v>16-05-2026_Umsatzliste_Girokonto_DE98120300001061711675.csv</x:v>
      </x:c>
      <x:c r="E1616" t="n">
        <x:v>46163</x:v>
      </x:c>
      <x:c r="F1616" t="n">
        <x:v>1599</x:v>
      </x:c>
      <x:c r="G1616" t="str">
        <x:v>58ffb8af3a4d3c10bb95cac105aad1e5a0427450ee46d147ca656f4fabca8910</x:v>
      </x:c>
      <x:c r="H1616" t="str">
        <x:v>neu</x:v>
      </x:c>
      <x:c r="I1616" t="str">
        <x:v>ok</x:v>
      </x:c>
      <x:c r="J1616"/>
      <x:c r="K1616" t="n">
        <x:v>45618</x:v>
      </x:c>
      <x:c r="L1616" t="n">
        <x:v>45618</x:v>
      </x:c>
      <x:c r="M1616" t="str">
        <x:v>Gebucht</x:v>
      </x:c>
      <x:c r="N1616" t="str">
        <x:v>ISSUER</x:v>
      </x:c>
      <x:c r="O1616" t="str">
        <x:v>REWE.Bernd.Sorgalla.oHG/Stade</x:v>
      </x:c>
      <x:c r="P1616" t="str">
        <x:v>VISA Debitkartenumsatz vom 21.11.2024</x:v>
      </x:c>
      <x:c r="Q1616" t="str">
        <x:v>Ausgang</x:v>
      </x:c>
      <x:c r="R1616" t="str">
        <x:v>DE96120300009005290904</x:v>
      </x:c>
      <x:c r="S1616" t="n">
        <x:v>-3.99</x:v>
      </x:c>
      <x:c r="T1616" t="str">
        <x:v>"</x:v>
      </x:c>
      <x:c r="U1616" t="str">
        <x:v>"</x:v>
      </x:c>
      <x:c r="V1616" t="str">
        <x:v>484326398439732</x:v>
      </x:c>
    </x:row>
    <x:row r="1617">
      <x:c r="A1617" t="str">
        <x:v>RAW-IMP-20260516-FULLDRAFT-001600</x:v>
      </x:c>
      <x:c r="B1617" t="str">
        <x:v>IMP-20260516-FULLDRAFT</x:v>
      </x:c>
      <x:c r="C1617" t="str">
        <x:v>KTO001</x:v>
      </x:c>
      <x:c r="D1617" t="str">
        <x:v>16-05-2026_Umsatzliste_Girokonto_DE98120300001061711675.csv</x:v>
      </x:c>
      <x:c r="E1617" t="n">
        <x:v>46163</x:v>
      </x:c>
      <x:c r="F1617" t="n">
        <x:v>1600</x:v>
      </x:c>
      <x:c r="G1617" t="str">
        <x:v>1147ab07ee85d307a9752db51200a09479f4967e4e1ab0b7d85ba4783537fb65</x:v>
      </x:c>
      <x:c r="H1617" t="str">
        <x:v>neu</x:v>
      </x:c>
      <x:c r="I1617" t="str">
        <x:v>ok</x:v>
      </x:c>
      <x:c r="J1617"/>
      <x:c r="K1617" t="n">
        <x:v>45617</x:v>
      </x:c>
      <x:c r="L1617" t="n">
        <x:v>45617</x:v>
      </x:c>
      <x:c r="M1617" t="str">
        <x:v>Gebucht</x:v>
      </x:c>
      <x:c r="N1617" t="str">
        <x:v>ISSUER</x:v>
      </x:c>
      <x:c r="O1617" t="str">
        <x:v>HFB.ECO.IKEA.117.BRAUNS/BRAUNSCHWEIG</x:v>
      </x:c>
      <x:c r="P1617" t="str">
        <x:v>VISA Debitkartenumsatz vom 20.11.2024</x:v>
      </x:c>
      <x:c r="Q1617" t="str">
        <x:v>Ausgang</x:v>
      </x:c>
      <x:c r="R1617" t="str">
        <x:v>DE96120300009005290904</x:v>
      </x:c>
      <x:c r="S1617" t="n">
        <x:v>-48</x:v>
      </x:c>
      <x:c r="T1617" t="str">
        <x:v>"</x:v>
      </x:c>
      <x:c r="U1617" t="str">
        <x:v>"</x:v>
      </x:c>
      <x:c r="V1617" t="str">
        <x:v>484325624434302</x:v>
      </x:c>
    </x:row>
    <x:row r="1618">
      <x:c r="A1618" t="str">
        <x:v>RAW-IMP-20260516-FULLDRAFT-001601</x:v>
      </x:c>
      <x:c r="B1618" t="str">
        <x:v>IMP-20260516-FULLDRAFT</x:v>
      </x:c>
      <x:c r="C1618" t="str">
        <x:v>KTO001</x:v>
      </x:c>
      <x:c r="D1618" t="str">
        <x:v>16-05-2026_Umsatzliste_Girokonto_DE98120300001061711675.csv</x:v>
      </x:c>
      <x:c r="E1618" t="n">
        <x:v>46163</x:v>
      </x:c>
      <x:c r="F1618" t="n">
        <x:v>1601</x:v>
      </x:c>
      <x:c r="G1618" t="str">
        <x:v>3f3769208aa99f53dcd1754f2e2ddb8f27c5708b210cf610d962d8c25068373b</x:v>
      </x:c>
      <x:c r="H1618" t="str">
        <x:v>neu</x:v>
      </x:c>
      <x:c r="I1618" t="str">
        <x:v>ok</x:v>
      </x:c>
      <x:c r="J1618"/>
      <x:c r="K1618" t="n">
        <x:v>45616</x:v>
      </x:c>
      <x:c r="L1618" t="n">
        <x:v>45616</x:v>
      </x:c>
      <x:c r="M1618" t="str">
        <x:v>Gebucht</x:v>
      </x:c>
      <x:c r="N1618" t="str">
        <x:v>ISSUER</x:v>
      </x:c>
      <x:c r="O1618" t="str">
        <x:v>REWE.Mehmet.Kaysal.oHG/Salzgitter</x:v>
      </x:c>
      <x:c r="P1618" t="str">
        <x:v>VISA Debitkartenumsatz vom 19.11.2024</x:v>
      </x:c>
      <x:c r="Q1618" t="str">
        <x:v>Ausgang</x:v>
      </x:c>
      <x:c r="R1618" t="str">
        <x:v>DE96120300009005290904</x:v>
      </x:c>
      <x:c r="S1618" t="n">
        <x:v>-40.41</x:v>
      </x:c>
      <x:c r="T1618" t="str">
        <x:v>"</x:v>
      </x:c>
      <x:c r="U1618" t="str">
        <x:v>"</x:v>
      </x:c>
      <x:c r="V1618" t="str">
        <x:v>484324670463687</x:v>
      </x:c>
    </x:row>
    <x:row r="1619">
      <x:c r="A1619" t="str">
        <x:v>RAW-IMP-20260516-FULLDRAFT-001602</x:v>
      </x:c>
      <x:c r="B1619" t="str">
        <x:v>IMP-20260516-FULLDRAFT</x:v>
      </x:c>
      <x:c r="C1619" t="str">
        <x:v>KTO001</x:v>
      </x:c>
      <x:c r="D1619" t="str">
        <x:v>16-05-2026_Umsatzliste_Girokonto_DE98120300001061711675.csv</x:v>
      </x:c>
      <x:c r="E1619" t="n">
        <x:v>46163</x:v>
      </x:c>
      <x:c r="F1619" t="n">
        <x:v>1602</x:v>
      </x:c>
      <x:c r="G1619" t="str">
        <x:v>f5ade69ee58e991d8f3a369bd978ff901e601753da7dd256ea3e227fc9d9e889</x:v>
      </x:c>
      <x:c r="H1619" t="str">
        <x:v>neu</x:v>
      </x:c>
      <x:c r="I1619" t="str">
        <x:v>ok</x:v>
      </x:c>
      <x:c r="J1619"/>
      <x:c r="K1619" t="n">
        <x:v>45615</x:v>
      </x:c>
      <x:c r="L1619" t="n">
        <x:v>45615</x:v>
      </x:c>
      <x:c r="M1619" t="str">
        <x:v>Gebucht</x:v>
      </x:c>
      <x:c r="N1619" t="str">
        <x:v>Lars Kohlenberg                                                       Johannes-Wosnitza-Str. 8 38229 Salzgitter</x:v>
      </x:c>
      <x:c r="O1619" t="str">
        <x:v>1.1 Mail . Media GmbH                                                 Elgendorfer Str. 57, 56410 Montabaur</x:v>
      </x:c>
      <x:c r="P1619" t="str">
        <x:v>GMX / WEB.DE / KD-Nr. K7440512/ RG-Nr. 201539178016</x:v>
      </x:c>
      <x:c r="Q1619" t="str">
        <x:v>Ausgang</x:v>
      </x:c>
      <x:c r="R1619" t="str">
        <x:v>DE76700800000881679702</x:v>
      </x:c>
      <x:c r="S1619" t="n">
        <x:v>-23.94</x:v>
      </x:c>
      <x:c r="T1619" t="str">
        <x:v>DE07ZZZ00000569718</x:v>
      </x:c>
      <x:c r="U1619" t="str">
        <x:v>0090001393062</x:v>
      </x:c>
      <x:c r="V1619" t="str">
        <x:v>005963810865</x:v>
      </x:c>
    </x:row>
    <x:row r="1620">
      <x:c r="A1620" t="str">
        <x:v>RAW-IMP-20260516-FULLDRAFT-001603</x:v>
      </x:c>
      <x:c r="B1620" t="str">
        <x:v>IMP-20260516-FULLDRAFT</x:v>
      </x:c>
      <x:c r="C1620" t="str">
        <x:v>KTO001</x:v>
      </x:c>
      <x:c r="D1620" t="str">
        <x:v>16-05-2026_Umsatzliste_Girokonto_DE98120300001061711675.csv</x:v>
      </x:c>
      <x:c r="E1620" t="n">
        <x:v>46163</x:v>
      </x:c>
      <x:c r="F1620" t="n">
        <x:v>1603</x:v>
      </x:c>
      <x:c r="G1620" t="str">
        <x:v>8e2567ef34293908940a0edf450f8e629948f301961393e26969e88522c2b18b</x:v>
      </x:c>
      <x:c r="H1620" t="str">
        <x:v>neu</x:v>
      </x:c>
      <x:c r="I1620" t="str">
        <x:v>ok</x:v>
      </x:c>
      <x:c r="J1620"/>
      <x:c r="K1620" t="n">
        <x:v>45614</x:v>
      </x:c>
      <x:c r="L1620" t="n">
        <x:v>45614</x:v>
      </x:c>
      <x:c r="M1620" t="str">
        <x:v>Gebucht</x:v>
      </x:c>
      <x:c r="N1620" t="str">
        <x:v>Caritasverband fur die Diozese Hildesheim e.V.</x:v>
      </x:c>
      <x:c r="O1620" t="str">
        <x:v>Lars Kohlenberg</x:v>
      </x:c>
      <x:c r="P1620" t="str">
        <x:v>Bel. v. 03.09.2024 b. 18.10.2024</x:v>
      </x:c>
      <x:c r="Q1620" t="str">
        <x:v>Eingang</x:v>
      </x:c>
      <x:c r="R1620" t="str">
        <x:v>DE73400602650023003300</x:v>
      </x:c>
      <x:c r="S1620" t="n">
        <x:v>664.9</x:v>
      </x:c>
      <x:c r="T1620" t="str">
        <x:v>"</x:v>
      </x:c>
      <x:c r="U1620" t="str">
        <x:v>"</x:v>
      </x:c>
      <x:c r="V1620" t="str">
        <x:v>23</x:v>
      </x:c>
    </x:row>
    <x:row r="1621">
      <x:c r="A1621" t="str">
        <x:v>RAW-IMP-20260516-FULLDRAFT-001604</x:v>
      </x:c>
      <x:c r="B1621" t="str">
        <x:v>IMP-20260516-FULLDRAFT</x:v>
      </x:c>
      <x:c r="C1621" t="str">
        <x:v>KTO001</x:v>
      </x:c>
      <x:c r="D1621" t="str">
        <x:v>16-05-2026_Umsatzliste_Girokonto_DE98120300001061711675.csv</x:v>
      </x:c>
      <x:c r="E1621" t="n">
        <x:v>46163</x:v>
      </x:c>
      <x:c r="F1621" t="n">
        <x:v>1604</x:v>
      </x:c>
      <x:c r="G1621" t="str">
        <x:v>e70b8b232985cd9474f8f58172cbbba3f1b0890d354261aba2d525dd704740c6</x:v>
      </x:c>
      <x:c r="H1621" t="str">
        <x:v>neu</x:v>
      </x:c>
      <x:c r="I1621" t="str">
        <x:v>ok</x:v>
      </x:c>
      <x:c r="J1621"/>
      <x:c r="K1621" t="n">
        <x:v>45614</x:v>
      </x:c>
      <x:c r="L1621" t="n">
        <x:v>45614</x:v>
      </x:c>
      <x:c r="M1621" t="str">
        <x:v>Gebucht</x:v>
      </x:c>
      <x:c r="N1621" t="str">
        <x:v>ISSUER</x:v>
      </x:c>
      <x:c r="O1621" t="str">
        <x:v>REWE.Markt.GmbH.ZW/Salzgitter</x:v>
      </x:c>
      <x:c r="P1621" t="str">
        <x:v>VISA Debitkartenumsatz vom 16.11.2024</x:v>
      </x:c>
      <x:c r="Q1621" t="str">
        <x:v>Ausgang</x:v>
      </x:c>
      <x:c r="R1621" t="str">
        <x:v>DE96120300009005290904</x:v>
      </x:c>
      <x:c r="S1621" t="n">
        <x:v>-7.03</x:v>
      </x:c>
      <x:c r="T1621" t="str">
        <x:v>"</x:v>
      </x:c>
      <x:c r="U1621" t="str">
        <x:v>"</x:v>
      </x:c>
      <x:c r="V1621" t="str">
        <x:v>484321455335593</x:v>
      </x:c>
    </x:row>
    <x:row r="1622">
      <x:c r="A1622" t="str">
        <x:v>RAW-IMP-20260516-FULLDRAFT-001605</x:v>
      </x:c>
      <x:c r="B1622" t="str">
        <x:v>IMP-20260516-FULLDRAFT</x:v>
      </x:c>
      <x:c r="C1622" t="str">
        <x:v>KTO001</x:v>
      </x:c>
      <x:c r="D1622" t="str">
        <x:v>16-05-2026_Umsatzliste_Girokonto_DE98120300001061711675.csv</x:v>
      </x:c>
      <x:c r="E1622" t="n">
        <x:v>46163</x:v>
      </x:c>
      <x:c r="F1622" t="n">
        <x:v>1605</x:v>
      </x:c>
      <x:c r="G1622" t="str">
        <x:v>eb1ab0c3a97ad9d7917ed70d13b86f00d723115ac28063b2829cd3d9fcf92b60</x:v>
      </x:c>
      <x:c r="H1622" t="str">
        <x:v>neu</x:v>
      </x:c>
      <x:c r="I1622" t="str">
        <x:v>ok</x:v>
      </x:c>
      <x:c r="J1622"/>
      <x:c r="K1622" t="n">
        <x:v>45614</x:v>
      </x:c>
      <x:c r="L1622" t="n">
        <x:v>45614</x:v>
      </x:c>
      <x:c r="M1622" t="str">
        <x:v>Gebucht</x:v>
      </x:c>
      <x:c r="N1622" t="str">
        <x:v>ISSUER</x:v>
      </x:c>
      <x:c r="O1622" t="str">
        <x:v>Globus.Baumarkt/Salzgitter</x:v>
      </x:c>
      <x:c r="P1622" t="str">
        <x:v>VISA Debitkartenumsatz vom 16.11.2024</x:v>
      </x:c>
      <x:c r="Q1622" t="str">
        <x:v>Ausgang</x:v>
      </x:c>
      <x:c r="R1622" t="str">
        <x:v>DE96120300009005290904</x:v>
      </x:c>
      <x:c r="S1622" t="n">
        <x:v>-42.97</x:v>
      </x:c>
      <x:c r="T1622" t="str">
        <x:v>"</x:v>
      </x:c>
      <x:c r="U1622" t="str">
        <x:v>"</x:v>
      </x:c>
      <x:c r="V1622" t="str">
        <x:v>484321382086683</x:v>
      </x:c>
    </x:row>
    <x:row r="1623">
      <x:c r="A1623" t="str">
        <x:v>RAW-IMP-20260516-FULLDRAFT-001606</x:v>
      </x:c>
      <x:c r="B1623" t="str">
        <x:v>IMP-20260516-FULLDRAFT</x:v>
      </x:c>
      <x:c r="C1623" t="str">
        <x:v>KTO001</x:v>
      </x:c>
      <x:c r="D1623" t="str">
        <x:v>16-05-2026_Umsatzliste_Girokonto_DE98120300001061711675.csv</x:v>
      </x:c>
      <x:c r="E1623" t="n">
        <x:v>46163</x:v>
      </x:c>
      <x:c r="F1623" t="n">
        <x:v>1606</x:v>
      </x:c>
      <x:c r="G1623" t="str">
        <x:v>c557a40ee772dc22c4925a65f1d2cc155a87313faf0143f7f84a58e1eb488c91</x:v>
      </x:c>
      <x:c r="H1623" t="str">
        <x:v>neu</x:v>
      </x:c>
      <x:c r="I1623" t="str">
        <x:v>ok</x:v>
      </x:c>
      <x:c r="J1623"/>
      <x:c r="K1623" t="n">
        <x:v>45614</x:v>
      </x:c>
      <x:c r="L1623" t="n">
        <x:v>45614</x:v>
      </x:c>
      <x:c r="M1623" t="str">
        <x:v>Gebucht</x:v>
      </x:c>
      <x:c r="N1623" t="str">
        <x:v>ISSUER</x:v>
      </x:c>
      <x:c r="O1623" t="str">
        <x:v>Lidl.sagt.Danke/Salzgitter</x:v>
      </x:c>
      <x:c r="P1623" t="str">
        <x:v>VISA Debitkartenumsatz vom 15.11.2024</x:v>
      </x:c>
      <x:c r="Q1623" t="str">
        <x:v>Ausgang</x:v>
      </x:c>
      <x:c r="R1623" t="str">
        <x:v>DE96120300009005290904</x:v>
      </x:c>
      <x:c r="S1623" t="n">
        <x:v>-30.27</x:v>
      </x:c>
      <x:c r="T1623" t="str">
        <x:v>"</x:v>
      </x:c>
      <x:c r="U1623" t="str">
        <x:v>"</x:v>
      </x:c>
      <x:c r="V1623" t="str">
        <x:v>484320603420244</x:v>
      </x:c>
    </x:row>
    <x:row r="1624">
      <x:c r="A1624" t="str">
        <x:v>RAW-IMP-20260516-FULLDRAFT-001607</x:v>
      </x:c>
      <x:c r="B1624" t="str">
        <x:v>IMP-20260516-FULLDRAFT</x:v>
      </x:c>
      <x:c r="C1624" t="str">
        <x:v>KTO001</x:v>
      </x:c>
      <x:c r="D1624" t="str">
        <x:v>16-05-2026_Umsatzliste_Girokonto_DE98120300001061711675.csv</x:v>
      </x:c>
      <x:c r="E1624" t="n">
        <x:v>46163</x:v>
      </x:c>
      <x:c r="F1624" t="n">
        <x:v>1607</x:v>
      </x:c>
      <x:c r="G1624" t="str">
        <x:v>587163986a1629d438853bac36702a8c72c4ca3b951d4b19fa2a5a3bfcb180aa</x:v>
      </x:c>
      <x:c r="H1624" t="str">
        <x:v>neu</x:v>
      </x:c>
      <x:c r="I1624" t="str">
        <x:v>ok</x:v>
      </x:c>
      <x:c r="J1624"/>
      <x:c r="K1624" t="n">
        <x:v>45614</x:v>
      </x:c>
      <x:c r="L1624" t="n">
        <x:v>45614</x:v>
      </x:c>
      <x:c r="M1624" t="str">
        <x:v>Gebucht</x:v>
      </x:c>
      <x:c r="N1624" t="str">
        <x:v>ISSUER</x:v>
      </x:c>
      <x:c r="O1624" t="str">
        <x:v>Globus.Baumarkt/Braunschweig</x:v>
      </x:c>
      <x:c r="P1624" t="str">
        <x:v>VISA Debitkartenumsatz vom 16.11.2024</x:v>
      </x:c>
      <x:c r="Q1624" t="str">
        <x:v>Ausgang</x:v>
      </x:c>
      <x:c r="R1624" t="str">
        <x:v>DE96120300009005290904</x:v>
      </x:c>
      <x:c r="S1624" t="n">
        <x:v>-13.34</x:v>
      </x:c>
      <x:c r="T1624" t="str">
        <x:v>"</x:v>
      </x:c>
      <x:c r="U1624" t="str">
        <x:v>"</x:v>
      </x:c>
      <x:c r="V1624" t="str">
        <x:v>484321566478921</x:v>
      </x:c>
    </x:row>
    <x:row r="1625">
      <x:c r="A1625" t="str">
        <x:v>RAW-IMP-20260516-FULLDRAFT-001608</x:v>
      </x:c>
      <x:c r="B1625" t="str">
        <x:v>IMP-20260516-FULLDRAFT</x:v>
      </x:c>
      <x:c r="C1625" t="str">
        <x:v>KTO001</x:v>
      </x:c>
      <x:c r="D1625" t="str">
        <x:v>16-05-2026_Umsatzliste_Girokonto_DE98120300001061711675.csv</x:v>
      </x:c>
      <x:c r="E1625" t="n">
        <x:v>46163</x:v>
      </x:c>
      <x:c r="F1625" t="n">
        <x:v>1608</x:v>
      </x:c>
      <x:c r="G1625" t="str">
        <x:v>6226ce6d806218523e8926ef6c0a7893b8355a8d277d4a9144afcdadeaa3c477</x:v>
      </x:c>
      <x:c r="H1625" t="str">
        <x:v>neu</x:v>
      </x:c>
      <x:c r="I1625" t="str">
        <x:v>ok</x:v>
      </x:c>
      <x:c r="J1625"/>
      <x:c r="K1625" t="n">
        <x:v>45614</x:v>
      </x:c>
      <x:c r="L1625" t="n">
        <x:v>45614</x:v>
      </x:c>
      <x:c r="M1625" t="str">
        <x:v>Gebucht</x:v>
      </x:c>
      <x:c r="N1625" t="str">
        <x:v>ISSUER</x:v>
      </x:c>
      <x:c r="O1625" t="str">
        <x:v>BOSPORUS.GRILL/SALZGITTER</x:v>
      </x:c>
      <x:c r="P1625" t="str">
        <x:v>VISA Debitkartenumsatz vom 16.11.2024</x:v>
      </x:c>
      <x:c r="Q1625" t="str">
        <x:v>Ausgang</x:v>
      </x:c>
      <x:c r="R1625" t="str">
        <x:v>DE96120300009005290904</x:v>
      </x:c>
      <x:c r="S1625" t="n">
        <x:v>-21</x:v>
      </x:c>
      <x:c r="T1625" t="str">
        <x:v>"</x:v>
      </x:c>
      <x:c r="U1625" t="str">
        <x:v>"</x:v>
      </x:c>
      <x:c r="V1625" t="str">
        <x:v>484321687573621</x:v>
      </x:c>
    </x:row>
    <x:row r="1626">
      <x:c r="A1626" t="str">
        <x:v>RAW-IMP-20260516-FULLDRAFT-001609</x:v>
      </x:c>
      <x:c r="B1626" t="str">
        <x:v>IMP-20260516-FULLDRAFT</x:v>
      </x:c>
      <x:c r="C1626" t="str">
        <x:v>KTO001</x:v>
      </x:c>
      <x:c r="D1626" t="str">
        <x:v>16-05-2026_Umsatzliste_Girokonto_DE98120300001061711675.csv</x:v>
      </x:c>
      <x:c r="E1626" t="n">
        <x:v>46163</x:v>
      </x:c>
      <x:c r="F1626" t="n">
        <x:v>1609</x:v>
      </x:c>
      <x:c r="G1626" t="str">
        <x:v>d3811570a76e88e6dd3898c38a738c48858a03af346d064a98f76b0d913ab7cc</x:v>
      </x:c>
      <x:c r="H1626" t="str">
        <x:v>neu</x:v>
      </x:c>
      <x:c r="I1626" t="str">
        <x:v>ok</x:v>
      </x:c>
      <x:c r="J1626"/>
      <x:c r="K1626" t="n">
        <x:v>45614</x:v>
      </x:c>
      <x:c r="L1626" t="n">
        <x:v>45614</x:v>
      </x:c>
      <x:c r="M1626" t="str">
        <x:v>Gebucht</x:v>
      </x:c>
      <x:c r="N1626" t="str">
        <x:v>ISSUER</x:v>
      </x:c>
      <x:c r="O1626" t="str">
        <x:v>REWE.Salzgitter.Ge/Salzgitter</x:v>
      </x:c>
      <x:c r="P1626" t="str">
        <x:v>VISA Debitkartenumsatz vom 16.11.2024</x:v>
      </x:c>
      <x:c r="Q1626" t="str">
        <x:v>Ausgang</x:v>
      </x:c>
      <x:c r="R1626" t="str">
        <x:v>DE96120300009005290904</x:v>
      </x:c>
      <x:c r="S1626" t="n">
        <x:v>-58.93</x:v>
      </x:c>
      <x:c r="T1626" t="str">
        <x:v>"</x:v>
      </x:c>
      <x:c r="U1626" t="str">
        <x:v>"</x:v>
      </x:c>
      <x:c r="V1626" t="str">
        <x:v>484321400467605</x:v>
      </x:c>
    </x:row>
    <x:row r="1627">
      <x:c r="A1627" t="str">
        <x:v>RAW-IMP-20260516-FULLDRAFT-001610</x:v>
      </x:c>
      <x:c r="B1627" t="str">
        <x:v>IMP-20260516-FULLDRAFT</x:v>
      </x:c>
      <x:c r="C1627" t="str">
        <x:v>KTO001</x:v>
      </x:c>
      <x:c r="D1627" t="str">
        <x:v>16-05-2026_Umsatzliste_Girokonto_DE98120300001061711675.csv</x:v>
      </x:c>
      <x:c r="E1627" t="n">
        <x:v>46163</x:v>
      </x:c>
      <x:c r="F1627" t="n">
        <x:v>1610</x:v>
      </x:c>
      <x:c r="G1627" t="str">
        <x:v>da3254beee3a159287ef58b4512e32817c905cd2ae10571a1d985a2bc3d04487</x:v>
      </x:c>
      <x:c r="H1627" t="str">
        <x:v>neu</x:v>
      </x:c>
      <x:c r="I1627" t="str">
        <x:v>ok</x:v>
      </x:c>
      <x:c r="J1627"/>
      <x:c r="K1627" t="n">
        <x:v>45614</x:v>
      </x:c>
      <x:c r="L1627" t="n">
        <x:v>45614</x:v>
      </x:c>
      <x:c r="M1627" t="str">
        <x:v>Gebucht</x:v>
      </x:c>
      <x:c r="N1627" t="str">
        <x:v>ISSUER</x:v>
      </x:c>
      <x:c r="O1627" t="str">
        <x:v>E.CENTER.3375/SALZGITTER</x:v>
      </x:c>
      <x:c r="P1627" t="str">
        <x:v>VISA Debitkartenumsatz vom 16.11.2024</x:v>
      </x:c>
      <x:c r="Q1627" t="str">
        <x:v>Ausgang</x:v>
      </x:c>
      <x:c r="R1627" t="str">
        <x:v>DE96120300009005290904</x:v>
      </x:c>
      <x:c r="S1627" t="n">
        <x:v>-8.23</x:v>
      </x:c>
      <x:c r="T1627" t="str">
        <x:v>"</x:v>
      </x:c>
      <x:c r="U1627" t="str">
        <x:v>"</x:v>
      </x:c>
      <x:c r="V1627" t="str">
        <x:v>484321676966812</x:v>
      </x:c>
    </x:row>
    <x:row r="1628">
      <x:c r="A1628" t="str">
        <x:v>RAW-IMP-20260516-FULLDRAFT-001611</x:v>
      </x:c>
      <x:c r="B1628" t="str">
        <x:v>IMP-20260516-FULLDRAFT</x:v>
      </x:c>
      <x:c r="C1628" t="str">
        <x:v>KTO001</x:v>
      </x:c>
      <x:c r="D1628" t="str">
        <x:v>16-05-2026_Umsatzliste_Girokonto_DE98120300001061711675.csv</x:v>
      </x:c>
      <x:c r="E1628" t="n">
        <x:v>46163</x:v>
      </x:c>
      <x:c r="F1628" t="n">
        <x:v>1611</x:v>
      </x:c>
      <x:c r="G1628" t="str">
        <x:v>1df3141e48d29f5e6df5bf3e22162479484536785d486cac30f4a648411fb32c</x:v>
      </x:c>
      <x:c r="H1628" t="str">
        <x:v>neu</x:v>
      </x:c>
      <x:c r="I1628" t="str">
        <x:v>ok</x:v>
      </x:c>
      <x:c r="J1628"/>
      <x:c r="K1628" t="n">
        <x:v>45614</x:v>
      </x:c>
      <x:c r="L1628" t="n">
        <x:v>45614</x:v>
      </x:c>
      <x:c r="M1628" t="str">
        <x:v>Gebucht</x:v>
      </x:c>
      <x:c r="N1628" t="str">
        <x:v>Lars Kohlenberg</x:v>
      </x:c>
      <x:c r="O1628" t="str">
        <x:v>GMX by LOTTO24                                                        Simon Carmiggeltstraat 6-50 1011DJ Amsterdam 6</x:v>
      </x:c>
      <x:c r="P1628" t="str">
        <x:v>GMX by LOTTO24 C98983063 - T461323179028</x:v>
      </x:c>
      <x:c r="Q1628" t="str">
        <x:v>Ausgang</x:v>
      </x:c>
      <x:c r="R1628" t="str">
        <x:v>DE52100190001000027873</x:v>
      </x:c>
      <x:c r="S1628" t="n">
        <x:v>-7.14</x:v>
      </x:c>
      <x:c r="T1628" t="str">
        <x:v>NL48ZZZ342764500000</x:v>
      </x:c>
      <x:c r="U1628" t="str">
        <x:v>R372DKN5SSBXZP52</x:v>
      </x:c>
      <x:c r="V1628" t="str">
        <x:v>TVMBKLL7F4LKTTX3</x:v>
      </x:c>
    </x:row>
    <x:row r="1629">
      <x:c r="A1629" t="str">
        <x:v>RAW-IMP-20260516-FULLDRAFT-001612</x:v>
      </x:c>
      <x:c r="B1629" t="str">
        <x:v>IMP-20260516-FULLDRAFT</x:v>
      </x:c>
      <x:c r="C1629" t="str">
        <x:v>KTO001</x:v>
      </x:c>
      <x:c r="D1629" t="str">
        <x:v>16-05-2026_Umsatzliste_Girokonto_DE98120300001061711675.csv</x:v>
      </x:c>
      <x:c r="E1629" t="n">
        <x:v>46163</x:v>
      </x:c>
      <x:c r="F1629" t="n">
        <x:v>1612</x:v>
      </x:c>
      <x:c r="G1629" t="str">
        <x:v>450fa5f0b75d0969fe37a28cc5c90cb9619b5fac1cd2d6e1054c3b29ee028937</x:v>
      </x:c>
      <x:c r="H1629" t="str">
        <x:v>neu</x:v>
      </x:c>
      <x:c r="I1629" t="str">
        <x:v>ok</x:v>
      </x:c>
      <x:c r="J1629"/>
      <x:c r="K1629" t="n">
        <x:v>45611</x:v>
      </x:c>
      <x:c r="L1629" t="n">
        <x:v>45611</x:v>
      </x:c>
      <x:c r="M1629" t="str">
        <x:v>Gebucht</x:v>
      </x:c>
      <x:c r="N1629" t="str">
        <x:v>ISSUER</x:v>
      </x:c>
      <x:c r="O1629" t="str">
        <x:v>HAN.WERKSTAETTEN.GGMBH/HANNOVER</x:v>
      </x:c>
      <x:c r="P1629" t="str">
        <x:v>VISA Debitkartenumsatz vom 14.11.2024</x:v>
      </x:c>
      <x:c r="Q1629" t="str">
        <x:v>Ausgang</x:v>
      </x:c>
      <x:c r="R1629" t="str">
        <x:v>DE96120300009005290904</x:v>
      </x:c>
      <x:c r="S1629" t="n">
        <x:v>-24.2</x:v>
      </x:c>
      <x:c r="T1629" t="str">
        <x:v>"</x:v>
      </x:c>
      <x:c r="U1629" t="str">
        <x:v>"</x:v>
      </x:c>
      <x:c r="V1629" t="str">
        <x:v>484319449067066</x:v>
      </x:c>
    </x:row>
    <x:row r="1630">
      <x:c r="A1630" t="str">
        <x:v>RAW-IMP-20260516-FULLDRAFT-001613</x:v>
      </x:c>
      <x:c r="B1630" t="str">
        <x:v>IMP-20260516-FULLDRAFT</x:v>
      </x:c>
      <x:c r="C1630" t="str">
        <x:v>KTO001</x:v>
      </x:c>
      <x:c r="D1630" t="str">
        <x:v>16-05-2026_Umsatzliste_Girokonto_DE98120300001061711675.csv</x:v>
      </x:c>
      <x:c r="E1630" t="n">
        <x:v>46163</x:v>
      </x:c>
      <x:c r="F1630" t="n">
        <x:v>1613</x:v>
      </x:c>
      <x:c r="G1630" t="str">
        <x:v>2c5b92b72295eefb0bc266ee68f371cac69c82e2a462546c43bc5c59152681e6</x:v>
      </x:c>
      <x:c r="H1630" t="str">
        <x:v>neu</x:v>
      </x:c>
      <x:c r="I1630" t="str">
        <x:v>ok</x:v>
      </x:c>
      <x:c r="J1630"/>
      <x:c r="K1630" t="n">
        <x:v>45611</x:v>
      </x:c>
      <x:c r="L1630" t="n">
        <x:v>45611</x:v>
      </x:c>
      <x:c r="M1630" t="str">
        <x:v>Gebucht</x:v>
      </x:c>
      <x:c r="N1630" t="str">
        <x:v>ISSUER</x:v>
      </x:c>
      <x:c r="O1630" t="str">
        <x:v>REWE.Salzgitter.Ge/Salzgitter</x:v>
      </x:c>
      <x:c r="P1630" t="str">
        <x:v>VISA Debitkartenumsatz vom 14.11.2024</x:v>
      </x:c>
      <x:c r="Q1630" t="str">
        <x:v>Ausgang</x:v>
      </x:c>
      <x:c r="R1630" t="str">
        <x:v>DE96120300009005290904</x:v>
      </x:c>
      <x:c r="S1630" t="n">
        <x:v>-29.59</x:v>
      </x:c>
      <x:c r="T1630" t="str">
        <x:v>"</x:v>
      </x:c>
      <x:c r="U1630" t="str">
        <x:v>"</x:v>
      </x:c>
      <x:c r="V1630" t="str">
        <x:v>484319628841891</x:v>
      </x:c>
    </x:row>
    <x:row r="1631">
      <x:c r="A1631" t="str">
        <x:v>RAW-IMP-20260516-FULLDRAFT-001614</x:v>
      </x:c>
      <x:c r="B1631" t="str">
        <x:v>IMP-20260516-FULLDRAFT</x:v>
      </x:c>
      <x:c r="C1631" t="str">
        <x:v>KTO001</x:v>
      </x:c>
      <x:c r="D1631" t="str">
        <x:v>16-05-2026_Umsatzliste_Girokonto_DE98120300001061711675.csv</x:v>
      </x:c>
      <x:c r="E1631" t="n">
        <x:v>46163</x:v>
      </x:c>
      <x:c r="F1631" t="n">
        <x:v>1614</x:v>
      </x:c>
      <x:c r="G1631" t="str">
        <x:v>762aabed3a4742f65239bb1c2432a88f813682d0ef0a5fb5ed2a64c563497e00</x:v>
      </x:c>
      <x:c r="H1631" t="str">
        <x:v>neu</x:v>
      </x:c>
      <x:c r="I1631" t="str">
        <x:v>ok</x:v>
      </x:c>
      <x:c r="J1631"/>
      <x:c r="K1631" t="n">
        <x:v>45611</x:v>
      </x:c>
      <x:c r="L1631" t="n">
        <x:v>45611</x:v>
      </x:c>
      <x:c r="M1631" t="str">
        <x:v>Gebucht</x:v>
      </x:c>
      <x:c r="N1631" t="str">
        <x:v>Lars Kohlenberg</x:v>
      </x:c>
      <x:c r="O1631" t="str">
        <x:v>Drillisch Online GmbH                                                 Wilhelm-Rontgen-Strase 1-5, 63477 Maintal</x:v>
      </x:c>
      <x:c r="P1631" t="str">
        <x:v>C0851820 U675024259 B776039900 winSIM</x:v>
      </x:c>
      <x:c r="Q1631" t="str">
        <x:v>Ausgang</x:v>
      </x:c>
      <x:c r="R1631" t="str">
        <x:v>DE87300500000008996811</x:v>
      </x:c>
      <x:c r="S1631" t="n">
        <x:v>-6.99</x:v>
      </x:c>
      <x:c r="T1631" t="str">
        <x:v>DE40ZZZ00000206926</x:v>
      </x:c>
      <x:c r="U1631" t="str">
        <x:v>FB1310D094B04186E02ACE7B8C6</x:v>
      </x:c>
      <x:c r="V1631" t="str">
        <x:v>C0851820+U675024259</x:v>
      </x:c>
    </x:row>
    <x:row r="1632">
      <x:c r="A1632" t="str">
        <x:v>RAW-IMP-20260516-FULLDRAFT-001615</x:v>
      </x:c>
      <x:c r="B1632" t="str">
        <x:v>IMP-20260516-FULLDRAFT</x:v>
      </x:c>
      <x:c r="C1632" t="str">
        <x:v>KTO001</x:v>
      </x:c>
      <x:c r="D1632" t="str">
        <x:v>16-05-2026_Umsatzliste_Girokonto_DE98120300001061711675.csv</x:v>
      </x:c>
      <x:c r="E1632" t="n">
        <x:v>46163</x:v>
      </x:c>
      <x:c r="F1632" t="n">
        <x:v>1615</x:v>
      </x:c>
      <x:c r="G1632" t="str">
        <x:v>14f80cc5529e9f7d1190d7e6e3d29db2f84c5ed82501a39796965f296d4c4e15</x:v>
      </x:c>
      <x:c r="H1632" t="str">
        <x:v>neu</x:v>
      </x:c>
      <x:c r="I1632" t="str">
        <x:v>ok</x:v>
      </x:c>
      <x:c r="J1632"/>
      <x:c r="K1632" t="n">
        <x:v>45611</x:v>
      </x:c>
      <x:c r="L1632" t="n">
        <x:v>45611</x:v>
      </x:c>
      <x:c r="M1632" t="str">
        <x:v>Gebucht</x:v>
      </x:c>
      <x:c r="N1632" t="str">
        <x:v>Lars Kohlenberg</x:v>
      </x:c>
      <x:c r="O1632" t="str">
        <x:v>Drillisch Online GmbH                                                 Wilhelm-Rontgen-Strase 1-5, 63477 Maintal</x:v>
      </x:c>
      <x:c r="P1632" t="str">
        <x:v>C0851820 U670954868 B775381979 winSIM</x:v>
      </x:c>
      <x:c r="Q1632" t="str">
        <x:v>Ausgang</x:v>
      </x:c>
      <x:c r="R1632" t="str">
        <x:v>DE87300500000008996811</x:v>
      </x:c>
      <x:c r="S1632" t="n">
        <x:v>-6.99</x:v>
      </x:c>
      <x:c r="T1632" t="str">
        <x:v>DE40ZZZ00000206926</x:v>
      </x:c>
      <x:c r="U1632" t="str">
        <x:v>FB1310D094B04186E02ACE7B8C6</x:v>
      </x:c>
      <x:c r="V1632" t="str">
        <x:v>C0851820+U670954868</x:v>
      </x:c>
    </x:row>
    <x:row r="1633">
      <x:c r="A1633" t="str">
        <x:v>RAW-IMP-20260516-FULLDRAFT-001616</x:v>
      </x:c>
      <x:c r="B1633" t="str">
        <x:v>IMP-20260516-FULLDRAFT</x:v>
      </x:c>
      <x:c r="C1633" t="str">
        <x:v>KTO001</x:v>
      </x:c>
      <x:c r="D1633" t="str">
        <x:v>16-05-2026_Umsatzliste_Girokonto_DE98120300001061711675.csv</x:v>
      </x:c>
      <x:c r="E1633" t="n">
        <x:v>46163</x:v>
      </x:c>
      <x:c r="F1633" t="n">
        <x:v>1616</x:v>
      </x:c>
      <x:c r="G1633" t="str">
        <x:v>88080c693f219ce9522888843085b6e1bb6d369ec16064eea0df757605526785</x:v>
      </x:c>
      <x:c r="H1633" t="str">
        <x:v>neu</x:v>
      </x:c>
      <x:c r="I1633" t="str">
        <x:v>ok</x:v>
      </x:c>
      <x:c r="J1633"/>
      <x:c r="K1633" t="n">
        <x:v>45611</x:v>
      </x:c>
      <x:c r="L1633" t="n">
        <x:v>45611</x:v>
      </x:c>
      <x:c r="M1633" t="str">
        <x:v>Gebucht</x:v>
      </x:c>
      <x:c r="N1633" t="str">
        <x:v>Lars Kohlenberg</x:v>
      </x:c>
      <x:c r="O1633" t="str">
        <x:v>Drillisch Online GmbH                                                 Wilhelm-Rontgen-Strase 1-5, 63477 Maintal</x:v>
      </x:c>
      <x:c r="P1633" t="str">
        <x:v>C0851820 U672023846 B776571100 winSIM</x:v>
      </x:c>
      <x:c r="Q1633" t="str">
        <x:v>Ausgang</x:v>
      </x:c>
      <x:c r="R1633" t="str">
        <x:v>DE87300500000008996811</x:v>
      </x:c>
      <x:c r="S1633" t="n">
        <x:v>-6.99</x:v>
      </x:c>
      <x:c r="T1633" t="str">
        <x:v>DE40ZZZ00000206926</x:v>
      </x:c>
      <x:c r="U1633" t="str">
        <x:v>FB1310D094B04186E02ACE7B8C6</x:v>
      </x:c>
      <x:c r="V1633" t="str">
        <x:v>C0851820+U672023846</x:v>
      </x:c>
    </x:row>
    <x:row r="1634">
      <x:c r="A1634" t="str">
        <x:v>RAW-IMP-20260516-FULLDRAFT-001617</x:v>
      </x:c>
      <x:c r="B1634" t="str">
        <x:v>IMP-20260516-FULLDRAFT</x:v>
      </x:c>
      <x:c r="C1634" t="str">
        <x:v>KTO001</x:v>
      </x:c>
      <x:c r="D1634" t="str">
        <x:v>16-05-2026_Umsatzliste_Girokonto_DE98120300001061711675.csv</x:v>
      </x:c>
      <x:c r="E1634" t="n">
        <x:v>46163</x:v>
      </x:c>
      <x:c r="F1634" t="n">
        <x:v>1617</x:v>
      </x:c>
      <x:c r="G1634" t="str">
        <x:v>45de4cdc37cf3fa78359be3d36e13337b74916904f9228cdbc479fea23614003</x:v>
      </x:c>
      <x:c r="H1634" t="str">
        <x:v>neu</x:v>
      </x:c>
      <x:c r="I1634" t="str">
        <x:v>ok</x:v>
      </x:c>
      <x:c r="J1634"/>
      <x:c r="K1634" t="n">
        <x:v>45610</x:v>
      </x:c>
      <x:c r="L1634" t="n">
        <x:v>45610</x:v>
      </x:c>
      <x:c r="M1634" t="str">
        <x:v>Gebucht</x:v>
      </x:c>
      <x:c r="N1634" t="str">
        <x:v>ISSUER</x:v>
      </x:c>
      <x:c r="O1634" t="str">
        <x:v>BK.16805.SOT/SCHELLERTEN</x:v>
      </x:c>
      <x:c r="P1634" t="str">
        <x:v>VISA Debitkartenumsatz vom 13.11.2024</x:v>
      </x:c>
      <x:c r="Q1634" t="str">
        <x:v>Ausgang</x:v>
      </x:c>
      <x:c r="R1634" t="str">
        <x:v>DE96120300009005290904</x:v>
      </x:c>
      <x:c r="S1634" t="n">
        <x:v>-12.99</x:v>
      </x:c>
      <x:c r="T1634" t="str">
        <x:v>"</x:v>
      </x:c>
      <x:c r="U1634" t="str">
        <x:v>"</x:v>
      </x:c>
      <x:c r="V1634" t="str">
        <x:v>484318433828190</x:v>
      </x:c>
    </x:row>
    <x:row r="1635">
      <x:c r="A1635" t="str">
        <x:v>RAW-IMP-20260516-FULLDRAFT-001618</x:v>
      </x:c>
      <x:c r="B1635" t="str">
        <x:v>IMP-20260516-FULLDRAFT</x:v>
      </x:c>
      <x:c r="C1635" t="str">
        <x:v>KTO001</x:v>
      </x:c>
      <x:c r="D1635" t="str">
        <x:v>16-05-2026_Umsatzliste_Girokonto_DE98120300001061711675.csv</x:v>
      </x:c>
      <x:c r="E1635" t="n">
        <x:v>46163</x:v>
      </x:c>
      <x:c r="F1635" t="n">
        <x:v>1618</x:v>
      </x:c>
      <x:c r="G1635" t="str">
        <x:v>f0023e54d1d8966224e9f93fea568c3090361c2329cd791960b7063e8aac98e3</x:v>
      </x:c>
      <x:c r="H1635" t="str">
        <x:v>neu</x:v>
      </x:c>
      <x:c r="I1635" t="str">
        <x:v>ok</x:v>
      </x:c>
      <x:c r="J1635"/>
      <x:c r="K1635" t="n">
        <x:v>45609</x:v>
      </x:c>
      <x:c r="L1635" t="n">
        <x:v>45609</x:v>
      </x:c>
      <x:c r="M1635" t="str">
        <x:v>Gebucht</x:v>
      </x:c>
      <x:c r="N1635" t="str">
        <x:v>ISSUER</x:v>
      </x:c>
      <x:c r="O1635" t="str">
        <x:v>EDEKA.POTRATZ/HILDESHEIM</x:v>
      </x:c>
      <x:c r="P1635" t="str">
        <x:v>VISA Debitkartenumsatz vom 12.11.2024</x:v>
      </x:c>
      <x:c r="Q1635" t="str">
        <x:v>Ausgang</x:v>
      </x:c>
      <x:c r="R1635" t="str">
        <x:v>DE96120300009005290904</x:v>
      </x:c>
      <x:c r="S1635" t="n">
        <x:v>-2.29</x:v>
      </x:c>
      <x:c r="T1635" t="str">
        <x:v>"</x:v>
      </x:c>
      <x:c r="U1635" t="str">
        <x:v>"</x:v>
      </x:c>
      <x:c r="V1635" t="str">
        <x:v>484317615858836</x:v>
      </x:c>
    </x:row>
    <x:row r="1636">
      <x:c r="A1636" t="str">
        <x:v>RAW-IMP-20260516-FULLDRAFT-001619</x:v>
      </x:c>
      <x:c r="B1636" t="str">
        <x:v>IMP-20260516-FULLDRAFT</x:v>
      </x:c>
      <x:c r="C1636" t="str">
        <x:v>KTO001</x:v>
      </x:c>
      <x:c r="D1636" t="str">
        <x:v>16-05-2026_Umsatzliste_Girokonto_DE98120300001061711675.csv</x:v>
      </x:c>
      <x:c r="E1636" t="n">
        <x:v>46163</x:v>
      </x:c>
      <x:c r="F1636" t="n">
        <x:v>1619</x:v>
      </x:c>
      <x:c r="G1636" t="str">
        <x:v>32649819c641cb10244e58066fe20c5f592ce154580341b7527ce517f594ca48</x:v>
      </x:c>
      <x:c r="H1636" t="str">
        <x:v>neu</x:v>
      </x:c>
      <x:c r="I1636" t="str">
        <x:v>ok</x:v>
      </x:c>
      <x:c r="J1636"/>
      <x:c r="K1636" t="n">
        <x:v>45609</x:v>
      </x:c>
      <x:c r="L1636" t="n">
        <x:v>45609</x:v>
      </x:c>
      <x:c r="M1636" t="str">
        <x:v>Gebucht</x:v>
      </x:c>
      <x:c r="N1636" t="str">
        <x:v>Lars Kohlenberg</x:v>
      </x:c>
      <x:c r="O1636" t="str">
        <x:v>GMX by LOTTO24                                                        Simon Carmiggeltstraat 6-50 1011DJ Amsterdam 6</x:v>
      </x:c>
      <x:c r="P1636" t="str">
        <x:v>GMX by LOTTO24 C98983063 - T035427568644 4341fa46-ea54-4bca-a6de-49539c921637</x:v>
      </x:c>
      <x:c r="Q1636" t="str">
        <x:v>Ausgang</x:v>
      </x:c>
      <x:c r="R1636" t="str">
        <x:v>DE52100190001000027873</x:v>
      </x:c>
      <x:c r="S1636" t="n">
        <x:v>-18.14</x:v>
      </x:c>
      <x:c r="T1636" t="str">
        <x:v>NL48ZZZ342764500000</x:v>
      </x:c>
      <x:c r="U1636" t="str">
        <x:v>R372DKN5SSBXZP52</x:v>
      </x:c>
      <x:c r="V1636" t="str">
        <x:v>Q7SX94CJLRNXGKF6</x:v>
      </x:c>
    </x:row>
    <x:row r="1637">
      <x:c r="A1637" t="str">
        <x:v>RAW-IMP-20260516-FULLDRAFT-001620</x:v>
      </x:c>
      <x:c r="B1637" t="str">
        <x:v>IMP-20260516-FULLDRAFT</x:v>
      </x:c>
      <x:c r="C1637" t="str">
        <x:v>KTO001</x:v>
      </x:c>
      <x:c r="D1637" t="str">
        <x:v>16-05-2026_Umsatzliste_Girokonto_DE98120300001061711675.csv</x:v>
      </x:c>
      <x:c r="E1637" t="n">
        <x:v>46163</x:v>
      </x:c>
      <x:c r="F1637" t="n">
        <x:v>1620</x:v>
      </x:c>
      <x:c r="G1637" t="str">
        <x:v>050141b968967097c71a3f6f0a5395549bf7de63dca0c167ab953d1d2925cab4</x:v>
      </x:c>
      <x:c r="H1637" t="str">
        <x:v>neu</x:v>
      </x:c>
      <x:c r="I1637" t="str">
        <x:v>ok</x:v>
      </x:c>
      <x:c r="J1637"/>
      <x:c r="K1637" t="n">
        <x:v>45607</x:v>
      </x:c>
      <x:c r="L1637" t="n">
        <x:v>45607</x:v>
      </x:c>
      <x:c r="M1637" t="str">
        <x:v>Gebucht</x:v>
      </x:c>
      <x:c r="N1637" t="str">
        <x:v>ISSUER</x:v>
      </x:c>
      <x:c r="O1637" t="str">
        <x:v>JD.SPORTS.FASHION.GERMA/BRAUNSCHWEIG</x:v>
      </x:c>
      <x:c r="P1637" t="str">
        <x:v>VISA Debitkartenumsatz vom 09.11.2024</x:v>
      </x:c>
      <x:c r="Q1637" t="str">
        <x:v>Ausgang</x:v>
      </x:c>
      <x:c r="R1637" t="str">
        <x:v>DE96120300009005290904</x:v>
      </x:c>
      <x:c r="S1637" t="n">
        <x:v>-140</x:v>
      </x:c>
      <x:c r="T1637" t="str">
        <x:v>"</x:v>
      </x:c>
      <x:c r="U1637" t="str">
        <x:v>"</x:v>
      </x:c>
      <x:c r="V1637" t="str">
        <x:v>484314356468298</x:v>
      </x:c>
    </x:row>
    <x:row r="1638">
      <x:c r="A1638" t="str">
        <x:v>RAW-IMP-20260516-FULLDRAFT-001621</x:v>
      </x:c>
      <x:c r="B1638" t="str">
        <x:v>IMP-20260516-FULLDRAFT</x:v>
      </x:c>
      <x:c r="C1638" t="str">
        <x:v>KTO001</x:v>
      </x:c>
      <x:c r="D1638" t="str">
        <x:v>16-05-2026_Umsatzliste_Girokonto_DE98120300001061711675.csv</x:v>
      </x:c>
      <x:c r="E1638" t="n">
        <x:v>46163</x:v>
      </x:c>
      <x:c r="F1638" t="n">
        <x:v>1621</x:v>
      </x:c>
      <x:c r="G1638" t="str">
        <x:v>0e4d52071d6df20a8d8176b50f823558f3abf69ffcff924f3001c59a161a08b7</x:v>
      </x:c>
      <x:c r="H1638" t="str">
        <x:v>neu</x:v>
      </x:c>
      <x:c r="I1638" t="str">
        <x:v>ok</x:v>
      </x:c>
      <x:c r="J1638"/>
      <x:c r="K1638" t="n">
        <x:v>45607</x:v>
      </x:c>
      <x:c r="L1638" t="n">
        <x:v>45607</x:v>
      </x:c>
      <x:c r="M1638" t="str">
        <x:v>Gebucht</x:v>
      </x:c>
      <x:c r="N1638" t="str">
        <x:v>ISSUER</x:v>
      </x:c>
      <x:c r="O1638" t="str">
        <x:v>REWE.Acar.oHG/Salzgitter</x:v>
      </x:c>
      <x:c r="P1638" t="str">
        <x:v>VISA Debitkartenumsatz vom 09.11.2024</x:v>
      </x:c>
      <x:c r="Q1638" t="str">
        <x:v>Ausgang</x:v>
      </x:c>
      <x:c r="R1638" t="str">
        <x:v>DE96120300009005290904</x:v>
      </x:c>
      <x:c r="S1638" t="n">
        <x:v>-144.72</x:v>
      </x:c>
      <x:c r="T1638" t="str">
        <x:v>"</x:v>
      </x:c>
      <x:c r="U1638" t="str">
        <x:v>"</x:v>
      </x:c>
      <x:c r="V1638" t="str">
        <x:v>484314648868734</x:v>
      </x:c>
    </x:row>
    <x:row r="1639">
      <x:c r="A1639" t="str">
        <x:v>RAW-IMP-20260516-FULLDRAFT-001622</x:v>
      </x:c>
      <x:c r="B1639" t="str">
        <x:v>IMP-20260516-FULLDRAFT</x:v>
      </x:c>
      <x:c r="C1639" t="str">
        <x:v>KTO001</x:v>
      </x:c>
      <x:c r="D1639" t="str">
        <x:v>16-05-2026_Umsatzliste_Girokonto_DE98120300001061711675.csv</x:v>
      </x:c>
      <x:c r="E1639" t="n">
        <x:v>46163</x:v>
      </x:c>
      <x:c r="F1639" t="n">
        <x:v>1622</x:v>
      </x:c>
      <x:c r="G1639" t="str">
        <x:v>8361b13852b23e263819f277f8b6e7f58ac5cf447c3f1475d90e499cceeb957a</x:v>
      </x:c>
      <x:c r="H1639" t="str">
        <x:v>neu</x:v>
      </x:c>
      <x:c r="I1639" t="str">
        <x:v>ok</x:v>
      </x:c>
      <x:c r="J1639"/>
      <x:c r="K1639" t="n">
        <x:v>45607</x:v>
      </x:c>
      <x:c r="L1639" t="n">
        <x:v>45607</x:v>
      </x:c>
      <x:c r="M1639" t="str">
        <x:v>Gebucht</x:v>
      </x:c>
      <x:c r="N1639" t="str">
        <x:v>ISSUER</x:v>
      </x:c>
      <x:c r="O1639" t="str">
        <x:v>Play.Off.Braunschweig.G/Braunschweig</x:v>
      </x:c>
      <x:c r="P1639" t="str">
        <x:v>VISA Debitkartenumsatz vom 09.11.2024</x:v>
      </x:c>
      <x:c r="Q1639" t="str">
        <x:v>Ausgang</x:v>
      </x:c>
      <x:c r="R1639" t="str">
        <x:v>DE96120300009005290904</x:v>
      </x:c>
      <x:c r="S1639" t="n">
        <x:v>-83</x:v>
      </x:c>
      <x:c r="T1639" t="str">
        <x:v>"</x:v>
      </x:c>
      <x:c r="U1639" t="str">
        <x:v>"</x:v>
      </x:c>
      <x:c r="V1639" t="str">
        <x:v>484314449790407</x:v>
      </x:c>
    </x:row>
    <x:row r="1640">
      <x:c r="A1640" t="str">
        <x:v>RAW-IMP-20260516-FULLDRAFT-001623</x:v>
      </x:c>
      <x:c r="B1640" t="str">
        <x:v>IMP-20260516-FULLDRAFT</x:v>
      </x:c>
      <x:c r="C1640" t="str">
        <x:v>KTO001</x:v>
      </x:c>
      <x:c r="D1640" t="str">
        <x:v>16-05-2026_Umsatzliste_Girokonto_DE98120300001061711675.csv</x:v>
      </x:c>
      <x:c r="E1640" t="n">
        <x:v>46163</x:v>
      </x:c>
      <x:c r="F1640" t="n">
        <x:v>1623</x:v>
      </x:c>
      <x:c r="G1640" t="str">
        <x:v>f3d3fffdf8dce3b62dd6e7e682ddfb351db9595465cef32d38114730d769e81c</x:v>
      </x:c>
      <x:c r="H1640" t="str">
        <x:v>neu</x:v>
      </x:c>
      <x:c r="I1640" t="str">
        <x:v>ok</x:v>
      </x:c>
      <x:c r="J1640"/>
      <x:c r="K1640" t="n">
        <x:v>45604</x:v>
      </x:c>
      <x:c r="L1640" t="n">
        <x:v>45604</x:v>
      </x:c>
      <x:c r="M1640" t="str">
        <x:v>Gebucht</x:v>
      </x:c>
      <x:c r="N1640" t="str">
        <x:v>Online Payments Foundation                                            Kanaalweg 1</x:v>
      </x:c>
      <x:c r="O1640" t="str">
        <x:v>Lars Kohlenberg</x:v>
      </x:c>
      <x:c r="P1640" t="str">
        <x:v>Kleinanzeigen - Anzeigennr.: 2911769252 AWV-MELDEPFLICHT BEACHTEN HOTLINE BUNDESBANK (0800) 1234-111</x:v>
      </x:c>
      <x:c r="Q1640" t="str">
        <x:v>Eingang</x:v>
      </x:c>
      <x:c r="R1640" t="str">
        <x:v>NL35INGB0653386540</x:v>
      </x:c>
      <x:c r="S1640" t="n">
        <x:v>75</x:v>
      </x:c>
      <x:c r="T1640" t="str">
        <x:v>"</x:v>
      </x:c>
      <x:c r="U1640" t="str">
        <x:v>"</x:v>
      </x:c>
      <x:c r="V1640" t="str">
        <x:v>tra-4af6b3d0d69f</x:v>
      </x:c>
    </x:row>
    <x:row r="1641">
      <x:c r="A1641" t="str">
        <x:v>RAW-IMP-20260516-FULLDRAFT-001624</x:v>
      </x:c>
      <x:c r="B1641" t="str">
        <x:v>IMP-20260516-FULLDRAFT</x:v>
      </x:c>
      <x:c r="C1641" t="str">
        <x:v>KTO001</x:v>
      </x:c>
      <x:c r="D1641" t="str">
        <x:v>16-05-2026_Umsatzliste_Girokonto_DE98120300001061711675.csv</x:v>
      </x:c>
      <x:c r="E1641" t="n">
        <x:v>46163</x:v>
      </x:c>
      <x:c r="F1641" t="n">
        <x:v>1624</x:v>
      </x:c>
      <x:c r="G1641" t="str">
        <x:v>7ede78a556ceb27fbd0e381db95fab417748bac1ed97f0c7f2341a0427b2aba4</x:v>
      </x:c>
      <x:c r="H1641" t="str">
        <x:v>neu</x:v>
      </x:c>
      <x:c r="I1641" t="str">
        <x:v>ok</x:v>
      </x:c>
      <x:c r="J1641"/>
      <x:c r="K1641" t="n">
        <x:v>45603</x:v>
      </x:c>
      <x:c r="L1641" t="n">
        <x:v>45603</x:v>
      </x:c>
      <x:c r="M1641" t="str">
        <x:v>Gebucht</x:v>
      </x:c>
      <x:c r="N1641" t="str">
        <x:v>ISSUER</x:v>
      </x:c>
      <x:c r="O1641" t="str">
        <x:v>REWE.Salzgitter.Ge/Salzgitter</x:v>
      </x:c>
      <x:c r="P1641" t="str">
        <x:v>VISA Debitkartenumsatz vom 06.11.2024</x:v>
      </x:c>
      <x:c r="Q1641" t="str">
        <x:v>Ausgang</x:v>
      </x:c>
      <x:c r="R1641" t="str">
        <x:v>DE96120300009005290904</x:v>
      </x:c>
      <x:c r="S1641" t="n">
        <x:v>-15.76</x:v>
      </x:c>
      <x:c r="T1641" t="str">
        <x:v>"</x:v>
      </x:c>
      <x:c r="U1641" t="str">
        <x:v>"</x:v>
      </x:c>
      <x:c r="V1641" t="str">
        <x:v>484311659653936</x:v>
      </x:c>
    </x:row>
    <x:row r="1642">
      <x:c r="A1642" t="str">
        <x:v>RAW-IMP-20260516-FULLDRAFT-001625</x:v>
      </x:c>
      <x:c r="B1642" t="str">
        <x:v>IMP-20260516-FULLDRAFT</x:v>
      </x:c>
      <x:c r="C1642" t="str">
        <x:v>KTO001</x:v>
      </x:c>
      <x:c r="D1642" t="str">
        <x:v>16-05-2026_Umsatzliste_Girokonto_DE98120300001061711675.csv</x:v>
      </x:c>
      <x:c r="E1642" t="n">
        <x:v>46163</x:v>
      </x:c>
      <x:c r="F1642" t="n">
        <x:v>1625</x:v>
      </x:c>
      <x:c r="G1642" t="str">
        <x:v>4ad9093c6b104694934fde720e39ccdd7c91f509d1274b26818317d921dd2b01</x:v>
      </x:c>
      <x:c r="H1642" t="str">
        <x:v>neu</x:v>
      </x:c>
      <x:c r="I1642" t="str">
        <x:v>ok</x:v>
      </x:c>
      <x:c r="J1642"/>
      <x:c r="K1642" t="n">
        <x:v>45602</x:v>
      </x:c>
      <x:c r="L1642" t="n">
        <x:v>45602</x:v>
      </x:c>
      <x:c r="M1642" t="str">
        <x:v>Gebucht</x:v>
      </x:c>
      <x:c r="N1642" t="str">
        <x:v>Lars Kohlenberg</x:v>
      </x:c>
      <x:c r="O1642" t="str">
        <x:v>Iman Firat</x:v>
      </x:c>
      <x:c r="P1642" t="str">
        <x:v>2230 Lea Kohlenberg</x:v>
      </x:c>
      <x:c r="Q1642" t="str">
        <x:v>Ausgang</x:v>
      </x:c>
      <x:c r="R1642" t="str">
        <x:v>DE67269910662694298000</x:v>
      </x:c>
      <x:c r="S1642" t="n">
        <x:v>-49.9</x:v>
      </x:c>
      <x:c r="T1642" t="str">
        <x:v>"</x:v>
      </x:c>
      <x:c r="U1642" t="str">
        <x:v>"</x:v>
      </x:c>
      <x:c r="V1642" t="str">
        <x:v>"</x:v>
      </x:c>
    </x:row>
    <x:row r="1643">
      <x:c r="A1643" t="str">
        <x:v>RAW-IMP-20260516-FULLDRAFT-001626</x:v>
      </x:c>
      <x:c r="B1643" t="str">
        <x:v>IMP-20260516-FULLDRAFT</x:v>
      </x:c>
      <x:c r="C1643" t="str">
        <x:v>KTO001</x:v>
      </x:c>
      <x:c r="D1643" t="str">
        <x:v>16-05-2026_Umsatzliste_Girokonto_DE98120300001061711675.csv</x:v>
      </x:c>
      <x:c r="E1643" t="n">
        <x:v>46163</x:v>
      </x:c>
      <x:c r="F1643" t="n">
        <x:v>1626</x:v>
      </x:c>
      <x:c r="G1643" t="str">
        <x:v>9333a761e6701b1c6293aee80f69a6d411edde3f4b0d6bee6989e8ae4342e9e0</x:v>
      </x:c>
      <x:c r="H1643" t="str">
        <x:v>neu</x:v>
      </x:c>
      <x:c r="I1643" t="str">
        <x:v>ok</x:v>
      </x:c>
      <x:c r="J1643"/>
      <x:c r="K1643" t="n">
        <x:v>45601</x:v>
      </x:c>
      <x:c r="L1643" t="n">
        <x:v>45601</x:v>
      </x:c>
      <x:c r="M1643" t="str">
        <x:v>Gebucht</x:v>
      </x:c>
      <x:c r="N1643" t="str">
        <x:v>KOHLENBERG, LARS</x:v>
      </x:c>
      <x:c r="O1643" t="str">
        <x:v>VPV-LEBENSVERSICHERUNGS-AG</x:v>
      </x:c>
      <x:c r="P1643" t="str">
        <x:v>VNR 301667726</x:v>
      </x:c>
      <x:c r="Q1643" t="str">
        <x:v>Ausgang</x:v>
      </x:c>
      <x:c r="R1643" t="str">
        <x:v>DE78600501010001166338</x:v>
      </x:c>
      <x:c r="S1643" t="n">
        <x:v>-53.3</x:v>
      </x:c>
      <x:c r="T1643" t="str">
        <x:v>DE96LAG00000064686</x:v>
      </x:c>
      <x:c r="U1643" t="str">
        <x:v>ML700120510</x:v>
      </x:c>
      <x:c r="V1643" t="str">
        <x:v>241104 453368793 ML700120510</x:v>
      </x:c>
    </x:row>
    <x:row r="1644">
      <x:c r="A1644" t="str">
        <x:v>RAW-IMP-20260516-FULLDRAFT-001627</x:v>
      </x:c>
      <x:c r="B1644" t="str">
        <x:v>IMP-20260516-FULLDRAFT</x:v>
      </x:c>
      <x:c r="C1644" t="str">
        <x:v>KTO001</x:v>
      </x:c>
      <x:c r="D1644" t="str">
        <x:v>16-05-2026_Umsatzliste_Girokonto_DE98120300001061711675.csv</x:v>
      </x:c>
      <x:c r="E1644" t="n">
        <x:v>46163</x:v>
      </x:c>
      <x:c r="F1644" t="n">
        <x:v>1627</x:v>
      </x:c>
      <x:c r="G1644" t="str">
        <x:v>148fa33f2552f6521c3553e397c1948bbf14312d4d9151c0a843062763516b84</x:v>
      </x:c>
      <x:c r="H1644" t="str">
        <x:v>neu</x:v>
      </x:c>
      <x:c r="I1644" t="str">
        <x:v>ok</x:v>
      </x:c>
      <x:c r="J1644"/>
      <x:c r="K1644" t="n">
        <x:v>45601</x:v>
      </x:c>
      <x:c r="L1644" t="n">
        <x:v>45601</x:v>
      </x:c>
      <x:c r="M1644" t="str">
        <x:v>Gebucht</x:v>
      </x:c>
      <x:c r="N1644" t="str">
        <x:v>Lars Kohlenberg                                                       Johannes-Wosnitza-Str. 8</x:v>
      </x:c>
      <x:c r="O1644" t="str">
        <x:v>FUNKE Medien Nieders.GmbH</x:v>
      </x:c>
      <x:c r="P1644" t="str">
        <x:v>SZ/00001050/VA/01.11.24-30.11.24/Rg-Nr.:6315942958/Kd-Nr:0053112791/Steuer:3.76</x:v>
      </x:c>
      <x:c r="Q1644" t="str">
        <x:v>Ausgang</x:v>
      </x:c>
      <x:c r="R1644" t="str">
        <x:v>DE67250500000000146910</x:v>
      </x:c>
      <x:c r="S1644" t="n">
        <x:v>-57.5</x:v>
      </x:c>
      <x:c r="T1644" t="str">
        <x:v>DE8850000000483288</x:v>
      </x:c>
      <x:c r="U1644" t="str">
        <x:v>0053112791-0500-01300001</x:v>
      </x:c>
      <x:c r="V1644" t="str">
        <x:v>034006380234</x:v>
      </x:c>
    </x:row>
    <x:row r="1645">
      <x:c r="A1645" t="str">
        <x:v>RAW-IMP-20260516-FULLDRAFT-001628</x:v>
      </x:c>
      <x:c r="B1645" t="str">
        <x:v>IMP-20260516-FULLDRAFT</x:v>
      </x:c>
      <x:c r="C1645" t="str">
        <x:v>KTO001</x:v>
      </x:c>
      <x:c r="D1645" t="str">
        <x:v>16-05-2026_Umsatzliste_Girokonto_DE98120300001061711675.csv</x:v>
      </x:c>
      <x:c r="E1645" t="n">
        <x:v>46163</x:v>
      </x:c>
      <x:c r="F1645" t="n">
        <x:v>1628</x:v>
      </x:c>
      <x:c r="G1645" t="str">
        <x:v>d8e460f0dab3ec36b2e93c5c59c347b8dbb2c36a0a86a66e44b27b8ac6e2390f</x:v>
      </x:c>
      <x:c r="H1645" t="str">
        <x:v>neu</x:v>
      </x:c>
      <x:c r="I1645" t="str">
        <x:v>ok</x:v>
      </x:c>
      <x:c r="J1645"/>
      <x:c r="K1645" t="n">
        <x:v>45601</x:v>
      </x:c>
      <x:c r="L1645" t="n">
        <x:v>45601</x:v>
      </x:c>
      <x:c r="M1645" t="str">
        <x:v>Gebucht</x:v>
      </x:c>
      <x:c r="N1645" t="str">
        <x:v>Lars Kohlenberg                                                       Johannes-Wosnitza-Str. 8</x:v>
      </x:c>
      <x:c r="O1645" t="str">
        <x:v>Telekom Deutschland GmbH                                              LANDGRABENWEG 151</x:v>
      </x:c>
      <x:c r="P1645" t="str">
        <x:v>Festnetz Vertragskonto 4763666565 RG 7678279304/25.10.2024</x:v>
      </x:c>
      <x:c r="Q1645" t="str">
        <x:v>Ausgang</x:v>
      </x:c>
      <x:c r="R1645" t="str">
        <x:v>DE07512108001095000911</x:v>
      </x:c>
      <x:c r="S1645" t="n">
        <x:v>-55.78</x:v>
      </x:c>
      <x:c r="T1645" t="str">
        <x:v>DE93ZZZ00000078611</x:v>
      </x:c>
      <x:c r="U1645" t="str">
        <x:v>DE000201000200000000000000012966156</x:v>
      </x:c>
      <x:c r="V1645" t="str">
        <x:v>Zahlbeleg 301039028295</x:v>
      </x:c>
    </x:row>
    <x:row r="1646">
      <x:c r="A1646" t="str">
        <x:v>RAW-IMP-20260516-FULLDRAFT-001629</x:v>
      </x:c>
      <x:c r="B1646" t="str">
        <x:v>IMP-20260516-FULLDRAFT</x:v>
      </x:c>
      <x:c r="C1646" t="str">
        <x:v>KTO001</x:v>
      </x:c>
      <x:c r="D1646" t="str">
        <x:v>16-05-2026_Umsatzliste_Girokonto_DE98120300001061711675.csv</x:v>
      </x:c>
      <x:c r="E1646" t="n">
        <x:v>46163</x:v>
      </x:c>
      <x:c r="F1646" t="n">
        <x:v>1629</x:v>
      </x:c>
      <x:c r="G1646" t="str">
        <x:v>4e1b0594c63eb8a62f2ea9d08967d48186dddb704f2f8333720eb84b02f27305</x:v>
      </x:c>
      <x:c r="H1646" t="str">
        <x:v>neu</x:v>
      </x:c>
      <x:c r="I1646" t="str">
        <x:v>ok</x:v>
      </x:c>
      <x:c r="J1646"/>
      <x:c r="K1646" t="n">
        <x:v>45600</x:v>
      </x:c>
      <x:c r="L1646" t="n">
        <x:v>45600</x:v>
      </x:c>
      <x:c r="M1646" t="str">
        <x:v>Gebucht</x:v>
      </x:c>
      <x:c r="N1646" t="str">
        <x:v>ISSUER</x:v>
      </x:c>
      <x:c r="O1646" t="str">
        <x:v>METRO.SAGT.DANKE/BRAUNSCHWEIG</x:v>
      </x:c>
      <x:c r="P1646" t="str">
        <x:v>VISA Debitkartenumsatz vom 01.11.2024</x:v>
      </x:c>
      <x:c r="Q1646" t="str">
        <x:v>Ausgang</x:v>
      </x:c>
      <x:c r="R1646" t="str">
        <x:v>DE96120300009005290904</x:v>
      </x:c>
      <x:c r="S1646" t="n">
        <x:v>-36.84</x:v>
      </x:c>
      <x:c r="T1646" t="str">
        <x:v>"</x:v>
      </x:c>
      <x:c r="U1646" t="str">
        <x:v>"</x:v>
      </x:c>
      <x:c r="V1646" t="str">
        <x:v>484306499629571</x:v>
      </x:c>
    </x:row>
    <x:row r="1647">
      <x:c r="A1647" t="str">
        <x:v>RAW-IMP-20260516-FULLDRAFT-001630</x:v>
      </x:c>
      <x:c r="B1647" t="str">
        <x:v>IMP-20260516-FULLDRAFT</x:v>
      </x:c>
      <x:c r="C1647" t="str">
        <x:v>KTO001</x:v>
      </x:c>
      <x:c r="D1647" t="str">
        <x:v>16-05-2026_Umsatzliste_Girokonto_DE98120300001061711675.csv</x:v>
      </x:c>
      <x:c r="E1647" t="n">
        <x:v>46163</x:v>
      </x:c>
      <x:c r="F1647" t="n">
        <x:v>1630</x:v>
      </x:c>
      <x:c r="G1647" t="str">
        <x:v>47bf0a5bfdf06795ed208f31dbae6a856e84040374b5ac41bc462269efb88209</x:v>
      </x:c>
      <x:c r="H1647" t="str">
        <x:v>neu</x:v>
      </x:c>
      <x:c r="I1647" t="str">
        <x:v>ok</x:v>
      </x:c>
      <x:c r="J1647"/>
      <x:c r="K1647" t="n">
        <x:v>45600</x:v>
      </x:c>
      <x:c r="L1647" t="n">
        <x:v>45600</x:v>
      </x:c>
      <x:c r="M1647" t="str">
        <x:v>Gebucht</x:v>
      </x:c>
      <x:c r="N1647" t="str">
        <x:v>ISSUER</x:v>
      </x:c>
      <x:c r="O1647" t="str">
        <x:v>DM.Drogerie.Markt/Salzgitter</x:v>
      </x:c>
      <x:c r="P1647" t="str">
        <x:v>VISA Debitkartenumsatz vom 01.11.2024</x:v>
      </x:c>
      <x:c r="Q1647" t="str">
        <x:v>Ausgang</x:v>
      </x:c>
      <x:c r="R1647" t="str">
        <x:v>DE96120300009005290904</x:v>
      </x:c>
      <x:c r="S1647" t="n">
        <x:v>-1.9</x:v>
      </x:c>
      <x:c r="T1647" t="str">
        <x:v>"</x:v>
      </x:c>
      <x:c r="U1647" t="str">
        <x:v>"</x:v>
      </x:c>
      <x:c r="V1647" t="str">
        <x:v>484306349185967</x:v>
      </x:c>
    </x:row>
    <x:row r="1648">
      <x:c r="A1648" t="str">
        <x:v>RAW-IMP-20260516-FULLDRAFT-001631</x:v>
      </x:c>
      <x:c r="B1648" t="str">
        <x:v>IMP-20260516-FULLDRAFT</x:v>
      </x:c>
      <x:c r="C1648" t="str">
        <x:v>KTO001</x:v>
      </x:c>
      <x:c r="D1648" t="str">
        <x:v>16-05-2026_Umsatzliste_Girokonto_DE98120300001061711675.csv</x:v>
      </x:c>
      <x:c r="E1648" t="n">
        <x:v>46163</x:v>
      </x:c>
      <x:c r="F1648" t="n">
        <x:v>1631</x:v>
      </x:c>
      <x:c r="G1648" t="str">
        <x:v>54d6250aed4032f5ddacb3de7b8cee7b960e4318384ab8e5393c562a3d90f5df</x:v>
      </x:c>
      <x:c r="H1648" t="str">
        <x:v>neu</x:v>
      </x:c>
      <x:c r="I1648" t="str">
        <x:v>ok</x:v>
      </x:c>
      <x:c r="J1648"/>
      <x:c r="K1648" t="n">
        <x:v>45600</x:v>
      </x:c>
      <x:c r="L1648" t="n">
        <x:v>45600</x:v>
      </x:c>
      <x:c r="M1648" t="str">
        <x:v>Gebucht</x:v>
      </x:c>
      <x:c r="N1648" t="str">
        <x:v>Lars Kohlenberg</x:v>
      </x:c>
      <x:c r="O1648" t="str">
        <x:v>Lea kohlenberg</x:v>
      </x:c>
      <x:c r="P1648" t="str">
        <x:v>Taschengeld</x:v>
      </x:c>
      <x:c r="Q1648" t="str">
        <x:v>Ausgang</x:v>
      </x:c>
      <x:c r="R1648" t="str">
        <x:v>DE89269910662833344000</x:v>
      </x:c>
      <x:c r="S1648" t="n">
        <x:v>-10</x:v>
      </x:c>
      <x:c r="T1648" t="str">
        <x:v>"</x:v>
      </x:c>
      <x:c r="U1648" t="str">
        <x:v>"</x:v>
      </x:c>
      <x:c r="V1648" t="str">
        <x:v>"</x:v>
      </x:c>
    </x:row>
    <x:row r="1649">
      <x:c r="A1649" t="str">
        <x:v>RAW-IMP-20260516-FULLDRAFT-001632</x:v>
      </x:c>
      <x:c r="B1649" t="str">
        <x:v>IMP-20260516-FULLDRAFT</x:v>
      </x:c>
      <x:c r="C1649" t="str">
        <x:v>KTO001</x:v>
      </x:c>
      <x:c r="D1649" t="str">
        <x:v>16-05-2026_Umsatzliste_Girokonto_DE98120300001061711675.csv</x:v>
      </x:c>
      <x:c r="E1649" t="n">
        <x:v>46163</x:v>
      </x:c>
      <x:c r="F1649" t="n">
        <x:v>1632</x:v>
      </x:c>
      <x:c r="G1649" t="str">
        <x:v>7eeedb4b134a4488cc375af740ba9d9a9b30d3efb800da8b73912c41482fb55c</x:v>
      </x:c>
      <x:c r="H1649" t="str">
        <x:v>neu</x:v>
      </x:c>
      <x:c r="I1649" t="str">
        <x:v>ok</x:v>
      </x:c>
      <x:c r="J1649"/>
      <x:c r="K1649" t="n">
        <x:v>45600</x:v>
      </x:c>
      <x:c r="L1649" t="n">
        <x:v>45600</x:v>
      </x:c>
      <x:c r="M1649" t="str">
        <x:v>Gebucht</x:v>
      </x:c>
      <x:c r="N1649" t="str">
        <x:v>Lars Kohlenberg</x:v>
      </x:c>
      <x:c r="O1649" t="str">
        <x:v>Lea kohlenberg</x:v>
      </x:c>
      <x:c r="P1649" t="str">
        <x:v>PIN Kosten</x:v>
      </x:c>
      <x:c r="Q1649" t="str">
        <x:v>Ausgang</x:v>
      </x:c>
      <x:c r="R1649" t="str">
        <x:v>DE89269910662833344000</x:v>
      </x:c>
      <x:c r="S1649" t="n">
        <x:v>-5</x:v>
      </x:c>
      <x:c r="T1649" t="str">
        <x:v>"</x:v>
      </x:c>
      <x:c r="U1649" t="str">
        <x:v>"</x:v>
      </x:c>
      <x:c r="V1649" t="str">
        <x:v>"</x:v>
      </x:c>
    </x:row>
    <x:row r="1650">
      <x:c r="A1650" t="str">
        <x:v>RAW-IMP-20260516-FULLDRAFT-001633</x:v>
      </x:c>
      <x:c r="B1650" t="str">
        <x:v>IMP-20260516-FULLDRAFT</x:v>
      </x:c>
      <x:c r="C1650" t="str">
        <x:v>KTO001</x:v>
      </x:c>
      <x:c r="D1650" t="str">
        <x:v>16-05-2026_Umsatzliste_Girokonto_DE98120300001061711675.csv</x:v>
      </x:c>
      <x:c r="E1650" t="n">
        <x:v>46163</x:v>
      </x:c>
      <x:c r="F1650" t="n">
        <x:v>1633</x:v>
      </x:c>
      <x:c r="G1650" t="str">
        <x:v>b69e1ddeb56a900d3f02ac855191664391ca01f2c1660ea7a39a290fb92599d0</x:v>
      </x:c>
      <x:c r="H1650" t="str">
        <x:v>neu</x:v>
      </x:c>
      <x:c r="I1650" t="str">
        <x:v>ok</x:v>
      </x:c>
      <x:c r="J1650"/>
      <x:c r="K1650" t="n">
        <x:v>45600</x:v>
      </x:c>
      <x:c r="L1650" t="n">
        <x:v>45600</x:v>
      </x:c>
      <x:c r="M1650" t="str">
        <x:v>Gebucht</x:v>
      </x:c>
      <x:c r="N1650" t="str">
        <x:v>ISSUER</x:v>
      </x:c>
      <x:c r="O1650" t="str">
        <x:v>F..Weiss.Buerobedarfsha/Braunschweig</x:v>
      </x:c>
      <x:c r="P1650" t="str">
        <x:v>VISA Debitkartenumsatz vom 01.11.2024</x:v>
      </x:c>
      <x:c r="Q1650" t="str">
        <x:v>Ausgang</x:v>
      </x:c>
      <x:c r="R1650" t="str">
        <x:v>DE96120300009005290904</x:v>
      </x:c>
      <x:c r="S1650" t="n">
        <x:v>-3.9</x:v>
      </x:c>
      <x:c r="T1650" t="str">
        <x:v>"</x:v>
      </x:c>
      <x:c r="U1650" t="str">
        <x:v>"</x:v>
      </x:c>
      <x:c r="V1650" t="str">
        <x:v>484306411562971</x:v>
      </x:c>
    </x:row>
    <x:row r="1651">
      <x:c r="A1651" t="str">
        <x:v>RAW-IMP-20260516-FULLDRAFT-001634</x:v>
      </x:c>
      <x:c r="B1651" t="str">
        <x:v>IMP-20260516-FULLDRAFT</x:v>
      </x:c>
      <x:c r="C1651" t="str">
        <x:v>KTO001</x:v>
      </x:c>
      <x:c r="D1651" t="str">
        <x:v>16-05-2026_Umsatzliste_Girokonto_DE98120300001061711675.csv</x:v>
      </x:c>
      <x:c r="E1651" t="n">
        <x:v>46163</x:v>
      </x:c>
      <x:c r="F1651" t="n">
        <x:v>1634</x:v>
      </x:c>
      <x:c r="G1651" t="str">
        <x:v>59f9a0602d5d892deea5cf480933abc5db4ba1b895fbeb398c35a7f20b58f981</x:v>
      </x:c>
      <x:c r="H1651" t="str">
        <x:v>neu</x:v>
      </x:c>
      <x:c r="I1651" t="str">
        <x:v>ok</x:v>
      </x:c>
      <x:c r="J1651"/>
      <x:c r="K1651" t="n">
        <x:v>45600</x:v>
      </x:c>
      <x:c r="L1651" t="n">
        <x:v>45600</x:v>
      </x:c>
      <x:c r="M1651" t="str">
        <x:v>Gebucht</x:v>
      </x:c>
      <x:c r="N1651" t="str">
        <x:v>ISSUER</x:v>
      </x:c>
      <x:c r="O1651" t="str">
        <x:v>Dube.Parkhaus.u.Immobil/Braunschweig</x:v>
      </x:c>
      <x:c r="P1651" t="str">
        <x:v>VISA Debitkartenumsatz vom 01.11.2024</x:v>
      </x:c>
      <x:c r="Q1651" t="str">
        <x:v>Ausgang</x:v>
      </x:c>
      <x:c r="R1651" t="str">
        <x:v>DE96120300009005290904</x:v>
      </x:c>
      <x:c r="S1651" t="n">
        <x:v>-2.5</x:v>
      </x:c>
      <x:c r="T1651" t="str">
        <x:v>"</x:v>
      </x:c>
      <x:c r="U1651" t="str">
        <x:v>"</x:v>
      </x:c>
      <x:c r="V1651" t="str">
        <x:v>484306466944910</x:v>
      </x:c>
    </x:row>
    <x:row r="1652">
      <x:c r="A1652" t="str">
        <x:v>RAW-IMP-20260516-FULLDRAFT-001635</x:v>
      </x:c>
      <x:c r="B1652" t="str">
        <x:v>IMP-20260516-FULLDRAFT</x:v>
      </x:c>
      <x:c r="C1652" t="str">
        <x:v>KTO001</x:v>
      </x:c>
      <x:c r="D1652" t="str">
        <x:v>16-05-2026_Umsatzliste_Girokonto_DE98120300001061711675.csv</x:v>
      </x:c>
      <x:c r="E1652" t="n">
        <x:v>46163</x:v>
      </x:c>
      <x:c r="F1652" t="n">
        <x:v>1635</x:v>
      </x:c>
      <x:c r="G1652" t="str">
        <x:v>4615aeece423fbbcb99818e3e43e379ccb64ad685dca486dd608bdddf846333b</x:v>
      </x:c>
      <x:c r="H1652" t="str">
        <x:v>neu</x:v>
      </x:c>
      <x:c r="I1652" t="str">
        <x:v>ok</x:v>
      </x:c>
      <x:c r="J1652"/>
      <x:c r="K1652" t="n">
        <x:v>45600</x:v>
      </x:c>
      <x:c r="L1652" t="n">
        <x:v>45600</x:v>
      </x:c>
      <x:c r="M1652" t="str">
        <x:v>Gebucht</x:v>
      </x:c>
      <x:c r="N1652" t="str">
        <x:v>ISSUER</x:v>
      </x:c>
      <x:c r="O1652" t="str">
        <x:v>REWE.Salzgitter.Ge/Salzgitter</x:v>
      </x:c>
      <x:c r="P1652" t="str">
        <x:v>VISA Debitkartenumsatz vom 01.11.2024</x:v>
      </x:c>
      <x:c r="Q1652" t="str">
        <x:v>Ausgang</x:v>
      </x:c>
      <x:c r="R1652" t="str">
        <x:v>DE96120300009005290904</x:v>
      </x:c>
      <x:c r="S1652" t="n">
        <x:v>-47.03</x:v>
      </x:c>
      <x:c r="T1652" t="str">
        <x:v>"</x:v>
      </x:c>
      <x:c r="U1652" t="str">
        <x:v>"</x:v>
      </x:c>
      <x:c r="V1652" t="str">
        <x:v>484306521702010</x:v>
      </x:c>
    </x:row>
    <x:row r="1653">
      <x:c r="A1653" t="str">
        <x:v>RAW-IMP-20260516-FULLDRAFT-001636</x:v>
      </x:c>
      <x:c r="B1653" t="str">
        <x:v>IMP-20260516-FULLDRAFT</x:v>
      </x:c>
      <x:c r="C1653" t="str">
        <x:v>KTO001</x:v>
      </x:c>
      <x:c r="D1653" t="str">
        <x:v>16-05-2026_Umsatzliste_Girokonto_DE98120300001061711675.csv</x:v>
      </x:c>
      <x:c r="E1653" t="n">
        <x:v>46163</x:v>
      </x:c>
      <x:c r="F1653" t="n">
        <x:v>1636</x:v>
      </x:c>
      <x:c r="G1653" t="str">
        <x:v>6ad0fd3102e07c5c884e953cb8ca2eb84728b7007c42e10a2b0cd9082c37160d</x:v>
      </x:c>
      <x:c r="H1653" t="str">
        <x:v>neu</x:v>
      </x:c>
      <x:c r="I1653" t="str">
        <x:v>ok</x:v>
      </x:c>
      <x:c r="J1653"/>
      <x:c r="K1653" t="n">
        <x:v>45600</x:v>
      </x:c>
      <x:c r="L1653" t="n">
        <x:v>45600</x:v>
      </x:c>
      <x:c r="M1653" t="str">
        <x:v>Gebucht</x:v>
      </x:c>
      <x:c r="N1653" t="str">
        <x:v>ISSUER</x:v>
      </x:c>
      <x:c r="O1653" t="str">
        <x:v>AMZN.Mktp.DE.TR1OE8714/800.279.6620</x:v>
      </x:c>
      <x:c r="P1653" t="str">
        <x:v>VISA Debitkartenumsatz vom 01.11.2024</x:v>
      </x:c>
      <x:c r="Q1653" t="str">
        <x:v>Ausgang</x:v>
      </x:c>
      <x:c r="R1653" t="str">
        <x:v>DE96120300009005290904</x:v>
      </x:c>
      <x:c r="S1653" t="n">
        <x:v>-27.54</x:v>
      </x:c>
      <x:c r="T1653" t="str">
        <x:v>"</x:v>
      </x:c>
      <x:c r="U1653" t="str">
        <x:v>"</x:v>
      </x:c>
      <x:c r="V1653" t="str">
        <x:v>484305806740780</x:v>
      </x:c>
    </x:row>
    <x:row r="1654">
      <x:c r="A1654" t="str">
        <x:v>RAW-IMP-20260516-FULLDRAFT-001637</x:v>
      </x:c>
      <x:c r="B1654" t="str">
        <x:v>IMP-20260516-FULLDRAFT</x:v>
      </x:c>
      <x:c r="C1654" t="str">
        <x:v>KTO001</x:v>
      </x:c>
      <x:c r="D1654" t="str">
        <x:v>16-05-2026_Umsatzliste_Girokonto_DE98120300001061711675.csv</x:v>
      </x:c>
      <x:c r="E1654" t="n">
        <x:v>46163</x:v>
      </x:c>
      <x:c r="F1654" t="n">
        <x:v>1637</x:v>
      </x:c>
      <x:c r="G1654" t="str">
        <x:v>f948831e57859a8e940fb7a68fa3c9f80da861f0769ee710165ae782f3930393</x:v>
      </x:c>
      <x:c r="H1654" t="str">
        <x:v>neu</x:v>
      </x:c>
      <x:c r="I1654" t="str">
        <x:v>ok</x:v>
      </x:c>
      <x:c r="J1654"/>
      <x:c r="K1654" t="n">
        <x:v>45600</x:v>
      </x:c>
      <x:c r="L1654" t="n">
        <x:v>45600</x:v>
      </x:c>
      <x:c r="M1654" t="str">
        <x:v>Gebucht</x:v>
      </x:c>
      <x:c r="N1654" t="str">
        <x:v>ISSUER</x:v>
      </x:c>
      <x:c r="O1654" t="str">
        <x:v>Dean...David/Braunschweig</x:v>
      </x:c>
      <x:c r="P1654" t="str">
        <x:v>VISA Debitkartenumsatz vom 01.11.2024</x:v>
      </x:c>
      <x:c r="Q1654" t="str">
        <x:v>Ausgang</x:v>
      </x:c>
      <x:c r="R1654" t="str">
        <x:v>DE96120300009005290904</x:v>
      </x:c>
      <x:c r="S1654" t="n">
        <x:v>-23.7</x:v>
      </x:c>
      <x:c r="T1654" t="str">
        <x:v>"</x:v>
      </x:c>
      <x:c r="U1654" t="str">
        <x:v>"</x:v>
      </x:c>
      <x:c r="V1654" t="str">
        <x:v>484306426471878</x:v>
      </x:c>
    </x:row>
    <x:row r="1655">
      <x:c r="A1655" t="str">
        <x:v>RAW-IMP-20260516-FULLDRAFT-001638</x:v>
      </x:c>
      <x:c r="B1655" t="str">
        <x:v>IMP-20260516-FULLDRAFT</x:v>
      </x:c>
      <x:c r="C1655" t="str">
        <x:v>KTO001</x:v>
      </x:c>
      <x:c r="D1655" t="str">
        <x:v>16-05-2026_Umsatzliste_Girokonto_DE98120300001061711675.csv</x:v>
      </x:c>
      <x:c r="E1655" t="n">
        <x:v>46163</x:v>
      </x:c>
      <x:c r="F1655" t="n">
        <x:v>1638</x:v>
      </x:c>
      <x:c r="G1655" t="str">
        <x:v>1e22392973fb664315f4e90a2674232c4b260d1b1928e5ef913c2ca334c7f4c6</x:v>
      </x:c>
      <x:c r="H1655" t="str">
        <x:v>neu</x:v>
      </x:c>
      <x:c r="I1655" t="str">
        <x:v>ok</x:v>
      </x:c>
      <x:c r="J1655"/>
      <x:c r="K1655" t="n">
        <x:v>45600</x:v>
      </x:c>
      <x:c r="L1655" t="n">
        <x:v>45600</x:v>
      </x:c>
      <x:c r="M1655" t="str">
        <x:v>Gebucht</x:v>
      </x:c>
      <x:c r="N1655" t="str">
        <x:v>ISSUER</x:v>
      </x:c>
      <x:c r="O1655" t="str">
        <x:v>REWE.Acar.oHG/Salzgitter</x:v>
      </x:c>
      <x:c r="P1655" t="str">
        <x:v>VISA Debitkartenumsatz vom 02.11.2024</x:v>
      </x:c>
      <x:c r="Q1655" t="str">
        <x:v>Ausgang</x:v>
      </x:c>
      <x:c r="R1655" t="str">
        <x:v>DE96120300009005290904</x:v>
      </x:c>
      <x:c r="S1655" t="n">
        <x:v>-6.93</x:v>
      </x:c>
      <x:c r="T1655" t="str">
        <x:v>"</x:v>
      </x:c>
      <x:c r="U1655" t="str">
        <x:v>"</x:v>
      </x:c>
      <x:c r="V1655" t="str">
        <x:v>484307534505749</x:v>
      </x:c>
    </x:row>
    <x:row r="1656">
      <x:c r="A1656" t="str">
        <x:v>RAW-IMP-20260516-FULLDRAFT-001639</x:v>
      </x:c>
      <x:c r="B1656" t="str">
        <x:v>IMP-20260516-FULLDRAFT</x:v>
      </x:c>
      <x:c r="C1656" t="str">
        <x:v>KTO001</x:v>
      </x:c>
      <x:c r="D1656" t="str">
        <x:v>16-05-2026_Umsatzliste_Girokonto_DE98120300001061711675.csv</x:v>
      </x:c>
      <x:c r="E1656" t="n">
        <x:v>46163</x:v>
      </x:c>
      <x:c r="F1656" t="n">
        <x:v>1639</x:v>
      </x:c>
      <x:c r="G1656" t="str">
        <x:v>0c3ab7743cfeec8aed13ee7079babc527e9f342530f00cde85c554a2f58bfac4</x:v>
      </x:c>
      <x:c r="H1656" t="str">
        <x:v>neu</x:v>
      </x:c>
      <x:c r="I1656" t="str">
        <x:v>ok</x:v>
      </x:c>
      <x:c r="J1656"/>
      <x:c r="K1656" t="n">
        <x:v>45600</x:v>
      </x:c>
      <x:c r="L1656" t="n">
        <x:v>45600</x:v>
      </x:c>
      <x:c r="M1656" t="str">
        <x:v>Gebucht</x:v>
      </x:c>
      <x:c r="N1656" t="str">
        <x:v>KOHLENBERG LARS</x:v>
      </x:c>
      <x:c r="O1656" t="str">
        <x:v>VOLKSWOHL BUND Lebensversicherung a.G.</x:v>
      </x:c>
      <x:c r="P1656" t="str">
        <x:v>009893595 LA000750566/ 009893595 LEBEN 68,46</x:v>
      </x:c>
      <x:c r="Q1656" t="str">
        <x:v>Ausgang</x:v>
      </x:c>
      <x:c r="R1656" t="str">
        <x:v>DE76440400370361155500</x:v>
      </x:c>
      <x:c r="S1656" t="n">
        <x:v>-68.46</x:v>
      </x:c>
      <x:c r="T1656" t="str">
        <x:v>DE13ZZZ00000141064</x:v>
      </x:c>
      <x:c r="U1656" t="str">
        <x:v>LA000750566</x:v>
      </x:c>
      <x:c r="V1656" t="str">
        <x:v>009893595/NVMA.G1101-336050</x:v>
      </x:c>
    </x:row>
    <x:row r="1657">
      <x:c r="A1657" t="str">
        <x:v>RAW-IMP-20260516-FULLDRAFT-001640</x:v>
      </x:c>
      <x:c r="B1657" t="str">
        <x:v>IMP-20260516-FULLDRAFT</x:v>
      </x:c>
      <x:c r="C1657" t="str">
        <x:v>KTO001</x:v>
      </x:c>
      <x:c r="D1657" t="str">
        <x:v>16-05-2026_Umsatzliste_Girokonto_DE98120300001061711675.csv</x:v>
      </x:c>
      <x:c r="E1657" t="n">
        <x:v>46163</x:v>
      </x:c>
      <x:c r="F1657" t="n">
        <x:v>1640</x:v>
      </x:c>
      <x:c r="G1657" t="str">
        <x:v>8b90d35ae107595fe441c52cf526b8440fcd2bff4f404fe69a423c5cc3ea4578</x:v>
      </x:c>
      <x:c r="H1657" t="str">
        <x:v>neu</x:v>
      </x:c>
      <x:c r="I1657" t="str">
        <x:v>ok</x:v>
      </x:c>
      <x:c r="J1657"/>
      <x:c r="K1657" t="n">
        <x:v>45600</x:v>
      </x:c>
      <x:c r="L1657" t="n">
        <x:v>45600</x:v>
      </x:c>
      <x:c r="M1657" t="str">
        <x:v>Gebucht</x:v>
      </x:c>
      <x:c r="N1657" t="str">
        <x:v>Lars Kohlenberg</x:v>
      </x:c>
      <x:c r="O1657" t="str">
        <x:v>VHV Allg. Versicherung AG</x:v>
      </x:c>
      <x:c r="P1657" t="str">
        <x:v>VHV Versicherung UNFALLVERSICHERUNG U 013-072445/0000 Abrechnung: 01.11.24 - 01.12.24</x:v>
      </x:c>
      <x:c r="Q1657" t="str">
        <x:v>Ausgang</x:v>
      </x:c>
      <x:c r="R1657" t="str">
        <x:v>DE65250500000101411551</x:v>
      </x:c>
      <x:c r="S1657" t="n">
        <x:v>-11.96</x:v>
      </x:c>
      <x:c r="T1657" t="str">
        <x:v>DE32VHV00000150810</x:v>
      </x:c>
      <x:c r="U1657" t="str">
        <x:v>0015012300010039</x:v>
      </x:c>
      <x:c r="V1657" t="str">
        <x:v>31363251955</x:v>
      </x:c>
    </x:row>
    <x:row r="1658">
      <x:c r="A1658" t="str">
        <x:v>RAW-IMP-20260516-FULLDRAFT-001641</x:v>
      </x:c>
      <x:c r="B1658" t="str">
        <x:v>IMP-20260516-FULLDRAFT</x:v>
      </x:c>
      <x:c r="C1658" t="str">
        <x:v>KTO001</x:v>
      </x:c>
      <x:c r="D1658" t="str">
        <x:v>16-05-2026_Umsatzliste_Girokonto_DE98120300001061711675.csv</x:v>
      </x:c>
      <x:c r="E1658" t="n">
        <x:v>46163</x:v>
      </x:c>
      <x:c r="F1658" t="n">
        <x:v>1641</x:v>
      </x:c>
      <x:c r="G1658" t="str">
        <x:v>1c938b25e7100d3ef807e8a0ac78132798c3b35052a97665201fd9eefb937379</x:v>
      </x:c>
      <x:c r="H1658" t="str">
        <x:v>neu</x:v>
      </x:c>
      <x:c r="I1658" t="str">
        <x:v>ok</x:v>
      </x:c>
      <x:c r="J1658"/>
      <x:c r="K1658" t="n">
        <x:v>45600</x:v>
      </x:c>
      <x:c r="L1658" t="n">
        <x:v>45600</x:v>
      </x:c>
      <x:c r="M1658" t="str">
        <x:v>Gebucht</x:v>
      </x:c>
      <x:c r="N1658" t="str">
        <x:v>Lars Kohlenberg</x:v>
      </x:c>
      <x:c r="O1658" t="str">
        <x:v>Lars Kohlenberg</x:v>
      </x:c>
      <x:c r="P1658" t="str">
        <x:v>Übertrag</x:v>
      </x:c>
      <x:c r="Q1658" t="str">
        <x:v>Ausgang</x:v>
      </x:c>
      <x:c r="R1658" t="str">
        <x:v>DE91270200001510365800</x:v>
      </x:c>
      <x:c r="S1658" t="n">
        <x:v>-2000</x:v>
      </x:c>
      <x:c r="T1658" t="str">
        <x:v>"</x:v>
      </x:c>
      <x:c r="U1658" t="str">
        <x:v>"</x:v>
      </x:c>
      <x:c r="V1658" t="str">
        <x:v>"</x:v>
      </x:c>
    </x:row>
    <x:row r="1659">
      <x:c r="A1659" t="str">
        <x:v>RAW-IMP-20260516-FULLDRAFT-001642</x:v>
      </x:c>
      <x:c r="B1659" t="str">
        <x:v>IMP-20260516-FULLDRAFT</x:v>
      </x:c>
      <x:c r="C1659" t="str">
        <x:v>KTO001</x:v>
      </x:c>
      <x:c r="D1659" t="str">
        <x:v>16-05-2026_Umsatzliste_Girokonto_DE98120300001061711675.csv</x:v>
      </x:c>
      <x:c r="E1659" t="n">
        <x:v>46163</x:v>
      </x:c>
      <x:c r="F1659" t="n">
        <x:v>1642</x:v>
      </x:c>
      <x:c r="G1659" t="str">
        <x:v>20e7dc45c3dd56dbd41900a8d27fe5e3c9e0e40d82da43e8bff40710f581c5f8</x:v>
      </x:c>
      <x:c r="H1659" t="str">
        <x:v>neu</x:v>
      </x:c>
      <x:c r="I1659" t="str">
        <x:v>ok</x:v>
      </x:c>
      <x:c r="J1659"/>
      <x:c r="K1659" t="n">
        <x:v>45597</x:v>
      </x:c>
      <x:c r="L1659" t="n">
        <x:v>45597</x:v>
      </x:c>
      <x:c r="M1659" t="str">
        <x:v>Gebucht</x:v>
      </x:c>
      <x:c r="N1659" t="str">
        <x:v>R + V LEBENSVERSICHERUNG AKTIENGESELLSCHAFT</x:v>
      </x:c>
      <x:c r="O1659" t="str">
        <x:v>KOHLENBERG, LARS</x:v>
      </x:c>
      <x:c r="P1659" t="str">
        <x:v>74489991-5</x:v>
      </x:c>
      <x:c r="Q1659" t="str">
        <x:v>Eingang</x:v>
      </x:c>
      <x:c r="R1659" t="str">
        <x:v>DE43500604000011012255</x:v>
      </x:c>
      <x:c r="S1659" t="n">
        <x:v>2147.91</x:v>
      </x:c>
      <x:c r="T1659" t="str">
        <x:v>"</x:v>
      </x:c>
      <x:c r="U1659" t="str">
        <x:v>"</x:v>
      </x:c>
      <x:c r="V1659" t="str">
        <x:v>"</x:v>
      </x:c>
    </x:row>
    <x:row r="1660">
      <x:c r="A1660" t="str">
        <x:v>RAW-IMP-20260516-FULLDRAFT-001643</x:v>
      </x:c>
      <x:c r="B1660" t="str">
        <x:v>IMP-20260516-FULLDRAFT</x:v>
      </x:c>
      <x:c r="C1660" t="str">
        <x:v>KTO001</x:v>
      </x:c>
      <x:c r="D1660" t="str">
        <x:v>16-05-2026_Umsatzliste_Girokonto_DE98120300001061711675.csv</x:v>
      </x:c>
      <x:c r="E1660" t="n">
        <x:v>46163</x:v>
      </x:c>
      <x:c r="F1660" t="n">
        <x:v>1643</x:v>
      </x:c>
      <x:c r="G1660" t="str">
        <x:v>ae285ae8a50540410062c88e7b8e73aab96b92f9552797eabc8414555b1224ed</x:v>
      </x:c>
      <x:c r="H1660" t="str">
        <x:v>neu</x:v>
      </x:c>
      <x:c r="I1660" t="str">
        <x:v>ok</x:v>
      </x:c>
      <x:c r="J1660"/>
      <x:c r="K1660" t="n">
        <x:v>45597</x:v>
      </x:c>
      <x:c r="L1660" t="n">
        <x:v>45597</x:v>
      </x:c>
      <x:c r="M1660" t="str">
        <x:v>Gebucht</x:v>
      </x:c>
      <x:c r="N1660" t="str">
        <x:v>WILLI KOHLENBERG</x:v>
      </x:c>
      <x:c r="O1660" t="str">
        <x:v>LARS KOHLENBERG</x:v>
      </x:c>
      <x:c r="P1660" t="str">
        <x:v>MIETE 2/3 HAUS</x:v>
      </x:c>
      <x:c r="Q1660" t="str">
        <x:v>Eingang</x:v>
      </x:c>
      <x:c r="R1660" t="str">
        <x:v>DE84270800600651520400</x:v>
      </x:c>
      <x:c r="S1660" t="n">
        <x:v>750</x:v>
      </x:c>
      <x:c r="T1660" t="str">
        <x:v>"</x:v>
      </x:c>
      <x:c r="U1660" t="str">
        <x:v>"</x:v>
      </x:c>
      <x:c r="V1660" t="str">
        <x:v>"</x:v>
      </x:c>
    </x:row>
    <x:row r="1661">
      <x:c r="A1661" t="str">
        <x:v>RAW-IMP-20260516-FULLDRAFT-001644</x:v>
      </x:c>
      <x:c r="B1661" t="str">
        <x:v>IMP-20260516-FULLDRAFT</x:v>
      </x:c>
      <x:c r="C1661" t="str">
        <x:v>KTO001</x:v>
      </x:c>
      <x:c r="D1661" t="str">
        <x:v>16-05-2026_Umsatzliste_Girokonto_DE98120300001061711675.csv</x:v>
      </x:c>
      <x:c r="E1661" t="n">
        <x:v>46163</x:v>
      </x:c>
      <x:c r="F1661" t="n">
        <x:v>1644</x:v>
      </x:c>
      <x:c r="G1661" t="str">
        <x:v>4ce008908f28201cff0c38e07a53fdf03088ebd033bfc127ca9f86aa526a0d96</x:v>
      </x:c>
      <x:c r="H1661" t="str">
        <x:v>neu</x:v>
      </x:c>
      <x:c r="I1661" t="str">
        <x:v>ok</x:v>
      </x:c>
      <x:c r="J1661"/>
      <x:c r="K1661" t="n">
        <x:v>45597</x:v>
      </x:c>
      <x:c r="L1661" t="n">
        <x:v>45597</x:v>
      </x:c>
      <x:c r="M1661" t="str">
        <x:v>Gebucht</x:v>
      </x:c>
      <x:c r="N1661" t="str">
        <x:v>ISSUER</x:v>
      </x:c>
      <x:c r="O1661" t="str">
        <x:v>SOFTWAREKAUFEN24/DUBLIN</x:v>
      </x:c>
      <x:c r="P1661" t="str">
        <x:v>VISA Debitkartenumsatz vom 31.10.2024</x:v>
      </x:c>
      <x:c r="Q1661" t="str">
        <x:v>Ausgang</x:v>
      </x:c>
      <x:c r="R1661" t="str">
        <x:v>DE96120300009005290904</x:v>
      </x:c>
      <x:c r="S1661" t="n">
        <x:v>-23.92</x:v>
      </x:c>
      <x:c r="T1661" t="str">
        <x:v>"</x:v>
      </x:c>
      <x:c r="U1661" t="str">
        <x:v>"</x:v>
      </x:c>
      <x:c r="V1661" t="str">
        <x:v>484305386655367</x:v>
      </x:c>
    </x:row>
    <x:row r="1662">
      <x:c r="A1662" t="str">
        <x:v>RAW-IMP-20260516-FULLDRAFT-001645</x:v>
      </x:c>
      <x:c r="B1662" t="str">
        <x:v>IMP-20260516-FULLDRAFT</x:v>
      </x:c>
      <x:c r="C1662" t="str">
        <x:v>KTO001</x:v>
      </x:c>
      <x:c r="D1662" t="str">
        <x:v>16-05-2026_Umsatzliste_Girokonto_DE98120300001061711675.csv</x:v>
      </x:c>
      <x:c r="E1662" t="n">
        <x:v>46163</x:v>
      </x:c>
      <x:c r="F1662" t="n">
        <x:v>1645</x:v>
      </x:c>
      <x:c r="G1662" t="str">
        <x:v>b9449a2361a12bdabe1bf0d1c1badf0721e8d64423d029622738730017041eb1</x:v>
      </x:c>
      <x:c r="H1662" t="str">
        <x:v>neu</x:v>
      </x:c>
      <x:c r="I1662" t="str">
        <x:v>ok</x:v>
      </x:c>
      <x:c r="J1662"/>
      <x:c r="K1662" t="n">
        <x:v>45597</x:v>
      </x:c>
      <x:c r="L1662" t="n">
        <x:v>45597</x:v>
      </x:c>
      <x:c r="M1662" t="str">
        <x:v>Gebucht</x:v>
      </x:c>
      <x:c r="N1662" t="str">
        <x:v>Lars Kohlenberg</x:v>
      </x:c>
      <x:c r="O1662" t="str">
        <x:v>KATRIN KOHLENBERG</x:v>
      </x:c>
      <x:c r="P1662" t="str">
        <x:v>Apanage</x:v>
      </x:c>
      <x:c r="Q1662" t="str">
        <x:v>Ausgang</x:v>
      </x:c>
      <x:c r="R1662" t="str">
        <x:v>DE32270727240307336800</x:v>
      </x:c>
      <x:c r="S1662" t="n">
        <x:v>-1800</x:v>
      </x:c>
      <x:c r="T1662" t="str">
        <x:v>"</x:v>
      </x:c>
      <x:c r="U1662" t="str">
        <x:v>"</x:v>
      </x:c>
      <x:c r="V1662" t="str">
        <x:v>"</x:v>
      </x:c>
    </x:row>
    <x:row r="1663">
      <x:c r="A1663" t="str">
        <x:v>RAW-IMP-20260516-FULLDRAFT-001646</x:v>
      </x:c>
      <x:c r="B1663" t="str">
        <x:v>IMP-20260516-FULLDRAFT</x:v>
      </x:c>
      <x:c r="C1663" t="str">
        <x:v>KTO001</x:v>
      </x:c>
      <x:c r="D1663" t="str">
        <x:v>16-05-2026_Umsatzliste_Girokonto_DE98120300001061711675.csv</x:v>
      </x:c>
      <x:c r="E1663" t="n">
        <x:v>46163</x:v>
      </x:c>
      <x:c r="F1663" t="n">
        <x:v>1646</x:v>
      </x:c>
      <x:c r="G1663" t="str">
        <x:v>a129116bf56fe91729424a551be5b28a190cfae2f3d556a281d70bf04442a190</x:v>
      </x:c>
      <x:c r="H1663" t="str">
        <x:v>neu</x:v>
      </x:c>
      <x:c r="I1663" t="str">
        <x:v>ok</x:v>
      </x:c>
      <x:c r="J1663"/>
      <x:c r="K1663" t="n">
        <x:v>45597</x:v>
      </x:c>
      <x:c r="L1663" t="n">
        <x:v>45597</x:v>
      </x:c>
      <x:c r="M1663" t="str">
        <x:v>Gebucht</x:v>
      </x:c>
      <x:c r="N1663" t="str">
        <x:v>Lars Kohlenberg                                                       Johannes-Wosnitza-Str. 8 38229 Salzgitter</x:v>
      </x:c>
      <x:c r="O1663" t="str">
        <x:v>Heidelberger Lebensversicherung AG                                    Im Breitspiel 2-4, 69126 Heidelberg</x:v>
      </x:c>
      <x:c r="P1663" t="str">
        <x:v>60012826 , 11.24</x:v>
      </x:c>
      <x:c r="Q1663" t="str">
        <x:v>Ausgang</x:v>
      </x:c>
      <x:c r="R1663" t="str">
        <x:v>DE38600501010002662604</x:v>
      </x:c>
      <x:c r="S1663" t="n">
        <x:v>-452.71</x:v>
      </x:c>
      <x:c r="T1663" t="str">
        <x:v>DE31HLE00000032682</x:v>
      </x:c>
      <x:c r="U1663" t="str">
        <x:v>11-140000075706</x:v>
      </x:c>
      <x:c r="V1663" t="str">
        <x:v>120041659912</x:v>
      </x:c>
    </x:row>
    <x:row r="1664">
      <x:c r="A1664" t="str">
        <x:v>RAW-IMP-20260516-FULLDRAFT-001647</x:v>
      </x:c>
      <x:c r="B1664" t="str">
        <x:v>IMP-20260516-FULLDRAFT</x:v>
      </x:c>
      <x:c r="C1664" t="str">
        <x:v>KTO001</x:v>
      </x:c>
      <x:c r="D1664" t="str">
        <x:v>16-05-2026_Umsatzliste_Girokonto_DE98120300001061711675.csv</x:v>
      </x:c>
      <x:c r="E1664" t="n">
        <x:v>46163</x:v>
      </x:c>
      <x:c r="F1664" t="n">
        <x:v>1647</x:v>
      </x:c>
      <x:c r="G1664" t="str">
        <x:v>515e60a459865f0aca813aa860ee3b1ed7f1ec2e852ab4fecafb67c9d2974c0a</x:v>
      </x:c>
      <x:c r="H1664" t="str">
        <x:v>neu</x:v>
      </x:c>
      <x:c r="I1664" t="str">
        <x:v>ok</x:v>
      </x:c>
      <x:c r="J1664"/>
      <x:c r="K1664" t="n">
        <x:v>45597</x:v>
      </x:c>
      <x:c r="L1664" t="n">
        <x:v>45597</x:v>
      </x:c>
      <x:c r="M1664" t="str">
        <x:v>Gebucht</x:v>
      </x:c>
      <x:c r="N1664" t="str">
        <x:v>Lars Kohlenberg</x:v>
      </x:c>
      <x:c r="O1664" t="str">
        <x:v>FÖRDERVEREIN GYMNASIUM SALZGITTER-BAD E.V.</x:v>
      </x:c>
      <x:c r="P1664" t="str">
        <x:v>Kohlenberg, Lea Sophie             Foerderbaustein 2024</x:v>
      </x:c>
      <x:c r="Q1664" t="str">
        <x:v>Ausgang</x:v>
      </x:c>
      <x:c r="R1664" t="str">
        <x:v>DE11259501300073001141</x:v>
      </x:c>
      <x:c r="S1664" t="n">
        <x:v>-15</x:v>
      </x:c>
      <x:c r="T1664" t="str">
        <x:v>DE57ZZZ00001133261</x:v>
      </x:c>
      <x:c r="U1664" t="str">
        <x:v>MD001062</x:v>
      </x:c>
      <x:c r="V1664" t="str">
        <x:v>MitglNr-0000001062</x:v>
      </x:c>
    </x:row>
    <x:row r="1665">
      <x:c r="A1665" t="str">
        <x:v>RAW-IMP-20260516-FULLDRAFT-001648</x:v>
      </x:c>
      <x:c r="B1665" t="str">
        <x:v>IMP-20260516-FULLDRAFT</x:v>
      </x:c>
      <x:c r="C1665" t="str">
        <x:v>KTO001</x:v>
      </x:c>
      <x:c r="D1665" t="str">
        <x:v>16-05-2026_Umsatzliste_Girokonto_DE98120300001061711675.csv</x:v>
      </x:c>
      <x:c r="E1665" t="n">
        <x:v>46163</x:v>
      </x:c>
      <x:c r="F1665" t="n">
        <x:v>1648</x:v>
      </x:c>
      <x:c r="G1665" t="str">
        <x:v>7cd662727dcc49290adba1a6342dd800260bdfd0dd760a0e3d171e26a17ee260</x:v>
      </x:c>
      <x:c r="H1665" t="str">
        <x:v>neu</x:v>
      </x:c>
      <x:c r="I1665" t="str">
        <x:v>ok</x:v>
      </x:c>
      <x:c r="J1665"/>
      <x:c r="K1665" t="n">
        <x:v>45597</x:v>
      </x:c>
      <x:c r="L1665" t="n">
        <x:v>45597</x:v>
      </x:c>
      <x:c r="M1665" t="str">
        <x:v>Gebucht</x:v>
      </x:c>
      <x:c r="N1665" t="str">
        <x:v>Kohlenberg                                                            Johannes-Wosnitza-Str. 8</x:v>
      </x:c>
      <x:c r="O1665" t="str">
        <x:v>Helvetia Schweizerische Versicherungsgesellschaft AG</x:v>
      </x:c>
      <x:c r="P1665" t="str">
        <x:v>Gewerbe 040.020.0437607.0 Zeitraum 01.11.2024-01.11.2025</x:v>
      </x:c>
      <x:c r="Q1665" t="str">
        <x:v>Ausgang</x:v>
      </x:c>
      <x:c r="R1665" t="str">
        <x:v>DE18500500000025192030</x:v>
      </x:c>
      <x:c r="S1665" t="n">
        <x:v>-98.9</x:v>
      </x:c>
      <x:c r="T1665" t="str">
        <x:v>DE28HV100000088608</x:v>
      </x:c>
      <x:c r="U1665" t="str">
        <x:v>00003826590</x:v>
      </x:c>
      <x:c r="V1665" t="str">
        <x:v>HV0400437607020241101000 020</x:v>
      </x:c>
    </x:row>
    <x:row r="1666">
      <x:c r="A1666" t="str">
        <x:v>RAW-IMP-20260516-FULLDRAFT-001649</x:v>
      </x:c>
      <x:c r="B1666" t="str">
        <x:v>IMP-20260516-FULLDRAFT</x:v>
      </x:c>
      <x:c r="C1666" t="str">
        <x:v>KTO001</x:v>
      </x:c>
      <x:c r="D1666" t="str">
        <x:v>16-05-2026_Umsatzliste_Girokonto_DE98120300001061711675.csv</x:v>
      </x:c>
      <x:c r="E1666" t="n">
        <x:v>46163</x:v>
      </x:c>
      <x:c r="F1666" t="n">
        <x:v>1649</x:v>
      </x:c>
      <x:c r="G1666" t="str">
        <x:v>e1dc02e66173c66517795d96ee3d66db652dfb843f6b571411292f70c84e3fdd</x:v>
      </x:c>
      <x:c r="H1666" t="str">
        <x:v>neu</x:v>
      </x:c>
      <x:c r="I1666" t="str">
        <x:v>ok</x:v>
      </x:c>
      <x:c r="J1666"/>
      <x:c r="K1666" t="n">
        <x:v>45597</x:v>
      </x:c>
      <x:c r="L1666" t="n">
        <x:v>45597</x:v>
      </x:c>
      <x:c r="M1666" t="str">
        <x:v>Gebucht</x:v>
      </x:c>
      <x:c r="N1666" t="str">
        <x:v>Lars Kohlenberg</x:v>
      </x:c>
      <x:c r="O1666" t="str">
        <x:v>LARS KOHLENBERG</x:v>
      </x:c>
      <x:c r="P1666" t="str">
        <x:v>Sparrate 650,- + 750 EUR Mieteinnahmen</x:v>
      </x:c>
      <x:c r="Q1666" t="str">
        <x:v>Ausgang</x:v>
      </x:c>
      <x:c r="R1666" t="str">
        <x:v>DE91270200001510365800</x:v>
      </x:c>
      <x:c r="S1666" t="n">
        <x:v>-1400</x:v>
      </x:c>
      <x:c r="T1666" t="str">
        <x:v>"</x:v>
      </x:c>
      <x:c r="U1666" t="str">
        <x:v>"</x:v>
      </x:c>
      <x:c r="V1666" t="str">
        <x:v>"</x:v>
      </x:c>
    </x:row>
    <x:row r="1667">
      <x:c r="A1667" t="str">
        <x:v>RAW-IMP-20260516-FULLDRAFT-001650</x:v>
      </x:c>
      <x:c r="B1667" t="str">
        <x:v>IMP-20260516-FULLDRAFT</x:v>
      </x:c>
      <x:c r="C1667" t="str">
        <x:v>KTO001</x:v>
      </x:c>
      <x:c r="D1667" t="str">
        <x:v>16-05-2026_Umsatzliste_Girokonto_DE98120300001061711675.csv</x:v>
      </x:c>
      <x:c r="E1667" t="n">
        <x:v>46163</x:v>
      </x:c>
      <x:c r="F1667" t="n">
        <x:v>1650</x:v>
      </x:c>
      <x:c r="G1667" t="str">
        <x:v>7ed96f3683a53db62324a326c7ad29ffba75e64e46e452c423bfe8acac58c7f0</x:v>
      </x:c>
      <x:c r="H1667" t="str">
        <x:v>neu</x:v>
      </x:c>
      <x:c r="I1667" t="str">
        <x:v>ok</x:v>
      </x:c>
      <x:c r="J1667"/>
      <x:c r="K1667" t="n">
        <x:v>45597</x:v>
      </x:c>
      <x:c r="L1667" t="n">
        <x:v>45597</x:v>
      </x:c>
      <x:c r="M1667" t="str">
        <x:v>Gebucht</x:v>
      </x:c>
      <x:c r="N1667" t="str">
        <x:v>KOHLENBERG, LARS</x:v>
      </x:c>
      <x:c r="O1667" t="str">
        <x:v>Lars und Katrin Kohlenberg</x:v>
      </x:c>
      <x:c r="P1667" t="str">
        <x:v>10910929 VERMOEGENSDEPOT SAMMELBUCHUNG SPARPLAN WKN A1C9ED, 847809</x:v>
      </x:c>
      <x:c r="Q1667" t="str">
        <x:v>Ausgang</x:v>
      </x:c>
      <x:c r="R1667" t="str">
        <x:v>DE27672300000506966162</x:v>
      </x:c>
      <x:c r="S1667" t="n">
        <x:v>-600</x:v>
      </x:c>
      <x:c r="T1667" t="str">
        <x:v>DE53ZZZ00000010849</x:v>
      </x:c>
      <x:c r="U1667" t="str">
        <x:v>WPBF0000180845</x:v>
      </x:c>
      <x:c r="V1667" t="str">
        <x:v>SPARSP 15762399</x:v>
      </x:c>
    </x:row>
    <x:row r="1668">
      <x:c r="A1668" t="str">
        <x:v>RAW-IMP-20260516-FULLDRAFT-001651</x:v>
      </x:c>
      <x:c r="B1668" t="str">
        <x:v>IMP-20260516-FULLDRAFT</x:v>
      </x:c>
      <x:c r="C1668" t="str">
        <x:v>KTO001</x:v>
      </x:c>
      <x:c r="D1668" t="str">
        <x:v>16-05-2026_Umsatzliste_Girokonto_DE98120300001061711675.csv</x:v>
      </x:c>
      <x:c r="E1668" t="n">
        <x:v>46163</x:v>
      </x:c>
      <x:c r="F1668" t="n">
        <x:v>1651</x:v>
      </x:c>
      <x:c r="G1668" t="str">
        <x:v>9937e49ee9b7d1e24433270516de7f64bf7d9d656f397cca2c8ad7b4633b1b54</x:v>
      </x:c>
      <x:c r="H1668" t="str">
        <x:v>neu</x:v>
      </x:c>
      <x:c r="I1668" t="str">
        <x:v>ok</x:v>
      </x:c>
      <x:c r="J1668"/>
      <x:c r="K1668" t="n">
        <x:v>45597</x:v>
      </x:c>
      <x:c r="L1668" t="n">
        <x:v>45597</x:v>
      </x:c>
      <x:c r="M1668" t="str">
        <x:v>Gebucht</x:v>
      </x:c>
      <x:c r="N1668" t="str">
        <x:v>Kohlenberg, Katrin</x:v>
      </x:c>
      <x:c r="O1668" t="str">
        <x:v>WEVG Salzgitter GmbH + Co. KG</x:v>
      </x:c>
      <x:c r="P1668" t="str">
        <x:v>Kd-Nr 79288 Einz 31.10.24 41710/352.00/Johannes-Wosni 100833/70.00/Johannes-Wosni</x:v>
      </x:c>
      <x:c r="Q1668" t="str">
        <x:v>Ausgang</x:v>
      </x:c>
      <x:c r="R1668" t="str">
        <x:v>DE19300700100394127500</x:v>
      </x:c>
      <x:c r="S1668" t="n">
        <x:v>-422</x:v>
      </x:c>
      <x:c r="T1668" t="str">
        <x:v>DE83WEV00000032716</x:v>
      </x:c>
      <x:c r="U1668" t="str">
        <x:v>WEVG0000079288G1000178580</x:v>
      </x:c>
      <x:c r="V1668" t="str">
        <x:v>13280470</x:v>
      </x:c>
    </x:row>
    <x:row r="1669">
      <x:c r="A1669" t="str">
        <x:v>RAW-IMP-20260516-FULLDRAFT-001652</x:v>
      </x:c>
      <x:c r="B1669" t="str">
        <x:v>IMP-20260516-FULLDRAFT</x:v>
      </x:c>
      <x:c r="C1669" t="str">
        <x:v>KTO001</x:v>
      </x:c>
      <x:c r="D1669" t="str">
        <x:v>16-05-2026_Umsatzliste_Girokonto_DE98120300001061711675.csv</x:v>
      </x:c>
      <x:c r="E1669" t="n">
        <x:v>46163</x:v>
      </x:c>
      <x:c r="F1669" t="n">
        <x:v>1652</x:v>
      </x:c>
      <x:c r="G1669" t="str">
        <x:v>b57ee52f52cc3836e28e9923cdbee3688fcd3456894ef3781a5af5e91726d456</x:v>
      </x:c>
      <x:c r="H1669" t="str">
        <x:v>neu</x:v>
      </x:c>
      <x:c r="I1669" t="str">
        <x:v>ok</x:v>
      </x:c>
      <x:c r="J1669"/>
      <x:c r="K1669" t="n">
        <x:v>45597</x:v>
      </x:c>
      <x:c r="L1669" t="n">
        <x:v>45597</x:v>
      </x:c>
      <x:c r="M1669" t="str">
        <x:v>Gebucht</x:v>
      </x:c>
      <x:c r="N1669" t="str">
        <x:v>Kohlenberg Lars</x:v>
      </x:c>
      <x:c r="O1669" t="str">
        <x:v>Allianz Lebensvers. AG</x:v>
      </x:c>
      <x:c r="P1669" t="str">
        <x:v>330296196 1124</x:v>
      </x:c>
      <x:c r="Q1669" t="str">
        <x:v>Ausgang</x:v>
      </x:c>
      <x:c r="R1669" t="str">
        <x:v>DE77700202700062328142</x:v>
      </x:c>
      <x:c r="S1669" t="n">
        <x:v>-162.17</x:v>
      </x:c>
      <x:c r="T1669" t="str">
        <x:v>DE07ZZZ00000063475</x:v>
      </x:c>
      <x:c r="U1669" t="str">
        <x:v>LA01L312001066775296</x:v>
      </x:c>
      <x:c r="V1669" t="str">
        <x:v>A7024298-000330296196042212768033</x:v>
      </x:c>
    </x:row>
    <x:row r="1670">
      <x:c r="A1670" t="str">
        <x:v>RAW-IMP-20260516-FULLDRAFT-001653</x:v>
      </x:c>
      <x:c r="B1670" t="str">
        <x:v>IMP-20260516-FULLDRAFT</x:v>
      </x:c>
      <x:c r="C1670" t="str">
        <x:v>KTO001</x:v>
      </x:c>
      <x:c r="D1670" t="str">
        <x:v>16-05-2026_Umsatzliste_Girokonto_DE98120300001061711675.csv</x:v>
      </x:c>
      <x:c r="E1670" t="n">
        <x:v>46163</x:v>
      </x:c>
      <x:c r="F1670" t="n">
        <x:v>1653</x:v>
      </x:c>
      <x:c r="G1670" t="str">
        <x:v>1544d14153c6a503172d3837b646f960bce64685b7d073db05adb59e3c2e61d4</x:v>
      </x:c>
      <x:c r="H1670" t="str">
        <x:v>neu</x:v>
      </x:c>
      <x:c r="I1670" t="str">
        <x:v>ok</x:v>
      </x:c>
      <x:c r="J1670"/>
      <x:c r="K1670" t="n">
        <x:v>45597</x:v>
      </x:c>
      <x:c r="L1670" t="n">
        <x:v>45597</x:v>
      </x:c>
      <x:c r="M1670" t="str">
        <x:v>Gebucht</x:v>
      </x:c>
      <x:c r="N1670" t="str">
        <x:v>Kohlenberg, Lars</x:v>
      </x:c>
      <x:c r="O1670" t="str">
        <x:v>IDEAL Lebensversicherung aG</x:v>
      </x:c>
      <x:c r="P1670" t="str">
        <x:v>2011216280009 LV 111</x:v>
      </x:c>
      <x:c r="Q1670" t="str">
        <x:v>Ausgang</x:v>
      </x:c>
      <x:c r="R1670" t="str">
        <x:v>DE36100700000460303100</x:v>
      </x:c>
      <x:c r="S1670" t="n">
        <x:v>-97.12</x:v>
      </x:c>
      <x:c r="T1670" t="str">
        <x:v>DE40ZZZ00000559230</x:v>
      </x:c>
      <x:c r="U1670" t="str">
        <x:v>2011216280009-001</x:v>
      </x:c>
      <x:c r="V1670" t="str">
        <x:v>GL,KL,PD-20241101-1-2011216280009-0</x:v>
      </x:c>
    </x:row>
    <x:row r="1671">
      <x:c r="A1671" t="str">
        <x:v>RAW-IMP-20260516-FULLDRAFT-001654</x:v>
      </x:c>
      <x:c r="B1671" t="str">
        <x:v>IMP-20260516-FULLDRAFT</x:v>
      </x:c>
      <x:c r="C1671" t="str">
        <x:v>KTO001</x:v>
      </x:c>
      <x:c r="D1671" t="str">
        <x:v>16-05-2026_Umsatzliste_Girokonto_DE98120300001061711675.csv</x:v>
      </x:c>
      <x:c r="E1671" t="n">
        <x:v>46163</x:v>
      </x:c>
      <x:c r="F1671" t="n">
        <x:v>1654</x:v>
      </x:c>
      <x:c r="G1671" t="str">
        <x:v>b2693805b7031c1629eecef3e8aa58201dc5edd24b17aa934eeec83a7d6ae95a</x:v>
      </x:c>
      <x:c r="H1671" t="str">
        <x:v>neu</x:v>
      </x:c>
      <x:c r="I1671" t="str">
        <x:v>ok</x:v>
      </x:c>
      <x:c r="J1671"/>
      <x:c r="K1671" t="n">
        <x:v>45596</x:v>
      </x:c>
      <x:c r="L1671" t="n">
        <x:v>45596</x:v>
      </x:c>
      <x:c r="M1671" t="str">
        <x:v>Gebucht</x:v>
      </x:c>
      <x:c r="N1671" t="str">
        <x:v>1+1 Mail + Media GmbH</x:v>
      </x:c>
      <x:c r="O1671" t="str">
        <x:v>Lars Kohlenberg</x:v>
      </x:c>
      <x:c r="P1671" t="str">
        <x:v>KD-Nr. K7440512/ RG-Nr. 201538995550</x:v>
      </x:c>
      <x:c r="Q1671" t="str">
        <x:v>Eingang</x:v>
      </x:c>
      <x:c r="R1671" t="str">
        <x:v>DE76700800000881679702</x:v>
      </x:c>
      <x:c r="S1671" t="n">
        <x:v>2.13</x:v>
      </x:c>
      <x:c r="T1671" t="str">
        <x:v>"</x:v>
      </x:c>
      <x:c r="U1671" t="str">
        <x:v>"</x:v>
      </x:c>
      <x:c r="V1671" t="str">
        <x:v>"</x:v>
      </x:c>
    </x:row>
    <x:row r="1672">
      <x:c r="A1672" t="str">
        <x:v>RAW-IMP-20260516-FULLDRAFT-001655</x:v>
      </x:c>
      <x:c r="B1672" t="str">
        <x:v>IMP-20260516-FULLDRAFT</x:v>
      </x:c>
      <x:c r="C1672" t="str">
        <x:v>KTO001</x:v>
      </x:c>
      <x:c r="D1672" t="str">
        <x:v>16-05-2026_Umsatzliste_Girokonto_DE98120300001061711675.csv</x:v>
      </x:c>
      <x:c r="E1672" t="n">
        <x:v>46163</x:v>
      </x:c>
      <x:c r="F1672" t="n">
        <x:v>1655</x:v>
      </x:c>
      <x:c r="G1672" t="str">
        <x:v>f096c40d6da32b58616ac48ca4af91e24627c70609f041c292e55b9b48845739</x:v>
      </x:c>
      <x:c r="H1672" t="str">
        <x:v>neu</x:v>
      </x:c>
      <x:c r="I1672" t="str">
        <x:v>ok</x:v>
      </x:c>
      <x:c r="J1672"/>
      <x:c r="K1672" t="n">
        <x:v>45596</x:v>
      </x:c>
      <x:c r="L1672" t="n">
        <x:v>45596</x:v>
      </x:c>
      <x:c r="M1672" t="str">
        <x:v>Gebucht</x:v>
      </x:c>
      <x:c r="N1672" t="str">
        <x:v>ISSUER</x:v>
      </x:c>
      <x:c r="O1672" t="str">
        <x:v>AMZN.Mktp.DE.TR6RR1XJ4/800.279.6620</x:v>
      </x:c>
      <x:c r="P1672" t="str">
        <x:v>VISA Debitkartenumsatz vom 30.10.2024</x:v>
      </x:c>
      <x:c r="Q1672" t="str">
        <x:v>Ausgang</x:v>
      </x:c>
      <x:c r="R1672" t="str">
        <x:v>DE96120300009005290904</x:v>
      </x:c>
      <x:c r="S1672" t="n">
        <x:v>-10.99</x:v>
      </x:c>
      <x:c r="T1672" t="str">
        <x:v>"</x:v>
      </x:c>
      <x:c r="U1672" t="str">
        <x:v>"</x:v>
      </x:c>
      <x:c r="V1672" t="str">
        <x:v>484304253073411</x:v>
      </x:c>
    </x:row>
    <x:row r="1673">
      <x:c r="A1673" t="str">
        <x:v>RAW-IMP-20260516-FULLDRAFT-001656</x:v>
      </x:c>
      <x:c r="B1673" t="str">
        <x:v>IMP-20260516-FULLDRAFT</x:v>
      </x:c>
      <x:c r="C1673" t="str">
        <x:v>KTO001</x:v>
      </x:c>
      <x:c r="D1673" t="str">
        <x:v>16-05-2026_Umsatzliste_Girokonto_DE98120300001061711675.csv</x:v>
      </x:c>
      <x:c r="E1673" t="n">
        <x:v>46163</x:v>
      </x:c>
      <x:c r="F1673" t="n">
        <x:v>1656</x:v>
      </x:c>
      <x:c r="G1673" t="str">
        <x:v>d2ad2c0d8480a4c11abd218efb0129683a2e1dc07dd6f670bc4fd005dcadc929</x:v>
      </x:c>
      <x:c r="H1673" t="str">
        <x:v>neu</x:v>
      </x:c>
      <x:c r="I1673" t="str">
        <x:v>ok</x:v>
      </x:c>
      <x:c r="J1673"/>
      <x:c r="K1673" t="n">
        <x:v>45596</x:v>
      </x:c>
      <x:c r="L1673" t="n">
        <x:v>45596</x:v>
      </x:c>
      <x:c r="M1673" t="str">
        <x:v>Gebucht</x:v>
      </x:c>
      <x:c r="N1673" t="str">
        <x:v>Lars Kohlenberg</x:v>
      </x:c>
      <x:c r="O1673" t="str">
        <x:v>LARS KOHLENBERG</x:v>
      </x:c>
      <x:c r="P1673" t="str">
        <x:v>Zins und Tilgung zu 2/3</x:v>
      </x:c>
      <x:c r="Q1673" t="str">
        <x:v>Ausgang</x:v>
      </x:c>
      <x:c r="R1673" t="str">
        <x:v>DE33269910668923736000</x:v>
      </x:c>
      <x:c r="S1673" t="n">
        <x:v>-1153.94</x:v>
      </x:c>
      <x:c r="T1673" t="str">
        <x:v>"</x:v>
      </x:c>
      <x:c r="U1673" t="str">
        <x:v>"</x:v>
      </x:c>
      <x:c r="V1673" t="str">
        <x:v>"</x:v>
      </x:c>
    </x:row>
    <x:row r="1674">
      <x:c r="A1674" t="str">
        <x:v>RAW-IMP-20260516-FULLDRAFT-001657</x:v>
      </x:c>
      <x:c r="B1674" t="str">
        <x:v>IMP-20260516-FULLDRAFT</x:v>
      </x:c>
      <x:c r="C1674" t="str">
        <x:v>KTO001</x:v>
      </x:c>
      <x:c r="D1674" t="str">
        <x:v>16-05-2026_Umsatzliste_Girokonto_DE98120300001061711675.csv</x:v>
      </x:c>
      <x:c r="E1674" t="n">
        <x:v>46163</x:v>
      </x:c>
      <x:c r="F1674" t="n">
        <x:v>1657</x:v>
      </x:c>
      <x:c r="G1674" t="str">
        <x:v>ba73a324a2f97d71bc7064c2995b5bdee08d1834182f8e1b690426cd4ca1fa45</x:v>
      </x:c>
      <x:c r="H1674" t="str">
        <x:v>neu</x:v>
      </x:c>
      <x:c r="I1674" t="str">
        <x:v>ok</x:v>
      </x:c>
      <x:c r="J1674"/>
      <x:c r="K1674" t="n">
        <x:v>45595</x:v>
      </x:c>
      <x:c r="L1674" t="n">
        <x:v>45595</x:v>
      </x:c>
      <x:c r="M1674" t="str">
        <x:v>Gebucht</x:v>
      </x:c>
      <x:c r="N1674" t="str">
        <x:v>ISSUER</x:v>
      </x:c>
      <x:c r="O1674" t="str">
        <x:v>EDEKA.POTRATZ/HILDESHEIM</x:v>
      </x:c>
      <x:c r="P1674" t="str">
        <x:v>VISA Debitkartenumsatz vom 29.10.2024</x:v>
      </x:c>
      <x:c r="Q1674" t="str">
        <x:v>Ausgang</x:v>
      </x:c>
      <x:c r="R1674" t="str">
        <x:v>DE96120300009005290904</x:v>
      </x:c>
      <x:c r="S1674" t="n">
        <x:v>-11.5</x:v>
      </x:c>
      <x:c r="T1674" t="str">
        <x:v>"</x:v>
      </x:c>
      <x:c r="U1674" t="str">
        <x:v>"</x:v>
      </x:c>
      <x:c r="V1674" t="str">
        <x:v>484303435821853</x:v>
      </x:c>
    </x:row>
    <x:row r="1675">
      <x:c r="A1675" t="str">
        <x:v>RAW-IMP-20260516-FULLDRAFT-001658</x:v>
      </x:c>
      <x:c r="B1675" t="str">
        <x:v>IMP-20260516-FULLDRAFT</x:v>
      </x:c>
      <x:c r="C1675" t="str">
        <x:v>KTO001</x:v>
      </x:c>
      <x:c r="D1675" t="str">
        <x:v>16-05-2026_Umsatzliste_Girokonto_DE98120300001061711675.csv</x:v>
      </x:c>
      <x:c r="E1675" t="n">
        <x:v>46163</x:v>
      </x:c>
      <x:c r="F1675" t="n">
        <x:v>1658</x:v>
      </x:c>
      <x:c r="G1675" t="str">
        <x:v>56351ec88494b1967f2ef462a5e7a683214f37c1780b9c4c2320b44986a1f41b</x:v>
      </x:c>
      <x:c r="H1675" t="str">
        <x:v>neu</x:v>
      </x:c>
      <x:c r="I1675" t="str">
        <x:v>ok</x:v>
      </x:c>
      <x:c r="J1675"/>
      <x:c r="K1675" t="n">
        <x:v>45595</x:v>
      </x:c>
      <x:c r="L1675" t="n">
        <x:v>45595</x:v>
      </x:c>
      <x:c r="M1675" t="str">
        <x:v>Gebucht</x:v>
      </x:c>
      <x:c r="N1675" t="str">
        <x:v>ISSUER</x:v>
      </x:c>
      <x:c r="O1675" t="str">
        <x:v>REWE.Salzgitter.Ge/Salzgitter</x:v>
      </x:c>
      <x:c r="P1675" t="str">
        <x:v>VISA Debitkartenumsatz vom 29.10.2024</x:v>
      </x:c>
      <x:c r="Q1675" t="str">
        <x:v>Ausgang</x:v>
      </x:c>
      <x:c r="R1675" t="str">
        <x:v>DE96120300009005290904</x:v>
      </x:c>
      <x:c r="S1675" t="n">
        <x:v>-6.63</x:v>
      </x:c>
      <x:c r="T1675" t="str">
        <x:v>"</x:v>
      </x:c>
      <x:c r="U1675" t="str">
        <x:v>"</x:v>
      </x:c>
      <x:c r="V1675" t="str">
        <x:v>484303619524634</x:v>
      </x:c>
    </x:row>
    <x:row r="1676">
      <x:c r="A1676" t="str">
        <x:v>RAW-IMP-20260516-FULLDRAFT-001659</x:v>
      </x:c>
      <x:c r="B1676" t="str">
        <x:v>IMP-20260516-FULLDRAFT</x:v>
      </x:c>
      <x:c r="C1676" t="str">
        <x:v>KTO001</x:v>
      </x:c>
      <x:c r="D1676" t="str">
        <x:v>16-05-2026_Umsatzliste_Girokonto_DE98120300001061711675.csv</x:v>
      </x:c>
      <x:c r="E1676" t="n">
        <x:v>46163</x:v>
      </x:c>
      <x:c r="F1676" t="n">
        <x:v>1659</x:v>
      </x:c>
      <x:c r="G1676" t="str">
        <x:v>45fc04e7ea1e3741f1a9893037636b3bf8353c27951edd9aee2c012a7b55bb61</x:v>
      </x:c>
      <x:c r="H1676" t="str">
        <x:v>neu</x:v>
      </x:c>
      <x:c r="I1676" t="str">
        <x:v>ok</x:v>
      </x:c>
      <x:c r="J1676"/>
      <x:c r="K1676" t="n">
        <x:v>45595</x:v>
      </x:c>
      <x:c r="L1676" t="n">
        <x:v>45595</x:v>
      </x:c>
      <x:c r="M1676" t="str">
        <x:v>Gebucht</x:v>
      </x:c>
      <x:c r="N1676" t="str">
        <x:v>Lars Kohlenberg                                                       Johannes-Wosnitza-Str. 8 38229 Salzgitter</x:v>
      </x:c>
      <x:c r="O1676" t="str">
        <x:v>1+1 Mail + Media GmbH                                                 Elgendorfer Str. 57, 56410 Montabaur</x:v>
      </x:c>
      <x:c r="P1676" t="str">
        <x:v>GMX / WEB.DE / KD-Nr. K7440512/ RG-Nr. 201538916199</x:v>
      </x:c>
      <x:c r="Q1676" t="str">
        <x:v>Ausgang</x:v>
      </x:c>
      <x:c r="R1676" t="str">
        <x:v>DE76700800000881679702</x:v>
      </x:c>
      <x:c r="S1676" t="n">
        <x:v>-8.99</x:v>
      </x:c>
      <x:c r="T1676" t="str">
        <x:v>DE07ZZZ00000569718</x:v>
      </x:c>
      <x:c r="U1676" t="str">
        <x:v>0090001393062</x:v>
      </x:c>
      <x:c r="V1676" t="str">
        <x:v>006072680345</x:v>
      </x:c>
    </x:row>
    <x:row r="1677">
      <x:c r="A1677" t="str">
        <x:v>RAW-IMP-20260516-FULLDRAFT-001660</x:v>
      </x:c>
      <x:c r="B1677" t="str">
        <x:v>IMP-20260516-FULLDRAFT</x:v>
      </x:c>
      <x:c r="C1677" t="str">
        <x:v>KTO001</x:v>
      </x:c>
      <x:c r="D1677" t="str">
        <x:v>16-05-2026_Umsatzliste_Girokonto_DE98120300001061711675.csv</x:v>
      </x:c>
      <x:c r="E1677" t="n">
        <x:v>46163</x:v>
      </x:c>
      <x:c r="F1677" t="n">
        <x:v>1660</x:v>
      </x:c>
      <x:c r="G1677" t="str">
        <x:v>65779e1534de83ee5f081c72db840dc14845ca00a35d55d45b7e0a2f6b3ad58c</x:v>
      </x:c>
      <x:c r="H1677" t="str">
        <x:v>neu</x:v>
      </x:c>
      <x:c r="I1677" t="str">
        <x:v>ok</x:v>
      </x:c>
      <x:c r="J1677"/>
      <x:c r="K1677" t="n">
        <x:v>45594</x:v>
      </x:c>
      <x:c r="L1677" t="n">
        <x:v>45594</x:v>
      </x:c>
      <x:c r="M1677" t="str">
        <x:v>Gebucht</x:v>
      </x:c>
      <x:c r="N1677" t="str">
        <x:v>Stiftung Kath. Altenhilfe im Bistum Hildesheim</x:v>
      </x:c>
      <x:c r="O1677" t="str">
        <x:v>KOHLENBERG LARS</x:v>
      </x:c>
      <x:c r="P1677" t="str">
        <x:v>GEHALT 10/24</x:v>
      </x:c>
      <x:c r="Q1677" t="str">
        <x:v>Eingang</x:v>
      </x:c>
      <x:c r="R1677" t="str">
        <x:v>DE92400602650023150301</x:v>
      </x:c>
      <x:c r="S1677" t="n">
        <x:v>7247.5</x:v>
      </x:c>
      <x:c r="T1677" t="str">
        <x:v>"</x:v>
      </x:c>
      <x:c r="U1677" t="str">
        <x:v>"</x:v>
      </x:c>
      <x:c r="V1677" t="str">
        <x:v>001001987662SALA005224004</x:v>
      </x:c>
    </x:row>
    <x:row r="1678">
      <x:c r="A1678" t="str">
        <x:v>RAW-IMP-20260516-FULLDRAFT-001661</x:v>
      </x:c>
      <x:c r="B1678" t="str">
        <x:v>IMP-20260516-FULLDRAFT</x:v>
      </x:c>
      <x:c r="C1678" t="str">
        <x:v>KTO001</x:v>
      </x:c>
      <x:c r="D1678" t="str">
        <x:v>16-05-2026_Umsatzliste_Girokonto_DE98120300001061711675.csv</x:v>
      </x:c>
      <x:c r="E1678" t="n">
        <x:v>46163</x:v>
      </x:c>
      <x:c r="F1678" t="n">
        <x:v>1661</x:v>
      </x:c>
      <x:c r="G1678" t="str">
        <x:v>26de18714642db10c1310db00e642f4f6eda8aaaf842616dd915181752d49d65</x:v>
      </x:c>
      <x:c r="H1678" t="str">
        <x:v>neu</x:v>
      </x:c>
      <x:c r="I1678" t="str">
        <x:v>ok</x:v>
      </x:c>
      <x:c r="J1678"/>
      <x:c r="K1678" t="n">
        <x:v>45594</x:v>
      </x:c>
      <x:c r="L1678" t="n">
        <x:v>45594</x:v>
      </x:c>
      <x:c r="M1678" t="str">
        <x:v>Gebucht</x:v>
      </x:c>
      <x:c r="N1678" t="str">
        <x:v>ISSUER</x:v>
      </x:c>
      <x:c r="O1678" t="str">
        <x:v>REWE.Mehmet.Kaysal.oHG/Salzgitter</x:v>
      </x:c>
      <x:c r="P1678" t="str">
        <x:v>VISA Debitkartenumsatz vom 28.10.2024</x:v>
      </x:c>
      <x:c r="Q1678" t="str">
        <x:v>Ausgang</x:v>
      </x:c>
      <x:c r="R1678" t="str">
        <x:v>DE96120300009005290904</x:v>
      </x:c>
      <x:c r="S1678" t="n">
        <x:v>-8.37</x:v>
      </x:c>
      <x:c r="T1678" t="str">
        <x:v>"</x:v>
      </x:c>
      <x:c r="U1678" t="str">
        <x:v>"</x:v>
      </x:c>
      <x:c r="V1678" t="str">
        <x:v>484302636178709</x:v>
      </x:c>
    </x:row>
    <x:row r="1679">
      <x:c r="A1679" t="str">
        <x:v>RAW-IMP-20260516-FULLDRAFT-001662</x:v>
      </x:c>
      <x:c r="B1679" t="str">
        <x:v>IMP-20260516-FULLDRAFT</x:v>
      </x:c>
      <x:c r="C1679" t="str">
        <x:v>KTO001</x:v>
      </x:c>
      <x:c r="D1679" t="str">
        <x:v>16-05-2026_Umsatzliste_Girokonto_DE98120300001061711675.csv</x:v>
      </x:c>
      <x:c r="E1679" t="n">
        <x:v>46163</x:v>
      </x:c>
      <x:c r="F1679" t="n">
        <x:v>1662</x:v>
      </x:c>
      <x:c r="G1679" t="str">
        <x:v>37d2031b43fdf05a80330439cc11526194c1b4f7cfdc89bad27f8a8fb307b4f5</x:v>
      </x:c>
      <x:c r="H1679" t="str">
        <x:v>neu</x:v>
      </x:c>
      <x:c r="I1679" t="str">
        <x:v>ok</x:v>
      </x:c>
      <x:c r="J1679"/>
      <x:c r="K1679" t="n">
        <x:v>45594</x:v>
      </x:c>
      <x:c r="L1679" t="n">
        <x:v>45594</x:v>
      </x:c>
      <x:c r="M1679" t="str">
        <x:v>Gebucht</x:v>
      </x:c>
      <x:c r="N1679" t="str">
        <x:v>ISSUER</x:v>
      </x:c>
      <x:c r="O1679" t="str">
        <x:v>AMZN.Mktp.DE.TR9PY7L14/800.279.6620</x:v>
      </x:c>
      <x:c r="P1679" t="str">
        <x:v>VISA Debitkartenumsatz vom 28.10.2024</x:v>
      </x:c>
      <x:c r="Q1679" t="str">
        <x:v>Ausgang</x:v>
      </x:c>
      <x:c r="R1679" t="str">
        <x:v>DE96120300009005290904</x:v>
      </x:c>
      <x:c r="S1679" t="n">
        <x:v>-865.48</x:v>
      </x:c>
      <x:c r="T1679" t="str">
        <x:v>"</x:v>
      </x:c>
      <x:c r="U1679" t="str">
        <x:v>"</x:v>
      </x:c>
      <x:c r="V1679" t="str">
        <x:v>484301678881741</x:v>
      </x:c>
    </x:row>
    <x:row r="1680">
      <x:c r="A1680" t="str">
        <x:v>RAW-IMP-20260516-FULLDRAFT-001663</x:v>
      </x:c>
      <x:c r="B1680" t="str">
        <x:v>IMP-20260516-FULLDRAFT</x:v>
      </x:c>
      <x:c r="C1680" t="str">
        <x:v>KTO001</x:v>
      </x:c>
      <x:c r="D1680" t="str">
        <x:v>16-05-2026_Umsatzliste_Girokonto_DE98120300001061711675.csv</x:v>
      </x:c>
      <x:c r="E1680" t="n">
        <x:v>46163</x:v>
      </x:c>
      <x:c r="F1680" t="n">
        <x:v>1663</x:v>
      </x:c>
      <x:c r="G1680" t="str">
        <x:v>94077063859e4597071e876270408e0ca35027a82f21b2cde99cfd32b563c5f8</x:v>
      </x:c>
      <x:c r="H1680" t="str">
        <x:v>neu</x:v>
      </x:c>
      <x:c r="I1680" t="str">
        <x:v>ok</x:v>
      </x:c>
      <x:c r="J1680"/>
      <x:c r="K1680" t="n">
        <x:v>45593</x:v>
      </x:c>
      <x:c r="L1680" t="n">
        <x:v>45593</x:v>
      </x:c>
      <x:c r="M1680" t="str">
        <x:v>Gebucht</x:v>
      </x:c>
      <x:c r="N1680" t="str">
        <x:v>ISSUER</x:v>
      </x:c>
      <x:c r="O1680" t="str">
        <x:v>NORD.LB...Braunschweigi/GEBHARDSHG</x:v>
      </x:c>
      <x:c r="P1680" t="str">
        <x:v>VISA Debitkartenumsatz vom 26.10.2024</x:v>
      </x:c>
      <x:c r="Q1680" t="str">
        <x:v>Ausgang</x:v>
      </x:c>
      <x:c r="R1680" t="str">
        <x:v>DE96120300009005290904</x:v>
      </x:c>
      <x:c r="S1680" t="n">
        <x:v>-500</x:v>
      </x:c>
      <x:c r="T1680" t="str">
        <x:v>"</x:v>
      </x:c>
      <x:c r="U1680" t="str">
        <x:v>"</x:v>
      </x:c>
      <x:c r="V1680" t="str">
        <x:v>484300305459718</x:v>
      </x:c>
    </x:row>
    <x:row r="1681">
      <x:c r="A1681" t="str">
        <x:v>RAW-IMP-20260516-FULLDRAFT-001664</x:v>
      </x:c>
      <x:c r="B1681" t="str">
        <x:v>IMP-20260516-FULLDRAFT</x:v>
      </x:c>
      <x:c r="C1681" t="str">
        <x:v>KTO001</x:v>
      </x:c>
      <x:c r="D1681" t="str">
        <x:v>16-05-2026_Umsatzliste_Girokonto_DE98120300001061711675.csv</x:v>
      </x:c>
      <x:c r="E1681" t="n">
        <x:v>46163</x:v>
      </x:c>
      <x:c r="F1681" t="n">
        <x:v>1664</x:v>
      </x:c>
      <x:c r="G1681" t="str">
        <x:v>dd42ccdfe49bc77f5c64538a1a34a9bef7f77b0b9f63d6ebd92cca47e250857f</x:v>
      </x:c>
      <x:c r="H1681" t="str">
        <x:v>neu</x:v>
      </x:c>
      <x:c r="I1681" t="str">
        <x:v>ok</x:v>
      </x:c>
      <x:c r="J1681"/>
      <x:c r="K1681" t="n">
        <x:v>45593</x:v>
      </x:c>
      <x:c r="L1681" t="n">
        <x:v>45593</x:v>
      </x:c>
      <x:c r="M1681" t="str">
        <x:v>Gebucht</x:v>
      </x:c>
      <x:c r="N1681" t="str">
        <x:v>ISSUER</x:v>
      </x:c>
      <x:c r="O1681" t="str">
        <x:v>Lidl.sagt.Danke/Salzgitter</x:v>
      </x:c>
      <x:c r="P1681" t="str">
        <x:v>VISA Debitkartenumsatz vom 25.10.2024</x:v>
      </x:c>
      <x:c r="Q1681" t="str">
        <x:v>Ausgang</x:v>
      </x:c>
      <x:c r="R1681" t="str">
        <x:v>DE96120300009005290904</x:v>
      </x:c>
      <x:c r="S1681" t="n">
        <x:v>-84.5</x:v>
      </x:c>
      <x:c r="T1681" t="str">
        <x:v>"</x:v>
      </x:c>
      <x:c r="U1681" t="str">
        <x:v>"</x:v>
      </x:c>
      <x:c r="V1681" t="str">
        <x:v>484299571460150</x:v>
      </x:c>
    </x:row>
    <x:row r="1682">
      <x:c r="A1682" t="str">
        <x:v>RAW-IMP-20260516-FULLDRAFT-001665</x:v>
      </x:c>
      <x:c r="B1682" t="str">
        <x:v>IMP-20260516-FULLDRAFT</x:v>
      </x:c>
      <x:c r="C1682" t="str">
        <x:v>KTO001</x:v>
      </x:c>
      <x:c r="D1682" t="str">
        <x:v>16-05-2026_Umsatzliste_Girokonto_DE98120300001061711675.csv</x:v>
      </x:c>
      <x:c r="E1682" t="n">
        <x:v>46163</x:v>
      </x:c>
      <x:c r="F1682" t="n">
        <x:v>1665</x:v>
      </x:c>
      <x:c r="G1682" t="str">
        <x:v>0193789d6c1502e7539a1a61044d5902b5b8050c4da0f274e0568447cbf15bfd</x:v>
      </x:c>
      <x:c r="H1682" t="str">
        <x:v>neu</x:v>
      </x:c>
      <x:c r="I1682" t="str">
        <x:v>ok</x:v>
      </x:c>
      <x:c r="J1682"/>
      <x:c r="K1682" t="n">
        <x:v>45593</x:v>
      </x:c>
      <x:c r="L1682" t="n">
        <x:v>45593</x:v>
      </x:c>
      <x:c r="M1682" t="str">
        <x:v>Gebucht</x:v>
      </x:c>
      <x:c r="N1682" t="str">
        <x:v>ISSUER</x:v>
      </x:c>
      <x:c r="O1682" t="str">
        <x:v>REWE.Acar.oHG/Salzgitter</x:v>
      </x:c>
      <x:c r="P1682" t="str">
        <x:v>VISA Debitkartenumsatz vom 26.10.2024</x:v>
      </x:c>
      <x:c r="Q1682" t="str">
        <x:v>Ausgang</x:v>
      </x:c>
      <x:c r="R1682" t="str">
        <x:v>DE96120300009005290904</x:v>
      </x:c>
      <x:c r="S1682" t="n">
        <x:v>-93.33</x:v>
      </x:c>
      <x:c r="T1682" t="str">
        <x:v>"</x:v>
      </x:c>
      <x:c r="U1682" t="str">
        <x:v>"</x:v>
      </x:c>
      <x:c r="V1682" t="str">
        <x:v>484300613001579</x:v>
      </x:c>
    </x:row>
    <x:row r="1683">
      <x:c r="A1683" t="str">
        <x:v>RAW-IMP-20260516-FULLDRAFT-001666</x:v>
      </x:c>
      <x:c r="B1683" t="str">
        <x:v>IMP-20260516-FULLDRAFT</x:v>
      </x:c>
      <x:c r="C1683" t="str">
        <x:v>KTO001</x:v>
      </x:c>
      <x:c r="D1683" t="str">
        <x:v>16-05-2026_Umsatzliste_Girokonto_DE98120300001061711675.csv</x:v>
      </x:c>
      <x:c r="E1683" t="n">
        <x:v>46163</x:v>
      </x:c>
      <x:c r="F1683" t="n">
        <x:v>1666</x:v>
      </x:c>
      <x:c r="G1683" t="str">
        <x:v>65ce583e64359000bcd82645afb5820d58a248d7e79e14a8b7f39e6eccb15c2f</x:v>
      </x:c>
      <x:c r="H1683" t="str">
        <x:v>neu</x:v>
      </x:c>
      <x:c r="I1683" t="str">
        <x:v>ok</x:v>
      </x:c>
      <x:c r="J1683"/>
      <x:c r="K1683" t="n">
        <x:v>45593</x:v>
      </x:c>
      <x:c r="L1683" t="n">
        <x:v>45593</x:v>
      </x:c>
      <x:c r="M1683" t="str">
        <x:v>Gebucht</x:v>
      </x:c>
      <x:c r="N1683" t="str">
        <x:v>ISSUER</x:v>
      </x:c>
      <x:c r="O1683" t="str">
        <x:v>RESTAURANT.GLUECK.AUF/SALZGITTER.BA</x:v>
      </x:c>
      <x:c r="P1683" t="str">
        <x:v>VISA Debitkartenumsatz vom 26.10.2024</x:v>
      </x:c>
      <x:c r="Q1683" t="str">
        <x:v>Ausgang</x:v>
      </x:c>
      <x:c r="R1683" t="str">
        <x:v>DE96120300009005290904</x:v>
      </x:c>
      <x:c r="S1683" t="n">
        <x:v>-55.5</x:v>
      </x:c>
      <x:c r="T1683" t="str">
        <x:v>"</x:v>
      </x:c>
      <x:c r="U1683" t="str">
        <x:v>"</x:v>
      </x:c>
      <x:c r="V1683" t="str">
        <x:v>484300620371185</x:v>
      </x:c>
    </x:row>
    <x:row r="1684">
      <x:c r="A1684" t="str">
        <x:v>RAW-IMP-20260516-FULLDRAFT-001667</x:v>
      </x:c>
      <x:c r="B1684" t="str">
        <x:v>IMP-20260516-FULLDRAFT</x:v>
      </x:c>
      <x:c r="C1684" t="str">
        <x:v>KTO001</x:v>
      </x:c>
      <x:c r="D1684" t="str">
        <x:v>16-05-2026_Umsatzliste_Girokonto_DE98120300001061711675.csv</x:v>
      </x:c>
      <x:c r="E1684" t="n">
        <x:v>46163</x:v>
      </x:c>
      <x:c r="F1684" t="n">
        <x:v>1667</x:v>
      </x:c>
      <x:c r="G1684" t="str">
        <x:v>4669f61d03222669f0d4f70c025f595b221d9337b7a73add48615e7b0abd5768</x:v>
      </x:c>
      <x:c r="H1684" t="str">
        <x:v>neu</x:v>
      </x:c>
      <x:c r="I1684" t="str">
        <x:v>ok</x:v>
      </x:c>
      <x:c r="J1684"/>
      <x:c r="K1684" t="n">
        <x:v>45593</x:v>
      </x:c>
      <x:c r="L1684" t="n">
        <x:v>45593</x:v>
      </x:c>
      <x:c r="M1684" t="str">
        <x:v>Gebucht</x:v>
      </x:c>
      <x:c r="N1684" t="str">
        <x:v>ISSUER</x:v>
      </x:c>
      <x:c r="O1684" t="str">
        <x:v>REWE.Salzgitter.Ge/Salzgitter</x:v>
      </x:c>
      <x:c r="P1684" t="str">
        <x:v>VISA Debitkartenumsatz vom 26.10.2024</x:v>
      </x:c>
      <x:c r="Q1684" t="str">
        <x:v>Ausgang</x:v>
      </x:c>
      <x:c r="R1684" t="str">
        <x:v>DE96120300009005290904</x:v>
      </x:c>
      <x:c r="S1684" t="n">
        <x:v>-10.56</x:v>
      </x:c>
      <x:c r="T1684" t="str">
        <x:v>"</x:v>
      </x:c>
      <x:c r="U1684" t="str">
        <x:v>"</x:v>
      </x:c>
      <x:c r="V1684" t="str">
        <x:v>484300299050607</x:v>
      </x:c>
    </x:row>
    <x:row r="1685">
      <x:c r="A1685" t="str">
        <x:v>RAW-IMP-20260516-FULLDRAFT-001668</x:v>
      </x:c>
      <x:c r="B1685" t="str">
        <x:v>IMP-20260516-FULLDRAFT</x:v>
      </x:c>
      <x:c r="C1685" t="str">
        <x:v>KTO001</x:v>
      </x:c>
      <x:c r="D1685" t="str">
        <x:v>16-05-2026_Umsatzliste_Girokonto_DE98120300001061711675.csv</x:v>
      </x:c>
      <x:c r="E1685" t="n">
        <x:v>46163</x:v>
      </x:c>
      <x:c r="F1685" t="n">
        <x:v>1668</x:v>
      </x:c>
      <x:c r="G1685" t="str">
        <x:v>feb760c03d03be360a4fccc24ea69926c58b54ed15d32652488bbfac9f745fce</x:v>
      </x:c>
      <x:c r="H1685" t="str">
        <x:v>neu</x:v>
      </x:c>
      <x:c r="I1685" t="str">
        <x:v>ok</x:v>
      </x:c>
      <x:c r="J1685"/>
      <x:c r="K1685" t="n">
        <x:v>45593</x:v>
      </x:c>
      <x:c r="L1685" t="n">
        <x:v>45593</x:v>
      </x:c>
      <x:c r="M1685" t="str">
        <x:v>Gebucht</x:v>
      </x:c>
      <x:c r="N1685" t="str">
        <x:v>Amazon.de/AMAZON.DE</x:v>
      </x:c>
      <x:c r="O1685" t="str">
        <x:v>NOTPROVIDED</x:v>
      </x:c>
      <x:c r="P1685" t="str">
        <x:v>20241026172715 Amazon.de LU</x:v>
      </x:c>
      <x:c r="Q1685" t="str">
        <x:v>Eingang</x:v>
      </x:c>
      <x:c r="R1685" t="str">
        <x:v>DE96120300009005290904</x:v>
      </x:c>
      <x:c r="S1685" t="n">
        <x:v>0.99</x:v>
      </x:c>
      <x:c r="T1685" t="str">
        <x:v>"</x:v>
      </x:c>
      <x:c r="U1685" t="str">
        <x:v>"</x:v>
      </x:c>
      <x:c r="V1685" t="str">
        <x:v>634300718725863</x:v>
      </x:c>
    </x:row>
    <x:row r="1686">
      <x:c r="A1686" t="str">
        <x:v>RAW-IMP-20260516-FULLDRAFT-001669</x:v>
      </x:c>
      <x:c r="B1686" t="str">
        <x:v>IMP-20260516-FULLDRAFT</x:v>
      </x:c>
      <x:c r="C1686" t="str">
        <x:v>KTO001</x:v>
      </x:c>
      <x:c r="D1686" t="str">
        <x:v>16-05-2026_Umsatzliste_Girokonto_DE98120300001061711675.csv</x:v>
      </x:c>
      <x:c r="E1686" t="n">
        <x:v>46163</x:v>
      </x:c>
      <x:c r="F1686" t="n">
        <x:v>1669</x:v>
      </x:c>
      <x:c r="G1686" t="str">
        <x:v>0d08627f54246c955c8bf386f8810143d5ca665ecabd01af90af9b4e3177383f</x:v>
      </x:c>
      <x:c r="H1686" t="str">
        <x:v>neu</x:v>
      </x:c>
      <x:c r="I1686" t="str">
        <x:v>ok</x:v>
      </x:c>
      <x:c r="J1686"/>
      <x:c r="K1686" t="n">
        <x:v>45590</x:v>
      </x:c>
      <x:c r="L1686" t="n">
        <x:v>45590</x:v>
      </x:c>
      <x:c r="M1686" t="str">
        <x:v>Gebucht</x:v>
      </x:c>
      <x:c r="N1686" t="str">
        <x:v>ISSUER</x:v>
      </x:c>
      <x:c r="O1686" t="str">
        <x:v>REWE.Salzgitter.Ge/Salzgitter</x:v>
      </x:c>
      <x:c r="P1686" t="str">
        <x:v>VISA Debitkartenumsatz vom 24.10.2024</x:v>
      </x:c>
      <x:c r="Q1686" t="str">
        <x:v>Ausgang</x:v>
      </x:c>
      <x:c r="R1686" t="str">
        <x:v>DE96120300009005290904</x:v>
      </x:c>
      <x:c r="S1686" t="n">
        <x:v>-12.45</x:v>
      </x:c>
      <x:c r="T1686" t="str">
        <x:v>"</x:v>
      </x:c>
      <x:c r="U1686" t="str">
        <x:v>"</x:v>
      </x:c>
      <x:c r="V1686" t="str">
        <x:v>484298622145764</x:v>
      </x:c>
    </x:row>
    <x:row r="1687">
      <x:c r="A1687" t="str">
        <x:v>RAW-IMP-20260516-FULLDRAFT-001670</x:v>
      </x:c>
      <x:c r="B1687" t="str">
        <x:v>IMP-20260516-FULLDRAFT</x:v>
      </x:c>
      <x:c r="C1687" t="str">
        <x:v>KTO001</x:v>
      </x:c>
      <x:c r="D1687" t="str">
        <x:v>16-05-2026_Umsatzliste_Girokonto_DE98120300001061711675.csv</x:v>
      </x:c>
      <x:c r="E1687" t="n">
        <x:v>46163</x:v>
      </x:c>
      <x:c r="F1687" t="n">
        <x:v>1670</x:v>
      </x:c>
      <x:c r="G1687" t="str">
        <x:v>747579bbb063a7963442acb200e10bf8df865fc4f31ef0ccb279ebdd0e6ba399</x:v>
      </x:c>
      <x:c r="H1687" t="str">
        <x:v>neu</x:v>
      </x:c>
      <x:c r="I1687" t="str">
        <x:v>ok</x:v>
      </x:c>
      <x:c r="J1687"/>
      <x:c r="K1687" t="n">
        <x:v>45589</x:v>
      </x:c>
      <x:c r="L1687" t="n">
        <x:v>45589</x:v>
      </x:c>
      <x:c r="M1687" t="str">
        <x:v>Gebucht</x:v>
      </x:c>
      <x:c r="N1687" t="str">
        <x:v>ISSUER</x:v>
      </x:c>
      <x:c r="O1687" t="str">
        <x:v>BRAUNSCHW..CELLER.STR./BRAUNSCHWEIG</x:v>
      </x:c>
      <x:c r="P1687" t="str">
        <x:v>VISA Debitkartenumsatz vom 23.10.2024</x:v>
      </x:c>
      <x:c r="Q1687" t="str">
        <x:v>Ausgang</x:v>
      </x:c>
      <x:c r="R1687" t="str">
        <x:v>DE96120300009005290904</x:v>
      </x:c>
      <x:c r="S1687" t="n">
        <x:v>-8</x:v>
      </x:c>
      <x:c r="T1687" t="str">
        <x:v>"</x:v>
      </x:c>
      <x:c r="U1687" t="str">
        <x:v>"</x:v>
      </x:c>
      <x:c r="V1687" t="str">
        <x:v>484297459720970</x:v>
      </x:c>
    </x:row>
    <x:row r="1688">
      <x:c r="A1688" t="str">
        <x:v>RAW-IMP-20260516-FULLDRAFT-001671</x:v>
      </x:c>
      <x:c r="B1688" t="str">
        <x:v>IMP-20260516-FULLDRAFT</x:v>
      </x:c>
      <x:c r="C1688" t="str">
        <x:v>KTO001</x:v>
      </x:c>
      <x:c r="D1688" t="str">
        <x:v>16-05-2026_Umsatzliste_Girokonto_DE98120300001061711675.csv</x:v>
      </x:c>
      <x:c r="E1688" t="n">
        <x:v>46163</x:v>
      </x:c>
      <x:c r="F1688" t="n">
        <x:v>1671</x:v>
      </x:c>
      <x:c r="G1688" t="str">
        <x:v>1b5a3b9208a2c48dc85817106116bda7fd15a8bbd66510ba114ea4c985404846</x:v>
      </x:c>
      <x:c r="H1688" t="str">
        <x:v>neu</x:v>
      </x:c>
      <x:c r="I1688" t="str">
        <x:v>ok</x:v>
      </x:c>
      <x:c r="J1688"/>
      <x:c r="K1688" t="n">
        <x:v>45589</x:v>
      </x:c>
      <x:c r="L1688" t="n">
        <x:v>45589</x:v>
      </x:c>
      <x:c r="M1688" t="str">
        <x:v>Gebucht</x:v>
      </x:c>
      <x:c r="N1688" t="str">
        <x:v>ISSUER</x:v>
      </x:c>
      <x:c r="O1688" t="str">
        <x:v>PH.GRUENER.LOEWE/BRAUNDSCHWEIG</x:v>
      </x:c>
      <x:c r="P1688" t="str">
        <x:v>VISA Debitkartenumsatz vom 23.10.2024</x:v>
      </x:c>
      <x:c r="Q1688" t="str">
        <x:v>Ausgang</x:v>
      </x:c>
      <x:c r="R1688" t="str">
        <x:v>DE96120300009005290904</x:v>
      </x:c>
      <x:c r="S1688" t="n">
        <x:v>-4.5</x:v>
      </x:c>
      <x:c r="T1688" t="str">
        <x:v>"</x:v>
      </x:c>
      <x:c r="U1688" t="str">
        <x:v>"</x:v>
      </x:c>
      <x:c r="V1688" t="str">
        <x:v>484297342137379</x:v>
      </x:c>
    </x:row>
    <x:row r="1689">
      <x:c r="A1689" t="str">
        <x:v>RAW-IMP-20260516-FULLDRAFT-001672</x:v>
      </x:c>
      <x:c r="B1689" t="str">
        <x:v>IMP-20260516-FULLDRAFT</x:v>
      </x:c>
      <x:c r="C1689" t="str">
        <x:v>KTO001</x:v>
      </x:c>
      <x:c r="D1689" t="str">
        <x:v>16-05-2026_Umsatzliste_Girokonto_DE98120300001061711675.csv</x:v>
      </x:c>
      <x:c r="E1689" t="n">
        <x:v>46163</x:v>
      </x:c>
      <x:c r="F1689" t="n">
        <x:v>1672</x:v>
      </x:c>
      <x:c r="G1689" t="str">
        <x:v>9eb085cdf5a9157014c5ca1fc8291821a63edacb3667d023e316692ef5bb6494</x:v>
      </x:c>
      <x:c r="H1689" t="str">
        <x:v>neu</x:v>
      </x:c>
      <x:c r="I1689" t="str">
        <x:v>ok</x:v>
      </x:c>
      <x:c r="J1689"/>
      <x:c r="K1689" t="n">
        <x:v>45589</x:v>
      </x:c>
      <x:c r="L1689" t="n">
        <x:v>45589</x:v>
      </x:c>
      <x:c r="M1689" t="str">
        <x:v>Gebucht</x:v>
      </x:c>
      <x:c r="N1689" t="str">
        <x:v>ISSUER</x:v>
      </x:c>
      <x:c r="O1689" t="str">
        <x:v>SANDERS.BACKSTUBE/BRAUNSCHWEIG</x:v>
      </x:c>
      <x:c r="P1689" t="str">
        <x:v>VISA Debitkartenumsatz vom 23.10.2024</x:v>
      </x:c>
      <x:c r="Q1689" t="str">
        <x:v>Ausgang</x:v>
      </x:c>
      <x:c r="R1689" t="str">
        <x:v>DE96120300009005290904</x:v>
      </x:c>
      <x:c r="S1689" t="n">
        <x:v>-4.25</x:v>
      </x:c>
      <x:c r="T1689" t="str">
        <x:v>"</x:v>
      </x:c>
      <x:c r="U1689" t="str">
        <x:v>"</x:v>
      </x:c>
      <x:c r="V1689" t="str">
        <x:v>484297179838747</x:v>
      </x:c>
    </x:row>
    <x:row r="1690">
      <x:c r="A1690" t="str">
        <x:v>RAW-IMP-20260516-FULLDRAFT-001673</x:v>
      </x:c>
      <x:c r="B1690" t="str">
        <x:v>IMP-20260516-FULLDRAFT</x:v>
      </x:c>
      <x:c r="C1690" t="str">
        <x:v>KTO001</x:v>
      </x:c>
      <x:c r="D1690" t="str">
        <x:v>16-05-2026_Umsatzliste_Girokonto_DE98120300001061711675.csv</x:v>
      </x:c>
      <x:c r="E1690" t="n">
        <x:v>46163</x:v>
      </x:c>
      <x:c r="F1690" t="n">
        <x:v>1673</x:v>
      </x:c>
      <x:c r="G1690" t="str">
        <x:v>c35ed4465039f142f9f0cf7e0a32d8eeb00df9cb9ea78b84d8fa0d9abf0cb6e4</x:v>
      </x:c>
      <x:c r="H1690" t="str">
        <x:v>neu</x:v>
      </x:c>
      <x:c r="I1690" t="str">
        <x:v>ok</x:v>
      </x:c>
      <x:c r="J1690"/>
      <x:c r="K1690" t="n">
        <x:v>45589</x:v>
      </x:c>
      <x:c r="L1690" t="n">
        <x:v>45589</x:v>
      </x:c>
      <x:c r="M1690" t="str">
        <x:v>Gebucht</x:v>
      </x:c>
      <x:c r="N1690" t="str">
        <x:v>ISSUER</x:v>
      </x:c>
      <x:c r="O1690" t="str">
        <x:v>REWE.Salzgitter.Ge/Salzgitter</x:v>
      </x:c>
      <x:c r="P1690" t="str">
        <x:v>VISA Debitkartenumsatz vom 23.10.2024</x:v>
      </x:c>
      <x:c r="Q1690" t="str">
        <x:v>Ausgang</x:v>
      </x:c>
      <x:c r="R1690" t="str">
        <x:v>DE96120300009005290904</x:v>
      </x:c>
      <x:c r="S1690" t="n">
        <x:v>-24.23</x:v>
      </x:c>
      <x:c r="T1690" t="str">
        <x:v>"</x:v>
      </x:c>
      <x:c r="U1690" t="str">
        <x:v>"</x:v>
      </x:c>
      <x:c r="V1690" t="str">
        <x:v>484297577765788</x:v>
      </x:c>
    </x:row>
    <x:row r="1691">
      <x:c r="A1691" t="str">
        <x:v>RAW-IMP-20260516-FULLDRAFT-001674</x:v>
      </x:c>
      <x:c r="B1691" t="str">
        <x:v>IMP-20260516-FULLDRAFT</x:v>
      </x:c>
      <x:c r="C1691" t="str">
        <x:v>KTO001</x:v>
      </x:c>
      <x:c r="D1691" t="str">
        <x:v>16-05-2026_Umsatzliste_Girokonto_DE98120300001061711675.csv</x:v>
      </x:c>
      <x:c r="E1691" t="n">
        <x:v>46163</x:v>
      </x:c>
      <x:c r="F1691" t="n">
        <x:v>1674</x:v>
      </x:c>
      <x:c r="G1691" t="str">
        <x:v>c471365c3e8ecb35e72103663c5eb2e97df186ada5a465e2477993068533d67a</x:v>
      </x:c>
      <x:c r="H1691" t="str">
        <x:v>neu</x:v>
      </x:c>
      <x:c r="I1691" t="str">
        <x:v>ok</x:v>
      </x:c>
      <x:c r="J1691"/>
      <x:c r="K1691" t="n">
        <x:v>45589</x:v>
      </x:c>
      <x:c r="L1691" t="n">
        <x:v>45589</x:v>
      </x:c>
      <x:c r="M1691" t="str">
        <x:v>Gebucht</x:v>
      </x:c>
      <x:c r="N1691" t="str">
        <x:v>ISSUER</x:v>
      </x:c>
      <x:c r="O1691" t="str">
        <x:v>SKBS.Kiosk.S3/Braunschweig</x:v>
      </x:c>
      <x:c r="P1691" t="str">
        <x:v>VISA Debitkartenumsatz vom 23.10.2024</x:v>
      </x:c>
      <x:c r="Q1691" t="str">
        <x:v>Ausgang</x:v>
      </x:c>
      <x:c r="R1691" t="str">
        <x:v>DE96120300009005290904</x:v>
      </x:c>
      <x:c r="S1691" t="n">
        <x:v>-4.7</x:v>
      </x:c>
      <x:c r="T1691" t="str">
        <x:v>"</x:v>
      </x:c>
      <x:c r="U1691" t="str">
        <x:v>"</x:v>
      </x:c>
      <x:c r="V1691" t="str">
        <x:v>484297351210813</x:v>
      </x:c>
    </x:row>
    <x:row r="1692">
      <x:c r="A1692" t="str">
        <x:v>RAW-IMP-20260516-FULLDRAFT-001675</x:v>
      </x:c>
      <x:c r="B1692" t="str">
        <x:v>IMP-20260516-FULLDRAFT</x:v>
      </x:c>
      <x:c r="C1692" t="str">
        <x:v>KTO001</x:v>
      </x:c>
      <x:c r="D1692" t="str">
        <x:v>16-05-2026_Umsatzliste_Girokonto_DE98120300001061711675.csv</x:v>
      </x:c>
      <x:c r="E1692" t="n">
        <x:v>46163</x:v>
      </x:c>
      <x:c r="F1692" t="n">
        <x:v>1675</x:v>
      </x:c>
      <x:c r="G1692" t="str">
        <x:v>f2470485f710cf91dee64d8839ae2ee2ab215364fb3f9b078bb1e908edcd0860</x:v>
      </x:c>
      <x:c r="H1692" t="str">
        <x:v>neu</x:v>
      </x:c>
      <x:c r="I1692" t="str">
        <x:v>ok</x:v>
      </x:c>
      <x:c r="J1692"/>
      <x:c r="K1692" t="n">
        <x:v>45587</x:v>
      </x:c>
      <x:c r="L1692" t="n">
        <x:v>45587</x:v>
      </x:c>
      <x:c r="M1692" t="str">
        <x:v>Gebucht</x:v>
      </x:c>
      <x:c r="N1692" t="str">
        <x:v>ISSUER</x:v>
      </x:c>
      <x:c r="O1692" t="str">
        <x:v>REWE.Salzgitter.Ge/Salzgitter</x:v>
      </x:c>
      <x:c r="P1692" t="str">
        <x:v>VISA Debitkartenumsatz vom 21.10.2024</x:v>
      </x:c>
      <x:c r="Q1692" t="str">
        <x:v>Ausgang</x:v>
      </x:c>
      <x:c r="R1692" t="str">
        <x:v>DE96120300009005290904</x:v>
      </x:c>
      <x:c r="S1692" t="n">
        <x:v>-4.23</x:v>
      </x:c>
      <x:c r="T1692" t="str">
        <x:v>"</x:v>
      </x:c>
      <x:c r="U1692" t="str">
        <x:v>"</x:v>
      </x:c>
      <x:c r="V1692" t="str">
        <x:v>484295586093470</x:v>
      </x:c>
    </x:row>
    <x:row r="1693">
      <x:c r="A1693" t="str">
        <x:v>RAW-IMP-20260516-FULLDRAFT-001676</x:v>
      </x:c>
      <x:c r="B1693" t="str">
        <x:v>IMP-20260516-FULLDRAFT</x:v>
      </x:c>
      <x:c r="C1693" t="str">
        <x:v>KTO001</x:v>
      </x:c>
      <x:c r="D1693" t="str">
        <x:v>16-05-2026_Umsatzliste_Girokonto_DE98120300001061711675.csv</x:v>
      </x:c>
      <x:c r="E1693" t="n">
        <x:v>46163</x:v>
      </x:c>
      <x:c r="F1693" t="n">
        <x:v>1676</x:v>
      </x:c>
      <x:c r="G1693" t="str">
        <x:v>8546e5375d2300871b5080059682226f1c5e9a9e25bbde942fa9760e5ba5251b</x:v>
      </x:c>
      <x:c r="H1693" t="str">
        <x:v>neu</x:v>
      </x:c>
      <x:c r="I1693" t="str">
        <x:v>ok</x:v>
      </x:c>
      <x:c r="J1693"/>
      <x:c r="K1693" t="n">
        <x:v>45587</x:v>
      </x:c>
      <x:c r="L1693" t="n">
        <x:v>45587</x:v>
      </x:c>
      <x:c r="M1693" t="str">
        <x:v>Gebucht</x:v>
      </x:c>
      <x:c r="N1693" t="str">
        <x:v>ISSUER</x:v>
      </x:c>
      <x:c r="O1693" t="str">
        <x:v>APPLE.COM.BILL/08006645451</x:v>
      </x:c>
      <x:c r="P1693" t="str">
        <x:v>VISA Debitkartenumsatz vom 21.10.2024</x:v>
      </x:c>
      <x:c r="Q1693" t="str">
        <x:v>Ausgang</x:v>
      </x:c>
      <x:c r="R1693" t="str">
        <x:v>DE96120300009005290904</x:v>
      </x:c>
      <x:c r="S1693" t="n">
        <x:v>-2.99</x:v>
      </x:c>
      <x:c r="T1693" t="str">
        <x:v>"</x:v>
      </x:c>
      <x:c r="U1693" t="str">
        <x:v>"</x:v>
      </x:c>
      <x:c r="V1693" t="str">
        <x:v>484295466134151</x:v>
      </x:c>
    </x:row>
    <x:row r="1694">
      <x:c r="A1694" t="str">
        <x:v>RAW-IMP-20260516-FULLDRAFT-001677</x:v>
      </x:c>
      <x:c r="B1694" t="str">
        <x:v>IMP-20260516-FULLDRAFT</x:v>
      </x:c>
      <x:c r="C1694" t="str">
        <x:v>KTO001</x:v>
      </x:c>
      <x:c r="D1694" t="str">
        <x:v>16-05-2026_Umsatzliste_Girokonto_DE98120300001061711675.csv</x:v>
      </x:c>
      <x:c r="E1694" t="n">
        <x:v>46163</x:v>
      </x:c>
      <x:c r="F1694" t="n">
        <x:v>1677</x:v>
      </x:c>
      <x:c r="G1694" t="str">
        <x:v>4f96a909b3cd195b73ca3f6f2d44166cac1fedda67423392fa0a0ba2136e6de9</x:v>
      </x:c>
      <x:c r="H1694" t="str">
        <x:v>neu</x:v>
      </x:c>
      <x:c r="I1694" t="str">
        <x:v>ok</x:v>
      </x:c>
      <x:c r="J1694"/>
      <x:c r="K1694" t="n">
        <x:v>45586</x:v>
      </x:c>
      <x:c r="L1694" t="n">
        <x:v>45586</x:v>
      </x:c>
      <x:c r="M1694" t="str">
        <x:v>Gebucht</x:v>
      </x:c>
      <x:c r="N1694" t="str">
        <x:v>ISSUER</x:v>
      </x:c>
      <x:c r="O1694" t="str">
        <x:v>REWE.Salzgitter.Ge/Salzgitter</x:v>
      </x:c>
      <x:c r="P1694" t="str">
        <x:v>VISA Debitkartenumsatz vom 19.10.2024</x:v>
      </x:c>
      <x:c r="Q1694" t="str">
        <x:v>Ausgang</x:v>
      </x:c>
      <x:c r="R1694" t="str">
        <x:v>DE96120300009005290904</x:v>
      </x:c>
      <x:c r="S1694" t="n">
        <x:v>-82</x:v>
      </x:c>
      <x:c r="T1694" t="str">
        <x:v>"</x:v>
      </x:c>
      <x:c r="U1694" t="str">
        <x:v>"</x:v>
      </x:c>
      <x:c r="V1694" t="str">
        <x:v>484293529530961</x:v>
      </x:c>
    </x:row>
    <x:row r="1695">
      <x:c r="A1695" t="str">
        <x:v>RAW-IMP-20260516-FULLDRAFT-001678</x:v>
      </x:c>
      <x:c r="B1695" t="str">
        <x:v>IMP-20260516-FULLDRAFT</x:v>
      </x:c>
      <x:c r="C1695" t="str">
        <x:v>KTO001</x:v>
      </x:c>
      <x:c r="D1695" t="str">
        <x:v>16-05-2026_Umsatzliste_Girokonto_DE98120300001061711675.csv</x:v>
      </x:c>
      <x:c r="E1695" t="n">
        <x:v>46163</x:v>
      </x:c>
      <x:c r="F1695" t="n">
        <x:v>1678</x:v>
      </x:c>
      <x:c r="G1695" t="str">
        <x:v>8b6ab9a436833f85e29cb06cb2df3bbbba19432d647be970f1a03968f2783a1d</x:v>
      </x:c>
      <x:c r="H1695" t="str">
        <x:v>neu</x:v>
      </x:c>
      <x:c r="I1695" t="str">
        <x:v>ok</x:v>
      </x:c>
      <x:c r="J1695"/>
      <x:c r="K1695" t="n">
        <x:v>45586</x:v>
      </x:c>
      <x:c r="L1695" t="n">
        <x:v>45586</x:v>
      </x:c>
      <x:c r="M1695" t="str">
        <x:v>Gebucht</x:v>
      </x:c>
      <x:c r="N1695" t="str">
        <x:v>ISSUER</x:v>
      </x:c>
      <x:c r="O1695" t="str">
        <x:v>REWE.Salzgitter.Ge/Salzgitter</x:v>
      </x:c>
      <x:c r="P1695" t="str">
        <x:v>VISA Debitkartenumsatz vom 19.10.2024</x:v>
      </x:c>
      <x:c r="Q1695" t="str">
        <x:v>Ausgang</x:v>
      </x:c>
      <x:c r="R1695" t="str">
        <x:v>DE96120300009005290904</x:v>
      </x:c>
      <x:c r="S1695" t="n">
        <x:v>-11.47</x:v>
      </x:c>
      <x:c r="T1695" t="str">
        <x:v>"</x:v>
      </x:c>
      <x:c r="U1695" t="str">
        <x:v>"</x:v>
      </x:c>
      <x:c r="V1695" t="str">
        <x:v>484293663772702</x:v>
      </x:c>
    </x:row>
    <x:row r="1696">
      <x:c r="A1696" t="str">
        <x:v>RAW-IMP-20260516-FULLDRAFT-001679</x:v>
      </x:c>
      <x:c r="B1696" t="str">
        <x:v>IMP-20260516-FULLDRAFT</x:v>
      </x:c>
      <x:c r="C1696" t="str">
        <x:v>KTO001</x:v>
      </x:c>
      <x:c r="D1696" t="str">
        <x:v>16-05-2026_Umsatzliste_Girokonto_DE98120300001061711675.csv</x:v>
      </x:c>
      <x:c r="E1696" t="n">
        <x:v>46163</x:v>
      </x:c>
      <x:c r="F1696" t="n">
        <x:v>1679</x:v>
      </x:c>
      <x:c r="G1696" t="str">
        <x:v>8cd2c7aa2667258ec67744be62487fcf7e14030d6e6bf85bc81aff70f1546559</x:v>
      </x:c>
      <x:c r="H1696" t="str">
        <x:v>neu</x:v>
      </x:c>
      <x:c r="I1696" t="str">
        <x:v>ok</x:v>
      </x:c>
      <x:c r="J1696"/>
      <x:c r="K1696" t="n">
        <x:v>45586</x:v>
      </x:c>
      <x:c r="L1696" t="n">
        <x:v>45586</x:v>
      </x:c>
      <x:c r="M1696" t="str">
        <x:v>Gebucht</x:v>
      </x:c>
      <x:c r="N1696" t="str">
        <x:v>ISSUER</x:v>
      </x:c>
      <x:c r="O1696" t="str">
        <x:v>STAR..Duderstadt/Duderstadt</x:v>
      </x:c>
      <x:c r="P1696" t="str">
        <x:v>VISA Debitkartenumsatz vom 18.10.2024</x:v>
      </x:c>
      <x:c r="Q1696" t="str">
        <x:v>Ausgang</x:v>
      </x:c>
      <x:c r="R1696" t="str">
        <x:v>DE96120300009005290904</x:v>
      </x:c>
      <x:c r="S1696" t="n">
        <x:v>-39.64</x:v>
      </x:c>
      <x:c r="T1696" t="str">
        <x:v>"</x:v>
      </x:c>
      <x:c r="U1696" t="str">
        <x:v>"</x:v>
      </x:c>
      <x:c r="V1696" t="str">
        <x:v>484292534688590</x:v>
      </x:c>
    </x:row>
    <x:row r="1697">
      <x:c r="A1697" t="str">
        <x:v>RAW-IMP-20260516-FULLDRAFT-001680</x:v>
      </x:c>
      <x:c r="B1697" t="str">
        <x:v>IMP-20260516-FULLDRAFT</x:v>
      </x:c>
      <x:c r="C1697" t="str">
        <x:v>KTO001</x:v>
      </x:c>
      <x:c r="D1697" t="str">
        <x:v>16-05-2026_Umsatzliste_Girokonto_DE98120300001061711675.csv</x:v>
      </x:c>
      <x:c r="E1697" t="n">
        <x:v>46163</x:v>
      </x:c>
      <x:c r="F1697" t="n">
        <x:v>1680</x:v>
      </x:c>
      <x:c r="G1697" t="str">
        <x:v>92e7fc851c1b450b8571be101e9c47f9406a2c21404645c574b3dfe11eb543d6</x:v>
      </x:c>
      <x:c r="H1697" t="str">
        <x:v>neu</x:v>
      </x:c>
      <x:c r="I1697" t="str">
        <x:v>ok</x:v>
      </x:c>
      <x:c r="J1697"/>
      <x:c r="K1697" t="n">
        <x:v>45586</x:v>
      </x:c>
      <x:c r="L1697" t="n">
        <x:v>45586</x:v>
      </x:c>
      <x:c r="M1697" t="str">
        <x:v>Gebucht</x:v>
      </x:c>
      <x:c r="N1697" t="str">
        <x:v>ISSUER</x:v>
      </x:c>
      <x:c r="O1697" t="str">
        <x:v>REWE.Salzgitter.Ge/Salzgitter</x:v>
      </x:c>
      <x:c r="P1697" t="str">
        <x:v>VISA Debitkartenumsatz vom 18.10.2024</x:v>
      </x:c>
      <x:c r="Q1697" t="str">
        <x:v>Ausgang</x:v>
      </x:c>
      <x:c r="R1697" t="str">
        <x:v>DE96120300009005290904</x:v>
      </x:c>
      <x:c r="S1697" t="n">
        <x:v>-49.8</x:v>
      </x:c>
      <x:c r="T1697" t="str">
        <x:v>"</x:v>
      </x:c>
      <x:c r="U1697" t="str">
        <x:v>"</x:v>
      </x:c>
      <x:c r="V1697" t="str">
        <x:v>484292651662818</x:v>
      </x:c>
    </x:row>
    <x:row r="1698">
      <x:c r="A1698" t="str">
        <x:v>RAW-IMP-20260516-FULLDRAFT-001681</x:v>
      </x:c>
      <x:c r="B1698" t="str">
        <x:v>IMP-20260516-FULLDRAFT</x:v>
      </x:c>
      <x:c r="C1698" t="str">
        <x:v>KTO001</x:v>
      </x:c>
      <x:c r="D1698" t="str">
        <x:v>16-05-2026_Umsatzliste_Girokonto_DE98120300001061711675.csv</x:v>
      </x:c>
      <x:c r="E1698" t="n">
        <x:v>46163</x:v>
      </x:c>
      <x:c r="F1698" t="n">
        <x:v>1681</x:v>
      </x:c>
      <x:c r="G1698" t="str">
        <x:v>0877aaca6e1d618f4e86a6ae22613cd2473dbac005d1968dfe335724902ca92d</x:v>
      </x:c>
      <x:c r="H1698" t="str">
        <x:v>neu</x:v>
      </x:c>
      <x:c r="I1698" t="str">
        <x:v>ok</x:v>
      </x:c>
      <x:c r="J1698"/>
      <x:c r="K1698" t="n">
        <x:v>45583</x:v>
      </x:c>
      <x:c r="L1698" t="n">
        <x:v>45583</x:v>
      </x:c>
      <x:c r="M1698" t="str">
        <x:v>Gebucht</x:v>
      </x:c>
      <x:c r="N1698" t="str">
        <x:v>Lars Kohlenberg</x:v>
      </x:c>
      <x:c r="O1698" t="str">
        <x:v>Stadt Salzgitter</x:v>
      </x:c>
      <x:c r="P1698" t="str">
        <x:v>Ersatz Chipkarte, Jan Niklas Kohlenberg, Gymnasium Salzgitter Bad</x:v>
      </x:c>
      <x:c r="Q1698" t="str">
        <x:v>Ausgang</x:v>
      </x:c>
      <x:c r="R1698" t="str">
        <x:v>DE78250500000003803806</x:v>
      </x:c>
      <x:c r="S1698" t="n">
        <x:v>-20</x:v>
      </x:c>
      <x:c r="T1698" t="str">
        <x:v>"</x:v>
      </x:c>
      <x:c r="U1698" t="str">
        <x:v>"</x:v>
      </x:c>
      <x:c r="V1698" t="str">
        <x:v>"</x:v>
      </x:c>
    </x:row>
    <x:row r="1699">
      <x:c r="A1699" t="str">
        <x:v>RAW-IMP-20260516-FULLDRAFT-001682</x:v>
      </x:c>
      <x:c r="B1699" t="str">
        <x:v>IMP-20260516-FULLDRAFT</x:v>
      </x:c>
      <x:c r="C1699" t="str">
        <x:v>KTO001</x:v>
      </x:c>
      <x:c r="D1699" t="str">
        <x:v>16-05-2026_Umsatzliste_Girokonto_DE98120300001061711675.csv</x:v>
      </x:c>
      <x:c r="E1699" t="n">
        <x:v>46163</x:v>
      </x:c>
      <x:c r="F1699" t="n">
        <x:v>1682</x:v>
      </x:c>
      <x:c r="G1699" t="str">
        <x:v>2d0835368275dfcd65ce08b6653ad4259f395dc2d0026eda7f3861d74868258c</x:v>
      </x:c>
      <x:c r="H1699" t="str">
        <x:v>neu</x:v>
      </x:c>
      <x:c r="I1699" t="str">
        <x:v>ok</x:v>
      </x:c>
      <x:c r="J1699"/>
      <x:c r="K1699" t="n">
        <x:v>45583</x:v>
      </x:c>
      <x:c r="L1699" t="n">
        <x:v>45583</x:v>
      </x:c>
      <x:c r="M1699" t="str">
        <x:v>Gebucht</x:v>
      </x:c>
      <x:c r="N1699" t="str">
        <x:v>ISSUER</x:v>
      </x:c>
      <x:c r="O1699" t="str">
        <x:v>REWE.Salzgitter.Ge/Salzgitter</x:v>
      </x:c>
      <x:c r="P1699" t="str">
        <x:v>VISA Debitkartenumsatz vom 17.10.2024</x:v>
      </x:c>
      <x:c r="Q1699" t="str">
        <x:v>Ausgang</x:v>
      </x:c>
      <x:c r="R1699" t="str">
        <x:v>DE96120300009005290904</x:v>
      </x:c>
      <x:c r="S1699" t="n">
        <x:v>-23.86</x:v>
      </x:c>
      <x:c r="T1699" t="str">
        <x:v>"</x:v>
      </x:c>
      <x:c r="U1699" t="str">
        <x:v>"</x:v>
      </x:c>
      <x:c r="V1699" t="str">
        <x:v>484291600150907</x:v>
      </x:c>
    </x:row>
    <x:row r="1700">
      <x:c r="A1700" t="str">
        <x:v>RAW-IMP-20260516-FULLDRAFT-001683</x:v>
      </x:c>
      <x:c r="B1700" t="str">
        <x:v>IMP-20260516-FULLDRAFT</x:v>
      </x:c>
      <x:c r="C1700" t="str">
        <x:v>KTO001</x:v>
      </x:c>
      <x:c r="D1700" t="str">
        <x:v>16-05-2026_Umsatzliste_Girokonto_DE98120300001061711675.csv</x:v>
      </x:c>
      <x:c r="E1700" t="n">
        <x:v>46163</x:v>
      </x:c>
      <x:c r="F1700" t="n">
        <x:v>1683</x:v>
      </x:c>
      <x:c r="G1700" t="str">
        <x:v>55a8a9e47f8f155fff564e233e698de9c7c555a474e4929e31584d100a7730ca</x:v>
      </x:c>
      <x:c r="H1700" t="str">
        <x:v>neu</x:v>
      </x:c>
      <x:c r="I1700" t="str">
        <x:v>ok</x:v>
      </x:c>
      <x:c r="J1700"/>
      <x:c r="K1700" t="n">
        <x:v>45582</x:v>
      </x:c>
      <x:c r="L1700" t="n">
        <x:v>45582</x:v>
      </x:c>
      <x:c r="M1700" t="str">
        <x:v>Gebucht</x:v>
      </x:c>
      <x:c r="N1700" t="str">
        <x:v>Lars Kohlenberg</x:v>
      </x:c>
      <x:c r="O1700" t="str">
        <x:v>Drillisch Online GmbH                                                 Wilhelm-Rontgen-Strase 1-5, 63477 Maintal</x:v>
      </x:c>
      <x:c r="P1700" t="str">
        <x:v>C0851820 U668045697 B768254934 winSIM</x:v>
      </x:c>
      <x:c r="Q1700" t="str">
        <x:v>Ausgang</x:v>
      </x:c>
      <x:c r="R1700" t="str">
        <x:v>DE87300500000008996811</x:v>
      </x:c>
      <x:c r="S1700" t="n">
        <x:v>-6.99</x:v>
      </x:c>
      <x:c r="T1700" t="str">
        <x:v>DE40ZZZ00000206926</x:v>
      </x:c>
      <x:c r="U1700" t="str">
        <x:v>FB1310D094B04186E02ACE7B8C6</x:v>
      </x:c>
      <x:c r="V1700" t="str">
        <x:v>C0851820+U668045697</x:v>
      </x:c>
    </x:row>
    <x:row r="1701">
      <x:c r="A1701" t="str">
        <x:v>RAW-IMP-20260516-FULLDRAFT-001684</x:v>
      </x:c>
      <x:c r="B1701" t="str">
        <x:v>IMP-20260516-FULLDRAFT</x:v>
      </x:c>
      <x:c r="C1701" t="str">
        <x:v>KTO001</x:v>
      </x:c>
      <x:c r="D1701" t="str">
        <x:v>16-05-2026_Umsatzliste_Girokonto_DE98120300001061711675.csv</x:v>
      </x:c>
      <x:c r="E1701" t="n">
        <x:v>46163</x:v>
      </x:c>
      <x:c r="F1701" t="n">
        <x:v>1684</x:v>
      </x:c>
      <x:c r="G1701" t="str">
        <x:v>29aaf55e382427fa369a3ae6861b677874dd0f37c34f10e2206f83163a75815d</x:v>
      </x:c>
      <x:c r="H1701" t="str">
        <x:v>neu</x:v>
      </x:c>
      <x:c r="I1701" t="str">
        <x:v>ok</x:v>
      </x:c>
      <x:c r="J1701"/>
      <x:c r="K1701" t="n">
        <x:v>45582</x:v>
      </x:c>
      <x:c r="L1701" t="n">
        <x:v>45582</x:v>
      </x:c>
      <x:c r="M1701" t="str">
        <x:v>Gebucht</x:v>
      </x:c>
      <x:c r="N1701" t="str">
        <x:v>Lars Kohlenberg</x:v>
      </x:c>
      <x:c r="O1701" t="str">
        <x:v>Drillisch Online GmbH                                                 Wilhelm-Rontgen-Strase 1-5, 63477 Maintal</x:v>
      </x:c>
      <x:c r="P1701" t="str">
        <x:v>C0851820 U665022979 B768362072 winSIM</x:v>
      </x:c>
      <x:c r="Q1701" t="str">
        <x:v>Ausgang</x:v>
      </x:c>
      <x:c r="R1701" t="str">
        <x:v>DE87300500000008996811</x:v>
      </x:c>
      <x:c r="S1701" t="n">
        <x:v>-6.99</x:v>
      </x:c>
      <x:c r="T1701" t="str">
        <x:v>DE40ZZZ00000206926</x:v>
      </x:c>
      <x:c r="U1701" t="str">
        <x:v>FB1310D094B04186E02ACE7B8C6</x:v>
      </x:c>
      <x:c r="V1701" t="str">
        <x:v>C0851820+U665022979</x:v>
      </x:c>
    </x:row>
    <x:row r="1702">
      <x:c r="A1702" t="str">
        <x:v>RAW-IMP-20260516-FULLDRAFT-001685</x:v>
      </x:c>
      <x:c r="B1702" t="str">
        <x:v>IMP-20260516-FULLDRAFT</x:v>
      </x:c>
      <x:c r="C1702" t="str">
        <x:v>KTO001</x:v>
      </x:c>
      <x:c r="D1702" t="str">
        <x:v>16-05-2026_Umsatzliste_Girokonto_DE98120300001061711675.csv</x:v>
      </x:c>
      <x:c r="E1702" t="n">
        <x:v>46163</x:v>
      </x:c>
      <x:c r="F1702" t="n">
        <x:v>1685</x:v>
      </x:c>
      <x:c r="G1702" t="str">
        <x:v>1ef49c6877b9540ce8133e6c1080c105c1e32ee069fede43b0b81a541fa52705</x:v>
      </x:c>
      <x:c r="H1702" t="str">
        <x:v>neu</x:v>
      </x:c>
      <x:c r="I1702" t="str">
        <x:v>ok</x:v>
      </x:c>
      <x:c r="J1702"/>
      <x:c r="K1702" t="n">
        <x:v>45582</x:v>
      </x:c>
      <x:c r="L1702" t="n">
        <x:v>45582</x:v>
      </x:c>
      <x:c r="M1702" t="str">
        <x:v>Gebucht</x:v>
      </x:c>
      <x:c r="N1702" t="str">
        <x:v>Lars Kohlenberg</x:v>
      </x:c>
      <x:c r="O1702" t="str">
        <x:v>Drillisch Online GmbH                                                 Wilhelm-Rontgen-Strase 1-5, 63477 Maintal</x:v>
      </x:c>
      <x:c r="P1702" t="str">
        <x:v>C0851820 U664321195 B767507276 winSIM</x:v>
      </x:c>
      <x:c r="Q1702" t="str">
        <x:v>Ausgang</x:v>
      </x:c>
      <x:c r="R1702" t="str">
        <x:v>DE87300500000008996811</x:v>
      </x:c>
      <x:c r="S1702" t="n">
        <x:v>-6.99</x:v>
      </x:c>
      <x:c r="T1702" t="str">
        <x:v>DE40ZZZ00000206926</x:v>
      </x:c>
      <x:c r="U1702" t="str">
        <x:v>FB1310D094B04186E02ACE7B8C6</x:v>
      </x:c>
      <x:c r="V1702" t="str">
        <x:v>C0851820+U664321195</x:v>
      </x:c>
    </x:row>
    <x:row r="1703">
      <x:c r="A1703" t="str">
        <x:v>RAW-IMP-20260516-FULLDRAFT-001686</x:v>
      </x:c>
      <x:c r="B1703" t="str">
        <x:v>IMP-20260516-FULLDRAFT</x:v>
      </x:c>
      <x:c r="C1703" t="str">
        <x:v>KTO001</x:v>
      </x:c>
      <x:c r="D1703" t="str">
        <x:v>16-05-2026_Umsatzliste_Girokonto_DE98120300001061711675.csv</x:v>
      </x:c>
      <x:c r="E1703" t="n">
        <x:v>46163</x:v>
      </x:c>
      <x:c r="F1703" t="n">
        <x:v>1686</x:v>
      </x:c>
      <x:c r="G1703" t="str">
        <x:v>8ae06fcc5be4f2dd9714dc579f752438509f74e075b0ec24332615cf7af40739</x:v>
      </x:c>
      <x:c r="H1703" t="str">
        <x:v>neu</x:v>
      </x:c>
      <x:c r="I1703" t="str">
        <x:v>ok</x:v>
      </x:c>
      <x:c r="J1703"/>
      <x:c r="K1703" t="n">
        <x:v>45581</x:v>
      </x:c>
      <x:c r="L1703" t="n">
        <x:v>45581</x:v>
      </x:c>
      <x:c r="M1703" t="str">
        <x:v>Gebucht</x:v>
      </x:c>
      <x:c r="N1703" t="str">
        <x:v>Kohlenberg Lars</x:v>
      </x:c>
      <x:c r="O1703" t="str">
        <x:v>DOMCURA AG</x:v>
      </x:c>
      <x:c r="P1703" t="str">
        <x:v>BCL13248576 VNA24609625-1 KS-04-1650009 10.24-10.25 Wohngebaeude EFH Hinweise zum besseren Datenschutz unter www.domcura.de/datenschutz</x:v>
      </x:c>
      <x:c r="Q1703" t="str">
        <x:v>Ausgang</x:v>
      </x:c>
      <x:c r="R1703" t="str">
        <x:v>DE73210400100712078501</x:v>
      </x:c>
      <x:c r="S1703" t="n">
        <x:v>-799.15</x:v>
      </x:c>
      <x:c r="T1703" t="str">
        <x:v>DE90ZZZ00000008437</x:v>
      </x:c>
      <x:c r="U1703" t="str">
        <x:v>KS-04-1650009-001</x:v>
      </x:c>
      <x:c r="V1703" t="str">
        <x:v>BCL13248576</x:v>
      </x:c>
    </x:row>
    <x:row r="1704">
      <x:c r="A1704" t="str">
        <x:v>RAW-IMP-20260516-FULLDRAFT-001687</x:v>
      </x:c>
      <x:c r="B1704" t="str">
        <x:v>IMP-20260516-FULLDRAFT</x:v>
      </x:c>
      <x:c r="C1704" t="str">
        <x:v>KTO001</x:v>
      </x:c>
      <x:c r="D1704" t="str">
        <x:v>16-05-2026_Umsatzliste_Girokonto_DE98120300001061711675.csv</x:v>
      </x:c>
      <x:c r="E1704" t="n">
        <x:v>46163</x:v>
      </x:c>
      <x:c r="F1704" t="n">
        <x:v>1687</x:v>
      </x:c>
      <x:c r="G1704" t="str">
        <x:v>3296eecc37f030782b332b381d6c9888e6575970c84cab42ffb106badcb593b8</x:v>
      </x:c>
      <x:c r="H1704" t="str">
        <x:v>neu</x:v>
      </x:c>
      <x:c r="I1704" t="str">
        <x:v>ok</x:v>
      </x:c>
      <x:c r="J1704"/>
      <x:c r="K1704" t="n">
        <x:v>45580</x:v>
      </x:c>
      <x:c r="L1704" t="n">
        <x:v>45580</x:v>
      </x:c>
      <x:c r="M1704" t="str">
        <x:v>Gebucht</x:v>
      </x:c>
      <x:c r="N1704" t="str">
        <x:v>ISSUER</x:v>
      </x:c>
      <x:c r="O1704" t="str">
        <x:v>REWE.Salzgitter.Ge/Salzgitter</x:v>
      </x:c>
      <x:c r="P1704" t="str">
        <x:v>VISA Debitkartenumsatz vom 14.10.2024</x:v>
      </x:c>
      <x:c r="Q1704" t="str">
        <x:v>Ausgang</x:v>
      </x:c>
      <x:c r="R1704" t="str">
        <x:v>DE96120300009005290904</x:v>
      </x:c>
      <x:c r="S1704" t="n">
        <x:v>-74.93</x:v>
      </x:c>
      <x:c r="T1704" t="str">
        <x:v>"</x:v>
      </x:c>
      <x:c r="U1704" t="str">
        <x:v>"</x:v>
      </x:c>
      <x:c r="V1704" t="str">
        <x:v>484288610761170</x:v>
      </x:c>
    </x:row>
    <x:row r="1705">
      <x:c r="A1705" t="str">
        <x:v>RAW-IMP-20260516-FULLDRAFT-001688</x:v>
      </x:c>
      <x:c r="B1705" t="str">
        <x:v>IMP-20260516-FULLDRAFT</x:v>
      </x:c>
      <x:c r="C1705" t="str">
        <x:v>KTO001</x:v>
      </x:c>
      <x:c r="D1705" t="str">
        <x:v>16-05-2026_Umsatzliste_Girokonto_DE98120300001061711675.csv</x:v>
      </x:c>
      <x:c r="E1705" t="n">
        <x:v>46163</x:v>
      </x:c>
      <x:c r="F1705" t="n">
        <x:v>1688</x:v>
      </x:c>
      <x:c r="G1705" t="str">
        <x:v>1edfd80fb9c1e585aad216824b294149a8d0d00ea2a9eeb08ce3f8f3ecb27e89</x:v>
      </x:c>
      <x:c r="H1705" t="str">
        <x:v>neu</x:v>
      </x:c>
      <x:c r="I1705" t="str">
        <x:v>ok</x:v>
      </x:c>
      <x:c r="J1705"/>
      <x:c r="K1705" t="n">
        <x:v>45580</x:v>
      </x:c>
      <x:c r="L1705" t="n">
        <x:v>45580</x:v>
      </x:c>
      <x:c r="M1705" t="str">
        <x:v>Gebucht</x:v>
      </x:c>
      <x:c r="N1705" t="str">
        <x:v>ISSUER</x:v>
      </x:c>
      <x:c r="O1705" t="str">
        <x:v>Prime.Video..TQ0G60IJ4/442.011518546</x:v>
      </x:c>
      <x:c r="P1705" t="str">
        <x:v>VISA Debitkartenumsatz vom 14.10.2024</x:v>
      </x:c>
      <x:c r="Q1705" t="str">
        <x:v>Ausgang</x:v>
      </x:c>
      <x:c r="R1705" t="str">
        <x:v>DE96120300009005290904</x:v>
      </x:c>
      <x:c r="S1705" t="n">
        <x:v>-4.99</x:v>
      </x:c>
      <x:c r="T1705" t="str">
        <x:v>"</x:v>
      </x:c>
      <x:c r="U1705" t="str">
        <x:v>"</x:v>
      </x:c>
      <x:c r="V1705" t="str">
        <x:v>484288659746454</x:v>
      </x:c>
    </x:row>
    <x:row r="1706">
      <x:c r="A1706" t="str">
        <x:v>RAW-IMP-20260516-FULLDRAFT-001689</x:v>
      </x:c>
      <x:c r="B1706" t="str">
        <x:v>IMP-20260516-FULLDRAFT</x:v>
      </x:c>
      <x:c r="C1706" t="str">
        <x:v>KTO001</x:v>
      </x:c>
      <x:c r="D1706" t="str">
        <x:v>16-05-2026_Umsatzliste_Girokonto_DE98120300001061711675.csv</x:v>
      </x:c>
      <x:c r="E1706" t="n">
        <x:v>46163</x:v>
      </x:c>
      <x:c r="F1706" t="n">
        <x:v>1689</x:v>
      </x:c>
      <x:c r="G1706" t="str">
        <x:v>76e55cd6ae932944b01de80de5ccaf68e4b82ff704af59ed9a31ff96f685cb04</x:v>
      </x:c>
      <x:c r="H1706" t="str">
        <x:v>neu</x:v>
      </x:c>
      <x:c r="I1706" t="str">
        <x:v>ok</x:v>
      </x:c>
      <x:c r="J1706"/>
      <x:c r="K1706" t="n">
        <x:v>45579</x:v>
      </x:c>
      <x:c r="L1706" t="n">
        <x:v>45579</x:v>
      </x:c>
      <x:c r="M1706" t="str">
        <x:v>Gebucht</x:v>
      </x:c>
      <x:c r="N1706" t="str">
        <x:v>ISSUER</x:v>
      </x:c>
      <x:c r="O1706" t="str">
        <x:v>BOSPORUS.GRILL/SALZGITTER</x:v>
      </x:c>
      <x:c r="P1706" t="str">
        <x:v>VISA Debitkartenumsatz vom 13.10.2024</x:v>
      </x:c>
      <x:c r="Q1706" t="str">
        <x:v>Ausgang</x:v>
      </x:c>
      <x:c r="R1706" t="str">
        <x:v>DE96120300009005290904</x:v>
      </x:c>
      <x:c r="S1706" t="n">
        <x:v>-15.5</x:v>
      </x:c>
      <x:c r="T1706" t="str">
        <x:v>"</x:v>
      </x:c>
      <x:c r="U1706" t="str">
        <x:v>"</x:v>
      </x:c>
      <x:c r="V1706" t="str">
        <x:v>484287602019074</x:v>
      </x:c>
    </x:row>
    <x:row r="1707">
      <x:c r="A1707" t="str">
        <x:v>RAW-IMP-20260516-FULLDRAFT-001690</x:v>
      </x:c>
      <x:c r="B1707" t="str">
        <x:v>IMP-20260516-FULLDRAFT</x:v>
      </x:c>
      <x:c r="C1707" t="str">
        <x:v>KTO001</x:v>
      </x:c>
      <x:c r="D1707" t="str">
        <x:v>16-05-2026_Umsatzliste_Girokonto_DE98120300001061711675.csv</x:v>
      </x:c>
      <x:c r="E1707" t="n">
        <x:v>46163</x:v>
      </x:c>
      <x:c r="F1707" t="n">
        <x:v>1690</x:v>
      </x:c>
      <x:c r="G1707" t="str">
        <x:v>25fe99babd1f614083bbfc4e551eef52286f524c0e220f887ce9abd19a075bc8</x:v>
      </x:c>
      <x:c r="H1707" t="str">
        <x:v>neu</x:v>
      </x:c>
      <x:c r="I1707" t="str">
        <x:v>ok</x:v>
      </x:c>
      <x:c r="J1707"/>
      <x:c r="K1707" t="n">
        <x:v>45579</x:v>
      </x:c>
      <x:c r="L1707" t="n">
        <x:v>45579</x:v>
      </x:c>
      <x:c r="M1707" t="str">
        <x:v>Gebucht</x:v>
      </x:c>
      <x:c r="N1707" t="str">
        <x:v>ISSUER</x:v>
      </x:c>
      <x:c r="O1707" t="str">
        <x:v>POLLUX.GRUNDSTUECKSG.M/KOELN</x:v>
      </x:c>
      <x:c r="P1707" t="str">
        <x:v>VISA Debitkartenumsatz vom 12.10.2024</x:v>
      </x:c>
      <x:c r="Q1707" t="str">
        <x:v>Ausgang</x:v>
      </x:c>
      <x:c r="R1707" t="str">
        <x:v>DE96120300009005290904</x:v>
      </x:c>
      <x:c r="S1707" t="n">
        <x:v>-7</x:v>
      </x:c>
      <x:c r="T1707" t="str">
        <x:v>"</x:v>
      </x:c>
      <x:c r="U1707" t="str">
        <x:v>"</x:v>
      </x:c>
      <x:c r="V1707" t="str">
        <x:v>484286575075946</x:v>
      </x:c>
    </x:row>
    <x:row r="1708">
      <x:c r="A1708" t="str">
        <x:v>RAW-IMP-20260516-FULLDRAFT-001691</x:v>
      </x:c>
      <x:c r="B1708" t="str">
        <x:v>IMP-20260516-FULLDRAFT</x:v>
      </x:c>
      <x:c r="C1708" t="str">
        <x:v>KTO001</x:v>
      </x:c>
      <x:c r="D1708" t="str">
        <x:v>16-05-2026_Umsatzliste_Girokonto_DE98120300001061711675.csv</x:v>
      </x:c>
      <x:c r="E1708" t="n">
        <x:v>46163</x:v>
      </x:c>
      <x:c r="F1708" t="n">
        <x:v>1691</x:v>
      </x:c>
      <x:c r="G1708" t="str">
        <x:v>920639f224009e91f7eec8c1db9cda9e6e56451e866196211c0a17f538c0587b</x:v>
      </x:c>
      <x:c r="H1708" t="str">
        <x:v>neu</x:v>
      </x:c>
      <x:c r="I1708" t="str">
        <x:v>ok</x:v>
      </x:c>
      <x:c r="J1708"/>
      <x:c r="K1708" t="n">
        <x:v>45579</x:v>
      </x:c>
      <x:c r="L1708" t="n">
        <x:v>45579</x:v>
      </x:c>
      <x:c r="M1708" t="str">
        <x:v>Gebucht</x:v>
      </x:c>
      <x:c r="N1708" t="str">
        <x:v>ISSUER</x:v>
      </x:c>
      <x:c r="O1708" t="str">
        <x:v>Sehusa.Wasserwelt/Seesen</x:v>
      </x:c>
      <x:c r="P1708" t="str">
        <x:v>VISA Debitkartenumsatz vom 13.10.2024</x:v>
      </x:c>
      <x:c r="Q1708" t="str">
        <x:v>Ausgang</x:v>
      </x:c>
      <x:c r="R1708" t="str">
        <x:v>DE96120300009005290904</x:v>
      </x:c>
      <x:c r="S1708" t="n">
        <x:v>-25.8</x:v>
      </x:c>
      <x:c r="T1708" t="str">
        <x:v>"</x:v>
      </x:c>
      <x:c r="U1708" t="str">
        <x:v>"</x:v>
      </x:c>
      <x:c r="V1708" t="str">
        <x:v>484287579338640</x:v>
      </x:c>
    </x:row>
    <x:row r="1709">
      <x:c r="A1709" t="str">
        <x:v>RAW-IMP-20260516-FULLDRAFT-001692</x:v>
      </x:c>
      <x:c r="B1709" t="str">
        <x:v>IMP-20260516-FULLDRAFT</x:v>
      </x:c>
      <x:c r="C1709" t="str">
        <x:v>KTO001</x:v>
      </x:c>
      <x:c r="D1709" t="str">
        <x:v>16-05-2026_Umsatzliste_Girokonto_DE98120300001061711675.csv</x:v>
      </x:c>
      <x:c r="E1709" t="n">
        <x:v>46163</x:v>
      </x:c>
      <x:c r="F1709" t="n">
        <x:v>1692</x:v>
      </x:c>
      <x:c r="G1709" t="str">
        <x:v>80cc37b6ff763a807ad1a0aab48d5212399dc7c2480feb50d2e3803d88c77730</x:v>
      </x:c>
      <x:c r="H1709" t="str">
        <x:v>neu</x:v>
      </x:c>
      <x:c r="I1709" t="str">
        <x:v>ok</x:v>
      </x:c>
      <x:c r="J1709"/>
      <x:c r="K1709" t="n">
        <x:v>45579</x:v>
      </x:c>
      <x:c r="L1709" t="n">
        <x:v>45579</x:v>
      </x:c>
      <x:c r="M1709" t="str">
        <x:v>Gebucht</x:v>
      </x:c>
      <x:c r="N1709" t="str">
        <x:v>ISSUER</x:v>
      </x:c>
      <x:c r="O1709" t="str">
        <x:v>DM.Drogerie.Markt/Braunschweig</x:v>
      </x:c>
      <x:c r="P1709" t="str">
        <x:v>VISA Debitkartenumsatz vom 12.10.2024</x:v>
      </x:c>
      <x:c r="Q1709" t="str">
        <x:v>Ausgang</x:v>
      </x:c>
      <x:c r="R1709" t="str">
        <x:v>DE96120300009005290904</x:v>
      </x:c>
      <x:c r="S1709" t="n">
        <x:v>-38.9</x:v>
      </x:c>
      <x:c r="T1709" t="str">
        <x:v>"</x:v>
      </x:c>
      <x:c r="U1709" t="str">
        <x:v>"</x:v>
      </x:c>
      <x:c r="V1709" t="str">
        <x:v>484286535248363</x:v>
      </x:c>
    </x:row>
    <x:row r="1710">
      <x:c r="A1710" t="str">
        <x:v>RAW-IMP-20260516-FULLDRAFT-001693</x:v>
      </x:c>
      <x:c r="B1710" t="str">
        <x:v>IMP-20260516-FULLDRAFT</x:v>
      </x:c>
      <x:c r="C1710" t="str">
        <x:v>KTO001</x:v>
      </x:c>
      <x:c r="D1710" t="str">
        <x:v>16-05-2026_Umsatzliste_Girokonto_DE98120300001061711675.csv</x:v>
      </x:c>
      <x:c r="E1710" t="n">
        <x:v>46163</x:v>
      </x:c>
      <x:c r="F1710" t="n">
        <x:v>1693</x:v>
      </x:c>
      <x:c r="G1710" t="str">
        <x:v>a1785b43f92f06fe0c35b2ba055f1e3c8195e432768dbde78c1c3d30782bb84e</x:v>
      </x:c>
      <x:c r="H1710" t="str">
        <x:v>neu</x:v>
      </x:c>
      <x:c r="I1710" t="str">
        <x:v>ok</x:v>
      </x:c>
      <x:c r="J1710"/>
      <x:c r="K1710" t="n">
        <x:v>45579</x:v>
      </x:c>
      <x:c r="L1710" t="n">
        <x:v>45579</x:v>
      </x:c>
      <x:c r="M1710" t="str">
        <x:v>Gebucht</x:v>
      </x:c>
      <x:c r="N1710" t="str">
        <x:v>ISSUER</x:v>
      </x:c>
      <x:c r="O1710" t="str">
        <x:v>SHELL.0763/BURGDORF</x:v>
      </x:c>
      <x:c r="P1710" t="str">
        <x:v>VISA Debitkartenumsatz vom 12.10.2024</x:v>
      </x:c>
      <x:c r="Q1710" t="str">
        <x:v>Ausgang</x:v>
      </x:c>
      <x:c r="R1710" t="str">
        <x:v>DE96120300009005290904</x:v>
      </x:c>
      <x:c r="S1710" t="n">
        <x:v>-60.95</x:v>
      </x:c>
      <x:c r="T1710" t="str">
        <x:v>"</x:v>
      </x:c>
      <x:c r="U1710" t="str">
        <x:v>"</x:v>
      </x:c>
      <x:c r="V1710" t="str">
        <x:v>484286418850681</x:v>
      </x:c>
    </x:row>
    <x:row r="1711">
      <x:c r="A1711" t="str">
        <x:v>RAW-IMP-20260516-FULLDRAFT-001694</x:v>
      </x:c>
      <x:c r="B1711" t="str">
        <x:v>IMP-20260516-FULLDRAFT</x:v>
      </x:c>
      <x:c r="C1711" t="str">
        <x:v>KTO001</x:v>
      </x:c>
      <x:c r="D1711" t="str">
        <x:v>16-05-2026_Umsatzliste_Girokonto_DE98120300001061711675.csv</x:v>
      </x:c>
      <x:c r="E1711" t="n">
        <x:v>46163</x:v>
      </x:c>
      <x:c r="F1711" t="n">
        <x:v>1694</x:v>
      </x:c>
      <x:c r="G1711" t="str">
        <x:v>95ecc10b0bac104fe865eac1f6f79dce96cf1311541577a5b8b69271047563b6</x:v>
      </x:c>
      <x:c r="H1711" t="str">
        <x:v>neu</x:v>
      </x:c>
      <x:c r="I1711" t="str">
        <x:v>ok</x:v>
      </x:c>
      <x:c r="J1711"/>
      <x:c r="K1711" t="n">
        <x:v>45579</x:v>
      </x:c>
      <x:c r="L1711" t="n">
        <x:v>45579</x:v>
      </x:c>
      <x:c r="M1711" t="str">
        <x:v>Gebucht</x:v>
      </x:c>
      <x:c r="N1711" t="str">
        <x:v>ISSUER</x:v>
      </x:c>
      <x:c r="O1711" t="str">
        <x:v>DB.Vertrieb.GmbH/Berlin</x:v>
      </x:c>
      <x:c r="P1711" t="str">
        <x:v>VISA Debitkartenumsatz vom 12.10.2024</x:v>
      </x:c>
      <x:c r="Q1711" t="str">
        <x:v>Ausgang</x:v>
      </x:c>
      <x:c r="R1711" t="str">
        <x:v>DE96120300009005290904</x:v>
      </x:c>
      <x:c r="S1711" t="n">
        <x:v>-43.9</x:v>
      </x:c>
      <x:c r="T1711" t="str">
        <x:v>"</x:v>
      </x:c>
      <x:c r="U1711" t="str">
        <x:v>"</x:v>
      </x:c>
      <x:c r="V1711" t="str">
        <x:v>484286346211324</x:v>
      </x:c>
    </x:row>
    <x:row r="1712">
      <x:c r="A1712" t="str">
        <x:v>RAW-IMP-20260516-FULLDRAFT-001695</x:v>
      </x:c>
      <x:c r="B1712" t="str">
        <x:v>IMP-20260516-FULLDRAFT</x:v>
      </x:c>
      <x:c r="C1712" t="str">
        <x:v>KTO001</x:v>
      </x:c>
      <x:c r="D1712" t="str">
        <x:v>16-05-2026_Umsatzliste_Girokonto_DE98120300001061711675.csv</x:v>
      </x:c>
      <x:c r="E1712" t="n">
        <x:v>46163</x:v>
      </x:c>
      <x:c r="F1712" t="n">
        <x:v>1695</x:v>
      </x:c>
      <x:c r="G1712" t="str">
        <x:v>e2e88932550e3b448492bc7f9f3a5dc57e1a77fd0ae38b93988b44ea53eed9cd</x:v>
      </x:c>
      <x:c r="H1712" t="str">
        <x:v>neu</x:v>
      </x:c>
      <x:c r="I1712" t="str">
        <x:v>ok</x:v>
      </x:c>
      <x:c r="J1712"/>
      <x:c r="K1712" t="n">
        <x:v>45579</x:v>
      </x:c>
      <x:c r="L1712" t="n">
        <x:v>45579</x:v>
      </x:c>
      <x:c r="M1712" t="str">
        <x:v>Gebucht</x:v>
      </x:c>
      <x:c r="N1712" t="str">
        <x:v>ISSUER</x:v>
      </x:c>
      <x:c r="O1712" t="str">
        <x:v>Sehusa.Wasserwelt/Seesen</x:v>
      </x:c>
      <x:c r="P1712" t="str">
        <x:v>VISA Debitkartenumsatz vom 13.10.2024</x:v>
      </x:c>
      <x:c r="Q1712" t="str">
        <x:v>Ausgang</x:v>
      </x:c>
      <x:c r="R1712" t="str">
        <x:v>DE96120300009005290904</x:v>
      </x:c>
      <x:c r="S1712" t="n">
        <x:v>-36</x:v>
      </x:c>
      <x:c r="T1712" t="str">
        <x:v>"</x:v>
      </x:c>
      <x:c r="U1712" t="str">
        <x:v>"</x:v>
      </x:c>
      <x:c r="V1712" t="str">
        <x:v>484287317145873</x:v>
      </x:c>
    </x:row>
    <x:row r="1713">
      <x:c r="A1713" t="str">
        <x:v>RAW-IMP-20260516-FULLDRAFT-001696</x:v>
      </x:c>
      <x:c r="B1713" t="str">
        <x:v>IMP-20260516-FULLDRAFT</x:v>
      </x:c>
      <x:c r="C1713" t="str">
        <x:v>KTO001</x:v>
      </x:c>
      <x:c r="D1713" t="str">
        <x:v>16-05-2026_Umsatzliste_Girokonto_DE98120300001061711675.csv</x:v>
      </x:c>
      <x:c r="E1713" t="n">
        <x:v>46163</x:v>
      </x:c>
      <x:c r="F1713" t="n">
        <x:v>1696</x:v>
      </x:c>
      <x:c r="G1713" t="str">
        <x:v>343f76567f617a0d8480c5878ed7cdb5145e63bcd51bebce71745d00b9bf07ac</x:v>
      </x:c>
      <x:c r="H1713" t="str">
        <x:v>neu</x:v>
      </x:c>
      <x:c r="I1713" t="str">
        <x:v>ok</x:v>
      </x:c>
      <x:c r="J1713"/>
      <x:c r="K1713" t="n">
        <x:v>45579</x:v>
      </x:c>
      <x:c r="L1713" t="n">
        <x:v>45579</x:v>
      </x:c>
      <x:c r="M1713" t="str">
        <x:v>Gebucht</x:v>
      </x:c>
      <x:c r="N1713" t="str">
        <x:v>ISSUER</x:v>
      </x:c>
      <x:c r="O1713" t="str">
        <x:v>BARRIQUE.BRAUNSCHWEIG/BRAUNSCHWEIG</x:v>
      </x:c>
      <x:c r="P1713" t="str">
        <x:v>VISA Debitkartenumsatz vom 12.10.2024</x:v>
      </x:c>
      <x:c r="Q1713" t="str">
        <x:v>Ausgang</x:v>
      </x:c>
      <x:c r="R1713" t="str">
        <x:v>DE96120300009005290904</x:v>
      </x:c>
      <x:c r="S1713" t="n">
        <x:v>-12.7</x:v>
      </x:c>
      <x:c r="T1713" t="str">
        <x:v>"</x:v>
      </x:c>
      <x:c r="U1713" t="str">
        <x:v>"</x:v>
      </x:c>
      <x:c r="V1713" t="str">
        <x:v>484286570136598</x:v>
      </x:c>
    </x:row>
    <x:row r="1714">
      <x:c r="A1714" t="str">
        <x:v>RAW-IMP-20260516-FULLDRAFT-001697</x:v>
      </x:c>
      <x:c r="B1714" t="str">
        <x:v>IMP-20260516-FULLDRAFT</x:v>
      </x:c>
      <x:c r="C1714" t="str">
        <x:v>KTO001</x:v>
      </x:c>
      <x:c r="D1714" t="str">
        <x:v>16-05-2026_Umsatzliste_Girokonto_DE98120300001061711675.csv</x:v>
      </x:c>
      <x:c r="E1714" t="n">
        <x:v>46163</x:v>
      </x:c>
      <x:c r="F1714" t="n">
        <x:v>1697</x:v>
      </x:c>
      <x:c r="G1714" t="str">
        <x:v>9fede7408a99c681cfa8613ccb136c2b9f3ad1ce4a892cc23875c50091849c2e</x:v>
      </x:c>
      <x:c r="H1714" t="str">
        <x:v>neu</x:v>
      </x:c>
      <x:c r="I1714" t="str">
        <x:v>ok</x:v>
      </x:c>
      <x:c r="J1714"/>
      <x:c r="K1714" t="n">
        <x:v>45579</x:v>
      </x:c>
      <x:c r="L1714" t="n">
        <x:v>45579</x:v>
      </x:c>
      <x:c r="M1714" t="str">
        <x:v>Gebucht</x:v>
      </x:c>
      <x:c r="N1714" t="str">
        <x:v>ISSUER</x:v>
      </x:c>
      <x:c r="O1714" t="str">
        <x:v>ZUCKER.RESTAURANT/BRAUNSCHWEIG</x:v>
      </x:c>
      <x:c r="P1714" t="str">
        <x:v>VISA Debitkartenumsatz vom 12.10.2024</x:v>
      </x:c>
      <x:c r="Q1714" t="str">
        <x:v>Ausgang</x:v>
      </x:c>
      <x:c r="R1714" t="str">
        <x:v>DE96120300009005290904</x:v>
      </x:c>
      <x:c r="S1714" t="n">
        <x:v>-205</x:v>
      </x:c>
      <x:c r="T1714" t="str">
        <x:v>"</x:v>
      </x:c>
      <x:c r="U1714" t="str">
        <x:v>"</x:v>
      </x:c>
      <x:c r="V1714" t="str">
        <x:v>484286667563253</x:v>
      </x:c>
    </x:row>
    <x:row r="1715">
      <x:c r="A1715" t="str">
        <x:v>RAW-IMP-20260516-FULLDRAFT-001698</x:v>
      </x:c>
      <x:c r="B1715" t="str">
        <x:v>IMP-20260516-FULLDRAFT</x:v>
      </x:c>
      <x:c r="C1715" t="str">
        <x:v>KTO001</x:v>
      </x:c>
      <x:c r="D1715" t="str">
        <x:v>16-05-2026_Umsatzliste_Girokonto_DE98120300001061711675.csv</x:v>
      </x:c>
      <x:c r="E1715" t="n">
        <x:v>46163</x:v>
      </x:c>
      <x:c r="F1715" t="n">
        <x:v>1698</x:v>
      </x:c>
      <x:c r="G1715" t="str">
        <x:v>cfe27b6eaebff7bb5a901390765a15c989860caaca5350fff0e5ae7ce53adac0</x:v>
      </x:c>
      <x:c r="H1715" t="str">
        <x:v>neu</x:v>
      </x:c>
      <x:c r="I1715" t="str">
        <x:v>ok</x:v>
      </x:c>
      <x:c r="J1715"/>
      <x:c r="K1715" t="n">
        <x:v>45579</x:v>
      </x:c>
      <x:c r="L1715" t="n">
        <x:v>45579</x:v>
      </x:c>
      <x:c r="M1715" t="str">
        <x:v>Gebucht</x:v>
      </x:c>
      <x:c r="N1715" t="str">
        <x:v>ISSUER</x:v>
      </x:c>
      <x:c r="O1715" t="str">
        <x:v>EDEKA.POTRATZ/HILDESHEIM</x:v>
      </x:c>
      <x:c r="P1715" t="str">
        <x:v>VISA Debitkartenumsatz vom 11.10.2024</x:v>
      </x:c>
      <x:c r="Q1715" t="str">
        <x:v>Ausgang</x:v>
      </x:c>
      <x:c r="R1715" t="str">
        <x:v>DE96120300009005290904</x:v>
      </x:c>
      <x:c r="S1715" t="n">
        <x:v>-7.06</x:v>
      </x:c>
      <x:c r="T1715" t="str">
        <x:v>"</x:v>
      </x:c>
      <x:c r="U1715" t="str">
        <x:v>"</x:v>
      </x:c>
      <x:c r="V1715" t="str">
        <x:v>484285401396112</x:v>
      </x:c>
    </x:row>
    <x:row r="1716">
      <x:c r="A1716" t="str">
        <x:v>RAW-IMP-20260516-FULLDRAFT-001699</x:v>
      </x:c>
      <x:c r="B1716" t="str">
        <x:v>IMP-20260516-FULLDRAFT</x:v>
      </x:c>
      <x:c r="C1716" t="str">
        <x:v>KTO001</x:v>
      </x:c>
      <x:c r="D1716" t="str">
        <x:v>16-05-2026_Umsatzliste_Girokonto_DE98120300001061711675.csv</x:v>
      </x:c>
      <x:c r="E1716" t="n">
        <x:v>46163</x:v>
      </x:c>
      <x:c r="F1716" t="n">
        <x:v>1699</x:v>
      </x:c>
      <x:c r="G1716" t="str">
        <x:v>a13ffe634cfeb03a74f8f06bfa2fecd18484e44d5ca8dd01bf51d95f067db6d8</x:v>
      </x:c>
      <x:c r="H1716" t="str">
        <x:v>neu</x:v>
      </x:c>
      <x:c r="I1716" t="str">
        <x:v>ok</x:v>
      </x:c>
      <x:c r="J1716"/>
      <x:c r="K1716" t="n">
        <x:v>45576</x:v>
      </x:c>
      <x:c r="L1716" t="n">
        <x:v>45576</x:v>
      </x:c>
      <x:c r="M1716" t="str">
        <x:v>Gebucht</x:v>
      </x:c>
      <x:c r="N1716" t="str">
        <x:v>ISSUER</x:v>
      </x:c>
      <x:c r="O1716" t="str">
        <x:v>Amazon.de.TQ5AP8JV4/AMAZON.DE</x:v>
      </x:c>
      <x:c r="P1716" t="str">
        <x:v>VISA Debitkartenumsatz vom 10.10.2024</x:v>
      </x:c>
      <x:c r="Q1716" t="str">
        <x:v>Ausgang</x:v>
      </x:c>
      <x:c r="R1716" t="str">
        <x:v>DE96120300009005290904</x:v>
      </x:c>
      <x:c r="S1716" t="n">
        <x:v>-199.99</x:v>
      </x:c>
      <x:c r="T1716" t="str">
        <x:v>"</x:v>
      </x:c>
      <x:c r="U1716" t="str">
        <x:v>"</x:v>
      </x:c>
      <x:c r="V1716" t="str">
        <x:v>484283662819080</x:v>
      </x:c>
    </x:row>
    <x:row r="1717">
      <x:c r="A1717" t="str">
        <x:v>RAW-IMP-20260516-FULLDRAFT-001700</x:v>
      </x:c>
      <x:c r="B1717" t="str">
        <x:v>IMP-20260516-FULLDRAFT</x:v>
      </x:c>
      <x:c r="C1717" t="str">
        <x:v>KTO001</x:v>
      </x:c>
      <x:c r="D1717" t="str">
        <x:v>16-05-2026_Umsatzliste_Girokonto_DE98120300001061711675.csv</x:v>
      </x:c>
      <x:c r="E1717" t="n">
        <x:v>46163</x:v>
      </x:c>
      <x:c r="F1717" t="n">
        <x:v>1700</x:v>
      </x:c>
      <x:c r="G1717" t="str">
        <x:v>6784bec8827ed2b5df7ac02da3a873f14b89dccc8eca113bb1f2ac2c9e65f1cb</x:v>
      </x:c>
      <x:c r="H1717" t="str">
        <x:v>neu</x:v>
      </x:c>
      <x:c r="I1717" t="str">
        <x:v>ok</x:v>
      </x:c>
      <x:c r="J1717"/>
      <x:c r="K1717" t="n">
        <x:v>45575</x:v>
      </x:c>
      <x:c r="L1717" t="n">
        <x:v>45575</x:v>
      </x:c>
      <x:c r="M1717" t="str">
        <x:v>Gebucht</x:v>
      </x:c>
      <x:c r="N1717" t="str">
        <x:v>ISSUER</x:v>
      </x:c>
      <x:c r="O1717" t="str">
        <x:v>PAYPAL..DHL.OL/4029357733</x:v>
      </x:c>
      <x:c r="P1717" t="str">
        <x:v>VISA Debitkartenumsatz vom 09.10.2024</x:v>
      </x:c>
      <x:c r="Q1717" t="str">
        <x:v>Ausgang</x:v>
      </x:c>
      <x:c r="R1717" t="str">
        <x:v>DE96120300009005290904</x:v>
      </x:c>
      <x:c r="S1717" t="n">
        <x:v>-6.99</x:v>
      </x:c>
      <x:c r="T1717" t="str">
        <x:v>"</x:v>
      </x:c>
      <x:c r="U1717" t="str">
        <x:v>"</x:v>
      </x:c>
      <x:c r="V1717" t="str">
        <x:v>464283668782991</x:v>
      </x:c>
    </x:row>
    <x:row r="1718">
      <x:c r="A1718" t="str">
        <x:v>RAW-IMP-20260516-FULLDRAFT-001701</x:v>
      </x:c>
      <x:c r="B1718" t="str">
        <x:v>IMP-20260516-FULLDRAFT</x:v>
      </x:c>
      <x:c r="C1718" t="str">
        <x:v>KTO001</x:v>
      </x:c>
      <x:c r="D1718" t="str">
        <x:v>16-05-2026_Umsatzliste_Girokonto_DE98120300001061711675.csv</x:v>
      </x:c>
      <x:c r="E1718" t="n">
        <x:v>46163</x:v>
      </x:c>
      <x:c r="F1718" t="n">
        <x:v>1701</x:v>
      </x:c>
      <x:c r="G1718" t="str">
        <x:v>aabe2f2f4f610dc96bfdbba216278772b4b5e49f2936f1171d742bfbf7d9a2c6</x:v>
      </x:c>
      <x:c r="H1718" t="str">
        <x:v>neu</x:v>
      </x:c>
      <x:c r="I1718" t="str">
        <x:v>ok</x:v>
      </x:c>
      <x:c r="J1718"/>
      <x:c r="K1718" t="n">
        <x:v>45575</x:v>
      </x:c>
      <x:c r="L1718" t="n">
        <x:v>45575</x:v>
      </x:c>
      <x:c r="M1718" t="str">
        <x:v>Gebucht</x:v>
      </x:c>
      <x:c r="N1718" t="str">
        <x:v>Lars Kohlenberg                                                       Johannes-Wosnitza-Str. 8 38229 Salzgitter</x:v>
      </x:c>
      <x:c r="O1718" t="str">
        <x:v>1+1 Mail + Media GmbH                                                 Elgendorfer Str. 57, 56410 Montabaur</x:v>
      </x:c>
      <x:c r="P1718" t="str">
        <x:v>GMX / WEB.DE / KD-Nr. K7440512/ RG-Nr. 201538774010</x:v>
      </x:c>
      <x:c r="Q1718" t="str">
        <x:v>Ausgang</x:v>
      </x:c>
      <x:c r="R1718" t="str">
        <x:v>DE76700800000881679702</x:v>
      </x:c>
      <x:c r="S1718" t="n">
        <x:v>-5.99</x:v>
      </x:c>
      <x:c r="T1718" t="str">
        <x:v>DE07ZZZ00000569718</x:v>
      </x:c>
      <x:c r="U1718" t="str">
        <x:v>0090001393062</x:v>
      </x:c>
      <x:c r="V1718" t="str">
        <x:v>005923772484</x:v>
      </x:c>
    </x:row>
    <x:row r="1719">
      <x:c r="A1719" t="str">
        <x:v>RAW-IMP-20260516-FULLDRAFT-001702</x:v>
      </x:c>
      <x:c r="B1719" t="str">
        <x:v>IMP-20260516-FULLDRAFT</x:v>
      </x:c>
      <x:c r="C1719" t="str">
        <x:v>KTO001</x:v>
      </x:c>
      <x:c r="D1719" t="str">
        <x:v>16-05-2026_Umsatzliste_Girokonto_DE98120300001061711675.csv</x:v>
      </x:c>
      <x:c r="E1719" t="n">
        <x:v>46163</x:v>
      </x:c>
      <x:c r="F1719" t="n">
        <x:v>1702</x:v>
      </x:c>
      <x:c r="G1719" t="str">
        <x:v>cfde1f3d956045bc53678e3852f3bf8bf4492fe768c8e8800b433594ee21f8bb</x:v>
      </x:c>
      <x:c r="H1719" t="str">
        <x:v>neu</x:v>
      </x:c>
      <x:c r="I1719" t="str">
        <x:v>ok</x:v>
      </x:c>
      <x:c r="J1719"/>
      <x:c r="K1719" t="n">
        <x:v>45573</x:v>
      </x:c>
      <x:c r="L1719" t="n">
        <x:v>45573</x:v>
      </x:c>
      <x:c r="M1719" t="str">
        <x:v>Gebucht</x:v>
      </x:c>
      <x:c r="N1719" t="str">
        <x:v>ISSUER</x:v>
      </x:c>
      <x:c r="O1719" t="str">
        <x:v>TAS.LEBENSTEDT/SALZGITTER</x:v>
      </x:c>
      <x:c r="P1719" t="str">
        <x:v>VISA Debitkartenumsatz vom 07.10.2024</x:v>
      </x:c>
      <x:c r="Q1719" t="str">
        <x:v>Ausgang</x:v>
      </x:c>
      <x:c r="R1719" t="str">
        <x:v>DE96120300009005290904</x:v>
      </x:c>
      <x:c r="S1719" t="n">
        <x:v>-77.78</x:v>
      </x:c>
      <x:c r="T1719" t="str">
        <x:v>"</x:v>
      </x:c>
      <x:c r="U1719" t="str">
        <x:v>"</x:v>
      </x:c>
      <x:c r="V1719" t="str">
        <x:v>484281572040190</x:v>
      </x:c>
    </x:row>
    <x:row r="1720">
      <x:c r="A1720" t="str">
        <x:v>RAW-IMP-20260516-FULLDRAFT-001703</x:v>
      </x:c>
      <x:c r="B1720" t="str">
        <x:v>IMP-20260516-FULLDRAFT</x:v>
      </x:c>
      <x:c r="C1720" t="str">
        <x:v>KTO001</x:v>
      </x:c>
      <x:c r="D1720" t="str">
        <x:v>16-05-2026_Umsatzliste_Girokonto_DE98120300001061711675.csv</x:v>
      </x:c>
      <x:c r="E1720" t="n">
        <x:v>46163</x:v>
      </x:c>
      <x:c r="F1720" t="n">
        <x:v>1703</x:v>
      </x:c>
      <x:c r="G1720" t="str">
        <x:v>c3225347803b3877517b8814e0b1fcc6f2c71f0d0cd14e07dbd99e1e05885dc0</x:v>
      </x:c>
      <x:c r="H1720" t="str">
        <x:v>neu</x:v>
      </x:c>
      <x:c r="I1720" t="str">
        <x:v>ok</x:v>
      </x:c>
      <x:c r="J1720"/>
      <x:c r="K1720" t="n">
        <x:v>45573</x:v>
      </x:c>
      <x:c r="L1720" t="n">
        <x:v>45573</x:v>
      </x:c>
      <x:c r="M1720" t="str">
        <x:v>Gebucht</x:v>
      </x:c>
      <x:c r="N1720" t="str">
        <x:v>Lars Kohlenberg                                                       JohannesWosnitzaStr.</x:v>
      </x:c>
      <x:c r="O1720" t="str">
        <x:v>Adyen N.V.</x:v>
      </x:c>
      <x:c r="P1720" t="str">
        <x:v>GMX by LOTTO24 C98983063 T994053688360</x:v>
      </x:c>
      <x:c r="Q1720" t="str">
        <x:v>Ausgang</x:v>
      </x:c>
      <x:c r="R1720" t="str">
        <x:v>DE11120700700020000603</x:v>
      </x:c>
      <x:c r="S1720" t="n">
        <x:v>-18.14</x:v>
      </x:c>
      <x:c r="T1720" t="str">
        <x:v>NL48ZZZ342764500000</x:v>
      </x:c>
      <x:c r="U1720" t="str">
        <x:v>R372DKN5SSBXZP52</x:v>
      </x:c>
      <x:c r="V1720" t="str">
        <x:v>CCBMD8QD69PC6LFG6C</x:v>
      </x:c>
    </x:row>
    <x:row r="1721">
      <x:c r="A1721" t="str">
        <x:v>RAW-IMP-20260516-FULLDRAFT-001704</x:v>
      </x:c>
      <x:c r="B1721" t="str">
        <x:v>IMP-20260516-FULLDRAFT</x:v>
      </x:c>
      <x:c r="C1721" t="str">
        <x:v>KTO001</x:v>
      </x:c>
      <x:c r="D1721" t="str">
        <x:v>16-05-2026_Umsatzliste_Girokonto_DE98120300001061711675.csv</x:v>
      </x:c>
      <x:c r="E1721" t="n">
        <x:v>46163</x:v>
      </x:c>
      <x:c r="F1721" t="n">
        <x:v>1704</x:v>
      </x:c>
      <x:c r="G1721" t="str">
        <x:v>e6f23a2c1248b625d9ff4fbac2840c0c0470e3df6f266ab28e026b6c76b779f1</x:v>
      </x:c>
      <x:c r="H1721" t="str">
        <x:v>neu</x:v>
      </x:c>
      <x:c r="I1721" t="str">
        <x:v>ok</x:v>
      </x:c>
      <x:c r="J1721"/>
      <x:c r="K1721" t="n">
        <x:v>45572</x:v>
      </x:c>
      <x:c r="L1721" t="n">
        <x:v>45572</x:v>
      </x:c>
      <x:c r="M1721" t="str">
        <x:v>Gebucht</x:v>
      </x:c>
      <x:c r="N1721" t="str">
        <x:v>Lars Kohlenberg</x:v>
      </x:c>
      <x:c r="O1721" t="str">
        <x:v>EMOBG SERVICES GERMANY GMBH</x:v>
      </x:c>
      <x:c r="P1721" t="str">
        <x:v>ReNr 100345395614</x:v>
      </x:c>
      <x:c r="Q1721" t="str">
        <x:v>Ausgang</x:v>
      </x:c>
      <x:c r="R1721" t="str">
        <x:v>DE85200800000673266500</x:v>
      </x:c>
      <x:c r="S1721" t="n">
        <x:v>-30</x:v>
      </x:c>
      <x:c r="T1721" t="str">
        <x:v>"</x:v>
      </x:c>
      <x:c r="U1721" t="str">
        <x:v>"</x:v>
      </x:c>
      <x:c r="V1721" t="str">
        <x:v>"</x:v>
      </x:c>
    </x:row>
    <x:row r="1722">
      <x:c r="A1722" t="str">
        <x:v>RAW-IMP-20260516-FULLDRAFT-001705</x:v>
      </x:c>
      <x:c r="B1722" t="str">
        <x:v>IMP-20260516-FULLDRAFT</x:v>
      </x:c>
      <x:c r="C1722" t="str">
        <x:v>KTO001</x:v>
      </x:c>
      <x:c r="D1722" t="str">
        <x:v>16-05-2026_Umsatzliste_Girokonto_DE98120300001061711675.csv</x:v>
      </x:c>
      <x:c r="E1722" t="n">
        <x:v>46163</x:v>
      </x:c>
      <x:c r="F1722" t="n">
        <x:v>1705</x:v>
      </x:c>
      <x:c r="G1722" t="str">
        <x:v>9b1307a69e1dcdfcb1d5b87711f439815b84be70e3dccddf5c7cd13b50a40ea8</x:v>
      </x:c>
      <x:c r="H1722" t="str">
        <x:v>neu</x:v>
      </x:c>
      <x:c r="I1722" t="str">
        <x:v>ok</x:v>
      </x:c>
      <x:c r="J1722"/>
      <x:c r="K1722" t="n">
        <x:v>45572</x:v>
      </x:c>
      <x:c r="L1722" t="n">
        <x:v>45572</x:v>
      </x:c>
      <x:c r="M1722" t="str">
        <x:v>Gebucht</x:v>
      </x:c>
      <x:c r="N1722" t="str">
        <x:v>ISSUER</x:v>
      </x:c>
      <x:c r="O1722" t="str">
        <x:v>PAYPAL..CENTERPARCS/4029357733</x:v>
      </x:c>
      <x:c r="P1722" t="str">
        <x:v>VISA Debitkartenumsatz vom 06.10.2024</x:v>
      </x:c>
      <x:c r="Q1722" t="str">
        <x:v>Ausgang</x:v>
      </x:c>
      <x:c r="R1722" t="str">
        <x:v>DE96120300009005290904</x:v>
      </x:c>
      <x:c r="S1722" t="n">
        <x:v>-80</x:v>
      </x:c>
      <x:c r="T1722" t="str">
        <x:v>"</x:v>
      </x:c>
      <x:c r="U1722" t="str">
        <x:v>"</x:v>
      </x:c>
      <x:c r="V1722" t="str">
        <x:v>384280301988892</x:v>
      </x:c>
    </x:row>
    <x:row r="1723">
      <x:c r="A1723" t="str">
        <x:v>RAW-IMP-20260516-FULLDRAFT-001706</x:v>
      </x:c>
      <x:c r="B1723" t="str">
        <x:v>IMP-20260516-FULLDRAFT</x:v>
      </x:c>
      <x:c r="C1723" t="str">
        <x:v>KTO001</x:v>
      </x:c>
      <x:c r="D1723" t="str">
        <x:v>16-05-2026_Umsatzliste_Girokonto_DE98120300001061711675.csv</x:v>
      </x:c>
      <x:c r="E1723" t="n">
        <x:v>46163</x:v>
      </x:c>
      <x:c r="F1723" t="n">
        <x:v>1706</x:v>
      </x:c>
      <x:c r="G1723" t="str">
        <x:v>f4c58485e91ae871fcb3272a5e9648cc2beab3be303929a48451039a4c4cda47</x:v>
      </x:c>
      <x:c r="H1723" t="str">
        <x:v>neu</x:v>
      </x:c>
      <x:c r="I1723" t="str">
        <x:v>ok</x:v>
      </x:c>
      <x:c r="J1723"/>
      <x:c r="K1723" t="n">
        <x:v>45572</x:v>
      </x:c>
      <x:c r="L1723" t="n">
        <x:v>45572</x:v>
      </x:c>
      <x:c r="M1723" t="str">
        <x:v>Gebucht</x:v>
      </x:c>
      <x:c r="N1723" t="str">
        <x:v>ISSUER</x:v>
      </x:c>
      <x:c r="O1723" t="str">
        <x:v>AVIA.Xpress.Zeewolde/ZEEWOLDE</x:v>
      </x:c>
      <x:c r="P1723" t="str">
        <x:v>VISA Debitkartenumsatz vom 06.10.2024</x:v>
      </x:c>
      <x:c r="Q1723" t="str">
        <x:v>Ausgang</x:v>
      </x:c>
      <x:c r="R1723" t="str">
        <x:v>DE96120300009005290904</x:v>
      </x:c>
      <x:c r="S1723" t="n">
        <x:v>-40.06</x:v>
      </x:c>
      <x:c r="T1723" t="str">
        <x:v>"</x:v>
      </x:c>
      <x:c r="U1723" t="str">
        <x:v>"</x:v>
      </x:c>
      <x:c r="V1723" t="str">
        <x:v>484280537564510</x:v>
      </x:c>
    </x:row>
    <x:row r="1724">
      <x:c r="A1724" t="str">
        <x:v>RAW-IMP-20260516-FULLDRAFT-001707</x:v>
      </x:c>
      <x:c r="B1724" t="str">
        <x:v>IMP-20260516-FULLDRAFT</x:v>
      </x:c>
      <x:c r="C1724" t="str">
        <x:v>KTO001</x:v>
      </x:c>
      <x:c r="D1724" t="str">
        <x:v>16-05-2026_Umsatzliste_Girokonto_DE98120300001061711675.csv</x:v>
      </x:c>
      <x:c r="E1724" t="n">
        <x:v>46163</x:v>
      </x:c>
      <x:c r="F1724" t="n">
        <x:v>1707</x:v>
      </x:c>
      <x:c r="G1724" t="str">
        <x:v>bd665c06ab8b39b2e701008bcac7b0416044f64171ff110b2d2b96e6e6731f1d</x:v>
      </x:c>
      <x:c r="H1724" t="str">
        <x:v>neu</x:v>
      </x:c>
      <x:c r="I1724" t="str">
        <x:v>ok</x:v>
      </x:c>
      <x:c r="J1724"/>
      <x:c r="K1724" t="n">
        <x:v>45572</x:v>
      </x:c>
      <x:c r="L1724" t="n">
        <x:v>45572</x:v>
      </x:c>
      <x:c r="M1724" t="str">
        <x:v>Gebucht</x:v>
      </x:c>
      <x:c r="N1724" t="str">
        <x:v>ISSUER</x:v>
      </x:c>
      <x:c r="O1724" t="str">
        <x:v>1801.Eemhof.Foodstore/ZEEWOLDE</x:v>
      </x:c>
      <x:c r="P1724" t="str">
        <x:v>VISA Debitkartenumsatz vom 06.10.2024</x:v>
      </x:c>
      <x:c r="Q1724" t="str">
        <x:v>Ausgang</x:v>
      </x:c>
      <x:c r="R1724" t="str">
        <x:v>DE96120300009005290904</x:v>
      </x:c>
      <x:c r="S1724" t="n">
        <x:v>-10.44</x:v>
      </x:c>
      <x:c r="T1724" t="str">
        <x:v>"</x:v>
      </x:c>
      <x:c r="U1724" t="str">
        <x:v>"</x:v>
      </x:c>
      <x:c r="V1724" t="str">
        <x:v>484280406611265</x:v>
      </x:c>
    </x:row>
    <x:row r="1725">
      <x:c r="A1725" t="str">
        <x:v>RAW-IMP-20260516-FULLDRAFT-001708</x:v>
      </x:c>
      <x:c r="B1725" t="str">
        <x:v>IMP-20260516-FULLDRAFT</x:v>
      </x:c>
      <x:c r="C1725" t="str">
        <x:v>KTO001</x:v>
      </x:c>
      <x:c r="D1725" t="str">
        <x:v>16-05-2026_Umsatzliste_Girokonto_DE98120300001061711675.csv</x:v>
      </x:c>
      <x:c r="E1725" t="n">
        <x:v>46163</x:v>
      </x:c>
      <x:c r="F1725" t="n">
        <x:v>1708</x:v>
      </x:c>
      <x:c r="G1725" t="str">
        <x:v>8e2fbd777e562315eab4704e249b6002ca13db7d8b1b7e0a8aeae2006ca3085c</x:v>
      </x:c>
      <x:c r="H1725" t="str">
        <x:v>neu</x:v>
      </x:c>
      <x:c r="I1725" t="str">
        <x:v>ok</x:v>
      </x:c>
      <x:c r="J1725"/>
      <x:c r="K1725" t="n">
        <x:v>45572</x:v>
      </x:c>
      <x:c r="L1725" t="n">
        <x:v>45572</x:v>
      </x:c>
      <x:c r="M1725" t="str">
        <x:v>Gebucht</x:v>
      </x:c>
      <x:c r="N1725" t="str">
        <x:v>ISSUER</x:v>
      </x:c>
      <x:c r="O1725" t="str">
        <x:v>AVIA.Xpress.Zeewolde/ZEEWOLDE</x:v>
      </x:c>
      <x:c r="P1725" t="str">
        <x:v>VISA Debitkartenumsatz vom 06.10.2024</x:v>
      </x:c>
      <x:c r="Q1725" t="str">
        <x:v>Ausgang</x:v>
      </x:c>
      <x:c r="R1725" t="str">
        <x:v>DE96120300009005290904</x:v>
      </x:c>
      <x:c r="S1725" t="n">
        <x:v>-43.63</x:v>
      </x:c>
      <x:c r="T1725" t="str">
        <x:v>"</x:v>
      </x:c>
      <x:c r="U1725" t="str">
        <x:v>"</x:v>
      </x:c>
      <x:c r="V1725" t="str">
        <x:v>484280535255251</x:v>
      </x:c>
    </x:row>
    <x:row r="1726">
      <x:c r="A1726" t="str">
        <x:v>RAW-IMP-20260516-FULLDRAFT-001709</x:v>
      </x:c>
      <x:c r="B1726" t="str">
        <x:v>IMP-20260516-FULLDRAFT</x:v>
      </x:c>
      <x:c r="C1726" t="str">
        <x:v>KTO001</x:v>
      </x:c>
      <x:c r="D1726" t="str">
        <x:v>16-05-2026_Umsatzliste_Girokonto_DE98120300001061711675.csv</x:v>
      </x:c>
      <x:c r="E1726" t="n">
        <x:v>46163</x:v>
      </x:c>
      <x:c r="F1726" t="n">
        <x:v>1709</x:v>
      </x:c>
      <x:c r="G1726" t="str">
        <x:v>511c307f0053db248da36caf47760cdb9c7eea3c9945548d40b2eccbdb6e81ed</x:v>
      </x:c>
      <x:c r="H1726" t="str">
        <x:v>neu</x:v>
      </x:c>
      <x:c r="I1726" t="str">
        <x:v>ok</x:v>
      </x:c>
      <x:c r="J1726"/>
      <x:c r="K1726" t="n">
        <x:v>45572</x:v>
      </x:c>
      <x:c r="L1726" t="n">
        <x:v>45572</x:v>
      </x:c>
      <x:c r="M1726" t="str">
        <x:v>Gebucht</x:v>
      </x:c>
      <x:c r="N1726" t="str">
        <x:v>ISSUER</x:v>
      </x:c>
      <x:c r="O1726" t="str">
        <x:v>GVB.NL.GVB.APP.ORDER/AMSTERDAM</x:v>
      </x:c>
      <x:c r="P1726" t="str">
        <x:v>VISA Debitkartenumsatz vom 04.10.2024</x:v>
      </x:c>
      <x:c r="Q1726" t="str">
        <x:v>Ausgang</x:v>
      </x:c>
      <x:c r="R1726" t="str">
        <x:v>DE96120300009005290904</x:v>
      </x:c>
      <x:c r="S1726" t="n">
        <x:v>-34</x:v>
      </x:c>
      <x:c r="T1726" t="str">
        <x:v>"</x:v>
      </x:c>
      <x:c r="U1726" t="str">
        <x:v>"</x:v>
      </x:c>
      <x:c r="V1726" t="str">
        <x:v>484278543222193</x:v>
      </x:c>
    </x:row>
    <x:row r="1727">
      <x:c r="A1727" t="str">
        <x:v>RAW-IMP-20260516-FULLDRAFT-001710</x:v>
      </x:c>
      <x:c r="B1727" t="str">
        <x:v>IMP-20260516-FULLDRAFT</x:v>
      </x:c>
      <x:c r="C1727" t="str">
        <x:v>KTO001</x:v>
      </x:c>
      <x:c r="D1727" t="str">
        <x:v>16-05-2026_Umsatzliste_Girokonto_DE98120300001061711675.csv</x:v>
      </x:c>
      <x:c r="E1727" t="n">
        <x:v>46163</x:v>
      </x:c>
      <x:c r="F1727" t="n">
        <x:v>1710</x:v>
      </x:c>
      <x:c r="G1727" t="str">
        <x:v>7141537ffd5bccddab547a619bcdb496f68e2234ab24d40950b45f636bb56f73</x:v>
      </x:c>
      <x:c r="H1727" t="str">
        <x:v>neu</x:v>
      </x:c>
      <x:c r="I1727" t="str">
        <x:v>ok</x:v>
      </x:c>
      <x:c r="J1727"/>
      <x:c r="K1727" t="n">
        <x:v>45572</x:v>
      </x:c>
      <x:c r="L1727" t="n">
        <x:v>45572</x:v>
      </x:c>
      <x:c r="M1727" t="str">
        <x:v>Gebucht</x:v>
      </x:c>
      <x:c r="N1727" t="str">
        <x:v>ISSUER</x:v>
      </x:c>
      <x:c r="O1727" t="str">
        <x:v>Prime.Video..TO7DC8114/442.011518546</x:v>
      </x:c>
      <x:c r="P1727" t="str">
        <x:v>VISA Debitkartenumsatz vom 06.10.2024</x:v>
      </x:c>
      <x:c r="Q1727" t="str">
        <x:v>Ausgang</x:v>
      </x:c>
      <x:c r="R1727" t="str">
        <x:v>DE96120300009005290904</x:v>
      </x:c>
      <x:c r="S1727" t="n">
        <x:v>-0.99</x:v>
      </x:c>
      <x:c r="T1727" t="str">
        <x:v>"</x:v>
      </x:c>
      <x:c r="U1727" t="str">
        <x:v>"</x:v>
      </x:c>
      <x:c r="V1727" t="str">
        <x:v>484280499261197</x:v>
      </x:c>
    </x:row>
    <x:row r="1728">
      <x:c r="A1728" t="str">
        <x:v>RAW-IMP-20260516-FULLDRAFT-001711</x:v>
      </x:c>
      <x:c r="B1728" t="str">
        <x:v>IMP-20260516-FULLDRAFT</x:v>
      </x:c>
      <x:c r="C1728" t="str">
        <x:v>KTO001</x:v>
      </x:c>
      <x:c r="D1728" t="str">
        <x:v>16-05-2026_Umsatzliste_Girokonto_DE98120300001061711675.csv</x:v>
      </x:c>
      <x:c r="E1728" t="n">
        <x:v>46163</x:v>
      </x:c>
      <x:c r="F1728" t="n">
        <x:v>1711</x:v>
      </x:c>
      <x:c r="G1728" t="str">
        <x:v>7e2da6822ac84ccc51e0d36e6306d222e42bb7839726dcf7fd5602f4bee89cb8</x:v>
      </x:c>
      <x:c r="H1728" t="str">
        <x:v>neu</x:v>
      </x:c>
      <x:c r="I1728" t="str">
        <x:v>ok</x:v>
      </x:c>
      <x:c r="J1728"/>
      <x:c r="K1728" t="n">
        <x:v>45572</x:v>
      </x:c>
      <x:c r="L1728" t="n">
        <x:v>45572</x:v>
      </x:c>
      <x:c r="M1728" t="str">
        <x:v>Gebucht</x:v>
      </x:c>
      <x:c r="N1728" t="str">
        <x:v>ISSUER</x:v>
      </x:c>
      <x:c r="O1728" t="str">
        <x:v>GVB.NL.GVB.APP.ORDER/AMSTERDAM</x:v>
      </x:c>
      <x:c r="P1728" t="str">
        <x:v>VISA Debitkartenumsatz vom 05.10.2024</x:v>
      </x:c>
      <x:c r="Q1728" t="str">
        <x:v>Ausgang</x:v>
      </x:c>
      <x:c r="R1728" t="str">
        <x:v>DE96120300009005290904</x:v>
      </x:c>
      <x:c r="S1728" t="n">
        <x:v>-34</x:v>
      </x:c>
      <x:c r="T1728" t="str">
        <x:v>"</x:v>
      </x:c>
      <x:c r="U1728" t="str">
        <x:v>"</x:v>
      </x:c>
      <x:c r="V1728" t="str">
        <x:v>484279335316147</x:v>
      </x:c>
    </x:row>
    <x:row r="1729">
      <x:c r="A1729" t="str">
        <x:v>RAW-IMP-20260516-FULLDRAFT-001712</x:v>
      </x:c>
      <x:c r="B1729" t="str">
        <x:v>IMP-20260516-FULLDRAFT</x:v>
      </x:c>
      <x:c r="C1729" t="str">
        <x:v>KTO001</x:v>
      </x:c>
      <x:c r="D1729" t="str">
        <x:v>16-05-2026_Umsatzliste_Girokonto_DE98120300001061711675.csv</x:v>
      </x:c>
      <x:c r="E1729" t="n">
        <x:v>46163</x:v>
      </x:c>
      <x:c r="F1729" t="n">
        <x:v>1712</x:v>
      </x:c>
      <x:c r="G1729" t="str">
        <x:v>8a605b895216279fbc04a3617178be2adbb9aec5a85df6e4baf645d23e426c1f</x:v>
      </x:c>
      <x:c r="H1729" t="str">
        <x:v>neu</x:v>
      </x:c>
      <x:c r="I1729" t="str">
        <x:v>ok</x:v>
      </x:c>
      <x:c r="J1729"/>
      <x:c r="K1729" t="n">
        <x:v>45572</x:v>
      </x:c>
      <x:c r="L1729" t="n">
        <x:v>45572</x:v>
      </x:c>
      <x:c r="M1729" t="str">
        <x:v>Gebucht</x:v>
      </x:c>
      <x:c r="N1729" t="str">
        <x:v>ISSUER</x:v>
      </x:c>
      <x:c r="O1729" t="str">
        <x:v>Albert.Heijn.4055/AMSTERDAM</x:v>
      </x:c>
      <x:c r="P1729" t="str">
        <x:v>VISA Debitkartenumsatz vom 05.10.2024</x:v>
      </x:c>
      <x:c r="Q1729" t="str">
        <x:v>Ausgang</x:v>
      </x:c>
      <x:c r="R1729" t="str">
        <x:v>DE96120300009005290904</x:v>
      </x:c>
      <x:c r="S1729" t="n">
        <x:v>-11.78</x:v>
      </x:c>
      <x:c r="T1729" t="str">
        <x:v>"</x:v>
      </x:c>
      <x:c r="U1729" t="str">
        <x:v>"</x:v>
      </x:c>
      <x:c r="V1729" t="str">
        <x:v>484279630613639</x:v>
      </x:c>
    </x:row>
    <x:row r="1730">
      <x:c r="A1730" t="str">
        <x:v>RAW-IMP-20260516-FULLDRAFT-001713</x:v>
      </x:c>
      <x:c r="B1730" t="str">
        <x:v>IMP-20260516-FULLDRAFT</x:v>
      </x:c>
      <x:c r="C1730" t="str">
        <x:v>KTO001</x:v>
      </x:c>
      <x:c r="D1730" t="str">
        <x:v>16-05-2026_Umsatzliste_Girokonto_DE98120300001061711675.csv</x:v>
      </x:c>
      <x:c r="E1730" t="n">
        <x:v>46163</x:v>
      </x:c>
      <x:c r="F1730" t="n">
        <x:v>1713</x:v>
      </x:c>
      <x:c r="G1730" t="str">
        <x:v>68baa32932d7ecd428a79893abd69ae633adce8878c3a38b35b47e63c6dcd4c8</x:v>
      </x:c>
      <x:c r="H1730" t="str">
        <x:v>neu</x:v>
      </x:c>
      <x:c r="I1730" t="str">
        <x:v>ok</x:v>
      </x:c>
      <x:c r="J1730"/>
      <x:c r="K1730" t="n">
        <x:v>45572</x:v>
      </x:c>
      <x:c r="L1730" t="n">
        <x:v>45572</x:v>
      </x:c>
      <x:c r="M1730" t="str">
        <x:v>Gebucht</x:v>
      </x:c>
      <x:c r="N1730" t="str">
        <x:v>ISSUER</x:v>
      </x:c>
      <x:c r="O1730" t="str">
        <x:v>VENNOOTSCHAP.ONDER.FIR/AMSTERDAM</x:v>
      </x:c>
      <x:c r="P1730" t="str">
        <x:v>VISA Debitkartenumsatz vom 05.10.2024</x:v>
      </x:c>
      <x:c r="Q1730" t="str">
        <x:v>Ausgang</x:v>
      </x:c>
      <x:c r="R1730" t="str">
        <x:v>DE96120300009005290904</x:v>
      </x:c>
      <x:c r="S1730" t="n">
        <x:v>-125.5</x:v>
      </x:c>
      <x:c r="T1730" t="str">
        <x:v>"</x:v>
      </x:c>
      <x:c r="U1730" t="str">
        <x:v>"</x:v>
      </x:c>
      <x:c r="V1730" t="str">
        <x:v>484279587033564</x:v>
      </x:c>
    </x:row>
    <x:row r="1731">
      <x:c r="A1731" t="str">
        <x:v>RAW-IMP-20260516-FULLDRAFT-001714</x:v>
      </x:c>
      <x:c r="B1731" t="str">
        <x:v>IMP-20260516-FULLDRAFT</x:v>
      </x:c>
      <x:c r="C1731" t="str">
        <x:v>KTO001</x:v>
      </x:c>
      <x:c r="D1731" t="str">
        <x:v>16-05-2026_Umsatzliste_Girokonto_DE98120300001061711675.csv</x:v>
      </x:c>
      <x:c r="E1731" t="n">
        <x:v>46163</x:v>
      </x:c>
      <x:c r="F1731" t="n">
        <x:v>1714</x:v>
      </x:c>
      <x:c r="G1731" t="str">
        <x:v>2deec66f75629ab0b55d140fcd92b50589e7e0b3857bbac3175221ca3e9b85b1</x:v>
      </x:c>
      <x:c r="H1731" t="str">
        <x:v>neu</x:v>
      </x:c>
      <x:c r="I1731" t="str">
        <x:v>ok</x:v>
      </x:c>
      <x:c r="J1731"/>
      <x:c r="K1731" t="n">
        <x:v>45572</x:v>
      </x:c>
      <x:c r="L1731" t="n">
        <x:v>45572</x:v>
      </x:c>
      <x:c r="M1731" t="str">
        <x:v>Gebucht</x:v>
      </x:c>
      <x:c r="N1731" t="str">
        <x:v>ISSUER</x:v>
      </x:c>
      <x:c r="O1731" t="str">
        <x:v>Pinguin.Avondverkoop/AMSTERDAM</x:v>
      </x:c>
      <x:c r="P1731" t="str">
        <x:v>VISA Debitkartenumsatz vom 05.10.2024</x:v>
      </x:c>
      <x:c r="Q1731" t="str">
        <x:v>Ausgang</x:v>
      </x:c>
      <x:c r="R1731" t="str">
        <x:v>DE96120300009005290904</x:v>
      </x:c>
      <x:c r="S1731" t="n">
        <x:v>-6</x:v>
      </x:c>
      <x:c r="T1731" t="str">
        <x:v>"</x:v>
      </x:c>
      <x:c r="U1731" t="str">
        <x:v>"</x:v>
      </x:c>
      <x:c r="V1731" t="str">
        <x:v>484279541401169</x:v>
      </x:c>
    </x:row>
    <x:row r="1732">
      <x:c r="A1732" t="str">
        <x:v>RAW-IMP-20260516-FULLDRAFT-001715</x:v>
      </x:c>
      <x:c r="B1732" t="str">
        <x:v>IMP-20260516-FULLDRAFT</x:v>
      </x:c>
      <x:c r="C1732" t="str">
        <x:v>KTO001</x:v>
      </x:c>
      <x:c r="D1732" t="str">
        <x:v>16-05-2026_Umsatzliste_Girokonto_DE98120300001061711675.csv</x:v>
      </x:c>
      <x:c r="E1732" t="n">
        <x:v>46163</x:v>
      </x:c>
      <x:c r="F1732" t="n">
        <x:v>1715</x:v>
      </x:c>
      <x:c r="G1732" t="str">
        <x:v>1fa9d3f50164e16ad673adebfb8c958b32d34574693a453340f65e04a30a4325</x:v>
      </x:c>
      <x:c r="H1732" t="str">
        <x:v>neu</x:v>
      </x:c>
      <x:c r="I1732" t="str">
        <x:v>ok</x:v>
      </x:c>
      <x:c r="J1732"/>
      <x:c r="K1732" t="n">
        <x:v>45572</x:v>
      </x:c>
      <x:c r="L1732" t="n">
        <x:v>45572</x:v>
      </x:c>
      <x:c r="M1732" t="str">
        <x:v>Gebucht</x:v>
      </x:c>
      <x:c r="N1732" t="str">
        <x:v>ISSUER</x:v>
      </x:c>
      <x:c r="O1732" t="str">
        <x:v>Henri.Willig.Kaas.BV/Katwoude</x:v>
      </x:c>
      <x:c r="P1732" t="str">
        <x:v>VISA Debitkartenumsatz vom 05.10.2024</x:v>
      </x:c>
      <x:c r="Q1732" t="str">
        <x:v>Ausgang</x:v>
      </x:c>
      <x:c r="R1732" t="str">
        <x:v>DE96120300009005290904</x:v>
      </x:c>
      <x:c r="S1732" t="n">
        <x:v>-13.9</x:v>
      </x:c>
      <x:c r="T1732" t="str">
        <x:v>"</x:v>
      </x:c>
      <x:c r="U1732" t="str">
        <x:v>"</x:v>
      </x:c>
      <x:c r="V1732" t="str">
        <x:v>484279518297922</x:v>
      </x:c>
    </x:row>
    <x:row r="1733">
      <x:c r="A1733" t="str">
        <x:v>RAW-IMP-20260516-FULLDRAFT-001716</x:v>
      </x:c>
      <x:c r="B1733" t="str">
        <x:v>IMP-20260516-FULLDRAFT</x:v>
      </x:c>
      <x:c r="C1733" t="str">
        <x:v>KTO001</x:v>
      </x:c>
      <x:c r="D1733" t="str">
        <x:v>16-05-2026_Umsatzliste_Girokonto_DE98120300001061711675.csv</x:v>
      </x:c>
      <x:c r="E1733" t="n">
        <x:v>46163</x:v>
      </x:c>
      <x:c r="F1733" t="n">
        <x:v>1716</x:v>
      </x:c>
      <x:c r="G1733" t="str">
        <x:v>f3a38fcaf1e8f5ecf28a4f2fd61313be4402adc900be1b8f33167e397ec9a78a</x:v>
      </x:c>
      <x:c r="H1733" t="str">
        <x:v>neu</x:v>
      </x:c>
      <x:c r="I1733" t="str">
        <x:v>ok</x:v>
      </x:c>
      <x:c r="J1733"/>
      <x:c r="K1733" t="n">
        <x:v>45572</x:v>
      </x:c>
      <x:c r="L1733" t="n">
        <x:v>45572</x:v>
      </x:c>
      <x:c r="M1733" t="str">
        <x:v>Gebucht</x:v>
      </x:c>
      <x:c r="N1733" t="str">
        <x:v>ISSUER</x:v>
      </x:c>
      <x:c r="O1733" t="str">
        <x:v>P2.VUMC.BETAALAUTOMAAT/AMSTERDAM</x:v>
      </x:c>
      <x:c r="P1733" t="str">
        <x:v>VISA Debitkartenumsatz vom 05.10.2024</x:v>
      </x:c>
      <x:c r="Q1733" t="str">
        <x:v>Ausgang</x:v>
      </x:c>
      <x:c r="R1733" t="str">
        <x:v>DE96120300009005290904</x:v>
      </x:c>
      <x:c r="S1733" t="n">
        <x:v>-30</x:v>
      </x:c>
      <x:c r="T1733" t="str">
        <x:v>"</x:v>
      </x:c>
      <x:c r="U1733" t="str">
        <x:v>"</x:v>
      </x:c>
      <x:c r="V1733" t="str">
        <x:v>484279638189513</x:v>
      </x:c>
    </x:row>
    <x:row r="1734">
      <x:c r="A1734" t="str">
        <x:v>RAW-IMP-20260516-FULLDRAFT-001717</x:v>
      </x:c>
      <x:c r="B1734" t="str">
        <x:v>IMP-20260516-FULLDRAFT</x:v>
      </x:c>
      <x:c r="C1734" t="str">
        <x:v>KTO001</x:v>
      </x:c>
      <x:c r="D1734" t="str">
        <x:v>16-05-2026_Umsatzliste_Girokonto_DE98120300001061711675.csv</x:v>
      </x:c>
      <x:c r="E1734" t="n">
        <x:v>46163</x:v>
      </x:c>
      <x:c r="F1734" t="n">
        <x:v>1717</x:v>
      </x:c>
      <x:c r="G1734" t="str">
        <x:v>ad8517e4470ffd3b557d600868aa81acda2cff8bd91cea219386a0e4232e1e4f</x:v>
      </x:c>
      <x:c r="H1734" t="str">
        <x:v>neu</x:v>
      </x:c>
      <x:c r="I1734" t="str">
        <x:v>ok</x:v>
      </x:c>
      <x:c r="J1734"/>
      <x:c r="K1734" t="n">
        <x:v>45572</x:v>
      </x:c>
      <x:c r="L1734" t="n">
        <x:v>45572</x:v>
      </x:c>
      <x:c r="M1734" t="str">
        <x:v>Gebucht</x:v>
      </x:c>
      <x:c r="N1734" t="str">
        <x:v>ISSUER</x:v>
      </x:c>
      <x:c r="O1734" t="str">
        <x:v>P2.VUMC.BETAALAUTOMAAT/AMSTERDAM</x:v>
      </x:c>
      <x:c r="P1734" t="str">
        <x:v>VISA Debitkartenumsatz vom 05.10.2024</x:v>
      </x:c>
      <x:c r="Q1734" t="str">
        <x:v>Ausgang</x:v>
      </x:c>
      <x:c r="R1734" t="str">
        <x:v>DE96120300009005290904</x:v>
      </x:c>
      <x:c r="S1734" t="n">
        <x:v>-30</x:v>
      </x:c>
      <x:c r="T1734" t="str">
        <x:v>"</x:v>
      </x:c>
      <x:c r="U1734" t="str">
        <x:v>"</x:v>
      </x:c>
      <x:c r="V1734" t="str">
        <x:v>484279637975032</x:v>
      </x:c>
    </x:row>
    <x:row r="1735">
      <x:c r="A1735" t="str">
        <x:v>RAW-IMP-20260516-FULLDRAFT-001718</x:v>
      </x:c>
      <x:c r="B1735" t="str">
        <x:v>IMP-20260516-FULLDRAFT</x:v>
      </x:c>
      <x:c r="C1735" t="str">
        <x:v>KTO001</x:v>
      </x:c>
      <x:c r="D1735" t="str">
        <x:v>16-05-2026_Umsatzliste_Girokonto_DE98120300001061711675.csv</x:v>
      </x:c>
      <x:c r="E1735" t="n">
        <x:v>46163</x:v>
      </x:c>
      <x:c r="F1735" t="n">
        <x:v>1718</x:v>
      </x:c>
      <x:c r="G1735" t="str">
        <x:v>edae721eac26dc266cc2c48cf8c662be3307b4c79f321470f95eeaa2fbbf2c67</x:v>
      </x:c>
      <x:c r="H1735" t="str">
        <x:v>neu</x:v>
      </x:c>
      <x:c r="I1735" t="str">
        <x:v>ok</x:v>
      </x:c>
      <x:c r="J1735"/>
      <x:c r="K1735" t="n">
        <x:v>45572</x:v>
      </x:c>
      <x:c r="L1735" t="n">
        <x:v>45572</x:v>
      </x:c>
      <x:c r="M1735" t="str">
        <x:v>Gebucht</x:v>
      </x:c>
      <x:c r="N1735" t="str">
        <x:v>ISSUER</x:v>
      </x:c>
      <x:c r="O1735" t="str">
        <x:v>PAYPAL..ADAMLOOKOUT.670/4029357733</x:v>
      </x:c>
      <x:c r="P1735" t="str">
        <x:v>VISA Debitkartenumsatz vom 04.10.2024</x:v>
      </x:c>
      <x:c r="Q1735" t="str">
        <x:v>Ausgang</x:v>
      </x:c>
      <x:c r="R1735" t="str">
        <x:v>DE96120300009005290904</x:v>
      </x:c>
      <x:c r="S1735" t="n">
        <x:v>-225</x:v>
      </x:c>
      <x:c r="T1735" t="str">
        <x:v>"</x:v>
      </x:c>
      <x:c r="U1735" t="str">
        <x:v>"</x:v>
      </x:c>
      <x:c r="V1735" t="str">
        <x:v>304278561702964</x:v>
      </x:c>
    </x:row>
    <x:row r="1736">
      <x:c r="A1736" t="str">
        <x:v>RAW-IMP-20260516-FULLDRAFT-001719</x:v>
      </x:c>
      <x:c r="B1736" t="str">
        <x:v>IMP-20260516-FULLDRAFT</x:v>
      </x:c>
      <x:c r="C1736" t="str">
        <x:v>KTO001</x:v>
      </x:c>
      <x:c r="D1736" t="str">
        <x:v>16-05-2026_Umsatzliste_Girokonto_DE98120300001061711675.csv</x:v>
      </x:c>
      <x:c r="E1736" t="n">
        <x:v>46163</x:v>
      </x:c>
      <x:c r="F1736" t="n">
        <x:v>1719</x:v>
      </x:c>
      <x:c r="G1736" t="str">
        <x:v>40d8e1e212b557be27ed801a6122ea24a90967f6fd5df7fb866b3c0ee01c652c</x:v>
      </x:c>
      <x:c r="H1736" t="str">
        <x:v>neu</x:v>
      </x:c>
      <x:c r="I1736" t="str">
        <x:v>ok</x:v>
      </x:c>
      <x:c r="J1736"/>
      <x:c r="K1736" t="n">
        <x:v>45572</x:v>
      </x:c>
      <x:c r="L1736" t="n">
        <x:v>45572</x:v>
      </x:c>
      <x:c r="M1736" t="str">
        <x:v>Gebucht</x:v>
      </x:c>
      <x:c r="N1736" t="str">
        <x:v>ISSUER</x:v>
      </x:c>
      <x:c r="O1736" t="str">
        <x:v>Madam.Amsterdam/Amsterdam</x:v>
      </x:c>
      <x:c r="P1736" t="str">
        <x:v>VISA Debitkartenumsatz vom 05.10.2024</x:v>
      </x:c>
      <x:c r="Q1736" t="str">
        <x:v>Ausgang</x:v>
      </x:c>
      <x:c r="R1736" t="str">
        <x:v>DE96120300009005290904</x:v>
      </x:c>
      <x:c r="S1736" t="n">
        <x:v>-27.5</x:v>
      </x:c>
      <x:c r="T1736" t="str">
        <x:v>"</x:v>
      </x:c>
      <x:c r="U1736" t="str">
        <x:v>"</x:v>
      </x:c>
      <x:c r="V1736" t="str">
        <x:v>484279454678611</x:v>
      </x:c>
    </x:row>
    <x:row r="1737">
      <x:c r="A1737" t="str">
        <x:v>RAW-IMP-20260516-FULLDRAFT-001720</x:v>
      </x:c>
      <x:c r="B1737" t="str">
        <x:v>IMP-20260516-FULLDRAFT</x:v>
      </x:c>
      <x:c r="C1737" t="str">
        <x:v>KTO001</x:v>
      </x:c>
      <x:c r="D1737" t="str">
        <x:v>16-05-2026_Umsatzliste_Girokonto_DE98120300001061711675.csv</x:v>
      </x:c>
      <x:c r="E1737" t="n">
        <x:v>46163</x:v>
      </x:c>
      <x:c r="F1737" t="n">
        <x:v>1720</x:v>
      </x:c>
      <x:c r="G1737" t="str">
        <x:v>6df0117abe723c19b156c5d4a60e58476ae08756a1aed2f7de576a9891cbaafc</x:v>
      </x:c>
      <x:c r="H1737" t="str">
        <x:v>neu</x:v>
      </x:c>
      <x:c r="I1737" t="str">
        <x:v>ok</x:v>
      </x:c>
      <x:c r="J1737"/>
      <x:c r="K1737" t="n">
        <x:v>45572</x:v>
      </x:c>
      <x:c r="L1737" t="n">
        <x:v>45572</x:v>
      </x:c>
      <x:c r="M1737" t="str">
        <x:v>Gebucht</x:v>
      </x:c>
      <x:c r="N1737" t="str">
        <x:v>ISSUER</x:v>
      </x:c>
      <x:c r="O1737" t="str">
        <x:v>Henri.Willig.Kaas.BV/Katwoude</x:v>
      </x:c>
      <x:c r="P1737" t="str">
        <x:v>VISA Debitkartenumsatz vom 05.10.2024</x:v>
      </x:c>
      <x:c r="Q1737" t="str">
        <x:v>Ausgang</x:v>
      </x:c>
      <x:c r="R1737" t="str">
        <x:v>DE96120300009005290904</x:v>
      </x:c>
      <x:c r="S1737" t="n">
        <x:v>-36.9</x:v>
      </x:c>
      <x:c r="T1737" t="str">
        <x:v>"</x:v>
      </x:c>
      <x:c r="U1737" t="str">
        <x:v>"</x:v>
      </x:c>
      <x:c r="V1737" t="str">
        <x:v>484279496654050</x:v>
      </x:c>
    </x:row>
    <x:row r="1738">
      <x:c r="A1738" t="str">
        <x:v>RAW-IMP-20260516-FULLDRAFT-001721</x:v>
      </x:c>
      <x:c r="B1738" t="str">
        <x:v>IMP-20260516-FULLDRAFT</x:v>
      </x:c>
      <x:c r="C1738" t="str">
        <x:v>KTO001</x:v>
      </x:c>
      <x:c r="D1738" t="str">
        <x:v>16-05-2026_Umsatzliste_Girokonto_DE98120300001061711675.csv</x:v>
      </x:c>
      <x:c r="E1738" t="n">
        <x:v>46163</x:v>
      </x:c>
      <x:c r="F1738" t="n">
        <x:v>1721</x:v>
      </x:c>
      <x:c r="G1738" t="str">
        <x:v>37e6d83a9b32eda4959b2abd7a1ffe68be914749d55c32b0c44c414c7e227d52</x:v>
      </x:c>
      <x:c r="H1738" t="str">
        <x:v>neu</x:v>
      </x:c>
      <x:c r="I1738" t="str">
        <x:v>ok</x:v>
      </x:c>
      <x:c r="J1738"/>
      <x:c r="K1738" t="n">
        <x:v>45572</x:v>
      </x:c>
      <x:c r="L1738" t="n">
        <x:v>45572</x:v>
      </x:c>
      <x:c r="M1738" t="str">
        <x:v>Gebucht</x:v>
      </x:c>
      <x:c r="N1738" t="str">
        <x:v>Lars Kohlenberg                                                       Johannes-Wosnitza-Str. 8</x:v>
      </x:c>
      <x:c r="O1738" t="str">
        <x:v>Telekom Deutschland GmbH                                              LANDGRABENWEG 151</x:v>
      </x:c>
      <x:c r="P1738" t="str">
        <x:v>Festnetz Vertragskonto 4763666565 RG 7661871163/25.09.2024</x:v>
      </x:c>
      <x:c r="Q1738" t="str">
        <x:v>Ausgang</x:v>
      </x:c>
      <x:c r="R1738" t="str">
        <x:v>DE07512108001095000911</x:v>
      </x:c>
      <x:c r="S1738" t="n">
        <x:v>-61.94</x:v>
      </x:c>
      <x:c r="T1738" t="str">
        <x:v>DE93ZZZ00000078611</x:v>
      </x:c>
      <x:c r="U1738" t="str">
        <x:v>DE000201000200000000000000012966156</x:v>
      </x:c>
      <x:c r="V1738" t="str">
        <x:v>Zahlbeleg 377599167364</x:v>
      </x:c>
    </x:row>
    <x:row r="1739">
      <x:c r="A1739" t="str">
        <x:v>RAW-IMP-20260516-FULLDRAFT-001722</x:v>
      </x:c>
      <x:c r="B1739" t="str">
        <x:v>IMP-20260516-FULLDRAFT</x:v>
      </x:c>
      <x:c r="C1739" t="str">
        <x:v>KTO001</x:v>
      </x:c>
      <x:c r="D1739" t="str">
        <x:v>16-05-2026_Umsatzliste_Girokonto_DE98120300001061711675.csv</x:v>
      </x:c>
      <x:c r="E1739" t="n">
        <x:v>46163</x:v>
      </x:c>
      <x:c r="F1739" t="n">
        <x:v>1722</x:v>
      </x:c>
      <x:c r="G1739" t="str">
        <x:v>ccff6271f023a01c740303da7848634aa0ae9f384342dff611cadf7fcd3ac8cb</x:v>
      </x:c>
      <x:c r="H1739" t="str">
        <x:v>neu</x:v>
      </x:c>
      <x:c r="I1739" t="str">
        <x:v>ok</x:v>
      </x:c>
      <x:c r="J1739"/>
      <x:c r="K1739" t="n">
        <x:v>45572</x:v>
      </x:c>
      <x:c r="L1739" t="n">
        <x:v>45572</x:v>
      </x:c>
      <x:c r="M1739" t="str">
        <x:v>Gebucht</x:v>
      </x:c>
      <x:c r="N1739" t="str">
        <x:v>Lars Kohlenberg</x:v>
      </x:c>
      <x:c r="O1739" t="str">
        <x:v>Iman Firat</x:v>
      </x:c>
      <x:c r="P1739" t="str">
        <x:v>2230 Lea Kohlenberg</x:v>
      </x:c>
      <x:c r="Q1739" t="str">
        <x:v>Ausgang</x:v>
      </x:c>
      <x:c r="R1739" t="str">
        <x:v>DE67269910662694298000</x:v>
      </x:c>
      <x:c r="S1739" t="n">
        <x:v>-49.9</x:v>
      </x:c>
      <x:c r="T1739" t="str">
        <x:v>"</x:v>
      </x:c>
      <x:c r="U1739" t="str">
        <x:v>"</x:v>
      </x:c>
      <x:c r="V1739" t="str">
        <x:v>"</x:v>
      </x:c>
    </x:row>
    <x:row r="1740">
      <x:c r="A1740" t="str">
        <x:v>RAW-IMP-20260516-FULLDRAFT-001723</x:v>
      </x:c>
      <x:c r="B1740" t="str">
        <x:v>IMP-20260516-FULLDRAFT</x:v>
      </x:c>
      <x:c r="C1740" t="str">
        <x:v>KTO001</x:v>
      </x:c>
      <x:c r="D1740" t="str">
        <x:v>16-05-2026_Umsatzliste_Girokonto_DE98120300001061711675.csv</x:v>
      </x:c>
      <x:c r="E1740" t="n">
        <x:v>46163</x:v>
      </x:c>
      <x:c r="F1740" t="n">
        <x:v>1723</x:v>
      </x:c>
      <x:c r="G1740" t="str">
        <x:v>cedf33497af579eaa7ddc5634d23b068d2e2879f517ff3c7d692d0c99d5df4de</x:v>
      </x:c>
      <x:c r="H1740" t="str">
        <x:v>neu</x:v>
      </x:c>
      <x:c r="I1740" t="str">
        <x:v>ok</x:v>
      </x:c>
      <x:c r="J1740"/>
      <x:c r="K1740" t="n">
        <x:v>45569</x:v>
      </x:c>
      <x:c r="L1740" t="n">
        <x:v>45569</x:v>
      </x:c>
      <x:c r="M1740" t="str">
        <x:v>Gebucht</x:v>
      </x:c>
      <x:c r="N1740" t="str">
        <x:v>ISSUER</x:v>
      </x:c>
      <x:c r="O1740" t="str">
        <x:v>SO.LOW.AMERSFOORT/AMERSFOORT</x:v>
      </x:c>
      <x:c r="P1740" t="str">
        <x:v>VISA Debitkartenumsatz vom 03.10.2024</x:v>
      </x:c>
      <x:c r="Q1740" t="str">
        <x:v>Ausgang</x:v>
      </x:c>
      <x:c r="R1740" t="str">
        <x:v>DE96120300009005290904</x:v>
      </x:c>
      <x:c r="S1740" t="n">
        <x:v>-2.99</x:v>
      </x:c>
      <x:c r="T1740" t="str">
        <x:v>"</x:v>
      </x:c>
      <x:c r="U1740" t="str">
        <x:v>"</x:v>
      </x:c>
      <x:c r="V1740" t="str">
        <x:v>484277497171927</x:v>
      </x:c>
    </x:row>
    <x:row r="1741">
      <x:c r="A1741" t="str">
        <x:v>RAW-IMP-20260516-FULLDRAFT-001724</x:v>
      </x:c>
      <x:c r="B1741" t="str">
        <x:v>IMP-20260516-FULLDRAFT</x:v>
      </x:c>
      <x:c r="C1741" t="str">
        <x:v>KTO001</x:v>
      </x:c>
      <x:c r="D1741" t="str">
        <x:v>16-05-2026_Umsatzliste_Girokonto_DE98120300001061711675.csv</x:v>
      </x:c>
      <x:c r="E1741" t="n">
        <x:v>46163</x:v>
      </x:c>
      <x:c r="F1741" t="n">
        <x:v>1724</x:v>
      </x:c>
      <x:c r="G1741" t="str">
        <x:v>cf2e8c35c630b7132ced06f3034c6d67abafc6a395f6453b5557fd8f506af6a8</x:v>
      </x:c>
      <x:c r="H1741" t="str">
        <x:v>neu</x:v>
      </x:c>
      <x:c r="I1741" t="str">
        <x:v>ok</x:v>
      </x:c>
      <x:c r="J1741"/>
      <x:c r="K1741" t="n">
        <x:v>45569</x:v>
      </x:c>
      <x:c r="L1741" t="n">
        <x:v>45569</x:v>
      </x:c>
      <x:c r="M1741" t="str">
        <x:v>Gebucht</x:v>
      </x:c>
      <x:c r="N1741" t="str">
        <x:v>ISSUER</x:v>
      </x:c>
      <x:c r="O1741" t="str">
        <x:v>Eemplein.PG.B.V./AMERSFOORT</x:v>
      </x:c>
      <x:c r="P1741" t="str">
        <x:v>VISA Debitkartenumsatz vom 03.10.2024</x:v>
      </x:c>
      <x:c r="Q1741" t="str">
        <x:v>Ausgang</x:v>
      </x:c>
      <x:c r="R1741" t="str">
        <x:v>DE96120300009005290904</x:v>
      </x:c>
      <x:c r="S1741" t="n">
        <x:v>-14</x:v>
      </x:c>
      <x:c r="T1741" t="str">
        <x:v>"</x:v>
      </x:c>
      <x:c r="U1741" t="str">
        <x:v>"</x:v>
      </x:c>
      <x:c r="V1741" t="str">
        <x:v>484277600461681</x:v>
      </x:c>
    </x:row>
    <x:row r="1742">
      <x:c r="A1742" t="str">
        <x:v>RAW-IMP-20260516-FULLDRAFT-001725</x:v>
      </x:c>
      <x:c r="B1742" t="str">
        <x:v>IMP-20260516-FULLDRAFT</x:v>
      </x:c>
      <x:c r="C1742" t="str">
        <x:v>KTO001</x:v>
      </x:c>
      <x:c r="D1742" t="str">
        <x:v>16-05-2026_Umsatzliste_Girokonto_DE98120300001061711675.csv</x:v>
      </x:c>
      <x:c r="E1742" t="n">
        <x:v>46163</x:v>
      </x:c>
      <x:c r="F1742" t="n">
        <x:v>1725</x:v>
      </x:c>
      <x:c r="G1742" t="str">
        <x:v>3552b63ece6f44e448afa99a03b233e204cb36b3e27c3ebf772d2d101c6ff0ec</x:v>
      </x:c>
      <x:c r="H1742" t="str">
        <x:v>neu</x:v>
      </x:c>
      <x:c r="I1742" t="str">
        <x:v>ok</x:v>
      </x:c>
      <x:c r="J1742"/>
      <x:c r="K1742" t="n">
        <x:v>45569</x:v>
      </x:c>
      <x:c r="L1742" t="n">
        <x:v>45569</x:v>
      </x:c>
      <x:c r="M1742" t="str">
        <x:v>Gebucht</x:v>
      </x:c>
      <x:c r="N1742" t="str">
        <x:v>ISSUER</x:v>
      </x:c>
      <x:c r="O1742" t="str">
        <x:v>ALBERT.HEIJN.1628/AMERSFOORT</x:v>
      </x:c>
      <x:c r="P1742" t="str">
        <x:v>VISA Debitkartenumsatz vom 03.10.2024</x:v>
      </x:c>
      <x:c r="Q1742" t="str">
        <x:v>Ausgang</x:v>
      </x:c>
      <x:c r="R1742" t="str">
        <x:v>DE96120300009005290904</x:v>
      </x:c>
      <x:c r="S1742" t="n">
        <x:v>-27.77</x:v>
      </x:c>
      <x:c r="T1742" t="str">
        <x:v>"</x:v>
      </x:c>
      <x:c r="U1742" t="str">
        <x:v>"</x:v>
      </x:c>
      <x:c r="V1742" t="str">
        <x:v>484277598964765</x:v>
      </x:c>
    </x:row>
    <x:row r="1743">
      <x:c r="A1743" t="str">
        <x:v>RAW-IMP-20260516-FULLDRAFT-001726</x:v>
      </x:c>
      <x:c r="B1743" t="str">
        <x:v>IMP-20260516-FULLDRAFT</x:v>
      </x:c>
      <x:c r="C1743" t="str">
        <x:v>KTO001</x:v>
      </x:c>
      <x:c r="D1743" t="str">
        <x:v>16-05-2026_Umsatzliste_Girokonto_DE98120300001061711675.csv</x:v>
      </x:c>
      <x:c r="E1743" t="n">
        <x:v>46163</x:v>
      </x:c>
      <x:c r="F1743" t="n">
        <x:v>1726</x:v>
      </x:c>
      <x:c r="G1743" t="str">
        <x:v>e56e4250a76bf8121439b3672aa2682f0195262b7779e42aaf579642a4394c6b</x:v>
      </x:c>
      <x:c r="H1743" t="str">
        <x:v>neu</x:v>
      </x:c>
      <x:c r="I1743" t="str">
        <x:v>ok</x:v>
      </x:c>
      <x:c r="J1743"/>
      <x:c r="K1743" t="n">
        <x:v>45569</x:v>
      </x:c>
      <x:c r="L1743" t="n">
        <x:v>45569</x:v>
      </x:c>
      <x:c r="M1743" t="str">
        <x:v>Gebucht</x:v>
      </x:c>
      <x:c r="N1743" t="str">
        <x:v>ISSUER</x:v>
      </x:c>
      <x:c r="O1743" t="str">
        <x:v>CANDYSHOP.AMERSFOORT/AMERSFOORT</x:v>
      </x:c>
      <x:c r="P1743" t="str">
        <x:v>VISA Debitkartenumsatz vom 03.10.2024</x:v>
      </x:c>
      <x:c r="Q1743" t="str">
        <x:v>Ausgang</x:v>
      </x:c>
      <x:c r="R1743" t="str">
        <x:v>DE96120300009005290904</x:v>
      </x:c>
      <x:c r="S1743" t="n">
        <x:v>-1.5</x:v>
      </x:c>
      <x:c r="T1743" t="str">
        <x:v>"</x:v>
      </x:c>
      <x:c r="U1743" t="str">
        <x:v>"</x:v>
      </x:c>
      <x:c r="V1743" t="str">
        <x:v>484277515411335</x:v>
      </x:c>
    </x:row>
    <x:row r="1744">
      <x:c r="A1744" t="str">
        <x:v>RAW-IMP-20260516-FULLDRAFT-001727</x:v>
      </x:c>
      <x:c r="B1744" t="str">
        <x:v>IMP-20260516-FULLDRAFT</x:v>
      </x:c>
      <x:c r="C1744" t="str">
        <x:v>KTO001</x:v>
      </x:c>
      <x:c r="D1744" t="str">
        <x:v>16-05-2026_Umsatzliste_Girokonto_DE98120300001061711675.csv</x:v>
      </x:c>
      <x:c r="E1744" t="n">
        <x:v>46163</x:v>
      </x:c>
      <x:c r="F1744" t="n">
        <x:v>1727</x:v>
      </x:c>
      <x:c r="G1744" t="str">
        <x:v>6be4d20375ebaaf98a3141b4a6e8a24702d2b6acc07125a69226345e10e1acc7</x:v>
      </x:c>
      <x:c r="H1744" t="str">
        <x:v>neu</x:v>
      </x:c>
      <x:c r="I1744" t="str">
        <x:v>ok</x:v>
      </x:c>
      <x:c r="J1744"/>
      <x:c r="K1744" t="n">
        <x:v>45569</x:v>
      </x:c>
      <x:c r="L1744" t="n">
        <x:v>45569</x:v>
      </x:c>
      <x:c r="M1744" t="str">
        <x:v>Gebucht</x:v>
      </x:c>
      <x:c r="N1744" t="str">
        <x:v>ISSUER</x:v>
      </x:c>
      <x:c r="O1744" t="str">
        <x:v>La.Base.Amersfoort/Amersfoort</x:v>
      </x:c>
      <x:c r="P1744" t="str">
        <x:v>VISA Debitkartenumsatz vom 03.10.2024</x:v>
      </x:c>
      <x:c r="Q1744" t="str">
        <x:v>Ausgang</x:v>
      </x:c>
      <x:c r="R1744" t="str">
        <x:v>DE96120300009005290904</x:v>
      </x:c>
      <x:c r="S1744" t="n">
        <x:v>-120</x:v>
      </x:c>
      <x:c r="T1744" t="str">
        <x:v>"</x:v>
      </x:c>
      <x:c r="U1744" t="str">
        <x:v>"</x:v>
      </x:c>
      <x:c r="V1744" t="str">
        <x:v>484277576702866</x:v>
      </x:c>
    </x:row>
    <x:row r="1745">
      <x:c r="A1745" t="str">
        <x:v>RAW-IMP-20260516-FULLDRAFT-001728</x:v>
      </x:c>
      <x:c r="B1745" t="str">
        <x:v>IMP-20260516-FULLDRAFT</x:v>
      </x:c>
      <x:c r="C1745" t="str">
        <x:v>KTO001</x:v>
      </x:c>
      <x:c r="D1745" t="str">
        <x:v>16-05-2026_Umsatzliste_Girokonto_DE98120300001061711675.csv</x:v>
      </x:c>
      <x:c r="E1745" t="n">
        <x:v>46163</x:v>
      </x:c>
      <x:c r="F1745" t="n">
        <x:v>1728</x:v>
      </x:c>
      <x:c r="G1745" t="str">
        <x:v>cf6b0f130caee92770c8c3cc7b4138bafe9713cb7378d0341930be80096683c0</x:v>
      </x:c>
      <x:c r="H1745" t="str">
        <x:v>neu</x:v>
      </x:c>
      <x:c r="I1745" t="str">
        <x:v>ok</x:v>
      </x:c>
      <x:c r="J1745"/>
      <x:c r="K1745" t="n">
        <x:v>45569</x:v>
      </x:c>
      <x:c r="L1745" t="n">
        <x:v>45568</x:v>
      </x:c>
      <x:c r="M1745" t="str">
        <x:v>Gebucht</x:v>
      </x:c>
      <x:c r="N1745" t="str">
        <x:v>ISSUER</x:v>
      </x:c>
      <x:c r="O1745" t="str">
        <x:v>Aral.Station.160540142/Salzgitter</x:v>
      </x:c>
      <x:c r="P1745" t="str">
        <x:v>VISA Debitkartenumsatz vom 01.10.2024</x:v>
      </x:c>
      <x:c r="Q1745" t="str">
        <x:v>Ausgang</x:v>
      </x:c>
      <x:c r="R1745" t="str">
        <x:v>DE96120300009005290904</x:v>
      </x:c>
      <x:c r="S1745" t="n">
        <x:v>-53.24</x:v>
      </x:c>
      <x:c r="T1745" t="str">
        <x:v>"</x:v>
      </x:c>
      <x:c r="U1745" t="str">
        <x:v>"</x:v>
      </x:c>
      <x:c r="V1745" t="str">
        <x:v>484275620128846</x:v>
      </x:c>
    </x:row>
    <x:row r="1746">
      <x:c r="A1746" t="str">
        <x:v>RAW-IMP-20260516-FULLDRAFT-001729</x:v>
      </x:c>
      <x:c r="B1746" t="str">
        <x:v>IMP-20260516-FULLDRAFT</x:v>
      </x:c>
      <x:c r="C1746" t="str">
        <x:v>KTO001</x:v>
      </x:c>
      <x:c r="D1746" t="str">
        <x:v>16-05-2026_Umsatzliste_Girokonto_DE98120300001061711675.csv</x:v>
      </x:c>
      <x:c r="E1746" t="n">
        <x:v>46163</x:v>
      </x:c>
      <x:c r="F1746" t="n">
        <x:v>1729</x:v>
      </x:c>
      <x:c r="G1746" t="str">
        <x:v>a3ad3b696477ec442df66c7ad5c8da52e69eb4598af83991590b38dec8b52441</x:v>
      </x:c>
      <x:c r="H1746" t="str">
        <x:v>neu</x:v>
      </x:c>
      <x:c r="I1746" t="str">
        <x:v>ok</x:v>
      </x:c>
      <x:c r="J1746"/>
      <x:c r="K1746" t="n">
        <x:v>45569</x:v>
      </x:c>
      <x:c r="L1746" t="n">
        <x:v>45569</x:v>
      </x:c>
      <x:c r="M1746" t="str">
        <x:v>Gebucht</x:v>
      </x:c>
      <x:c r="N1746" t="str">
        <x:v>Lars Kohlenberg                                                       Johannes-Wosnitza-Str. 8</x:v>
      </x:c>
      <x:c r="O1746" t="str">
        <x:v>FUNKE Medien Nieders.GmbH</x:v>
      </x:c>
      <x:c r="P1746" t="str">
        <x:v>SZ/00001050/VA/01.10.24-31.10.24/Rg-Nr.:6315874765/Kd-Nr:0053112791/Steuer:3.76</x:v>
      </x:c>
      <x:c r="Q1746" t="str">
        <x:v>Ausgang</x:v>
      </x:c>
      <x:c r="R1746" t="str">
        <x:v>DE67250500000000146910</x:v>
      </x:c>
      <x:c r="S1746" t="n">
        <x:v>-57.5</x:v>
      </x:c>
      <x:c r="T1746" t="str">
        <x:v>DE8850000000483288</x:v>
      </x:c>
      <x:c r="U1746" t="str">
        <x:v>0053112791-0500-01300001</x:v>
      </x:c>
      <x:c r="V1746" t="str">
        <x:v>033006209972</x:v>
      </x:c>
    </x:row>
    <x:row r="1747">
      <x:c r="A1747" t="str">
        <x:v>RAW-IMP-20260516-FULLDRAFT-001730</x:v>
      </x:c>
      <x:c r="B1747" t="str">
        <x:v>IMP-20260516-FULLDRAFT</x:v>
      </x:c>
      <x:c r="C1747" t="str">
        <x:v>KTO001</x:v>
      </x:c>
      <x:c r="D1747" t="str">
        <x:v>16-05-2026_Umsatzliste_Girokonto_DE98120300001061711675.csv</x:v>
      </x:c>
      <x:c r="E1747" t="n">
        <x:v>46163</x:v>
      </x:c>
      <x:c r="F1747" t="n">
        <x:v>1730</x:v>
      </x:c>
      <x:c r="G1747" t="str">
        <x:v>1f2d9d3cdb6ec89d2fc55ecd54c64915daacd408e3014d28968a7dfddbc44859</x:v>
      </x:c>
      <x:c r="H1747" t="str">
        <x:v>neu</x:v>
      </x:c>
      <x:c r="I1747" t="str">
        <x:v>ok</x:v>
      </x:c>
      <x:c r="J1747"/>
      <x:c r="K1747" t="n">
        <x:v>45567</x:v>
      </x:c>
      <x:c r="L1747" t="n">
        <x:v>45567</x:v>
      </x:c>
      <x:c r="M1747" t="str">
        <x:v>Gebucht</x:v>
      </x:c>
      <x:c r="N1747" t="str">
        <x:v>ISSUER</x:v>
      </x:c>
      <x:c r="O1747" t="str">
        <x:v>BOSPORUS.GRILL/SALZGITTER</x:v>
      </x:c>
      <x:c r="P1747" t="str">
        <x:v>VISA Debitkartenumsatz vom 01.10.2024</x:v>
      </x:c>
      <x:c r="Q1747" t="str">
        <x:v>Ausgang</x:v>
      </x:c>
      <x:c r="R1747" t="str">
        <x:v>DE96120300009005290904</x:v>
      </x:c>
      <x:c r="S1747" t="n">
        <x:v>-21</x:v>
      </x:c>
      <x:c r="T1747" t="str">
        <x:v>"</x:v>
      </x:c>
      <x:c r="U1747" t="str">
        <x:v>"</x:v>
      </x:c>
      <x:c r="V1747" t="str">
        <x:v>484275627422573</x:v>
      </x:c>
    </x:row>
    <x:row r="1748">
      <x:c r="A1748" t="str">
        <x:v>RAW-IMP-20260516-FULLDRAFT-001731</x:v>
      </x:c>
      <x:c r="B1748" t="str">
        <x:v>IMP-20260516-FULLDRAFT</x:v>
      </x:c>
      <x:c r="C1748" t="str">
        <x:v>KTO001</x:v>
      </x:c>
      <x:c r="D1748" t="str">
        <x:v>16-05-2026_Umsatzliste_Girokonto_DE98120300001061711675.csv</x:v>
      </x:c>
      <x:c r="E1748" t="n">
        <x:v>46163</x:v>
      </x:c>
      <x:c r="F1748" t="n">
        <x:v>1731</x:v>
      </x:c>
      <x:c r="G1748" t="str">
        <x:v>0c21f6d624018450dd4424d226cafb212fd8bff12c03654e293388b2bfe70bdd</x:v>
      </x:c>
      <x:c r="H1748" t="str">
        <x:v>neu</x:v>
      </x:c>
      <x:c r="I1748" t="str">
        <x:v>ok</x:v>
      </x:c>
      <x:c r="J1748"/>
      <x:c r="K1748" t="n">
        <x:v>45567</x:v>
      </x:c>
      <x:c r="L1748" t="n">
        <x:v>45567</x:v>
      </x:c>
      <x:c r="M1748" t="str">
        <x:v>Gebucht</x:v>
      </x:c>
      <x:c r="N1748" t="str">
        <x:v>ISSUER</x:v>
      </x:c>
      <x:c r="O1748" t="str">
        <x:v>NORD.LB...Braunschweigi/GEBHARDSHG</x:v>
      </x:c>
      <x:c r="P1748" t="str">
        <x:v>VISA Debitkartenumsatz vom 01.10.2024</x:v>
      </x:c>
      <x:c r="Q1748" t="str">
        <x:v>Ausgang</x:v>
      </x:c>
      <x:c r="R1748" t="str">
        <x:v>DE96120300009005290904</x:v>
      </x:c>
      <x:c r="S1748" t="n">
        <x:v>-130</x:v>
      </x:c>
      <x:c r="T1748" t="str">
        <x:v>"</x:v>
      </x:c>
      <x:c r="U1748" t="str">
        <x:v>"</x:v>
      </x:c>
      <x:c r="V1748" t="str">
        <x:v>484275625735006</x:v>
      </x:c>
    </x:row>
    <x:row r="1749">
      <x:c r="A1749" t="str">
        <x:v>RAW-IMP-20260516-FULLDRAFT-001732</x:v>
      </x:c>
      <x:c r="B1749" t="str">
        <x:v>IMP-20260516-FULLDRAFT</x:v>
      </x:c>
      <x:c r="C1749" t="str">
        <x:v>KTO001</x:v>
      </x:c>
      <x:c r="D1749" t="str">
        <x:v>16-05-2026_Umsatzliste_Girokonto_DE98120300001061711675.csv</x:v>
      </x:c>
      <x:c r="E1749" t="n">
        <x:v>46163</x:v>
      </x:c>
      <x:c r="F1749" t="n">
        <x:v>1732</x:v>
      </x:c>
      <x:c r="G1749" t="str">
        <x:v>105f65d1e1569c96b17e904dc3f947b0792b334c5790d54dedde48ff8a48709c</x:v>
      </x:c>
      <x:c r="H1749" t="str">
        <x:v>neu</x:v>
      </x:c>
      <x:c r="I1749" t="str">
        <x:v>ok</x:v>
      </x:c>
      <x:c r="J1749"/>
      <x:c r="K1749" t="n">
        <x:v>45567</x:v>
      </x:c>
      <x:c r="L1749" t="n">
        <x:v>45567</x:v>
      </x:c>
      <x:c r="M1749" t="str">
        <x:v>Gebucht</x:v>
      </x:c>
      <x:c r="N1749" t="str">
        <x:v>ISSUER</x:v>
      </x:c>
      <x:c r="O1749" t="str">
        <x:v>Amazon.de.TA78M95C4/AMAZON.DE</x:v>
      </x:c>
      <x:c r="P1749" t="str">
        <x:v>VISA Debitkartenumsatz vom 01.10.2024</x:v>
      </x:c>
      <x:c r="Q1749" t="str">
        <x:v>Ausgang</x:v>
      </x:c>
      <x:c r="R1749" t="str">
        <x:v>DE96120300009005290904</x:v>
      </x:c>
      <x:c r="S1749" t="n">
        <x:v>-81.99</x:v>
      </x:c>
      <x:c r="T1749" t="str">
        <x:v>"</x:v>
      </x:c>
      <x:c r="U1749" t="str">
        <x:v>"</x:v>
      </x:c>
      <x:c r="V1749" t="str">
        <x:v>484273739214339</x:v>
      </x:c>
    </x:row>
    <x:row r="1750">
      <x:c r="A1750" t="str">
        <x:v>RAW-IMP-20260516-FULLDRAFT-001733</x:v>
      </x:c>
      <x:c r="B1750" t="str">
        <x:v>IMP-20260516-FULLDRAFT</x:v>
      </x:c>
      <x:c r="C1750" t="str">
        <x:v>KTO001</x:v>
      </x:c>
      <x:c r="D1750" t="str">
        <x:v>16-05-2026_Umsatzliste_Girokonto_DE98120300001061711675.csv</x:v>
      </x:c>
      <x:c r="E1750" t="n">
        <x:v>46163</x:v>
      </x:c>
      <x:c r="F1750" t="n">
        <x:v>1733</x:v>
      </x:c>
      <x:c r="G1750" t="str">
        <x:v>4d783fcdee4c572728c415b8d428220f6d8f1951bd90aecc21b897554c7b21b7</x:v>
      </x:c>
      <x:c r="H1750" t="str">
        <x:v>neu</x:v>
      </x:c>
      <x:c r="I1750" t="str">
        <x:v>ok</x:v>
      </x:c>
      <x:c r="J1750"/>
      <x:c r="K1750" t="n">
        <x:v>45567</x:v>
      </x:c>
      <x:c r="L1750" t="n">
        <x:v>45567</x:v>
      </x:c>
      <x:c r="M1750" t="str">
        <x:v>Gebucht</x:v>
      </x:c>
      <x:c r="N1750" t="str">
        <x:v>Gohmann Partnerschaft mbB</x:v>
      </x:c>
      <x:c r="O1750" t="str">
        <x:v>Lars Kohlenberg</x:v>
      </x:c>
      <x:c r="P1750" t="str">
        <x:v>Ruckerstattung / 659-24</x:v>
      </x:c>
      <x:c r="Q1750" t="str">
        <x:v>Eingang</x:v>
      </x:c>
      <x:c r="R1750" t="str">
        <x:v>DE76269910666912648000</x:v>
      </x:c>
      <x:c r="S1750" t="n">
        <x:v>3787.18</x:v>
      </x:c>
      <x:c r="T1750" t="str">
        <x:v>"</x:v>
      </x:c>
      <x:c r="U1750" t="str">
        <x:v>"</x:v>
      </x:c>
      <x:c r="V1750" t="str">
        <x:v>E2ESPAC241001WL0MAH7VTY2X</x:v>
      </x:c>
    </x:row>
    <x:row r="1751">
      <x:c r="A1751" t="str">
        <x:v>RAW-IMP-20260516-FULLDRAFT-001734</x:v>
      </x:c>
      <x:c r="B1751" t="str">
        <x:v>IMP-20260516-FULLDRAFT</x:v>
      </x:c>
      <x:c r="C1751" t="str">
        <x:v>KTO001</x:v>
      </x:c>
      <x:c r="D1751" t="str">
        <x:v>16-05-2026_Umsatzliste_Girokonto_DE98120300001061711675.csv</x:v>
      </x:c>
      <x:c r="E1751" t="n">
        <x:v>46163</x:v>
      </x:c>
      <x:c r="F1751" t="n">
        <x:v>1734</x:v>
      </x:c>
      <x:c r="G1751" t="str">
        <x:v>afec51c6c8c7d3b99bcbedbea7882e80b36d5b1fc90c3061fdffcfdb70d2a25f</x:v>
      </x:c>
      <x:c r="H1751" t="str">
        <x:v>neu</x:v>
      </x:c>
      <x:c r="I1751" t="str">
        <x:v>ok</x:v>
      </x:c>
      <x:c r="J1751"/>
      <x:c r="K1751" t="n">
        <x:v>45567</x:v>
      </x:c>
      <x:c r="L1751" t="n">
        <x:v>45567</x:v>
      </x:c>
      <x:c r="M1751" t="str">
        <x:v>Gebucht</x:v>
      </x:c>
      <x:c r="N1751" t="str">
        <x:v>Lars Kohlenberg</x:v>
      </x:c>
      <x:c r="O1751" t="str">
        <x:v>VHV Allg. Versicherung AG</x:v>
      </x:c>
      <x:c r="P1751" t="str">
        <x:v>VHV Versicherung HAFTPFLICHTVERSICHERUNG H 306-298548/0000 Abrechnung: 01.10.24 - 01.01.25</x:v>
      </x:c>
      <x:c r="Q1751" t="str">
        <x:v>Ausgang</x:v>
      </x:c>
      <x:c r="R1751" t="str">
        <x:v>DE65250500000101411551</x:v>
      </x:c>
      <x:c r="S1751" t="n">
        <x:v>-23.63</x:v>
      </x:c>
      <x:c r="T1751" t="str">
        <x:v>DE32VHV00000150810</x:v>
      </x:c>
      <x:c r="U1751" t="str">
        <x:v>0015012300010037</x:v>
      </x:c>
      <x:c r="V1751" t="str">
        <x:v>31393217113</x:v>
      </x:c>
    </x:row>
    <x:row r="1752">
      <x:c r="A1752" t="str">
        <x:v>RAW-IMP-20260516-FULLDRAFT-001735</x:v>
      </x:c>
      <x:c r="B1752" t="str">
        <x:v>IMP-20260516-FULLDRAFT</x:v>
      </x:c>
      <x:c r="C1752" t="str">
        <x:v>KTO001</x:v>
      </x:c>
      <x:c r="D1752" t="str">
        <x:v>16-05-2026_Umsatzliste_Girokonto_DE98120300001061711675.csv</x:v>
      </x:c>
      <x:c r="E1752" t="n">
        <x:v>46163</x:v>
      </x:c>
      <x:c r="F1752" t="n">
        <x:v>1735</x:v>
      </x:c>
      <x:c r="G1752" t="str">
        <x:v>42411ce235d4fac000ee8d447524ef1ad86d2cbcd33659e2b986896363ebaec7</x:v>
      </x:c>
      <x:c r="H1752" t="str">
        <x:v>neu</x:v>
      </x:c>
      <x:c r="I1752" t="str">
        <x:v>ok</x:v>
      </x:c>
      <x:c r="J1752"/>
      <x:c r="K1752" t="n">
        <x:v>45567</x:v>
      </x:c>
      <x:c r="L1752" t="n">
        <x:v>45567</x:v>
      </x:c>
      <x:c r="M1752" t="str">
        <x:v>Gebucht</x:v>
      </x:c>
      <x:c r="N1752" t="str">
        <x:v>Lars Kohlenberg</x:v>
      </x:c>
      <x:c r="O1752" t="str">
        <x:v>VHV Allg. Versicherung AG</x:v>
      </x:c>
      <x:c r="P1752" t="str">
        <x:v>VHV Versicherung UNFALLVERSICHERUNG U 013-072445/0000 Abrechnung: 01.10.24 - 01.11.24</x:v>
      </x:c>
      <x:c r="Q1752" t="str">
        <x:v>Ausgang</x:v>
      </x:c>
      <x:c r="R1752" t="str">
        <x:v>DE65250500000101411551</x:v>
      </x:c>
      <x:c r="S1752" t="n">
        <x:v>-11.96</x:v>
      </x:c>
      <x:c r="T1752" t="str">
        <x:v>DE32VHV00000150810</x:v>
      </x:c>
      <x:c r="U1752" t="str">
        <x:v>0015012300010039</x:v>
      </x:c>
      <x:c r="V1752" t="str">
        <x:v>31393217124</x:v>
      </x:c>
    </x:row>
    <x:row r="1753">
      <x:c r="A1753" t="str">
        <x:v>RAW-IMP-20260516-FULLDRAFT-001736</x:v>
      </x:c>
      <x:c r="B1753" t="str">
        <x:v>IMP-20260516-FULLDRAFT</x:v>
      </x:c>
      <x:c r="C1753" t="str">
        <x:v>KTO001</x:v>
      </x:c>
      <x:c r="D1753" t="str">
        <x:v>16-05-2026_Umsatzliste_Girokonto_DE98120300001061711675.csv</x:v>
      </x:c>
      <x:c r="E1753" t="n">
        <x:v>46163</x:v>
      </x:c>
      <x:c r="F1753" t="n">
        <x:v>1736</x:v>
      </x:c>
      <x:c r="G1753" t="str">
        <x:v>56a703dcf773f7baa014cbd2cceee025d8a92a31a36f21224962e1306e9522b1</x:v>
      </x:c>
      <x:c r="H1753" t="str">
        <x:v>neu</x:v>
      </x:c>
      <x:c r="I1753" t="str">
        <x:v>ok</x:v>
      </x:c>
      <x:c r="J1753"/>
      <x:c r="K1753" t="n">
        <x:v>45566</x:v>
      </x:c>
      <x:c r="L1753" t="n">
        <x:v>45566</x:v>
      </x:c>
      <x:c r="M1753" t="str">
        <x:v>Gebucht</x:v>
      </x:c>
      <x:c r="N1753" t="str">
        <x:v>WILLI KOHLENBERG</x:v>
      </x:c>
      <x:c r="O1753" t="str">
        <x:v>LARS KOHLENBERG</x:v>
      </x:c>
      <x:c r="P1753" t="str">
        <x:v>MIETE 2/3 HAUS</x:v>
      </x:c>
      <x:c r="Q1753" t="str">
        <x:v>Eingang</x:v>
      </x:c>
      <x:c r="R1753" t="str">
        <x:v>DE84270800600651520400</x:v>
      </x:c>
      <x:c r="S1753" t="n">
        <x:v>750</x:v>
      </x:c>
      <x:c r="T1753" t="str">
        <x:v>"</x:v>
      </x:c>
      <x:c r="U1753" t="str">
        <x:v>"</x:v>
      </x:c>
      <x:c r="V1753" t="str">
        <x:v>"</x:v>
      </x:c>
    </x:row>
    <x:row r="1754">
      <x:c r="A1754" t="str">
        <x:v>RAW-IMP-20260516-FULLDRAFT-001737</x:v>
      </x:c>
      <x:c r="B1754" t="str">
        <x:v>IMP-20260516-FULLDRAFT</x:v>
      </x:c>
      <x:c r="C1754" t="str">
        <x:v>KTO001</x:v>
      </x:c>
      <x:c r="D1754" t="str">
        <x:v>16-05-2026_Umsatzliste_Girokonto_DE98120300001061711675.csv</x:v>
      </x:c>
      <x:c r="E1754" t="n">
        <x:v>46163</x:v>
      </x:c>
      <x:c r="F1754" t="n">
        <x:v>1737</x:v>
      </x:c>
      <x:c r="G1754" t="str">
        <x:v>7898bcef4383c25deee2ca6377f32f8cda1d61dad49975a2b3abebf73cc8961f</x:v>
      </x:c>
      <x:c r="H1754" t="str">
        <x:v>neu</x:v>
      </x:c>
      <x:c r="I1754" t="str">
        <x:v>ok</x:v>
      </x:c>
      <x:c r="J1754"/>
      <x:c r="K1754" t="n">
        <x:v>45566</x:v>
      </x:c>
      <x:c r="L1754" t="n">
        <x:v>45566</x:v>
      </x:c>
      <x:c r="M1754" t="str">
        <x:v>Gebucht</x:v>
      </x:c>
      <x:c r="N1754" t="str">
        <x:v>KOHLENBERG, LARS</x:v>
      </x:c>
      <x:c r="O1754" t="str">
        <x:v>Lars und Katrin Kohlenberg</x:v>
      </x:c>
      <x:c r="P1754" t="str">
        <x:v>10791524 VERMOEGENSDEPOT SAMMELBUCHUNG SPARPLAN WKN A1C9ED, 847809</x:v>
      </x:c>
      <x:c r="Q1754" t="str">
        <x:v>Ausgang</x:v>
      </x:c>
      <x:c r="R1754" t="str">
        <x:v>DE27672300000506966162</x:v>
      </x:c>
      <x:c r="S1754" t="n">
        <x:v>-600</x:v>
      </x:c>
      <x:c r="T1754" t="str">
        <x:v>DE53ZZZ00000010849</x:v>
      </x:c>
      <x:c r="U1754" t="str">
        <x:v>WPBF0000180845</x:v>
      </x:c>
      <x:c r="V1754" t="str">
        <x:v>SPARSP 15293624</x:v>
      </x:c>
    </x:row>
    <x:row r="1755">
      <x:c r="A1755" t="str">
        <x:v>RAW-IMP-20260516-FULLDRAFT-001738</x:v>
      </x:c>
      <x:c r="B1755" t="str">
        <x:v>IMP-20260516-FULLDRAFT</x:v>
      </x:c>
      <x:c r="C1755" t="str">
        <x:v>KTO001</x:v>
      </x:c>
      <x:c r="D1755" t="str">
        <x:v>16-05-2026_Umsatzliste_Girokonto_DE98120300001061711675.csv</x:v>
      </x:c>
      <x:c r="E1755" t="n">
        <x:v>46163</x:v>
      </x:c>
      <x:c r="F1755" t="n">
        <x:v>1738</x:v>
      </x:c>
      <x:c r="G1755" t="str">
        <x:v>b92446d73642ade96508f185ff0a56685db3114ea538e7907c9a7b84fca1fd35</x:v>
      </x:c>
      <x:c r="H1755" t="str">
        <x:v>neu</x:v>
      </x:c>
      <x:c r="I1755" t="str">
        <x:v>ok</x:v>
      </x:c>
      <x:c r="J1755"/>
      <x:c r="K1755" t="n">
        <x:v>45566</x:v>
      </x:c>
      <x:c r="L1755" t="n">
        <x:v>45566</x:v>
      </x:c>
      <x:c r="M1755" t="str">
        <x:v>Gebucht</x:v>
      </x:c>
      <x:c r="N1755" t="str">
        <x:v>KOHLENBERG LARS</x:v>
      </x:c>
      <x:c r="O1755" t="str">
        <x:v>VOLKSWOHL BUND Lebensversicherung a.G.</x:v>
      </x:c>
      <x:c r="P1755" t="str">
        <x:v>009893595 LA000750566/ 009893595 LEBEN 66,15</x:v>
      </x:c>
      <x:c r="Q1755" t="str">
        <x:v>Ausgang</x:v>
      </x:c>
      <x:c r="R1755" t="str">
        <x:v>DE76440400370361155500</x:v>
      </x:c>
      <x:c r="S1755" t="n">
        <x:v>-66.15</x:v>
      </x:c>
      <x:c r="T1755" t="str">
        <x:v>DE13ZZZ00000141064</x:v>
      </x:c>
      <x:c r="U1755" t="str">
        <x:v>LA000750566</x:v>
      </x:c>
      <x:c r="V1755" t="str">
        <x:v>009893595/NVMA.G1097-337113</x:v>
      </x:c>
    </x:row>
    <x:row r="1756">
      <x:c r="A1756" t="str">
        <x:v>RAW-IMP-20260516-FULLDRAFT-001739</x:v>
      </x:c>
      <x:c r="B1756" t="str">
        <x:v>IMP-20260516-FULLDRAFT</x:v>
      </x:c>
      <x:c r="C1756" t="str">
        <x:v>KTO001</x:v>
      </x:c>
      <x:c r="D1756" t="str">
        <x:v>16-05-2026_Umsatzliste_Girokonto_DE98120300001061711675.csv</x:v>
      </x:c>
      <x:c r="E1756" t="n">
        <x:v>46163</x:v>
      </x:c>
      <x:c r="F1756" t="n">
        <x:v>1739</x:v>
      </x:c>
      <x:c r="G1756" t="str">
        <x:v>53e1b4b2117ab39bf25bcf73ec17d85c75b49e4170e4a656f589d79872bce80b</x:v>
      </x:c>
      <x:c r="H1756" t="str">
        <x:v>neu</x:v>
      </x:c>
      <x:c r="I1756" t="str">
        <x:v>ok</x:v>
      </x:c>
      <x:c r="J1756"/>
      <x:c r="K1756" t="n">
        <x:v>45566</x:v>
      </x:c>
      <x:c r="L1756" t="n">
        <x:v>45566</x:v>
      </x:c>
      <x:c r="M1756" t="str">
        <x:v>Gebucht</x:v>
      </x:c>
      <x:c r="N1756" t="str">
        <x:v>Lars Kohlenberg                                                       Johannes-Wosnitza-Str. 8 38229 Salzgitter</x:v>
      </x:c>
      <x:c r="O1756" t="str">
        <x:v>Heidelberger Lebensversicherung AG                                    Im Breitspiel 2-4, 69126 Heidelberg</x:v>
      </x:c>
      <x:c r="P1756" t="str">
        <x:v>60012826 , 10.24</x:v>
      </x:c>
      <x:c r="Q1756" t="str">
        <x:v>Ausgang</x:v>
      </x:c>
      <x:c r="R1756" t="str">
        <x:v>DE38600501010002662604</x:v>
      </x:c>
      <x:c r="S1756" t="n">
        <x:v>-452.71</x:v>
      </x:c>
      <x:c r="T1756" t="str">
        <x:v>DE31HLE00000032682</x:v>
      </x:c>
      <x:c r="U1756" t="str">
        <x:v>11-140000075706</x:v>
      </x:c>
      <x:c r="V1756" t="str">
        <x:v>120041163383</x:v>
      </x:c>
    </x:row>
    <x:row r="1757">
      <x:c r="A1757" t="str">
        <x:v>RAW-IMP-20260516-FULLDRAFT-001740</x:v>
      </x:c>
      <x:c r="B1757" t="str">
        <x:v>IMP-20260516-FULLDRAFT</x:v>
      </x:c>
      <x:c r="C1757" t="str">
        <x:v>KTO001</x:v>
      </x:c>
      <x:c r="D1757" t="str">
        <x:v>16-05-2026_Umsatzliste_Girokonto_DE98120300001061711675.csv</x:v>
      </x:c>
      <x:c r="E1757" t="n">
        <x:v>46163</x:v>
      </x:c>
      <x:c r="F1757" t="n">
        <x:v>1740</x:v>
      </x:c>
      <x:c r="G1757" t="str">
        <x:v>ce409c4359205c0dad3a27912505d5e21b3e1f6dbbe884d06183987c8eb6d407</x:v>
      </x:c>
      <x:c r="H1757" t="str">
        <x:v>neu</x:v>
      </x:c>
      <x:c r="I1757" t="str">
        <x:v>ok</x:v>
      </x:c>
      <x:c r="J1757"/>
      <x:c r="K1757" t="n">
        <x:v>45566</x:v>
      </x:c>
      <x:c r="L1757" t="n">
        <x:v>45566</x:v>
      </x:c>
      <x:c r="M1757" t="str">
        <x:v>Gebucht</x:v>
      </x:c>
      <x:c r="N1757" t="str">
        <x:v>ISSUER</x:v>
      </x:c>
      <x:c r="O1757" t="str">
        <x:v>Lidl.sagt.Danke/Salzgitter</x:v>
      </x:c>
      <x:c r="P1757" t="str">
        <x:v>VISA Debitkartenumsatz vom 30.09.2024</x:v>
      </x:c>
      <x:c r="Q1757" t="str">
        <x:v>Ausgang</x:v>
      </x:c>
      <x:c r="R1757" t="str">
        <x:v>DE96120300009005290904</x:v>
      </x:c>
      <x:c r="S1757" t="n">
        <x:v>-35.12</x:v>
      </x:c>
      <x:c r="T1757" t="str">
        <x:v>"</x:v>
      </x:c>
      <x:c r="U1757" t="str">
        <x:v>"</x:v>
      </x:c>
      <x:c r="V1757" t="str">
        <x:v>484274596785063</x:v>
      </x:c>
    </x:row>
    <x:row r="1758">
      <x:c r="A1758" t="str">
        <x:v>RAW-IMP-20260516-FULLDRAFT-001741</x:v>
      </x:c>
      <x:c r="B1758" t="str">
        <x:v>IMP-20260516-FULLDRAFT</x:v>
      </x:c>
      <x:c r="C1758" t="str">
        <x:v>KTO001</x:v>
      </x:c>
      <x:c r="D1758" t="str">
        <x:v>16-05-2026_Umsatzliste_Girokonto_DE98120300001061711675.csv</x:v>
      </x:c>
      <x:c r="E1758" t="n">
        <x:v>46163</x:v>
      </x:c>
      <x:c r="F1758" t="n">
        <x:v>1741</x:v>
      </x:c>
      <x:c r="G1758" t="str">
        <x:v>7115abcdf051d1e5ef2dfb754edc997ae394eaf3457bd6442057a167ee5d21e2</x:v>
      </x:c>
      <x:c r="H1758" t="str">
        <x:v>neu</x:v>
      </x:c>
      <x:c r="I1758" t="str">
        <x:v>ok</x:v>
      </x:c>
      <x:c r="J1758"/>
      <x:c r="K1758" t="n">
        <x:v>45566</x:v>
      </x:c>
      <x:c r="L1758" t="n">
        <x:v>45566</x:v>
      </x:c>
      <x:c r="M1758" t="str">
        <x:v>Gebucht</x:v>
      </x:c>
      <x:c r="N1758" t="str">
        <x:v>KOHLENBERG, LARS</x:v>
      </x:c>
      <x:c r="O1758" t="str">
        <x:v>VPV-LEBENSVERSICHERUNGS-AG</x:v>
      </x:c>
      <x:c r="P1758" t="str">
        <x:v>VNR 301667726</x:v>
      </x:c>
      <x:c r="Q1758" t="str">
        <x:v>Ausgang</x:v>
      </x:c>
      <x:c r="R1758" t="str">
        <x:v>DE78600501010001166338</x:v>
      </x:c>
      <x:c r="S1758" t="n">
        <x:v>-53.3</x:v>
      </x:c>
      <x:c r="T1758" t="str">
        <x:v>DE96LAG00000064686</x:v>
      </x:c>
      <x:c r="U1758" t="str">
        <x:v>ML700120510</x:v>
      </x:c>
      <x:c r="V1758" t="str">
        <x:v>240930 452317075 ML700120510</x:v>
      </x:c>
    </x:row>
    <x:row r="1759">
      <x:c r="A1759" t="str">
        <x:v>RAW-IMP-20260516-FULLDRAFT-001742</x:v>
      </x:c>
      <x:c r="B1759" t="str">
        <x:v>IMP-20260516-FULLDRAFT</x:v>
      </x:c>
      <x:c r="C1759" t="str">
        <x:v>KTO001</x:v>
      </x:c>
      <x:c r="D1759" t="str">
        <x:v>16-05-2026_Umsatzliste_Girokonto_DE98120300001061711675.csv</x:v>
      </x:c>
      <x:c r="E1759" t="n">
        <x:v>46163</x:v>
      </x:c>
      <x:c r="F1759" t="n">
        <x:v>1742</x:v>
      </x:c>
      <x:c r="G1759" t="str">
        <x:v>a055cc430d9075bac910cfb393f0767a5d1514f573fd6eac645e8cabcc873b66</x:v>
      </x:c>
      <x:c r="H1759" t="str">
        <x:v>neu</x:v>
      </x:c>
      <x:c r="I1759" t="str">
        <x:v>ok</x:v>
      </x:c>
      <x:c r="J1759"/>
      <x:c r="K1759" t="n">
        <x:v>45566</x:v>
      </x:c>
      <x:c r="L1759" t="n">
        <x:v>45566</x:v>
      </x:c>
      <x:c r="M1759" t="str">
        <x:v>Gebucht</x:v>
      </x:c>
      <x:c r="N1759" t="str">
        <x:v>Lars Kohlenberg</x:v>
      </x:c>
      <x:c r="O1759" t="str">
        <x:v>KATRIN KOHLENBERG</x:v>
      </x:c>
      <x:c r="P1759" t="str">
        <x:v>Apanage</x:v>
      </x:c>
      <x:c r="Q1759" t="str">
        <x:v>Ausgang</x:v>
      </x:c>
      <x:c r="R1759" t="str">
        <x:v>DE32270727240307336800</x:v>
      </x:c>
      <x:c r="S1759" t="n">
        <x:v>-1800</x:v>
      </x:c>
      <x:c r="T1759" t="str">
        <x:v>"</x:v>
      </x:c>
      <x:c r="U1759" t="str">
        <x:v>"</x:v>
      </x:c>
      <x:c r="V1759" t="str">
        <x:v>"</x:v>
      </x:c>
    </x:row>
    <x:row r="1760">
      <x:c r="A1760" t="str">
        <x:v>RAW-IMP-20260516-FULLDRAFT-001743</x:v>
      </x:c>
      <x:c r="B1760" t="str">
        <x:v>IMP-20260516-FULLDRAFT</x:v>
      </x:c>
      <x:c r="C1760" t="str">
        <x:v>KTO001</x:v>
      </x:c>
      <x:c r="D1760" t="str">
        <x:v>16-05-2026_Umsatzliste_Girokonto_DE98120300001061711675.csv</x:v>
      </x:c>
      <x:c r="E1760" t="n">
        <x:v>46163</x:v>
      </x:c>
      <x:c r="F1760" t="n">
        <x:v>1743</x:v>
      </x:c>
      <x:c r="G1760" t="str">
        <x:v>2092c9eaf4c78cd2086392669460c915167173e24022cbe6608b608b2118fb4d</x:v>
      </x:c>
      <x:c r="H1760" t="str">
        <x:v>neu</x:v>
      </x:c>
      <x:c r="I1760" t="str">
        <x:v>ok</x:v>
      </x:c>
      <x:c r="J1760"/>
      <x:c r="K1760" t="n">
        <x:v>45566</x:v>
      </x:c>
      <x:c r="L1760" t="n">
        <x:v>45566</x:v>
      </x:c>
      <x:c r="M1760" t="str">
        <x:v>Gebucht</x:v>
      </x:c>
      <x:c r="N1760" t="str">
        <x:v>Lars Kohlenberg</x:v>
      </x:c>
      <x:c r="O1760" t="str">
        <x:v>LARS KOHLENBERG</x:v>
      </x:c>
      <x:c r="P1760" t="str">
        <x:v>Sparrate 650,- + 750 EUR Mieteinnahmen</x:v>
      </x:c>
      <x:c r="Q1760" t="str">
        <x:v>Ausgang</x:v>
      </x:c>
      <x:c r="R1760" t="str">
        <x:v>DE91270200001510365800</x:v>
      </x:c>
      <x:c r="S1760" t="n">
        <x:v>-1400</x:v>
      </x:c>
      <x:c r="T1760" t="str">
        <x:v>"</x:v>
      </x:c>
      <x:c r="U1760" t="str">
        <x:v>"</x:v>
      </x:c>
      <x:c r="V1760" t="str">
        <x:v>"</x:v>
      </x:c>
    </x:row>
    <x:row r="1761">
      <x:c r="A1761" t="str">
        <x:v>RAW-IMP-20260516-FULLDRAFT-001744</x:v>
      </x:c>
      <x:c r="B1761" t="str">
        <x:v>IMP-20260516-FULLDRAFT</x:v>
      </x:c>
      <x:c r="C1761" t="str">
        <x:v>KTO001</x:v>
      </x:c>
      <x:c r="D1761" t="str">
        <x:v>16-05-2026_Umsatzliste_Girokonto_DE98120300001061711675.csv</x:v>
      </x:c>
      <x:c r="E1761" t="n">
        <x:v>46163</x:v>
      </x:c>
      <x:c r="F1761" t="n">
        <x:v>1744</x:v>
      </x:c>
      <x:c r="G1761" t="str">
        <x:v>884e284b1c1e71dd3b13ef5a313938d153eaac699214459fb8c7744f444e028c</x:v>
      </x:c>
      <x:c r="H1761" t="str">
        <x:v>neu</x:v>
      </x:c>
      <x:c r="I1761" t="str">
        <x:v>ok</x:v>
      </x:c>
      <x:c r="J1761"/>
      <x:c r="K1761" t="n">
        <x:v>45566</x:v>
      </x:c>
      <x:c r="L1761" t="n">
        <x:v>45566</x:v>
      </x:c>
      <x:c r="M1761" t="str">
        <x:v>Gebucht</x:v>
      </x:c>
      <x:c r="N1761" t="str">
        <x:v>Kohlenberg, Lars</x:v>
      </x:c>
      <x:c r="O1761" t="str">
        <x:v>IDEAL Lebensversicherung aG</x:v>
      </x:c>
      <x:c r="P1761" t="str">
        <x:v>2011216280009 LV 101</x:v>
      </x:c>
      <x:c r="Q1761" t="str">
        <x:v>Ausgang</x:v>
      </x:c>
      <x:c r="R1761" t="str">
        <x:v>DE36100700000460303100</x:v>
      </x:c>
      <x:c r="S1761" t="n">
        <x:v>-97.12</x:v>
      </x:c>
      <x:c r="T1761" t="str">
        <x:v>DE40ZZZ00000559230</x:v>
      </x:c>
      <x:c r="U1761" t="str">
        <x:v>2011216280009-001</x:v>
      </x:c>
      <x:c r="V1761" t="str">
        <x:v>GL,KL,PD-20241001-1-2011216280009-0</x:v>
      </x:c>
    </x:row>
    <x:row r="1762">
      <x:c r="A1762" t="str">
        <x:v>RAW-IMP-20260516-FULLDRAFT-001745</x:v>
      </x:c>
      <x:c r="B1762" t="str">
        <x:v>IMP-20260516-FULLDRAFT</x:v>
      </x:c>
      <x:c r="C1762" t="str">
        <x:v>KTO001</x:v>
      </x:c>
      <x:c r="D1762" t="str">
        <x:v>16-05-2026_Umsatzliste_Girokonto_DE98120300001061711675.csv</x:v>
      </x:c>
      <x:c r="E1762" t="n">
        <x:v>46163</x:v>
      </x:c>
      <x:c r="F1762" t="n">
        <x:v>1745</x:v>
      </x:c>
      <x:c r="G1762" t="str">
        <x:v>e32d8145ca71fa0a94667fa064ec27b8d79dbaa6409ec705a7cfcd751db8acf7</x:v>
      </x:c>
      <x:c r="H1762" t="str">
        <x:v>neu</x:v>
      </x:c>
      <x:c r="I1762" t="str">
        <x:v>ok</x:v>
      </x:c>
      <x:c r="J1762"/>
      <x:c r="K1762" t="n">
        <x:v>45566</x:v>
      </x:c>
      <x:c r="L1762" t="n">
        <x:v>45566</x:v>
      </x:c>
      <x:c r="M1762" t="str">
        <x:v>Gebucht</x:v>
      </x:c>
      <x:c r="N1762" t="str">
        <x:v>Kohlenberg Lars</x:v>
      </x:c>
      <x:c r="O1762" t="str">
        <x:v>Allianz Lebensvers. AG</x:v>
      </x:c>
      <x:c r="P1762" t="str">
        <x:v>330296196 1024</x:v>
      </x:c>
      <x:c r="Q1762" t="str">
        <x:v>Ausgang</x:v>
      </x:c>
      <x:c r="R1762" t="str">
        <x:v>DE77700202700062328142</x:v>
      </x:c>
      <x:c r="S1762" t="n">
        <x:v>-162.17</x:v>
      </x:c>
      <x:c r="T1762" t="str">
        <x:v>DE07ZZZ00000063475</x:v>
      </x:c>
      <x:c r="U1762" t="str">
        <x:v>LA01L312001066775296</x:v>
      </x:c>
      <x:c r="V1762" t="str">
        <x:v>A7024267-000330296196024009798487</x:v>
      </x:c>
    </x:row>
    <x:row r="1763">
      <x:c r="A1763" t="str">
        <x:v>RAW-IMP-20260516-FULLDRAFT-001746</x:v>
      </x:c>
      <x:c r="B1763" t="str">
        <x:v>IMP-20260516-FULLDRAFT</x:v>
      </x:c>
      <x:c r="C1763" t="str">
        <x:v>KTO001</x:v>
      </x:c>
      <x:c r="D1763" t="str">
        <x:v>16-05-2026_Umsatzliste_Girokonto_DE98120300001061711675.csv</x:v>
      </x:c>
      <x:c r="E1763" t="n">
        <x:v>46163</x:v>
      </x:c>
      <x:c r="F1763" t="n">
        <x:v>1746</x:v>
      </x:c>
      <x:c r="G1763" t="str">
        <x:v>f76e9dcd06a2a00c9b97c97187d8dc0cf5469a7937ea1c43252987fa19f86304</x:v>
      </x:c>
      <x:c r="H1763" t="str">
        <x:v>neu</x:v>
      </x:c>
      <x:c r="I1763" t="str">
        <x:v>ok</x:v>
      </x:c>
      <x:c r="J1763"/>
      <x:c r="K1763" t="n">
        <x:v>45566</x:v>
      </x:c>
      <x:c r="L1763" t="n">
        <x:v>45566</x:v>
      </x:c>
      <x:c r="M1763" t="str">
        <x:v>Gebucht</x:v>
      </x:c>
      <x:c r="N1763" t="str">
        <x:v>DKB AG</x:v>
      </x:c>
      <x:c r="O1763" t="str">
        <x:v>DKB AG</x:v>
      </x:c>
      <x:c r="P1763" t="str">
        <x:v>Abrechnung 30.09.2024 siehe Anlage Abrechnung 30.09.2024 Information zur Abrechnung Kontostand am 30.09.2024                                        5.673,48 + Abrechnungszeitraum vom 01.07.2024 bis 30.09.2024 Abrechnung 30.09.2024                                                0,00+ Sollzinssätze am 30.09.2024  9,9000 v.H. für eingeräumte Kontoüberziehung (aktuell eingeräumte Kontoüberziehung       2.000,00)  9,9000 v.H. für geduldete Kontoüberziehung über die eingeräumte Kontoüberziehung hinaus Kontostand/Rechnungsabschluss am 30.09.2024                     5.673,48 + Rechnungsnummer: 20240930-BY111-00208182312</x:v>
      </x:c>
      <x:c r="Q1763" t="str">
        <x:v>Eingang</x:v>
      </x:c>
      <x:c r="R1763" t="str">
        <x:v>1061711675</x:v>
      </x:c>
      <x:c r="S1763" t="n">
        <x:v>0</x:v>
      </x:c>
      <x:c r="T1763" t="str">
        <x:v>"</x:v>
      </x:c>
      <x:c r="U1763" t="str">
        <x:v>"</x:v>
      </x:c>
      <x:c r="V1763" t="str">
        <x:v>"</x:v>
      </x:c>
    </x:row>
    <x:row r="1764">
      <x:c r="A1764" t="str">
        <x:v>RAW-IMP-20260516-FULLDRAFT-001747</x:v>
      </x:c>
      <x:c r="B1764" t="str">
        <x:v>IMP-20260516-FULLDRAFT</x:v>
      </x:c>
      <x:c r="C1764" t="str">
        <x:v>KTO001</x:v>
      </x:c>
      <x:c r="D1764" t="str">
        <x:v>16-05-2026_Umsatzliste_Girokonto_DE98120300001061711675.csv</x:v>
      </x:c>
      <x:c r="E1764" t="n">
        <x:v>46163</x:v>
      </x:c>
      <x:c r="F1764" t="n">
        <x:v>1747</x:v>
      </x:c>
      <x:c r="G1764" t="str">
        <x:v>32495925d0f337fd09858c3721a07785768922e673ed0705b7e1b6e594a21caa</x:v>
      </x:c>
      <x:c r="H1764" t="str">
        <x:v>neu</x:v>
      </x:c>
      <x:c r="I1764" t="str">
        <x:v>ok</x:v>
      </x:c>
      <x:c r="J1764"/>
      <x:c r="K1764" t="n">
        <x:v>45565</x:v>
      </x:c>
      <x:c r="L1764" t="n">
        <x:v>45565</x:v>
      </x:c>
      <x:c r="M1764" t="str">
        <x:v>Gebucht</x:v>
      </x:c>
      <x:c r="N1764" t="str">
        <x:v>ISSUER</x:v>
      </x:c>
      <x:c r="O1764" t="str">
        <x:v>PAYPAL..LADENBURGER/3434130622</x:v>
      </x:c>
      <x:c r="P1764" t="str">
        <x:v>VISA Debitkartenumsatz vom 29.09.2024</x:v>
      </x:c>
      <x:c r="Q1764" t="str">
        <x:v>Ausgang</x:v>
      </x:c>
      <x:c r="R1764" t="str">
        <x:v>DE96120300009005290904</x:v>
      </x:c>
      <x:c r="S1764" t="n">
        <x:v>-25</x:v>
      </x:c>
      <x:c r="T1764" t="str">
        <x:v>"</x:v>
      </x:c>
      <x:c r="U1764" t="str">
        <x:v>"</x:v>
      </x:c>
      <x:c r="V1764" t="str">
        <x:v>384273736348526</x:v>
      </x:c>
    </x:row>
    <x:row r="1765">
      <x:c r="A1765" t="str">
        <x:v>RAW-IMP-20260516-FULLDRAFT-001748</x:v>
      </x:c>
      <x:c r="B1765" t="str">
        <x:v>IMP-20260516-FULLDRAFT</x:v>
      </x:c>
      <x:c r="C1765" t="str">
        <x:v>KTO001</x:v>
      </x:c>
      <x:c r="D1765" t="str">
        <x:v>16-05-2026_Umsatzliste_Girokonto_DE98120300001061711675.csv</x:v>
      </x:c>
      <x:c r="E1765" t="n">
        <x:v>46163</x:v>
      </x:c>
      <x:c r="F1765" t="n">
        <x:v>1748</x:v>
      </x:c>
      <x:c r="G1765" t="str">
        <x:v>8e3fa8271866d2d0d2a8ba7f4e10ec532e904fa9b634d2cc08e42f8bab4ece82</x:v>
      </x:c>
      <x:c r="H1765" t="str">
        <x:v>neu</x:v>
      </x:c>
      <x:c r="I1765" t="str">
        <x:v>ok</x:v>
      </x:c>
      <x:c r="J1765"/>
      <x:c r="K1765" t="n">
        <x:v>45565</x:v>
      </x:c>
      <x:c r="L1765" t="n">
        <x:v>45565</x:v>
      </x:c>
      <x:c r="M1765" t="str">
        <x:v>Gebucht</x:v>
      </x:c>
      <x:c r="N1765" t="str">
        <x:v>ISSUER</x:v>
      </x:c>
      <x:c r="O1765" t="str">
        <x:v>REWE.Salzgitter.Ge/Salzgitter</x:v>
      </x:c>
      <x:c r="P1765" t="str">
        <x:v>VISA Debitkartenumsatz vom 27.09.2024</x:v>
      </x:c>
      <x:c r="Q1765" t="str">
        <x:v>Ausgang</x:v>
      </x:c>
      <x:c r="R1765" t="str">
        <x:v>DE96120300009005290904</x:v>
      </x:c>
      <x:c r="S1765" t="n">
        <x:v>-103.2</x:v>
      </x:c>
      <x:c r="T1765" t="str">
        <x:v>"</x:v>
      </x:c>
      <x:c r="U1765" t="str">
        <x:v>"</x:v>
      </x:c>
      <x:c r="V1765" t="str">
        <x:v>484271608726215</x:v>
      </x:c>
    </x:row>
    <x:row r="1766">
      <x:c r="A1766" t="str">
        <x:v>RAW-IMP-20260516-FULLDRAFT-001749</x:v>
      </x:c>
      <x:c r="B1766" t="str">
        <x:v>IMP-20260516-FULLDRAFT</x:v>
      </x:c>
      <x:c r="C1766" t="str">
        <x:v>KTO001</x:v>
      </x:c>
      <x:c r="D1766" t="str">
        <x:v>16-05-2026_Umsatzliste_Girokonto_DE98120300001061711675.csv</x:v>
      </x:c>
      <x:c r="E1766" t="n">
        <x:v>46163</x:v>
      </x:c>
      <x:c r="F1766" t="n">
        <x:v>1749</x:v>
      </x:c>
      <x:c r="G1766" t="str">
        <x:v>5a756ce1d6551ca850687f7e1feda5b693be69f02782f3bb51728eb1df25a9f7</x:v>
      </x:c>
      <x:c r="H1766" t="str">
        <x:v>neu</x:v>
      </x:c>
      <x:c r="I1766" t="str">
        <x:v>ok</x:v>
      </x:c>
      <x:c r="J1766"/>
      <x:c r="K1766" t="n">
        <x:v>45565</x:v>
      </x:c>
      <x:c r="L1766" t="n">
        <x:v>45565</x:v>
      </x:c>
      <x:c r="M1766" t="str">
        <x:v>Gebucht</x:v>
      </x:c>
      <x:c r="N1766" t="str">
        <x:v>ISSUER</x:v>
      </x:c>
      <x:c r="O1766" t="str">
        <x:v>Aral.Station.160540142/Salzgitter</x:v>
      </x:c>
      <x:c r="P1766" t="str">
        <x:v>VISA Debitkartenumsatz vom 27.09.2024</x:v>
      </x:c>
      <x:c r="Q1766" t="str">
        <x:v>Ausgang</x:v>
      </x:c>
      <x:c r="R1766" t="str">
        <x:v>DE96120300009005290904</x:v>
      </x:c>
      <x:c r="S1766" t="n">
        <x:v>-72.91</x:v>
      </x:c>
      <x:c r="T1766" t="str">
        <x:v>"</x:v>
      </x:c>
      <x:c r="U1766" t="str">
        <x:v>"</x:v>
      </x:c>
      <x:c r="V1766" t="str">
        <x:v>484271541285871</x:v>
      </x:c>
    </x:row>
    <x:row r="1767">
      <x:c r="A1767" t="str">
        <x:v>RAW-IMP-20260516-FULLDRAFT-001750</x:v>
      </x:c>
      <x:c r="B1767" t="str">
        <x:v>IMP-20260516-FULLDRAFT</x:v>
      </x:c>
      <x:c r="C1767" t="str">
        <x:v>KTO001</x:v>
      </x:c>
      <x:c r="D1767" t="str">
        <x:v>16-05-2026_Umsatzliste_Girokonto_DE98120300001061711675.csv</x:v>
      </x:c>
      <x:c r="E1767" t="n">
        <x:v>46163</x:v>
      </x:c>
      <x:c r="F1767" t="n">
        <x:v>1750</x:v>
      </x:c>
      <x:c r="G1767" t="str">
        <x:v>7601310a9a5b51530b1ea3121e20db823693d274b6791db67ce89f9fc7518321</x:v>
      </x:c>
      <x:c r="H1767" t="str">
        <x:v>neu</x:v>
      </x:c>
      <x:c r="I1767" t="str">
        <x:v>ok</x:v>
      </x:c>
      <x:c r="J1767"/>
      <x:c r="K1767" t="n">
        <x:v>45565</x:v>
      </x:c>
      <x:c r="L1767" t="n">
        <x:v>45565</x:v>
      </x:c>
      <x:c r="M1767" t="str">
        <x:v>Gebucht</x:v>
      </x:c>
      <x:c r="N1767" t="str">
        <x:v>ISSUER</x:v>
      </x:c>
      <x:c r="O1767" t="str">
        <x:v>REWE.Salzgitter.Ge/Salzgitter</x:v>
      </x:c>
      <x:c r="P1767" t="str">
        <x:v>VISA Debitkartenumsatz vom 28.09.2024</x:v>
      </x:c>
      <x:c r="Q1767" t="str">
        <x:v>Ausgang</x:v>
      </x:c>
      <x:c r="R1767" t="str">
        <x:v>DE96120300009005290904</x:v>
      </x:c>
      <x:c r="S1767" t="n">
        <x:v>-5.72</x:v>
      </x:c>
      <x:c r="T1767" t="str">
        <x:v>"</x:v>
      </x:c>
      <x:c r="U1767" t="str">
        <x:v>"</x:v>
      </x:c>
      <x:c r="V1767" t="str">
        <x:v>484272555302019</x:v>
      </x:c>
    </x:row>
    <x:row r="1768">
      <x:c r="A1768" t="str">
        <x:v>RAW-IMP-20260516-FULLDRAFT-001751</x:v>
      </x:c>
      <x:c r="B1768" t="str">
        <x:v>IMP-20260516-FULLDRAFT</x:v>
      </x:c>
      <x:c r="C1768" t="str">
        <x:v>KTO001</x:v>
      </x:c>
      <x:c r="D1768" t="str">
        <x:v>16-05-2026_Umsatzliste_Girokonto_DE98120300001061711675.csv</x:v>
      </x:c>
      <x:c r="E1768" t="n">
        <x:v>46163</x:v>
      </x:c>
      <x:c r="F1768" t="n">
        <x:v>1751</x:v>
      </x:c>
      <x:c r="G1768" t="str">
        <x:v>7e2eac1d38c7e332a8c2d7a64c169b45dc5a0560c433eaa1dab853a1e3f92c0a</x:v>
      </x:c>
      <x:c r="H1768" t="str">
        <x:v>neu</x:v>
      </x:c>
      <x:c r="I1768" t="str">
        <x:v>ok</x:v>
      </x:c>
      <x:c r="J1768"/>
      <x:c r="K1768" t="n">
        <x:v>45565</x:v>
      </x:c>
      <x:c r="L1768" t="n">
        <x:v>45565</x:v>
      </x:c>
      <x:c r="M1768" t="str">
        <x:v>Gebucht</x:v>
      </x:c>
      <x:c r="N1768" t="str">
        <x:v>ISSUER</x:v>
      </x:c>
      <x:c r="O1768" t="str">
        <x:v>METRO.SAGT.DANKE/BRAUNSCHWEIG</x:v>
      </x:c>
      <x:c r="P1768" t="str">
        <x:v>VISA Debitkartenumsatz vom 27.09.2024</x:v>
      </x:c>
      <x:c r="Q1768" t="str">
        <x:v>Ausgang</x:v>
      </x:c>
      <x:c r="R1768" t="str">
        <x:v>DE96120300009005290904</x:v>
      </x:c>
      <x:c r="S1768" t="n">
        <x:v>-47.21</x:v>
      </x:c>
      <x:c r="T1768" t="str">
        <x:v>"</x:v>
      </x:c>
      <x:c r="U1768" t="str">
        <x:v>"</x:v>
      </x:c>
      <x:c r="V1768" t="str">
        <x:v>484271531250265</x:v>
      </x:c>
    </x:row>
    <x:row r="1769">
      <x:c r="A1769" t="str">
        <x:v>RAW-IMP-20260516-FULLDRAFT-001752</x:v>
      </x:c>
      <x:c r="B1769" t="str">
        <x:v>IMP-20260516-FULLDRAFT</x:v>
      </x:c>
      <x:c r="C1769" t="str">
        <x:v>KTO001</x:v>
      </x:c>
      <x:c r="D1769" t="str">
        <x:v>16-05-2026_Umsatzliste_Girokonto_DE98120300001061711675.csv</x:v>
      </x:c>
      <x:c r="E1769" t="n">
        <x:v>46163</x:v>
      </x:c>
      <x:c r="F1769" t="n">
        <x:v>1752</x:v>
      </x:c>
      <x:c r="G1769" t="str">
        <x:v>73cc7770bee21adfdd6a49868cb6a53323159be2c57799c713b77d3f3f5a77d1</x:v>
      </x:c>
      <x:c r="H1769" t="str">
        <x:v>neu</x:v>
      </x:c>
      <x:c r="I1769" t="str">
        <x:v>ok</x:v>
      </x:c>
      <x:c r="J1769"/>
      <x:c r="K1769" t="n">
        <x:v>45565</x:v>
      </x:c>
      <x:c r="L1769" t="n">
        <x:v>45565</x:v>
      </x:c>
      <x:c r="M1769" t="str">
        <x:v>Gebucht</x:v>
      </x:c>
      <x:c r="N1769" t="str">
        <x:v>Kohlenberg, Katrin</x:v>
      </x:c>
      <x:c r="O1769" t="str">
        <x:v>WEVG Salzgitter GmbH + Co. KG</x:v>
      </x:c>
      <x:c r="P1769" t="str">
        <x:v>Kd-Nr 79288 Einz 30.09.24 41710/352.00/Johannes-Wosni 100833/70.00/Johannes-Wosni</x:v>
      </x:c>
      <x:c r="Q1769" t="str">
        <x:v>Ausgang</x:v>
      </x:c>
      <x:c r="R1769" t="str">
        <x:v>DE19300700100394127500</x:v>
      </x:c>
      <x:c r="S1769" t="n">
        <x:v>-422</x:v>
      </x:c>
      <x:c r="T1769" t="str">
        <x:v>DE83WEV00000032716</x:v>
      </x:c>
      <x:c r="U1769" t="str">
        <x:v>WEVG0000079288G1000178580</x:v>
      </x:c>
      <x:c r="V1769" t="str">
        <x:v>13214632</x:v>
      </x:c>
    </x:row>
    <x:row r="1770">
      <x:c r="A1770" t="str">
        <x:v>RAW-IMP-20260516-FULLDRAFT-001753</x:v>
      </x:c>
      <x:c r="B1770" t="str">
        <x:v>IMP-20260516-FULLDRAFT</x:v>
      </x:c>
      <x:c r="C1770" t="str">
        <x:v>KTO001</x:v>
      </x:c>
      <x:c r="D1770" t="str">
        <x:v>16-05-2026_Umsatzliste_Girokonto_DE98120300001061711675.csv</x:v>
      </x:c>
      <x:c r="E1770" t="n">
        <x:v>46163</x:v>
      </x:c>
      <x:c r="F1770" t="n">
        <x:v>1753</x:v>
      </x:c>
      <x:c r="G1770" t="str">
        <x:v>8adfb06e15cd31ac4370aaec45c13f78c00ba2fd71b814edb2213060b21a0ec8</x:v>
      </x:c>
      <x:c r="H1770" t="str">
        <x:v>neu</x:v>
      </x:c>
      <x:c r="I1770" t="str">
        <x:v>ok</x:v>
      </x:c>
      <x:c r="J1770"/>
      <x:c r="K1770" t="n">
        <x:v>45565</x:v>
      </x:c>
      <x:c r="L1770" t="n">
        <x:v>45565</x:v>
      </x:c>
      <x:c r="M1770" t="str">
        <x:v>Gebucht</x:v>
      </x:c>
      <x:c r="N1770" t="str">
        <x:v>Lars Kohlenberg</x:v>
      </x:c>
      <x:c r="O1770" t="str">
        <x:v>Bundeskasse DO Halle</x:v>
      </x:c>
      <x:c r="P1770" t="str">
        <x:v>Kfz-Steuer fuer SZ KL 910 fuer die Zeit vom 28.09.2024 bis zum 27.09.2025 Kassenzeichen K10218648000</x:v>
      </x:c>
      <x:c r="Q1770" t="str">
        <x:v>Ausgang</x:v>
      </x:c>
      <x:c r="R1770" t="str">
        <x:v>DE20860000000086001170</x:v>
      </x:c>
      <x:c r="S1770" t="n">
        <x:v>-106</x:v>
      </x:c>
      <x:c r="T1770" t="str">
        <x:v>DE09ZZZ00000000001</x:v>
      </x:c>
      <x:c r="U1770" t="str">
        <x:v>KFZFK1021864800029102023</x:v>
      </x:c>
      <x:c r="V1770" t="str">
        <x:v>K10218648000/000050/24ZVS18E</x:v>
      </x:c>
    </x:row>
    <x:row r="1771">
      <x:c r="A1771" t="str">
        <x:v>RAW-IMP-20260516-FULLDRAFT-001754</x:v>
      </x:c>
      <x:c r="B1771" t="str">
        <x:v>IMP-20260516-FULLDRAFT</x:v>
      </x:c>
      <x:c r="C1771" t="str">
        <x:v>KTO001</x:v>
      </x:c>
      <x:c r="D1771" t="str">
        <x:v>16-05-2026_Umsatzliste_Girokonto_DE98120300001061711675.csv</x:v>
      </x:c>
      <x:c r="E1771" t="n">
        <x:v>46163</x:v>
      </x:c>
      <x:c r="F1771" t="n">
        <x:v>1754</x:v>
      </x:c>
      <x:c r="G1771" t="str">
        <x:v>15ce07d59b534ddd31fe359fc5ac0889c2213b50bfbcedda098757bb96bb52d5</x:v>
      </x:c>
      <x:c r="H1771" t="str">
        <x:v>neu</x:v>
      </x:c>
      <x:c r="I1771" t="str">
        <x:v>ok</x:v>
      </x:c>
      <x:c r="J1771"/>
      <x:c r="K1771" t="n">
        <x:v>45565</x:v>
      </x:c>
      <x:c r="L1771" t="n">
        <x:v>45565</x:v>
      </x:c>
      <x:c r="M1771" t="str">
        <x:v>Gebucht</x:v>
      </x:c>
      <x:c r="N1771" t="str">
        <x:v>Lars Kohlenberg</x:v>
      </x:c>
      <x:c r="O1771" t="str">
        <x:v>LARS KOHLENBERG</x:v>
      </x:c>
      <x:c r="P1771" t="str">
        <x:v>Zins und Tilgung zu 2/3</x:v>
      </x:c>
      <x:c r="Q1771" t="str">
        <x:v>Ausgang</x:v>
      </x:c>
      <x:c r="R1771" t="str">
        <x:v>DE33269910668923736000</x:v>
      </x:c>
      <x:c r="S1771" t="n">
        <x:v>-1153.94</x:v>
      </x:c>
      <x:c r="T1771" t="str">
        <x:v>"</x:v>
      </x:c>
      <x:c r="U1771" t="str">
        <x:v>"</x:v>
      </x:c>
      <x:c r="V1771" t="str">
        <x:v>"</x:v>
      </x:c>
    </x:row>
    <x:row r="1772">
      <x:c r="A1772" t="str">
        <x:v>RAW-IMP-20260516-FULLDRAFT-001755</x:v>
      </x:c>
      <x:c r="B1772" t="str">
        <x:v>IMP-20260516-FULLDRAFT</x:v>
      </x:c>
      <x:c r="C1772" t="str">
        <x:v>KTO001</x:v>
      </x:c>
      <x:c r="D1772" t="str">
        <x:v>16-05-2026_Umsatzliste_Girokonto_DE98120300001061711675.csv</x:v>
      </x:c>
      <x:c r="E1772" t="n">
        <x:v>46163</x:v>
      </x:c>
      <x:c r="F1772" t="n">
        <x:v>1755</x:v>
      </x:c>
      <x:c r="G1772" t="str">
        <x:v>66ed8cd6e80ed85aed6975169cd911a37f3c8178ce17cce7dcdb9bc2a89f7e5d</x:v>
      </x:c>
      <x:c r="H1772" t="str">
        <x:v>neu</x:v>
      </x:c>
      <x:c r="I1772" t="str">
        <x:v>ok</x:v>
      </x:c>
      <x:c r="J1772"/>
      <x:c r="K1772" t="n">
        <x:v>45565</x:v>
      </x:c>
      <x:c r="L1772" t="n">
        <x:v>45565</x:v>
      </x:c>
      <x:c r="M1772" t="str">
        <x:v>Gebucht</x:v>
      </x:c>
      <x:c r="N1772" t="str">
        <x:v>Lars Kohlenberg</x:v>
      </x:c>
      <x:c r="O1772" t="str">
        <x:v>Regierungspräsidium</x:v>
      </x:c>
      <x:c r="P1772" t="str">
        <x:v>107. 307425.4</x:v>
      </x:c>
      <x:c r="Q1772" t="str">
        <x:v>Ausgang</x:v>
      </x:c>
      <x:c r="R1772" t="str">
        <x:v>DE48500100600006634602</x:v>
      </x:c>
      <x:c r="S1772" t="n">
        <x:v>-40</x:v>
      </x:c>
      <x:c r="T1772" t="str">
        <x:v>"</x:v>
      </x:c>
      <x:c r="U1772" t="str">
        <x:v>"</x:v>
      </x:c>
      <x:c r="V1772" t="str">
        <x:v>"</x:v>
      </x:c>
    </x:row>
    <x:row r="1773">
      <x:c r="A1773" t="str">
        <x:v>RAW-IMP-20260516-FULLDRAFT-001756</x:v>
      </x:c>
      <x:c r="B1773" t="str">
        <x:v>IMP-20260516-FULLDRAFT</x:v>
      </x:c>
      <x:c r="C1773" t="str">
        <x:v>KTO001</x:v>
      </x:c>
      <x:c r="D1773" t="str">
        <x:v>16-05-2026_Umsatzliste_Girokonto_DE98120300001061711675.csv</x:v>
      </x:c>
      <x:c r="E1773" t="n">
        <x:v>46163</x:v>
      </x:c>
      <x:c r="F1773" t="n">
        <x:v>1756</x:v>
      </x:c>
      <x:c r="G1773" t="str">
        <x:v>fe9fbf12e1191da0eaa948c2466a596b2285da00cf76298a4e258d41452379ba</x:v>
      </x:c>
      <x:c r="H1773" t="str">
        <x:v>neu</x:v>
      </x:c>
      <x:c r="I1773" t="str">
        <x:v>ok</x:v>
      </x:c>
      <x:c r="J1773"/>
      <x:c r="K1773" t="n">
        <x:v>45562</x:v>
      </x:c>
      <x:c r="L1773" t="n">
        <x:v>45562</x:v>
      </x:c>
      <x:c r="M1773" t="str">
        <x:v>Gebucht</x:v>
      </x:c>
      <x:c r="N1773" t="str">
        <x:v>Stiftung Kath. Altenhilfe im Bistum Hildesheim</x:v>
      </x:c>
      <x:c r="O1773" t="str">
        <x:v>KOHLENBERG LARS</x:v>
      </x:c>
      <x:c r="P1773" t="str">
        <x:v>GEHALT 9/24</x:v>
      </x:c>
      <x:c r="Q1773" t="str">
        <x:v>Eingang</x:v>
      </x:c>
      <x:c r="R1773" t="str">
        <x:v>DE92400602650023150301</x:v>
      </x:c>
      <x:c r="S1773" t="n">
        <x:v>7419.74</x:v>
      </x:c>
      <x:c r="T1773" t="str">
        <x:v>"</x:v>
      </x:c>
      <x:c r="U1773" t="str">
        <x:v>"</x:v>
      </x:c>
      <x:c r="V1773" t="str">
        <x:v>001001987662SALA004923005</x:v>
      </x:c>
    </x:row>
    <x:row r="1774">
      <x:c r="A1774" t="str">
        <x:v>RAW-IMP-20260516-FULLDRAFT-001757</x:v>
      </x:c>
      <x:c r="B1774" t="str">
        <x:v>IMP-20260516-FULLDRAFT</x:v>
      </x:c>
      <x:c r="C1774" t="str">
        <x:v>KTO001</x:v>
      </x:c>
      <x:c r="D1774" t="str">
        <x:v>16-05-2026_Umsatzliste_Girokonto_DE98120300001061711675.csv</x:v>
      </x:c>
      <x:c r="E1774" t="n">
        <x:v>46163</x:v>
      </x:c>
      <x:c r="F1774" t="n">
        <x:v>1757</x:v>
      </x:c>
      <x:c r="G1774" t="str">
        <x:v>8340554fe49f1c17643b3dc9cc6a7981c17958be3fe2b762d39a79bc614a10d4</x:v>
      </x:c>
      <x:c r="H1774" t="str">
        <x:v>neu</x:v>
      </x:c>
      <x:c r="I1774" t="str">
        <x:v>ok</x:v>
      </x:c>
      <x:c r="J1774"/>
      <x:c r="K1774" t="n">
        <x:v>45562</x:v>
      </x:c>
      <x:c r="L1774" t="n">
        <x:v>45562</x:v>
      </x:c>
      <x:c r="M1774" t="str">
        <x:v>Gebucht</x:v>
      </x:c>
      <x:c r="N1774" t="str">
        <x:v>ISSUER</x:v>
      </x:c>
      <x:c r="O1774" t="str">
        <x:v>EDEKA.POTRATZ/HILDESHEIM</x:v>
      </x:c>
      <x:c r="P1774" t="str">
        <x:v>VISA Debitkartenumsatz vom 26.09.2024</x:v>
      </x:c>
      <x:c r="Q1774" t="str">
        <x:v>Ausgang</x:v>
      </x:c>
      <x:c r="R1774" t="str">
        <x:v>DE96120300009005290904</x:v>
      </x:c>
      <x:c r="S1774" t="n">
        <x:v>-7</x:v>
      </x:c>
      <x:c r="T1774" t="str">
        <x:v>"</x:v>
      </x:c>
      <x:c r="U1774" t="str">
        <x:v>"</x:v>
      </x:c>
      <x:c r="V1774" t="str">
        <x:v>484270311104743</x:v>
      </x:c>
    </x:row>
    <x:row r="1775">
      <x:c r="A1775" t="str">
        <x:v>RAW-IMP-20260516-FULLDRAFT-001758</x:v>
      </x:c>
      <x:c r="B1775" t="str">
        <x:v>IMP-20260516-FULLDRAFT</x:v>
      </x:c>
      <x:c r="C1775" t="str">
        <x:v>KTO001</x:v>
      </x:c>
      <x:c r="D1775" t="str">
        <x:v>16-05-2026_Umsatzliste_Girokonto_DE98120300001061711675.csv</x:v>
      </x:c>
      <x:c r="E1775" t="n">
        <x:v>46163</x:v>
      </x:c>
      <x:c r="F1775" t="n">
        <x:v>1758</x:v>
      </x:c>
      <x:c r="G1775" t="str">
        <x:v>060a664c0312ece63d3ec86bd2840dceae565ae26b39e9daa759d1d11238e661</x:v>
      </x:c>
      <x:c r="H1775" t="str">
        <x:v>neu</x:v>
      </x:c>
      <x:c r="I1775" t="str">
        <x:v>ok</x:v>
      </x:c>
      <x:c r="J1775"/>
      <x:c r="K1775" t="n">
        <x:v>45560</x:v>
      </x:c>
      <x:c r="L1775" t="n">
        <x:v>45560</x:v>
      </x:c>
      <x:c r="M1775" t="str">
        <x:v>Gebucht</x:v>
      </x:c>
      <x:c r="N1775" t="str">
        <x:v>ISSUER</x:v>
      </x:c>
      <x:c r="O1775" t="str">
        <x:v>EDEKA.POTRATZ/HILDESHEIM</x:v>
      </x:c>
      <x:c r="P1775" t="str">
        <x:v>VISA Debitkartenumsatz vom 24.09.2024</x:v>
      </x:c>
      <x:c r="Q1775" t="str">
        <x:v>Ausgang</x:v>
      </x:c>
      <x:c r="R1775" t="str">
        <x:v>DE96120300009005290904</x:v>
      </x:c>
      <x:c r="S1775" t="n">
        <x:v>-6.5</x:v>
      </x:c>
      <x:c r="T1775" t="str">
        <x:v>"</x:v>
      </x:c>
      <x:c r="U1775" t="str">
        <x:v>"</x:v>
      </x:c>
      <x:c r="V1775" t="str">
        <x:v>484268378744177</x:v>
      </x:c>
    </x:row>
    <x:row r="1776">
      <x:c r="A1776" t="str">
        <x:v>RAW-IMP-20260516-FULLDRAFT-001759</x:v>
      </x:c>
      <x:c r="B1776" t="str">
        <x:v>IMP-20260516-FULLDRAFT</x:v>
      </x:c>
      <x:c r="C1776" t="str">
        <x:v>KTO001</x:v>
      </x:c>
      <x:c r="D1776" t="str">
        <x:v>16-05-2026_Umsatzliste_Girokonto_DE98120300001061711675.csv</x:v>
      </x:c>
      <x:c r="E1776" t="n">
        <x:v>46163</x:v>
      </x:c>
      <x:c r="F1776" t="n">
        <x:v>1759</x:v>
      </x:c>
      <x:c r="G1776" t="str">
        <x:v>1e99191fe304f8d0e8bb8ba5e577087d2a90427e9295bd3bdf40ff4e3b2981c3</x:v>
      </x:c>
      <x:c r="H1776" t="str">
        <x:v>neu</x:v>
      </x:c>
      <x:c r="I1776" t="str">
        <x:v>ok</x:v>
      </x:c>
      <x:c r="J1776"/>
      <x:c r="K1776" t="n">
        <x:v>45560</x:v>
      </x:c>
      <x:c r="L1776" t="n">
        <x:v>45560</x:v>
      </x:c>
      <x:c r="M1776" t="str">
        <x:v>Gebucht</x:v>
      </x:c>
      <x:c r="N1776" t="str">
        <x:v>ISSUER</x:v>
      </x:c>
      <x:c r="O1776" t="str">
        <x:v>REWE.Salzgitter.Ge/Salzgitter</x:v>
      </x:c>
      <x:c r="P1776" t="str">
        <x:v>VISA Debitkartenumsatz vom 24.09.2024</x:v>
      </x:c>
      <x:c r="Q1776" t="str">
        <x:v>Ausgang</x:v>
      </x:c>
      <x:c r="R1776" t="str">
        <x:v>DE96120300009005290904</x:v>
      </x:c>
      <x:c r="S1776" t="n">
        <x:v>-39.99</x:v>
      </x:c>
      <x:c r="T1776" t="str">
        <x:v>"</x:v>
      </x:c>
      <x:c r="U1776" t="str">
        <x:v>"</x:v>
      </x:c>
      <x:c r="V1776" t="str">
        <x:v>484268597360132</x:v>
      </x:c>
    </x:row>
    <x:row r="1777">
      <x:c r="A1777" t="str">
        <x:v>RAW-IMP-20260516-FULLDRAFT-001760</x:v>
      </x:c>
      <x:c r="B1777" t="str">
        <x:v>IMP-20260516-FULLDRAFT</x:v>
      </x:c>
      <x:c r="C1777" t="str">
        <x:v>KTO001</x:v>
      </x:c>
      <x:c r="D1777" t="str">
        <x:v>16-05-2026_Umsatzliste_Girokonto_DE98120300001061711675.csv</x:v>
      </x:c>
      <x:c r="E1777" t="n">
        <x:v>46163</x:v>
      </x:c>
      <x:c r="F1777" t="n">
        <x:v>1760</x:v>
      </x:c>
      <x:c r="G1777" t="str">
        <x:v>2fec9ba789ba2d7bc51252d0ef1643757aff50683a6a992b3dfb8639517b9974</x:v>
      </x:c>
      <x:c r="H1777" t="str">
        <x:v>neu</x:v>
      </x:c>
      <x:c r="I1777" t="str">
        <x:v>ok</x:v>
      </x:c>
      <x:c r="J1777"/>
      <x:c r="K1777" t="n">
        <x:v>45559</x:v>
      </x:c>
      <x:c r="L1777" t="n">
        <x:v>45559</x:v>
      </x:c>
      <x:c r="M1777" t="str">
        <x:v>Gebucht</x:v>
      </x:c>
      <x:c r="N1777" t="str">
        <x:v>Caritasverband fur die Diozese Hildesheim e.V.</x:v>
      </x:c>
      <x:c r="O1777" t="str">
        <x:v>Lars Kohlenberg</x:v>
      </x:c>
      <x:c r="P1777" t="str">
        <x:v>80,88 04.09.24 NR. Erst. Esso 78,40 05.09.24 NR. Erst.. Q1 TS</x:v>
      </x:c>
      <x:c r="Q1777" t="str">
        <x:v>Eingang</x:v>
      </x:c>
      <x:c r="R1777" t="str">
        <x:v>DE73400602650023003300</x:v>
      </x:c>
      <x:c r="S1777" t="n">
        <x:v>159.28</x:v>
      </x:c>
      <x:c r="T1777" t="str">
        <x:v>"</x:v>
      </x:c>
      <x:c r="U1777" t="str">
        <x:v>"</x:v>
      </x:c>
      <x:c r="V1777" t="str">
        <x:v>9</x:v>
      </x:c>
    </x:row>
    <x:row r="1778">
      <x:c r="A1778" t="str">
        <x:v>RAW-IMP-20260516-FULLDRAFT-001761</x:v>
      </x:c>
      <x:c r="B1778" t="str">
        <x:v>IMP-20260516-FULLDRAFT</x:v>
      </x:c>
      <x:c r="C1778" t="str">
        <x:v>KTO001</x:v>
      </x:c>
      <x:c r="D1778" t="str">
        <x:v>16-05-2026_Umsatzliste_Girokonto_DE98120300001061711675.csv</x:v>
      </x:c>
      <x:c r="E1778" t="n">
        <x:v>46163</x:v>
      </x:c>
      <x:c r="F1778" t="n">
        <x:v>1761</x:v>
      </x:c>
      <x:c r="G1778" t="str">
        <x:v>4daff77b102d2e092367b3a06a7adc67f346e9ecb33914293d54ca24975f453f</x:v>
      </x:c>
      <x:c r="H1778" t="str">
        <x:v>neu</x:v>
      </x:c>
      <x:c r="I1778" t="str">
        <x:v>ok</x:v>
      </x:c>
      <x:c r="J1778"/>
      <x:c r="K1778" t="n">
        <x:v>45559</x:v>
      </x:c>
      <x:c r="L1778" t="n">
        <x:v>45559</x:v>
      </x:c>
      <x:c r="M1778" t="str">
        <x:v>Gebucht</x:v>
      </x:c>
      <x:c r="N1778" t="str">
        <x:v>ISSUER</x:v>
      </x:c>
      <x:c r="O1778" t="str">
        <x:v>SHELL.2178/SALZGITTER</x:v>
      </x:c>
      <x:c r="P1778" t="str">
        <x:v>VISA Debitkartenumsatz vom 23.09.2024</x:v>
      </x:c>
      <x:c r="Q1778" t="str">
        <x:v>Ausgang</x:v>
      </x:c>
      <x:c r="R1778" t="str">
        <x:v>DE96120300009005290904</x:v>
      </x:c>
      <x:c r="S1778" t="n">
        <x:v>-77.64</x:v>
      </x:c>
      <x:c r="T1778" t="str">
        <x:v>"</x:v>
      </x:c>
      <x:c r="U1778" t="str">
        <x:v>"</x:v>
      </x:c>
      <x:c r="V1778" t="str">
        <x:v>484267552256431</x:v>
      </x:c>
    </x:row>
    <x:row r="1779">
      <x:c r="A1779" t="str">
        <x:v>RAW-IMP-20260516-FULLDRAFT-001762</x:v>
      </x:c>
      <x:c r="B1779" t="str">
        <x:v>IMP-20260516-FULLDRAFT</x:v>
      </x:c>
      <x:c r="C1779" t="str">
        <x:v>KTO001</x:v>
      </x:c>
      <x:c r="D1779" t="str">
        <x:v>16-05-2026_Umsatzliste_Girokonto_DE98120300001061711675.csv</x:v>
      </x:c>
      <x:c r="E1779" t="n">
        <x:v>46163</x:v>
      </x:c>
      <x:c r="F1779" t="n">
        <x:v>1762</x:v>
      </x:c>
      <x:c r="G1779" t="str">
        <x:v>5d1829cae1105e88d76cd94000d2ea6e07055877e609d40ebe189eea71d9924e</x:v>
      </x:c>
      <x:c r="H1779" t="str">
        <x:v>neu</x:v>
      </x:c>
      <x:c r="I1779" t="str">
        <x:v>ok</x:v>
      </x:c>
      <x:c r="J1779"/>
      <x:c r="K1779" t="n">
        <x:v>45559</x:v>
      </x:c>
      <x:c r="L1779" t="n">
        <x:v>45559</x:v>
      </x:c>
      <x:c r="M1779" t="str">
        <x:v>Gebucht</x:v>
      </x:c>
      <x:c r="N1779" t="str">
        <x:v>ISSUER</x:v>
      </x:c>
      <x:c r="O1779" t="str">
        <x:v>BRAUNSCHW..CELLER.STR./BRAUNSCHWEIG</x:v>
      </x:c>
      <x:c r="P1779" t="str">
        <x:v>VISA Debitkartenumsatz vom 23.09.2024</x:v>
      </x:c>
      <x:c r="Q1779" t="str">
        <x:v>Ausgang</x:v>
      </x:c>
      <x:c r="R1779" t="str">
        <x:v>DE96120300009005290904</x:v>
      </x:c>
      <x:c r="S1779" t="n">
        <x:v>-8</x:v>
      </x:c>
      <x:c r="T1779" t="str">
        <x:v>"</x:v>
      </x:c>
      <x:c r="U1779" t="str">
        <x:v>"</x:v>
      </x:c>
      <x:c r="V1779" t="str">
        <x:v>484267397976538</x:v>
      </x:c>
    </x:row>
    <x:row r="1780">
      <x:c r="A1780" t="str">
        <x:v>RAW-IMP-20260516-FULLDRAFT-001763</x:v>
      </x:c>
      <x:c r="B1780" t="str">
        <x:v>IMP-20260516-FULLDRAFT</x:v>
      </x:c>
      <x:c r="C1780" t="str">
        <x:v>KTO001</x:v>
      </x:c>
      <x:c r="D1780" t="str">
        <x:v>16-05-2026_Umsatzliste_Girokonto_DE98120300001061711675.csv</x:v>
      </x:c>
      <x:c r="E1780" t="n">
        <x:v>46163</x:v>
      </x:c>
      <x:c r="F1780" t="n">
        <x:v>1763</x:v>
      </x:c>
      <x:c r="G1780" t="str">
        <x:v>1ed36eeacb298faa39bc066670d44b7642284d2354ca898352e7b1349d288972</x:v>
      </x:c>
      <x:c r="H1780" t="str">
        <x:v>neu</x:v>
      </x:c>
      <x:c r="I1780" t="str">
        <x:v>ok</x:v>
      </x:c>
      <x:c r="J1780"/>
      <x:c r="K1780" t="n">
        <x:v>45558</x:v>
      </x:c>
      <x:c r="L1780" t="n">
        <x:v>45558</x:v>
      </x:c>
      <x:c r="M1780" t="str">
        <x:v>Gebucht</x:v>
      </x:c>
      <x:c r="N1780" t="str">
        <x:v>Online Payments Foundation                                            Kanaalweg 1</x:v>
      </x:c>
      <x:c r="O1780" t="str">
        <x:v>Lars Kohlenberg</x:v>
      </x:c>
      <x:c r="P1780" t="str">
        <x:v>Kleinanzeigen - Anzeigennr.: 2863921914 AWV-MELDEPFLICHT BEACHTEN HOTLINE BUNDESBANK (0800) 1234-111</x:v>
      </x:c>
      <x:c r="Q1780" t="str">
        <x:v>Eingang</x:v>
      </x:c>
      <x:c r="R1780" t="str">
        <x:v>NL35INGB0653386540</x:v>
      </x:c>
      <x:c r="S1780" t="n">
        <x:v>20</x:v>
      </x:c>
      <x:c r="T1780" t="str">
        <x:v>"</x:v>
      </x:c>
      <x:c r="U1780" t="str">
        <x:v>"</x:v>
      </x:c>
      <x:c r="V1780" t="str">
        <x:v>tra-f854e4211445</x:v>
      </x:c>
    </x:row>
    <x:row r="1781">
      <x:c r="A1781" t="str">
        <x:v>RAW-IMP-20260516-FULLDRAFT-001764</x:v>
      </x:c>
      <x:c r="B1781" t="str">
        <x:v>IMP-20260516-FULLDRAFT</x:v>
      </x:c>
      <x:c r="C1781" t="str">
        <x:v>KTO001</x:v>
      </x:c>
      <x:c r="D1781" t="str">
        <x:v>16-05-2026_Umsatzliste_Girokonto_DE98120300001061711675.csv</x:v>
      </x:c>
      <x:c r="E1781" t="n">
        <x:v>46163</x:v>
      </x:c>
      <x:c r="F1781" t="n">
        <x:v>1764</x:v>
      </x:c>
      <x:c r="G1781" t="str">
        <x:v>9e833d2d57d382dcb560939083b9988039540e93d5bb579b418e5c1155e274af</x:v>
      </x:c>
      <x:c r="H1781" t="str">
        <x:v>neu</x:v>
      </x:c>
      <x:c r="I1781" t="str">
        <x:v>ok</x:v>
      </x:c>
      <x:c r="J1781"/>
      <x:c r="K1781" t="n">
        <x:v>45558</x:v>
      </x:c>
      <x:c r="L1781" t="n">
        <x:v>45558</x:v>
      </x:c>
      <x:c r="M1781" t="str">
        <x:v>Gebucht</x:v>
      </x:c>
      <x:c r="N1781" t="str">
        <x:v>Online Payments Foundation                                            Kanaalweg 1</x:v>
      </x:c>
      <x:c r="O1781" t="str">
        <x:v>Lars Kohlenberg</x:v>
      </x:c>
      <x:c r="P1781" t="str">
        <x:v>Kleinanzeigen - Anzeigennr.: 2863926931 AWV-MELDEPFLICHT BEACHTEN HOTLINE BUNDESBANK (0800) 1234-111</x:v>
      </x:c>
      <x:c r="Q1781" t="str">
        <x:v>Eingang</x:v>
      </x:c>
      <x:c r="R1781" t="str">
        <x:v>NL35INGB0653386540</x:v>
      </x:c>
      <x:c r="S1781" t="n">
        <x:v>25</x:v>
      </x:c>
      <x:c r="T1781" t="str">
        <x:v>"</x:v>
      </x:c>
      <x:c r="U1781" t="str">
        <x:v>"</x:v>
      </x:c>
      <x:c r="V1781" t="str">
        <x:v>tra-618ca0a50276</x:v>
      </x:c>
    </x:row>
    <x:row r="1782">
      <x:c r="A1782" t="str">
        <x:v>RAW-IMP-20260516-FULLDRAFT-001765</x:v>
      </x:c>
      <x:c r="B1782" t="str">
        <x:v>IMP-20260516-FULLDRAFT</x:v>
      </x:c>
      <x:c r="C1782" t="str">
        <x:v>KTO001</x:v>
      </x:c>
      <x:c r="D1782" t="str">
        <x:v>16-05-2026_Umsatzliste_Girokonto_DE98120300001061711675.csv</x:v>
      </x:c>
      <x:c r="E1782" t="n">
        <x:v>46163</x:v>
      </x:c>
      <x:c r="F1782" t="n">
        <x:v>1765</x:v>
      </x:c>
      <x:c r="G1782" t="str">
        <x:v>60cd044efbffc452d30a8bdb861be8ec75a9cb90985a14869b473d11b5b736cf</x:v>
      </x:c>
      <x:c r="H1782" t="str">
        <x:v>neu</x:v>
      </x:c>
      <x:c r="I1782" t="str">
        <x:v>ok</x:v>
      </x:c>
      <x:c r="J1782"/>
      <x:c r="K1782" t="n">
        <x:v>45558</x:v>
      </x:c>
      <x:c r="L1782" t="n">
        <x:v>45558</x:v>
      </x:c>
      <x:c r="M1782" t="str">
        <x:v>Gebucht</x:v>
      </x:c>
      <x:c r="N1782" t="str">
        <x:v>ISSUER</x:v>
      </x:c>
      <x:c r="O1782" t="str">
        <x:v>Heide.Park.Soltau.GmbH/Soltau</x:v>
      </x:c>
      <x:c r="P1782" t="str">
        <x:v>VISA Debitkartenumsatz vom 21.09.2024</x:v>
      </x:c>
      <x:c r="Q1782" t="str">
        <x:v>Ausgang</x:v>
      </x:c>
      <x:c r="R1782" t="str">
        <x:v>DE96120300009005290904</x:v>
      </x:c>
      <x:c r="S1782" t="n">
        <x:v>-17.4</x:v>
      </x:c>
      <x:c r="T1782" t="str">
        <x:v>"</x:v>
      </x:c>
      <x:c r="U1782" t="str">
        <x:v>"</x:v>
      </x:c>
      <x:c r="V1782" t="str">
        <x:v>484265557894253</x:v>
      </x:c>
    </x:row>
    <x:row r="1783">
      <x:c r="A1783" t="str">
        <x:v>RAW-IMP-20260516-FULLDRAFT-001766</x:v>
      </x:c>
      <x:c r="B1783" t="str">
        <x:v>IMP-20260516-FULLDRAFT</x:v>
      </x:c>
      <x:c r="C1783" t="str">
        <x:v>KTO001</x:v>
      </x:c>
      <x:c r="D1783" t="str">
        <x:v>16-05-2026_Umsatzliste_Girokonto_DE98120300001061711675.csv</x:v>
      </x:c>
      <x:c r="E1783" t="n">
        <x:v>46163</x:v>
      </x:c>
      <x:c r="F1783" t="n">
        <x:v>1766</x:v>
      </x:c>
      <x:c r="G1783" t="str">
        <x:v>61ff4fcf883f7ac747d618921d041084419354be73a073b3efba60f08ecdbc38</x:v>
      </x:c>
      <x:c r="H1783" t="str">
        <x:v>neu</x:v>
      </x:c>
      <x:c r="I1783" t="str">
        <x:v>ok</x:v>
      </x:c>
      <x:c r="J1783"/>
      <x:c r="K1783" t="n">
        <x:v>45558</x:v>
      </x:c>
      <x:c r="L1783" t="n">
        <x:v>45558</x:v>
      </x:c>
      <x:c r="M1783" t="str">
        <x:v>Gebucht</x:v>
      </x:c>
      <x:c r="N1783" t="str">
        <x:v>ISSUER</x:v>
      </x:c>
      <x:c r="O1783" t="str">
        <x:v>PAYPAL..HEIDEPARKSO/5191</x:v>
      </x:c>
      <x:c r="P1783" t="str">
        <x:v>VISA Debitkartenumsatz vom 20.09.2024</x:v>
      </x:c>
      <x:c r="Q1783" t="str">
        <x:v>Ausgang</x:v>
      </x:c>
      <x:c r="R1783" t="str">
        <x:v>DE96120300009005290904</x:v>
      </x:c>
      <x:c r="S1783" t="n">
        <x:v>-89.19</x:v>
      </x:c>
      <x:c r="T1783" t="str">
        <x:v>"</x:v>
      </x:c>
      <x:c r="U1783" t="str">
        <x:v>"</x:v>
      </x:c>
      <x:c r="V1783" t="str">
        <x:v>304264614545300</x:v>
      </x:c>
    </x:row>
    <x:row r="1784">
      <x:c r="A1784" t="str">
        <x:v>RAW-IMP-20260516-FULLDRAFT-001767</x:v>
      </x:c>
      <x:c r="B1784" t="str">
        <x:v>IMP-20260516-FULLDRAFT</x:v>
      </x:c>
      <x:c r="C1784" t="str">
        <x:v>KTO001</x:v>
      </x:c>
      <x:c r="D1784" t="str">
        <x:v>16-05-2026_Umsatzliste_Girokonto_DE98120300001061711675.csv</x:v>
      </x:c>
      <x:c r="E1784" t="n">
        <x:v>46163</x:v>
      </x:c>
      <x:c r="F1784" t="n">
        <x:v>1767</x:v>
      </x:c>
      <x:c r="G1784" t="str">
        <x:v>44fe2e556f2fb311d4052a8204be3ee6fc14afab71ced59455e907832cc3ab5c</x:v>
      </x:c>
      <x:c r="H1784" t="str">
        <x:v>neu</x:v>
      </x:c>
      <x:c r="I1784" t="str">
        <x:v>ok</x:v>
      </x:c>
      <x:c r="J1784"/>
      <x:c r="K1784" t="n">
        <x:v>45558</x:v>
      </x:c>
      <x:c r="L1784" t="n">
        <x:v>45558</x:v>
      </x:c>
      <x:c r="M1784" t="str">
        <x:v>Gebucht</x:v>
      </x:c>
      <x:c r="N1784" t="str">
        <x:v>ISSUER</x:v>
      </x:c>
      <x:c r="O1784" t="str">
        <x:v>Heide.Park.Soltau.GmbH/Soltau</x:v>
      </x:c>
      <x:c r="P1784" t="str">
        <x:v>VISA Debitkartenumsatz vom 20.09.2024</x:v>
      </x:c>
      <x:c r="Q1784" t="str">
        <x:v>Ausgang</x:v>
      </x:c>
      <x:c r="R1784" t="str">
        <x:v>DE96120300009005290904</x:v>
      </x:c>
      <x:c r="S1784" t="n">
        <x:v>-9</x:v>
      </x:c>
      <x:c r="T1784" t="str">
        <x:v>"</x:v>
      </x:c>
      <x:c r="U1784" t="str">
        <x:v>"</x:v>
      </x:c>
      <x:c r="V1784" t="str">
        <x:v>484264620201457</x:v>
      </x:c>
    </x:row>
    <x:row r="1785">
      <x:c r="A1785" t="str">
        <x:v>RAW-IMP-20260516-FULLDRAFT-001768</x:v>
      </x:c>
      <x:c r="B1785" t="str">
        <x:v>IMP-20260516-FULLDRAFT</x:v>
      </x:c>
      <x:c r="C1785" t="str">
        <x:v>KTO001</x:v>
      </x:c>
      <x:c r="D1785" t="str">
        <x:v>16-05-2026_Umsatzliste_Girokonto_DE98120300001061711675.csv</x:v>
      </x:c>
      <x:c r="E1785" t="n">
        <x:v>46163</x:v>
      </x:c>
      <x:c r="F1785" t="n">
        <x:v>1768</x:v>
      </x:c>
      <x:c r="G1785" t="str">
        <x:v>41e340f5e4725cdae04cf0bce3129624172e9c848eedf5262cb738b62516e209</x:v>
      </x:c>
      <x:c r="H1785" t="str">
        <x:v>neu</x:v>
      </x:c>
      <x:c r="I1785" t="str">
        <x:v>ok</x:v>
      </x:c>
      <x:c r="J1785"/>
      <x:c r="K1785" t="n">
        <x:v>45558</x:v>
      </x:c>
      <x:c r="L1785" t="n">
        <x:v>45558</x:v>
      </x:c>
      <x:c r="M1785" t="str">
        <x:v>Gebucht</x:v>
      </x:c>
      <x:c r="N1785" t="str">
        <x:v>ISSUER</x:v>
      </x:c>
      <x:c r="O1785" t="str">
        <x:v>APPLE.COM.BILL/08006645451</x:v>
      </x:c>
      <x:c r="P1785" t="str">
        <x:v>VISA Debitkartenumsatz vom 21.09.2024</x:v>
      </x:c>
      <x:c r="Q1785" t="str">
        <x:v>Ausgang</x:v>
      </x:c>
      <x:c r="R1785" t="str">
        <x:v>DE96120300009005290904</x:v>
      </x:c>
      <x:c r="S1785" t="n">
        <x:v>-2.99</x:v>
      </x:c>
      <x:c r="T1785" t="str">
        <x:v>"</x:v>
      </x:c>
      <x:c r="U1785" t="str">
        <x:v>"</x:v>
      </x:c>
      <x:c r="V1785" t="str">
        <x:v>484265466106636</x:v>
      </x:c>
    </x:row>
    <x:row r="1786">
      <x:c r="A1786" t="str">
        <x:v>RAW-IMP-20260516-FULLDRAFT-001769</x:v>
      </x:c>
      <x:c r="B1786" t="str">
        <x:v>IMP-20260516-FULLDRAFT</x:v>
      </x:c>
      <x:c r="C1786" t="str">
        <x:v>KTO001</x:v>
      </x:c>
      <x:c r="D1786" t="str">
        <x:v>16-05-2026_Umsatzliste_Girokonto_DE98120300001061711675.csv</x:v>
      </x:c>
      <x:c r="E1786" t="n">
        <x:v>46163</x:v>
      </x:c>
      <x:c r="F1786" t="n">
        <x:v>1769</x:v>
      </x:c>
      <x:c r="G1786" t="str">
        <x:v>5f7dd20927aacde1ca45c2af349a3df3978b674c02c7bf47d5df5031ba126974</x:v>
      </x:c>
      <x:c r="H1786" t="str">
        <x:v>neu</x:v>
      </x:c>
      <x:c r="I1786" t="str">
        <x:v>ok</x:v>
      </x:c>
      <x:c r="J1786"/>
      <x:c r="K1786" t="n">
        <x:v>45555</x:v>
      </x:c>
      <x:c r="L1786" t="n">
        <x:v>45555</x:v>
      </x:c>
      <x:c r="M1786" t="str">
        <x:v>Gebucht</x:v>
      </x:c>
      <x:c r="N1786" t="str">
        <x:v>ISSUER</x:v>
      </x:c>
      <x:c r="O1786" t="str">
        <x:v>Aral.Station.13071500/Cuxhaven</x:v>
      </x:c>
      <x:c r="P1786" t="str">
        <x:v>VISA Debitkartenumsatz vom 18.09.2024</x:v>
      </x:c>
      <x:c r="Q1786" t="str">
        <x:v>Ausgang</x:v>
      </x:c>
      <x:c r="R1786" t="str">
        <x:v>DE96120300009005290904</x:v>
      </x:c>
      <x:c r="S1786" t="n">
        <x:v>-74.54</x:v>
      </x:c>
      <x:c r="T1786" t="str">
        <x:v>"</x:v>
      </x:c>
      <x:c r="U1786" t="str">
        <x:v>"</x:v>
      </x:c>
      <x:c r="V1786" t="str">
        <x:v>484262646734956</x:v>
      </x:c>
    </x:row>
    <x:row r="1787">
      <x:c r="A1787" t="str">
        <x:v>RAW-IMP-20260516-FULLDRAFT-001770</x:v>
      </x:c>
      <x:c r="B1787" t="str">
        <x:v>IMP-20260516-FULLDRAFT</x:v>
      </x:c>
      <x:c r="C1787" t="str">
        <x:v>KTO001</x:v>
      </x:c>
      <x:c r="D1787" t="str">
        <x:v>16-05-2026_Umsatzliste_Girokonto_DE98120300001061711675.csv</x:v>
      </x:c>
      <x:c r="E1787" t="n">
        <x:v>46163</x:v>
      </x:c>
      <x:c r="F1787" t="n">
        <x:v>1770</x:v>
      </x:c>
      <x:c r="G1787" t="str">
        <x:v>bae95a3164cc8c3c44cb00807591f5e9b8f4c6fb4f54c2e7992c0bfcb87834a0</x:v>
      </x:c>
      <x:c r="H1787" t="str">
        <x:v>neu</x:v>
      </x:c>
      <x:c r="I1787" t="str">
        <x:v>ok</x:v>
      </x:c>
      <x:c r="J1787"/>
      <x:c r="K1787" t="n">
        <x:v>45554</x:v>
      </x:c>
      <x:c r="L1787" t="n">
        <x:v>45554</x:v>
      </x:c>
      <x:c r="M1787" t="str">
        <x:v>Gebucht</x:v>
      </x:c>
      <x:c r="N1787" t="str">
        <x:v>ISSUER</x:v>
      </x:c>
      <x:c r="O1787" t="str">
        <x:v>SYSTEMGASTRONOMIE.GMBH/BUCHHOLZ</x:v>
      </x:c>
      <x:c r="P1787" t="str">
        <x:v>VISA Debitkartenumsatz vom 18.09.2024</x:v>
      </x:c>
      <x:c r="Q1787" t="str">
        <x:v>Ausgang</x:v>
      </x:c>
      <x:c r="R1787" t="str">
        <x:v>DE96120300009005290904</x:v>
      </x:c>
      <x:c r="S1787" t="n">
        <x:v>-6.99</x:v>
      </x:c>
      <x:c r="T1787" t="str">
        <x:v>"</x:v>
      </x:c>
      <x:c r="U1787" t="str">
        <x:v>"</x:v>
      </x:c>
      <x:c r="V1787" t="str">
        <x:v>484262703371459</x:v>
      </x:c>
    </x:row>
    <x:row r="1788">
      <x:c r="A1788" t="str">
        <x:v>RAW-IMP-20260516-FULLDRAFT-001771</x:v>
      </x:c>
      <x:c r="B1788" t="str">
        <x:v>IMP-20260516-FULLDRAFT</x:v>
      </x:c>
      <x:c r="C1788" t="str">
        <x:v>KTO001</x:v>
      </x:c>
      <x:c r="D1788" t="str">
        <x:v>16-05-2026_Umsatzliste_Girokonto_DE98120300001061711675.csv</x:v>
      </x:c>
      <x:c r="E1788" t="n">
        <x:v>46163</x:v>
      </x:c>
      <x:c r="F1788" t="n">
        <x:v>1771</x:v>
      </x:c>
      <x:c r="G1788" t="str">
        <x:v>4935e4e758819635384fe85cd3f5f523ec7a022bbf4584176f636925781b44bf</x:v>
      </x:c>
      <x:c r="H1788" t="str">
        <x:v>neu</x:v>
      </x:c>
      <x:c r="I1788" t="str">
        <x:v>ok</x:v>
      </x:c>
      <x:c r="J1788"/>
      <x:c r="K1788" t="n">
        <x:v>45554</x:v>
      </x:c>
      <x:c r="L1788" t="n">
        <x:v>45554</x:v>
      </x:c>
      <x:c r="M1788" t="str">
        <x:v>Gebucht</x:v>
      </x:c>
      <x:c r="N1788" t="str">
        <x:v>ISSUER</x:v>
      </x:c>
      <x:c r="O1788" t="str">
        <x:v>MCDONALDS.01490/ACHIM</x:v>
      </x:c>
      <x:c r="P1788" t="str">
        <x:v>VISA Debitkartenumsatz vom 18.09.2024</x:v>
      </x:c>
      <x:c r="Q1788" t="str">
        <x:v>Ausgang</x:v>
      </x:c>
      <x:c r="R1788" t="str">
        <x:v>DE96120300009005290904</x:v>
      </x:c>
      <x:c r="S1788" t="n">
        <x:v>-9.99</x:v>
      </x:c>
      <x:c r="T1788" t="str">
        <x:v>"</x:v>
      </x:c>
      <x:c r="U1788" t="str">
        <x:v>"</x:v>
      </x:c>
      <x:c r="V1788" t="str">
        <x:v>484262445520357</x:v>
      </x:c>
    </x:row>
    <x:row r="1789">
      <x:c r="A1789" t="str">
        <x:v>RAW-IMP-20260516-FULLDRAFT-001772</x:v>
      </x:c>
      <x:c r="B1789" t="str">
        <x:v>IMP-20260516-FULLDRAFT</x:v>
      </x:c>
      <x:c r="C1789" t="str">
        <x:v>KTO001</x:v>
      </x:c>
      <x:c r="D1789" t="str">
        <x:v>16-05-2026_Umsatzliste_Girokonto_DE98120300001061711675.csv</x:v>
      </x:c>
      <x:c r="E1789" t="n">
        <x:v>46163</x:v>
      </x:c>
      <x:c r="F1789" t="n">
        <x:v>1772</x:v>
      </x:c>
      <x:c r="G1789" t="str">
        <x:v>e07645ba652cf37b62324a69e6cf325e6042ec3627b80317385fc9bdd8f323ae</x:v>
      </x:c>
      <x:c r="H1789" t="str">
        <x:v>neu</x:v>
      </x:c>
      <x:c r="I1789" t="str">
        <x:v>ok</x:v>
      </x:c>
      <x:c r="J1789"/>
      <x:c r="K1789" t="n">
        <x:v>45553</x:v>
      </x:c>
      <x:c r="L1789" t="n">
        <x:v>45553</x:v>
      </x:c>
      <x:c r="M1789" t="str">
        <x:v>Gebucht</x:v>
      </x:c>
      <x:c r="N1789" t="str">
        <x:v>ISSUER</x:v>
      </x:c>
      <x:c r="O1789" t="str">
        <x:v>Parkhaus.Havenwelten/Bremerhaven</x:v>
      </x:c>
      <x:c r="P1789" t="str">
        <x:v>VISA Debitkartenumsatz vom 17.09.2024</x:v>
      </x:c>
      <x:c r="Q1789" t="str">
        <x:v>Ausgang</x:v>
      </x:c>
      <x:c r="R1789" t="str">
        <x:v>DE96120300009005290904</x:v>
      </x:c>
      <x:c r="S1789" t="n">
        <x:v>-7</x:v>
      </x:c>
      <x:c r="T1789" t="str">
        <x:v>"</x:v>
      </x:c>
      <x:c r="U1789" t="str">
        <x:v>"</x:v>
      </x:c>
      <x:c r="V1789" t="str">
        <x:v>484261500661703</x:v>
      </x:c>
    </x:row>
    <x:row r="1790">
      <x:c r="A1790" t="str">
        <x:v>RAW-IMP-20260516-FULLDRAFT-001773</x:v>
      </x:c>
      <x:c r="B1790" t="str">
        <x:v>IMP-20260516-FULLDRAFT</x:v>
      </x:c>
      <x:c r="C1790" t="str">
        <x:v>KTO001</x:v>
      </x:c>
      <x:c r="D1790" t="str">
        <x:v>16-05-2026_Umsatzliste_Girokonto_DE98120300001061711675.csv</x:v>
      </x:c>
      <x:c r="E1790" t="n">
        <x:v>46163</x:v>
      </x:c>
      <x:c r="F1790" t="n">
        <x:v>1773</x:v>
      </x:c>
      <x:c r="G1790" t="str">
        <x:v>832d9ae4fd5d42933349ff95c5ab402a88c6d70de8121996c08bc2bd1abf9a7e</x:v>
      </x:c>
      <x:c r="H1790" t="str">
        <x:v>neu</x:v>
      </x:c>
      <x:c r="I1790" t="str">
        <x:v>ok</x:v>
      </x:c>
      <x:c r="J1790"/>
      <x:c r="K1790" t="n">
        <x:v>45552</x:v>
      </x:c>
      <x:c r="L1790" t="n">
        <x:v>45552</x:v>
      </x:c>
      <x:c r="M1790" t="str">
        <x:v>Gebucht</x:v>
      </x:c>
      <x:c r="N1790" t="str">
        <x:v>ISSUER</x:v>
      </x:c>
      <x:c r="O1790" t="str">
        <x:v>SHELL.2178/SALZGITTER</x:v>
      </x:c>
      <x:c r="P1790" t="str">
        <x:v>VISA Debitkartenumsatz vom 16.09.2024</x:v>
      </x:c>
      <x:c r="Q1790" t="str">
        <x:v>Ausgang</x:v>
      </x:c>
      <x:c r="R1790" t="str">
        <x:v>DE96120300009005290904</x:v>
      </x:c>
      <x:c r="S1790" t="n">
        <x:v>-57.25</x:v>
      </x:c>
      <x:c r="T1790" t="str">
        <x:v>"</x:v>
      </x:c>
      <x:c r="U1790" t="str">
        <x:v>"</x:v>
      </x:c>
      <x:c r="V1790" t="str">
        <x:v>484260611118370</x:v>
      </x:c>
    </x:row>
    <x:row r="1791">
      <x:c r="A1791" t="str">
        <x:v>RAW-IMP-20260516-FULLDRAFT-001774</x:v>
      </x:c>
      <x:c r="B1791" t="str">
        <x:v>IMP-20260516-FULLDRAFT</x:v>
      </x:c>
      <x:c r="C1791" t="str">
        <x:v>KTO001</x:v>
      </x:c>
      <x:c r="D1791" t="str">
        <x:v>16-05-2026_Umsatzliste_Girokonto_DE98120300001061711675.csv</x:v>
      </x:c>
      <x:c r="E1791" t="n">
        <x:v>46163</x:v>
      </x:c>
      <x:c r="F1791" t="n">
        <x:v>1774</x:v>
      </x:c>
      <x:c r="G1791" t="str">
        <x:v>6dc75221fb72f65b3b7253014b03768bf4bf3c3ad995ed1e02ceb6154d8ba0d2</x:v>
      </x:c>
      <x:c r="H1791" t="str">
        <x:v>neu</x:v>
      </x:c>
      <x:c r="I1791" t="str">
        <x:v>ok</x:v>
      </x:c>
      <x:c r="J1791"/>
      <x:c r="K1791" t="n">
        <x:v>45552</x:v>
      </x:c>
      <x:c r="L1791" t="n">
        <x:v>45552</x:v>
      </x:c>
      <x:c r="M1791" t="str">
        <x:v>Gebucht</x:v>
      </x:c>
      <x:c r="N1791" t="str">
        <x:v>ISSUER</x:v>
      </x:c>
      <x:c r="O1791" t="str">
        <x:v>LOEWENBAECKER.SCHAPER/SALZGITTER</x:v>
      </x:c>
      <x:c r="P1791" t="str">
        <x:v>VISA Debitkartenumsatz vom 16.09.2024</x:v>
      </x:c>
      <x:c r="Q1791" t="str">
        <x:v>Ausgang</x:v>
      </x:c>
      <x:c r="R1791" t="str">
        <x:v>DE96120300009005290904</x:v>
      </x:c>
      <x:c r="S1791" t="n">
        <x:v>-3</x:v>
      </x:c>
      <x:c r="T1791" t="str">
        <x:v>"</x:v>
      </x:c>
      <x:c r="U1791" t="str">
        <x:v>"</x:v>
      </x:c>
      <x:c r="V1791" t="str">
        <x:v>484260234072156</x:v>
      </x:c>
    </x:row>
    <x:row r="1792">
      <x:c r="A1792" t="str">
        <x:v>RAW-IMP-20260516-FULLDRAFT-001775</x:v>
      </x:c>
      <x:c r="B1792" t="str">
        <x:v>IMP-20260516-FULLDRAFT</x:v>
      </x:c>
      <x:c r="C1792" t="str">
        <x:v>KTO001</x:v>
      </x:c>
      <x:c r="D1792" t="str">
        <x:v>16-05-2026_Umsatzliste_Girokonto_DE98120300001061711675.csv</x:v>
      </x:c>
      <x:c r="E1792" t="n">
        <x:v>46163</x:v>
      </x:c>
      <x:c r="F1792" t="n">
        <x:v>1775</x:v>
      </x:c>
      <x:c r="G1792" t="str">
        <x:v>15ca50b7d898168c84fe8d57ac1e5af7b8083edd642059626cb5b9e61b8cd145</x:v>
      </x:c>
      <x:c r="H1792" t="str">
        <x:v>neu</x:v>
      </x:c>
      <x:c r="I1792" t="str">
        <x:v>ok</x:v>
      </x:c>
      <x:c r="J1792"/>
      <x:c r="K1792" t="n">
        <x:v>45552</x:v>
      </x:c>
      <x:c r="L1792" t="n">
        <x:v>45552</x:v>
      </x:c>
      <x:c r="M1792" t="str">
        <x:v>Gebucht</x:v>
      </x:c>
      <x:c r="N1792" t="str">
        <x:v>ISSUER</x:v>
      </x:c>
      <x:c r="O1792" t="str">
        <x:v>LOEWENBAECKER.SCHAPER/SALZGITTER</x:v>
      </x:c>
      <x:c r="P1792" t="str">
        <x:v>VISA Debitkartenumsatz vom 16.09.2024</x:v>
      </x:c>
      <x:c r="Q1792" t="str">
        <x:v>Ausgang</x:v>
      </x:c>
      <x:c r="R1792" t="str">
        <x:v>DE96120300009005290904</x:v>
      </x:c>
      <x:c r="S1792" t="n">
        <x:v>-1.25</x:v>
      </x:c>
      <x:c r="T1792" t="str">
        <x:v>"</x:v>
      </x:c>
      <x:c r="U1792" t="str">
        <x:v>"</x:v>
      </x:c>
      <x:c r="V1792" t="str">
        <x:v>484260235016278</x:v>
      </x:c>
    </x:row>
    <x:row r="1793">
      <x:c r="A1793" t="str">
        <x:v>RAW-IMP-20260516-FULLDRAFT-001776</x:v>
      </x:c>
      <x:c r="B1793" t="str">
        <x:v>IMP-20260516-FULLDRAFT</x:v>
      </x:c>
      <x:c r="C1793" t="str">
        <x:v>KTO001</x:v>
      </x:c>
      <x:c r="D1793" t="str">
        <x:v>16-05-2026_Umsatzliste_Girokonto_DE98120300001061711675.csv</x:v>
      </x:c>
      <x:c r="E1793" t="n">
        <x:v>46163</x:v>
      </x:c>
      <x:c r="F1793" t="n">
        <x:v>1776</x:v>
      </x:c>
      <x:c r="G1793" t="str">
        <x:v>380816ee6fe2c81a0ab90cb7557867d996a6668af0e73774d70b024eb7cb0beb</x:v>
      </x:c>
      <x:c r="H1793" t="str">
        <x:v>neu</x:v>
      </x:c>
      <x:c r="I1793" t="str">
        <x:v>ok</x:v>
      </x:c>
      <x:c r="J1793"/>
      <x:c r="K1793" t="n">
        <x:v>45552</x:v>
      </x:c>
      <x:c r="L1793" t="n">
        <x:v>45552</x:v>
      </x:c>
      <x:c r="M1793" t="str">
        <x:v>Gebucht</x:v>
      </x:c>
      <x:c r="N1793" t="str">
        <x:v>ISSUER</x:v>
      </x:c>
      <x:c r="O1793" t="str">
        <x:v>REWE.Mehmet.Kaysal.oHG/Salzgitter</x:v>
      </x:c>
      <x:c r="P1793" t="str">
        <x:v>VISA Debitkartenumsatz vom 16.09.2024</x:v>
      </x:c>
      <x:c r="Q1793" t="str">
        <x:v>Ausgang</x:v>
      </x:c>
      <x:c r="R1793" t="str">
        <x:v>DE96120300009005290904</x:v>
      </x:c>
      <x:c r="S1793" t="n">
        <x:v>-29.96</x:v>
      </x:c>
      <x:c r="T1793" t="str">
        <x:v>"</x:v>
      </x:c>
      <x:c r="U1793" t="str">
        <x:v>"</x:v>
      </x:c>
      <x:c r="V1793" t="str">
        <x:v>484260604709128</x:v>
      </x:c>
    </x:row>
    <x:row r="1794">
      <x:c r="A1794" t="str">
        <x:v>RAW-IMP-20260516-FULLDRAFT-001777</x:v>
      </x:c>
      <x:c r="B1794" t="str">
        <x:v>IMP-20260516-FULLDRAFT</x:v>
      </x:c>
      <x:c r="C1794" t="str">
        <x:v>KTO001</x:v>
      </x:c>
      <x:c r="D1794" t="str">
        <x:v>16-05-2026_Umsatzliste_Girokonto_DE98120300001061711675.csv</x:v>
      </x:c>
      <x:c r="E1794" t="n">
        <x:v>46163</x:v>
      </x:c>
      <x:c r="F1794" t="n">
        <x:v>1777</x:v>
      </x:c>
      <x:c r="G1794" t="str">
        <x:v>59d2ba88a628f28fc14a449bc6aec9516c0356aa6cf00dff1fbeaba1761de3e3</x:v>
      </x:c>
      <x:c r="H1794" t="str">
        <x:v>neu</x:v>
      </x:c>
      <x:c r="I1794" t="str">
        <x:v>ok</x:v>
      </x:c>
      <x:c r="J1794"/>
      <x:c r="K1794" t="n">
        <x:v>45552</x:v>
      </x:c>
      <x:c r="L1794" t="n">
        <x:v>45552</x:v>
      </x:c>
      <x:c r="M1794" t="str">
        <x:v>Gebucht</x:v>
      </x:c>
      <x:c r="N1794" t="str">
        <x:v>ISSUER</x:v>
      </x:c>
      <x:c r="O1794" t="str">
        <x:v>REWE.Salzgitter.Ge/Salzgitter</x:v>
      </x:c>
      <x:c r="P1794" t="str">
        <x:v>VISA Debitkartenumsatz vom 16.09.2024</x:v>
      </x:c>
      <x:c r="Q1794" t="str">
        <x:v>Ausgang</x:v>
      </x:c>
      <x:c r="R1794" t="str">
        <x:v>DE96120300009005290904</x:v>
      </x:c>
      <x:c r="S1794" t="n">
        <x:v>-3.45</x:v>
      </x:c>
      <x:c r="T1794" t="str">
        <x:v>"</x:v>
      </x:c>
      <x:c r="U1794" t="str">
        <x:v>"</x:v>
      </x:c>
      <x:c r="V1794" t="str">
        <x:v>484260234695858</x:v>
      </x:c>
    </x:row>
    <x:row r="1795">
      <x:c r="A1795" t="str">
        <x:v>RAW-IMP-20260516-FULLDRAFT-001778</x:v>
      </x:c>
      <x:c r="B1795" t="str">
        <x:v>IMP-20260516-FULLDRAFT</x:v>
      </x:c>
      <x:c r="C1795" t="str">
        <x:v>KTO001</x:v>
      </x:c>
      <x:c r="D1795" t="str">
        <x:v>16-05-2026_Umsatzliste_Girokonto_DE98120300001061711675.csv</x:v>
      </x:c>
      <x:c r="E1795" t="n">
        <x:v>46163</x:v>
      </x:c>
      <x:c r="F1795" t="n">
        <x:v>1778</x:v>
      </x:c>
      <x:c r="G1795" t="str">
        <x:v>1f100ce4438acd5fcb9e711bc2aac62d0712e415ccbd6157146bf0081690f08b</x:v>
      </x:c>
      <x:c r="H1795" t="str">
        <x:v>neu</x:v>
      </x:c>
      <x:c r="I1795" t="str">
        <x:v>ok</x:v>
      </x:c>
      <x:c r="J1795"/>
      <x:c r="K1795" t="n">
        <x:v>45552</x:v>
      </x:c>
      <x:c r="L1795" t="n">
        <x:v>45552</x:v>
      </x:c>
      <x:c r="M1795" t="str">
        <x:v>Gebucht</x:v>
      </x:c>
      <x:c r="N1795" t="str">
        <x:v>Lars Kohlenberg</x:v>
      </x:c>
      <x:c r="O1795" t="str">
        <x:v>Drillisch Online GmbH                                                 Wilhelm-Rontgen-Strase 1-5, 63477 Maintal</x:v>
      </x:c>
      <x:c r="P1795" t="str">
        <x:v>C0851820 U657277358 B759935372 winSIM</x:v>
      </x:c>
      <x:c r="Q1795" t="str">
        <x:v>Ausgang</x:v>
      </x:c>
      <x:c r="R1795" t="str">
        <x:v>DE87300500000008996811</x:v>
      </x:c>
      <x:c r="S1795" t="n">
        <x:v>-6.99</x:v>
      </x:c>
      <x:c r="T1795" t="str">
        <x:v>DE40ZZZ00000206926</x:v>
      </x:c>
      <x:c r="U1795" t="str">
        <x:v>FB1310D094B04186E02ACE7B8C6</x:v>
      </x:c>
      <x:c r="V1795" t="str">
        <x:v>C0851820+U657277358</x:v>
      </x:c>
    </x:row>
    <x:row r="1796">
      <x:c r="A1796" t="str">
        <x:v>RAW-IMP-20260516-FULLDRAFT-001779</x:v>
      </x:c>
      <x:c r="B1796" t="str">
        <x:v>IMP-20260516-FULLDRAFT</x:v>
      </x:c>
      <x:c r="C1796" t="str">
        <x:v>KTO001</x:v>
      </x:c>
      <x:c r="D1796" t="str">
        <x:v>16-05-2026_Umsatzliste_Girokonto_DE98120300001061711675.csv</x:v>
      </x:c>
      <x:c r="E1796" t="n">
        <x:v>46163</x:v>
      </x:c>
      <x:c r="F1796" t="n">
        <x:v>1779</x:v>
      </x:c>
      <x:c r="G1796" t="str">
        <x:v>49a96406043b159627fb906f2c45213190a5a75e08d2853c2048341cdd97524e</x:v>
      </x:c>
      <x:c r="H1796" t="str">
        <x:v>neu</x:v>
      </x:c>
      <x:c r="I1796" t="str">
        <x:v>ok</x:v>
      </x:c>
      <x:c r="J1796"/>
      <x:c r="K1796" t="n">
        <x:v>45552</x:v>
      </x:c>
      <x:c r="L1796" t="n">
        <x:v>45552</x:v>
      </x:c>
      <x:c r="M1796" t="str">
        <x:v>Gebucht</x:v>
      </x:c>
      <x:c r="N1796" t="str">
        <x:v>Lars Kohlenberg</x:v>
      </x:c>
      <x:c r="O1796" t="str">
        <x:v>Drillisch Online GmbH                                                 Wilhelm-Rontgen-Strase 1-5, 63477 Maintal</x:v>
      </x:c>
      <x:c r="P1796" t="str">
        <x:v>C0851820 U661053221 B760633207 winSIM</x:v>
      </x:c>
      <x:c r="Q1796" t="str">
        <x:v>Ausgang</x:v>
      </x:c>
      <x:c r="R1796" t="str">
        <x:v>DE87300500000008996811</x:v>
      </x:c>
      <x:c r="S1796" t="n">
        <x:v>-7.38</x:v>
      </x:c>
      <x:c r="T1796" t="str">
        <x:v>DE40ZZZ00000206926</x:v>
      </x:c>
      <x:c r="U1796" t="str">
        <x:v>FB1310D094B04186E02ACE7B8C6</x:v>
      </x:c>
      <x:c r="V1796" t="str">
        <x:v>C0851820+U661053221</x:v>
      </x:c>
    </x:row>
    <x:row r="1797">
      <x:c r="A1797" t="str">
        <x:v>RAW-IMP-20260516-FULLDRAFT-001780</x:v>
      </x:c>
      <x:c r="B1797" t="str">
        <x:v>IMP-20260516-FULLDRAFT</x:v>
      </x:c>
      <x:c r="C1797" t="str">
        <x:v>KTO001</x:v>
      </x:c>
      <x:c r="D1797" t="str">
        <x:v>16-05-2026_Umsatzliste_Girokonto_DE98120300001061711675.csv</x:v>
      </x:c>
      <x:c r="E1797" t="n">
        <x:v>46163</x:v>
      </x:c>
      <x:c r="F1797" t="n">
        <x:v>1780</x:v>
      </x:c>
      <x:c r="G1797" t="str">
        <x:v>ef24eb56b59cc99e3f23723cf00e3faf5a7a452cdec11cb692d8cb0eb418683d</x:v>
      </x:c>
      <x:c r="H1797" t="str">
        <x:v>neu</x:v>
      </x:c>
      <x:c r="I1797" t="str">
        <x:v>ok</x:v>
      </x:c>
      <x:c r="J1797"/>
      <x:c r="K1797" t="n">
        <x:v>45552</x:v>
      </x:c>
      <x:c r="L1797" t="n">
        <x:v>45552</x:v>
      </x:c>
      <x:c r="M1797" t="str">
        <x:v>Gebucht</x:v>
      </x:c>
      <x:c r="N1797" t="str">
        <x:v>Lars Kohlenberg</x:v>
      </x:c>
      <x:c r="O1797" t="str">
        <x:v>Drillisch Online GmbH                                                 Wilhelm-Rontgen-Strase 1-5, 63477 Maintal</x:v>
      </x:c>
      <x:c r="P1797" t="str">
        <x:v>C0851820 U657986672 B761207196 winSIM</x:v>
      </x:c>
      <x:c r="Q1797" t="str">
        <x:v>Ausgang</x:v>
      </x:c>
      <x:c r="R1797" t="str">
        <x:v>DE87300500000008996811</x:v>
      </x:c>
      <x:c r="S1797" t="n">
        <x:v>-6.99</x:v>
      </x:c>
      <x:c r="T1797" t="str">
        <x:v>DE40ZZZ00000206926</x:v>
      </x:c>
      <x:c r="U1797" t="str">
        <x:v>FB1310D094B04186E02ACE7B8C6</x:v>
      </x:c>
      <x:c r="V1797" t="str">
        <x:v>C0851820+U657986672</x:v>
      </x:c>
    </x:row>
    <x:row r="1798">
      <x:c r="A1798" t="str">
        <x:v>RAW-IMP-20260516-FULLDRAFT-001781</x:v>
      </x:c>
      <x:c r="B1798" t="str">
        <x:v>IMP-20260516-FULLDRAFT</x:v>
      </x:c>
      <x:c r="C1798" t="str">
        <x:v>KTO001</x:v>
      </x:c>
      <x:c r="D1798" t="str">
        <x:v>16-05-2026_Umsatzliste_Girokonto_DE98120300001061711675.csv</x:v>
      </x:c>
      <x:c r="E1798" t="n">
        <x:v>46163</x:v>
      </x:c>
      <x:c r="F1798" t="n">
        <x:v>1781</x:v>
      </x:c>
      <x:c r="G1798" t="str">
        <x:v>04022837a79740843d85e2e625d898703a4838b6b71480dca10c3f0c5abbae77</x:v>
      </x:c>
      <x:c r="H1798" t="str">
        <x:v>neu</x:v>
      </x:c>
      <x:c r="I1798" t="str">
        <x:v>ok</x:v>
      </x:c>
      <x:c r="J1798"/>
      <x:c r="K1798" t="n">
        <x:v>45551</x:v>
      </x:c>
      <x:c r="L1798" t="n">
        <x:v>45551</x:v>
      </x:c>
      <x:c r="M1798" t="str">
        <x:v>Gebucht</x:v>
      </x:c>
      <x:c r="N1798" t="str">
        <x:v>ISSUER</x:v>
      </x:c>
      <x:c r="O1798" t="str">
        <x:v>AMZN.Mktp.DE.AG90429B5/800.279.6620</x:v>
      </x:c>
      <x:c r="P1798" t="str">
        <x:v>VISA Debitkartenumsatz vom 15.09.2024</x:v>
      </x:c>
      <x:c r="Q1798" t="str">
        <x:v>Ausgang</x:v>
      </x:c>
      <x:c r="R1798" t="str">
        <x:v>DE96120300009005290904</x:v>
      </x:c>
      <x:c r="S1798" t="n">
        <x:v>-22.09</x:v>
      </x:c>
      <x:c r="T1798" t="str">
        <x:v>"</x:v>
      </x:c>
      <x:c r="U1798" t="str">
        <x:v>"</x:v>
      </x:c>
      <x:c r="V1798" t="str">
        <x:v>484258751176937</x:v>
      </x:c>
    </x:row>
    <x:row r="1799">
      <x:c r="A1799" t="str">
        <x:v>RAW-IMP-20260516-FULLDRAFT-001782</x:v>
      </x:c>
      <x:c r="B1799" t="str">
        <x:v>IMP-20260516-FULLDRAFT</x:v>
      </x:c>
      <x:c r="C1799" t="str">
        <x:v>KTO001</x:v>
      </x:c>
      <x:c r="D1799" t="str">
        <x:v>16-05-2026_Umsatzliste_Girokonto_DE98120300001061711675.csv</x:v>
      </x:c>
      <x:c r="E1799" t="n">
        <x:v>46163</x:v>
      </x:c>
      <x:c r="F1799" t="n">
        <x:v>1782</x:v>
      </x:c>
      <x:c r="G1799" t="str">
        <x:v>f7d3fbbe9fe686cc9f1694decbfc3b0c4e0acfb7999bbb4ccd439b4149751720</x:v>
      </x:c>
      <x:c r="H1799" t="str">
        <x:v>neu</x:v>
      </x:c>
      <x:c r="I1799" t="str">
        <x:v>ok</x:v>
      </x:c>
      <x:c r="J1799"/>
      <x:c r="K1799" t="n">
        <x:v>45551</x:v>
      </x:c>
      <x:c r="L1799" t="n">
        <x:v>45551</x:v>
      </x:c>
      <x:c r="M1799" t="str">
        <x:v>Gebucht</x:v>
      </x:c>
      <x:c r="N1799" t="str">
        <x:v>ISSUER</x:v>
      </x:c>
      <x:c r="O1799" t="str">
        <x:v>NORD.LB...Braunschweigi/GEBHARDSHG</x:v>
      </x:c>
      <x:c r="P1799" t="str">
        <x:v>VISA Debitkartenumsatz vom 13.09.2024</x:v>
      </x:c>
      <x:c r="Q1799" t="str">
        <x:v>Ausgang</x:v>
      </x:c>
      <x:c r="R1799" t="str">
        <x:v>DE96120300009005290904</x:v>
      </x:c>
      <x:c r="S1799" t="n">
        <x:v>-120</x:v>
      </x:c>
      <x:c r="T1799" t="str">
        <x:v>"</x:v>
      </x:c>
      <x:c r="U1799" t="str">
        <x:v>"</x:v>
      </x:c>
      <x:c r="V1799" t="str">
        <x:v>484257648135945</x:v>
      </x:c>
    </x:row>
    <x:row r="1800">
      <x:c r="A1800" t="str">
        <x:v>RAW-IMP-20260516-FULLDRAFT-001783</x:v>
      </x:c>
      <x:c r="B1800" t="str">
        <x:v>IMP-20260516-FULLDRAFT</x:v>
      </x:c>
      <x:c r="C1800" t="str">
        <x:v>KTO001</x:v>
      </x:c>
      <x:c r="D1800" t="str">
        <x:v>16-05-2026_Umsatzliste_Girokonto_DE98120300001061711675.csv</x:v>
      </x:c>
      <x:c r="E1800" t="n">
        <x:v>46163</x:v>
      </x:c>
      <x:c r="F1800" t="n">
        <x:v>1783</x:v>
      </x:c>
      <x:c r="G1800" t="str">
        <x:v>db028e3b41f54f63e85d4cdb8e67f0e6957c740a23a81b68197cc791b28db89f</x:v>
      </x:c>
      <x:c r="H1800" t="str">
        <x:v>neu</x:v>
      </x:c>
      <x:c r="I1800" t="str">
        <x:v>ok</x:v>
      </x:c>
      <x:c r="J1800"/>
      <x:c r="K1800" t="n">
        <x:v>45551</x:v>
      </x:c>
      <x:c r="L1800" t="n">
        <x:v>45551</x:v>
      </x:c>
      <x:c r="M1800" t="str">
        <x:v>Gebucht</x:v>
      </x:c>
      <x:c r="N1800" t="str">
        <x:v>ISSUER</x:v>
      </x:c>
      <x:c r="O1800" t="str">
        <x:v>REWE.Salzgitter.Ge/Salzgitter</x:v>
      </x:c>
      <x:c r="P1800" t="str">
        <x:v>VISA Debitkartenumsatz vom 14.09.2024</x:v>
      </x:c>
      <x:c r="Q1800" t="str">
        <x:v>Ausgang</x:v>
      </x:c>
      <x:c r="R1800" t="str">
        <x:v>DE96120300009005290904</x:v>
      </x:c>
      <x:c r="S1800" t="n">
        <x:v>-72.27</x:v>
      </x:c>
      <x:c r="T1800" t="str">
        <x:v>"</x:v>
      </x:c>
      <x:c r="U1800" t="str">
        <x:v>"</x:v>
      </x:c>
      <x:c r="V1800" t="str">
        <x:v>484258484781674</x:v>
      </x:c>
    </x:row>
    <x:row r="1801">
      <x:c r="A1801" t="str">
        <x:v>RAW-IMP-20260516-FULLDRAFT-001784</x:v>
      </x:c>
      <x:c r="B1801" t="str">
        <x:v>IMP-20260516-FULLDRAFT</x:v>
      </x:c>
      <x:c r="C1801" t="str">
        <x:v>KTO001</x:v>
      </x:c>
      <x:c r="D1801" t="str">
        <x:v>16-05-2026_Umsatzliste_Girokonto_DE98120300001061711675.csv</x:v>
      </x:c>
      <x:c r="E1801" t="n">
        <x:v>46163</x:v>
      </x:c>
      <x:c r="F1801" t="n">
        <x:v>1784</x:v>
      </x:c>
      <x:c r="G1801" t="str">
        <x:v>bbf469c9ffa30884a5804dafc907927047e8cd52364738ac12b9f58e30b113a2</x:v>
      </x:c>
      <x:c r="H1801" t="str">
        <x:v>neu</x:v>
      </x:c>
      <x:c r="I1801" t="str">
        <x:v>ok</x:v>
      </x:c>
      <x:c r="J1801"/>
      <x:c r="K1801" t="n">
        <x:v>45551</x:v>
      </x:c>
      <x:c r="L1801" t="n">
        <x:v>45551</x:v>
      </x:c>
      <x:c r="M1801" t="str">
        <x:v>Gebucht</x:v>
      </x:c>
      <x:c r="N1801" t="str">
        <x:v>ISSUER</x:v>
      </x:c>
      <x:c r="O1801" t="str">
        <x:v>Hornbach.Baumarkt.AG.FI/Braunschweig</x:v>
      </x:c>
      <x:c r="P1801" t="str">
        <x:v>VISA Debitkartenumsatz vom 14.09.2024</x:v>
      </x:c>
      <x:c r="Q1801" t="str">
        <x:v>Ausgang</x:v>
      </x:c>
      <x:c r="R1801" t="str">
        <x:v>DE96120300009005290904</x:v>
      </x:c>
      <x:c r="S1801" t="n">
        <x:v>-115.25</x:v>
      </x:c>
      <x:c r="T1801" t="str">
        <x:v>"</x:v>
      </x:c>
      <x:c r="U1801" t="str">
        <x:v>"</x:v>
      </x:c>
      <x:c r="V1801" t="str">
        <x:v>484258444311751</x:v>
      </x:c>
    </x:row>
    <x:row r="1802">
      <x:c r="A1802" t="str">
        <x:v>RAW-IMP-20260516-FULLDRAFT-001785</x:v>
      </x:c>
      <x:c r="B1802" t="str">
        <x:v>IMP-20260516-FULLDRAFT</x:v>
      </x:c>
      <x:c r="C1802" t="str">
        <x:v>KTO001</x:v>
      </x:c>
      <x:c r="D1802" t="str">
        <x:v>16-05-2026_Umsatzliste_Girokonto_DE98120300001061711675.csv</x:v>
      </x:c>
      <x:c r="E1802" t="n">
        <x:v>46163</x:v>
      </x:c>
      <x:c r="F1802" t="n">
        <x:v>1785</x:v>
      </x:c>
      <x:c r="G1802" t="str">
        <x:v>8a66c0862fc5417452c02fbd557f9d2c571e0f47fc1756d2a8bb1f44e57c488c</x:v>
      </x:c>
      <x:c r="H1802" t="str">
        <x:v>neu</x:v>
      </x:c>
      <x:c r="I1802" t="str">
        <x:v>ok</x:v>
      </x:c>
      <x:c r="J1802"/>
      <x:c r="K1802" t="n">
        <x:v>45548</x:v>
      </x:c>
      <x:c r="L1802" t="n">
        <x:v>45548</x:v>
      </x:c>
      <x:c r="M1802" t="str">
        <x:v>Gebucht</x:v>
      </x:c>
      <x:c r="N1802" t="str">
        <x:v>ISSUER</x:v>
      </x:c>
      <x:c r="O1802" t="str">
        <x:v>Lidl.sagt.Danke/Salzgitter</x:v>
      </x:c>
      <x:c r="P1802" t="str">
        <x:v>VISA Debitkartenumsatz vom 12.09.2024</x:v>
      </x:c>
      <x:c r="Q1802" t="str">
        <x:v>Ausgang</x:v>
      </x:c>
      <x:c r="R1802" t="str">
        <x:v>DE96120300009005290904</x:v>
      </x:c>
      <x:c r="S1802" t="n">
        <x:v>-18.42</x:v>
      </x:c>
      <x:c r="T1802" t="str">
        <x:v>"</x:v>
      </x:c>
      <x:c r="U1802" t="str">
        <x:v>"</x:v>
      </x:c>
      <x:c r="V1802" t="str">
        <x:v>484256576925193</x:v>
      </x:c>
    </x:row>
    <x:row r="1803">
      <x:c r="A1803" t="str">
        <x:v>RAW-IMP-20260516-FULLDRAFT-001786</x:v>
      </x:c>
      <x:c r="B1803" t="str">
        <x:v>IMP-20260516-FULLDRAFT</x:v>
      </x:c>
      <x:c r="C1803" t="str">
        <x:v>KTO001</x:v>
      </x:c>
      <x:c r="D1803" t="str">
        <x:v>16-05-2026_Umsatzliste_Girokonto_DE98120300001061711675.csv</x:v>
      </x:c>
      <x:c r="E1803" t="n">
        <x:v>46163</x:v>
      </x:c>
      <x:c r="F1803" t="n">
        <x:v>1786</x:v>
      </x:c>
      <x:c r="G1803" t="str">
        <x:v>651879a9751416b08031d2cefda7121e459eefc915b8ec48e1437c3738f0fdcf</x:v>
      </x:c>
      <x:c r="H1803" t="str">
        <x:v>neu</x:v>
      </x:c>
      <x:c r="I1803" t="str">
        <x:v>ok</x:v>
      </x:c>
      <x:c r="J1803"/>
      <x:c r="K1803" t="n">
        <x:v>45547</x:v>
      </x:c>
      <x:c r="L1803" t="n">
        <x:v>45547</x:v>
      </x:c>
      <x:c r="M1803" t="str">
        <x:v>Gebucht</x:v>
      </x:c>
      <x:c r="N1803" t="str">
        <x:v>ISSUER</x:v>
      </x:c>
      <x:c r="O1803" t="str">
        <x:v>HEM.Tankstelle/Salzgitter</x:v>
      </x:c>
      <x:c r="P1803" t="str">
        <x:v>VISA Debitkartenumsatz vom 10.09.2024</x:v>
      </x:c>
      <x:c r="Q1803" t="str">
        <x:v>Ausgang</x:v>
      </x:c>
      <x:c r="R1803" t="str">
        <x:v>DE96120300009005290904</x:v>
      </x:c>
      <x:c r="S1803" t="n">
        <x:v>-72.4</x:v>
      </x:c>
      <x:c r="T1803" t="str">
        <x:v>"</x:v>
      </x:c>
      <x:c r="U1803" t="str">
        <x:v>"</x:v>
      </x:c>
      <x:c r="V1803" t="str">
        <x:v>484254638310370</x:v>
      </x:c>
    </x:row>
    <x:row r="1804">
      <x:c r="A1804" t="str">
        <x:v>RAW-IMP-20260516-FULLDRAFT-001787</x:v>
      </x:c>
      <x:c r="B1804" t="str">
        <x:v>IMP-20260516-FULLDRAFT</x:v>
      </x:c>
      <x:c r="C1804" t="str">
        <x:v>KTO001</x:v>
      </x:c>
      <x:c r="D1804" t="str">
        <x:v>16-05-2026_Umsatzliste_Girokonto_DE98120300001061711675.csv</x:v>
      </x:c>
      <x:c r="E1804" t="n">
        <x:v>46163</x:v>
      </x:c>
      <x:c r="F1804" t="n">
        <x:v>1787</x:v>
      </x:c>
      <x:c r="G1804" t="str">
        <x:v>d27ba402b46f0e314cc4fd037d2204560a243e9fc362cd3272e6e19cffef458f</x:v>
      </x:c>
      <x:c r="H1804" t="str">
        <x:v>neu</x:v>
      </x:c>
      <x:c r="I1804" t="str">
        <x:v>ok</x:v>
      </x:c>
      <x:c r="J1804"/>
      <x:c r="K1804" t="n">
        <x:v>45546</x:v>
      </x:c>
      <x:c r="L1804" t="n">
        <x:v>45546</x:v>
      </x:c>
      <x:c r="M1804" t="str">
        <x:v>Gebucht</x:v>
      </x:c>
      <x:c r="N1804" t="str">
        <x:v>ISSUER</x:v>
      </x:c>
      <x:c r="O1804" t="str">
        <x:v>Lidl.sagt.Danke/Salzgitter</x:v>
      </x:c>
      <x:c r="P1804" t="str">
        <x:v>VISA Debitkartenumsatz vom 10.09.2024</x:v>
      </x:c>
      <x:c r="Q1804" t="str">
        <x:v>Ausgang</x:v>
      </x:c>
      <x:c r="R1804" t="str">
        <x:v>DE96120300009005290904</x:v>
      </x:c>
      <x:c r="S1804" t="n">
        <x:v>-42.61</x:v>
      </x:c>
      <x:c r="T1804" t="str">
        <x:v>"</x:v>
      </x:c>
      <x:c r="U1804" t="str">
        <x:v>"</x:v>
      </x:c>
      <x:c r="V1804" t="str">
        <x:v>484254630472173</x:v>
      </x:c>
    </x:row>
    <x:row r="1805">
      <x:c r="A1805" t="str">
        <x:v>RAW-IMP-20260516-FULLDRAFT-001788</x:v>
      </x:c>
      <x:c r="B1805" t="str">
        <x:v>IMP-20260516-FULLDRAFT</x:v>
      </x:c>
      <x:c r="C1805" t="str">
        <x:v>KTO001</x:v>
      </x:c>
      <x:c r="D1805" t="str">
        <x:v>16-05-2026_Umsatzliste_Girokonto_DE98120300001061711675.csv</x:v>
      </x:c>
      <x:c r="E1805" t="n">
        <x:v>46163</x:v>
      </x:c>
      <x:c r="F1805" t="n">
        <x:v>1788</x:v>
      </x:c>
      <x:c r="G1805" t="str">
        <x:v>2aeae470c5974aefb16ece51950b53b10a49d19c7b94d96d3f55750e05792b6f</x:v>
      </x:c>
      <x:c r="H1805" t="str">
        <x:v>neu</x:v>
      </x:c>
      <x:c r="I1805" t="str">
        <x:v>ok</x:v>
      </x:c>
      <x:c r="J1805"/>
      <x:c r="K1805" t="n">
        <x:v>45546</x:v>
      </x:c>
      <x:c r="L1805" t="n">
        <x:v>45546</x:v>
      </x:c>
      <x:c r="M1805" t="str">
        <x:v>Gebucht</x:v>
      </x:c>
      <x:c r="N1805" t="str">
        <x:v>ISSUER</x:v>
      </x:c>
      <x:c r="O1805" t="str">
        <x:v>PAYPAL..hassmann/Visa.Direct</x:v>
      </x:c>
      <x:c r="P1805" t="str">
        <x:v>VISA Debitkartenumsatz vom 10.09.2024</x:v>
      </x:c>
      <x:c r="Q1805" t="str">
        <x:v>Ausgang</x:v>
      </x:c>
      <x:c r="R1805" t="str">
        <x:v>DE96120300009005290904</x:v>
      </x:c>
      <x:c r="S1805" t="n">
        <x:v>-75</x:v>
      </x:c>
      <x:c r="T1805" t="str">
        <x:v>"</x:v>
      </x:c>
      <x:c r="U1805" t="str">
        <x:v>"</x:v>
      </x:c>
      <x:c r="V1805" t="str">
        <x:v>304254644507750</x:v>
      </x:c>
    </x:row>
    <x:row r="1806">
      <x:c r="A1806" t="str">
        <x:v>RAW-IMP-20260516-FULLDRAFT-001789</x:v>
      </x:c>
      <x:c r="B1806" t="str">
        <x:v>IMP-20260516-FULLDRAFT</x:v>
      </x:c>
      <x:c r="C1806" t="str">
        <x:v>KTO001</x:v>
      </x:c>
      <x:c r="D1806" t="str">
        <x:v>16-05-2026_Umsatzliste_Girokonto_DE98120300001061711675.csv</x:v>
      </x:c>
      <x:c r="E1806" t="n">
        <x:v>46163</x:v>
      </x:c>
      <x:c r="F1806" t="n">
        <x:v>1789</x:v>
      </x:c>
      <x:c r="G1806" t="str">
        <x:v>d86aac08484d02576d92bc3833171801d9c0f279c6b8396ef05c732d7b1106ed</x:v>
      </x:c>
      <x:c r="H1806" t="str">
        <x:v>neu</x:v>
      </x:c>
      <x:c r="I1806" t="str">
        <x:v>ok</x:v>
      </x:c>
      <x:c r="J1806"/>
      <x:c r="K1806" t="n">
        <x:v>45545</x:v>
      </x:c>
      <x:c r="L1806" t="n">
        <x:v>45545</x:v>
      </x:c>
      <x:c r="M1806" t="str">
        <x:v>Gebucht</x:v>
      </x:c>
      <x:c r="N1806" t="str">
        <x:v>ISSUER</x:v>
      </x:c>
      <x:c r="O1806" t="str">
        <x:v>EDEKA.POTRATZ/HILDESHEIM</x:v>
      </x:c>
      <x:c r="P1806" t="str">
        <x:v>VISA Debitkartenumsatz vom 09.09.2024</x:v>
      </x:c>
      <x:c r="Q1806" t="str">
        <x:v>Ausgang</x:v>
      </x:c>
      <x:c r="R1806" t="str">
        <x:v>DE96120300009005290904</x:v>
      </x:c>
      <x:c r="S1806" t="n">
        <x:v>-1.15</x:v>
      </x:c>
      <x:c r="T1806" t="str">
        <x:v>"</x:v>
      </x:c>
      <x:c r="U1806" t="str">
        <x:v>"</x:v>
      </x:c>
      <x:c r="V1806" t="str">
        <x:v>484253355621799</x:v>
      </x:c>
    </x:row>
    <x:row r="1807">
      <x:c r="A1807" t="str">
        <x:v>RAW-IMP-20260516-FULLDRAFT-001790</x:v>
      </x:c>
      <x:c r="B1807" t="str">
        <x:v>IMP-20260516-FULLDRAFT</x:v>
      </x:c>
      <x:c r="C1807" t="str">
        <x:v>KTO001</x:v>
      </x:c>
      <x:c r="D1807" t="str">
        <x:v>16-05-2026_Umsatzliste_Girokonto_DE98120300001061711675.csv</x:v>
      </x:c>
      <x:c r="E1807" t="n">
        <x:v>46163</x:v>
      </x:c>
      <x:c r="F1807" t="n">
        <x:v>1790</x:v>
      </x:c>
      <x:c r="G1807" t="str">
        <x:v>16da9fa6ed6299a967452d225dfc001f642a5ab492fda9a208b5ba22195b5447</x:v>
      </x:c>
      <x:c r="H1807" t="str">
        <x:v>neu</x:v>
      </x:c>
      <x:c r="I1807" t="str">
        <x:v>ok</x:v>
      </x:c>
      <x:c r="J1807"/>
      <x:c r="K1807" t="n">
        <x:v>45545</x:v>
      </x:c>
      <x:c r="L1807" t="n">
        <x:v>45545</x:v>
      </x:c>
      <x:c r="M1807" t="str">
        <x:v>Gebucht</x:v>
      </x:c>
      <x:c r="N1807" t="str">
        <x:v>ISSUER</x:v>
      </x:c>
      <x:c r="O1807" t="str">
        <x:v>DM.Drogerie.Markt/Salzgitter</x:v>
      </x:c>
      <x:c r="P1807" t="str">
        <x:v>VISA Debitkartenumsatz vom 09.09.2024</x:v>
      </x:c>
      <x:c r="Q1807" t="str">
        <x:v>Ausgang</x:v>
      </x:c>
      <x:c r="R1807" t="str">
        <x:v>DE96120300009005290904</x:v>
      </x:c>
      <x:c r="S1807" t="n">
        <x:v>-6.9</x:v>
      </x:c>
      <x:c r="T1807" t="str">
        <x:v>"</x:v>
      </x:c>
      <x:c r="U1807" t="str">
        <x:v>"</x:v>
      </x:c>
      <x:c r="V1807" t="str">
        <x:v>484253548838709</x:v>
      </x:c>
    </x:row>
    <x:row r="1808">
      <x:c r="A1808" t="str">
        <x:v>RAW-IMP-20260516-FULLDRAFT-001791</x:v>
      </x:c>
      <x:c r="B1808" t="str">
        <x:v>IMP-20260516-FULLDRAFT</x:v>
      </x:c>
      <x:c r="C1808" t="str">
        <x:v>KTO001</x:v>
      </x:c>
      <x:c r="D1808" t="str">
        <x:v>16-05-2026_Umsatzliste_Girokonto_DE98120300001061711675.csv</x:v>
      </x:c>
      <x:c r="E1808" t="n">
        <x:v>46163</x:v>
      </x:c>
      <x:c r="F1808" t="n">
        <x:v>1791</x:v>
      </x:c>
      <x:c r="G1808" t="str">
        <x:v>e4f6023c04a6cac3b74a31045f2f1d74b75a2b07c26c571e574d584827774700</x:v>
      </x:c>
      <x:c r="H1808" t="str">
        <x:v>neu</x:v>
      </x:c>
      <x:c r="I1808" t="str">
        <x:v>ok</x:v>
      </x:c>
      <x:c r="J1808"/>
      <x:c r="K1808" t="n">
        <x:v>45545</x:v>
      </x:c>
      <x:c r="L1808" t="n">
        <x:v>45545</x:v>
      </x:c>
      <x:c r="M1808" t="str">
        <x:v>Gebucht</x:v>
      </x:c>
      <x:c r="N1808" t="str">
        <x:v>ISSUER</x:v>
      </x:c>
      <x:c r="O1808" t="str">
        <x:v>REWE.Salzgitter.Ge/Salzgitter</x:v>
      </x:c>
      <x:c r="P1808" t="str">
        <x:v>VISA Debitkartenumsatz vom 09.09.2024</x:v>
      </x:c>
      <x:c r="Q1808" t="str">
        <x:v>Ausgang</x:v>
      </x:c>
      <x:c r="R1808" t="str">
        <x:v>DE96120300009005290904</x:v>
      </x:c>
      <x:c r="S1808" t="n">
        <x:v>-5.58</x:v>
      </x:c>
      <x:c r="T1808" t="str">
        <x:v>"</x:v>
      </x:c>
      <x:c r="U1808" t="str">
        <x:v>"</x:v>
      </x:c>
      <x:c r="V1808" t="str">
        <x:v>484253596582729</x:v>
      </x:c>
    </x:row>
    <x:row r="1809">
      <x:c r="A1809" t="str">
        <x:v>RAW-IMP-20260516-FULLDRAFT-001792</x:v>
      </x:c>
      <x:c r="B1809" t="str">
        <x:v>IMP-20260516-FULLDRAFT</x:v>
      </x:c>
      <x:c r="C1809" t="str">
        <x:v>KTO001</x:v>
      </x:c>
      <x:c r="D1809" t="str">
        <x:v>16-05-2026_Umsatzliste_Girokonto_DE98120300001061711675.csv</x:v>
      </x:c>
      <x:c r="E1809" t="n">
        <x:v>46163</x:v>
      </x:c>
      <x:c r="F1809" t="n">
        <x:v>1792</x:v>
      </x:c>
      <x:c r="G1809" t="str">
        <x:v>f7acee51ea296dc5f16f417f5204972250752e08d5dc85fbcbdd3a2597447fed</x:v>
      </x:c>
      <x:c r="H1809" t="str">
        <x:v>neu</x:v>
      </x:c>
      <x:c r="I1809" t="str">
        <x:v>ok</x:v>
      </x:c>
      <x:c r="J1809"/>
      <x:c r="K1809" t="n">
        <x:v>45545</x:v>
      </x:c>
      <x:c r="L1809" t="n">
        <x:v>45545</x:v>
      </x:c>
      <x:c r="M1809" t="str">
        <x:v>Gebucht</x:v>
      </x:c>
      <x:c r="N1809" t="str">
        <x:v>Lars Kohlenberg                                                       Johannes-Wosnitza-Str. 8 38229 Salzgitter</x:v>
      </x:c>
      <x:c r="O1809" t="str">
        <x:v>1+1 Mail + Media GmbH                                                 Elgendorfer Str. 57, 56410 Montabaur</x:v>
      </x:c>
      <x:c r="P1809" t="str">
        <x:v>GMX / WEB.DE / KD-Nr. K7440512/ RG-Nr. 201538468559</x:v>
      </x:c>
      <x:c r="Q1809" t="str">
        <x:v>Ausgang</x:v>
      </x:c>
      <x:c r="R1809" t="str">
        <x:v>DE76700800000881679702</x:v>
      </x:c>
      <x:c r="S1809" t="n">
        <x:v>-5.99</x:v>
      </x:c>
      <x:c r="T1809" t="str">
        <x:v>DE07ZZZ00000569718</x:v>
      </x:c>
      <x:c r="U1809" t="str">
        <x:v>0090001393062</x:v>
      </x:c>
      <x:c r="V1809" t="str">
        <x:v>006161851006</x:v>
      </x:c>
    </x:row>
    <x:row r="1810">
      <x:c r="A1810" t="str">
        <x:v>RAW-IMP-20260516-FULLDRAFT-001793</x:v>
      </x:c>
      <x:c r="B1810" t="str">
        <x:v>IMP-20260516-FULLDRAFT</x:v>
      </x:c>
      <x:c r="C1810" t="str">
        <x:v>KTO001</x:v>
      </x:c>
      <x:c r="D1810" t="str">
        <x:v>16-05-2026_Umsatzliste_Girokonto_DE98120300001061711675.csv</x:v>
      </x:c>
      <x:c r="E1810" t="n">
        <x:v>46163</x:v>
      </x:c>
      <x:c r="F1810" t="n">
        <x:v>1793</x:v>
      </x:c>
      <x:c r="G1810" t="str">
        <x:v>7fe0b16b06f330ad823d5ca20b287d919ccf695c254c2d5bbd514ae35d7339a2</x:v>
      </x:c>
      <x:c r="H1810" t="str">
        <x:v>neu</x:v>
      </x:c>
      <x:c r="I1810" t="str">
        <x:v>ok</x:v>
      </x:c>
      <x:c r="J1810"/>
      <x:c r="K1810" t="n">
        <x:v>45544</x:v>
      </x:c>
      <x:c r="L1810" t="n">
        <x:v>45544</x:v>
      </x:c>
      <x:c r="M1810" t="str">
        <x:v>Gebucht</x:v>
      </x:c>
      <x:c r="N1810" t="str">
        <x:v>ISSUER</x:v>
      </x:c>
      <x:c r="O1810" t="str">
        <x:v>ENTSORGUNGSZENTRUM.SAL/SALZGITTER</x:v>
      </x:c>
      <x:c r="P1810" t="str">
        <x:v>VISA Debitkartenumsatz vom 07.09.2024</x:v>
      </x:c>
      <x:c r="Q1810" t="str">
        <x:v>Ausgang</x:v>
      </x:c>
      <x:c r="R1810" t="str">
        <x:v>DE96120300009005290904</x:v>
      </x:c>
      <x:c r="S1810" t="n">
        <x:v>-7</x:v>
      </x:c>
      <x:c r="T1810" t="str">
        <x:v>"</x:v>
      </x:c>
      <x:c r="U1810" t="str">
        <x:v>"</x:v>
      </x:c>
      <x:c r="V1810" t="str">
        <x:v>484251378216484</x:v>
      </x:c>
    </x:row>
    <x:row r="1811">
      <x:c r="A1811" t="str">
        <x:v>RAW-IMP-20260516-FULLDRAFT-001794</x:v>
      </x:c>
      <x:c r="B1811" t="str">
        <x:v>IMP-20260516-FULLDRAFT</x:v>
      </x:c>
      <x:c r="C1811" t="str">
        <x:v>KTO001</x:v>
      </x:c>
      <x:c r="D1811" t="str">
        <x:v>16-05-2026_Umsatzliste_Girokonto_DE98120300001061711675.csv</x:v>
      </x:c>
      <x:c r="E1811" t="n">
        <x:v>46163</x:v>
      </x:c>
      <x:c r="F1811" t="n">
        <x:v>1794</x:v>
      </x:c>
      <x:c r="G1811" t="str">
        <x:v>71dc8429085350625b134c59e51c4d1e46e759be6ba945970923d949429aefc4</x:v>
      </x:c>
      <x:c r="H1811" t="str">
        <x:v>neu</x:v>
      </x:c>
      <x:c r="I1811" t="str">
        <x:v>ok</x:v>
      </x:c>
      <x:c r="J1811"/>
      <x:c r="K1811" t="n">
        <x:v>45544</x:v>
      </x:c>
      <x:c r="L1811" t="n">
        <x:v>45544</x:v>
      </x:c>
      <x:c r="M1811" t="str">
        <x:v>Gebucht</x:v>
      </x:c>
      <x:c r="N1811" t="str">
        <x:v>ISSUER</x:v>
      </x:c>
      <x:c r="O1811" t="str">
        <x:v>REWE.Acar.oHG/Salzgitter</x:v>
      </x:c>
      <x:c r="P1811" t="str">
        <x:v>VISA Debitkartenumsatz vom 07.09.2024</x:v>
      </x:c>
      <x:c r="Q1811" t="str">
        <x:v>Ausgang</x:v>
      </x:c>
      <x:c r="R1811" t="str">
        <x:v>DE96120300009005290904</x:v>
      </x:c>
      <x:c r="S1811" t="n">
        <x:v>-209.8</x:v>
      </x:c>
      <x:c r="T1811" t="str">
        <x:v>"</x:v>
      </x:c>
      <x:c r="U1811" t="str">
        <x:v>"</x:v>
      </x:c>
      <x:c r="V1811" t="str">
        <x:v>484251544629364</x:v>
      </x:c>
    </x:row>
    <x:row r="1812">
      <x:c r="A1812" t="str">
        <x:v>RAW-IMP-20260516-FULLDRAFT-001795</x:v>
      </x:c>
      <x:c r="B1812" t="str">
        <x:v>IMP-20260516-FULLDRAFT</x:v>
      </x:c>
      <x:c r="C1812" t="str">
        <x:v>KTO001</x:v>
      </x:c>
      <x:c r="D1812" t="str">
        <x:v>16-05-2026_Umsatzliste_Girokonto_DE98120300001061711675.csv</x:v>
      </x:c>
      <x:c r="E1812" t="n">
        <x:v>46163</x:v>
      </x:c>
      <x:c r="F1812" t="n">
        <x:v>1795</x:v>
      </x:c>
      <x:c r="G1812" t="str">
        <x:v>97302c624a6e30e292a686873131e5bc144b8eeda63d89fd14e216f497425b1f</x:v>
      </x:c>
      <x:c r="H1812" t="str">
        <x:v>neu</x:v>
      </x:c>
      <x:c r="I1812" t="str">
        <x:v>ok</x:v>
      </x:c>
      <x:c r="J1812"/>
      <x:c r="K1812" t="n">
        <x:v>45544</x:v>
      </x:c>
      <x:c r="L1812" t="n">
        <x:v>45544</x:v>
      </x:c>
      <x:c r="M1812" t="str">
        <x:v>Gebucht</x:v>
      </x:c>
      <x:c r="N1812" t="str">
        <x:v>ISSUER</x:v>
      </x:c>
      <x:c r="O1812" t="str">
        <x:v>AMZN.Mktp.DE.0D6TH1F05/800.279.6620</x:v>
      </x:c>
      <x:c r="P1812" t="str">
        <x:v>VISA Debitkartenumsatz vom 06.09.2024</x:v>
      </x:c>
      <x:c r="Q1812" t="str">
        <x:v>Ausgang</x:v>
      </x:c>
      <x:c r="R1812" t="str">
        <x:v>DE96120300009005290904</x:v>
      </x:c>
      <x:c r="S1812" t="n">
        <x:v>-58.83</x:v>
      </x:c>
      <x:c r="T1812" t="str">
        <x:v>"</x:v>
      </x:c>
      <x:c r="U1812" t="str">
        <x:v>"</x:v>
      </x:c>
      <x:c r="V1812" t="str">
        <x:v>484249607425495</x:v>
      </x:c>
    </x:row>
    <x:row r="1813">
      <x:c r="A1813" t="str">
        <x:v>RAW-IMP-20260516-FULLDRAFT-001796</x:v>
      </x:c>
      <x:c r="B1813" t="str">
        <x:v>IMP-20260516-FULLDRAFT</x:v>
      </x:c>
      <x:c r="C1813" t="str">
        <x:v>KTO001</x:v>
      </x:c>
      <x:c r="D1813" t="str">
        <x:v>16-05-2026_Umsatzliste_Girokonto_DE98120300001061711675.csv</x:v>
      </x:c>
      <x:c r="E1813" t="n">
        <x:v>46163</x:v>
      </x:c>
      <x:c r="F1813" t="n">
        <x:v>1796</x:v>
      </x:c>
      <x:c r="G1813" t="str">
        <x:v>56ddd2b6d433ca2e191984fb51a4297242116eb77628d8ff0aa831a62bb7bb76</x:v>
      </x:c>
      <x:c r="H1813" t="str">
        <x:v>neu</x:v>
      </x:c>
      <x:c r="I1813" t="str">
        <x:v>ok</x:v>
      </x:c>
      <x:c r="J1813"/>
      <x:c r="K1813" t="n">
        <x:v>45544</x:v>
      </x:c>
      <x:c r="L1813" t="n">
        <x:v>45544</x:v>
      </x:c>
      <x:c r="M1813" t="str">
        <x:v>Gebucht</x:v>
      </x:c>
      <x:c r="N1813" t="str">
        <x:v>ISSUER</x:v>
      </x:c>
      <x:c r="O1813" t="str">
        <x:v>Prime.Video..RC5ZS3GS5/442.011518546</x:v>
      </x:c>
      <x:c r="P1813" t="str">
        <x:v>VISA Debitkartenumsatz vom 07.09.2024</x:v>
      </x:c>
      <x:c r="Q1813" t="str">
        <x:v>Ausgang</x:v>
      </x:c>
      <x:c r="R1813" t="str">
        <x:v>DE96120300009005290904</x:v>
      </x:c>
      <x:c r="S1813" t="n">
        <x:v>-0.99</x:v>
      </x:c>
      <x:c r="T1813" t="str">
        <x:v>"</x:v>
      </x:c>
      <x:c r="U1813" t="str">
        <x:v>"</x:v>
      </x:c>
      <x:c r="V1813" t="str">
        <x:v>484251653566420</x:v>
      </x:c>
    </x:row>
    <x:row r="1814">
      <x:c r="A1814" t="str">
        <x:v>RAW-IMP-20260516-FULLDRAFT-001797</x:v>
      </x:c>
      <x:c r="B1814" t="str">
        <x:v>IMP-20260516-FULLDRAFT</x:v>
      </x:c>
      <x:c r="C1814" t="str">
        <x:v>KTO001</x:v>
      </x:c>
      <x:c r="D1814" t="str">
        <x:v>16-05-2026_Umsatzliste_Girokonto_DE98120300001061711675.csv</x:v>
      </x:c>
      <x:c r="E1814" t="n">
        <x:v>46163</x:v>
      </x:c>
      <x:c r="F1814" t="n">
        <x:v>1797</x:v>
      </x:c>
      <x:c r="G1814" t="str">
        <x:v>c0d3c6c325ffb7c291a168392cb0cda7df2703de7e0bbc7b7feb0ce8f64ad4ec</x:v>
      </x:c>
      <x:c r="H1814" t="str">
        <x:v>neu</x:v>
      </x:c>
      <x:c r="I1814" t="str">
        <x:v>ok</x:v>
      </x:c>
      <x:c r="J1814"/>
      <x:c r="K1814" t="n">
        <x:v>45544</x:v>
      </x:c>
      <x:c r="L1814" t="n">
        <x:v>45544</x:v>
      </x:c>
      <x:c r="M1814" t="str">
        <x:v>Gebucht</x:v>
      </x:c>
      <x:c r="N1814" t="str">
        <x:v>ISSUER</x:v>
      </x:c>
      <x:c r="O1814" t="str">
        <x:v>Prime.Video..OO5K841C5/442.011518546</x:v>
      </x:c>
      <x:c r="P1814" t="str">
        <x:v>VISA Debitkartenumsatz vom 07.09.2024</x:v>
      </x:c>
      <x:c r="Q1814" t="str">
        <x:v>Ausgang</x:v>
      </x:c>
      <x:c r="R1814" t="str">
        <x:v>DE96120300009005290904</x:v>
      </x:c>
      <x:c r="S1814" t="n">
        <x:v>-0.99</x:v>
      </x:c>
      <x:c r="T1814" t="str">
        <x:v>"</x:v>
      </x:c>
      <x:c r="U1814" t="str">
        <x:v>"</x:v>
      </x:c>
      <x:c r="V1814" t="str">
        <x:v>484251653847830</x:v>
      </x:c>
    </x:row>
    <x:row r="1815">
      <x:c r="A1815" t="str">
        <x:v>RAW-IMP-20260516-FULLDRAFT-001798</x:v>
      </x:c>
      <x:c r="B1815" t="str">
        <x:v>IMP-20260516-FULLDRAFT</x:v>
      </x:c>
      <x:c r="C1815" t="str">
        <x:v>KTO001</x:v>
      </x:c>
      <x:c r="D1815" t="str">
        <x:v>16-05-2026_Umsatzliste_Girokonto_DE98120300001061711675.csv</x:v>
      </x:c>
      <x:c r="E1815" t="n">
        <x:v>46163</x:v>
      </x:c>
      <x:c r="F1815" t="n">
        <x:v>1798</x:v>
      </x:c>
      <x:c r="G1815" t="str">
        <x:v>c98b8c348554dced5e06d8f2f83da8679e34cb300bc305122cd7283ad60cb972</x:v>
      </x:c>
      <x:c r="H1815" t="str">
        <x:v>neu</x:v>
      </x:c>
      <x:c r="I1815" t="str">
        <x:v>ok</x:v>
      </x:c>
      <x:c r="J1815"/>
      <x:c r="K1815" t="n">
        <x:v>45541</x:v>
      </x:c>
      <x:c r="L1815" t="n">
        <x:v>45541</x:v>
      </x:c>
      <x:c r="M1815" t="str">
        <x:v>Gebucht</x:v>
      </x:c>
      <x:c r="N1815" t="str">
        <x:v>VAN.DE.VELDE.NV/SCHELLEBELLE</x:v>
      </x:c>
      <x:c r="O1815" t="str">
        <x:v>NOTPROVIDED</x:v>
      </x:c>
      <x:c r="P1815" t="str">
        <x:v>20240906160317 VAN.DE.VELDE.NV BE</x:v>
      </x:c>
      <x:c r="Q1815" t="str">
        <x:v>Eingang</x:v>
      </x:c>
      <x:c r="R1815" t="str">
        <x:v>DE96120300009005290904</x:v>
      </x:c>
      <x:c r="S1815" t="n">
        <x:v>149.8</x:v>
      </x:c>
      <x:c r="T1815" t="str">
        <x:v>"</x:v>
      </x:c>
      <x:c r="U1815" t="str">
        <x:v>"</x:v>
      </x:c>
      <x:c r="V1815" t="str">
        <x:v>484229574435809</x:v>
      </x:c>
    </x:row>
    <x:row r="1816">
      <x:c r="A1816" t="str">
        <x:v>RAW-IMP-20260516-FULLDRAFT-001799</x:v>
      </x:c>
      <x:c r="B1816" t="str">
        <x:v>IMP-20260516-FULLDRAFT</x:v>
      </x:c>
      <x:c r="C1816" t="str">
        <x:v>KTO001</x:v>
      </x:c>
      <x:c r="D1816" t="str">
        <x:v>16-05-2026_Umsatzliste_Girokonto_DE98120300001061711675.csv</x:v>
      </x:c>
      <x:c r="E1816" t="n">
        <x:v>46163</x:v>
      </x:c>
      <x:c r="F1816" t="n">
        <x:v>1799</x:v>
      </x:c>
      <x:c r="G1816" t="str">
        <x:v>f6cd01eb2eab0a4e0599af6e37b33301b0cd6f01ffcf127cb322dbdf751d1238</x:v>
      </x:c>
      <x:c r="H1816" t="str">
        <x:v>neu</x:v>
      </x:c>
      <x:c r="I1816" t="str">
        <x:v>ok</x:v>
      </x:c>
      <x:c r="J1816"/>
      <x:c r="K1816" t="n">
        <x:v>45541</x:v>
      </x:c>
      <x:c r="L1816" t="n">
        <x:v>45541</x:v>
      </x:c>
      <x:c r="M1816" t="str">
        <x:v>Gebucht</x:v>
      </x:c>
      <x:c r="N1816" t="str">
        <x:v>Lars Kohlenberg</x:v>
      </x:c>
      <x:c r="O1816" t="str">
        <x:v>Iman Firat</x:v>
      </x:c>
      <x:c r="P1816" t="str">
        <x:v>2230 Lea Kohlenberg</x:v>
      </x:c>
      <x:c r="Q1816" t="str">
        <x:v>Ausgang</x:v>
      </x:c>
      <x:c r="R1816" t="str">
        <x:v>DE67269910662694298000</x:v>
      </x:c>
      <x:c r="S1816" t="n">
        <x:v>-49.9</x:v>
      </x:c>
      <x:c r="T1816" t="str">
        <x:v>"</x:v>
      </x:c>
      <x:c r="U1816" t="str">
        <x:v>"</x:v>
      </x:c>
      <x:c r="V1816" t="str">
        <x:v>"</x:v>
      </x:c>
    </x:row>
    <x:row r="1817">
      <x:c r="A1817" t="str">
        <x:v>RAW-IMP-20260516-FULLDRAFT-001800</x:v>
      </x:c>
      <x:c r="B1817" t="str">
        <x:v>IMP-20260516-FULLDRAFT</x:v>
      </x:c>
      <x:c r="C1817" t="str">
        <x:v>KTO001</x:v>
      </x:c>
      <x:c r="D1817" t="str">
        <x:v>16-05-2026_Umsatzliste_Girokonto_DE98120300001061711675.csv</x:v>
      </x:c>
      <x:c r="E1817" t="n">
        <x:v>46163</x:v>
      </x:c>
      <x:c r="F1817" t="n">
        <x:v>1800</x:v>
      </x:c>
      <x:c r="G1817" t="str">
        <x:v>7241c696c3d3bbffdf9635ccc99cc4890977362322c34c76172d4d0ab88660b5</x:v>
      </x:c>
      <x:c r="H1817" t="str">
        <x:v>neu</x:v>
      </x:c>
      <x:c r="I1817" t="str">
        <x:v>ok</x:v>
      </x:c>
      <x:c r="J1817"/>
      <x:c r="K1817" t="n">
        <x:v>45540</x:v>
      </x:c>
      <x:c r="L1817" t="n">
        <x:v>45540</x:v>
      </x:c>
      <x:c r="M1817" t="str">
        <x:v>Gebucht</x:v>
      </x:c>
      <x:c r="N1817" t="str">
        <x:v>ISSUER</x:v>
      </x:c>
      <x:c r="O1817" t="str">
        <x:v>PAYPAL..VELUX/4029357733</x:v>
      </x:c>
      <x:c r="P1817" t="str">
        <x:v>VISA Debitkartenumsatz vom 04.09.2024</x:v>
      </x:c>
      <x:c r="Q1817" t="str">
        <x:v>Ausgang</x:v>
      </x:c>
      <x:c r="R1817" t="str">
        <x:v>DE96120300009005290904</x:v>
      </x:c>
      <x:c r="S1817" t="n">
        <x:v>-5.95</x:v>
      </x:c>
      <x:c r="T1817" t="str">
        <x:v>"</x:v>
      </x:c>
      <x:c r="U1817" t="str">
        <x:v>"</x:v>
      </x:c>
      <x:c r="V1817" t="str">
        <x:v>384248670218221</x:v>
      </x:c>
    </x:row>
    <x:row r="1818">
      <x:c r="A1818" t="str">
        <x:v>RAW-IMP-20260516-FULLDRAFT-001801</x:v>
      </x:c>
      <x:c r="B1818" t="str">
        <x:v>IMP-20260516-FULLDRAFT</x:v>
      </x:c>
      <x:c r="C1818" t="str">
        <x:v>KTO001</x:v>
      </x:c>
      <x:c r="D1818" t="str">
        <x:v>16-05-2026_Umsatzliste_Girokonto_DE98120300001061711675.csv</x:v>
      </x:c>
      <x:c r="E1818" t="n">
        <x:v>46163</x:v>
      </x:c>
      <x:c r="F1818" t="n">
        <x:v>1801</x:v>
      </x:c>
      <x:c r="G1818" t="str">
        <x:v>8c707d8d16b6be6c9b70026469be0e4c2297d19ce843a2893625356ca0c1242c</x:v>
      </x:c>
      <x:c r="H1818" t="str">
        <x:v>neu</x:v>
      </x:c>
      <x:c r="I1818" t="str">
        <x:v>ok</x:v>
      </x:c>
      <x:c r="J1818"/>
      <x:c r="K1818" t="n">
        <x:v>45540</x:v>
      </x:c>
      <x:c r="L1818" t="n">
        <x:v>45540</x:v>
      </x:c>
      <x:c r="M1818" t="str">
        <x:v>Gebucht</x:v>
      </x:c>
      <x:c r="N1818" t="str">
        <x:v>ISSUER</x:v>
      </x:c>
      <x:c r="O1818" t="str">
        <x:v>Aral.Station.160371191/Hameln</x:v>
      </x:c>
      <x:c r="P1818" t="str">
        <x:v>VISA Debitkartenumsatz vom 03.09.2024</x:v>
      </x:c>
      <x:c r="Q1818" t="str">
        <x:v>Ausgang</x:v>
      </x:c>
      <x:c r="R1818" t="str">
        <x:v>DE96120300009005290904</x:v>
      </x:c>
      <x:c r="S1818" t="n">
        <x:v>-78.55</x:v>
      </x:c>
      <x:c r="T1818" t="str">
        <x:v>"</x:v>
      </x:c>
      <x:c r="U1818" t="str">
        <x:v>"</x:v>
      </x:c>
      <x:c r="V1818" t="str">
        <x:v>484247638127787</x:v>
      </x:c>
    </x:row>
    <x:row r="1819">
      <x:c r="A1819" t="str">
        <x:v>RAW-IMP-20260516-FULLDRAFT-001802</x:v>
      </x:c>
      <x:c r="B1819" t="str">
        <x:v>IMP-20260516-FULLDRAFT</x:v>
      </x:c>
      <x:c r="C1819" t="str">
        <x:v>KTO001</x:v>
      </x:c>
      <x:c r="D1819" t="str">
        <x:v>16-05-2026_Umsatzliste_Girokonto_DE98120300001061711675.csv</x:v>
      </x:c>
      <x:c r="E1819" t="n">
        <x:v>46163</x:v>
      </x:c>
      <x:c r="F1819" t="n">
        <x:v>1802</x:v>
      </x:c>
      <x:c r="G1819" t="str">
        <x:v>7d5859c2f8f30516d02cde39d7f38c4f0891f93ba79b0ba7f31d9d1dd8162857</x:v>
      </x:c>
      <x:c r="H1819" t="str">
        <x:v>neu</x:v>
      </x:c>
      <x:c r="I1819" t="str">
        <x:v>ok</x:v>
      </x:c>
      <x:c r="J1819"/>
      <x:c r="K1819" t="n">
        <x:v>45540</x:v>
      </x:c>
      <x:c r="L1819" t="n">
        <x:v>45540</x:v>
      </x:c>
      <x:c r="M1819" t="str">
        <x:v>Gebucht</x:v>
      </x:c>
      <x:c r="N1819" t="str">
        <x:v>Lars Kohlenberg                                                       Johannes-Wosnitza-Str. 8</x:v>
      </x:c>
      <x:c r="O1819" t="str">
        <x:v>Telekom Deutschland GmbH                                              LANDGRABENWEG 151</x:v>
      </x:c>
      <x:c r="P1819" t="str">
        <x:v>Festnetz Vertragskonto 4763666565 RG 7645191856/27.08.2024</x:v>
      </x:c>
      <x:c r="Q1819" t="str">
        <x:v>Ausgang</x:v>
      </x:c>
      <x:c r="R1819" t="str">
        <x:v>DE07512108001095000911</x:v>
      </x:c>
      <x:c r="S1819" t="n">
        <x:v>-61.94</x:v>
      </x:c>
      <x:c r="T1819" t="str">
        <x:v>DE93ZZZ00000078611</x:v>
      </x:c>
      <x:c r="U1819" t="str">
        <x:v>DE000201000200000000000000012966156</x:v>
      </x:c>
      <x:c r="V1819" t="str">
        <x:v>Zahlbeleg 314238684840</x:v>
      </x:c>
    </x:row>
    <x:row r="1820">
      <x:c r="A1820" t="str">
        <x:v>RAW-IMP-20260516-FULLDRAFT-001803</x:v>
      </x:c>
      <x:c r="B1820" t="str">
        <x:v>IMP-20260516-FULLDRAFT</x:v>
      </x:c>
      <x:c r="C1820" t="str">
        <x:v>KTO001</x:v>
      </x:c>
      <x:c r="D1820" t="str">
        <x:v>16-05-2026_Umsatzliste_Girokonto_DE98120300001061711675.csv</x:v>
      </x:c>
      <x:c r="E1820" t="n">
        <x:v>46163</x:v>
      </x:c>
      <x:c r="F1820" t="n">
        <x:v>1803</x:v>
      </x:c>
      <x:c r="G1820" t="str">
        <x:v>848104ee45853fadd3d88d8cb7fc1df45e52408f3d4c2a17e3f76f602aef4621</x:v>
      </x:c>
      <x:c r="H1820" t="str">
        <x:v>neu</x:v>
      </x:c>
      <x:c r="I1820" t="str">
        <x:v>ok</x:v>
      </x:c>
      <x:c r="J1820"/>
      <x:c r="K1820" t="n">
        <x:v>45538</x:v>
      </x:c>
      <x:c r="L1820" t="n">
        <x:v>45538</x:v>
      </x:c>
      <x:c r="M1820" t="str">
        <x:v>Gebucht</x:v>
      </x:c>
      <x:c r="N1820" t="str">
        <x:v>ISSUER</x:v>
      </x:c>
      <x:c r="O1820" t="str">
        <x:v>PAYPAL..TICKETMASTR/01635752870</x:v>
      </x:c>
      <x:c r="P1820" t="str">
        <x:v>VISA Debitkartenumsatz vom 02.09.2024</x:v>
      </x:c>
      <x:c r="Q1820" t="str">
        <x:v>Ausgang</x:v>
      </x:c>
      <x:c r="R1820" t="str">
        <x:v>DE96120300009005290904</x:v>
      </x:c>
      <x:c r="S1820" t="n">
        <x:v>-118</x:v>
      </x:c>
      <x:c r="T1820" t="str">
        <x:v>"</x:v>
      </x:c>
      <x:c r="U1820" t="str">
        <x:v>"</x:v>
      </x:c>
      <x:c r="V1820" t="str">
        <x:v>584246267339859</x:v>
      </x:c>
    </x:row>
    <x:row r="1821">
      <x:c r="A1821" t="str">
        <x:v>RAW-IMP-20260516-FULLDRAFT-001804</x:v>
      </x:c>
      <x:c r="B1821" t="str">
        <x:v>IMP-20260516-FULLDRAFT</x:v>
      </x:c>
      <x:c r="C1821" t="str">
        <x:v>KTO001</x:v>
      </x:c>
      <x:c r="D1821" t="str">
        <x:v>16-05-2026_Umsatzliste_Girokonto_DE98120300001061711675.csv</x:v>
      </x:c>
      <x:c r="E1821" t="n">
        <x:v>46163</x:v>
      </x:c>
      <x:c r="F1821" t="n">
        <x:v>1804</x:v>
      </x:c>
      <x:c r="G1821" t="str">
        <x:v>f81ce231b1a723d6a4a591c4e63f1edb2929b1d3567cefb3d736c3c8b8d1144b</x:v>
      </x:c>
      <x:c r="H1821" t="str">
        <x:v>neu</x:v>
      </x:c>
      <x:c r="I1821" t="str">
        <x:v>ok</x:v>
      </x:c>
      <x:c r="J1821"/>
      <x:c r="K1821" t="n">
        <x:v>45538</x:v>
      </x:c>
      <x:c r="L1821" t="n">
        <x:v>45538</x:v>
      </x:c>
      <x:c r="M1821" t="str">
        <x:v>Gebucht</x:v>
      </x:c>
      <x:c r="N1821" t="str">
        <x:v>Elke Hoogeveen</x:v>
      </x:c>
      <x:c r="O1821" t="str">
        <x:v>Kohlenberg, Lars</x:v>
      </x:c>
      <x:c r="P1821" t="str">
        <x:v>Eishockeykarten</x:v>
      </x:c>
      <x:c r="Q1821" t="str">
        <x:v>Eingang</x:v>
      </x:c>
      <x:c r="R1821" t="str">
        <x:v>DE37292500000002892600</x:v>
      </x:c>
      <x:c r="S1821" t="n">
        <x:v>118</x:v>
      </x:c>
      <x:c r="T1821" t="str">
        <x:v>"</x:v>
      </x:c>
      <x:c r="U1821" t="str">
        <x:v>"</x:v>
      </x:c>
      <x:c r="V1821" t="str">
        <x:v>"</x:v>
      </x:c>
    </x:row>
    <x:row r="1822">
      <x:c r="A1822" t="str">
        <x:v>RAW-IMP-20260516-FULLDRAFT-001805</x:v>
      </x:c>
      <x:c r="B1822" t="str">
        <x:v>IMP-20260516-FULLDRAFT</x:v>
      </x:c>
      <x:c r="C1822" t="str">
        <x:v>KTO001</x:v>
      </x:c>
      <x:c r="D1822" t="str">
        <x:v>16-05-2026_Umsatzliste_Girokonto_DE98120300001061711675.csv</x:v>
      </x:c>
      <x:c r="E1822" t="n">
        <x:v>46163</x:v>
      </x:c>
      <x:c r="F1822" t="n">
        <x:v>1805</x:v>
      </x:c>
      <x:c r="G1822" t="str">
        <x:v>01a05eb016f237d99d2e6fa2b9e83b3a4da68113fb91c38e03e49d657b147310</x:v>
      </x:c>
      <x:c r="H1822" t="str">
        <x:v>neu</x:v>
      </x:c>
      <x:c r="I1822" t="str">
        <x:v>ok</x:v>
      </x:c>
      <x:c r="J1822"/>
      <x:c r="K1822" t="n">
        <x:v>45538</x:v>
      </x:c>
      <x:c r="L1822" t="n">
        <x:v>45538</x:v>
      </x:c>
      <x:c r="M1822" t="str">
        <x:v>Gebucht</x:v>
      </x:c>
      <x:c r="N1822" t="str">
        <x:v>ISSUER</x:v>
      </x:c>
      <x:c r="O1822" t="str">
        <x:v>REWE.Salzgitter.Ge/Salzgitter</x:v>
      </x:c>
      <x:c r="P1822" t="str">
        <x:v>VISA Debitkartenumsatz vom 02.09.2024</x:v>
      </x:c>
      <x:c r="Q1822" t="str">
        <x:v>Ausgang</x:v>
      </x:c>
      <x:c r="R1822" t="str">
        <x:v>DE96120300009005290904</x:v>
      </x:c>
      <x:c r="S1822" t="n">
        <x:v>-6.98</x:v>
      </x:c>
      <x:c r="T1822" t="str">
        <x:v>"</x:v>
      </x:c>
      <x:c r="U1822" t="str">
        <x:v>"</x:v>
      </x:c>
      <x:c r="V1822" t="str">
        <x:v>484246624579643</x:v>
      </x:c>
    </x:row>
    <x:row r="1823">
      <x:c r="A1823" t="str">
        <x:v>RAW-IMP-20260516-FULLDRAFT-001806</x:v>
      </x:c>
      <x:c r="B1823" t="str">
        <x:v>IMP-20260516-FULLDRAFT</x:v>
      </x:c>
      <x:c r="C1823" t="str">
        <x:v>KTO001</x:v>
      </x:c>
      <x:c r="D1823" t="str">
        <x:v>16-05-2026_Umsatzliste_Girokonto_DE98120300001061711675.csv</x:v>
      </x:c>
      <x:c r="E1823" t="n">
        <x:v>46163</x:v>
      </x:c>
      <x:c r="F1823" t="n">
        <x:v>1806</x:v>
      </x:c>
      <x:c r="G1823" t="str">
        <x:v>c63562ab1b7702ad7f2d3925e158adbf997d1a778e985bf412e0abb912adeb10</x:v>
      </x:c>
      <x:c r="H1823" t="str">
        <x:v>neu</x:v>
      </x:c>
      <x:c r="I1823" t="str">
        <x:v>ok</x:v>
      </x:c>
      <x:c r="J1823"/>
      <x:c r="K1823" t="n">
        <x:v>45538</x:v>
      </x:c>
      <x:c r="L1823" t="n">
        <x:v>45538</x:v>
      </x:c>
      <x:c r="M1823" t="str">
        <x:v>Gebucht</x:v>
      </x:c>
      <x:c r="N1823" t="str">
        <x:v>ISSUER</x:v>
      </x:c>
      <x:c r="O1823" t="str">
        <x:v>AMZN.Mktp.DE.C07T49QD5/800.279.6620</x:v>
      </x:c>
      <x:c r="P1823" t="str">
        <x:v>VISA Debitkartenumsatz vom 02.09.2024</x:v>
      </x:c>
      <x:c r="Q1823" t="str">
        <x:v>Ausgang</x:v>
      </x:c>
      <x:c r="R1823" t="str">
        <x:v>DE96120300009005290904</x:v>
      </x:c>
      <x:c r="S1823" t="n">
        <x:v>-220.2</x:v>
      </x:c>
      <x:c r="T1823" t="str">
        <x:v>"</x:v>
      </x:c>
      <x:c r="U1823" t="str">
        <x:v>"</x:v>
      </x:c>
      <x:c r="V1823" t="str">
        <x:v>484245357947801</x:v>
      </x:c>
    </x:row>
    <x:row r="1824">
      <x:c r="A1824" t="str">
        <x:v>RAW-IMP-20260516-FULLDRAFT-001807</x:v>
      </x:c>
      <x:c r="B1824" t="str">
        <x:v>IMP-20260516-FULLDRAFT</x:v>
      </x:c>
      <x:c r="C1824" t="str">
        <x:v>KTO001</x:v>
      </x:c>
      <x:c r="D1824" t="str">
        <x:v>16-05-2026_Umsatzliste_Girokonto_DE98120300001061711675.csv</x:v>
      </x:c>
      <x:c r="E1824" t="n">
        <x:v>46163</x:v>
      </x:c>
      <x:c r="F1824" t="n">
        <x:v>1807</x:v>
      </x:c>
      <x:c r="G1824" t="str">
        <x:v>ce3e6208df9fa8d0149f852f64c4ce446d300d4398daadd73eb1f678a98bc491</x:v>
      </x:c>
      <x:c r="H1824" t="str">
        <x:v>neu</x:v>
      </x:c>
      <x:c r="I1824" t="str">
        <x:v>ok</x:v>
      </x:c>
      <x:c r="J1824"/>
      <x:c r="K1824" t="n">
        <x:v>45538</x:v>
      </x:c>
      <x:c r="L1824" t="n">
        <x:v>45538</x:v>
      </x:c>
      <x:c r="M1824" t="str">
        <x:v>Gebucht</x:v>
      </x:c>
      <x:c r="N1824" t="str">
        <x:v>Lars Kohlenberg                                                       JohannesWosnitzaStr.</x:v>
      </x:c>
      <x:c r="O1824" t="str">
        <x:v>Adyen N.V.</x:v>
      </x:c>
      <x:c r="P1824" t="str">
        <x:v>GMX by LOTTO24 C98983063 T605546157330</x:v>
      </x:c>
      <x:c r="Q1824" t="str">
        <x:v>Ausgang</x:v>
      </x:c>
      <x:c r="R1824" t="str">
        <x:v>DE11120700700020000603</x:v>
      </x:c>
      <x:c r="S1824" t="n">
        <x:v>-18.14</x:v>
      </x:c>
      <x:c r="T1824" t="str">
        <x:v>NL48ZZZ342764500000</x:v>
      </x:c>
      <x:c r="U1824" t="str">
        <x:v>R372DKN5SSBXZP52</x:v>
      </x:c>
      <x:c r="V1824" t="str">
        <x:v>CBQW5RGTWDC6R6JF6C</x:v>
      </x:c>
    </x:row>
    <x:row r="1825">
      <x:c r="A1825" t="str">
        <x:v>RAW-IMP-20260516-FULLDRAFT-001808</x:v>
      </x:c>
      <x:c r="B1825" t="str">
        <x:v>IMP-20260516-FULLDRAFT</x:v>
      </x:c>
      <x:c r="C1825" t="str">
        <x:v>KTO001</x:v>
      </x:c>
      <x:c r="D1825" t="str">
        <x:v>16-05-2026_Umsatzliste_Girokonto_DE98120300001061711675.csv</x:v>
      </x:c>
      <x:c r="E1825" t="n">
        <x:v>46163</x:v>
      </x:c>
      <x:c r="F1825" t="n">
        <x:v>1808</x:v>
      </x:c>
      <x:c r="G1825" t="str">
        <x:v>7bd131a8fe23b87248e15a69dd76dd328ef9c27072a9c0b9d5ea4e3be22553da</x:v>
      </x:c>
      <x:c r="H1825" t="str">
        <x:v>neu</x:v>
      </x:c>
      <x:c r="I1825" t="str">
        <x:v>ok</x:v>
      </x:c>
      <x:c r="J1825"/>
      <x:c r="K1825" t="n">
        <x:v>45538</x:v>
      </x:c>
      <x:c r="L1825" t="n">
        <x:v>45538</x:v>
      </x:c>
      <x:c r="M1825" t="str">
        <x:v>Gebucht</x:v>
      </x:c>
      <x:c r="N1825" t="str">
        <x:v>KOHLENBERG, LARS</x:v>
      </x:c>
      <x:c r="O1825" t="str">
        <x:v>VPV-LEBENSVERSICHERUNGS-AG</x:v>
      </x:c>
      <x:c r="P1825" t="str">
        <x:v>VNR 301667726</x:v>
      </x:c>
      <x:c r="Q1825" t="str">
        <x:v>Ausgang</x:v>
      </x:c>
      <x:c r="R1825" t="str">
        <x:v>DE78600501010001166338</x:v>
      </x:c>
      <x:c r="S1825" t="n">
        <x:v>-53.3</x:v>
      </x:c>
      <x:c r="T1825" t="str">
        <x:v>DE96LAG00000064686</x:v>
      </x:c>
      <x:c r="U1825" t="str">
        <x:v>ML700120510</x:v>
      </x:c>
      <x:c r="V1825" t="str">
        <x:v>240902 451375604 ML700120510</x:v>
      </x:c>
    </x:row>
    <x:row r="1826">
      <x:c r="A1826" t="str">
        <x:v>RAW-IMP-20260516-FULLDRAFT-001809</x:v>
      </x:c>
      <x:c r="B1826" t="str">
        <x:v>IMP-20260516-FULLDRAFT</x:v>
      </x:c>
      <x:c r="C1826" t="str">
        <x:v>KTO001</x:v>
      </x:c>
      <x:c r="D1826" t="str">
        <x:v>16-05-2026_Umsatzliste_Girokonto_DE98120300001061711675.csv</x:v>
      </x:c>
      <x:c r="E1826" t="n">
        <x:v>46163</x:v>
      </x:c>
      <x:c r="F1826" t="n">
        <x:v>1809</x:v>
      </x:c>
      <x:c r="G1826" t="str">
        <x:v>65cc46449e4607bda5177abd87dd3bef8eaf65fd75aa9261a8e60cde25283eea</x:v>
      </x:c>
      <x:c r="H1826" t="str">
        <x:v>neu</x:v>
      </x:c>
      <x:c r="I1826" t="str">
        <x:v>ok</x:v>
      </x:c>
      <x:c r="J1826"/>
      <x:c r="K1826" t="n">
        <x:v>45538</x:v>
      </x:c>
      <x:c r="L1826" t="n">
        <x:v>45538</x:v>
      </x:c>
      <x:c r="M1826" t="str">
        <x:v>Gebucht</x:v>
      </x:c>
      <x:c r="N1826" t="str">
        <x:v>Lars Kohlenberg</x:v>
      </x:c>
      <x:c r="O1826" t="str">
        <x:v>VHV Allg. Versicherung AG</x:v>
      </x:c>
      <x:c r="P1826" t="str">
        <x:v>VHV Versicherung UNFALLVERSICHERUNG U 013-072445/0000 Abrechnung: 01.09.24 - 01.10.24</x:v>
      </x:c>
      <x:c r="Q1826" t="str">
        <x:v>Ausgang</x:v>
      </x:c>
      <x:c r="R1826" t="str">
        <x:v>DE65250500000101411551</x:v>
      </x:c>
      <x:c r="S1826" t="n">
        <x:v>-11.96</x:v>
      </x:c>
      <x:c r="T1826" t="str">
        <x:v>DE32VHV00000150810</x:v>
      </x:c>
      <x:c r="U1826" t="str">
        <x:v>0015012300010039</x:v>
      </x:c>
      <x:c r="V1826" t="str">
        <x:v>31123342791</x:v>
      </x:c>
    </x:row>
    <x:row r="1827">
      <x:c r="A1827" t="str">
        <x:v>RAW-IMP-20260516-FULLDRAFT-001810</x:v>
      </x:c>
      <x:c r="B1827" t="str">
        <x:v>IMP-20260516-FULLDRAFT</x:v>
      </x:c>
      <x:c r="C1827" t="str">
        <x:v>KTO001</x:v>
      </x:c>
      <x:c r="D1827" t="str">
        <x:v>16-05-2026_Umsatzliste_Girokonto_DE98120300001061711675.csv</x:v>
      </x:c>
      <x:c r="E1827" t="n">
        <x:v>46163</x:v>
      </x:c>
      <x:c r="F1827" t="n">
        <x:v>1810</x:v>
      </x:c>
      <x:c r="G1827" t="str">
        <x:v>2f3943461f1f3ead8eddf666ddbaf90d2f98a1e71404391297df9816ed0e8389</x:v>
      </x:c>
      <x:c r="H1827" t="str">
        <x:v>neu</x:v>
      </x:c>
      <x:c r="I1827" t="str">
        <x:v>ok</x:v>
      </x:c>
      <x:c r="J1827"/>
      <x:c r="K1827" t="n">
        <x:v>45538</x:v>
      </x:c>
      <x:c r="L1827" t="n">
        <x:v>45538</x:v>
      </x:c>
      <x:c r="M1827" t="str">
        <x:v>Gebucht</x:v>
      </x:c>
      <x:c r="N1827" t="str">
        <x:v>Lars Kohlenberg                                                       Johannes-Wosnitza-Str. 8</x:v>
      </x:c>
      <x:c r="O1827" t="str">
        <x:v>FUNKE Medien Nieders.GmbH</x:v>
      </x:c>
      <x:c r="P1827" t="str">
        <x:v>SZ/00001050/VA/01.09.24-30.09.24/Rg-Nr.:6315805098/Kd-Nr:0053112791/Steuer:3.76</x:v>
      </x:c>
      <x:c r="Q1827" t="str">
        <x:v>Ausgang</x:v>
      </x:c>
      <x:c r="R1827" t="str">
        <x:v>DE67250500000000146910</x:v>
      </x:c>
      <x:c r="S1827" t="n">
        <x:v>-57.5</x:v>
      </x:c>
      <x:c r="T1827" t="str">
        <x:v>DE8850000000483288</x:v>
      </x:c>
      <x:c r="U1827" t="str">
        <x:v>0053112791-0500-01300001</x:v>
      </x:c>
      <x:c r="V1827" t="str">
        <x:v>031007293843</x:v>
      </x:c>
    </x:row>
    <x:row r="1828">
      <x:c r="A1828" t="str">
        <x:v>RAW-IMP-20260516-FULLDRAFT-001811</x:v>
      </x:c>
      <x:c r="B1828" t="str">
        <x:v>IMP-20260516-FULLDRAFT</x:v>
      </x:c>
      <x:c r="C1828" t="str">
        <x:v>KTO001</x:v>
      </x:c>
      <x:c r="D1828" t="str">
        <x:v>16-05-2026_Umsatzliste_Girokonto_DE98120300001061711675.csv</x:v>
      </x:c>
      <x:c r="E1828" t="n">
        <x:v>46163</x:v>
      </x:c>
      <x:c r="F1828" t="n">
        <x:v>1811</x:v>
      </x:c>
      <x:c r="G1828" t="str">
        <x:v>16afbfefd1e43511f465920418620c6f6bed9a6ad1c9c9853778cb1df918ee0d</x:v>
      </x:c>
      <x:c r="H1828" t="str">
        <x:v>neu</x:v>
      </x:c>
      <x:c r="I1828" t="str">
        <x:v>ok</x:v>
      </x:c>
      <x:c r="J1828"/>
      <x:c r="K1828" t="n">
        <x:v>45537</x:v>
      </x:c>
      <x:c r="L1828" t="n">
        <x:v>45537</x:v>
      </x:c>
      <x:c r="M1828" t="str">
        <x:v>Gebucht</x:v>
      </x:c>
      <x:c r="N1828" t="str">
        <x:v>ISSUER</x:v>
      </x:c>
      <x:c r="O1828" t="str">
        <x:v>Amazon.de.9Z41C59N5/AMAZON.DE</x:v>
      </x:c>
      <x:c r="P1828" t="str">
        <x:v>VISA Debitkartenumsatz vom 02.09.2024</x:v>
      </x:c>
      <x:c r="Q1828" t="str">
        <x:v>Ausgang</x:v>
      </x:c>
      <x:c r="R1828" t="str">
        <x:v>DE96120300009005290904</x:v>
      </x:c>
      <x:c r="S1828" t="n">
        <x:v>-123.99</x:v>
      </x:c>
      <x:c r="T1828" t="str">
        <x:v>"</x:v>
      </x:c>
      <x:c r="U1828" t="str">
        <x:v>"</x:v>
      </x:c>
      <x:c r="V1828" t="str">
        <x:v>484245491671030</x:v>
      </x:c>
    </x:row>
    <x:row r="1829">
      <x:c r="A1829" t="str">
        <x:v>RAW-IMP-20260516-FULLDRAFT-001812</x:v>
      </x:c>
      <x:c r="B1829" t="str">
        <x:v>IMP-20260516-FULLDRAFT</x:v>
      </x:c>
      <x:c r="C1829" t="str">
        <x:v>KTO001</x:v>
      </x:c>
      <x:c r="D1829" t="str">
        <x:v>16-05-2026_Umsatzliste_Girokonto_DE98120300001061711675.csv</x:v>
      </x:c>
      <x:c r="E1829" t="n">
        <x:v>46163</x:v>
      </x:c>
      <x:c r="F1829" t="n">
        <x:v>1812</x:v>
      </x:c>
      <x:c r="G1829" t="str">
        <x:v>093eed346187e22bceb472d269c362433564c19db50b036ec72ff56a6d2a66af</x:v>
      </x:c>
      <x:c r="H1829" t="str">
        <x:v>neu</x:v>
      </x:c>
      <x:c r="I1829" t="str">
        <x:v>ok</x:v>
      </x:c>
      <x:c r="J1829"/>
      <x:c r="K1829" t="n">
        <x:v>45537</x:v>
      </x:c>
      <x:c r="L1829" t="n">
        <x:v>45537</x:v>
      </x:c>
      <x:c r="M1829" t="str">
        <x:v>Gebucht</x:v>
      </x:c>
      <x:c r="N1829" t="str">
        <x:v>WILLI KOHLENBERG</x:v>
      </x:c>
      <x:c r="O1829" t="str">
        <x:v>LARS KOHLENBERG</x:v>
      </x:c>
      <x:c r="P1829" t="str">
        <x:v>MIETE 2/3 HAUS</x:v>
      </x:c>
      <x:c r="Q1829" t="str">
        <x:v>Eingang</x:v>
      </x:c>
      <x:c r="R1829" t="str">
        <x:v>DE84270800600651520400</x:v>
      </x:c>
      <x:c r="S1829" t="n">
        <x:v>750</x:v>
      </x:c>
      <x:c r="T1829" t="str">
        <x:v>"</x:v>
      </x:c>
      <x:c r="U1829" t="str">
        <x:v>"</x:v>
      </x:c>
      <x:c r="V1829" t="str">
        <x:v>"</x:v>
      </x:c>
    </x:row>
    <x:row r="1830">
      <x:c r="A1830" t="str">
        <x:v>RAW-IMP-20260516-FULLDRAFT-001813</x:v>
      </x:c>
      <x:c r="B1830" t="str">
        <x:v>IMP-20260516-FULLDRAFT</x:v>
      </x:c>
      <x:c r="C1830" t="str">
        <x:v>KTO001</x:v>
      </x:c>
      <x:c r="D1830" t="str">
        <x:v>16-05-2026_Umsatzliste_Girokonto_DE98120300001061711675.csv</x:v>
      </x:c>
      <x:c r="E1830" t="n">
        <x:v>46163</x:v>
      </x:c>
      <x:c r="F1830" t="n">
        <x:v>1813</x:v>
      </x:c>
      <x:c r="G1830" t="str">
        <x:v>a392438af6549772813cd46dacbdfcf457c7d0cdd90407b2b7a1ac2604ef2cd8</x:v>
      </x:c>
      <x:c r="H1830" t="str">
        <x:v>neu</x:v>
      </x:c>
      <x:c r="I1830" t="str">
        <x:v>ok</x:v>
      </x:c>
      <x:c r="J1830"/>
      <x:c r="K1830" t="n">
        <x:v>45537</x:v>
      </x:c>
      <x:c r="L1830" t="n">
        <x:v>45537</x:v>
      </x:c>
      <x:c r="M1830" t="str">
        <x:v>Gebucht</x:v>
      </x:c>
      <x:c r="N1830" t="str">
        <x:v>ISSUER</x:v>
      </x:c>
      <x:c r="O1830" t="str">
        <x:v>AMZN.Mktp.DE.711QS3ZN5/800.279.6620</x:v>
      </x:c>
      <x:c r="P1830" t="str">
        <x:v>VISA Debitkartenumsatz vom 30.08.2024</x:v>
      </x:c>
      <x:c r="Q1830" t="str">
        <x:v>Ausgang</x:v>
      </x:c>
      <x:c r="R1830" t="str">
        <x:v>DE96120300009005290904</x:v>
      </x:c>
      <x:c r="S1830" t="n">
        <x:v>-207.54</x:v>
      </x:c>
      <x:c r="T1830" t="str">
        <x:v>"</x:v>
      </x:c>
      <x:c r="U1830" t="str">
        <x:v>"</x:v>
      </x:c>
      <x:c r="V1830" t="str">
        <x:v>484242587371095</x:v>
      </x:c>
    </x:row>
    <x:row r="1831">
      <x:c r="A1831" t="str">
        <x:v>RAW-IMP-20260516-FULLDRAFT-001814</x:v>
      </x:c>
      <x:c r="B1831" t="str">
        <x:v>IMP-20260516-FULLDRAFT</x:v>
      </x:c>
      <x:c r="C1831" t="str">
        <x:v>KTO001</x:v>
      </x:c>
      <x:c r="D1831" t="str">
        <x:v>16-05-2026_Umsatzliste_Girokonto_DE98120300001061711675.csv</x:v>
      </x:c>
      <x:c r="E1831" t="n">
        <x:v>46163</x:v>
      </x:c>
      <x:c r="F1831" t="n">
        <x:v>1814</x:v>
      </x:c>
      <x:c r="G1831" t="str">
        <x:v>9844759681fc778420f54c7dcb0f71622a4feeab7feadb7a78765d3f00fc6e19</x:v>
      </x:c>
      <x:c r="H1831" t="str">
        <x:v>neu</x:v>
      </x:c>
      <x:c r="I1831" t="str">
        <x:v>ok</x:v>
      </x:c>
      <x:c r="J1831"/>
      <x:c r="K1831" t="n">
        <x:v>45537</x:v>
      </x:c>
      <x:c r="L1831" t="n">
        <x:v>45537</x:v>
      </x:c>
      <x:c r="M1831" t="str">
        <x:v>Gebucht</x:v>
      </x:c>
      <x:c r="N1831" t="str">
        <x:v>ISSUER</x:v>
      </x:c>
      <x:c r="O1831" t="str">
        <x:v>REWE.Salzgitter.Ge/Salzgitter</x:v>
      </x:c>
      <x:c r="P1831" t="str">
        <x:v>VISA Debitkartenumsatz vom 31.08.2024</x:v>
      </x:c>
      <x:c r="Q1831" t="str">
        <x:v>Ausgang</x:v>
      </x:c>
      <x:c r="R1831" t="str">
        <x:v>DE96120300009005290904</x:v>
      </x:c>
      <x:c r="S1831" t="n">
        <x:v>-52.95</x:v>
      </x:c>
      <x:c r="T1831" t="str">
        <x:v>"</x:v>
      </x:c>
      <x:c r="U1831" t="str">
        <x:v>"</x:v>
      </x:c>
      <x:c r="V1831" t="str">
        <x:v>484244323015920</x:v>
      </x:c>
    </x:row>
    <x:row r="1832">
      <x:c r="A1832" t="str">
        <x:v>RAW-IMP-20260516-FULLDRAFT-001815</x:v>
      </x:c>
      <x:c r="B1832" t="str">
        <x:v>IMP-20260516-FULLDRAFT</x:v>
      </x:c>
      <x:c r="C1832" t="str">
        <x:v>KTO001</x:v>
      </x:c>
      <x:c r="D1832" t="str">
        <x:v>16-05-2026_Umsatzliste_Girokonto_DE98120300001061711675.csv</x:v>
      </x:c>
      <x:c r="E1832" t="n">
        <x:v>46163</x:v>
      </x:c>
      <x:c r="F1832" t="n">
        <x:v>1815</x:v>
      </x:c>
      <x:c r="G1832" t="str">
        <x:v>d43b9bf83895516fc9ea9be4aa49664d9a9969c24f869db9f28a7819e8b91bfc</x:v>
      </x:c>
      <x:c r="H1832" t="str">
        <x:v>neu</x:v>
      </x:c>
      <x:c r="I1832" t="str">
        <x:v>ok</x:v>
      </x:c>
      <x:c r="J1832"/>
      <x:c r="K1832" t="n">
        <x:v>45537</x:v>
      </x:c>
      <x:c r="L1832" t="n">
        <x:v>45537</x:v>
      </x:c>
      <x:c r="M1832" t="str">
        <x:v>Gebucht</x:v>
      </x:c>
      <x:c r="N1832" t="str">
        <x:v>ISSUER</x:v>
      </x:c>
      <x:c r="O1832" t="str">
        <x:v>AMZN.Mktp.DE.026419AJ5/800.279.6620</x:v>
      </x:c>
      <x:c r="P1832" t="str">
        <x:v>VISA Debitkartenumsatz vom 30.08.2024</x:v>
      </x:c>
      <x:c r="Q1832" t="str">
        <x:v>Ausgang</x:v>
      </x:c>
      <x:c r="R1832" t="str">
        <x:v>DE96120300009005290904</x:v>
      </x:c>
      <x:c r="S1832" t="n">
        <x:v>-18.99</x:v>
      </x:c>
      <x:c r="T1832" t="str">
        <x:v>"</x:v>
      </x:c>
      <x:c r="U1832" t="str">
        <x:v>"</x:v>
      </x:c>
      <x:c r="V1832" t="str">
        <x:v>484243594550597</x:v>
      </x:c>
    </x:row>
    <x:row r="1833">
      <x:c r="A1833" t="str">
        <x:v>RAW-IMP-20260516-FULLDRAFT-001816</x:v>
      </x:c>
      <x:c r="B1833" t="str">
        <x:v>IMP-20260516-FULLDRAFT</x:v>
      </x:c>
      <x:c r="C1833" t="str">
        <x:v>KTO001</x:v>
      </x:c>
      <x:c r="D1833" t="str">
        <x:v>16-05-2026_Umsatzliste_Girokonto_DE98120300001061711675.csv</x:v>
      </x:c>
      <x:c r="E1833" t="n">
        <x:v>46163</x:v>
      </x:c>
      <x:c r="F1833" t="n">
        <x:v>1816</x:v>
      </x:c>
      <x:c r="G1833" t="str">
        <x:v>c25cabe673ffcccf5e73d7108a0587c030e203bdb7ba3c27aa97b2514291d93b</x:v>
      </x:c>
      <x:c r="H1833" t="str">
        <x:v>neu</x:v>
      </x:c>
      <x:c r="I1833" t="str">
        <x:v>ok</x:v>
      </x:c>
      <x:c r="J1833"/>
      <x:c r="K1833" t="n">
        <x:v>45537</x:v>
      </x:c>
      <x:c r="L1833" t="n">
        <x:v>45537</x:v>
      </x:c>
      <x:c r="M1833" t="str">
        <x:v>Gebucht</x:v>
      </x:c>
      <x:c r="N1833" t="str">
        <x:v>ISSUER</x:v>
      </x:c>
      <x:c r="O1833" t="str">
        <x:v>AMZN.Mktp.DE.543R04OF5/800.279.6620</x:v>
      </x:c>
      <x:c r="P1833" t="str">
        <x:v>VISA Debitkartenumsatz vom 31.08.2024</x:v>
      </x:c>
      <x:c r="Q1833" t="str">
        <x:v>Ausgang</x:v>
      </x:c>
      <x:c r="R1833" t="str">
        <x:v>DE96120300009005290904</x:v>
      </x:c>
      <x:c r="S1833" t="n">
        <x:v>-96.71</x:v>
      </x:c>
      <x:c r="T1833" t="str">
        <x:v>"</x:v>
      </x:c>
      <x:c r="U1833" t="str">
        <x:v>"</x:v>
      </x:c>
      <x:c r="V1833" t="str">
        <x:v>484243558064334</x:v>
      </x:c>
    </x:row>
    <x:row r="1834">
      <x:c r="A1834" t="str">
        <x:v>RAW-IMP-20260516-FULLDRAFT-001817</x:v>
      </x:c>
      <x:c r="B1834" t="str">
        <x:v>IMP-20260516-FULLDRAFT</x:v>
      </x:c>
      <x:c r="C1834" t="str">
        <x:v>KTO001</x:v>
      </x:c>
      <x:c r="D1834" t="str">
        <x:v>16-05-2026_Umsatzliste_Girokonto_DE98120300001061711675.csv</x:v>
      </x:c>
      <x:c r="E1834" t="n">
        <x:v>46163</x:v>
      </x:c>
      <x:c r="F1834" t="n">
        <x:v>1817</x:v>
      </x:c>
      <x:c r="G1834" t="str">
        <x:v>cfa53db1debea8f3b5b21224ad519fff9f9c49f7483d102625551ffa201b4df1</x:v>
      </x:c>
      <x:c r="H1834" t="str">
        <x:v>neu</x:v>
      </x:c>
      <x:c r="I1834" t="str">
        <x:v>ok</x:v>
      </x:c>
      <x:c r="J1834"/>
      <x:c r="K1834" t="n">
        <x:v>45537</x:v>
      </x:c>
      <x:c r="L1834" t="n">
        <x:v>45537</x:v>
      </x:c>
      <x:c r="M1834" t="str">
        <x:v>Gebucht</x:v>
      </x:c>
      <x:c r="N1834" t="str">
        <x:v>Lars Kohlenberg                                                       Johannes-Wosnitza-Str. 8 38229 Salzgitter</x:v>
      </x:c>
      <x:c r="O1834" t="str">
        <x:v>Heidelberger Lebensversicherung AG                                    Im Breitspiel 2-4, 69126 Heidelberg</x:v>
      </x:c>
      <x:c r="P1834" t="str">
        <x:v>60012826 , 09.24</x:v>
      </x:c>
      <x:c r="Q1834" t="str">
        <x:v>Ausgang</x:v>
      </x:c>
      <x:c r="R1834" t="str">
        <x:v>DE38600501010002662604</x:v>
      </x:c>
      <x:c r="S1834" t="n">
        <x:v>-452.71</x:v>
      </x:c>
      <x:c r="T1834" t="str">
        <x:v>DE31HLE00000032682</x:v>
      </x:c>
      <x:c r="U1834" t="str">
        <x:v>11-140000075706</x:v>
      </x:c>
      <x:c r="V1834" t="str">
        <x:v>140040614813</x:v>
      </x:c>
    </x:row>
    <x:row r="1835">
      <x:c r="A1835" t="str">
        <x:v>RAW-IMP-20260516-FULLDRAFT-001818</x:v>
      </x:c>
      <x:c r="B1835" t="str">
        <x:v>IMP-20260516-FULLDRAFT</x:v>
      </x:c>
      <x:c r="C1835" t="str">
        <x:v>KTO001</x:v>
      </x:c>
      <x:c r="D1835" t="str">
        <x:v>16-05-2026_Umsatzliste_Girokonto_DE98120300001061711675.csv</x:v>
      </x:c>
      <x:c r="E1835" t="n">
        <x:v>46163</x:v>
      </x:c>
      <x:c r="F1835" t="n">
        <x:v>1818</x:v>
      </x:c>
      <x:c r="G1835" t="str">
        <x:v>f14ad76ee343138c901d67c003f87fd082e543762823d8701dbf450793a765f2</x:v>
      </x:c>
      <x:c r="H1835" t="str">
        <x:v>neu</x:v>
      </x:c>
      <x:c r="I1835" t="str">
        <x:v>ok</x:v>
      </x:c>
      <x:c r="J1835"/>
      <x:c r="K1835" t="n">
        <x:v>45537</x:v>
      </x:c>
      <x:c r="L1835" t="n">
        <x:v>45537</x:v>
      </x:c>
      <x:c r="M1835" t="str">
        <x:v>Gebucht</x:v>
      </x:c>
      <x:c r="N1835" t="str">
        <x:v>Kohlenberg, Lars</x:v>
      </x:c>
      <x:c r="O1835" t="str">
        <x:v>IDEAL Lebensversicherung aG</x:v>
      </x:c>
      <x:c r="P1835" t="str">
        <x:v>2011216280009 LV 091</x:v>
      </x:c>
      <x:c r="Q1835" t="str">
        <x:v>Ausgang</x:v>
      </x:c>
      <x:c r="R1835" t="str">
        <x:v>DE36100700000460303100</x:v>
      </x:c>
      <x:c r="S1835" t="n">
        <x:v>-97.12</x:v>
      </x:c>
      <x:c r="T1835" t="str">
        <x:v>DE40ZZZ00000559230</x:v>
      </x:c>
      <x:c r="U1835" t="str">
        <x:v>2011216280009-001</x:v>
      </x:c>
      <x:c r="V1835" t="str">
        <x:v>GL,KL,PD-20240901-1-2011216280009-0</x:v>
      </x:c>
    </x:row>
    <x:row r="1836">
      <x:c r="A1836" t="str">
        <x:v>RAW-IMP-20260516-FULLDRAFT-001819</x:v>
      </x:c>
      <x:c r="B1836" t="str">
        <x:v>IMP-20260516-FULLDRAFT</x:v>
      </x:c>
      <x:c r="C1836" t="str">
        <x:v>KTO001</x:v>
      </x:c>
      <x:c r="D1836" t="str">
        <x:v>16-05-2026_Umsatzliste_Girokonto_DE98120300001061711675.csv</x:v>
      </x:c>
      <x:c r="E1836" t="n">
        <x:v>46163</x:v>
      </x:c>
      <x:c r="F1836" t="n">
        <x:v>1819</x:v>
      </x:c>
      <x:c r="G1836" t="str">
        <x:v>dda2431ff0f656591cf15e2a29afc690ce738138ed02bc7e062e73f6fd43def2</x:v>
      </x:c>
      <x:c r="H1836" t="str">
        <x:v>neu</x:v>
      </x:c>
      <x:c r="I1836" t="str">
        <x:v>ok</x:v>
      </x:c>
      <x:c r="J1836"/>
      <x:c r="K1836" t="n">
        <x:v>45537</x:v>
      </x:c>
      <x:c r="L1836" t="n">
        <x:v>45537</x:v>
      </x:c>
      <x:c r="M1836" t="str">
        <x:v>Gebucht</x:v>
      </x:c>
      <x:c r="N1836" t="str">
        <x:v>KOHLENBERG LARS</x:v>
      </x:c>
      <x:c r="O1836" t="str">
        <x:v>VOLKSWOHL BUND Lebensversicherung a.G.</x:v>
      </x:c>
      <x:c r="P1836" t="str">
        <x:v>009893595 LA000750566/ 009893595 LEBEN 66,15</x:v>
      </x:c>
      <x:c r="Q1836" t="str">
        <x:v>Ausgang</x:v>
      </x:c>
      <x:c r="R1836" t="str">
        <x:v>DE76440400370361155500</x:v>
      </x:c>
      <x:c r="S1836" t="n">
        <x:v>-66.15</x:v>
      </x:c>
      <x:c r="T1836" t="str">
        <x:v>DE13ZZZ00000141064</x:v>
      </x:c>
      <x:c r="U1836" t="str">
        <x:v>LA000750566</x:v>
      </x:c>
      <x:c r="V1836" t="str">
        <x:v>009893595/NVMA.G1093-339179</x:v>
      </x:c>
    </x:row>
    <x:row r="1837">
      <x:c r="A1837" t="str">
        <x:v>RAW-IMP-20260516-FULLDRAFT-001820</x:v>
      </x:c>
      <x:c r="B1837" t="str">
        <x:v>IMP-20260516-FULLDRAFT</x:v>
      </x:c>
      <x:c r="C1837" t="str">
        <x:v>KTO001</x:v>
      </x:c>
      <x:c r="D1837" t="str">
        <x:v>16-05-2026_Umsatzliste_Girokonto_DE98120300001061711675.csv</x:v>
      </x:c>
      <x:c r="E1837" t="n">
        <x:v>46163</x:v>
      </x:c>
      <x:c r="F1837" t="n">
        <x:v>1820</x:v>
      </x:c>
      <x:c r="G1837" t="str">
        <x:v>6912ecdcf58383eb7e934a55bffcb47b3803075365a8b544727cae30cda3be58</x:v>
      </x:c>
      <x:c r="H1837" t="str">
        <x:v>neu</x:v>
      </x:c>
      <x:c r="I1837" t="str">
        <x:v>ok</x:v>
      </x:c>
      <x:c r="J1837"/>
      <x:c r="K1837" t="n">
        <x:v>45537</x:v>
      </x:c>
      <x:c r="L1837" t="n">
        <x:v>45537</x:v>
      </x:c>
      <x:c r="M1837" t="str">
        <x:v>Gebucht</x:v>
      </x:c>
      <x:c r="N1837" t="str">
        <x:v>Kohlenberg Lars</x:v>
      </x:c>
      <x:c r="O1837" t="str">
        <x:v>Allianz Lebensvers. AG</x:v>
      </x:c>
      <x:c r="P1837" t="str">
        <x:v>330296196 0924</x:v>
      </x:c>
      <x:c r="Q1837" t="str">
        <x:v>Ausgang</x:v>
      </x:c>
      <x:c r="R1837" t="str">
        <x:v>DE77700202700062328142</x:v>
      </x:c>
      <x:c r="S1837" t="n">
        <x:v>-162.17</x:v>
      </x:c>
      <x:c r="T1837" t="str">
        <x:v>DE07ZZZ00000063475</x:v>
      </x:c>
      <x:c r="U1837" t="str">
        <x:v>LA01L312001066775296</x:v>
      </x:c>
      <x:c r="V1837" t="str">
        <x:v>A7024236-000330296196014530724748</x:v>
      </x:c>
    </x:row>
    <x:row r="1838">
      <x:c r="A1838" t="str">
        <x:v>RAW-IMP-20260516-FULLDRAFT-001821</x:v>
      </x:c>
      <x:c r="B1838" t="str">
        <x:v>IMP-20260516-FULLDRAFT</x:v>
      </x:c>
      <x:c r="C1838" t="str">
        <x:v>KTO001</x:v>
      </x:c>
      <x:c r="D1838" t="str">
        <x:v>16-05-2026_Umsatzliste_Girokonto_DE98120300001061711675.csv</x:v>
      </x:c>
      <x:c r="E1838" t="n">
        <x:v>46163</x:v>
      </x:c>
      <x:c r="F1838" t="n">
        <x:v>1821</x:v>
      </x:c>
      <x:c r="G1838" t="str">
        <x:v>84af42f1100b5ff58c9f4fc9365c4e9dca204e50c25adc575ca851fe8f69639e</x:v>
      </x:c>
      <x:c r="H1838" t="str">
        <x:v>neu</x:v>
      </x:c>
      <x:c r="I1838" t="str">
        <x:v>ok</x:v>
      </x:c>
      <x:c r="J1838"/>
      <x:c r="K1838" t="n">
        <x:v>45537</x:v>
      </x:c>
      <x:c r="L1838" t="n">
        <x:v>45537</x:v>
      </x:c>
      <x:c r="M1838" t="str">
        <x:v>Gebucht</x:v>
      </x:c>
      <x:c r="N1838" t="str">
        <x:v>Kohlenberg, Katrin</x:v>
      </x:c>
      <x:c r="O1838" t="str">
        <x:v>WEVG Salzgitter GmbH + Co. KG</x:v>
      </x:c>
      <x:c r="P1838" t="str">
        <x:v>Kd-Nr 79288 Einz 31.08.24 41710/352.00/Johannes-Wosni 100833/70.00/Johannes-Wosni</x:v>
      </x:c>
      <x:c r="Q1838" t="str">
        <x:v>Ausgang</x:v>
      </x:c>
      <x:c r="R1838" t="str">
        <x:v>DE19300700100394127500</x:v>
      </x:c>
      <x:c r="S1838" t="n">
        <x:v>-422</x:v>
      </x:c>
      <x:c r="T1838" t="str">
        <x:v>DE83WEV00000032716</x:v>
      </x:c>
      <x:c r="U1838" t="str">
        <x:v>WEVG0000079288G1000178580</x:v>
      </x:c>
      <x:c r="V1838" t="str">
        <x:v>13159778</x:v>
      </x:c>
    </x:row>
    <x:row r="1839">
      <x:c r="A1839" t="str">
        <x:v>RAW-IMP-20260516-FULLDRAFT-001822</x:v>
      </x:c>
      <x:c r="B1839" t="str">
        <x:v>IMP-20260516-FULLDRAFT</x:v>
      </x:c>
      <x:c r="C1839" t="str">
        <x:v>KTO001</x:v>
      </x:c>
      <x:c r="D1839" t="str">
        <x:v>16-05-2026_Umsatzliste_Girokonto_DE98120300001061711675.csv</x:v>
      </x:c>
      <x:c r="E1839" t="n">
        <x:v>46163</x:v>
      </x:c>
      <x:c r="F1839" t="n">
        <x:v>1822</x:v>
      </x:c>
      <x:c r="G1839" t="str">
        <x:v>dac1af5331c2d22f02307dc3977578f5a70a809a8e7607a63b4bae2c759d5b81</x:v>
      </x:c>
      <x:c r="H1839" t="str">
        <x:v>neu</x:v>
      </x:c>
      <x:c r="I1839" t="str">
        <x:v>ok</x:v>
      </x:c>
      <x:c r="J1839"/>
      <x:c r="K1839" t="n">
        <x:v>45537</x:v>
      </x:c>
      <x:c r="L1839" t="n">
        <x:v>45537</x:v>
      </x:c>
      <x:c r="M1839" t="str">
        <x:v>Gebucht</x:v>
      </x:c>
      <x:c r="N1839" t="str">
        <x:v>KOHLENBERG, LARS</x:v>
      </x:c>
      <x:c r="O1839" t="str">
        <x:v>Lars und Katrin Kohlenberg</x:v>
      </x:c>
      <x:c r="P1839" t="str">
        <x:v>10677004 VERMOEGENSDEPOT SAMMELBUCHUNG SPARPLAN WKN A1C9ED, 847809</x:v>
      </x:c>
      <x:c r="Q1839" t="str">
        <x:v>Ausgang</x:v>
      </x:c>
      <x:c r="R1839" t="str">
        <x:v>DE27672300000506966162</x:v>
      </x:c>
      <x:c r="S1839" t="n">
        <x:v>-600</x:v>
      </x:c>
      <x:c r="T1839" t="str">
        <x:v>DE53ZZZ00000010849</x:v>
      </x:c>
      <x:c r="U1839" t="str">
        <x:v>WPBF0000180845</x:v>
      </x:c>
      <x:c r="V1839" t="str">
        <x:v>SPARSP 15198390</x:v>
      </x:c>
    </x:row>
    <x:row r="1840">
      <x:c r="A1840" t="str">
        <x:v>RAW-IMP-20260516-FULLDRAFT-001823</x:v>
      </x:c>
      <x:c r="B1840" t="str">
        <x:v>IMP-20260516-FULLDRAFT</x:v>
      </x:c>
      <x:c r="C1840" t="str">
        <x:v>KTO001</x:v>
      </x:c>
      <x:c r="D1840" t="str">
        <x:v>16-05-2026_Umsatzliste_Girokonto_DE98120300001061711675.csv</x:v>
      </x:c>
      <x:c r="E1840" t="n">
        <x:v>46163</x:v>
      </x:c>
      <x:c r="F1840" t="n">
        <x:v>1823</x:v>
      </x:c>
      <x:c r="G1840" t="str">
        <x:v>305f96f6794b0cab651f676f84b656ea9c23e4de9a11ebb54187bfe1e10a7ea6</x:v>
      </x:c>
      <x:c r="H1840" t="str">
        <x:v>neu</x:v>
      </x:c>
      <x:c r="I1840" t="str">
        <x:v>ok</x:v>
      </x:c>
      <x:c r="J1840"/>
      <x:c r="K1840" t="n">
        <x:v>45537</x:v>
      </x:c>
      <x:c r="L1840" t="n">
        <x:v>45537</x:v>
      </x:c>
      <x:c r="M1840" t="str">
        <x:v>Gebucht</x:v>
      </x:c>
      <x:c r="N1840" t="str">
        <x:v>Lars Kohlenberg</x:v>
      </x:c>
      <x:c r="O1840" t="str">
        <x:v>LARS KOHLENBERG</x:v>
      </x:c>
      <x:c r="P1840" t="str">
        <x:v>Sparrate 650,- + 750 EUR Mieteinnahmen</x:v>
      </x:c>
      <x:c r="Q1840" t="str">
        <x:v>Ausgang</x:v>
      </x:c>
      <x:c r="R1840" t="str">
        <x:v>DE91270200001510365800</x:v>
      </x:c>
      <x:c r="S1840" t="n">
        <x:v>-1400</x:v>
      </x:c>
      <x:c r="T1840" t="str">
        <x:v>"</x:v>
      </x:c>
      <x:c r="U1840" t="str">
        <x:v>"</x:v>
      </x:c>
      <x:c r="V1840" t="str">
        <x:v>"</x:v>
      </x:c>
    </x:row>
    <x:row r="1841">
      <x:c r="A1841" t="str">
        <x:v>RAW-IMP-20260516-FULLDRAFT-001824</x:v>
      </x:c>
      <x:c r="B1841" t="str">
        <x:v>IMP-20260516-FULLDRAFT</x:v>
      </x:c>
      <x:c r="C1841" t="str">
        <x:v>KTO001</x:v>
      </x:c>
      <x:c r="D1841" t="str">
        <x:v>16-05-2026_Umsatzliste_Girokonto_DE98120300001061711675.csv</x:v>
      </x:c>
      <x:c r="E1841" t="n">
        <x:v>46163</x:v>
      </x:c>
      <x:c r="F1841" t="n">
        <x:v>1824</x:v>
      </x:c>
      <x:c r="G1841" t="str">
        <x:v>4710f0c1e08df333881f0ccf9386a8c76385b162a52545220c493cfa12529631</x:v>
      </x:c>
      <x:c r="H1841" t="str">
        <x:v>neu</x:v>
      </x:c>
      <x:c r="I1841" t="str">
        <x:v>ok</x:v>
      </x:c>
      <x:c r="J1841"/>
      <x:c r="K1841" t="n">
        <x:v>45537</x:v>
      </x:c>
      <x:c r="L1841" t="n">
        <x:v>45537</x:v>
      </x:c>
      <x:c r="M1841" t="str">
        <x:v>Gebucht</x:v>
      </x:c>
      <x:c r="N1841" t="str">
        <x:v>Lars Kohlenberg</x:v>
      </x:c>
      <x:c r="O1841" t="str">
        <x:v>KATRIN KOHLENBERG</x:v>
      </x:c>
      <x:c r="P1841" t="str">
        <x:v>Apanage</x:v>
      </x:c>
      <x:c r="Q1841" t="str">
        <x:v>Ausgang</x:v>
      </x:c>
      <x:c r="R1841" t="str">
        <x:v>DE32270727240307336800</x:v>
      </x:c>
      <x:c r="S1841" t="n">
        <x:v>-1800</x:v>
      </x:c>
      <x:c r="T1841" t="str">
        <x:v>"</x:v>
      </x:c>
      <x:c r="U1841" t="str">
        <x:v>"</x:v>
      </x:c>
      <x:c r="V1841" t="str">
        <x:v>"</x:v>
      </x:c>
    </x:row>
    <x:row r="1842">
      <x:c r="A1842" t="str">
        <x:v>RAW-IMP-20260516-FULLDRAFT-001825</x:v>
      </x:c>
      <x:c r="B1842" t="str">
        <x:v>IMP-20260516-FULLDRAFT</x:v>
      </x:c>
      <x:c r="C1842" t="str">
        <x:v>KTO001</x:v>
      </x:c>
      <x:c r="D1842" t="str">
        <x:v>16-05-2026_Umsatzliste_Girokonto_DE98120300001061711675.csv</x:v>
      </x:c>
      <x:c r="E1842" t="n">
        <x:v>46163</x:v>
      </x:c>
      <x:c r="F1842" t="n">
        <x:v>1825</x:v>
      </x:c>
      <x:c r="G1842" t="str">
        <x:v>1f4f3245c2fd67b104d01c44f5b0a535b186c3f08d99bf0eb4c9915e30a91ebe</x:v>
      </x:c>
      <x:c r="H1842" t="str">
        <x:v>neu</x:v>
      </x:c>
      <x:c r="I1842" t="str">
        <x:v>ok</x:v>
      </x:c>
      <x:c r="J1842"/>
      <x:c r="K1842" t="n">
        <x:v>45537</x:v>
      </x:c>
      <x:c r="L1842" t="n">
        <x:v>45537</x:v>
      </x:c>
      <x:c r="M1842" t="str">
        <x:v>Gebucht</x:v>
      </x:c>
      <x:c r="N1842" t="str">
        <x:v>Lars Kohlenberg</x:v>
      </x:c>
      <x:c r="O1842" t="str">
        <x:v>LARS KOHLENBERG</x:v>
      </x:c>
      <x:c r="P1842" t="str">
        <x:v>Zins und Tilgung zu 2/3</x:v>
      </x:c>
      <x:c r="Q1842" t="str">
        <x:v>Ausgang</x:v>
      </x:c>
      <x:c r="R1842" t="str">
        <x:v>DE33269910668923736000</x:v>
      </x:c>
      <x:c r="S1842" t="n">
        <x:v>-1153.94</x:v>
      </x:c>
      <x:c r="T1842" t="str">
        <x:v>"</x:v>
      </x:c>
      <x:c r="U1842" t="str">
        <x:v>"</x:v>
      </x:c>
      <x:c r="V1842" t="str">
        <x:v>"</x:v>
      </x:c>
    </x:row>
    <x:row r="1843">
      <x:c r="A1843" t="str">
        <x:v>RAW-IMP-20260516-FULLDRAFT-001826</x:v>
      </x:c>
      <x:c r="B1843" t="str">
        <x:v>IMP-20260516-FULLDRAFT</x:v>
      </x:c>
      <x:c r="C1843" t="str">
        <x:v>KTO001</x:v>
      </x:c>
      <x:c r="D1843" t="str">
        <x:v>16-05-2026_Umsatzliste_Girokonto_DE98120300001061711675.csv</x:v>
      </x:c>
      <x:c r="E1843" t="n">
        <x:v>46163</x:v>
      </x:c>
      <x:c r="F1843" t="n">
        <x:v>1826</x:v>
      </x:c>
      <x:c r="G1843" t="str">
        <x:v>88ff0bd24e63ca7df973e9f04d1687db23f799bc8096b2424a7391cdcd7ff265</x:v>
      </x:c>
      <x:c r="H1843" t="str">
        <x:v>neu</x:v>
      </x:c>
      <x:c r="I1843" t="str">
        <x:v>ok</x:v>
      </x:c>
      <x:c r="J1843"/>
      <x:c r="K1843" t="n">
        <x:v>45534</x:v>
      </x:c>
      <x:c r="L1843" t="n">
        <x:v>45534</x:v>
      </x:c>
      <x:c r="M1843" t="str">
        <x:v>Gebucht</x:v>
      </x:c>
      <x:c r="N1843" t="str">
        <x:v>ISSUER</x:v>
      </x:c>
      <x:c r="O1843" t="str">
        <x:v>METALLBUDE/LEMGO</x:v>
      </x:c>
      <x:c r="P1843" t="str">
        <x:v>VISA Debitkartenumsatz vom 29.08.2024</x:v>
      </x:c>
      <x:c r="Q1843" t="str">
        <x:v>Ausgang</x:v>
      </x:c>
      <x:c r="R1843" t="str">
        <x:v>DE96120300009005290904</x:v>
      </x:c>
      <x:c r="S1843" t="n">
        <x:v>-161</x:v>
      </x:c>
      <x:c r="T1843" t="str">
        <x:v>"</x:v>
      </x:c>
      <x:c r="U1843" t="str">
        <x:v>"</x:v>
      </x:c>
      <x:c r="V1843" t="str">
        <x:v>484242537359164</x:v>
      </x:c>
    </x:row>
    <x:row r="1844">
      <x:c r="A1844" t="str">
        <x:v>RAW-IMP-20260516-FULLDRAFT-001827</x:v>
      </x:c>
      <x:c r="B1844" t="str">
        <x:v>IMP-20260516-FULLDRAFT</x:v>
      </x:c>
      <x:c r="C1844" t="str">
        <x:v>KTO001</x:v>
      </x:c>
      <x:c r="D1844" t="str">
        <x:v>16-05-2026_Umsatzliste_Girokonto_DE98120300001061711675.csv</x:v>
      </x:c>
      <x:c r="E1844" t="n">
        <x:v>46163</x:v>
      </x:c>
      <x:c r="F1844" t="n">
        <x:v>1827</x:v>
      </x:c>
      <x:c r="G1844" t="str">
        <x:v>2bf2492fd6c13def50efbe94437fe3e2ef62daf9128b760dbb82158c3753e4bf</x:v>
      </x:c>
      <x:c r="H1844" t="str">
        <x:v>neu</x:v>
      </x:c>
      <x:c r="I1844" t="str">
        <x:v>ok</x:v>
      </x:c>
      <x:c r="J1844"/>
      <x:c r="K1844" t="n">
        <x:v>45533</x:v>
      </x:c>
      <x:c r="L1844" t="n">
        <x:v>45533</x:v>
      </x:c>
      <x:c r="M1844" t="str">
        <x:v>Gebucht</x:v>
      </x:c>
      <x:c r="N1844" t="str">
        <x:v>Gothaer Krankenversicherung AG</x:v>
      </x:c>
      <x:c r="O1844" t="str">
        <x:v>LARS KOHLENBERG</x:v>
      </x:c>
      <x:c r="P1844" t="str">
        <x:v>98.000.055668/0092425505366 BRE 2023 VS 98.000.055668</x:v>
      </x:c>
      <x:c r="Q1844" t="str">
        <x:v>Eingang</x:v>
      </x:c>
      <x:c r="R1844" t="str">
        <x:v>DE95300500000004822078</x:v>
      </x:c>
      <x:c r="S1844" t="n">
        <x:v>85.8</x:v>
      </x:c>
      <x:c r="T1844" t="str">
        <x:v>"</x:v>
      </x:c>
      <x:c r="U1844" t="str">
        <x:v>"</x:v>
      </x:c>
      <x:c r="V1844" t="str">
        <x:v>0092425505366</x:v>
      </x:c>
    </x:row>
    <x:row r="1845">
      <x:c r="A1845" t="str">
        <x:v>RAW-IMP-20260516-FULLDRAFT-001828</x:v>
      </x:c>
      <x:c r="B1845" t="str">
        <x:v>IMP-20260516-FULLDRAFT</x:v>
      </x:c>
      <x:c r="C1845" t="str">
        <x:v>KTO001</x:v>
      </x:c>
      <x:c r="D1845" t="str">
        <x:v>16-05-2026_Umsatzliste_Girokonto_DE98120300001061711675.csv</x:v>
      </x:c>
      <x:c r="E1845" t="n">
        <x:v>46163</x:v>
      </x:c>
      <x:c r="F1845" t="n">
        <x:v>1828</x:v>
      </x:c>
      <x:c r="G1845" t="str">
        <x:v>d50e92bf3a99e211399024f5f72860613cc55fb0584cc67eb39b0d0964f471a7</x:v>
      </x:c>
      <x:c r="H1845" t="str">
        <x:v>neu</x:v>
      </x:c>
      <x:c r="I1845" t="str">
        <x:v>ok</x:v>
      </x:c>
      <x:c r="J1845"/>
      <x:c r="K1845" t="n">
        <x:v>45533</x:v>
      </x:c>
      <x:c r="L1845" t="n">
        <x:v>45533</x:v>
      </x:c>
      <x:c r="M1845" t="str">
        <x:v>Gebucht</x:v>
      </x:c>
      <x:c r="N1845" t="str">
        <x:v>Stiftung Kath. Altenhilfe im Bistum Hildesheim</x:v>
      </x:c>
      <x:c r="O1845" t="str">
        <x:v>KOHLENBERG LARS</x:v>
      </x:c>
      <x:c r="P1845" t="str">
        <x:v>GEHALT 8/24</x:v>
      </x:c>
      <x:c r="Q1845" t="str">
        <x:v>Eingang</x:v>
      </x:c>
      <x:c r="R1845" t="str">
        <x:v>DE92400602650023150301</x:v>
      </x:c>
      <x:c r="S1845" t="n">
        <x:v>7566.26</x:v>
      </x:c>
      <x:c r="T1845" t="str">
        <x:v>"</x:v>
      </x:c>
      <x:c r="U1845" t="str">
        <x:v>"</x:v>
      </x:c>
      <x:c r="V1845" t="str">
        <x:v>001001987662SALA004653005</x:v>
      </x:c>
    </x:row>
    <x:row r="1846">
      <x:c r="A1846" t="str">
        <x:v>RAW-IMP-20260516-FULLDRAFT-001829</x:v>
      </x:c>
      <x:c r="B1846" t="str">
        <x:v>IMP-20260516-FULLDRAFT</x:v>
      </x:c>
      <x:c r="C1846" t="str">
        <x:v>KTO001</x:v>
      </x:c>
      <x:c r="D1846" t="str">
        <x:v>16-05-2026_Umsatzliste_Girokonto_DE98120300001061711675.csv</x:v>
      </x:c>
      <x:c r="E1846" t="n">
        <x:v>46163</x:v>
      </x:c>
      <x:c r="F1846" t="n">
        <x:v>1829</x:v>
      </x:c>
      <x:c r="G1846" t="str">
        <x:v>2c5bb21c7478ac931f14f3663c45ba04beefc5b8fd527708699f5c016cced17e</x:v>
      </x:c>
      <x:c r="H1846" t="str">
        <x:v>neu</x:v>
      </x:c>
      <x:c r="I1846" t="str">
        <x:v>ok</x:v>
      </x:c>
      <x:c r="J1846"/>
      <x:c r="K1846" t="n">
        <x:v>45532</x:v>
      </x:c>
      <x:c r="L1846" t="n">
        <x:v>45532</x:v>
      </x:c>
      <x:c r="M1846" t="str">
        <x:v>Gebucht</x:v>
      </x:c>
      <x:c r="N1846" t="str">
        <x:v>ISSUER</x:v>
      </x:c>
      <x:c r="O1846" t="str">
        <x:v>PAYPAL..CENTERPARCS/0104989519</x:v>
      </x:c>
      <x:c r="P1846" t="str">
        <x:v>VISA Debitkartenumsatz vom 25.08.2024</x:v>
      </x:c>
      <x:c r="Q1846" t="str">
        <x:v>Ausgang</x:v>
      </x:c>
      <x:c r="R1846" t="str">
        <x:v>DE96120300009005290904</x:v>
      </x:c>
      <x:c r="S1846" t="n">
        <x:v>-1049.2</x:v>
      </x:c>
      <x:c r="T1846" t="str">
        <x:v>"</x:v>
      </x:c>
      <x:c r="U1846" t="str">
        <x:v>"</x:v>
      </x:c>
      <x:c r="V1846" t="str">
        <x:v>304238726586498</x:v>
      </x:c>
    </x:row>
    <x:row r="1847">
      <x:c r="A1847" t="str">
        <x:v>RAW-IMP-20260516-FULLDRAFT-001830</x:v>
      </x:c>
      <x:c r="B1847" t="str">
        <x:v>IMP-20260516-FULLDRAFT</x:v>
      </x:c>
      <x:c r="C1847" t="str">
        <x:v>KTO001</x:v>
      </x:c>
      <x:c r="D1847" t="str">
        <x:v>16-05-2026_Umsatzliste_Girokonto_DE98120300001061711675.csv</x:v>
      </x:c>
      <x:c r="E1847" t="n">
        <x:v>46163</x:v>
      </x:c>
      <x:c r="F1847" t="n">
        <x:v>1830</x:v>
      </x:c>
      <x:c r="G1847" t="str">
        <x:v>a3de8f37bdd38050ed8d8ebbf41ce9dc958382a511efa00590111d5e80fb6313</x:v>
      </x:c>
      <x:c r="H1847" t="str">
        <x:v>neu</x:v>
      </x:c>
      <x:c r="I1847" t="str">
        <x:v>ok</x:v>
      </x:c>
      <x:c r="J1847"/>
      <x:c r="K1847" t="n">
        <x:v>45531</x:v>
      </x:c>
      <x:c r="L1847" t="n">
        <x:v>45531</x:v>
      </x:c>
      <x:c r="M1847" t="str">
        <x:v>Gebucht</x:v>
      </x:c>
      <x:c r="N1847" t="str">
        <x:v>ISSUER</x:v>
      </x:c>
      <x:c r="O1847" t="str">
        <x:v>Landeshauptstadt.Hannov/Hannover</x:v>
      </x:c>
      <x:c r="P1847" t="str">
        <x:v>VISA Debitkartenumsatz vom 26.08.2024</x:v>
      </x:c>
      <x:c r="Q1847" t="str">
        <x:v>Ausgang</x:v>
      </x:c>
      <x:c r="R1847" t="str">
        <x:v>DE96120300009005290904</x:v>
      </x:c>
      <x:c r="S1847" t="n">
        <x:v>-6.5</x:v>
      </x:c>
      <x:c r="T1847" t="str">
        <x:v>"</x:v>
      </x:c>
      <x:c r="U1847" t="str">
        <x:v>"</x:v>
      </x:c>
      <x:c r="V1847" t="str">
        <x:v>484239547570854</x:v>
      </x:c>
    </x:row>
    <x:row r="1848">
      <x:c r="A1848" t="str">
        <x:v>RAW-IMP-20260516-FULLDRAFT-001831</x:v>
      </x:c>
      <x:c r="B1848" t="str">
        <x:v>IMP-20260516-FULLDRAFT</x:v>
      </x:c>
      <x:c r="C1848" t="str">
        <x:v>KTO001</x:v>
      </x:c>
      <x:c r="D1848" t="str">
        <x:v>16-05-2026_Umsatzliste_Girokonto_DE98120300001061711675.csv</x:v>
      </x:c>
      <x:c r="E1848" t="n">
        <x:v>46163</x:v>
      </x:c>
      <x:c r="F1848" t="n">
        <x:v>1831</x:v>
      </x:c>
      <x:c r="G1848" t="str">
        <x:v>82ae3758e0fb5215cda87001e191f5e4ed5af42d82b98236a763207c51ac5c7d</x:v>
      </x:c>
      <x:c r="H1848" t="str">
        <x:v>neu</x:v>
      </x:c>
      <x:c r="I1848" t="str">
        <x:v>ok</x:v>
      </x:c>
      <x:c r="J1848"/>
      <x:c r="K1848" t="n">
        <x:v>45530</x:v>
      </x:c>
      <x:c r="L1848" t="n">
        <x:v>45530</x:v>
      </x:c>
      <x:c r="M1848" t="str">
        <x:v>Gebucht</x:v>
      </x:c>
      <x:c r="N1848" t="str">
        <x:v>ISSUER</x:v>
      </x:c>
      <x:c r="O1848" t="str">
        <x:v>GALERIA.BRAUNSCHWEIG/BRAUNSCHWEIG</x:v>
      </x:c>
      <x:c r="P1848" t="str">
        <x:v>VISA Debitkartenumsatz vom 24.08.2024</x:v>
      </x:c>
      <x:c r="Q1848" t="str">
        <x:v>Ausgang</x:v>
      </x:c>
      <x:c r="R1848" t="str">
        <x:v>DE96120300009005290904</x:v>
      </x:c>
      <x:c r="S1848" t="n">
        <x:v>-2.39</x:v>
      </x:c>
      <x:c r="T1848" t="str">
        <x:v>"</x:v>
      </x:c>
      <x:c r="U1848" t="str">
        <x:v>"</x:v>
      </x:c>
      <x:c r="V1848" t="str">
        <x:v>484237310542151</x:v>
      </x:c>
    </x:row>
    <x:row r="1849">
      <x:c r="A1849" t="str">
        <x:v>RAW-IMP-20260516-FULLDRAFT-001832</x:v>
      </x:c>
      <x:c r="B1849" t="str">
        <x:v>IMP-20260516-FULLDRAFT</x:v>
      </x:c>
      <x:c r="C1849" t="str">
        <x:v>KTO001</x:v>
      </x:c>
      <x:c r="D1849" t="str">
        <x:v>16-05-2026_Umsatzliste_Girokonto_DE98120300001061711675.csv</x:v>
      </x:c>
      <x:c r="E1849" t="n">
        <x:v>46163</x:v>
      </x:c>
      <x:c r="F1849" t="n">
        <x:v>1832</x:v>
      </x:c>
      <x:c r="G1849" t="str">
        <x:v>5447866f20c30600b45c05d561fe5c1f55e3d726c4977874d202ba0aa4d3cf65</x:v>
      </x:c>
      <x:c r="H1849" t="str">
        <x:v>neu</x:v>
      </x:c>
      <x:c r="I1849" t="str">
        <x:v>ok</x:v>
      </x:c>
      <x:c r="J1849"/>
      <x:c r="K1849" t="n">
        <x:v>45530</x:v>
      </x:c>
      <x:c r="L1849" t="n">
        <x:v>45530</x:v>
      </x:c>
      <x:c r="M1849" t="str">
        <x:v>Gebucht</x:v>
      </x:c>
      <x:c r="N1849" t="str">
        <x:v>ISSUER</x:v>
      </x:c>
      <x:c r="O1849" t="str">
        <x:v>SANDERS.BACKSTUBE/BRAUNSCHWEIG</x:v>
      </x:c>
      <x:c r="P1849" t="str">
        <x:v>VISA Debitkartenumsatz vom 24.08.2024</x:v>
      </x:c>
      <x:c r="Q1849" t="str">
        <x:v>Ausgang</x:v>
      </x:c>
      <x:c r="R1849" t="str">
        <x:v>DE96120300009005290904</x:v>
      </x:c>
      <x:c r="S1849" t="n">
        <x:v>-6.5</x:v>
      </x:c>
      <x:c r="T1849" t="str">
        <x:v>"</x:v>
      </x:c>
      <x:c r="U1849" t="str">
        <x:v>"</x:v>
      </x:c>
      <x:c r="V1849" t="str">
        <x:v>484237357072808</x:v>
      </x:c>
    </x:row>
    <x:row r="1850">
      <x:c r="A1850" t="str">
        <x:v>RAW-IMP-20260516-FULLDRAFT-001833</x:v>
      </x:c>
      <x:c r="B1850" t="str">
        <x:v>IMP-20260516-FULLDRAFT</x:v>
      </x:c>
      <x:c r="C1850" t="str">
        <x:v>KTO001</x:v>
      </x:c>
      <x:c r="D1850" t="str">
        <x:v>16-05-2026_Umsatzliste_Girokonto_DE98120300001061711675.csv</x:v>
      </x:c>
      <x:c r="E1850" t="n">
        <x:v>46163</x:v>
      </x:c>
      <x:c r="F1850" t="n">
        <x:v>1833</x:v>
      </x:c>
      <x:c r="G1850" t="str">
        <x:v>bdc7fffa2f32bf4505a2ea0d530d6ca6ec589f984c637c401959d5a23f6e4a49</x:v>
      </x:c>
      <x:c r="H1850" t="str">
        <x:v>neu</x:v>
      </x:c>
      <x:c r="I1850" t="str">
        <x:v>ok</x:v>
      </x:c>
      <x:c r="J1850"/>
      <x:c r="K1850" t="n">
        <x:v>45530</x:v>
      </x:c>
      <x:c r="L1850" t="n">
        <x:v>45530</x:v>
      </x:c>
      <x:c r="M1850" t="str">
        <x:v>Gebucht</x:v>
      </x:c>
      <x:c r="N1850" t="str">
        <x:v>ISSUER</x:v>
      </x:c>
      <x:c r="O1850" t="str">
        <x:v>METRO.SAGT.DANKE/BRAUNSCHWEIG</x:v>
      </x:c>
      <x:c r="P1850" t="str">
        <x:v>VISA Debitkartenumsatz vom 24.08.2024</x:v>
      </x:c>
      <x:c r="Q1850" t="str">
        <x:v>Ausgang</x:v>
      </x:c>
      <x:c r="R1850" t="str">
        <x:v>DE96120300009005290904</x:v>
      </x:c>
      <x:c r="S1850" t="n">
        <x:v>-59.7</x:v>
      </x:c>
      <x:c r="T1850" t="str">
        <x:v>"</x:v>
      </x:c>
      <x:c r="U1850" t="str">
        <x:v>"</x:v>
      </x:c>
      <x:c r="V1850" t="str">
        <x:v>484237400060917</x:v>
      </x:c>
    </x:row>
    <x:row r="1851">
      <x:c r="A1851" t="str">
        <x:v>RAW-IMP-20260516-FULLDRAFT-001834</x:v>
      </x:c>
      <x:c r="B1851" t="str">
        <x:v>IMP-20260516-FULLDRAFT</x:v>
      </x:c>
      <x:c r="C1851" t="str">
        <x:v>KTO001</x:v>
      </x:c>
      <x:c r="D1851" t="str">
        <x:v>16-05-2026_Umsatzliste_Girokonto_DE98120300001061711675.csv</x:v>
      </x:c>
      <x:c r="E1851" t="n">
        <x:v>46163</x:v>
      </x:c>
      <x:c r="F1851" t="n">
        <x:v>1834</x:v>
      </x:c>
      <x:c r="G1851" t="str">
        <x:v>7d948acf017fdd601f7638c7af281d94b0ed1e6e707ae2235db3304d99e8e96e</x:v>
      </x:c>
      <x:c r="H1851" t="str">
        <x:v>neu</x:v>
      </x:c>
      <x:c r="I1851" t="str">
        <x:v>ok</x:v>
      </x:c>
      <x:c r="J1851"/>
      <x:c r="K1851" t="n">
        <x:v>45530</x:v>
      </x:c>
      <x:c r="L1851" t="n">
        <x:v>45530</x:v>
      </x:c>
      <x:c r="M1851" t="str">
        <x:v>Gebucht</x:v>
      </x:c>
      <x:c r="N1851" t="str">
        <x:v>ISSUER</x:v>
      </x:c>
      <x:c r="O1851" t="str">
        <x:v>PH.GRUENER.LOEWE/BRAUNDSCHWEIG</x:v>
      </x:c>
      <x:c r="P1851" t="str">
        <x:v>VISA Debitkartenumsatz vom 24.08.2024</x:v>
      </x:c>
      <x:c r="Q1851" t="str">
        <x:v>Ausgang</x:v>
      </x:c>
      <x:c r="R1851" t="str">
        <x:v>DE96120300009005290904</x:v>
      </x:c>
      <x:c r="S1851" t="n">
        <x:v>-2</x:v>
      </x:c>
      <x:c r="T1851" t="str">
        <x:v>"</x:v>
      </x:c>
      <x:c r="U1851" t="str">
        <x:v>"</x:v>
      </x:c>
      <x:c r="V1851" t="str">
        <x:v>484237364586076</x:v>
      </x:c>
    </x:row>
    <x:row r="1852">
      <x:c r="A1852" t="str">
        <x:v>RAW-IMP-20260516-FULLDRAFT-001835</x:v>
      </x:c>
      <x:c r="B1852" t="str">
        <x:v>IMP-20260516-FULLDRAFT</x:v>
      </x:c>
      <x:c r="C1852" t="str">
        <x:v>KTO001</x:v>
      </x:c>
      <x:c r="D1852" t="str">
        <x:v>16-05-2026_Umsatzliste_Girokonto_DE98120300001061711675.csv</x:v>
      </x:c>
      <x:c r="E1852" t="n">
        <x:v>46163</x:v>
      </x:c>
      <x:c r="F1852" t="n">
        <x:v>1835</x:v>
      </x:c>
      <x:c r="G1852" t="str">
        <x:v>a63c3efe64541c72c225c7ad1f9fbcef595168f3906af02c42ea073eaa497246</x:v>
      </x:c>
      <x:c r="H1852" t="str">
        <x:v>neu</x:v>
      </x:c>
      <x:c r="I1852" t="str">
        <x:v>ok</x:v>
      </x:c>
      <x:c r="J1852"/>
      <x:c r="K1852" t="n">
        <x:v>45530</x:v>
      </x:c>
      <x:c r="L1852" t="n">
        <x:v>45530</x:v>
      </x:c>
      <x:c r="M1852" t="str">
        <x:v>Gebucht</x:v>
      </x:c>
      <x:c r="N1852" t="str">
        <x:v>ISSUER</x:v>
      </x:c>
      <x:c r="O1852" t="str">
        <x:v>JD.SPORTS.FASHION.GERMA/BRAUNSCHWEIG</x:v>
      </x:c>
      <x:c r="P1852" t="str">
        <x:v>VISA Debitkartenumsatz vom 24.08.2024</x:v>
      </x:c>
      <x:c r="Q1852" t="str">
        <x:v>Ausgang</x:v>
      </x:c>
      <x:c r="R1852" t="str">
        <x:v>DE96120300009005290904</x:v>
      </x:c>
      <x:c r="S1852" t="n">
        <x:v>-40</x:v>
      </x:c>
      <x:c r="T1852" t="str">
        <x:v>"</x:v>
      </x:c>
      <x:c r="U1852" t="str">
        <x:v>"</x:v>
      </x:c>
      <x:c r="V1852" t="str">
        <x:v>484237343645235</x:v>
      </x:c>
    </x:row>
    <x:row r="1853">
      <x:c r="A1853" t="str">
        <x:v>RAW-IMP-20260516-FULLDRAFT-001836</x:v>
      </x:c>
      <x:c r="B1853" t="str">
        <x:v>IMP-20260516-FULLDRAFT</x:v>
      </x:c>
      <x:c r="C1853" t="str">
        <x:v>KTO001</x:v>
      </x:c>
      <x:c r="D1853" t="str">
        <x:v>16-05-2026_Umsatzliste_Girokonto_DE98120300001061711675.csv</x:v>
      </x:c>
      <x:c r="E1853" t="n">
        <x:v>46163</x:v>
      </x:c>
      <x:c r="F1853" t="n">
        <x:v>1836</x:v>
      </x:c>
      <x:c r="G1853" t="str">
        <x:v>63b1e7dca34ebc1e13717e2a3e74b9f9a454b5d8e60c9040ad9c13c3cd49281f</x:v>
      </x:c>
      <x:c r="H1853" t="str">
        <x:v>neu</x:v>
      </x:c>
      <x:c r="I1853" t="str">
        <x:v>ok</x:v>
      </x:c>
      <x:c r="J1853"/>
      <x:c r="K1853" t="n">
        <x:v>45530</x:v>
      </x:c>
      <x:c r="L1853" t="n">
        <x:v>45530</x:v>
      </x:c>
      <x:c r="M1853" t="str">
        <x:v>Gebucht</x:v>
      </x:c>
      <x:c r="N1853" t="str">
        <x:v>ISSUER</x:v>
      </x:c>
      <x:c r="O1853" t="str">
        <x:v>Lidl.sagt.Danke/Salzgitter</x:v>
      </x:c>
      <x:c r="P1853" t="str">
        <x:v>VISA Debitkartenumsatz vom 24.08.2024</x:v>
      </x:c>
      <x:c r="Q1853" t="str">
        <x:v>Ausgang</x:v>
      </x:c>
      <x:c r="R1853" t="str">
        <x:v>DE96120300009005290904</x:v>
      </x:c>
      <x:c r="S1853" t="n">
        <x:v>-16.2</x:v>
      </x:c>
      <x:c r="T1853" t="str">
        <x:v>"</x:v>
      </x:c>
      <x:c r="U1853" t="str">
        <x:v>"</x:v>
      </x:c>
      <x:c r="V1853" t="str">
        <x:v>484237407679604</x:v>
      </x:c>
    </x:row>
    <x:row r="1854">
      <x:c r="A1854" t="str">
        <x:v>RAW-IMP-20260516-FULLDRAFT-001837</x:v>
      </x:c>
      <x:c r="B1854" t="str">
        <x:v>IMP-20260516-FULLDRAFT</x:v>
      </x:c>
      <x:c r="C1854" t="str">
        <x:v>KTO001</x:v>
      </x:c>
      <x:c r="D1854" t="str">
        <x:v>16-05-2026_Umsatzliste_Girokonto_DE98120300001061711675.csv</x:v>
      </x:c>
      <x:c r="E1854" t="n">
        <x:v>46163</x:v>
      </x:c>
      <x:c r="F1854" t="n">
        <x:v>1837</x:v>
      </x:c>
      <x:c r="G1854" t="str">
        <x:v>18e03dbc7b526e773246547ba3932d035d9f870edf0513f9d0271bd2bee4c7b5</x:v>
      </x:c>
      <x:c r="H1854" t="str">
        <x:v>neu</x:v>
      </x:c>
      <x:c r="I1854" t="str">
        <x:v>ok</x:v>
      </x:c>
      <x:c r="J1854"/>
      <x:c r="K1854" t="n">
        <x:v>45530</x:v>
      </x:c>
      <x:c r="L1854" t="n">
        <x:v>45530</x:v>
      </x:c>
      <x:c r="M1854" t="str">
        <x:v>Gebucht</x:v>
      </x:c>
      <x:c r="N1854" t="str">
        <x:v>ISSUER</x:v>
      </x:c>
      <x:c r="O1854" t="str">
        <x:v>REWE.Salzgitter.Ge/Salzgitter</x:v>
      </x:c>
      <x:c r="P1854" t="str">
        <x:v>VISA Debitkartenumsatz vom 24.08.2024</x:v>
      </x:c>
      <x:c r="Q1854" t="str">
        <x:v>Ausgang</x:v>
      </x:c>
      <x:c r="R1854" t="str">
        <x:v>DE96120300009005290904</x:v>
      </x:c>
      <x:c r="S1854" t="n">
        <x:v>-62.59</x:v>
      </x:c>
      <x:c r="T1854" t="str">
        <x:v>"</x:v>
      </x:c>
      <x:c r="U1854" t="str">
        <x:v>"</x:v>
      </x:c>
      <x:c r="V1854" t="str">
        <x:v>484237608637810</x:v>
      </x:c>
    </x:row>
    <x:row r="1855">
      <x:c r="A1855" t="str">
        <x:v>RAW-IMP-20260516-FULLDRAFT-001838</x:v>
      </x:c>
      <x:c r="B1855" t="str">
        <x:v>IMP-20260516-FULLDRAFT</x:v>
      </x:c>
      <x:c r="C1855" t="str">
        <x:v>KTO001</x:v>
      </x:c>
      <x:c r="D1855" t="str">
        <x:v>16-05-2026_Umsatzliste_Girokonto_DE98120300001061711675.csv</x:v>
      </x:c>
      <x:c r="E1855" t="n">
        <x:v>46163</x:v>
      </x:c>
      <x:c r="F1855" t="n">
        <x:v>1838</x:v>
      </x:c>
      <x:c r="G1855" t="str">
        <x:v>78b1ca3fab6253f42bb2c853f9dbb5c4d0c412b0e45ffe0323c4c00ba1ae0a49</x:v>
      </x:c>
      <x:c r="H1855" t="str">
        <x:v>neu</x:v>
      </x:c>
      <x:c r="I1855" t="str">
        <x:v>ok</x:v>
      </x:c>
      <x:c r="J1855"/>
      <x:c r="K1855" t="n">
        <x:v>45530</x:v>
      </x:c>
      <x:c r="L1855" t="n">
        <x:v>45530</x:v>
      </x:c>
      <x:c r="M1855" t="str">
        <x:v>Gebucht</x:v>
      </x:c>
      <x:c r="N1855" t="str">
        <x:v>ISSUER</x:v>
      </x:c>
      <x:c r="O1855" t="str">
        <x:v>REWE.Salzgitter.Ge/Salzgitter</x:v>
      </x:c>
      <x:c r="P1855" t="str">
        <x:v>VISA Debitkartenumsatz vom 23.08.2024</x:v>
      </x:c>
      <x:c r="Q1855" t="str">
        <x:v>Ausgang</x:v>
      </x:c>
      <x:c r="R1855" t="str">
        <x:v>DE96120300009005290904</x:v>
      </x:c>
      <x:c r="S1855" t="n">
        <x:v>-20.26</x:v>
      </x:c>
      <x:c r="T1855" t="str">
        <x:v>"</x:v>
      </x:c>
      <x:c r="U1855" t="str">
        <x:v>"</x:v>
      </x:c>
      <x:c r="V1855" t="str">
        <x:v>484236607662924</x:v>
      </x:c>
    </x:row>
    <x:row r="1856">
      <x:c r="A1856" t="str">
        <x:v>RAW-IMP-20260516-FULLDRAFT-001839</x:v>
      </x:c>
      <x:c r="B1856" t="str">
        <x:v>IMP-20260516-FULLDRAFT</x:v>
      </x:c>
      <x:c r="C1856" t="str">
        <x:v>KTO001</x:v>
      </x:c>
      <x:c r="D1856" t="str">
        <x:v>16-05-2026_Umsatzliste_Girokonto_DE98120300001061711675.csv</x:v>
      </x:c>
      <x:c r="E1856" t="n">
        <x:v>46163</x:v>
      </x:c>
      <x:c r="F1856" t="n">
        <x:v>1839</x:v>
      </x:c>
      <x:c r="G1856" t="str">
        <x:v>e14a5114e42fdf70bc5896cfe8d48d2fca1c8a27a0f6a16b1025678ed053f144</x:v>
      </x:c>
      <x:c r="H1856" t="str">
        <x:v>neu</x:v>
      </x:c>
      <x:c r="I1856" t="str">
        <x:v>ok</x:v>
      </x:c>
      <x:c r="J1856"/>
      <x:c r="K1856" t="n">
        <x:v>45527</x:v>
      </x:c>
      <x:c r="L1856" t="n">
        <x:v>45527</x:v>
      </x:c>
      <x:c r="M1856" t="str">
        <x:v>Gebucht</x:v>
      </x:c>
      <x:c r="N1856" t="str">
        <x:v>ISSUER</x:v>
      </x:c>
      <x:c r="O1856" t="str">
        <x:v>EDEKA.POTRATZ/HILDESHEIM</x:v>
      </x:c>
      <x:c r="P1856" t="str">
        <x:v>VISA Debitkartenumsatz vom 22.08.2024</x:v>
      </x:c>
      <x:c r="Q1856" t="str">
        <x:v>Ausgang</x:v>
      </x:c>
      <x:c r="R1856" t="str">
        <x:v>DE96120300009005290904</x:v>
      </x:c>
      <x:c r="S1856" t="n">
        <x:v>-9.14</x:v>
      </x:c>
      <x:c r="T1856" t="str">
        <x:v>"</x:v>
      </x:c>
      <x:c r="U1856" t="str">
        <x:v>"</x:v>
      </x:c>
      <x:c r="V1856" t="str">
        <x:v>484235407884887</x:v>
      </x:c>
    </x:row>
    <x:row r="1857">
      <x:c r="A1857" t="str">
        <x:v>RAW-IMP-20260516-FULLDRAFT-001840</x:v>
      </x:c>
      <x:c r="B1857" t="str">
        <x:v>IMP-20260516-FULLDRAFT</x:v>
      </x:c>
      <x:c r="C1857" t="str">
        <x:v>KTO001</x:v>
      </x:c>
      <x:c r="D1857" t="str">
        <x:v>16-05-2026_Umsatzliste_Girokonto_DE98120300001061711675.csv</x:v>
      </x:c>
      <x:c r="E1857" t="n">
        <x:v>46163</x:v>
      </x:c>
      <x:c r="F1857" t="n">
        <x:v>1840</x:v>
      </x:c>
      <x:c r="G1857" t="str">
        <x:v>fc9b831f281a41ad5720cf5716873f66e3b14a2a1b7596b7c45ff7a8e780dc65</x:v>
      </x:c>
      <x:c r="H1857" t="str">
        <x:v>neu</x:v>
      </x:c>
      <x:c r="I1857" t="str">
        <x:v>ok</x:v>
      </x:c>
      <x:c r="J1857"/>
      <x:c r="K1857" t="n">
        <x:v>45527</x:v>
      </x:c>
      <x:c r="L1857" t="n">
        <x:v>45527</x:v>
      </x:c>
      <x:c r="M1857" t="str">
        <x:v>Gebucht</x:v>
      </x:c>
      <x:c r="N1857" t="str">
        <x:v>ISSUER</x:v>
      </x:c>
      <x:c r="O1857" t="str">
        <x:v>Thalia/Hagen</x:v>
      </x:c>
      <x:c r="P1857" t="str">
        <x:v>VISA Debitkartenumsatz vom 07.08.2024</x:v>
      </x:c>
      <x:c r="Q1857" t="str">
        <x:v>Ausgang</x:v>
      </x:c>
      <x:c r="R1857" t="str">
        <x:v>DE96120300009005290904</x:v>
      </x:c>
      <x:c r="S1857" t="n">
        <x:v>-4.5</x:v>
      </x:c>
      <x:c r="T1857" t="str">
        <x:v>"</x:v>
      </x:c>
      <x:c r="U1857" t="str">
        <x:v>"</x:v>
      </x:c>
      <x:c r="V1857" t="str">
        <x:v>484220642780616</x:v>
      </x:c>
    </x:row>
    <x:row r="1858">
      <x:c r="A1858" t="str">
        <x:v>RAW-IMP-20260516-FULLDRAFT-001841</x:v>
      </x:c>
      <x:c r="B1858" t="str">
        <x:v>IMP-20260516-FULLDRAFT</x:v>
      </x:c>
      <x:c r="C1858" t="str">
        <x:v>KTO001</x:v>
      </x:c>
      <x:c r="D1858" t="str">
        <x:v>16-05-2026_Umsatzliste_Girokonto_DE98120300001061711675.csv</x:v>
      </x:c>
      <x:c r="E1858" t="n">
        <x:v>46163</x:v>
      </x:c>
      <x:c r="F1858" t="n">
        <x:v>1841</x:v>
      </x:c>
      <x:c r="G1858" t="str">
        <x:v>c98f7df1c596bc4d335ac3f8c12ca62bb6000e7f603b6c107171d26c07ea51c4</x:v>
      </x:c>
      <x:c r="H1858" t="str">
        <x:v>neu</x:v>
      </x:c>
      <x:c r="I1858" t="str">
        <x:v>ok</x:v>
      </x:c>
      <x:c r="J1858"/>
      <x:c r="K1858" t="n">
        <x:v>45526</x:v>
      </x:c>
      <x:c r="L1858" t="n">
        <x:v>45526</x:v>
      </x:c>
      <x:c r="M1858" t="str">
        <x:v>Gebucht</x:v>
      </x:c>
      <x:c r="N1858" t="str">
        <x:v>Caritasverband fur die Diozese Hildesheim e.V.</x:v>
      </x:c>
      <x:c r="O1858" t="str">
        <x:v>Lars Kohlenberg</x:v>
      </x:c>
      <x:c r="P1858" t="str">
        <x:v>109,83 04.07.24 NR. Erstattung Tanken 106,09 29.07.24 NR. Erst. Tanken</x:v>
      </x:c>
      <x:c r="Q1858" t="str">
        <x:v>Eingang</x:v>
      </x:c>
      <x:c r="R1858" t="str">
        <x:v>DE73400602650023003300</x:v>
      </x:c>
      <x:c r="S1858" t="n">
        <x:v>215.92</x:v>
      </x:c>
      <x:c r="T1858" t="str">
        <x:v>"</x:v>
      </x:c>
      <x:c r="U1858" t="str">
        <x:v>"</x:v>
      </x:c>
      <x:c r="V1858" t="str">
        <x:v>12</x:v>
      </x:c>
    </x:row>
    <x:row r="1859">
      <x:c r="A1859" t="str">
        <x:v>RAW-IMP-20260516-FULLDRAFT-001842</x:v>
      </x:c>
      <x:c r="B1859" t="str">
        <x:v>IMP-20260516-FULLDRAFT</x:v>
      </x:c>
      <x:c r="C1859" t="str">
        <x:v>KTO001</x:v>
      </x:c>
      <x:c r="D1859" t="str">
        <x:v>16-05-2026_Umsatzliste_Girokonto_DE98120300001061711675.csv</x:v>
      </x:c>
      <x:c r="E1859" t="n">
        <x:v>46163</x:v>
      </x:c>
      <x:c r="F1859" t="n">
        <x:v>1842</x:v>
      </x:c>
      <x:c r="G1859" t="str">
        <x:v>d8abb82630d194d7696eaff9c34ae165bab544bd7675d5dc9c58fead39db6e4c</x:v>
      </x:c>
      <x:c r="H1859" t="str">
        <x:v>neu</x:v>
      </x:c>
      <x:c r="I1859" t="str">
        <x:v>ok</x:v>
      </x:c>
      <x:c r="J1859"/>
      <x:c r="K1859" t="n">
        <x:v>45526</x:v>
      </x:c>
      <x:c r="L1859" t="n">
        <x:v>45526</x:v>
      </x:c>
      <x:c r="M1859" t="str">
        <x:v>Gebucht</x:v>
      </x:c>
      <x:c r="N1859" t="str">
        <x:v>ISSUER</x:v>
      </x:c>
      <x:c r="O1859" t="str">
        <x:v>APPLE.COM.BILL/ITUNES.COM</x:v>
      </x:c>
      <x:c r="P1859" t="str">
        <x:v>VISA Debitkartenumsatz vom 21.08.2024</x:v>
      </x:c>
      <x:c r="Q1859" t="str">
        <x:v>Ausgang</x:v>
      </x:c>
      <x:c r="R1859" t="str">
        <x:v>DE96120300009005290904</x:v>
      </x:c>
      <x:c r="S1859" t="n">
        <x:v>-2.99</x:v>
      </x:c>
      <x:c r="T1859" t="str">
        <x:v>"</x:v>
      </x:c>
      <x:c r="U1859" t="str">
        <x:v>"</x:v>
      </x:c>
      <x:c r="V1859" t="str">
        <x:v>484234466112090</x:v>
      </x:c>
    </x:row>
    <x:row r="1860">
      <x:c r="A1860" t="str">
        <x:v>RAW-IMP-20260516-FULLDRAFT-001843</x:v>
      </x:c>
      <x:c r="B1860" t="str">
        <x:v>IMP-20260516-FULLDRAFT</x:v>
      </x:c>
      <x:c r="C1860" t="str">
        <x:v>KTO001</x:v>
      </x:c>
      <x:c r="D1860" t="str">
        <x:v>16-05-2026_Umsatzliste_Girokonto_DE98120300001061711675.csv</x:v>
      </x:c>
      <x:c r="E1860" t="n">
        <x:v>46163</x:v>
      </x:c>
      <x:c r="F1860" t="n">
        <x:v>1843</x:v>
      </x:c>
      <x:c r="G1860" t="str">
        <x:v>08ac089223f9713a5fa4ae59b9bb564c71db7ab66cc35798eb90dfc10d8b87b7</x:v>
      </x:c>
      <x:c r="H1860" t="str">
        <x:v>neu</x:v>
      </x:c>
      <x:c r="I1860" t="str">
        <x:v>ok</x:v>
      </x:c>
      <x:c r="J1860"/>
      <x:c r="K1860" t="n">
        <x:v>45526</x:v>
      </x:c>
      <x:c r="L1860" t="n">
        <x:v>45526</x:v>
      </x:c>
      <x:c r="M1860" t="str">
        <x:v>Gebucht</x:v>
      </x:c>
      <x:c r="N1860" t="str">
        <x:v>Lars Kohlenberg                                                       JohannesWosnitzaStr.</x:v>
      </x:c>
      <x:c r="O1860" t="str">
        <x:v>Adyen N.V.</x:v>
      </x:c>
      <x:c r="P1860" t="str">
        <x:v>GMX by LOTTO24 C98983063 T087808198541</x:v>
      </x:c>
      <x:c r="Q1860" t="str">
        <x:v>Ausgang</x:v>
      </x:c>
      <x:c r="R1860" t="str">
        <x:v>DE11120700700020000603</x:v>
      </x:c>
      <x:c r="S1860" t="n">
        <x:v>-18.14</x:v>
      </x:c>
      <x:c r="T1860" t="str">
        <x:v>NL48ZZZ342764500000</x:v>
      </x:c>
      <x:c r="U1860" t="str">
        <x:v>R372DKN5SSBXZP52</x:v>
      </x:c>
      <x:c r="V1860" t="str">
        <x:v>CSDCPS5998HZ52HD3C</x:v>
      </x:c>
    </x:row>
    <x:row r="1861">
      <x:c r="A1861" t="str">
        <x:v>RAW-IMP-20260516-FULLDRAFT-001844</x:v>
      </x:c>
      <x:c r="B1861" t="str">
        <x:v>IMP-20260516-FULLDRAFT</x:v>
      </x:c>
      <x:c r="C1861" t="str">
        <x:v>KTO001</x:v>
      </x:c>
      <x:c r="D1861" t="str">
        <x:v>16-05-2026_Umsatzliste_Girokonto_DE98120300001061711675.csv</x:v>
      </x:c>
      <x:c r="E1861" t="n">
        <x:v>46163</x:v>
      </x:c>
      <x:c r="F1861" t="n">
        <x:v>1844</x:v>
      </x:c>
      <x:c r="G1861" t="str">
        <x:v>de71923ae519e5438ad25fe06099c46e0d28ecc6c7e93acd6e4bb0d5add1f79f</x:v>
      </x:c>
      <x:c r="H1861" t="str">
        <x:v>neu</x:v>
      </x:c>
      <x:c r="I1861" t="str">
        <x:v>ok</x:v>
      </x:c>
      <x:c r="J1861"/>
      <x:c r="K1861" t="n">
        <x:v>45525</x:v>
      </x:c>
      <x:c r="L1861" t="n">
        <x:v>45525</x:v>
      </x:c>
      <x:c r="M1861" t="str">
        <x:v>Gebucht</x:v>
      </x:c>
      <x:c r="N1861" t="str">
        <x:v>ISSUER</x:v>
      </x:c>
      <x:c r="O1861" t="str">
        <x:v>Q1.ENERGIE.AG/BAD.HARZBURG</x:v>
      </x:c>
      <x:c r="P1861" t="str">
        <x:v>VISA Debitkartenumsatz vom 19.08.2024</x:v>
      </x:c>
      <x:c r="Q1861" t="str">
        <x:v>Ausgang</x:v>
      </x:c>
      <x:c r="R1861" t="str">
        <x:v>DE96120300009005290904</x:v>
      </x:c>
      <x:c r="S1861" t="n">
        <x:v>-78.4</x:v>
      </x:c>
      <x:c r="T1861" t="str">
        <x:v>"</x:v>
      </x:c>
      <x:c r="U1861" t="str">
        <x:v>"</x:v>
      </x:c>
      <x:c r="V1861" t="str">
        <x:v>484232427470362</x:v>
      </x:c>
    </x:row>
    <x:row r="1862">
      <x:c r="A1862" t="str">
        <x:v>RAW-IMP-20260516-FULLDRAFT-001845</x:v>
      </x:c>
      <x:c r="B1862" t="str">
        <x:v>IMP-20260516-FULLDRAFT</x:v>
      </x:c>
      <x:c r="C1862" t="str">
        <x:v>KTO001</x:v>
      </x:c>
      <x:c r="D1862" t="str">
        <x:v>16-05-2026_Umsatzliste_Girokonto_DE98120300001061711675.csv</x:v>
      </x:c>
      <x:c r="E1862" t="n">
        <x:v>46163</x:v>
      </x:c>
      <x:c r="F1862" t="n">
        <x:v>1845</x:v>
      </x:c>
      <x:c r="G1862" t="str">
        <x:v>caf57f731faa8ee2e8af6369bd5107b5ca540fb53e13bf8ee93727421113e5cb</x:v>
      </x:c>
      <x:c r="H1862" t="str">
        <x:v>neu</x:v>
      </x:c>
      <x:c r="I1862" t="str">
        <x:v>ok</x:v>
      </x:c>
      <x:c r="J1862"/>
      <x:c r="K1862" t="n">
        <x:v>45525</x:v>
      </x:c>
      <x:c r="L1862" t="n">
        <x:v>45525</x:v>
      </x:c>
      <x:c r="M1862" t="str">
        <x:v>Gebucht</x:v>
      </x:c>
      <x:c r="N1862" t="str">
        <x:v>ISSUER</x:v>
      </x:c>
      <x:c r="O1862" t="str">
        <x:v>REWE.Mehmet.Kaysal.oHG/Salzgitter</x:v>
      </x:c>
      <x:c r="P1862" t="str">
        <x:v>VISA Debitkartenumsatz vom 20.08.2024</x:v>
      </x:c>
      <x:c r="Q1862" t="str">
        <x:v>Ausgang</x:v>
      </x:c>
      <x:c r="R1862" t="str">
        <x:v>DE96120300009005290904</x:v>
      </x:c>
      <x:c r="S1862" t="n">
        <x:v>-1.19</x:v>
      </x:c>
      <x:c r="T1862" t="str">
        <x:v>"</x:v>
      </x:c>
      <x:c r="U1862" t="str">
        <x:v>"</x:v>
      </x:c>
      <x:c r="V1862" t="str">
        <x:v>484233641494454</x:v>
      </x:c>
    </x:row>
    <x:row r="1863">
      <x:c r="A1863" t="str">
        <x:v>RAW-IMP-20260516-FULLDRAFT-001846</x:v>
      </x:c>
      <x:c r="B1863" t="str">
        <x:v>IMP-20260516-FULLDRAFT</x:v>
      </x:c>
      <x:c r="C1863" t="str">
        <x:v>KTO001</x:v>
      </x:c>
      <x:c r="D1863" t="str">
        <x:v>16-05-2026_Umsatzliste_Girokonto_DE98120300001061711675.csv</x:v>
      </x:c>
      <x:c r="E1863" t="n">
        <x:v>46163</x:v>
      </x:c>
      <x:c r="F1863" t="n">
        <x:v>1846</x:v>
      </x:c>
      <x:c r="G1863" t="str">
        <x:v>b90578ee47dcfef7acecc3e217b2b60ea17a6cc24cbc42f4bb446092065cda1c</x:v>
      </x:c>
      <x:c r="H1863" t="str">
        <x:v>neu</x:v>
      </x:c>
      <x:c r="I1863" t="str">
        <x:v>ok</x:v>
      </x:c>
      <x:c r="J1863"/>
      <x:c r="K1863" t="n">
        <x:v>45525</x:v>
      </x:c>
      <x:c r="L1863" t="n">
        <x:v>45525</x:v>
      </x:c>
      <x:c r="M1863" t="str">
        <x:v>Gebucht</x:v>
      </x:c>
      <x:c r="N1863" t="str">
        <x:v>ISSUER</x:v>
      </x:c>
      <x:c r="O1863" t="str">
        <x:v>Lidl.sagt.Danke/Salzgitter</x:v>
      </x:c>
      <x:c r="P1863" t="str">
        <x:v>VISA Debitkartenumsatz vom 20.08.2024</x:v>
      </x:c>
      <x:c r="Q1863" t="str">
        <x:v>Ausgang</x:v>
      </x:c>
      <x:c r="R1863" t="str">
        <x:v>DE96120300009005290904</x:v>
      </x:c>
      <x:c r="S1863" t="n">
        <x:v>-36.03</x:v>
      </x:c>
      <x:c r="T1863" t="str">
        <x:v>"</x:v>
      </x:c>
      <x:c r="U1863" t="str">
        <x:v>"</x:v>
      </x:c>
      <x:c r="V1863" t="str">
        <x:v>484233626399391</x:v>
      </x:c>
    </x:row>
    <x:row r="1864">
      <x:c r="A1864" t="str">
        <x:v>RAW-IMP-20260516-FULLDRAFT-001847</x:v>
      </x:c>
      <x:c r="B1864" t="str">
        <x:v>IMP-20260516-FULLDRAFT</x:v>
      </x:c>
      <x:c r="C1864" t="str">
        <x:v>KTO001</x:v>
      </x:c>
      <x:c r="D1864" t="str">
        <x:v>16-05-2026_Umsatzliste_Girokonto_DE98120300001061711675.csv</x:v>
      </x:c>
      <x:c r="E1864" t="n">
        <x:v>46163</x:v>
      </x:c>
      <x:c r="F1864" t="n">
        <x:v>1847</x:v>
      </x:c>
      <x:c r="G1864" t="str">
        <x:v>65cbe9965cacf1079d62848e2980752ac9dff47c037ab8c02f62a8faaac01010</x:v>
      </x:c>
      <x:c r="H1864" t="str">
        <x:v>neu</x:v>
      </x:c>
      <x:c r="I1864" t="str">
        <x:v>ok</x:v>
      </x:c>
      <x:c r="J1864"/>
      <x:c r="K1864" t="n">
        <x:v>45525</x:v>
      </x:c>
      <x:c r="L1864" t="n">
        <x:v>45525</x:v>
      </x:c>
      <x:c r="M1864" t="str">
        <x:v>Gebucht</x:v>
      </x:c>
      <x:c r="N1864" t="str">
        <x:v>Lars Hoogeveen                                                        Johannes-Wosnitza-Str. 8</x:v>
      </x:c>
      <x:c r="O1864" t="str">
        <x:v>PayPal Europe S.a.r.l. et Cie S.C.A                                   22-24 Boulevard Royal, 2449 Luxembourg</x:v>
      </x:c>
      <x:c r="P1864" t="str">
        <x:v>1036394947143/PP.3388.PP/. Microsoft Payments, Ihr Einkauf bei Microsoft Payments</x:v>
      </x:c>
      <x:c r="Q1864" t="str">
        <x:v>Ausgang</x:v>
      </x:c>
      <x:c r="R1864" t="str">
        <x:v>LU89751000135104200E</x:v>
      </x:c>
      <x:c r="S1864" t="n">
        <x:v>-69</x:v>
      </x:c>
      <x:c r="T1864" t="str">
        <x:v>LU96ZZZ0000000000000000058</x:v>
      </x:c>
      <x:c r="U1864" t="str">
        <x:v>49F22255QP85W</x:v>
      </x:c>
      <x:c r="V1864" t="str">
        <x:v>1036394947143</x:v>
      </x:c>
    </x:row>
    <x:row r="1865">
      <x:c r="A1865" t="str">
        <x:v>RAW-IMP-20260516-FULLDRAFT-001848</x:v>
      </x:c>
      <x:c r="B1865" t="str">
        <x:v>IMP-20260516-FULLDRAFT</x:v>
      </x:c>
      <x:c r="C1865" t="str">
        <x:v>KTO001</x:v>
      </x:c>
      <x:c r="D1865" t="str">
        <x:v>16-05-2026_Umsatzliste_Girokonto_DE98120300001061711675.csv</x:v>
      </x:c>
      <x:c r="E1865" t="n">
        <x:v>46163</x:v>
      </x:c>
      <x:c r="F1865" t="n">
        <x:v>1848</x:v>
      </x:c>
      <x:c r="G1865" t="str">
        <x:v>d8cf627199595fc6fcbb104b116cc52df635e187e459b554a7f30e1b0d5a996b</x:v>
      </x:c>
      <x:c r="H1865" t="str">
        <x:v>neu</x:v>
      </x:c>
      <x:c r="I1865" t="str">
        <x:v>ok</x:v>
      </x:c>
      <x:c r="J1865"/>
      <x:c r="K1865" t="n">
        <x:v>45524</x:v>
      </x:c>
      <x:c r="L1865" t="n">
        <x:v>45524</x:v>
      </x:c>
      <x:c r="M1865" t="str">
        <x:v>Gebucht</x:v>
      </x:c>
      <x:c r="N1865" t="str">
        <x:v>ISSUER</x:v>
      </x:c>
      <x:c r="O1865" t="str">
        <x:v>PAYPAL..HPDEUTSCHLA/4029357733</x:v>
      </x:c>
      <x:c r="P1865" t="str">
        <x:v>VISA Debitkartenumsatz vom 19.08.2024</x:v>
      </x:c>
      <x:c r="Q1865" t="str">
        <x:v>Ausgang</x:v>
      </x:c>
      <x:c r="R1865" t="str">
        <x:v>DE96120300009005290904</x:v>
      </x:c>
      <x:c r="S1865" t="n">
        <x:v>-4.99</x:v>
      </x:c>
      <x:c r="T1865" t="str">
        <x:v>"</x:v>
      </x:c>
      <x:c r="U1865" t="str">
        <x:v>"</x:v>
      </x:c>
      <x:c r="V1865" t="str">
        <x:v>304232687283804</x:v>
      </x:c>
    </x:row>
    <x:row r="1866">
      <x:c r="A1866" t="str">
        <x:v>RAW-IMP-20260516-FULLDRAFT-001849</x:v>
      </x:c>
      <x:c r="B1866" t="str">
        <x:v>IMP-20260516-FULLDRAFT</x:v>
      </x:c>
      <x:c r="C1866" t="str">
        <x:v>KTO001</x:v>
      </x:c>
      <x:c r="D1866" t="str">
        <x:v>16-05-2026_Umsatzliste_Girokonto_DE98120300001061711675.csv</x:v>
      </x:c>
      <x:c r="E1866" t="n">
        <x:v>46163</x:v>
      </x:c>
      <x:c r="F1866" t="n">
        <x:v>1849</x:v>
      </x:c>
      <x:c r="G1866" t="str">
        <x:v>65997aaf39e1601f0ef59ba77949e2a6e5d6b4b451b68c9c1b341f7de98e3659</x:v>
      </x:c>
      <x:c r="H1866" t="str">
        <x:v>neu</x:v>
      </x:c>
      <x:c r="I1866" t="str">
        <x:v>ok</x:v>
      </x:c>
      <x:c r="J1866"/>
      <x:c r="K1866" t="n">
        <x:v>45524</x:v>
      </x:c>
      <x:c r="L1866" t="n">
        <x:v>45524</x:v>
      </x:c>
      <x:c r="M1866" t="str">
        <x:v>Gebucht</x:v>
      </x:c>
      <x:c r="N1866" t="str">
        <x:v>ISSUER</x:v>
      </x:c>
      <x:c r="O1866" t="str">
        <x:v>AMZN.Mktp.DE.7U23Y6E05/800.279.6620</x:v>
      </x:c>
      <x:c r="P1866" t="str">
        <x:v>VISA Debitkartenumsatz vom 19.08.2024</x:v>
      </x:c>
      <x:c r="Q1866" t="str">
        <x:v>Ausgang</x:v>
      </x:c>
      <x:c r="R1866" t="str">
        <x:v>DE96120300009005290904</x:v>
      </x:c>
      <x:c r="S1866" t="n">
        <x:v>-121.01</x:v>
      </x:c>
      <x:c r="T1866" t="str">
        <x:v>"</x:v>
      </x:c>
      <x:c r="U1866" t="str">
        <x:v>"</x:v>
      </x:c>
      <x:c r="V1866" t="str">
        <x:v>484231403934302</x:v>
      </x:c>
    </x:row>
    <x:row r="1867">
      <x:c r="A1867" t="str">
        <x:v>RAW-IMP-20260516-FULLDRAFT-001850</x:v>
      </x:c>
      <x:c r="B1867" t="str">
        <x:v>IMP-20260516-FULLDRAFT</x:v>
      </x:c>
      <x:c r="C1867" t="str">
        <x:v>KTO001</x:v>
      </x:c>
      <x:c r="D1867" t="str">
        <x:v>16-05-2026_Umsatzliste_Girokonto_DE98120300001061711675.csv</x:v>
      </x:c>
      <x:c r="E1867" t="n">
        <x:v>46163</x:v>
      </x:c>
      <x:c r="F1867" t="n">
        <x:v>1850</x:v>
      </x:c>
      <x:c r="G1867" t="str">
        <x:v>c0bf169ce8358ad229da99d060c3f194b5b0b4482b8d721de60341344b87e198</x:v>
      </x:c>
      <x:c r="H1867" t="str">
        <x:v>neu</x:v>
      </x:c>
      <x:c r="I1867" t="str">
        <x:v>ok</x:v>
      </x:c>
      <x:c r="J1867"/>
      <x:c r="K1867" t="n">
        <x:v>45524</x:v>
      </x:c>
      <x:c r="L1867" t="n">
        <x:v>45524</x:v>
      </x:c>
      <x:c r="M1867" t="str">
        <x:v>Gebucht</x:v>
      </x:c>
      <x:c r="N1867" t="str">
        <x:v>ISSUER</x:v>
      </x:c>
      <x:c r="O1867" t="str">
        <x:v>AMZN.Mktp.DE.2M7GM02E5/800.279.6620</x:v>
      </x:c>
      <x:c r="P1867" t="str">
        <x:v>VISA Debitkartenumsatz vom 19.08.2024</x:v>
      </x:c>
      <x:c r="Q1867" t="str">
        <x:v>Ausgang</x:v>
      </x:c>
      <x:c r="R1867" t="str">
        <x:v>DE96120300009005290904</x:v>
      </x:c>
      <x:c r="S1867" t="n">
        <x:v>-29.99</x:v>
      </x:c>
      <x:c r="T1867" t="str">
        <x:v>"</x:v>
      </x:c>
      <x:c r="U1867" t="str">
        <x:v>"</x:v>
      </x:c>
      <x:c r="V1867" t="str">
        <x:v>484231493127931</x:v>
      </x:c>
    </x:row>
    <x:row r="1868">
      <x:c r="A1868" t="str">
        <x:v>RAW-IMP-20260516-FULLDRAFT-001851</x:v>
      </x:c>
      <x:c r="B1868" t="str">
        <x:v>IMP-20260516-FULLDRAFT</x:v>
      </x:c>
      <x:c r="C1868" t="str">
        <x:v>KTO001</x:v>
      </x:c>
      <x:c r="D1868" t="str">
        <x:v>16-05-2026_Umsatzliste_Girokonto_DE98120300001061711675.csv</x:v>
      </x:c>
      <x:c r="E1868" t="n">
        <x:v>46163</x:v>
      </x:c>
      <x:c r="F1868" t="n">
        <x:v>1851</x:v>
      </x:c>
      <x:c r="G1868" t="str">
        <x:v>d946d412169716dcea8ca8d53c42ac20690dd8b84ac787cb0544c770eaaa4eaf</x:v>
      </x:c>
      <x:c r="H1868" t="str">
        <x:v>neu</x:v>
      </x:c>
      <x:c r="I1868" t="str">
        <x:v>ok</x:v>
      </x:c>
      <x:c r="J1868"/>
      <x:c r="K1868" t="n">
        <x:v>45523</x:v>
      </x:c>
      <x:c r="L1868" t="n">
        <x:v>45523</x:v>
      </x:c>
      <x:c r="M1868" t="str">
        <x:v>Gebucht</x:v>
      </x:c>
      <x:c r="N1868" t="str">
        <x:v>ISSUER</x:v>
      </x:c>
      <x:c r="O1868" t="str">
        <x:v>MCDONALDS.1737/WALSRODE</x:v>
      </x:c>
      <x:c r="P1868" t="str">
        <x:v>VISA Debitkartenumsatz vom 16.08.2024</x:v>
      </x:c>
      <x:c r="Q1868" t="str">
        <x:v>Ausgang</x:v>
      </x:c>
      <x:c r="R1868" t="str">
        <x:v>DE96120300009005290904</x:v>
      </x:c>
      <x:c r="S1868" t="n">
        <x:v>-11.99</x:v>
      </x:c>
      <x:c r="T1868" t="str">
        <x:v>"</x:v>
      </x:c>
      <x:c r="U1868" t="str">
        <x:v>"</x:v>
      </x:c>
      <x:c r="V1868" t="str">
        <x:v>484229427118211</x:v>
      </x:c>
    </x:row>
    <x:row r="1869">
      <x:c r="A1869" t="str">
        <x:v>RAW-IMP-20260516-FULLDRAFT-001852</x:v>
      </x:c>
      <x:c r="B1869" t="str">
        <x:v>IMP-20260516-FULLDRAFT</x:v>
      </x:c>
      <x:c r="C1869" t="str">
        <x:v>KTO001</x:v>
      </x:c>
      <x:c r="D1869" t="str">
        <x:v>16-05-2026_Umsatzliste_Girokonto_DE98120300001061711675.csv</x:v>
      </x:c>
      <x:c r="E1869" t="n">
        <x:v>46163</x:v>
      </x:c>
      <x:c r="F1869" t="n">
        <x:v>1852</x:v>
      </x:c>
      <x:c r="G1869" t="str">
        <x:v>de04cfb29e0dd20caf631fc383e735c670dcf7c80f0b7a81780d6d4cfe4b554a</x:v>
      </x:c>
      <x:c r="H1869" t="str">
        <x:v>neu</x:v>
      </x:c>
      <x:c r="I1869" t="str">
        <x:v>ok</x:v>
      </x:c>
      <x:c r="J1869"/>
      <x:c r="K1869" t="n">
        <x:v>45523</x:v>
      </x:c>
      <x:c r="L1869" t="n">
        <x:v>45523</x:v>
      </x:c>
      <x:c r="M1869" t="str">
        <x:v>Gebucht</x:v>
      </x:c>
      <x:c r="N1869" t="str">
        <x:v>ISSUER</x:v>
      </x:c>
      <x:c r="O1869" t="str">
        <x:v>REWE.Salzgitter.Ge/Salzgitter</x:v>
      </x:c>
      <x:c r="P1869" t="str">
        <x:v>VISA Debitkartenumsatz vom 17.08.2024</x:v>
      </x:c>
      <x:c r="Q1869" t="str">
        <x:v>Ausgang</x:v>
      </x:c>
      <x:c r="R1869" t="str">
        <x:v>DE96120300009005290904</x:v>
      </x:c>
      <x:c r="S1869" t="n">
        <x:v>-77.55</x:v>
      </x:c>
      <x:c r="T1869" t="str">
        <x:v>"</x:v>
      </x:c>
      <x:c r="U1869" t="str">
        <x:v>"</x:v>
      </x:c>
      <x:c r="V1869" t="str">
        <x:v>484230568780979</x:v>
      </x:c>
    </x:row>
    <x:row r="1870">
      <x:c r="A1870" t="str">
        <x:v>RAW-IMP-20260516-FULLDRAFT-001853</x:v>
      </x:c>
      <x:c r="B1870" t="str">
        <x:v>IMP-20260516-FULLDRAFT</x:v>
      </x:c>
      <x:c r="C1870" t="str">
        <x:v>KTO001</x:v>
      </x:c>
      <x:c r="D1870" t="str">
        <x:v>16-05-2026_Umsatzliste_Girokonto_DE98120300001061711675.csv</x:v>
      </x:c>
      <x:c r="E1870" t="n">
        <x:v>46163</x:v>
      </x:c>
      <x:c r="F1870" t="n">
        <x:v>1853</x:v>
      </x:c>
      <x:c r="G1870" t="str">
        <x:v>30b679b617729d6413e5f7a827a40e970ba44b8b1ac31e78e423f5394d8109af</x:v>
      </x:c>
      <x:c r="H1870" t="str">
        <x:v>neu</x:v>
      </x:c>
      <x:c r="I1870" t="str">
        <x:v>ok</x:v>
      </x:c>
      <x:c r="J1870"/>
      <x:c r="K1870" t="n">
        <x:v>45523</x:v>
      </x:c>
      <x:c r="L1870" t="n">
        <x:v>45523</x:v>
      </x:c>
      <x:c r="M1870" t="str">
        <x:v>Gebucht</x:v>
      </x:c>
      <x:c r="N1870" t="str">
        <x:v>ISSUER</x:v>
      </x:c>
      <x:c r="O1870" t="str">
        <x:v>VAN.DE.VELDE.NV/SCHELLEBELLE</x:v>
      </x:c>
      <x:c r="P1870" t="str">
        <x:v>VISA Debitkartenumsatz vom 16.08.2024</x:v>
      </x:c>
      <x:c r="Q1870" t="str">
        <x:v>Ausgang</x:v>
      </x:c>
      <x:c r="R1870" t="str">
        <x:v>DE96120300009005290904</x:v>
      </x:c>
      <x:c r="S1870" t="n">
        <x:v>-469.3</x:v>
      </x:c>
      <x:c r="T1870" t="str">
        <x:v>"</x:v>
      </x:c>
      <x:c r="U1870" t="str">
        <x:v>"</x:v>
      </x:c>
      <x:c r="V1870" t="str">
        <x:v>484229574435809</x:v>
      </x:c>
    </x:row>
    <x:row r="1871">
      <x:c r="A1871" t="str">
        <x:v>RAW-IMP-20260516-FULLDRAFT-001854</x:v>
      </x:c>
      <x:c r="B1871" t="str">
        <x:v>IMP-20260516-FULLDRAFT</x:v>
      </x:c>
      <x:c r="C1871" t="str">
        <x:v>KTO001</x:v>
      </x:c>
      <x:c r="D1871" t="str">
        <x:v>16-05-2026_Umsatzliste_Girokonto_DE98120300001061711675.csv</x:v>
      </x:c>
      <x:c r="E1871" t="n">
        <x:v>46163</x:v>
      </x:c>
      <x:c r="F1871" t="n">
        <x:v>1854</x:v>
      </x:c>
      <x:c r="G1871" t="str">
        <x:v>4d35af25b8f2a46e46653656943b58535b361210640b1e519701e2011d326c24</x:v>
      </x:c>
      <x:c r="H1871" t="str">
        <x:v>neu</x:v>
      </x:c>
      <x:c r="I1871" t="str">
        <x:v>ok</x:v>
      </x:c>
      <x:c r="J1871"/>
      <x:c r="K1871" t="n">
        <x:v>45523</x:v>
      </x:c>
      <x:c r="L1871" t="n">
        <x:v>45523</x:v>
      </x:c>
      <x:c r="M1871" t="str">
        <x:v>Gebucht</x:v>
      </x:c>
      <x:c r="N1871" t="str">
        <x:v>ISSUER</x:v>
      </x:c>
      <x:c r="O1871" t="str">
        <x:v>INSELPARKPLAETZE.GMBH/ESENS</x:v>
      </x:c>
      <x:c r="P1871" t="str">
        <x:v>VISA Debitkartenumsatz vom 16.08.2024</x:v>
      </x:c>
      <x:c r="Q1871" t="str">
        <x:v>Ausgang</x:v>
      </x:c>
      <x:c r="R1871" t="str">
        <x:v>DE96120300009005290904</x:v>
      </x:c>
      <x:c r="S1871" t="n">
        <x:v>-21</x:v>
      </x:c>
      <x:c r="T1871" t="str">
        <x:v>"</x:v>
      </x:c>
      <x:c r="U1871" t="str">
        <x:v>"</x:v>
      </x:c>
      <x:c r="V1871" t="str">
        <x:v>484229303817957</x:v>
      </x:c>
    </x:row>
    <x:row r="1872">
      <x:c r="A1872" t="str">
        <x:v>RAW-IMP-20260516-FULLDRAFT-001855</x:v>
      </x:c>
      <x:c r="B1872" t="str">
        <x:v>IMP-20260516-FULLDRAFT</x:v>
      </x:c>
      <x:c r="C1872" t="str">
        <x:v>KTO001</x:v>
      </x:c>
      <x:c r="D1872" t="str">
        <x:v>16-05-2026_Umsatzliste_Girokonto_DE98120300001061711675.csv</x:v>
      </x:c>
      <x:c r="E1872" t="n">
        <x:v>46163</x:v>
      </x:c>
      <x:c r="F1872" t="n">
        <x:v>1855</x:v>
      </x:c>
      <x:c r="G1872" t="str">
        <x:v>57814616704be9aa31dfde7de338b80323e5de2947aa4bdf0adf71d9bdcee82b</x:v>
      </x:c>
      <x:c r="H1872" t="str">
        <x:v>neu</x:v>
      </x:c>
      <x:c r="I1872" t="str">
        <x:v>ok</x:v>
      </x:c>
      <x:c r="J1872"/>
      <x:c r="K1872" t="n">
        <x:v>45523</x:v>
      </x:c>
      <x:c r="L1872" t="n">
        <x:v>45523</x:v>
      </x:c>
      <x:c r="M1872" t="str">
        <x:v>Gebucht</x:v>
      </x:c>
      <x:c r="N1872" t="str">
        <x:v>ISSUER</x:v>
      </x:c>
      <x:c r="O1872" t="str">
        <x:v>LOEWENBAECKER.SCHAPER/SALZGITTER</x:v>
      </x:c>
      <x:c r="P1872" t="str">
        <x:v>VISA Debitkartenumsatz vom 17.08.2024</x:v>
      </x:c>
      <x:c r="Q1872" t="str">
        <x:v>Ausgang</x:v>
      </x:c>
      <x:c r="R1872" t="str">
        <x:v>DE96120300009005290904</x:v>
      </x:c>
      <x:c r="S1872" t="n">
        <x:v>-4.5</x:v>
      </x:c>
      <x:c r="T1872" t="str">
        <x:v>"</x:v>
      </x:c>
      <x:c r="U1872" t="str">
        <x:v>"</x:v>
      </x:c>
      <x:c r="V1872" t="str">
        <x:v>484230276363279</x:v>
      </x:c>
    </x:row>
    <x:row r="1873">
      <x:c r="A1873" t="str">
        <x:v>RAW-IMP-20260516-FULLDRAFT-001856</x:v>
      </x:c>
      <x:c r="B1873" t="str">
        <x:v>IMP-20260516-FULLDRAFT</x:v>
      </x:c>
      <x:c r="C1873" t="str">
        <x:v>KTO001</x:v>
      </x:c>
      <x:c r="D1873" t="str">
        <x:v>16-05-2026_Umsatzliste_Girokonto_DE98120300001061711675.csv</x:v>
      </x:c>
      <x:c r="E1873" t="n">
        <x:v>46163</x:v>
      </x:c>
      <x:c r="F1873" t="n">
        <x:v>1856</x:v>
      </x:c>
      <x:c r="G1873" t="str">
        <x:v>632172cf2b492813452d317fde20cebb245fd93080fcc9c7cb1ea30887602ef4</x:v>
      </x:c>
      <x:c r="H1873" t="str">
        <x:v>neu</x:v>
      </x:c>
      <x:c r="I1873" t="str">
        <x:v>ok</x:v>
      </x:c>
      <x:c r="J1873"/>
      <x:c r="K1873" t="n">
        <x:v>45520</x:v>
      </x:c>
      <x:c r="L1873" t="n">
        <x:v>45520</x:v>
      </x:c>
      <x:c r="M1873" t="str">
        <x:v>Gebucht</x:v>
      </x:c>
      <x:c r="N1873" t="str">
        <x:v>ISSUER</x:v>
      </x:c>
      <x:c r="O1873" t="str">
        <x:v>SPARKASSE.LEERWITTMUND/LANGEOOG</x:v>
      </x:c>
      <x:c r="P1873" t="str">
        <x:v>VISA Debitkartenumsatz vom 15.08.2024</x:v>
      </x:c>
      <x:c r="Q1873" t="str">
        <x:v>Ausgang</x:v>
      </x:c>
      <x:c r="R1873" t="str">
        <x:v>DE96120300009005290904</x:v>
      </x:c>
      <x:c r="S1873" t="n">
        <x:v>-100</x:v>
      </x:c>
      <x:c r="T1873" t="str">
        <x:v>"</x:v>
      </x:c>
      <x:c r="U1873" t="str">
        <x:v>"</x:v>
      </x:c>
      <x:c r="V1873" t="str">
        <x:v>484228617676434</x:v>
      </x:c>
    </x:row>
    <x:row r="1874">
      <x:c r="A1874" t="str">
        <x:v>RAW-IMP-20260516-FULLDRAFT-001857</x:v>
      </x:c>
      <x:c r="B1874" t="str">
        <x:v>IMP-20260516-FULLDRAFT</x:v>
      </x:c>
      <x:c r="C1874" t="str">
        <x:v>KTO001</x:v>
      </x:c>
      <x:c r="D1874" t="str">
        <x:v>16-05-2026_Umsatzliste_Girokonto_DE98120300001061711675.csv</x:v>
      </x:c>
      <x:c r="E1874" t="n">
        <x:v>46163</x:v>
      </x:c>
      <x:c r="F1874" t="n">
        <x:v>1857</x:v>
      </x:c>
      <x:c r="G1874" t="str">
        <x:v>3c44be60cd027301ada1953e87a4f45175a60b5c539fa3413fa6c72a55427524</x:v>
      </x:c>
      <x:c r="H1874" t="str">
        <x:v>neu</x:v>
      </x:c>
      <x:c r="I1874" t="str">
        <x:v>ok</x:v>
      </x:c>
      <x:c r="J1874"/>
      <x:c r="K1874" t="n">
        <x:v>45519</x:v>
      </x:c>
      <x:c r="L1874" t="n">
        <x:v>45519</x:v>
      </x:c>
      <x:c r="M1874" t="str">
        <x:v>Gebucht</x:v>
      </x:c>
      <x:c r="N1874" t="str">
        <x:v>ISSUER</x:v>
      </x:c>
      <x:c r="O1874" t="str">
        <x:v>MCDONALDS.01490/ACHIM</x:v>
      </x:c>
      <x:c r="P1874" t="str">
        <x:v>VISA Debitkartenumsatz vom 14.08.2024</x:v>
      </x:c>
      <x:c r="Q1874" t="str">
        <x:v>Ausgang</x:v>
      </x:c>
      <x:c r="R1874" t="str">
        <x:v>DE96120300009005290904</x:v>
      </x:c>
      <x:c r="S1874" t="n">
        <x:v>-7.99</x:v>
      </x:c>
      <x:c r="T1874" t="str">
        <x:v>"</x:v>
      </x:c>
      <x:c r="U1874" t="str">
        <x:v>"</x:v>
      </x:c>
      <x:c r="V1874" t="str">
        <x:v>484227430676410</x:v>
      </x:c>
    </x:row>
    <x:row r="1875">
      <x:c r="A1875" t="str">
        <x:v>RAW-IMP-20260516-FULLDRAFT-001858</x:v>
      </x:c>
      <x:c r="B1875" t="str">
        <x:v>IMP-20260516-FULLDRAFT</x:v>
      </x:c>
      <x:c r="C1875" t="str">
        <x:v>KTO001</x:v>
      </x:c>
      <x:c r="D1875" t="str">
        <x:v>16-05-2026_Umsatzliste_Girokonto_DE98120300001061711675.csv</x:v>
      </x:c>
      <x:c r="E1875" t="n">
        <x:v>46163</x:v>
      </x:c>
      <x:c r="F1875" t="n">
        <x:v>1858</x:v>
      </x:c>
      <x:c r="G1875" t="str">
        <x:v>0d81f843e7e59a7aa97263fd347d3337bf1e322f4f26c550f5851bdf481a1fab</x:v>
      </x:c>
      <x:c r="H1875" t="str">
        <x:v>neu</x:v>
      </x:c>
      <x:c r="I1875" t="str">
        <x:v>ok</x:v>
      </x:c>
      <x:c r="J1875"/>
      <x:c r="K1875" t="n">
        <x:v>45519</x:v>
      </x:c>
      <x:c r="L1875" t="n">
        <x:v>45519</x:v>
      </x:c>
      <x:c r="M1875" t="str">
        <x:v>Gebucht</x:v>
      </x:c>
      <x:c r="N1875" t="str">
        <x:v>ISSUER</x:v>
      </x:c>
      <x:c r="O1875" t="str">
        <x:v>Tourismus.Service.Lange/Langeoog</x:v>
      </x:c>
      <x:c r="P1875" t="str">
        <x:v>VISA Debitkartenumsatz vom 14.08.2024</x:v>
      </x:c>
      <x:c r="Q1875" t="str">
        <x:v>Ausgang</x:v>
      </x:c>
      <x:c r="R1875" t="str">
        <x:v>DE96120300009005290904</x:v>
      </x:c>
      <x:c r="S1875" t="n">
        <x:v>-33</x:v>
      </x:c>
      <x:c r="T1875" t="str">
        <x:v>"</x:v>
      </x:c>
      <x:c r="U1875" t="str">
        <x:v>"</x:v>
      </x:c>
      <x:c r="V1875" t="str">
        <x:v>484227521889464</x:v>
      </x:c>
    </x:row>
    <x:row r="1876">
      <x:c r="A1876" t="str">
        <x:v>RAW-IMP-20260516-FULLDRAFT-001859</x:v>
      </x:c>
      <x:c r="B1876" t="str">
        <x:v>IMP-20260516-FULLDRAFT</x:v>
      </x:c>
      <x:c r="C1876" t="str">
        <x:v>KTO001</x:v>
      </x:c>
      <x:c r="D1876" t="str">
        <x:v>16-05-2026_Umsatzliste_Girokonto_DE98120300001061711675.csv</x:v>
      </x:c>
      <x:c r="E1876" t="n">
        <x:v>46163</x:v>
      </x:c>
      <x:c r="F1876" t="n">
        <x:v>1859</x:v>
      </x:c>
      <x:c r="G1876" t="str">
        <x:v>07dd0dcdecba301b1f26006cf6823f931c514f564ea73eefa960b285e37e21e5</x:v>
      </x:c>
      <x:c r="H1876" t="str">
        <x:v>neu</x:v>
      </x:c>
      <x:c r="I1876" t="str">
        <x:v>ok</x:v>
      </x:c>
      <x:c r="J1876"/>
      <x:c r="K1876" t="n">
        <x:v>45519</x:v>
      </x:c>
      <x:c r="L1876" t="n">
        <x:v>45519</x:v>
      </x:c>
      <x:c r="M1876" t="str">
        <x:v>Gebucht</x:v>
      </x:c>
      <x:c r="N1876" t="str">
        <x:v>Lars Kohlenberg</x:v>
      </x:c>
      <x:c r="O1876" t="str">
        <x:v>Drillisch Online GmbH                                                 Wilhelm-Rontgen-Strase 1-5, 63477 Maintal</x:v>
      </x:c>
      <x:c r="P1876" t="str">
        <x:v>C0851820 U650476458 B752248682 winSIM</x:v>
      </x:c>
      <x:c r="Q1876" t="str">
        <x:v>Ausgang</x:v>
      </x:c>
      <x:c r="R1876" t="str">
        <x:v>DE87300500000008996811</x:v>
      </x:c>
      <x:c r="S1876" t="n">
        <x:v>-6.99</x:v>
      </x:c>
      <x:c r="T1876" t="str">
        <x:v>DE40ZZZ00000206926</x:v>
      </x:c>
      <x:c r="U1876" t="str">
        <x:v>FB1310D094B04186E02ACE7B8C6</x:v>
      </x:c>
      <x:c r="V1876" t="str">
        <x:v>C0851820+U650476458</x:v>
      </x:c>
    </x:row>
    <x:row r="1877">
      <x:c r="A1877" t="str">
        <x:v>RAW-IMP-20260516-FULLDRAFT-001860</x:v>
      </x:c>
      <x:c r="B1877" t="str">
        <x:v>IMP-20260516-FULLDRAFT</x:v>
      </x:c>
      <x:c r="C1877" t="str">
        <x:v>KTO001</x:v>
      </x:c>
      <x:c r="D1877" t="str">
        <x:v>16-05-2026_Umsatzliste_Girokonto_DE98120300001061711675.csv</x:v>
      </x:c>
      <x:c r="E1877" t="n">
        <x:v>46163</x:v>
      </x:c>
      <x:c r="F1877" t="n">
        <x:v>1860</x:v>
      </x:c>
      <x:c r="G1877" t="str">
        <x:v>592fcf7ea935a655fb4dfab23a5d644234520df314ce396ce18f66e5a793a78d</x:v>
      </x:c>
      <x:c r="H1877" t="str">
        <x:v>neu</x:v>
      </x:c>
      <x:c r="I1877" t="str">
        <x:v>ok</x:v>
      </x:c>
      <x:c r="J1877"/>
      <x:c r="K1877" t="n">
        <x:v>45519</x:v>
      </x:c>
      <x:c r="L1877" t="n">
        <x:v>45519</x:v>
      </x:c>
      <x:c r="M1877" t="str">
        <x:v>Gebucht</x:v>
      </x:c>
      <x:c r="N1877" t="str">
        <x:v>Lars Kohlenberg</x:v>
      </x:c>
      <x:c r="O1877" t="str">
        <x:v>Drillisch Online GmbH                                                 Wilhelm-Rontgen-Strase 1-5, 63477 Maintal</x:v>
      </x:c>
      <x:c r="P1877" t="str">
        <x:v>C0851820 U654134442 B753671632 winSIM</x:v>
      </x:c>
      <x:c r="Q1877" t="str">
        <x:v>Ausgang</x:v>
      </x:c>
      <x:c r="R1877" t="str">
        <x:v>DE87300500000008996811</x:v>
      </x:c>
      <x:c r="S1877" t="n">
        <x:v>-12.45</x:v>
      </x:c>
      <x:c r="T1877" t="str">
        <x:v>DE40ZZZ00000206926</x:v>
      </x:c>
      <x:c r="U1877" t="str">
        <x:v>FB1310D094B04186E02ACE7B8C6</x:v>
      </x:c>
      <x:c r="V1877" t="str">
        <x:v>C0851820+U654134442</x:v>
      </x:c>
    </x:row>
    <x:row r="1878">
      <x:c r="A1878" t="str">
        <x:v>RAW-IMP-20260516-FULLDRAFT-001861</x:v>
      </x:c>
      <x:c r="B1878" t="str">
        <x:v>IMP-20260516-FULLDRAFT</x:v>
      </x:c>
      <x:c r="C1878" t="str">
        <x:v>KTO001</x:v>
      </x:c>
      <x:c r="D1878" t="str">
        <x:v>16-05-2026_Umsatzliste_Girokonto_DE98120300001061711675.csv</x:v>
      </x:c>
      <x:c r="E1878" t="n">
        <x:v>46163</x:v>
      </x:c>
      <x:c r="F1878" t="n">
        <x:v>1861</x:v>
      </x:c>
      <x:c r="G1878" t="str">
        <x:v>c75d349fb8829674bf2cd839ce844135cc3d1e704eb2ba53a1304b5b2f9aba4b</x:v>
      </x:c>
      <x:c r="H1878" t="str">
        <x:v>neu</x:v>
      </x:c>
      <x:c r="I1878" t="str">
        <x:v>ok</x:v>
      </x:c>
      <x:c r="J1878"/>
      <x:c r="K1878" t="n">
        <x:v>45519</x:v>
      </x:c>
      <x:c r="L1878" t="n">
        <x:v>45519</x:v>
      </x:c>
      <x:c r="M1878" t="str">
        <x:v>Gebucht</x:v>
      </x:c>
      <x:c r="N1878" t="str">
        <x:v>Lars Kohlenberg</x:v>
      </x:c>
      <x:c r="O1878" t="str">
        <x:v>Drillisch Online GmbH                                                 Wilhelm-Rontgen-Strase 1-5, 63477 Maintal</x:v>
      </x:c>
      <x:c r="P1878" t="str">
        <x:v>C0851820 U651033802 B753796521 winSIM</x:v>
      </x:c>
      <x:c r="Q1878" t="str">
        <x:v>Ausgang</x:v>
      </x:c>
      <x:c r="R1878" t="str">
        <x:v>DE87300500000008996811</x:v>
      </x:c>
      <x:c r="S1878" t="n">
        <x:v>-6.99</x:v>
      </x:c>
      <x:c r="T1878" t="str">
        <x:v>DE40ZZZ00000206926</x:v>
      </x:c>
      <x:c r="U1878" t="str">
        <x:v>FB1310D094B04186E02ACE7B8C6</x:v>
      </x:c>
      <x:c r="V1878" t="str">
        <x:v>C0851820+U651033802</x:v>
      </x:c>
    </x:row>
    <x:row r="1879">
      <x:c r="A1879" t="str">
        <x:v>RAW-IMP-20260516-FULLDRAFT-001862</x:v>
      </x:c>
      <x:c r="B1879" t="str">
        <x:v>IMP-20260516-FULLDRAFT</x:v>
      </x:c>
      <x:c r="C1879" t="str">
        <x:v>KTO001</x:v>
      </x:c>
      <x:c r="D1879" t="str">
        <x:v>16-05-2026_Umsatzliste_Girokonto_DE98120300001061711675.csv</x:v>
      </x:c>
      <x:c r="E1879" t="n">
        <x:v>46163</x:v>
      </x:c>
      <x:c r="F1879" t="n">
        <x:v>1862</x:v>
      </x:c>
      <x:c r="G1879" t="str">
        <x:v>ab2b2c1b010c708dd55053ccd9e884f748e63744e4cea57cf804a94631311136</x:v>
      </x:c>
      <x:c r="H1879" t="str">
        <x:v>neu</x:v>
      </x:c>
      <x:c r="I1879" t="str">
        <x:v>ok</x:v>
      </x:c>
      <x:c r="J1879"/>
      <x:c r="K1879" t="n">
        <x:v>45518</x:v>
      </x:c>
      <x:c r="L1879" t="n">
        <x:v>45518</x:v>
      </x:c>
      <x:c r="M1879" t="str">
        <x:v>Gebucht</x:v>
      </x:c>
      <x:c r="N1879" t="str">
        <x:v>ISSUER</x:v>
      </x:c>
      <x:c r="O1879" t="str">
        <x:v>Esso.Station.Hildesheim/Hildesheim</x:v>
      </x:c>
      <x:c r="P1879" t="str">
        <x:v>VISA Debitkartenumsatz vom 13.08.2024</x:v>
      </x:c>
      <x:c r="Q1879" t="str">
        <x:v>Ausgang</x:v>
      </x:c>
      <x:c r="R1879" t="str">
        <x:v>DE96120300009005290904</x:v>
      </x:c>
      <x:c r="S1879" t="n">
        <x:v>-80.88</x:v>
      </x:c>
      <x:c r="T1879" t="str">
        <x:v>"</x:v>
      </x:c>
      <x:c r="U1879" t="str">
        <x:v>"</x:v>
      </x:c>
      <x:c r="V1879" t="str">
        <x:v>484226464258827</x:v>
      </x:c>
    </x:row>
    <x:row r="1880">
      <x:c r="A1880" t="str">
        <x:v>RAW-IMP-20260516-FULLDRAFT-001863</x:v>
      </x:c>
      <x:c r="B1880" t="str">
        <x:v>IMP-20260516-FULLDRAFT</x:v>
      </x:c>
      <x:c r="C1880" t="str">
        <x:v>KTO001</x:v>
      </x:c>
      <x:c r="D1880" t="str">
        <x:v>16-05-2026_Umsatzliste_Girokonto_DE98120300001061711675.csv</x:v>
      </x:c>
      <x:c r="E1880" t="n">
        <x:v>46163</x:v>
      </x:c>
      <x:c r="F1880" t="n">
        <x:v>1863</x:v>
      </x:c>
      <x:c r="G1880" t="str">
        <x:v>e37aef9108f9ea28ea904bf6b1ddc7d950e288b12fb77742b6f07fcafec10791</x:v>
      </x:c>
      <x:c r="H1880" t="str">
        <x:v>neu</x:v>
      </x:c>
      <x:c r="I1880" t="str">
        <x:v>ok</x:v>
      </x:c>
      <x:c r="J1880"/>
      <x:c r="K1880" t="n">
        <x:v>45518</x:v>
      </x:c>
      <x:c r="L1880" t="n">
        <x:v>45518</x:v>
      </x:c>
      <x:c r="M1880" t="str">
        <x:v>Gebucht</x:v>
      </x:c>
      <x:c r="N1880" t="str">
        <x:v>ISSUER</x:v>
      </x:c>
      <x:c r="O1880" t="str">
        <x:v>REWE.Mehmet.Kaysal.oHG/Salzgitter</x:v>
      </x:c>
      <x:c r="P1880" t="str">
        <x:v>VISA Debitkartenumsatz vom 13.08.2024</x:v>
      </x:c>
      <x:c r="Q1880" t="str">
        <x:v>Ausgang</x:v>
      </x:c>
      <x:c r="R1880" t="str">
        <x:v>DE96120300009005290904</x:v>
      </x:c>
      <x:c r="S1880" t="n">
        <x:v>-1.2</x:v>
      </x:c>
      <x:c r="T1880" t="str">
        <x:v>"</x:v>
      </x:c>
      <x:c r="U1880" t="str">
        <x:v>"</x:v>
      </x:c>
      <x:c r="V1880" t="str">
        <x:v>484226641614119</x:v>
      </x:c>
    </x:row>
    <x:row r="1881">
      <x:c r="A1881" t="str">
        <x:v>RAW-IMP-20260516-FULLDRAFT-001864</x:v>
      </x:c>
      <x:c r="B1881" t="str">
        <x:v>IMP-20260516-FULLDRAFT</x:v>
      </x:c>
      <x:c r="C1881" t="str">
        <x:v>KTO001</x:v>
      </x:c>
      <x:c r="D1881" t="str">
        <x:v>16-05-2026_Umsatzliste_Girokonto_DE98120300001061711675.csv</x:v>
      </x:c>
      <x:c r="E1881" t="n">
        <x:v>46163</x:v>
      </x:c>
      <x:c r="F1881" t="n">
        <x:v>1864</x:v>
      </x:c>
      <x:c r="G1881" t="str">
        <x:v>bca59e31663b690be63a1632b60553d9e456294ee9e26c952c1d0d6fba717187</x:v>
      </x:c>
      <x:c r="H1881" t="str">
        <x:v>neu</x:v>
      </x:c>
      <x:c r="I1881" t="str">
        <x:v>ok</x:v>
      </x:c>
      <x:c r="J1881"/>
      <x:c r="K1881" t="n">
        <x:v>45517</x:v>
      </x:c>
      <x:c r="L1881" t="n">
        <x:v>45517</x:v>
      </x:c>
      <x:c r="M1881" t="str">
        <x:v>Gebucht</x:v>
      </x:c>
      <x:c r="N1881" t="str">
        <x:v>ISSUER</x:v>
      </x:c>
      <x:c r="O1881" t="str">
        <x:v>EDEKA.POTRATZ/HILDESHEIM</x:v>
      </x:c>
      <x:c r="P1881" t="str">
        <x:v>VISA Debitkartenumsatz vom 12.08.2024</x:v>
      </x:c>
      <x:c r="Q1881" t="str">
        <x:v>Ausgang</x:v>
      </x:c>
      <x:c r="R1881" t="str">
        <x:v>DE96120300009005290904</x:v>
      </x:c>
      <x:c r="S1881" t="n">
        <x:v>-17.7</x:v>
      </x:c>
      <x:c r="T1881" t="str">
        <x:v>"</x:v>
      </x:c>
      <x:c r="U1881" t="str">
        <x:v>"</x:v>
      </x:c>
      <x:c r="V1881" t="str">
        <x:v>484225238444715</x:v>
      </x:c>
    </x:row>
    <x:row r="1882">
      <x:c r="A1882" t="str">
        <x:v>RAW-IMP-20260516-FULLDRAFT-001865</x:v>
      </x:c>
      <x:c r="B1882" t="str">
        <x:v>IMP-20260516-FULLDRAFT</x:v>
      </x:c>
      <x:c r="C1882" t="str">
        <x:v>KTO001</x:v>
      </x:c>
      <x:c r="D1882" t="str">
        <x:v>16-05-2026_Umsatzliste_Girokonto_DE98120300001061711675.csv</x:v>
      </x:c>
      <x:c r="E1882" t="n">
        <x:v>46163</x:v>
      </x:c>
      <x:c r="F1882" t="n">
        <x:v>1865</x:v>
      </x:c>
      <x:c r="G1882" t="str">
        <x:v>917e280a792e1546f0660c08d6536eb8b28fa71b774e2d46247d6f5b086ad31f</x:v>
      </x:c>
      <x:c r="H1882" t="str">
        <x:v>neu</x:v>
      </x:c>
      <x:c r="I1882" t="str">
        <x:v>ok</x:v>
      </x:c>
      <x:c r="J1882"/>
      <x:c r="K1882" t="n">
        <x:v>45517</x:v>
      </x:c>
      <x:c r="L1882" t="n">
        <x:v>45517</x:v>
      </x:c>
      <x:c r="M1882" t="str">
        <x:v>Gebucht</x:v>
      </x:c>
      <x:c r="N1882" t="str">
        <x:v>ISSUER</x:v>
      </x:c>
      <x:c r="O1882" t="str">
        <x:v>SCHAEFERS.35189/SALZGITTER</x:v>
      </x:c>
      <x:c r="P1882" t="str">
        <x:v>VISA Debitkartenumsatz vom 12.08.2024</x:v>
      </x:c>
      <x:c r="Q1882" t="str">
        <x:v>Ausgang</x:v>
      </x:c>
      <x:c r="R1882" t="str">
        <x:v>DE96120300009005290904</x:v>
      </x:c>
      <x:c r="S1882" t="n">
        <x:v>-2.16</x:v>
      </x:c>
      <x:c r="T1882" t="str">
        <x:v>"</x:v>
      </x:c>
      <x:c r="U1882" t="str">
        <x:v>"</x:v>
      </x:c>
      <x:c r="V1882" t="str">
        <x:v>484225588192204</x:v>
      </x:c>
    </x:row>
    <x:row r="1883">
      <x:c r="A1883" t="str">
        <x:v>RAW-IMP-20260516-FULLDRAFT-001866</x:v>
      </x:c>
      <x:c r="B1883" t="str">
        <x:v>IMP-20260516-FULLDRAFT</x:v>
      </x:c>
      <x:c r="C1883" t="str">
        <x:v>KTO001</x:v>
      </x:c>
      <x:c r="D1883" t="str">
        <x:v>16-05-2026_Umsatzliste_Girokonto_DE98120300001061711675.csv</x:v>
      </x:c>
      <x:c r="E1883" t="n">
        <x:v>46163</x:v>
      </x:c>
      <x:c r="F1883" t="n">
        <x:v>1866</x:v>
      </x:c>
      <x:c r="G1883" t="str">
        <x:v>8fe4dda3aad38a6b22bbb13a8798077a9bff88565284a94e439bffedf80ff81e</x:v>
      </x:c>
      <x:c r="H1883" t="str">
        <x:v>neu</x:v>
      </x:c>
      <x:c r="I1883" t="str">
        <x:v>ok</x:v>
      </x:c>
      <x:c r="J1883"/>
      <x:c r="K1883" t="n">
        <x:v>45517</x:v>
      </x:c>
      <x:c r="L1883" t="n">
        <x:v>45517</x:v>
      </x:c>
      <x:c r="M1883" t="str">
        <x:v>Gebucht</x:v>
      </x:c>
      <x:c r="N1883" t="str">
        <x:v>ISSUER</x:v>
      </x:c>
      <x:c r="O1883" t="str">
        <x:v>Lidl.sagt.Danke/Salzgitter</x:v>
      </x:c>
      <x:c r="P1883" t="str">
        <x:v>VISA Debitkartenumsatz vom 12.08.2024</x:v>
      </x:c>
      <x:c r="Q1883" t="str">
        <x:v>Ausgang</x:v>
      </x:c>
      <x:c r="R1883" t="str">
        <x:v>DE96120300009005290904</x:v>
      </x:c>
      <x:c r="S1883" t="n">
        <x:v>-24.21</x:v>
      </x:c>
      <x:c r="T1883" t="str">
        <x:v>"</x:v>
      </x:c>
      <x:c r="U1883" t="str">
        <x:v>"</x:v>
      </x:c>
      <x:c r="V1883" t="str">
        <x:v>484225586489872</x:v>
      </x:c>
    </x:row>
    <x:row r="1884">
      <x:c r="A1884" t="str">
        <x:v>RAW-IMP-20260516-FULLDRAFT-001867</x:v>
      </x:c>
      <x:c r="B1884" t="str">
        <x:v>IMP-20260516-FULLDRAFT</x:v>
      </x:c>
      <x:c r="C1884" t="str">
        <x:v>KTO001</x:v>
      </x:c>
      <x:c r="D1884" t="str">
        <x:v>16-05-2026_Umsatzliste_Girokonto_DE98120300001061711675.csv</x:v>
      </x:c>
      <x:c r="E1884" t="n">
        <x:v>46163</x:v>
      </x:c>
      <x:c r="F1884" t="n">
        <x:v>1867</x:v>
      </x:c>
      <x:c r="G1884" t="str">
        <x:v>2826e3278b775e081c16370550c5a6d53109df944788619f61e7785e7fe5a825</x:v>
      </x:c>
      <x:c r="H1884" t="str">
        <x:v>neu</x:v>
      </x:c>
      <x:c r="I1884" t="str">
        <x:v>ok</x:v>
      </x:c>
      <x:c r="J1884"/>
      <x:c r="K1884" t="n">
        <x:v>45517</x:v>
      </x:c>
      <x:c r="L1884" t="n">
        <x:v>45517</x:v>
      </x:c>
      <x:c r="M1884" t="str">
        <x:v>Gebucht</x:v>
      </x:c>
      <x:c r="N1884" t="str">
        <x:v>ISSUER</x:v>
      </x:c>
      <x:c r="O1884" t="str">
        <x:v>Thalia/Hagen</x:v>
      </x:c>
      <x:c r="P1884" t="str">
        <x:v>VISA Debitkartenumsatz vom 07.08.2024</x:v>
      </x:c>
      <x:c r="Q1884" t="str">
        <x:v>Ausgang</x:v>
      </x:c>
      <x:c r="R1884" t="str">
        <x:v>DE96120300009005290904</x:v>
      </x:c>
      <x:c r="S1884" t="n">
        <x:v>-6.5</x:v>
      </x:c>
      <x:c r="T1884" t="str">
        <x:v>"</x:v>
      </x:c>
      <x:c r="U1884" t="str">
        <x:v>"</x:v>
      </x:c>
      <x:c r="V1884" t="str">
        <x:v>484220642780616</x:v>
      </x:c>
    </x:row>
    <x:row r="1885">
      <x:c r="A1885" t="str">
        <x:v>RAW-IMP-20260516-FULLDRAFT-001868</x:v>
      </x:c>
      <x:c r="B1885" t="str">
        <x:v>IMP-20260516-FULLDRAFT</x:v>
      </x:c>
      <x:c r="C1885" t="str">
        <x:v>KTO001</x:v>
      </x:c>
      <x:c r="D1885" t="str">
        <x:v>16-05-2026_Umsatzliste_Girokonto_DE98120300001061711675.csv</x:v>
      </x:c>
      <x:c r="E1885" t="n">
        <x:v>46163</x:v>
      </x:c>
      <x:c r="F1885" t="n">
        <x:v>1868</x:v>
      </x:c>
      <x:c r="G1885" t="str">
        <x:v>b4a81deed7760ee6fe4e1f77786f231a3d7fb67a39f8d6f3d29e9be048c34b22</x:v>
      </x:c>
      <x:c r="H1885" t="str">
        <x:v>neu</x:v>
      </x:c>
      <x:c r="I1885" t="str">
        <x:v>ok</x:v>
      </x:c>
      <x:c r="J1885"/>
      <x:c r="K1885" t="n">
        <x:v>45516</x:v>
      </x:c>
      <x:c r="L1885" t="n">
        <x:v>45516</x:v>
      </x:c>
      <x:c r="M1885" t="str">
        <x:v>Gebucht</x:v>
      </x:c>
      <x:c r="N1885" t="str">
        <x:v>ISSUER</x:v>
      </x:c>
      <x:c r="O1885" t="str">
        <x:v>THALIA.DEUTSCHLAND.582/Bremerhaven</x:v>
      </x:c>
      <x:c r="P1885" t="str">
        <x:v>VISA Debitkartenumsatz vom 10.08.2024</x:v>
      </x:c>
      <x:c r="Q1885" t="str">
        <x:v>Ausgang</x:v>
      </x:c>
      <x:c r="R1885" t="str">
        <x:v>DE96120300009005290904</x:v>
      </x:c>
      <x:c r="S1885" t="n">
        <x:v>-14.95</x:v>
      </x:c>
      <x:c r="T1885" t="str">
        <x:v>"</x:v>
      </x:c>
      <x:c r="U1885" t="str">
        <x:v>"</x:v>
      </x:c>
      <x:c r="V1885" t="str">
        <x:v>484223579985443</x:v>
      </x:c>
    </x:row>
    <x:row r="1886">
      <x:c r="A1886" t="str">
        <x:v>RAW-IMP-20260516-FULLDRAFT-001869</x:v>
      </x:c>
      <x:c r="B1886" t="str">
        <x:v>IMP-20260516-FULLDRAFT</x:v>
      </x:c>
      <x:c r="C1886" t="str">
        <x:v>KTO001</x:v>
      </x:c>
      <x:c r="D1886" t="str">
        <x:v>16-05-2026_Umsatzliste_Girokonto_DE98120300001061711675.csv</x:v>
      </x:c>
      <x:c r="E1886" t="n">
        <x:v>46163</x:v>
      </x:c>
      <x:c r="F1886" t="n">
        <x:v>1869</x:v>
      </x:c>
      <x:c r="G1886" t="str">
        <x:v>56f8f0756415c722618290b48068467ef4ba417a61643bda71b225c24e5e3ca5</x:v>
      </x:c>
      <x:c r="H1886" t="str">
        <x:v>neu</x:v>
      </x:c>
      <x:c r="I1886" t="str">
        <x:v>ok</x:v>
      </x:c>
      <x:c r="J1886"/>
      <x:c r="K1886" t="n">
        <x:v>45516</x:v>
      </x:c>
      <x:c r="L1886" t="n">
        <x:v>45516</x:v>
      </x:c>
      <x:c r="M1886" t="str">
        <x:v>Gebucht</x:v>
      </x:c>
      <x:c r="N1886" t="str">
        <x:v>ISSUER</x:v>
      </x:c>
      <x:c r="O1886" t="str">
        <x:v>MARLENE.BHV.UG..HAFTUN/BREMERHAVEN</x:v>
      </x:c>
      <x:c r="P1886" t="str">
        <x:v>VISA Debitkartenumsatz vom 10.08.2024</x:v>
      </x:c>
      <x:c r="Q1886" t="str">
        <x:v>Ausgang</x:v>
      </x:c>
      <x:c r="R1886" t="str">
        <x:v>DE96120300009005290904</x:v>
      </x:c>
      <x:c r="S1886" t="n">
        <x:v>-43</x:v>
      </x:c>
      <x:c r="T1886" t="str">
        <x:v>"</x:v>
      </x:c>
      <x:c r="U1886" t="str">
        <x:v>"</x:v>
      </x:c>
      <x:c r="V1886" t="str">
        <x:v>484223607347173</x:v>
      </x:c>
    </x:row>
    <x:row r="1887">
      <x:c r="A1887" t="str">
        <x:v>RAW-IMP-20260516-FULLDRAFT-001870</x:v>
      </x:c>
      <x:c r="B1887" t="str">
        <x:v>IMP-20260516-FULLDRAFT</x:v>
      </x:c>
      <x:c r="C1887" t="str">
        <x:v>KTO001</x:v>
      </x:c>
      <x:c r="D1887" t="str">
        <x:v>16-05-2026_Umsatzliste_Girokonto_DE98120300001061711675.csv</x:v>
      </x:c>
      <x:c r="E1887" t="n">
        <x:v>46163</x:v>
      </x:c>
      <x:c r="F1887" t="n">
        <x:v>1870</x:v>
      </x:c>
      <x:c r="G1887" t="str">
        <x:v>732bcc26357e0bafa315eae3eede62bc0cb728d1b62c7bb7805524d7ff49a01d</x:v>
      </x:c>
      <x:c r="H1887" t="str">
        <x:v>neu</x:v>
      </x:c>
      <x:c r="I1887" t="str">
        <x:v>ok</x:v>
      </x:c>
      <x:c r="J1887"/>
      <x:c r="K1887" t="n">
        <x:v>45516</x:v>
      </x:c>
      <x:c r="L1887" t="n">
        <x:v>45516</x:v>
      </x:c>
      <x:c r="M1887" t="str">
        <x:v>Gebucht</x:v>
      </x:c>
      <x:c r="N1887" t="str">
        <x:v>ISSUER</x:v>
      </x:c>
      <x:c r="O1887" t="str">
        <x:v>REWE.Salzgitter.Ge/Salzgitter</x:v>
      </x:c>
      <x:c r="P1887" t="str">
        <x:v>VISA Debitkartenumsatz vom 10.08.2024</x:v>
      </x:c>
      <x:c r="Q1887" t="str">
        <x:v>Ausgang</x:v>
      </x:c>
      <x:c r="R1887" t="str">
        <x:v>DE96120300009005290904</x:v>
      </x:c>
      <x:c r="S1887" t="n">
        <x:v>-5.18</x:v>
      </x:c>
      <x:c r="T1887" t="str">
        <x:v>"</x:v>
      </x:c>
      <x:c r="U1887" t="str">
        <x:v>"</x:v>
      </x:c>
      <x:c r="V1887" t="str">
        <x:v>484223229074493</x:v>
      </x:c>
    </x:row>
    <x:row r="1888">
      <x:c r="A1888" t="str">
        <x:v>RAW-IMP-20260516-FULLDRAFT-001871</x:v>
      </x:c>
      <x:c r="B1888" t="str">
        <x:v>IMP-20260516-FULLDRAFT</x:v>
      </x:c>
      <x:c r="C1888" t="str">
        <x:v>KTO001</x:v>
      </x:c>
      <x:c r="D1888" t="str">
        <x:v>16-05-2026_Umsatzliste_Girokonto_DE98120300001061711675.csv</x:v>
      </x:c>
      <x:c r="E1888" t="n">
        <x:v>46163</x:v>
      </x:c>
      <x:c r="F1888" t="n">
        <x:v>1871</x:v>
      </x:c>
      <x:c r="G1888" t="str">
        <x:v>32564694a369173ef4b059e77488b4939c2af8f8d1f67add85d6046712abd287</x:v>
      </x:c>
      <x:c r="H1888" t="str">
        <x:v>neu</x:v>
      </x:c>
      <x:c r="I1888" t="str">
        <x:v>ok</x:v>
      </x:c>
      <x:c r="J1888"/>
      <x:c r="K1888" t="n">
        <x:v>45516</x:v>
      </x:c>
      <x:c r="L1888" t="n">
        <x:v>45516</x:v>
      </x:c>
      <x:c r="M1888" t="str">
        <x:v>Gebucht</x:v>
      </x:c>
      <x:c r="N1888" t="str">
        <x:v>ISSUER</x:v>
      </x:c>
      <x:c r="O1888" t="str">
        <x:v>Rossmann.1956/Salzgitter</x:v>
      </x:c>
      <x:c r="P1888" t="str">
        <x:v>VISA Debitkartenumsatz vom 09.08.2024</x:v>
      </x:c>
      <x:c r="Q1888" t="str">
        <x:v>Ausgang</x:v>
      </x:c>
      <x:c r="R1888" t="str">
        <x:v>DE96120300009005290904</x:v>
      </x:c>
      <x:c r="S1888" t="n">
        <x:v>-54.46</x:v>
      </x:c>
      <x:c r="T1888" t="str">
        <x:v>"</x:v>
      </x:c>
      <x:c r="U1888" t="str">
        <x:v>"</x:v>
      </x:c>
      <x:c r="V1888" t="str">
        <x:v>484222606213463</x:v>
      </x:c>
    </x:row>
    <x:row r="1889">
      <x:c r="A1889" t="str">
        <x:v>RAW-IMP-20260516-FULLDRAFT-001872</x:v>
      </x:c>
      <x:c r="B1889" t="str">
        <x:v>IMP-20260516-FULLDRAFT</x:v>
      </x:c>
      <x:c r="C1889" t="str">
        <x:v>KTO001</x:v>
      </x:c>
      <x:c r="D1889" t="str">
        <x:v>16-05-2026_Umsatzliste_Girokonto_DE98120300001061711675.csv</x:v>
      </x:c>
      <x:c r="E1889" t="n">
        <x:v>46163</x:v>
      </x:c>
      <x:c r="F1889" t="n">
        <x:v>1872</x:v>
      </x:c>
      <x:c r="G1889" t="str">
        <x:v>7ec6faa752a74d3b923fb77251f4c0ff8c726a3936f3c409e50e8e88abc51d4a</x:v>
      </x:c>
      <x:c r="H1889" t="str">
        <x:v>neu</x:v>
      </x:c>
      <x:c r="I1889" t="str">
        <x:v>ok</x:v>
      </x:c>
      <x:c r="J1889"/>
      <x:c r="K1889" t="n">
        <x:v>45516</x:v>
      </x:c>
      <x:c r="L1889" t="n">
        <x:v>45516</x:v>
      </x:c>
      <x:c r="M1889" t="str">
        <x:v>Gebucht</x:v>
      </x:c>
      <x:c r="N1889" t="str">
        <x:v>ISSUER</x:v>
      </x:c>
      <x:c r="O1889" t="str">
        <x:v>REWE.Acar.oHG/Salzgitter</x:v>
      </x:c>
      <x:c r="P1889" t="str">
        <x:v>VISA Debitkartenumsatz vom 09.08.2024</x:v>
      </x:c>
      <x:c r="Q1889" t="str">
        <x:v>Ausgang</x:v>
      </x:c>
      <x:c r="R1889" t="str">
        <x:v>DE96120300009005290904</x:v>
      </x:c>
      <x:c r="S1889" t="n">
        <x:v>-134.14</x:v>
      </x:c>
      <x:c r="T1889" t="str">
        <x:v>"</x:v>
      </x:c>
      <x:c r="U1889" t="str">
        <x:v>"</x:v>
      </x:c>
      <x:c r="V1889" t="str">
        <x:v>484222599195014</x:v>
      </x:c>
    </x:row>
    <x:row r="1890">
      <x:c r="A1890" t="str">
        <x:v>RAW-IMP-20260516-FULLDRAFT-001873</x:v>
      </x:c>
      <x:c r="B1890" t="str">
        <x:v>IMP-20260516-FULLDRAFT</x:v>
      </x:c>
      <x:c r="C1890" t="str">
        <x:v>KTO001</x:v>
      </x:c>
      <x:c r="D1890" t="str">
        <x:v>16-05-2026_Umsatzliste_Girokonto_DE98120300001061711675.csv</x:v>
      </x:c>
      <x:c r="E1890" t="n">
        <x:v>46163</x:v>
      </x:c>
      <x:c r="F1890" t="n">
        <x:v>1873</x:v>
      </x:c>
      <x:c r="G1890" t="str">
        <x:v>e979ea5dab5210405c448209b51b6ee6ddae61349e143458c25c4d1215f5e485</x:v>
      </x:c>
      <x:c r="H1890" t="str">
        <x:v>neu</x:v>
      </x:c>
      <x:c r="I1890" t="str">
        <x:v>ok</x:v>
      </x:c>
      <x:c r="J1890"/>
      <x:c r="K1890" t="n">
        <x:v>45516</x:v>
      </x:c>
      <x:c r="L1890" t="n">
        <x:v>45516</x:v>
      </x:c>
      <x:c r="M1890" t="str">
        <x:v>Gebucht</x:v>
      </x:c>
      <x:c r="N1890" t="str">
        <x:v>ISSUER</x:v>
      </x:c>
      <x:c r="O1890" t="str">
        <x:v>BAECKEREI.BERNHARDT/SPRINGE</x:v>
      </x:c>
      <x:c r="P1890" t="str">
        <x:v>VISA Debitkartenumsatz vom 09.08.2024</x:v>
      </x:c>
      <x:c r="Q1890" t="str">
        <x:v>Ausgang</x:v>
      </x:c>
      <x:c r="R1890" t="str">
        <x:v>DE96120300009005290904</x:v>
      </x:c>
      <x:c r="S1890" t="n">
        <x:v>-4.8</x:v>
      </x:c>
      <x:c r="T1890" t="str">
        <x:v>"</x:v>
      </x:c>
      <x:c r="U1890" t="str">
        <x:v>"</x:v>
      </x:c>
      <x:c r="V1890" t="str">
        <x:v>484222472857138</x:v>
      </x:c>
    </x:row>
    <x:row r="1891">
      <x:c r="A1891" t="str">
        <x:v>RAW-IMP-20260516-FULLDRAFT-001874</x:v>
      </x:c>
      <x:c r="B1891" t="str">
        <x:v>IMP-20260516-FULLDRAFT</x:v>
      </x:c>
      <x:c r="C1891" t="str">
        <x:v>KTO001</x:v>
      </x:c>
      <x:c r="D1891" t="str">
        <x:v>16-05-2026_Umsatzliste_Girokonto_DE98120300001061711675.csv</x:v>
      </x:c>
      <x:c r="E1891" t="n">
        <x:v>46163</x:v>
      </x:c>
      <x:c r="F1891" t="n">
        <x:v>1874</x:v>
      </x:c>
      <x:c r="G1891" t="str">
        <x:v>4359308231d31c0d0cadf3b7903c0df9d098320981f6673c6001bc8601709746</x:v>
      </x:c>
      <x:c r="H1891" t="str">
        <x:v>neu</x:v>
      </x:c>
      <x:c r="I1891" t="str">
        <x:v>ok</x:v>
      </x:c>
      <x:c r="J1891"/>
      <x:c r="K1891" t="n">
        <x:v>45516</x:v>
      </x:c>
      <x:c r="L1891" t="n">
        <x:v>45516</x:v>
      </x:c>
      <x:c r="M1891" t="str">
        <x:v>Gebucht</x:v>
      </x:c>
      <x:c r="N1891" t="str">
        <x:v>ISSUER</x:v>
      </x:c>
      <x:c r="O1891" t="str">
        <x:v>LIBERTY.HOTEL/BREMERHAVEN</x:v>
      </x:c>
      <x:c r="P1891" t="str">
        <x:v>VISA Debitkartenumsatz vom 10.08.2024</x:v>
      </x:c>
      <x:c r="Q1891" t="str">
        <x:v>Ausgang</x:v>
      </x:c>
      <x:c r="R1891" t="str">
        <x:v>DE96120300009005290904</x:v>
      </x:c>
      <x:c r="S1891" t="n">
        <x:v>-55</x:v>
      </x:c>
      <x:c r="T1891" t="str">
        <x:v>"</x:v>
      </x:c>
      <x:c r="U1891" t="str">
        <x:v>"</x:v>
      </x:c>
      <x:c r="V1891" t="str">
        <x:v>484223733061209</x:v>
      </x:c>
    </x:row>
    <x:row r="1892">
      <x:c r="A1892" t="str">
        <x:v>RAW-IMP-20260516-FULLDRAFT-001875</x:v>
      </x:c>
      <x:c r="B1892" t="str">
        <x:v>IMP-20260516-FULLDRAFT</x:v>
      </x:c>
      <x:c r="C1892" t="str">
        <x:v>KTO001</x:v>
      </x:c>
      <x:c r="D1892" t="str">
        <x:v>16-05-2026_Umsatzliste_Girokonto_DE98120300001061711675.csv</x:v>
      </x:c>
      <x:c r="E1892" t="n">
        <x:v>46163</x:v>
      </x:c>
      <x:c r="F1892" t="n">
        <x:v>1875</x:v>
      </x:c>
      <x:c r="G1892" t="str">
        <x:v>720616e0a7bb929fdfb3a70bca56cae63abe1c471a36f61aa2f71e07289f6c65</x:v>
      </x:c>
      <x:c r="H1892" t="str">
        <x:v>neu</x:v>
      </x:c>
      <x:c r="I1892" t="str">
        <x:v>ok</x:v>
      </x:c>
      <x:c r="J1892"/>
      <x:c r="K1892" t="n">
        <x:v>45516</x:v>
      </x:c>
      <x:c r="L1892" t="n">
        <x:v>45516</x:v>
      </x:c>
      <x:c r="M1892" t="str">
        <x:v>Gebucht</x:v>
      </x:c>
      <x:c r="N1892" t="str">
        <x:v>ISSUER</x:v>
      </x:c>
      <x:c r="O1892" t="str">
        <x:v>LOEWENBAECKER.SCHAPER/SALZGITTER</x:v>
      </x:c>
      <x:c r="P1892" t="str">
        <x:v>VISA Debitkartenumsatz vom 10.08.2024</x:v>
      </x:c>
      <x:c r="Q1892" t="str">
        <x:v>Ausgang</x:v>
      </x:c>
      <x:c r="R1892" t="str">
        <x:v>DE96120300009005290904</x:v>
      </x:c>
      <x:c r="S1892" t="n">
        <x:v>-4.8</x:v>
      </x:c>
      <x:c r="T1892" t="str">
        <x:v>"</x:v>
      </x:c>
      <x:c r="U1892" t="str">
        <x:v>"</x:v>
      </x:c>
      <x:c r="V1892" t="str">
        <x:v>484223229786001</x:v>
      </x:c>
    </x:row>
    <x:row r="1893">
      <x:c r="A1893" t="str">
        <x:v>RAW-IMP-20260516-FULLDRAFT-001876</x:v>
      </x:c>
      <x:c r="B1893" t="str">
        <x:v>IMP-20260516-FULLDRAFT</x:v>
      </x:c>
      <x:c r="C1893" t="str">
        <x:v>KTO001</x:v>
      </x:c>
      <x:c r="D1893" t="str">
        <x:v>16-05-2026_Umsatzliste_Girokonto_DE98120300001061711675.csv</x:v>
      </x:c>
      <x:c r="E1893" t="n">
        <x:v>46163</x:v>
      </x:c>
      <x:c r="F1893" t="n">
        <x:v>1876</x:v>
      </x:c>
      <x:c r="G1893" t="str">
        <x:v>a2578bc540d4863d63d0bf60400759c6a58ea4ca3865af69dce21c7acae19272</x:v>
      </x:c>
      <x:c r="H1893" t="str">
        <x:v>neu</x:v>
      </x:c>
      <x:c r="I1893" t="str">
        <x:v>ok</x:v>
      </x:c>
      <x:c r="J1893"/>
      <x:c r="K1893" t="n">
        <x:v>45516</x:v>
      </x:c>
      <x:c r="L1893" t="n">
        <x:v>45516</x:v>
      </x:c>
      <x:c r="M1893" t="str">
        <x:v>Gebucht</x:v>
      </x:c>
      <x:c r="N1893" t="str">
        <x:v>ISSUER</x:v>
      </x:c>
      <x:c r="O1893" t="str">
        <x:v>TAS.LEBENSTEDT/SALZGITTER</x:v>
      </x:c>
      <x:c r="P1893" t="str">
        <x:v>VISA Debitkartenumsatz vom 09.08.2024</x:v>
      </x:c>
      <x:c r="Q1893" t="str">
        <x:v>Ausgang</x:v>
      </x:c>
      <x:c r="R1893" t="str">
        <x:v>DE96120300009005290904</x:v>
      </x:c>
      <x:c r="S1893" t="n">
        <x:v>-81.25</x:v>
      </x:c>
      <x:c r="T1893" t="str">
        <x:v>"</x:v>
      </x:c>
      <x:c r="U1893" t="str">
        <x:v>"</x:v>
      </x:c>
      <x:c r="V1893" t="str">
        <x:v>484222510178259</x:v>
      </x:c>
    </x:row>
    <x:row r="1894">
      <x:c r="A1894" t="str">
        <x:v>RAW-IMP-20260516-FULLDRAFT-001877</x:v>
      </x:c>
      <x:c r="B1894" t="str">
        <x:v>IMP-20260516-FULLDRAFT</x:v>
      </x:c>
      <x:c r="C1894" t="str">
        <x:v>KTO001</x:v>
      </x:c>
      <x:c r="D1894" t="str">
        <x:v>16-05-2026_Umsatzliste_Girokonto_DE98120300001061711675.csv</x:v>
      </x:c>
      <x:c r="E1894" t="n">
        <x:v>46163</x:v>
      </x:c>
      <x:c r="F1894" t="n">
        <x:v>1877</x:v>
      </x:c>
      <x:c r="G1894" t="str">
        <x:v>05e7582e871273c61ba7f4a54bd21a089b113f03b6b73479567109d6ca06f6aa</x:v>
      </x:c>
      <x:c r="H1894" t="str">
        <x:v>neu</x:v>
      </x:c>
      <x:c r="I1894" t="str">
        <x:v>ok</x:v>
      </x:c>
      <x:c r="J1894"/>
      <x:c r="K1894" t="n">
        <x:v>45516</x:v>
      </x:c>
      <x:c r="L1894" t="n">
        <x:v>45516</x:v>
      </x:c>
      <x:c r="M1894" t="str">
        <x:v>Gebucht</x:v>
      </x:c>
      <x:c r="N1894" t="str">
        <x:v>Lars Kohlenberg                                                       Johannes-Wosnitza-Str. 8 38229 Salzgitter</x:v>
      </x:c>
      <x:c r="O1894" t="str">
        <x:v>1+1 Mail + Media GmbH                                                 Elgendorfer Str. 57, 56410 Montabaur</x:v>
      </x:c>
      <x:c r="P1894" t="str">
        <x:v>GMX / WEB.DE / KD-Nr. K7440512/ RG-Nr. 201538211013</x:v>
      </x:c>
      <x:c r="Q1894" t="str">
        <x:v>Ausgang</x:v>
      </x:c>
      <x:c r="R1894" t="str">
        <x:v>DE76700800000881679702</x:v>
      </x:c>
      <x:c r="S1894" t="n">
        <x:v>-5.99</x:v>
      </x:c>
      <x:c r="T1894" t="str">
        <x:v>DE07ZZZ00000569718</x:v>
      </x:c>
      <x:c r="U1894" t="str">
        <x:v>0090001393062</x:v>
      </x:c>
      <x:c r="V1894" t="str">
        <x:v>005953345488</x:v>
      </x:c>
    </x:row>
    <x:row r="1895">
      <x:c r="A1895" t="str">
        <x:v>RAW-IMP-20260516-FULLDRAFT-001878</x:v>
      </x:c>
      <x:c r="B1895" t="str">
        <x:v>IMP-20260516-FULLDRAFT</x:v>
      </x:c>
      <x:c r="C1895" t="str">
        <x:v>KTO001</x:v>
      </x:c>
      <x:c r="D1895" t="str">
        <x:v>16-05-2026_Umsatzliste_Girokonto_DE98120300001061711675.csv</x:v>
      </x:c>
      <x:c r="E1895" t="n">
        <x:v>46163</x:v>
      </x:c>
      <x:c r="F1895" t="n">
        <x:v>1878</x:v>
      </x:c>
      <x:c r="G1895" t="str">
        <x:v>019690ba2412f4494769cdfe1ee02869d75c42d81ddde10ff4bba79c7cbf6bbc</x:v>
      </x:c>
      <x:c r="H1895" t="str">
        <x:v>neu</x:v>
      </x:c>
      <x:c r="I1895" t="str">
        <x:v>ok</x:v>
      </x:c>
      <x:c r="J1895"/>
      <x:c r="K1895" t="n">
        <x:v>45513</x:v>
      </x:c>
      <x:c r="L1895" t="n">
        <x:v>45513</x:v>
      </x:c>
      <x:c r="M1895" t="str">
        <x:v>Gebucht</x:v>
      </x:c>
      <x:c r="N1895" t="str">
        <x:v>ISSUER</x:v>
      </x:c>
      <x:c r="O1895" t="str">
        <x:v>REWE.Salzgitter.Ge/Salzgitter</x:v>
      </x:c>
      <x:c r="P1895" t="str">
        <x:v>VISA Debitkartenumsatz vom 08.08.2024</x:v>
      </x:c>
      <x:c r="Q1895" t="str">
        <x:v>Ausgang</x:v>
      </x:c>
      <x:c r="R1895" t="str">
        <x:v>DE96120300009005290904</x:v>
      </x:c>
      <x:c r="S1895" t="n">
        <x:v>-19.84</x:v>
      </x:c>
      <x:c r="T1895" t="str">
        <x:v>"</x:v>
      </x:c>
      <x:c r="U1895" t="str">
        <x:v>"</x:v>
      </x:c>
      <x:c r="V1895" t="str">
        <x:v>484221588039863</x:v>
      </x:c>
    </x:row>
    <x:row r="1896">
      <x:c r="A1896" t="str">
        <x:v>RAW-IMP-20260516-FULLDRAFT-001879</x:v>
      </x:c>
      <x:c r="B1896" t="str">
        <x:v>IMP-20260516-FULLDRAFT</x:v>
      </x:c>
      <x:c r="C1896" t="str">
        <x:v>KTO001</x:v>
      </x:c>
      <x:c r="D1896" t="str">
        <x:v>16-05-2026_Umsatzliste_Girokonto_DE98120300001061711675.csv</x:v>
      </x:c>
      <x:c r="E1896" t="n">
        <x:v>46163</x:v>
      </x:c>
      <x:c r="F1896" t="n">
        <x:v>1879</x:v>
      </x:c>
      <x:c r="G1896" t="str">
        <x:v>91c2fd51cffc5de80002a518db937d8cb19a0bf26177874d42ea623c800a804e</x:v>
      </x:c>
      <x:c r="H1896" t="str">
        <x:v>neu</x:v>
      </x:c>
      <x:c r="I1896" t="str">
        <x:v>ok</x:v>
      </x:c>
      <x:c r="J1896"/>
      <x:c r="K1896" t="n">
        <x:v>45513</x:v>
      </x:c>
      <x:c r="L1896" t="n">
        <x:v>45513</x:v>
      </x:c>
      <x:c r="M1896" t="str">
        <x:v>Gebucht</x:v>
      </x:c>
      <x:c r="N1896" t="str">
        <x:v>ISSUER</x:v>
      </x:c>
      <x:c r="O1896" t="str">
        <x:v>AMZN.Mktp.DE.OS79383O5/800.279.6620</x:v>
      </x:c>
      <x:c r="P1896" t="str">
        <x:v>VISA Debitkartenumsatz vom 08.08.2024</x:v>
      </x:c>
      <x:c r="Q1896" t="str">
        <x:v>Ausgang</x:v>
      </x:c>
      <x:c r="R1896" t="str">
        <x:v>DE96120300009005290904</x:v>
      </x:c>
      <x:c r="S1896" t="n">
        <x:v>-29.95</x:v>
      </x:c>
      <x:c r="T1896" t="str">
        <x:v>"</x:v>
      </x:c>
      <x:c r="U1896" t="str">
        <x:v>"</x:v>
      </x:c>
      <x:c r="V1896" t="str">
        <x:v>484220724116060</x:v>
      </x:c>
    </x:row>
    <x:row r="1897">
      <x:c r="A1897" t="str">
        <x:v>RAW-IMP-20260516-FULLDRAFT-001880</x:v>
      </x:c>
      <x:c r="B1897" t="str">
        <x:v>IMP-20260516-FULLDRAFT</x:v>
      </x:c>
      <x:c r="C1897" t="str">
        <x:v>KTO001</x:v>
      </x:c>
      <x:c r="D1897" t="str">
        <x:v>16-05-2026_Umsatzliste_Girokonto_DE98120300001061711675.csv</x:v>
      </x:c>
      <x:c r="E1897" t="n">
        <x:v>46163</x:v>
      </x:c>
      <x:c r="F1897" t="n">
        <x:v>1880</x:v>
      </x:c>
      <x:c r="G1897" t="str">
        <x:v>400f6dff798f6bac04f64e4dcff27a17f7021c76e4392cd4d13b4d08a229ea0f</x:v>
      </x:c>
      <x:c r="H1897" t="str">
        <x:v>neu</x:v>
      </x:c>
      <x:c r="I1897" t="str">
        <x:v>ok</x:v>
      </x:c>
      <x:c r="J1897"/>
      <x:c r="K1897" t="n">
        <x:v>45513</x:v>
      </x:c>
      <x:c r="L1897" t="n">
        <x:v>45513</x:v>
      </x:c>
      <x:c r="M1897" t="str">
        <x:v>Gebucht</x:v>
      </x:c>
      <x:c r="N1897" t="str">
        <x:v>ISSUER</x:v>
      </x:c>
      <x:c r="O1897" t="str">
        <x:v>AMZN.Mktp.DE.T04K570X5/800.279.6620</x:v>
      </x:c>
      <x:c r="P1897" t="str">
        <x:v>VISA Debitkartenumsatz vom 08.08.2024</x:v>
      </x:c>
      <x:c r="Q1897" t="str">
        <x:v>Ausgang</x:v>
      </x:c>
      <x:c r="R1897" t="str">
        <x:v>DE96120300009005290904</x:v>
      </x:c>
      <x:c r="S1897" t="n">
        <x:v>-12.15</x:v>
      </x:c>
      <x:c r="T1897" t="str">
        <x:v>"</x:v>
      </x:c>
      <x:c r="U1897" t="str">
        <x:v>"</x:v>
      </x:c>
      <x:c r="V1897" t="str">
        <x:v>484220707426678</x:v>
      </x:c>
    </x:row>
    <x:row r="1898">
      <x:c r="A1898" t="str">
        <x:v>RAW-IMP-20260516-FULLDRAFT-001881</x:v>
      </x:c>
      <x:c r="B1898" t="str">
        <x:v>IMP-20260516-FULLDRAFT</x:v>
      </x:c>
      <x:c r="C1898" t="str">
        <x:v>KTO001</x:v>
      </x:c>
      <x:c r="D1898" t="str">
        <x:v>16-05-2026_Umsatzliste_Girokonto_DE98120300001061711675.csv</x:v>
      </x:c>
      <x:c r="E1898" t="n">
        <x:v>46163</x:v>
      </x:c>
      <x:c r="F1898" t="n">
        <x:v>1881</x:v>
      </x:c>
      <x:c r="G1898" t="str">
        <x:v>37d01c7cbf4fe6953d31363f24d6e6b42985f42ecc485f53019590e55f6d16e4</x:v>
      </x:c>
      <x:c r="H1898" t="str">
        <x:v>neu</x:v>
      </x:c>
      <x:c r="I1898" t="str">
        <x:v>ok</x:v>
      </x:c>
      <x:c r="J1898"/>
      <x:c r="K1898" t="n">
        <x:v>45512</x:v>
      </x:c>
      <x:c r="L1898" t="n">
        <x:v>45512</x:v>
      </x:c>
      <x:c r="M1898" t="str">
        <x:v>Gebucht</x:v>
      </x:c>
      <x:c r="N1898" t="str">
        <x:v>ISSUER</x:v>
      </x:c>
      <x:c r="O1898" t="str">
        <x:v>AMZN.Mktp.DE.F249247K5/800.279.6620</x:v>
      </x:c>
      <x:c r="P1898" t="str">
        <x:v>VISA Debitkartenumsatz vom 07.08.2024</x:v>
      </x:c>
      <x:c r="Q1898" t="str">
        <x:v>Ausgang</x:v>
      </x:c>
      <x:c r="R1898" t="str">
        <x:v>DE96120300009005290904</x:v>
      </x:c>
      <x:c r="S1898" t="n">
        <x:v>-8.09</x:v>
      </x:c>
      <x:c r="T1898" t="str">
        <x:v>"</x:v>
      </x:c>
      <x:c r="U1898" t="str">
        <x:v>"</x:v>
      </x:c>
      <x:c r="V1898" t="str">
        <x:v>484220724794095</x:v>
      </x:c>
    </x:row>
    <x:row r="1899">
      <x:c r="A1899" t="str">
        <x:v>RAW-IMP-20260516-FULLDRAFT-001882</x:v>
      </x:c>
      <x:c r="B1899" t="str">
        <x:v>IMP-20260516-FULLDRAFT</x:v>
      </x:c>
      <x:c r="C1899" t="str">
        <x:v>KTO001</x:v>
      </x:c>
      <x:c r="D1899" t="str">
        <x:v>16-05-2026_Umsatzliste_Girokonto_DE98120300001061711675.csv</x:v>
      </x:c>
      <x:c r="E1899" t="n">
        <x:v>46163</x:v>
      </x:c>
      <x:c r="F1899" t="n">
        <x:v>1882</x:v>
      </x:c>
      <x:c r="G1899" t="str">
        <x:v>8f5997fed6b188cf0b3d1c2e7e828ff2f0903cd0036dbf86d9b906837d8738c8</x:v>
      </x:c>
      <x:c r="H1899" t="str">
        <x:v>neu</x:v>
      </x:c>
      <x:c r="I1899" t="str">
        <x:v>ok</x:v>
      </x:c>
      <x:c r="J1899"/>
      <x:c r="K1899" t="n">
        <x:v>45512</x:v>
      </x:c>
      <x:c r="L1899" t="n">
        <x:v>45512</x:v>
      </x:c>
      <x:c r="M1899" t="str">
        <x:v>Gebucht</x:v>
      </x:c>
      <x:c r="N1899" t="str">
        <x:v>Lars Kohlenberg</x:v>
      </x:c>
      <x:c r="O1899" t="str">
        <x:v>Gymnasium SalzgitterBad</x:v>
      </x:c>
      <x:c r="P1899" t="str">
        <x:v>3463 9140 890 Kohlenberg Jan Niklas 8FL3</x:v>
      </x:c>
      <x:c r="Q1899" t="str">
        <x:v>Ausgang</x:v>
      </x:c>
      <x:c r="R1899" t="str">
        <x:v>DE97259501300177005709</x:v>
      </x:c>
      <x:c r="S1899" t="n">
        <x:v>-15</x:v>
      </x:c>
      <x:c r="T1899" t="str">
        <x:v>"</x:v>
      </x:c>
      <x:c r="U1899" t="str">
        <x:v>"</x:v>
      </x:c>
      <x:c r="V1899" t="str">
        <x:v>"</x:v>
      </x:c>
    </x:row>
    <x:row r="1900">
      <x:c r="A1900" t="str">
        <x:v>RAW-IMP-20260516-FULLDRAFT-001883</x:v>
      </x:c>
      <x:c r="B1900" t="str">
        <x:v>IMP-20260516-FULLDRAFT</x:v>
      </x:c>
      <x:c r="C1900" t="str">
        <x:v>KTO001</x:v>
      </x:c>
      <x:c r="D1900" t="str">
        <x:v>16-05-2026_Umsatzliste_Girokonto_DE98120300001061711675.csv</x:v>
      </x:c>
      <x:c r="E1900" t="n">
        <x:v>46163</x:v>
      </x:c>
      <x:c r="F1900" t="n">
        <x:v>1883</x:v>
      </x:c>
      <x:c r="G1900" t="str">
        <x:v>5b11abc78ae6d1a6d341f9868651da1747fa0685962a39e585167da0cb4a2014</x:v>
      </x:c>
      <x:c r="H1900" t="str">
        <x:v>neu</x:v>
      </x:c>
      <x:c r="I1900" t="str">
        <x:v>ok</x:v>
      </x:c>
      <x:c r="J1900"/>
      <x:c r="K1900" t="n">
        <x:v>45512</x:v>
      </x:c>
      <x:c r="L1900" t="n">
        <x:v>45512</x:v>
      </x:c>
      <x:c r="M1900" t="str">
        <x:v>Gebucht</x:v>
      </x:c>
      <x:c r="N1900" t="str">
        <x:v>Lars Kohlenberg</x:v>
      </x:c>
      <x:c r="O1900" t="str">
        <x:v>Gymnasium SalzgitterBad</x:v>
      </x:c>
      <x:c r="P1900" t="str">
        <x:v>1469 1758 47 Kohlenberg Lea Sophie 10F2</x:v>
      </x:c>
      <x:c r="Q1900" t="str">
        <x:v>Ausgang</x:v>
      </x:c>
      <x:c r="R1900" t="str">
        <x:v>DE97259501300177005709</x:v>
      </x:c>
      <x:c r="S1900" t="n">
        <x:v>-15</x:v>
      </x:c>
      <x:c r="T1900" t="str">
        <x:v>"</x:v>
      </x:c>
      <x:c r="U1900" t="str">
        <x:v>"</x:v>
      </x:c>
      <x:c r="V1900" t="str">
        <x:v>"</x:v>
      </x:c>
    </x:row>
    <x:row r="1901">
      <x:c r="A1901" t="str">
        <x:v>RAW-IMP-20260516-FULLDRAFT-001884</x:v>
      </x:c>
      <x:c r="B1901" t="str">
        <x:v>IMP-20260516-FULLDRAFT</x:v>
      </x:c>
      <x:c r="C1901" t="str">
        <x:v>KTO001</x:v>
      </x:c>
      <x:c r="D1901" t="str">
        <x:v>16-05-2026_Umsatzliste_Girokonto_DE98120300001061711675.csv</x:v>
      </x:c>
      <x:c r="E1901" t="n">
        <x:v>46163</x:v>
      </x:c>
      <x:c r="F1901" t="n">
        <x:v>1884</x:v>
      </x:c>
      <x:c r="G1901" t="str">
        <x:v>b08f2e5bfb94400760cf3e4146f9071b132eee9ec506041e6925eb3ba06107b5</x:v>
      </x:c>
      <x:c r="H1901" t="str">
        <x:v>neu</x:v>
      </x:c>
      <x:c r="I1901" t="str">
        <x:v>ok</x:v>
      </x:c>
      <x:c r="J1901"/>
      <x:c r="K1901" t="n">
        <x:v>45510</x:v>
      </x:c>
      <x:c r="L1901" t="n">
        <x:v>45510</x:v>
      </x:c>
      <x:c r="M1901" t="str">
        <x:v>Gebucht</x:v>
      </x:c>
      <x:c r="N1901" t="str">
        <x:v>ISSUER</x:v>
      </x:c>
      <x:c r="O1901" t="str">
        <x:v>PARKHAUS.STEINSTRASSE/BRAUNSCHWEIG</x:v>
      </x:c>
      <x:c r="P1901" t="str">
        <x:v>VISA Debitkartenumsatz vom 05.08.2024</x:v>
      </x:c>
      <x:c r="Q1901" t="str">
        <x:v>Ausgang</x:v>
      </x:c>
      <x:c r="R1901" t="str">
        <x:v>DE96120300009005290904</x:v>
      </x:c>
      <x:c r="S1901" t="n">
        <x:v>-1.8</x:v>
      </x:c>
      <x:c r="T1901" t="str">
        <x:v>"</x:v>
      </x:c>
      <x:c r="U1901" t="str">
        <x:v>"</x:v>
      </x:c>
      <x:c r="V1901" t="str">
        <x:v>484218592144005</x:v>
      </x:c>
    </x:row>
    <x:row r="1902">
      <x:c r="A1902" t="str">
        <x:v>RAW-IMP-20260516-FULLDRAFT-001885</x:v>
      </x:c>
      <x:c r="B1902" t="str">
        <x:v>IMP-20260516-FULLDRAFT</x:v>
      </x:c>
      <x:c r="C1902" t="str">
        <x:v>KTO001</x:v>
      </x:c>
      <x:c r="D1902" t="str">
        <x:v>16-05-2026_Umsatzliste_Girokonto_DE98120300001061711675.csv</x:v>
      </x:c>
      <x:c r="E1902" t="n">
        <x:v>46163</x:v>
      </x:c>
      <x:c r="F1902" t="n">
        <x:v>1885</x:v>
      </x:c>
      <x:c r="G1902" t="str">
        <x:v>b19e694d7d8e0b12ebd44685616d9353d545e26fc76d7c095ccde0858b9eb2fd</x:v>
      </x:c>
      <x:c r="H1902" t="str">
        <x:v>neu</x:v>
      </x:c>
      <x:c r="I1902" t="str">
        <x:v>ok</x:v>
      </x:c>
      <x:c r="J1902"/>
      <x:c r="K1902" t="n">
        <x:v>45510</x:v>
      </x:c>
      <x:c r="L1902" t="n">
        <x:v>45510</x:v>
      </x:c>
      <x:c r="M1902" t="str">
        <x:v>Gebucht</x:v>
      </x:c>
      <x:c r="N1902" t="str">
        <x:v>Lars Kohlenberg                                                       Johannes-Wosnitza-Str. 8</x:v>
      </x:c>
      <x:c r="O1902" t="str">
        <x:v>Telekom Deutschland GmbH                                              Landgrabenweg 151</x:v>
      </x:c>
      <x:c r="P1902" t="str">
        <x:v>Festnetz Vertragskonto 4763666565 RG 7628680797/26.07.2024</x:v>
      </x:c>
      <x:c r="Q1902" t="str">
        <x:v>Ausgang</x:v>
      </x:c>
      <x:c r="R1902" t="str">
        <x:v>DE68700202700667302269</x:v>
      </x:c>
      <x:c r="S1902" t="n">
        <x:v>-61.94</x:v>
      </x:c>
      <x:c r="T1902" t="str">
        <x:v>DE93ZZZ00000078611</x:v>
      </x:c>
      <x:c r="U1902" t="str">
        <x:v>DE000201000200000000000000012966156</x:v>
      </x:c>
      <x:c r="V1902" t="str">
        <x:v>Zahlbeleg 322818409560</x:v>
      </x:c>
    </x:row>
    <x:row r="1903">
      <x:c r="A1903" t="str">
        <x:v>RAW-IMP-20260516-FULLDRAFT-001886</x:v>
      </x:c>
      <x:c r="B1903" t="str">
        <x:v>IMP-20260516-FULLDRAFT</x:v>
      </x:c>
      <x:c r="C1903" t="str">
        <x:v>KTO001</x:v>
      </x:c>
      <x:c r="D1903" t="str">
        <x:v>16-05-2026_Umsatzliste_Girokonto_DE98120300001061711675.csv</x:v>
      </x:c>
      <x:c r="E1903" t="n">
        <x:v>46163</x:v>
      </x:c>
      <x:c r="F1903" t="n">
        <x:v>1886</x:v>
      </x:c>
      <x:c r="G1903" t="str">
        <x:v>a1edf55f23636afd874ee177cf80a61aee3272f342bac280581c1981c1a5c33c</x:v>
      </x:c>
      <x:c r="H1903" t="str">
        <x:v>neu</x:v>
      </x:c>
      <x:c r="I1903" t="str">
        <x:v>ok</x:v>
      </x:c>
      <x:c r="J1903"/>
      <x:c r="K1903" t="n">
        <x:v>45510</x:v>
      </x:c>
      <x:c r="L1903" t="n">
        <x:v>45510</x:v>
      </x:c>
      <x:c r="M1903" t="str">
        <x:v>Gebucht</x:v>
      </x:c>
      <x:c r="N1903" t="str">
        <x:v>Lars Kohlenberg</x:v>
      </x:c>
      <x:c r="O1903" t="str">
        <x:v>Iman Firat</x:v>
      </x:c>
      <x:c r="P1903" t="str">
        <x:v>2230 Lea Kohlenberg</x:v>
      </x:c>
      <x:c r="Q1903" t="str">
        <x:v>Ausgang</x:v>
      </x:c>
      <x:c r="R1903" t="str">
        <x:v>DE67269910662694298000</x:v>
      </x:c>
      <x:c r="S1903" t="n">
        <x:v>-49.9</x:v>
      </x:c>
      <x:c r="T1903" t="str">
        <x:v>"</x:v>
      </x:c>
      <x:c r="U1903" t="str">
        <x:v>"</x:v>
      </x:c>
      <x:c r="V1903" t="str">
        <x:v>"</x:v>
      </x:c>
    </x:row>
    <x:row r="1904">
      <x:c r="A1904" t="str">
        <x:v>RAW-IMP-20260516-FULLDRAFT-001887</x:v>
      </x:c>
      <x:c r="B1904" t="str">
        <x:v>IMP-20260516-FULLDRAFT</x:v>
      </x:c>
      <x:c r="C1904" t="str">
        <x:v>KTO001</x:v>
      </x:c>
      <x:c r="D1904" t="str">
        <x:v>16-05-2026_Umsatzliste_Girokonto_DE98120300001061711675.csv</x:v>
      </x:c>
      <x:c r="E1904" t="n">
        <x:v>46163</x:v>
      </x:c>
      <x:c r="F1904" t="n">
        <x:v>1887</x:v>
      </x:c>
      <x:c r="G1904" t="str">
        <x:v>a43d451e7219855f0a68d8b6402de0991e0ab6891f4bdfee310db35ac3e23b37</x:v>
      </x:c>
      <x:c r="H1904" t="str">
        <x:v>neu</x:v>
      </x:c>
      <x:c r="I1904" t="str">
        <x:v>ok</x:v>
      </x:c>
      <x:c r="J1904"/>
      <x:c r="K1904" t="n">
        <x:v>45509</x:v>
      </x:c>
      <x:c r="L1904" t="n">
        <x:v>45509</x:v>
      </x:c>
      <x:c r="M1904" t="str">
        <x:v>Gebucht</x:v>
      </x:c>
      <x:c r="N1904" t="str">
        <x:v>ISSUER</x:v>
      </x:c>
      <x:c r="O1904" t="str">
        <x:v>METRO.SAGT.DANKE/BRAUNSCHWEIG</x:v>
      </x:c>
      <x:c r="P1904" t="str">
        <x:v>VISA Debitkartenumsatz vom 03.08.2024</x:v>
      </x:c>
      <x:c r="Q1904" t="str">
        <x:v>Ausgang</x:v>
      </x:c>
      <x:c r="R1904" t="str">
        <x:v>DE96120300009005290904</x:v>
      </x:c>
      <x:c r="S1904" t="n">
        <x:v>-71.54</x:v>
      </x:c>
      <x:c r="T1904" t="str">
        <x:v>"</x:v>
      </x:c>
      <x:c r="U1904" t="str">
        <x:v>"</x:v>
      </x:c>
      <x:c r="V1904" t="str">
        <x:v>484216534118414</x:v>
      </x:c>
    </x:row>
    <x:row r="1905">
      <x:c r="A1905" t="str">
        <x:v>RAW-IMP-20260516-FULLDRAFT-001888</x:v>
      </x:c>
      <x:c r="B1905" t="str">
        <x:v>IMP-20260516-FULLDRAFT</x:v>
      </x:c>
      <x:c r="C1905" t="str">
        <x:v>KTO001</x:v>
      </x:c>
      <x:c r="D1905" t="str">
        <x:v>16-05-2026_Umsatzliste_Girokonto_DE98120300001061711675.csv</x:v>
      </x:c>
      <x:c r="E1905" t="n">
        <x:v>46163</x:v>
      </x:c>
      <x:c r="F1905" t="n">
        <x:v>1888</x:v>
      </x:c>
      <x:c r="G1905" t="str">
        <x:v>55753297711d0f1f4e460869096b5d511393af768d3164f5bc634d68ecc3da4f</x:v>
      </x:c>
      <x:c r="H1905" t="str">
        <x:v>neu</x:v>
      </x:c>
      <x:c r="I1905" t="str">
        <x:v>ok</x:v>
      </x:c>
      <x:c r="J1905"/>
      <x:c r="K1905" t="n">
        <x:v>45509</x:v>
      </x:c>
      <x:c r="L1905" t="n">
        <x:v>45509</x:v>
      </x:c>
      <x:c r="M1905" t="str">
        <x:v>Gebucht</x:v>
      </x:c>
      <x:c r="N1905" t="str">
        <x:v>ISSUER</x:v>
      </x:c>
      <x:c r="O1905" t="str">
        <x:v>XXXLUTZ.BRAUNSCHWEIG/BRAUNSCHWEIG</x:v>
      </x:c>
      <x:c r="P1905" t="str">
        <x:v>VISA Debitkartenumsatz vom 03.08.2024</x:v>
      </x:c>
      <x:c r="Q1905" t="str">
        <x:v>Ausgang</x:v>
      </x:c>
      <x:c r="R1905" t="str">
        <x:v>DE96120300009005290904</x:v>
      </x:c>
      <x:c r="S1905" t="n">
        <x:v>-29.99</x:v>
      </x:c>
      <x:c r="T1905" t="str">
        <x:v>"</x:v>
      </x:c>
      <x:c r="U1905" t="str">
        <x:v>"</x:v>
      </x:c>
      <x:c r="V1905" t="str">
        <x:v>484216410907777</x:v>
      </x:c>
    </x:row>
    <x:row r="1906">
      <x:c r="A1906" t="str">
        <x:v>RAW-IMP-20260516-FULLDRAFT-001889</x:v>
      </x:c>
      <x:c r="B1906" t="str">
        <x:v>IMP-20260516-FULLDRAFT</x:v>
      </x:c>
      <x:c r="C1906" t="str">
        <x:v>KTO001</x:v>
      </x:c>
      <x:c r="D1906" t="str">
        <x:v>16-05-2026_Umsatzliste_Girokonto_DE98120300001061711675.csv</x:v>
      </x:c>
      <x:c r="E1906" t="n">
        <x:v>46163</x:v>
      </x:c>
      <x:c r="F1906" t="n">
        <x:v>1889</x:v>
      </x:c>
      <x:c r="G1906" t="str">
        <x:v>2a7b9bf594fd65d3347641affd27fa648e54f8f68d84ae0e3b20a1e000be6c3a</x:v>
      </x:c>
      <x:c r="H1906" t="str">
        <x:v>neu</x:v>
      </x:c>
      <x:c r="I1906" t="str">
        <x:v>ok</x:v>
      </x:c>
      <x:c r="J1906"/>
      <x:c r="K1906" t="n">
        <x:v>45509</x:v>
      </x:c>
      <x:c r="L1906" t="n">
        <x:v>45509</x:v>
      </x:c>
      <x:c r="M1906" t="str">
        <x:v>Gebucht</x:v>
      </x:c>
      <x:c r="N1906" t="str">
        <x:v>ISSUER</x:v>
      </x:c>
      <x:c r="O1906" t="str">
        <x:v>GAERTNEREI.STARKE/SALZGITTER</x:v>
      </x:c>
      <x:c r="P1906" t="str">
        <x:v>VISA Debitkartenumsatz vom 03.08.2024</x:v>
      </x:c>
      <x:c r="Q1906" t="str">
        <x:v>Ausgang</x:v>
      </x:c>
      <x:c r="R1906" t="str">
        <x:v>DE96120300009005290904</x:v>
      </x:c>
      <x:c r="S1906" t="n">
        <x:v>-7.5</x:v>
      </x:c>
      <x:c r="T1906" t="str">
        <x:v>"</x:v>
      </x:c>
      <x:c r="U1906" t="str">
        <x:v>"</x:v>
      </x:c>
      <x:c r="V1906" t="str">
        <x:v>484216301963089</x:v>
      </x:c>
    </x:row>
    <x:row r="1907">
      <x:c r="A1907" t="str">
        <x:v>RAW-IMP-20260516-FULLDRAFT-001890</x:v>
      </x:c>
      <x:c r="B1907" t="str">
        <x:v>IMP-20260516-FULLDRAFT</x:v>
      </x:c>
      <x:c r="C1907" t="str">
        <x:v>KTO001</x:v>
      </x:c>
      <x:c r="D1907" t="str">
        <x:v>16-05-2026_Umsatzliste_Girokonto_DE98120300001061711675.csv</x:v>
      </x:c>
      <x:c r="E1907" t="n">
        <x:v>46163</x:v>
      </x:c>
      <x:c r="F1907" t="n">
        <x:v>1890</x:v>
      </x:c>
      <x:c r="G1907" t="str">
        <x:v>bc5d843417298f39fb5c7afa5c95b3b76ba825f585faa7dfd97fac8bd74a0d77</x:v>
      </x:c>
      <x:c r="H1907" t="str">
        <x:v>neu</x:v>
      </x:c>
      <x:c r="I1907" t="str">
        <x:v>ok</x:v>
      </x:c>
      <x:c r="J1907"/>
      <x:c r="K1907" t="n">
        <x:v>45509</x:v>
      </x:c>
      <x:c r="L1907" t="n">
        <x:v>45509</x:v>
      </x:c>
      <x:c r="M1907" t="str">
        <x:v>Gebucht</x:v>
      </x:c>
      <x:c r="N1907" t="str">
        <x:v>ISSUER</x:v>
      </x:c>
      <x:c r="O1907" t="str">
        <x:v>BOSPORUS.GRILL/SALZGITTER</x:v>
      </x:c>
      <x:c r="P1907" t="str">
        <x:v>VISA Debitkartenumsatz vom 02.08.2024</x:v>
      </x:c>
      <x:c r="Q1907" t="str">
        <x:v>Ausgang</x:v>
      </x:c>
      <x:c r="R1907" t="str">
        <x:v>DE96120300009005290904</x:v>
      </x:c>
      <x:c r="S1907" t="n">
        <x:v>-19.5</x:v>
      </x:c>
      <x:c r="T1907" t="str">
        <x:v>"</x:v>
      </x:c>
      <x:c r="U1907" t="str">
        <x:v>"</x:v>
      </x:c>
      <x:c r="V1907" t="str">
        <x:v>484215654820941</x:v>
      </x:c>
    </x:row>
    <x:row r="1908">
      <x:c r="A1908" t="str">
        <x:v>RAW-IMP-20260516-FULLDRAFT-001891</x:v>
      </x:c>
      <x:c r="B1908" t="str">
        <x:v>IMP-20260516-FULLDRAFT</x:v>
      </x:c>
      <x:c r="C1908" t="str">
        <x:v>KTO001</x:v>
      </x:c>
      <x:c r="D1908" t="str">
        <x:v>16-05-2026_Umsatzliste_Girokonto_DE98120300001061711675.csv</x:v>
      </x:c>
      <x:c r="E1908" t="n">
        <x:v>46163</x:v>
      </x:c>
      <x:c r="F1908" t="n">
        <x:v>1891</x:v>
      </x:c>
      <x:c r="G1908" t="str">
        <x:v>af309dd42f478940135a50e20b2553c17b940c2a00ea9d6ded46281651e31cfe</x:v>
      </x:c>
      <x:c r="H1908" t="str">
        <x:v>neu</x:v>
      </x:c>
      <x:c r="I1908" t="str">
        <x:v>ok</x:v>
      </x:c>
      <x:c r="J1908"/>
      <x:c r="K1908" t="n">
        <x:v>45509</x:v>
      </x:c>
      <x:c r="L1908" t="n">
        <x:v>45509</x:v>
      </x:c>
      <x:c r="M1908" t="str">
        <x:v>Gebucht</x:v>
      </x:c>
      <x:c r="N1908" t="str">
        <x:v>ISSUER</x:v>
      </x:c>
      <x:c r="O1908" t="str">
        <x:v>REWE.Salzgitter.Ge/Salzgitter</x:v>
      </x:c>
      <x:c r="P1908" t="str">
        <x:v>VISA Debitkartenumsatz vom 03.08.2024</x:v>
      </x:c>
      <x:c r="Q1908" t="str">
        <x:v>Ausgang</x:v>
      </x:c>
      <x:c r="R1908" t="str">
        <x:v>DE96120300009005290904</x:v>
      </x:c>
      <x:c r="S1908" t="n">
        <x:v>-36.82</x:v>
      </x:c>
      <x:c r="T1908" t="str">
        <x:v>"</x:v>
      </x:c>
      <x:c r="U1908" t="str">
        <x:v>"</x:v>
      </x:c>
      <x:c r="V1908" t="str">
        <x:v>484216598626625</x:v>
      </x:c>
    </x:row>
    <x:row r="1909">
      <x:c r="A1909" t="str">
        <x:v>RAW-IMP-20260516-FULLDRAFT-001892</x:v>
      </x:c>
      <x:c r="B1909" t="str">
        <x:v>IMP-20260516-FULLDRAFT</x:v>
      </x:c>
      <x:c r="C1909" t="str">
        <x:v>KTO001</x:v>
      </x:c>
      <x:c r="D1909" t="str">
        <x:v>16-05-2026_Umsatzliste_Girokonto_DE98120300001061711675.csv</x:v>
      </x:c>
      <x:c r="E1909" t="n">
        <x:v>46163</x:v>
      </x:c>
      <x:c r="F1909" t="n">
        <x:v>1892</x:v>
      </x:c>
      <x:c r="G1909" t="str">
        <x:v>6b37902ecc09406922ab429dc6026daad8a48467eb65fdef880a1755ed1bb6ee</x:v>
      </x:c>
      <x:c r="H1909" t="str">
        <x:v>neu</x:v>
      </x:c>
      <x:c r="I1909" t="str">
        <x:v>ok</x:v>
      </x:c>
      <x:c r="J1909"/>
      <x:c r="K1909" t="n">
        <x:v>45509</x:v>
      </x:c>
      <x:c r="L1909" t="n">
        <x:v>45509</x:v>
      </x:c>
      <x:c r="M1909" t="str">
        <x:v>Gebucht</x:v>
      </x:c>
      <x:c r="N1909" t="str">
        <x:v>ISSUER</x:v>
      </x:c>
      <x:c r="O1909" t="str">
        <x:v>Prime.Video..885BG5TA5/442.011518546</x:v>
      </x:c>
      <x:c r="P1909" t="str">
        <x:v>VISA Debitkartenumsatz vom 02.08.2024</x:v>
      </x:c>
      <x:c r="Q1909" t="str">
        <x:v>Ausgang</x:v>
      </x:c>
      <x:c r="R1909" t="str">
        <x:v>DE96120300009005290904</x:v>
      </x:c>
      <x:c r="S1909" t="n">
        <x:v>-3.99</x:v>
      </x:c>
      <x:c r="T1909" t="str">
        <x:v>"</x:v>
      </x:c>
      <x:c r="U1909" t="str">
        <x:v>"</x:v>
      </x:c>
      <x:c r="V1909" t="str">
        <x:v>484215672369235</x:v>
      </x:c>
    </x:row>
    <x:row r="1910">
      <x:c r="A1910" t="str">
        <x:v>RAW-IMP-20260516-FULLDRAFT-001893</x:v>
      </x:c>
      <x:c r="B1910" t="str">
        <x:v>IMP-20260516-FULLDRAFT</x:v>
      </x:c>
      <x:c r="C1910" t="str">
        <x:v>KTO001</x:v>
      </x:c>
      <x:c r="D1910" t="str">
        <x:v>16-05-2026_Umsatzliste_Girokonto_DE98120300001061711675.csv</x:v>
      </x:c>
      <x:c r="E1910" t="n">
        <x:v>46163</x:v>
      </x:c>
      <x:c r="F1910" t="n">
        <x:v>1893</x:v>
      </x:c>
      <x:c r="G1910" t="str">
        <x:v>6afb8bc3d314a4b5b073ec9ba94e6651ce019669861d716eba1f9b287e517df3</x:v>
      </x:c>
      <x:c r="H1910" t="str">
        <x:v>neu</x:v>
      </x:c>
      <x:c r="I1910" t="str">
        <x:v>ok</x:v>
      </x:c>
      <x:c r="J1910"/>
      <x:c r="K1910" t="n">
        <x:v>45509</x:v>
      </x:c>
      <x:c r="L1910" t="n">
        <x:v>45509</x:v>
      </x:c>
      <x:c r="M1910" t="str">
        <x:v>Gebucht</x:v>
      </x:c>
      <x:c r="N1910" t="str">
        <x:v>ISSUER</x:v>
      </x:c>
      <x:c r="O1910" t="str">
        <x:v>IF.IKEA.117.BRAUNSCHWEI/BRAUNSCHWEIG</x:v>
      </x:c>
      <x:c r="P1910" t="str">
        <x:v>VISA Debitkartenumsatz vom 03.08.2024</x:v>
      </x:c>
      <x:c r="Q1910" t="str">
        <x:v>Ausgang</x:v>
      </x:c>
      <x:c r="R1910" t="str">
        <x:v>DE96120300009005290904</x:v>
      </x:c>
      <x:c r="S1910" t="n">
        <x:v>-17.65</x:v>
      </x:c>
      <x:c r="T1910" t="str">
        <x:v>"</x:v>
      </x:c>
      <x:c r="U1910" t="str">
        <x:v>"</x:v>
      </x:c>
      <x:c r="V1910" t="str">
        <x:v>484216423875071</x:v>
      </x:c>
    </x:row>
    <x:row r="1911">
      <x:c r="A1911" t="str">
        <x:v>RAW-IMP-20260516-FULLDRAFT-001894</x:v>
      </x:c>
      <x:c r="B1911" t="str">
        <x:v>IMP-20260516-FULLDRAFT</x:v>
      </x:c>
      <x:c r="C1911" t="str">
        <x:v>KTO001</x:v>
      </x:c>
      <x:c r="D1911" t="str">
        <x:v>16-05-2026_Umsatzliste_Girokonto_DE98120300001061711675.csv</x:v>
      </x:c>
      <x:c r="E1911" t="n">
        <x:v>46163</x:v>
      </x:c>
      <x:c r="F1911" t="n">
        <x:v>1894</x:v>
      </x:c>
      <x:c r="G1911" t="str">
        <x:v>6e0f52f5d6c57d7c98171c69b181c256e822004026373277d0f5160bd56fb326</x:v>
      </x:c>
      <x:c r="H1911" t="str">
        <x:v>neu</x:v>
      </x:c>
      <x:c r="I1911" t="str">
        <x:v>ok</x:v>
      </x:c>
      <x:c r="J1911"/>
      <x:c r="K1911" t="n">
        <x:v>45509</x:v>
      </x:c>
      <x:c r="L1911" t="n">
        <x:v>45509</x:v>
      </x:c>
      <x:c r="M1911" t="str">
        <x:v>Gebucht</x:v>
      </x:c>
      <x:c r="N1911" t="str">
        <x:v>ISSUER</x:v>
      </x:c>
      <x:c r="O1911" t="str">
        <x:v>IF.SFM.IKEA.117.BRAUNSC/BRAUNSCHWEIG</x:v>
      </x:c>
      <x:c r="P1911" t="str">
        <x:v>VISA Debitkartenumsatz vom 03.08.2024</x:v>
      </x:c>
      <x:c r="Q1911" t="str">
        <x:v>Ausgang</x:v>
      </x:c>
      <x:c r="R1911" t="str">
        <x:v>DE96120300009005290904</x:v>
      </x:c>
      <x:c r="S1911" t="n">
        <x:v>-11.47</x:v>
      </x:c>
      <x:c r="T1911" t="str">
        <x:v>"</x:v>
      </x:c>
      <x:c r="U1911" t="str">
        <x:v>"</x:v>
      </x:c>
      <x:c r="V1911" t="str">
        <x:v>484216463950615</x:v>
      </x:c>
    </x:row>
    <x:row r="1912">
      <x:c r="A1912" t="str">
        <x:v>RAW-IMP-20260516-FULLDRAFT-001895</x:v>
      </x:c>
      <x:c r="B1912" t="str">
        <x:v>IMP-20260516-FULLDRAFT</x:v>
      </x:c>
      <x:c r="C1912" t="str">
        <x:v>KTO001</x:v>
      </x:c>
      <x:c r="D1912" t="str">
        <x:v>16-05-2026_Umsatzliste_Girokonto_DE98120300001061711675.csv</x:v>
      </x:c>
      <x:c r="E1912" t="n">
        <x:v>46163</x:v>
      </x:c>
      <x:c r="F1912" t="n">
        <x:v>1895</x:v>
      </x:c>
      <x:c r="G1912" t="str">
        <x:v>1558fa18ea9c21ba4e9e8f849634712f3c6fc2e096fcea8de86866ee34135f9a</x:v>
      </x:c>
      <x:c r="H1912" t="str">
        <x:v>neu</x:v>
      </x:c>
      <x:c r="I1912" t="str">
        <x:v>ok</x:v>
      </x:c>
      <x:c r="J1912"/>
      <x:c r="K1912" t="n">
        <x:v>45509</x:v>
      </x:c>
      <x:c r="L1912" t="n">
        <x:v>45509</x:v>
      </x:c>
      <x:c r="M1912" t="str">
        <x:v>Gebucht</x:v>
      </x:c>
      <x:c r="N1912" t="str">
        <x:v>ISSUER</x:v>
      </x:c>
      <x:c r="O1912" t="str">
        <x:v>HFB.ECO.IKEA.117.BRAUNS/BRAUNSCHWEIG</x:v>
      </x:c>
      <x:c r="P1912" t="str">
        <x:v>VISA Debitkartenumsatz vom 03.08.2024</x:v>
      </x:c>
      <x:c r="Q1912" t="str">
        <x:v>Ausgang</x:v>
      </x:c>
      <x:c r="R1912" t="str">
        <x:v>DE96120300009005290904</x:v>
      </x:c>
      <x:c r="S1912" t="n">
        <x:v>-186.94</x:v>
      </x:c>
      <x:c r="T1912" t="str">
        <x:v>"</x:v>
      </x:c>
      <x:c r="U1912" t="str">
        <x:v>"</x:v>
      </x:c>
      <x:c r="V1912" t="str">
        <x:v>484216462998691</x:v>
      </x:c>
    </x:row>
    <x:row r="1913">
      <x:c r="A1913" t="str">
        <x:v>RAW-IMP-20260516-FULLDRAFT-001896</x:v>
      </x:c>
      <x:c r="B1913" t="str">
        <x:v>IMP-20260516-FULLDRAFT</x:v>
      </x:c>
      <x:c r="C1913" t="str">
        <x:v>KTO001</x:v>
      </x:c>
      <x:c r="D1913" t="str">
        <x:v>16-05-2026_Umsatzliste_Girokonto_DE98120300001061711675.csv</x:v>
      </x:c>
      <x:c r="E1913" t="n">
        <x:v>46163</x:v>
      </x:c>
      <x:c r="F1913" t="n">
        <x:v>1896</x:v>
      </x:c>
      <x:c r="G1913" t="str">
        <x:v>cc68c2956e306aac8a79309cdccc415d647c3fadcd888e34ce4f1a8a6b2c7832</x:v>
      </x:c>
      <x:c r="H1913" t="str">
        <x:v>neu</x:v>
      </x:c>
      <x:c r="I1913" t="str">
        <x:v>ok</x:v>
      </x:c>
      <x:c r="J1913"/>
      <x:c r="K1913" t="n">
        <x:v>45509</x:v>
      </x:c>
      <x:c r="L1913" t="n">
        <x:v>45509</x:v>
      </x:c>
      <x:c r="M1913" t="str">
        <x:v>Gebucht</x:v>
      </x:c>
      <x:c r="N1913" t="str">
        <x:v>ISSUER</x:v>
      </x:c>
      <x:c r="O1913" t="str">
        <x:v>PAYPAL..2sky/Visa.Direct</x:v>
      </x:c>
      <x:c r="P1913" t="str">
        <x:v>VISA Debitkartenumsatz vom 03.08.2024</x:v>
      </x:c>
      <x:c r="Q1913" t="str">
        <x:v>Ausgang</x:v>
      </x:c>
      <x:c r="R1913" t="str">
        <x:v>DE96120300009005290904</x:v>
      </x:c>
      <x:c r="S1913" t="n">
        <x:v>-205.66</x:v>
      </x:c>
      <x:c r="T1913" t="str">
        <x:v>"</x:v>
      </x:c>
      <x:c r="U1913" t="str">
        <x:v>"</x:v>
      </x:c>
      <x:c r="V1913" t="str">
        <x:v>304216419940411</x:v>
      </x:c>
    </x:row>
    <x:row r="1914">
      <x:c r="A1914" t="str">
        <x:v>RAW-IMP-20260516-FULLDRAFT-001897</x:v>
      </x:c>
      <x:c r="B1914" t="str">
        <x:v>IMP-20260516-FULLDRAFT</x:v>
      </x:c>
      <x:c r="C1914" t="str">
        <x:v>KTO001</x:v>
      </x:c>
      <x:c r="D1914" t="str">
        <x:v>16-05-2026_Umsatzliste_Girokonto_DE98120300001061711675.csv</x:v>
      </x:c>
      <x:c r="E1914" t="n">
        <x:v>46163</x:v>
      </x:c>
      <x:c r="F1914" t="n">
        <x:v>1897</x:v>
      </x:c>
      <x:c r="G1914" t="str">
        <x:v>7294e0cebee3e4f2f8c0e552d296319b153a90e7445acb82131256f915b3c70d</x:v>
      </x:c>
      <x:c r="H1914" t="str">
        <x:v>neu</x:v>
      </x:c>
      <x:c r="I1914" t="str">
        <x:v>ok</x:v>
      </x:c>
      <x:c r="J1914"/>
      <x:c r="K1914" t="n">
        <x:v>45509</x:v>
      </x:c>
      <x:c r="L1914" t="n">
        <x:v>45509</x:v>
      </x:c>
      <x:c r="M1914" t="str">
        <x:v>Gebucht</x:v>
      </x:c>
      <x:c r="N1914" t="str">
        <x:v>ISSUER</x:v>
      </x:c>
      <x:c r="O1914" t="str">
        <x:v>Hornbach.Baumarkt.AG.FI/Braunschweig</x:v>
      </x:c>
      <x:c r="P1914" t="str">
        <x:v>VISA Debitkartenumsatz vom 03.08.2024</x:v>
      </x:c>
      <x:c r="Q1914" t="str">
        <x:v>Ausgang</x:v>
      </x:c>
      <x:c r="R1914" t="str">
        <x:v>DE96120300009005290904</x:v>
      </x:c>
      <x:c r="S1914" t="n">
        <x:v>-172.27</x:v>
      </x:c>
      <x:c r="T1914" t="str">
        <x:v>"</x:v>
      </x:c>
      <x:c r="U1914" t="str">
        <x:v>"</x:v>
      </x:c>
      <x:c r="V1914" t="str">
        <x:v>484216506495567</x:v>
      </x:c>
    </x:row>
    <x:row r="1915">
      <x:c r="A1915" t="str">
        <x:v>RAW-IMP-20260516-FULLDRAFT-001898</x:v>
      </x:c>
      <x:c r="B1915" t="str">
        <x:v>IMP-20260516-FULLDRAFT</x:v>
      </x:c>
      <x:c r="C1915" t="str">
        <x:v>KTO001</x:v>
      </x:c>
      <x:c r="D1915" t="str">
        <x:v>16-05-2026_Umsatzliste_Girokonto_DE98120300001061711675.csv</x:v>
      </x:c>
      <x:c r="E1915" t="n">
        <x:v>46163</x:v>
      </x:c>
      <x:c r="F1915" t="n">
        <x:v>1898</x:v>
      </x:c>
      <x:c r="G1915" t="str">
        <x:v>137e46c90c5a68dffa3908b1a3e5adb9624243446d242a7331c93530fc3e4d4b</x:v>
      </x:c>
      <x:c r="H1915" t="str">
        <x:v>neu</x:v>
      </x:c>
      <x:c r="I1915" t="str">
        <x:v>ok</x:v>
      </x:c>
      <x:c r="J1915"/>
      <x:c r="K1915" t="n">
        <x:v>45509</x:v>
      </x:c>
      <x:c r="L1915" t="n">
        <x:v>45509</x:v>
      </x:c>
      <x:c r="M1915" t="str">
        <x:v>Gebucht</x:v>
      </x:c>
      <x:c r="N1915" t="str">
        <x:v>ISSUER</x:v>
      </x:c>
      <x:c r="O1915" t="str">
        <x:v>AGRAVIS.Bauservice.Gmb/Salzgitter</x:v>
      </x:c>
      <x:c r="P1915" t="str">
        <x:v>VISA Debitkartenumsatz vom 03.08.2024</x:v>
      </x:c>
      <x:c r="Q1915" t="str">
        <x:v>Ausgang</x:v>
      </x:c>
      <x:c r="R1915" t="str">
        <x:v>DE96120300009005290904</x:v>
      </x:c>
      <x:c r="S1915" t="n">
        <x:v>-6.07</x:v>
      </x:c>
      <x:c r="T1915" t="str">
        <x:v>"</x:v>
      </x:c>
      <x:c r="U1915" t="str">
        <x:v>"</x:v>
      </x:c>
      <x:c r="V1915" t="str">
        <x:v>484216314039882</x:v>
      </x:c>
    </x:row>
    <x:row r="1916">
      <x:c r="A1916" t="str">
        <x:v>RAW-IMP-20260516-FULLDRAFT-001899</x:v>
      </x:c>
      <x:c r="B1916" t="str">
        <x:v>IMP-20260516-FULLDRAFT</x:v>
      </x:c>
      <x:c r="C1916" t="str">
        <x:v>KTO001</x:v>
      </x:c>
      <x:c r="D1916" t="str">
        <x:v>16-05-2026_Umsatzliste_Girokonto_DE98120300001061711675.csv</x:v>
      </x:c>
      <x:c r="E1916" t="n">
        <x:v>46163</x:v>
      </x:c>
      <x:c r="F1916" t="n">
        <x:v>1899</x:v>
      </x:c>
      <x:c r="G1916" t="str">
        <x:v>d4d046b2738c67d0661a6e9996ffa2b6a01e899ea8a02127fd40b8f3903041ce</x:v>
      </x:c>
      <x:c r="H1916" t="str">
        <x:v>neu</x:v>
      </x:c>
      <x:c r="I1916" t="str">
        <x:v>ok</x:v>
      </x:c>
      <x:c r="J1916"/>
      <x:c r="K1916" t="n">
        <x:v>45506</x:v>
      </x:c>
      <x:c r="L1916" t="n">
        <x:v>45506</x:v>
      </x:c>
      <x:c r="M1916" t="str">
        <x:v>Gebucht</x:v>
      </x:c>
      <x:c r="N1916" t="str">
        <x:v>Lars Kohlenberg                                                       Johannes-Wosnitza-Str. 8</x:v>
      </x:c>
      <x:c r="O1916" t="str">
        <x:v>FUNKE Medien Nieders.GmbH</x:v>
      </x:c>
      <x:c r="P1916" t="str">
        <x:v>SZ/00001050/VA/01.08.24-31.08.24/Rg-Nr.:6315735080/Kd-Nr:0053112791/Steuer:3.57</x:v>
      </x:c>
      <x:c r="Q1916" t="str">
        <x:v>Ausgang</x:v>
      </x:c>
      <x:c r="R1916" t="str">
        <x:v>DE67250500000000146910</x:v>
      </x:c>
      <x:c r="S1916" t="n">
        <x:v>-54.5</x:v>
      </x:c>
      <x:c r="T1916" t="str">
        <x:v>DE8850000000483288</x:v>
      </x:c>
      <x:c r="U1916" t="str">
        <x:v>0053112791-0500-01300001</x:v>
      </x:c>
      <x:c r="V1916" t="str">
        <x:v>032007389222</x:v>
      </x:c>
    </x:row>
    <x:row r="1917">
      <x:c r="A1917" t="str">
        <x:v>RAW-IMP-20260516-FULLDRAFT-001900</x:v>
      </x:c>
      <x:c r="B1917" t="str">
        <x:v>IMP-20260516-FULLDRAFT</x:v>
      </x:c>
      <x:c r="C1917" t="str">
        <x:v>KTO001</x:v>
      </x:c>
      <x:c r="D1917" t="str">
        <x:v>16-05-2026_Umsatzliste_Girokonto_DE98120300001061711675.csv</x:v>
      </x:c>
      <x:c r="E1917" t="n">
        <x:v>46163</x:v>
      </x:c>
      <x:c r="F1917" t="n">
        <x:v>1900</x:v>
      </x:c>
      <x:c r="G1917" t="str">
        <x:v>9bf6d245d41144f198abe090698a96560738afda989e8be7e2f0543568ef295c</x:v>
      </x:c>
      <x:c r="H1917" t="str">
        <x:v>neu</x:v>
      </x:c>
      <x:c r="I1917" t="str">
        <x:v>ok</x:v>
      </x:c>
      <x:c r="J1917"/>
      <x:c r="K1917" t="n">
        <x:v>45506</x:v>
      </x:c>
      <x:c r="L1917" t="n">
        <x:v>45506</x:v>
      </x:c>
      <x:c r="M1917" t="str">
        <x:v>Gebucht</x:v>
      </x:c>
      <x:c r="N1917" t="str">
        <x:v>Lars Kohlenberg</x:v>
      </x:c>
      <x:c r="O1917" t="str">
        <x:v>VHV Allg. Versicherung AG</x:v>
      </x:c>
      <x:c r="P1917" t="str">
        <x:v>VHV Versicherung UNFALLVERSICHERUNG U 013-072445/0000 Abrechnung: 01.08.24 - 01.09.24</x:v>
      </x:c>
      <x:c r="Q1917" t="str">
        <x:v>Ausgang</x:v>
      </x:c>
      <x:c r="R1917" t="str">
        <x:v>DE65250500000101411551</x:v>
      </x:c>
      <x:c r="S1917" t="n">
        <x:v>-11.96</x:v>
      </x:c>
      <x:c r="T1917" t="str">
        <x:v>DE32VHV00000150810</x:v>
      </x:c>
      <x:c r="U1917" t="str">
        <x:v>0015012300010039</x:v>
      </x:c>
      <x:c r="V1917" t="str">
        <x:v>31333327950</x:v>
      </x:c>
    </x:row>
    <x:row r="1918">
      <x:c r="A1918" t="str">
        <x:v>RAW-IMP-20260516-FULLDRAFT-001901</x:v>
      </x:c>
      <x:c r="B1918" t="str">
        <x:v>IMP-20260516-FULLDRAFT</x:v>
      </x:c>
      <x:c r="C1918" t="str">
        <x:v>KTO001</x:v>
      </x:c>
      <x:c r="D1918" t="str">
        <x:v>16-05-2026_Umsatzliste_Girokonto_DE98120300001061711675.csv</x:v>
      </x:c>
      <x:c r="E1918" t="n">
        <x:v>46163</x:v>
      </x:c>
      <x:c r="F1918" t="n">
        <x:v>1901</x:v>
      </x:c>
      <x:c r="G1918" t="str">
        <x:v>6e3a963fdbca022cdde6782defa85990dceacf909f26a6c0f6462c36f59a7839</x:v>
      </x:c>
      <x:c r="H1918" t="str">
        <x:v>neu</x:v>
      </x:c>
      <x:c r="I1918" t="str">
        <x:v>ok</x:v>
      </x:c>
      <x:c r="J1918"/>
      <x:c r="K1918" t="n">
        <x:v>45505</x:v>
      </x:c>
      <x:c r="L1918" t="n">
        <x:v>45505</x:v>
      </x:c>
      <x:c r="M1918" t="str">
        <x:v>Gebucht</x:v>
      </x:c>
      <x:c r="N1918" t="str">
        <x:v>WILLI KOHLENBERG</x:v>
      </x:c>
      <x:c r="O1918" t="str">
        <x:v>LARS KOHLENBERG</x:v>
      </x:c>
      <x:c r="P1918" t="str">
        <x:v>MIETE 2/3 HAUS</x:v>
      </x:c>
      <x:c r="Q1918" t="str">
        <x:v>Eingang</x:v>
      </x:c>
      <x:c r="R1918" t="str">
        <x:v>DE84270800600651520400</x:v>
      </x:c>
      <x:c r="S1918" t="n">
        <x:v>750</x:v>
      </x:c>
      <x:c r="T1918" t="str">
        <x:v>"</x:v>
      </x:c>
      <x:c r="U1918" t="str">
        <x:v>"</x:v>
      </x:c>
      <x:c r="V1918" t="str">
        <x:v>"</x:v>
      </x:c>
    </x:row>
    <x:row r="1919">
      <x:c r="A1919" t="str">
        <x:v>RAW-IMP-20260516-FULLDRAFT-001902</x:v>
      </x:c>
      <x:c r="B1919" t="str">
        <x:v>IMP-20260516-FULLDRAFT</x:v>
      </x:c>
      <x:c r="C1919" t="str">
        <x:v>KTO001</x:v>
      </x:c>
      <x:c r="D1919" t="str">
        <x:v>16-05-2026_Umsatzliste_Girokonto_DE98120300001061711675.csv</x:v>
      </x:c>
      <x:c r="E1919" t="n">
        <x:v>46163</x:v>
      </x:c>
      <x:c r="F1919" t="n">
        <x:v>1902</x:v>
      </x:c>
      <x:c r="G1919" t="str">
        <x:v>dd4bb5efd772e55d7a682c5af98d6daca8aea4382832e8a68dd20e1fd0e11237</x:v>
      </x:c>
      <x:c r="H1919" t="str">
        <x:v>neu</x:v>
      </x:c>
      <x:c r="I1919" t="str">
        <x:v>ok</x:v>
      </x:c>
      <x:c r="J1919"/>
      <x:c r="K1919" t="n">
        <x:v>45505</x:v>
      </x:c>
      <x:c r="L1919" t="n">
        <x:v>45505</x:v>
      </x:c>
      <x:c r="M1919" t="str">
        <x:v>Gebucht</x:v>
      </x:c>
      <x:c r="N1919" t="str">
        <x:v>ISSUER</x:v>
      </x:c>
      <x:c r="O1919" t="str">
        <x:v>REWE.Salzgitter.Ge/Salzgitter</x:v>
      </x:c>
      <x:c r="P1919" t="str">
        <x:v>VISA Debitkartenumsatz vom 31.07.2024</x:v>
      </x:c>
      <x:c r="Q1919" t="str">
        <x:v>Ausgang</x:v>
      </x:c>
      <x:c r="R1919" t="str">
        <x:v>DE96120300009005290904</x:v>
      </x:c>
      <x:c r="S1919" t="n">
        <x:v>-29.24</x:v>
      </x:c>
      <x:c r="T1919" t="str">
        <x:v>"</x:v>
      </x:c>
      <x:c r="U1919" t="str">
        <x:v>"</x:v>
      </x:c>
      <x:c r="V1919" t="str">
        <x:v>484213598223831</x:v>
      </x:c>
    </x:row>
    <x:row r="1920">
      <x:c r="A1920" t="str">
        <x:v>RAW-IMP-20260516-FULLDRAFT-001903</x:v>
      </x:c>
      <x:c r="B1920" t="str">
        <x:v>IMP-20260516-FULLDRAFT</x:v>
      </x:c>
      <x:c r="C1920" t="str">
        <x:v>KTO001</x:v>
      </x:c>
      <x:c r="D1920" t="str">
        <x:v>16-05-2026_Umsatzliste_Girokonto_DE98120300001061711675.csv</x:v>
      </x:c>
      <x:c r="E1920" t="n">
        <x:v>46163</x:v>
      </x:c>
      <x:c r="F1920" t="n">
        <x:v>1903</x:v>
      </x:c>
      <x:c r="G1920" t="str">
        <x:v>45b7f250bc2a703aa23b0f032ac843d1a6068dad91bb0a4bd65f11cfadab06bd</x:v>
      </x:c>
      <x:c r="H1920" t="str">
        <x:v>neu</x:v>
      </x:c>
      <x:c r="I1920" t="str">
        <x:v>ok</x:v>
      </x:c>
      <x:c r="J1920"/>
      <x:c r="K1920" t="n">
        <x:v>45505</x:v>
      </x:c>
      <x:c r="L1920" t="n">
        <x:v>45505</x:v>
      </x:c>
      <x:c r="M1920" t="str">
        <x:v>Gebucht</x:v>
      </x:c>
      <x:c r="N1920" t="str">
        <x:v>Kohlenberg Lars</x:v>
      </x:c>
      <x:c r="O1920" t="str">
        <x:v>Allianz Lebensvers. AG</x:v>
      </x:c>
      <x:c r="P1920" t="str">
        <x:v>330296196 0824</x:v>
      </x:c>
      <x:c r="Q1920" t="str">
        <x:v>Ausgang</x:v>
      </x:c>
      <x:c r="R1920" t="str">
        <x:v>DE77700202700062328142</x:v>
      </x:c>
      <x:c r="S1920" t="n">
        <x:v>-162.17</x:v>
      </x:c>
      <x:c r="T1920" t="str">
        <x:v>DE07ZZZ00000063475</x:v>
      </x:c>
      <x:c r="U1920" t="str">
        <x:v>LA01L312001066775296</x:v>
      </x:c>
      <x:c r="V1920" t="str">
        <x:v>A7024206-000330296196052302998312</x:v>
      </x:c>
    </x:row>
    <x:row r="1921">
      <x:c r="A1921" t="str">
        <x:v>RAW-IMP-20260516-FULLDRAFT-001904</x:v>
      </x:c>
      <x:c r="B1921" t="str">
        <x:v>IMP-20260516-FULLDRAFT</x:v>
      </x:c>
      <x:c r="C1921" t="str">
        <x:v>KTO001</x:v>
      </x:c>
      <x:c r="D1921" t="str">
        <x:v>16-05-2026_Umsatzliste_Girokonto_DE98120300001061711675.csv</x:v>
      </x:c>
      <x:c r="E1921" t="n">
        <x:v>46163</x:v>
      </x:c>
      <x:c r="F1921" t="n">
        <x:v>1904</x:v>
      </x:c>
      <x:c r="G1921" t="str">
        <x:v>45d5d430877df5f444e9b4e82a2bcf7323ea270e5d9bdeb2599b9f9caed55359</x:v>
      </x:c>
      <x:c r="H1921" t="str">
        <x:v>neu</x:v>
      </x:c>
      <x:c r="I1921" t="str">
        <x:v>ok</x:v>
      </x:c>
      <x:c r="J1921"/>
      <x:c r="K1921" t="n">
        <x:v>45505</x:v>
      </x:c>
      <x:c r="L1921" t="n">
        <x:v>45505</x:v>
      </x:c>
      <x:c r="M1921" t="str">
        <x:v>Gebucht</x:v>
      </x:c>
      <x:c r="N1921" t="str">
        <x:v>Lars Kohlenberg</x:v>
      </x:c>
      <x:c r="O1921" t="str">
        <x:v>LARS KOHLENBERG</x:v>
      </x:c>
      <x:c r="P1921" t="str">
        <x:v>Sparrate 650,- + 750 EUR Mieteinnahmen</x:v>
      </x:c>
      <x:c r="Q1921" t="str">
        <x:v>Ausgang</x:v>
      </x:c>
      <x:c r="R1921" t="str">
        <x:v>DE91270200001510365800</x:v>
      </x:c>
      <x:c r="S1921" t="n">
        <x:v>-1400</x:v>
      </x:c>
      <x:c r="T1921" t="str">
        <x:v>"</x:v>
      </x:c>
      <x:c r="U1921" t="str">
        <x:v>"</x:v>
      </x:c>
      <x:c r="V1921" t="str">
        <x:v>"</x:v>
      </x:c>
    </x:row>
    <x:row r="1922">
      <x:c r="A1922" t="str">
        <x:v>RAW-IMP-20260516-FULLDRAFT-001905</x:v>
      </x:c>
      <x:c r="B1922" t="str">
        <x:v>IMP-20260516-FULLDRAFT</x:v>
      </x:c>
      <x:c r="C1922" t="str">
        <x:v>KTO001</x:v>
      </x:c>
      <x:c r="D1922" t="str">
        <x:v>16-05-2026_Umsatzliste_Girokonto_DE98120300001061711675.csv</x:v>
      </x:c>
      <x:c r="E1922" t="n">
        <x:v>46163</x:v>
      </x:c>
      <x:c r="F1922" t="n">
        <x:v>1905</x:v>
      </x:c>
      <x:c r="G1922" t="str">
        <x:v>80f21462c43ee8faf5e88857882f1f7f7c656469e37682e5c68293a429ed64c2</x:v>
      </x:c>
      <x:c r="H1922" t="str">
        <x:v>neu</x:v>
      </x:c>
      <x:c r="I1922" t="str">
        <x:v>ok</x:v>
      </x:c>
      <x:c r="J1922"/>
      <x:c r="K1922" t="n">
        <x:v>45505</x:v>
      </x:c>
      <x:c r="L1922" t="n">
        <x:v>45505</x:v>
      </x:c>
      <x:c r="M1922" t="str">
        <x:v>Gebucht</x:v>
      </x:c>
      <x:c r="N1922" t="str">
        <x:v>Kohlenberg, Lars</x:v>
      </x:c>
      <x:c r="O1922" t="str">
        <x:v>IDEAL Lebensversicherung aG</x:v>
      </x:c>
      <x:c r="P1922" t="str">
        <x:v>2011216280009 LV 081</x:v>
      </x:c>
      <x:c r="Q1922" t="str">
        <x:v>Ausgang</x:v>
      </x:c>
      <x:c r="R1922" t="str">
        <x:v>DE36100700000460303100</x:v>
      </x:c>
      <x:c r="S1922" t="n">
        <x:v>-97.12</x:v>
      </x:c>
      <x:c r="T1922" t="str">
        <x:v>DE40ZZZ00000559230</x:v>
      </x:c>
      <x:c r="U1922" t="str">
        <x:v>2011216280009-001</x:v>
      </x:c>
      <x:c r="V1922" t="str">
        <x:v>GL,KL,PD-20240801-1-2011216280009-0</x:v>
      </x:c>
    </x:row>
    <x:row r="1923">
      <x:c r="A1923" t="str">
        <x:v>RAW-IMP-20260516-FULLDRAFT-001906</x:v>
      </x:c>
      <x:c r="B1923" t="str">
        <x:v>IMP-20260516-FULLDRAFT</x:v>
      </x:c>
      <x:c r="C1923" t="str">
        <x:v>KTO001</x:v>
      </x:c>
      <x:c r="D1923" t="str">
        <x:v>16-05-2026_Umsatzliste_Girokonto_DE98120300001061711675.csv</x:v>
      </x:c>
      <x:c r="E1923" t="n">
        <x:v>46163</x:v>
      </x:c>
      <x:c r="F1923" t="n">
        <x:v>1906</x:v>
      </x:c>
      <x:c r="G1923" t="str">
        <x:v>a2f4a4e892e2e19ead89872dc5655e40aaf43301e86afadec5bdf1769ab8e0f0</x:v>
      </x:c>
      <x:c r="H1923" t="str">
        <x:v>neu</x:v>
      </x:c>
      <x:c r="I1923" t="str">
        <x:v>ok</x:v>
      </x:c>
      <x:c r="J1923"/>
      <x:c r="K1923" t="n">
        <x:v>45505</x:v>
      </x:c>
      <x:c r="L1923" t="n">
        <x:v>45505</x:v>
      </x:c>
      <x:c r="M1923" t="str">
        <x:v>Gebucht</x:v>
      </x:c>
      <x:c r="N1923" t="str">
        <x:v>KOHLENBERG LARS</x:v>
      </x:c>
      <x:c r="O1923" t="str">
        <x:v>VOLKSWOHL BUND Lebensversicherung a.G.</x:v>
      </x:c>
      <x:c r="P1923" t="str">
        <x:v>009893595 LA000750566/ 009893595 LEBEN 66,15</x:v>
      </x:c>
      <x:c r="Q1923" t="str">
        <x:v>Ausgang</x:v>
      </x:c>
      <x:c r="R1923" t="str">
        <x:v>DE76440400370361155500</x:v>
      </x:c>
      <x:c r="S1923" t="n">
        <x:v>-66.15</x:v>
      </x:c>
      <x:c r="T1923" t="str">
        <x:v>DE13ZZZ00000141064</x:v>
      </x:c>
      <x:c r="U1923" t="str">
        <x:v>LA000750566</x:v>
      </x:c>
      <x:c r="V1923" t="str">
        <x:v>009893595/NVMA.G1089-340370</x:v>
      </x:c>
    </x:row>
    <x:row r="1924">
      <x:c r="A1924" t="str">
        <x:v>RAW-IMP-20260516-FULLDRAFT-001907</x:v>
      </x:c>
      <x:c r="B1924" t="str">
        <x:v>IMP-20260516-FULLDRAFT</x:v>
      </x:c>
      <x:c r="C1924" t="str">
        <x:v>KTO001</x:v>
      </x:c>
      <x:c r="D1924" t="str">
        <x:v>16-05-2026_Umsatzliste_Girokonto_DE98120300001061711675.csv</x:v>
      </x:c>
      <x:c r="E1924" t="n">
        <x:v>46163</x:v>
      </x:c>
      <x:c r="F1924" t="n">
        <x:v>1907</x:v>
      </x:c>
      <x:c r="G1924" t="str">
        <x:v>b6ff6879380c644e79f3065b56f4933539ee9383258063abea8b860ef7183236</x:v>
      </x:c>
      <x:c r="H1924" t="str">
        <x:v>neu</x:v>
      </x:c>
      <x:c r="I1924" t="str">
        <x:v>ok</x:v>
      </x:c>
      <x:c r="J1924"/>
      <x:c r="K1924" t="n">
        <x:v>45505</x:v>
      </x:c>
      <x:c r="L1924" t="n">
        <x:v>45505</x:v>
      </x:c>
      <x:c r="M1924" t="str">
        <x:v>Gebucht</x:v>
      </x:c>
      <x:c r="N1924" t="str">
        <x:v>Lars Kohlenberg</x:v>
      </x:c>
      <x:c r="O1924" t="str">
        <x:v>KATRIN KOHLENBERG</x:v>
      </x:c>
      <x:c r="P1924" t="str">
        <x:v>Apanage</x:v>
      </x:c>
      <x:c r="Q1924" t="str">
        <x:v>Ausgang</x:v>
      </x:c>
      <x:c r="R1924" t="str">
        <x:v>DE32270727240307336800</x:v>
      </x:c>
      <x:c r="S1924" t="n">
        <x:v>-1800</x:v>
      </x:c>
      <x:c r="T1924" t="str">
        <x:v>"</x:v>
      </x:c>
      <x:c r="U1924" t="str">
        <x:v>"</x:v>
      </x:c>
      <x:c r="V1924" t="str">
        <x:v>"</x:v>
      </x:c>
    </x:row>
    <x:row r="1925">
      <x:c r="A1925" t="str">
        <x:v>RAW-IMP-20260516-FULLDRAFT-001908</x:v>
      </x:c>
      <x:c r="B1925" t="str">
        <x:v>IMP-20260516-FULLDRAFT</x:v>
      </x:c>
      <x:c r="C1925" t="str">
        <x:v>KTO001</x:v>
      </x:c>
      <x:c r="D1925" t="str">
        <x:v>16-05-2026_Umsatzliste_Girokonto_DE98120300001061711675.csv</x:v>
      </x:c>
      <x:c r="E1925" t="n">
        <x:v>46163</x:v>
      </x:c>
      <x:c r="F1925" t="n">
        <x:v>1908</x:v>
      </x:c>
      <x:c r="G1925" t="str">
        <x:v>94d5a24e976ace44ce12ad6fdfa8f7a6ac844c9f792d5fafb8c0a828bcf40faa</x:v>
      </x:c>
      <x:c r="H1925" t="str">
        <x:v>neu</x:v>
      </x:c>
      <x:c r="I1925" t="str">
        <x:v>ok</x:v>
      </x:c>
      <x:c r="J1925"/>
      <x:c r="K1925" t="n">
        <x:v>45505</x:v>
      </x:c>
      <x:c r="L1925" t="n">
        <x:v>45505</x:v>
      </x:c>
      <x:c r="M1925" t="str">
        <x:v>Gebucht</x:v>
      </x:c>
      <x:c r="N1925" t="str">
        <x:v>KOHLENBERG, LARS</x:v>
      </x:c>
      <x:c r="O1925" t="str">
        <x:v>Lars und Katrin Kohlenberg</x:v>
      </x:c>
      <x:c r="P1925" t="str">
        <x:v>10564263 VERMOEGENSDEPOT SPARPLAN WKN A1C9ED</x:v>
      </x:c>
      <x:c r="Q1925" t="str">
        <x:v>Ausgang</x:v>
      </x:c>
      <x:c r="R1925" t="str">
        <x:v>DE27672300000506966162</x:v>
      </x:c>
      <x:c r="S1925" t="n">
        <x:v>-100</x:v>
      </x:c>
      <x:c r="T1925" t="str">
        <x:v>DE53ZZZ00000010849</x:v>
      </x:c>
      <x:c r="U1925" t="str">
        <x:v>WPBF0000180845</x:v>
      </x:c>
      <x:c r="V1925" t="str">
        <x:v>SPARSP 15083270</x:v>
      </x:c>
    </x:row>
    <x:row r="1926">
      <x:c r="A1926" t="str">
        <x:v>RAW-IMP-20260516-FULLDRAFT-001909</x:v>
      </x:c>
      <x:c r="B1926" t="str">
        <x:v>IMP-20260516-FULLDRAFT</x:v>
      </x:c>
      <x:c r="C1926" t="str">
        <x:v>KTO001</x:v>
      </x:c>
      <x:c r="D1926" t="str">
        <x:v>16-05-2026_Umsatzliste_Girokonto_DE98120300001061711675.csv</x:v>
      </x:c>
      <x:c r="E1926" t="n">
        <x:v>46163</x:v>
      </x:c>
      <x:c r="F1926" t="n">
        <x:v>1909</x:v>
      </x:c>
      <x:c r="G1926" t="str">
        <x:v>83a69b3cefc0a990ab34b61e01efef4052e8f2e772737ad35feed74ba2230a81</x:v>
      </x:c>
      <x:c r="H1926" t="str">
        <x:v>neu</x:v>
      </x:c>
      <x:c r="I1926" t="str">
        <x:v>ok</x:v>
      </x:c>
      <x:c r="J1926"/>
      <x:c r="K1926" t="n">
        <x:v>45505</x:v>
      </x:c>
      <x:c r="L1926" t="n">
        <x:v>45505</x:v>
      </x:c>
      <x:c r="M1926" t="str">
        <x:v>Gebucht</x:v>
      </x:c>
      <x:c r="N1926" t="str">
        <x:v>KOHLENBERG, LARS</x:v>
      </x:c>
      <x:c r="O1926" t="str">
        <x:v>VPV-LEBENSVERSICHERUNGS-AG</x:v>
      </x:c>
      <x:c r="P1926" t="str">
        <x:v>VNR 301667726</x:v>
      </x:c>
      <x:c r="Q1926" t="str">
        <x:v>Ausgang</x:v>
      </x:c>
      <x:c r="R1926" t="str">
        <x:v>DE78600501010001166338</x:v>
      </x:c>
      <x:c r="S1926" t="n">
        <x:v>-53.3</x:v>
      </x:c>
      <x:c r="T1926" t="str">
        <x:v>DE96LAG00000064686</x:v>
      </x:c>
      <x:c r="U1926" t="str">
        <x:v>ML700120510</x:v>
      </x:c>
      <x:c r="V1926" t="str">
        <x:v>240729 450310601 ML700120510</x:v>
      </x:c>
    </x:row>
    <x:row r="1927">
      <x:c r="A1927" t="str">
        <x:v>RAW-IMP-20260516-FULLDRAFT-001910</x:v>
      </x:c>
      <x:c r="B1927" t="str">
        <x:v>IMP-20260516-FULLDRAFT</x:v>
      </x:c>
      <x:c r="C1927" t="str">
        <x:v>KTO001</x:v>
      </x:c>
      <x:c r="D1927" t="str">
        <x:v>16-05-2026_Umsatzliste_Girokonto_DE98120300001061711675.csv</x:v>
      </x:c>
      <x:c r="E1927" t="n">
        <x:v>46163</x:v>
      </x:c>
      <x:c r="F1927" t="n">
        <x:v>1910</x:v>
      </x:c>
      <x:c r="G1927" t="str">
        <x:v>97b6989a8d7a9ddb101e67fdcbfc8db64b328f31bb5c9daa79ebb7b2505358a9</x:v>
      </x:c>
      <x:c r="H1927" t="str">
        <x:v>neu</x:v>
      </x:c>
      <x:c r="I1927" t="str">
        <x:v>ok</x:v>
      </x:c>
      <x:c r="J1927"/>
      <x:c r="K1927" t="n">
        <x:v>45505</x:v>
      </x:c>
      <x:c r="L1927" t="n">
        <x:v>45505</x:v>
      </x:c>
      <x:c r="M1927" t="str">
        <x:v>Gebucht</x:v>
      </x:c>
      <x:c r="N1927" t="str">
        <x:v>Lars Kohlenberg                                                       Johannes-Wosnitza-Str. 8 38229 Salzgitter</x:v>
      </x:c>
      <x:c r="O1927" t="str">
        <x:v>Heidelberger Lebensversicherung AG                                    Im Breitspiel 2-4, 69126 Heidelberg</x:v>
      </x:c>
      <x:c r="P1927" t="str">
        <x:v>60012826 , 08.24</x:v>
      </x:c>
      <x:c r="Q1927" t="str">
        <x:v>Ausgang</x:v>
      </x:c>
      <x:c r="R1927" t="str">
        <x:v>DE38600501010002662604</x:v>
      </x:c>
      <x:c r="S1927" t="n">
        <x:v>-452.71</x:v>
      </x:c>
      <x:c r="T1927" t="str">
        <x:v>DE31HLE00000032682</x:v>
      </x:c>
      <x:c r="U1927" t="str">
        <x:v>11-140000075706</x:v>
      </x:c>
      <x:c r="V1927" t="str">
        <x:v>158035861458</x:v>
      </x:c>
    </x:row>
    <x:row r="1928">
      <x:c r="A1928" t="str">
        <x:v>RAW-IMP-20260516-FULLDRAFT-001911</x:v>
      </x:c>
      <x:c r="B1928" t="str">
        <x:v>IMP-20260516-FULLDRAFT</x:v>
      </x:c>
      <x:c r="C1928" t="str">
        <x:v>KTO001</x:v>
      </x:c>
      <x:c r="D1928" t="str">
        <x:v>16-05-2026_Umsatzliste_Girokonto_DE98120300001061711675.csv</x:v>
      </x:c>
      <x:c r="E1928" t="n">
        <x:v>46163</x:v>
      </x:c>
      <x:c r="F1928" t="n">
        <x:v>1911</x:v>
      </x:c>
      <x:c r="G1928" t="str">
        <x:v>5fae204ff7c09a43f0c8978e15cab7cb61eb8d1a4adc6adf101f19743649137d</x:v>
      </x:c>
      <x:c r="H1928" t="str">
        <x:v>neu</x:v>
      </x:c>
      <x:c r="I1928" t="str">
        <x:v>ok</x:v>
      </x:c>
      <x:c r="J1928"/>
      <x:c r="K1928" t="n">
        <x:v>45505</x:v>
      </x:c>
      <x:c r="L1928" t="n">
        <x:v>45505</x:v>
      </x:c>
      <x:c r="M1928" t="str">
        <x:v>Gebucht</x:v>
      </x:c>
      <x:c r="N1928" t="str">
        <x:v>Lars Kohlenberg</x:v>
      </x:c>
      <x:c r="O1928" t="str">
        <x:v>ADAC, Hansastr. 19, 80686 Muenchen</x:v>
      </x:c>
      <x:c r="P1928" t="str">
        <x:v>ADAC E.V. Kohlenberg Lars BEITRAG: 01.08.24-31.07.25</x:v>
      </x:c>
      <x:c r="Q1928" t="str">
        <x:v>Ausgang</x:v>
      </x:c>
      <x:c r="R1928" t="str">
        <x:v>DE16700500000006055830</x:v>
      </x:c>
      <x:c r="S1928" t="n">
        <x:v>-54</x:v>
      </x:c>
      <x:c r="T1928" t="str">
        <x:v>DE30ZZZ00000056950</x:v>
      </x:c>
      <x:c r="U1928" t="str">
        <x:v>AD17007685020181126001</x:v>
      </x:c>
      <x:c r="V1928" t="str">
        <x:v>005240104667</x:v>
      </x:c>
    </x:row>
    <x:row r="1929">
      <x:c r="A1929" t="str">
        <x:v>RAW-IMP-20260516-FULLDRAFT-001912</x:v>
      </x:c>
      <x:c r="B1929" t="str">
        <x:v>IMP-20260516-FULLDRAFT</x:v>
      </x:c>
      <x:c r="C1929" t="str">
        <x:v>KTO001</x:v>
      </x:c>
      <x:c r="D1929" t="str">
        <x:v>16-05-2026_Umsatzliste_Girokonto_DE98120300001061711675.csv</x:v>
      </x:c>
      <x:c r="E1929" t="n">
        <x:v>46163</x:v>
      </x:c>
      <x:c r="F1929" t="n">
        <x:v>1912</x:v>
      </x:c>
      <x:c r="G1929" t="str">
        <x:v>90015ba83d301ef01b82b4a0d7d1a5943987a5d9cb4ce630681851615b8db6e7</x:v>
      </x:c>
      <x:c r="H1929" t="str">
        <x:v>neu</x:v>
      </x:c>
      <x:c r="I1929" t="str">
        <x:v>ok</x:v>
      </x:c>
      <x:c r="J1929"/>
      <x:c r="K1929" t="n">
        <x:v>45504</x:v>
      </x:c>
      <x:c r="L1929" t="n">
        <x:v>45504</x:v>
      </x:c>
      <x:c r="M1929" t="str">
        <x:v>Gebucht</x:v>
      </x:c>
      <x:c r="N1929" t="str">
        <x:v>BRIGITTE CHRISTINE PETRA ERDM</x:v>
      </x:c>
      <x:c r="O1929" t="str">
        <x:v>Kohlenberg, Lars</x:v>
      </x:c>
      <x:c r="P1929" t="str">
        <x:v>Reembolso Fianza - Rueckzahlung Kaution, Villa Sea Breeze Moraira, 6.7.-20.7.24 AWV-MELDEPFLICHT BEACHTEN HOTLINE BUNDESBANK (0800) 1234-111</x:v>
      </x:c>
      <x:c r="Q1929" t="str">
        <x:v>Eingang</x:v>
      </x:c>
      <x:c r="R1929" t="str">
        <x:v>ES7830582543912720006522</x:v>
      </x:c>
      <x:c r="S1929" t="n">
        <x:v>600</x:v>
      </x:c>
      <x:c r="T1929" t="str">
        <x:v>"</x:v>
      </x:c>
      <x:c r="U1929" t="str">
        <x:v>"</x:v>
      </x:c>
      <x:c r="V1929" t="str">
        <x:v>C4WJAVF4K</x:v>
      </x:c>
    </x:row>
    <x:row r="1930">
      <x:c r="A1930" t="str">
        <x:v>RAW-IMP-20260516-FULLDRAFT-001913</x:v>
      </x:c>
      <x:c r="B1930" t="str">
        <x:v>IMP-20260516-FULLDRAFT</x:v>
      </x:c>
      <x:c r="C1930" t="str">
        <x:v>KTO001</x:v>
      </x:c>
      <x:c r="D1930" t="str">
        <x:v>16-05-2026_Umsatzliste_Girokonto_DE98120300001061711675.csv</x:v>
      </x:c>
      <x:c r="E1930" t="n">
        <x:v>46163</x:v>
      </x:c>
      <x:c r="F1930" t="n">
        <x:v>1913</x:v>
      </x:c>
      <x:c r="G1930" t="str">
        <x:v>39084aab81dd30180ed1f1bf304baa184658fe19e725d489ff44511e97491ccb</x:v>
      </x:c>
      <x:c r="H1930" t="str">
        <x:v>neu</x:v>
      </x:c>
      <x:c r="I1930" t="str">
        <x:v>ok</x:v>
      </x:c>
      <x:c r="J1930"/>
      <x:c r="K1930" t="n">
        <x:v>45504</x:v>
      </x:c>
      <x:c r="L1930" t="n">
        <x:v>45504</x:v>
      </x:c>
      <x:c r="M1930" t="str">
        <x:v>Gebucht</x:v>
      </x:c>
      <x:c r="N1930" t="str">
        <x:v>ISSUER</x:v>
      </x:c>
      <x:c r="O1930" t="str">
        <x:v>JIMs.Beach.bar.GmbH/Liebenburg</x:v>
      </x:c>
      <x:c r="P1930" t="str">
        <x:v>VISA Debitkartenumsatz vom 30.07.2024</x:v>
      </x:c>
      <x:c r="Q1930" t="str">
        <x:v>Ausgang</x:v>
      </x:c>
      <x:c r="R1930" t="str">
        <x:v>DE96120300009005290904</x:v>
      </x:c>
      <x:c r="S1930" t="n">
        <x:v>-24.5</x:v>
      </x:c>
      <x:c r="T1930" t="str">
        <x:v>"</x:v>
      </x:c>
      <x:c r="U1930" t="str">
        <x:v>"</x:v>
      </x:c>
      <x:c r="V1930" t="str">
        <x:v>484212587294761</x:v>
      </x:c>
    </x:row>
    <x:row r="1931">
      <x:c r="A1931" t="str">
        <x:v>RAW-IMP-20260516-FULLDRAFT-001914</x:v>
      </x:c>
      <x:c r="B1931" t="str">
        <x:v>IMP-20260516-FULLDRAFT</x:v>
      </x:c>
      <x:c r="C1931" t="str">
        <x:v>KTO001</x:v>
      </x:c>
      <x:c r="D1931" t="str">
        <x:v>16-05-2026_Umsatzliste_Girokonto_DE98120300001061711675.csv</x:v>
      </x:c>
      <x:c r="E1931" t="n">
        <x:v>46163</x:v>
      </x:c>
      <x:c r="F1931" t="n">
        <x:v>1914</x:v>
      </x:c>
      <x:c r="G1931" t="str">
        <x:v>0421a8beec396dc600a96d996cdc529abeae1e1ad1d89970f565bda393c3c8c2</x:v>
      </x:c>
      <x:c r="H1931" t="str">
        <x:v>neu</x:v>
      </x:c>
      <x:c r="I1931" t="str">
        <x:v>ok</x:v>
      </x:c>
      <x:c r="J1931"/>
      <x:c r="K1931" t="n">
        <x:v>45504</x:v>
      </x:c>
      <x:c r="L1931" t="n">
        <x:v>45504</x:v>
      </x:c>
      <x:c r="M1931" t="str">
        <x:v>Gebucht</x:v>
      </x:c>
      <x:c r="N1931" t="str">
        <x:v>Kohlenberg, Katrin</x:v>
      </x:c>
      <x:c r="O1931" t="str">
        <x:v>WEVG Salzgitter GmbH + Co. KG</x:v>
      </x:c>
      <x:c r="P1931" t="str">
        <x:v>Kd-Nr 79288 Einz 31.07.24 41710/352.00/Johannes-Wosni 100833/70.00/Johannes-Wosni</x:v>
      </x:c>
      <x:c r="Q1931" t="str">
        <x:v>Ausgang</x:v>
      </x:c>
      <x:c r="R1931" t="str">
        <x:v>DE19300700100394127500</x:v>
      </x:c>
      <x:c r="S1931" t="n">
        <x:v>-422</x:v>
      </x:c>
      <x:c r="T1931" t="str">
        <x:v>DE83WEV00000032716</x:v>
      </x:c>
      <x:c r="U1931" t="str">
        <x:v>WEVG0000079288G1000178580</x:v>
      </x:c>
      <x:c r="V1931" t="str">
        <x:v>13105065</x:v>
      </x:c>
    </x:row>
    <x:row r="1932">
      <x:c r="A1932" t="str">
        <x:v>RAW-IMP-20260516-FULLDRAFT-001915</x:v>
      </x:c>
      <x:c r="B1932" t="str">
        <x:v>IMP-20260516-FULLDRAFT</x:v>
      </x:c>
      <x:c r="C1932" t="str">
        <x:v>KTO001</x:v>
      </x:c>
      <x:c r="D1932" t="str">
        <x:v>16-05-2026_Umsatzliste_Girokonto_DE98120300001061711675.csv</x:v>
      </x:c>
      <x:c r="E1932" t="n">
        <x:v>46163</x:v>
      </x:c>
      <x:c r="F1932" t="n">
        <x:v>1915</x:v>
      </x:c>
      <x:c r="G1932" t="str">
        <x:v>e0a3557491ff33f1c37b83fcdcf6d11bb444dd01b01da8765dbc9d801fd51e1c</x:v>
      </x:c>
      <x:c r="H1932" t="str">
        <x:v>neu</x:v>
      </x:c>
      <x:c r="I1932" t="str">
        <x:v>ok</x:v>
      </x:c>
      <x:c r="J1932"/>
      <x:c r="K1932" t="n">
        <x:v>45504</x:v>
      </x:c>
      <x:c r="L1932" t="n">
        <x:v>45504</x:v>
      </x:c>
      <x:c r="M1932" t="str">
        <x:v>Gebucht</x:v>
      </x:c>
      <x:c r="N1932" t="str">
        <x:v>Lars Kohlenberg</x:v>
      </x:c>
      <x:c r="O1932" t="str">
        <x:v>LARS KOHLENBERG</x:v>
      </x:c>
      <x:c r="P1932" t="str">
        <x:v>Zins und Tilgung zu 2/3</x:v>
      </x:c>
      <x:c r="Q1932" t="str">
        <x:v>Ausgang</x:v>
      </x:c>
      <x:c r="R1932" t="str">
        <x:v>DE33269910668923736000</x:v>
      </x:c>
      <x:c r="S1932" t="n">
        <x:v>-1153.94</x:v>
      </x:c>
      <x:c r="T1932" t="str">
        <x:v>"</x:v>
      </x:c>
      <x:c r="U1932" t="str">
        <x:v>"</x:v>
      </x:c>
      <x:c r="V1932" t="str">
        <x:v>"</x:v>
      </x:c>
    </x:row>
    <x:row r="1933">
      <x:c r="A1933" t="str">
        <x:v>RAW-IMP-20260516-FULLDRAFT-001916</x:v>
      </x:c>
      <x:c r="B1933" t="str">
        <x:v>IMP-20260516-FULLDRAFT</x:v>
      </x:c>
      <x:c r="C1933" t="str">
        <x:v>KTO001</x:v>
      </x:c>
      <x:c r="D1933" t="str">
        <x:v>16-05-2026_Umsatzliste_Girokonto_DE98120300001061711675.csv</x:v>
      </x:c>
      <x:c r="E1933" t="n">
        <x:v>46163</x:v>
      </x:c>
      <x:c r="F1933" t="n">
        <x:v>1916</x:v>
      </x:c>
      <x:c r="G1933" t="str">
        <x:v>22bc8767600c896c8a178d94d9022cdbe6b412721e84fc8ee636a7d8320de36f</x:v>
      </x:c>
      <x:c r="H1933" t="str">
        <x:v>neu</x:v>
      </x:c>
      <x:c r="I1933" t="str">
        <x:v>ok</x:v>
      </x:c>
      <x:c r="J1933"/>
      <x:c r="K1933" t="n">
        <x:v>45503</x:v>
      </x:c>
      <x:c r="L1933" t="n">
        <x:v>45503</x:v>
      </x:c>
      <x:c r="M1933" t="str">
        <x:v>Gebucht</x:v>
      </x:c>
      <x:c r="N1933" t="str">
        <x:v>Stiftung Kath. Altenhilfe im Bistum Hildesheim</x:v>
      </x:c>
      <x:c r="O1933" t="str">
        <x:v>KOHLENBERG LARS</x:v>
      </x:c>
      <x:c r="P1933" t="str">
        <x:v>GEHALT 7/24</x:v>
      </x:c>
      <x:c r="Q1933" t="str">
        <x:v>Eingang</x:v>
      </x:c>
      <x:c r="R1933" t="str">
        <x:v>DE92400602650023150301</x:v>
      </x:c>
      <x:c r="S1933" t="n">
        <x:v>6814</x:v>
      </x:c>
      <x:c r="T1933" t="str">
        <x:v>"</x:v>
      </x:c>
      <x:c r="U1933" t="str">
        <x:v>"</x:v>
      </x:c>
      <x:c r="V1933" t="str">
        <x:v>001001987662SALA004424005</x:v>
      </x:c>
    </x:row>
    <x:row r="1934">
      <x:c r="A1934" t="str">
        <x:v>RAW-IMP-20260516-FULLDRAFT-001917</x:v>
      </x:c>
      <x:c r="B1934" t="str">
        <x:v>IMP-20260516-FULLDRAFT</x:v>
      </x:c>
      <x:c r="C1934" t="str">
        <x:v>KTO001</x:v>
      </x:c>
      <x:c r="D1934" t="str">
        <x:v>16-05-2026_Umsatzliste_Girokonto_DE98120300001061711675.csv</x:v>
      </x:c>
      <x:c r="E1934" t="n">
        <x:v>46163</x:v>
      </x:c>
      <x:c r="F1934" t="n">
        <x:v>1917</x:v>
      </x:c>
      <x:c r="G1934" t="str">
        <x:v>06aaa4e3abf65f65c4c088482dddf182e38135b989c626da8f65195ded6e225c</x:v>
      </x:c>
      <x:c r="H1934" t="str">
        <x:v>neu</x:v>
      </x:c>
      <x:c r="I1934" t="str">
        <x:v>ok</x:v>
      </x:c>
      <x:c r="J1934"/>
      <x:c r="K1934" t="n">
        <x:v>45503</x:v>
      </x:c>
      <x:c r="L1934" t="n">
        <x:v>45503</x:v>
      </x:c>
      <x:c r="M1934" t="str">
        <x:v>Gebucht</x:v>
      </x:c>
      <x:c r="N1934" t="str">
        <x:v>ISSUER</x:v>
      </x:c>
      <x:c r="O1934" t="str">
        <x:v>EDEKA.POTRATZ/HILDESHEIM</x:v>
      </x:c>
      <x:c r="P1934" t="str">
        <x:v>VISA Debitkartenumsatz vom 29.07.2024</x:v>
      </x:c>
      <x:c r="Q1934" t="str">
        <x:v>Ausgang</x:v>
      </x:c>
      <x:c r="R1934" t="str">
        <x:v>DE96120300009005290904</x:v>
      </x:c>
      <x:c r="S1934" t="n">
        <x:v>-1.99</x:v>
      </x:c>
      <x:c r="T1934" t="str">
        <x:v>"</x:v>
      </x:c>
      <x:c r="U1934" t="str">
        <x:v>"</x:v>
      </x:c>
      <x:c r="V1934" t="str">
        <x:v>484211423539143</x:v>
      </x:c>
    </x:row>
    <x:row r="1935">
      <x:c r="A1935" t="str">
        <x:v>RAW-IMP-20260516-FULLDRAFT-001918</x:v>
      </x:c>
      <x:c r="B1935" t="str">
        <x:v>IMP-20260516-FULLDRAFT</x:v>
      </x:c>
      <x:c r="C1935" t="str">
        <x:v>KTO001</x:v>
      </x:c>
      <x:c r="D1935" t="str">
        <x:v>16-05-2026_Umsatzliste_Girokonto_DE98120300001061711675.csv</x:v>
      </x:c>
      <x:c r="E1935" t="n">
        <x:v>46163</x:v>
      </x:c>
      <x:c r="F1935" t="n">
        <x:v>1918</x:v>
      </x:c>
      <x:c r="G1935" t="str">
        <x:v>dd2c0894f88027ebef7e27909022147265f0763225cad2266497b132f4ebe1ab</x:v>
      </x:c>
      <x:c r="H1935" t="str">
        <x:v>neu</x:v>
      </x:c>
      <x:c r="I1935" t="str">
        <x:v>ok</x:v>
      </x:c>
      <x:c r="J1935"/>
      <x:c r="K1935" t="n">
        <x:v>45503</x:v>
      </x:c>
      <x:c r="L1935" t="n">
        <x:v>45503</x:v>
      </x:c>
      <x:c r="M1935" t="str">
        <x:v>Gebucht</x:v>
      </x:c>
      <x:c r="N1935" t="str">
        <x:v>ISSUER</x:v>
      </x:c>
      <x:c r="O1935" t="str">
        <x:v>TAS.SALDER/SALZGITTER</x:v>
      </x:c>
      <x:c r="P1935" t="str">
        <x:v>VISA Debitkartenumsatz vom 29.07.2024</x:v>
      </x:c>
      <x:c r="Q1935" t="str">
        <x:v>Ausgang</x:v>
      </x:c>
      <x:c r="R1935" t="str">
        <x:v>DE96120300009005290904</x:v>
      </x:c>
      <x:c r="S1935" t="n">
        <x:v>-106.09</x:v>
      </x:c>
      <x:c r="T1935" t="str">
        <x:v>"</x:v>
      </x:c>
      <x:c r="U1935" t="str">
        <x:v>"</x:v>
      </x:c>
      <x:c r="V1935" t="str">
        <x:v>484211528812005</x:v>
      </x:c>
    </x:row>
    <x:row r="1936">
      <x:c r="A1936" t="str">
        <x:v>RAW-IMP-20260516-FULLDRAFT-001919</x:v>
      </x:c>
      <x:c r="B1936" t="str">
        <x:v>IMP-20260516-FULLDRAFT</x:v>
      </x:c>
      <x:c r="C1936" t="str">
        <x:v>KTO001</x:v>
      </x:c>
      <x:c r="D1936" t="str">
        <x:v>16-05-2026_Umsatzliste_Girokonto_DE98120300001061711675.csv</x:v>
      </x:c>
      <x:c r="E1936" t="n">
        <x:v>46163</x:v>
      </x:c>
      <x:c r="F1936" t="n">
        <x:v>1919</x:v>
      </x:c>
      <x:c r="G1936" t="str">
        <x:v>2f87875e5b4ac8e3b5fbd73f5b84f1a2702f074ef75e77355153f43b614957b4</x:v>
      </x:c>
      <x:c r="H1936" t="str">
        <x:v>neu</x:v>
      </x:c>
      <x:c r="I1936" t="str">
        <x:v>ok</x:v>
      </x:c>
      <x:c r="J1936"/>
      <x:c r="K1936" t="n">
        <x:v>45503</x:v>
      </x:c>
      <x:c r="L1936" t="n">
        <x:v>45503</x:v>
      </x:c>
      <x:c r="M1936" t="str">
        <x:v>Gebucht</x:v>
      </x:c>
      <x:c r="N1936" t="str">
        <x:v>ISSUER</x:v>
      </x:c>
      <x:c r="O1936" t="str">
        <x:v>REWE.Salzgitter.Ge/Salzgitter</x:v>
      </x:c>
      <x:c r="P1936" t="str">
        <x:v>VISA Debitkartenumsatz vom 29.07.2024</x:v>
      </x:c>
      <x:c r="Q1936" t="str">
        <x:v>Ausgang</x:v>
      </x:c>
      <x:c r="R1936" t="str">
        <x:v>DE96120300009005290904</x:v>
      </x:c>
      <x:c r="S1936" t="n">
        <x:v>-49.88</x:v>
      </x:c>
      <x:c r="T1936" t="str">
        <x:v>"</x:v>
      </x:c>
      <x:c r="U1936" t="str">
        <x:v>"</x:v>
      </x:c>
      <x:c r="V1936" t="str">
        <x:v>484211608080649</x:v>
      </x:c>
    </x:row>
    <x:row r="1937">
      <x:c r="A1937" t="str">
        <x:v>RAW-IMP-20260516-FULLDRAFT-001920</x:v>
      </x:c>
      <x:c r="B1937" t="str">
        <x:v>IMP-20260516-FULLDRAFT</x:v>
      </x:c>
      <x:c r="C1937" t="str">
        <x:v>KTO001</x:v>
      </x:c>
      <x:c r="D1937" t="str">
        <x:v>16-05-2026_Umsatzliste_Girokonto_DE98120300001061711675.csv</x:v>
      </x:c>
      <x:c r="E1937" t="n">
        <x:v>46163</x:v>
      </x:c>
      <x:c r="F1937" t="n">
        <x:v>1920</x:v>
      </x:c>
      <x:c r="G1937" t="str">
        <x:v>91a5ba69fece657a66eb8f9a21944b3debee76ff8afaf3f7c78f3eab2c146cca</x:v>
      </x:c>
      <x:c r="H1937" t="str">
        <x:v>neu</x:v>
      </x:c>
      <x:c r="I1937" t="str">
        <x:v>ok</x:v>
      </x:c>
      <x:c r="J1937"/>
      <x:c r="K1937" t="n">
        <x:v>45503</x:v>
      </x:c>
      <x:c r="L1937" t="n">
        <x:v>45503</x:v>
      </x:c>
      <x:c r="M1937" t="str">
        <x:v>Gebucht</x:v>
      </x:c>
      <x:c r="N1937" t="str">
        <x:v>ISSUER</x:v>
      </x:c>
      <x:c r="O1937" t="str">
        <x:v>Amazon.de.Q51S93JK5/AMAZON.DE</x:v>
      </x:c>
      <x:c r="P1937" t="str">
        <x:v>VISA Debitkartenumsatz vom 29.07.2024</x:v>
      </x:c>
      <x:c r="Q1937" t="str">
        <x:v>Ausgang</x:v>
      </x:c>
      <x:c r="R1937" t="str">
        <x:v>DE96120300009005290904</x:v>
      </x:c>
      <x:c r="S1937" t="n">
        <x:v>-82</x:v>
      </x:c>
      <x:c r="T1937" t="str">
        <x:v>"</x:v>
      </x:c>
      <x:c r="U1937" t="str">
        <x:v>"</x:v>
      </x:c>
      <x:c r="V1937" t="str">
        <x:v>484211537879793</x:v>
      </x:c>
    </x:row>
    <x:row r="1938">
      <x:c r="A1938" t="str">
        <x:v>RAW-IMP-20260516-FULLDRAFT-001921</x:v>
      </x:c>
      <x:c r="B1938" t="str">
        <x:v>IMP-20260516-FULLDRAFT</x:v>
      </x:c>
      <x:c r="C1938" t="str">
        <x:v>KTO001</x:v>
      </x:c>
      <x:c r="D1938" t="str">
        <x:v>16-05-2026_Umsatzliste_Girokonto_DE98120300001061711675.csv</x:v>
      </x:c>
      <x:c r="E1938" t="n">
        <x:v>46163</x:v>
      </x:c>
      <x:c r="F1938" t="n">
        <x:v>1921</x:v>
      </x:c>
      <x:c r="G1938" t="str">
        <x:v>2221c6dda42c5a37c399c726fb7facdfabaac3cdf1f2519156000f53ebc24f4c</x:v>
      </x:c>
      <x:c r="H1938" t="str">
        <x:v>neu</x:v>
      </x:c>
      <x:c r="I1938" t="str">
        <x:v>ok</x:v>
      </x:c>
      <x:c r="J1938"/>
      <x:c r="K1938" t="n">
        <x:v>45502</x:v>
      </x:c>
      <x:c r="L1938" t="n">
        <x:v>45502</x:v>
      </x:c>
      <x:c r="M1938" t="str">
        <x:v>Gebucht</x:v>
      </x:c>
      <x:c r="N1938" t="str">
        <x:v>ISSUER</x:v>
      </x:c>
      <x:c r="O1938" t="str">
        <x:v>LOEWENBAECKER.SCHAPER/SALZGITTER</x:v>
      </x:c>
      <x:c r="P1938" t="str">
        <x:v>VISA Debitkartenumsatz vom 27.07.2024</x:v>
      </x:c>
      <x:c r="Q1938" t="str">
        <x:v>Ausgang</x:v>
      </x:c>
      <x:c r="R1938" t="str">
        <x:v>DE96120300009005290904</x:v>
      </x:c>
      <x:c r="S1938" t="n">
        <x:v>-6.95</x:v>
      </x:c>
      <x:c r="T1938" t="str">
        <x:v>"</x:v>
      </x:c>
      <x:c r="U1938" t="str">
        <x:v>"</x:v>
      </x:c>
      <x:c r="V1938" t="str">
        <x:v>484209265047542</x:v>
      </x:c>
    </x:row>
    <x:row r="1939">
      <x:c r="A1939" t="str">
        <x:v>RAW-IMP-20260516-FULLDRAFT-001922</x:v>
      </x:c>
      <x:c r="B1939" t="str">
        <x:v>IMP-20260516-FULLDRAFT</x:v>
      </x:c>
      <x:c r="C1939" t="str">
        <x:v>KTO001</x:v>
      </x:c>
      <x:c r="D1939" t="str">
        <x:v>16-05-2026_Umsatzliste_Girokonto_DE98120300001061711675.csv</x:v>
      </x:c>
      <x:c r="E1939" t="n">
        <x:v>46163</x:v>
      </x:c>
      <x:c r="F1939" t="n">
        <x:v>1922</x:v>
      </x:c>
      <x:c r="G1939" t="str">
        <x:v>62824edd079cd88683944dd506767e0e0518796c218368631a74eff56f65121f</x:v>
      </x:c>
      <x:c r="H1939" t="str">
        <x:v>neu</x:v>
      </x:c>
      <x:c r="I1939" t="str">
        <x:v>ok</x:v>
      </x:c>
      <x:c r="J1939"/>
      <x:c r="K1939" t="n">
        <x:v>45502</x:v>
      </x:c>
      <x:c r="L1939" t="n">
        <x:v>45502</x:v>
      </x:c>
      <x:c r="M1939" t="str">
        <x:v>Gebucht</x:v>
      </x:c>
      <x:c r="N1939" t="str">
        <x:v>ISSUER</x:v>
      </x:c>
      <x:c r="O1939" t="str">
        <x:v>PAYPAL..C1CINEMABRA/4029357733</x:v>
      </x:c>
      <x:c r="P1939" t="str">
        <x:v>VISA Debitkartenumsatz vom 26.07.2024</x:v>
      </x:c>
      <x:c r="Q1939" t="str">
        <x:v>Ausgang</x:v>
      </x:c>
      <x:c r="R1939" t="str">
        <x:v>DE96120300009005290904</x:v>
      </x:c>
      <x:c r="S1939" t="n">
        <x:v>-30</x:v>
      </x:c>
      <x:c r="T1939" t="str">
        <x:v>"</x:v>
      </x:c>
      <x:c r="U1939" t="str">
        <x:v>"</x:v>
      </x:c>
      <x:c r="V1939" t="str">
        <x:v>464208283600624</x:v>
      </x:c>
    </x:row>
    <x:row r="1940">
      <x:c r="A1940" t="str">
        <x:v>RAW-IMP-20260516-FULLDRAFT-001923</x:v>
      </x:c>
      <x:c r="B1940" t="str">
        <x:v>IMP-20260516-FULLDRAFT</x:v>
      </x:c>
      <x:c r="C1940" t="str">
        <x:v>KTO001</x:v>
      </x:c>
      <x:c r="D1940" t="str">
        <x:v>16-05-2026_Umsatzliste_Girokonto_DE98120300001061711675.csv</x:v>
      </x:c>
      <x:c r="E1940" t="n">
        <x:v>46163</x:v>
      </x:c>
      <x:c r="F1940" t="n">
        <x:v>1923</x:v>
      </x:c>
      <x:c r="G1940" t="str">
        <x:v>57d7b389a14accf35541697103b51c44389112dfdd99873339a4ca86f99cff51</x:v>
      </x:c>
      <x:c r="H1940" t="str">
        <x:v>neu</x:v>
      </x:c>
      <x:c r="I1940" t="str">
        <x:v>ok</x:v>
      </x:c>
      <x:c r="J1940"/>
      <x:c r="K1940" t="n">
        <x:v>45502</x:v>
      </x:c>
      <x:c r="L1940" t="n">
        <x:v>45502</x:v>
      </x:c>
      <x:c r="M1940" t="str">
        <x:v>Gebucht</x:v>
      </x:c>
      <x:c r="N1940" t="str">
        <x:v>ISSUER</x:v>
      </x:c>
      <x:c r="O1940" t="str">
        <x:v>C1.CINEMA.BRAUNSCHWEIG/BRAUNSCHWEIG</x:v>
      </x:c>
      <x:c r="P1940" t="str">
        <x:v>VISA Debitkartenumsatz vom 26.07.2024</x:v>
      </x:c>
      <x:c r="Q1940" t="str">
        <x:v>Ausgang</x:v>
      </x:c>
      <x:c r="R1940" t="str">
        <x:v>DE96120300009005290904</x:v>
      </x:c>
      <x:c r="S1940" t="n">
        <x:v>-2.5</x:v>
      </x:c>
      <x:c r="T1940" t="str">
        <x:v>"</x:v>
      </x:c>
      <x:c r="U1940" t="str">
        <x:v>"</x:v>
      </x:c>
      <x:c r="V1940" t="str">
        <x:v>484208541782039</x:v>
      </x:c>
    </x:row>
    <x:row r="1941">
      <x:c r="A1941" t="str">
        <x:v>RAW-IMP-20260516-FULLDRAFT-001924</x:v>
      </x:c>
      <x:c r="B1941" t="str">
        <x:v>IMP-20260516-FULLDRAFT</x:v>
      </x:c>
      <x:c r="C1941" t="str">
        <x:v>KTO001</x:v>
      </x:c>
      <x:c r="D1941" t="str">
        <x:v>16-05-2026_Umsatzliste_Girokonto_DE98120300001061711675.csv</x:v>
      </x:c>
      <x:c r="E1941" t="n">
        <x:v>46163</x:v>
      </x:c>
      <x:c r="F1941" t="n">
        <x:v>1924</x:v>
      </x:c>
      <x:c r="G1941" t="str">
        <x:v>b47105edd9767494e21bc4df4e43e6f34922ba0c49a079d304b86546610fcfc3</x:v>
      </x:c>
      <x:c r="H1941" t="str">
        <x:v>neu</x:v>
      </x:c>
      <x:c r="I1941" t="str">
        <x:v>ok</x:v>
      </x:c>
      <x:c r="J1941"/>
      <x:c r="K1941" t="n">
        <x:v>45502</x:v>
      </x:c>
      <x:c r="L1941" t="n">
        <x:v>45502</x:v>
      </x:c>
      <x:c r="M1941" t="str">
        <x:v>Gebucht</x:v>
      </x:c>
      <x:c r="N1941" t="str">
        <x:v>ISSUER</x:v>
      </x:c>
      <x:c r="O1941" t="str">
        <x:v>ASTOR.FILMTHEATER/BRAUNSCHWEIG</x:v>
      </x:c>
      <x:c r="P1941" t="str">
        <x:v>VISA Debitkartenumsatz vom 26.07.2024</x:v>
      </x:c>
      <x:c r="Q1941" t="str">
        <x:v>Ausgang</x:v>
      </x:c>
      <x:c r="R1941" t="str">
        <x:v>DE96120300009005290904</x:v>
      </x:c>
      <x:c r="S1941" t="n">
        <x:v>-27.8</x:v>
      </x:c>
      <x:c r="T1941" t="str">
        <x:v>"</x:v>
      </x:c>
      <x:c r="U1941" t="str">
        <x:v>"</x:v>
      </x:c>
      <x:c r="V1941" t="str">
        <x:v>484208464078153</x:v>
      </x:c>
    </x:row>
    <x:row r="1942">
      <x:c r="A1942" t="str">
        <x:v>RAW-IMP-20260516-FULLDRAFT-001925</x:v>
      </x:c>
      <x:c r="B1942" t="str">
        <x:v>IMP-20260516-FULLDRAFT</x:v>
      </x:c>
      <x:c r="C1942" t="str">
        <x:v>KTO001</x:v>
      </x:c>
      <x:c r="D1942" t="str">
        <x:v>16-05-2026_Umsatzliste_Girokonto_DE98120300001061711675.csv</x:v>
      </x:c>
      <x:c r="E1942" t="n">
        <x:v>46163</x:v>
      </x:c>
      <x:c r="F1942" t="n">
        <x:v>1925</x:v>
      </x:c>
      <x:c r="G1942" t="str">
        <x:v>7bd8daf36b8f269ed906ac54a98e13bfad2c1640373d01ce71e02d04bf140592</x:v>
      </x:c>
      <x:c r="H1942" t="str">
        <x:v>neu</x:v>
      </x:c>
      <x:c r="I1942" t="str">
        <x:v>ok</x:v>
      </x:c>
      <x:c r="J1942"/>
      <x:c r="K1942" t="n">
        <x:v>45502</x:v>
      </x:c>
      <x:c r="L1942" t="n">
        <x:v>45502</x:v>
      </x:c>
      <x:c r="M1942" t="str">
        <x:v>Gebucht</x:v>
      </x:c>
      <x:c r="N1942" t="str">
        <x:v>ISSUER</x:v>
      </x:c>
      <x:c r="O1942" t="str">
        <x:v>LOEWENBAECKER.SCHAPER/BRAUNSCHWEIG</x:v>
      </x:c>
      <x:c r="P1942" t="str">
        <x:v>VISA Debitkartenumsatz vom 26.07.2024</x:v>
      </x:c>
      <x:c r="Q1942" t="str">
        <x:v>Ausgang</x:v>
      </x:c>
      <x:c r="R1942" t="str">
        <x:v>DE96120300009005290904</x:v>
      </x:c>
      <x:c r="S1942" t="n">
        <x:v>-2.35</x:v>
      </x:c>
      <x:c r="T1942" t="str">
        <x:v>"</x:v>
      </x:c>
      <x:c r="U1942" t="str">
        <x:v>"</x:v>
      </x:c>
      <x:c r="V1942" t="str">
        <x:v>484208540476838</x:v>
      </x:c>
    </x:row>
    <x:row r="1943">
      <x:c r="A1943" t="str">
        <x:v>RAW-IMP-20260516-FULLDRAFT-001926</x:v>
      </x:c>
      <x:c r="B1943" t="str">
        <x:v>IMP-20260516-FULLDRAFT</x:v>
      </x:c>
      <x:c r="C1943" t="str">
        <x:v>KTO001</x:v>
      </x:c>
      <x:c r="D1943" t="str">
        <x:v>16-05-2026_Umsatzliste_Girokonto_DE98120300001061711675.csv</x:v>
      </x:c>
      <x:c r="E1943" t="n">
        <x:v>46163</x:v>
      </x:c>
      <x:c r="F1943" t="n">
        <x:v>1926</x:v>
      </x:c>
      <x:c r="G1943" t="str">
        <x:v>3f67f8169f3f671b273edfb216c57a07fad9c69852cfa34d95ca96d5ba4a4dfd</x:v>
      </x:c>
      <x:c r="H1943" t="str">
        <x:v>neu</x:v>
      </x:c>
      <x:c r="I1943" t="str">
        <x:v>ok</x:v>
      </x:c>
      <x:c r="J1943"/>
      <x:c r="K1943" t="n">
        <x:v>45502</x:v>
      </x:c>
      <x:c r="L1943" t="n">
        <x:v>45502</x:v>
      </x:c>
      <x:c r="M1943" t="str">
        <x:v>Gebucht</x:v>
      </x:c>
      <x:c r="N1943" t="str">
        <x:v>Lars Kohlenberg</x:v>
      </x:c>
      <x:c r="O1943" t="str">
        <x:v>Gymnasium Salzgitter Bad</x:v>
      </x:c>
      <x:c r="P1943" t="str">
        <x:v>Jan Kohlenberg, Kassenzeichen 3-2024-26, Cuxhaven 7FL3 Bu/Mz</x:v>
      </x:c>
      <x:c r="Q1943" t="str">
        <x:v>Ausgang</x:v>
      </x:c>
      <x:c r="R1943" t="str">
        <x:v>DE36259501300154022560</x:v>
      </x:c>
      <x:c r="S1943" t="n">
        <x:v>-200</x:v>
      </x:c>
      <x:c r="T1943" t="str">
        <x:v>"</x:v>
      </x:c>
      <x:c r="U1943" t="str">
        <x:v>"</x:v>
      </x:c>
      <x:c r="V1943" t="str">
        <x:v>"</x:v>
      </x:c>
    </x:row>
    <x:row r="1944">
      <x:c r="A1944" t="str">
        <x:v>RAW-IMP-20260516-FULLDRAFT-001927</x:v>
      </x:c>
      <x:c r="B1944" t="str">
        <x:v>IMP-20260516-FULLDRAFT</x:v>
      </x:c>
      <x:c r="C1944" t="str">
        <x:v>KTO001</x:v>
      </x:c>
      <x:c r="D1944" t="str">
        <x:v>16-05-2026_Umsatzliste_Girokonto_DE98120300001061711675.csv</x:v>
      </x:c>
      <x:c r="E1944" t="n">
        <x:v>46163</x:v>
      </x:c>
      <x:c r="F1944" t="n">
        <x:v>1927</x:v>
      </x:c>
      <x:c r="G1944" t="str">
        <x:v>2f9bc4d0d857d40c3745e462d4528426cbb4ba6a9b02f3646056c12d67fdd9b4</x:v>
      </x:c>
      <x:c r="H1944" t="str">
        <x:v>neu</x:v>
      </x:c>
      <x:c r="I1944" t="str">
        <x:v>ok</x:v>
      </x:c>
      <x:c r="J1944"/>
      <x:c r="K1944" t="n">
        <x:v>45499</x:v>
      </x:c>
      <x:c r="L1944" t="n">
        <x:v>45499</x:v>
      </x:c>
      <x:c r="M1944" t="str">
        <x:v>Gebucht</x:v>
      </x:c>
      <x:c r="N1944" t="str">
        <x:v>ISSUER</x:v>
      </x:c>
      <x:c r="O1944" t="str">
        <x:v>REWE.Salzgitter.Ge/Salzgitter</x:v>
      </x:c>
      <x:c r="P1944" t="str">
        <x:v>VISA Debitkartenumsatz vom 25.07.2024</x:v>
      </x:c>
      <x:c r="Q1944" t="str">
        <x:v>Ausgang</x:v>
      </x:c>
      <x:c r="R1944" t="str">
        <x:v>DE96120300009005290904</x:v>
      </x:c>
      <x:c r="S1944" t="n">
        <x:v>-19.01</x:v>
      </x:c>
      <x:c r="T1944" t="str">
        <x:v>"</x:v>
      </x:c>
      <x:c r="U1944" t="str">
        <x:v>"</x:v>
      </x:c>
      <x:c r="V1944" t="str">
        <x:v>484207620797963</x:v>
      </x:c>
    </x:row>
    <x:row r="1945">
      <x:c r="A1945" t="str">
        <x:v>RAW-IMP-20260516-FULLDRAFT-001928</x:v>
      </x:c>
      <x:c r="B1945" t="str">
        <x:v>IMP-20260516-FULLDRAFT</x:v>
      </x:c>
      <x:c r="C1945" t="str">
        <x:v>KTO001</x:v>
      </x:c>
      <x:c r="D1945" t="str">
        <x:v>16-05-2026_Umsatzliste_Girokonto_DE98120300001061711675.csv</x:v>
      </x:c>
      <x:c r="E1945" t="n">
        <x:v>46163</x:v>
      </x:c>
      <x:c r="F1945" t="n">
        <x:v>1928</x:v>
      </x:c>
      <x:c r="G1945" t="str">
        <x:v>25fd3c13881c2cbaa2f5f78b7208c0016efb306ce45b698ce3a734d717ef4311</x:v>
      </x:c>
      <x:c r="H1945" t="str">
        <x:v>neu</x:v>
      </x:c>
      <x:c r="I1945" t="str">
        <x:v>ok</x:v>
      </x:c>
      <x:c r="J1945"/>
      <x:c r="K1945" t="n">
        <x:v>45499</x:v>
      </x:c>
      <x:c r="L1945" t="n">
        <x:v>45499</x:v>
      </x:c>
      <x:c r="M1945" t="str">
        <x:v>Gebucht</x:v>
      </x:c>
      <x:c r="N1945" t="str">
        <x:v>ISSUER</x:v>
      </x:c>
      <x:c r="O1945" t="str">
        <x:v>EDEKA.POTRATZ/HILDESHEIM</x:v>
      </x:c>
      <x:c r="P1945" t="str">
        <x:v>VISA Debitkartenumsatz vom 24.07.2024</x:v>
      </x:c>
      <x:c r="Q1945" t="str">
        <x:v>Ausgang</x:v>
      </x:c>
      <x:c r="R1945" t="str">
        <x:v>DE96120300009005290904</x:v>
      </x:c>
      <x:c r="S1945" t="n">
        <x:v>-5</x:v>
      </x:c>
      <x:c r="T1945" t="str">
        <x:v>"</x:v>
      </x:c>
      <x:c r="U1945" t="str">
        <x:v>"</x:v>
      </x:c>
      <x:c r="V1945" t="str">
        <x:v>484206352616675</x:v>
      </x:c>
    </x:row>
    <x:row r="1946">
      <x:c r="A1946" t="str">
        <x:v>RAW-IMP-20260516-FULLDRAFT-001929</x:v>
      </x:c>
      <x:c r="B1946" t="str">
        <x:v>IMP-20260516-FULLDRAFT</x:v>
      </x:c>
      <x:c r="C1946" t="str">
        <x:v>KTO001</x:v>
      </x:c>
      <x:c r="D1946" t="str">
        <x:v>16-05-2026_Umsatzliste_Girokonto_DE98120300001061711675.csv</x:v>
      </x:c>
      <x:c r="E1946" t="n">
        <x:v>46163</x:v>
      </x:c>
      <x:c r="F1946" t="n">
        <x:v>1929</x:v>
      </x:c>
      <x:c r="G1946" t="str">
        <x:v>344efacec8cfc13cb78b968ce0a2f6b9b219976024715b6424107d38086e5184</x:v>
      </x:c>
      <x:c r="H1946" t="str">
        <x:v>neu</x:v>
      </x:c>
      <x:c r="I1946" t="str">
        <x:v>ok</x:v>
      </x:c>
      <x:c r="J1946"/>
      <x:c r="K1946" t="n">
        <x:v>45498</x:v>
      </x:c>
      <x:c r="L1946" t="n">
        <x:v>45498</x:v>
      </x:c>
      <x:c r="M1946" t="str">
        <x:v>Gebucht</x:v>
      </x:c>
      <x:c r="N1946" t="str">
        <x:v>ARAG SE</x:v>
      </x:c>
      <x:c r="O1946" t="str">
        <x:v>Kohlenberg, Lars</x:v>
      </x:c>
      <x:c r="P1946" t="str">
        <x:v>VS-Nr. 11009816687807 Guthabenerst</x:v>
      </x:c>
      <x:c r="Q1946" t="str">
        <x:v>Eingang</x:v>
      </x:c>
      <x:c r="R1946" t="str">
        <x:v>DE35302201900323535256</x:v>
      </x:c>
      <x:c r="S1946" t="n">
        <x:v>308.37</x:v>
      </x:c>
      <x:c r="T1946" t="str">
        <x:v>"</x:v>
      </x:c>
      <x:c r="U1946" t="str">
        <x:v>"</x:v>
      </x:c>
      <x:c r="V1946" t="str">
        <x:v>194001689061</x:v>
      </x:c>
    </x:row>
    <x:row r="1947">
      <x:c r="A1947" t="str">
        <x:v>RAW-IMP-20260516-FULLDRAFT-001930</x:v>
      </x:c>
      <x:c r="B1947" t="str">
        <x:v>IMP-20260516-FULLDRAFT</x:v>
      </x:c>
      <x:c r="C1947" t="str">
        <x:v>KTO001</x:v>
      </x:c>
      <x:c r="D1947" t="str">
        <x:v>16-05-2026_Umsatzliste_Girokonto_DE98120300001061711675.csv</x:v>
      </x:c>
      <x:c r="E1947" t="n">
        <x:v>46163</x:v>
      </x:c>
      <x:c r="F1947" t="n">
        <x:v>1930</x:v>
      </x:c>
      <x:c r="G1947" t="str">
        <x:v>194364f5191618248700d6690621cc8cc677a150275e9e77ac093c56d298a8fb</x:v>
      </x:c>
      <x:c r="H1947" t="str">
        <x:v>neu</x:v>
      </x:c>
      <x:c r="I1947" t="str">
        <x:v>ok</x:v>
      </x:c>
      <x:c r="J1947"/>
      <x:c r="K1947" t="n">
        <x:v>45498</x:v>
      </x:c>
      <x:c r="L1947" t="n">
        <x:v>45498</x:v>
      </x:c>
      <x:c r="M1947" t="str">
        <x:v>Gebucht</x:v>
      </x:c>
      <x:c r="N1947" t="str">
        <x:v>ISSUER</x:v>
      </x:c>
      <x:c r="O1947" t="str">
        <x:v>REWE.Salzgitter.Ge/Salzgitter</x:v>
      </x:c>
      <x:c r="P1947" t="str">
        <x:v>VISA Debitkartenumsatz vom 24.07.2024</x:v>
      </x:c>
      <x:c r="Q1947" t="str">
        <x:v>Ausgang</x:v>
      </x:c>
      <x:c r="R1947" t="str">
        <x:v>DE96120300009005290904</x:v>
      </x:c>
      <x:c r="S1947" t="n">
        <x:v>-33.02</x:v>
      </x:c>
      <x:c r="T1947" t="str">
        <x:v>"</x:v>
      </x:c>
      <x:c r="U1947" t="str">
        <x:v>"</x:v>
      </x:c>
      <x:c r="V1947" t="str">
        <x:v>484206604568792</x:v>
      </x:c>
    </x:row>
    <x:row r="1948">
      <x:c r="A1948" t="str">
        <x:v>RAW-IMP-20260516-FULLDRAFT-001931</x:v>
      </x:c>
      <x:c r="B1948" t="str">
        <x:v>IMP-20260516-FULLDRAFT</x:v>
      </x:c>
      <x:c r="C1948" t="str">
        <x:v>KTO001</x:v>
      </x:c>
      <x:c r="D1948" t="str">
        <x:v>16-05-2026_Umsatzliste_Girokonto_DE98120300001061711675.csv</x:v>
      </x:c>
      <x:c r="E1948" t="n">
        <x:v>46163</x:v>
      </x:c>
      <x:c r="F1948" t="n">
        <x:v>1931</x:v>
      </x:c>
      <x:c r="G1948" t="str">
        <x:v>226476fe1abff3e9b40453857fe1b6606e865649c25f55043ef76abbd259580d</x:v>
      </x:c>
      <x:c r="H1948" t="str">
        <x:v>neu</x:v>
      </x:c>
      <x:c r="I1948" t="str">
        <x:v>ok</x:v>
      </x:c>
      <x:c r="J1948"/>
      <x:c r="K1948" t="n">
        <x:v>45497</x:v>
      </x:c>
      <x:c r="L1948" t="n">
        <x:v>45497</x:v>
      </x:c>
      <x:c r="M1948" t="str">
        <x:v>Gebucht</x:v>
      </x:c>
      <x:c r="N1948" t="str">
        <x:v>ISSUER</x:v>
      </x:c>
      <x:c r="O1948" t="str">
        <x:v>LOEWENBAECKER.SCHAPER/SALZGITTER</x:v>
      </x:c>
      <x:c r="P1948" t="str">
        <x:v>VISA Debitkartenumsatz vom 23.07.2024</x:v>
      </x:c>
      <x:c r="Q1948" t="str">
        <x:v>Ausgang</x:v>
      </x:c>
      <x:c r="R1948" t="str">
        <x:v>DE96120300009005290904</x:v>
      </x:c>
      <x:c r="S1948" t="n">
        <x:v>-3.4</x:v>
      </x:c>
      <x:c r="T1948" t="str">
        <x:v>"</x:v>
      </x:c>
      <x:c r="U1948" t="str">
        <x:v>"</x:v>
      </x:c>
      <x:c r="V1948" t="str">
        <x:v>484205370628974</x:v>
      </x:c>
    </x:row>
    <x:row r="1949">
      <x:c r="A1949" t="str">
        <x:v>RAW-IMP-20260516-FULLDRAFT-001932</x:v>
      </x:c>
      <x:c r="B1949" t="str">
        <x:v>IMP-20260516-FULLDRAFT</x:v>
      </x:c>
      <x:c r="C1949" t="str">
        <x:v>KTO001</x:v>
      </x:c>
      <x:c r="D1949" t="str">
        <x:v>16-05-2026_Umsatzliste_Girokonto_DE98120300001061711675.csv</x:v>
      </x:c>
      <x:c r="E1949" t="n">
        <x:v>46163</x:v>
      </x:c>
      <x:c r="F1949" t="n">
        <x:v>1932</x:v>
      </x:c>
      <x:c r="G1949" t="str">
        <x:v>a14d4717642174cae1ccad07818d0a0e6d47093eb2135e3a72e65883fc6d4795</x:v>
      </x:c>
      <x:c r="H1949" t="str">
        <x:v>neu</x:v>
      </x:c>
      <x:c r="I1949" t="str">
        <x:v>ok</x:v>
      </x:c>
      <x:c r="J1949"/>
      <x:c r="K1949" t="n">
        <x:v>45497</x:v>
      </x:c>
      <x:c r="L1949" t="n">
        <x:v>45497</x:v>
      </x:c>
      <x:c r="M1949" t="str">
        <x:v>Gebucht</x:v>
      </x:c>
      <x:c r="N1949" t="str">
        <x:v>ISSUER</x:v>
      </x:c>
      <x:c r="O1949" t="str">
        <x:v>APRR/21850</x:v>
      </x:c>
      <x:c r="P1949" t="str">
        <x:v>VISA Debitkartenumsatz vom 22.07.2024</x:v>
      </x:c>
      <x:c r="Q1949" t="str">
        <x:v>Ausgang</x:v>
      </x:c>
      <x:c r="R1949" t="str">
        <x:v>DE96120300009005290904</x:v>
      </x:c>
      <x:c r="S1949" t="n">
        <x:v>-3.1</x:v>
      </x:c>
      <x:c r="T1949" t="str">
        <x:v>"</x:v>
      </x:c>
      <x:c r="U1949" t="str">
        <x:v>"</x:v>
      </x:c>
      <x:c r="V1949" t="str">
        <x:v>484204705192058</x:v>
      </x:c>
    </x:row>
    <x:row r="1950">
      <x:c r="A1950" t="str">
        <x:v>RAW-IMP-20260516-FULLDRAFT-001933</x:v>
      </x:c>
      <x:c r="B1950" t="str">
        <x:v>IMP-20260516-FULLDRAFT</x:v>
      </x:c>
      <x:c r="C1950" t="str">
        <x:v>KTO001</x:v>
      </x:c>
      <x:c r="D1950" t="str">
        <x:v>16-05-2026_Umsatzliste_Girokonto_DE98120300001061711675.csv</x:v>
      </x:c>
      <x:c r="E1950" t="n">
        <x:v>46163</x:v>
      </x:c>
      <x:c r="F1950" t="n">
        <x:v>1933</x:v>
      </x:c>
      <x:c r="G1950" t="str">
        <x:v>bae83960ef2e968a1bb7f1d3d28b8464878ad99da526aee4bd55f115e79c58cd</x:v>
      </x:c>
      <x:c r="H1950" t="str">
        <x:v>neu</x:v>
      </x:c>
      <x:c r="I1950" t="str">
        <x:v>ok</x:v>
      </x:c>
      <x:c r="J1950"/>
      <x:c r="K1950" t="n">
        <x:v>45497</x:v>
      </x:c>
      <x:c r="L1950" t="n">
        <x:v>45497</x:v>
      </x:c>
      <x:c r="M1950" t="str">
        <x:v>Gebucht</x:v>
      </x:c>
      <x:c r="N1950" t="str">
        <x:v>ISSUER</x:v>
      </x:c>
      <x:c r="O1950" t="str">
        <x:v>METRO.SAGT.DANKE/BRAUNSCHWEIG</x:v>
      </x:c>
      <x:c r="P1950" t="str">
        <x:v>VISA Debitkartenumsatz vom 23.07.2024</x:v>
      </x:c>
      <x:c r="Q1950" t="str">
        <x:v>Ausgang</x:v>
      </x:c>
      <x:c r="R1950" t="str">
        <x:v>DE96120300009005290904</x:v>
      </x:c>
      <x:c r="S1950" t="n">
        <x:v>-88.34</x:v>
      </x:c>
      <x:c r="T1950" t="str">
        <x:v>"</x:v>
      </x:c>
      <x:c r="U1950" t="str">
        <x:v>"</x:v>
      </x:c>
      <x:c r="V1950" t="str">
        <x:v>484205617968519</x:v>
      </x:c>
    </x:row>
    <x:row r="1951">
      <x:c r="A1951" t="str">
        <x:v>RAW-IMP-20260516-FULLDRAFT-001934</x:v>
      </x:c>
      <x:c r="B1951" t="str">
        <x:v>IMP-20260516-FULLDRAFT</x:v>
      </x:c>
      <x:c r="C1951" t="str">
        <x:v>KTO001</x:v>
      </x:c>
      <x:c r="D1951" t="str">
        <x:v>16-05-2026_Umsatzliste_Girokonto_DE98120300001061711675.csv</x:v>
      </x:c>
      <x:c r="E1951" t="n">
        <x:v>46163</x:v>
      </x:c>
      <x:c r="F1951" t="n">
        <x:v>1934</x:v>
      </x:c>
      <x:c r="G1951" t="str">
        <x:v>c68054fb17e8cc5185aa1ce65c00e05eb9d85092eee474bbd0d3aec1ec40cfcb</x:v>
      </x:c>
      <x:c r="H1951" t="str">
        <x:v>neu</x:v>
      </x:c>
      <x:c r="I1951" t="str">
        <x:v>ok</x:v>
      </x:c>
      <x:c r="J1951"/>
      <x:c r="K1951" t="n">
        <x:v>45497</x:v>
      </x:c>
      <x:c r="L1951" t="n">
        <x:v>45497</x:v>
      </x:c>
      <x:c r="M1951" t="str">
        <x:v>Gebucht</x:v>
      </x:c>
      <x:c r="N1951" t="str">
        <x:v>ISSUER</x:v>
      </x:c>
      <x:c r="O1951" t="str">
        <x:v>AMBRUSSUM.SUD/LUNEL</x:v>
      </x:c>
      <x:c r="P1951" t="str">
        <x:v>VISA Debitkartenumsatz vom 22.07.2024</x:v>
      </x:c>
      <x:c r="Q1951" t="str">
        <x:v>Ausgang</x:v>
      </x:c>
      <x:c r="R1951" t="str">
        <x:v>DE96120300009005290904</x:v>
      </x:c>
      <x:c r="S1951" t="n">
        <x:v>-18</x:v>
      </x:c>
      <x:c r="T1951" t="str">
        <x:v>"</x:v>
      </x:c>
      <x:c r="U1951" t="str">
        <x:v>"</x:v>
      </x:c>
      <x:c r="V1951" t="str">
        <x:v>484204444065071</x:v>
      </x:c>
    </x:row>
    <x:row r="1952">
      <x:c r="A1952" t="str">
        <x:v>RAW-IMP-20260516-FULLDRAFT-001935</x:v>
      </x:c>
      <x:c r="B1952" t="str">
        <x:v>IMP-20260516-FULLDRAFT</x:v>
      </x:c>
      <x:c r="C1952" t="str">
        <x:v>KTO001</x:v>
      </x:c>
      <x:c r="D1952" t="str">
        <x:v>16-05-2026_Umsatzliste_Girokonto_DE98120300001061711675.csv</x:v>
      </x:c>
      <x:c r="E1952" t="n">
        <x:v>46163</x:v>
      </x:c>
      <x:c r="F1952" t="n">
        <x:v>1935</x:v>
      </x:c>
      <x:c r="G1952" t="str">
        <x:v>4e6eaa259c1a828cb754f9b6080ac9a36210dd179b798f3fe880348f35591239</x:v>
      </x:c>
      <x:c r="H1952" t="str">
        <x:v>neu</x:v>
      </x:c>
      <x:c r="I1952" t="str">
        <x:v>ok</x:v>
      </x:c>
      <x:c r="J1952"/>
      <x:c r="K1952" t="n">
        <x:v>45497</x:v>
      </x:c>
      <x:c r="L1952" t="n">
        <x:v>45497</x:v>
      </x:c>
      <x:c r="M1952" t="str">
        <x:v>Gebucht</x:v>
      </x:c>
      <x:c r="N1952" t="str">
        <x:v>ISSUER</x:v>
      </x:c>
      <x:c r="O1952" t="str">
        <x:v>REWE.Salzgitter.Ge/Salzgitter</x:v>
      </x:c>
      <x:c r="P1952" t="str">
        <x:v>VISA Debitkartenumsatz vom 23.07.2024</x:v>
      </x:c>
      <x:c r="Q1952" t="str">
        <x:v>Ausgang</x:v>
      </x:c>
      <x:c r="R1952" t="str">
        <x:v>DE96120300009005290904</x:v>
      </x:c>
      <x:c r="S1952" t="n">
        <x:v>-15.7</x:v>
      </x:c>
      <x:c r="T1952" t="str">
        <x:v>"</x:v>
      </x:c>
      <x:c r="U1952" t="str">
        <x:v>"</x:v>
      </x:c>
      <x:c r="V1952" t="str">
        <x:v>484205375256734</x:v>
      </x:c>
    </x:row>
    <x:row r="1953">
      <x:c r="A1953" t="str">
        <x:v>RAW-IMP-20260516-FULLDRAFT-001936</x:v>
      </x:c>
      <x:c r="B1953" t="str">
        <x:v>IMP-20260516-FULLDRAFT</x:v>
      </x:c>
      <x:c r="C1953" t="str">
        <x:v>KTO001</x:v>
      </x:c>
      <x:c r="D1953" t="str">
        <x:v>16-05-2026_Umsatzliste_Girokonto_DE98120300001061711675.csv</x:v>
      </x:c>
      <x:c r="E1953" t="n">
        <x:v>46163</x:v>
      </x:c>
      <x:c r="F1953" t="n">
        <x:v>1936</x:v>
      </x:c>
      <x:c r="G1953" t="str">
        <x:v>b055bce68cf4822af3e6ee98ab38b2d4322e7dcf6ece8e2ab74f62bc9fa528ab</x:v>
      </x:c>
      <x:c r="H1953" t="str">
        <x:v>neu</x:v>
      </x:c>
      <x:c r="I1953" t="str">
        <x:v>ok</x:v>
      </x:c>
      <x:c r="J1953"/>
      <x:c r="K1953" t="n">
        <x:v>45497</x:v>
      </x:c>
      <x:c r="L1953" t="n">
        <x:v>45497</x:v>
      </x:c>
      <x:c r="M1953" t="str">
        <x:v>Gebucht</x:v>
      </x:c>
      <x:c r="N1953" t="str">
        <x:v>ISSUER</x:v>
      </x:c>
      <x:c r="O1953" t="str">
        <x:v>AMZN.Mktp.DE.J39IB7175/800.279.6620</x:v>
      </x:c>
      <x:c r="P1953" t="str">
        <x:v>VISA Debitkartenumsatz vom 23.07.2024</x:v>
      </x:c>
      <x:c r="Q1953" t="str">
        <x:v>Ausgang</x:v>
      </x:c>
      <x:c r="R1953" t="str">
        <x:v>DE96120300009005290904</x:v>
      </x:c>
      <x:c r="S1953" t="n">
        <x:v>-3.99</x:v>
      </x:c>
      <x:c r="T1953" t="str">
        <x:v>"</x:v>
      </x:c>
      <x:c r="U1953" t="str">
        <x:v>"</x:v>
      </x:c>
      <x:c r="V1953" t="str">
        <x:v>484205427228228</x:v>
      </x:c>
    </x:row>
    <x:row r="1954">
      <x:c r="A1954" t="str">
        <x:v>RAW-IMP-20260516-FULLDRAFT-001937</x:v>
      </x:c>
      <x:c r="B1954" t="str">
        <x:v>IMP-20260516-FULLDRAFT</x:v>
      </x:c>
      <x:c r="C1954" t="str">
        <x:v>KTO001</x:v>
      </x:c>
      <x:c r="D1954" t="str">
        <x:v>16-05-2026_Umsatzliste_Girokonto_DE98120300001061711675.csv</x:v>
      </x:c>
      <x:c r="E1954" t="n">
        <x:v>46163</x:v>
      </x:c>
      <x:c r="F1954" t="n">
        <x:v>1937</x:v>
      </x:c>
      <x:c r="G1954" t="str">
        <x:v>b61e20d8872677fa4dde0b83f3c072934aa045d9eb37645426aee4f0b5b3e509</x:v>
      </x:c>
      <x:c r="H1954" t="str">
        <x:v>neu</x:v>
      </x:c>
      <x:c r="I1954" t="str">
        <x:v>ok</x:v>
      </x:c>
      <x:c r="J1954"/>
      <x:c r="K1954" t="n">
        <x:v>45496</x:v>
      </x:c>
      <x:c r="L1954" t="n">
        <x:v>45496</x:v>
      </x:c>
      <x:c r="M1954" t="str">
        <x:v>Gebucht</x:v>
      </x:c>
      <x:c r="N1954" t="str">
        <x:v>ISSUER</x:v>
      </x:c>
      <x:c r="O1954" t="str">
        <x:v>AUTOROUTES.DU.S.4383846/84VEDENE</x:v>
      </x:c>
      <x:c r="P1954" t="str">
        <x:v>VISA Debitkartenumsatz vom 22.07.2024</x:v>
      </x:c>
      <x:c r="Q1954" t="str">
        <x:v>Ausgang</x:v>
      </x:c>
      <x:c r="R1954" t="str">
        <x:v>DE96120300009005290904</x:v>
      </x:c>
      <x:c r="S1954" t="n">
        <x:v>-52.5</x:v>
      </x:c>
      <x:c r="T1954" t="str">
        <x:v>"</x:v>
      </x:c>
      <x:c r="U1954" t="str">
        <x:v>"</x:v>
      </x:c>
      <x:c r="V1954" t="str">
        <x:v>484204555511365</x:v>
      </x:c>
    </x:row>
    <x:row r="1955">
      <x:c r="A1955" t="str">
        <x:v>RAW-IMP-20260516-FULLDRAFT-001938</x:v>
      </x:c>
      <x:c r="B1955" t="str">
        <x:v>IMP-20260516-FULLDRAFT</x:v>
      </x:c>
      <x:c r="C1955" t="str">
        <x:v>KTO001</x:v>
      </x:c>
      <x:c r="D1955" t="str">
        <x:v>16-05-2026_Umsatzliste_Girokonto_DE98120300001061711675.csv</x:v>
      </x:c>
      <x:c r="E1955" t="n">
        <x:v>46163</x:v>
      </x:c>
      <x:c r="F1955" t="n">
        <x:v>1938</x:v>
      </x:c>
      <x:c r="G1955" t="str">
        <x:v>dad79c5d2ae6e4520ced477d9152e7f297e902fac9c9aa0c0f6f07d593fd0429</x:v>
      </x:c>
      <x:c r="H1955" t="str">
        <x:v>neu</x:v>
      </x:c>
      <x:c r="I1955" t="str">
        <x:v>ok</x:v>
      </x:c>
      <x:c r="J1955"/>
      <x:c r="K1955" t="n">
        <x:v>45496</x:v>
      </x:c>
      <x:c r="L1955" t="n">
        <x:v>45496</x:v>
      </x:c>
      <x:c r="M1955" t="str">
        <x:v>Gebucht</x:v>
      </x:c>
      <x:c r="N1955" t="str">
        <x:v>ISSUER</x:v>
      </x:c>
      <x:c r="O1955" t="str">
        <x:v>SHELL.2344/ACHERN</x:v>
      </x:c>
      <x:c r="P1955" t="str">
        <x:v>VISA Debitkartenumsatz vom 22.07.2024</x:v>
      </x:c>
      <x:c r="Q1955" t="str">
        <x:v>Ausgang</x:v>
      </x:c>
      <x:c r="R1955" t="str">
        <x:v>DE96120300009005290904</x:v>
      </x:c>
      <x:c r="S1955" t="n">
        <x:v>-60</x:v>
      </x:c>
      <x:c r="T1955" t="str">
        <x:v>"</x:v>
      </x:c>
      <x:c r="U1955" t="str">
        <x:v>"</x:v>
      </x:c>
      <x:c r="V1955" t="str">
        <x:v>484204754454471</x:v>
      </x:c>
    </x:row>
    <x:row r="1956">
      <x:c r="A1956" t="str">
        <x:v>RAW-IMP-20260516-FULLDRAFT-001939</x:v>
      </x:c>
      <x:c r="B1956" t="str">
        <x:v>IMP-20260516-FULLDRAFT</x:v>
      </x:c>
      <x:c r="C1956" t="str">
        <x:v>KTO001</x:v>
      </x:c>
      <x:c r="D1956" t="str">
        <x:v>16-05-2026_Umsatzliste_Girokonto_DE98120300001061711675.csv</x:v>
      </x:c>
      <x:c r="E1956" t="n">
        <x:v>46163</x:v>
      </x:c>
      <x:c r="F1956" t="n">
        <x:v>1939</x:v>
      </x:c>
      <x:c r="G1956" t="str">
        <x:v>e803a79bb809139c95468d5a34608e53c4145ea334fcf03a222fb118e87ae460</x:v>
      </x:c>
      <x:c r="H1956" t="str">
        <x:v>neu</x:v>
      </x:c>
      <x:c r="I1956" t="str">
        <x:v>ok</x:v>
      </x:c>
      <x:c r="J1956"/>
      <x:c r="K1956" t="n">
        <x:v>45496</x:v>
      </x:c>
      <x:c r="L1956" t="n">
        <x:v>45496</x:v>
      </x:c>
      <x:c r="M1956" t="str">
        <x:v>Gebucht</x:v>
      </x:c>
      <x:c r="N1956" t="str">
        <x:v>ISSUER</x:v>
      </x:c>
      <x:c r="O1956" t="str">
        <x:v>A.R.E.A./69671</x:v>
      </x:c>
      <x:c r="P1956" t="str">
        <x:v>VISA Debitkartenumsatz vom 22.07.2024</x:v>
      </x:c>
      <x:c r="Q1956" t="str">
        <x:v>Ausgang</x:v>
      </x:c>
      <x:c r="R1956" t="str">
        <x:v>DE96120300009005290904</x:v>
      </x:c>
      <x:c r="S1956" t="n">
        <x:v>-2.3</x:v>
      </x:c>
      <x:c r="T1956" t="str">
        <x:v>"</x:v>
      </x:c>
      <x:c r="U1956" t="str">
        <x:v>"</x:v>
      </x:c>
      <x:c r="V1956" t="str">
        <x:v>484204575836561</x:v>
      </x:c>
    </x:row>
    <x:row r="1957">
      <x:c r="A1957" t="str">
        <x:v>RAW-IMP-20260516-FULLDRAFT-001940</x:v>
      </x:c>
      <x:c r="B1957" t="str">
        <x:v>IMP-20260516-FULLDRAFT</x:v>
      </x:c>
      <x:c r="C1957" t="str">
        <x:v>KTO001</x:v>
      </x:c>
      <x:c r="D1957" t="str">
        <x:v>16-05-2026_Umsatzliste_Girokonto_DE98120300001061711675.csv</x:v>
      </x:c>
      <x:c r="E1957" t="n">
        <x:v>46163</x:v>
      </x:c>
      <x:c r="F1957" t="n">
        <x:v>1940</x:v>
      </x:c>
      <x:c r="G1957" t="str">
        <x:v>4884b95a07e63d45d1e350f385595de44f4e30eca9435cbfc99f732bd9cc2138</x:v>
      </x:c>
      <x:c r="H1957" t="str">
        <x:v>neu</x:v>
      </x:c>
      <x:c r="I1957" t="str">
        <x:v>ok</x:v>
      </x:c>
      <x:c r="J1957"/>
      <x:c r="K1957" t="n">
        <x:v>45496</x:v>
      </x:c>
      <x:c r="L1957" t="n">
        <x:v>45496</x:v>
      </x:c>
      <x:c r="M1957" t="str">
        <x:v>Gebucht</x:v>
      </x:c>
      <x:c r="N1957" t="str">
        <x:v>ISSUER</x:v>
      </x:c>
      <x:c r="O1957" t="str">
        <x:v>SHELL.3301/DAGNEUX</x:v>
      </x:c>
      <x:c r="P1957" t="str">
        <x:v>VISA Debitkartenumsatz vom 22.07.2024</x:v>
      </x:c>
      <x:c r="Q1957" t="str">
        <x:v>Ausgang</x:v>
      </x:c>
      <x:c r="R1957" t="str">
        <x:v>DE96120300009005290904</x:v>
      </x:c>
      <x:c r="S1957" t="n">
        <x:v>-9.2</x:v>
      </x:c>
      <x:c r="T1957" t="str">
        <x:v>"</x:v>
      </x:c>
      <x:c r="U1957" t="str">
        <x:v>"</x:v>
      </x:c>
      <x:c r="V1957" t="str">
        <x:v>484204592198706</x:v>
      </x:c>
    </x:row>
    <x:row r="1958">
      <x:c r="A1958" t="str">
        <x:v>RAW-IMP-20260516-FULLDRAFT-001941</x:v>
      </x:c>
      <x:c r="B1958" t="str">
        <x:v>IMP-20260516-FULLDRAFT</x:v>
      </x:c>
      <x:c r="C1958" t="str">
        <x:v>KTO001</x:v>
      </x:c>
      <x:c r="D1958" t="str">
        <x:v>16-05-2026_Umsatzliste_Girokonto_DE98120300001061711675.csv</x:v>
      </x:c>
      <x:c r="E1958" t="n">
        <x:v>46163</x:v>
      </x:c>
      <x:c r="F1958" t="n">
        <x:v>1941</x:v>
      </x:c>
      <x:c r="G1958" t="str">
        <x:v>118423fb773301b7214df739b710f28c648d77b6faf43209012ad9077d4e35c6</x:v>
      </x:c>
      <x:c r="H1958" t="str">
        <x:v>neu</x:v>
      </x:c>
      <x:c r="I1958" t="str">
        <x:v>ok</x:v>
      </x:c>
      <x:c r="J1958"/>
      <x:c r="K1958" t="n">
        <x:v>45496</x:v>
      </x:c>
      <x:c r="L1958" t="n">
        <x:v>45496</x:v>
      </x:c>
      <x:c r="M1958" t="str">
        <x:v>Gebucht</x:v>
      </x:c>
      <x:c r="N1958" t="str">
        <x:v>ISSUER</x:v>
      </x:c>
      <x:c r="O1958" t="str">
        <x:v>NO.BARCELONA.CORNELLA/CORNELLA.DE.L</x:v>
      </x:c>
      <x:c r="P1958" t="str">
        <x:v>VISA Debitkartenumsatz vom 22.07.2024</x:v>
      </x:c>
      <x:c r="Q1958" t="str">
        <x:v>Ausgang</x:v>
      </x:c>
      <x:c r="R1958" t="str">
        <x:v>DE96120300009005290904</x:v>
      </x:c>
      <x:c r="S1958" t="n">
        <x:v>-21.28</x:v>
      </x:c>
      <x:c r="T1958" t="str">
        <x:v>"</x:v>
      </x:c>
      <x:c r="U1958" t="str">
        <x:v>"</x:v>
      </x:c>
      <x:c r="V1958" t="str">
        <x:v>484204279432609</x:v>
      </x:c>
    </x:row>
    <x:row r="1959">
      <x:c r="A1959" t="str">
        <x:v>RAW-IMP-20260516-FULLDRAFT-001942</x:v>
      </x:c>
      <x:c r="B1959" t="str">
        <x:v>IMP-20260516-FULLDRAFT</x:v>
      </x:c>
      <x:c r="C1959" t="str">
        <x:v>KTO001</x:v>
      </x:c>
      <x:c r="D1959" t="str">
        <x:v>16-05-2026_Umsatzliste_Girokonto_DE98120300001061711675.csv</x:v>
      </x:c>
      <x:c r="E1959" t="n">
        <x:v>46163</x:v>
      </x:c>
      <x:c r="F1959" t="n">
        <x:v>1942</x:v>
      </x:c>
      <x:c r="G1959" t="str">
        <x:v>ee0fafe1e9c3381407d7c198d5dc72164fac1eafa77adb24a5c6627d44c46ab9</x:v>
      </x:c>
      <x:c r="H1959" t="str">
        <x:v>neu</x:v>
      </x:c>
      <x:c r="I1959" t="str">
        <x:v>ok</x:v>
      </x:c>
      <x:c r="J1959"/>
      <x:c r="K1959" t="n">
        <x:v>45496</x:v>
      </x:c>
      <x:c r="L1959" t="n">
        <x:v>45496</x:v>
      </x:c>
      <x:c r="M1959" t="str">
        <x:v>Gebucht</x:v>
      </x:c>
      <x:c r="N1959" t="str">
        <x:v>ISSUER</x:v>
      </x:c>
      <x:c r="O1959" t="str">
        <x:v>APRR.NFC........4763973/21ST.APOLLINA</x:v>
      </x:c>
      <x:c r="P1959" t="str">
        <x:v>VISA Debitkartenumsatz vom 22.07.2024</x:v>
      </x:c>
      <x:c r="Q1959" t="str">
        <x:v>Ausgang</x:v>
      </x:c>
      <x:c r="R1959" t="str">
        <x:v>DE96120300009005290904</x:v>
      </x:c>
      <x:c r="S1959" t="n">
        <x:v>-33.2</x:v>
      </x:c>
      <x:c r="T1959" t="str">
        <x:v>"</x:v>
      </x:c>
      <x:c r="U1959" t="str">
        <x:v>"</x:v>
      </x:c>
      <x:c r="V1959" t="str">
        <x:v>484204680822814</x:v>
      </x:c>
    </x:row>
    <x:row r="1960">
      <x:c r="A1960" t="str">
        <x:v>RAW-IMP-20260516-FULLDRAFT-001943</x:v>
      </x:c>
      <x:c r="B1960" t="str">
        <x:v>IMP-20260516-FULLDRAFT</x:v>
      </x:c>
      <x:c r="C1960" t="str">
        <x:v>KTO001</x:v>
      </x:c>
      <x:c r="D1960" t="str">
        <x:v>16-05-2026_Umsatzliste_Girokonto_DE98120300001061711675.csv</x:v>
      </x:c>
      <x:c r="E1960" t="n">
        <x:v>46163</x:v>
      </x:c>
      <x:c r="F1960" t="n">
        <x:v>1943</x:v>
      </x:c>
      <x:c r="G1960" t="str">
        <x:v>93f0e1ca73e22d05e56989eda9f969d16e6589c0e89cf231c2a02a937f3e0919</x:v>
      </x:c>
      <x:c r="H1960" t="str">
        <x:v>neu</x:v>
      </x:c>
      <x:c r="I1960" t="str">
        <x:v>ok</x:v>
      </x:c>
      <x:c r="J1960"/>
      <x:c r="K1960" t="n">
        <x:v>45496</x:v>
      </x:c>
      <x:c r="L1960" t="n">
        <x:v>45496</x:v>
      </x:c>
      <x:c r="M1960" t="str">
        <x:v>Gebucht</x:v>
      </x:c>
      <x:c r="N1960" t="str">
        <x:v>ISSUER</x:v>
      </x:c>
      <x:c r="O1960" t="str">
        <x:v>MCDONALDS.00885/ACHERN</x:v>
      </x:c>
      <x:c r="P1960" t="str">
        <x:v>VISA Debitkartenumsatz vom 22.07.2024</x:v>
      </x:c>
      <x:c r="Q1960" t="str">
        <x:v>Ausgang</x:v>
      </x:c>
      <x:c r="R1960" t="str">
        <x:v>DE96120300009005290904</x:v>
      </x:c>
      <x:c r="S1960" t="n">
        <x:v>-16.45</x:v>
      </x:c>
      <x:c r="T1960" t="str">
        <x:v>"</x:v>
      </x:c>
      <x:c r="U1960" t="str">
        <x:v>"</x:v>
      </x:c>
      <x:c r="V1960" t="str">
        <x:v>484204760558487</x:v>
      </x:c>
    </x:row>
    <x:row r="1961">
      <x:c r="A1961" t="str">
        <x:v>RAW-IMP-20260516-FULLDRAFT-001944</x:v>
      </x:c>
      <x:c r="B1961" t="str">
        <x:v>IMP-20260516-FULLDRAFT</x:v>
      </x:c>
      <x:c r="C1961" t="str">
        <x:v>KTO001</x:v>
      </x:c>
      <x:c r="D1961" t="str">
        <x:v>16-05-2026_Umsatzliste_Girokonto_DE98120300001061711675.csv</x:v>
      </x:c>
      <x:c r="E1961" t="n">
        <x:v>46163</x:v>
      </x:c>
      <x:c r="F1961" t="n">
        <x:v>1944</x:v>
      </x:c>
      <x:c r="G1961" t="str">
        <x:v>436eb4cc422f8be86664222e7e9af405d875cfef19521b0f405e341272116eca</x:v>
      </x:c>
      <x:c r="H1961" t="str">
        <x:v>neu</x:v>
      </x:c>
      <x:c r="I1961" t="str">
        <x:v>ok</x:v>
      </x:c>
      <x:c r="J1961"/>
      <x:c r="K1961" t="n">
        <x:v>45496</x:v>
      </x:c>
      <x:c r="L1961" t="n">
        <x:v>45496</x:v>
      </x:c>
      <x:c r="M1961" t="str">
        <x:v>Gebucht</x:v>
      </x:c>
      <x:c r="N1961" t="str">
        <x:v>ISSUER</x:v>
      </x:c>
      <x:c r="O1961" t="str">
        <x:v>AYAFUEL/CORNELLA.DE.L</x:v>
      </x:c>
      <x:c r="P1961" t="str">
        <x:v>VISA Debitkartenumsatz vom 22.07.2024</x:v>
      </x:c>
      <x:c r="Q1961" t="str">
        <x:v>Ausgang</x:v>
      </x:c>
      <x:c r="R1961" t="str">
        <x:v>DE96120300009005290904</x:v>
      </x:c>
      <x:c r="S1961" t="n">
        <x:v>-50</x:v>
      </x:c>
      <x:c r="T1961" t="str">
        <x:v>"</x:v>
      </x:c>
      <x:c r="U1961" t="str">
        <x:v>"</x:v>
      </x:c>
      <x:c r="V1961" t="str">
        <x:v>484204289433992</x:v>
      </x:c>
    </x:row>
    <x:row r="1962">
      <x:c r="A1962" t="str">
        <x:v>RAW-IMP-20260516-FULLDRAFT-001945</x:v>
      </x:c>
      <x:c r="B1962" t="str">
        <x:v>IMP-20260516-FULLDRAFT</x:v>
      </x:c>
      <x:c r="C1962" t="str">
        <x:v>KTO001</x:v>
      </x:c>
      <x:c r="D1962" t="str">
        <x:v>16-05-2026_Umsatzliste_Girokonto_DE98120300001061711675.csv</x:v>
      </x:c>
      <x:c r="E1962" t="n">
        <x:v>46163</x:v>
      </x:c>
      <x:c r="F1962" t="n">
        <x:v>1945</x:v>
      </x:c>
      <x:c r="G1962" t="str">
        <x:v>18d4ddc2726f83d5ba5667aa913ae8d0cb44ef0854a9d7fbfc564f9f2a29f64f</x:v>
      </x:c>
      <x:c r="H1962" t="str">
        <x:v>neu</x:v>
      </x:c>
      <x:c r="I1962" t="str">
        <x:v>ok</x:v>
      </x:c>
      <x:c r="J1962"/>
      <x:c r="K1962" t="n">
        <x:v>45496</x:v>
      </x:c>
      <x:c r="L1962" t="n">
        <x:v>45496</x:v>
      </x:c>
      <x:c r="M1962" t="str">
        <x:v>Gebucht</x:v>
      </x:c>
      <x:c r="N1962" t="str">
        <x:v>AYAFUEL/CORNELLA.DE.L</x:v>
      </x:c>
      <x:c r="O1962" t="str">
        <x:v>NOTPROVIDED</x:v>
      </x:c>
      <x:c r="P1962" t="str">
        <x:v>20240723165527 AYAFUEL ES</x:v>
      </x:c>
      <x:c r="Q1962" t="str">
        <x:v>Eingang</x:v>
      </x:c>
      <x:c r="R1962" t="str">
        <x:v>DE96120300009005290904</x:v>
      </x:c>
      <x:c r="S1962" t="n">
        <x:v>9.51</x:v>
      </x:c>
      <x:c r="T1962" t="str">
        <x:v>"</x:v>
      </x:c>
      <x:c r="U1962" t="str">
        <x:v>"</x:v>
      </x:c>
      <x:c r="V1962" t="str">
        <x:v>484204292577495</x:v>
      </x:c>
    </x:row>
    <x:row r="1963">
      <x:c r="A1963" t="str">
        <x:v>RAW-IMP-20260516-FULLDRAFT-001946</x:v>
      </x:c>
      <x:c r="B1963" t="str">
        <x:v>IMP-20260516-FULLDRAFT</x:v>
      </x:c>
      <x:c r="C1963" t="str">
        <x:v>KTO001</x:v>
      </x:c>
      <x:c r="D1963" t="str">
        <x:v>16-05-2026_Umsatzliste_Girokonto_DE98120300001061711675.csv</x:v>
      </x:c>
      <x:c r="E1963" t="n">
        <x:v>46163</x:v>
      </x:c>
      <x:c r="F1963" t="n">
        <x:v>1946</x:v>
      </x:c>
      <x:c r="G1963" t="str">
        <x:v>d85423a52b8f8768d4b2955f5de75135cbdafe3d643d519c27b679aa36bc731d</x:v>
      </x:c>
      <x:c r="H1963" t="str">
        <x:v>neu</x:v>
      </x:c>
      <x:c r="I1963" t="str">
        <x:v>ok</x:v>
      </x:c>
      <x:c r="J1963"/>
      <x:c r="K1963" t="n">
        <x:v>45495</x:v>
      </x:c>
      <x:c r="L1963" t="n">
        <x:v>45495</x:v>
      </x:c>
      <x:c r="M1963" t="str">
        <x:v>Gebucht</x:v>
      </x:c>
      <x:c r="N1963" t="str">
        <x:v>ISSUER</x:v>
      </x:c>
      <x:c r="O1963" t="str">
        <x:v>MUSEU.PICASSO.2/BARCELONA</x:v>
      </x:c>
      <x:c r="P1963" t="str">
        <x:v>VISA Debitkartenumsatz vom 21.07.2024</x:v>
      </x:c>
      <x:c r="Q1963" t="str">
        <x:v>Ausgang</x:v>
      </x:c>
      <x:c r="R1963" t="str">
        <x:v>DE96120300009005290904</x:v>
      </x:c>
      <x:c r="S1963" t="n">
        <x:v>-30</x:v>
      </x:c>
      <x:c r="T1963" t="str">
        <x:v>"</x:v>
      </x:c>
      <x:c r="U1963" t="str">
        <x:v>"</x:v>
      </x:c>
      <x:c r="V1963" t="str">
        <x:v>484203472579622</x:v>
      </x:c>
    </x:row>
    <x:row r="1964">
      <x:c r="A1964" t="str">
        <x:v>RAW-IMP-20260516-FULLDRAFT-001947</x:v>
      </x:c>
      <x:c r="B1964" t="str">
        <x:v>IMP-20260516-FULLDRAFT</x:v>
      </x:c>
      <x:c r="C1964" t="str">
        <x:v>KTO001</x:v>
      </x:c>
      <x:c r="D1964" t="str">
        <x:v>16-05-2026_Umsatzliste_Girokonto_DE98120300001061711675.csv</x:v>
      </x:c>
      <x:c r="E1964" t="n">
        <x:v>46163</x:v>
      </x:c>
      <x:c r="F1964" t="n">
        <x:v>1947</x:v>
      </x:c>
      <x:c r="G1964" t="str">
        <x:v>b53cf53a4741f3df832b66bc60c54507cb5192904fe1ed72b63459b886d22e77</x:v>
      </x:c>
      <x:c r="H1964" t="str">
        <x:v>neu</x:v>
      </x:c>
      <x:c r="I1964" t="str">
        <x:v>ok</x:v>
      </x:c>
      <x:c r="J1964"/>
      <x:c r="K1964" t="n">
        <x:v>45495</x:v>
      </x:c>
      <x:c r="L1964" t="n">
        <x:v>45495</x:v>
      </x:c>
      <x:c r="M1964" t="str">
        <x:v>Gebucht</x:v>
      </x:c>
      <x:c r="N1964" t="str">
        <x:v>ISSUER</x:v>
      </x:c>
      <x:c r="O1964" t="str">
        <x:v>NUESTRA.CIUDAD/BARCELONA</x:v>
      </x:c>
      <x:c r="P1964" t="str">
        <x:v>VISA Debitkartenumsatz vom 21.07.2024</x:v>
      </x:c>
      <x:c r="Q1964" t="str">
        <x:v>Ausgang</x:v>
      </x:c>
      <x:c r="R1964" t="str">
        <x:v>DE96120300009005290904</x:v>
      </x:c>
      <x:c r="S1964" t="n">
        <x:v>-28</x:v>
      </x:c>
      <x:c r="T1964" t="str">
        <x:v>"</x:v>
      </x:c>
      <x:c r="U1964" t="str">
        <x:v>"</x:v>
      </x:c>
      <x:c r="V1964" t="str">
        <x:v>484203592216887</x:v>
      </x:c>
    </x:row>
    <x:row r="1965">
      <x:c r="A1965" t="str">
        <x:v>RAW-IMP-20260516-FULLDRAFT-001948</x:v>
      </x:c>
      <x:c r="B1965" t="str">
        <x:v>IMP-20260516-FULLDRAFT</x:v>
      </x:c>
      <x:c r="C1965" t="str">
        <x:v>KTO001</x:v>
      </x:c>
      <x:c r="D1965" t="str">
        <x:v>16-05-2026_Umsatzliste_Girokonto_DE98120300001061711675.csv</x:v>
      </x:c>
      <x:c r="E1965" t="n">
        <x:v>46163</x:v>
      </x:c>
      <x:c r="F1965" t="n">
        <x:v>1948</x:v>
      </x:c>
      <x:c r="G1965" t="str">
        <x:v>64ea9fd0c50f61fea95c3f5ae6fe746bfc38182eb51dc9ae6d59680de9cb32dd</x:v>
      </x:c>
      <x:c r="H1965" t="str">
        <x:v>neu</x:v>
      </x:c>
      <x:c r="I1965" t="str">
        <x:v>ok</x:v>
      </x:c>
      <x:c r="J1965"/>
      <x:c r="K1965" t="n">
        <x:v>45495</x:v>
      </x:c>
      <x:c r="L1965" t="n">
        <x:v>45495</x:v>
      </x:c>
      <x:c r="M1965" t="str">
        <x:v>Gebucht</x:v>
      </x:c>
      <x:c r="N1965" t="str">
        <x:v>ISSUER</x:v>
      </x:c>
      <x:c r="O1965" t="str">
        <x:v>FGC.MAE/BARCELONA</x:v>
      </x:c>
      <x:c r="P1965" t="str">
        <x:v>VISA Debitkartenumsatz vom 21.07.2024</x:v>
      </x:c>
      <x:c r="Q1965" t="str">
        <x:v>Ausgang</x:v>
      </x:c>
      <x:c r="R1965" t="str">
        <x:v>DE96120300009005290904</x:v>
      </x:c>
      <x:c r="S1965" t="n">
        <x:v>-10.2</x:v>
      </x:c>
      <x:c r="T1965" t="str">
        <x:v>"</x:v>
      </x:c>
      <x:c r="U1965" t="str">
        <x:v>"</x:v>
      </x:c>
      <x:c r="V1965" t="str">
        <x:v>484203659071299</x:v>
      </x:c>
    </x:row>
    <x:row r="1966">
      <x:c r="A1966" t="str">
        <x:v>RAW-IMP-20260516-FULLDRAFT-001949</x:v>
      </x:c>
      <x:c r="B1966" t="str">
        <x:v>IMP-20260516-FULLDRAFT</x:v>
      </x:c>
      <x:c r="C1966" t="str">
        <x:v>KTO001</x:v>
      </x:c>
      <x:c r="D1966" t="str">
        <x:v>16-05-2026_Umsatzliste_Girokonto_DE98120300001061711675.csv</x:v>
      </x:c>
      <x:c r="E1966" t="n">
        <x:v>46163</x:v>
      </x:c>
      <x:c r="F1966" t="n">
        <x:v>1949</x:v>
      </x:c>
      <x:c r="G1966" t="str">
        <x:v>bf310452a93584145a563114b5ef2872375d93ab106f5d6f5a1b528e6abeacd0</x:v>
      </x:c>
      <x:c r="H1966" t="str">
        <x:v>neu</x:v>
      </x:c>
      <x:c r="I1966" t="str">
        <x:v>ok</x:v>
      </x:c>
      <x:c r="J1966"/>
      <x:c r="K1966" t="n">
        <x:v>45495</x:v>
      </x:c>
      <x:c r="L1966" t="n">
        <x:v>45495</x:v>
      </x:c>
      <x:c r="M1966" t="str">
        <x:v>Gebucht</x:v>
      </x:c>
      <x:c r="N1966" t="str">
        <x:v>ISSUER</x:v>
      </x:c>
      <x:c r="O1966" t="str">
        <x:v>AFIPARC.KIOSC.CASCADA/BARCELONA</x:v>
      </x:c>
      <x:c r="P1966" t="str">
        <x:v>VISA Debitkartenumsatz vom 21.07.2024</x:v>
      </x:c>
      <x:c r="Q1966" t="str">
        <x:v>Ausgang</x:v>
      </x:c>
      <x:c r="R1966" t="str">
        <x:v>DE96120300009005290904</x:v>
      </x:c>
      <x:c r="S1966" t="n">
        <x:v>-10.5</x:v>
      </x:c>
      <x:c r="T1966" t="str">
        <x:v>"</x:v>
      </x:c>
      <x:c r="U1966" t="str">
        <x:v>"</x:v>
      </x:c>
      <x:c r="V1966" t="str">
        <x:v>484203409918321</x:v>
      </x:c>
    </x:row>
    <x:row r="1967">
      <x:c r="A1967" t="str">
        <x:v>RAW-IMP-20260516-FULLDRAFT-001950</x:v>
      </x:c>
      <x:c r="B1967" t="str">
        <x:v>IMP-20260516-FULLDRAFT</x:v>
      </x:c>
      <x:c r="C1967" t="str">
        <x:v>KTO001</x:v>
      </x:c>
      <x:c r="D1967" t="str">
        <x:v>16-05-2026_Umsatzliste_Girokonto_DE98120300001061711675.csv</x:v>
      </x:c>
      <x:c r="E1967" t="n">
        <x:v>46163</x:v>
      </x:c>
      <x:c r="F1967" t="n">
        <x:v>1950</x:v>
      </x:c>
      <x:c r="G1967" t="str">
        <x:v>9823e85c9952a0988242b5f648f62f50add9acb19d1f1a5c17df2bee07705399</x:v>
      </x:c>
      <x:c r="H1967" t="str">
        <x:v>neu</x:v>
      </x:c>
      <x:c r="I1967" t="str">
        <x:v>ok</x:v>
      </x:c>
      <x:c r="J1967"/>
      <x:c r="K1967" t="n">
        <x:v>45495</x:v>
      </x:c>
      <x:c r="L1967" t="n">
        <x:v>45495</x:v>
      </x:c>
      <x:c r="M1967" t="str">
        <x:v>Gebucht</x:v>
      </x:c>
      <x:c r="N1967" t="str">
        <x:v>ISSUER</x:v>
      </x:c>
      <x:c r="O1967" t="str">
        <x:v>REST..PLAZA.REAL/BARCELONA</x:v>
      </x:c>
      <x:c r="P1967" t="str">
        <x:v>VISA Debitkartenumsatz vom 21.07.2024</x:v>
      </x:c>
      <x:c r="Q1967" t="str">
        <x:v>Ausgang</x:v>
      </x:c>
      <x:c r="R1967" t="str">
        <x:v>DE96120300009005290904</x:v>
      </x:c>
      <x:c r="S1967" t="n">
        <x:v>-90</x:v>
      </x:c>
      <x:c r="T1967" t="str">
        <x:v>"</x:v>
      </x:c>
      <x:c r="U1967" t="str">
        <x:v>"</x:v>
      </x:c>
      <x:c r="V1967" t="str">
        <x:v>484203638155727</x:v>
      </x:c>
    </x:row>
    <x:row r="1968">
      <x:c r="A1968" t="str">
        <x:v>RAW-IMP-20260516-FULLDRAFT-001951</x:v>
      </x:c>
      <x:c r="B1968" t="str">
        <x:v>IMP-20260516-FULLDRAFT</x:v>
      </x:c>
      <x:c r="C1968" t="str">
        <x:v>KTO001</x:v>
      </x:c>
      <x:c r="D1968" t="str">
        <x:v>16-05-2026_Umsatzliste_Girokonto_DE98120300001061711675.csv</x:v>
      </x:c>
      <x:c r="E1968" t="n">
        <x:v>46163</x:v>
      </x:c>
      <x:c r="F1968" t="n">
        <x:v>1951</x:v>
      </x:c>
      <x:c r="G1968" t="str">
        <x:v>ca67118d28e11c41429e8c2e5f382381654913749f2b4c9aa00c0941a3b414ff</x:v>
      </x:c>
      <x:c r="H1968" t="str">
        <x:v>neu</x:v>
      </x:c>
      <x:c r="I1968" t="str">
        <x:v>ok</x:v>
      </x:c>
      <x:c r="J1968"/>
      <x:c r="K1968" t="n">
        <x:v>45495</x:v>
      </x:c>
      <x:c r="L1968" t="n">
        <x:v>45495</x:v>
      </x:c>
      <x:c r="M1968" t="str">
        <x:v>Gebucht</x:v>
      </x:c>
      <x:c r="N1968" t="str">
        <x:v>ISSUER</x:v>
      </x:c>
      <x:c r="O1968" t="str">
        <x:v>NUESTRA.CIUDAD/BARCELONA</x:v>
      </x:c>
      <x:c r="P1968" t="str">
        <x:v>VISA Debitkartenumsatz vom 21.07.2024</x:v>
      </x:c>
      <x:c r="Q1968" t="str">
        <x:v>Ausgang</x:v>
      </x:c>
      <x:c r="R1968" t="str">
        <x:v>DE96120300009005290904</x:v>
      </x:c>
      <x:c r="S1968" t="n">
        <x:v>-28</x:v>
      </x:c>
      <x:c r="T1968" t="str">
        <x:v>"</x:v>
      </x:c>
      <x:c r="U1968" t="str">
        <x:v>"</x:v>
      </x:c>
      <x:c r="V1968" t="str">
        <x:v>484203599574807</x:v>
      </x:c>
    </x:row>
    <x:row r="1969">
      <x:c r="A1969" t="str">
        <x:v>RAW-IMP-20260516-FULLDRAFT-001952</x:v>
      </x:c>
      <x:c r="B1969" t="str">
        <x:v>IMP-20260516-FULLDRAFT</x:v>
      </x:c>
      <x:c r="C1969" t="str">
        <x:v>KTO001</x:v>
      </x:c>
      <x:c r="D1969" t="str">
        <x:v>16-05-2026_Umsatzliste_Girokonto_DE98120300001061711675.csv</x:v>
      </x:c>
      <x:c r="E1969" t="n">
        <x:v>46163</x:v>
      </x:c>
      <x:c r="F1969" t="n">
        <x:v>1952</x:v>
      </x:c>
      <x:c r="G1969" t="str">
        <x:v>855f0c83fef9c0f272ea644afb4e6d4ae8a1dbca4487b424866c0d43df6b9b99</x:v>
      </x:c>
      <x:c r="H1969" t="str">
        <x:v>neu</x:v>
      </x:c>
      <x:c r="I1969" t="str">
        <x:v>ok</x:v>
      </x:c>
      <x:c r="J1969"/>
      <x:c r="K1969" t="n">
        <x:v>45495</x:v>
      </x:c>
      <x:c r="L1969" t="n">
        <x:v>45495</x:v>
      </x:c>
      <x:c r="M1969" t="str">
        <x:v>Gebucht</x:v>
      </x:c>
      <x:c r="N1969" t="str">
        <x:v>ISSUER</x:v>
      </x:c>
      <x:c r="O1969" t="str">
        <x:v>STARBUCKS.ARGENTERIA/BARCELONA</x:v>
      </x:c>
      <x:c r="P1969" t="str">
        <x:v>VISA Debitkartenumsatz vom 21.07.2024</x:v>
      </x:c>
      <x:c r="Q1969" t="str">
        <x:v>Ausgang</x:v>
      </x:c>
      <x:c r="R1969" t="str">
        <x:v>DE96120300009005290904</x:v>
      </x:c>
      <x:c r="S1969" t="n">
        <x:v>-36.8</x:v>
      </x:c>
      <x:c r="T1969" t="str">
        <x:v>"</x:v>
      </x:c>
      <x:c r="U1969" t="str">
        <x:v>"</x:v>
      </x:c>
      <x:c r="V1969" t="str">
        <x:v>484203438927434</x:v>
      </x:c>
    </x:row>
    <x:row r="1970">
      <x:c r="A1970" t="str">
        <x:v>RAW-IMP-20260516-FULLDRAFT-001953</x:v>
      </x:c>
      <x:c r="B1970" t="str">
        <x:v>IMP-20260516-FULLDRAFT</x:v>
      </x:c>
      <x:c r="C1970" t="str">
        <x:v>KTO001</x:v>
      </x:c>
      <x:c r="D1970" t="str">
        <x:v>16-05-2026_Umsatzliste_Girokonto_DE98120300001061711675.csv</x:v>
      </x:c>
      <x:c r="E1970" t="n">
        <x:v>46163</x:v>
      </x:c>
      <x:c r="F1970" t="n">
        <x:v>1953</x:v>
      </x:c>
      <x:c r="G1970" t="str">
        <x:v>be9de1c6e777743bb16254c8dc6960dd957d93a329427536fc60b103d6f3ce6c</x:v>
      </x:c>
      <x:c r="H1970" t="str">
        <x:v>neu</x:v>
      </x:c>
      <x:c r="I1970" t="str">
        <x:v>ok</x:v>
      </x:c>
      <x:c r="J1970"/>
      <x:c r="K1970" t="n">
        <x:v>45495</x:v>
      </x:c>
      <x:c r="L1970" t="n">
        <x:v>45495</x:v>
      </x:c>
      <x:c r="M1970" t="str">
        <x:v>Gebucht</x:v>
      </x:c>
      <x:c r="N1970" t="str">
        <x:v>ISSUER</x:v>
      </x:c>
      <x:c r="O1970" t="str">
        <x:v>ALEHOP.145.BARCELONA/BARCELONA</x:v>
      </x:c>
      <x:c r="P1970" t="str">
        <x:v>VISA Debitkartenumsatz vom 21.07.2024</x:v>
      </x:c>
      <x:c r="Q1970" t="str">
        <x:v>Ausgang</x:v>
      </x:c>
      <x:c r="R1970" t="str">
        <x:v>DE96120300009005290904</x:v>
      </x:c>
      <x:c r="S1970" t="n">
        <x:v>-35</x:v>
      </x:c>
      <x:c r="T1970" t="str">
        <x:v>"</x:v>
      </x:c>
      <x:c r="U1970" t="str">
        <x:v>"</x:v>
      </x:c>
      <x:c r="V1970" t="str">
        <x:v>484203561385396</x:v>
      </x:c>
    </x:row>
    <x:row r="1971">
      <x:c r="A1971" t="str">
        <x:v>RAW-IMP-20260516-FULLDRAFT-001954</x:v>
      </x:c>
      <x:c r="B1971" t="str">
        <x:v>IMP-20260516-FULLDRAFT</x:v>
      </x:c>
      <x:c r="C1971" t="str">
        <x:v>KTO001</x:v>
      </x:c>
      <x:c r="D1971" t="str">
        <x:v>16-05-2026_Umsatzliste_Girokonto_DE98120300001061711675.csv</x:v>
      </x:c>
      <x:c r="E1971" t="n">
        <x:v>46163</x:v>
      </x:c>
      <x:c r="F1971" t="n">
        <x:v>1954</x:v>
      </x:c>
      <x:c r="G1971" t="str">
        <x:v>2cade2bd49e5d76a7c0959dc2a5000b4325b0686243aab8aa4bc3cedaccc4ef2</x:v>
      </x:c>
      <x:c r="H1971" t="str">
        <x:v>neu</x:v>
      </x:c>
      <x:c r="I1971" t="str">
        <x:v>ok</x:v>
      </x:c>
      <x:c r="J1971"/>
      <x:c r="K1971" t="n">
        <x:v>45495</x:v>
      </x:c>
      <x:c r="L1971" t="n">
        <x:v>45495</x:v>
      </x:c>
      <x:c r="M1971" t="str">
        <x:v>Gebucht</x:v>
      </x:c>
      <x:c r="N1971" t="str">
        <x:v>ISSUER</x:v>
      </x:c>
      <x:c r="O1971" t="str">
        <x:v>METRO.BARCELONA/BARCELONA</x:v>
      </x:c>
      <x:c r="P1971" t="str">
        <x:v>VISA Debitkartenumsatz vom 21.07.2024</x:v>
      </x:c>
      <x:c r="Q1971" t="str">
        <x:v>Ausgang</x:v>
      </x:c>
      <x:c r="R1971" t="str">
        <x:v>DE96120300009005290904</x:v>
      </x:c>
      <x:c r="S1971" t="n">
        <x:v>-10.2</x:v>
      </x:c>
      <x:c r="T1971" t="str">
        <x:v>"</x:v>
      </x:c>
      <x:c r="U1971" t="str">
        <x:v>"</x:v>
      </x:c>
      <x:c r="V1971" t="str">
        <x:v>484203647732213</x:v>
      </x:c>
    </x:row>
    <x:row r="1972">
      <x:c r="A1972" t="str">
        <x:v>RAW-IMP-20260516-FULLDRAFT-001955</x:v>
      </x:c>
      <x:c r="B1972" t="str">
        <x:v>IMP-20260516-FULLDRAFT</x:v>
      </x:c>
      <x:c r="C1972" t="str">
        <x:v>KTO001</x:v>
      </x:c>
      <x:c r="D1972" t="str">
        <x:v>16-05-2026_Umsatzliste_Girokonto_DE98120300001061711675.csv</x:v>
      </x:c>
      <x:c r="E1972" t="n">
        <x:v>46163</x:v>
      </x:c>
      <x:c r="F1972" t="n">
        <x:v>1955</x:v>
      </x:c>
      <x:c r="G1972" t="str">
        <x:v>ef84d939f265c31ace131dd38d3b890eb9bb0c3fc58fecd0431c239d03801031</x:v>
      </x:c>
      <x:c r="H1972" t="str">
        <x:v>neu</x:v>
      </x:c>
      <x:c r="I1972" t="str">
        <x:v>ok</x:v>
      </x:c>
      <x:c r="J1972"/>
      <x:c r="K1972" t="n">
        <x:v>45495</x:v>
      </x:c>
      <x:c r="L1972" t="n">
        <x:v>45495</x:v>
      </x:c>
      <x:c r="M1972" t="str">
        <x:v>Gebucht</x:v>
      </x:c>
      <x:c r="N1972" t="str">
        <x:v>ISSUER</x:v>
      </x:c>
      <x:c r="O1972" t="str">
        <x:v>LAIE.PICASSO/BARCELONA</x:v>
      </x:c>
      <x:c r="P1972" t="str">
        <x:v>VISA Debitkartenumsatz vom 21.07.2024</x:v>
      </x:c>
      <x:c r="Q1972" t="str">
        <x:v>Ausgang</x:v>
      </x:c>
      <x:c r="R1972" t="str">
        <x:v>DE96120300009005290904</x:v>
      </x:c>
      <x:c r="S1972" t="n">
        <x:v>-17.65</x:v>
      </x:c>
      <x:c r="T1972" t="str">
        <x:v>"</x:v>
      </x:c>
      <x:c r="U1972" t="str">
        <x:v>"</x:v>
      </x:c>
      <x:c r="V1972" t="str">
        <x:v>484203536749588</x:v>
      </x:c>
    </x:row>
    <x:row r="1973">
      <x:c r="A1973" t="str">
        <x:v>RAW-IMP-20260516-FULLDRAFT-001956</x:v>
      </x:c>
      <x:c r="B1973" t="str">
        <x:v>IMP-20260516-FULLDRAFT</x:v>
      </x:c>
      <x:c r="C1973" t="str">
        <x:v>KTO001</x:v>
      </x:c>
      <x:c r="D1973" t="str">
        <x:v>16-05-2026_Umsatzliste_Girokonto_DE98120300001061711675.csv</x:v>
      </x:c>
      <x:c r="E1973" t="n">
        <x:v>46163</x:v>
      </x:c>
      <x:c r="F1973" t="n">
        <x:v>1956</x:v>
      </x:c>
      <x:c r="G1973" t="str">
        <x:v>9cda88b30faf7814c6f42842df9d2f13e58f115a3d4aa6da97b327e8554cbd06</x:v>
      </x:c>
      <x:c r="H1973" t="str">
        <x:v>neu</x:v>
      </x:c>
      <x:c r="I1973" t="str">
        <x:v>ok</x:v>
      </x:c>
      <x:c r="J1973"/>
      <x:c r="K1973" t="n">
        <x:v>45495</x:v>
      </x:c>
      <x:c r="L1973" t="n">
        <x:v>45495</x:v>
      </x:c>
      <x:c r="M1973" t="str">
        <x:v>Gebucht</x:v>
      </x:c>
      <x:c r="N1973" t="str">
        <x:v>ISSUER</x:v>
      </x:c>
      <x:c r="O1973" t="str">
        <x:v>APPLE.COM.BILL/08006645451</x:v>
      </x:c>
      <x:c r="P1973" t="str">
        <x:v>VISA Debitkartenumsatz vom 21.07.2024</x:v>
      </x:c>
      <x:c r="Q1973" t="str">
        <x:v>Ausgang</x:v>
      </x:c>
      <x:c r="R1973" t="str">
        <x:v>DE96120300009005290904</x:v>
      </x:c>
      <x:c r="S1973" t="n">
        <x:v>-2.99</x:v>
      </x:c>
      <x:c r="T1973" t="str">
        <x:v>"</x:v>
      </x:c>
      <x:c r="U1973" t="str">
        <x:v>"</x:v>
      </x:c>
      <x:c r="V1973" t="str">
        <x:v>484203754092042</x:v>
      </x:c>
    </x:row>
    <x:row r="1974">
      <x:c r="A1974" t="str">
        <x:v>RAW-IMP-20260516-FULLDRAFT-001957</x:v>
      </x:c>
      <x:c r="B1974" t="str">
        <x:v>IMP-20260516-FULLDRAFT</x:v>
      </x:c>
      <x:c r="C1974" t="str">
        <x:v>KTO001</x:v>
      </x:c>
      <x:c r="D1974" t="str">
        <x:v>16-05-2026_Umsatzliste_Girokonto_DE98120300001061711675.csv</x:v>
      </x:c>
      <x:c r="E1974" t="n">
        <x:v>46163</x:v>
      </x:c>
      <x:c r="F1974" t="n">
        <x:v>1957</x:v>
      </x:c>
      <x:c r="G1974" t="str">
        <x:v>0819aa646da29f9fc87fd5b4a21766ffce4357d66388500ffa905b708e14d0c3</x:v>
      </x:c>
      <x:c r="H1974" t="str">
        <x:v>neu</x:v>
      </x:c>
      <x:c r="I1974" t="str">
        <x:v>ok</x:v>
      </x:c>
      <x:c r="J1974"/>
      <x:c r="K1974" t="n">
        <x:v>45495</x:v>
      </x:c>
      <x:c r="L1974" t="n">
        <x:v>45495</x:v>
      </x:c>
      <x:c r="M1974" t="str">
        <x:v>Gebucht</x:v>
      </x:c>
      <x:c r="N1974" t="str">
        <x:v>APPLE.COM.BILL/ITUNES.COM</x:v>
      </x:c>
      <x:c r="O1974" t="str">
        <x:v>NOTPROVIDED</x:v>
      </x:c>
      <x:c r="P1974" t="str">
        <x:v>20240722211741 APPLE.COM.BILL IE</x:v>
      </x:c>
      <x:c r="Q1974" t="str">
        <x:v>Eingang</x:v>
      </x:c>
      <x:c r="R1974" t="str">
        <x:v>DE96120300009005290904</x:v>
      </x:c>
      <x:c r="S1974" t="n">
        <x:v>0.42</x:v>
      </x:c>
      <x:c r="T1974" t="str">
        <x:v>"</x:v>
      </x:c>
      <x:c r="U1974" t="str">
        <x:v>"</x:v>
      </x:c>
      <x:c r="V1974" t="str">
        <x:v>634204474644994</x:v>
      </x:c>
    </x:row>
    <x:row r="1975">
      <x:c r="A1975" t="str">
        <x:v>RAW-IMP-20260516-FULLDRAFT-001958</x:v>
      </x:c>
      <x:c r="B1975" t="str">
        <x:v>IMP-20260516-FULLDRAFT</x:v>
      </x:c>
      <x:c r="C1975" t="str">
        <x:v>KTO001</x:v>
      </x:c>
      <x:c r="D1975" t="str">
        <x:v>16-05-2026_Umsatzliste_Girokonto_DE98120300001061711675.csv</x:v>
      </x:c>
      <x:c r="E1975" t="n">
        <x:v>46163</x:v>
      </x:c>
      <x:c r="F1975" t="n">
        <x:v>1958</x:v>
      </x:c>
      <x:c r="G1975" t="str">
        <x:v>7b4ae9ecdeb80ccf37a1522328bcf4e3c0944af9513bd6bf665443604d249c69</x:v>
      </x:c>
      <x:c r="H1975" t="str">
        <x:v>neu</x:v>
      </x:c>
      <x:c r="I1975" t="str">
        <x:v>ok</x:v>
      </x:c>
      <x:c r="J1975"/>
      <x:c r="K1975" t="n">
        <x:v>45495</x:v>
      </x:c>
      <x:c r="L1975" t="n">
        <x:v>45495</x:v>
      </x:c>
      <x:c r="M1975" t="str">
        <x:v>Gebucht</x:v>
      </x:c>
      <x:c r="N1975" t="str">
        <x:v>ISSUER</x:v>
      </x:c>
      <x:c r="O1975" t="str">
        <x:v>METRO.BARCELONA/BARCELONA</x:v>
      </x:c>
      <x:c r="P1975" t="str">
        <x:v>VISA Debitkartenumsatz vom 21.07.2024</x:v>
      </x:c>
      <x:c r="Q1975" t="str">
        <x:v>Ausgang</x:v>
      </x:c>
      <x:c r="R1975" t="str">
        <x:v>DE96120300009005290904</x:v>
      </x:c>
      <x:c r="S1975" t="n">
        <x:v>-10.2</x:v>
      </x:c>
      <x:c r="T1975" t="str">
        <x:v>"</x:v>
      </x:c>
      <x:c r="U1975" t="str">
        <x:v>"</x:v>
      </x:c>
      <x:c r="V1975" t="str">
        <x:v>484203331625559</x:v>
      </x:c>
    </x:row>
    <x:row r="1976">
      <x:c r="A1976" t="str">
        <x:v>RAW-IMP-20260516-FULLDRAFT-001959</x:v>
      </x:c>
      <x:c r="B1976" t="str">
        <x:v>IMP-20260516-FULLDRAFT</x:v>
      </x:c>
      <x:c r="C1976" t="str">
        <x:v>KTO001</x:v>
      </x:c>
      <x:c r="D1976" t="str">
        <x:v>16-05-2026_Umsatzliste_Girokonto_DE98120300001061711675.csv</x:v>
      </x:c>
      <x:c r="E1976" t="n">
        <x:v>46163</x:v>
      </x:c>
      <x:c r="F1976" t="n">
        <x:v>1959</x:v>
      </x:c>
      <x:c r="G1976" t="str">
        <x:v>68845cbf176df546933c11c0d99035f1ff2f60628d025f7b909bb652c26fa464</x:v>
      </x:c>
      <x:c r="H1976" t="str">
        <x:v>neu</x:v>
      </x:c>
      <x:c r="I1976" t="str">
        <x:v>ok</x:v>
      </x:c>
      <x:c r="J1976"/>
      <x:c r="K1976" t="n">
        <x:v>45495</x:v>
      </x:c>
      <x:c r="L1976" t="n">
        <x:v>45495</x:v>
      </x:c>
      <x:c r="M1976" t="str">
        <x:v>Gebucht</x:v>
      </x:c>
      <x:c r="N1976" t="str">
        <x:v>ISSUER</x:v>
      </x:c>
      <x:c r="O1976" t="str">
        <x:v>VCC.BENISSA/BENISSA</x:v>
      </x:c>
      <x:c r="P1976" t="str">
        <x:v>VISA Debitkartenumsatz vom 19.07.2024</x:v>
      </x:c>
      <x:c r="Q1976" t="str">
        <x:v>Ausgang</x:v>
      </x:c>
      <x:c r="R1976" t="str">
        <x:v>DE96120300009005290904</x:v>
      </x:c>
      <x:c r="S1976" t="n">
        <x:v>-75.54</x:v>
      </x:c>
      <x:c r="T1976" t="str">
        <x:v>"</x:v>
      </x:c>
      <x:c r="U1976" t="str">
        <x:v>"</x:v>
      </x:c>
      <x:c r="V1976" t="str">
        <x:v>484201632053499</x:v>
      </x:c>
    </x:row>
    <x:row r="1977">
      <x:c r="A1977" t="str">
        <x:v>RAW-IMP-20260516-FULLDRAFT-001960</x:v>
      </x:c>
      <x:c r="B1977" t="str">
        <x:v>IMP-20260516-FULLDRAFT</x:v>
      </x:c>
      <x:c r="C1977" t="str">
        <x:v>KTO001</x:v>
      </x:c>
      <x:c r="D1977" t="str">
        <x:v>16-05-2026_Umsatzliste_Girokonto_DE98120300001061711675.csv</x:v>
      </x:c>
      <x:c r="E1977" t="n">
        <x:v>46163</x:v>
      </x:c>
      <x:c r="F1977" t="n">
        <x:v>1960</x:v>
      </x:c>
      <x:c r="G1977" t="str">
        <x:v>b367ed8e28268eb36d9c3342ccddad1098fc99aab5a22b1bd69b5d4977d64a49</x:v>
      </x:c>
      <x:c r="H1977" t="str">
        <x:v>neu</x:v>
      </x:c>
      <x:c r="I1977" t="str">
        <x:v>ok</x:v>
      </x:c>
      <x:c r="J1977"/>
      <x:c r="K1977" t="n">
        <x:v>45495</x:v>
      </x:c>
      <x:c r="L1977" t="n">
        <x:v>45495</x:v>
      </x:c>
      <x:c r="M1977" t="str">
        <x:v>Gebucht</x:v>
      </x:c>
      <x:c r="N1977" t="str">
        <x:v>ISSUER</x:v>
      </x:c>
      <x:c r="O1977" t="str">
        <x:v>NOVOTEL.BARCELONA.CORNE/CORNELLA.LLOB</x:v>
      </x:c>
      <x:c r="P1977" t="str">
        <x:v>VISA Debitkartenumsatz vom 20.07.2024</x:v>
      </x:c>
      <x:c r="Q1977" t="str">
        <x:v>Ausgang</x:v>
      </x:c>
      <x:c r="R1977" t="str">
        <x:v>DE96120300009005290904</x:v>
      </x:c>
      <x:c r="S1977" t="n">
        <x:v>-100.75</x:v>
      </x:c>
      <x:c r="T1977" t="str">
        <x:v>"</x:v>
      </x:c>
      <x:c r="U1977" t="str">
        <x:v>"</x:v>
      </x:c>
      <x:c r="V1977" t="str">
        <x:v>484202722913422</x:v>
      </x:c>
    </x:row>
    <x:row r="1978">
      <x:c r="A1978" t="str">
        <x:v>RAW-IMP-20260516-FULLDRAFT-001961</x:v>
      </x:c>
      <x:c r="B1978" t="str">
        <x:v>IMP-20260516-FULLDRAFT</x:v>
      </x:c>
      <x:c r="C1978" t="str">
        <x:v>KTO001</x:v>
      </x:c>
      <x:c r="D1978" t="str">
        <x:v>16-05-2026_Umsatzliste_Girokonto_DE98120300001061711675.csv</x:v>
      </x:c>
      <x:c r="E1978" t="n">
        <x:v>46163</x:v>
      </x:c>
      <x:c r="F1978" t="n">
        <x:v>1961</x:v>
      </x:c>
      <x:c r="G1978" t="str">
        <x:v>8524c05c76ad0ce9b3b3adef7833380f49f5b3cbf6195ddc8d2b4325b1dd390d</x:v>
      </x:c>
      <x:c r="H1978" t="str">
        <x:v>neu</x:v>
      </x:c>
      <x:c r="I1978" t="str">
        <x:v>ok</x:v>
      </x:c>
      <x:c r="J1978"/>
      <x:c r="K1978" t="n">
        <x:v>45495</x:v>
      </x:c>
      <x:c r="L1978" t="n">
        <x:v>45495</x:v>
      </x:c>
      <x:c r="M1978" t="str">
        <x:v>Gebucht</x:v>
      </x:c>
      <x:c r="N1978" t="str">
        <x:v>ISSUER</x:v>
      </x:c>
      <x:c r="O1978" t="str">
        <x:v>APARCAMENT.TIBIDABO/BARCELONA</x:v>
      </x:c>
      <x:c r="P1978" t="str">
        <x:v>VISA Debitkartenumsatz vom 20.07.2024</x:v>
      </x:c>
      <x:c r="Q1978" t="str">
        <x:v>Ausgang</x:v>
      </x:c>
      <x:c r="R1978" t="str">
        <x:v>DE96120300009005290904</x:v>
      </x:c>
      <x:c r="S1978" t="n">
        <x:v>-5.15</x:v>
      </x:c>
      <x:c r="T1978" t="str">
        <x:v>"</x:v>
      </x:c>
      <x:c r="U1978" t="str">
        <x:v>"</x:v>
      </x:c>
      <x:c r="V1978" t="str">
        <x:v>484202530447899</x:v>
      </x:c>
    </x:row>
    <x:row r="1979">
      <x:c r="A1979" t="str">
        <x:v>RAW-IMP-20260516-FULLDRAFT-001962</x:v>
      </x:c>
      <x:c r="B1979" t="str">
        <x:v>IMP-20260516-FULLDRAFT</x:v>
      </x:c>
      <x:c r="C1979" t="str">
        <x:v>KTO001</x:v>
      </x:c>
      <x:c r="D1979" t="str">
        <x:v>16-05-2026_Umsatzliste_Girokonto_DE98120300001061711675.csv</x:v>
      </x:c>
      <x:c r="E1979" t="n">
        <x:v>46163</x:v>
      </x:c>
      <x:c r="F1979" t="n">
        <x:v>1962</x:v>
      </x:c>
      <x:c r="G1979" t="str">
        <x:v>2e0bb0c244b2694855c2453fa4287899cdd73e8e353c215beb6d365b67901e2d</x:v>
      </x:c>
      <x:c r="H1979" t="str">
        <x:v>neu</x:v>
      </x:c>
      <x:c r="I1979" t="str">
        <x:v>ok</x:v>
      </x:c>
      <x:c r="J1979"/>
      <x:c r="K1979" t="n">
        <x:v>45492</x:v>
      </x:c>
      <x:c r="L1979" t="n">
        <x:v>45492</x:v>
      </x:c>
      <x:c r="M1979" t="str">
        <x:v>Gebucht</x:v>
      </x:c>
      <x:c r="N1979" t="str">
        <x:v>ISSUER</x:v>
      </x:c>
      <x:c r="O1979" t="str">
        <x:v>AV.KARTING/TEULADA</x:v>
      </x:c>
      <x:c r="P1979" t="str">
        <x:v>VISA Debitkartenumsatz vom 18.07.2024</x:v>
      </x:c>
      <x:c r="Q1979" t="str">
        <x:v>Ausgang</x:v>
      </x:c>
      <x:c r="R1979" t="str">
        <x:v>DE96120300009005290904</x:v>
      </x:c>
      <x:c r="S1979" t="n">
        <x:v>-58</x:v>
      </x:c>
      <x:c r="T1979" t="str">
        <x:v>"</x:v>
      </x:c>
      <x:c r="U1979" t="str">
        <x:v>"</x:v>
      </x:c>
      <x:c r="V1979" t="str">
        <x:v>484200732522644</x:v>
      </x:c>
    </x:row>
    <x:row r="1980">
      <x:c r="A1980" t="str">
        <x:v>RAW-IMP-20260516-FULLDRAFT-001963</x:v>
      </x:c>
      <x:c r="B1980" t="str">
        <x:v>IMP-20260516-FULLDRAFT</x:v>
      </x:c>
      <x:c r="C1980" t="str">
        <x:v>KTO001</x:v>
      </x:c>
      <x:c r="D1980" t="str">
        <x:v>16-05-2026_Umsatzliste_Girokonto_DE98120300001061711675.csv</x:v>
      </x:c>
      <x:c r="E1980" t="n">
        <x:v>46163</x:v>
      </x:c>
      <x:c r="F1980" t="n">
        <x:v>1963</x:v>
      </x:c>
      <x:c r="G1980" t="str">
        <x:v>1c5f0099a6a1ba79796593452fdabdd1acc14793dc3ebd696c95f79672ec8893</x:v>
      </x:c>
      <x:c r="H1980" t="str">
        <x:v>neu</x:v>
      </x:c>
      <x:c r="I1980" t="str">
        <x:v>ok</x:v>
      </x:c>
      <x:c r="J1980"/>
      <x:c r="K1980" t="n">
        <x:v>45492</x:v>
      </x:c>
      <x:c r="L1980" t="n">
        <x:v>45492</x:v>
      </x:c>
      <x:c r="M1980" t="str">
        <x:v>Gebucht</x:v>
      </x:c>
      <x:c r="N1980" t="str">
        <x:v>ISSUER</x:v>
      </x:c>
      <x:c r="O1980" t="str">
        <x:v>MASYMAST40.MORAIRA.SALO/PORTET.DE.MOR</x:v>
      </x:c>
      <x:c r="P1980" t="str">
        <x:v>VISA Debitkartenumsatz vom 18.07.2024</x:v>
      </x:c>
      <x:c r="Q1980" t="str">
        <x:v>Ausgang</x:v>
      </x:c>
      <x:c r="R1980" t="str">
        <x:v>DE96120300009005290904</x:v>
      </x:c>
      <x:c r="S1980" t="n">
        <x:v>-44.04</x:v>
      </x:c>
      <x:c r="T1980" t="str">
        <x:v>"</x:v>
      </x:c>
      <x:c r="U1980" t="str">
        <x:v>"</x:v>
      </x:c>
      <x:c r="V1980" t="str">
        <x:v>484200570433720</x:v>
      </x:c>
    </x:row>
    <x:row r="1981">
      <x:c r="A1981" t="str">
        <x:v>RAW-IMP-20260516-FULLDRAFT-001964</x:v>
      </x:c>
      <x:c r="B1981" t="str">
        <x:v>IMP-20260516-FULLDRAFT</x:v>
      </x:c>
      <x:c r="C1981" t="str">
        <x:v>KTO001</x:v>
      </x:c>
      <x:c r="D1981" t="str">
        <x:v>16-05-2026_Umsatzliste_Girokonto_DE98120300001061711675.csv</x:v>
      </x:c>
      <x:c r="E1981" t="n">
        <x:v>46163</x:v>
      </x:c>
      <x:c r="F1981" t="n">
        <x:v>1964</x:v>
      </x:c>
      <x:c r="G1981" t="str">
        <x:v>f7f7fc3206bf11d8c9002b2aae1dd35045bf27e0491fde54e3ede42bf01043f4</x:v>
      </x:c>
      <x:c r="H1981" t="str">
        <x:v>neu</x:v>
      </x:c>
      <x:c r="I1981" t="str">
        <x:v>ok</x:v>
      </x:c>
      <x:c r="J1981"/>
      <x:c r="K1981" t="n">
        <x:v>45492</x:v>
      </x:c>
      <x:c r="L1981" t="n">
        <x:v>45492</x:v>
      </x:c>
      <x:c r="M1981" t="str">
        <x:v>Gebucht</x:v>
      </x:c>
      <x:c r="N1981" t="str">
        <x:v>ISSUER</x:v>
      </x:c>
      <x:c r="O1981" t="str">
        <x:v>AV.KARTING/TEULADA</x:v>
      </x:c>
      <x:c r="P1981" t="str">
        <x:v>VISA Debitkartenumsatz vom 18.07.2024</x:v>
      </x:c>
      <x:c r="Q1981" t="str">
        <x:v>Ausgang</x:v>
      </x:c>
      <x:c r="R1981" t="str">
        <x:v>DE96120300009005290904</x:v>
      </x:c>
      <x:c r="S1981" t="n">
        <x:v>-82</x:v>
      </x:c>
      <x:c r="T1981" t="str">
        <x:v>"</x:v>
      </x:c>
      <x:c r="U1981" t="str">
        <x:v>"</x:v>
      </x:c>
      <x:c r="V1981" t="str">
        <x:v>484200712724564</x:v>
      </x:c>
    </x:row>
    <x:row r="1982">
      <x:c r="A1982" t="str">
        <x:v>RAW-IMP-20260516-FULLDRAFT-001965</x:v>
      </x:c>
      <x:c r="B1982" t="str">
        <x:v>IMP-20260516-FULLDRAFT</x:v>
      </x:c>
      <x:c r="C1982" t="str">
        <x:v>KTO001</x:v>
      </x:c>
      <x:c r="D1982" t="str">
        <x:v>16-05-2026_Umsatzliste_Girokonto_DE98120300001061711675.csv</x:v>
      </x:c>
      <x:c r="E1982" t="n">
        <x:v>46163</x:v>
      </x:c>
      <x:c r="F1982" t="n">
        <x:v>1965</x:v>
      </x:c>
      <x:c r="G1982" t="str">
        <x:v>f5b4b7548fc1dda09a9c7380bc144c4436868c08dbf4537baa4cd736cb4b26aa</x:v>
      </x:c>
      <x:c r="H1982" t="str">
        <x:v>neu</x:v>
      </x:c>
      <x:c r="I1982" t="str">
        <x:v>ok</x:v>
      </x:c>
      <x:c r="J1982"/>
      <x:c r="K1982" t="n">
        <x:v>45491</x:v>
      </x:c>
      <x:c r="L1982" t="n">
        <x:v>45491</x:v>
      </x:c>
      <x:c r="M1982" t="str">
        <x:v>Gebucht</x:v>
      </x:c>
      <x:c r="N1982" t="str">
        <x:v>ISSUER</x:v>
      </x:c>
      <x:c r="O1982" t="str">
        <x:v>PARKING.GORRION...TNA/ALICANTE</x:v>
      </x:c>
      <x:c r="P1982" t="str">
        <x:v>VISA Debitkartenumsatz vom 17.07.2024</x:v>
      </x:c>
      <x:c r="Q1982" t="str">
        <x:v>Ausgang</x:v>
      </x:c>
      <x:c r="R1982" t="str">
        <x:v>DE96120300009005290904</x:v>
      </x:c>
      <x:c r="S1982" t="n">
        <x:v>-5.25</x:v>
      </x:c>
      <x:c r="T1982" t="str">
        <x:v>"</x:v>
      </x:c>
      <x:c r="U1982" t="str">
        <x:v>"</x:v>
      </x:c>
      <x:c r="V1982" t="str">
        <x:v>484199481167302</x:v>
      </x:c>
    </x:row>
    <x:row r="1983">
      <x:c r="A1983" t="str">
        <x:v>RAW-IMP-20260516-FULLDRAFT-001966</x:v>
      </x:c>
      <x:c r="B1983" t="str">
        <x:v>IMP-20260516-FULLDRAFT</x:v>
      </x:c>
      <x:c r="C1983" t="str">
        <x:v>KTO001</x:v>
      </x:c>
      <x:c r="D1983" t="str">
        <x:v>16-05-2026_Umsatzliste_Girokonto_DE98120300001061711675.csv</x:v>
      </x:c>
      <x:c r="E1983" t="n">
        <x:v>46163</x:v>
      </x:c>
      <x:c r="F1983" t="n">
        <x:v>1966</x:v>
      </x:c>
      <x:c r="G1983" t="str">
        <x:v>0f56be6888879734a8572f04d7b26446d5efcb8e205235460e8f103bb3eefddd</x:v>
      </x:c>
      <x:c r="H1983" t="str">
        <x:v>neu</x:v>
      </x:c>
      <x:c r="I1983" t="str">
        <x:v>ok</x:v>
      </x:c>
      <x:c r="J1983"/>
      <x:c r="K1983" t="n">
        <x:v>45491</x:v>
      </x:c>
      <x:c r="L1983" t="n">
        <x:v>45491</x:v>
      </x:c>
      <x:c r="M1983" t="str">
        <x:v>Gebucht</x:v>
      </x:c>
      <x:c r="N1983" t="str">
        <x:v>ISSUER</x:v>
      </x:c>
      <x:c r="O1983" t="str">
        <x:v>TGB.PORTAL/ALICANTE</x:v>
      </x:c>
      <x:c r="P1983" t="str">
        <x:v>VISA Debitkartenumsatz vom 17.07.2024</x:v>
      </x:c>
      <x:c r="Q1983" t="str">
        <x:v>Ausgang</x:v>
      </x:c>
      <x:c r="R1983" t="str">
        <x:v>DE96120300009005290904</x:v>
      </x:c>
      <x:c r="S1983" t="n">
        <x:v>-5</x:v>
      </x:c>
      <x:c r="T1983" t="str">
        <x:v>"</x:v>
      </x:c>
      <x:c r="U1983" t="str">
        <x:v>"</x:v>
      </x:c>
      <x:c r="V1983" t="str">
        <x:v>484199447606341</x:v>
      </x:c>
    </x:row>
    <x:row r="1984">
      <x:c r="A1984" t="str">
        <x:v>RAW-IMP-20260516-FULLDRAFT-001967</x:v>
      </x:c>
      <x:c r="B1984" t="str">
        <x:v>IMP-20260516-FULLDRAFT</x:v>
      </x:c>
      <x:c r="C1984" t="str">
        <x:v>KTO001</x:v>
      </x:c>
      <x:c r="D1984" t="str">
        <x:v>16-05-2026_Umsatzliste_Girokonto_DE98120300001061711675.csv</x:v>
      </x:c>
      <x:c r="E1984" t="n">
        <x:v>46163</x:v>
      </x:c>
      <x:c r="F1984" t="n">
        <x:v>1967</x:v>
      </x:c>
      <x:c r="G1984" t="str">
        <x:v>077123018e0a75c309eae94d5eca354f66bdaf4bc10a0a289cb9dab97ff2dc49</x:v>
      </x:c>
      <x:c r="H1984" t="str">
        <x:v>neu</x:v>
      </x:c>
      <x:c r="I1984" t="str">
        <x:v>ok</x:v>
      </x:c>
      <x:c r="J1984"/>
      <x:c r="K1984" t="n">
        <x:v>45491</x:v>
      </x:c>
      <x:c r="L1984" t="n">
        <x:v>45491</x:v>
      </x:c>
      <x:c r="M1984" t="str">
        <x:v>Gebucht</x:v>
      </x:c>
      <x:c r="N1984" t="str">
        <x:v>ISSUER</x:v>
      </x:c>
      <x:c r="O1984" t="str">
        <x:v>TGB.PORTAL/ALICANTE</x:v>
      </x:c>
      <x:c r="P1984" t="str">
        <x:v>VISA Debitkartenumsatz vom 17.07.2024</x:v>
      </x:c>
      <x:c r="Q1984" t="str">
        <x:v>Ausgang</x:v>
      </x:c>
      <x:c r="R1984" t="str">
        <x:v>DE96120300009005290904</x:v>
      </x:c>
      <x:c r="S1984" t="n">
        <x:v>-18.1</x:v>
      </x:c>
      <x:c r="T1984" t="str">
        <x:v>"</x:v>
      </x:c>
      <x:c r="U1984" t="str">
        <x:v>"</x:v>
      </x:c>
      <x:c r="V1984" t="str">
        <x:v>484199433485308</x:v>
      </x:c>
    </x:row>
    <x:row r="1985">
      <x:c r="A1985" t="str">
        <x:v>RAW-IMP-20260516-FULLDRAFT-001968</x:v>
      </x:c>
      <x:c r="B1985" t="str">
        <x:v>IMP-20260516-FULLDRAFT</x:v>
      </x:c>
      <x:c r="C1985" t="str">
        <x:v>KTO001</x:v>
      </x:c>
      <x:c r="D1985" t="str">
        <x:v>16-05-2026_Umsatzliste_Girokonto_DE98120300001061711675.csv</x:v>
      </x:c>
      <x:c r="E1985" t="n">
        <x:v>46163</x:v>
      </x:c>
      <x:c r="F1985" t="n">
        <x:v>1968</x:v>
      </x:c>
      <x:c r="G1985" t="str">
        <x:v>10a9c2c0ebf5982f36006cf6a71ce1b7fb24a835af3583822283bacf4b1a9cb5</x:v>
      </x:c>
      <x:c r="H1985" t="str">
        <x:v>neu</x:v>
      </x:c>
      <x:c r="I1985" t="str">
        <x:v>ok</x:v>
      </x:c>
      <x:c r="J1985"/>
      <x:c r="K1985" t="n">
        <x:v>45491</x:v>
      </x:c>
      <x:c r="L1985" t="n">
        <x:v>45491</x:v>
      </x:c>
      <x:c r="M1985" t="str">
        <x:v>Gebucht</x:v>
      </x:c>
      <x:c r="N1985" t="str">
        <x:v>ISSUER</x:v>
      </x:c>
      <x:c r="O1985" t="str">
        <x:v>MARKET.MORAIRA/TEULADA</x:v>
      </x:c>
      <x:c r="P1985" t="str">
        <x:v>VISA Debitkartenumsatz vom 17.07.2024</x:v>
      </x:c>
      <x:c r="Q1985" t="str">
        <x:v>Ausgang</x:v>
      </x:c>
      <x:c r="R1985" t="str">
        <x:v>DE96120300009005290904</x:v>
      </x:c>
      <x:c r="S1985" t="n">
        <x:v>-81.25</x:v>
      </x:c>
      <x:c r="T1985" t="str">
        <x:v>"</x:v>
      </x:c>
      <x:c r="U1985" t="str">
        <x:v>"</x:v>
      </x:c>
      <x:c r="V1985" t="str">
        <x:v>484199534142578</x:v>
      </x:c>
    </x:row>
    <x:row r="1986">
      <x:c r="A1986" t="str">
        <x:v>RAW-IMP-20260516-FULLDRAFT-001969</x:v>
      </x:c>
      <x:c r="B1986" t="str">
        <x:v>IMP-20260516-FULLDRAFT</x:v>
      </x:c>
      <x:c r="C1986" t="str">
        <x:v>KTO001</x:v>
      </x:c>
      <x:c r="D1986" t="str">
        <x:v>16-05-2026_Umsatzliste_Girokonto_DE98120300001061711675.csv</x:v>
      </x:c>
      <x:c r="E1986" t="n">
        <x:v>46163</x:v>
      </x:c>
      <x:c r="F1986" t="n">
        <x:v>1969</x:v>
      </x:c>
      <x:c r="G1986" t="str">
        <x:v>8d901c00844b19160768c6fafb9399c662063826528664372802128842a163d6</x:v>
      </x:c>
      <x:c r="H1986" t="str">
        <x:v>neu</x:v>
      </x:c>
      <x:c r="I1986" t="str">
        <x:v>ok</x:v>
      </x:c>
      <x:c r="J1986"/>
      <x:c r="K1986" t="n">
        <x:v>45490</x:v>
      </x:c>
      <x:c r="L1986" t="n">
        <x:v>45490</x:v>
      </x:c>
      <x:c r="M1986" t="str">
        <x:v>Gebucht</x:v>
      </x:c>
      <x:c r="N1986" t="str">
        <x:v>ISSUER</x:v>
      </x:c>
      <x:c r="O1986" t="str">
        <x:v>MANDALA.BEACH.BAR/BENISSA</x:v>
      </x:c>
      <x:c r="P1986" t="str">
        <x:v>VISA Debitkartenumsatz vom 16.07.2024</x:v>
      </x:c>
      <x:c r="Q1986" t="str">
        <x:v>Ausgang</x:v>
      </x:c>
      <x:c r="R1986" t="str">
        <x:v>DE96120300009005290904</x:v>
      </x:c>
      <x:c r="S1986" t="n">
        <x:v>-160</x:v>
      </x:c>
      <x:c r="T1986" t="str">
        <x:v>"</x:v>
      </x:c>
      <x:c r="U1986" t="str">
        <x:v>"</x:v>
      </x:c>
      <x:c r="V1986" t="str">
        <x:v>484198673982656</x:v>
      </x:c>
    </x:row>
    <x:row r="1987">
      <x:c r="A1987" t="str">
        <x:v>RAW-IMP-20260516-FULLDRAFT-001970</x:v>
      </x:c>
      <x:c r="B1987" t="str">
        <x:v>IMP-20260516-FULLDRAFT</x:v>
      </x:c>
      <x:c r="C1987" t="str">
        <x:v>KTO001</x:v>
      </x:c>
      <x:c r="D1987" t="str">
        <x:v>16-05-2026_Umsatzliste_Girokonto_DE98120300001061711675.csv</x:v>
      </x:c>
      <x:c r="E1987" t="n">
        <x:v>46163</x:v>
      </x:c>
      <x:c r="F1987" t="n">
        <x:v>1970</x:v>
      </x:c>
      <x:c r="G1987" t="str">
        <x:v>f6fac530ad48362f06c8fc919b8fb201f78df76efa12b8e6bbcfe9e97d128542</x:v>
      </x:c>
      <x:c r="H1987" t="str">
        <x:v>neu</x:v>
      </x:c>
      <x:c r="I1987" t="str">
        <x:v>ok</x:v>
      </x:c>
      <x:c r="J1987"/>
      <x:c r="K1987" t="n">
        <x:v>45490</x:v>
      </x:c>
      <x:c r="L1987" t="n">
        <x:v>45490</x:v>
      </x:c>
      <x:c r="M1987" t="str">
        <x:v>Gebucht</x:v>
      </x:c>
      <x:c r="N1987" t="str">
        <x:v>Lars Kohlenberg</x:v>
      </x:c>
      <x:c r="O1987" t="str">
        <x:v>Drillisch Online GmbH                                                 Wilhelm-Rontgen-Strase 1-5, 63477 Maintal</x:v>
      </x:c>
      <x:c r="P1987" t="str">
        <x:v>C0851820 U643982870 B745791807 winSIM</x:v>
      </x:c>
      <x:c r="Q1987" t="str">
        <x:v>Ausgang</x:v>
      </x:c>
      <x:c r="R1987" t="str">
        <x:v>DE87300500000008996811</x:v>
      </x:c>
      <x:c r="S1987" t="n">
        <x:v>-5.99</x:v>
      </x:c>
      <x:c r="T1987" t="str">
        <x:v>DE40ZZZ00000206926</x:v>
      </x:c>
      <x:c r="U1987" t="str">
        <x:v>FB1310D094B04186E02ACE7B8C6</x:v>
      </x:c>
      <x:c r="V1987" t="str">
        <x:v>CNGPDGNFUOBRPNSM</x:v>
      </x:c>
    </x:row>
    <x:row r="1988">
      <x:c r="A1988" t="str">
        <x:v>RAW-IMP-20260516-FULLDRAFT-001971</x:v>
      </x:c>
      <x:c r="B1988" t="str">
        <x:v>IMP-20260516-FULLDRAFT</x:v>
      </x:c>
      <x:c r="C1988" t="str">
        <x:v>KTO001</x:v>
      </x:c>
      <x:c r="D1988" t="str">
        <x:v>16-05-2026_Umsatzliste_Girokonto_DE98120300001061711675.csv</x:v>
      </x:c>
      <x:c r="E1988" t="n">
        <x:v>46163</x:v>
      </x:c>
      <x:c r="F1988" t="n">
        <x:v>1971</x:v>
      </x:c>
      <x:c r="G1988" t="str">
        <x:v>4887735c3d873bb4e6584e0230e1e52f93d18245ec15c714a1e262de794091eb</x:v>
      </x:c>
      <x:c r="H1988" t="str">
        <x:v>neu</x:v>
      </x:c>
      <x:c r="I1988" t="str">
        <x:v>ok</x:v>
      </x:c>
      <x:c r="J1988"/>
      <x:c r="K1988" t="n">
        <x:v>45490</x:v>
      </x:c>
      <x:c r="L1988" t="n">
        <x:v>45490</x:v>
      </x:c>
      <x:c r="M1988" t="str">
        <x:v>Gebucht</x:v>
      </x:c>
      <x:c r="N1988" t="str">
        <x:v>Lars Kohlenberg</x:v>
      </x:c>
      <x:c r="O1988" t="str">
        <x:v>Drillisch Online GmbH                                                 Wilhelm-Rontgen-Strase 1-5, 63477 Maintal</x:v>
      </x:c>
      <x:c r="P1988" t="str">
        <x:v>C0851820 U643344724 B744757727 winSIM</x:v>
      </x:c>
      <x:c r="Q1988" t="str">
        <x:v>Ausgang</x:v>
      </x:c>
      <x:c r="R1988" t="str">
        <x:v>DE87300500000008996811</x:v>
      </x:c>
      <x:c r="S1988" t="n">
        <x:v>-6.99</x:v>
      </x:c>
      <x:c r="T1988" t="str">
        <x:v>DE40ZZZ00000206926</x:v>
      </x:c>
      <x:c r="U1988" t="str">
        <x:v>FB1310D094B04186E02ACE7B8C6</x:v>
      </x:c>
      <x:c r="V1988" t="str">
        <x:v>MWXGORBJJFOPTDDS</x:v>
      </x:c>
    </x:row>
    <x:row r="1989">
      <x:c r="A1989" t="str">
        <x:v>RAW-IMP-20260516-FULLDRAFT-001972</x:v>
      </x:c>
      <x:c r="B1989" t="str">
        <x:v>IMP-20260516-FULLDRAFT</x:v>
      </x:c>
      <x:c r="C1989" t="str">
        <x:v>KTO001</x:v>
      </x:c>
      <x:c r="D1989" t="str">
        <x:v>16-05-2026_Umsatzliste_Girokonto_DE98120300001061711675.csv</x:v>
      </x:c>
      <x:c r="E1989" t="n">
        <x:v>46163</x:v>
      </x:c>
      <x:c r="F1989" t="n">
        <x:v>1972</x:v>
      </x:c>
      <x:c r="G1989" t="str">
        <x:v>72715e30430bf7eefdc6f9032817697f12118ca5110bfb22d683c723573d901a</x:v>
      </x:c>
      <x:c r="H1989" t="str">
        <x:v>neu</x:v>
      </x:c>
      <x:c r="I1989" t="str">
        <x:v>ok</x:v>
      </x:c>
      <x:c r="J1989"/>
      <x:c r="K1989" t="n">
        <x:v>45490</x:v>
      </x:c>
      <x:c r="L1989" t="n">
        <x:v>45490</x:v>
      </x:c>
      <x:c r="M1989" t="str">
        <x:v>Gebucht</x:v>
      </x:c>
      <x:c r="N1989" t="str">
        <x:v>Lars Kohlenberg</x:v>
      </x:c>
      <x:c r="O1989" t="str">
        <x:v>Drillisch Online GmbH                                                 Wilhelm-Rontgen-Strase 1-5, 63477 Maintal</x:v>
      </x:c>
      <x:c r="P1989" t="str">
        <x:v>C0851820 U647152190 B745490681 winSIM</x:v>
      </x:c>
      <x:c r="Q1989" t="str">
        <x:v>Ausgang</x:v>
      </x:c>
      <x:c r="R1989" t="str">
        <x:v>DE87300500000008996811</x:v>
      </x:c>
      <x:c r="S1989" t="n">
        <x:v>-7.38</x:v>
      </x:c>
      <x:c r="T1989" t="str">
        <x:v>DE40ZZZ00000206926</x:v>
      </x:c>
      <x:c r="U1989" t="str">
        <x:v>FB1310D094B04186E02ACE7B8C6</x:v>
      </x:c>
      <x:c r="V1989" t="str">
        <x:v>LHVJLRHLNTSYRNAN</x:v>
      </x:c>
    </x:row>
    <x:row r="1990">
      <x:c r="A1990" t="str">
        <x:v>RAW-IMP-20260516-FULLDRAFT-001973</x:v>
      </x:c>
      <x:c r="B1990" t="str">
        <x:v>IMP-20260516-FULLDRAFT</x:v>
      </x:c>
      <x:c r="C1990" t="str">
        <x:v>KTO001</x:v>
      </x:c>
      <x:c r="D1990" t="str">
        <x:v>16-05-2026_Umsatzliste_Girokonto_DE98120300001061711675.csv</x:v>
      </x:c>
      <x:c r="E1990" t="n">
        <x:v>46163</x:v>
      </x:c>
      <x:c r="F1990" t="n">
        <x:v>1973</x:v>
      </x:c>
      <x:c r="G1990" t="str">
        <x:v>92b774ec1f5aff4e394ddfe6620dd8844dada2b8ceda156cdf056a096a228f10</x:v>
      </x:c>
      <x:c r="H1990" t="str">
        <x:v>neu</x:v>
      </x:c>
      <x:c r="I1990" t="str">
        <x:v>ok</x:v>
      </x:c>
      <x:c r="J1990"/>
      <x:c r="K1990" t="n">
        <x:v>45489</x:v>
      </x:c>
      <x:c r="L1990" t="n">
        <x:v>45489</x:v>
      </x:c>
      <x:c r="M1990" t="str">
        <x:v>Gebucht</x:v>
      </x:c>
      <x:c r="N1990" t="str">
        <x:v>ISSUER</x:v>
      </x:c>
      <x:c r="O1990" t="str">
        <x:v>MARKET.MORAIRA/TEULADA</x:v>
      </x:c>
      <x:c r="P1990" t="str">
        <x:v>VISA Debitkartenumsatz vom 15.07.2024</x:v>
      </x:c>
      <x:c r="Q1990" t="str">
        <x:v>Ausgang</x:v>
      </x:c>
      <x:c r="R1990" t="str">
        <x:v>DE96120300009005290904</x:v>
      </x:c>
      <x:c r="S1990" t="n">
        <x:v>-54.65</x:v>
      </x:c>
      <x:c r="T1990" t="str">
        <x:v>"</x:v>
      </x:c>
      <x:c r="U1990" t="str">
        <x:v>"</x:v>
      </x:c>
      <x:c r="V1990" t="str">
        <x:v>484197691530707</x:v>
      </x:c>
    </x:row>
    <x:row r="1991">
      <x:c r="A1991" t="str">
        <x:v>RAW-IMP-20260516-FULLDRAFT-001974</x:v>
      </x:c>
      <x:c r="B1991" t="str">
        <x:v>IMP-20260516-FULLDRAFT</x:v>
      </x:c>
      <x:c r="C1991" t="str">
        <x:v>KTO001</x:v>
      </x:c>
      <x:c r="D1991" t="str">
        <x:v>16-05-2026_Umsatzliste_Girokonto_DE98120300001061711675.csv</x:v>
      </x:c>
      <x:c r="E1991" t="n">
        <x:v>46163</x:v>
      </x:c>
      <x:c r="F1991" t="n">
        <x:v>1974</x:v>
      </x:c>
      <x:c r="G1991" t="str">
        <x:v>f7ccbe9a3edc81c9a409a1c022bef195faf59cd6facf778658391d22de6c3b79</x:v>
      </x:c>
      <x:c r="H1991" t="str">
        <x:v>neu</x:v>
      </x:c>
      <x:c r="I1991" t="str">
        <x:v>ok</x:v>
      </x:c>
      <x:c r="J1991"/>
      <x:c r="K1991" t="n">
        <x:v>45489</x:v>
      </x:c>
      <x:c r="L1991" t="n">
        <x:v>45489</x:v>
      </x:c>
      <x:c r="M1991" t="str">
        <x:v>Gebucht</x:v>
      </x:c>
      <x:c r="N1991" t="str">
        <x:v>Lars Kohlenberg</x:v>
      </x:c>
      <x:c r="O1991" t="str">
        <x:v>Dunst Hausbau</x:v>
      </x:c>
      <x:c r="P1991" t="str">
        <x:v>Schlussrechnung 2023/10/037, Pos. 61, 67 mit -5415,00 lt. Mail 27.10.22, 68 und 69</x:v>
      </x:c>
      <x:c r="Q1991" t="str">
        <x:v>Ausgang</x:v>
      </x:c>
      <x:c r="R1991" t="str">
        <x:v>DE29270925555802399200</x:v>
      </x:c>
      <x:c r="S1991" t="n">
        <x:v>-7729.65</x:v>
      </x:c>
      <x:c r="T1991" t="str">
        <x:v>"</x:v>
      </x:c>
      <x:c r="U1991" t="str">
        <x:v>"</x:v>
      </x:c>
      <x:c r="V1991" t="str">
        <x:v>"</x:v>
      </x:c>
    </x:row>
    <x:row r="1992">
      <x:c r="A1992" t="str">
        <x:v>RAW-IMP-20260516-FULLDRAFT-001975</x:v>
      </x:c>
      <x:c r="B1992" t="str">
        <x:v>IMP-20260516-FULLDRAFT</x:v>
      </x:c>
      <x:c r="C1992" t="str">
        <x:v>KTO001</x:v>
      </x:c>
      <x:c r="D1992" t="str">
        <x:v>16-05-2026_Umsatzliste_Girokonto_DE98120300001061711675.csv</x:v>
      </x:c>
      <x:c r="E1992" t="n">
        <x:v>46163</x:v>
      </x:c>
      <x:c r="F1992" t="n">
        <x:v>1975</x:v>
      </x:c>
      <x:c r="G1992" t="str">
        <x:v>7fd6a37362e73ec0bc7a860051bd7686f4f385ae7066834bf682ca26a5c311c9</x:v>
      </x:c>
      <x:c r="H1992" t="str">
        <x:v>neu</x:v>
      </x:c>
      <x:c r="I1992" t="str">
        <x:v>ok</x:v>
      </x:c>
      <x:c r="J1992"/>
      <x:c r="K1992" t="n">
        <x:v>45488</x:v>
      </x:c>
      <x:c r="L1992" t="n">
        <x:v>45488</x:v>
      </x:c>
      <x:c r="M1992" t="str">
        <x:v>Gebucht</x:v>
      </x:c>
      <x:c r="N1992" t="str">
        <x:v>ISSUER</x:v>
      </x:c>
      <x:c r="O1992" t="str">
        <x:v>AMAZON.PRI..D01.103514/LUXEMBOURG</x:v>
      </x:c>
      <x:c r="P1992" t="str">
        <x:v>VISA Debitkartenumsatz vom 12.07.2024</x:v>
      </x:c>
      <x:c r="Q1992" t="str">
        <x:v>Ausgang</x:v>
      </x:c>
      <x:c r="R1992" t="str">
        <x:v>DE96120300009005290904</x:v>
      </x:c>
      <x:c r="S1992" t="n">
        <x:v>-89.9</x:v>
      </x:c>
      <x:c r="T1992" t="str">
        <x:v>"</x:v>
      </x:c>
      <x:c r="U1992" t="str">
        <x:v>"</x:v>
      </x:c>
      <x:c r="V1992" t="str">
        <x:v>484194725650032</x:v>
      </x:c>
    </x:row>
    <x:row r="1993">
      <x:c r="A1993" t="str">
        <x:v>RAW-IMP-20260516-FULLDRAFT-001976</x:v>
      </x:c>
      <x:c r="B1993" t="str">
        <x:v>IMP-20260516-FULLDRAFT</x:v>
      </x:c>
      <x:c r="C1993" t="str">
        <x:v>KTO001</x:v>
      </x:c>
      <x:c r="D1993" t="str">
        <x:v>16-05-2026_Umsatzliste_Girokonto_DE98120300001061711675.csv</x:v>
      </x:c>
      <x:c r="E1993" t="n">
        <x:v>46163</x:v>
      </x:c>
      <x:c r="F1993" t="n">
        <x:v>1976</x:v>
      </x:c>
      <x:c r="G1993" t="str">
        <x:v>6b81178a79f4f0a861ee60ccddf8cb7205f743e96307b01bb58bb407a094919e</x:v>
      </x:c>
      <x:c r="H1993" t="str">
        <x:v>neu</x:v>
      </x:c>
      <x:c r="I1993" t="str">
        <x:v>ok</x:v>
      </x:c>
      <x:c r="J1993"/>
      <x:c r="K1993" t="n">
        <x:v>45488</x:v>
      </x:c>
      <x:c r="L1993" t="n">
        <x:v>45488</x:v>
      </x:c>
      <x:c r="M1993" t="str">
        <x:v>Gebucht</x:v>
      </x:c>
      <x:c r="N1993" t="str">
        <x:v>ISSUER</x:v>
      </x:c>
      <x:c r="O1993" t="str">
        <x:v>MARKET.MORAIRA/TEULADA</x:v>
      </x:c>
      <x:c r="P1993" t="str">
        <x:v>VISA Debitkartenumsatz vom 12.07.2024</x:v>
      </x:c>
      <x:c r="Q1993" t="str">
        <x:v>Ausgang</x:v>
      </x:c>
      <x:c r="R1993" t="str">
        <x:v>DE96120300009005290904</x:v>
      </x:c>
      <x:c r="S1993" t="n">
        <x:v>-5.32</x:v>
      </x:c>
      <x:c r="T1993" t="str">
        <x:v>"</x:v>
      </x:c>
      <x:c r="U1993" t="str">
        <x:v>"</x:v>
      </x:c>
      <x:c r="V1993" t="str">
        <x:v>484194586718985</x:v>
      </x:c>
    </x:row>
    <x:row r="1994">
      <x:c r="A1994" t="str">
        <x:v>RAW-IMP-20260516-FULLDRAFT-001977</x:v>
      </x:c>
      <x:c r="B1994" t="str">
        <x:v>IMP-20260516-FULLDRAFT</x:v>
      </x:c>
      <x:c r="C1994" t="str">
        <x:v>KTO001</x:v>
      </x:c>
      <x:c r="D1994" t="str">
        <x:v>16-05-2026_Umsatzliste_Girokonto_DE98120300001061711675.csv</x:v>
      </x:c>
      <x:c r="E1994" t="n">
        <x:v>46163</x:v>
      </x:c>
      <x:c r="F1994" t="n">
        <x:v>1977</x:v>
      </x:c>
      <x:c r="G1994" t="str">
        <x:v>a0115d21aa0eea756b2481bc169dd9933af29aeaefa37fd77ec36112bec0f170</x:v>
      </x:c>
      <x:c r="H1994" t="str">
        <x:v>neu</x:v>
      </x:c>
      <x:c r="I1994" t="str">
        <x:v>ok</x:v>
      </x:c>
      <x:c r="J1994"/>
      <x:c r="K1994" t="n">
        <x:v>45488</x:v>
      </x:c>
      <x:c r="L1994" t="n">
        <x:v>45488</x:v>
      </x:c>
      <x:c r="M1994" t="str">
        <x:v>Gebucht</x:v>
      </x:c>
      <x:c r="N1994" t="str">
        <x:v>ISSUER</x:v>
      </x:c>
      <x:c r="O1994" t="str">
        <x:v>BEN.Y.JERRYS.VALENCIA/VALENCIA</x:v>
      </x:c>
      <x:c r="P1994" t="str">
        <x:v>VISA Debitkartenumsatz vom 13.07.2024</x:v>
      </x:c>
      <x:c r="Q1994" t="str">
        <x:v>Ausgang</x:v>
      </x:c>
      <x:c r="R1994" t="str">
        <x:v>DE96120300009005290904</x:v>
      </x:c>
      <x:c r="S1994" t="n">
        <x:v>-11</x:v>
      </x:c>
      <x:c r="T1994" t="str">
        <x:v>"</x:v>
      </x:c>
      <x:c r="U1994" t="str">
        <x:v>"</x:v>
      </x:c>
      <x:c r="V1994" t="str">
        <x:v>484195439400621</x:v>
      </x:c>
    </x:row>
    <x:row r="1995">
      <x:c r="A1995" t="str">
        <x:v>RAW-IMP-20260516-FULLDRAFT-001978</x:v>
      </x:c>
      <x:c r="B1995" t="str">
        <x:v>IMP-20260516-FULLDRAFT</x:v>
      </x:c>
      <x:c r="C1995" t="str">
        <x:v>KTO001</x:v>
      </x:c>
      <x:c r="D1995" t="str">
        <x:v>16-05-2026_Umsatzliste_Girokonto_DE98120300001061711675.csv</x:v>
      </x:c>
      <x:c r="E1995" t="n">
        <x:v>46163</x:v>
      </x:c>
      <x:c r="F1995" t="n">
        <x:v>1978</x:v>
      </x:c>
      <x:c r="G1995" t="str">
        <x:v>47ee5a49f17f968c6b3f7fd30e4e897b67f0a6156b1be7b89714709302110110</x:v>
      </x:c>
      <x:c r="H1995" t="str">
        <x:v>neu</x:v>
      </x:c>
      <x:c r="I1995" t="str">
        <x:v>ok</x:v>
      </x:c>
      <x:c r="J1995"/>
      <x:c r="K1995" t="n">
        <x:v>45488</x:v>
      </x:c>
      <x:c r="L1995" t="n">
        <x:v>45488</x:v>
      </x:c>
      <x:c r="M1995" t="str">
        <x:v>Gebucht</x:v>
      </x:c>
      <x:c r="N1995" t="str">
        <x:v>ISSUER</x:v>
      </x:c>
      <x:c r="O1995" t="str">
        <x:v>PARKING.VINATEA/VALENCIA</x:v>
      </x:c>
      <x:c r="P1995" t="str">
        <x:v>VISA Debitkartenumsatz vom 13.07.2024</x:v>
      </x:c>
      <x:c r="Q1995" t="str">
        <x:v>Ausgang</x:v>
      </x:c>
      <x:c r="R1995" t="str">
        <x:v>DE96120300009005290904</x:v>
      </x:c>
      <x:c r="S1995" t="n">
        <x:v>-10.8</x:v>
      </x:c>
      <x:c r="T1995" t="str">
        <x:v>"</x:v>
      </x:c>
      <x:c r="U1995" t="str">
        <x:v>"</x:v>
      </x:c>
      <x:c r="V1995" t="str">
        <x:v>484195506350649</x:v>
      </x:c>
    </x:row>
    <x:row r="1996">
      <x:c r="A1996" t="str">
        <x:v>RAW-IMP-20260516-FULLDRAFT-001979</x:v>
      </x:c>
      <x:c r="B1996" t="str">
        <x:v>IMP-20260516-FULLDRAFT</x:v>
      </x:c>
      <x:c r="C1996" t="str">
        <x:v>KTO001</x:v>
      </x:c>
      <x:c r="D1996" t="str">
        <x:v>16-05-2026_Umsatzliste_Girokonto_DE98120300001061711675.csv</x:v>
      </x:c>
      <x:c r="E1996" t="n">
        <x:v>46163</x:v>
      </x:c>
      <x:c r="F1996" t="n">
        <x:v>1979</x:v>
      </x:c>
      <x:c r="G1996" t="str">
        <x:v>e958353c1090135700c723cabf013769d1034803e0ee293614db15aae5652ee3</x:v>
      </x:c>
      <x:c r="H1996" t="str">
        <x:v>neu</x:v>
      </x:c>
      <x:c r="I1996" t="str">
        <x:v>ok</x:v>
      </x:c>
      <x:c r="J1996"/>
      <x:c r="K1996" t="n">
        <x:v>45488</x:v>
      </x:c>
      <x:c r="L1996" t="n">
        <x:v>45488</x:v>
      </x:c>
      <x:c r="M1996" t="str">
        <x:v>Gebucht</x:v>
      </x:c>
      <x:c r="N1996" t="str">
        <x:v>ISSUER</x:v>
      </x:c>
      <x:c r="O1996" t="str">
        <x:v>FRIKING.VALENCIA.2/VALENCIA</x:v>
      </x:c>
      <x:c r="P1996" t="str">
        <x:v>VISA Debitkartenumsatz vom 13.07.2024</x:v>
      </x:c>
      <x:c r="Q1996" t="str">
        <x:v>Ausgang</x:v>
      </x:c>
      <x:c r="R1996" t="str">
        <x:v>DE96120300009005290904</x:v>
      </x:c>
      <x:c r="S1996" t="n">
        <x:v>-48</x:v>
      </x:c>
      <x:c r="T1996" t="str">
        <x:v>"</x:v>
      </x:c>
      <x:c r="U1996" t="str">
        <x:v>"</x:v>
      </x:c>
      <x:c r="V1996" t="str">
        <x:v>484195476562519</x:v>
      </x:c>
    </x:row>
    <x:row r="1997">
      <x:c r="A1997" t="str">
        <x:v>RAW-IMP-20260516-FULLDRAFT-001980</x:v>
      </x:c>
      <x:c r="B1997" t="str">
        <x:v>IMP-20260516-FULLDRAFT</x:v>
      </x:c>
      <x:c r="C1997" t="str">
        <x:v>KTO001</x:v>
      </x:c>
      <x:c r="D1997" t="str">
        <x:v>16-05-2026_Umsatzliste_Girokonto_DE98120300001061711675.csv</x:v>
      </x:c>
      <x:c r="E1997" t="n">
        <x:v>46163</x:v>
      </x:c>
      <x:c r="F1997" t="n">
        <x:v>1980</x:v>
      </x:c>
      <x:c r="G1997" t="str">
        <x:v>c76fde78874f6cba8f7208fa5b8efaa16c8bcbf6a5ce47318dfaf034a29fff52</x:v>
      </x:c>
      <x:c r="H1997" t="str">
        <x:v>neu</x:v>
      </x:c>
      <x:c r="I1997" t="str">
        <x:v>ok</x:v>
      </x:c>
      <x:c r="J1997"/>
      <x:c r="K1997" t="n">
        <x:v>45488</x:v>
      </x:c>
      <x:c r="L1997" t="n">
        <x:v>45488</x:v>
      </x:c>
      <x:c r="M1997" t="str">
        <x:v>Gebucht</x:v>
      </x:c>
      <x:c r="N1997" t="str">
        <x:v>ISSUER</x:v>
      </x:c>
      <x:c r="O1997" t="str">
        <x:v>MCDONALDS.REINA/VALENCIA</x:v>
      </x:c>
      <x:c r="P1997" t="str">
        <x:v>VISA Debitkartenumsatz vom 13.07.2024</x:v>
      </x:c>
      <x:c r="Q1997" t="str">
        <x:v>Ausgang</x:v>
      </x:c>
      <x:c r="R1997" t="str">
        <x:v>DE96120300009005290904</x:v>
      </x:c>
      <x:c r="S1997" t="n">
        <x:v>-17.59</x:v>
      </x:c>
      <x:c r="T1997" t="str">
        <x:v>"</x:v>
      </x:c>
      <x:c r="U1997" t="str">
        <x:v>"</x:v>
      </x:c>
      <x:c r="V1997" t="str">
        <x:v>484195394410444</x:v>
      </x:c>
    </x:row>
    <x:row r="1998">
      <x:c r="A1998" t="str">
        <x:v>RAW-IMP-20260516-FULLDRAFT-001981</x:v>
      </x:c>
      <x:c r="B1998" t="str">
        <x:v>IMP-20260516-FULLDRAFT</x:v>
      </x:c>
      <x:c r="C1998" t="str">
        <x:v>KTO001</x:v>
      </x:c>
      <x:c r="D1998" t="str">
        <x:v>16-05-2026_Umsatzliste_Girokonto_DE98120300001061711675.csv</x:v>
      </x:c>
      <x:c r="E1998" t="n">
        <x:v>46163</x:v>
      </x:c>
      <x:c r="F1998" t="n">
        <x:v>1981</x:v>
      </x:c>
      <x:c r="G1998" t="str">
        <x:v>198322f90e5d57b83e7f79bbc5cccaf8d19915ba3889b6932b00d5bad4c31856</x:v>
      </x:c>
      <x:c r="H1998" t="str">
        <x:v>neu</x:v>
      </x:c>
      <x:c r="I1998" t="str">
        <x:v>ok</x:v>
      </x:c>
      <x:c r="J1998"/>
      <x:c r="K1998" t="n">
        <x:v>45488</x:v>
      </x:c>
      <x:c r="L1998" t="n">
        <x:v>45488</x:v>
      </x:c>
      <x:c r="M1998" t="str">
        <x:v>Gebucht</x:v>
      </x:c>
      <x:c r="N1998" t="str">
        <x:v>ISSUER</x:v>
      </x:c>
      <x:c r="O1998" t="str">
        <x:v>.MERCADO.CENTRAL/VALENCIA</x:v>
      </x:c>
      <x:c r="P1998" t="str">
        <x:v>VISA Debitkartenumsatz vom 13.07.2024</x:v>
      </x:c>
      <x:c r="Q1998" t="str">
        <x:v>Ausgang</x:v>
      </x:c>
      <x:c r="R1998" t="str">
        <x:v>DE96120300009005290904</x:v>
      </x:c>
      <x:c r="S1998" t="n">
        <x:v>-1</x:v>
      </x:c>
      <x:c r="T1998" t="str">
        <x:v>"</x:v>
      </x:c>
      <x:c r="U1998" t="str">
        <x:v>"</x:v>
      </x:c>
      <x:c r="V1998" t="str">
        <x:v>484195368817810</x:v>
      </x:c>
    </x:row>
    <x:row r="1999">
      <x:c r="A1999" t="str">
        <x:v>RAW-IMP-20260516-FULLDRAFT-001982</x:v>
      </x:c>
      <x:c r="B1999" t="str">
        <x:v>IMP-20260516-FULLDRAFT</x:v>
      </x:c>
      <x:c r="C1999" t="str">
        <x:v>KTO001</x:v>
      </x:c>
      <x:c r="D1999" t="str">
        <x:v>16-05-2026_Umsatzliste_Girokonto_DE98120300001061711675.csv</x:v>
      </x:c>
      <x:c r="E1999" t="n">
        <x:v>46163</x:v>
      </x:c>
      <x:c r="F1999" t="n">
        <x:v>1982</x:v>
      </x:c>
      <x:c r="G1999" t="str">
        <x:v>5f30d58e827be254b8d6869247f0c82142fa7dae68024d0336204ad459e9f2d3</x:v>
      </x:c>
      <x:c r="H1999" t="str">
        <x:v>neu</x:v>
      </x:c>
      <x:c r="I1999" t="str">
        <x:v>ok</x:v>
      </x:c>
      <x:c r="J1999"/>
      <x:c r="K1999" t="n">
        <x:v>45488</x:v>
      </x:c>
      <x:c r="L1999" t="n">
        <x:v>45488</x:v>
      </x:c>
      <x:c r="M1999" t="str">
        <x:v>Gebucht</x:v>
      </x:c>
      <x:c r="N1999" t="str">
        <x:v>ISSUER</x:v>
      </x:c>
      <x:c r="O1999" t="str">
        <x:v>.MERCADO.CENTRAL/VALENCIA</x:v>
      </x:c>
      <x:c r="P1999" t="str">
        <x:v>VISA Debitkartenumsatz vom 13.07.2024</x:v>
      </x:c>
      <x:c r="Q1999" t="str">
        <x:v>Ausgang</x:v>
      </x:c>
      <x:c r="R1999" t="str">
        <x:v>DE96120300009005290904</x:v>
      </x:c>
      <x:c r="S1999" t="n">
        <x:v>-1</x:v>
      </x:c>
      <x:c r="T1999" t="str">
        <x:v>"</x:v>
      </x:c>
      <x:c r="U1999" t="str">
        <x:v>"</x:v>
      </x:c>
      <x:c r="V1999" t="str">
        <x:v>484195369088441</x:v>
      </x:c>
    </x:row>
    <x:row r="2000">
      <x:c r="A2000" t="str">
        <x:v>RAW-IMP-20260516-FULLDRAFT-001983</x:v>
      </x:c>
      <x:c r="B2000" t="str">
        <x:v>IMP-20260516-FULLDRAFT</x:v>
      </x:c>
      <x:c r="C2000" t="str">
        <x:v>KTO001</x:v>
      </x:c>
      <x:c r="D2000" t="str">
        <x:v>16-05-2026_Umsatzliste_Girokonto_DE98120300001061711675.csv</x:v>
      </x:c>
      <x:c r="E2000" t="n">
        <x:v>46163</x:v>
      </x:c>
      <x:c r="F2000" t="n">
        <x:v>1983</x:v>
      </x:c>
      <x:c r="G2000" t="str">
        <x:v>48d4eb446035d527a82157f8fda2bc61e87dcc18374df5fbc9c6dc33f6eeb2e5</x:v>
      </x:c>
      <x:c r="H2000" t="str">
        <x:v>neu</x:v>
      </x:c>
      <x:c r="I2000" t="str">
        <x:v>ok</x:v>
      </x:c>
      <x:c r="J2000"/>
      <x:c r="K2000" t="n">
        <x:v>45488</x:v>
      </x:c>
      <x:c r="L2000" t="n">
        <x:v>45488</x:v>
      </x:c>
      <x:c r="M2000" t="str">
        <x:v>Gebucht</x:v>
      </x:c>
      <x:c r="N2000" t="str">
        <x:v>ISSUER</x:v>
      </x:c>
      <x:c r="O2000" t="str">
        <x:v>STARBUCKS.RUZAFA/VALENCIA</x:v>
      </x:c>
      <x:c r="P2000" t="str">
        <x:v>VISA Debitkartenumsatz vom 13.07.2024</x:v>
      </x:c>
      <x:c r="Q2000" t="str">
        <x:v>Ausgang</x:v>
      </x:c>
      <x:c r="R2000" t="str">
        <x:v>DE96120300009005290904</x:v>
      </x:c>
      <x:c r="S2000" t="n">
        <x:v>-18.93</x:v>
      </x:c>
      <x:c r="T2000" t="str">
        <x:v>"</x:v>
      </x:c>
      <x:c r="U2000" t="str">
        <x:v>"</x:v>
      </x:c>
      <x:c r="V2000" t="str">
        <x:v>484195480647329</x:v>
      </x:c>
    </x:row>
    <x:row r="2001">
      <x:c r="A2001" t="str">
        <x:v>RAW-IMP-20260516-FULLDRAFT-001984</x:v>
      </x:c>
      <x:c r="B2001" t="str">
        <x:v>IMP-20260516-FULLDRAFT</x:v>
      </x:c>
      <x:c r="C2001" t="str">
        <x:v>KTO001</x:v>
      </x:c>
      <x:c r="D2001" t="str">
        <x:v>16-05-2026_Umsatzliste_Girokonto_DE98120300001061711675.csv</x:v>
      </x:c>
      <x:c r="E2001" t="n">
        <x:v>46163</x:v>
      </x:c>
      <x:c r="F2001" t="n">
        <x:v>1984</x:v>
      </x:c>
      <x:c r="G2001" t="str">
        <x:v>b24a95d9002ae4fe5f8f19161f779c5770ce390770b5b3b22b497f05e40d3ef6</x:v>
      </x:c>
      <x:c r="H2001" t="str">
        <x:v>neu</x:v>
      </x:c>
      <x:c r="I2001" t="str">
        <x:v>ok</x:v>
      </x:c>
      <x:c r="J2001"/>
      <x:c r="K2001" t="n">
        <x:v>45488</x:v>
      </x:c>
      <x:c r="L2001" t="n">
        <x:v>45488</x:v>
      </x:c>
      <x:c r="M2001" t="str">
        <x:v>Gebucht</x:v>
      </x:c>
      <x:c r="N2001" t="str">
        <x:v>ISSUER</x:v>
      </x:c>
      <x:c r="O2001" t="str">
        <x:v>MASYMAST40.MORAIRA.SALO/PORTET.DE.MOR</x:v>
      </x:c>
      <x:c r="P2001" t="str">
        <x:v>VISA Debitkartenumsatz vom 12.07.2024</x:v>
      </x:c>
      <x:c r="Q2001" t="str">
        <x:v>Ausgang</x:v>
      </x:c>
      <x:c r="R2001" t="str">
        <x:v>DE96120300009005290904</x:v>
      </x:c>
      <x:c r="S2001" t="n">
        <x:v>-13.92</x:v>
      </x:c>
      <x:c r="T2001" t="str">
        <x:v>"</x:v>
      </x:c>
      <x:c r="U2001" t="str">
        <x:v>"</x:v>
      </x:c>
      <x:c r="V2001" t="str">
        <x:v>484194564168917</x:v>
      </x:c>
    </x:row>
    <x:row r="2002">
      <x:c r="A2002" t="str">
        <x:v>RAW-IMP-20260516-FULLDRAFT-001985</x:v>
      </x:c>
      <x:c r="B2002" t="str">
        <x:v>IMP-20260516-FULLDRAFT</x:v>
      </x:c>
      <x:c r="C2002" t="str">
        <x:v>KTO001</x:v>
      </x:c>
      <x:c r="D2002" t="str">
        <x:v>16-05-2026_Umsatzliste_Girokonto_DE98120300001061711675.csv</x:v>
      </x:c>
      <x:c r="E2002" t="n">
        <x:v>46163</x:v>
      </x:c>
      <x:c r="F2002" t="n">
        <x:v>1985</x:v>
      </x:c>
      <x:c r="G2002" t="str">
        <x:v>229e9c4dd5f63004bafb31ea19c6b746c77a757c9e54538cdac8bc4d743dc67e</x:v>
      </x:c>
      <x:c r="H2002" t="str">
        <x:v>neu</x:v>
      </x:c>
      <x:c r="I2002" t="str">
        <x:v>ok</x:v>
      </x:c>
      <x:c r="J2002"/>
      <x:c r="K2002" t="n">
        <x:v>45488</x:v>
      </x:c>
      <x:c r="L2002" t="n">
        <x:v>45488</x:v>
      </x:c>
      <x:c r="M2002" t="str">
        <x:v>Gebucht</x:v>
      </x:c>
      <x:c r="N2002" t="str">
        <x:v>Lars Kohlenberg</x:v>
      </x:c>
      <x:c r="O2002" t="str">
        <x:v>Lars Kohlenberg</x:v>
      </x:c>
      <x:c r="P2002" t="str">
        <x:v>Uebertrag Restzahlung Haus</x:v>
      </x:c>
      <x:c r="Q2002" t="str">
        <x:v>Eingang</x:v>
      </x:c>
      <x:c r="R2002" t="str">
        <x:v>DE91270200001510365800</x:v>
      </x:c>
      <x:c r="S2002" t="n">
        <x:v>9000</x:v>
      </x:c>
      <x:c r="T2002" t="str">
        <x:v>"</x:v>
      </x:c>
      <x:c r="U2002" t="str">
        <x:v>"</x:v>
      </x:c>
      <x:c r="V2002" t="str">
        <x:v>"</x:v>
      </x:c>
    </x:row>
    <x:row r="2003">
      <x:c r="A2003" t="str">
        <x:v>RAW-IMP-20260516-FULLDRAFT-001986</x:v>
      </x:c>
      <x:c r="B2003" t="str">
        <x:v>IMP-20260516-FULLDRAFT</x:v>
      </x:c>
      <x:c r="C2003" t="str">
        <x:v>KTO001</x:v>
      </x:c>
      <x:c r="D2003" t="str">
        <x:v>16-05-2026_Umsatzliste_Girokonto_DE98120300001061711675.csv</x:v>
      </x:c>
      <x:c r="E2003" t="n">
        <x:v>46163</x:v>
      </x:c>
      <x:c r="F2003" t="n">
        <x:v>1986</x:v>
      </x:c>
      <x:c r="G2003" t="str">
        <x:v>bcc6dbd41d27ad83db682ffa4915b7aa4958c49d6ab6ca15852e4603aacb28b8</x:v>
      </x:c>
      <x:c r="H2003" t="str">
        <x:v>neu</x:v>
      </x:c>
      <x:c r="I2003" t="str">
        <x:v>ok</x:v>
      </x:c>
      <x:c r="J2003"/>
      <x:c r="K2003" t="n">
        <x:v>45485</x:v>
      </x:c>
      <x:c r="L2003" t="n">
        <x:v>45485</x:v>
      </x:c>
      <x:c r="M2003" t="str">
        <x:v>Gebucht</x:v>
      </x:c>
      <x:c r="N2003" t="str">
        <x:v>ISSUER</x:v>
      </x:c>
      <x:c r="O2003" t="str">
        <x:v>LA.CASA.DE.LAS.CARCASAS/JARAIZ.DE.LA</x:v>
      </x:c>
      <x:c r="P2003" t="str">
        <x:v>VISA Debitkartenumsatz vom 11.07.2024</x:v>
      </x:c>
      <x:c r="Q2003" t="str">
        <x:v>Ausgang</x:v>
      </x:c>
      <x:c r="R2003" t="str">
        <x:v>DE96120300009005290904</x:v>
      </x:c>
      <x:c r="S2003" t="n">
        <x:v>-12.99</x:v>
      </x:c>
      <x:c r="T2003" t="str">
        <x:v>"</x:v>
      </x:c>
      <x:c r="U2003" t="str">
        <x:v>"</x:v>
      </x:c>
      <x:c r="V2003" t="str">
        <x:v>484193427465320</x:v>
      </x:c>
    </x:row>
    <x:row r="2004">
      <x:c r="A2004" t="str">
        <x:v>RAW-IMP-20260516-FULLDRAFT-001987</x:v>
      </x:c>
      <x:c r="B2004" t="str">
        <x:v>IMP-20260516-FULLDRAFT</x:v>
      </x:c>
      <x:c r="C2004" t="str">
        <x:v>KTO001</x:v>
      </x:c>
      <x:c r="D2004" t="str">
        <x:v>16-05-2026_Umsatzliste_Girokonto_DE98120300001061711675.csv</x:v>
      </x:c>
      <x:c r="E2004" t="n">
        <x:v>46163</x:v>
      </x:c>
      <x:c r="F2004" t="n">
        <x:v>1987</x:v>
      </x:c>
      <x:c r="G2004" t="str">
        <x:v>52347101a1f7f8c9502ffaf2accdb092c4611953362e7aeb273e7495a9d4c9af</x:v>
      </x:c>
      <x:c r="H2004" t="str">
        <x:v>neu</x:v>
      </x:c>
      <x:c r="I2004" t="str">
        <x:v>ok</x:v>
      </x:c>
      <x:c r="J2004"/>
      <x:c r="K2004" t="n">
        <x:v>45485</x:v>
      </x:c>
      <x:c r="L2004" t="n">
        <x:v>45485</x:v>
      </x:c>
      <x:c r="M2004" t="str">
        <x:v>Gebucht</x:v>
      </x:c>
      <x:c r="N2004" t="str">
        <x:v>ISSUER</x:v>
      </x:c>
      <x:c r="O2004" t="str">
        <x:v>ULANKA.ONDARA/ONDARA</x:v>
      </x:c>
      <x:c r="P2004" t="str">
        <x:v>VISA Debitkartenumsatz vom 11.07.2024</x:v>
      </x:c>
      <x:c r="Q2004" t="str">
        <x:v>Ausgang</x:v>
      </x:c>
      <x:c r="R2004" t="str">
        <x:v>DE96120300009005290904</x:v>
      </x:c>
      <x:c r="S2004" t="n">
        <x:v>-56</x:v>
      </x:c>
      <x:c r="T2004" t="str">
        <x:v>"</x:v>
      </x:c>
      <x:c r="U2004" t="str">
        <x:v>"</x:v>
      </x:c>
      <x:c r="V2004" t="str">
        <x:v>484193402412123</x:v>
      </x:c>
    </x:row>
    <x:row r="2005">
      <x:c r="A2005" t="str">
        <x:v>RAW-IMP-20260516-FULLDRAFT-001988</x:v>
      </x:c>
      <x:c r="B2005" t="str">
        <x:v>IMP-20260516-FULLDRAFT</x:v>
      </x:c>
      <x:c r="C2005" t="str">
        <x:v>KTO001</x:v>
      </x:c>
      <x:c r="D2005" t="str">
        <x:v>16-05-2026_Umsatzliste_Girokonto_DE98120300001061711675.csv</x:v>
      </x:c>
      <x:c r="E2005" t="n">
        <x:v>46163</x:v>
      </x:c>
      <x:c r="F2005" t="n">
        <x:v>1988</x:v>
      </x:c>
      <x:c r="G2005" t="str">
        <x:v>8d89ad8242c844c8199f1e5de8e6442c0faec1dc5a91746f3e7bc861770f9409</x:v>
      </x:c>
      <x:c r="H2005" t="str">
        <x:v>neu</x:v>
      </x:c>
      <x:c r="I2005" t="str">
        <x:v>ok</x:v>
      </x:c>
      <x:c r="J2005"/>
      <x:c r="K2005" t="n">
        <x:v>45485</x:v>
      </x:c>
      <x:c r="L2005" t="n">
        <x:v>45485</x:v>
      </x:c>
      <x:c r="M2005" t="str">
        <x:v>Gebucht</x:v>
      </x:c>
      <x:c r="N2005" t="str">
        <x:v>ISSUER</x:v>
      </x:c>
      <x:c r="O2005" t="str">
        <x:v>PIZZERIA.LA.TARTANA/BENISSA</x:v>
      </x:c>
      <x:c r="P2005" t="str">
        <x:v>VISA Debitkartenumsatz vom 11.07.2024</x:v>
      </x:c>
      <x:c r="Q2005" t="str">
        <x:v>Ausgang</x:v>
      </x:c>
      <x:c r="R2005" t="str">
        <x:v>DE96120300009005290904</x:v>
      </x:c>
      <x:c r="S2005" t="n">
        <x:v>-250</x:v>
      </x:c>
      <x:c r="T2005" t="str">
        <x:v>"</x:v>
      </x:c>
      <x:c r="U2005" t="str">
        <x:v>"</x:v>
      </x:c>
      <x:c r="V2005" t="str">
        <x:v>484193717860599</x:v>
      </x:c>
    </x:row>
    <x:row r="2006">
      <x:c r="A2006" t="str">
        <x:v>RAW-IMP-20260516-FULLDRAFT-001989</x:v>
      </x:c>
      <x:c r="B2006" t="str">
        <x:v>IMP-20260516-FULLDRAFT</x:v>
      </x:c>
      <x:c r="C2006" t="str">
        <x:v>KTO001</x:v>
      </x:c>
      <x:c r="D2006" t="str">
        <x:v>16-05-2026_Umsatzliste_Girokonto_DE98120300001061711675.csv</x:v>
      </x:c>
      <x:c r="E2006" t="n">
        <x:v>46163</x:v>
      </x:c>
      <x:c r="F2006" t="n">
        <x:v>1989</x:v>
      </x:c>
      <x:c r="G2006" t="str">
        <x:v>fe9cb0506576efd64efd7fa31fbdb4823fb6103e1464632d04a582efd4551d15</x:v>
      </x:c>
      <x:c r="H2006" t="str">
        <x:v>neu</x:v>
      </x:c>
      <x:c r="I2006" t="str">
        <x:v>ok</x:v>
      </x:c>
      <x:c r="J2006"/>
      <x:c r="K2006" t="n">
        <x:v>45485</x:v>
      </x:c>
      <x:c r="L2006" t="n">
        <x:v>45485</x:v>
      </x:c>
      <x:c r="M2006" t="str">
        <x:v>Gebucht</x:v>
      </x:c>
      <x:c r="N2006" t="str">
        <x:v>ISSUER</x:v>
      </x:c>
      <x:c r="O2006" t="str">
        <x:v>CARREFOUR.BOROA.ONDAR/ONDARA</x:v>
      </x:c>
      <x:c r="P2006" t="str">
        <x:v>VISA Debitkartenumsatz vom 11.07.2024</x:v>
      </x:c>
      <x:c r="Q2006" t="str">
        <x:v>Ausgang</x:v>
      </x:c>
      <x:c r="R2006" t="str">
        <x:v>DE96120300009005290904</x:v>
      </x:c>
      <x:c r="S2006" t="n">
        <x:v>-12.14</x:v>
      </x:c>
      <x:c r="T2006" t="str">
        <x:v>"</x:v>
      </x:c>
      <x:c r="U2006" t="str">
        <x:v>"</x:v>
      </x:c>
      <x:c r="V2006" t="str">
        <x:v>484193443698278</x:v>
      </x:c>
    </x:row>
    <x:row r="2007">
      <x:c r="A2007" t="str">
        <x:v>RAW-IMP-20260516-FULLDRAFT-001990</x:v>
      </x:c>
      <x:c r="B2007" t="str">
        <x:v>IMP-20260516-FULLDRAFT</x:v>
      </x:c>
      <x:c r="C2007" t="str">
        <x:v>KTO001</x:v>
      </x:c>
      <x:c r="D2007" t="str">
        <x:v>16-05-2026_Umsatzliste_Girokonto_DE98120300001061711675.csv</x:v>
      </x:c>
      <x:c r="E2007" t="n">
        <x:v>46163</x:v>
      </x:c>
      <x:c r="F2007" t="n">
        <x:v>1990</x:v>
      </x:c>
      <x:c r="G2007" t="str">
        <x:v>253d19e866ba28f0f222506b286969cbd14b044f0ff0e33a37a28c5978f77087</x:v>
      </x:c>
      <x:c r="H2007" t="str">
        <x:v>neu</x:v>
      </x:c>
      <x:c r="I2007" t="str">
        <x:v>ok</x:v>
      </x:c>
      <x:c r="J2007"/>
      <x:c r="K2007" t="n">
        <x:v>45484</x:v>
      </x:c>
      <x:c r="L2007" t="n">
        <x:v>45484</x:v>
      </x:c>
      <x:c r="M2007" t="str">
        <x:v>Gebucht</x:v>
      </x:c>
      <x:c r="N2007" t="str">
        <x:v>ISSUER</x:v>
      </x:c>
      <x:c r="O2007" t="str">
        <x:v>GIUSEPPE.AL.PORTO/DENIA</x:v>
      </x:c>
      <x:c r="P2007" t="str">
        <x:v>VISA Debitkartenumsatz vom 10.07.2024</x:v>
      </x:c>
      <x:c r="Q2007" t="str">
        <x:v>Ausgang</x:v>
      </x:c>
      <x:c r="R2007" t="str">
        <x:v>DE96120300009005290904</x:v>
      </x:c>
      <x:c r="S2007" t="n">
        <x:v>-185</x:v>
      </x:c>
      <x:c r="T2007" t="str">
        <x:v>"</x:v>
      </x:c>
      <x:c r="U2007" t="str">
        <x:v>"</x:v>
      </x:c>
      <x:c r="V2007" t="str">
        <x:v>484192687780772</x:v>
      </x:c>
    </x:row>
    <x:row r="2008">
      <x:c r="A2008" t="str">
        <x:v>RAW-IMP-20260516-FULLDRAFT-001991</x:v>
      </x:c>
      <x:c r="B2008" t="str">
        <x:v>IMP-20260516-FULLDRAFT</x:v>
      </x:c>
      <x:c r="C2008" t="str">
        <x:v>KTO001</x:v>
      </x:c>
      <x:c r="D2008" t="str">
        <x:v>16-05-2026_Umsatzliste_Girokonto_DE98120300001061711675.csv</x:v>
      </x:c>
      <x:c r="E2008" t="n">
        <x:v>46163</x:v>
      </x:c>
      <x:c r="F2008" t="n">
        <x:v>1991</x:v>
      </x:c>
      <x:c r="G2008" t="str">
        <x:v>9d617cdea201b3e7e1716bbbba90cc82e6ec8c0054098a125e91b44d21602160</x:v>
      </x:c>
      <x:c r="H2008" t="str">
        <x:v>neu</x:v>
      </x:c>
      <x:c r="I2008" t="str">
        <x:v>ok</x:v>
      </x:c>
      <x:c r="J2008"/>
      <x:c r="K2008" t="n">
        <x:v>45484</x:v>
      </x:c>
      <x:c r="L2008" t="n">
        <x:v>45484</x:v>
      </x:c>
      <x:c r="M2008" t="str">
        <x:v>Gebucht</x:v>
      </x:c>
      <x:c r="N2008" t="str">
        <x:v>ISSUER</x:v>
      </x:c>
      <x:c r="O2008" t="str">
        <x:v>AUCAT.....BAR.VALLCARCA/BARCELONA</x:v>
      </x:c>
      <x:c r="P2008" t="str">
        <x:v>VISA Debitkartenumsatz vom 06.07.2024</x:v>
      </x:c>
      <x:c r="Q2008" t="str">
        <x:v>Ausgang</x:v>
      </x:c>
      <x:c r="R2008" t="str">
        <x:v>DE96120300009005290904</x:v>
      </x:c>
      <x:c r="S2008" t="n">
        <x:v>-8.05</x:v>
      </x:c>
      <x:c r="T2008" t="str">
        <x:v>"</x:v>
      </x:c>
      <x:c r="U2008" t="str">
        <x:v>"</x:v>
      </x:c>
      <x:c r="V2008" t="str">
        <x:v>634193476460928</x:v>
      </x:c>
    </x:row>
    <x:row r="2009">
      <x:c r="A2009" t="str">
        <x:v>RAW-IMP-20260516-FULLDRAFT-001992</x:v>
      </x:c>
      <x:c r="B2009" t="str">
        <x:v>IMP-20260516-FULLDRAFT</x:v>
      </x:c>
      <x:c r="C2009" t="str">
        <x:v>KTO001</x:v>
      </x:c>
      <x:c r="D2009" t="str">
        <x:v>16-05-2026_Umsatzliste_Girokonto_DE98120300001061711675.csv</x:v>
      </x:c>
      <x:c r="E2009" t="n">
        <x:v>46163</x:v>
      </x:c>
      <x:c r="F2009" t="n">
        <x:v>1992</x:v>
      </x:c>
      <x:c r="G2009" t="str">
        <x:v>79d8e6923a637d50609eebde7933e7c006af775d024038dda960afc144679347</x:v>
      </x:c>
      <x:c r="H2009" t="str">
        <x:v>neu</x:v>
      </x:c>
      <x:c r="I2009" t="str">
        <x:v>ok</x:v>
      </x:c>
      <x:c r="J2009"/>
      <x:c r="K2009" t="n">
        <x:v>45484</x:v>
      </x:c>
      <x:c r="L2009" t="n">
        <x:v>45484</x:v>
      </x:c>
      <x:c r="M2009" t="str">
        <x:v>Gebucht</x:v>
      </x:c>
      <x:c r="N2009" t="str">
        <x:v>ISSUER</x:v>
      </x:c>
      <x:c r="O2009" t="str">
        <x:v>AUCAT.....BAR.CUBELLES/BARCELONA</x:v>
      </x:c>
      <x:c r="P2009" t="str">
        <x:v>VISA Debitkartenumsatz vom 06.07.2024</x:v>
      </x:c>
      <x:c r="Q2009" t="str">
        <x:v>Ausgang</x:v>
      </x:c>
      <x:c r="R2009" t="str">
        <x:v>DE96120300009005290904</x:v>
      </x:c>
      <x:c r="S2009" t="n">
        <x:v>-4.81</x:v>
      </x:c>
      <x:c r="T2009" t="str">
        <x:v>"</x:v>
      </x:c>
      <x:c r="U2009" t="str">
        <x:v>"</x:v>
      </x:c>
      <x:c r="V2009" t="str">
        <x:v>634193476467487</x:v>
      </x:c>
    </x:row>
    <x:row r="2010">
      <x:c r="A2010" t="str">
        <x:v>RAW-IMP-20260516-FULLDRAFT-001993</x:v>
      </x:c>
      <x:c r="B2010" t="str">
        <x:v>IMP-20260516-FULLDRAFT</x:v>
      </x:c>
      <x:c r="C2010" t="str">
        <x:v>KTO001</x:v>
      </x:c>
      <x:c r="D2010" t="str">
        <x:v>16-05-2026_Umsatzliste_Girokonto_DE98120300001061711675.csv</x:v>
      </x:c>
      <x:c r="E2010" t="n">
        <x:v>46163</x:v>
      </x:c>
      <x:c r="F2010" t="n">
        <x:v>1993</x:v>
      </x:c>
      <x:c r="G2010" t="str">
        <x:v>6c2b005a76bbadd3c0e10064f25df1850de53bd657681b98471e4c3c30559354</x:v>
      </x:c>
      <x:c r="H2010" t="str">
        <x:v>neu</x:v>
      </x:c>
      <x:c r="I2010" t="str">
        <x:v>ok</x:v>
      </x:c>
      <x:c r="J2010"/>
      <x:c r="K2010" t="n">
        <x:v>45484</x:v>
      </x:c>
      <x:c r="L2010" t="n">
        <x:v>45484</x:v>
      </x:c>
      <x:c r="M2010" t="str">
        <x:v>Gebucht</x:v>
      </x:c>
      <x:c r="N2010" t="str">
        <x:v>ISSUER</x:v>
      </x:c>
      <x:c r="O2010" t="str">
        <x:v>WAFFLE.WRAP.CAMPOS/DENIA</x:v>
      </x:c>
      <x:c r="P2010" t="str">
        <x:v>VISA Debitkartenumsatz vom 10.07.2024</x:v>
      </x:c>
      <x:c r="Q2010" t="str">
        <x:v>Ausgang</x:v>
      </x:c>
      <x:c r="R2010" t="str">
        <x:v>DE96120300009005290904</x:v>
      </x:c>
      <x:c r="S2010" t="n">
        <x:v>-5.8</x:v>
      </x:c>
      <x:c r="T2010" t="str">
        <x:v>"</x:v>
      </x:c>
      <x:c r="U2010" t="str">
        <x:v>"</x:v>
      </x:c>
      <x:c r="V2010" t="str">
        <x:v>484192725650718</x:v>
      </x:c>
    </x:row>
    <x:row r="2011">
      <x:c r="A2011" t="str">
        <x:v>RAW-IMP-20260516-FULLDRAFT-001994</x:v>
      </x:c>
      <x:c r="B2011" t="str">
        <x:v>IMP-20260516-FULLDRAFT</x:v>
      </x:c>
      <x:c r="C2011" t="str">
        <x:v>KTO001</x:v>
      </x:c>
      <x:c r="D2011" t="str">
        <x:v>16-05-2026_Umsatzliste_Girokonto_DE98120300001061711675.csv</x:v>
      </x:c>
      <x:c r="E2011" t="n">
        <x:v>46163</x:v>
      </x:c>
      <x:c r="F2011" t="n">
        <x:v>1994</x:v>
      </x:c>
      <x:c r="G2011" t="str">
        <x:v>7e379a2a3d9e0833a1c8cee84935efc61b30e6db199af4d6d4c142ff169cc259</x:v>
      </x:c>
      <x:c r="H2011" t="str">
        <x:v>neu</x:v>
      </x:c>
      <x:c r="I2011" t="str">
        <x:v>ok</x:v>
      </x:c>
      <x:c r="J2011"/>
      <x:c r="K2011" t="n">
        <x:v>45484</x:v>
      </x:c>
      <x:c r="L2011" t="n">
        <x:v>45484</x:v>
      </x:c>
      <x:c r="M2011" t="str">
        <x:v>Gebucht</x:v>
      </x:c>
      <x:c r="N2011" t="str">
        <x:v>ISSUER</x:v>
      </x:c>
      <x:c r="O2011" t="str">
        <x:v>ALE.HOP.62.DENIA/DENIA</x:v>
      </x:c>
      <x:c r="P2011" t="str">
        <x:v>VISA Debitkartenumsatz vom 10.07.2024</x:v>
      </x:c>
      <x:c r="Q2011" t="str">
        <x:v>Ausgang</x:v>
      </x:c>
      <x:c r="R2011" t="str">
        <x:v>DE96120300009005290904</x:v>
      </x:c>
      <x:c r="S2011" t="n">
        <x:v>-11</x:v>
      </x:c>
      <x:c r="T2011" t="str">
        <x:v>"</x:v>
      </x:c>
      <x:c r="U2011" t="str">
        <x:v>"</x:v>
      </x:c>
      <x:c r="V2011" t="str">
        <x:v>484192710618610</x:v>
      </x:c>
    </x:row>
    <x:row r="2012">
      <x:c r="A2012" t="str">
        <x:v>RAW-IMP-20260516-FULLDRAFT-001995</x:v>
      </x:c>
      <x:c r="B2012" t="str">
        <x:v>IMP-20260516-FULLDRAFT</x:v>
      </x:c>
      <x:c r="C2012" t="str">
        <x:v>KTO001</x:v>
      </x:c>
      <x:c r="D2012" t="str">
        <x:v>16-05-2026_Umsatzliste_Girokonto_DE98120300001061711675.csv</x:v>
      </x:c>
      <x:c r="E2012" t="n">
        <x:v>46163</x:v>
      </x:c>
      <x:c r="F2012" t="n">
        <x:v>1995</x:v>
      </x:c>
      <x:c r="G2012" t="str">
        <x:v>be1b2391e84380fcdb1e3d99846725e369f35e086800245f9c78b82e0f903d84</x:v>
      </x:c>
      <x:c r="H2012" t="str">
        <x:v>neu</x:v>
      </x:c>
      <x:c r="I2012" t="str">
        <x:v>ok</x:v>
      </x:c>
      <x:c r="J2012"/>
      <x:c r="K2012" t="n">
        <x:v>45484</x:v>
      </x:c>
      <x:c r="L2012" t="n">
        <x:v>45484</x:v>
      </x:c>
      <x:c r="M2012" t="str">
        <x:v>Gebucht</x:v>
      </x:c>
      <x:c r="N2012" t="str">
        <x:v>ISSUER</x:v>
      </x:c>
      <x:c r="O2012" t="str">
        <x:v>MARKET.MORAIRA/TEULADA</x:v>
      </x:c>
      <x:c r="P2012" t="str">
        <x:v>VISA Debitkartenumsatz vom 10.07.2024</x:v>
      </x:c>
      <x:c r="Q2012" t="str">
        <x:v>Ausgang</x:v>
      </x:c>
      <x:c r="R2012" t="str">
        <x:v>DE96120300009005290904</x:v>
      </x:c>
      <x:c r="S2012" t="n">
        <x:v>-57.55</x:v>
      </x:c>
      <x:c r="T2012" t="str">
        <x:v>"</x:v>
      </x:c>
      <x:c r="U2012" t="str">
        <x:v>"</x:v>
      </x:c>
      <x:c r="V2012" t="str">
        <x:v>484192491744261</x:v>
      </x:c>
    </x:row>
    <x:row r="2013">
      <x:c r="A2013" t="str">
        <x:v>RAW-IMP-20260516-FULLDRAFT-001996</x:v>
      </x:c>
      <x:c r="B2013" t="str">
        <x:v>IMP-20260516-FULLDRAFT</x:v>
      </x:c>
      <x:c r="C2013" t="str">
        <x:v>KTO001</x:v>
      </x:c>
      <x:c r="D2013" t="str">
        <x:v>16-05-2026_Umsatzliste_Girokonto_DE98120300001061711675.csv</x:v>
      </x:c>
      <x:c r="E2013" t="n">
        <x:v>46163</x:v>
      </x:c>
      <x:c r="F2013" t="n">
        <x:v>1996</x:v>
      </x:c>
      <x:c r="G2013" t="str">
        <x:v>d18ac86ca55d8a75dd3eeeef61403eaccc3936d99ac3811bb25bb6264aa01d3f</x:v>
      </x:c>
      <x:c r="H2013" t="str">
        <x:v>neu</x:v>
      </x:c>
      <x:c r="I2013" t="str">
        <x:v>ok</x:v>
      </x:c>
      <x:c r="J2013"/>
      <x:c r="K2013" t="n">
        <x:v>45483</x:v>
      </x:c>
      <x:c r="L2013" t="n">
        <x:v>45483</x:v>
      </x:c>
      <x:c r="M2013" t="str">
        <x:v>Gebucht</x:v>
      </x:c>
      <x:c r="N2013" t="str">
        <x:v>ISSUER</x:v>
      </x:c>
      <x:c r="O2013" t="str">
        <x:v>MERCA.CHINA/TEULADA</x:v>
      </x:c>
      <x:c r="P2013" t="str">
        <x:v>VISA Debitkartenumsatz vom 09.07.2024</x:v>
      </x:c>
      <x:c r="Q2013" t="str">
        <x:v>Ausgang</x:v>
      </x:c>
      <x:c r="R2013" t="str">
        <x:v>DE96120300009005290904</x:v>
      </x:c>
      <x:c r="S2013" t="n">
        <x:v>-57.9</x:v>
      </x:c>
      <x:c r="T2013" t="str">
        <x:v>"</x:v>
      </x:c>
      <x:c r="U2013" t="str">
        <x:v>"</x:v>
      </x:c>
      <x:c r="V2013" t="str">
        <x:v>484191519136683</x:v>
      </x:c>
    </x:row>
    <x:row r="2014">
      <x:c r="A2014" t="str">
        <x:v>RAW-IMP-20260516-FULLDRAFT-001997</x:v>
      </x:c>
      <x:c r="B2014" t="str">
        <x:v>IMP-20260516-FULLDRAFT</x:v>
      </x:c>
      <x:c r="C2014" t="str">
        <x:v>KTO001</x:v>
      </x:c>
      <x:c r="D2014" t="str">
        <x:v>16-05-2026_Umsatzliste_Girokonto_DE98120300001061711675.csv</x:v>
      </x:c>
      <x:c r="E2014" t="n">
        <x:v>46163</x:v>
      </x:c>
      <x:c r="F2014" t="n">
        <x:v>1997</x:v>
      </x:c>
      <x:c r="G2014" t="str">
        <x:v>4aeee5079822b78641c8dff85e1ac01aac723cbbce0e269614d91ef578bc85c7</x:v>
      </x:c>
      <x:c r="H2014" t="str">
        <x:v>neu</x:v>
      </x:c>
      <x:c r="I2014" t="str">
        <x:v>ok</x:v>
      </x:c>
      <x:c r="J2014"/>
      <x:c r="K2014" t="n">
        <x:v>45483</x:v>
      </x:c>
      <x:c r="L2014" t="n">
        <x:v>45483</x:v>
      </x:c>
      <x:c r="M2014" t="str">
        <x:v>Gebucht</x:v>
      </x:c>
      <x:c r="N2014" t="str">
        <x:v>Lars Kohlenberg                                                       Johannes-Wosnitza-Str. 8 38229 Salzgitter</x:v>
      </x:c>
      <x:c r="O2014" t="str">
        <x:v>1+1 Mail + Media GmbH                                                 Elgendorfer Str. 57, 56410 Montabaur</x:v>
      </x:c>
      <x:c r="P2014" t="str">
        <x:v>GMX / WEB.DE / KD-Nr. K7440512/ RG-Nr. 201537919674</x:v>
      </x:c>
      <x:c r="Q2014" t="str">
        <x:v>Ausgang</x:v>
      </x:c>
      <x:c r="R2014" t="str">
        <x:v>DE76700800000881679702</x:v>
      </x:c>
      <x:c r="S2014" t="n">
        <x:v>-5.99</x:v>
      </x:c>
      <x:c r="T2014" t="str">
        <x:v>DE07ZZZ00000569718</x:v>
      </x:c>
      <x:c r="U2014" t="str">
        <x:v>0090001393062</x:v>
      </x:c>
      <x:c r="V2014" t="str">
        <x:v>005823656688</x:v>
      </x:c>
    </x:row>
    <x:row r="2015">
      <x:c r="A2015" t="str">
        <x:v>RAW-IMP-20260516-FULLDRAFT-001998</x:v>
      </x:c>
      <x:c r="B2015" t="str">
        <x:v>IMP-20260516-FULLDRAFT</x:v>
      </x:c>
      <x:c r="C2015" t="str">
        <x:v>KTO001</x:v>
      </x:c>
      <x:c r="D2015" t="str">
        <x:v>16-05-2026_Umsatzliste_Girokonto_DE98120300001061711675.csv</x:v>
      </x:c>
      <x:c r="E2015" t="n">
        <x:v>46163</x:v>
      </x:c>
      <x:c r="F2015" t="n">
        <x:v>1998</x:v>
      </x:c>
      <x:c r="G2015" t="str">
        <x:v>ae49aee181ecf7bff8797dd53e8cda17513f586e08d695c0b3bb9c08792ac00f</x:v>
      </x:c>
      <x:c r="H2015" t="str">
        <x:v>neu</x:v>
      </x:c>
      <x:c r="I2015" t="str">
        <x:v>ok</x:v>
      </x:c>
      <x:c r="J2015"/>
      <x:c r="K2015" t="n">
        <x:v>45483</x:v>
      </x:c>
      <x:c r="L2015" t="n">
        <x:v>45483</x:v>
      </x:c>
      <x:c r="M2015" t="str">
        <x:v>Gebucht</x:v>
      </x:c>
      <x:c r="N2015" t="str">
        <x:v>Lars Kohlenberg                                                       JohannesWosnitzaStr.</x:v>
      </x:c>
      <x:c r="O2015" t="str">
        <x:v>Adyen N.V.</x:v>
      </x:c>
      <x:c r="P2015" t="str">
        <x:v>GMX by LOTTO24 C98983063 T334590104322</x:v>
      </x:c>
      <x:c r="Q2015" t="str">
        <x:v>Ausgang</x:v>
      </x:c>
      <x:c r="R2015" t="str">
        <x:v>DE11120700700020000603</x:v>
      </x:c>
      <x:c r="S2015" t="n">
        <x:v>-5.74</x:v>
      </x:c>
      <x:c r="T2015" t="str">
        <x:v>NL48ZZZ342764500000</x:v>
      </x:c>
      <x:c r="U2015" t="str">
        <x:v>R372DKN5SSBXZP52</x:v>
      </x:c>
      <x:c r="V2015" t="str">
        <x:v>CLVX6JP95KC9SD5X3C</x:v>
      </x:c>
    </x:row>
    <x:row r="2016">
      <x:c r="A2016" t="str">
        <x:v>RAW-IMP-20260516-FULLDRAFT-001999</x:v>
      </x:c>
      <x:c r="B2016" t="str">
        <x:v>IMP-20260516-FULLDRAFT</x:v>
      </x:c>
      <x:c r="C2016" t="str">
        <x:v>KTO001</x:v>
      </x:c>
      <x:c r="D2016" t="str">
        <x:v>16-05-2026_Umsatzliste_Girokonto_DE98120300001061711675.csv</x:v>
      </x:c>
      <x:c r="E2016" t="n">
        <x:v>46163</x:v>
      </x:c>
      <x:c r="F2016" t="n">
        <x:v>1999</x:v>
      </x:c>
      <x:c r="G2016" t="str">
        <x:v>93465094df7bd4de3f4bf5e33509772132c39e0b23ed9177036fead1add81f4c</x:v>
      </x:c>
      <x:c r="H2016" t="str">
        <x:v>neu</x:v>
      </x:c>
      <x:c r="I2016" t="str">
        <x:v>ok</x:v>
      </x:c>
      <x:c r="J2016"/>
      <x:c r="K2016" t="n">
        <x:v>45482</x:v>
      </x:c>
      <x:c r="L2016" t="n">
        <x:v>45482</x:v>
      </x:c>
      <x:c r="M2016" t="str">
        <x:v>Gebucht</x:v>
      </x:c>
      <x:c r="N2016" t="str">
        <x:v>ISSUER</x:v>
      </x:c>
      <x:c r="O2016" t="str">
        <x:v>PAYPAL..2sky/Visa.Direct</x:v>
      </x:c>
      <x:c r="P2016" t="str">
        <x:v>VISA Debitkartenumsatz vom 09.07.2024</x:v>
      </x:c>
      <x:c r="Q2016" t="str">
        <x:v>Ausgang</x:v>
      </x:c>
      <x:c r="R2016" t="str">
        <x:v>DE96120300009005290904</x:v>
      </x:c>
      <x:c r="S2016" t="n">
        <x:v>-45</x:v>
      </x:c>
      <x:c r="T2016" t="str">
        <x:v>"</x:v>
      </x:c>
      <x:c r="U2016" t="str">
        <x:v>"</x:v>
      </x:c>
      <x:c r="V2016" t="str">
        <x:v>384191230514705</x:v>
      </x:c>
    </x:row>
    <x:row r="2017">
      <x:c r="A2017" t="str">
        <x:v>RAW-IMP-20260516-FULLDRAFT-002000</x:v>
      </x:c>
      <x:c r="B2017" t="str">
        <x:v>IMP-20260516-FULLDRAFT</x:v>
      </x:c>
      <x:c r="C2017" t="str">
        <x:v>KTO001</x:v>
      </x:c>
      <x:c r="D2017" t="str">
        <x:v>16-05-2026_Umsatzliste_Girokonto_DE98120300001061711675.csv</x:v>
      </x:c>
      <x:c r="E2017" t="n">
        <x:v>46163</x:v>
      </x:c>
      <x:c r="F2017" t="n">
        <x:v>2000</x:v>
      </x:c>
      <x:c r="G2017" t="str">
        <x:v>339459ebc64772391627f89d6f269af6937f0f5a0103a5d75b4be757814882c1</x:v>
      </x:c>
      <x:c r="H2017" t="str">
        <x:v>neu</x:v>
      </x:c>
      <x:c r="I2017" t="str">
        <x:v>ok</x:v>
      </x:c>
      <x:c r="J2017"/>
      <x:c r="K2017" t="n">
        <x:v>45482</x:v>
      </x:c>
      <x:c r="L2017" t="n">
        <x:v>45482</x:v>
      </x:c>
      <x:c r="M2017" t="str">
        <x:v>Gebucht</x:v>
      </x:c>
      <x:c r="N2017" t="str">
        <x:v>Lars Kohlenberg</x:v>
      </x:c>
      <x:c r="O2017" t="str">
        <x:v>JessenLenz</x:v>
      </x:c>
      <x:c r="P2017" t="str">
        <x:v>SGB01-36 und Jan Kohlenberg</x:v>
      </x:c>
      <x:c r="Q2017" t="str">
        <x:v>Ausgang</x:v>
      </x:c>
      <x:c r="R2017" t="str">
        <x:v>DE84230501010160382578</x:v>
      </x:c>
      <x:c r="S2017" t="n">
        <x:v>-625.9</x:v>
      </x:c>
      <x:c r="T2017" t="str">
        <x:v>"</x:v>
      </x:c>
      <x:c r="U2017" t="str">
        <x:v>"</x:v>
      </x:c>
      <x:c r="V2017" t="str">
        <x:v>"</x:v>
      </x:c>
    </x:row>
    <x:row r="2018">
      <x:c r="A2018" t="str">
        <x:v>RAW-IMP-20260516-FULLDRAFT-002001</x:v>
      </x:c>
      <x:c r="B2018" t="str">
        <x:v>IMP-20260516-FULLDRAFT</x:v>
      </x:c>
      <x:c r="C2018" t="str">
        <x:v>KTO001</x:v>
      </x:c>
      <x:c r="D2018" t="str">
        <x:v>16-05-2026_Umsatzliste_Girokonto_DE98120300001061711675.csv</x:v>
      </x:c>
      <x:c r="E2018" t="n">
        <x:v>46163</x:v>
      </x:c>
      <x:c r="F2018" t="n">
        <x:v>2001</x:v>
      </x:c>
      <x:c r="G2018" t="str">
        <x:v>88718bfa9e3e1323a7f80669401cc2f66099cccc74e27a746fcb8e08c351f288</x:v>
      </x:c>
      <x:c r="H2018" t="str">
        <x:v>neu</x:v>
      </x:c>
      <x:c r="I2018" t="str">
        <x:v>ok</x:v>
      </x:c>
      <x:c r="J2018"/>
      <x:c r="K2018" t="n">
        <x:v>45481</x:v>
      </x:c>
      <x:c r="L2018" t="n">
        <x:v>45481</x:v>
      </x:c>
      <x:c r="M2018" t="str">
        <x:v>Gebucht</x:v>
      </x:c>
      <x:c r="N2018" t="str">
        <x:v>ISSUER</x:v>
      </x:c>
      <x:c r="O2018" t="str">
        <x:v>AUTOROUTES.DU.S.4383846/84VEDENE</x:v>
      </x:c>
      <x:c r="P2018" t="str">
        <x:v>VISA Debitkartenumsatz vom 06.07.2024</x:v>
      </x:c>
      <x:c r="Q2018" t="str">
        <x:v>Ausgang</x:v>
      </x:c>
      <x:c r="R2018" t="str">
        <x:v>DE96120300009005290904</x:v>
      </x:c>
      <x:c r="S2018" t="n">
        <x:v>-10.7</x:v>
      </x:c>
      <x:c r="T2018" t="str">
        <x:v>"</x:v>
      </x:c>
      <x:c r="U2018" t="str">
        <x:v>"</x:v>
      </x:c>
      <x:c r="V2018" t="str">
        <x:v>484188251852018</x:v>
      </x:c>
    </x:row>
    <x:row r="2019">
      <x:c r="A2019" t="str">
        <x:v>RAW-IMP-20260516-FULLDRAFT-002002</x:v>
      </x:c>
      <x:c r="B2019" t="str">
        <x:v>IMP-20260516-FULLDRAFT</x:v>
      </x:c>
      <x:c r="C2019" t="str">
        <x:v>KTO001</x:v>
      </x:c>
      <x:c r="D2019" t="str">
        <x:v>16-05-2026_Umsatzliste_Girokonto_DE98120300001061711675.csv</x:v>
      </x:c>
      <x:c r="E2019" t="n">
        <x:v>46163</x:v>
      </x:c>
      <x:c r="F2019" t="n">
        <x:v>2002</x:v>
      </x:c>
      <x:c r="G2019" t="str">
        <x:v>e0b97de84531c9088f437ab3b2594ff8c9cd2f9d075182cf7638edac9c09496e</x:v>
      </x:c>
      <x:c r="H2019" t="str">
        <x:v>neu</x:v>
      </x:c>
      <x:c r="I2019" t="str">
        <x:v>ok</x:v>
      </x:c>
      <x:c r="J2019"/>
      <x:c r="K2019" t="n">
        <x:v>45481</x:v>
      </x:c>
      <x:c r="L2019" t="n">
        <x:v>45481</x:v>
      </x:c>
      <x:c r="M2019" t="str">
        <x:v>Gebucht</x:v>
      </x:c>
      <x:c r="N2019" t="str">
        <x:v>ISSUER</x:v>
      </x:c>
      <x:c r="O2019" t="str">
        <x:v>LIDL.TEULADA/TEULADA</x:v>
      </x:c>
      <x:c r="P2019" t="str">
        <x:v>VISA Debitkartenumsatz vom 07.07.2024</x:v>
      </x:c>
      <x:c r="Q2019" t="str">
        <x:v>Ausgang</x:v>
      </x:c>
      <x:c r="R2019" t="str">
        <x:v>DE96120300009005290904</x:v>
      </x:c>
      <x:c r="S2019" t="n">
        <x:v>-24.29</x:v>
      </x:c>
      <x:c r="T2019" t="str">
        <x:v>"</x:v>
      </x:c>
      <x:c r="U2019" t="str">
        <x:v>"</x:v>
      </x:c>
      <x:c r="V2019" t="str">
        <x:v>484189410927735</x:v>
      </x:c>
    </x:row>
    <x:row r="2020">
      <x:c r="A2020" t="str">
        <x:v>RAW-IMP-20260516-FULLDRAFT-002003</x:v>
      </x:c>
      <x:c r="B2020" t="str">
        <x:v>IMP-20260516-FULLDRAFT</x:v>
      </x:c>
      <x:c r="C2020" t="str">
        <x:v>KTO001</x:v>
      </x:c>
      <x:c r="D2020" t="str">
        <x:v>16-05-2026_Umsatzliste_Girokonto_DE98120300001061711675.csv</x:v>
      </x:c>
      <x:c r="E2020" t="n">
        <x:v>46163</x:v>
      </x:c>
      <x:c r="F2020" t="n">
        <x:v>2003</x:v>
      </x:c>
      <x:c r="G2020" t="str">
        <x:v>5b6a3b729c4da15854b17d22004325df73094ae783e31d23d8d704fd93d36179</x:v>
      </x:c>
      <x:c r="H2020" t="str">
        <x:v>neu</x:v>
      </x:c>
      <x:c r="I2020" t="str">
        <x:v>ok</x:v>
      </x:c>
      <x:c r="J2020"/>
      <x:c r="K2020" t="n">
        <x:v>45481</x:v>
      </x:c>
      <x:c r="L2020" t="n">
        <x:v>45481</x:v>
      </x:c>
      <x:c r="M2020" t="str">
        <x:v>Gebucht</x:v>
      </x:c>
      <x:c r="N2020" t="str">
        <x:v>ISSUER</x:v>
      </x:c>
      <x:c r="O2020" t="str">
        <x:v>MARKET.MORAIRA/TEULADA</x:v>
      </x:c>
      <x:c r="P2020" t="str">
        <x:v>VISA Debitkartenumsatz vom 07.07.2024</x:v>
      </x:c>
      <x:c r="Q2020" t="str">
        <x:v>Ausgang</x:v>
      </x:c>
      <x:c r="R2020" t="str">
        <x:v>DE96120300009005290904</x:v>
      </x:c>
      <x:c r="S2020" t="n">
        <x:v>-193.06</x:v>
      </x:c>
      <x:c r="T2020" t="str">
        <x:v>"</x:v>
      </x:c>
      <x:c r="U2020" t="str">
        <x:v>"</x:v>
      </x:c>
      <x:c r="V2020" t="str">
        <x:v>484189405963575</x:v>
      </x:c>
    </x:row>
    <x:row r="2021">
      <x:c r="A2021" t="str">
        <x:v>RAW-IMP-20260516-FULLDRAFT-002004</x:v>
      </x:c>
      <x:c r="B2021" t="str">
        <x:v>IMP-20260516-FULLDRAFT</x:v>
      </x:c>
      <x:c r="C2021" t="str">
        <x:v>KTO001</x:v>
      </x:c>
      <x:c r="D2021" t="str">
        <x:v>16-05-2026_Umsatzliste_Girokonto_DE98120300001061711675.csv</x:v>
      </x:c>
      <x:c r="E2021" t="n">
        <x:v>46163</x:v>
      </x:c>
      <x:c r="F2021" t="n">
        <x:v>2004</x:v>
      </x:c>
      <x:c r="G2021" t="str">
        <x:v>beae1e80a78bac74d7fbc9ca6f7370cb6fbdfe71b48605ad51af898aa0c204a4</x:v>
      </x:c>
      <x:c r="H2021" t="str">
        <x:v>neu</x:v>
      </x:c>
      <x:c r="I2021" t="str">
        <x:v>ok</x:v>
      </x:c>
      <x:c r="J2021"/>
      <x:c r="K2021" t="n">
        <x:v>45481</x:v>
      </x:c>
      <x:c r="L2021" t="n">
        <x:v>45481</x:v>
      </x:c>
      <x:c r="M2021" t="str">
        <x:v>Gebucht</x:v>
      </x:c>
      <x:c r="N2021" t="str">
        <x:v>ISSUER</x:v>
      </x:c>
      <x:c r="O2021" t="str">
        <x:v>BENZINERA.GAVA/GAVA</x:v>
      </x:c>
      <x:c r="P2021" t="str">
        <x:v>VISA Debitkartenumsatz vom 06.07.2024</x:v>
      </x:c>
      <x:c r="Q2021" t="str">
        <x:v>Ausgang</x:v>
      </x:c>
      <x:c r="R2021" t="str">
        <x:v>DE96120300009005290904</x:v>
      </x:c>
      <x:c r="S2021" t="n">
        <x:v>-70</x:v>
      </x:c>
      <x:c r="T2021" t="str">
        <x:v>"</x:v>
      </x:c>
      <x:c r="U2021" t="str">
        <x:v>"</x:v>
      </x:c>
      <x:c r="V2021" t="str">
        <x:v>484188329789765</x:v>
      </x:c>
    </x:row>
    <x:row r="2022">
      <x:c r="A2022" t="str">
        <x:v>RAW-IMP-20260516-FULLDRAFT-002005</x:v>
      </x:c>
      <x:c r="B2022" t="str">
        <x:v>IMP-20260516-FULLDRAFT</x:v>
      </x:c>
      <x:c r="C2022" t="str">
        <x:v>KTO001</x:v>
      </x:c>
      <x:c r="D2022" t="str">
        <x:v>16-05-2026_Umsatzliste_Girokonto_DE98120300001061711675.csv</x:v>
      </x:c>
      <x:c r="E2022" t="n">
        <x:v>46163</x:v>
      </x:c>
      <x:c r="F2022" t="n">
        <x:v>2005</x:v>
      </x:c>
      <x:c r="G2022" t="str">
        <x:v>1cff23cee14c16fde423dfc8da26010c89a9aefd301c130722401611ccf07e27</x:v>
      </x:c>
      <x:c r="H2022" t="str">
        <x:v>neu</x:v>
      </x:c>
      <x:c r="I2022" t="str">
        <x:v>ok</x:v>
      </x:c>
      <x:c r="J2022"/>
      <x:c r="K2022" t="n">
        <x:v>45481</x:v>
      </x:c>
      <x:c r="L2022" t="n">
        <x:v>45481</x:v>
      </x:c>
      <x:c r="M2022" t="str">
        <x:v>Gebucht</x:v>
      </x:c>
      <x:c r="N2022" t="str">
        <x:v>ISSUER</x:v>
      </x:c>
      <x:c r="O2022" t="str">
        <x:v>APRR.NFC........4763973/21ST.APOLLINA</x:v>
      </x:c>
      <x:c r="P2022" t="str">
        <x:v>VISA Debitkartenumsatz vom 05.07.2024</x:v>
      </x:c>
      <x:c r="Q2022" t="str">
        <x:v>Ausgang</x:v>
      </x:c>
      <x:c r="R2022" t="str">
        <x:v>DE96120300009005290904</x:v>
      </x:c>
      <x:c r="S2022" t="n">
        <x:v>-32</x:v>
      </x:c>
      <x:c r="T2022" t="str">
        <x:v>"</x:v>
      </x:c>
      <x:c r="U2022" t="str">
        <x:v>"</x:v>
      </x:c>
      <x:c r="V2022" t="str">
        <x:v>484187115588412</x:v>
      </x:c>
    </x:row>
    <x:row r="2023">
      <x:c r="A2023" t="str">
        <x:v>RAW-IMP-20260516-FULLDRAFT-002006</x:v>
      </x:c>
      <x:c r="B2023" t="str">
        <x:v>IMP-20260516-FULLDRAFT</x:v>
      </x:c>
      <x:c r="C2023" t="str">
        <x:v>KTO001</x:v>
      </x:c>
      <x:c r="D2023" t="str">
        <x:v>16-05-2026_Umsatzliste_Girokonto_DE98120300001061711675.csv</x:v>
      </x:c>
      <x:c r="E2023" t="n">
        <x:v>46163</x:v>
      </x:c>
      <x:c r="F2023" t="n">
        <x:v>2006</x:v>
      </x:c>
      <x:c r="G2023" t="str">
        <x:v>1482bf15a709fe4ff4630f38be3f1885900a6f371948dd651f300e151a5a11bc</x:v>
      </x:c>
      <x:c r="H2023" t="str">
        <x:v>neu</x:v>
      </x:c>
      <x:c r="I2023" t="str">
        <x:v>ok</x:v>
      </x:c>
      <x:c r="J2023"/>
      <x:c r="K2023" t="n">
        <x:v>45481</x:v>
      </x:c>
      <x:c r="L2023" t="n">
        <x:v>45481</x:v>
      </x:c>
      <x:c r="M2023" t="str">
        <x:v>Gebucht</x:v>
      </x:c>
      <x:c r="N2023" t="str">
        <x:v>ISSUER</x:v>
      </x:c>
      <x:c r="O2023" t="str">
        <x:v>NOVOTEL/NARBONNE</x:v>
      </x:c>
      <x:c r="P2023" t="str">
        <x:v>VISA Debitkartenumsatz vom 06.07.2024</x:v>
      </x:c>
      <x:c r="Q2023" t="str">
        <x:v>Ausgang</x:v>
      </x:c>
      <x:c r="R2023" t="str">
        <x:v>DE96120300009005290904</x:v>
      </x:c>
      <x:c r="S2023" t="n">
        <x:v>-115.62</x:v>
      </x:c>
      <x:c r="T2023" t="str">
        <x:v>"</x:v>
      </x:c>
      <x:c r="U2023" t="str">
        <x:v>"</x:v>
      </x:c>
      <x:c r="V2023" t="str">
        <x:v>484188218513073</x:v>
      </x:c>
    </x:row>
    <x:row r="2024">
      <x:c r="A2024" t="str">
        <x:v>RAW-IMP-20260516-FULLDRAFT-002007</x:v>
      </x:c>
      <x:c r="B2024" t="str">
        <x:v>IMP-20260516-FULLDRAFT</x:v>
      </x:c>
      <x:c r="C2024" t="str">
        <x:v>KTO001</x:v>
      </x:c>
      <x:c r="D2024" t="str">
        <x:v>16-05-2026_Umsatzliste_Girokonto_DE98120300001061711675.csv</x:v>
      </x:c>
      <x:c r="E2024" t="n">
        <x:v>46163</x:v>
      </x:c>
      <x:c r="F2024" t="n">
        <x:v>2007</x:v>
      </x:c>
      <x:c r="G2024" t="str">
        <x:v>cb3d8c40ec46afd503d60b40b2c660652a422ec22708f75d14b14b734657d04a</x:v>
      </x:c>
      <x:c r="H2024" t="str">
        <x:v>neu</x:v>
      </x:c>
      <x:c r="I2024" t="str">
        <x:v>ok</x:v>
      </x:c>
      <x:c r="J2024"/>
      <x:c r="K2024" t="n">
        <x:v>45481</x:v>
      </x:c>
      <x:c r="L2024" t="n">
        <x:v>45481</x:v>
      </x:c>
      <x:c r="M2024" t="str">
        <x:v>Gebucht</x:v>
      </x:c>
      <x:c r="N2024" t="str">
        <x:v>ISSUER</x:v>
      </x:c>
      <x:c r="O2024" t="str">
        <x:v>PAYPAL..JUSTEATSPAI/35314369001</x:v>
      </x:c>
      <x:c r="P2024" t="str">
        <x:v>VISA Debitkartenumsatz vom 06.07.2024</x:v>
      </x:c>
      <x:c r="Q2024" t="str">
        <x:v>Ausgang</x:v>
      </x:c>
      <x:c r="R2024" t="str">
        <x:v>DE96120300009005290904</x:v>
      </x:c>
      <x:c r="S2024" t="n">
        <x:v>-125.75</x:v>
      </x:c>
      <x:c r="T2024" t="str">
        <x:v>"</x:v>
      </x:c>
      <x:c r="U2024" t="str">
        <x:v>"</x:v>
      </x:c>
      <x:c r="V2024" t="str">
        <x:v>384188610909985</x:v>
      </x:c>
    </x:row>
    <x:row r="2025">
      <x:c r="A2025" t="str">
        <x:v>RAW-IMP-20260516-FULLDRAFT-002008</x:v>
      </x:c>
      <x:c r="B2025" t="str">
        <x:v>IMP-20260516-FULLDRAFT</x:v>
      </x:c>
      <x:c r="C2025" t="str">
        <x:v>KTO001</x:v>
      </x:c>
      <x:c r="D2025" t="str">
        <x:v>16-05-2026_Umsatzliste_Girokonto_DE98120300001061711675.csv</x:v>
      </x:c>
      <x:c r="E2025" t="n">
        <x:v>46163</x:v>
      </x:c>
      <x:c r="F2025" t="n">
        <x:v>2008</x:v>
      </x:c>
      <x:c r="G2025" t="str">
        <x:v>e47ce8e84ba2a1d07ce975e56aa9cb167f0ae65d6b3302ff3078450db19427aa</x:v>
      </x:c>
      <x:c r="H2025" t="str">
        <x:v>neu</x:v>
      </x:c>
      <x:c r="I2025" t="str">
        <x:v>ok</x:v>
      </x:c>
      <x:c r="J2025"/>
      <x:c r="K2025" t="n">
        <x:v>45481</x:v>
      </x:c>
      <x:c r="L2025" t="n">
        <x:v>45481</x:v>
      </x:c>
      <x:c r="M2025" t="str">
        <x:v>Gebucht</x:v>
      </x:c>
      <x:c r="N2025" t="str">
        <x:v>ISSUER</x:v>
      </x:c>
      <x:c r="O2025" t="str">
        <x:v>MONTELIMAR.OUEST/ALLAN</x:v>
      </x:c>
      <x:c r="P2025" t="str">
        <x:v>VISA Debitkartenumsatz vom 05.07.2024</x:v>
      </x:c>
      <x:c r="Q2025" t="str">
        <x:v>Ausgang</x:v>
      </x:c>
      <x:c r="R2025" t="str">
        <x:v>DE96120300009005290904</x:v>
      </x:c>
      <x:c r="S2025" t="n">
        <x:v>-25.3</x:v>
      </x:c>
      <x:c r="T2025" t="str">
        <x:v>"</x:v>
      </x:c>
      <x:c r="U2025" t="str">
        <x:v>"</x:v>
      </x:c>
      <x:c r="V2025" t="str">
        <x:v>484187187591750</x:v>
      </x:c>
    </x:row>
    <x:row r="2026">
      <x:c r="A2026" t="str">
        <x:v>RAW-IMP-20260516-FULLDRAFT-002009</x:v>
      </x:c>
      <x:c r="B2026" t="str">
        <x:v>IMP-20260516-FULLDRAFT</x:v>
      </x:c>
      <x:c r="C2026" t="str">
        <x:v>KTO001</x:v>
      </x:c>
      <x:c r="D2026" t="str">
        <x:v>16-05-2026_Umsatzliste_Girokonto_DE98120300001061711675.csv</x:v>
      </x:c>
      <x:c r="E2026" t="n">
        <x:v>46163</x:v>
      </x:c>
      <x:c r="F2026" t="n">
        <x:v>2009</x:v>
      </x:c>
      <x:c r="G2026" t="str">
        <x:v>95f3feef1e71c66da9b490a08b4a9a43be34a7cf1329579d8a4eb02944767f09</x:v>
      </x:c>
      <x:c r="H2026" t="str">
        <x:v>neu</x:v>
      </x:c>
      <x:c r="I2026" t="str">
        <x:v>ok</x:v>
      </x:c>
      <x:c r="J2026"/>
      <x:c r="K2026" t="n">
        <x:v>45481</x:v>
      </x:c>
      <x:c r="L2026" t="n">
        <x:v>45481</x:v>
      </x:c>
      <x:c r="M2026" t="str">
        <x:v>Gebucht</x:v>
      </x:c>
      <x:c r="N2026" t="str">
        <x:v>ISSUER</x:v>
      </x:c>
      <x:c r="O2026" t="str">
        <x:v>INDIGO.110002...2934968/NARBO0110002.</x:v>
      </x:c>
      <x:c r="P2026" t="str">
        <x:v>VISA Debitkartenumsatz vom 05.07.2024</x:v>
      </x:c>
      <x:c r="Q2026" t="str">
        <x:v>Ausgang</x:v>
      </x:c>
      <x:c r="R2026" t="str">
        <x:v>DE96120300009005290904</x:v>
      </x:c>
      <x:c r="S2026" t="n">
        <x:v>-3.9</x:v>
      </x:c>
      <x:c r="T2026" t="str">
        <x:v>"</x:v>
      </x:c>
      <x:c r="U2026" t="str">
        <x:v>"</x:v>
      </x:c>
      <x:c r="V2026" t="str">
        <x:v>484187533561564</x:v>
      </x:c>
    </x:row>
    <x:row r="2027">
      <x:c r="A2027" t="str">
        <x:v>RAW-IMP-20260516-FULLDRAFT-002010</x:v>
      </x:c>
      <x:c r="B2027" t="str">
        <x:v>IMP-20260516-FULLDRAFT</x:v>
      </x:c>
      <x:c r="C2027" t="str">
        <x:v>KTO001</x:v>
      </x:c>
      <x:c r="D2027" t="str">
        <x:v>16-05-2026_Umsatzliste_Girokonto_DE98120300001061711675.csv</x:v>
      </x:c>
      <x:c r="E2027" t="n">
        <x:v>46163</x:v>
      </x:c>
      <x:c r="F2027" t="n">
        <x:v>2010</x:v>
      </x:c>
      <x:c r="G2027" t="str">
        <x:v>00eb576fbf6757396dd53bed72f321cf1253187a8d38bd3e457d10ae323b56bd</x:v>
      </x:c>
      <x:c r="H2027" t="str">
        <x:v>neu</x:v>
      </x:c>
      <x:c r="I2027" t="str">
        <x:v>ok</x:v>
      </x:c>
      <x:c r="J2027"/>
      <x:c r="K2027" t="n">
        <x:v>45481</x:v>
      </x:c>
      <x:c r="L2027" t="n">
        <x:v>45481</x:v>
      </x:c>
      <x:c r="M2027" t="str">
        <x:v>Gebucht</x:v>
      </x:c>
      <x:c r="N2027" t="str">
        <x:v>ISSUER</x:v>
      </x:c>
      <x:c r="O2027" t="str">
        <x:v>AUTOROUTES.DU.S.4383846/84VEDENE</x:v>
      </x:c>
      <x:c r="P2027" t="str">
        <x:v>VISA Debitkartenumsatz vom 05.07.2024</x:v>
      </x:c>
      <x:c r="Q2027" t="str">
        <x:v>Ausgang</x:v>
      </x:c>
      <x:c r="R2027" t="str">
        <x:v>DE96120300009005290904</x:v>
      </x:c>
      <x:c r="S2027" t="n">
        <x:v>-42</x:v>
      </x:c>
      <x:c r="T2027" t="str">
        <x:v>"</x:v>
      </x:c>
      <x:c r="U2027" t="str">
        <x:v>"</x:v>
      </x:c>
      <x:c r="V2027" t="str">
        <x:v>484187276542607</x:v>
      </x:c>
    </x:row>
    <x:row r="2028">
      <x:c r="A2028" t="str">
        <x:v>RAW-IMP-20260516-FULLDRAFT-002011</x:v>
      </x:c>
      <x:c r="B2028" t="str">
        <x:v>IMP-20260516-FULLDRAFT</x:v>
      </x:c>
      <x:c r="C2028" t="str">
        <x:v>KTO001</x:v>
      </x:c>
      <x:c r="D2028" t="str">
        <x:v>16-05-2026_Umsatzliste_Girokonto_DE98120300001061711675.csv</x:v>
      </x:c>
      <x:c r="E2028" t="n">
        <x:v>46163</x:v>
      </x:c>
      <x:c r="F2028" t="n">
        <x:v>2011</x:v>
      </x:c>
      <x:c r="G2028" t="str">
        <x:v>606b1193739d13afd2cd7447864e6f305a26d2a8b0902427f7baf461e48d7db7</x:v>
      </x:c>
      <x:c r="H2028" t="str">
        <x:v>neu</x:v>
      </x:c>
      <x:c r="I2028" t="str">
        <x:v>ok</x:v>
      </x:c>
      <x:c r="J2028"/>
      <x:c r="K2028" t="n">
        <x:v>45481</x:v>
      </x:c>
      <x:c r="L2028" t="n">
        <x:v>45481</x:v>
      </x:c>
      <x:c r="M2028" t="str">
        <x:v>Gebucht</x:v>
      </x:c>
      <x:c r="N2028" t="str">
        <x:v>ISSUER</x:v>
      </x:c>
      <x:c r="O2028" t="str">
        <x:v>SHELL.2230/HERBOLZHEIM</x:v>
      </x:c>
      <x:c r="P2028" t="str">
        <x:v>VISA Debitkartenumsatz vom 05.07.2024</x:v>
      </x:c>
      <x:c r="Q2028" t="str">
        <x:v>Ausgang</x:v>
      </x:c>
      <x:c r="R2028" t="str">
        <x:v>DE96120300009005290904</x:v>
      </x:c>
      <x:c r="S2028" t="n">
        <x:v>-48.98</x:v>
      </x:c>
      <x:c r="T2028" t="str">
        <x:v>"</x:v>
      </x:c>
      <x:c r="U2028" t="str">
        <x:v>"</x:v>
      </x:c>
      <x:c r="V2028" t="str">
        <x:v>484186810923910</x:v>
      </x:c>
    </x:row>
    <x:row r="2029">
      <x:c r="A2029" t="str">
        <x:v>RAW-IMP-20260516-FULLDRAFT-002012</x:v>
      </x:c>
      <x:c r="B2029" t="str">
        <x:v>IMP-20260516-FULLDRAFT</x:v>
      </x:c>
      <x:c r="C2029" t="str">
        <x:v>KTO001</x:v>
      </x:c>
      <x:c r="D2029" t="str">
        <x:v>16-05-2026_Umsatzliste_Girokonto_DE98120300001061711675.csv</x:v>
      </x:c>
      <x:c r="E2029" t="n">
        <x:v>46163</x:v>
      </x:c>
      <x:c r="F2029" t="n">
        <x:v>2012</x:v>
      </x:c>
      <x:c r="G2029" t="str">
        <x:v>69ccbd6c5fdb736c8da30c2bb16fcb70f1dbad15e667276606fd7f2902d1d2b0</x:v>
      </x:c>
      <x:c r="H2029" t="str">
        <x:v>neu</x:v>
      </x:c>
      <x:c r="I2029" t="str">
        <x:v>ok</x:v>
      </x:c>
      <x:c r="J2029"/>
      <x:c r="K2029" t="n">
        <x:v>45481</x:v>
      </x:c>
      <x:c r="L2029" t="n">
        <x:v>45481</x:v>
      </x:c>
      <x:c r="M2029" t="str">
        <x:v>Gebucht</x:v>
      </x:c>
      <x:c r="N2029" t="str">
        <x:v>ISSUER</x:v>
      </x:c>
      <x:c r="O2029" t="str">
        <x:v>APRR/21850</x:v>
      </x:c>
      <x:c r="P2029" t="str">
        <x:v>VISA Debitkartenumsatz vom 05.07.2024</x:v>
      </x:c>
      <x:c r="Q2029" t="str">
        <x:v>Ausgang</x:v>
      </x:c>
      <x:c r="R2029" t="str">
        <x:v>DE96120300009005290904</x:v>
      </x:c>
      <x:c r="S2029" t="n">
        <x:v>-3.1</x:v>
      </x:c>
      <x:c r="T2029" t="str">
        <x:v>"</x:v>
      </x:c>
      <x:c r="U2029" t="str">
        <x:v>"</x:v>
      </x:c>
      <x:c r="V2029" t="str">
        <x:v>484186853614654</x:v>
      </x:c>
    </x:row>
    <x:row r="2030">
      <x:c r="A2030" t="str">
        <x:v>RAW-IMP-20260516-FULLDRAFT-002013</x:v>
      </x:c>
      <x:c r="B2030" t="str">
        <x:v>IMP-20260516-FULLDRAFT</x:v>
      </x:c>
      <x:c r="C2030" t="str">
        <x:v>KTO001</x:v>
      </x:c>
      <x:c r="D2030" t="str">
        <x:v>16-05-2026_Umsatzliste_Girokonto_DE98120300001061711675.csv</x:v>
      </x:c>
      <x:c r="E2030" t="n">
        <x:v>46163</x:v>
      </x:c>
      <x:c r="F2030" t="n">
        <x:v>2013</x:v>
      </x:c>
      <x:c r="G2030" t="str">
        <x:v>f12247fd27807c960098c1e1a1dab274600bc144ba93def68e58010217c1969d</x:v>
      </x:c>
      <x:c r="H2030" t="str">
        <x:v>neu</x:v>
      </x:c>
      <x:c r="I2030" t="str">
        <x:v>ok</x:v>
      </x:c>
      <x:c r="J2030"/>
      <x:c r="K2030" t="n">
        <x:v>45481</x:v>
      </x:c>
      <x:c r="L2030" t="n">
        <x:v>45481</x:v>
      </x:c>
      <x:c r="M2030" t="str">
        <x:v>Gebucht</x:v>
      </x:c>
      <x:c r="N2030" t="str">
        <x:v>ISSUER</x:v>
      </x:c>
      <x:c r="O2030" t="str">
        <x:v>NOVOTEL/NARBONNE</x:v>
      </x:c>
      <x:c r="P2030" t="str">
        <x:v>VISA Debitkartenumsatz vom 05.07.2024</x:v>
      </x:c>
      <x:c r="Q2030" t="str">
        <x:v>Ausgang</x:v>
      </x:c>
      <x:c r="R2030" t="str">
        <x:v>DE96120300009005290904</x:v>
      </x:c>
      <x:c r="S2030" t="n">
        <x:v>-18</x:v>
      </x:c>
      <x:c r="T2030" t="str">
        <x:v>"</x:v>
      </x:c>
      <x:c r="U2030" t="str">
        <x:v>"</x:v>
      </x:c>
      <x:c r="V2030" t="str">
        <x:v>484187396041870</x:v>
      </x:c>
    </x:row>
    <x:row r="2031">
      <x:c r="A2031" t="str">
        <x:v>RAW-IMP-20260516-FULLDRAFT-002014</x:v>
      </x:c>
      <x:c r="B2031" t="str">
        <x:v>IMP-20260516-FULLDRAFT</x:v>
      </x:c>
      <x:c r="C2031" t="str">
        <x:v>KTO001</x:v>
      </x:c>
      <x:c r="D2031" t="str">
        <x:v>16-05-2026_Umsatzliste_Girokonto_DE98120300001061711675.csv</x:v>
      </x:c>
      <x:c r="E2031" t="n">
        <x:v>46163</x:v>
      </x:c>
      <x:c r="F2031" t="n">
        <x:v>2014</x:v>
      </x:c>
      <x:c r="G2031" t="str">
        <x:v>18146990876d8561021b19c7d547024f94cee1287fdbc72126c96832320d5547</x:v>
      </x:c>
      <x:c r="H2031" t="str">
        <x:v>neu</x:v>
      </x:c>
      <x:c r="I2031" t="str">
        <x:v>ok</x:v>
      </x:c>
      <x:c r="J2031"/>
      <x:c r="K2031" t="n">
        <x:v>45481</x:v>
      </x:c>
      <x:c r="L2031" t="n">
        <x:v>45481</x:v>
      </x:c>
      <x:c r="M2031" t="str">
        <x:v>Gebucht</x:v>
      </x:c>
      <x:c r="N2031" t="str">
        <x:v>Lars Kohlenberg</x:v>
      </x:c>
      <x:c r="O2031" t="str">
        <x:v>Iman Firat</x:v>
      </x:c>
      <x:c r="P2031" t="str">
        <x:v>2230 Lea Kohlenberg</x:v>
      </x:c>
      <x:c r="Q2031" t="str">
        <x:v>Ausgang</x:v>
      </x:c>
      <x:c r="R2031" t="str">
        <x:v>DE67269910662694298000</x:v>
      </x:c>
      <x:c r="S2031" t="n">
        <x:v>-49.9</x:v>
      </x:c>
      <x:c r="T2031" t="str">
        <x:v>"</x:v>
      </x:c>
      <x:c r="U2031" t="str">
        <x:v>"</x:v>
      </x:c>
      <x:c r="V2031" t="str">
        <x:v>"</x:v>
      </x:c>
    </x:row>
    <x:row r="2032">
      <x:c r="A2032" t="str">
        <x:v>RAW-IMP-20260516-FULLDRAFT-002015</x:v>
      </x:c>
      <x:c r="B2032" t="str">
        <x:v>IMP-20260516-FULLDRAFT</x:v>
      </x:c>
      <x:c r="C2032" t="str">
        <x:v>KTO001</x:v>
      </x:c>
      <x:c r="D2032" t="str">
        <x:v>16-05-2026_Umsatzliste_Girokonto_DE98120300001061711675.csv</x:v>
      </x:c>
      <x:c r="E2032" t="n">
        <x:v>46163</x:v>
      </x:c>
      <x:c r="F2032" t="n">
        <x:v>2015</x:v>
      </x:c>
      <x:c r="G2032" t="str">
        <x:v>2284d0aa64f2ec54d95460b6aaba8f634903cf8b42522a839cedad1d0c5209f9</x:v>
      </x:c>
      <x:c r="H2032" t="str">
        <x:v>neu</x:v>
      </x:c>
      <x:c r="I2032" t="str">
        <x:v>ok</x:v>
      </x:c>
      <x:c r="J2032"/>
      <x:c r="K2032" t="n">
        <x:v>45478</x:v>
      </x:c>
      <x:c r="L2032" t="n">
        <x:v>45478</x:v>
      </x:c>
      <x:c r="M2032" t="str">
        <x:v>Gebucht</x:v>
      </x:c>
      <x:c r="N2032" t="str">
        <x:v>ISSUER</x:v>
      </x:c>
      <x:c r="O2032" t="str">
        <x:v>TAS.SALDER/SALZGITTER</x:v>
      </x:c>
      <x:c r="P2032" t="str">
        <x:v>VISA Debitkartenumsatz vom 04.07.2024</x:v>
      </x:c>
      <x:c r="Q2032" t="str">
        <x:v>Ausgang</x:v>
      </x:c>
      <x:c r="R2032" t="str">
        <x:v>DE96120300009005290904</x:v>
      </x:c>
      <x:c r="S2032" t="n">
        <x:v>-109.83</x:v>
      </x:c>
      <x:c r="T2032" t="str">
        <x:v>"</x:v>
      </x:c>
      <x:c r="U2032" t="str">
        <x:v>"</x:v>
      </x:c>
      <x:c r="V2032" t="str">
        <x:v>484186441376935</x:v>
      </x:c>
    </x:row>
    <x:row r="2033">
      <x:c r="A2033" t="str">
        <x:v>RAW-IMP-20260516-FULLDRAFT-002016</x:v>
      </x:c>
      <x:c r="B2033" t="str">
        <x:v>IMP-20260516-FULLDRAFT</x:v>
      </x:c>
      <x:c r="C2033" t="str">
        <x:v>KTO001</x:v>
      </x:c>
      <x:c r="D2033" t="str">
        <x:v>16-05-2026_Umsatzliste_Girokonto_DE98120300001061711675.csv</x:v>
      </x:c>
      <x:c r="E2033" t="n">
        <x:v>46163</x:v>
      </x:c>
      <x:c r="F2033" t="n">
        <x:v>2016</x:v>
      </x:c>
      <x:c r="G2033" t="str">
        <x:v>a446bcb7231dd1936fc08fa01dd22fa95de017bc480fe75afd25d82fbce457b8</x:v>
      </x:c>
      <x:c r="H2033" t="str">
        <x:v>neu</x:v>
      </x:c>
      <x:c r="I2033" t="str">
        <x:v>ok</x:v>
      </x:c>
      <x:c r="J2033"/>
      <x:c r="K2033" t="n">
        <x:v>45478</x:v>
      </x:c>
      <x:c r="L2033" t="n">
        <x:v>45478</x:v>
      </x:c>
      <x:c r="M2033" t="str">
        <x:v>Gebucht</x:v>
      </x:c>
      <x:c r="N2033" t="str">
        <x:v>ISSUER</x:v>
      </x:c>
      <x:c r="O2033" t="str">
        <x:v>GLUECKAUF.APOTHEKE/SALZGITTER</x:v>
      </x:c>
      <x:c r="P2033" t="str">
        <x:v>VISA Debitkartenumsatz vom 04.07.2024</x:v>
      </x:c>
      <x:c r="Q2033" t="str">
        <x:v>Ausgang</x:v>
      </x:c>
      <x:c r="R2033" t="str">
        <x:v>DE96120300009005290904</x:v>
      </x:c>
      <x:c r="S2033" t="n">
        <x:v>-19.5</x:v>
      </x:c>
      <x:c r="T2033" t="str">
        <x:v>"</x:v>
      </x:c>
      <x:c r="U2033" t="str">
        <x:v>"</x:v>
      </x:c>
      <x:c r="V2033" t="str">
        <x:v>484186473372963</x:v>
      </x:c>
    </x:row>
    <x:row r="2034">
      <x:c r="A2034" t="str">
        <x:v>RAW-IMP-20260516-FULLDRAFT-002017</x:v>
      </x:c>
      <x:c r="B2034" t="str">
        <x:v>IMP-20260516-FULLDRAFT</x:v>
      </x:c>
      <x:c r="C2034" t="str">
        <x:v>KTO001</x:v>
      </x:c>
      <x:c r="D2034" t="str">
        <x:v>16-05-2026_Umsatzliste_Girokonto_DE98120300001061711675.csv</x:v>
      </x:c>
      <x:c r="E2034" t="n">
        <x:v>46163</x:v>
      </x:c>
      <x:c r="F2034" t="n">
        <x:v>2017</x:v>
      </x:c>
      <x:c r="G2034" t="str">
        <x:v>bb6ead849a240606487f52eb89c2cca8441d87f0893ed8a041a8744bfa7f16f1</x:v>
      </x:c>
      <x:c r="H2034" t="str">
        <x:v>neu</x:v>
      </x:c>
      <x:c r="I2034" t="str">
        <x:v>ok</x:v>
      </x:c>
      <x:c r="J2034"/>
      <x:c r="K2034" t="n">
        <x:v>45478</x:v>
      </x:c>
      <x:c r="L2034" t="n">
        <x:v>45478</x:v>
      </x:c>
      <x:c r="M2034" t="str">
        <x:v>Gebucht</x:v>
      </x:c>
      <x:c r="N2034" t="str">
        <x:v>ISSUER</x:v>
      </x:c>
      <x:c r="O2034" t="str">
        <x:v>MCDONALDS.01215/HIRSCHBERG</x:v>
      </x:c>
      <x:c r="P2034" t="str">
        <x:v>VISA Debitkartenumsatz vom 04.07.2024</x:v>
      </x:c>
      <x:c r="Q2034" t="str">
        <x:v>Ausgang</x:v>
      </x:c>
      <x:c r="R2034" t="str">
        <x:v>DE96120300009005290904</x:v>
      </x:c>
      <x:c r="S2034" t="n">
        <x:v>-11.18</x:v>
      </x:c>
      <x:c r="T2034" t="str">
        <x:v>"</x:v>
      </x:c>
      <x:c r="U2034" t="str">
        <x:v>"</x:v>
      </x:c>
      <x:c r="V2034" t="str">
        <x:v>484186736371634</x:v>
      </x:c>
    </x:row>
    <x:row r="2035">
      <x:c r="A2035" t="str">
        <x:v>RAW-IMP-20260516-FULLDRAFT-002018</x:v>
      </x:c>
      <x:c r="B2035" t="str">
        <x:v>IMP-20260516-FULLDRAFT</x:v>
      </x:c>
      <x:c r="C2035" t="str">
        <x:v>KTO001</x:v>
      </x:c>
      <x:c r="D2035" t="str">
        <x:v>16-05-2026_Umsatzliste_Girokonto_DE98120300001061711675.csv</x:v>
      </x:c>
      <x:c r="E2035" t="n">
        <x:v>46163</x:v>
      </x:c>
      <x:c r="F2035" t="n">
        <x:v>2018</x:v>
      </x:c>
      <x:c r="G2035" t="str">
        <x:v>31b843a6a2be6c48d6725b5b2a84cb50a08723ec371ac618abb540f90d2d47d6</x:v>
      </x:c>
      <x:c r="H2035" t="str">
        <x:v>neu</x:v>
      </x:c>
      <x:c r="I2035" t="str">
        <x:v>ok</x:v>
      </x:c>
      <x:c r="J2035"/>
      <x:c r="K2035" t="n">
        <x:v>45478</x:v>
      </x:c>
      <x:c r="L2035" t="n">
        <x:v>45478</x:v>
      </x:c>
      <x:c r="M2035" t="str">
        <x:v>Gebucht</x:v>
      </x:c>
      <x:c r="N2035" t="str">
        <x:v>ISSUER</x:v>
      </x:c>
      <x:c r="O2035" t="str">
        <x:v>NORD.LB...Braunschweigi/GEBHARDSHG</x:v>
      </x:c>
      <x:c r="P2035" t="str">
        <x:v>VISA Debitkartenumsatz vom 04.07.2024</x:v>
      </x:c>
      <x:c r="Q2035" t="str">
        <x:v>Ausgang</x:v>
      </x:c>
      <x:c r="R2035" t="str">
        <x:v>DE96120300009005290904</x:v>
      </x:c>
      <x:c r="S2035" t="n">
        <x:v>-350</x:v>
      </x:c>
      <x:c r="T2035" t="str">
        <x:v>"</x:v>
      </x:c>
      <x:c r="U2035" t="str">
        <x:v>"</x:v>
      </x:c>
      <x:c r="V2035" t="str">
        <x:v>484186530147361</x:v>
      </x:c>
    </x:row>
    <x:row r="2036">
      <x:c r="A2036" t="str">
        <x:v>RAW-IMP-20260516-FULLDRAFT-002019</x:v>
      </x:c>
      <x:c r="B2036" t="str">
        <x:v>IMP-20260516-FULLDRAFT</x:v>
      </x:c>
      <x:c r="C2036" t="str">
        <x:v>KTO001</x:v>
      </x:c>
      <x:c r="D2036" t="str">
        <x:v>16-05-2026_Umsatzliste_Girokonto_DE98120300001061711675.csv</x:v>
      </x:c>
      <x:c r="E2036" t="n">
        <x:v>46163</x:v>
      </x:c>
      <x:c r="F2036" t="n">
        <x:v>2019</x:v>
      </x:c>
      <x:c r="G2036" t="str">
        <x:v>c0ee082647ce6f6d3efbef29a12c38c02656b177e60e518a42497fa9c42910ea</x:v>
      </x:c>
      <x:c r="H2036" t="str">
        <x:v>neu</x:v>
      </x:c>
      <x:c r="I2036" t="str">
        <x:v>ok</x:v>
      </x:c>
      <x:c r="J2036"/>
      <x:c r="K2036" t="n">
        <x:v>45477</x:v>
      </x:c>
      <x:c r="L2036" t="n">
        <x:v>45477</x:v>
      </x:c>
      <x:c r="M2036" t="str">
        <x:v>Gebucht</x:v>
      </x:c>
      <x:c r="N2036" t="str">
        <x:v>ISSUER</x:v>
      </x:c>
      <x:c r="O2036" t="str">
        <x:v>E.CENTER.3375/SALZGITTER</x:v>
      </x:c>
      <x:c r="P2036" t="str">
        <x:v>VISA Debitkartenumsatz vom 03.07.2024</x:v>
      </x:c>
      <x:c r="Q2036" t="str">
        <x:v>Ausgang</x:v>
      </x:c>
      <x:c r="R2036" t="str">
        <x:v>DE96120300009005290904</x:v>
      </x:c>
      <x:c r="S2036" t="n">
        <x:v>-64.39</x:v>
      </x:c>
      <x:c r="T2036" t="str">
        <x:v>"</x:v>
      </x:c>
      <x:c r="U2036" t="str">
        <x:v>"</x:v>
      </x:c>
      <x:c r="V2036" t="str">
        <x:v>484185678181717</x:v>
      </x:c>
    </x:row>
    <x:row r="2037">
      <x:c r="A2037" t="str">
        <x:v>RAW-IMP-20260516-FULLDRAFT-002020</x:v>
      </x:c>
      <x:c r="B2037" t="str">
        <x:v>IMP-20260516-FULLDRAFT</x:v>
      </x:c>
      <x:c r="C2037" t="str">
        <x:v>KTO001</x:v>
      </x:c>
      <x:c r="D2037" t="str">
        <x:v>16-05-2026_Umsatzliste_Girokonto_DE98120300001061711675.csv</x:v>
      </x:c>
      <x:c r="E2037" t="n">
        <x:v>46163</x:v>
      </x:c>
      <x:c r="F2037" t="n">
        <x:v>2020</x:v>
      </x:c>
      <x:c r="G2037" t="str">
        <x:v>c66dbd417c617dff695eb5cae1ff0c5a822d68218041e2559c6592ebc7fc730b</x:v>
      </x:c>
      <x:c r="H2037" t="str">
        <x:v>neu</x:v>
      </x:c>
      <x:c r="I2037" t="str">
        <x:v>ok</x:v>
      </x:c>
      <x:c r="J2037"/>
      <x:c r="K2037" t="n">
        <x:v>45477</x:v>
      </x:c>
      <x:c r="L2037" t="n">
        <x:v>45477</x:v>
      </x:c>
      <x:c r="M2037" t="str">
        <x:v>Gebucht</x:v>
      </x:c>
      <x:c r="N2037" t="str">
        <x:v>ISSUER</x:v>
      </x:c>
      <x:c r="O2037" t="str">
        <x:v>EDEKA.POTRATZ/HILDESHEIM</x:v>
      </x:c>
      <x:c r="P2037" t="str">
        <x:v>VISA Debitkartenumsatz vom 03.07.2024</x:v>
      </x:c>
      <x:c r="Q2037" t="str">
        <x:v>Ausgang</x:v>
      </x:c>
      <x:c r="R2037" t="str">
        <x:v>DE96120300009005290904</x:v>
      </x:c>
      <x:c r="S2037" t="n">
        <x:v>-3.81</x:v>
      </x:c>
      <x:c r="T2037" t="str">
        <x:v>"</x:v>
      </x:c>
      <x:c r="U2037" t="str">
        <x:v>"</x:v>
      </x:c>
      <x:c r="V2037" t="str">
        <x:v>484185397026048</x:v>
      </x:c>
    </x:row>
    <x:row r="2038">
      <x:c r="A2038" t="str">
        <x:v>RAW-IMP-20260516-FULLDRAFT-002021</x:v>
      </x:c>
      <x:c r="B2038" t="str">
        <x:v>IMP-20260516-FULLDRAFT</x:v>
      </x:c>
      <x:c r="C2038" t="str">
        <x:v>KTO001</x:v>
      </x:c>
      <x:c r="D2038" t="str">
        <x:v>16-05-2026_Umsatzliste_Girokonto_DE98120300001061711675.csv</x:v>
      </x:c>
      <x:c r="E2038" t="n">
        <x:v>46163</x:v>
      </x:c>
      <x:c r="F2038" t="n">
        <x:v>2021</x:v>
      </x:c>
      <x:c r="G2038" t="str">
        <x:v>1c873c0cb22322a65b596d3b55a3e1be911d682d245fb86b13afb315db7065a9</x:v>
      </x:c>
      <x:c r="H2038" t="str">
        <x:v>neu</x:v>
      </x:c>
      <x:c r="I2038" t="str">
        <x:v>ok</x:v>
      </x:c>
      <x:c r="J2038"/>
      <x:c r="K2038" t="n">
        <x:v>45477</x:v>
      </x:c>
      <x:c r="L2038" t="n">
        <x:v>45477</x:v>
      </x:c>
      <x:c r="M2038" t="str">
        <x:v>Gebucht</x:v>
      </x:c>
      <x:c r="N2038" t="str">
        <x:v>ISSUER</x:v>
      </x:c>
      <x:c r="O2038" t="str">
        <x:v>REWE.Acar.oHG/Salzgitter</x:v>
      </x:c>
      <x:c r="P2038" t="str">
        <x:v>VISA Debitkartenumsatz vom 03.07.2024</x:v>
      </x:c>
      <x:c r="Q2038" t="str">
        <x:v>Ausgang</x:v>
      </x:c>
      <x:c r="R2038" t="str">
        <x:v>DE96120300009005290904</x:v>
      </x:c>
      <x:c r="S2038" t="n">
        <x:v>-21.95</x:v>
      </x:c>
      <x:c r="T2038" t="str">
        <x:v>"</x:v>
      </x:c>
      <x:c r="U2038" t="str">
        <x:v>"</x:v>
      </x:c>
      <x:c r="V2038" t="str">
        <x:v>484185686085190</x:v>
      </x:c>
    </x:row>
    <x:row r="2039">
      <x:c r="A2039" t="str">
        <x:v>RAW-IMP-20260516-FULLDRAFT-002022</x:v>
      </x:c>
      <x:c r="B2039" t="str">
        <x:v>IMP-20260516-FULLDRAFT</x:v>
      </x:c>
      <x:c r="C2039" t="str">
        <x:v>KTO001</x:v>
      </x:c>
      <x:c r="D2039" t="str">
        <x:v>16-05-2026_Umsatzliste_Girokonto_DE98120300001061711675.csv</x:v>
      </x:c>
      <x:c r="E2039" t="n">
        <x:v>46163</x:v>
      </x:c>
      <x:c r="F2039" t="n">
        <x:v>2022</x:v>
      </x:c>
      <x:c r="G2039" t="str">
        <x:v>9c229f68a822ca562fd02777500f99c2b3f8a810a83824afaa5b85581bf2d29c</x:v>
      </x:c>
      <x:c r="H2039" t="str">
        <x:v>neu</x:v>
      </x:c>
      <x:c r="I2039" t="str">
        <x:v>ok</x:v>
      </x:c>
      <x:c r="J2039"/>
      <x:c r="K2039" t="n">
        <x:v>45477</x:v>
      </x:c>
      <x:c r="L2039" t="n">
        <x:v>45477</x:v>
      </x:c>
      <x:c r="M2039" t="str">
        <x:v>Gebucht</x:v>
      </x:c>
      <x:c r="N2039" t="str">
        <x:v>ISSUER</x:v>
      </x:c>
      <x:c r="O2039" t="str">
        <x:v>Lidl.sagt.Danke/Salzgitter</x:v>
      </x:c>
      <x:c r="P2039" t="str">
        <x:v>VISA Debitkartenumsatz vom 03.07.2024</x:v>
      </x:c>
      <x:c r="Q2039" t="str">
        <x:v>Ausgang</x:v>
      </x:c>
      <x:c r="R2039" t="str">
        <x:v>DE96120300009005290904</x:v>
      </x:c>
      <x:c r="S2039" t="n">
        <x:v>-101.95</x:v>
      </x:c>
      <x:c r="T2039" t="str">
        <x:v>"</x:v>
      </x:c>
      <x:c r="U2039" t="str">
        <x:v>"</x:v>
      </x:c>
      <x:c r="V2039" t="str">
        <x:v>484185666328913</x:v>
      </x:c>
    </x:row>
    <x:row r="2040">
      <x:c r="A2040" t="str">
        <x:v>RAW-IMP-20260516-FULLDRAFT-002023</x:v>
      </x:c>
      <x:c r="B2040" t="str">
        <x:v>IMP-20260516-FULLDRAFT</x:v>
      </x:c>
      <x:c r="C2040" t="str">
        <x:v>KTO001</x:v>
      </x:c>
      <x:c r="D2040" t="str">
        <x:v>16-05-2026_Umsatzliste_Girokonto_DE98120300001061711675.csv</x:v>
      </x:c>
      <x:c r="E2040" t="n">
        <x:v>46163</x:v>
      </x:c>
      <x:c r="F2040" t="n">
        <x:v>2023</x:v>
      </x:c>
      <x:c r="G2040" t="str">
        <x:v>0afb95dd350327088d3fdc799ce3a7277157477b5a019f35d6c78c406e95464e</x:v>
      </x:c>
      <x:c r="H2040" t="str">
        <x:v>neu</x:v>
      </x:c>
      <x:c r="I2040" t="str">
        <x:v>ok</x:v>
      </x:c>
      <x:c r="J2040"/>
      <x:c r="K2040" t="n">
        <x:v>45477</x:v>
      </x:c>
      <x:c r="L2040" t="n">
        <x:v>45477</x:v>
      </x:c>
      <x:c r="M2040" t="str">
        <x:v>Gebucht</x:v>
      </x:c>
      <x:c r="N2040" t="str">
        <x:v>ISSUER</x:v>
      </x:c>
      <x:c r="O2040" t="str">
        <x:v>APPLE.COM.BILL/ITUNES.COM</x:v>
      </x:c>
      <x:c r="P2040" t="str">
        <x:v>VISA Debitkartenumsatz vom 03.07.2024</x:v>
      </x:c>
      <x:c r="Q2040" t="str">
        <x:v>Ausgang</x:v>
      </x:c>
      <x:c r="R2040" t="str">
        <x:v>DE96120300009005290904</x:v>
      </x:c>
      <x:c r="S2040" t="n">
        <x:v>-0.99</x:v>
      </x:c>
      <x:c r="T2040" t="str">
        <x:v>"</x:v>
      </x:c>
      <x:c r="U2040" t="str">
        <x:v>"</x:v>
      </x:c>
      <x:c r="V2040" t="str">
        <x:v>484185083016549</x:v>
      </x:c>
    </x:row>
    <x:row r="2041">
      <x:c r="A2041" t="str">
        <x:v>RAW-IMP-20260516-FULLDRAFT-002024</x:v>
      </x:c>
      <x:c r="B2041" t="str">
        <x:v>IMP-20260516-FULLDRAFT</x:v>
      </x:c>
      <x:c r="C2041" t="str">
        <x:v>KTO001</x:v>
      </x:c>
      <x:c r="D2041" t="str">
        <x:v>16-05-2026_Umsatzliste_Girokonto_DE98120300001061711675.csv</x:v>
      </x:c>
      <x:c r="E2041" t="n">
        <x:v>46163</x:v>
      </x:c>
      <x:c r="F2041" t="n">
        <x:v>2024</x:v>
      </x:c>
      <x:c r="G2041" t="str">
        <x:v>76eff01bc57797f6a40176605862e21244fc7b86d23d7882db2c5a69ad34fcbd</x:v>
      </x:c>
      <x:c r="H2041" t="str">
        <x:v>neu</x:v>
      </x:c>
      <x:c r="I2041" t="str">
        <x:v>ok</x:v>
      </x:c>
      <x:c r="J2041"/>
      <x:c r="K2041" t="n">
        <x:v>45477</x:v>
      </x:c>
      <x:c r="L2041" t="n">
        <x:v>45477</x:v>
      </x:c>
      <x:c r="M2041" t="str">
        <x:v>Gebucht</x:v>
      </x:c>
      <x:c r="N2041" t="str">
        <x:v>Lars Kohlenberg                                                       Johannes-Wosnitza-Str. 8</x:v>
      </x:c>
      <x:c r="O2041" t="str">
        <x:v>Telekom Deutschland GmbH                                              Landgrabenweg 151</x:v>
      </x:c>
      <x:c r="P2041" t="str">
        <x:v>Festnetz Vertragskonto 4763666565 RG 7611978396/25.06.2024</x:v>
      </x:c>
      <x:c r="Q2041" t="str">
        <x:v>Ausgang</x:v>
      </x:c>
      <x:c r="R2041" t="str">
        <x:v>DE68700202700667302269</x:v>
      </x:c>
      <x:c r="S2041" t="n">
        <x:v>-61.94</x:v>
      </x:c>
      <x:c r="T2041" t="str">
        <x:v>DE93ZZZ00000078611</x:v>
      </x:c>
      <x:c r="U2041" t="str">
        <x:v>DE000201000200000000000000012966156</x:v>
      </x:c>
      <x:c r="V2041" t="str">
        <x:v>Zahlbeleg 374958200928</x:v>
      </x:c>
    </x:row>
    <x:row r="2042">
      <x:c r="A2042" t="str">
        <x:v>RAW-IMP-20260516-FULLDRAFT-002025</x:v>
      </x:c>
      <x:c r="B2042" t="str">
        <x:v>IMP-20260516-FULLDRAFT</x:v>
      </x:c>
      <x:c r="C2042" t="str">
        <x:v>KTO001</x:v>
      </x:c>
      <x:c r="D2042" t="str">
        <x:v>16-05-2026_Umsatzliste_Girokonto_DE98120300001061711675.csv</x:v>
      </x:c>
      <x:c r="E2042" t="n">
        <x:v>46163</x:v>
      </x:c>
      <x:c r="F2042" t="n">
        <x:v>2025</x:v>
      </x:c>
      <x:c r="G2042" t="str">
        <x:v>76603569367b2b2a51966c0e6ba02217a4d13bd5e981731a04ed788b08d1453c</x:v>
      </x:c>
      <x:c r="H2042" t="str">
        <x:v>neu</x:v>
      </x:c>
      <x:c r="I2042" t="str">
        <x:v>ok</x:v>
      </x:c>
      <x:c r="J2042"/>
      <x:c r="K2042" t="n">
        <x:v>45475</x:v>
      </x:c>
      <x:c r="L2042" t="n">
        <x:v>45475</x:v>
      </x:c>
      <x:c r="M2042" t="str">
        <x:v>Gebucht</x:v>
      </x:c>
      <x:c r="N2042" t="str">
        <x:v>ISSUER</x:v>
      </x:c>
      <x:c r="O2042" t="str">
        <x:v>PAYPAL..GALERIA.DE/20197797977</x:v>
      </x:c>
      <x:c r="P2042" t="str">
        <x:v>VISA Debitkartenumsatz vom 29.06.2024</x:v>
      </x:c>
      <x:c r="Q2042" t="str">
        <x:v>Ausgang</x:v>
      </x:c>
      <x:c r="R2042" t="str">
        <x:v>DE96120300009005290904</x:v>
      </x:c>
      <x:c r="S2042" t="n">
        <x:v>-194.36</x:v>
      </x:c>
      <x:c r="T2042" t="str">
        <x:v>"</x:v>
      </x:c>
      <x:c r="U2042" t="str">
        <x:v>"</x:v>
      </x:c>
      <x:c r="V2042" t="str">
        <x:v>464181441576309</x:v>
      </x:c>
    </x:row>
    <x:row r="2043">
      <x:c r="A2043" t="str">
        <x:v>RAW-IMP-20260516-FULLDRAFT-002026</x:v>
      </x:c>
      <x:c r="B2043" t="str">
        <x:v>IMP-20260516-FULLDRAFT</x:v>
      </x:c>
      <x:c r="C2043" t="str">
        <x:v>KTO001</x:v>
      </x:c>
      <x:c r="D2043" t="str">
        <x:v>16-05-2026_Umsatzliste_Girokonto_DE98120300001061711675.csv</x:v>
      </x:c>
      <x:c r="E2043" t="n">
        <x:v>46163</x:v>
      </x:c>
      <x:c r="F2043" t="n">
        <x:v>2026</x:v>
      </x:c>
      <x:c r="G2043" t="str">
        <x:v>2e14cbe5418e1cb62dfbf0a09897b71063c627025900c5476e52f47b079e34d0</x:v>
      </x:c>
      <x:c r="H2043" t="str">
        <x:v>neu</x:v>
      </x:c>
      <x:c r="I2043" t="str">
        <x:v>ok</x:v>
      </x:c>
      <x:c r="J2043"/>
      <x:c r="K2043" t="n">
        <x:v>45475</x:v>
      </x:c>
      <x:c r="L2043" t="n">
        <x:v>45475</x:v>
      </x:c>
      <x:c r="M2043" t="str">
        <x:v>Gebucht</x:v>
      </x:c>
      <x:c r="N2043" t="str">
        <x:v>ISSUER</x:v>
      </x:c>
      <x:c r="O2043" t="str">
        <x:v>REWE.Salzgitter.Ge/Salzgitter</x:v>
      </x:c>
      <x:c r="P2043" t="str">
        <x:v>VISA Debitkartenumsatz vom 01.07.2024</x:v>
      </x:c>
      <x:c r="Q2043" t="str">
        <x:v>Ausgang</x:v>
      </x:c>
      <x:c r="R2043" t="str">
        <x:v>DE96120300009005290904</x:v>
      </x:c>
      <x:c r="S2043" t="n">
        <x:v>-12.47</x:v>
      </x:c>
      <x:c r="T2043" t="str">
        <x:v>"</x:v>
      </x:c>
      <x:c r="U2043" t="str">
        <x:v>"</x:v>
      </x:c>
      <x:c r="V2043" t="str">
        <x:v>484183603226000</x:v>
      </x:c>
    </x:row>
    <x:row r="2044">
      <x:c r="A2044" t="str">
        <x:v>RAW-IMP-20260516-FULLDRAFT-002027</x:v>
      </x:c>
      <x:c r="B2044" t="str">
        <x:v>IMP-20260516-FULLDRAFT</x:v>
      </x:c>
      <x:c r="C2044" t="str">
        <x:v>KTO001</x:v>
      </x:c>
      <x:c r="D2044" t="str">
        <x:v>16-05-2026_Umsatzliste_Girokonto_DE98120300001061711675.csv</x:v>
      </x:c>
      <x:c r="E2044" t="n">
        <x:v>46163</x:v>
      </x:c>
      <x:c r="F2044" t="n">
        <x:v>2027</x:v>
      </x:c>
      <x:c r="G2044" t="str">
        <x:v>147a8dab70510bc05fc151e0b46b56b57feaf99aabd36714df3b35a0fb452118</x:v>
      </x:c>
      <x:c r="H2044" t="str">
        <x:v>neu</x:v>
      </x:c>
      <x:c r="I2044" t="str">
        <x:v>ok</x:v>
      </x:c>
      <x:c r="J2044"/>
      <x:c r="K2044" t="n">
        <x:v>45475</x:v>
      </x:c>
      <x:c r="L2044" t="n">
        <x:v>45475</x:v>
      </x:c>
      <x:c r="M2044" t="str">
        <x:v>Gebucht</x:v>
      </x:c>
      <x:c r="N2044" t="str">
        <x:v>Lars Kohlenberg</x:v>
      </x:c>
      <x:c r="O2044" t="str">
        <x:v>VHV Allg. Versicherung AG</x:v>
      </x:c>
      <x:c r="P2044" t="str">
        <x:v>VHV Versicherung HAFTPFLICHTVERSICHERUNG H 306-298548/0000 Abrechnung: 01.07.24 - 01.10.24</x:v>
      </x:c>
      <x:c r="Q2044" t="str">
        <x:v>Ausgang</x:v>
      </x:c>
      <x:c r="R2044" t="str">
        <x:v>DE65250500000101411551</x:v>
      </x:c>
      <x:c r="S2044" t="n">
        <x:v>-23.63</x:v>
      </x:c>
      <x:c r="T2044" t="str">
        <x:v>DE32VHV00000150810</x:v>
      </x:c>
      <x:c r="U2044" t="str">
        <x:v>0015012300010037</x:v>
      </x:c>
      <x:c r="V2044" t="str">
        <x:v>31323372374</x:v>
      </x:c>
    </x:row>
    <x:row r="2045">
      <x:c r="A2045" t="str">
        <x:v>RAW-IMP-20260516-FULLDRAFT-002028</x:v>
      </x:c>
      <x:c r="B2045" t="str">
        <x:v>IMP-20260516-FULLDRAFT</x:v>
      </x:c>
      <x:c r="C2045" t="str">
        <x:v>KTO001</x:v>
      </x:c>
      <x:c r="D2045" t="str">
        <x:v>16-05-2026_Umsatzliste_Girokonto_DE98120300001061711675.csv</x:v>
      </x:c>
      <x:c r="E2045" t="n">
        <x:v>46163</x:v>
      </x:c>
      <x:c r="F2045" t="n">
        <x:v>2028</x:v>
      </x:c>
      <x:c r="G2045" t="str">
        <x:v>af2a698882808e91818db8b43e2e5bf00c84a6136a205dccd008f3eea6c51280</x:v>
      </x:c>
      <x:c r="H2045" t="str">
        <x:v>neu</x:v>
      </x:c>
      <x:c r="I2045" t="str">
        <x:v>ok</x:v>
      </x:c>
      <x:c r="J2045"/>
      <x:c r="K2045" t="n">
        <x:v>45475</x:v>
      </x:c>
      <x:c r="L2045" t="n">
        <x:v>45475</x:v>
      </x:c>
      <x:c r="M2045" t="str">
        <x:v>Gebucht</x:v>
      </x:c>
      <x:c r="N2045" t="str">
        <x:v>Lars Kohlenberg</x:v>
      </x:c>
      <x:c r="O2045" t="str">
        <x:v>VHV Allg. Versicherung AG</x:v>
      </x:c>
      <x:c r="P2045" t="str">
        <x:v>VHV Versicherung UNFALLVERSICHERUNG U 013-072445/0000 Abrechnung: 01.07.24 - 01.08.24</x:v>
      </x:c>
      <x:c r="Q2045" t="str">
        <x:v>Ausgang</x:v>
      </x:c>
      <x:c r="R2045" t="str">
        <x:v>DE65250500000101411551</x:v>
      </x:c>
      <x:c r="S2045" t="n">
        <x:v>-11.96</x:v>
      </x:c>
      <x:c r="T2045" t="str">
        <x:v>DE32VHV00000150810</x:v>
      </x:c>
      <x:c r="U2045" t="str">
        <x:v>0015012300010039</x:v>
      </x:c>
      <x:c r="V2045" t="str">
        <x:v>31323372375</x:v>
      </x:c>
    </x:row>
    <x:row r="2046">
      <x:c r="A2046" t="str">
        <x:v>RAW-IMP-20260516-FULLDRAFT-002029</x:v>
      </x:c>
      <x:c r="B2046" t="str">
        <x:v>IMP-20260516-FULLDRAFT</x:v>
      </x:c>
      <x:c r="C2046" t="str">
        <x:v>KTO001</x:v>
      </x:c>
      <x:c r="D2046" t="str">
        <x:v>16-05-2026_Umsatzliste_Girokonto_DE98120300001061711675.csv</x:v>
      </x:c>
      <x:c r="E2046" t="n">
        <x:v>46163</x:v>
      </x:c>
      <x:c r="F2046" t="n">
        <x:v>2029</x:v>
      </x:c>
      <x:c r="G2046" t="str">
        <x:v>125a780e50b33563e71ca77920a23ba1091b99a65d36f15883a5502c346954d8</x:v>
      </x:c>
      <x:c r="H2046" t="str">
        <x:v>neu</x:v>
      </x:c>
      <x:c r="I2046" t="str">
        <x:v>ok</x:v>
      </x:c>
      <x:c r="J2046"/>
      <x:c r="K2046" t="n">
        <x:v>45475</x:v>
      </x:c>
      <x:c r="L2046" t="n">
        <x:v>45475</x:v>
      </x:c>
      <x:c r="M2046" t="str">
        <x:v>Gebucht</x:v>
      </x:c>
      <x:c r="N2046" t="str">
        <x:v>Lars Kohlenberg                                                       JohannesWosnitzaStr.</x:v>
      </x:c>
      <x:c r="O2046" t="str">
        <x:v>Adyen N.V.</x:v>
      </x:c>
      <x:c r="P2046" t="str">
        <x:v>GMX by LOTTO24 C98983063 T285679750779</x:v>
      </x:c>
      <x:c r="Q2046" t="str">
        <x:v>Ausgang</x:v>
      </x:c>
      <x:c r="R2046" t="str">
        <x:v>DE11120700700020000603</x:v>
      </x:c>
      <x:c r="S2046" t="n">
        <x:v>-18.14</x:v>
      </x:c>
      <x:c r="T2046" t="str">
        <x:v>NL48ZZZ342764500000</x:v>
      </x:c>
      <x:c r="U2046" t="str">
        <x:v>R372DKN5SSBXZP52</x:v>
      </x:c>
      <x:c r="V2046" t="str">
        <x:v>CN7FNP7FSCN2J8HH2C</x:v>
      </x:c>
    </x:row>
    <x:row r="2047">
      <x:c r="A2047" t="str">
        <x:v>RAW-IMP-20260516-FULLDRAFT-002030</x:v>
      </x:c>
      <x:c r="B2047" t="str">
        <x:v>IMP-20260516-FULLDRAFT</x:v>
      </x:c>
      <x:c r="C2047" t="str">
        <x:v>KTO001</x:v>
      </x:c>
      <x:c r="D2047" t="str">
        <x:v>16-05-2026_Umsatzliste_Girokonto_DE98120300001061711675.csv</x:v>
      </x:c>
      <x:c r="E2047" t="n">
        <x:v>46163</x:v>
      </x:c>
      <x:c r="F2047" t="n">
        <x:v>2030</x:v>
      </x:c>
      <x:c r="G2047" t="str">
        <x:v>112a7eb116741aca96583b214e244a28e0bf3eb964966e31aebcc43d465fdca2</x:v>
      </x:c>
      <x:c r="H2047" t="str">
        <x:v>neu</x:v>
      </x:c>
      <x:c r="I2047" t="str">
        <x:v>ok</x:v>
      </x:c>
      <x:c r="J2047"/>
      <x:c r="K2047" t="n">
        <x:v>45475</x:v>
      </x:c>
      <x:c r="L2047" t="n">
        <x:v>45475</x:v>
      </x:c>
      <x:c r="M2047" t="str">
        <x:v>Gebucht</x:v>
      </x:c>
      <x:c r="N2047" t="str">
        <x:v>Lars Kohlenberg                                                       Johannes-Wosnitza-Str. 8</x:v>
      </x:c>
      <x:c r="O2047" t="str">
        <x:v>FUNKE Medien Nieders.GmbH</x:v>
      </x:c>
      <x:c r="P2047" t="str">
        <x:v>SZ/00001050/VA/01.07.24-31.07.24/Rg-Nr.:6315666247/Kd-Nr:0053112791/Steuer:3.57</x:v>
      </x:c>
      <x:c r="Q2047" t="str">
        <x:v>Ausgang</x:v>
      </x:c>
      <x:c r="R2047" t="str">
        <x:v>DE67250500000000146910</x:v>
      </x:c>
      <x:c r="S2047" t="n">
        <x:v>-54.5</x:v>
      </x:c>
      <x:c r="T2047" t="str">
        <x:v>DE8850000000483288</x:v>
      </x:c>
      <x:c r="U2047" t="str">
        <x:v>0053112791-0500-01300001</x:v>
      </x:c>
      <x:c r="V2047" t="str">
        <x:v>033005988428</x:v>
      </x:c>
    </x:row>
    <x:row r="2048">
      <x:c r="A2048" t="str">
        <x:v>RAW-IMP-20260516-FULLDRAFT-002031</x:v>
      </x:c>
      <x:c r="B2048" t="str">
        <x:v>IMP-20260516-FULLDRAFT</x:v>
      </x:c>
      <x:c r="C2048" t="str">
        <x:v>KTO001</x:v>
      </x:c>
      <x:c r="D2048" t="str">
        <x:v>16-05-2026_Umsatzliste_Girokonto_DE98120300001061711675.csv</x:v>
      </x:c>
      <x:c r="E2048" t="n">
        <x:v>46163</x:v>
      </x:c>
      <x:c r="F2048" t="n">
        <x:v>2031</x:v>
      </x:c>
      <x:c r="G2048" t="str">
        <x:v>23b815b32861fb729bcfafb99751af0939118b5acfd1c3e407fb5bf6c67f3b57</x:v>
      </x:c>
      <x:c r="H2048" t="str">
        <x:v>neu</x:v>
      </x:c>
      <x:c r="I2048" t="str">
        <x:v>ok</x:v>
      </x:c>
      <x:c r="J2048"/>
      <x:c r="K2048" t="n">
        <x:v>45475</x:v>
      </x:c>
      <x:c r="L2048" t="n">
        <x:v>45475</x:v>
      </x:c>
      <x:c r="M2048" t="str">
        <x:v>Gebucht</x:v>
      </x:c>
      <x:c r="N2048" t="str">
        <x:v>KOHLENBERG, LARS</x:v>
      </x:c>
      <x:c r="O2048" t="str">
        <x:v>VPV-LEBENSVERSICHERUNGS-AG</x:v>
      </x:c>
      <x:c r="P2048" t="str">
        <x:v>VNR 301667726</x:v>
      </x:c>
      <x:c r="Q2048" t="str">
        <x:v>Ausgang</x:v>
      </x:c>
      <x:c r="R2048" t="str">
        <x:v>DE78600501010001166338</x:v>
      </x:c>
      <x:c r="S2048" t="n">
        <x:v>-53.3</x:v>
      </x:c>
      <x:c r="T2048" t="str">
        <x:v>DE96LAG00000064686</x:v>
      </x:c>
      <x:c r="U2048" t="str">
        <x:v>ML700120510</x:v>
      </x:c>
      <x:c r="V2048" t="str">
        <x:v>240701 449360521 ML700120510</x:v>
      </x:c>
    </x:row>
    <x:row r="2049">
      <x:c r="A2049" t="str">
        <x:v>RAW-IMP-20260516-FULLDRAFT-002032</x:v>
      </x:c>
      <x:c r="B2049" t="str">
        <x:v>IMP-20260516-FULLDRAFT</x:v>
      </x:c>
      <x:c r="C2049" t="str">
        <x:v>KTO001</x:v>
      </x:c>
      <x:c r="D2049" t="str">
        <x:v>16-05-2026_Umsatzliste_Girokonto_DE98120300001061711675.csv</x:v>
      </x:c>
      <x:c r="E2049" t="n">
        <x:v>46163</x:v>
      </x:c>
      <x:c r="F2049" t="n">
        <x:v>2032</x:v>
      </x:c>
      <x:c r="G2049" t="str">
        <x:v>b6a2677ec531281643b5a58cd3d7108b1d4586c86a65b153065ae7d30d4c779a</x:v>
      </x:c>
      <x:c r="H2049" t="str">
        <x:v>neu</x:v>
      </x:c>
      <x:c r="I2049" t="str">
        <x:v>ok</x:v>
      </x:c>
      <x:c r="J2049"/>
      <x:c r="K2049" t="n">
        <x:v>45474</x:v>
      </x:c>
      <x:c r="L2049" t="n">
        <x:v>45474</x:v>
      </x:c>
      <x:c r="M2049" t="str">
        <x:v>Gebucht</x:v>
      </x:c>
      <x:c r="N2049" t="str">
        <x:v>ISSUER</x:v>
      </x:c>
      <x:c r="O2049" t="str">
        <x:v>AMZN.Mktp.DE.H04DJ3EW5/800.279.6620</x:v>
      </x:c>
      <x:c r="P2049" t="str">
        <x:v>VISA Debitkartenumsatz vom 30.06.2024</x:v>
      </x:c>
      <x:c r="Q2049" t="str">
        <x:v>Ausgang</x:v>
      </x:c>
      <x:c r="R2049" t="str">
        <x:v>DE96120300009005290904</x:v>
      </x:c>
      <x:c r="S2049" t="n">
        <x:v>-133.66</x:v>
      </x:c>
      <x:c r="T2049" t="str">
        <x:v>"</x:v>
      </x:c>
      <x:c r="U2049" t="str">
        <x:v>"</x:v>
      </x:c>
      <x:c r="V2049" t="str">
        <x:v>484182512523165</x:v>
      </x:c>
    </x:row>
    <x:row r="2050">
      <x:c r="A2050" t="str">
        <x:v>RAW-IMP-20260516-FULLDRAFT-002033</x:v>
      </x:c>
      <x:c r="B2050" t="str">
        <x:v>IMP-20260516-FULLDRAFT</x:v>
      </x:c>
      <x:c r="C2050" t="str">
        <x:v>KTO001</x:v>
      </x:c>
      <x:c r="D2050" t="str">
        <x:v>16-05-2026_Umsatzliste_Girokonto_DE98120300001061711675.csv</x:v>
      </x:c>
      <x:c r="E2050" t="n">
        <x:v>46163</x:v>
      </x:c>
      <x:c r="F2050" t="n">
        <x:v>2033</x:v>
      </x:c>
      <x:c r="G2050" t="str">
        <x:v>2af94bcaed07957328e94b402bb3fa4cd9edf069a59789992bb237c811a0fb67</x:v>
      </x:c>
      <x:c r="H2050" t="str">
        <x:v>neu</x:v>
      </x:c>
      <x:c r="I2050" t="str">
        <x:v>ok</x:v>
      </x:c>
      <x:c r="J2050"/>
      <x:c r="K2050" t="n">
        <x:v>45474</x:v>
      </x:c>
      <x:c r="L2050" t="n">
        <x:v>45474</x:v>
      </x:c>
      <x:c r="M2050" t="str">
        <x:v>Gebucht</x:v>
      </x:c>
      <x:c r="N2050" t="str">
        <x:v>ISSUER</x:v>
      </x:c>
      <x:c r="O2050" t="str">
        <x:v>LOEWENBAECKER.SCHAPER/SALZGITTER</x:v>
      </x:c>
      <x:c r="P2050" t="str">
        <x:v>VISA Debitkartenumsatz vom 29.06.2024</x:v>
      </x:c>
      <x:c r="Q2050" t="str">
        <x:v>Ausgang</x:v>
      </x:c>
      <x:c r="R2050" t="str">
        <x:v>DE96120300009005290904</x:v>
      </x:c>
      <x:c r="S2050" t="n">
        <x:v>-7.35</x:v>
      </x:c>
      <x:c r="T2050" t="str">
        <x:v>"</x:v>
      </x:c>
      <x:c r="U2050" t="str">
        <x:v>"</x:v>
      </x:c>
      <x:c r="V2050" t="str">
        <x:v>484181330605960</x:v>
      </x:c>
    </x:row>
    <x:row r="2051">
      <x:c r="A2051" t="str">
        <x:v>RAW-IMP-20260516-FULLDRAFT-002034</x:v>
      </x:c>
      <x:c r="B2051" t="str">
        <x:v>IMP-20260516-FULLDRAFT</x:v>
      </x:c>
      <x:c r="C2051" t="str">
        <x:v>KTO001</x:v>
      </x:c>
      <x:c r="D2051" t="str">
        <x:v>16-05-2026_Umsatzliste_Girokonto_DE98120300001061711675.csv</x:v>
      </x:c>
      <x:c r="E2051" t="n">
        <x:v>46163</x:v>
      </x:c>
      <x:c r="F2051" t="n">
        <x:v>2034</x:v>
      </x:c>
      <x:c r="G2051" t="str">
        <x:v>c4602268c48ba54470a7dce5d765e4c6e9d2410f14b390e6f018434f1f3217d3</x:v>
      </x:c>
      <x:c r="H2051" t="str">
        <x:v>neu</x:v>
      </x:c>
      <x:c r="I2051" t="str">
        <x:v>ok</x:v>
      </x:c>
      <x:c r="J2051"/>
      <x:c r="K2051" t="n">
        <x:v>45474</x:v>
      </x:c>
      <x:c r="L2051" t="n">
        <x:v>45474</x:v>
      </x:c>
      <x:c r="M2051" t="str">
        <x:v>Gebucht</x:v>
      </x:c>
      <x:c r="N2051" t="str">
        <x:v>WILLI KOHLENBERG</x:v>
      </x:c>
      <x:c r="O2051" t="str">
        <x:v>LARS KOHLENBERG</x:v>
      </x:c>
      <x:c r="P2051" t="str">
        <x:v>MIETE 2/3 HAUS</x:v>
      </x:c>
      <x:c r="Q2051" t="str">
        <x:v>Eingang</x:v>
      </x:c>
      <x:c r="R2051" t="str">
        <x:v>DE84270800600651520400</x:v>
      </x:c>
      <x:c r="S2051" t="n">
        <x:v>750</x:v>
      </x:c>
      <x:c r="T2051" t="str">
        <x:v>"</x:v>
      </x:c>
      <x:c r="U2051" t="str">
        <x:v>"</x:v>
      </x:c>
      <x:c r="V2051" t="str">
        <x:v>"</x:v>
      </x:c>
    </x:row>
    <x:row r="2052">
      <x:c r="A2052" t="str">
        <x:v>RAW-IMP-20260516-FULLDRAFT-002035</x:v>
      </x:c>
      <x:c r="B2052" t="str">
        <x:v>IMP-20260516-FULLDRAFT</x:v>
      </x:c>
      <x:c r="C2052" t="str">
        <x:v>KTO001</x:v>
      </x:c>
      <x:c r="D2052" t="str">
        <x:v>16-05-2026_Umsatzliste_Girokonto_DE98120300001061711675.csv</x:v>
      </x:c>
      <x:c r="E2052" t="n">
        <x:v>46163</x:v>
      </x:c>
      <x:c r="F2052" t="n">
        <x:v>2035</x:v>
      </x:c>
      <x:c r="G2052" t="str">
        <x:v>a6c4043d0119a71d70c0096c89da79d7085e4573c43d120113ac8ba4ee827450</x:v>
      </x:c>
      <x:c r="H2052" t="str">
        <x:v>neu</x:v>
      </x:c>
      <x:c r="I2052" t="str">
        <x:v>ok</x:v>
      </x:c>
      <x:c r="J2052"/>
      <x:c r="K2052" t="n">
        <x:v>45474</x:v>
      </x:c>
      <x:c r="L2052" t="n">
        <x:v>45474</x:v>
      </x:c>
      <x:c r="M2052" t="str">
        <x:v>Gebucht</x:v>
      </x:c>
      <x:c r="N2052" t="str">
        <x:v>ISSUER</x:v>
      </x:c>
      <x:c r="O2052" t="str">
        <x:v>REWE.Salzgitter.Ge/Salzgitter</x:v>
      </x:c>
      <x:c r="P2052" t="str">
        <x:v>VISA Debitkartenumsatz vom 29.06.2024</x:v>
      </x:c>
      <x:c r="Q2052" t="str">
        <x:v>Ausgang</x:v>
      </x:c>
      <x:c r="R2052" t="str">
        <x:v>DE96120300009005290904</x:v>
      </x:c>
      <x:c r="S2052" t="n">
        <x:v>-111.61</x:v>
      </x:c>
      <x:c r="T2052" t="str">
        <x:v>"</x:v>
      </x:c>
      <x:c r="U2052" t="str">
        <x:v>"</x:v>
      </x:c>
      <x:c r="V2052" t="str">
        <x:v>484181401184919</x:v>
      </x:c>
    </x:row>
    <x:row r="2053">
      <x:c r="A2053" t="str">
        <x:v>RAW-IMP-20260516-FULLDRAFT-002036</x:v>
      </x:c>
      <x:c r="B2053" t="str">
        <x:v>IMP-20260516-FULLDRAFT</x:v>
      </x:c>
      <x:c r="C2053" t="str">
        <x:v>KTO001</x:v>
      </x:c>
      <x:c r="D2053" t="str">
        <x:v>16-05-2026_Umsatzliste_Girokonto_DE98120300001061711675.csv</x:v>
      </x:c>
      <x:c r="E2053" t="n">
        <x:v>46163</x:v>
      </x:c>
      <x:c r="F2053" t="n">
        <x:v>2036</x:v>
      </x:c>
      <x:c r="G2053" t="str">
        <x:v>44dc25e7d012e74189874012dc5906ee333b0012085e4447660ebceda5c1fe35</x:v>
      </x:c>
      <x:c r="H2053" t="str">
        <x:v>neu</x:v>
      </x:c>
      <x:c r="I2053" t="str">
        <x:v>ok</x:v>
      </x:c>
      <x:c r="J2053"/>
      <x:c r="K2053" t="n">
        <x:v>45474</x:v>
      </x:c>
      <x:c r="L2053" t="n">
        <x:v>45474</x:v>
      </x:c>
      <x:c r="M2053" t="str">
        <x:v>Gebucht</x:v>
      </x:c>
      <x:c r="N2053" t="str">
        <x:v>KOHLENBERG, LARS</x:v>
      </x:c>
      <x:c r="O2053" t="str">
        <x:v>Lars und Katrin Kohlenberg</x:v>
      </x:c>
      <x:c r="P2053" t="str">
        <x:v>10450905 VERMOEGENSDEPOT SPARPLAN WKN A1C9ED</x:v>
      </x:c>
      <x:c r="Q2053" t="str">
        <x:v>Ausgang</x:v>
      </x:c>
      <x:c r="R2053" t="str">
        <x:v>DE27672300000506966162</x:v>
      </x:c>
      <x:c r="S2053" t="n">
        <x:v>-100</x:v>
      </x:c>
      <x:c r="T2053" t="str">
        <x:v>DE53ZZZ00000010849</x:v>
      </x:c>
      <x:c r="U2053" t="str">
        <x:v>WPBF0000180845</x:v>
      </x:c>
      <x:c r="V2053" t="str">
        <x:v>SPARSP 14698413</x:v>
      </x:c>
    </x:row>
    <x:row r="2054">
      <x:c r="A2054" t="str">
        <x:v>RAW-IMP-20260516-FULLDRAFT-002037</x:v>
      </x:c>
      <x:c r="B2054" t="str">
        <x:v>IMP-20260516-FULLDRAFT</x:v>
      </x:c>
      <x:c r="C2054" t="str">
        <x:v>KTO001</x:v>
      </x:c>
      <x:c r="D2054" t="str">
        <x:v>16-05-2026_Umsatzliste_Girokonto_DE98120300001061711675.csv</x:v>
      </x:c>
      <x:c r="E2054" t="n">
        <x:v>46163</x:v>
      </x:c>
      <x:c r="F2054" t="n">
        <x:v>2037</x:v>
      </x:c>
      <x:c r="G2054" t="str">
        <x:v>55a2cc9d25f2d5720f4a7d7c8796d91f311b8c9103b6815f29bad667f5f3ffe0</x:v>
      </x:c>
      <x:c r="H2054" t="str">
        <x:v>neu</x:v>
      </x:c>
      <x:c r="I2054" t="str">
        <x:v>ok</x:v>
      </x:c>
      <x:c r="J2054"/>
      <x:c r="K2054" t="n">
        <x:v>45474</x:v>
      </x:c>
      <x:c r="L2054" t="n">
        <x:v>45474</x:v>
      </x:c>
      <x:c r="M2054" t="str">
        <x:v>Gebucht</x:v>
      </x:c>
      <x:c r="N2054" t="str">
        <x:v>Lars Kohlenberg</x:v>
      </x:c>
      <x:c r="O2054" t="str">
        <x:v>KATRIN KOHLENBERG</x:v>
      </x:c>
      <x:c r="P2054" t="str">
        <x:v>Apanage</x:v>
      </x:c>
      <x:c r="Q2054" t="str">
        <x:v>Ausgang</x:v>
      </x:c>
      <x:c r="R2054" t="str">
        <x:v>DE32270727240307336800</x:v>
      </x:c>
      <x:c r="S2054" t="n">
        <x:v>-1800</x:v>
      </x:c>
      <x:c r="T2054" t="str">
        <x:v>"</x:v>
      </x:c>
      <x:c r="U2054" t="str">
        <x:v>"</x:v>
      </x:c>
      <x:c r="V2054" t="str">
        <x:v>"</x:v>
      </x:c>
    </x:row>
    <x:row r="2055">
      <x:c r="A2055" t="str">
        <x:v>RAW-IMP-20260516-FULLDRAFT-002038</x:v>
      </x:c>
      <x:c r="B2055" t="str">
        <x:v>IMP-20260516-FULLDRAFT</x:v>
      </x:c>
      <x:c r="C2055" t="str">
        <x:v>KTO001</x:v>
      </x:c>
      <x:c r="D2055" t="str">
        <x:v>16-05-2026_Umsatzliste_Girokonto_DE98120300001061711675.csv</x:v>
      </x:c>
      <x:c r="E2055" t="n">
        <x:v>46163</x:v>
      </x:c>
      <x:c r="F2055" t="n">
        <x:v>2038</x:v>
      </x:c>
      <x:c r="G2055" t="str">
        <x:v>989e27b9df6b487fc3c0aa8ae480981bccc830a76dd7e56f0eb6eaede6137e41</x:v>
      </x:c>
      <x:c r="H2055" t="str">
        <x:v>neu</x:v>
      </x:c>
      <x:c r="I2055" t="str">
        <x:v>ok</x:v>
      </x:c>
      <x:c r="J2055"/>
      <x:c r="K2055" t="n">
        <x:v>45474</x:v>
      </x:c>
      <x:c r="L2055" t="n">
        <x:v>45474</x:v>
      </x:c>
      <x:c r="M2055" t="str">
        <x:v>Gebucht</x:v>
      </x:c>
      <x:c r="N2055" t="str">
        <x:v>Kohlenberg, Katrin</x:v>
      </x:c>
      <x:c r="O2055" t="str">
        <x:v>WEVG Salzgitter GmbH + Co. KG</x:v>
      </x:c>
      <x:c r="P2055" t="str">
        <x:v>Kd-Nr 79288 Einz 30.06.24 41710/352.00/Johannes-Wosni 100833/70.00/Johannes-Wosni</x:v>
      </x:c>
      <x:c r="Q2055" t="str">
        <x:v>Ausgang</x:v>
      </x:c>
      <x:c r="R2055" t="str">
        <x:v>DE19300700100394127500</x:v>
      </x:c>
      <x:c r="S2055" t="n">
        <x:v>-422</x:v>
      </x:c>
      <x:c r="T2055" t="str">
        <x:v>DE83WEV00000032716</x:v>
      </x:c>
      <x:c r="U2055" t="str">
        <x:v>WEVG0000079288G1000178580</x:v>
      </x:c>
      <x:c r="V2055" t="str">
        <x:v>13049001</x:v>
      </x:c>
    </x:row>
    <x:row r="2056">
      <x:c r="A2056" t="str">
        <x:v>RAW-IMP-20260516-FULLDRAFT-002039</x:v>
      </x:c>
      <x:c r="B2056" t="str">
        <x:v>IMP-20260516-FULLDRAFT</x:v>
      </x:c>
      <x:c r="C2056" t="str">
        <x:v>KTO001</x:v>
      </x:c>
      <x:c r="D2056" t="str">
        <x:v>16-05-2026_Umsatzliste_Girokonto_DE98120300001061711675.csv</x:v>
      </x:c>
      <x:c r="E2056" t="n">
        <x:v>46163</x:v>
      </x:c>
      <x:c r="F2056" t="n">
        <x:v>2039</x:v>
      </x:c>
      <x:c r="G2056" t="str">
        <x:v>8cd737e20751b448c5e17f42b6c17c9b785513cac341f531e5c467068103898a</x:v>
      </x:c>
      <x:c r="H2056" t="str">
        <x:v>neu</x:v>
      </x:c>
      <x:c r="I2056" t="str">
        <x:v>ok</x:v>
      </x:c>
      <x:c r="J2056"/>
      <x:c r="K2056" t="n">
        <x:v>45474</x:v>
      </x:c>
      <x:c r="L2056" t="n">
        <x:v>45474</x:v>
      </x:c>
      <x:c r="M2056" t="str">
        <x:v>Gebucht</x:v>
      </x:c>
      <x:c r="N2056" t="str">
        <x:v>Lars Kohlenberg                                                       Johannes-Wosnitza-Str. 8 38229 Salzgitter</x:v>
      </x:c>
      <x:c r="O2056" t="str">
        <x:v>Heidelberger Lebensversicherung AG                                    Im Breitspiel 2-4, 69126 Heidelberg</x:v>
      </x:c>
      <x:c r="P2056" t="str">
        <x:v>60012826 , 07.24</x:v>
      </x:c>
      <x:c r="Q2056" t="str">
        <x:v>Ausgang</x:v>
      </x:c>
      <x:c r="R2056" t="str">
        <x:v>DE38600501010002662604</x:v>
      </x:c>
      <x:c r="S2056" t="n">
        <x:v>-452.71</x:v>
      </x:c>
      <x:c r="T2056" t="str">
        <x:v>DE31HLE00000032682</x:v>
      </x:c>
      <x:c r="U2056" t="str">
        <x:v>11-140000075706</x:v>
      </x:c>
      <x:c r="V2056" t="str">
        <x:v>158035532996</x:v>
      </x:c>
    </x:row>
    <x:row r="2057">
      <x:c r="A2057" t="str">
        <x:v>RAW-IMP-20260516-FULLDRAFT-002040</x:v>
      </x:c>
      <x:c r="B2057" t="str">
        <x:v>IMP-20260516-FULLDRAFT</x:v>
      </x:c>
      <x:c r="C2057" t="str">
        <x:v>KTO001</x:v>
      </x:c>
      <x:c r="D2057" t="str">
        <x:v>16-05-2026_Umsatzliste_Girokonto_DE98120300001061711675.csv</x:v>
      </x:c>
      <x:c r="E2057" t="n">
        <x:v>46163</x:v>
      </x:c>
      <x:c r="F2057" t="n">
        <x:v>2040</x:v>
      </x:c>
      <x:c r="G2057" t="str">
        <x:v>6a88777ce516fa4340ba06568e624e5fb01380060d1aa84a31f0a22b0fe5ef4b</x:v>
      </x:c>
      <x:c r="H2057" t="str">
        <x:v>neu</x:v>
      </x:c>
      <x:c r="I2057" t="str">
        <x:v>ok</x:v>
      </x:c>
      <x:c r="J2057"/>
      <x:c r="K2057" t="n">
        <x:v>45474</x:v>
      </x:c>
      <x:c r="L2057" t="n">
        <x:v>45474</x:v>
      </x:c>
      <x:c r="M2057" t="str">
        <x:v>Gebucht</x:v>
      </x:c>
      <x:c r="N2057" t="str">
        <x:v>Lars Kohlenberg</x:v>
      </x:c>
      <x:c r="O2057" t="str">
        <x:v>LARS KOHLENBERG</x:v>
      </x:c>
      <x:c r="P2057" t="str">
        <x:v>Sparrate 650,- + 750 EUR Mieteinnahmen</x:v>
      </x:c>
      <x:c r="Q2057" t="str">
        <x:v>Ausgang</x:v>
      </x:c>
      <x:c r="R2057" t="str">
        <x:v>DE91270200001510365800</x:v>
      </x:c>
      <x:c r="S2057" t="n">
        <x:v>-1400</x:v>
      </x:c>
      <x:c r="T2057" t="str">
        <x:v>"</x:v>
      </x:c>
      <x:c r="U2057" t="str">
        <x:v>"</x:v>
      </x:c>
      <x:c r="V2057" t="str">
        <x:v>"</x:v>
      </x:c>
    </x:row>
    <x:row r="2058">
      <x:c r="A2058" t="str">
        <x:v>RAW-IMP-20260516-FULLDRAFT-002041</x:v>
      </x:c>
      <x:c r="B2058" t="str">
        <x:v>IMP-20260516-FULLDRAFT</x:v>
      </x:c>
      <x:c r="C2058" t="str">
        <x:v>KTO001</x:v>
      </x:c>
      <x:c r="D2058" t="str">
        <x:v>16-05-2026_Umsatzliste_Girokonto_DE98120300001061711675.csv</x:v>
      </x:c>
      <x:c r="E2058" t="n">
        <x:v>46163</x:v>
      </x:c>
      <x:c r="F2058" t="n">
        <x:v>2041</x:v>
      </x:c>
      <x:c r="G2058" t="str">
        <x:v>4a4b23f52f5d341e9c9ef06a7ef89cd94f3785f7fc46fc67d22f5e4394f06692</x:v>
      </x:c>
      <x:c r="H2058" t="str">
        <x:v>neu</x:v>
      </x:c>
      <x:c r="I2058" t="str">
        <x:v>ok</x:v>
      </x:c>
      <x:c r="J2058"/>
      <x:c r="K2058" t="n">
        <x:v>45474</x:v>
      </x:c>
      <x:c r="L2058" t="n">
        <x:v>45474</x:v>
      </x:c>
      <x:c r="M2058" t="str">
        <x:v>Gebucht</x:v>
      </x:c>
      <x:c r="N2058" t="str">
        <x:v>KOHLENBERG LARS</x:v>
      </x:c>
      <x:c r="O2058" t="str">
        <x:v>VOLKSWOHL BUND Lebensversicherung a.G.</x:v>
      </x:c>
      <x:c r="P2058" t="str">
        <x:v>009893595 LA000750566/ 009893595 LEBEN 66,15</x:v>
      </x:c>
      <x:c r="Q2058" t="str">
        <x:v>Ausgang</x:v>
      </x:c>
      <x:c r="R2058" t="str">
        <x:v>DE76440400370361155500</x:v>
      </x:c>
      <x:c r="S2058" t="n">
        <x:v>-66.15</x:v>
      </x:c>
      <x:c r="T2058" t="str">
        <x:v>DE13ZZZ00000141064</x:v>
      </x:c>
      <x:c r="U2058" t="str">
        <x:v>LA000750566</x:v>
      </x:c>
      <x:c r="V2058" t="str">
        <x:v>009893595/NVMA.G1085-342324</x:v>
      </x:c>
    </x:row>
    <x:row r="2059">
      <x:c r="A2059" t="str">
        <x:v>RAW-IMP-20260516-FULLDRAFT-002042</x:v>
      </x:c>
      <x:c r="B2059" t="str">
        <x:v>IMP-20260516-FULLDRAFT</x:v>
      </x:c>
      <x:c r="C2059" t="str">
        <x:v>KTO001</x:v>
      </x:c>
      <x:c r="D2059" t="str">
        <x:v>16-05-2026_Umsatzliste_Girokonto_DE98120300001061711675.csv</x:v>
      </x:c>
      <x:c r="E2059" t="n">
        <x:v>46163</x:v>
      </x:c>
      <x:c r="F2059" t="n">
        <x:v>2042</x:v>
      </x:c>
      <x:c r="G2059" t="str">
        <x:v>73f9ee76286dce50d86a5c9dae453bd223f610f94968f6df7eaada05a0385bb1</x:v>
      </x:c>
      <x:c r="H2059" t="str">
        <x:v>neu</x:v>
      </x:c>
      <x:c r="I2059" t="str">
        <x:v>ok</x:v>
      </x:c>
      <x:c r="J2059"/>
      <x:c r="K2059" t="n">
        <x:v>45474</x:v>
      </x:c>
      <x:c r="L2059" t="n">
        <x:v>45474</x:v>
      </x:c>
      <x:c r="M2059" t="str">
        <x:v>Gebucht</x:v>
      </x:c>
      <x:c r="N2059" t="str">
        <x:v>Kohlenberg, Lars</x:v>
      </x:c>
      <x:c r="O2059" t="str">
        <x:v>IDEAL Lebensversicherung aG</x:v>
      </x:c>
      <x:c r="P2059" t="str">
        <x:v>2011216280009 LV 071</x:v>
      </x:c>
      <x:c r="Q2059" t="str">
        <x:v>Ausgang</x:v>
      </x:c>
      <x:c r="R2059" t="str">
        <x:v>DE36100700000460303100</x:v>
      </x:c>
      <x:c r="S2059" t="n">
        <x:v>-97.12</x:v>
      </x:c>
      <x:c r="T2059" t="str">
        <x:v>DE40ZZZ00000559230</x:v>
      </x:c>
      <x:c r="U2059" t="str">
        <x:v>2011216280009-001</x:v>
      </x:c>
      <x:c r="V2059" t="str">
        <x:v>GL,KL,PD-20240701-1-2011216280009-0</x:v>
      </x:c>
    </x:row>
    <x:row r="2060">
      <x:c r="A2060" t="str">
        <x:v>RAW-IMP-20260516-FULLDRAFT-002043</x:v>
      </x:c>
      <x:c r="B2060" t="str">
        <x:v>IMP-20260516-FULLDRAFT</x:v>
      </x:c>
      <x:c r="C2060" t="str">
        <x:v>KTO001</x:v>
      </x:c>
      <x:c r="D2060" t="str">
        <x:v>16-05-2026_Umsatzliste_Girokonto_DE98120300001061711675.csv</x:v>
      </x:c>
      <x:c r="E2060" t="n">
        <x:v>46163</x:v>
      </x:c>
      <x:c r="F2060" t="n">
        <x:v>2043</x:v>
      </x:c>
      <x:c r="G2060" t="str">
        <x:v>017d191e1093eacb744baf5a835e34f9b032b3dae8ab33e6e52b79a3953409f4</x:v>
      </x:c>
      <x:c r="H2060" t="str">
        <x:v>neu</x:v>
      </x:c>
      <x:c r="I2060" t="str">
        <x:v>ok</x:v>
      </x:c>
      <x:c r="J2060"/>
      <x:c r="K2060" t="n">
        <x:v>45474</x:v>
      </x:c>
      <x:c r="L2060" t="n">
        <x:v>45474</x:v>
      </x:c>
      <x:c r="M2060" t="str">
        <x:v>Gebucht</x:v>
      </x:c>
      <x:c r="N2060" t="str">
        <x:v>Kohlenberg Lars</x:v>
      </x:c>
      <x:c r="O2060" t="str">
        <x:v>Allianz Lebensvers. AG</x:v>
      </x:c>
      <x:c r="P2060" t="str">
        <x:v>330296196 0724</x:v>
      </x:c>
      <x:c r="Q2060" t="str">
        <x:v>Ausgang</x:v>
      </x:c>
      <x:c r="R2060" t="str">
        <x:v>DE77700202700062328142</x:v>
      </x:c>
      <x:c r="S2060" t="n">
        <x:v>-162.17</x:v>
      </x:c>
      <x:c r="T2060" t="str">
        <x:v>DE07ZZZ00000063475</x:v>
      </x:c>
      <x:c r="U2060" t="str">
        <x:v>LA01L312001066775296</x:v>
      </x:c>
      <x:c r="V2060" t="str">
        <x:v>A7024173-000330296196014824958933</x:v>
      </x:c>
    </x:row>
    <x:row r="2061">
      <x:c r="A2061" t="str">
        <x:v>RAW-IMP-20260516-FULLDRAFT-002044</x:v>
      </x:c>
      <x:c r="B2061" t="str">
        <x:v>IMP-20260516-FULLDRAFT</x:v>
      </x:c>
      <x:c r="C2061" t="str">
        <x:v>KTO001</x:v>
      </x:c>
      <x:c r="D2061" t="str">
        <x:v>16-05-2026_Umsatzliste_Girokonto_DE98120300001061711675.csv</x:v>
      </x:c>
      <x:c r="E2061" t="n">
        <x:v>46163</x:v>
      </x:c>
      <x:c r="F2061" t="n">
        <x:v>2044</x:v>
      </x:c>
      <x:c r="G2061" t="str">
        <x:v>b4d716f9f6df5410cdf229ef27fb7187b73700e3939b3213297b2e3af6e177ba</x:v>
      </x:c>
      <x:c r="H2061" t="str">
        <x:v>neu</x:v>
      </x:c>
      <x:c r="I2061" t="str">
        <x:v>ok</x:v>
      </x:c>
      <x:c r="J2061"/>
      <x:c r="K2061" t="n">
        <x:v>45474</x:v>
      </x:c>
      <x:c r="L2061" t="n">
        <x:v>45474</x:v>
      </x:c>
      <x:c r="M2061" t="str">
        <x:v>Gebucht</x:v>
      </x:c>
      <x:c r="N2061" t="str">
        <x:v>Lars Kohlenberg</x:v>
      </x:c>
      <x:c r="O2061" t="str">
        <x:v>LARS KOHLENBERG</x:v>
      </x:c>
      <x:c r="P2061" t="str">
        <x:v>Zins und Tilgung zu 2/3</x:v>
      </x:c>
      <x:c r="Q2061" t="str">
        <x:v>Ausgang</x:v>
      </x:c>
      <x:c r="R2061" t="str">
        <x:v>DE33269910668923736000</x:v>
      </x:c>
      <x:c r="S2061" t="n">
        <x:v>-1153.94</x:v>
      </x:c>
      <x:c r="T2061" t="str">
        <x:v>"</x:v>
      </x:c>
      <x:c r="U2061" t="str">
        <x:v>"</x:v>
      </x:c>
      <x:c r="V2061" t="str">
        <x:v>"</x:v>
      </x:c>
    </x:row>
    <x:row r="2062">
      <x:c r="A2062" t="str">
        <x:v>RAW-IMP-20260516-FULLDRAFT-002045</x:v>
      </x:c>
      <x:c r="B2062" t="str">
        <x:v>IMP-20260516-FULLDRAFT</x:v>
      </x:c>
      <x:c r="C2062" t="str">
        <x:v>KTO001</x:v>
      </x:c>
      <x:c r="D2062" t="str">
        <x:v>16-05-2026_Umsatzliste_Girokonto_DE98120300001061711675.csv</x:v>
      </x:c>
      <x:c r="E2062" t="n">
        <x:v>46163</x:v>
      </x:c>
      <x:c r="F2062" t="n">
        <x:v>2045</x:v>
      </x:c>
      <x:c r="G2062" t="str">
        <x:v>ca8dda619270a38cd18522713642467854f57ab388f9aa4599deb253ae72d58b</x:v>
      </x:c>
      <x:c r="H2062" t="str">
        <x:v>neu</x:v>
      </x:c>
      <x:c r="I2062" t="str">
        <x:v>ok</x:v>
      </x:c>
      <x:c r="J2062"/>
      <x:c r="K2062" t="n">
        <x:v>45474</x:v>
      </x:c>
      <x:c r="L2062" t="n">
        <x:v>45474</x:v>
      </x:c>
      <x:c r="M2062" t="str">
        <x:v>Gebucht</x:v>
      </x:c>
      <x:c r="N2062" t="str">
        <x:v>DKB AG</x:v>
      </x:c>
      <x:c r="O2062" t="str">
        <x:v>DKB AG</x:v>
      </x:c>
      <x:c r="P2062" t="str">
        <x:v>Abrechnung 28.06.2024 siehe Anlage Abrechnung 28.06.2024 Information zur Abrechnung Kontostand am 28.06.2024                                       10.544,05 + Abrechnungszeitraum vom 01.04.2024 bis 30.06.2024 Abrechnung 30.06.2024                                                0,00+ Sollzinssätze am 30.06.2024  9,9000 v.H. für eingeräumte Kontoüberziehung (aktuell eingeräumte Kontoüberziehung       2.000,00)  9,9000 v.H. für geduldete Kontoüberziehung über die eingeräumte Kontoüberziehung hinaus Kontostand/Rechnungsabschluss am 28.06.2024                    10.544,05 + Rechnungsnummer: 20240628-BY111-00199463068</x:v>
      </x:c>
      <x:c r="Q2062" t="str">
        <x:v>Eingang</x:v>
      </x:c>
      <x:c r="R2062" t="str">
        <x:v>1061711675</x:v>
      </x:c>
      <x:c r="S2062" t="n">
        <x:v>0</x:v>
      </x:c>
      <x:c r="T2062" t="str">
        <x:v>"</x:v>
      </x:c>
      <x:c r="U2062" t="str">
        <x:v>"</x:v>
      </x:c>
      <x:c r="V2062" t="str">
        <x:v>"</x:v>
      </x:c>
    </x:row>
    <x:row r="2063">
      <x:c r="A2063" t="str">
        <x:v>RAW-IMP-20260516-FULLDRAFT-002046</x:v>
      </x:c>
      <x:c r="B2063" t="str">
        <x:v>IMP-20260516-FULLDRAFT</x:v>
      </x:c>
      <x:c r="C2063" t="str">
        <x:v>KTO001</x:v>
      </x:c>
      <x:c r="D2063" t="str">
        <x:v>16-05-2026_Umsatzliste_Girokonto_DE98120300001061711675.csv</x:v>
      </x:c>
      <x:c r="E2063" t="n">
        <x:v>46163</x:v>
      </x:c>
      <x:c r="F2063" t="n">
        <x:v>2046</x:v>
      </x:c>
      <x:c r="G2063" t="str">
        <x:v>17187d73548644f0c0045ceb21bf4557eb1352555d5789f5d05be5479599f753</x:v>
      </x:c>
      <x:c r="H2063" t="str">
        <x:v>neu</x:v>
      </x:c>
      <x:c r="I2063" t="str">
        <x:v>ok</x:v>
      </x:c>
      <x:c r="J2063"/>
      <x:c r="K2063" t="n">
        <x:v>45471</x:v>
      </x:c>
      <x:c r="L2063" t="n">
        <x:v>45471</x:v>
      </x:c>
      <x:c r="M2063" t="str">
        <x:v>Gebucht</x:v>
      </x:c>
      <x:c r="N2063" t="str">
        <x:v>ISSUER</x:v>
      </x:c>
      <x:c r="O2063" t="str">
        <x:v>REWE.Salzgitter.Ge/Salzgitter</x:v>
      </x:c>
      <x:c r="P2063" t="str">
        <x:v>VISA Debitkartenumsatz vom 27.06.2024</x:v>
      </x:c>
      <x:c r="Q2063" t="str">
        <x:v>Ausgang</x:v>
      </x:c>
      <x:c r="R2063" t="str">
        <x:v>DE96120300009005290904</x:v>
      </x:c>
      <x:c r="S2063" t="n">
        <x:v>-18.47</x:v>
      </x:c>
      <x:c r="T2063" t="str">
        <x:v>"</x:v>
      </x:c>
      <x:c r="U2063" t="str">
        <x:v>"</x:v>
      </x:c>
      <x:c r="V2063" t="str">
        <x:v>484179626587095</x:v>
      </x:c>
    </x:row>
    <x:row r="2064">
      <x:c r="A2064" t="str">
        <x:v>RAW-IMP-20260516-FULLDRAFT-002047</x:v>
      </x:c>
      <x:c r="B2064" t="str">
        <x:v>IMP-20260516-FULLDRAFT</x:v>
      </x:c>
      <x:c r="C2064" t="str">
        <x:v>KTO001</x:v>
      </x:c>
      <x:c r="D2064" t="str">
        <x:v>16-05-2026_Umsatzliste_Girokonto_DE98120300001061711675.csv</x:v>
      </x:c>
      <x:c r="E2064" t="n">
        <x:v>46163</x:v>
      </x:c>
      <x:c r="F2064" t="n">
        <x:v>2047</x:v>
      </x:c>
      <x:c r="G2064" t="str">
        <x:v>34c8e96c3e4675dcf1ee9e9c9fb075994646ea9063663265ea2d5e3ff5c9b0c0</x:v>
      </x:c>
      <x:c r="H2064" t="str">
        <x:v>neu</x:v>
      </x:c>
      <x:c r="I2064" t="str">
        <x:v>ok</x:v>
      </x:c>
      <x:c r="J2064"/>
      <x:c r="K2064" t="n">
        <x:v>45470</x:v>
      </x:c>
      <x:c r="L2064" t="n">
        <x:v>45470</x:v>
      </x:c>
      <x:c r="M2064" t="str">
        <x:v>Gebucht</x:v>
      </x:c>
      <x:c r="N2064" t="str">
        <x:v>ISSUER</x:v>
      </x:c>
      <x:c r="O2064" t="str">
        <x:v>BOSPORUS.GRILL/SALZGITTER</x:v>
      </x:c>
      <x:c r="P2064" t="str">
        <x:v>VISA Debitkartenumsatz vom 26.06.2024</x:v>
      </x:c>
      <x:c r="Q2064" t="str">
        <x:v>Ausgang</x:v>
      </x:c>
      <x:c r="R2064" t="str">
        <x:v>DE96120300009005290904</x:v>
      </x:c>
      <x:c r="S2064" t="n">
        <x:v>-16.5</x:v>
      </x:c>
      <x:c r="T2064" t="str">
        <x:v>"</x:v>
      </x:c>
      <x:c r="U2064" t="str">
        <x:v>"</x:v>
      </x:c>
      <x:c r="V2064" t="str">
        <x:v>484178620794199</x:v>
      </x:c>
    </x:row>
    <x:row r="2065">
      <x:c r="A2065" t="str">
        <x:v>RAW-IMP-20260516-FULLDRAFT-002048</x:v>
      </x:c>
      <x:c r="B2065" t="str">
        <x:v>IMP-20260516-FULLDRAFT</x:v>
      </x:c>
      <x:c r="C2065" t="str">
        <x:v>KTO001</x:v>
      </x:c>
      <x:c r="D2065" t="str">
        <x:v>16-05-2026_Umsatzliste_Girokonto_DE98120300001061711675.csv</x:v>
      </x:c>
      <x:c r="E2065" t="n">
        <x:v>46163</x:v>
      </x:c>
      <x:c r="F2065" t="n">
        <x:v>2048</x:v>
      </x:c>
      <x:c r="G2065" t="str">
        <x:v>8a4604bb9334f5ca44dfc8d049fe6b862f296aba9e41ecc53443ce3e1623a57e</x:v>
      </x:c>
      <x:c r="H2065" t="str">
        <x:v>neu</x:v>
      </x:c>
      <x:c r="I2065" t="str">
        <x:v>ok</x:v>
      </x:c>
      <x:c r="J2065"/>
      <x:c r="K2065" t="n">
        <x:v>45470</x:v>
      </x:c>
      <x:c r="L2065" t="n">
        <x:v>45470</x:v>
      </x:c>
      <x:c r="M2065" t="str">
        <x:v>Gebucht</x:v>
      </x:c>
      <x:c r="N2065" t="str">
        <x:v>Stiftung Kath. Altenhilfe im Bistum Hildesheim</x:v>
      </x:c>
      <x:c r="O2065" t="str">
        <x:v>KOHLENBERG LARS</x:v>
      </x:c>
      <x:c r="P2065" t="str">
        <x:v>GEHALT 6/24</x:v>
      </x:c>
      <x:c r="Q2065" t="str">
        <x:v>Eingang</x:v>
      </x:c>
      <x:c r="R2065" t="str">
        <x:v>DE92400602650023150301</x:v>
      </x:c>
      <x:c r="S2065" t="n">
        <x:v>7636.34</x:v>
      </x:c>
      <x:c r="T2065" t="str">
        <x:v>"</x:v>
      </x:c>
      <x:c r="U2065" t="str">
        <x:v>"</x:v>
      </x:c>
      <x:c r="V2065" t="str">
        <x:v>001001987662SALA004125005</x:v>
      </x:c>
    </x:row>
    <x:row r="2066">
      <x:c r="A2066" t="str">
        <x:v>RAW-IMP-20260516-FULLDRAFT-002049</x:v>
      </x:c>
      <x:c r="B2066" t="str">
        <x:v>IMP-20260516-FULLDRAFT</x:v>
      </x:c>
      <x:c r="C2066" t="str">
        <x:v>KTO001</x:v>
      </x:c>
      <x:c r="D2066" t="str">
        <x:v>16-05-2026_Umsatzliste_Girokonto_DE98120300001061711675.csv</x:v>
      </x:c>
      <x:c r="E2066" t="n">
        <x:v>46163</x:v>
      </x:c>
      <x:c r="F2066" t="n">
        <x:v>2049</x:v>
      </x:c>
      <x:c r="G2066" t="str">
        <x:v>58611c0eb863b394f8c0778ce91fa07c9bc3ce04f27ab20cf63359672c4125d5</x:v>
      </x:c>
      <x:c r="H2066" t="str">
        <x:v>neu</x:v>
      </x:c>
      <x:c r="I2066" t="str">
        <x:v>ok</x:v>
      </x:c>
      <x:c r="J2066"/>
      <x:c r="K2066" t="n">
        <x:v>45469</x:v>
      </x:c>
      <x:c r="L2066" t="n">
        <x:v>45469</x:v>
      </x:c>
      <x:c r="M2066" t="str">
        <x:v>Gebucht</x:v>
      </x:c>
      <x:c r="N2066" t="str">
        <x:v>ISSUER</x:v>
      </x:c>
      <x:c r="O2066" t="str">
        <x:v>EDEKA.POTRATZ/HILDESHEIM</x:v>
      </x:c>
      <x:c r="P2066" t="str">
        <x:v>VISA Debitkartenumsatz vom 25.06.2024</x:v>
      </x:c>
      <x:c r="Q2066" t="str">
        <x:v>Ausgang</x:v>
      </x:c>
      <x:c r="R2066" t="str">
        <x:v>DE96120300009005290904</x:v>
      </x:c>
      <x:c r="S2066" t="n">
        <x:v>-2.9</x:v>
      </x:c>
      <x:c r="T2066" t="str">
        <x:v>"</x:v>
      </x:c>
      <x:c r="U2066" t="str">
        <x:v>"</x:v>
      </x:c>
      <x:c r="V2066" t="str">
        <x:v>484177416958558</x:v>
      </x:c>
    </x:row>
    <x:row r="2067">
      <x:c r="A2067" t="str">
        <x:v>RAW-IMP-20260516-FULLDRAFT-002050</x:v>
      </x:c>
      <x:c r="B2067" t="str">
        <x:v>IMP-20260516-FULLDRAFT</x:v>
      </x:c>
      <x:c r="C2067" t="str">
        <x:v>KTO001</x:v>
      </x:c>
      <x:c r="D2067" t="str">
        <x:v>16-05-2026_Umsatzliste_Girokonto_DE98120300001061711675.csv</x:v>
      </x:c>
      <x:c r="E2067" t="n">
        <x:v>46163</x:v>
      </x:c>
      <x:c r="F2067" t="n">
        <x:v>2050</x:v>
      </x:c>
      <x:c r="G2067" t="str">
        <x:v>e83b8dbac7644da8b72b640a1ee2e6e92f89d0825b1577c2ebc491ee8fa7b552</x:v>
      </x:c>
      <x:c r="H2067" t="str">
        <x:v>neu</x:v>
      </x:c>
      <x:c r="I2067" t="str">
        <x:v>ok</x:v>
      </x:c>
      <x:c r="J2067"/>
      <x:c r="K2067" t="n">
        <x:v>45469</x:v>
      </x:c>
      <x:c r="L2067" t="n">
        <x:v>45469</x:v>
      </x:c>
      <x:c r="M2067" t="str">
        <x:v>Gebucht</x:v>
      </x:c>
      <x:c r="N2067" t="str">
        <x:v>ISSUER</x:v>
      </x:c>
      <x:c r="O2067" t="str">
        <x:v>SUMUP...UTE.SANDER/SPRINGE...GES</x:v>
      </x:c>
      <x:c r="P2067" t="str">
        <x:v>VISA Debitkartenumsatz vom 25.06.2024</x:v>
      </x:c>
      <x:c r="Q2067" t="str">
        <x:v>Ausgang</x:v>
      </x:c>
      <x:c r="R2067" t="str">
        <x:v>DE96120300009005290904</x:v>
      </x:c>
      <x:c r="S2067" t="n">
        <x:v>-10</x:v>
      </x:c>
      <x:c r="T2067" t="str">
        <x:v>"</x:v>
      </x:c>
      <x:c r="U2067" t="str">
        <x:v>"</x:v>
      </x:c>
      <x:c r="V2067" t="str">
        <x:v>484177418402987</x:v>
      </x:c>
    </x:row>
    <x:row r="2068">
      <x:c r="A2068" t="str">
        <x:v>RAW-IMP-20260516-FULLDRAFT-002051</x:v>
      </x:c>
      <x:c r="B2068" t="str">
        <x:v>IMP-20260516-FULLDRAFT</x:v>
      </x:c>
      <x:c r="C2068" t="str">
        <x:v>KTO001</x:v>
      </x:c>
      <x:c r="D2068" t="str">
        <x:v>16-05-2026_Umsatzliste_Girokonto_DE98120300001061711675.csv</x:v>
      </x:c>
      <x:c r="E2068" t="n">
        <x:v>46163</x:v>
      </x:c>
      <x:c r="F2068" t="n">
        <x:v>2051</x:v>
      </x:c>
      <x:c r="G2068" t="str">
        <x:v>a89e1373c6923f5a51e874989832b7252b256c357fb1bc891d668bea40e5b8b8</x:v>
      </x:c>
      <x:c r="H2068" t="str">
        <x:v>neu</x:v>
      </x:c>
      <x:c r="I2068" t="str">
        <x:v>ok</x:v>
      </x:c>
      <x:c r="J2068"/>
      <x:c r="K2068" t="n">
        <x:v>45469</x:v>
      </x:c>
      <x:c r="L2068" t="n">
        <x:v>45469</x:v>
      </x:c>
      <x:c r="M2068" t="str">
        <x:v>Gebucht</x:v>
      </x:c>
      <x:c r="N2068" t="str">
        <x:v>Lars Kohlenberg                                                       Johannes-Wosnitza-Str. 8</x:v>
      </x:c>
      <x:c r="O2068" t="str">
        <x:v>Barmenia Krankenvers. AG</x:v>
      </x:c>
      <x:c r="P2068" t="str">
        <x:v>Reiseversicherung/Vertrag 000270892X00</x:v>
      </x:c>
      <x:c r="Q2068" t="str">
        <x:v>Ausgang</x:v>
      </x:c>
      <x:c r="R2068" t="str">
        <x:v>DE70330500000000900050</x:v>
      </x:c>
      <x:c r="S2068" t="n">
        <x:v>-21.6</x:v>
      </x:c>
      <x:c r="T2068" t="str">
        <x:v>DE38ZZZ00002227957</x:v>
      </x:c>
      <x:c r="U2068" t="str">
        <x:v>100000002336438</x:v>
      </x:c>
      <x:c r="V2068" t="str">
        <x:v>040702687841</x:v>
      </x:c>
    </x:row>
    <x:row r="2069">
      <x:c r="A2069" t="str">
        <x:v>RAW-IMP-20260516-FULLDRAFT-002052</x:v>
      </x:c>
      <x:c r="B2069" t="str">
        <x:v>IMP-20260516-FULLDRAFT</x:v>
      </x:c>
      <x:c r="C2069" t="str">
        <x:v>KTO001</x:v>
      </x:c>
      <x:c r="D2069" t="str">
        <x:v>16-05-2026_Umsatzliste_Girokonto_DE98120300001061711675.csv</x:v>
      </x:c>
      <x:c r="E2069" t="n">
        <x:v>46163</x:v>
      </x:c>
      <x:c r="F2069" t="n">
        <x:v>2052</x:v>
      </x:c>
      <x:c r="G2069" t="str">
        <x:v>42a07b5df11198b17e20a7692d468a81fbe418dd64a7c1a885997feacca51f85</x:v>
      </x:c>
      <x:c r="H2069" t="str">
        <x:v>neu</x:v>
      </x:c>
      <x:c r="I2069" t="str">
        <x:v>ok</x:v>
      </x:c>
      <x:c r="J2069"/>
      <x:c r="K2069" t="n">
        <x:v>45469</x:v>
      </x:c>
      <x:c r="L2069" t="n">
        <x:v>45469</x:v>
      </x:c>
      <x:c r="M2069" t="str">
        <x:v>Gebucht</x:v>
      </x:c>
      <x:c r="N2069" t="str">
        <x:v>Lars Kohlenberg</x:v>
      </x:c>
      <x:c r="O2069" t="str">
        <x:v>Thein Grimm Marre GmbH</x:v>
      </x:c>
      <x:c r="P2069" t="str">
        <x:v>ReNr RE-24604600, KdNr 403696 Abschlussrechnung</x:v>
      </x:c>
      <x:c r="Q2069" t="str">
        <x:v>Ausgang</x:v>
      </x:c>
      <x:c r="R2069" t="str">
        <x:v>DE23270925555822326600</x:v>
      </x:c>
      <x:c r="S2069" t="n">
        <x:v>-2475.61</x:v>
      </x:c>
      <x:c r="T2069" t="str">
        <x:v>"</x:v>
      </x:c>
      <x:c r="U2069" t="str">
        <x:v>"</x:v>
      </x:c>
      <x:c r="V2069" t="str">
        <x:v>"</x:v>
      </x:c>
    </x:row>
    <x:row r="2070">
      <x:c r="A2070" t="str">
        <x:v>RAW-IMP-20260516-FULLDRAFT-002053</x:v>
      </x:c>
      <x:c r="B2070" t="str">
        <x:v>IMP-20260516-FULLDRAFT</x:v>
      </x:c>
      <x:c r="C2070" t="str">
        <x:v>KTO001</x:v>
      </x:c>
      <x:c r="D2070" t="str">
        <x:v>16-05-2026_Umsatzliste_Girokonto_DE98120300001061711675.csv</x:v>
      </x:c>
      <x:c r="E2070" t="n">
        <x:v>46163</x:v>
      </x:c>
      <x:c r="F2070" t="n">
        <x:v>2053</x:v>
      </x:c>
      <x:c r="G2070" t="str">
        <x:v>13419493407dbae95d45251dcd426d79a8c4157a986c2e29d4eba15987d94728</x:v>
      </x:c>
      <x:c r="H2070" t="str">
        <x:v>neu</x:v>
      </x:c>
      <x:c r="I2070" t="str">
        <x:v>ok</x:v>
      </x:c>
      <x:c r="J2070"/>
      <x:c r="K2070" t="n">
        <x:v>45469</x:v>
      </x:c>
      <x:c r="L2070" t="n">
        <x:v>45469</x:v>
      </x:c>
      <x:c r="M2070" t="str">
        <x:v>Gebucht</x:v>
      </x:c>
      <x:c r="N2070" t="str">
        <x:v>Lars Kohlenberg</x:v>
      </x:c>
      <x:c r="O2070" t="str">
        <x:v>Reiner Eisenhut</x:v>
      </x:c>
      <x:c r="P2070" t="str">
        <x:v>2214/Villa Pura Vida, 05.07.2025 - 19.07.2025/ Kohlenberg</x:v>
      </x:c>
      <x:c r="Q2070" t="str">
        <x:v>Ausgang</x:v>
      </x:c>
      <x:c r="R2070" t="str">
        <x:v>ES0400810674650002302435</x:v>
      </x:c>
      <x:c r="S2070" t="n">
        <x:v>-732</x:v>
      </x:c>
      <x:c r="T2070" t="str">
        <x:v>"</x:v>
      </x:c>
      <x:c r="U2070" t="str">
        <x:v>"</x:v>
      </x:c>
      <x:c r="V2070" t="str">
        <x:v>"</x:v>
      </x:c>
    </x:row>
    <x:row r="2071">
      <x:c r="A2071" t="str">
        <x:v>RAW-IMP-20260516-FULLDRAFT-002054</x:v>
      </x:c>
      <x:c r="B2071" t="str">
        <x:v>IMP-20260516-FULLDRAFT</x:v>
      </x:c>
      <x:c r="C2071" t="str">
        <x:v>KTO001</x:v>
      </x:c>
      <x:c r="D2071" t="str">
        <x:v>16-05-2026_Umsatzliste_Girokonto_DE98120300001061711675.csv</x:v>
      </x:c>
      <x:c r="E2071" t="n">
        <x:v>46163</x:v>
      </x:c>
      <x:c r="F2071" t="n">
        <x:v>2054</x:v>
      </x:c>
      <x:c r="G2071" t="str">
        <x:v>5d2c992c348a5ed98d09d8659d84054019502bafeb45f0814b63a09a5d4ef621</x:v>
      </x:c>
      <x:c r="H2071" t="str">
        <x:v>neu</x:v>
      </x:c>
      <x:c r="I2071" t="str">
        <x:v>ok</x:v>
      </x:c>
      <x:c r="J2071"/>
      <x:c r="K2071" t="n">
        <x:v>45468</x:v>
      </x:c>
      <x:c r="L2071" t="n">
        <x:v>45468</x:v>
      </x:c>
      <x:c r="M2071" t="str">
        <x:v>Gebucht</x:v>
      </x:c>
      <x:c r="N2071" t="str">
        <x:v>ISSUER</x:v>
      </x:c>
      <x:c r="O2071" t="str">
        <x:v>PAYPAL..HPDEUTSCHLA/4029357733</x:v>
      </x:c>
      <x:c r="P2071" t="str">
        <x:v>VISA Debitkartenumsatz vom 24.06.2024</x:v>
      </x:c>
      <x:c r="Q2071" t="str">
        <x:v>Ausgang</x:v>
      </x:c>
      <x:c r="R2071" t="str">
        <x:v>DE96120300009005290904</x:v>
      </x:c>
      <x:c r="S2071" t="n">
        <x:v>-4.99</x:v>
      </x:c>
      <x:c r="T2071" t="str">
        <x:v>"</x:v>
      </x:c>
      <x:c r="U2071" t="str">
        <x:v>"</x:v>
      </x:c>
      <x:c r="V2071" t="str">
        <x:v>304176685621381</x:v>
      </x:c>
    </x:row>
    <x:row r="2072">
      <x:c r="A2072" t="str">
        <x:v>RAW-IMP-20260516-FULLDRAFT-002055</x:v>
      </x:c>
      <x:c r="B2072" t="str">
        <x:v>IMP-20260516-FULLDRAFT</x:v>
      </x:c>
      <x:c r="C2072" t="str">
        <x:v>KTO001</x:v>
      </x:c>
      <x:c r="D2072" t="str">
        <x:v>16-05-2026_Umsatzliste_Girokonto_DE98120300001061711675.csv</x:v>
      </x:c>
      <x:c r="E2072" t="n">
        <x:v>46163</x:v>
      </x:c>
      <x:c r="F2072" t="n">
        <x:v>2055</x:v>
      </x:c>
      <x:c r="G2072" t="str">
        <x:v>d39c31f2229ca252094cb3bf35a887cba90de7ddf3e01a1c2a4480ed64e5bef9</x:v>
      </x:c>
      <x:c r="H2072" t="str">
        <x:v>neu</x:v>
      </x:c>
      <x:c r="I2072" t="str">
        <x:v>ok</x:v>
      </x:c>
      <x:c r="J2072"/>
      <x:c r="K2072" t="n">
        <x:v>45468</x:v>
      </x:c>
      <x:c r="L2072" t="n">
        <x:v>45468</x:v>
      </x:c>
      <x:c r="M2072" t="str">
        <x:v>Gebucht</x:v>
      </x:c>
      <x:c r="N2072" t="str">
        <x:v>ISSUER</x:v>
      </x:c>
      <x:c r="O2072" t="str">
        <x:v>REWE.Salzgitter.Ge/Salzgitter</x:v>
      </x:c>
      <x:c r="P2072" t="str">
        <x:v>VISA Debitkartenumsatz vom 24.06.2024</x:v>
      </x:c>
      <x:c r="Q2072" t="str">
        <x:v>Ausgang</x:v>
      </x:c>
      <x:c r="R2072" t="str">
        <x:v>DE96120300009005290904</x:v>
      </x:c>
      <x:c r="S2072" t="n">
        <x:v>-10.72</x:v>
      </x:c>
      <x:c r="T2072" t="str">
        <x:v>"</x:v>
      </x:c>
      <x:c r="U2072" t="str">
        <x:v>"</x:v>
      </x:c>
      <x:c r="V2072" t="str">
        <x:v>484176628911301</x:v>
      </x:c>
    </x:row>
    <x:row r="2073">
      <x:c r="A2073" t="str">
        <x:v>RAW-IMP-20260516-FULLDRAFT-002056</x:v>
      </x:c>
      <x:c r="B2073" t="str">
        <x:v>IMP-20260516-FULLDRAFT</x:v>
      </x:c>
      <x:c r="C2073" t="str">
        <x:v>KTO001</x:v>
      </x:c>
      <x:c r="D2073" t="str">
        <x:v>16-05-2026_Umsatzliste_Girokonto_DE98120300001061711675.csv</x:v>
      </x:c>
      <x:c r="E2073" t="n">
        <x:v>46163</x:v>
      </x:c>
      <x:c r="F2073" t="n">
        <x:v>2056</x:v>
      </x:c>
      <x:c r="G2073" t="str">
        <x:v>e9d02d989a9167e6efffc8454a6a8e7d4a92b906038d192ced0d4e5af5b13a42</x:v>
      </x:c>
      <x:c r="H2073" t="str">
        <x:v>neu</x:v>
      </x:c>
      <x:c r="I2073" t="str">
        <x:v>ok</x:v>
      </x:c>
      <x:c r="J2073"/>
      <x:c r="K2073" t="n">
        <x:v>45468</x:v>
      </x:c>
      <x:c r="L2073" t="n">
        <x:v>45468</x:v>
      </x:c>
      <x:c r="M2073" t="str">
        <x:v>Gebucht</x:v>
      </x:c>
      <x:c r="N2073" t="str">
        <x:v>ISSUER</x:v>
      </x:c>
      <x:c r="O2073" t="str">
        <x:v>AMZN.Mktp.DE.HM96T1J54/800.279.6620</x:v>
      </x:c>
      <x:c r="P2073" t="str">
        <x:v>VISA Debitkartenumsatz vom 24.06.2024</x:v>
      </x:c>
      <x:c r="Q2073" t="str">
        <x:v>Ausgang</x:v>
      </x:c>
      <x:c r="R2073" t="str">
        <x:v>DE96120300009005290904</x:v>
      </x:c>
      <x:c r="S2073" t="n">
        <x:v>-74.43</x:v>
      </x:c>
      <x:c r="T2073" t="str">
        <x:v>"</x:v>
      </x:c>
      <x:c r="U2073" t="str">
        <x:v>"</x:v>
      </x:c>
      <x:c r="V2073" t="str">
        <x:v>484174326806240</x:v>
      </x:c>
    </x:row>
    <x:row r="2074">
      <x:c r="A2074" t="str">
        <x:v>RAW-IMP-20260516-FULLDRAFT-002057</x:v>
      </x:c>
      <x:c r="B2074" t="str">
        <x:v>IMP-20260516-FULLDRAFT</x:v>
      </x:c>
      <x:c r="C2074" t="str">
        <x:v>KTO001</x:v>
      </x:c>
      <x:c r="D2074" t="str">
        <x:v>16-05-2026_Umsatzliste_Girokonto_DE98120300001061711675.csv</x:v>
      </x:c>
      <x:c r="E2074" t="n">
        <x:v>46163</x:v>
      </x:c>
      <x:c r="F2074" t="n">
        <x:v>2057</x:v>
      </x:c>
      <x:c r="G2074" t="str">
        <x:v>a9f028cdd1e4fc7b74860fcd88a9df133de224c86dcde549fdddfad7b7549877</x:v>
      </x:c>
      <x:c r="H2074" t="str">
        <x:v>neu</x:v>
      </x:c>
      <x:c r="I2074" t="str">
        <x:v>ok</x:v>
      </x:c>
      <x:c r="J2074"/>
      <x:c r="K2074" t="n">
        <x:v>45467</x:v>
      </x:c>
      <x:c r="L2074" t="n">
        <x:v>45467</x:v>
      </x:c>
      <x:c r="M2074" t="str">
        <x:v>Gebucht</x:v>
      </x:c>
      <x:c r="N2074" t="str">
        <x:v>ISSUER</x:v>
      </x:c>
      <x:c r="O2074" t="str">
        <x:v>LOEWENBAECKER.SCHAPER/SALZGITTER</x:v>
      </x:c>
      <x:c r="P2074" t="str">
        <x:v>VISA Debitkartenumsatz vom 22.06.2024</x:v>
      </x:c>
      <x:c r="Q2074" t="str">
        <x:v>Ausgang</x:v>
      </x:c>
      <x:c r="R2074" t="str">
        <x:v>DE96120300009005290904</x:v>
      </x:c>
      <x:c r="S2074" t="n">
        <x:v>-3.2</x:v>
      </x:c>
      <x:c r="T2074" t="str">
        <x:v>"</x:v>
      </x:c>
      <x:c r="U2074" t="str">
        <x:v>"</x:v>
      </x:c>
      <x:c r="V2074" t="str">
        <x:v>484174265921907</x:v>
      </x:c>
    </x:row>
    <x:row r="2075">
      <x:c r="A2075" t="str">
        <x:v>RAW-IMP-20260516-FULLDRAFT-002058</x:v>
      </x:c>
      <x:c r="B2075" t="str">
        <x:v>IMP-20260516-FULLDRAFT</x:v>
      </x:c>
      <x:c r="C2075" t="str">
        <x:v>KTO001</x:v>
      </x:c>
      <x:c r="D2075" t="str">
        <x:v>16-05-2026_Umsatzliste_Girokonto_DE98120300001061711675.csv</x:v>
      </x:c>
      <x:c r="E2075" t="n">
        <x:v>46163</x:v>
      </x:c>
      <x:c r="F2075" t="n">
        <x:v>2058</x:v>
      </x:c>
      <x:c r="G2075" t="str">
        <x:v>7402996981881d3958055803707c0a436505218021751391c375dab58803e3cc</x:v>
      </x:c>
      <x:c r="H2075" t="str">
        <x:v>neu</x:v>
      </x:c>
      <x:c r="I2075" t="str">
        <x:v>ok</x:v>
      </x:c>
      <x:c r="J2075"/>
      <x:c r="K2075" t="n">
        <x:v>45467</x:v>
      </x:c>
      <x:c r="L2075" t="n">
        <x:v>45467</x:v>
      </x:c>
      <x:c r="M2075" t="str">
        <x:v>Gebucht</x:v>
      </x:c>
      <x:c r="N2075" t="str">
        <x:v>ISSUER</x:v>
      </x:c>
      <x:c r="O2075" t="str">
        <x:v>REWE.Salzgitter.Ge/Salzgitter</x:v>
      </x:c>
      <x:c r="P2075" t="str">
        <x:v>VISA Debitkartenumsatz vom 22.06.2024</x:v>
      </x:c>
      <x:c r="Q2075" t="str">
        <x:v>Ausgang</x:v>
      </x:c>
      <x:c r="R2075" t="str">
        <x:v>DE96120300009005290904</x:v>
      </x:c>
      <x:c r="S2075" t="n">
        <x:v>-90.03</x:v>
      </x:c>
      <x:c r="T2075" t="str">
        <x:v>"</x:v>
      </x:c>
      <x:c r="U2075" t="str">
        <x:v>"</x:v>
      </x:c>
      <x:c r="V2075" t="str">
        <x:v>484174284325244</x:v>
      </x:c>
    </x:row>
    <x:row r="2076">
      <x:c r="A2076" t="str">
        <x:v>RAW-IMP-20260516-FULLDRAFT-002059</x:v>
      </x:c>
      <x:c r="B2076" t="str">
        <x:v>IMP-20260516-FULLDRAFT</x:v>
      </x:c>
      <x:c r="C2076" t="str">
        <x:v>KTO001</x:v>
      </x:c>
      <x:c r="D2076" t="str">
        <x:v>16-05-2026_Umsatzliste_Girokonto_DE98120300001061711675.csv</x:v>
      </x:c>
      <x:c r="E2076" t="n">
        <x:v>46163</x:v>
      </x:c>
      <x:c r="F2076" t="n">
        <x:v>2059</x:v>
      </x:c>
      <x:c r="G2076" t="str">
        <x:v>fc356ce85023c19a04b6a4881eb7a6c32eb1cf1b5ad3fb16ad9ba3612c4c9e74</x:v>
      </x:c>
      <x:c r="H2076" t="str">
        <x:v>neu</x:v>
      </x:c>
      <x:c r="I2076" t="str">
        <x:v>ok</x:v>
      </x:c>
      <x:c r="J2076"/>
      <x:c r="K2076" t="n">
        <x:v>45467</x:v>
      </x:c>
      <x:c r="L2076" t="n">
        <x:v>45467</x:v>
      </x:c>
      <x:c r="M2076" t="str">
        <x:v>Gebucht</x:v>
      </x:c>
      <x:c r="N2076" t="str">
        <x:v>ISSUER</x:v>
      </x:c>
      <x:c r="O2076" t="str">
        <x:v>TAS.SALDER/SALZGITTER</x:v>
      </x:c>
      <x:c r="P2076" t="str">
        <x:v>VISA Debitkartenumsatz vom 21.06.2024</x:v>
      </x:c>
      <x:c r="Q2076" t="str">
        <x:v>Ausgang</x:v>
      </x:c>
      <x:c r="R2076" t="str">
        <x:v>DE96120300009005290904</x:v>
      </x:c>
      <x:c r="S2076" t="n">
        <x:v>-83.85</x:v>
      </x:c>
      <x:c r="T2076" t="str">
        <x:v>"</x:v>
      </x:c>
      <x:c r="U2076" t="str">
        <x:v>"</x:v>
      </x:c>
      <x:c r="V2076" t="str">
        <x:v>484173648991375</x:v>
      </x:c>
    </x:row>
    <x:row r="2077">
      <x:c r="A2077" t="str">
        <x:v>RAW-IMP-20260516-FULLDRAFT-002060</x:v>
      </x:c>
      <x:c r="B2077" t="str">
        <x:v>IMP-20260516-FULLDRAFT</x:v>
      </x:c>
      <x:c r="C2077" t="str">
        <x:v>KTO001</x:v>
      </x:c>
      <x:c r="D2077" t="str">
        <x:v>16-05-2026_Umsatzliste_Girokonto_DE98120300001061711675.csv</x:v>
      </x:c>
      <x:c r="E2077" t="n">
        <x:v>46163</x:v>
      </x:c>
      <x:c r="F2077" t="n">
        <x:v>2060</x:v>
      </x:c>
      <x:c r="G2077" t="str">
        <x:v>22bb6d742f669a1debad61acb6abd55919b3ecce89ad39e93660aaa27f888711</x:v>
      </x:c>
      <x:c r="H2077" t="str">
        <x:v>neu</x:v>
      </x:c>
      <x:c r="I2077" t="str">
        <x:v>ok</x:v>
      </x:c>
      <x:c r="J2077"/>
      <x:c r="K2077" t="n">
        <x:v>45467</x:v>
      </x:c>
      <x:c r="L2077" t="n">
        <x:v>45467</x:v>
      </x:c>
      <x:c r="M2077" t="str">
        <x:v>Gebucht</x:v>
      </x:c>
      <x:c r="N2077" t="str">
        <x:v>ISSUER</x:v>
      </x:c>
      <x:c r="O2077" t="str">
        <x:v>Hagebaumarkt.Salzgitter/Salzgitter</x:v>
      </x:c>
      <x:c r="P2077" t="str">
        <x:v>VISA Debitkartenumsatz vom 22.06.2024</x:v>
      </x:c>
      <x:c r="Q2077" t="str">
        <x:v>Ausgang</x:v>
      </x:c>
      <x:c r="R2077" t="str">
        <x:v>DE96120300009005290904</x:v>
      </x:c>
      <x:c r="S2077" t="n">
        <x:v>-10.99</x:v>
      </x:c>
      <x:c r="T2077" t="str">
        <x:v>"</x:v>
      </x:c>
      <x:c r="U2077" t="str">
        <x:v>"</x:v>
      </x:c>
      <x:c r="V2077" t="str">
        <x:v>484174383604209</x:v>
      </x:c>
    </x:row>
    <x:row r="2078">
      <x:c r="A2078" t="str">
        <x:v>RAW-IMP-20260516-FULLDRAFT-002061</x:v>
      </x:c>
      <x:c r="B2078" t="str">
        <x:v>IMP-20260516-FULLDRAFT</x:v>
      </x:c>
      <x:c r="C2078" t="str">
        <x:v>KTO001</x:v>
      </x:c>
      <x:c r="D2078" t="str">
        <x:v>16-05-2026_Umsatzliste_Girokonto_DE98120300001061711675.csv</x:v>
      </x:c>
      <x:c r="E2078" t="n">
        <x:v>46163</x:v>
      </x:c>
      <x:c r="F2078" t="n">
        <x:v>2061</x:v>
      </x:c>
      <x:c r="G2078" t="str">
        <x:v>c55dffb26e9e3270b4bfff5492a8dcf5990aa26d925ffbdcdd6cbc4785b95111</x:v>
      </x:c>
      <x:c r="H2078" t="str">
        <x:v>neu</x:v>
      </x:c>
      <x:c r="I2078" t="str">
        <x:v>ok</x:v>
      </x:c>
      <x:c r="J2078"/>
      <x:c r="K2078" t="n">
        <x:v>45467</x:v>
      </x:c>
      <x:c r="L2078" t="n">
        <x:v>45467</x:v>
      </x:c>
      <x:c r="M2078" t="str">
        <x:v>Gebucht</x:v>
      </x:c>
      <x:c r="N2078" t="str">
        <x:v>ISSUER</x:v>
      </x:c>
      <x:c r="O2078" t="str">
        <x:v>Heide.Backerei.Meyer.21/Hildesheim</x:v>
      </x:c>
      <x:c r="P2078" t="str">
        <x:v>VISA Debitkartenumsatz vom 21.06.2024</x:v>
      </x:c>
      <x:c r="Q2078" t="str">
        <x:v>Ausgang</x:v>
      </x:c>
      <x:c r="R2078" t="str">
        <x:v>DE96120300009005290904</x:v>
      </x:c>
      <x:c r="S2078" t="n">
        <x:v>-1.2</x:v>
      </x:c>
      <x:c r="T2078" t="str">
        <x:v>"</x:v>
      </x:c>
      <x:c r="U2078" t="str">
        <x:v>"</x:v>
      </x:c>
      <x:c r="V2078" t="str">
        <x:v>484173296298488</x:v>
      </x:c>
    </x:row>
    <x:row r="2079">
      <x:c r="A2079" t="str">
        <x:v>RAW-IMP-20260516-FULLDRAFT-002062</x:v>
      </x:c>
      <x:c r="B2079" t="str">
        <x:v>IMP-20260516-FULLDRAFT</x:v>
      </x:c>
      <x:c r="C2079" t="str">
        <x:v>KTO001</x:v>
      </x:c>
      <x:c r="D2079" t="str">
        <x:v>16-05-2026_Umsatzliste_Girokonto_DE98120300001061711675.csv</x:v>
      </x:c>
      <x:c r="E2079" t="n">
        <x:v>46163</x:v>
      </x:c>
      <x:c r="F2079" t="n">
        <x:v>2062</x:v>
      </x:c>
      <x:c r="G2079" t="str">
        <x:v>546bc99493cf330690077c3725d449fc85da0c063db127e7b462689424834046</x:v>
      </x:c>
      <x:c r="H2079" t="str">
        <x:v>neu</x:v>
      </x:c>
      <x:c r="I2079" t="str">
        <x:v>ok</x:v>
      </x:c>
      <x:c r="J2079"/>
      <x:c r="K2079" t="n">
        <x:v>45467</x:v>
      </x:c>
      <x:c r="L2079" t="n">
        <x:v>45467</x:v>
      </x:c>
      <x:c r="M2079" t="str">
        <x:v>Gebucht</x:v>
      </x:c>
      <x:c r="N2079" t="str">
        <x:v>ISSUER</x:v>
      </x:c>
      <x:c r="O2079" t="str">
        <x:v>DB.Automaten/Braunschweig</x:v>
      </x:c>
      <x:c r="P2079" t="str">
        <x:v>VISA Debitkartenumsatz vom 21.06.2024</x:v>
      </x:c>
      <x:c r="Q2079" t="str">
        <x:v>Ausgang</x:v>
      </x:c>
      <x:c r="R2079" t="str">
        <x:v>DE96120300009005290904</x:v>
      </x:c>
      <x:c r="S2079" t="n">
        <x:v>-6</x:v>
      </x:c>
      <x:c r="T2079" t="str">
        <x:v>"</x:v>
      </x:c>
      <x:c r="U2079" t="str">
        <x:v>"</x:v>
      </x:c>
      <x:c r="V2079" t="str">
        <x:v>484173271560529</x:v>
      </x:c>
    </x:row>
    <x:row r="2080">
      <x:c r="A2080" t="str">
        <x:v>RAW-IMP-20260516-FULLDRAFT-002063</x:v>
      </x:c>
      <x:c r="B2080" t="str">
        <x:v>IMP-20260516-FULLDRAFT</x:v>
      </x:c>
      <x:c r="C2080" t="str">
        <x:v>KTO001</x:v>
      </x:c>
      <x:c r="D2080" t="str">
        <x:v>16-05-2026_Umsatzliste_Girokonto_DE98120300001061711675.csv</x:v>
      </x:c>
      <x:c r="E2080" t="n">
        <x:v>46163</x:v>
      </x:c>
      <x:c r="F2080" t="n">
        <x:v>2063</x:v>
      </x:c>
      <x:c r="G2080" t="str">
        <x:v>040bcbcdd6b7ed12ae086d63fd8faa27cfea22507fcc4cddf8ef2c21ad12809c</x:v>
      </x:c>
      <x:c r="H2080" t="str">
        <x:v>neu</x:v>
      </x:c>
      <x:c r="I2080" t="str">
        <x:v>ok</x:v>
      </x:c>
      <x:c r="J2080"/>
      <x:c r="K2080" t="n">
        <x:v>45467</x:v>
      </x:c>
      <x:c r="L2080" t="n">
        <x:v>45467</x:v>
      </x:c>
      <x:c r="M2080" t="str">
        <x:v>Gebucht</x:v>
      </x:c>
      <x:c r="N2080" t="str">
        <x:v>ISSUER</x:v>
      </x:c>
      <x:c r="O2080" t="str">
        <x:v>PH.Andreaspassage/Hildesheim</x:v>
      </x:c>
      <x:c r="P2080" t="str">
        <x:v>VISA Debitkartenumsatz vom 21.06.2024</x:v>
      </x:c>
      <x:c r="Q2080" t="str">
        <x:v>Ausgang</x:v>
      </x:c>
      <x:c r="R2080" t="str">
        <x:v>DE96120300009005290904</x:v>
      </x:c>
      <x:c r="S2080" t="n">
        <x:v>-5</x:v>
      </x:c>
      <x:c r="T2080" t="str">
        <x:v>"</x:v>
      </x:c>
      <x:c r="U2080" t="str">
        <x:v>"</x:v>
      </x:c>
      <x:c r="V2080" t="str">
        <x:v>484173625981797</x:v>
      </x:c>
    </x:row>
    <x:row r="2081">
      <x:c r="A2081" t="str">
        <x:v>RAW-IMP-20260516-FULLDRAFT-002064</x:v>
      </x:c>
      <x:c r="B2081" t="str">
        <x:v>IMP-20260516-FULLDRAFT</x:v>
      </x:c>
      <x:c r="C2081" t="str">
        <x:v>KTO001</x:v>
      </x:c>
      <x:c r="D2081" t="str">
        <x:v>16-05-2026_Umsatzliste_Girokonto_DE98120300001061711675.csv</x:v>
      </x:c>
      <x:c r="E2081" t="n">
        <x:v>46163</x:v>
      </x:c>
      <x:c r="F2081" t="n">
        <x:v>2064</x:v>
      </x:c>
      <x:c r="G2081" t="str">
        <x:v>e4a3a774d4ecd8aa6abb433ee83f90b7a6e1270232af1df0c01e90ab1f1adeac</x:v>
      </x:c>
      <x:c r="H2081" t="str">
        <x:v>neu</x:v>
      </x:c>
      <x:c r="I2081" t="str">
        <x:v>ok</x:v>
      </x:c>
      <x:c r="J2081"/>
      <x:c r="K2081" t="n">
        <x:v>45467</x:v>
      </x:c>
      <x:c r="L2081" t="n">
        <x:v>45467</x:v>
      </x:c>
      <x:c r="M2081" t="str">
        <x:v>Gebucht</x:v>
      </x:c>
      <x:c r="N2081" t="str">
        <x:v>ISSUER</x:v>
      </x:c>
      <x:c r="O2081" t="str">
        <x:v>TIER.DE.RIDE/Berlin</x:v>
      </x:c>
      <x:c r="P2081" t="str">
        <x:v>VISA Debitkartenumsatz vom 21.06.2024</x:v>
      </x:c>
      <x:c r="Q2081" t="str">
        <x:v>Ausgang</x:v>
      </x:c>
      <x:c r="R2081" t="str">
        <x:v>DE96120300009005290904</x:v>
      </x:c>
      <x:c r="S2081" t="n">
        <x:v>-4.77</x:v>
      </x:c>
      <x:c r="T2081" t="str">
        <x:v>"</x:v>
      </x:c>
      <x:c r="U2081" t="str">
        <x:v>"</x:v>
      </x:c>
      <x:c r="V2081" t="str">
        <x:v>484173303500834</x:v>
      </x:c>
    </x:row>
    <x:row r="2082">
      <x:c r="A2082" t="str">
        <x:v>RAW-IMP-20260516-FULLDRAFT-002065</x:v>
      </x:c>
      <x:c r="B2082" t="str">
        <x:v>IMP-20260516-FULLDRAFT</x:v>
      </x:c>
      <x:c r="C2082" t="str">
        <x:v>KTO001</x:v>
      </x:c>
      <x:c r="D2082" t="str">
        <x:v>16-05-2026_Umsatzliste_Girokonto_DE98120300001061711675.csv</x:v>
      </x:c>
      <x:c r="E2082" t="n">
        <x:v>46163</x:v>
      </x:c>
      <x:c r="F2082" t="n">
        <x:v>2065</x:v>
      </x:c>
      <x:c r="G2082" t="str">
        <x:v>7b225a8ccd9081c7c4a6a897ccd650e9c94581fab2bc1f7f2409957d797dde16</x:v>
      </x:c>
      <x:c r="H2082" t="str">
        <x:v>neu</x:v>
      </x:c>
      <x:c r="I2082" t="str">
        <x:v>ok</x:v>
      </x:c>
      <x:c r="J2082"/>
      <x:c r="K2082" t="n">
        <x:v>45464</x:v>
      </x:c>
      <x:c r="L2082" t="n">
        <x:v>45464</x:v>
      </x:c>
      <x:c r="M2082" t="str">
        <x:v>Gebucht</x:v>
      </x:c>
      <x:c r="N2082" t="str">
        <x:v>ISSUER</x:v>
      </x:c>
      <x:c r="O2082" t="str">
        <x:v>PH.Andreaspassage/Hildesheim</x:v>
      </x:c>
      <x:c r="P2082" t="str">
        <x:v>VISA Debitkartenumsatz vom 20.06.2024</x:v>
      </x:c>
      <x:c r="Q2082" t="str">
        <x:v>Ausgang</x:v>
      </x:c>
      <x:c r="R2082" t="str">
        <x:v>DE96120300009005290904</x:v>
      </x:c>
      <x:c r="S2082" t="n">
        <x:v>-5</x:v>
      </x:c>
      <x:c r="T2082" t="str">
        <x:v>"</x:v>
      </x:c>
      <x:c r="U2082" t="str">
        <x:v>"</x:v>
      </x:c>
      <x:c r="V2082" t="str">
        <x:v>484172551105336</x:v>
      </x:c>
    </x:row>
    <x:row r="2083">
      <x:c r="A2083" t="str">
        <x:v>RAW-IMP-20260516-FULLDRAFT-002066</x:v>
      </x:c>
      <x:c r="B2083" t="str">
        <x:v>IMP-20260516-FULLDRAFT</x:v>
      </x:c>
      <x:c r="C2083" t="str">
        <x:v>KTO001</x:v>
      </x:c>
      <x:c r="D2083" t="str">
        <x:v>16-05-2026_Umsatzliste_Girokonto_DE98120300001061711675.csv</x:v>
      </x:c>
      <x:c r="E2083" t="n">
        <x:v>46163</x:v>
      </x:c>
      <x:c r="F2083" t="n">
        <x:v>2066</x:v>
      </x:c>
      <x:c r="G2083" t="str">
        <x:v>97857fb5e935b9f1749d69939b345c7f9bef15e90c49c697e336fd910115025c</x:v>
      </x:c>
      <x:c r="H2083" t="str">
        <x:v>neu</x:v>
      </x:c>
      <x:c r="I2083" t="str">
        <x:v>ok</x:v>
      </x:c>
      <x:c r="J2083"/>
      <x:c r="K2083" t="n">
        <x:v>45464</x:v>
      </x:c>
      <x:c r="L2083" t="n">
        <x:v>45464</x:v>
      </x:c>
      <x:c r="M2083" t="str">
        <x:v>Gebucht</x:v>
      </x:c>
      <x:c r="N2083" t="str">
        <x:v>ISSUER</x:v>
      </x:c>
      <x:c r="O2083" t="str">
        <x:v>REWE.Salzgitter.Ge/Salzgitter</x:v>
      </x:c>
      <x:c r="P2083" t="str">
        <x:v>VISA Debitkartenumsatz vom 20.06.2024</x:v>
      </x:c>
      <x:c r="Q2083" t="str">
        <x:v>Ausgang</x:v>
      </x:c>
      <x:c r="R2083" t="str">
        <x:v>DE96120300009005290904</x:v>
      </x:c>
      <x:c r="S2083" t="n">
        <x:v>-2.81</x:v>
      </x:c>
      <x:c r="T2083" t="str">
        <x:v>"</x:v>
      </x:c>
      <x:c r="U2083" t="str">
        <x:v>"</x:v>
      </x:c>
      <x:c r="V2083" t="str">
        <x:v>484172584406593</x:v>
      </x:c>
    </x:row>
    <x:row r="2084">
      <x:c r="A2084" t="str">
        <x:v>RAW-IMP-20260516-FULLDRAFT-002067</x:v>
      </x:c>
      <x:c r="B2084" t="str">
        <x:v>IMP-20260516-FULLDRAFT</x:v>
      </x:c>
      <x:c r="C2084" t="str">
        <x:v>KTO001</x:v>
      </x:c>
      <x:c r="D2084" t="str">
        <x:v>16-05-2026_Umsatzliste_Girokonto_DE98120300001061711675.csv</x:v>
      </x:c>
      <x:c r="E2084" t="n">
        <x:v>46163</x:v>
      </x:c>
      <x:c r="F2084" t="n">
        <x:v>2067</x:v>
      </x:c>
      <x:c r="G2084" t="str">
        <x:v>ece94f0ebf29ac840dc29bd79df6aa75c345587c732eb7153fd393bf33dbe163</x:v>
      </x:c>
      <x:c r="H2084" t="str">
        <x:v>neu</x:v>
      </x:c>
      <x:c r="I2084" t="str">
        <x:v>ok</x:v>
      </x:c>
      <x:c r="J2084"/>
      <x:c r="K2084" t="n">
        <x:v>45463</x:v>
      </x:c>
      <x:c r="L2084" t="n">
        <x:v>45463</x:v>
      </x:c>
      <x:c r="M2084" t="str">
        <x:v>Gebucht</x:v>
      </x:c>
      <x:c r="N2084" t="str">
        <x:v>Lars Kohlenberg</x:v>
      </x:c>
      <x:c r="O2084" t="str">
        <x:v>Ingrid Mosig</x:v>
      </x:c>
      <x:c r="P2084" t="str">
        <x:v>Rückzahlung Robbi</x:v>
      </x:c>
      <x:c r="Q2084" t="str">
        <x:v>Ausgang</x:v>
      </x:c>
      <x:c r="R2084" t="str">
        <x:v>DE50370100500590891500</x:v>
      </x:c>
      <x:c r="S2084" t="n">
        <x:v>-300</x:v>
      </x:c>
      <x:c r="T2084" t="str">
        <x:v>"</x:v>
      </x:c>
      <x:c r="U2084" t="str">
        <x:v>"</x:v>
      </x:c>
      <x:c r="V2084" t="str">
        <x:v>"</x:v>
      </x:c>
    </x:row>
    <x:row r="2085">
      <x:c r="A2085" t="str">
        <x:v>RAW-IMP-20260516-FULLDRAFT-002068</x:v>
      </x:c>
      <x:c r="B2085" t="str">
        <x:v>IMP-20260516-FULLDRAFT</x:v>
      </x:c>
      <x:c r="C2085" t="str">
        <x:v>KTO001</x:v>
      </x:c>
      <x:c r="D2085" t="str">
        <x:v>16-05-2026_Umsatzliste_Girokonto_DE98120300001061711675.csv</x:v>
      </x:c>
      <x:c r="E2085" t="n">
        <x:v>46163</x:v>
      </x:c>
      <x:c r="F2085" t="n">
        <x:v>2068</x:v>
      </x:c>
      <x:c r="G2085" t="str">
        <x:v>1f8d75131206799ae44339ea9cdb084b0afa8056ec8d901edafdb9731384bd0a</x:v>
      </x:c>
      <x:c r="H2085" t="str">
        <x:v>neu</x:v>
      </x:c>
      <x:c r="I2085" t="str">
        <x:v>ok</x:v>
      </x:c>
      <x:c r="J2085"/>
      <x:c r="K2085" t="n">
        <x:v>45463</x:v>
      </x:c>
      <x:c r="L2085" t="n">
        <x:v>45463</x:v>
      </x:c>
      <x:c r="M2085" t="str">
        <x:v>Gebucht</x:v>
      </x:c>
      <x:c r="N2085" t="str">
        <x:v>ISSUER</x:v>
      </x:c>
      <x:c r="O2085" t="str">
        <x:v>REWE.Salzgitter.Ge/Salzgitter</x:v>
      </x:c>
      <x:c r="P2085" t="str">
        <x:v>VISA Debitkartenumsatz vom 19.06.2024</x:v>
      </x:c>
      <x:c r="Q2085" t="str">
        <x:v>Ausgang</x:v>
      </x:c>
      <x:c r="R2085" t="str">
        <x:v>DE96120300009005290904</x:v>
      </x:c>
      <x:c r="S2085" t="n">
        <x:v>-12.5</x:v>
      </x:c>
      <x:c r="T2085" t="str">
        <x:v>"</x:v>
      </x:c>
      <x:c r="U2085" t="str">
        <x:v>"</x:v>
      </x:c>
      <x:c r="V2085" t="str">
        <x:v>484171622409298</x:v>
      </x:c>
    </x:row>
    <x:row r="2086">
      <x:c r="A2086" t="str">
        <x:v>RAW-IMP-20260516-FULLDRAFT-002069</x:v>
      </x:c>
      <x:c r="B2086" t="str">
        <x:v>IMP-20260516-FULLDRAFT</x:v>
      </x:c>
      <x:c r="C2086" t="str">
        <x:v>KTO001</x:v>
      </x:c>
      <x:c r="D2086" t="str">
        <x:v>16-05-2026_Umsatzliste_Girokonto_DE98120300001061711675.csv</x:v>
      </x:c>
      <x:c r="E2086" t="n">
        <x:v>46163</x:v>
      </x:c>
      <x:c r="F2086" t="n">
        <x:v>2069</x:v>
      </x:c>
      <x:c r="G2086" t="str">
        <x:v>843852cb0b1dce086eecdbfd6a6b6502d178ee8dbcfc5913c4a1d75c9643ee2b</x:v>
      </x:c>
      <x:c r="H2086" t="str">
        <x:v>neu</x:v>
      </x:c>
      <x:c r="I2086" t="str">
        <x:v>ok</x:v>
      </x:c>
      <x:c r="J2086"/>
      <x:c r="K2086" t="n">
        <x:v>45463</x:v>
      </x:c>
      <x:c r="L2086" t="n">
        <x:v>45463</x:v>
      </x:c>
      <x:c r="M2086" t="str">
        <x:v>Gebucht</x:v>
      </x:c>
      <x:c r="N2086" t="str">
        <x:v>ISSUER</x:v>
      </x:c>
      <x:c r="O2086" t="str">
        <x:v>KAUFLAND.SALZGITTER.CIT/SALZGITTER</x:v>
      </x:c>
      <x:c r="P2086" t="str">
        <x:v>VISA Debitkartenumsatz vom 18.06.2024</x:v>
      </x:c>
      <x:c r="Q2086" t="str">
        <x:v>Ausgang</x:v>
      </x:c>
      <x:c r="R2086" t="str">
        <x:v>DE96120300009005290904</x:v>
      </x:c>
      <x:c r="S2086" t="n">
        <x:v>-49.68</x:v>
      </x:c>
      <x:c r="T2086" t="str">
        <x:v>"</x:v>
      </x:c>
      <x:c r="U2086" t="str">
        <x:v>"</x:v>
      </x:c>
      <x:c r="V2086" t="str">
        <x:v>484170644428237</x:v>
      </x:c>
    </x:row>
    <x:row r="2087">
      <x:c r="A2087" t="str">
        <x:v>RAW-IMP-20260516-FULLDRAFT-002070</x:v>
      </x:c>
      <x:c r="B2087" t="str">
        <x:v>IMP-20260516-FULLDRAFT</x:v>
      </x:c>
      <x:c r="C2087" t="str">
        <x:v>KTO001</x:v>
      </x:c>
      <x:c r="D2087" t="str">
        <x:v>16-05-2026_Umsatzliste_Girokonto_DE98120300001061711675.csv</x:v>
      </x:c>
      <x:c r="E2087" t="n">
        <x:v>46163</x:v>
      </x:c>
      <x:c r="F2087" t="n">
        <x:v>2070</x:v>
      </x:c>
      <x:c r="G2087" t="str">
        <x:v>13568ee29e903d14b8ed9f643a6001dc1f6a547ff229039a5e0661c6fc928206</x:v>
      </x:c>
      <x:c r="H2087" t="str">
        <x:v>neu</x:v>
      </x:c>
      <x:c r="I2087" t="str">
        <x:v>ok</x:v>
      </x:c>
      <x:c r="J2087"/>
      <x:c r="K2087" t="n">
        <x:v>45462</x:v>
      </x:c>
      <x:c r="L2087" t="n">
        <x:v>45462</x:v>
      </x:c>
      <x:c r="M2087" t="str">
        <x:v>Gebucht</x:v>
      </x:c>
      <x:c r="N2087" t="str">
        <x:v>ISSUER</x:v>
      </x:c>
      <x:c r="O2087" t="str">
        <x:v>EDEKA.POTRATZ/HILDESHEIM</x:v>
      </x:c>
      <x:c r="P2087" t="str">
        <x:v>VISA Debitkartenumsatz vom 18.06.2024</x:v>
      </x:c>
      <x:c r="Q2087" t="str">
        <x:v>Ausgang</x:v>
      </x:c>
      <x:c r="R2087" t="str">
        <x:v>DE96120300009005290904</x:v>
      </x:c>
      <x:c r="S2087" t="n">
        <x:v>-2.93</x:v>
      </x:c>
      <x:c r="T2087" t="str">
        <x:v>"</x:v>
      </x:c>
      <x:c r="U2087" t="str">
        <x:v>"</x:v>
      </x:c>
      <x:c r="V2087" t="str">
        <x:v>484170396951066</x:v>
      </x:c>
    </x:row>
    <x:row r="2088">
      <x:c r="A2088" t="str">
        <x:v>RAW-IMP-20260516-FULLDRAFT-002071</x:v>
      </x:c>
      <x:c r="B2088" t="str">
        <x:v>IMP-20260516-FULLDRAFT</x:v>
      </x:c>
      <x:c r="C2088" t="str">
        <x:v>KTO001</x:v>
      </x:c>
      <x:c r="D2088" t="str">
        <x:v>16-05-2026_Umsatzliste_Girokonto_DE98120300001061711675.csv</x:v>
      </x:c>
      <x:c r="E2088" t="n">
        <x:v>46163</x:v>
      </x:c>
      <x:c r="F2088" t="n">
        <x:v>2071</x:v>
      </x:c>
      <x:c r="G2088" t="str">
        <x:v>0dbb3dc2ae50d861fac5bff5aad57725fc5421569db1ec1f44b303571f0caeb1</x:v>
      </x:c>
      <x:c r="H2088" t="str">
        <x:v>neu</x:v>
      </x:c>
      <x:c r="I2088" t="str">
        <x:v>ok</x:v>
      </x:c>
      <x:c r="J2088"/>
      <x:c r="K2088" t="n">
        <x:v>45461</x:v>
      </x:c>
      <x:c r="L2088" t="n">
        <x:v>45461</x:v>
      </x:c>
      <x:c r="M2088" t="str">
        <x:v>Gebucht</x:v>
      </x:c>
      <x:c r="N2088" t="str">
        <x:v>ISSUER</x:v>
      </x:c>
      <x:c r="O2088" t="str">
        <x:v>SCHAEFERS.35189/SALZGITTER</x:v>
      </x:c>
      <x:c r="P2088" t="str">
        <x:v>VISA Debitkartenumsatz vom 17.06.2024</x:v>
      </x:c>
      <x:c r="Q2088" t="str">
        <x:v>Ausgang</x:v>
      </x:c>
      <x:c r="R2088" t="str">
        <x:v>DE96120300009005290904</x:v>
      </x:c>
      <x:c r="S2088" t="n">
        <x:v>-4</x:v>
      </x:c>
      <x:c r="T2088" t="str">
        <x:v>"</x:v>
      </x:c>
      <x:c r="U2088" t="str">
        <x:v>"</x:v>
      </x:c>
      <x:c r="V2088" t="str">
        <x:v>484169592356961</x:v>
      </x:c>
    </x:row>
    <x:row r="2089">
      <x:c r="A2089" t="str">
        <x:v>RAW-IMP-20260516-FULLDRAFT-002072</x:v>
      </x:c>
      <x:c r="B2089" t="str">
        <x:v>IMP-20260516-FULLDRAFT</x:v>
      </x:c>
      <x:c r="C2089" t="str">
        <x:v>KTO001</x:v>
      </x:c>
      <x:c r="D2089" t="str">
        <x:v>16-05-2026_Umsatzliste_Girokonto_DE98120300001061711675.csv</x:v>
      </x:c>
      <x:c r="E2089" t="n">
        <x:v>46163</x:v>
      </x:c>
      <x:c r="F2089" t="n">
        <x:v>2072</x:v>
      </x:c>
      <x:c r="G2089" t="str">
        <x:v>30f9d23e77054991d68d3f6d37056b4381931786a0675ec15f08b7166385209b</x:v>
      </x:c>
      <x:c r="H2089" t="str">
        <x:v>neu</x:v>
      </x:c>
      <x:c r="I2089" t="str">
        <x:v>ok</x:v>
      </x:c>
      <x:c r="J2089"/>
      <x:c r="K2089" t="n">
        <x:v>45461</x:v>
      </x:c>
      <x:c r="L2089" t="n">
        <x:v>45461</x:v>
      </x:c>
      <x:c r="M2089" t="str">
        <x:v>Gebucht</x:v>
      </x:c>
      <x:c r="N2089" t="str">
        <x:v>Ingrid Mosig Harald Mosig</x:v>
      </x:c>
      <x:c r="O2089" t="str">
        <x:v>Lars Kohlenberg</x:v>
      </x:c>
      <x:c r="P2089" t="str">
        <x:v>Robbi. Vielen lieben Dank Harald und Ingrid Mosig</x:v>
      </x:c>
      <x:c r="Q2089" t="str">
        <x:v>Eingang</x:v>
      </x:c>
      <x:c r="R2089" t="str">
        <x:v>DE50370100500590891500</x:v>
      </x:c>
      <x:c r="S2089" t="n">
        <x:v>1295</x:v>
      </x:c>
      <x:c r="T2089" t="str">
        <x:v>"</x:v>
      </x:c>
      <x:c r="U2089" t="str">
        <x:v>"</x:v>
      </x:c>
      <x:c r="V2089" t="str">
        <x:v>"</x:v>
      </x:c>
    </x:row>
    <x:row r="2090">
      <x:c r="A2090" t="str">
        <x:v>RAW-IMP-20260516-FULLDRAFT-002073</x:v>
      </x:c>
      <x:c r="B2090" t="str">
        <x:v>IMP-20260516-FULLDRAFT</x:v>
      </x:c>
      <x:c r="C2090" t="str">
        <x:v>KTO001</x:v>
      </x:c>
      <x:c r="D2090" t="str">
        <x:v>16-05-2026_Umsatzliste_Girokonto_DE98120300001061711675.csv</x:v>
      </x:c>
      <x:c r="E2090" t="n">
        <x:v>46163</x:v>
      </x:c>
      <x:c r="F2090" t="n">
        <x:v>2073</x:v>
      </x:c>
      <x:c r="G2090" t="str">
        <x:v>06230427112824c5fb7a03d8f3b48b136650d2ac9488cd2ce6c9db16b71101ed</x:v>
      </x:c>
      <x:c r="H2090" t="str">
        <x:v>neu</x:v>
      </x:c>
      <x:c r="I2090" t="str">
        <x:v>ok</x:v>
      </x:c>
      <x:c r="J2090"/>
      <x:c r="K2090" t="n">
        <x:v>45461</x:v>
      </x:c>
      <x:c r="L2090" t="n">
        <x:v>45461</x:v>
      </x:c>
      <x:c r="M2090" t="str">
        <x:v>Gebucht</x:v>
      </x:c>
      <x:c r="N2090" t="str">
        <x:v>/CDGM/4825110010617116753/0/2612</x:v>
      </x:c>
      <x:c r="O2090" t="str">
        <x:v>NORDSEEHOTEL KROEGER MARTIN KROEGER</x:v>
      </x:c>
      <x:c r="P2090" t="str">
        <x:v>ELV54055996 13.06 09.01 ME0</x:v>
      </x:c>
      <x:c r="Q2090" t="str">
        <x:v>Ausgang</x:v>
      </x:c>
      <x:c r="R2090" t="str">
        <x:v>DE76285500000000068155</x:v>
      </x:c>
      <x:c r="S2090" t="n">
        <x:v>-162.5</x:v>
      </x:c>
      <x:c r="T2090" t="str">
        <x:v>DE24ZZZ00001669974</x:v>
      </x:c>
      <x:c r="U2090" t="str">
        <x:v>5405599691902406130901</x:v>
      </x:c>
      <x:c r="V2090" t="str">
        <x:v>T024061354055996226630</x:v>
      </x:c>
    </x:row>
    <x:row r="2091">
      <x:c r="A2091" t="str">
        <x:v>RAW-IMP-20260516-FULLDRAFT-002074</x:v>
      </x:c>
      <x:c r="B2091" t="str">
        <x:v>IMP-20260516-FULLDRAFT</x:v>
      </x:c>
      <x:c r="C2091" t="str">
        <x:v>KTO001</x:v>
      </x:c>
      <x:c r="D2091" t="str">
        <x:v>16-05-2026_Umsatzliste_Girokonto_DE98120300001061711675.csv</x:v>
      </x:c>
      <x:c r="E2091" t="n">
        <x:v>46163</x:v>
      </x:c>
      <x:c r="F2091" t="n">
        <x:v>2074</x:v>
      </x:c>
      <x:c r="G2091" t="str">
        <x:v>f4601b5a9ac4e53df80acb3e719d8865511dd99c52ac137377f06f81db65501b</x:v>
      </x:c>
      <x:c r="H2091" t="str">
        <x:v>neu</x:v>
      </x:c>
      <x:c r="I2091" t="str">
        <x:v>ok</x:v>
      </x:c>
      <x:c r="J2091"/>
      <x:c r="K2091" t="n">
        <x:v>45461</x:v>
      </x:c>
      <x:c r="L2091" t="n">
        <x:v>45461</x:v>
      </x:c>
      <x:c r="M2091" t="str">
        <x:v>Gebucht</x:v>
      </x:c>
      <x:c r="N2091" t="str">
        <x:v>Lars Kohlenberg</x:v>
      </x:c>
      <x:c r="O2091" t="str">
        <x:v>VHV Allg. Versicherung AG</x:v>
      </x:c>
      <x:c r="P2091" t="str">
        <x:v>VHV Versicherung RECHTSSCHUTZVERSICHERUNG R 601-153027/0000 Abrechnung: 16.06.24 - 16.06.25</x:v>
      </x:c>
      <x:c r="Q2091" t="str">
        <x:v>Ausgang</x:v>
      </x:c>
      <x:c r="R2091" t="str">
        <x:v>DE65250500000101411551</x:v>
      </x:c>
      <x:c r="S2091" t="n">
        <x:v>-260.09</x:v>
      </x:c>
      <x:c r="T2091" t="str">
        <x:v>DE32VHV00000150810</x:v>
      </x:c>
      <x:c r="U2091" t="str">
        <x:v>0015012300010040</x:v>
      </x:c>
      <x:c r="V2091" t="str">
        <x:v>31293067844</x:v>
      </x:c>
    </x:row>
    <x:row r="2092">
      <x:c r="A2092" t="str">
        <x:v>RAW-IMP-20260516-FULLDRAFT-002075</x:v>
      </x:c>
      <x:c r="B2092" t="str">
        <x:v>IMP-20260516-FULLDRAFT</x:v>
      </x:c>
      <x:c r="C2092" t="str">
        <x:v>KTO001</x:v>
      </x:c>
      <x:c r="D2092" t="str">
        <x:v>16-05-2026_Umsatzliste_Girokonto_DE98120300001061711675.csv</x:v>
      </x:c>
      <x:c r="E2092" t="n">
        <x:v>46163</x:v>
      </x:c>
      <x:c r="F2092" t="n">
        <x:v>2075</x:v>
      </x:c>
      <x:c r="G2092" t="str">
        <x:v>ffd3259718c45c671b2f34843a1ef9b4efa67ed22efcf0be83af1943accc80c3</x:v>
      </x:c>
      <x:c r="H2092" t="str">
        <x:v>neu</x:v>
      </x:c>
      <x:c r="I2092" t="str">
        <x:v>ok</x:v>
      </x:c>
      <x:c r="J2092"/>
      <x:c r="K2092" t="n">
        <x:v>45460</x:v>
      </x:c>
      <x:c r="L2092" t="n">
        <x:v>45460</x:v>
      </x:c>
      <x:c r="M2092" t="str">
        <x:v>Gebucht</x:v>
      </x:c>
      <x:c r="N2092" t="str">
        <x:v>ISSUER</x:v>
      </x:c>
      <x:c r="O2092" t="str">
        <x:v>TAS.SALDER/SALZGITTER</x:v>
      </x:c>
      <x:c r="P2092" t="str">
        <x:v>VISA Debitkartenumsatz vom 14.06.2024</x:v>
      </x:c>
      <x:c r="Q2092" t="str">
        <x:v>Ausgang</x:v>
      </x:c>
      <x:c r="R2092" t="str">
        <x:v>DE96120300009005290904</x:v>
      </x:c>
      <x:c r="S2092" t="n">
        <x:v>-86.87</x:v>
      </x:c>
      <x:c r="T2092" t="str">
        <x:v>"</x:v>
      </x:c>
      <x:c r="U2092" t="str">
        <x:v>"</x:v>
      </x:c>
      <x:c r="V2092" t="str">
        <x:v>484166444953000</x:v>
      </x:c>
    </x:row>
    <x:row r="2093">
      <x:c r="A2093" t="str">
        <x:v>RAW-IMP-20260516-FULLDRAFT-002076</x:v>
      </x:c>
      <x:c r="B2093" t="str">
        <x:v>IMP-20260516-FULLDRAFT</x:v>
      </x:c>
      <x:c r="C2093" t="str">
        <x:v>KTO001</x:v>
      </x:c>
      <x:c r="D2093" t="str">
        <x:v>16-05-2026_Umsatzliste_Girokonto_DE98120300001061711675.csv</x:v>
      </x:c>
      <x:c r="E2093" t="n">
        <x:v>46163</x:v>
      </x:c>
      <x:c r="F2093" t="n">
        <x:v>2076</x:v>
      </x:c>
      <x:c r="G2093" t="str">
        <x:v>06a868bbc95a31e98894dfeaa3d0e810429fb1e587b43f27751417bc6416943c</x:v>
      </x:c>
      <x:c r="H2093" t="str">
        <x:v>neu</x:v>
      </x:c>
      <x:c r="I2093" t="str">
        <x:v>ok</x:v>
      </x:c>
      <x:c r="J2093"/>
      <x:c r="K2093" t="n">
        <x:v>45460</x:v>
      </x:c>
      <x:c r="L2093" t="n">
        <x:v>45460</x:v>
      </x:c>
      <x:c r="M2093" t="str">
        <x:v>Gebucht</x:v>
      </x:c>
      <x:c r="N2093" t="str">
        <x:v>ISSUER</x:v>
      </x:c>
      <x:c r="O2093" t="str">
        <x:v>SPK.HILDESHEIM.GOSLAR.P/KLESMERPLA</x:v>
      </x:c>
      <x:c r="P2093" t="str">
        <x:v>VISA Debitkartenumsatz vom 15.06.2024</x:v>
      </x:c>
      <x:c r="Q2093" t="str">
        <x:v>Ausgang</x:v>
      </x:c>
      <x:c r="R2093" t="str">
        <x:v>DE96120300009005290904</x:v>
      </x:c>
      <x:c r="S2093" t="n">
        <x:v>-100</x:v>
      </x:c>
      <x:c r="T2093" t="str">
        <x:v>"</x:v>
      </x:c>
      <x:c r="U2093" t="str">
        <x:v>"</x:v>
      </x:c>
      <x:c r="V2093" t="str">
        <x:v>484167430487548</x:v>
      </x:c>
    </x:row>
    <x:row r="2094">
      <x:c r="A2094" t="str">
        <x:v>RAW-IMP-20260516-FULLDRAFT-002077</x:v>
      </x:c>
      <x:c r="B2094" t="str">
        <x:v>IMP-20260516-FULLDRAFT</x:v>
      </x:c>
      <x:c r="C2094" t="str">
        <x:v>KTO001</x:v>
      </x:c>
      <x:c r="D2094" t="str">
        <x:v>16-05-2026_Umsatzliste_Girokonto_DE98120300001061711675.csv</x:v>
      </x:c>
      <x:c r="E2094" t="n">
        <x:v>46163</x:v>
      </x:c>
      <x:c r="F2094" t="n">
        <x:v>2077</x:v>
      </x:c>
      <x:c r="G2094" t="str">
        <x:v>d7049c1026a2876e5c0f27ae6a0bbec739cc549b324d670cb4714daa5e1cf548</x:v>
      </x:c>
      <x:c r="H2094" t="str">
        <x:v>neu</x:v>
      </x:c>
      <x:c r="I2094" t="str">
        <x:v>ok</x:v>
      </x:c>
      <x:c r="J2094"/>
      <x:c r="K2094" t="n">
        <x:v>45460</x:v>
      </x:c>
      <x:c r="L2094" t="n">
        <x:v>45460</x:v>
      </x:c>
      <x:c r="M2094" t="str">
        <x:v>Gebucht</x:v>
      </x:c>
      <x:c r="N2094" t="str">
        <x:v>ISSUER</x:v>
      </x:c>
      <x:c r="O2094" t="str">
        <x:v>OBI.SAGT.DANKE/Hildesheim</x:v>
      </x:c>
      <x:c r="P2094" t="str">
        <x:v>VISA Debitkartenumsatz vom 15.06.2024</x:v>
      </x:c>
      <x:c r="Q2094" t="str">
        <x:v>Ausgang</x:v>
      </x:c>
      <x:c r="R2094" t="str">
        <x:v>DE96120300009005290904</x:v>
      </x:c>
      <x:c r="S2094" t="n">
        <x:v>-999.99</x:v>
      </x:c>
      <x:c r="T2094" t="str">
        <x:v>"</x:v>
      </x:c>
      <x:c r="U2094" t="str">
        <x:v>"</x:v>
      </x:c>
      <x:c r="V2094" t="str">
        <x:v>484167395237791</x:v>
      </x:c>
    </x:row>
    <x:row r="2095">
      <x:c r="A2095" t="str">
        <x:v>RAW-IMP-20260516-FULLDRAFT-002078</x:v>
      </x:c>
      <x:c r="B2095" t="str">
        <x:v>IMP-20260516-FULLDRAFT</x:v>
      </x:c>
      <x:c r="C2095" t="str">
        <x:v>KTO001</x:v>
      </x:c>
      <x:c r="D2095" t="str">
        <x:v>16-05-2026_Umsatzliste_Girokonto_DE98120300001061711675.csv</x:v>
      </x:c>
      <x:c r="E2095" t="n">
        <x:v>46163</x:v>
      </x:c>
      <x:c r="F2095" t="n">
        <x:v>2078</x:v>
      </x:c>
      <x:c r="G2095" t="str">
        <x:v>fdbd756b1eff546356ac42fc8f11cd6c19bab35c75c366d1682e93501f145a60</x:v>
      </x:c>
      <x:c r="H2095" t="str">
        <x:v>neu</x:v>
      </x:c>
      <x:c r="I2095" t="str">
        <x:v>ok</x:v>
      </x:c>
      <x:c r="J2095"/>
      <x:c r="K2095" t="n">
        <x:v>45460</x:v>
      </x:c>
      <x:c r="L2095" t="n">
        <x:v>45460</x:v>
      </x:c>
      <x:c r="M2095" t="str">
        <x:v>Gebucht</x:v>
      </x:c>
      <x:c r="N2095" t="str">
        <x:v>ISSUER</x:v>
      </x:c>
      <x:c r="O2095" t="str">
        <x:v>Esso.Station.Hildesheim/Hildesheim</x:v>
      </x:c>
      <x:c r="P2095" t="str">
        <x:v>VISA Debitkartenumsatz vom 14.06.2024</x:v>
      </x:c>
      <x:c r="Q2095" t="str">
        <x:v>Ausgang</x:v>
      </x:c>
      <x:c r="R2095" t="str">
        <x:v>DE96120300009005290904</x:v>
      </x:c>
      <x:c r="S2095" t="n">
        <x:v>-89.34</x:v>
      </x:c>
      <x:c r="T2095" t="str">
        <x:v>"</x:v>
      </x:c>
      <x:c r="U2095" t="str">
        <x:v>"</x:v>
      </x:c>
      <x:c r="V2095" t="str">
        <x:v>484166415794957</x:v>
      </x:c>
    </x:row>
    <x:row r="2096">
      <x:c r="A2096" t="str">
        <x:v>RAW-IMP-20260516-FULLDRAFT-002079</x:v>
      </x:c>
      <x:c r="B2096" t="str">
        <x:v>IMP-20260516-FULLDRAFT</x:v>
      </x:c>
      <x:c r="C2096" t="str">
        <x:v>KTO001</x:v>
      </x:c>
      <x:c r="D2096" t="str">
        <x:v>16-05-2026_Umsatzliste_Girokonto_DE98120300001061711675.csv</x:v>
      </x:c>
      <x:c r="E2096" t="n">
        <x:v>46163</x:v>
      </x:c>
      <x:c r="F2096" t="n">
        <x:v>2079</x:v>
      </x:c>
      <x:c r="G2096" t="str">
        <x:v>bb4ed3905c7d2c9448ce7ae7cb5ad4308db07bfd6ef0fdaa50541667ee0e7f1f</x:v>
      </x:c>
      <x:c r="H2096" t="str">
        <x:v>neu</x:v>
      </x:c>
      <x:c r="I2096" t="str">
        <x:v>ok</x:v>
      </x:c>
      <x:c r="J2096"/>
      <x:c r="K2096" t="n">
        <x:v>45460</x:v>
      </x:c>
      <x:c r="L2096" t="n">
        <x:v>45460</x:v>
      </x:c>
      <x:c r="M2096" t="str">
        <x:v>Gebucht</x:v>
      </x:c>
      <x:c r="N2096" t="str">
        <x:v>Lars Kohlenberg</x:v>
      </x:c>
      <x:c r="O2096" t="str">
        <x:v>Drillisch Online GmbH                                                 Wilhelm-Rontgen-Strase 1-5, 63477 Maintal</x:v>
      </x:c>
      <x:c r="P2096" t="str">
        <x:v>C0851820 U636006315 B736145734 winSIM</x:v>
      </x:c>
      <x:c r="Q2096" t="str">
        <x:v>Ausgang</x:v>
      </x:c>
      <x:c r="R2096" t="str">
        <x:v>DE87300500000008996811</x:v>
      </x:c>
      <x:c r="S2096" t="n">
        <x:v>-6.99</x:v>
      </x:c>
      <x:c r="T2096" t="str">
        <x:v>DE40ZZZ00000206926</x:v>
      </x:c>
      <x:c r="U2096" t="str">
        <x:v>FB1310D094B04186E02ACE7B8C6</x:v>
      </x:c>
      <x:c r="V2096" t="str">
        <x:v>SGUPDAYBKVSSDXUH</x:v>
      </x:c>
    </x:row>
    <x:row r="2097">
      <x:c r="A2097" t="str">
        <x:v>RAW-IMP-20260516-FULLDRAFT-002080</x:v>
      </x:c>
      <x:c r="B2097" t="str">
        <x:v>IMP-20260516-FULLDRAFT</x:v>
      </x:c>
      <x:c r="C2097" t="str">
        <x:v>KTO001</x:v>
      </x:c>
      <x:c r="D2097" t="str">
        <x:v>16-05-2026_Umsatzliste_Girokonto_DE98120300001061711675.csv</x:v>
      </x:c>
      <x:c r="E2097" t="n">
        <x:v>46163</x:v>
      </x:c>
      <x:c r="F2097" t="n">
        <x:v>2080</x:v>
      </x:c>
      <x:c r="G2097" t="str">
        <x:v>168e62db4084a9728dab7d5be36f568a9b1e3ad603a2a51c61e8a63c5d4627b0</x:v>
      </x:c>
      <x:c r="H2097" t="str">
        <x:v>neu</x:v>
      </x:c>
      <x:c r="I2097" t="str">
        <x:v>ok</x:v>
      </x:c>
      <x:c r="J2097"/>
      <x:c r="K2097" t="n">
        <x:v>45460</x:v>
      </x:c>
      <x:c r="L2097" t="n">
        <x:v>45460</x:v>
      </x:c>
      <x:c r="M2097" t="str">
        <x:v>Gebucht</x:v>
      </x:c>
      <x:c r="N2097" t="str">
        <x:v>Lars Kohlenberg</x:v>
      </x:c>
      <x:c r="O2097" t="str">
        <x:v>Drillisch Online GmbH                                                 Wilhelm-Rontgen-Strase 1-5, 63477 Maintal</x:v>
      </x:c>
      <x:c r="P2097" t="str">
        <x:v>C0851820 U637072534 B737429280 winSIM</x:v>
      </x:c>
      <x:c r="Q2097" t="str">
        <x:v>Ausgang</x:v>
      </x:c>
      <x:c r="R2097" t="str">
        <x:v>DE87300500000008996811</x:v>
      </x:c>
      <x:c r="S2097" t="n">
        <x:v>-6.99</x:v>
      </x:c>
      <x:c r="T2097" t="str">
        <x:v>DE40ZZZ00000206926</x:v>
      </x:c>
      <x:c r="U2097" t="str">
        <x:v>FB1310D094B04186E02ACE7B8C6</x:v>
      </x:c>
      <x:c r="V2097" t="str">
        <x:v>LWCVKLHYFZMDUCGL</x:v>
      </x:c>
    </x:row>
    <x:row r="2098">
      <x:c r="A2098" t="str">
        <x:v>RAW-IMP-20260516-FULLDRAFT-002081</x:v>
      </x:c>
      <x:c r="B2098" t="str">
        <x:v>IMP-20260516-FULLDRAFT</x:v>
      </x:c>
      <x:c r="C2098" t="str">
        <x:v>KTO001</x:v>
      </x:c>
      <x:c r="D2098" t="str">
        <x:v>16-05-2026_Umsatzliste_Girokonto_DE98120300001061711675.csv</x:v>
      </x:c>
      <x:c r="E2098" t="n">
        <x:v>46163</x:v>
      </x:c>
      <x:c r="F2098" t="n">
        <x:v>2081</x:v>
      </x:c>
      <x:c r="G2098" t="str">
        <x:v>83934cb9cadb4c023d7c7f36be3b09ddcfce159fbb54a6829a798de402c12458</x:v>
      </x:c>
      <x:c r="H2098" t="str">
        <x:v>neu</x:v>
      </x:c>
      <x:c r="I2098" t="str">
        <x:v>ok</x:v>
      </x:c>
      <x:c r="J2098"/>
      <x:c r="K2098" t="n">
        <x:v>45460</x:v>
      </x:c>
      <x:c r="L2098" t="n">
        <x:v>45460</x:v>
      </x:c>
      <x:c r="M2098" t="str">
        <x:v>Gebucht</x:v>
      </x:c>
      <x:c r="N2098" t="str">
        <x:v>Lars Kohlenberg</x:v>
      </x:c>
      <x:c r="O2098" t="str">
        <x:v>Drillisch Online GmbH                                                 Wilhelm-Rontgen-Strase 1-5, 63477 Maintal</x:v>
      </x:c>
      <x:c r="P2098" t="str">
        <x:v>C0851820 U640270219 B736646487 winSIM</x:v>
      </x:c>
      <x:c r="Q2098" t="str">
        <x:v>Ausgang</x:v>
      </x:c>
      <x:c r="R2098" t="str">
        <x:v>DE87300500000008996811</x:v>
      </x:c>
      <x:c r="S2098" t="n">
        <x:v>-6.99</x:v>
      </x:c>
      <x:c r="T2098" t="str">
        <x:v>DE40ZZZ00000206926</x:v>
      </x:c>
      <x:c r="U2098" t="str">
        <x:v>FB1310D094B04186E02ACE7B8C6</x:v>
      </x:c>
      <x:c r="V2098" t="str">
        <x:v>LEEGOVAZKIBIOVWO</x:v>
      </x:c>
    </x:row>
    <x:row r="2099">
      <x:c r="A2099" t="str">
        <x:v>RAW-IMP-20260516-FULLDRAFT-002082</x:v>
      </x:c>
      <x:c r="B2099" t="str">
        <x:v>IMP-20260516-FULLDRAFT</x:v>
      </x:c>
      <x:c r="C2099" t="str">
        <x:v>KTO001</x:v>
      </x:c>
      <x:c r="D2099" t="str">
        <x:v>16-05-2026_Umsatzliste_Girokonto_DE98120300001061711675.csv</x:v>
      </x:c>
      <x:c r="E2099" t="n">
        <x:v>46163</x:v>
      </x:c>
      <x:c r="F2099" t="n">
        <x:v>2082</x:v>
      </x:c>
      <x:c r="G2099" t="str">
        <x:v>76602b17af5a7f143c9e169629378b560ee8c0fec1c331419c82349c446b7c02</x:v>
      </x:c>
      <x:c r="H2099" t="str">
        <x:v>neu</x:v>
      </x:c>
      <x:c r="I2099" t="str">
        <x:v>ok</x:v>
      </x:c>
      <x:c r="J2099"/>
      <x:c r="K2099" t="n">
        <x:v>45460</x:v>
      </x:c>
      <x:c r="L2099" t="n">
        <x:v>45460</x:v>
      </x:c>
      <x:c r="M2099" t="str">
        <x:v>Gebucht</x:v>
      </x:c>
      <x:c r="N2099" t="str">
        <x:v>Lars Kohlenberg</x:v>
      </x:c>
      <x:c r="O2099" t="str">
        <x:v>Dr. Henning Rauls Rechtsanwalt GÖHMANN Rechtsanwälte</x:v>
      </x:c>
      <x:c r="P2099" t="str">
        <x:v>AktNr 000659-24</x:v>
      </x:c>
      <x:c r="Q2099" t="str">
        <x:v>Ausgang</x:v>
      </x:c>
      <x:c r="R2099" t="str">
        <x:v>DE76269910666912648000</x:v>
      </x:c>
      <x:c r="S2099" t="n">
        <x:v>-3787.18</x:v>
      </x:c>
      <x:c r="T2099" t="str">
        <x:v>"</x:v>
      </x:c>
      <x:c r="U2099" t="str">
        <x:v>"</x:v>
      </x:c>
      <x:c r="V2099" t="str">
        <x:v>"</x:v>
      </x:c>
    </x:row>
    <x:row r="2100">
      <x:c r="A2100" t="str">
        <x:v>RAW-IMP-20260516-FULLDRAFT-002083</x:v>
      </x:c>
      <x:c r="B2100" t="str">
        <x:v>IMP-20260516-FULLDRAFT</x:v>
      </x:c>
      <x:c r="C2100" t="str">
        <x:v>KTO001</x:v>
      </x:c>
      <x:c r="D2100" t="str">
        <x:v>16-05-2026_Umsatzliste_Girokonto_DE98120300001061711675.csv</x:v>
      </x:c>
      <x:c r="E2100" t="n">
        <x:v>46163</x:v>
      </x:c>
      <x:c r="F2100" t="n">
        <x:v>2083</x:v>
      </x:c>
      <x:c r="G2100" t="str">
        <x:v>30540d0eec016587f72a8329e9075d1ba3b84cb9d5c47ebe9d1898262a2b10c6</x:v>
      </x:c>
      <x:c r="H2100" t="str">
        <x:v>neu</x:v>
      </x:c>
      <x:c r="I2100" t="str">
        <x:v>ok</x:v>
      </x:c>
      <x:c r="J2100"/>
      <x:c r="K2100" t="n">
        <x:v>45457</x:v>
      </x:c>
      <x:c r="L2100" t="n">
        <x:v>45457</x:v>
      </x:c>
      <x:c r="M2100" t="str">
        <x:v>Gebucht</x:v>
      </x:c>
      <x:c r="N2100" t="str">
        <x:v>ISSUER</x:v>
      </x:c>
      <x:c r="O2100" t="str">
        <x:v>Lidl.sagt.Danke/Salzgitter</x:v>
      </x:c>
      <x:c r="P2100" t="str">
        <x:v>VISA Debitkartenumsatz vom 13.06.2024</x:v>
      </x:c>
      <x:c r="Q2100" t="str">
        <x:v>Ausgang</x:v>
      </x:c>
      <x:c r="R2100" t="str">
        <x:v>DE96120300009005290904</x:v>
      </x:c>
      <x:c r="S2100" t="n">
        <x:v>-26.52</x:v>
      </x:c>
      <x:c r="T2100" t="str">
        <x:v>"</x:v>
      </x:c>
      <x:c r="U2100" t="str">
        <x:v>"</x:v>
      </x:c>
      <x:c r="V2100" t="str">
        <x:v>484165649947603</x:v>
      </x:c>
    </x:row>
    <x:row r="2101">
      <x:c r="A2101" t="str">
        <x:v>RAW-IMP-20260516-FULLDRAFT-002084</x:v>
      </x:c>
      <x:c r="B2101" t="str">
        <x:v>IMP-20260516-FULLDRAFT</x:v>
      </x:c>
      <x:c r="C2101" t="str">
        <x:v>KTO001</x:v>
      </x:c>
      <x:c r="D2101" t="str">
        <x:v>16-05-2026_Umsatzliste_Girokonto_DE98120300001061711675.csv</x:v>
      </x:c>
      <x:c r="E2101" t="n">
        <x:v>46163</x:v>
      </x:c>
      <x:c r="F2101" t="n">
        <x:v>2084</x:v>
      </x:c>
      <x:c r="G2101" t="str">
        <x:v>b33c36006a507bf6dfc5850be859486e2f1f661ec7ab94a22575562dc9b00507</x:v>
      </x:c>
      <x:c r="H2101" t="str">
        <x:v>neu</x:v>
      </x:c>
      <x:c r="I2101" t="str">
        <x:v>ok</x:v>
      </x:c>
      <x:c r="J2101"/>
      <x:c r="K2101" t="n">
        <x:v>45457</x:v>
      </x:c>
      <x:c r="L2101" t="n">
        <x:v>45457</x:v>
      </x:c>
      <x:c r="M2101" t="str">
        <x:v>Gebucht</x:v>
      </x:c>
      <x:c r="N2101" t="str">
        <x:v>ISSUER</x:v>
      </x:c>
      <x:c r="O2101" t="str">
        <x:v>INSELPARKPLAETZE.GMBH/ESENS</x:v>
      </x:c>
      <x:c r="P2101" t="str">
        <x:v>VISA Debitkartenumsatz vom 13.06.2024</x:v>
      </x:c>
      <x:c r="Q2101" t="str">
        <x:v>Ausgang</x:v>
      </x:c>
      <x:c r="R2101" t="str">
        <x:v>DE96120300009005290904</x:v>
      </x:c>
      <x:c r="S2101" t="n">
        <x:v>-14</x:v>
      </x:c>
      <x:c r="T2101" t="str">
        <x:v>"</x:v>
      </x:c>
      <x:c r="U2101" t="str">
        <x:v>"</x:v>
      </x:c>
      <x:c r="V2101" t="str">
        <x:v>484165376289711</x:v>
      </x:c>
    </x:row>
    <x:row r="2102">
      <x:c r="A2102" t="str">
        <x:v>RAW-IMP-20260516-FULLDRAFT-002085</x:v>
      </x:c>
      <x:c r="B2102" t="str">
        <x:v>IMP-20260516-FULLDRAFT</x:v>
      </x:c>
      <x:c r="C2102" t="str">
        <x:v>KTO001</x:v>
      </x:c>
      <x:c r="D2102" t="str">
        <x:v>16-05-2026_Umsatzliste_Girokonto_DE98120300001061711675.csv</x:v>
      </x:c>
      <x:c r="E2102" t="n">
        <x:v>46163</x:v>
      </x:c>
      <x:c r="F2102" t="n">
        <x:v>2085</x:v>
      </x:c>
      <x:c r="G2102" t="str">
        <x:v>4f4ad2bb13adc92bdc273a741f0434890e9e55cbfca3c0de01c889ff0971fa04</x:v>
      </x:c>
      <x:c r="H2102" t="str">
        <x:v>neu</x:v>
      </x:c>
      <x:c r="I2102" t="str">
        <x:v>ok</x:v>
      </x:c>
      <x:c r="J2102"/>
      <x:c r="K2102" t="n">
        <x:v>45457</x:v>
      </x:c>
      <x:c r="L2102" t="n">
        <x:v>45457</x:v>
      </x:c>
      <x:c r="M2102" t="str">
        <x:v>Gebucht</x:v>
      </x:c>
      <x:c r="N2102" t="str">
        <x:v>ISSUER</x:v>
      </x:c>
      <x:c r="O2102" t="str">
        <x:v>MCDONALDS.01490/ACHIM</x:v>
      </x:c>
      <x:c r="P2102" t="str">
        <x:v>VISA Debitkartenumsatz vom 13.06.2024</x:v>
      </x:c>
      <x:c r="Q2102" t="str">
        <x:v>Ausgang</x:v>
      </x:c>
      <x:c r="R2102" t="str">
        <x:v>DE96120300009005290904</x:v>
      </x:c>
      <x:c r="S2102" t="n">
        <x:v>-7.5</x:v>
      </x:c>
      <x:c r="T2102" t="str">
        <x:v>"</x:v>
      </x:c>
      <x:c r="U2102" t="str">
        <x:v>"</x:v>
      </x:c>
      <x:c r="V2102" t="str">
        <x:v>484165449480318</x:v>
      </x:c>
    </x:row>
    <x:row r="2103">
      <x:c r="A2103" t="str">
        <x:v>RAW-IMP-20260516-FULLDRAFT-002086</x:v>
      </x:c>
      <x:c r="B2103" t="str">
        <x:v>IMP-20260516-FULLDRAFT</x:v>
      </x:c>
      <x:c r="C2103" t="str">
        <x:v>KTO001</x:v>
      </x:c>
      <x:c r="D2103" t="str">
        <x:v>16-05-2026_Umsatzliste_Girokonto_DE98120300001061711675.csv</x:v>
      </x:c>
      <x:c r="E2103" t="n">
        <x:v>46163</x:v>
      </x:c>
      <x:c r="F2103" t="n">
        <x:v>2086</x:v>
      </x:c>
      <x:c r="G2103" t="str">
        <x:v>d2af9c2726ea8479be5c8a5b3bfe4d8c5a3116cfc59a89db5df818f6c8da26fe</x:v>
      </x:c>
      <x:c r="H2103" t="str">
        <x:v>neu</x:v>
      </x:c>
      <x:c r="I2103" t="str">
        <x:v>ok</x:v>
      </x:c>
      <x:c r="J2103"/>
      <x:c r="K2103" t="n">
        <x:v>45457</x:v>
      </x:c>
      <x:c r="L2103" t="n">
        <x:v>45457</x:v>
      </x:c>
      <x:c r="M2103" t="str">
        <x:v>Gebucht</x:v>
      </x:c>
      <x:c r="N2103" t="str">
        <x:v>ISSUER</x:v>
      </x:c>
      <x:c r="O2103" t="str">
        <x:v>VOSS GMBH + CO. KG</x:v>
      </x:c>
      <x:c r="P2103" t="str">
        <x:v>Girokartenumsatz</x:v>
      </x:c>
      <x:c r="Q2103" t="str">
        <x:v>Ausgang</x:v>
      </x:c>
      <x:c r="R2103" t="str">
        <x:v>DE76285500000150818474</x:v>
      </x:c>
      <x:c r="S2103" t="n">
        <x:v>-17</x:v>
      </x:c>
      <x:c r="T2103" t="str">
        <x:v>"</x:v>
      </x:c>
      <x:c r="U2103" t="str">
        <x:v>"</x:v>
      </x:c>
      <x:c r="V2103" t="str">
        <x:v>54237015009479130624090842</x:v>
      </x:c>
    </x:row>
    <x:row r="2104">
      <x:c r="A2104" t="str">
        <x:v>RAW-IMP-20260516-FULLDRAFT-002087</x:v>
      </x:c>
      <x:c r="B2104" t="str">
        <x:v>IMP-20260516-FULLDRAFT</x:v>
      </x:c>
      <x:c r="C2104" t="str">
        <x:v>KTO001</x:v>
      </x:c>
      <x:c r="D2104" t="str">
        <x:v>16-05-2026_Umsatzliste_Girokonto_DE98120300001061711675.csv</x:v>
      </x:c>
      <x:c r="E2104" t="n">
        <x:v>46163</x:v>
      </x:c>
      <x:c r="F2104" t="n">
        <x:v>2087</x:v>
      </x:c>
      <x:c r="G2104" t="str">
        <x:v>a831a22717f6e8f5a8ca7e5f7af7685a618e960fcdb937c45fa202c994ed4826</x:v>
      </x:c>
      <x:c r="H2104" t="str">
        <x:v>neu</x:v>
      </x:c>
      <x:c r="I2104" t="str">
        <x:v>ok</x:v>
      </x:c>
      <x:c r="J2104"/>
      <x:c r="K2104" t="n">
        <x:v>45457</x:v>
      </x:c>
      <x:c r="L2104" t="n">
        <x:v>45457</x:v>
      </x:c>
      <x:c r="M2104" t="str">
        <x:v>Gebucht</x:v>
      </x:c>
      <x:c r="N2104" t="str">
        <x:v>ISSUER</x:v>
      </x:c>
      <x:c r="O2104" t="str">
        <x:v>REWE.Acar.oHG/Salzgitter</x:v>
      </x:c>
      <x:c r="P2104" t="str">
        <x:v>VISA Debitkartenumsatz vom 13.06.2024</x:v>
      </x:c>
      <x:c r="Q2104" t="str">
        <x:v>Ausgang</x:v>
      </x:c>
      <x:c r="R2104" t="str">
        <x:v>DE96120300009005290904</x:v>
      </x:c>
      <x:c r="S2104" t="n">
        <x:v>-171.98</x:v>
      </x:c>
      <x:c r="T2104" t="str">
        <x:v>"</x:v>
      </x:c>
      <x:c r="U2104" t="str">
        <x:v>"</x:v>
      </x:c>
      <x:c r="V2104" t="str">
        <x:v>484165644512088</x:v>
      </x:c>
    </x:row>
    <x:row r="2105">
      <x:c r="A2105" t="str">
        <x:v>RAW-IMP-20260516-FULLDRAFT-002088</x:v>
      </x:c>
      <x:c r="B2105" t="str">
        <x:v>IMP-20260516-FULLDRAFT</x:v>
      </x:c>
      <x:c r="C2105" t="str">
        <x:v>KTO001</x:v>
      </x:c>
      <x:c r="D2105" t="str">
        <x:v>16-05-2026_Umsatzliste_Girokonto_DE98120300001061711675.csv</x:v>
      </x:c>
      <x:c r="E2105" t="n">
        <x:v>46163</x:v>
      </x:c>
      <x:c r="F2105" t="n">
        <x:v>2088</x:v>
      </x:c>
      <x:c r="G2105" t="str">
        <x:v>88270d6f5547dc576312b75946bcb4443b1c59b8d804f7ed020b977889b655a7</x:v>
      </x:c>
      <x:c r="H2105" t="str">
        <x:v>neu</x:v>
      </x:c>
      <x:c r="I2105" t="str">
        <x:v>ok</x:v>
      </x:c>
      <x:c r="J2105"/>
      <x:c r="K2105" t="n">
        <x:v>45457</x:v>
      </x:c>
      <x:c r="L2105" t="n">
        <x:v>45457</x:v>
      </x:c>
      <x:c r="M2105" t="str">
        <x:v>Gebucht</x:v>
      </x:c>
      <x:c r="N2105" t="str">
        <x:v>PAYPAL..BAUMOBILSER/3475613830</x:v>
      </x:c>
      <x:c r="O2105" t="str">
        <x:v>NOTPROVIDED</x:v>
      </x:c>
      <x:c r="P2105" t="str">
        <x:v>20240614172936 PAYPAL..BAUMOBILSER DE</x:v>
      </x:c>
      <x:c r="Q2105" t="str">
        <x:v>Eingang</x:v>
      </x:c>
      <x:c r="R2105" t="str">
        <x:v>DE96120300009005290904</x:v>
      </x:c>
      <x:c r="S2105" t="n">
        <x:v>1295</x:v>
      </x:c>
      <x:c r="T2105" t="str">
        <x:v>"</x:v>
      </x:c>
      <x:c r="U2105" t="str">
        <x:v>"</x:v>
      </x:c>
      <x:c r="V2105" t="str">
        <x:v>484158426014429</x:v>
      </x:c>
    </x:row>
    <x:row r="2106">
      <x:c r="A2106" t="str">
        <x:v>RAW-IMP-20260516-FULLDRAFT-002089</x:v>
      </x:c>
      <x:c r="B2106" t="str">
        <x:v>IMP-20260516-FULLDRAFT</x:v>
      </x:c>
      <x:c r="C2106" t="str">
        <x:v>KTO001</x:v>
      </x:c>
      <x:c r="D2106" t="str">
        <x:v>16-05-2026_Umsatzliste_Girokonto_DE98120300001061711675.csv</x:v>
      </x:c>
      <x:c r="E2106" t="n">
        <x:v>46163</x:v>
      </x:c>
      <x:c r="F2106" t="n">
        <x:v>2089</x:v>
      </x:c>
      <x:c r="G2106" t="str">
        <x:v>6cd7fcb10f8c579eb685496e101f3979b7796af1319abbae2494166ba04931bf</x:v>
      </x:c>
      <x:c r="H2106" t="str">
        <x:v>neu</x:v>
      </x:c>
      <x:c r="I2106" t="str">
        <x:v>ok</x:v>
      </x:c>
      <x:c r="J2106"/>
      <x:c r="K2106" t="n">
        <x:v>45456</x:v>
      </x:c>
      <x:c r="L2106" t="n">
        <x:v>45456</x:v>
      </x:c>
      <x:c r="M2106" t="str">
        <x:v>Gebucht</x:v>
      </x:c>
      <x:c r="N2106" t="str">
        <x:v>ISSUER</x:v>
      </x:c>
      <x:c r="O2106" t="str">
        <x:v>Tourismus.Service.Lange/Langeoog</x:v>
      </x:c>
      <x:c r="P2106" t="str">
        <x:v>VISA Debitkartenumsatz vom 12.06.2024</x:v>
      </x:c>
      <x:c r="Q2106" t="str">
        <x:v>Ausgang</x:v>
      </x:c>
      <x:c r="R2106" t="str">
        <x:v>DE96120300009005290904</x:v>
      </x:c>
      <x:c r="S2106" t="n">
        <x:v>-33</x:v>
      </x:c>
      <x:c r="T2106" t="str">
        <x:v>"</x:v>
      </x:c>
      <x:c r="U2106" t="str">
        <x:v>"</x:v>
      </x:c>
      <x:c r="V2106" t="str">
        <x:v>484164313884383</x:v>
      </x:c>
    </x:row>
    <x:row r="2107">
      <x:c r="A2107" t="str">
        <x:v>RAW-IMP-20260516-FULLDRAFT-002090</x:v>
      </x:c>
      <x:c r="B2107" t="str">
        <x:v>IMP-20260516-FULLDRAFT</x:v>
      </x:c>
      <x:c r="C2107" t="str">
        <x:v>KTO001</x:v>
      </x:c>
      <x:c r="D2107" t="str">
        <x:v>16-05-2026_Umsatzliste_Girokonto_DE98120300001061711675.csv</x:v>
      </x:c>
      <x:c r="E2107" t="n">
        <x:v>46163</x:v>
      </x:c>
      <x:c r="F2107" t="n">
        <x:v>2090</x:v>
      </x:c>
      <x:c r="G2107" t="str">
        <x:v>07778a43b3bf727b72471289dea0d47c77708090967328bce41bcea9fcdc0628</x:v>
      </x:c>
      <x:c r="H2107" t="str">
        <x:v>neu</x:v>
      </x:c>
      <x:c r="I2107" t="str">
        <x:v>ok</x:v>
      </x:c>
      <x:c r="J2107"/>
      <x:c r="K2107" t="n">
        <x:v>45455</x:v>
      </x:c>
      <x:c r="L2107" t="n">
        <x:v>45455</x:v>
      </x:c>
      <x:c r="M2107" t="str">
        <x:v>Gebucht</x:v>
      </x:c>
      <x:c r="N2107" t="str">
        <x:v>ISSUER</x:v>
      </x:c>
      <x:c r="O2107" t="str">
        <x:v>EDEKA.POTRATZ/HILDESHEIM</x:v>
      </x:c>
      <x:c r="P2107" t="str">
        <x:v>VISA Debitkartenumsatz vom 11.06.2024</x:v>
      </x:c>
      <x:c r="Q2107" t="str">
        <x:v>Ausgang</x:v>
      </x:c>
      <x:c r="R2107" t="str">
        <x:v>DE96120300009005290904</x:v>
      </x:c>
      <x:c r="S2107" t="n">
        <x:v>-2.71</x:v>
      </x:c>
      <x:c r="T2107" t="str">
        <x:v>"</x:v>
      </x:c>
      <x:c r="U2107" t="str">
        <x:v>"</x:v>
      </x:c>
      <x:c r="V2107" t="str">
        <x:v>484163395410331</x:v>
      </x:c>
    </x:row>
    <x:row r="2108">
      <x:c r="A2108" t="str">
        <x:v>RAW-IMP-20260516-FULLDRAFT-002091</x:v>
      </x:c>
      <x:c r="B2108" t="str">
        <x:v>IMP-20260516-FULLDRAFT</x:v>
      </x:c>
      <x:c r="C2108" t="str">
        <x:v>KTO001</x:v>
      </x:c>
      <x:c r="D2108" t="str">
        <x:v>16-05-2026_Umsatzliste_Girokonto_DE98120300001061711675.csv</x:v>
      </x:c>
      <x:c r="E2108" t="n">
        <x:v>46163</x:v>
      </x:c>
      <x:c r="F2108" t="n">
        <x:v>2091</x:v>
      </x:c>
      <x:c r="G2108" t="str">
        <x:v>a3f83e77be0ac7dc637f3feb6eefa19d1064afaf2b0e06807d2c6dbb2a3c7c9a</x:v>
      </x:c>
      <x:c r="H2108" t="str">
        <x:v>neu</x:v>
      </x:c>
      <x:c r="I2108" t="str">
        <x:v>ok</x:v>
      </x:c>
      <x:c r="J2108"/>
      <x:c r="K2108" t="n">
        <x:v>45455</x:v>
      </x:c>
      <x:c r="L2108" t="n">
        <x:v>45455</x:v>
      </x:c>
      <x:c r="M2108" t="str">
        <x:v>Gebucht</x:v>
      </x:c>
      <x:c r="N2108" t="str">
        <x:v>ISSUER</x:v>
      </x:c>
      <x:c r="O2108" t="str">
        <x:v>REWE.Salzgitter.Ge/Salzgitter</x:v>
      </x:c>
      <x:c r="P2108" t="str">
        <x:v>VISA Debitkartenumsatz vom 11.06.2024</x:v>
      </x:c>
      <x:c r="Q2108" t="str">
        <x:v>Ausgang</x:v>
      </x:c>
      <x:c r="R2108" t="str">
        <x:v>DE96120300009005290904</x:v>
      </x:c>
      <x:c r="S2108" t="n">
        <x:v>-10.32</x:v>
      </x:c>
      <x:c r="T2108" t="str">
        <x:v>"</x:v>
      </x:c>
      <x:c r="U2108" t="str">
        <x:v>"</x:v>
      </x:c>
      <x:c r="V2108" t="str">
        <x:v>484163590156874</x:v>
      </x:c>
    </x:row>
    <x:row r="2109">
      <x:c r="A2109" t="str">
        <x:v>RAW-IMP-20260516-FULLDRAFT-002092</x:v>
      </x:c>
      <x:c r="B2109" t="str">
        <x:v>IMP-20260516-FULLDRAFT</x:v>
      </x:c>
      <x:c r="C2109" t="str">
        <x:v>KTO001</x:v>
      </x:c>
      <x:c r="D2109" t="str">
        <x:v>16-05-2026_Umsatzliste_Girokonto_DE98120300001061711675.csv</x:v>
      </x:c>
      <x:c r="E2109" t="n">
        <x:v>46163</x:v>
      </x:c>
      <x:c r="F2109" t="n">
        <x:v>2092</x:v>
      </x:c>
      <x:c r="G2109" t="str">
        <x:v>39d13407aa9ca2b0da9a808cf12f33c55cd438500791ab40d90b7ff9c60f9bf6</x:v>
      </x:c>
      <x:c r="H2109" t="str">
        <x:v>neu</x:v>
      </x:c>
      <x:c r="I2109" t="str">
        <x:v>ok</x:v>
      </x:c>
      <x:c r="J2109"/>
      <x:c r="K2109" t="n">
        <x:v>45455</x:v>
      </x:c>
      <x:c r="L2109" t="n">
        <x:v>45455</x:v>
      </x:c>
      <x:c r="M2109" t="str">
        <x:v>Gebucht</x:v>
      </x:c>
      <x:c r="N2109" t="str">
        <x:v>ISSUER</x:v>
      </x:c>
      <x:c r="O2109" t="str">
        <x:v>TIER.DE.RIDE/Berlin</x:v>
      </x:c>
      <x:c r="P2109" t="str">
        <x:v>VISA Debitkartenumsatz vom 11.06.2024</x:v>
      </x:c>
      <x:c r="Q2109" t="str">
        <x:v>Ausgang</x:v>
      </x:c>
      <x:c r="R2109" t="str">
        <x:v>DE96120300009005290904</x:v>
      </x:c>
      <x:c r="S2109" t="n">
        <x:v>-5.45</x:v>
      </x:c>
      <x:c r="T2109" t="str">
        <x:v>"</x:v>
      </x:c>
      <x:c r="U2109" t="str">
        <x:v>"</x:v>
      </x:c>
      <x:c r="V2109" t="str">
        <x:v>484163503758412</x:v>
      </x:c>
    </x:row>
    <x:row r="2110">
      <x:c r="A2110" t="str">
        <x:v>RAW-IMP-20260516-FULLDRAFT-002093</x:v>
      </x:c>
      <x:c r="B2110" t="str">
        <x:v>IMP-20260516-FULLDRAFT</x:v>
      </x:c>
      <x:c r="C2110" t="str">
        <x:v>KTO001</x:v>
      </x:c>
      <x:c r="D2110" t="str">
        <x:v>16-05-2026_Umsatzliste_Girokonto_DE98120300001061711675.csv</x:v>
      </x:c>
      <x:c r="E2110" t="n">
        <x:v>46163</x:v>
      </x:c>
      <x:c r="F2110" t="n">
        <x:v>2093</x:v>
      </x:c>
      <x:c r="G2110" t="str">
        <x:v>f3564bc564fc68b5e3f95aac2f771a34bea11586718877a9bf4dd41bbfb8e0e0</x:v>
      </x:c>
      <x:c r="H2110" t="str">
        <x:v>neu</x:v>
      </x:c>
      <x:c r="I2110" t="str">
        <x:v>ok</x:v>
      </x:c>
      <x:c r="J2110"/>
      <x:c r="K2110" t="n">
        <x:v>45454</x:v>
      </x:c>
      <x:c r="L2110" t="n">
        <x:v>45454</x:v>
      </x:c>
      <x:c r="M2110" t="str">
        <x:v>Gebucht</x:v>
      </x:c>
      <x:c r="N2110" t="str">
        <x:v>ISSUER</x:v>
      </x:c>
      <x:c r="O2110" t="str">
        <x:v>PAYPAL..DLGVERLAGGM/6924788996</x:v>
      </x:c>
      <x:c r="P2110" t="str">
        <x:v>VISA Debitkartenumsatz vom 09.06.2024</x:v>
      </x:c>
      <x:c r="Q2110" t="str">
        <x:v>Ausgang</x:v>
      </x:c>
      <x:c r="R2110" t="str">
        <x:v>DE96120300009005290904</x:v>
      </x:c>
      <x:c r="S2110" t="n">
        <x:v>-106.8</x:v>
      </x:c>
      <x:c r="T2110" t="str">
        <x:v>"</x:v>
      </x:c>
      <x:c r="U2110" t="str">
        <x:v>"</x:v>
      </x:c>
      <x:c r="V2110" t="str">
        <x:v>304161388348644</x:v>
      </x:c>
    </x:row>
    <x:row r="2111">
      <x:c r="A2111" t="str">
        <x:v>RAW-IMP-20260516-FULLDRAFT-002094</x:v>
      </x:c>
      <x:c r="B2111" t="str">
        <x:v>IMP-20260516-FULLDRAFT</x:v>
      </x:c>
      <x:c r="C2111" t="str">
        <x:v>KTO001</x:v>
      </x:c>
      <x:c r="D2111" t="str">
        <x:v>16-05-2026_Umsatzliste_Girokonto_DE98120300001061711675.csv</x:v>
      </x:c>
      <x:c r="E2111" t="n">
        <x:v>46163</x:v>
      </x:c>
      <x:c r="F2111" t="n">
        <x:v>2094</x:v>
      </x:c>
      <x:c r="G2111" t="str">
        <x:v>3ce502fe54500c6be62ec1e90d7926c90809d1f6288da0b9caa5a83e21d4e18c</x:v>
      </x:c>
      <x:c r="H2111" t="str">
        <x:v>neu</x:v>
      </x:c>
      <x:c r="I2111" t="str">
        <x:v>ok</x:v>
      </x:c>
      <x:c r="J2111"/>
      <x:c r="K2111" t="n">
        <x:v>45454</x:v>
      </x:c>
      <x:c r="L2111" t="n">
        <x:v>45454</x:v>
      </x:c>
      <x:c r="M2111" t="str">
        <x:v>Gebucht</x:v>
      </x:c>
      <x:c r="N2111" t="str">
        <x:v>ISSUER</x:v>
      </x:c>
      <x:c r="O2111" t="str">
        <x:v>AMZN.Mktp.DE.HV1YC9ZT4/800.279.6620</x:v>
      </x:c>
      <x:c r="P2111" t="str">
        <x:v>VISA Debitkartenumsatz vom 10.06.2024</x:v>
      </x:c>
      <x:c r="Q2111" t="str">
        <x:v>Ausgang</x:v>
      </x:c>
      <x:c r="R2111" t="str">
        <x:v>DE96120300009005290904</x:v>
      </x:c>
      <x:c r="S2111" t="n">
        <x:v>-47.84</x:v>
      </x:c>
      <x:c r="T2111" t="str">
        <x:v>"</x:v>
      </x:c>
      <x:c r="U2111" t="str">
        <x:v>"</x:v>
      </x:c>
      <x:c r="V2111" t="str">
        <x:v>484161517011631</x:v>
      </x:c>
    </x:row>
    <x:row r="2112">
      <x:c r="A2112" t="str">
        <x:v>RAW-IMP-20260516-FULLDRAFT-002095</x:v>
      </x:c>
      <x:c r="B2112" t="str">
        <x:v>IMP-20260516-FULLDRAFT</x:v>
      </x:c>
      <x:c r="C2112" t="str">
        <x:v>KTO001</x:v>
      </x:c>
      <x:c r="D2112" t="str">
        <x:v>16-05-2026_Umsatzliste_Girokonto_DE98120300001061711675.csv</x:v>
      </x:c>
      <x:c r="E2112" t="n">
        <x:v>46163</x:v>
      </x:c>
      <x:c r="F2112" t="n">
        <x:v>2095</x:v>
      </x:c>
      <x:c r="G2112" t="str">
        <x:v>c7a36f97448a0bfe2ea6421485e257e05c0e841f952209a3ab6e3a2231c2e654</x:v>
      </x:c>
      <x:c r="H2112" t="str">
        <x:v>neu</x:v>
      </x:c>
      <x:c r="I2112" t="str">
        <x:v>ok</x:v>
      </x:c>
      <x:c r="J2112"/>
      <x:c r="K2112" t="n">
        <x:v>45454</x:v>
      </x:c>
      <x:c r="L2112" t="n">
        <x:v>45454</x:v>
      </x:c>
      <x:c r="M2112" t="str">
        <x:v>Gebucht</x:v>
      </x:c>
      <x:c r="N2112" t="str">
        <x:v>Lars Kohlenberg                                                       Johannes-Wosnitza-Str. 8 38229 Salzgitter</x:v>
      </x:c>
      <x:c r="O2112" t="str">
        <x:v>1+1 Mail + Media GmbH                                                 Elgendorfer Str. 57, 56410 Montabaur</x:v>
      </x:c>
      <x:c r="P2112" t="str">
        <x:v>GMX / WEB.DE / KD-Nr. K7440512/ RG-Nr. 201537639863</x:v>
      </x:c>
      <x:c r="Q2112" t="str">
        <x:v>Ausgang</x:v>
      </x:c>
      <x:c r="R2112" t="str">
        <x:v>DE76700800000881679702</x:v>
      </x:c>
      <x:c r="S2112" t="n">
        <x:v>-5.99</x:v>
      </x:c>
      <x:c r="T2112" t="str">
        <x:v>DE07ZZZ00000569718</x:v>
      </x:c>
      <x:c r="U2112" t="str">
        <x:v>0090001393062</x:v>
      </x:c>
      <x:c r="V2112" t="str">
        <x:v>006012176614</x:v>
      </x:c>
    </x:row>
    <x:row r="2113">
      <x:c r="A2113" t="str">
        <x:v>RAW-IMP-20260516-FULLDRAFT-002096</x:v>
      </x:c>
      <x:c r="B2113" t="str">
        <x:v>IMP-20260516-FULLDRAFT</x:v>
      </x:c>
      <x:c r="C2113" t="str">
        <x:v>KTO001</x:v>
      </x:c>
      <x:c r="D2113" t="str">
        <x:v>16-05-2026_Umsatzliste_Girokonto_DE98120300001061711675.csv</x:v>
      </x:c>
      <x:c r="E2113" t="n">
        <x:v>46163</x:v>
      </x:c>
      <x:c r="F2113" t="n">
        <x:v>2096</x:v>
      </x:c>
      <x:c r="G2113" t="str">
        <x:v>a1b9dda99c5c84dd298150acbb44a9eccc119596e68eefc2203ef668345c3dab</x:v>
      </x:c>
      <x:c r="H2113" t="str">
        <x:v>neu</x:v>
      </x:c>
      <x:c r="I2113" t="str">
        <x:v>ok</x:v>
      </x:c>
      <x:c r="J2113"/>
      <x:c r="K2113" t="n">
        <x:v>45453</x:v>
      </x:c>
      <x:c r="L2113" t="n">
        <x:v>45453</x:v>
      </x:c>
      <x:c r="M2113" t="str">
        <x:v>Gebucht</x:v>
      </x:c>
      <x:c r="N2113" t="str">
        <x:v>ISSUER</x:v>
      </x:c>
      <x:c r="O2113" t="str">
        <x:v>PAYPAL..BAUMOBILSER/3475613830</x:v>
      </x:c>
      <x:c r="P2113" t="str">
        <x:v>VISA Debitkartenumsatz vom 06.06.2024</x:v>
      </x:c>
      <x:c r="Q2113" t="str">
        <x:v>Ausgang</x:v>
      </x:c>
      <x:c r="R2113" t="str">
        <x:v>DE96120300009005290904</x:v>
      </x:c>
      <x:c r="S2113" t="n">
        <x:v>-2590</x:v>
      </x:c>
      <x:c r="T2113" t="str">
        <x:v>"</x:v>
      </x:c>
      <x:c r="U2113" t="str">
        <x:v>"</x:v>
      </x:c>
      <x:c r="V2113" t="str">
        <x:v>484158426014429</x:v>
      </x:c>
    </x:row>
    <x:row r="2114">
      <x:c r="A2114" t="str">
        <x:v>RAW-IMP-20260516-FULLDRAFT-002097</x:v>
      </x:c>
      <x:c r="B2114" t="str">
        <x:v>IMP-20260516-FULLDRAFT</x:v>
      </x:c>
      <x:c r="C2114" t="str">
        <x:v>KTO001</x:v>
      </x:c>
      <x:c r="D2114" t="str">
        <x:v>16-05-2026_Umsatzliste_Girokonto_DE98120300001061711675.csv</x:v>
      </x:c>
      <x:c r="E2114" t="n">
        <x:v>46163</x:v>
      </x:c>
      <x:c r="F2114" t="n">
        <x:v>2097</x:v>
      </x:c>
      <x:c r="G2114" t="str">
        <x:v>52d85c437dc95f23537d9cae964629fd8db68e50182f367f305483b49fe9824c</x:v>
      </x:c>
      <x:c r="H2114" t="str">
        <x:v>neu</x:v>
      </x:c>
      <x:c r="I2114" t="str">
        <x:v>ok</x:v>
      </x:c>
      <x:c r="J2114"/>
      <x:c r="K2114" t="n">
        <x:v>45453</x:v>
      </x:c>
      <x:c r="L2114" t="n">
        <x:v>45453</x:v>
      </x:c>
      <x:c r="M2114" t="str">
        <x:v>Gebucht</x:v>
      </x:c>
      <x:c r="N2114" t="str">
        <x:v>ISSUER</x:v>
      </x:c>
      <x:c r="O2114" t="str">
        <x:v>REWE.Salzgitter.Ge/Salzgitter</x:v>
      </x:c>
      <x:c r="P2114" t="str">
        <x:v>VISA Debitkartenumsatz vom 07.06.2024</x:v>
      </x:c>
      <x:c r="Q2114" t="str">
        <x:v>Ausgang</x:v>
      </x:c>
      <x:c r="R2114" t="str">
        <x:v>DE96120300009005290904</x:v>
      </x:c>
      <x:c r="S2114" t="n">
        <x:v>-25.55</x:v>
      </x:c>
      <x:c r="T2114" t="str">
        <x:v>"</x:v>
      </x:c>
      <x:c r="U2114" t="str">
        <x:v>"</x:v>
      </x:c>
      <x:c r="V2114" t="str">
        <x:v>484159585549151</x:v>
      </x:c>
    </x:row>
    <x:row r="2115">
      <x:c r="A2115" t="str">
        <x:v>RAW-IMP-20260516-FULLDRAFT-002098</x:v>
      </x:c>
      <x:c r="B2115" t="str">
        <x:v>IMP-20260516-FULLDRAFT</x:v>
      </x:c>
      <x:c r="C2115" t="str">
        <x:v>KTO001</x:v>
      </x:c>
      <x:c r="D2115" t="str">
        <x:v>16-05-2026_Umsatzliste_Girokonto_DE98120300001061711675.csv</x:v>
      </x:c>
      <x:c r="E2115" t="n">
        <x:v>46163</x:v>
      </x:c>
      <x:c r="F2115" t="n">
        <x:v>2098</x:v>
      </x:c>
      <x:c r="G2115" t="str">
        <x:v>054c7af8a81321048277a9f53d72c0165711fb8bb0362d5674f6e565d05ef50e</x:v>
      </x:c>
      <x:c r="H2115" t="str">
        <x:v>neu</x:v>
      </x:c>
      <x:c r="I2115" t="str">
        <x:v>ok</x:v>
      </x:c>
      <x:c r="J2115"/>
      <x:c r="K2115" t="n">
        <x:v>45453</x:v>
      </x:c>
      <x:c r="L2115" t="n">
        <x:v>45453</x:v>
      </x:c>
      <x:c r="M2115" t="str">
        <x:v>Gebucht</x:v>
      </x:c>
      <x:c r="N2115" t="str">
        <x:v>ISSUER</x:v>
      </x:c>
      <x:c r="O2115" t="str">
        <x:v>NikePOS.DE/Wolfsburg</x:v>
      </x:c>
      <x:c r="P2115" t="str">
        <x:v>VISA Debitkartenumsatz vom 08.06.2024</x:v>
      </x:c>
      <x:c r="Q2115" t="str">
        <x:v>Ausgang</x:v>
      </x:c>
      <x:c r="R2115" t="str">
        <x:v>DE96120300009005290904</x:v>
      </x:c>
      <x:c r="S2115" t="n">
        <x:v>-131.83</x:v>
      </x:c>
      <x:c r="T2115" t="str">
        <x:v>"</x:v>
      </x:c>
      <x:c r="U2115" t="str">
        <x:v>"</x:v>
      </x:c>
      <x:c r="V2115" t="str">
        <x:v>484160367895171</x:v>
      </x:c>
    </x:row>
    <x:row r="2116">
      <x:c r="A2116" t="str">
        <x:v>RAW-IMP-20260516-FULLDRAFT-002099</x:v>
      </x:c>
      <x:c r="B2116" t="str">
        <x:v>IMP-20260516-FULLDRAFT</x:v>
      </x:c>
      <x:c r="C2116" t="str">
        <x:v>KTO001</x:v>
      </x:c>
      <x:c r="D2116" t="str">
        <x:v>16-05-2026_Umsatzliste_Girokonto_DE98120300001061711675.csv</x:v>
      </x:c>
      <x:c r="E2116" t="n">
        <x:v>46163</x:v>
      </x:c>
      <x:c r="F2116" t="n">
        <x:v>2099</x:v>
      </x:c>
      <x:c r="G2116" t="str">
        <x:v>32d4bf5bc40d1d2b3631646fa5878110fe23ed96ab7e415aa3d32df2b2de5ec4</x:v>
      </x:c>
      <x:c r="H2116" t="str">
        <x:v>neu</x:v>
      </x:c>
      <x:c r="I2116" t="str">
        <x:v>ok</x:v>
      </x:c>
      <x:c r="J2116"/>
      <x:c r="K2116" t="n">
        <x:v>45453</x:v>
      </x:c>
      <x:c r="L2116" t="n">
        <x:v>45453</x:v>
      </x:c>
      <x:c r="M2116" t="str">
        <x:v>Gebucht</x:v>
      </x:c>
      <x:c r="N2116" t="str">
        <x:v>ISSUER</x:v>
      </x:c>
      <x:c r="O2116" t="str">
        <x:v>Levi.Strauss.Germany.G/Wolfsburg</x:v>
      </x:c>
      <x:c r="P2116" t="str">
        <x:v>VISA Debitkartenumsatz vom 08.06.2024</x:v>
      </x:c>
      <x:c r="Q2116" t="str">
        <x:v>Ausgang</x:v>
      </x:c>
      <x:c r="R2116" t="str">
        <x:v>DE96120300009005290904</x:v>
      </x:c>
      <x:c r="S2116" t="n">
        <x:v>-65.9</x:v>
      </x:c>
      <x:c r="T2116" t="str">
        <x:v>"</x:v>
      </x:c>
      <x:c r="U2116" t="str">
        <x:v>"</x:v>
      </x:c>
      <x:c r="V2116" t="str">
        <x:v>484160342082167</x:v>
      </x:c>
    </x:row>
    <x:row r="2117">
      <x:c r="A2117" t="str">
        <x:v>RAW-IMP-20260516-FULLDRAFT-002100</x:v>
      </x:c>
      <x:c r="B2117" t="str">
        <x:v>IMP-20260516-FULLDRAFT</x:v>
      </x:c>
      <x:c r="C2117" t="str">
        <x:v>KTO001</x:v>
      </x:c>
      <x:c r="D2117" t="str">
        <x:v>16-05-2026_Umsatzliste_Girokonto_DE98120300001061711675.csv</x:v>
      </x:c>
      <x:c r="E2117" t="n">
        <x:v>46163</x:v>
      </x:c>
      <x:c r="F2117" t="n">
        <x:v>2100</x:v>
      </x:c>
      <x:c r="G2117" t="str">
        <x:v>e64dfc72509c5173c93eb44691aabee8f3f7644a093975b80fe812e55a0f5c0c</x:v>
      </x:c>
      <x:c r="H2117" t="str">
        <x:v>neu</x:v>
      </x:c>
      <x:c r="I2117" t="str">
        <x:v>ok</x:v>
      </x:c>
      <x:c r="J2117"/>
      <x:c r="K2117" t="n">
        <x:v>45453</x:v>
      </x:c>
      <x:c r="L2117" t="n">
        <x:v>45453</x:v>
      </x:c>
      <x:c r="M2117" t="str">
        <x:v>Gebucht</x:v>
      </x:c>
      <x:c r="N2117" t="str">
        <x:v>ISSUER</x:v>
      </x:c>
      <x:c r="O2117" t="str">
        <x:v>DESIGNER OUTLETS OCI WOLFS</x:v>
      </x:c>
      <x:c r="P2117" t="str">
        <x:v>Girokartenumsatz</x:v>
      </x:c>
      <x:c r="Q2117" t="str">
        <x:v>Ausgang</x:v>
      </x:c>
      <x:c r="R2117" t="str">
        <x:v>DE67269513110011070364</x:v>
      </x:c>
      <x:c r="S2117" t="n">
        <x:v>-2</x:v>
      </x:c>
      <x:c r="T2117" t="str">
        <x:v>"</x:v>
      </x:c>
      <x:c r="U2117" t="str">
        <x:v>"</x:v>
      </x:c>
      <x:c r="V2117" t="str">
        <x:v>54136594069675080624135444</x:v>
      </x:c>
    </x:row>
    <x:row r="2118">
      <x:c r="A2118" t="str">
        <x:v>RAW-IMP-20260516-FULLDRAFT-002101</x:v>
      </x:c>
      <x:c r="B2118" t="str">
        <x:v>IMP-20260516-FULLDRAFT</x:v>
      </x:c>
      <x:c r="C2118" t="str">
        <x:v>KTO001</x:v>
      </x:c>
      <x:c r="D2118" t="str">
        <x:v>16-05-2026_Umsatzliste_Girokonto_DE98120300001061711675.csv</x:v>
      </x:c>
      <x:c r="E2118" t="n">
        <x:v>46163</x:v>
      </x:c>
      <x:c r="F2118" t="n">
        <x:v>2101</x:v>
      </x:c>
      <x:c r="G2118" t="str">
        <x:v>668021ad376889e57edcdf466faf05baa9c735eeb3590e2c6eb9679bf57d2b75</x:v>
      </x:c>
      <x:c r="H2118" t="str">
        <x:v>neu</x:v>
      </x:c>
      <x:c r="I2118" t="str">
        <x:v>ok</x:v>
      </x:c>
      <x:c r="J2118"/>
      <x:c r="K2118" t="n">
        <x:v>45453</x:v>
      </x:c>
      <x:c r="L2118" t="n">
        <x:v>45453</x:v>
      </x:c>
      <x:c r="M2118" t="str">
        <x:v>Gebucht</x:v>
      </x:c>
      <x:c r="N2118" t="str">
        <x:v>ISSUER</x:v>
      </x:c>
      <x:c r="O2118" t="str">
        <x:v>Ravensburger.Freizeit.u/Meckenbeuren</x:v>
      </x:c>
      <x:c r="P2118" t="str">
        <x:v>VISA Debitkartenumsatz vom 08.06.2024</x:v>
      </x:c>
      <x:c r="Q2118" t="str">
        <x:v>Ausgang</x:v>
      </x:c>
      <x:c r="R2118" t="str">
        <x:v>DE96120300009005290904</x:v>
      </x:c>
      <x:c r="S2118" t="n">
        <x:v>-36</x:v>
      </x:c>
      <x:c r="T2118" t="str">
        <x:v>"</x:v>
      </x:c>
      <x:c r="U2118" t="str">
        <x:v>"</x:v>
      </x:c>
      <x:c r="V2118" t="str">
        <x:v>484160399446445</x:v>
      </x:c>
    </x:row>
    <x:row r="2119">
      <x:c r="A2119" t="str">
        <x:v>RAW-IMP-20260516-FULLDRAFT-002102</x:v>
      </x:c>
      <x:c r="B2119" t="str">
        <x:v>IMP-20260516-FULLDRAFT</x:v>
      </x:c>
      <x:c r="C2119" t="str">
        <x:v>KTO001</x:v>
      </x:c>
      <x:c r="D2119" t="str">
        <x:v>16-05-2026_Umsatzliste_Girokonto_DE98120300001061711675.csv</x:v>
      </x:c>
      <x:c r="E2119" t="n">
        <x:v>46163</x:v>
      </x:c>
      <x:c r="F2119" t="n">
        <x:v>2102</x:v>
      </x:c>
      <x:c r="G2119" t="str">
        <x:v>a06aa2e8acc967e4f0feaeb3557d3b04c099f9db704bba9fb33ea518971aa214</x:v>
      </x:c>
      <x:c r="H2119" t="str">
        <x:v>neu</x:v>
      </x:c>
      <x:c r="I2119" t="str">
        <x:v>ok</x:v>
      </x:c>
      <x:c r="J2119"/>
      <x:c r="K2119" t="n">
        <x:v>45453</x:v>
      </x:c>
      <x:c r="L2119" t="n">
        <x:v>45453</x:v>
      </x:c>
      <x:c r="M2119" t="str">
        <x:v>Gebucht</x:v>
      </x:c>
      <x:c r="N2119" t="str">
        <x:v>ISSUER</x:v>
      </x:c>
      <x:c r="O2119" t="str">
        <x:v>REWE.Salzgitter.Ge/Salzgitter</x:v>
      </x:c>
      <x:c r="P2119" t="str">
        <x:v>VISA Debitkartenumsatz vom 08.06.2024</x:v>
      </x:c>
      <x:c r="Q2119" t="str">
        <x:v>Ausgang</x:v>
      </x:c>
      <x:c r="R2119" t="str">
        <x:v>DE96120300009005290904</x:v>
      </x:c>
      <x:c r="S2119" t="n">
        <x:v>-78.54</x:v>
      </x:c>
      <x:c r="T2119" t="str">
        <x:v>"</x:v>
      </x:c>
      <x:c r="U2119" t="str">
        <x:v>"</x:v>
      </x:c>
      <x:c r="V2119" t="str">
        <x:v>484160466308160</x:v>
      </x:c>
    </x:row>
    <x:row r="2120">
      <x:c r="A2120" t="str">
        <x:v>RAW-IMP-20260516-FULLDRAFT-002103</x:v>
      </x:c>
      <x:c r="B2120" t="str">
        <x:v>IMP-20260516-FULLDRAFT</x:v>
      </x:c>
      <x:c r="C2120" t="str">
        <x:v>KTO001</x:v>
      </x:c>
      <x:c r="D2120" t="str">
        <x:v>16-05-2026_Umsatzliste_Girokonto_DE98120300001061711675.csv</x:v>
      </x:c>
      <x:c r="E2120" t="n">
        <x:v>46163</x:v>
      </x:c>
      <x:c r="F2120" t="n">
        <x:v>2103</x:v>
      </x:c>
      <x:c r="G2120" t="str">
        <x:v>96108373dc995585bc7b75c0d576861f3fdc8f3170c1150dcc480eff0bf0f636</x:v>
      </x:c>
      <x:c r="H2120" t="str">
        <x:v>neu</x:v>
      </x:c>
      <x:c r="I2120" t="str">
        <x:v>ok</x:v>
      </x:c>
      <x:c r="J2120"/>
      <x:c r="K2120" t="n">
        <x:v>45453</x:v>
      </x:c>
      <x:c r="L2120" t="n">
        <x:v>45453</x:v>
      </x:c>
      <x:c r="M2120" t="str">
        <x:v>Gebucht</x:v>
      </x:c>
      <x:c r="N2120" t="str">
        <x:v>ISSUER</x:v>
      </x:c>
      <x:c r="O2120" t="str">
        <x:v>REWE.Salzgitter.Ge/Salzgitter</x:v>
      </x:c>
      <x:c r="P2120" t="str">
        <x:v>VISA Debitkartenumsatz vom 08.06.2024</x:v>
      </x:c>
      <x:c r="Q2120" t="str">
        <x:v>Ausgang</x:v>
      </x:c>
      <x:c r="R2120" t="str">
        <x:v>DE96120300009005290904</x:v>
      </x:c>
      <x:c r="S2120" t="n">
        <x:v>-6.12</x:v>
      </x:c>
      <x:c r="T2120" t="str">
        <x:v>"</x:v>
      </x:c>
      <x:c r="U2120" t="str">
        <x:v>"</x:v>
      </x:c>
      <x:c r="V2120" t="str">
        <x:v>484160650699461</x:v>
      </x:c>
    </x:row>
    <x:row r="2121">
      <x:c r="A2121" t="str">
        <x:v>RAW-IMP-20260516-FULLDRAFT-002104</x:v>
      </x:c>
      <x:c r="B2121" t="str">
        <x:v>IMP-20260516-FULLDRAFT</x:v>
      </x:c>
      <x:c r="C2121" t="str">
        <x:v>KTO001</x:v>
      </x:c>
      <x:c r="D2121" t="str">
        <x:v>16-05-2026_Umsatzliste_Girokonto_DE98120300001061711675.csv</x:v>
      </x:c>
      <x:c r="E2121" t="n">
        <x:v>46163</x:v>
      </x:c>
      <x:c r="F2121" t="n">
        <x:v>2104</x:v>
      </x:c>
      <x:c r="G2121" t="str">
        <x:v>4652e7bdb18d38fab7f215eac6d5907143269d44e261a55cc14474674f1c80ca</x:v>
      </x:c>
      <x:c r="H2121" t="str">
        <x:v>neu</x:v>
      </x:c>
      <x:c r="I2121" t="str">
        <x:v>ok</x:v>
      </x:c>
      <x:c r="J2121"/>
      <x:c r="K2121" t="n">
        <x:v>45453</x:v>
      </x:c>
      <x:c r="L2121" t="n">
        <x:v>45453</x:v>
      </x:c>
      <x:c r="M2121" t="str">
        <x:v>Gebucht</x:v>
      </x:c>
      <x:c r="N2121" t="str">
        <x:v>ISSUER</x:v>
      </x:c>
      <x:c r="O2121" t="str">
        <x:v>ONEILL.WOLFSBURG/WOLFSBURG</x:v>
      </x:c>
      <x:c r="P2121" t="str">
        <x:v>VISA Debitkartenumsatz vom 08.06.2024</x:v>
      </x:c>
      <x:c r="Q2121" t="str">
        <x:v>Ausgang</x:v>
      </x:c>
      <x:c r="R2121" t="str">
        <x:v>DE96120300009005290904</x:v>
      </x:c>
      <x:c r="S2121" t="n">
        <x:v>-24.99</x:v>
      </x:c>
      <x:c r="T2121" t="str">
        <x:v>"</x:v>
      </x:c>
      <x:c r="U2121" t="str">
        <x:v>"</x:v>
      </x:c>
      <x:c r="V2121" t="str">
        <x:v>484160415326588</x:v>
      </x:c>
    </x:row>
    <x:row r="2122">
      <x:c r="A2122" t="str">
        <x:v>RAW-IMP-20260516-FULLDRAFT-002105</x:v>
      </x:c>
      <x:c r="B2122" t="str">
        <x:v>IMP-20260516-FULLDRAFT</x:v>
      </x:c>
      <x:c r="C2122" t="str">
        <x:v>KTO001</x:v>
      </x:c>
      <x:c r="D2122" t="str">
        <x:v>16-05-2026_Umsatzliste_Girokonto_DE98120300001061711675.csv</x:v>
      </x:c>
      <x:c r="E2122" t="n">
        <x:v>46163</x:v>
      </x:c>
      <x:c r="F2122" t="n">
        <x:v>2105</x:v>
      </x:c>
      <x:c r="G2122" t="str">
        <x:v>2874dec801d64b98d67643039a61ea48b7c755c6afc1f30131ac19dfd8c9f4e5</x:v>
      </x:c>
      <x:c r="H2122" t="str">
        <x:v>neu</x:v>
      </x:c>
      <x:c r="I2122" t="str">
        <x:v>ok</x:v>
      </x:c>
      <x:c r="J2122"/>
      <x:c r="K2122" t="n">
        <x:v>45453</x:v>
      </x:c>
      <x:c r="L2122" t="n">
        <x:v>45453</x:v>
      </x:c>
      <x:c r="M2122" t="str">
        <x:v>Gebucht</x:v>
      </x:c>
      <x:c r="N2122" t="str">
        <x:v>ISSUER</x:v>
      </x:c>
      <x:c r="O2122" t="str">
        <x:v>Starbucks.50974.FOC.Wol/Wolfsburg</x:v>
      </x:c>
      <x:c r="P2122" t="str">
        <x:v>VISA Debitkartenumsatz vom 08.06.2024</x:v>
      </x:c>
      <x:c r="Q2122" t="str">
        <x:v>Ausgang</x:v>
      </x:c>
      <x:c r="R2122" t="str">
        <x:v>DE96120300009005290904</x:v>
      </x:c>
      <x:c r="S2122" t="n">
        <x:v>-44.7</x:v>
      </x:c>
      <x:c r="T2122" t="str">
        <x:v>"</x:v>
      </x:c>
      <x:c r="U2122" t="str">
        <x:v>"</x:v>
      </x:c>
      <x:c r="V2122" t="str">
        <x:v>584160381895550</x:v>
      </x:c>
    </x:row>
    <x:row r="2123">
      <x:c r="A2123" t="str">
        <x:v>RAW-IMP-20260516-FULLDRAFT-002106</x:v>
      </x:c>
      <x:c r="B2123" t="str">
        <x:v>IMP-20260516-FULLDRAFT</x:v>
      </x:c>
      <x:c r="C2123" t="str">
        <x:v>KTO001</x:v>
      </x:c>
      <x:c r="D2123" t="str">
        <x:v>16-05-2026_Umsatzliste_Girokonto_DE98120300001061711675.csv</x:v>
      </x:c>
      <x:c r="E2123" t="n">
        <x:v>46163</x:v>
      </x:c>
      <x:c r="F2123" t="n">
        <x:v>2106</x:v>
      </x:c>
      <x:c r="G2123" t="str">
        <x:v>c73bd0a68fa9bbdc2303c0e617dde5de1e6cc2ebaad7bc2a68ff17a8134ced6a</x:v>
      </x:c>
      <x:c r="H2123" t="str">
        <x:v>neu</x:v>
      </x:c>
      <x:c r="I2123" t="str">
        <x:v>ok</x:v>
      </x:c>
      <x:c r="J2123"/>
      <x:c r="K2123" t="n">
        <x:v>45453</x:v>
      </x:c>
      <x:c r="L2123" t="n">
        <x:v>45453</x:v>
      </x:c>
      <x:c r="M2123" t="str">
        <x:v>Gebucht</x:v>
      </x:c>
      <x:c r="N2123" t="str">
        <x:v>ISSUER</x:v>
      </x:c>
      <x:c r="O2123" t="str">
        <x:v>Atelier.Torino.Outlet/Wolfsburg</x:v>
      </x:c>
      <x:c r="P2123" t="str">
        <x:v>VISA Debitkartenumsatz vom 08.06.2024</x:v>
      </x:c>
      <x:c r="Q2123" t="str">
        <x:v>Ausgang</x:v>
      </x:c>
      <x:c r="R2123" t="str">
        <x:v>DE96120300009005290904</x:v>
      </x:c>
      <x:c r="S2123" t="n">
        <x:v>-42.5</x:v>
      </x:c>
      <x:c r="T2123" t="str">
        <x:v>"</x:v>
      </x:c>
      <x:c r="U2123" t="str">
        <x:v>"</x:v>
      </x:c>
      <x:c r="V2123" t="str">
        <x:v>484160422889533</x:v>
      </x:c>
    </x:row>
    <x:row r="2124">
      <x:c r="A2124" t="str">
        <x:v>RAW-IMP-20260516-FULLDRAFT-002107</x:v>
      </x:c>
      <x:c r="B2124" t="str">
        <x:v>IMP-20260516-FULLDRAFT</x:v>
      </x:c>
      <x:c r="C2124" t="str">
        <x:v>KTO001</x:v>
      </x:c>
      <x:c r="D2124" t="str">
        <x:v>16-05-2026_Umsatzliste_Girokonto_DE98120300001061711675.csv</x:v>
      </x:c>
      <x:c r="E2124" t="n">
        <x:v>46163</x:v>
      </x:c>
      <x:c r="F2124" t="n">
        <x:v>2107</x:v>
      </x:c>
      <x:c r="G2124" t="str">
        <x:v>28a28cbe3b8ab36d0be606e3a640a9d01e12a8ee2181974fd952d21d355f1ea9</x:v>
      </x:c>
      <x:c r="H2124" t="str">
        <x:v>neu</x:v>
      </x:c>
      <x:c r="I2124" t="str">
        <x:v>ok</x:v>
      </x:c>
      <x:c r="J2124"/>
      <x:c r="K2124" t="n">
        <x:v>45453</x:v>
      </x:c>
      <x:c r="L2124" t="n">
        <x:v>45453</x:v>
      </x:c>
      <x:c r="M2124" t="str">
        <x:v>Gebucht</x:v>
      </x:c>
      <x:c r="N2124" t="str">
        <x:v>ISSUER</x:v>
      </x:c>
      <x:c r="O2124" t="str">
        <x:v>Garcia.Jeans/Wolfsburg</x:v>
      </x:c>
      <x:c r="P2124" t="str">
        <x:v>VISA Debitkartenumsatz vom 08.06.2024</x:v>
      </x:c>
      <x:c r="Q2124" t="str">
        <x:v>Ausgang</x:v>
      </x:c>
      <x:c r="R2124" t="str">
        <x:v>DE96120300009005290904</x:v>
      </x:c>
      <x:c r="S2124" t="n">
        <x:v>-9.99</x:v>
      </x:c>
      <x:c r="T2124" t="str">
        <x:v>"</x:v>
      </x:c>
      <x:c r="U2124" t="str">
        <x:v>"</x:v>
      </x:c>
      <x:c r="V2124" t="str">
        <x:v>484160350298233</x:v>
      </x:c>
    </x:row>
    <x:row r="2125">
      <x:c r="A2125" t="str">
        <x:v>RAW-IMP-20260516-FULLDRAFT-002108</x:v>
      </x:c>
      <x:c r="B2125" t="str">
        <x:v>IMP-20260516-FULLDRAFT</x:v>
      </x:c>
      <x:c r="C2125" t="str">
        <x:v>KTO001</x:v>
      </x:c>
      <x:c r="D2125" t="str">
        <x:v>16-05-2026_Umsatzliste_Girokonto_DE98120300001061711675.csv</x:v>
      </x:c>
      <x:c r="E2125" t="n">
        <x:v>46163</x:v>
      </x:c>
      <x:c r="F2125" t="n">
        <x:v>2108</x:v>
      </x:c>
      <x:c r="G2125" t="str">
        <x:v>6fff1ef6469fc4b236ece47cd125530e3b37a84522c454b42b03d5f38c0d9ad8</x:v>
      </x:c>
      <x:c r="H2125" t="str">
        <x:v>neu</x:v>
      </x:c>
      <x:c r="I2125" t="str">
        <x:v>ok</x:v>
      </x:c>
      <x:c r="J2125"/>
      <x:c r="K2125" t="n">
        <x:v>45453</x:v>
      </x:c>
      <x:c r="L2125" t="n">
        <x:v>45453</x:v>
      </x:c>
      <x:c r="M2125" t="str">
        <x:v>Gebucht</x:v>
      </x:c>
      <x:c r="N2125" t="str">
        <x:v>Lars Kohlenberg</x:v>
      </x:c>
      <x:c r="O2125" t="str">
        <x:v>Thein Grimm Marre GmbH</x:v>
      </x:c>
      <x:c r="P2125" t="str">
        <x:v>ReNr RE-24604529, KdNr 403696 1. Abschlagsrechnung</x:v>
      </x:c>
      <x:c r="Q2125" t="str">
        <x:v>Ausgang</x:v>
      </x:c>
      <x:c r="R2125" t="str">
        <x:v>DE23270925555822326600</x:v>
      </x:c>
      <x:c r="S2125" t="n">
        <x:v>-2475.62</x:v>
      </x:c>
      <x:c r="T2125" t="str">
        <x:v>"</x:v>
      </x:c>
      <x:c r="U2125" t="str">
        <x:v>"</x:v>
      </x:c>
      <x:c r="V2125" t="str">
        <x:v>"</x:v>
      </x:c>
    </x:row>
    <x:row r="2126">
      <x:c r="A2126" t="str">
        <x:v>RAW-IMP-20260516-FULLDRAFT-002109</x:v>
      </x:c>
      <x:c r="B2126" t="str">
        <x:v>IMP-20260516-FULLDRAFT</x:v>
      </x:c>
      <x:c r="C2126" t="str">
        <x:v>KTO001</x:v>
      </x:c>
      <x:c r="D2126" t="str">
        <x:v>16-05-2026_Umsatzliste_Girokonto_DE98120300001061711675.csv</x:v>
      </x:c>
      <x:c r="E2126" t="n">
        <x:v>46163</x:v>
      </x:c>
      <x:c r="F2126" t="n">
        <x:v>2109</x:v>
      </x:c>
      <x:c r="G2126" t="str">
        <x:v>396aa96f2806d7cde42dbf4c40e29f5c898b3eed0740ba44e034dc0f1af0ad98</x:v>
      </x:c>
      <x:c r="H2126" t="str">
        <x:v>neu</x:v>
      </x:c>
      <x:c r="I2126" t="str">
        <x:v>ok</x:v>
      </x:c>
      <x:c r="J2126"/>
      <x:c r="K2126" t="n">
        <x:v>45450</x:v>
      </x:c>
      <x:c r="L2126" t="n">
        <x:v>45450</x:v>
      </x:c>
      <x:c r="M2126" t="str">
        <x:v>Gebucht</x:v>
      </x:c>
      <x:c r="N2126" t="str">
        <x:v>ISSUER</x:v>
      </x:c>
      <x:c r="O2126" t="str">
        <x:v>SPK.HILDESHEIM.GOSLAR.P/FINANZZENT</x:v>
      </x:c>
      <x:c r="P2126" t="str">
        <x:v>VISA Debitkartenumsatz vom 07.06.2024</x:v>
      </x:c>
      <x:c r="Q2126" t="str">
        <x:v>Ausgang</x:v>
      </x:c>
      <x:c r="R2126" t="str">
        <x:v>DE96120300009005290904</x:v>
      </x:c>
      <x:c r="S2126" t="n">
        <x:v>-50</x:v>
      </x:c>
      <x:c r="T2126" t="str">
        <x:v>"</x:v>
      </x:c>
      <x:c r="U2126" t="str">
        <x:v>"</x:v>
      </x:c>
      <x:c r="V2126" t="str">
        <x:v>484159463995086</x:v>
      </x:c>
    </x:row>
    <x:row r="2127">
      <x:c r="A2127" t="str">
        <x:v>RAW-IMP-20260516-FULLDRAFT-002110</x:v>
      </x:c>
      <x:c r="B2127" t="str">
        <x:v>IMP-20260516-FULLDRAFT</x:v>
      </x:c>
      <x:c r="C2127" t="str">
        <x:v>KTO001</x:v>
      </x:c>
      <x:c r="D2127" t="str">
        <x:v>16-05-2026_Umsatzliste_Girokonto_DE98120300001061711675.csv</x:v>
      </x:c>
      <x:c r="E2127" t="n">
        <x:v>46163</x:v>
      </x:c>
      <x:c r="F2127" t="n">
        <x:v>2110</x:v>
      </x:c>
      <x:c r="G2127" t="str">
        <x:v>e47d830162fe2f089d520ee6a7e90954a78d14eaadda252f2bed1d95c26eb5c6</x:v>
      </x:c>
      <x:c r="H2127" t="str">
        <x:v>neu</x:v>
      </x:c>
      <x:c r="I2127" t="str">
        <x:v>ok</x:v>
      </x:c>
      <x:c r="J2127"/>
      <x:c r="K2127" t="n">
        <x:v>45449</x:v>
      </x:c>
      <x:c r="L2127" t="n">
        <x:v>45449</x:v>
      </x:c>
      <x:c r="M2127" t="str">
        <x:v>Gebucht</x:v>
      </x:c>
      <x:c r="N2127" t="str">
        <x:v>ISSUER</x:v>
      </x:c>
      <x:c r="O2127" t="str">
        <x:v>REWE.Salzgitter.Ge/Salzgitter</x:v>
      </x:c>
      <x:c r="P2127" t="str">
        <x:v>VISA Debitkartenumsatz vom 05.06.2024</x:v>
      </x:c>
      <x:c r="Q2127" t="str">
        <x:v>Ausgang</x:v>
      </x:c>
      <x:c r="R2127" t="str">
        <x:v>DE96120300009005290904</x:v>
      </x:c>
      <x:c r="S2127" t="n">
        <x:v>-5.73</x:v>
      </x:c>
      <x:c r="T2127" t="str">
        <x:v>"</x:v>
      </x:c>
      <x:c r="U2127" t="str">
        <x:v>"</x:v>
      </x:c>
      <x:c r="V2127" t="str">
        <x:v>484157589695107</x:v>
      </x:c>
    </x:row>
    <x:row r="2128">
      <x:c r="A2128" t="str">
        <x:v>RAW-IMP-20260516-FULLDRAFT-002111</x:v>
      </x:c>
      <x:c r="B2128" t="str">
        <x:v>IMP-20260516-FULLDRAFT</x:v>
      </x:c>
      <x:c r="C2128" t="str">
        <x:v>KTO001</x:v>
      </x:c>
      <x:c r="D2128" t="str">
        <x:v>16-05-2026_Umsatzliste_Girokonto_DE98120300001061711675.csv</x:v>
      </x:c>
      <x:c r="E2128" t="n">
        <x:v>46163</x:v>
      </x:c>
      <x:c r="F2128" t="n">
        <x:v>2111</x:v>
      </x:c>
      <x:c r="G2128" t="str">
        <x:v>ddb71386a211e5c814014dc7ce5f949fd567cb065b4edfd69468353205f6697e</x:v>
      </x:c>
      <x:c r="H2128" t="str">
        <x:v>neu</x:v>
      </x:c>
      <x:c r="I2128" t="str">
        <x:v>ok</x:v>
      </x:c>
      <x:c r="J2128"/>
      <x:c r="K2128" t="n">
        <x:v>45449</x:v>
      </x:c>
      <x:c r="L2128" t="n">
        <x:v>45449</x:v>
      </x:c>
      <x:c r="M2128" t="str">
        <x:v>Gebucht</x:v>
      </x:c>
      <x:c r="N2128" t="str">
        <x:v>Lars Kohlenberg                                                       Johannes-Wosnitza-Str. 8</x:v>
      </x:c>
      <x:c r="O2128" t="str">
        <x:v>Telekom Deutschland GmbH                                              Landgrabenweg 151</x:v>
      </x:c>
      <x:c r="P2128" t="str">
        <x:v>Festnetz Vertragskonto 4763666565 RG 7595384432/28.05.2024</x:v>
      </x:c>
      <x:c r="Q2128" t="str">
        <x:v>Ausgang</x:v>
      </x:c>
      <x:c r="R2128" t="str">
        <x:v>DE08250100300000289304</x:v>
      </x:c>
      <x:c r="S2128" t="n">
        <x:v>-61.94</x:v>
      </x:c>
      <x:c r="T2128" t="str">
        <x:v>DE93ZZZ00000078611</x:v>
      </x:c>
      <x:c r="U2128" t="str">
        <x:v>DE000201000200000000000000012966156</x:v>
      </x:c>
      <x:c r="V2128" t="str">
        <x:v>Zahlbeleg 306318137990</x:v>
      </x:c>
    </x:row>
    <x:row r="2129">
      <x:c r="A2129" t="str">
        <x:v>RAW-IMP-20260516-FULLDRAFT-002112</x:v>
      </x:c>
      <x:c r="B2129" t="str">
        <x:v>IMP-20260516-FULLDRAFT</x:v>
      </x:c>
      <x:c r="C2129" t="str">
        <x:v>KTO001</x:v>
      </x:c>
      <x:c r="D2129" t="str">
        <x:v>16-05-2026_Umsatzliste_Girokonto_DE98120300001061711675.csv</x:v>
      </x:c>
      <x:c r="E2129" t="n">
        <x:v>46163</x:v>
      </x:c>
      <x:c r="F2129" t="n">
        <x:v>2112</x:v>
      </x:c>
      <x:c r="G2129" t="str">
        <x:v>7f337fa6706fb62315a399dc5c36b40d647bbaed005ed9d7326b2c5a8f589b3c</x:v>
      </x:c>
      <x:c r="H2129" t="str">
        <x:v>neu</x:v>
      </x:c>
      <x:c r="I2129" t="str">
        <x:v>ok</x:v>
      </x:c>
      <x:c r="J2129"/>
      <x:c r="K2129" t="n">
        <x:v>45449</x:v>
      </x:c>
      <x:c r="L2129" t="n">
        <x:v>45449</x:v>
      </x:c>
      <x:c r="M2129" t="str">
        <x:v>Gebucht</x:v>
      </x:c>
      <x:c r="N2129" t="str">
        <x:v>Lars Kohlenberg</x:v>
      </x:c>
      <x:c r="O2129" t="str">
        <x:v>Iman Firat</x:v>
      </x:c>
      <x:c r="P2129" t="str">
        <x:v>2230 Lea Kohlenberg</x:v>
      </x:c>
      <x:c r="Q2129" t="str">
        <x:v>Ausgang</x:v>
      </x:c>
      <x:c r="R2129" t="str">
        <x:v>DE67269910662694298000</x:v>
      </x:c>
      <x:c r="S2129" t="n">
        <x:v>-49.9</x:v>
      </x:c>
      <x:c r="T2129" t="str">
        <x:v>"</x:v>
      </x:c>
      <x:c r="U2129" t="str">
        <x:v>"</x:v>
      </x:c>
      <x:c r="V2129" t="str">
        <x:v>"</x:v>
      </x:c>
    </x:row>
    <x:row r="2130">
      <x:c r="A2130" t="str">
        <x:v>RAW-IMP-20260516-FULLDRAFT-002113</x:v>
      </x:c>
      <x:c r="B2130" t="str">
        <x:v>IMP-20260516-FULLDRAFT</x:v>
      </x:c>
      <x:c r="C2130" t="str">
        <x:v>KTO001</x:v>
      </x:c>
      <x:c r="D2130" t="str">
        <x:v>16-05-2026_Umsatzliste_Girokonto_DE98120300001061711675.csv</x:v>
      </x:c>
      <x:c r="E2130" t="n">
        <x:v>46163</x:v>
      </x:c>
      <x:c r="F2130" t="n">
        <x:v>2113</x:v>
      </x:c>
      <x:c r="G2130" t="str">
        <x:v>1fd2a1d3f037772abd5de5433ac30ac936415037af932b9ec41a3de2c9476c66</x:v>
      </x:c>
      <x:c r="H2130" t="str">
        <x:v>neu</x:v>
      </x:c>
      <x:c r="I2130" t="str">
        <x:v>ok</x:v>
      </x:c>
      <x:c r="J2130"/>
      <x:c r="K2130" t="n">
        <x:v>45448</x:v>
      </x:c>
      <x:c r="L2130" t="n">
        <x:v>45448</x:v>
      </x:c>
      <x:c r="M2130" t="str">
        <x:v>Gebucht</x:v>
      </x:c>
      <x:c r="N2130" t="str">
        <x:v>ISSUER</x:v>
      </x:c>
      <x:c r="O2130" t="str">
        <x:v>TAS.SALDER/SALZGITTER</x:v>
      </x:c>
      <x:c r="P2130" t="str">
        <x:v>VISA Debitkartenumsatz vom 04.06.2024</x:v>
      </x:c>
      <x:c r="Q2130" t="str">
        <x:v>Ausgang</x:v>
      </x:c>
      <x:c r="R2130" t="str">
        <x:v>DE96120300009005290904</x:v>
      </x:c>
      <x:c r="S2130" t="n">
        <x:v>-67.91</x:v>
      </x:c>
      <x:c r="T2130" t="str">
        <x:v>"</x:v>
      </x:c>
      <x:c r="U2130" t="str">
        <x:v>"</x:v>
      </x:c>
      <x:c r="V2130" t="str">
        <x:v>484156655593239</x:v>
      </x:c>
    </x:row>
    <x:row r="2131">
      <x:c r="A2131" t="str">
        <x:v>RAW-IMP-20260516-FULLDRAFT-002114</x:v>
      </x:c>
      <x:c r="B2131" t="str">
        <x:v>IMP-20260516-FULLDRAFT</x:v>
      </x:c>
      <x:c r="C2131" t="str">
        <x:v>KTO001</x:v>
      </x:c>
      <x:c r="D2131" t="str">
        <x:v>16-05-2026_Umsatzliste_Girokonto_DE98120300001061711675.csv</x:v>
      </x:c>
      <x:c r="E2131" t="n">
        <x:v>46163</x:v>
      </x:c>
      <x:c r="F2131" t="n">
        <x:v>2114</x:v>
      </x:c>
      <x:c r="G2131" t="str">
        <x:v>635018d0793b42daaf0ceca4ec6030aae7d9ca897102b35e61fecce4e09ae81e</x:v>
      </x:c>
      <x:c r="H2131" t="str">
        <x:v>neu</x:v>
      </x:c>
      <x:c r="I2131" t="str">
        <x:v>ok</x:v>
      </x:c>
      <x:c r="J2131"/>
      <x:c r="K2131" t="n">
        <x:v>45448</x:v>
      </x:c>
      <x:c r="L2131" t="n">
        <x:v>45448</x:v>
      </x:c>
      <x:c r="M2131" t="str">
        <x:v>Gebucht</x:v>
      </x:c>
      <x:c r="N2131" t="str">
        <x:v>ISSUER</x:v>
      </x:c>
      <x:c r="O2131" t="str">
        <x:v>BAECKEREI.BRUEGGENDICK/BRAUNLAGE</x:v>
      </x:c>
      <x:c r="P2131" t="str">
        <x:v>VISA Debitkartenumsatz vom 04.06.2024</x:v>
      </x:c>
      <x:c r="Q2131" t="str">
        <x:v>Ausgang</x:v>
      </x:c>
      <x:c r="R2131" t="str">
        <x:v>DE96120300009005290904</x:v>
      </x:c>
      <x:c r="S2131" t="n">
        <x:v>-9.6</x:v>
      </x:c>
      <x:c r="T2131" t="str">
        <x:v>"</x:v>
      </x:c>
      <x:c r="U2131" t="str">
        <x:v>"</x:v>
      </x:c>
      <x:c r="V2131" t="str">
        <x:v>484156239147360</x:v>
      </x:c>
    </x:row>
    <x:row r="2132">
      <x:c r="A2132" t="str">
        <x:v>RAW-IMP-20260516-FULLDRAFT-002115</x:v>
      </x:c>
      <x:c r="B2132" t="str">
        <x:v>IMP-20260516-FULLDRAFT</x:v>
      </x:c>
      <x:c r="C2132" t="str">
        <x:v>KTO001</x:v>
      </x:c>
      <x:c r="D2132" t="str">
        <x:v>16-05-2026_Umsatzliste_Girokonto_DE98120300001061711675.csv</x:v>
      </x:c>
      <x:c r="E2132" t="n">
        <x:v>46163</x:v>
      </x:c>
      <x:c r="F2132" t="n">
        <x:v>2115</x:v>
      </x:c>
      <x:c r="G2132" t="str">
        <x:v>3f85b6c4483cb55090372cf8036bf04988d730556b2298f5aa432c3c1063bdd4</x:v>
      </x:c>
      <x:c r="H2132" t="str">
        <x:v>neu</x:v>
      </x:c>
      <x:c r="I2132" t="str">
        <x:v>ok</x:v>
      </x:c>
      <x:c r="J2132"/>
      <x:c r="K2132" t="n">
        <x:v>45448</x:v>
      </x:c>
      <x:c r="L2132" t="n">
        <x:v>45448</x:v>
      </x:c>
      <x:c r="M2132" t="str">
        <x:v>Gebucht</x:v>
      </x:c>
      <x:c r="N2132" t="str">
        <x:v>ISSUER</x:v>
      </x:c>
      <x:c r="O2132" t="str">
        <x:v>REWE.Mehmet.Kaysal.oHG/Salzgitter</x:v>
      </x:c>
      <x:c r="P2132" t="str">
        <x:v>VISA Debitkartenumsatz vom 04.06.2024</x:v>
      </x:c>
      <x:c r="Q2132" t="str">
        <x:v>Ausgang</x:v>
      </x:c>
      <x:c r="R2132" t="str">
        <x:v>DE96120300009005290904</x:v>
      </x:c>
      <x:c r="S2132" t="n">
        <x:v>-38.26</x:v>
      </x:c>
      <x:c r="T2132" t="str">
        <x:v>"</x:v>
      </x:c>
      <x:c r="U2132" t="str">
        <x:v>"</x:v>
      </x:c>
      <x:c r="V2132" t="str">
        <x:v>484156642806671</x:v>
      </x:c>
    </x:row>
    <x:row r="2133">
      <x:c r="A2133" t="str">
        <x:v>RAW-IMP-20260516-FULLDRAFT-002116</x:v>
      </x:c>
      <x:c r="B2133" t="str">
        <x:v>IMP-20260516-FULLDRAFT</x:v>
      </x:c>
      <x:c r="C2133" t="str">
        <x:v>KTO001</x:v>
      </x:c>
      <x:c r="D2133" t="str">
        <x:v>16-05-2026_Umsatzliste_Girokonto_DE98120300001061711675.csv</x:v>
      </x:c>
      <x:c r="E2133" t="n">
        <x:v>46163</x:v>
      </x:c>
      <x:c r="F2133" t="n">
        <x:v>2116</x:v>
      </x:c>
      <x:c r="G2133" t="str">
        <x:v>5aaa6deb87a653c9e9a5c4c870db39c0340e2e9cd75b6194c3bd591d60f261b3</x:v>
      </x:c>
      <x:c r="H2133" t="str">
        <x:v>neu</x:v>
      </x:c>
      <x:c r="I2133" t="str">
        <x:v>ok</x:v>
      </x:c>
      <x:c r="J2133"/>
      <x:c r="K2133" t="n">
        <x:v>45448</x:v>
      </x:c>
      <x:c r="L2133" t="n">
        <x:v>45448</x:v>
      </x:c>
      <x:c r="M2133" t="str">
        <x:v>Gebucht</x:v>
      </x:c>
      <x:c r="N2133" t="str">
        <x:v>ISSUER</x:v>
      </x:c>
      <x:c r="O2133" t="str">
        <x:v>DM.Drogerie.Markt/Salzgitter</x:v>
      </x:c>
      <x:c r="P2133" t="str">
        <x:v>VISA Debitkartenumsatz vom 04.06.2024</x:v>
      </x:c>
      <x:c r="Q2133" t="str">
        <x:v>Ausgang</x:v>
      </x:c>
      <x:c r="R2133" t="str">
        <x:v>DE96120300009005290904</x:v>
      </x:c>
      <x:c r="S2133" t="n">
        <x:v>-45.5</x:v>
      </x:c>
      <x:c r="T2133" t="str">
        <x:v>"</x:v>
      </x:c>
      <x:c r="U2133" t="str">
        <x:v>"</x:v>
      </x:c>
      <x:c r="V2133" t="str">
        <x:v>484156623252571</x:v>
      </x:c>
    </x:row>
    <x:row r="2134">
      <x:c r="A2134" t="str">
        <x:v>RAW-IMP-20260516-FULLDRAFT-002117</x:v>
      </x:c>
      <x:c r="B2134" t="str">
        <x:v>IMP-20260516-FULLDRAFT</x:v>
      </x:c>
      <x:c r="C2134" t="str">
        <x:v>KTO001</x:v>
      </x:c>
      <x:c r="D2134" t="str">
        <x:v>16-05-2026_Umsatzliste_Girokonto_DE98120300001061711675.csv</x:v>
      </x:c>
      <x:c r="E2134" t="n">
        <x:v>46163</x:v>
      </x:c>
      <x:c r="F2134" t="n">
        <x:v>2117</x:v>
      </x:c>
      <x:c r="G2134" t="str">
        <x:v>c406f7a3856091edf38ef5e141f650dcae679d07619fd992a7488f99a754c9c1</x:v>
      </x:c>
      <x:c r="H2134" t="str">
        <x:v>neu</x:v>
      </x:c>
      <x:c r="I2134" t="str">
        <x:v>ok</x:v>
      </x:c>
      <x:c r="J2134"/>
      <x:c r="K2134" t="n">
        <x:v>45447</x:v>
      </x:c>
      <x:c r="L2134" t="n">
        <x:v>45447</x:v>
      </x:c>
      <x:c r="M2134" t="str">
        <x:v>Gebucht</x:v>
      </x:c>
      <x:c r="N2134" t="str">
        <x:v>ISSUER</x:v>
      </x:c>
      <x:c r="O2134" t="str">
        <x:v>Amazon.de.HJ7HP9FH4/AMAZON.DE</x:v>
      </x:c>
      <x:c r="P2134" t="str">
        <x:v>VISA Debitkartenumsatz vom 03.06.2024</x:v>
      </x:c>
      <x:c r="Q2134" t="str">
        <x:v>Ausgang</x:v>
      </x:c>
      <x:c r="R2134" t="str">
        <x:v>DE96120300009005290904</x:v>
      </x:c>
      <x:c r="S2134" t="n">
        <x:v>-56.3</x:v>
      </x:c>
      <x:c r="T2134" t="str">
        <x:v>"</x:v>
      </x:c>
      <x:c r="U2134" t="str">
        <x:v>"</x:v>
      </x:c>
      <x:c r="V2134" t="str">
        <x:v>484155153620251</x:v>
      </x:c>
    </x:row>
    <x:row r="2135">
      <x:c r="A2135" t="str">
        <x:v>RAW-IMP-20260516-FULLDRAFT-002118</x:v>
      </x:c>
      <x:c r="B2135" t="str">
        <x:v>IMP-20260516-FULLDRAFT</x:v>
      </x:c>
      <x:c r="C2135" t="str">
        <x:v>KTO001</x:v>
      </x:c>
      <x:c r="D2135" t="str">
        <x:v>16-05-2026_Umsatzliste_Girokonto_DE98120300001061711675.csv</x:v>
      </x:c>
      <x:c r="E2135" t="n">
        <x:v>46163</x:v>
      </x:c>
      <x:c r="F2135" t="n">
        <x:v>2118</x:v>
      </x:c>
      <x:c r="G2135" t="str">
        <x:v>12ceba98d4682471c3b843eaf721cd8948ecd5f0235a682ee009065144d50ca2</x:v>
      </x:c>
      <x:c r="H2135" t="str">
        <x:v>neu</x:v>
      </x:c>
      <x:c r="I2135" t="str">
        <x:v>ok</x:v>
      </x:c>
      <x:c r="J2135"/>
      <x:c r="K2135" t="n">
        <x:v>45447</x:v>
      </x:c>
      <x:c r="L2135" t="n">
        <x:v>45447</x:v>
      </x:c>
      <x:c r="M2135" t="str">
        <x:v>Gebucht</x:v>
      </x:c>
      <x:c r="N2135" t="str">
        <x:v>ISSUER</x:v>
      </x:c>
      <x:c r="O2135" t="str">
        <x:v>APPLE.COM.BILL/ITUNES.COM</x:v>
      </x:c>
      <x:c r="P2135" t="str">
        <x:v>VISA Debitkartenumsatz vom 03.06.2024</x:v>
      </x:c>
      <x:c r="Q2135" t="str">
        <x:v>Ausgang</x:v>
      </x:c>
      <x:c r="R2135" t="str">
        <x:v>DE96120300009005290904</x:v>
      </x:c>
      <x:c r="S2135" t="n">
        <x:v>-0.99</x:v>
      </x:c>
      <x:c r="T2135" t="str">
        <x:v>"</x:v>
      </x:c>
      <x:c r="U2135" t="str">
        <x:v>"</x:v>
      </x:c>
      <x:c r="V2135" t="str">
        <x:v>484155083654182</x:v>
      </x:c>
    </x:row>
    <x:row r="2136">
      <x:c r="A2136" t="str">
        <x:v>RAW-IMP-20260516-FULLDRAFT-002119</x:v>
      </x:c>
      <x:c r="B2136" t="str">
        <x:v>IMP-20260516-FULLDRAFT</x:v>
      </x:c>
      <x:c r="C2136" t="str">
        <x:v>KTO001</x:v>
      </x:c>
      <x:c r="D2136" t="str">
        <x:v>16-05-2026_Umsatzliste_Girokonto_DE98120300001061711675.csv</x:v>
      </x:c>
      <x:c r="E2136" t="n">
        <x:v>46163</x:v>
      </x:c>
      <x:c r="F2136" t="n">
        <x:v>2119</x:v>
      </x:c>
      <x:c r="G2136" t="str">
        <x:v>40d9ec000bb44f29337a80377f18523ffd6af1026db2b9d9dbc7dffc38e14088</x:v>
      </x:c>
      <x:c r="H2136" t="str">
        <x:v>neu</x:v>
      </x:c>
      <x:c r="I2136" t="str">
        <x:v>ok</x:v>
      </x:c>
      <x:c r="J2136"/>
      <x:c r="K2136" t="n">
        <x:v>45447</x:v>
      </x:c>
      <x:c r="L2136" t="n">
        <x:v>45447</x:v>
      </x:c>
      <x:c r="M2136" t="str">
        <x:v>Gebucht</x:v>
      </x:c>
      <x:c r="N2136" t="str">
        <x:v>KOHLENBERG, LARS</x:v>
      </x:c>
      <x:c r="O2136" t="str">
        <x:v>Lars und Katrin Kohlenberg</x:v>
      </x:c>
      <x:c r="P2136" t="str">
        <x:v>10341372 VERMOEGENSDEPOT SPARPLAN WKN A1C9ED</x:v>
      </x:c>
      <x:c r="Q2136" t="str">
        <x:v>Ausgang</x:v>
      </x:c>
      <x:c r="R2136" t="str">
        <x:v>DE27672300000506966162</x:v>
      </x:c>
      <x:c r="S2136" t="n">
        <x:v>-100</x:v>
      </x:c>
      <x:c r="T2136" t="str">
        <x:v>DE53ZZZ00000010849</x:v>
      </x:c>
      <x:c r="U2136" t="str">
        <x:v>WPBF0000180845</x:v>
      </x:c>
      <x:c r="V2136" t="str">
        <x:v>SPARSP 14602665</x:v>
      </x:c>
    </x:row>
    <x:row r="2137">
      <x:c r="A2137" t="str">
        <x:v>RAW-IMP-20260516-FULLDRAFT-002120</x:v>
      </x:c>
      <x:c r="B2137" t="str">
        <x:v>IMP-20260516-FULLDRAFT</x:v>
      </x:c>
      <x:c r="C2137" t="str">
        <x:v>KTO001</x:v>
      </x:c>
      <x:c r="D2137" t="str">
        <x:v>16-05-2026_Umsatzliste_Girokonto_DE98120300001061711675.csv</x:v>
      </x:c>
      <x:c r="E2137" t="n">
        <x:v>46163</x:v>
      </x:c>
      <x:c r="F2137" t="n">
        <x:v>2120</x:v>
      </x:c>
      <x:c r="G2137" t="str">
        <x:v>fc6203575befcc1ed48ae41037bf9a09113e6f82dddcbd7e6643d6d033c1adbe</x:v>
      </x:c>
      <x:c r="H2137" t="str">
        <x:v>neu</x:v>
      </x:c>
      <x:c r="I2137" t="str">
        <x:v>ok</x:v>
      </x:c>
      <x:c r="J2137"/>
      <x:c r="K2137" t="n">
        <x:v>45447</x:v>
      </x:c>
      <x:c r="L2137" t="n">
        <x:v>45447</x:v>
      </x:c>
      <x:c r="M2137" t="str">
        <x:v>Gebucht</x:v>
      </x:c>
      <x:c r="N2137" t="str">
        <x:v>Lars Kohlenberg                                                       JohannesWosnitzaStr.</x:v>
      </x:c>
      <x:c r="O2137" t="str">
        <x:v>Adyen N.V.</x:v>
      </x:c>
      <x:c r="P2137" t="str">
        <x:v>GMX by LOTTO24 C98983063 T443115979340</x:v>
      </x:c>
      <x:c r="Q2137" t="str">
        <x:v>Ausgang</x:v>
      </x:c>
      <x:c r="R2137" t="str">
        <x:v>DE11120700700020000603</x:v>
      </x:c>
      <x:c r="S2137" t="n">
        <x:v>-18.14</x:v>
      </x:c>
      <x:c r="T2137" t="str">
        <x:v>NL48ZZZ342764500000</x:v>
      </x:c>
      <x:c r="U2137" t="str">
        <x:v>R372DKN5SSBXZP52</x:v>
      </x:c>
      <x:c r="V2137" t="str">
        <x:v>CQLM2V3QMT4DJDXG2C</x:v>
      </x:c>
    </x:row>
    <x:row r="2138">
      <x:c r="A2138" t="str">
        <x:v>RAW-IMP-20260516-FULLDRAFT-002121</x:v>
      </x:c>
      <x:c r="B2138" t="str">
        <x:v>IMP-20260516-FULLDRAFT</x:v>
      </x:c>
      <x:c r="C2138" t="str">
        <x:v>KTO001</x:v>
      </x:c>
      <x:c r="D2138" t="str">
        <x:v>16-05-2026_Umsatzliste_Girokonto_DE98120300001061711675.csv</x:v>
      </x:c>
      <x:c r="E2138" t="n">
        <x:v>46163</x:v>
      </x:c>
      <x:c r="F2138" t="n">
        <x:v>2121</x:v>
      </x:c>
      <x:c r="G2138" t="str">
        <x:v>2ae1bcccf90cbc4abef34640243856e67dbf5d97786ed9b44ae53212c26365a8</x:v>
      </x:c>
      <x:c r="H2138" t="str">
        <x:v>neu</x:v>
      </x:c>
      <x:c r="I2138" t="str">
        <x:v>ok</x:v>
      </x:c>
      <x:c r="J2138"/>
      <x:c r="K2138" t="n">
        <x:v>45447</x:v>
      </x:c>
      <x:c r="L2138" t="n">
        <x:v>45447</x:v>
      </x:c>
      <x:c r="M2138" t="str">
        <x:v>Gebucht</x:v>
      </x:c>
      <x:c r="N2138" t="str">
        <x:v>KOHLENBERG, LARS</x:v>
      </x:c>
      <x:c r="O2138" t="str">
        <x:v>VPV-LEBENSVERSICHERUNGS-AG</x:v>
      </x:c>
      <x:c r="P2138" t="str">
        <x:v>VNR 301667726</x:v>
      </x:c>
      <x:c r="Q2138" t="str">
        <x:v>Ausgang</x:v>
      </x:c>
      <x:c r="R2138" t="str">
        <x:v>DE78600501010001166338</x:v>
      </x:c>
      <x:c r="S2138" t="n">
        <x:v>-51.54</x:v>
      </x:c>
      <x:c r="T2138" t="str">
        <x:v>DE96LAG00000064686</x:v>
      </x:c>
      <x:c r="U2138" t="str">
        <x:v>ML700120510</x:v>
      </x:c>
      <x:c r="V2138" t="str">
        <x:v>240603 448293217 ML700120510</x:v>
      </x:c>
    </x:row>
    <x:row r="2139">
      <x:c r="A2139" t="str">
        <x:v>RAW-IMP-20260516-FULLDRAFT-002122</x:v>
      </x:c>
      <x:c r="B2139" t="str">
        <x:v>IMP-20260516-FULLDRAFT</x:v>
      </x:c>
      <x:c r="C2139" t="str">
        <x:v>KTO001</x:v>
      </x:c>
      <x:c r="D2139" t="str">
        <x:v>16-05-2026_Umsatzliste_Girokonto_DE98120300001061711675.csv</x:v>
      </x:c>
      <x:c r="E2139" t="n">
        <x:v>46163</x:v>
      </x:c>
      <x:c r="F2139" t="n">
        <x:v>2122</x:v>
      </x:c>
      <x:c r="G2139" t="str">
        <x:v>f9c72d7983e00229f4cfdaf03a1158ab544ed879b92baddab2ea1d7b0c51d252</x:v>
      </x:c>
      <x:c r="H2139" t="str">
        <x:v>neu</x:v>
      </x:c>
      <x:c r="I2139" t="str">
        <x:v>ok</x:v>
      </x:c>
      <x:c r="J2139"/>
      <x:c r="K2139" t="n">
        <x:v>45447</x:v>
      </x:c>
      <x:c r="L2139" t="n">
        <x:v>45447</x:v>
      </x:c>
      <x:c r="M2139" t="str">
        <x:v>Gebucht</x:v>
      </x:c>
      <x:c r="N2139" t="str">
        <x:v>Lars Kohlenberg</x:v>
      </x:c>
      <x:c r="O2139" t="str">
        <x:v>VHV Allg. Versicherung AG</x:v>
      </x:c>
      <x:c r="P2139" t="str">
        <x:v>VHV Versicherung UNFALLVERSICHERUNG U 013-072445/0000 Abrechnung: 01.06.24 - 01.07.24</x:v>
      </x:c>
      <x:c r="Q2139" t="str">
        <x:v>Ausgang</x:v>
      </x:c>
      <x:c r="R2139" t="str">
        <x:v>DE65250500000101411551</x:v>
      </x:c>
      <x:c r="S2139" t="n">
        <x:v>-11.96</x:v>
      </x:c>
      <x:c r="T2139" t="str">
        <x:v>DE32VHV00000150810</x:v>
      </x:c>
      <x:c r="U2139" t="str">
        <x:v>0015012300010039</x:v>
      </x:c>
      <x:c r="V2139" t="str">
        <x:v>31213070856</x:v>
      </x:c>
    </x:row>
    <x:row r="2140">
      <x:c r="A2140" t="str">
        <x:v>RAW-IMP-20260516-FULLDRAFT-002123</x:v>
      </x:c>
      <x:c r="B2140" t="str">
        <x:v>IMP-20260516-FULLDRAFT</x:v>
      </x:c>
      <x:c r="C2140" t="str">
        <x:v>KTO001</x:v>
      </x:c>
      <x:c r="D2140" t="str">
        <x:v>16-05-2026_Umsatzliste_Girokonto_DE98120300001061711675.csv</x:v>
      </x:c>
      <x:c r="E2140" t="n">
        <x:v>46163</x:v>
      </x:c>
      <x:c r="F2140" t="n">
        <x:v>2123</x:v>
      </x:c>
      <x:c r="G2140" t="str">
        <x:v>1884fe7e56bd57e4815d166642fe944b685ccc83839a16e136f6059cedd8cab6</x:v>
      </x:c>
      <x:c r="H2140" t="str">
        <x:v>neu</x:v>
      </x:c>
      <x:c r="I2140" t="str">
        <x:v>ok</x:v>
      </x:c>
      <x:c r="J2140"/>
      <x:c r="K2140" t="n">
        <x:v>45447</x:v>
      </x:c>
      <x:c r="L2140" t="n">
        <x:v>45447</x:v>
      </x:c>
      <x:c r="M2140" t="str">
        <x:v>Gebucht</x:v>
      </x:c>
      <x:c r="N2140" t="str">
        <x:v>Lars Kohlenberg                                                       Johannes-Wosnitza-Str. 8</x:v>
      </x:c>
      <x:c r="O2140" t="str">
        <x:v>FUNKE Medien Nieders.GmbH</x:v>
      </x:c>
      <x:c r="P2140" t="str">
        <x:v>SZ/00001050/VA/01.06.24-30.06.24/Rg-Nr.:6315594545/Kd-Nr:0053112791/Steuer:3.57</x:v>
      </x:c>
      <x:c r="Q2140" t="str">
        <x:v>Ausgang</x:v>
      </x:c>
      <x:c r="R2140" t="str">
        <x:v>DE67250500000000146910</x:v>
      </x:c>
      <x:c r="S2140" t="n">
        <x:v>-54.5</x:v>
      </x:c>
      <x:c r="T2140" t="str">
        <x:v>DE8850000000483288</x:v>
      </x:c>
      <x:c r="U2140" t="str">
        <x:v>0053112791-0500-01300001</x:v>
      </x:c>
      <x:c r="V2140" t="str">
        <x:v>031007014493</x:v>
      </x:c>
    </x:row>
    <x:row r="2141">
      <x:c r="A2141" t="str">
        <x:v>RAW-IMP-20260516-FULLDRAFT-002124</x:v>
      </x:c>
      <x:c r="B2141" t="str">
        <x:v>IMP-20260516-FULLDRAFT</x:v>
      </x:c>
      <x:c r="C2141" t="str">
        <x:v>KTO001</x:v>
      </x:c>
      <x:c r="D2141" t="str">
        <x:v>16-05-2026_Umsatzliste_Girokonto_DE98120300001061711675.csv</x:v>
      </x:c>
      <x:c r="E2141" t="n">
        <x:v>46163</x:v>
      </x:c>
      <x:c r="F2141" t="n">
        <x:v>2124</x:v>
      </x:c>
      <x:c r="G2141" t="str">
        <x:v>03e369d129c79995da60780dda3c1d994963b5e1a43d28d33e5341db77fd2ccd</x:v>
      </x:c>
      <x:c r="H2141" t="str">
        <x:v>neu</x:v>
      </x:c>
      <x:c r="I2141" t="str">
        <x:v>ok</x:v>
      </x:c>
      <x:c r="J2141"/>
      <x:c r="K2141" t="n">
        <x:v>45446</x:v>
      </x:c>
      <x:c r="L2141" t="n">
        <x:v>45446</x:v>
      </x:c>
      <x:c r="M2141" t="str">
        <x:v>Gebucht</x:v>
      </x:c>
      <x:c r="N2141" t="str">
        <x:v>WILLI KOHLENBERG</x:v>
      </x:c>
      <x:c r="O2141" t="str">
        <x:v>LARS KOHLENBERG</x:v>
      </x:c>
      <x:c r="P2141" t="str">
        <x:v>MIETE 2/3 HAUS</x:v>
      </x:c>
      <x:c r="Q2141" t="str">
        <x:v>Eingang</x:v>
      </x:c>
      <x:c r="R2141" t="str">
        <x:v>DE84270800600651520400</x:v>
      </x:c>
      <x:c r="S2141" t="n">
        <x:v>750</x:v>
      </x:c>
      <x:c r="T2141" t="str">
        <x:v>"</x:v>
      </x:c>
      <x:c r="U2141" t="str">
        <x:v>"</x:v>
      </x:c>
      <x:c r="V2141" t="str">
        <x:v>"</x:v>
      </x:c>
    </x:row>
    <x:row r="2142">
      <x:c r="A2142" t="str">
        <x:v>RAW-IMP-20260516-FULLDRAFT-002125</x:v>
      </x:c>
      <x:c r="B2142" t="str">
        <x:v>IMP-20260516-FULLDRAFT</x:v>
      </x:c>
      <x:c r="C2142" t="str">
        <x:v>KTO001</x:v>
      </x:c>
      <x:c r="D2142" t="str">
        <x:v>16-05-2026_Umsatzliste_Girokonto_DE98120300001061711675.csv</x:v>
      </x:c>
      <x:c r="E2142" t="n">
        <x:v>46163</x:v>
      </x:c>
      <x:c r="F2142" t="n">
        <x:v>2125</x:v>
      </x:c>
      <x:c r="G2142" t="str">
        <x:v>4cb90743216cb92c954b29d2af5f1fa9eee3ae47a5abafda4cd21d90bd0e1db3</x:v>
      </x:c>
      <x:c r="H2142" t="str">
        <x:v>neu</x:v>
      </x:c>
      <x:c r="I2142" t="str">
        <x:v>ok</x:v>
      </x:c>
      <x:c r="J2142"/>
      <x:c r="K2142" t="n">
        <x:v>45446</x:v>
      </x:c>
      <x:c r="L2142" t="n">
        <x:v>45446</x:v>
      </x:c>
      <x:c r="M2142" t="str">
        <x:v>Gebucht</x:v>
      </x:c>
      <x:c r="N2142" t="str">
        <x:v>ISSUER</x:v>
      </x:c>
      <x:c r="O2142" t="str">
        <x:v>TAS.SALDER/SALZGITTER</x:v>
      </x:c>
      <x:c r="P2142" t="str">
        <x:v>VISA Debitkartenumsatz vom 02.06.2024</x:v>
      </x:c>
      <x:c r="Q2142" t="str">
        <x:v>Ausgang</x:v>
      </x:c>
      <x:c r="R2142" t="str">
        <x:v>DE96120300009005290904</x:v>
      </x:c>
      <x:c r="S2142" t="n">
        <x:v>-42.84</x:v>
      </x:c>
      <x:c r="T2142" t="str">
        <x:v>"</x:v>
      </x:c>
      <x:c r="U2142" t="str">
        <x:v>"</x:v>
      </x:c>
      <x:c r="V2142" t="str">
        <x:v>484154472666946</x:v>
      </x:c>
    </x:row>
    <x:row r="2143">
      <x:c r="A2143" t="str">
        <x:v>RAW-IMP-20260516-FULLDRAFT-002126</x:v>
      </x:c>
      <x:c r="B2143" t="str">
        <x:v>IMP-20260516-FULLDRAFT</x:v>
      </x:c>
      <x:c r="C2143" t="str">
        <x:v>KTO001</x:v>
      </x:c>
      <x:c r="D2143" t="str">
        <x:v>16-05-2026_Umsatzliste_Girokonto_DE98120300001061711675.csv</x:v>
      </x:c>
      <x:c r="E2143" t="n">
        <x:v>46163</x:v>
      </x:c>
      <x:c r="F2143" t="n">
        <x:v>2126</x:v>
      </x:c>
      <x:c r="G2143" t="str">
        <x:v>5214d403565247089ed38187018ca9beb027acde5981319977459aa06e24cc68</x:v>
      </x:c>
      <x:c r="H2143" t="str">
        <x:v>neu</x:v>
      </x:c>
      <x:c r="I2143" t="str">
        <x:v>ok</x:v>
      </x:c>
      <x:c r="J2143"/>
      <x:c r="K2143" t="n">
        <x:v>45446</x:v>
      </x:c>
      <x:c r="L2143" t="n">
        <x:v>45446</x:v>
      </x:c>
      <x:c r="M2143" t="str">
        <x:v>Gebucht</x:v>
      </x:c>
      <x:c r="N2143" t="str">
        <x:v>ISSUER</x:v>
      </x:c>
      <x:c r="O2143" t="str">
        <x:v>REWE.Salzgitter.Ge/Salzgitter</x:v>
      </x:c>
      <x:c r="P2143" t="str">
        <x:v>VISA Debitkartenumsatz vom 31.05.2024</x:v>
      </x:c>
      <x:c r="Q2143" t="str">
        <x:v>Ausgang</x:v>
      </x:c>
      <x:c r="R2143" t="str">
        <x:v>DE96120300009005290904</x:v>
      </x:c>
      <x:c r="S2143" t="n">
        <x:v>-42.85</x:v>
      </x:c>
      <x:c r="T2143" t="str">
        <x:v>"</x:v>
      </x:c>
      <x:c r="U2143" t="str">
        <x:v>"</x:v>
      </x:c>
      <x:c r="V2143" t="str">
        <x:v>484152570846999</x:v>
      </x:c>
    </x:row>
    <x:row r="2144">
      <x:c r="A2144" t="str">
        <x:v>RAW-IMP-20260516-FULLDRAFT-002127</x:v>
      </x:c>
      <x:c r="B2144" t="str">
        <x:v>IMP-20260516-FULLDRAFT</x:v>
      </x:c>
      <x:c r="C2144" t="str">
        <x:v>KTO001</x:v>
      </x:c>
      <x:c r="D2144" t="str">
        <x:v>16-05-2026_Umsatzliste_Girokonto_DE98120300001061711675.csv</x:v>
      </x:c>
      <x:c r="E2144" t="n">
        <x:v>46163</x:v>
      </x:c>
      <x:c r="F2144" t="n">
        <x:v>2127</x:v>
      </x:c>
      <x:c r="G2144" t="str">
        <x:v>a05ea014cb6fbf7260b51d2caa7d78b0e1be3a57133e516372a29615c82a524d</x:v>
      </x:c>
      <x:c r="H2144" t="str">
        <x:v>neu</x:v>
      </x:c>
      <x:c r="I2144" t="str">
        <x:v>ok</x:v>
      </x:c>
      <x:c r="J2144"/>
      <x:c r="K2144" t="n">
        <x:v>45446</x:v>
      </x:c>
      <x:c r="L2144" t="n">
        <x:v>45446</x:v>
      </x:c>
      <x:c r="M2144" t="str">
        <x:v>Gebucht</x:v>
      </x:c>
      <x:c r="N2144" t="str">
        <x:v>ISSUER</x:v>
      </x:c>
      <x:c r="O2144" t="str">
        <x:v>Outlet.Wolfsburg/Wolfsburg</x:v>
      </x:c>
      <x:c r="P2144" t="str">
        <x:v>VISA Debitkartenumsatz vom 01.06.2024</x:v>
      </x:c>
      <x:c r="Q2144" t="str">
        <x:v>Ausgang</x:v>
      </x:c>
      <x:c r="R2144" t="str">
        <x:v>DE96120300009005290904</x:v>
      </x:c>
      <x:c r="S2144" t="n">
        <x:v>-111.75</x:v>
      </x:c>
      <x:c r="T2144" t="str">
        <x:v>"</x:v>
      </x:c>
      <x:c r="U2144" t="str">
        <x:v>"</x:v>
      </x:c>
      <x:c r="V2144" t="str">
        <x:v>484153316153339</x:v>
      </x:c>
    </x:row>
    <x:row r="2145">
      <x:c r="A2145" t="str">
        <x:v>RAW-IMP-20260516-FULLDRAFT-002128</x:v>
      </x:c>
      <x:c r="B2145" t="str">
        <x:v>IMP-20260516-FULLDRAFT</x:v>
      </x:c>
      <x:c r="C2145" t="str">
        <x:v>KTO001</x:v>
      </x:c>
      <x:c r="D2145" t="str">
        <x:v>16-05-2026_Umsatzliste_Girokonto_DE98120300001061711675.csv</x:v>
      </x:c>
      <x:c r="E2145" t="n">
        <x:v>46163</x:v>
      </x:c>
      <x:c r="F2145" t="n">
        <x:v>2128</x:v>
      </x:c>
      <x:c r="G2145" t="str">
        <x:v>63a8bde1963e4213997775123aa762553402e614b780704e98a1a1cdde7233f7</x:v>
      </x:c>
      <x:c r="H2145" t="str">
        <x:v>neu</x:v>
      </x:c>
      <x:c r="I2145" t="str">
        <x:v>ok</x:v>
      </x:c>
      <x:c r="J2145"/>
      <x:c r="K2145" t="n">
        <x:v>45446</x:v>
      </x:c>
      <x:c r="L2145" t="n">
        <x:v>45446</x:v>
      </x:c>
      <x:c r="M2145" t="str">
        <x:v>Gebucht</x:v>
      </x:c>
      <x:c r="N2145" t="str">
        <x:v>ISSUER</x:v>
      </x:c>
      <x:c r="O2145" t="str">
        <x:v>LOsteria.Wolfsburg/Wolfsburg</x:v>
      </x:c>
      <x:c r="P2145" t="str">
        <x:v>VISA Debitkartenumsatz vom 31.05.2024</x:v>
      </x:c>
      <x:c r="Q2145" t="str">
        <x:v>Ausgang</x:v>
      </x:c>
      <x:c r="R2145" t="str">
        <x:v>DE96120300009005290904</x:v>
      </x:c>
      <x:c r="S2145" t="n">
        <x:v>-38.17</x:v>
      </x:c>
      <x:c r="T2145" t="str">
        <x:v>"</x:v>
      </x:c>
      <x:c r="U2145" t="str">
        <x:v>"</x:v>
      </x:c>
      <x:c r="V2145" t="str">
        <x:v>484152426492071</x:v>
      </x:c>
    </x:row>
    <x:row r="2146">
      <x:c r="A2146" t="str">
        <x:v>RAW-IMP-20260516-FULLDRAFT-002129</x:v>
      </x:c>
      <x:c r="B2146" t="str">
        <x:v>IMP-20260516-FULLDRAFT</x:v>
      </x:c>
      <x:c r="C2146" t="str">
        <x:v>KTO001</x:v>
      </x:c>
      <x:c r="D2146" t="str">
        <x:v>16-05-2026_Umsatzliste_Girokonto_DE98120300001061711675.csv</x:v>
      </x:c>
      <x:c r="E2146" t="n">
        <x:v>46163</x:v>
      </x:c>
      <x:c r="F2146" t="n">
        <x:v>2129</x:v>
      </x:c>
      <x:c r="G2146" t="str">
        <x:v>7951a9b5932956db268e88c749e17824edce51fa515ff91593cbf0c9d6f680dd</x:v>
      </x:c>
      <x:c r="H2146" t="str">
        <x:v>neu</x:v>
      </x:c>
      <x:c r="I2146" t="str">
        <x:v>ok</x:v>
      </x:c>
      <x:c r="J2146"/>
      <x:c r="K2146" t="n">
        <x:v>45446</x:v>
      </x:c>
      <x:c r="L2146" t="n">
        <x:v>45446</x:v>
      </x:c>
      <x:c r="M2146" t="str">
        <x:v>Gebucht</x:v>
      </x:c>
      <x:c r="N2146" t="str">
        <x:v>ISSUER</x:v>
      </x:c>
      <x:c r="O2146" t="str">
        <x:v>Marc.OPolo.Einzelhandel/Wolfsburg</x:v>
      </x:c>
      <x:c r="P2146" t="str">
        <x:v>VISA Debitkartenumsatz vom 31.05.2024</x:v>
      </x:c>
      <x:c r="Q2146" t="str">
        <x:v>Ausgang</x:v>
      </x:c>
      <x:c r="R2146" t="str">
        <x:v>DE96120300009005290904</x:v>
      </x:c>
      <x:c r="S2146" t="n">
        <x:v>-61.25</x:v>
      </x:c>
      <x:c r="T2146" t="str">
        <x:v>"</x:v>
      </x:c>
      <x:c r="U2146" t="str">
        <x:v>"</x:v>
      </x:c>
      <x:c r="V2146" t="str">
        <x:v>484152362929954</x:v>
      </x:c>
    </x:row>
    <x:row r="2147">
      <x:c r="A2147" t="str">
        <x:v>RAW-IMP-20260516-FULLDRAFT-002130</x:v>
      </x:c>
      <x:c r="B2147" t="str">
        <x:v>IMP-20260516-FULLDRAFT</x:v>
      </x:c>
      <x:c r="C2147" t="str">
        <x:v>KTO001</x:v>
      </x:c>
      <x:c r="D2147" t="str">
        <x:v>16-05-2026_Umsatzliste_Girokonto_DE98120300001061711675.csv</x:v>
      </x:c>
      <x:c r="E2147" t="n">
        <x:v>46163</x:v>
      </x:c>
      <x:c r="F2147" t="n">
        <x:v>2130</x:v>
      </x:c>
      <x:c r="G2147" t="str">
        <x:v>849ec55cd1e49d52124f7c0b65ca61cac832155b6699b98367cd68c3b64a0672</x:v>
      </x:c>
      <x:c r="H2147" t="str">
        <x:v>neu</x:v>
      </x:c>
      <x:c r="I2147" t="str">
        <x:v>ok</x:v>
      </x:c>
      <x:c r="J2147"/>
      <x:c r="K2147" t="n">
        <x:v>45446</x:v>
      </x:c>
      <x:c r="L2147" t="n">
        <x:v>45446</x:v>
      </x:c>
      <x:c r="M2147" t="str">
        <x:v>Gebucht</x:v>
      </x:c>
      <x:c r="N2147" t="str">
        <x:v>ISSUER</x:v>
      </x:c>
      <x:c r="O2147" t="str">
        <x:v>bugatti.Outlet.Wolfsbur/Wolfsburg</x:v>
      </x:c>
      <x:c r="P2147" t="str">
        <x:v>VISA Debitkartenumsatz vom 31.05.2024</x:v>
      </x:c>
      <x:c r="Q2147" t="str">
        <x:v>Ausgang</x:v>
      </x:c>
      <x:c r="R2147" t="str">
        <x:v>DE96120300009005290904</x:v>
      </x:c>
      <x:c r="S2147" t="n">
        <x:v>-69.95</x:v>
      </x:c>
      <x:c r="T2147" t="str">
        <x:v>"</x:v>
      </x:c>
      <x:c r="U2147" t="str">
        <x:v>"</x:v>
      </x:c>
      <x:c r="V2147" t="str">
        <x:v>484152452774844</x:v>
      </x:c>
    </x:row>
    <x:row r="2148">
      <x:c r="A2148" t="str">
        <x:v>RAW-IMP-20260516-FULLDRAFT-002131</x:v>
      </x:c>
      <x:c r="B2148" t="str">
        <x:v>IMP-20260516-FULLDRAFT</x:v>
      </x:c>
      <x:c r="C2148" t="str">
        <x:v>KTO001</x:v>
      </x:c>
      <x:c r="D2148" t="str">
        <x:v>16-05-2026_Umsatzliste_Girokonto_DE98120300001061711675.csv</x:v>
      </x:c>
      <x:c r="E2148" t="n">
        <x:v>46163</x:v>
      </x:c>
      <x:c r="F2148" t="n">
        <x:v>2131</x:v>
      </x:c>
      <x:c r="G2148" t="str">
        <x:v>e3a3b231511e59b10a183a3adff936e177cf50deec8a13c61f79fae22eb5b1ad</x:v>
      </x:c>
      <x:c r="H2148" t="str">
        <x:v>neu</x:v>
      </x:c>
      <x:c r="I2148" t="str">
        <x:v>ok</x:v>
      </x:c>
      <x:c r="J2148"/>
      <x:c r="K2148" t="n">
        <x:v>45446</x:v>
      </x:c>
      <x:c r="L2148" t="n">
        <x:v>45446</x:v>
      </x:c>
      <x:c r="M2148" t="str">
        <x:v>Gebucht</x:v>
      </x:c>
      <x:c r="N2148" t="str">
        <x:v>ISSUER</x:v>
      </x:c>
      <x:c r="O2148" t="str">
        <x:v>Hugo.Boss.AG.4848/Wolfsburg</x:v>
      </x:c>
      <x:c r="P2148" t="str">
        <x:v>VISA Debitkartenumsatz vom 31.05.2024</x:v>
      </x:c>
      <x:c r="Q2148" t="str">
        <x:v>Ausgang</x:v>
      </x:c>
      <x:c r="R2148" t="str">
        <x:v>DE96120300009005290904</x:v>
      </x:c>
      <x:c r="S2148" t="n">
        <x:v>-217.85</x:v>
      </x:c>
      <x:c r="T2148" t="str">
        <x:v>"</x:v>
      </x:c>
      <x:c r="U2148" t="str">
        <x:v>"</x:v>
      </x:c>
      <x:c r="V2148" t="str">
        <x:v>484152490782906</x:v>
      </x:c>
    </x:row>
    <x:row r="2149">
      <x:c r="A2149" t="str">
        <x:v>RAW-IMP-20260516-FULLDRAFT-002132</x:v>
      </x:c>
      <x:c r="B2149" t="str">
        <x:v>IMP-20260516-FULLDRAFT</x:v>
      </x:c>
      <x:c r="C2149" t="str">
        <x:v>KTO001</x:v>
      </x:c>
      <x:c r="D2149" t="str">
        <x:v>16-05-2026_Umsatzliste_Girokonto_DE98120300001061711675.csv</x:v>
      </x:c>
      <x:c r="E2149" t="n">
        <x:v>46163</x:v>
      </x:c>
      <x:c r="F2149" t="n">
        <x:v>2132</x:v>
      </x:c>
      <x:c r="G2149" t="str">
        <x:v>97bc2fcfd51ec99f2bda9d1d7cb84bf2ff15c241bd0d99e57f49c7fc1bab55ef</x:v>
      </x:c>
      <x:c r="H2149" t="str">
        <x:v>neu</x:v>
      </x:c>
      <x:c r="I2149" t="str">
        <x:v>ok</x:v>
      </x:c>
      <x:c r="J2149"/>
      <x:c r="K2149" t="n">
        <x:v>45446</x:v>
      </x:c>
      <x:c r="L2149" t="n">
        <x:v>45446</x:v>
      </x:c>
      <x:c r="M2149" t="str">
        <x:v>Gebucht</x:v>
      </x:c>
      <x:c r="N2149" t="str">
        <x:v>ISSUER</x:v>
      </x:c>
      <x:c r="O2149" t="str">
        <x:v>Roy.Robson/Luneburg</x:v>
      </x:c>
      <x:c r="P2149" t="str">
        <x:v>VISA Debitkartenumsatz vom 31.05.2024</x:v>
      </x:c>
      <x:c r="Q2149" t="str">
        <x:v>Ausgang</x:v>
      </x:c>
      <x:c r="R2149" t="str">
        <x:v>DE96120300009005290904</x:v>
      </x:c>
      <x:c r="S2149" t="n">
        <x:v>-294.89</x:v>
      </x:c>
      <x:c r="T2149" t="str">
        <x:v>"</x:v>
      </x:c>
      <x:c r="U2149" t="str">
        <x:v>"</x:v>
      </x:c>
      <x:c r="V2149" t="str">
        <x:v>484152390324123</x:v>
      </x:c>
    </x:row>
    <x:row r="2150">
      <x:c r="A2150" t="str">
        <x:v>RAW-IMP-20260516-FULLDRAFT-002133</x:v>
      </x:c>
      <x:c r="B2150" t="str">
        <x:v>IMP-20260516-FULLDRAFT</x:v>
      </x:c>
      <x:c r="C2150" t="str">
        <x:v>KTO001</x:v>
      </x:c>
      <x:c r="D2150" t="str">
        <x:v>16-05-2026_Umsatzliste_Girokonto_DE98120300001061711675.csv</x:v>
      </x:c>
      <x:c r="E2150" t="n">
        <x:v>46163</x:v>
      </x:c>
      <x:c r="F2150" t="n">
        <x:v>2133</x:v>
      </x:c>
      <x:c r="G2150" t="str">
        <x:v>4d11e218beffe11adea9336762578554a1bc564c54a16ead431038ab16686f67</x:v>
      </x:c>
      <x:c r="H2150" t="str">
        <x:v>neu</x:v>
      </x:c>
      <x:c r="I2150" t="str">
        <x:v>ok</x:v>
      </x:c>
      <x:c r="J2150"/>
      <x:c r="K2150" t="n">
        <x:v>45446</x:v>
      </x:c>
      <x:c r="L2150" t="n">
        <x:v>45446</x:v>
      </x:c>
      <x:c r="M2150" t="str">
        <x:v>Gebucht</x:v>
      </x:c>
      <x:c r="N2150" t="str">
        <x:v>ISSUER</x:v>
      </x:c>
      <x:c r="O2150" t="str">
        <x:v>Garcia.Jeans/Wolfsburg</x:v>
      </x:c>
      <x:c r="P2150" t="str">
        <x:v>VISA Debitkartenumsatz vom 31.05.2024</x:v>
      </x:c>
      <x:c r="Q2150" t="str">
        <x:v>Ausgang</x:v>
      </x:c>
      <x:c r="R2150" t="str">
        <x:v>DE96120300009005290904</x:v>
      </x:c>
      <x:c r="S2150" t="n">
        <x:v>-33.58</x:v>
      </x:c>
      <x:c r="T2150" t="str">
        <x:v>"</x:v>
      </x:c>
      <x:c r="U2150" t="str">
        <x:v>"</x:v>
      </x:c>
      <x:c r="V2150" t="str">
        <x:v>484152441832720</x:v>
      </x:c>
    </x:row>
    <x:row r="2151">
      <x:c r="A2151" t="str">
        <x:v>RAW-IMP-20260516-FULLDRAFT-002134</x:v>
      </x:c>
      <x:c r="B2151" t="str">
        <x:v>IMP-20260516-FULLDRAFT</x:v>
      </x:c>
      <x:c r="C2151" t="str">
        <x:v>KTO001</x:v>
      </x:c>
      <x:c r="D2151" t="str">
        <x:v>16-05-2026_Umsatzliste_Girokonto_DE98120300001061711675.csv</x:v>
      </x:c>
      <x:c r="E2151" t="n">
        <x:v>46163</x:v>
      </x:c>
      <x:c r="F2151" t="n">
        <x:v>2134</x:v>
      </x:c>
      <x:c r="G2151" t="str">
        <x:v>5017bee0d33c60f6ffa857b0db1cf4818d62033fa286fbae1130e2d250a977cd</x:v>
      </x:c>
      <x:c r="H2151" t="str">
        <x:v>neu</x:v>
      </x:c>
      <x:c r="I2151" t="str">
        <x:v>ok</x:v>
      </x:c>
      <x:c r="J2151"/>
      <x:c r="K2151" t="n">
        <x:v>45446</x:v>
      </x:c>
      <x:c r="L2151" t="n">
        <x:v>45446</x:v>
      </x:c>
      <x:c r="M2151" t="str">
        <x:v>Gebucht</x:v>
      </x:c>
      <x:c r="N2151" t="str">
        <x:v>ISSUER</x:v>
      </x:c>
      <x:c r="O2151" t="str">
        <x:v>DESIGNER OUTLETS OCI WOLFS</x:v>
      </x:c>
      <x:c r="P2151" t="str">
        <x:v>Girokartenumsatz</x:v>
      </x:c>
      <x:c r="Q2151" t="str">
        <x:v>Ausgang</x:v>
      </x:c>
      <x:c r="R2151" t="str">
        <x:v>DE67269513110011070364</x:v>
      </x:c>
      <x:c r="S2151" t="n">
        <x:v>-1</x:v>
      </x:c>
      <x:c r="T2151" t="str">
        <x:v>"</x:v>
      </x:c>
      <x:c r="U2151" t="str">
        <x:v>"</x:v>
      </x:c>
      <x:c r="V2151" t="str">
        <x:v>54136579230826010624105010</x:v>
      </x:c>
    </x:row>
    <x:row r="2152">
      <x:c r="A2152" t="str">
        <x:v>RAW-IMP-20260516-FULLDRAFT-002135</x:v>
      </x:c>
      <x:c r="B2152" t="str">
        <x:v>IMP-20260516-FULLDRAFT</x:v>
      </x:c>
      <x:c r="C2152" t="str">
        <x:v>KTO001</x:v>
      </x:c>
      <x:c r="D2152" t="str">
        <x:v>16-05-2026_Umsatzliste_Girokonto_DE98120300001061711675.csv</x:v>
      </x:c>
      <x:c r="E2152" t="n">
        <x:v>46163</x:v>
      </x:c>
      <x:c r="F2152" t="n">
        <x:v>2135</x:v>
      </x:c>
      <x:c r="G2152" t="str">
        <x:v>f74da76ddbe209d65d5eed71d26645793020bdbbe700260d103705931dfe1cdc</x:v>
      </x:c>
      <x:c r="H2152" t="str">
        <x:v>neu</x:v>
      </x:c>
      <x:c r="I2152" t="str">
        <x:v>ok</x:v>
      </x:c>
      <x:c r="J2152"/>
      <x:c r="K2152" t="n">
        <x:v>45446</x:v>
      </x:c>
      <x:c r="L2152" t="n">
        <x:v>45446</x:v>
      </x:c>
      <x:c r="M2152" t="str">
        <x:v>Gebucht</x:v>
      </x:c>
      <x:c r="N2152" t="str">
        <x:v>ISSUER</x:v>
      </x:c>
      <x:c r="O2152" t="str">
        <x:v>NikePOS.DE/Wolfsburg</x:v>
      </x:c>
      <x:c r="P2152" t="str">
        <x:v>VISA Debitkartenumsatz vom 01.06.2024</x:v>
      </x:c>
      <x:c r="Q2152" t="str">
        <x:v>Ausgang</x:v>
      </x:c>
      <x:c r="R2152" t="str">
        <x:v>DE96120300009005290904</x:v>
      </x:c>
      <x:c r="S2152" t="n">
        <x:v>-90.99</x:v>
      </x:c>
      <x:c r="T2152" t="str">
        <x:v>"</x:v>
      </x:c>
      <x:c r="U2152" t="str">
        <x:v>"</x:v>
      </x:c>
      <x:c r="V2152" t="str">
        <x:v>484153301846143</x:v>
      </x:c>
    </x:row>
    <x:row r="2153">
      <x:c r="A2153" t="str">
        <x:v>RAW-IMP-20260516-FULLDRAFT-002136</x:v>
      </x:c>
      <x:c r="B2153" t="str">
        <x:v>IMP-20260516-FULLDRAFT</x:v>
      </x:c>
      <x:c r="C2153" t="str">
        <x:v>KTO001</x:v>
      </x:c>
      <x:c r="D2153" t="str">
        <x:v>16-05-2026_Umsatzliste_Girokonto_DE98120300001061711675.csv</x:v>
      </x:c>
      <x:c r="E2153" t="n">
        <x:v>46163</x:v>
      </x:c>
      <x:c r="F2153" t="n">
        <x:v>2136</x:v>
      </x:c>
      <x:c r="G2153" t="str">
        <x:v>42d60faba348807980ece93295f0a3224be8e9cb036bbeb4f4dad96ef4c642ea</x:v>
      </x:c>
      <x:c r="H2153" t="str">
        <x:v>neu</x:v>
      </x:c>
      <x:c r="I2153" t="str">
        <x:v>ok</x:v>
      </x:c>
      <x:c r="J2153"/>
      <x:c r="K2153" t="n">
        <x:v>45446</x:v>
      </x:c>
      <x:c r="L2153" t="n">
        <x:v>45446</x:v>
      </x:c>
      <x:c r="M2153" t="str">
        <x:v>Gebucht</x:v>
      </x:c>
      <x:c r="N2153" t="str">
        <x:v>ISSUER</x:v>
      </x:c>
      <x:c r="O2153" t="str">
        <x:v>Hilfiger.Stores.German/Wolfsburg</x:v>
      </x:c>
      <x:c r="P2153" t="str">
        <x:v>VISA Debitkartenumsatz vom 31.05.2024</x:v>
      </x:c>
      <x:c r="Q2153" t="str">
        <x:v>Ausgang</x:v>
      </x:c>
      <x:c r="R2153" t="str">
        <x:v>DE96120300009005290904</x:v>
      </x:c>
      <x:c r="S2153" t="n">
        <x:v>-55.8</x:v>
      </x:c>
      <x:c r="T2153" t="str">
        <x:v>"</x:v>
      </x:c>
      <x:c r="U2153" t="str">
        <x:v>"</x:v>
      </x:c>
      <x:c r="V2153" t="str">
        <x:v>484152372400568</x:v>
      </x:c>
    </x:row>
    <x:row r="2154">
      <x:c r="A2154" t="str">
        <x:v>RAW-IMP-20260516-FULLDRAFT-002137</x:v>
      </x:c>
      <x:c r="B2154" t="str">
        <x:v>IMP-20260516-FULLDRAFT</x:v>
      </x:c>
      <x:c r="C2154" t="str">
        <x:v>KTO001</x:v>
      </x:c>
      <x:c r="D2154" t="str">
        <x:v>16-05-2026_Umsatzliste_Girokonto_DE98120300001061711675.csv</x:v>
      </x:c>
      <x:c r="E2154" t="n">
        <x:v>46163</x:v>
      </x:c>
      <x:c r="F2154" t="n">
        <x:v>2137</x:v>
      </x:c>
      <x:c r="G2154" t="str">
        <x:v>253c4949d5bd317502242b136637252dfa48cfab2839999280e9789fe4955992</x:v>
      </x:c>
      <x:c r="H2154" t="str">
        <x:v>neu</x:v>
      </x:c>
      <x:c r="I2154" t="str">
        <x:v>ok</x:v>
      </x:c>
      <x:c r="J2154"/>
      <x:c r="K2154" t="n">
        <x:v>45446</x:v>
      </x:c>
      <x:c r="L2154" t="n">
        <x:v>45446</x:v>
      </x:c>
      <x:c r="M2154" t="str">
        <x:v>Gebucht</x:v>
      </x:c>
      <x:c r="N2154" t="str">
        <x:v>ISSUER</x:v>
      </x:c>
      <x:c r="O2154" t="str">
        <x:v>AUTOHAUS.LIEBE.GMBH/SALZGITTER</x:v>
      </x:c>
      <x:c r="P2154" t="str">
        <x:v>VISA Debitkartenumsatz vom 31.05.2024</x:v>
      </x:c>
      <x:c r="Q2154" t="str">
        <x:v>Ausgang</x:v>
      </x:c>
      <x:c r="R2154" t="str">
        <x:v>DE96120300009005290904</x:v>
      </x:c>
      <x:c r="S2154" t="n">
        <x:v>-778.82</x:v>
      </x:c>
      <x:c r="T2154" t="str">
        <x:v>"</x:v>
      </x:c>
      <x:c r="U2154" t="str">
        <x:v>"</x:v>
      </x:c>
      <x:c r="V2154" t="str">
        <x:v>484152534144159</x:v>
      </x:c>
    </x:row>
    <x:row r="2155">
      <x:c r="A2155" t="str">
        <x:v>RAW-IMP-20260516-FULLDRAFT-002138</x:v>
      </x:c>
      <x:c r="B2155" t="str">
        <x:v>IMP-20260516-FULLDRAFT</x:v>
      </x:c>
      <x:c r="C2155" t="str">
        <x:v>KTO001</x:v>
      </x:c>
      <x:c r="D2155" t="str">
        <x:v>16-05-2026_Umsatzliste_Girokonto_DE98120300001061711675.csv</x:v>
      </x:c>
      <x:c r="E2155" t="n">
        <x:v>46163</x:v>
      </x:c>
      <x:c r="F2155" t="n">
        <x:v>2138</x:v>
      </x:c>
      <x:c r="G2155" t="str">
        <x:v>78cc2132798137f320687b7de2b2ac56a28e02aca824364eaecfad0b34c4bd75</x:v>
      </x:c>
      <x:c r="H2155" t="str">
        <x:v>neu</x:v>
      </x:c>
      <x:c r="I2155" t="str">
        <x:v>ok</x:v>
      </x:c>
      <x:c r="J2155"/>
      <x:c r="K2155" t="n">
        <x:v>45446</x:v>
      </x:c>
      <x:c r="L2155" t="n">
        <x:v>45446</x:v>
      </x:c>
      <x:c r="M2155" t="str">
        <x:v>Gebucht</x:v>
      </x:c>
      <x:c r="N2155" t="str">
        <x:v>ISSUER</x:v>
      </x:c>
      <x:c r="O2155" t="str">
        <x:v>AUTOHAUS.LIEBE.GMBH/SALZGITTER</x:v>
      </x:c>
      <x:c r="P2155" t="str">
        <x:v>VISA Debitkartenumsatz vom 31.05.2024</x:v>
      </x:c>
      <x:c r="Q2155" t="str">
        <x:v>Ausgang</x:v>
      </x:c>
      <x:c r="R2155" t="str">
        <x:v>DE96120300009005290904</x:v>
      </x:c>
      <x:c r="S2155" t="n">
        <x:v>-24.91</x:v>
      </x:c>
      <x:c r="T2155" t="str">
        <x:v>"</x:v>
      </x:c>
      <x:c r="U2155" t="str">
        <x:v>"</x:v>
      </x:c>
      <x:c r="V2155" t="str">
        <x:v>484152534815414</x:v>
      </x:c>
    </x:row>
    <x:row r="2156">
      <x:c r="A2156" t="str">
        <x:v>RAW-IMP-20260516-FULLDRAFT-002139</x:v>
      </x:c>
      <x:c r="B2156" t="str">
        <x:v>IMP-20260516-FULLDRAFT</x:v>
      </x:c>
      <x:c r="C2156" t="str">
        <x:v>KTO001</x:v>
      </x:c>
      <x:c r="D2156" t="str">
        <x:v>16-05-2026_Umsatzliste_Girokonto_DE98120300001061711675.csv</x:v>
      </x:c>
      <x:c r="E2156" t="n">
        <x:v>46163</x:v>
      </x:c>
      <x:c r="F2156" t="n">
        <x:v>2139</x:v>
      </x:c>
      <x:c r="G2156" t="str">
        <x:v>86a1df212954ac2e59db9d3fe3f97f0e1243e1c76d55ff32f4cd59c3027dc9e7</x:v>
      </x:c>
      <x:c r="H2156" t="str">
        <x:v>neu</x:v>
      </x:c>
      <x:c r="I2156" t="str">
        <x:v>ok</x:v>
      </x:c>
      <x:c r="J2156"/>
      <x:c r="K2156" t="n">
        <x:v>45446</x:v>
      </x:c>
      <x:c r="L2156" t="n">
        <x:v>45446</x:v>
      </x:c>
      <x:c r="M2156" t="str">
        <x:v>Gebucht</x:v>
      </x:c>
      <x:c r="N2156" t="str">
        <x:v>ISSUER</x:v>
      </x:c>
      <x:c r="O2156" t="str">
        <x:v>TAS.SALDER/SALZGITTER</x:v>
      </x:c>
      <x:c r="P2156" t="str">
        <x:v>VISA Debitkartenumsatz vom 31.05.2024</x:v>
      </x:c>
      <x:c r="Q2156" t="str">
        <x:v>Ausgang</x:v>
      </x:c>
      <x:c r="R2156" t="str">
        <x:v>DE96120300009005290904</x:v>
      </x:c>
      <x:c r="S2156" t="n">
        <x:v>-40.28</x:v>
      </x:c>
      <x:c r="T2156" t="str">
        <x:v>"</x:v>
      </x:c>
      <x:c r="U2156" t="str">
        <x:v>"</x:v>
      </x:c>
      <x:c r="V2156" t="str">
        <x:v>484152583914619</x:v>
      </x:c>
    </x:row>
    <x:row r="2157">
      <x:c r="A2157" t="str">
        <x:v>RAW-IMP-20260516-FULLDRAFT-002140</x:v>
      </x:c>
      <x:c r="B2157" t="str">
        <x:v>IMP-20260516-FULLDRAFT</x:v>
      </x:c>
      <x:c r="C2157" t="str">
        <x:v>KTO001</x:v>
      </x:c>
      <x:c r="D2157" t="str">
        <x:v>16-05-2026_Umsatzliste_Girokonto_DE98120300001061711675.csv</x:v>
      </x:c>
      <x:c r="E2157" t="n">
        <x:v>46163</x:v>
      </x:c>
      <x:c r="F2157" t="n">
        <x:v>2140</x:v>
      </x:c>
      <x:c r="G2157" t="str">
        <x:v>9b6a5d2d4726c03caed4674150b196422815ec0e60af13be0d56e6a15bac8275</x:v>
      </x:c>
      <x:c r="H2157" t="str">
        <x:v>neu</x:v>
      </x:c>
      <x:c r="I2157" t="str">
        <x:v>ok</x:v>
      </x:c>
      <x:c r="J2157"/>
      <x:c r="K2157" t="n">
        <x:v>45446</x:v>
      </x:c>
      <x:c r="L2157" t="n">
        <x:v>45446</x:v>
      </x:c>
      <x:c r="M2157" t="str">
        <x:v>Gebucht</x:v>
      </x:c>
      <x:c r="N2157" t="str">
        <x:v>RAVENSBERG.BASECAMP/BAD.SACHSA</x:v>
      </x:c>
      <x:c r="O2157" t="str">
        <x:v>NOTPROVIDED</x:v>
      </x:c>
      <x:c r="P2157" t="str">
        <x:v>20240602152244 RAVENSBERG.BASECAMP DE</x:v>
      </x:c>
      <x:c r="Q2157" t="str">
        <x:v>Eingang</x:v>
      </x:c>
      <x:c r="R2157" t="str">
        <x:v>DE96120300009005290904</x:v>
      </x:c>
      <x:c r="S2157" t="n">
        <x:v>16</x:v>
      </x:c>
      <x:c r="T2157" t="str">
        <x:v>"</x:v>
      </x:c>
      <x:c r="U2157" t="str">
        <x:v>"</x:v>
      </x:c>
      <x:c r="V2157" t="str">
        <x:v>484152563407613</x:v>
      </x:c>
    </x:row>
    <x:row r="2158">
      <x:c r="A2158" t="str">
        <x:v>RAW-IMP-20260516-FULLDRAFT-002141</x:v>
      </x:c>
      <x:c r="B2158" t="str">
        <x:v>IMP-20260516-FULLDRAFT</x:v>
      </x:c>
      <x:c r="C2158" t="str">
        <x:v>KTO001</x:v>
      </x:c>
      <x:c r="D2158" t="str">
        <x:v>16-05-2026_Umsatzliste_Girokonto_DE98120300001061711675.csv</x:v>
      </x:c>
      <x:c r="E2158" t="n">
        <x:v>46163</x:v>
      </x:c>
      <x:c r="F2158" t="n">
        <x:v>2141</x:v>
      </x:c>
      <x:c r="G2158" t="str">
        <x:v>9491ae891ddaa5d4d10b201fbc5f6fa46c965957e06e69d98ba4c75e5448af14</x:v>
      </x:c>
      <x:c r="H2158" t="str">
        <x:v>neu</x:v>
      </x:c>
      <x:c r="I2158" t="str">
        <x:v>ok</x:v>
      </x:c>
      <x:c r="J2158"/>
      <x:c r="K2158" t="n">
        <x:v>45446</x:v>
      </x:c>
      <x:c r="L2158" t="n">
        <x:v>45446</x:v>
      </x:c>
      <x:c r="M2158" t="str">
        <x:v>Gebucht</x:v>
      </x:c>
      <x:c r="N2158" t="str">
        <x:v>KOHLENBERG LARS</x:v>
      </x:c>
      <x:c r="O2158" t="str">
        <x:v>VOLKSWOHL BUND Lebensversicherung a.G.</x:v>
      </x:c>
      <x:c r="P2158" t="str">
        <x:v>009893595 LA000750566/ 009893595 LEBEN 66,15</x:v>
      </x:c>
      <x:c r="Q2158" t="str">
        <x:v>Ausgang</x:v>
      </x:c>
      <x:c r="R2158" t="str">
        <x:v>DE76440400370361155500</x:v>
      </x:c>
      <x:c r="S2158" t="n">
        <x:v>-66.15</x:v>
      </x:c>
      <x:c r="T2158" t="str">
        <x:v>DE13ZZZ00000141064</x:v>
      </x:c>
      <x:c r="U2158" t="str">
        <x:v>LA000750566</x:v>
      </x:c>
      <x:c r="V2158" t="str">
        <x:v>009893595/NVMA.G1081-345068</x:v>
      </x:c>
    </x:row>
    <x:row r="2159">
      <x:c r="A2159" t="str">
        <x:v>RAW-IMP-20260516-FULLDRAFT-002142</x:v>
      </x:c>
      <x:c r="B2159" t="str">
        <x:v>IMP-20260516-FULLDRAFT</x:v>
      </x:c>
      <x:c r="C2159" t="str">
        <x:v>KTO001</x:v>
      </x:c>
      <x:c r="D2159" t="str">
        <x:v>16-05-2026_Umsatzliste_Girokonto_DE98120300001061711675.csv</x:v>
      </x:c>
      <x:c r="E2159" t="n">
        <x:v>46163</x:v>
      </x:c>
      <x:c r="F2159" t="n">
        <x:v>2142</x:v>
      </x:c>
      <x:c r="G2159" t="str">
        <x:v>e5d528d45f12af9ee4787315b29819cd763802a5931e275b009e17e554a891c2</x:v>
      </x:c>
      <x:c r="H2159" t="str">
        <x:v>neu</x:v>
      </x:c>
      <x:c r="I2159" t="str">
        <x:v>ok</x:v>
      </x:c>
      <x:c r="J2159"/>
      <x:c r="K2159" t="n">
        <x:v>45446</x:v>
      </x:c>
      <x:c r="L2159" t="n">
        <x:v>45446</x:v>
      </x:c>
      <x:c r="M2159" t="str">
        <x:v>Gebucht</x:v>
      </x:c>
      <x:c r="N2159" t="str">
        <x:v>Lars Kohlenberg                                                       Johannes-Wosnitza-Str. 8 38229 Salzgitter</x:v>
      </x:c>
      <x:c r="O2159" t="str">
        <x:v>Heidelberger Lebensversicherung AG                                    Im Breitspiel 2-4, 69126 Heidelberg</x:v>
      </x:c>
      <x:c r="P2159" t="str">
        <x:v>60012826 , 06.24</x:v>
      </x:c>
      <x:c r="Q2159" t="str">
        <x:v>Ausgang</x:v>
      </x:c>
      <x:c r="R2159" t="str">
        <x:v>DE38600501010002662604</x:v>
      </x:c>
      <x:c r="S2159" t="n">
        <x:v>-452.71</x:v>
      </x:c>
      <x:c r="T2159" t="str">
        <x:v>DE31HLE00000032682</x:v>
      </x:c>
      <x:c r="U2159" t="str">
        <x:v>11-140000075706</x:v>
      </x:c>
      <x:c r="V2159" t="str">
        <x:v>154038434147</x:v>
      </x:c>
    </x:row>
    <x:row r="2160">
      <x:c r="A2160" t="str">
        <x:v>RAW-IMP-20260516-FULLDRAFT-002143</x:v>
      </x:c>
      <x:c r="B2160" t="str">
        <x:v>IMP-20260516-FULLDRAFT</x:v>
      </x:c>
      <x:c r="C2160" t="str">
        <x:v>KTO001</x:v>
      </x:c>
      <x:c r="D2160" t="str">
        <x:v>16-05-2026_Umsatzliste_Girokonto_DE98120300001061711675.csv</x:v>
      </x:c>
      <x:c r="E2160" t="n">
        <x:v>46163</x:v>
      </x:c>
      <x:c r="F2160" t="n">
        <x:v>2143</x:v>
      </x:c>
      <x:c r="G2160" t="str">
        <x:v>0b05d06339951d8e310b32483163d695b5a5ad1454d8d05f0f5a09e1fab4265f</x:v>
      </x:c>
      <x:c r="H2160" t="str">
        <x:v>neu</x:v>
      </x:c>
      <x:c r="I2160" t="str">
        <x:v>ok</x:v>
      </x:c>
      <x:c r="J2160"/>
      <x:c r="K2160" t="n">
        <x:v>45446</x:v>
      </x:c>
      <x:c r="L2160" t="n">
        <x:v>45446</x:v>
      </x:c>
      <x:c r="M2160" t="str">
        <x:v>Gebucht</x:v>
      </x:c>
      <x:c r="N2160" t="str">
        <x:v>Kohlenberg, Lars</x:v>
      </x:c>
      <x:c r="O2160" t="str">
        <x:v>IDEAL Lebensversicherung aG</x:v>
      </x:c>
      <x:c r="P2160" t="str">
        <x:v>2011216280009 LV 061</x:v>
      </x:c>
      <x:c r="Q2160" t="str">
        <x:v>Ausgang</x:v>
      </x:c>
      <x:c r="R2160" t="str">
        <x:v>DE36100700000460303100</x:v>
      </x:c>
      <x:c r="S2160" t="n">
        <x:v>-97.12</x:v>
      </x:c>
      <x:c r="T2160" t="str">
        <x:v>DE40ZZZ00000559230</x:v>
      </x:c>
      <x:c r="U2160" t="str">
        <x:v>2011216280009-001</x:v>
      </x:c>
      <x:c r="V2160" t="str">
        <x:v>GL,KL,PD-20240601-1-2011216280009-0</x:v>
      </x:c>
    </x:row>
    <x:row r="2161">
      <x:c r="A2161" t="str">
        <x:v>RAW-IMP-20260516-FULLDRAFT-002144</x:v>
      </x:c>
      <x:c r="B2161" t="str">
        <x:v>IMP-20260516-FULLDRAFT</x:v>
      </x:c>
      <x:c r="C2161" t="str">
        <x:v>KTO001</x:v>
      </x:c>
      <x:c r="D2161" t="str">
        <x:v>16-05-2026_Umsatzliste_Girokonto_DE98120300001061711675.csv</x:v>
      </x:c>
      <x:c r="E2161" t="n">
        <x:v>46163</x:v>
      </x:c>
      <x:c r="F2161" t="n">
        <x:v>2144</x:v>
      </x:c>
      <x:c r="G2161" t="str">
        <x:v>eae6a37b4376cdbfc16dd97f687e029ca0d591a1ee46755384d15ae02947c394</x:v>
      </x:c>
      <x:c r="H2161" t="str">
        <x:v>neu</x:v>
      </x:c>
      <x:c r="I2161" t="str">
        <x:v>ok</x:v>
      </x:c>
      <x:c r="J2161"/>
      <x:c r="K2161" t="n">
        <x:v>45446</x:v>
      </x:c>
      <x:c r="L2161" t="n">
        <x:v>45446</x:v>
      </x:c>
      <x:c r="M2161" t="str">
        <x:v>Gebucht</x:v>
      </x:c>
      <x:c r="N2161" t="str">
        <x:v>Kohlenberg Lars</x:v>
      </x:c>
      <x:c r="O2161" t="str">
        <x:v>Allianz Lebensvers. AG</x:v>
      </x:c>
      <x:c r="P2161" t="str">
        <x:v>330296196 0624</x:v>
      </x:c>
      <x:c r="Q2161" t="str">
        <x:v>Ausgang</x:v>
      </x:c>
      <x:c r="R2161" t="str">
        <x:v>DE77700202700062328142</x:v>
      </x:c>
      <x:c r="S2161" t="n">
        <x:v>-141.13</x:v>
      </x:c>
      <x:c r="T2161" t="str">
        <x:v>DE07ZZZ00000063475</x:v>
      </x:c>
      <x:c r="U2161" t="str">
        <x:v>LA01L312001066775296</x:v>
      </x:c>
      <x:c r="V2161" t="str">
        <x:v>A7024144-000330296196012549189952</x:v>
      </x:c>
    </x:row>
    <x:row r="2162">
      <x:c r="A2162" t="str">
        <x:v>RAW-IMP-20260516-FULLDRAFT-002145</x:v>
      </x:c>
      <x:c r="B2162" t="str">
        <x:v>IMP-20260516-FULLDRAFT</x:v>
      </x:c>
      <x:c r="C2162" t="str">
        <x:v>KTO001</x:v>
      </x:c>
      <x:c r="D2162" t="str">
        <x:v>16-05-2026_Umsatzliste_Girokonto_DE98120300001061711675.csv</x:v>
      </x:c>
      <x:c r="E2162" t="n">
        <x:v>46163</x:v>
      </x:c>
      <x:c r="F2162" t="n">
        <x:v>2145</x:v>
      </x:c>
      <x:c r="G2162" t="str">
        <x:v>3f81b7e6c5a62d81f823efcadbebece8179d05b043e55abdfd5d40953e8b3fb6</x:v>
      </x:c>
      <x:c r="H2162" t="str">
        <x:v>neu</x:v>
      </x:c>
      <x:c r="I2162" t="str">
        <x:v>ok</x:v>
      </x:c>
      <x:c r="J2162"/>
      <x:c r="K2162" t="n">
        <x:v>45446</x:v>
      </x:c>
      <x:c r="L2162" t="n">
        <x:v>45446</x:v>
      </x:c>
      <x:c r="M2162" t="str">
        <x:v>Gebucht</x:v>
      </x:c>
      <x:c r="N2162" t="str">
        <x:v>Lars Kohlenberg</x:v>
      </x:c>
      <x:c r="O2162" t="str">
        <x:v>WingTsun GMBH CO. KG</x:v>
      </x:c>
      <x:c r="P2162" t="str">
        <x:v>2406117210RG++1265739</x:v>
      </x:c>
      <x:c r="Q2162" t="str">
        <x:v>Ausgang</x:v>
      </x:c>
      <x:c r="R2162" t="str">
        <x:v>DE56660100750206419751</x:v>
      </x:c>
      <x:c r="S2162" t="n">
        <x:v>-49</x:v>
      </x:c>
      <x:c r="T2162" t="str">
        <x:v>"</x:v>
      </x:c>
      <x:c r="U2162" t="str">
        <x:v>"</x:v>
      </x:c>
      <x:c r="V2162" t="str">
        <x:v>"</x:v>
      </x:c>
    </x:row>
    <x:row r="2163">
      <x:c r="A2163" t="str">
        <x:v>RAW-IMP-20260516-FULLDRAFT-002146</x:v>
      </x:c>
      <x:c r="B2163" t="str">
        <x:v>IMP-20260516-FULLDRAFT</x:v>
      </x:c>
      <x:c r="C2163" t="str">
        <x:v>KTO001</x:v>
      </x:c>
      <x:c r="D2163" t="str">
        <x:v>16-05-2026_Umsatzliste_Girokonto_DE98120300001061711675.csv</x:v>
      </x:c>
      <x:c r="E2163" t="n">
        <x:v>46163</x:v>
      </x:c>
      <x:c r="F2163" t="n">
        <x:v>2146</x:v>
      </x:c>
      <x:c r="G2163" t="str">
        <x:v>0f415ec17a90300a684a2b03bd0f7d6a9bca35d9706156f303982fa66063a854</x:v>
      </x:c>
      <x:c r="H2163" t="str">
        <x:v>neu</x:v>
      </x:c>
      <x:c r="I2163" t="str">
        <x:v>ok</x:v>
      </x:c>
      <x:c r="J2163"/>
      <x:c r="K2163" t="n">
        <x:v>45446</x:v>
      </x:c>
      <x:c r="L2163" t="n">
        <x:v>45446</x:v>
      </x:c>
      <x:c r="M2163" t="str">
        <x:v>Gebucht</x:v>
      </x:c>
      <x:c r="N2163" t="str">
        <x:v>Lars Kohlenberg</x:v>
      </x:c>
      <x:c r="O2163" t="str">
        <x:v>KATRIN KOHLENBERG</x:v>
      </x:c>
      <x:c r="P2163" t="str">
        <x:v>Apanage</x:v>
      </x:c>
      <x:c r="Q2163" t="str">
        <x:v>Ausgang</x:v>
      </x:c>
      <x:c r="R2163" t="str">
        <x:v>DE32270727240307336800</x:v>
      </x:c>
      <x:c r="S2163" t="n">
        <x:v>-1800</x:v>
      </x:c>
      <x:c r="T2163" t="str">
        <x:v>"</x:v>
      </x:c>
      <x:c r="U2163" t="str">
        <x:v>"</x:v>
      </x:c>
      <x:c r="V2163" t="str">
        <x:v>"</x:v>
      </x:c>
    </x:row>
    <x:row r="2164">
      <x:c r="A2164" t="str">
        <x:v>RAW-IMP-20260516-FULLDRAFT-002147</x:v>
      </x:c>
      <x:c r="B2164" t="str">
        <x:v>IMP-20260516-FULLDRAFT</x:v>
      </x:c>
      <x:c r="C2164" t="str">
        <x:v>KTO001</x:v>
      </x:c>
      <x:c r="D2164" t="str">
        <x:v>16-05-2026_Umsatzliste_Girokonto_DE98120300001061711675.csv</x:v>
      </x:c>
      <x:c r="E2164" t="n">
        <x:v>46163</x:v>
      </x:c>
      <x:c r="F2164" t="n">
        <x:v>2147</x:v>
      </x:c>
      <x:c r="G2164" t="str">
        <x:v>a7c100c08b0835d44f399b044eb679f527004c0034854a871ecfce5b8c0d47d4</x:v>
      </x:c>
      <x:c r="H2164" t="str">
        <x:v>neu</x:v>
      </x:c>
      <x:c r="I2164" t="str">
        <x:v>ok</x:v>
      </x:c>
      <x:c r="J2164"/>
      <x:c r="K2164" t="n">
        <x:v>45446</x:v>
      </x:c>
      <x:c r="L2164" t="n">
        <x:v>45446</x:v>
      </x:c>
      <x:c r="M2164" t="str">
        <x:v>Gebucht</x:v>
      </x:c>
      <x:c r="N2164" t="str">
        <x:v>Lars Kohlenberg</x:v>
      </x:c>
      <x:c r="O2164" t="str">
        <x:v>LARS KOHLENBERG</x:v>
      </x:c>
      <x:c r="P2164" t="str">
        <x:v>Sparrate 650,- + 750 EUR Mieteinnahmen</x:v>
      </x:c>
      <x:c r="Q2164" t="str">
        <x:v>Ausgang</x:v>
      </x:c>
      <x:c r="R2164" t="str">
        <x:v>DE91270200001510365800</x:v>
      </x:c>
      <x:c r="S2164" t="n">
        <x:v>-1400</x:v>
      </x:c>
      <x:c r="T2164" t="str">
        <x:v>"</x:v>
      </x:c>
      <x:c r="U2164" t="str">
        <x:v>"</x:v>
      </x:c>
      <x:c r="V2164" t="str">
        <x:v>"</x:v>
      </x:c>
    </x:row>
    <x:row r="2165">
      <x:c r="A2165" t="str">
        <x:v>RAW-IMP-20260516-FULLDRAFT-002148</x:v>
      </x:c>
      <x:c r="B2165" t="str">
        <x:v>IMP-20260516-FULLDRAFT</x:v>
      </x:c>
      <x:c r="C2165" t="str">
        <x:v>KTO001</x:v>
      </x:c>
      <x:c r="D2165" t="str">
        <x:v>16-05-2026_Umsatzliste_Girokonto_DE98120300001061711675.csv</x:v>
      </x:c>
      <x:c r="E2165" t="n">
        <x:v>46163</x:v>
      </x:c>
      <x:c r="F2165" t="n">
        <x:v>2148</x:v>
      </x:c>
      <x:c r="G2165" t="str">
        <x:v>633a37a88094f03d28c047f07ba2797884603217a883e4a0e7dd256c5051aae4</x:v>
      </x:c>
      <x:c r="H2165" t="str">
        <x:v>neu</x:v>
      </x:c>
      <x:c r="I2165" t="str">
        <x:v>ok</x:v>
      </x:c>
      <x:c r="J2165"/>
      <x:c r="K2165" t="n">
        <x:v>45443</x:v>
      </x:c>
      <x:c r="L2165" t="n">
        <x:v>45443</x:v>
      </x:c>
      <x:c r="M2165" t="str">
        <x:v>Gebucht</x:v>
      </x:c>
      <x:c r="N2165" t="str">
        <x:v>ISSUER</x:v>
      </x:c>
      <x:c r="O2165" t="str">
        <x:v>PH.GRUENER.LOEWE/BRAUNDSCHWEIG</x:v>
      </x:c>
      <x:c r="P2165" t="str">
        <x:v>VISA Debitkartenumsatz vom 30.05.2024</x:v>
      </x:c>
      <x:c r="Q2165" t="str">
        <x:v>Ausgang</x:v>
      </x:c>
      <x:c r="R2165" t="str">
        <x:v>DE96120300009005290904</x:v>
      </x:c>
      <x:c r="S2165" t="n">
        <x:v>-2.5</x:v>
      </x:c>
      <x:c r="T2165" t="str">
        <x:v>"</x:v>
      </x:c>
      <x:c r="U2165" t="str">
        <x:v>"</x:v>
      </x:c>
      <x:c r="V2165" t="str">
        <x:v>484151426969313</x:v>
      </x:c>
    </x:row>
    <x:row r="2166">
      <x:c r="A2166" t="str">
        <x:v>RAW-IMP-20260516-FULLDRAFT-002149</x:v>
      </x:c>
      <x:c r="B2166" t="str">
        <x:v>IMP-20260516-FULLDRAFT</x:v>
      </x:c>
      <x:c r="C2166" t="str">
        <x:v>KTO001</x:v>
      </x:c>
      <x:c r="D2166" t="str">
        <x:v>16-05-2026_Umsatzliste_Girokonto_DE98120300001061711675.csv</x:v>
      </x:c>
      <x:c r="E2166" t="n">
        <x:v>46163</x:v>
      </x:c>
      <x:c r="F2166" t="n">
        <x:v>2149</x:v>
      </x:c>
      <x:c r="G2166" t="str">
        <x:v>a63f8aa7ce5bd8d87fd8c131f5744030c479cb3d1c2dbd021906d1100bc49f3b</x:v>
      </x:c>
      <x:c r="H2166" t="str">
        <x:v>neu</x:v>
      </x:c>
      <x:c r="I2166" t="str">
        <x:v>ok</x:v>
      </x:c>
      <x:c r="J2166"/>
      <x:c r="K2166" t="n">
        <x:v>45443</x:v>
      </x:c>
      <x:c r="L2166" t="n">
        <x:v>45443</x:v>
      </x:c>
      <x:c r="M2166" t="str">
        <x:v>Gebucht</x:v>
      </x:c>
      <x:c r="N2166" t="str">
        <x:v>ISSUER</x:v>
      </x:c>
      <x:c r="O2166" t="str">
        <x:v>REWE.Markt.Salzgitter.G/Salzgitter</x:v>
      </x:c>
      <x:c r="P2166" t="str">
        <x:v>VISA Debitkartenumsatz vom 30.05.2024</x:v>
      </x:c>
      <x:c r="Q2166" t="str">
        <x:v>Ausgang</x:v>
      </x:c>
      <x:c r="R2166" t="str">
        <x:v>DE96120300009005290904</x:v>
      </x:c>
      <x:c r="S2166" t="n">
        <x:v>-19.47</x:v>
      </x:c>
      <x:c r="T2166" t="str">
        <x:v>"</x:v>
      </x:c>
      <x:c r="U2166" t="str">
        <x:v>"</x:v>
      </x:c>
      <x:c r="V2166" t="str">
        <x:v>484151566180588</x:v>
      </x:c>
    </x:row>
    <x:row r="2167">
      <x:c r="A2167" t="str">
        <x:v>RAW-IMP-20260516-FULLDRAFT-002150</x:v>
      </x:c>
      <x:c r="B2167" t="str">
        <x:v>IMP-20260516-FULLDRAFT</x:v>
      </x:c>
      <x:c r="C2167" t="str">
        <x:v>KTO001</x:v>
      </x:c>
      <x:c r="D2167" t="str">
        <x:v>16-05-2026_Umsatzliste_Girokonto_DE98120300001061711675.csv</x:v>
      </x:c>
      <x:c r="E2167" t="n">
        <x:v>46163</x:v>
      </x:c>
      <x:c r="F2167" t="n">
        <x:v>2150</x:v>
      </x:c>
      <x:c r="G2167" t="str">
        <x:v>3795386888db533411b849d8316d8bc9e12770f1626ece9783260525014c9a35</x:v>
      </x:c>
      <x:c r="H2167" t="str">
        <x:v>neu</x:v>
      </x:c>
      <x:c r="I2167" t="str">
        <x:v>ok</x:v>
      </x:c>
      <x:c r="J2167"/>
      <x:c r="K2167" t="n">
        <x:v>45443</x:v>
      </x:c>
      <x:c r="L2167" t="n">
        <x:v>45443</x:v>
      </x:c>
      <x:c r="M2167" t="str">
        <x:v>Gebucht</x:v>
      </x:c>
      <x:c r="N2167" t="str">
        <x:v>Kohlenberg, Katrin</x:v>
      </x:c>
      <x:c r="O2167" t="str">
        <x:v>WEVG Salzgitter GmbH + Co. KG</x:v>
      </x:c>
      <x:c r="P2167" t="str">
        <x:v>Kd-Nr 79288 Einz 31.05.24 41710/352.00/Johannes-Wosni 100833/70.00/Johannes-Wosni</x:v>
      </x:c>
      <x:c r="Q2167" t="str">
        <x:v>Ausgang</x:v>
      </x:c>
      <x:c r="R2167" t="str">
        <x:v>DE19300700100394127500</x:v>
      </x:c>
      <x:c r="S2167" t="n">
        <x:v>-422</x:v>
      </x:c>
      <x:c r="T2167" t="str">
        <x:v>DE83WEV00000032716</x:v>
      </x:c>
      <x:c r="U2167" t="str">
        <x:v>WEVG0000079288G1000178580</x:v>
      </x:c>
      <x:c r="V2167" t="str">
        <x:v>12992613</x:v>
      </x:c>
    </x:row>
    <x:row r="2168">
      <x:c r="A2168" t="str">
        <x:v>RAW-IMP-20260516-FULLDRAFT-002151</x:v>
      </x:c>
      <x:c r="B2168" t="str">
        <x:v>IMP-20260516-FULLDRAFT</x:v>
      </x:c>
      <x:c r="C2168" t="str">
        <x:v>KTO001</x:v>
      </x:c>
      <x:c r="D2168" t="str">
        <x:v>16-05-2026_Umsatzliste_Girokonto_DE98120300001061711675.csv</x:v>
      </x:c>
      <x:c r="E2168" t="n">
        <x:v>46163</x:v>
      </x:c>
      <x:c r="F2168" t="n">
        <x:v>2151</x:v>
      </x:c>
      <x:c r="G2168" t="str">
        <x:v>357d6cc435431fcf56337a10ee9bc33ac71d5ef37665e10817f5dc55216b9d3c</x:v>
      </x:c>
      <x:c r="H2168" t="str">
        <x:v>neu</x:v>
      </x:c>
      <x:c r="I2168" t="str">
        <x:v>ok</x:v>
      </x:c>
      <x:c r="J2168"/>
      <x:c r="K2168" t="n">
        <x:v>45443</x:v>
      </x:c>
      <x:c r="L2168" t="n">
        <x:v>45443</x:v>
      </x:c>
      <x:c r="M2168" t="str">
        <x:v>Gebucht</x:v>
      </x:c>
      <x:c r="N2168" t="str">
        <x:v>Lars Kohlenberg</x:v>
      </x:c>
      <x:c r="O2168" t="str">
        <x:v>LARS KOHLENBERG</x:v>
      </x:c>
      <x:c r="P2168" t="str">
        <x:v>Zins und Tilgung zu 2/3</x:v>
      </x:c>
      <x:c r="Q2168" t="str">
        <x:v>Ausgang</x:v>
      </x:c>
      <x:c r="R2168" t="str">
        <x:v>DE33269910668923736000</x:v>
      </x:c>
      <x:c r="S2168" t="n">
        <x:v>-1153.94</x:v>
      </x:c>
      <x:c r="T2168" t="str">
        <x:v>"</x:v>
      </x:c>
      <x:c r="U2168" t="str">
        <x:v>"</x:v>
      </x:c>
      <x:c r="V2168" t="str">
        <x:v>"</x:v>
      </x:c>
    </x:row>
    <x:row r="2169">
      <x:c r="A2169" t="str">
        <x:v>RAW-IMP-20260516-FULLDRAFT-002152</x:v>
      </x:c>
      <x:c r="B2169" t="str">
        <x:v>IMP-20260516-FULLDRAFT</x:v>
      </x:c>
      <x:c r="C2169" t="str">
        <x:v>KTO001</x:v>
      </x:c>
      <x:c r="D2169" t="str">
        <x:v>16-05-2026_Umsatzliste_Girokonto_DE98120300001061711675.csv</x:v>
      </x:c>
      <x:c r="E2169" t="n">
        <x:v>46163</x:v>
      </x:c>
      <x:c r="F2169" t="n">
        <x:v>2152</x:v>
      </x:c>
      <x:c r="G2169" t="str">
        <x:v>62ea3614294e3c18be9f57b83acf2ebaff1f6bdaff78756da8fd19ec66f9e36a</x:v>
      </x:c>
      <x:c r="H2169" t="str">
        <x:v>neu</x:v>
      </x:c>
      <x:c r="I2169" t="str">
        <x:v>ok</x:v>
      </x:c>
      <x:c r="J2169"/>
      <x:c r="K2169" t="n">
        <x:v>45442</x:v>
      </x:c>
      <x:c r="L2169" t="n">
        <x:v>45442</x:v>
      </x:c>
      <x:c r="M2169" t="str">
        <x:v>Gebucht</x:v>
      </x:c>
      <x:c r="N2169" t="str">
        <x:v>Lars Kohlenberg</x:v>
      </x:c>
      <x:c r="O2169" t="str">
        <x:v>Lars Kohlenberg</x:v>
      </x:c>
      <x:c r="P2169" t="str">
        <x:v>Übertrag</x:v>
      </x:c>
      <x:c r="Q2169" t="str">
        <x:v>Ausgang</x:v>
      </x:c>
      <x:c r="R2169" t="str">
        <x:v>DE91270200001510365800</x:v>
      </x:c>
      <x:c r="S2169" t="n">
        <x:v>-23000</x:v>
      </x:c>
      <x:c r="T2169" t="str">
        <x:v>"</x:v>
      </x:c>
      <x:c r="U2169" t="str">
        <x:v>"</x:v>
      </x:c>
      <x:c r="V2169" t="str">
        <x:v>"</x:v>
      </x:c>
    </x:row>
    <x:row r="2170">
      <x:c r="A2170" t="str">
        <x:v>RAW-IMP-20260516-FULLDRAFT-002153</x:v>
      </x:c>
      <x:c r="B2170" t="str">
        <x:v>IMP-20260516-FULLDRAFT</x:v>
      </x:c>
      <x:c r="C2170" t="str">
        <x:v>KTO001</x:v>
      </x:c>
      <x:c r="D2170" t="str">
        <x:v>16-05-2026_Umsatzliste_Girokonto_DE98120300001061711675.csv</x:v>
      </x:c>
      <x:c r="E2170" t="n">
        <x:v>46163</x:v>
      </x:c>
      <x:c r="F2170" t="n">
        <x:v>2153</x:v>
      </x:c>
      <x:c r="G2170" t="str">
        <x:v>784a5ad7e26e95f99b15c993b93ed8b385b5b9883547cd11893da0e34a128787</x:v>
      </x:c>
      <x:c r="H2170" t="str">
        <x:v>neu</x:v>
      </x:c>
      <x:c r="I2170" t="str">
        <x:v>ok</x:v>
      </x:c>
      <x:c r="J2170"/>
      <x:c r="K2170" t="n">
        <x:v>45442</x:v>
      </x:c>
      <x:c r="L2170" t="n">
        <x:v>45442</x:v>
      </x:c>
      <x:c r="M2170" t="str">
        <x:v>Gebucht</x:v>
      </x:c>
      <x:c r="N2170" t="str">
        <x:v>Lars Kohlenberg</x:v>
      </x:c>
      <x:c r="O2170" t="str">
        <x:v>Elke Hoogeveen</x:v>
      </x:c>
      <x:c r="P2170" t="str">
        <x:v>Rückzahlung 7000,- von restlichen 7000,-</x:v>
      </x:c>
      <x:c r="Q2170" t="str">
        <x:v>Ausgang</x:v>
      </x:c>
      <x:c r="R2170" t="str">
        <x:v>DE37292500000002892600</x:v>
      </x:c>
      <x:c r="S2170" t="n">
        <x:v>-7000</x:v>
      </x:c>
      <x:c r="T2170" t="str">
        <x:v>"</x:v>
      </x:c>
      <x:c r="U2170" t="str">
        <x:v>"</x:v>
      </x:c>
      <x:c r="V2170" t="str">
        <x:v>"</x:v>
      </x:c>
    </x:row>
    <x:row r="2171">
      <x:c r="A2171" t="str">
        <x:v>RAW-IMP-20260516-FULLDRAFT-002154</x:v>
      </x:c>
      <x:c r="B2171" t="str">
        <x:v>IMP-20260516-FULLDRAFT</x:v>
      </x:c>
      <x:c r="C2171" t="str">
        <x:v>KTO001</x:v>
      </x:c>
      <x:c r="D2171" t="str">
        <x:v>16-05-2026_Umsatzliste_Girokonto_DE98120300001061711675.csv</x:v>
      </x:c>
      <x:c r="E2171" t="n">
        <x:v>46163</x:v>
      </x:c>
      <x:c r="F2171" t="n">
        <x:v>2154</x:v>
      </x:c>
      <x:c r="G2171" t="str">
        <x:v>60cda4717f44598e4d19a2f1ff31518cfd902b00e31e9af813bdc73ba05faf57</x:v>
      </x:c>
      <x:c r="H2171" t="str">
        <x:v>neu</x:v>
      </x:c>
      <x:c r="I2171" t="str">
        <x:v>ok</x:v>
      </x:c>
      <x:c r="J2171"/>
      <x:c r="K2171" t="n">
        <x:v>45442</x:v>
      </x:c>
      <x:c r="L2171" t="n">
        <x:v>45442</x:v>
      </x:c>
      <x:c r="M2171" t="str">
        <x:v>Gebucht</x:v>
      </x:c>
      <x:c r="N2171" t="str">
        <x:v>ISSUER</x:v>
      </x:c>
      <x:c r="O2171" t="str">
        <x:v>Globus.Markthalle/Braunschweig</x:v>
      </x:c>
      <x:c r="P2171" t="str">
        <x:v>VISA Debitkartenumsatz vom 29.05.2024</x:v>
      </x:c>
      <x:c r="Q2171" t="str">
        <x:v>Ausgang</x:v>
      </x:c>
      <x:c r="R2171" t="str">
        <x:v>DE96120300009005290904</x:v>
      </x:c>
      <x:c r="S2171" t="n">
        <x:v>-14.45</x:v>
      </x:c>
      <x:c r="T2171" t="str">
        <x:v>"</x:v>
      </x:c>
      <x:c r="U2171" t="str">
        <x:v>"</x:v>
      </x:c>
      <x:c r="V2171" t="str">
        <x:v>484150583735341</x:v>
      </x:c>
    </x:row>
    <x:row r="2172">
      <x:c r="A2172" t="str">
        <x:v>RAW-IMP-20260516-FULLDRAFT-002155</x:v>
      </x:c>
      <x:c r="B2172" t="str">
        <x:v>IMP-20260516-FULLDRAFT</x:v>
      </x:c>
      <x:c r="C2172" t="str">
        <x:v>KTO001</x:v>
      </x:c>
      <x:c r="D2172" t="str">
        <x:v>16-05-2026_Umsatzliste_Girokonto_DE98120300001061711675.csv</x:v>
      </x:c>
      <x:c r="E2172" t="n">
        <x:v>46163</x:v>
      </x:c>
      <x:c r="F2172" t="n">
        <x:v>2155</x:v>
      </x:c>
      <x:c r="G2172" t="str">
        <x:v>a74057d7a8837cb1d722f3a6b631687c9d419f859a67db715c7e06cee922c041</x:v>
      </x:c>
      <x:c r="H2172" t="str">
        <x:v>neu</x:v>
      </x:c>
      <x:c r="I2172" t="str">
        <x:v>ok</x:v>
      </x:c>
      <x:c r="J2172"/>
      <x:c r="K2172" t="n">
        <x:v>45442</x:v>
      </x:c>
      <x:c r="L2172" t="n">
        <x:v>45442</x:v>
      </x:c>
      <x:c r="M2172" t="str">
        <x:v>Gebucht</x:v>
      </x:c>
      <x:c r="N2172" t="str">
        <x:v>ISSUER</x:v>
      </x:c>
      <x:c r="O2172" t="str">
        <x:v>MCDONALDS.01647/BRAUNSCHWEIG</x:v>
      </x:c>
      <x:c r="P2172" t="str">
        <x:v>VISA Debitkartenumsatz vom 29.05.2024</x:v>
      </x:c>
      <x:c r="Q2172" t="str">
        <x:v>Ausgang</x:v>
      </x:c>
      <x:c r="R2172" t="str">
        <x:v>DE96120300009005290904</x:v>
      </x:c>
      <x:c r="S2172" t="n">
        <x:v>-3.5</x:v>
      </x:c>
      <x:c r="T2172" t="str">
        <x:v>"</x:v>
      </x:c>
      <x:c r="U2172" t="str">
        <x:v>"</x:v>
      </x:c>
      <x:c r="V2172" t="str">
        <x:v>484150589603708</x:v>
      </x:c>
    </x:row>
    <x:row r="2173">
      <x:c r="A2173" t="str">
        <x:v>RAW-IMP-20260516-FULLDRAFT-002156</x:v>
      </x:c>
      <x:c r="B2173" t="str">
        <x:v>IMP-20260516-FULLDRAFT</x:v>
      </x:c>
      <x:c r="C2173" t="str">
        <x:v>KTO001</x:v>
      </x:c>
      <x:c r="D2173" t="str">
        <x:v>16-05-2026_Umsatzliste_Girokonto_DE98120300001061711675.csv</x:v>
      </x:c>
      <x:c r="E2173" t="n">
        <x:v>46163</x:v>
      </x:c>
      <x:c r="F2173" t="n">
        <x:v>2156</x:v>
      </x:c>
      <x:c r="G2173" t="str">
        <x:v>ebb9856dd7bf55a2b8162a5c03364cd7d15e3b1c5d9a39814706c6f680629dd3</x:v>
      </x:c>
      <x:c r="H2173" t="str">
        <x:v>neu</x:v>
      </x:c>
      <x:c r="I2173" t="str">
        <x:v>ok</x:v>
      </x:c>
      <x:c r="J2173"/>
      <x:c r="K2173" t="n">
        <x:v>45442</x:v>
      </x:c>
      <x:c r="L2173" t="n">
        <x:v>45442</x:v>
      </x:c>
      <x:c r="M2173" t="str">
        <x:v>Gebucht</x:v>
      </x:c>
      <x:c r="N2173" t="str">
        <x:v>ISSUER</x:v>
      </x:c>
      <x:c r="O2173" t="str">
        <x:v>REWE.Salzgitter.Ge/Salzgitter</x:v>
      </x:c>
      <x:c r="P2173" t="str">
        <x:v>VISA Debitkartenumsatz vom 29.05.2024</x:v>
      </x:c>
      <x:c r="Q2173" t="str">
        <x:v>Ausgang</x:v>
      </x:c>
      <x:c r="R2173" t="str">
        <x:v>DE96120300009005290904</x:v>
      </x:c>
      <x:c r="S2173" t="n">
        <x:v>-3.15</x:v>
      </x:c>
      <x:c r="T2173" t="str">
        <x:v>"</x:v>
      </x:c>
      <x:c r="U2173" t="str">
        <x:v>"</x:v>
      </x:c>
      <x:c r="V2173" t="str">
        <x:v>484150384948289</x:v>
      </x:c>
    </x:row>
    <x:row r="2174">
      <x:c r="A2174" t="str">
        <x:v>RAW-IMP-20260516-FULLDRAFT-002157</x:v>
      </x:c>
      <x:c r="B2174" t="str">
        <x:v>IMP-20260516-FULLDRAFT</x:v>
      </x:c>
      <x:c r="C2174" t="str">
        <x:v>KTO001</x:v>
      </x:c>
      <x:c r="D2174" t="str">
        <x:v>16-05-2026_Umsatzliste_Girokonto_DE98120300001061711675.csv</x:v>
      </x:c>
      <x:c r="E2174" t="n">
        <x:v>46163</x:v>
      </x:c>
      <x:c r="F2174" t="n">
        <x:v>2157</x:v>
      </x:c>
      <x:c r="G2174" t="str">
        <x:v>65978f2c4cf36d3676b278f59d61faed5c05473b4f736cb0454822cbe8b521be</x:v>
      </x:c>
      <x:c r="H2174" t="str">
        <x:v>neu</x:v>
      </x:c>
      <x:c r="I2174" t="str">
        <x:v>ok</x:v>
      </x:c>
      <x:c r="J2174"/>
      <x:c r="K2174" t="n">
        <x:v>45442</x:v>
      </x:c>
      <x:c r="L2174" t="n">
        <x:v>45442</x:v>
      </x:c>
      <x:c r="M2174" t="str">
        <x:v>Gebucht</x:v>
      </x:c>
      <x:c r="N2174" t="str">
        <x:v>ISSUER</x:v>
      </x:c>
      <x:c r="O2174" t="str">
        <x:v>REWE.Salzgitter.Ge/Salzgitter</x:v>
      </x:c>
      <x:c r="P2174" t="str">
        <x:v>VISA Debitkartenumsatz vom 29.05.2024</x:v>
      </x:c>
      <x:c r="Q2174" t="str">
        <x:v>Ausgang</x:v>
      </x:c>
      <x:c r="R2174" t="str">
        <x:v>DE96120300009005290904</x:v>
      </x:c>
      <x:c r="S2174" t="n">
        <x:v>-1.49</x:v>
      </x:c>
      <x:c r="T2174" t="str">
        <x:v>"</x:v>
      </x:c>
      <x:c r="U2174" t="str">
        <x:v>"</x:v>
      </x:c>
      <x:c r="V2174" t="str">
        <x:v>484150387428813</x:v>
      </x:c>
    </x:row>
    <x:row r="2175">
      <x:c r="A2175" t="str">
        <x:v>RAW-IMP-20260516-FULLDRAFT-002158</x:v>
      </x:c>
      <x:c r="B2175" t="str">
        <x:v>IMP-20260516-FULLDRAFT</x:v>
      </x:c>
      <x:c r="C2175" t="str">
        <x:v>KTO001</x:v>
      </x:c>
      <x:c r="D2175" t="str">
        <x:v>16-05-2026_Umsatzliste_Girokonto_DE98120300001061711675.csv</x:v>
      </x:c>
      <x:c r="E2175" t="n">
        <x:v>46163</x:v>
      </x:c>
      <x:c r="F2175" t="n">
        <x:v>2158</x:v>
      </x:c>
      <x:c r="G2175" t="str">
        <x:v>7e8ec41702d2b1848cb92b022551892c4774fdc067bf636460072d6dc99b9a85</x:v>
      </x:c>
      <x:c r="H2175" t="str">
        <x:v>neu</x:v>
      </x:c>
      <x:c r="I2175" t="str">
        <x:v>ok</x:v>
      </x:c>
      <x:c r="J2175"/>
      <x:c r="K2175" t="n">
        <x:v>45441</x:v>
      </x:c>
      <x:c r="L2175" t="n">
        <x:v>45441</x:v>
      </x:c>
      <x:c r="M2175" t="str">
        <x:v>Gebucht</x:v>
      </x:c>
      <x:c r="N2175" t="str">
        <x:v>Wolkenmacher GmbH</x:v>
      </x:c>
      <x:c r="O2175" t="str">
        <x:v>Kohlenberg, Lars</x:v>
      </x:c>
      <x:c r="P2175" t="str">
        <x:v>Nachberechnung 05/2024</x:v>
      </x:c>
      <x:c r="Q2175" t="str">
        <x:v>Eingang</x:v>
      </x:c>
      <x:c r="R2175" t="str">
        <x:v>DE30270700300031340300</x:v>
      </x:c>
      <x:c r="S2175" t="n">
        <x:v>45881.3</x:v>
      </x:c>
      <x:c r="T2175" t="str">
        <x:v>"</x:v>
      </x:c>
      <x:c r="U2175" t="str">
        <x:v>"</x:v>
      </x:c>
      <x:c r="V2175" t="str">
        <x:v>2405281350-0000001</x:v>
      </x:c>
    </x:row>
    <x:row r="2176">
      <x:c r="A2176" t="str">
        <x:v>RAW-IMP-20260516-FULLDRAFT-002159</x:v>
      </x:c>
      <x:c r="B2176" t="str">
        <x:v>IMP-20260516-FULLDRAFT</x:v>
      </x:c>
      <x:c r="C2176" t="str">
        <x:v>KTO001</x:v>
      </x:c>
      <x:c r="D2176" t="str">
        <x:v>16-05-2026_Umsatzliste_Girokonto_DE98120300001061711675.csv</x:v>
      </x:c>
      <x:c r="E2176" t="n">
        <x:v>46163</x:v>
      </x:c>
      <x:c r="F2176" t="n">
        <x:v>2159</x:v>
      </x:c>
      <x:c r="G2176" t="str">
        <x:v>063a23d4eff4a8923ca07f385ec138aeda85a7bc59189e266c5471183e4e9a16</x:v>
      </x:c>
      <x:c r="H2176" t="str">
        <x:v>neu</x:v>
      </x:c>
      <x:c r="I2176" t="str">
        <x:v>ok</x:v>
      </x:c>
      <x:c r="J2176"/>
      <x:c r="K2176" t="n">
        <x:v>45441</x:v>
      </x:c>
      <x:c r="L2176" t="n">
        <x:v>45441</x:v>
      </x:c>
      <x:c r="M2176" t="str">
        <x:v>Gebucht</x:v>
      </x:c>
      <x:c r="N2176" t="str">
        <x:v>ISSUER</x:v>
      </x:c>
      <x:c r="O2176" t="str">
        <x:v>Rossmann.2983/Salzgitter</x:v>
      </x:c>
      <x:c r="P2176" t="str">
        <x:v>VISA Debitkartenumsatz vom 28.05.2024</x:v>
      </x:c>
      <x:c r="Q2176" t="str">
        <x:v>Ausgang</x:v>
      </x:c>
      <x:c r="R2176" t="str">
        <x:v>DE96120300009005290904</x:v>
      </x:c>
      <x:c r="S2176" t="n">
        <x:v>-12.95</x:v>
      </x:c>
      <x:c r="T2176" t="str">
        <x:v>"</x:v>
      </x:c>
      <x:c r="U2176" t="str">
        <x:v>"</x:v>
      </x:c>
      <x:c r="V2176" t="str">
        <x:v>484149618608654</x:v>
      </x:c>
    </x:row>
    <x:row r="2177">
      <x:c r="A2177" t="str">
        <x:v>RAW-IMP-20260516-FULLDRAFT-002160</x:v>
      </x:c>
      <x:c r="B2177" t="str">
        <x:v>IMP-20260516-FULLDRAFT</x:v>
      </x:c>
      <x:c r="C2177" t="str">
        <x:v>KTO001</x:v>
      </x:c>
      <x:c r="D2177" t="str">
        <x:v>16-05-2026_Umsatzliste_Girokonto_DE98120300001061711675.csv</x:v>
      </x:c>
      <x:c r="E2177" t="n">
        <x:v>46163</x:v>
      </x:c>
      <x:c r="F2177" t="n">
        <x:v>2160</x:v>
      </x:c>
      <x:c r="G2177" t="str">
        <x:v>cfaacd7fddb5b718c32229eb208d756acfc066384e31a64675cba996cd1b4110</x:v>
      </x:c>
      <x:c r="H2177" t="str">
        <x:v>neu</x:v>
      </x:c>
      <x:c r="I2177" t="str">
        <x:v>ok</x:v>
      </x:c>
      <x:c r="J2177"/>
      <x:c r="K2177" t="n">
        <x:v>45441</x:v>
      </x:c>
      <x:c r="L2177" t="n">
        <x:v>45441</x:v>
      </x:c>
      <x:c r="M2177" t="str">
        <x:v>Gebucht</x:v>
      </x:c>
      <x:c r="N2177" t="str">
        <x:v>Lars Kohlenberg                                                       JohannesWosnitzaStr.</x:v>
      </x:c>
      <x:c r="O2177" t="str">
        <x:v>Adyen N.V.</x:v>
      </x:c>
      <x:c r="P2177" t="str">
        <x:v>GMX by LOTTO24 C98983063 T286191244981</x:v>
      </x:c>
      <x:c r="Q2177" t="str">
        <x:v>Ausgang</x:v>
      </x:c>
      <x:c r="R2177" t="str">
        <x:v>DE11120700700020000603</x:v>
      </x:c>
      <x:c r="S2177" t="n">
        <x:v>-18.14</x:v>
      </x:c>
      <x:c r="T2177" t="str">
        <x:v>NL48ZZZ342764500000</x:v>
      </x:c>
      <x:c r="U2177" t="str">
        <x:v>R372DKN5SSBXZP52</x:v>
      </x:c>
      <x:c r="V2177" t="str">
        <x:v>CZKS573MZVZX4RMH2C</x:v>
      </x:c>
    </x:row>
    <x:row r="2178">
      <x:c r="A2178" t="str">
        <x:v>RAW-IMP-20260516-FULLDRAFT-002161</x:v>
      </x:c>
      <x:c r="B2178" t="str">
        <x:v>IMP-20260516-FULLDRAFT</x:v>
      </x:c>
      <x:c r="C2178" t="str">
        <x:v>KTO001</x:v>
      </x:c>
      <x:c r="D2178" t="str">
        <x:v>16-05-2026_Umsatzliste_Girokonto_DE98120300001061711675.csv</x:v>
      </x:c>
      <x:c r="E2178" t="n">
        <x:v>46163</x:v>
      </x:c>
      <x:c r="F2178" t="n">
        <x:v>2161</x:v>
      </x:c>
      <x:c r="G2178" t="str">
        <x:v>ecc8ea3ca6bf5fdbe6d2f6e4073d335f0b43c7ce2da3c3ab856953cee49e468b</x:v>
      </x:c>
      <x:c r="H2178" t="str">
        <x:v>neu</x:v>
      </x:c>
      <x:c r="I2178" t="str">
        <x:v>ok</x:v>
      </x:c>
      <x:c r="J2178"/>
      <x:c r="K2178" t="n">
        <x:v>45440</x:v>
      </x:c>
      <x:c r="L2178" t="n">
        <x:v>45440</x:v>
      </x:c>
      <x:c r="M2178" t="str">
        <x:v>Gebucht</x:v>
      </x:c>
      <x:c r="N2178" t="str">
        <x:v>Lars Kohlenberg</x:v>
      </x:c>
      <x:c r="O2178" t="str">
        <x:v>Zwergenlunch GmbH</x:v>
      </x:c>
      <x:c r="P2178" t="str">
        <x:v>koja6635</x:v>
      </x:c>
      <x:c r="Q2178" t="str">
        <x:v>Ausgang</x:v>
      </x:c>
      <x:c r="R2178" t="str">
        <x:v>DE59270400800523366301</x:v>
      </x:c>
      <x:c r="S2178" t="n">
        <x:v>-20</x:v>
      </x:c>
      <x:c r="T2178" t="str">
        <x:v>"</x:v>
      </x:c>
      <x:c r="U2178" t="str">
        <x:v>"</x:v>
      </x:c>
      <x:c r="V2178" t="str">
        <x:v>"</x:v>
      </x:c>
    </x:row>
    <x:row r="2179">
      <x:c r="A2179" t="str">
        <x:v>RAW-IMP-20260516-FULLDRAFT-002162</x:v>
      </x:c>
      <x:c r="B2179" t="str">
        <x:v>IMP-20260516-FULLDRAFT</x:v>
      </x:c>
      <x:c r="C2179" t="str">
        <x:v>KTO001</x:v>
      </x:c>
      <x:c r="D2179" t="str">
        <x:v>16-05-2026_Umsatzliste_Girokonto_DE98120300001061711675.csv</x:v>
      </x:c>
      <x:c r="E2179" t="n">
        <x:v>46163</x:v>
      </x:c>
      <x:c r="F2179" t="n">
        <x:v>2162</x:v>
      </x:c>
      <x:c r="G2179" t="str">
        <x:v>e35181728b070afe17d6b27dc6760090c42b3e0dcc1dad0ea7a089295385408b</x:v>
      </x:c>
      <x:c r="H2179" t="str">
        <x:v>neu</x:v>
      </x:c>
      <x:c r="I2179" t="str">
        <x:v>ok</x:v>
      </x:c>
      <x:c r="J2179"/>
      <x:c r="K2179" t="n">
        <x:v>45440</x:v>
      </x:c>
      <x:c r="L2179" t="n">
        <x:v>45440</x:v>
      </x:c>
      <x:c r="M2179" t="str">
        <x:v>Gebucht</x:v>
      </x:c>
      <x:c r="N2179" t="str">
        <x:v>ISSUER</x:v>
      </x:c>
      <x:c r="O2179" t="str">
        <x:v>Hagebaumarkt.Salzgitter/Salzgitter</x:v>
      </x:c>
      <x:c r="P2179" t="str">
        <x:v>VISA Debitkartenumsatz vom 27.05.2024</x:v>
      </x:c>
      <x:c r="Q2179" t="str">
        <x:v>Ausgang</x:v>
      </x:c>
      <x:c r="R2179" t="str">
        <x:v>DE96120300009005290904</x:v>
      </x:c>
      <x:c r="S2179" t="n">
        <x:v>-1.12</x:v>
      </x:c>
      <x:c r="T2179" t="str">
        <x:v>"</x:v>
      </x:c>
      <x:c r="U2179" t="str">
        <x:v>"</x:v>
      </x:c>
      <x:c r="V2179" t="str">
        <x:v>484148461389620</x:v>
      </x:c>
    </x:row>
    <x:row r="2180">
      <x:c r="A2180" t="str">
        <x:v>RAW-IMP-20260516-FULLDRAFT-002163</x:v>
      </x:c>
      <x:c r="B2180" t="str">
        <x:v>IMP-20260516-FULLDRAFT</x:v>
      </x:c>
      <x:c r="C2180" t="str">
        <x:v>KTO001</x:v>
      </x:c>
      <x:c r="D2180" t="str">
        <x:v>16-05-2026_Umsatzliste_Girokonto_DE98120300001061711675.csv</x:v>
      </x:c>
      <x:c r="E2180" t="n">
        <x:v>46163</x:v>
      </x:c>
      <x:c r="F2180" t="n">
        <x:v>2163</x:v>
      </x:c>
      <x:c r="G2180" t="str">
        <x:v>711671b2692d21d8c55d029276261c995bd59b71e423b79544cd28ee585f652e</x:v>
      </x:c>
      <x:c r="H2180" t="str">
        <x:v>neu</x:v>
      </x:c>
      <x:c r="I2180" t="str">
        <x:v>ok</x:v>
      </x:c>
      <x:c r="J2180"/>
      <x:c r="K2180" t="n">
        <x:v>45440</x:v>
      </x:c>
      <x:c r="L2180" t="n">
        <x:v>45440</x:v>
      </x:c>
      <x:c r="M2180" t="str">
        <x:v>Gebucht</x:v>
      </x:c>
      <x:c r="N2180" t="str">
        <x:v>Lars Kohlenberg                                                       JohannesWosnitzaStr.</x:v>
      </x:c>
      <x:c r="O2180" t="str">
        <x:v>Adyen N.V.</x:v>
      </x:c>
      <x:c r="P2180" t="str">
        <x:v>GMX by LOTTO24 C98983063 T299270460181</x:v>
      </x:c>
      <x:c r="Q2180" t="str">
        <x:v>Ausgang</x:v>
      </x:c>
      <x:c r="R2180" t="str">
        <x:v>DE11120700700020000603</x:v>
      </x:c>
      <x:c r="S2180" t="n">
        <x:v>-11.88</x:v>
      </x:c>
      <x:c r="T2180" t="str">
        <x:v>NL48ZZZ342764500000</x:v>
      </x:c>
      <x:c r="U2180" t="str">
        <x:v>R372DKN5SSBXZP52</x:v>
      </x:c>
      <x:c r="V2180" t="str">
        <x:v>CP2D8HJSKXRFFRP72C</x:v>
      </x:c>
    </x:row>
    <x:row r="2181">
      <x:c r="A2181" t="str">
        <x:v>RAW-IMP-20260516-FULLDRAFT-002164</x:v>
      </x:c>
      <x:c r="B2181" t="str">
        <x:v>IMP-20260516-FULLDRAFT</x:v>
      </x:c>
      <x:c r="C2181" t="str">
        <x:v>KTO001</x:v>
      </x:c>
      <x:c r="D2181" t="str">
        <x:v>16-05-2026_Umsatzliste_Girokonto_DE98120300001061711675.csv</x:v>
      </x:c>
      <x:c r="E2181" t="n">
        <x:v>46163</x:v>
      </x:c>
      <x:c r="F2181" t="n">
        <x:v>2164</x:v>
      </x:c>
      <x:c r="G2181" t="str">
        <x:v>56124855521f2ade4bf4e1f7bfd340439b9d7c62153941dd108d82f4bf400e5f</x:v>
      </x:c>
      <x:c r="H2181" t="str">
        <x:v>neu</x:v>
      </x:c>
      <x:c r="I2181" t="str">
        <x:v>ok</x:v>
      </x:c>
      <x:c r="J2181"/>
      <x:c r="K2181" t="n">
        <x:v>45439</x:v>
      </x:c>
      <x:c r="L2181" t="n">
        <x:v>45439</x:v>
      </x:c>
      <x:c r="M2181" t="str">
        <x:v>Gebucht</x:v>
      </x:c>
      <x:c r="N2181" t="str">
        <x:v>Lars Kohlenberg</x:v>
      </x:c>
      <x:c r="O2181" t="str">
        <x:v>PARK CONTROL PAC GmbH</x:v>
      </x:c>
      <x:c r="P2181" t="str">
        <x:v>47559687 SZ WM 3</x:v>
      </x:c>
      <x:c r="Q2181" t="str">
        <x:v>Ausgang</x:v>
      </x:c>
      <x:c r="R2181" t="str">
        <x:v>DE93600700700143449700</x:v>
      </x:c>
      <x:c r="S2181" t="n">
        <x:v>-35</x:v>
      </x:c>
      <x:c r="T2181" t="str">
        <x:v>"</x:v>
      </x:c>
      <x:c r="U2181" t="str">
        <x:v>"</x:v>
      </x:c>
      <x:c r="V2181" t="str">
        <x:v>"</x:v>
      </x:c>
    </x:row>
    <x:row r="2182">
      <x:c r="A2182" t="str">
        <x:v>RAW-IMP-20260516-FULLDRAFT-002165</x:v>
      </x:c>
      <x:c r="B2182" t="str">
        <x:v>IMP-20260516-FULLDRAFT</x:v>
      </x:c>
      <x:c r="C2182" t="str">
        <x:v>KTO001</x:v>
      </x:c>
      <x:c r="D2182" t="str">
        <x:v>16-05-2026_Umsatzliste_Girokonto_DE98120300001061711675.csv</x:v>
      </x:c>
      <x:c r="E2182" t="n">
        <x:v>46163</x:v>
      </x:c>
      <x:c r="F2182" t="n">
        <x:v>2165</x:v>
      </x:c>
      <x:c r="G2182" t="str">
        <x:v>593fc8681f2ff298df06fe3b2402d014596d3f7bb2bd9eeafb065e1ea3094400</x:v>
      </x:c>
      <x:c r="H2182" t="str">
        <x:v>neu</x:v>
      </x:c>
      <x:c r="I2182" t="str">
        <x:v>ok</x:v>
      </x:c>
      <x:c r="J2182"/>
      <x:c r="K2182" t="n">
        <x:v>45439</x:v>
      </x:c>
      <x:c r="L2182" t="n">
        <x:v>45439</x:v>
      </x:c>
      <x:c r="M2182" t="str">
        <x:v>Gebucht</x:v>
      </x:c>
      <x:c r="N2182" t="str">
        <x:v>ISSUER</x:v>
      </x:c>
      <x:c r="O2182" t="str">
        <x:v>REWE.Markt.GmbH.ZW/Salzgitter</x:v>
      </x:c>
      <x:c r="P2182" t="str">
        <x:v>VISA Debitkartenumsatz vom 25.05.2024</x:v>
      </x:c>
      <x:c r="Q2182" t="str">
        <x:v>Ausgang</x:v>
      </x:c>
      <x:c r="R2182" t="str">
        <x:v>DE96120300009005290904</x:v>
      </x:c>
      <x:c r="S2182" t="n">
        <x:v>-39.14</x:v>
      </x:c>
      <x:c r="T2182" t="str">
        <x:v>"</x:v>
      </x:c>
      <x:c r="U2182" t="str">
        <x:v>"</x:v>
      </x:c>
      <x:c r="V2182" t="str">
        <x:v>484146439411252</x:v>
      </x:c>
    </x:row>
    <x:row r="2183">
      <x:c r="A2183" t="str">
        <x:v>RAW-IMP-20260516-FULLDRAFT-002166</x:v>
      </x:c>
      <x:c r="B2183" t="str">
        <x:v>IMP-20260516-FULLDRAFT</x:v>
      </x:c>
      <x:c r="C2183" t="str">
        <x:v>KTO001</x:v>
      </x:c>
      <x:c r="D2183" t="str">
        <x:v>16-05-2026_Umsatzliste_Girokonto_DE98120300001061711675.csv</x:v>
      </x:c>
      <x:c r="E2183" t="n">
        <x:v>46163</x:v>
      </x:c>
      <x:c r="F2183" t="n">
        <x:v>2166</x:v>
      </x:c>
      <x:c r="G2183" t="str">
        <x:v>dbb6e18d94d5d409bcaa2dd9e057ab26cd14254189bbd9de20c2cc6e31c8ed0c</x:v>
      </x:c>
      <x:c r="H2183" t="str">
        <x:v>neu</x:v>
      </x:c>
      <x:c r="I2183" t="str">
        <x:v>ok</x:v>
      </x:c>
      <x:c r="J2183"/>
      <x:c r="K2183" t="n">
        <x:v>45439</x:v>
      </x:c>
      <x:c r="L2183" t="n">
        <x:v>45439</x:v>
      </x:c>
      <x:c r="M2183" t="str">
        <x:v>Gebucht</x:v>
      </x:c>
      <x:c r="N2183" t="str">
        <x:v>ISSUER</x:v>
      </x:c>
      <x:c r="O2183" t="str">
        <x:v>METRO.SAGT.DANKE/BRAUNSCHWEIG</x:v>
      </x:c>
      <x:c r="P2183" t="str">
        <x:v>VISA Debitkartenumsatz vom 24.05.2024</x:v>
      </x:c>
      <x:c r="Q2183" t="str">
        <x:v>Ausgang</x:v>
      </x:c>
      <x:c r="R2183" t="str">
        <x:v>DE96120300009005290904</x:v>
      </x:c>
      <x:c r="S2183" t="n">
        <x:v>-194.46</x:v>
      </x:c>
      <x:c r="T2183" t="str">
        <x:v>"</x:v>
      </x:c>
      <x:c r="U2183" t="str">
        <x:v>"</x:v>
      </x:c>
      <x:c r="V2183" t="str">
        <x:v>484145475907651</x:v>
      </x:c>
    </x:row>
    <x:row r="2184">
      <x:c r="A2184" t="str">
        <x:v>RAW-IMP-20260516-FULLDRAFT-002167</x:v>
      </x:c>
      <x:c r="B2184" t="str">
        <x:v>IMP-20260516-FULLDRAFT</x:v>
      </x:c>
      <x:c r="C2184" t="str">
        <x:v>KTO001</x:v>
      </x:c>
      <x:c r="D2184" t="str">
        <x:v>16-05-2026_Umsatzliste_Girokonto_DE98120300001061711675.csv</x:v>
      </x:c>
      <x:c r="E2184" t="n">
        <x:v>46163</x:v>
      </x:c>
      <x:c r="F2184" t="n">
        <x:v>2167</x:v>
      </x:c>
      <x:c r="G2184" t="str">
        <x:v>f151075e171e4c9d6328257e6b06a626c5c02461a95c0d60f45f9fb216818a39</x:v>
      </x:c>
      <x:c r="H2184" t="str">
        <x:v>neu</x:v>
      </x:c>
      <x:c r="I2184" t="str">
        <x:v>ok</x:v>
      </x:c>
      <x:c r="J2184"/>
      <x:c r="K2184" t="n">
        <x:v>45439</x:v>
      </x:c>
      <x:c r="L2184" t="n">
        <x:v>45439</x:v>
      </x:c>
      <x:c r="M2184" t="str">
        <x:v>Gebucht</x:v>
      </x:c>
      <x:c r="N2184" t="str">
        <x:v>ISSUER</x:v>
      </x:c>
      <x:c r="O2184" t="str">
        <x:v>REWE.Salzgitter.Ge/Salzgitter</x:v>
      </x:c>
      <x:c r="P2184" t="str">
        <x:v>VISA Debitkartenumsatz vom 24.05.2024</x:v>
      </x:c>
      <x:c r="Q2184" t="str">
        <x:v>Ausgang</x:v>
      </x:c>
      <x:c r="R2184" t="str">
        <x:v>DE96120300009005290904</x:v>
      </x:c>
      <x:c r="S2184" t="n">
        <x:v>-216.39</x:v>
      </x:c>
      <x:c r="T2184" t="str">
        <x:v>"</x:v>
      </x:c>
      <x:c r="U2184" t="str">
        <x:v>"</x:v>
      </x:c>
      <x:c r="V2184" t="str">
        <x:v>484145342185027</x:v>
      </x:c>
    </x:row>
    <x:row r="2185">
      <x:c r="A2185" t="str">
        <x:v>RAW-IMP-20260516-FULLDRAFT-002168</x:v>
      </x:c>
      <x:c r="B2185" t="str">
        <x:v>IMP-20260516-FULLDRAFT</x:v>
      </x:c>
      <x:c r="C2185" t="str">
        <x:v>KTO001</x:v>
      </x:c>
      <x:c r="D2185" t="str">
        <x:v>16-05-2026_Umsatzliste_Girokonto_DE98120300001061711675.csv</x:v>
      </x:c>
      <x:c r="E2185" t="n">
        <x:v>46163</x:v>
      </x:c>
      <x:c r="F2185" t="n">
        <x:v>2168</x:v>
      </x:c>
      <x:c r="G2185" t="str">
        <x:v>4a9907b3433cbcd494ae40bf29247cbeba546b7e2e563def190d8704cd1ef660</x:v>
      </x:c>
      <x:c r="H2185" t="str">
        <x:v>neu</x:v>
      </x:c>
      <x:c r="I2185" t="str">
        <x:v>ok</x:v>
      </x:c>
      <x:c r="J2185"/>
      <x:c r="K2185" t="n">
        <x:v>45439</x:v>
      </x:c>
      <x:c r="L2185" t="n">
        <x:v>45439</x:v>
      </x:c>
      <x:c r="M2185" t="str">
        <x:v>Gebucht</x:v>
      </x:c>
      <x:c r="N2185" t="str">
        <x:v>ISSUER</x:v>
      </x:c>
      <x:c r="O2185" t="str">
        <x:v>Lidl.sagt.Danke/Salzgitter</x:v>
      </x:c>
      <x:c r="P2185" t="str">
        <x:v>VISA Debitkartenumsatz vom 25.05.2024</x:v>
      </x:c>
      <x:c r="Q2185" t="str">
        <x:v>Ausgang</x:v>
      </x:c>
      <x:c r="R2185" t="str">
        <x:v>DE96120300009005290904</x:v>
      </x:c>
      <x:c r="S2185" t="n">
        <x:v>-7.7</x:v>
      </x:c>
      <x:c r="T2185" t="str">
        <x:v>"</x:v>
      </x:c>
      <x:c r="U2185" t="str">
        <x:v>"</x:v>
      </x:c>
      <x:c r="V2185" t="str">
        <x:v>484146426000451</x:v>
      </x:c>
    </x:row>
    <x:row r="2186">
      <x:c r="A2186" t="str">
        <x:v>RAW-IMP-20260516-FULLDRAFT-002169</x:v>
      </x:c>
      <x:c r="B2186" t="str">
        <x:v>IMP-20260516-FULLDRAFT</x:v>
      </x:c>
      <x:c r="C2186" t="str">
        <x:v>KTO001</x:v>
      </x:c>
      <x:c r="D2186" t="str">
        <x:v>16-05-2026_Umsatzliste_Girokonto_DE98120300001061711675.csv</x:v>
      </x:c>
      <x:c r="E2186" t="n">
        <x:v>46163</x:v>
      </x:c>
      <x:c r="F2186" t="n">
        <x:v>2169</x:v>
      </x:c>
      <x:c r="G2186" t="str">
        <x:v>530524936dc0f1f45ee27875afbd4f97246b5ff4710819a49aca5106be468acd</x:v>
      </x:c>
      <x:c r="H2186" t="str">
        <x:v>neu</x:v>
      </x:c>
      <x:c r="I2186" t="str">
        <x:v>ok</x:v>
      </x:c>
      <x:c r="J2186"/>
      <x:c r="K2186" t="n">
        <x:v>45439</x:v>
      </x:c>
      <x:c r="L2186" t="n">
        <x:v>45439</x:v>
      </x:c>
      <x:c r="M2186" t="str">
        <x:v>Gebucht</x:v>
      </x:c>
      <x:c r="N2186" t="str">
        <x:v>ISSUER</x:v>
      </x:c>
      <x:c r="O2186" t="str">
        <x:v>Prime.Video..HY7PT05G4/442.011518546</x:v>
      </x:c>
      <x:c r="P2186" t="str">
        <x:v>VISA Debitkartenumsatz vom 24.05.2024</x:v>
      </x:c>
      <x:c r="Q2186" t="str">
        <x:v>Ausgang</x:v>
      </x:c>
      <x:c r="R2186" t="str">
        <x:v>DE96120300009005290904</x:v>
      </x:c>
      <x:c r="S2186" t="n">
        <x:v>-3.99</x:v>
      </x:c>
      <x:c r="T2186" t="str">
        <x:v>"</x:v>
      </x:c>
      <x:c r="U2186" t="str">
        <x:v>"</x:v>
      </x:c>
      <x:c r="V2186" t="str">
        <x:v>484145627042892</x:v>
      </x:c>
    </x:row>
    <x:row r="2187">
      <x:c r="A2187" t="str">
        <x:v>RAW-IMP-20260516-FULLDRAFT-002170</x:v>
      </x:c>
      <x:c r="B2187" t="str">
        <x:v>IMP-20260516-FULLDRAFT</x:v>
      </x:c>
      <x:c r="C2187" t="str">
        <x:v>KTO001</x:v>
      </x:c>
      <x:c r="D2187" t="str">
        <x:v>16-05-2026_Umsatzliste_Girokonto_DE98120300001061711675.csv</x:v>
      </x:c>
      <x:c r="E2187" t="n">
        <x:v>46163</x:v>
      </x:c>
      <x:c r="F2187" t="n">
        <x:v>2170</x:v>
      </x:c>
      <x:c r="G2187" t="str">
        <x:v>82b11735c9510671b3929460d5925b54b2ab2aa333e9b8d36708dbfe192a2da8</x:v>
      </x:c>
      <x:c r="H2187" t="str">
        <x:v>neu</x:v>
      </x:c>
      <x:c r="I2187" t="str">
        <x:v>ok</x:v>
      </x:c>
      <x:c r="J2187"/>
      <x:c r="K2187" t="n">
        <x:v>45439</x:v>
      </x:c>
      <x:c r="L2187" t="n">
        <x:v>45439</x:v>
      </x:c>
      <x:c r="M2187" t="str">
        <x:v>Gebucht</x:v>
      </x:c>
      <x:c r="N2187" t="str">
        <x:v>Lars Kohlenberg</x:v>
      </x:c>
      <x:c r="O2187" t="str">
        <x:v>Förderverein Gymnasium Salzgitter-Bad e.V.</x:v>
      </x:c>
      <x:c r="P2187" t="str">
        <x:v>SF 24/25, Jan Kohlenberg, 7FL3</x:v>
      </x:c>
      <x:c r="Q2187" t="str">
        <x:v>Ausgang</x:v>
      </x:c>
      <x:c r="R2187" t="str">
        <x:v>DE11259501300073001141</x:v>
      </x:c>
      <x:c r="S2187" t="n">
        <x:v>-50</x:v>
      </x:c>
      <x:c r="T2187" t="str">
        <x:v>"</x:v>
      </x:c>
      <x:c r="U2187" t="str">
        <x:v>"</x:v>
      </x:c>
      <x:c r="V2187" t="str">
        <x:v>"</x:v>
      </x:c>
    </x:row>
    <x:row r="2188">
      <x:c r="A2188" t="str">
        <x:v>RAW-IMP-20260516-FULLDRAFT-002171</x:v>
      </x:c>
      <x:c r="B2188" t="str">
        <x:v>IMP-20260516-FULLDRAFT</x:v>
      </x:c>
      <x:c r="C2188" t="str">
        <x:v>KTO001</x:v>
      </x:c>
      <x:c r="D2188" t="str">
        <x:v>16-05-2026_Umsatzliste_Girokonto_DE98120300001061711675.csv</x:v>
      </x:c>
      <x:c r="E2188" t="n">
        <x:v>46163</x:v>
      </x:c>
      <x:c r="F2188" t="n">
        <x:v>2171</x:v>
      </x:c>
      <x:c r="G2188" t="str">
        <x:v>4048a9eb6dea78b55e777fff7e4cab3a134d59893166ee3076c63338a1814afe</x:v>
      </x:c>
      <x:c r="H2188" t="str">
        <x:v>neu</x:v>
      </x:c>
      <x:c r="I2188" t="str">
        <x:v>ok</x:v>
      </x:c>
      <x:c r="J2188"/>
      <x:c r="K2188" t="n">
        <x:v>45436</x:v>
      </x:c>
      <x:c r="L2188" t="n">
        <x:v>45436</x:v>
      </x:c>
      <x:c r="M2188" t="str">
        <x:v>Gebucht</x:v>
      </x:c>
      <x:c r="N2188" t="str">
        <x:v>ISSUER</x:v>
      </x:c>
      <x:c r="O2188" t="str">
        <x:v>LOEWENBAECKER.SCHAPER/SALZGITTER</x:v>
      </x:c>
      <x:c r="P2188" t="str">
        <x:v>VISA Debitkartenumsatz vom 23.05.2024</x:v>
      </x:c>
      <x:c r="Q2188" t="str">
        <x:v>Ausgang</x:v>
      </x:c>
      <x:c r="R2188" t="str">
        <x:v>DE96120300009005290904</x:v>
      </x:c>
      <x:c r="S2188" t="n">
        <x:v>-2.48</x:v>
      </x:c>
      <x:c r="T2188" t="str">
        <x:v>"</x:v>
      </x:c>
      <x:c r="U2188" t="str">
        <x:v>"</x:v>
      </x:c>
      <x:c r="V2188" t="str">
        <x:v>484144532003794</x:v>
      </x:c>
    </x:row>
    <x:row r="2189">
      <x:c r="A2189" t="str">
        <x:v>RAW-IMP-20260516-FULLDRAFT-002172</x:v>
      </x:c>
      <x:c r="B2189" t="str">
        <x:v>IMP-20260516-FULLDRAFT</x:v>
      </x:c>
      <x:c r="C2189" t="str">
        <x:v>KTO001</x:v>
      </x:c>
      <x:c r="D2189" t="str">
        <x:v>16-05-2026_Umsatzliste_Girokonto_DE98120300001061711675.csv</x:v>
      </x:c>
      <x:c r="E2189" t="n">
        <x:v>46163</x:v>
      </x:c>
      <x:c r="F2189" t="n">
        <x:v>2172</x:v>
      </x:c>
      <x:c r="G2189" t="str">
        <x:v>7caf57bf2ec98073446e9cf6dc71d5c772757ea067665d24965cd36501b90c70</x:v>
      </x:c>
      <x:c r="H2189" t="str">
        <x:v>neu</x:v>
      </x:c>
      <x:c r="I2189" t="str">
        <x:v>ok</x:v>
      </x:c>
      <x:c r="J2189"/>
      <x:c r="K2189" t="n">
        <x:v>45436</x:v>
      </x:c>
      <x:c r="L2189" t="n">
        <x:v>45436</x:v>
      </x:c>
      <x:c r="M2189" t="str">
        <x:v>Gebucht</x:v>
      </x:c>
      <x:c r="N2189" t="str">
        <x:v>ISSUER</x:v>
      </x:c>
      <x:c r="O2189" t="str">
        <x:v>MARKUS.FINKE/SALZGITTER</x:v>
      </x:c>
      <x:c r="P2189" t="str">
        <x:v>VISA Debitkartenumsatz vom 23.05.2024</x:v>
      </x:c>
      <x:c r="Q2189" t="str">
        <x:v>Ausgang</x:v>
      </x:c>
      <x:c r="R2189" t="str">
        <x:v>DE96120300009005290904</x:v>
      </x:c>
      <x:c r="S2189" t="n">
        <x:v>-35</x:v>
      </x:c>
      <x:c r="T2189" t="str">
        <x:v>"</x:v>
      </x:c>
      <x:c r="U2189" t="str">
        <x:v>"</x:v>
      </x:c>
      <x:c r="V2189" t="str">
        <x:v>484144529195756</x:v>
      </x:c>
    </x:row>
    <x:row r="2190">
      <x:c r="A2190" t="str">
        <x:v>RAW-IMP-20260516-FULLDRAFT-002173</x:v>
      </x:c>
      <x:c r="B2190" t="str">
        <x:v>IMP-20260516-FULLDRAFT</x:v>
      </x:c>
      <x:c r="C2190" t="str">
        <x:v>KTO001</x:v>
      </x:c>
      <x:c r="D2190" t="str">
        <x:v>16-05-2026_Umsatzliste_Girokonto_DE98120300001061711675.csv</x:v>
      </x:c>
      <x:c r="E2190" t="n">
        <x:v>46163</x:v>
      </x:c>
      <x:c r="F2190" t="n">
        <x:v>2173</x:v>
      </x:c>
      <x:c r="G2190" t="str">
        <x:v>67d558c88325bc5edd855910dcb5bfb108d89a0f1e26ce0988011a7e0dfbb343</x:v>
      </x:c>
      <x:c r="H2190" t="str">
        <x:v>neu</x:v>
      </x:c>
      <x:c r="I2190" t="str">
        <x:v>ok</x:v>
      </x:c>
      <x:c r="J2190"/>
      <x:c r="K2190" t="n">
        <x:v>45436</x:v>
      </x:c>
      <x:c r="L2190" t="n">
        <x:v>45436</x:v>
      </x:c>
      <x:c r="M2190" t="str">
        <x:v>Gebucht</x:v>
      </x:c>
      <x:c r="N2190" t="str">
        <x:v>ISSUER</x:v>
      </x:c>
      <x:c r="O2190" t="str">
        <x:v>AMZN.Mktp.DE.HY2LO8XQ4/800.279.6620</x:v>
      </x:c>
      <x:c r="P2190" t="str">
        <x:v>VISA Debitkartenumsatz vom 23.05.2024</x:v>
      </x:c>
      <x:c r="Q2190" t="str">
        <x:v>Ausgang</x:v>
      </x:c>
      <x:c r="R2190" t="str">
        <x:v>DE96120300009005290904</x:v>
      </x:c>
      <x:c r="S2190" t="n">
        <x:v>-93.48</x:v>
      </x:c>
      <x:c r="T2190" t="str">
        <x:v>"</x:v>
      </x:c>
      <x:c r="U2190" t="str">
        <x:v>"</x:v>
      </x:c>
      <x:c r="V2190" t="str">
        <x:v>484143736381526</x:v>
      </x:c>
    </x:row>
    <x:row r="2191">
      <x:c r="A2191" t="str">
        <x:v>RAW-IMP-20260516-FULLDRAFT-002174</x:v>
      </x:c>
      <x:c r="B2191" t="str">
        <x:v>IMP-20260516-FULLDRAFT</x:v>
      </x:c>
      <x:c r="C2191" t="str">
        <x:v>KTO001</x:v>
      </x:c>
      <x:c r="D2191" t="str">
        <x:v>16-05-2026_Umsatzliste_Girokonto_DE98120300001061711675.csv</x:v>
      </x:c>
      <x:c r="E2191" t="n">
        <x:v>46163</x:v>
      </x:c>
      <x:c r="F2191" t="n">
        <x:v>2174</x:v>
      </x:c>
      <x:c r="G2191" t="str">
        <x:v>f6b8f2a2b49736dfb6a0d4f10ade079c8f74f899295a94dc37966a420766a93f</x:v>
      </x:c>
      <x:c r="H2191" t="str">
        <x:v>neu</x:v>
      </x:c>
      <x:c r="I2191" t="str">
        <x:v>ok</x:v>
      </x:c>
      <x:c r="J2191"/>
      <x:c r="K2191" t="n">
        <x:v>45436</x:v>
      </x:c>
      <x:c r="L2191" t="n">
        <x:v>45436</x:v>
      </x:c>
      <x:c r="M2191" t="str">
        <x:v>Gebucht</x:v>
      </x:c>
      <x:c r="N2191" t="str">
        <x:v>ISSUER</x:v>
      </x:c>
      <x:c r="O2191" t="str">
        <x:v>REWE.Salzgitter.Ge/Salzgitter</x:v>
      </x:c>
      <x:c r="P2191" t="str">
        <x:v>VISA Debitkartenumsatz vom 23.05.2024</x:v>
      </x:c>
      <x:c r="Q2191" t="str">
        <x:v>Ausgang</x:v>
      </x:c>
      <x:c r="R2191" t="str">
        <x:v>DE96120300009005290904</x:v>
      </x:c>
      <x:c r="S2191" t="n">
        <x:v>-6.01</x:v>
      </x:c>
      <x:c r="T2191" t="str">
        <x:v>"</x:v>
      </x:c>
      <x:c r="U2191" t="str">
        <x:v>"</x:v>
      </x:c>
      <x:c r="V2191" t="str">
        <x:v>484144397204678</x:v>
      </x:c>
    </x:row>
    <x:row r="2192">
      <x:c r="A2192" t="str">
        <x:v>RAW-IMP-20260516-FULLDRAFT-002175</x:v>
      </x:c>
      <x:c r="B2192" t="str">
        <x:v>IMP-20260516-FULLDRAFT</x:v>
      </x:c>
      <x:c r="C2192" t="str">
        <x:v>KTO001</x:v>
      </x:c>
      <x:c r="D2192" t="str">
        <x:v>16-05-2026_Umsatzliste_Girokonto_DE98120300001061711675.csv</x:v>
      </x:c>
      <x:c r="E2192" t="n">
        <x:v>46163</x:v>
      </x:c>
      <x:c r="F2192" t="n">
        <x:v>2175</x:v>
      </x:c>
      <x:c r="G2192" t="str">
        <x:v>abb95a894d2834152e2bf227a34cadb0f591312fac37591fe4386fe0c7f55279</x:v>
      </x:c>
      <x:c r="H2192" t="str">
        <x:v>neu</x:v>
      </x:c>
      <x:c r="I2192" t="str">
        <x:v>ok</x:v>
      </x:c>
      <x:c r="J2192"/>
      <x:c r="K2192" t="n">
        <x:v>45436</x:v>
      </x:c>
      <x:c r="L2192" t="n">
        <x:v>45436</x:v>
      </x:c>
      <x:c r="M2192" t="str">
        <x:v>Gebucht</x:v>
      </x:c>
      <x:c r="N2192" t="str">
        <x:v>ISSUER</x:v>
      </x:c>
      <x:c r="O2192" t="str">
        <x:v>PAYPAL..KAMODYGMBH/94164079086</x:v>
      </x:c>
      <x:c r="P2192" t="str">
        <x:v>VISA Debitkartenumsatz vom 22.05.2024</x:v>
      </x:c>
      <x:c r="Q2192" t="str">
        <x:v>Ausgang</x:v>
      </x:c>
      <x:c r="R2192" t="str">
        <x:v>DE96120300009005290904</x:v>
      </x:c>
      <x:c r="S2192" t="n">
        <x:v>-46.65</x:v>
      </x:c>
      <x:c r="T2192" t="str">
        <x:v>"</x:v>
      </x:c>
      <x:c r="U2192" t="str">
        <x:v>"</x:v>
      </x:c>
      <x:c r="V2192" t="str">
        <x:v>384143332333457</x:v>
      </x:c>
    </x:row>
    <x:row r="2193">
      <x:c r="A2193" t="str">
        <x:v>RAW-IMP-20260516-FULLDRAFT-002176</x:v>
      </x:c>
      <x:c r="B2193" t="str">
        <x:v>IMP-20260516-FULLDRAFT</x:v>
      </x:c>
      <x:c r="C2193" t="str">
        <x:v>KTO001</x:v>
      </x:c>
      <x:c r="D2193" t="str">
        <x:v>16-05-2026_Umsatzliste_Girokonto_DE98120300001061711675.csv</x:v>
      </x:c>
      <x:c r="E2193" t="n">
        <x:v>46163</x:v>
      </x:c>
      <x:c r="F2193" t="n">
        <x:v>2176</x:v>
      </x:c>
      <x:c r="G2193" t="str">
        <x:v>e4b463c0b4d1098f2300c62ebd2cbb4e755724922117799660c2985ed3480ecb</x:v>
      </x:c>
      <x:c r="H2193" t="str">
        <x:v>neu</x:v>
      </x:c>
      <x:c r="I2193" t="str">
        <x:v>ok</x:v>
      </x:c>
      <x:c r="J2193"/>
      <x:c r="K2193" t="n">
        <x:v>45435</x:v>
      </x:c>
      <x:c r="L2193" t="n">
        <x:v>45435</x:v>
      </x:c>
      <x:c r="M2193" t="str">
        <x:v>Gebucht</x:v>
      </x:c>
      <x:c r="N2193" t="str">
        <x:v>ISSUER</x:v>
      </x:c>
      <x:c r="O2193" t="str">
        <x:v>AMZN.Mktp.DE.HY9855T44/800.279.6620</x:v>
      </x:c>
      <x:c r="P2193" t="str">
        <x:v>VISA Debitkartenumsatz vom 22.05.2024</x:v>
      </x:c>
      <x:c r="Q2193" t="str">
        <x:v>Ausgang</x:v>
      </x:c>
      <x:c r="R2193" t="str">
        <x:v>DE96120300009005290904</x:v>
      </x:c>
      <x:c r="S2193" t="n">
        <x:v>-35.94</x:v>
      </x:c>
      <x:c r="T2193" t="str">
        <x:v>"</x:v>
      </x:c>
      <x:c r="U2193" t="str">
        <x:v>"</x:v>
      </x:c>
      <x:c r="V2193" t="str">
        <x:v>484143550026559</x:v>
      </x:c>
    </x:row>
    <x:row r="2194">
      <x:c r="A2194" t="str">
        <x:v>RAW-IMP-20260516-FULLDRAFT-002177</x:v>
      </x:c>
      <x:c r="B2194" t="str">
        <x:v>IMP-20260516-FULLDRAFT</x:v>
      </x:c>
      <x:c r="C2194" t="str">
        <x:v>KTO001</x:v>
      </x:c>
      <x:c r="D2194" t="str">
        <x:v>16-05-2026_Umsatzliste_Girokonto_DE98120300001061711675.csv</x:v>
      </x:c>
      <x:c r="E2194" t="n">
        <x:v>46163</x:v>
      </x:c>
      <x:c r="F2194" t="n">
        <x:v>2177</x:v>
      </x:c>
      <x:c r="G2194" t="str">
        <x:v>b291c29bd908781e72df8596913e9bff4732dfa773065f569282253fe7a2fe83</x:v>
      </x:c>
      <x:c r="H2194" t="str">
        <x:v>neu</x:v>
      </x:c>
      <x:c r="I2194" t="str">
        <x:v>ok</x:v>
      </x:c>
      <x:c r="J2194"/>
      <x:c r="K2194" t="n">
        <x:v>45434</x:v>
      </x:c>
      <x:c r="L2194" t="n">
        <x:v>45434</x:v>
      </x:c>
      <x:c r="M2194" t="str">
        <x:v>Gebucht</x:v>
      </x:c>
      <x:c r="N2194" t="str">
        <x:v>Wolkenmacher GmbH</x:v>
      </x:c>
      <x:c r="O2194" t="str">
        <x:v>Kohlenberg Lars</x:v>
      </x:c>
      <x:c r="P2194" t="str">
        <x:v>Lohn-Gehalt Abrechnung 05/2024</x:v>
      </x:c>
      <x:c r="Q2194" t="str">
        <x:v>Eingang</x:v>
      </x:c>
      <x:c r="R2194" t="str">
        <x:v>DE30270700300031340300</x:v>
      </x:c>
      <x:c r="S2194" t="n">
        <x:v>7702.04</x:v>
      </x:c>
      <x:c r="T2194" t="str">
        <x:v>"</x:v>
      </x:c>
      <x:c r="U2194" t="str">
        <x:v>"</x:v>
      </x:c>
      <x:c r="V2194" t="str">
        <x:v>4464208944-0000001</x:v>
      </x:c>
    </x:row>
    <x:row r="2195">
      <x:c r="A2195" t="str">
        <x:v>RAW-IMP-20260516-FULLDRAFT-002178</x:v>
      </x:c>
      <x:c r="B2195" t="str">
        <x:v>IMP-20260516-FULLDRAFT</x:v>
      </x:c>
      <x:c r="C2195" t="str">
        <x:v>KTO001</x:v>
      </x:c>
      <x:c r="D2195" t="str">
        <x:v>16-05-2026_Umsatzliste_Girokonto_DE98120300001061711675.csv</x:v>
      </x:c>
      <x:c r="E2195" t="n">
        <x:v>46163</x:v>
      </x:c>
      <x:c r="F2195" t="n">
        <x:v>2178</x:v>
      </x:c>
      <x:c r="G2195" t="str">
        <x:v>5efb7312fcc63470b5dcd5790b4bd0a2212c865a79c870feab8d83669c3275de</x:v>
      </x:c>
      <x:c r="H2195" t="str">
        <x:v>neu</x:v>
      </x:c>
      <x:c r="I2195" t="str">
        <x:v>ok</x:v>
      </x:c>
      <x:c r="J2195"/>
      <x:c r="K2195" t="n">
        <x:v>45434</x:v>
      </x:c>
      <x:c r="L2195" t="n">
        <x:v>45434</x:v>
      </x:c>
      <x:c r="M2195" t="str">
        <x:v>Gebucht</x:v>
      </x:c>
      <x:c r="N2195" t="str">
        <x:v>ISSUER</x:v>
      </x:c>
      <x:c r="O2195" t="str">
        <x:v>POLLUX.GRUNDSTUECKSG.M/KOELN</x:v>
      </x:c>
      <x:c r="P2195" t="str">
        <x:v>VISA Debitkartenumsatz vom 21.05.2024</x:v>
      </x:c>
      <x:c r="Q2195" t="str">
        <x:v>Ausgang</x:v>
      </x:c>
      <x:c r="R2195" t="str">
        <x:v>DE96120300009005290904</x:v>
      </x:c>
      <x:c r="S2195" t="n">
        <x:v>-3</x:v>
      </x:c>
      <x:c r="T2195" t="str">
        <x:v>"</x:v>
      </x:c>
      <x:c r="U2195" t="str">
        <x:v>"</x:v>
      </x:c>
      <x:c r="V2195" t="str">
        <x:v>484142572418615</x:v>
      </x:c>
    </x:row>
    <x:row r="2196">
      <x:c r="A2196" t="str">
        <x:v>RAW-IMP-20260516-FULLDRAFT-002179</x:v>
      </x:c>
      <x:c r="B2196" t="str">
        <x:v>IMP-20260516-FULLDRAFT</x:v>
      </x:c>
      <x:c r="C2196" t="str">
        <x:v>KTO001</x:v>
      </x:c>
      <x:c r="D2196" t="str">
        <x:v>16-05-2026_Umsatzliste_Girokonto_DE98120300001061711675.csv</x:v>
      </x:c>
      <x:c r="E2196" t="n">
        <x:v>46163</x:v>
      </x:c>
      <x:c r="F2196" t="n">
        <x:v>2179</x:v>
      </x:c>
      <x:c r="G2196" t="str">
        <x:v>140639e899c971a690b4e9aa527aa07a0a0c8cff90e37c162203a1de1f7c2e60</x:v>
      </x:c>
      <x:c r="H2196" t="str">
        <x:v>neu</x:v>
      </x:c>
      <x:c r="I2196" t="str">
        <x:v>ok</x:v>
      </x:c>
      <x:c r="J2196"/>
      <x:c r="K2196" t="n">
        <x:v>45434</x:v>
      </x:c>
      <x:c r="L2196" t="n">
        <x:v>45434</x:v>
      </x:c>
      <x:c r="M2196" t="str">
        <x:v>Gebucht</x:v>
      </x:c>
      <x:c r="N2196" t="str">
        <x:v>ISSUER</x:v>
      </x:c>
      <x:c r="O2196" t="str">
        <x:v>REWE.Mehmet.Kaysal.oHG/Salzgitter</x:v>
      </x:c>
      <x:c r="P2196" t="str">
        <x:v>VISA Debitkartenumsatz vom 21.05.2024</x:v>
      </x:c>
      <x:c r="Q2196" t="str">
        <x:v>Ausgang</x:v>
      </x:c>
      <x:c r="R2196" t="str">
        <x:v>DE96120300009005290904</x:v>
      </x:c>
      <x:c r="S2196" t="n">
        <x:v>-24.68</x:v>
      </x:c>
      <x:c r="T2196" t="str">
        <x:v>"</x:v>
      </x:c>
      <x:c r="U2196" t="str">
        <x:v>"</x:v>
      </x:c>
      <x:c r="V2196" t="str">
        <x:v>484142632301831</x:v>
      </x:c>
    </x:row>
    <x:row r="2197">
      <x:c r="A2197" t="str">
        <x:v>RAW-IMP-20260516-FULLDRAFT-002180</x:v>
      </x:c>
      <x:c r="B2197" t="str">
        <x:v>IMP-20260516-FULLDRAFT</x:v>
      </x:c>
      <x:c r="C2197" t="str">
        <x:v>KTO001</x:v>
      </x:c>
      <x:c r="D2197" t="str">
        <x:v>16-05-2026_Umsatzliste_Girokonto_DE98120300001061711675.csv</x:v>
      </x:c>
      <x:c r="E2197" t="n">
        <x:v>46163</x:v>
      </x:c>
      <x:c r="F2197" t="n">
        <x:v>2180</x:v>
      </x:c>
      <x:c r="G2197" t="str">
        <x:v>f7fbf18539ba7d3f8b856a92b6b693f7e42914ceb03899aa8cf9affa68e42b87</x:v>
      </x:c>
      <x:c r="H2197" t="str">
        <x:v>neu</x:v>
      </x:c>
      <x:c r="I2197" t="str">
        <x:v>ok</x:v>
      </x:c>
      <x:c r="J2197"/>
      <x:c r="K2197" t="n">
        <x:v>45433</x:v>
      </x:c>
      <x:c r="L2197" t="n">
        <x:v>45433</x:v>
      </x:c>
      <x:c r="M2197" t="str">
        <x:v>Gebucht</x:v>
      </x:c>
      <x:c r="N2197" t="str">
        <x:v>Lars Kohlenberg</x:v>
      </x:c>
      <x:c r="O2197" t="str">
        <x:v>SunnyholidaysVillas/Erdmann</x:v>
      </x:c>
      <x:c r="P2197" t="str">
        <x:v>2018 / Villa Sea Breeze / 06.07.2024 / Kohlenberg</x:v>
      </x:c>
      <x:c r="Q2197" t="str">
        <x:v>Ausgang</x:v>
      </x:c>
      <x:c r="R2197" t="str">
        <x:v>ES7901280636270100027493</x:v>
      </x:c>
      <x:c r="S2197" t="n">
        <x:v>-4230</x:v>
      </x:c>
      <x:c r="T2197" t="str">
        <x:v>"</x:v>
      </x:c>
      <x:c r="U2197" t="str">
        <x:v>"</x:v>
      </x:c>
      <x:c r="V2197" t="str">
        <x:v>"</x:v>
      </x:c>
    </x:row>
    <x:row r="2198">
      <x:c r="A2198" t="str">
        <x:v>RAW-IMP-20260516-FULLDRAFT-002181</x:v>
      </x:c>
      <x:c r="B2198" t="str">
        <x:v>IMP-20260516-FULLDRAFT</x:v>
      </x:c>
      <x:c r="C2198" t="str">
        <x:v>KTO001</x:v>
      </x:c>
      <x:c r="D2198" t="str">
        <x:v>16-05-2026_Umsatzliste_Girokonto_DE98120300001061711675.csv</x:v>
      </x:c>
      <x:c r="E2198" t="n">
        <x:v>46163</x:v>
      </x:c>
      <x:c r="F2198" t="n">
        <x:v>2181</x:v>
      </x:c>
      <x:c r="G2198" t="str">
        <x:v>92a9c5b67aae24b7c47dc694cbf4b2180fec54ed3d77801475c809cbedc01804</x:v>
      </x:c>
      <x:c r="H2198" t="str">
        <x:v>neu</x:v>
      </x:c>
      <x:c r="I2198" t="str">
        <x:v>ok</x:v>
      </x:c>
      <x:c r="J2198"/>
      <x:c r="K2198" t="n">
        <x:v>45433</x:v>
      </x:c>
      <x:c r="L2198" t="n">
        <x:v>45433</x:v>
      </x:c>
      <x:c r="M2198" t="str">
        <x:v>Gebucht</x:v>
      </x:c>
      <x:c r="N2198" t="str">
        <x:v>ISSUER</x:v>
      </x:c>
      <x:c r="O2198" t="str">
        <x:v>PAYPAL..HPDEUTSCHLA/35314369001</x:v>
      </x:c>
      <x:c r="P2198" t="str">
        <x:v>VISA Debitkartenumsatz vom 19.05.2024</x:v>
      </x:c>
      <x:c r="Q2198" t="str">
        <x:v>Ausgang</x:v>
      </x:c>
      <x:c r="R2198" t="str">
        <x:v>DE96120300009005290904</x:v>
      </x:c>
      <x:c r="S2198" t="n">
        <x:v>-4.99</x:v>
      </x:c>
      <x:c r="T2198" t="str">
        <x:v>"</x:v>
      </x:c>
      <x:c r="U2198" t="str">
        <x:v>"</x:v>
      </x:c>
      <x:c r="V2198" t="str">
        <x:v>464140684585202</x:v>
      </x:c>
    </x:row>
    <x:row r="2199">
      <x:c r="A2199" t="str">
        <x:v>RAW-IMP-20260516-FULLDRAFT-002182</x:v>
      </x:c>
      <x:c r="B2199" t="str">
        <x:v>IMP-20260516-FULLDRAFT</x:v>
      </x:c>
      <x:c r="C2199" t="str">
        <x:v>KTO001</x:v>
      </x:c>
      <x:c r="D2199" t="str">
        <x:v>16-05-2026_Umsatzliste_Girokonto_DE98120300001061711675.csv</x:v>
      </x:c>
      <x:c r="E2199" t="n">
        <x:v>46163</x:v>
      </x:c>
      <x:c r="F2199" t="n">
        <x:v>2182</x:v>
      </x:c>
      <x:c r="G2199" t="str">
        <x:v>2c3ae5789272ab77480be2fa3e3822682cbc8625d7c37f457bd225191ab9094b</x:v>
      </x:c>
      <x:c r="H2199" t="str">
        <x:v>neu</x:v>
      </x:c>
      <x:c r="I2199" t="str">
        <x:v>ok</x:v>
      </x:c>
      <x:c r="J2199"/>
      <x:c r="K2199" t="n">
        <x:v>45433</x:v>
      </x:c>
      <x:c r="L2199" t="n">
        <x:v>45432</x:v>
      </x:c>
      <x:c r="M2199" t="str">
        <x:v>Gebucht</x:v>
      </x:c>
      <x:c r="N2199" t="str">
        <x:v>ISSUER</x:v>
      </x:c>
      <x:c r="O2199" t="str">
        <x:v>Prime.Video..H73GH8284/442.011518546</x:v>
      </x:c>
      <x:c r="P2199" t="str">
        <x:v>VISA Debitkartenumsatz vom 19.05.2024</x:v>
      </x:c>
      <x:c r="Q2199" t="str">
        <x:v>Ausgang</x:v>
      </x:c>
      <x:c r="R2199" t="str">
        <x:v>DE96120300009005290904</x:v>
      </x:c>
      <x:c r="S2199" t="n">
        <x:v>-0.99</x:v>
      </x:c>
      <x:c r="T2199" t="str">
        <x:v>"</x:v>
      </x:c>
      <x:c r="U2199" t="str">
        <x:v>"</x:v>
      </x:c>
      <x:c r="V2199" t="str">
        <x:v>484140658831784</x:v>
      </x:c>
    </x:row>
    <x:row r="2200">
      <x:c r="A2200" t="str">
        <x:v>RAW-IMP-20260516-FULLDRAFT-002183</x:v>
      </x:c>
      <x:c r="B2200" t="str">
        <x:v>IMP-20260516-FULLDRAFT</x:v>
      </x:c>
      <x:c r="C2200" t="str">
        <x:v>KTO001</x:v>
      </x:c>
      <x:c r="D2200" t="str">
        <x:v>16-05-2026_Umsatzliste_Girokonto_DE98120300001061711675.csv</x:v>
      </x:c>
      <x:c r="E2200" t="n">
        <x:v>46163</x:v>
      </x:c>
      <x:c r="F2200" t="n">
        <x:v>2183</x:v>
      </x:c>
      <x:c r="G2200" t="str">
        <x:v>ba7c58f721fb5edd8cc0f20c348e04a1f06707caa51daa88128e790583a359a2</x:v>
      </x:c>
      <x:c r="H2200" t="str">
        <x:v>neu</x:v>
      </x:c>
      <x:c r="I2200" t="str">
        <x:v>ok</x:v>
      </x:c>
      <x:c r="J2200"/>
      <x:c r="K2200" t="n">
        <x:v>45433</x:v>
      </x:c>
      <x:c r="L2200" t="n">
        <x:v>45432</x:v>
      </x:c>
      <x:c r="M2200" t="str">
        <x:v>Gebucht</x:v>
      </x:c>
      <x:c r="N2200" t="str">
        <x:v>ISSUER</x:v>
      </x:c>
      <x:c r="O2200" t="str">
        <x:v>Prime.Video..H79KR9MQ4/442.011518546</x:v>
      </x:c>
      <x:c r="P2200" t="str">
        <x:v>VISA Debitkartenumsatz vom 17.05.2024</x:v>
      </x:c>
      <x:c r="Q2200" t="str">
        <x:v>Ausgang</x:v>
      </x:c>
      <x:c r="R2200" t="str">
        <x:v>DE96120300009005290904</x:v>
      </x:c>
      <x:c r="S2200" t="n">
        <x:v>-0.99</x:v>
      </x:c>
      <x:c r="T2200" t="str">
        <x:v>"</x:v>
      </x:c>
      <x:c r="U2200" t="str">
        <x:v>"</x:v>
      </x:c>
      <x:c r="V2200" t="str">
        <x:v>484138684064692</x:v>
      </x:c>
    </x:row>
    <x:row r="2201">
      <x:c r="A2201" t="str">
        <x:v>RAW-IMP-20260516-FULLDRAFT-002184</x:v>
      </x:c>
      <x:c r="B2201" t="str">
        <x:v>IMP-20260516-FULLDRAFT</x:v>
      </x:c>
      <x:c r="C2201" t="str">
        <x:v>KTO001</x:v>
      </x:c>
      <x:c r="D2201" t="str">
        <x:v>16-05-2026_Umsatzliste_Girokonto_DE98120300001061711675.csv</x:v>
      </x:c>
      <x:c r="E2201" t="n">
        <x:v>46163</x:v>
      </x:c>
      <x:c r="F2201" t="n">
        <x:v>2184</x:v>
      </x:c>
      <x:c r="G2201" t="str">
        <x:v>a9b4a2ca6952d5c37de0c7545a920cf5c468545b3b20fb7eeec21663bc22b9bf</x:v>
      </x:c>
      <x:c r="H2201" t="str">
        <x:v>neu</x:v>
      </x:c>
      <x:c r="I2201" t="str">
        <x:v>ok</x:v>
      </x:c>
      <x:c r="J2201"/>
      <x:c r="K2201" t="n">
        <x:v>45433</x:v>
      </x:c>
      <x:c r="L2201" t="n">
        <x:v>45432</x:v>
      </x:c>
      <x:c r="M2201" t="str">
        <x:v>Gebucht</x:v>
      </x:c>
      <x:c r="N2201" t="str">
        <x:v>ISSUER</x:v>
      </x:c>
      <x:c r="O2201" t="str">
        <x:v>Lidl.sagt.Danke/Salzgitter</x:v>
      </x:c>
      <x:c r="P2201" t="str">
        <x:v>VISA Debitkartenumsatz vom 18.05.2024</x:v>
      </x:c>
      <x:c r="Q2201" t="str">
        <x:v>Ausgang</x:v>
      </x:c>
      <x:c r="R2201" t="str">
        <x:v>DE96120300009005290904</x:v>
      </x:c>
      <x:c r="S2201" t="n">
        <x:v>-41.14</x:v>
      </x:c>
      <x:c r="T2201" t="str">
        <x:v>"</x:v>
      </x:c>
      <x:c r="U2201" t="str">
        <x:v>"</x:v>
      </x:c>
      <x:c r="V2201" t="str">
        <x:v>484139433904754</x:v>
      </x:c>
    </x:row>
    <x:row r="2202">
      <x:c r="A2202" t="str">
        <x:v>RAW-IMP-20260516-FULLDRAFT-002185</x:v>
      </x:c>
      <x:c r="B2202" t="str">
        <x:v>IMP-20260516-FULLDRAFT</x:v>
      </x:c>
      <x:c r="C2202" t="str">
        <x:v>KTO001</x:v>
      </x:c>
      <x:c r="D2202" t="str">
        <x:v>16-05-2026_Umsatzliste_Girokonto_DE98120300001061711675.csv</x:v>
      </x:c>
      <x:c r="E2202" t="n">
        <x:v>46163</x:v>
      </x:c>
      <x:c r="F2202" t="n">
        <x:v>2185</x:v>
      </x:c>
      <x:c r="G2202" t="str">
        <x:v>775d46305dae86c135d4102e6ed49873366cde586bb19a1c22c046e2c8f84ca3</x:v>
      </x:c>
      <x:c r="H2202" t="str">
        <x:v>neu</x:v>
      </x:c>
      <x:c r="I2202" t="str">
        <x:v>ok</x:v>
      </x:c>
      <x:c r="J2202"/>
      <x:c r="K2202" t="n">
        <x:v>45433</x:v>
      </x:c>
      <x:c r="L2202" t="n">
        <x:v>45432</x:v>
      </x:c>
      <x:c r="M2202" t="str">
        <x:v>Gebucht</x:v>
      </x:c>
      <x:c r="N2202" t="str">
        <x:v>ISSUER</x:v>
      </x:c>
      <x:c r="O2202" t="str">
        <x:v>Prime.Video..H743C98F4/442.011518546</x:v>
      </x:c>
      <x:c r="P2202" t="str">
        <x:v>VISA Debitkartenumsatz vom 18.05.2024</x:v>
      </x:c>
      <x:c r="Q2202" t="str">
        <x:v>Ausgang</x:v>
      </x:c>
      <x:c r="R2202" t="str">
        <x:v>DE96120300009005290904</x:v>
      </x:c>
      <x:c r="S2202" t="n">
        <x:v>-0.99</x:v>
      </x:c>
      <x:c r="T2202" t="str">
        <x:v>"</x:v>
      </x:c>
      <x:c r="U2202" t="str">
        <x:v>"</x:v>
      </x:c>
      <x:c r="V2202" t="str">
        <x:v>484139621615858</x:v>
      </x:c>
    </x:row>
    <x:row r="2203">
      <x:c r="A2203" t="str">
        <x:v>RAW-IMP-20260516-FULLDRAFT-002186</x:v>
      </x:c>
      <x:c r="B2203" t="str">
        <x:v>IMP-20260516-FULLDRAFT</x:v>
      </x:c>
      <x:c r="C2203" t="str">
        <x:v>KTO001</x:v>
      </x:c>
      <x:c r="D2203" t="str">
        <x:v>16-05-2026_Umsatzliste_Girokonto_DE98120300001061711675.csv</x:v>
      </x:c>
      <x:c r="E2203" t="n">
        <x:v>46163</x:v>
      </x:c>
      <x:c r="F2203" t="n">
        <x:v>2186</x:v>
      </x:c>
      <x:c r="G2203" t="str">
        <x:v>195b44f148d74e6bb89f32e6d31413d9fcfc582d3bfc78ff4774eadda7ecccdd</x:v>
      </x:c>
      <x:c r="H2203" t="str">
        <x:v>neu</x:v>
      </x:c>
      <x:c r="I2203" t="str">
        <x:v>ok</x:v>
      </x:c>
      <x:c r="J2203"/>
      <x:c r="K2203" t="n">
        <x:v>45433</x:v>
      </x:c>
      <x:c r="L2203" t="n">
        <x:v>45432</x:v>
      </x:c>
      <x:c r="M2203" t="str">
        <x:v>Gebucht</x:v>
      </x:c>
      <x:c r="N2203" t="str">
        <x:v>ISSUER</x:v>
      </x:c>
      <x:c r="O2203" t="str">
        <x:v>REWE.Acar.oHG/Salzgitter</x:v>
      </x:c>
      <x:c r="P2203" t="str">
        <x:v>VISA Debitkartenumsatz vom 18.05.2024</x:v>
      </x:c>
      <x:c r="Q2203" t="str">
        <x:v>Ausgang</x:v>
      </x:c>
      <x:c r="R2203" t="str">
        <x:v>DE96120300009005290904</x:v>
      </x:c>
      <x:c r="S2203" t="n">
        <x:v>-177.43</x:v>
      </x:c>
      <x:c r="T2203" t="str">
        <x:v>"</x:v>
      </x:c>
      <x:c r="U2203" t="str">
        <x:v>"</x:v>
      </x:c>
      <x:c r="V2203" t="str">
        <x:v>484139297343724</x:v>
      </x:c>
    </x:row>
    <x:row r="2204">
      <x:c r="A2204" t="str">
        <x:v>RAW-IMP-20260516-FULLDRAFT-002187</x:v>
      </x:c>
      <x:c r="B2204" t="str">
        <x:v>IMP-20260516-FULLDRAFT</x:v>
      </x:c>
      <x:c r="C2204" t="str">
        <x:v>KTO001</x:v>
      </x:c>
      <x:c r="D2204" t="str">
        <x:v>16-05-2026_Umsatzliste_Girokonto_DE98120300001061711675.csv</x:v>
      </x:c>
      <x:c r="E2204" t="n">
        <x:v>46163</x:v>
      </x:c>
      <x:c r="F2204" t="n">
        <x:v>2187</x:v>
      </x:c>
      <x:c r="G2204" t="str">
        <x:v>1ca100c3b7dec73a7ffb61387ae6d3935d48e5d4f5c77df0a2808df50788bf61</x:v>
      </x:c>
      <x:c r="H2204" t="str">
        <x:v>neu</x:v>
      </x:c>
      <x:c r="I2204" t="str">
        <x:v>ok</x:v>
      </x:c>
      <x:c r="J2204"/>
      <x:c r="K2204" t="n">
        <x:v>45433</x:v>
      </x:c>
      <x:c r="L2204" t="n">
        <x:v>45432</x:v>
      </x:c>
      <x:c r="M2204" t="str">
        <x:v>Gebucht</x:v>
      </x:c>
      <x:c r="N2204" t="str">
        <x:v>ISSUER</x:v>
      </x:c>
      <x:c r="O2204" t="str">
        <x:v>PETER.PANE.BRAUNSCHWEI/BRAUNSCHWEIG</x:v>
      </x:c>
      <x:c r="P2204" t="str">
        <x:v>VISA Debitkartenumsatz vom 17.05.2024</x:v>
      </x:c>
      <x:c r="Q2204" t="str">
        <x:v>Ausgang</x:v>
      </x:c>
      <x:c r="R2204" t="str">
        <x:v>DE96120300009005290904</x:v>
      </x:c>
      <x:c r="S2204" t="n">
        <x:v>-36.12</x:v>
      </x:c>
      <x:c r="T2204" t="str">
        <x:v>"</x:v>
      </x:c>
      <x:c r="U2204" t="str">
        <x:v>"</x:v>
      </x:c>
      <x:c r="V2204" t="str">
        <x:v>484138384870020</x:v>
      </x:c>
    </x:row>
    <x:row r="2205">
      <x:c r="A2205" t="str">
        <x:v>RAW-IMP-20260516-FULLDRAFT-002188</x:v>
      </x:c>
      <x:c r="B2205" t="str">
        <x:v>IMP-20260516-FULLDRAFT</x:v>
      </x:c>
      <x:c r="C2205" t="str">
        <x:v>KTO001</x:v>
      </x:c>
      <x:c r="D2205" t="str">
        <x:v>16-05-2026_Umsatzliste_Girokonto_DE98120300001061711675.csv</x:v>
      </x:c>
      <x:c r="E2205" t="n">
        <x:v>46163</x:v>
      </x:c>
      <x:c r="F2205" t="n">
        <x:v>2188</x:v>
      </x:c>
      <x:c r="G2205" t="str">
        <x:v>41248ed9b35a8749cc7aa2f4583821ee9c81fd59732f01add731a80b29e2eaa7</x:v>
      </x:c>
      <x:c r="H2205" t="str">
        <x:v>neu</x:v>
      </x:c>
      <x:c r="I2205" t="str">
        <x:v>ok</x:v>
      </x:c>
      <x:c r="J2205"/>
      <x:c r="K2205" t="n">
        <x:v>45433</x:v>
      </x:c>
      <x:c r="L2205" t="n">
        <x:v>45433</x:v>
      </x:c>
      <x:c r="M2205" t="str">
        <x:v>Gebucht</x:v>
      </x:c>
      <x:c r="N2205" t="str">
        <x:v>Lars Kohlenberg                                                       Johannes-Wosnitza-Str. 8 38229 Salzgitter</x:v>
      </x:c>
      <x:c r="O2205" t="str">
        <x:v>1+1 Mail + Media GmbH                                                 Elgendorfer Str. 57, 56410 Montabaur</x:v>
      </x:c>
      <x:c r="P2205" t="str">
        <x:v>GMX / WEB.DE / KD-Nr. K7440512/ RG-Nr. 201537448745</x:v>
      </x:c>
      <x:c r="Q2205" t="str">
        <x:v>Ausgang</x:v>
      </x:c>
      <x:c r="R2205" t="str">
        <x:v>DE76700800000881679702</x:v>
      </x:c>
      <x:c r="S2205" t="n">
        <x:v>-23.94</x:v>
      </x:c>
      <x:c r="T2205" t="str">
        <x:v>DE07ZZZ00000569718</x:v>
      </x:c>
      <x:c r="U2205" t="str">
        <x:v>0090001393062</x:v>
      </x:c>
      <x:c r="V2205" t="str">
        <x:v>005982399496</x:v>
      </x:c>
    </x:row>
    <x:row r="2206">
      <x:c r="A2206" t="str">
        <x:v>RAW-IMP-20260516-FULLDRAFT-002189</x:v>
      </x:c>
      <x:c r="B2206" t="str">
        <x:v>IMP-20260516-FULLDRAFT</x:v>
      </x:c>
      <x:c r="C2206" t="str">
        <x:v>KTO001</x:v>
      </x:c>
      <x:c r="D2206" t="str">
        <x:v>16-05-2026_Umsatzliste_Girokonto_DE98120300001061711675.csv</x:v>
      </x:c>
      <x:c r="E2206" t="n">
        <x:v>46163</x:v>
      </x:c>
      <x:c r="F2206" t="n">
        <x:v>2189</x:v>
      </x:c>
      <x:c r="G2206" t="str">
        <x:v>f29b7d2fbabb280bef7251013ae9da2308a53e0407e00130fe5e7d1c3706dbda</x:v>
      </x:c>
      <x:c r="H2206" t="str">
        <x:v>neu</x:v>
      </x:c>
      <x:c r="I2206" t="str">
        <x:v>ok</x:v>
      </x:c>
      <x:c r="J2206"/>
      <x:c r="K2206" t="n">
        <x:v>45433</x:v>
      </x:c>
      <x:c r="L2206" t="n">
        <x:v>45433</x:v>
      </x:c>
      <x:c r="M2206" t="str">
        <x:v>Gebucht</x:v>
      </x:c>
      <x:c r="N2206" t="str">
        <x:v>Lars Kohlenberg                                                       JohannesWosnitzaStr.</x:v>
      </x:c>
      <x:c r="O2206" t="str">
        <x:v>Adyen N.V.</x:v>
      </x:c>
      <x:c r="P2206" t="str">
        <x:v>GMX by LOTTO24 C98983063 T664895613644</x:v>
      </x:c>
      <x:c r="Q2206" t="str">
        <x:v>Ausgang</x:v>
      </x:c>
      <x:c r="R2206" t="str">
        <x:v>DE11120700700020000603</x:v>
      </x:c>
      <x:c r="S2206" t="n">
        <x:v>-8.84</x:v>
      </x:c>
      <x:c r="T2206" t="str">
        <x:v>NL48ZZZ342764500000</x:v>
      </x:c>
      <x:c r="U2206" t="str">
        <x:v>R372DKN5SSBXZP52</x:v>
      </x:c>
      <x:c r="V2206" t="str">
        <x:v>CJ8LBDJL6VJ4SDKH2C</x:v>
      </x:c>
    </x:row>
    <x:row r="2207">
      <x:c r="A2207" t="str">
        <x:v>RAW-IMP-20260516-FULLDRAFT-002190</x:v>
      </x:c>
      <x:c r="B2207" t="str">
        <x:v>IMP-20260516-FULLDRAFT</x:v>
      </x:c>
      <x:c r="C2207" t="str">
        <x:v>KTO001</x:v>
      </x:c>
      <x:c r="D2207" t="str">
        <x:v>16-05-2026_Umsatzliste_Girokonto_DE98120300001061711675.csv</x:v>
      </x:c>
      <x:c r="E2207" t="n">
        <x:v>46163</x:v>
      </x:c>
      <x:c r="F2207" t="n">
        <x:v>2190</x:v>
      </x:c>
      <x:c r="G2207" t="str">
        <x:v>120f2dc4541a1ef1315456c1e9d631d9f1ad059c9aa54b69ff2fa4875696f7ce</x:v>
      </x:c>
      <x:c r="H2207" t="str">
        <x:v>neu</x:v>
      </x:c>
      <x:c r="I2207" t="str">
        <x:v>ok</x:v>
      </x:c>
      <x:c r="J2207"/>
      <x:c r="K2207" t="n">
        <x:v>45429</x:v>
      </x:c>
      <x:c r="L2207" t="n">
        <x:v>45429</x:v>
      </x:c>
      <x:c r="M2207" t="str">
        <x:v>Gebucht</x:v>
      </x:c>
      <x:c r="N2207" t="str">
        <x:v>ISSUER</x:v>
      </x:c>
      <x:c r="O2207" t="str">
        <x:v>Volksbank.BRAWO.eG/BS.BraWoPa</x:v>
      </x:c>
      <x:c r="P2207" t="str">
        <x:v>VISA Debitkartenumsatz vom 17.05.2024</x:v>
      </x:c>
      <x:c r="Q2207" t="str">
        <x:v>Ausgang</x:v>
      </x:c>
      <x:c r="R2207" t="str">
        <x:v>DE96120300009005290904</x:v>
      </x:c>
      <x:c r="S2207" t="n">
        <x:v>-50</x:v>
      </x:c>
      <x:c r="T2207" t="str">
        <x:v>"</x:v>
      </x:c>
      <x:c r="U2207" t="str">
        <x:v>"</x:v>
      </x:c>
      <x:c r="V2207" t="str">
        <x:v>484138356719632</x:v>
      </x:c>
    </x:row>
    <x:row r="2208">
      <x:c r="A2208" t="str">
        <x:v>RAW-IMP-20260516-FULLDRAFT-002191</x:v>
      </x:c>
      <x:c r="B2208" t="str">
        <x:v>IMP-20260516-FULLDRAFT</x:v>
      </x:c>
      <x:c r="C2208" t="str">
        <x:v>KTO001</x:v>
      </x:c>
      <x:c r="D2208" t="str">
        <x:v>16-05-2026_Umsatzliste_Girokonto_DE98120300001061711675.csv</x:v>
      </x:c>
      <x:c r="E2208" t="n">
        <x:v>46163</x:v>
      </x:c>
      <x:c r="F2208" t="n">
        <x:v>2191</x:v>
      </x:c>
      <x:c r="G2208" t="str">
        <x:v>98c0211ce0198200e2ed0de12d970d67d340101b9f8bf792a1ec0d1a0cc57068</x:v>
      </x:c>
      <x:c r="H2208" t="str">
        <x:v>neu</x:v>
      </x:c>
      <x:c r="I2208" t="str">
        <x:v>ok</x:v>
      </x:c>
      <x:c r="J2208"/>
      <x:c r="K2208" t="n">
        <x:v>45429</x:v>
      </x:c>
      <x:c r="L2208" t="n">
        <x:v>45429</x:v>
      </x:c>
      <x:c r="M2208" t="str">
        <x:v>Gebucht</x:v>
      </x:c>
      <x:c r="N2208" t="str">
        <x:v>ISSUER</x:v>
      </x:c>
      <x:c r="O2208" t="str">
        <x:v>REWE.Salzgitter.Ge/Salzgitter</x:v>
      </x:c>
      <x:c r="P2208" t="str">
        <x:v>VISA Debitkartenumsatz vom 16.05.2024</x:v>
      </x:c>
      <x:c r="Q2208" t="str">
        <x:v>Ausgang</x:v>
      </x:c>
      <x:c r="R2208" t="str">
        <x:v>DE96120300009005290904</x:v>
      </x:c>
      <x:c r="S2208" t="n">
        <x:v>-10.78</x:v>
      </x:c>
      <x:c r="T2208" t="str">
        <x:v>"</x:v>
      </x:c>
      <x:c r="U2208" t="str">
        <x:v>"</x:v>
      </x:c>
      <x:c r="V2208" t="str">
        <x:v>484137589444501</x:v>
      </x:c>
    </x:row>
    <x:row r="2209">
      <x:c r="A2209" t="str">
        <x:v>RAW-IMP-20260516-FULLDRAFT-002192</x:v>
      </x:c>
      <x:c r="B2209" t="str">
        <x:v>IMP-20260516-FULLDRAFT</x:v>
      </x:c>
      <x:c r="C2209" t="str">
        <x:v>KTO001</x:v>
      </x:c>
      <x:c r="D2209" t="str">
        <x:v>16-05-2026_Umsatzliste_Girokonto_DE98120300001061711675.csv</x:v>
      </x:c>
      <x:c r="E2209" t="n">
        <x:v>46163</x:v>
      </x:c>
      <x:c r="F2209" t="n">
        <x:v>2192</x:v>
      </x:c>
      <x:c r="G2209" t="str">
        <x:v>2c75749038600b8cf4eba73e4e1653bb4f9c48b5866800ad20c2bffb1cb17bab</x:v>
      </x:c>
      <x:c r="H2209" t="str">
        <x:v>neu</x:v>
      </x:c>
      <x:c r="I2209" t="str">
        <x:v>ok</x:v>
      </x:c>
      <x:c r="J2209"/>
      <x:c r="K2209" t="n">
        <x:v>45429</x:v>
      </x:c>
      <x:c r="L2209" t="n">
        <x:v>45429</x:v>
      </x:c>
      <x:c r="M2209" t="str">
        <x:v>Gebucht</x:v>
      </x:c>
      <x:c r="N2209" t="str">
        <x:v>ISSUER</x:v>
      </x:c>
      <x:c r="O2209" t="str">
        <x:v>REWE.Salzgitter.Ge/Salzgitter</x:v>
      </x:c>
      <x:c r="P2209" t="str">
        <x:v>VISA Debitkartenumsatz vom 16.05.2024</x:v>
      </x:c>
      <x:c r="Q2209" t="str">
        <x:v>Ausgang</x:v>
      </x:c>
      <x:c r="R2209" t="str">
        <x:v>DE96120300009005290904</x:v>
      </x:c>
      <x:c r="S2209" t="n">
        <x:v>-11.42</x:v>
      </x:c>
      <x:c r="T2209" t="str">
        <x:v>"</x:v>
      </x:c>
      <x:c r="U2209" t="str">
        <x:v>"</x:v>
      </x:c>
      <x:c r="V2209" t="str">
        <x:v>484137400740945</x:v>
      </x:c>
    </x:row>
    <x:row r="2210">
      <x:c r="A2210" t="str">
        <x:v>RAW-IMP-20260516-FULLDRAFT-002193</x:v>
      </x:c>
      <x:c r="B2210" t="str">
        <x:v>IMP-20260516-FULLDRAFT</x:v>
      </x:c>
      <x:c r="C2210" t="str">
        <x:v>KTO001</x:v>
      </x:c>
      <x:c r="D2210" t="str">
        <x:v>16-05-2026_Umsatzliste_Girokonto_DE98120300001061711675.csv</x:v>
      </x:c>
      <x:c r="E2210" t="n">
        <x:v>46163</x:v>
      </x:c>
      <x:c r="F2210" t="n">
        <x:v>2193</x:v>
      </x:c>
      <x:c r="G2210" t="str">
        <x:v>696ace5933d3df8e45bc62e729566d5f270124ea5f357e5b54d312228edd5a20</x:v>
      </x:c>
      <x:c r="H2210" t="str">
        <x:v>neu</x:v>
      </x:c>
      <x:c r="I2210" t="str">
        <x:v>ok</x:v>
      </x:c>
      <x:c r="J2210"/>
      <x:c r="K2210" t="n">
        <x:v>45428</x:v>
      </x:c>
      <x:c r="L2210" t="n">
        <x:v>45428</x:v>
      </x:c>
      <x:c r="M2210" t="str">
        <x:v>Gebucht</x:v>
      </x:c>
      <x:c r="N2210" t="str">
        <x:v>ISSUER</x:v>
      </x:c>
      <x:c r="O2210" t="str">
        <x:v>REWE.Salzgitter.Ge/Salzgitter</x:v>
      </x:c>
      <x:c r="P2210" t="str">
        <x:v>VISA Debitkartenumsatz vom 15.05.2024</x:v>
      </x:c>
      <x:c r="Q2210" t="str">
        <x:v>Ausgang</x:v>
      </x:c>
      <x:c r="R2210" t="str">
        <x:v>DE96120300009005290904</x:v>
      </x:c>
      <x:c r="S2210" t="n">
        <x:v>-7.41</x:v>
      </x:c>
      <x:c r="T2210" t="str">
        <x:v>"</x:v>
      </x:c>
      <x:c r="U2210" t="str">
        <x:v>"</x:v>
      </x:c>
      <x:c r="V2210" t="str">
        <x:v>484136380365182</x:v>
      </x:c>
    </x:row>
    <x:row r="2211">
      <x:c r="A2211" t="str">
        <x:v>RAW-IMP-20260516-FULLDRAFT-002194</x:v>
      </x:c>
      <x:c r="B2211" t="str">
        <x:v>IMP-20260516-FULLDRAFT</x:v>
      </x:c>
      <x:c r="C2211" t="str">
        <x:v>KTO001</x:v>
      </x:c>
      <x:c r="D2211" t="str">
        <x:v>16-05-2026_Umsatzliste_Girokonto_DE98120300001061711675.csv</x:v>
      </x:c>
      <x:c r="E2211" t="n">
        <x:v>46163</x:v>
      </x:c>
      <x:c r="F2211" t="n">
        <x:v>2194</x:v>
      </x:c>
      <x:c r="G2211" t="str">
        <x:v>2757b94d12a8b085d90335df5b72119eef30271d7a1d3bf7305d9050078b44f5</x:v>
      </x:c>
      <x:c r="H2211" t="str">
        <x:v>neu</x:v>
      </x:c>
      <x:c r="I2211" t="str">
        <x:v>ok</x:v>
      </x:c>
      <x:c r="J2211"/>
      <x:c r="K2211" t="n">
        <x:v>45428</x:v>
      </x:c>
      <x:c r="L2211" t="n">
        <x:v>45428</x:v>
      </x:c>
      <x:c r="M2211" t="str">
        <x:v>Gebucht</x:v>
      </x:c>
      <x:c r="N2211" t="str">
        <x:v>ISSUER</x:v>
      </x:c>
      <x:c r="O2211" t="str">
        <x:v>REWE.Mehmet.Kaysal.oHG/Salzgitter</x:v>
      </x:c>
      <x:c r="P2211" t="str">
        <x:v>VISA Debitkartenumsatz vom 14.05.2024</x:v>
      </x:c>
      <x:c r="Q2211" t="str">
        <x:v>Ausgang</x:v>
      </x:c>
      <x:c r="R2211" t="str">
        <x:v>DE96120300009005290904</x:v>
      </x:c>
      <x:c r="S2211" t="n">
        <x:v>-23.12</x:v>
      </x:c>
      <x:c r="T2211" t="str">
        <x:v>"</x:v>
      </x:c>
      <x:c r="U2211" t="str">
        <x:v>"</x:v>
      </x:c>
      <x:c r="V2211" t="str">
        <x:v>484135639973143</x:v>
      </x:c>
    </x:row>
    <x:row r="2212">
      <x:c r="A2212" t="str">
        <x:v>RAW-IMP-20260516-FULLDRAFT-002195</x:v>
      </x:c>
      <x:c r="B2212" t="str">
        <x:v>IMP-20260516-FULLDRAFT</x:v>
      </x:c>
      <x:c r="C2212" t="str">
        <x:v>KTO001</x:v>
      </x:c>
      <x:c r="D2212" t="str">
        <x:v>16-05-2026_Umsatzliste_Girokonto_DE98120300001061711675.csv</x:v>
      </x:c>
      <x:c r="E2212" t="n">
        <x:v>46163</x:v>
      </x:c>
      <x:c r="F2212" t="n">
        <x:v>2195</x:v>
      </x:c>
      <x:c r="G2212" t="str">
        <x:v>7988f55dc2f93e98e98da6da5e50b158a6ffcb181b8c76f6f2c41008e4341166</x:v>
      </x:c>
      <x:c r="H2212" t="str">
        <x:v>neu</x:v>
      </x:c>
      <x:c r="I2212" t="str">
        <x:v>ok</x:v>
      </x:c>
      <x:c r="J2212"/>
      <x:c r="K2212" t="n">
        <x:v>45428</x:v>
      </x:c>
      <x:c r="L2212" t="n">
        <x:v>45428</x:v>
      </x:c>
      <x:c r="M2212" t="str">
        <x:v>Gebucht</x:v>
      </x:c>
      <x:c r="N2212" t="str">
        <x:v>Lars Kohlenberg</x:v>
      </x:c>
      <x:c r="O2212" t="str">
        <x:v>Lars Kohlenberg</x:v>
      </x:c>
      <x:c r="P2212" t="str">
        <x:v>Uebertrag</x:v>
      </x:c>
      <x:c r="Q2212" t="str">
        <x:v>Eingang</x:v>
      </x:c>
      <x:c r="R2212" t="str">
        <x:v>DE91270200001510365800</x:v>
      </x:c>
      <x:c r="S2212" t="n">
        <x:v>1000</x:v>
      </x:c>
      <x:c r="T2212" t="str">
        <x:v>"</x:v>
      </x:c>
      <x:c r="U2212" t="str">
        <x:v>"</x:v>
      </x:c>
      <x:c r="V2212" t="str">
        <x:v>"</x:v>
      </x:c>
    </x:row>
    <x:row r="2213">
      <x:c r="A2213" t="str">
        <x:v>RAW-IMP-20260516-FULLDRAFT-002196</x:v>
      </x:c>
      <x:c r="B2213" t="str">
        <x:v>IMP-20260516-FULLDRAFT</x:v>
      </x:c>
      <x:c r="C2213" t="str">
        <x:v>KTO001</x:v>
      </x:c>
      <x:c r="D2213" t="str">
        <x:v>16-05-2026_Umsatzliste_Girokonto_DE98120300001061711675.csv</x:v>
      </x:c>
      <x:c r="E2213" t="n">
        <x:v>46163</x:v>
      </x:c>
      <x:c r="F2213" t="n">
        <x:v>2196</x:v>
      </x:c>
      <x:c r="G2213" t="str">
        <x:v>4c9ba8b8be65e1d84adf7df2e33d67da7e00f6d7689b8362a10f94041f1077ec</x:v>
      </x:c>
      <x:c r="H2213" t="str">
        <x:v>neu</x:v>
      </x:c>
      <x:c r="I2213" t="str">
        <x:v>ok</x:v>
      </x:c>
      <x:c r="J2213"/>
      <x:c r="K2213" t="n">
        <x:v>45428</x:v>
      </x:c>
      <x:c r="L2213" t="n">
        <x:v>45428</x:v>
      </x:c>
      <x:c r="M2213" t="str">
        <x:v>Gebucht</x:v>
      </x:c>
      <x:c r="N2213" t="str">
        <x:v>Lars Kohlenberg</x:v>
      </x:c>
      <x:c r="O2213" t="str">
        <x:v>Drillisch Online GmbH                                                 Wilhelm-Rontgen-Strase 1-5, 63477 Maintal</x:v>
      </x:c>
      <x:c r="P2213" t="str">
        <x:v>C0851820 U629100191 B727164717 winSIM</x:v>
      </x:c>
      <x:c r="Q2213" t="str">
        <x:v>Ausgang</x:v>
      </x:c>
      <x:c r="R2213" t="str">
        <x:v>DE87300500000008996811</x:v>
      </x:c>
      <x:c r="S2213" t="n">
        <x:v>-6.99</x:v>
      </x:c>
      <x:c r="T2213" t="str">
        <x:v>DE40ZZZ00000206926</x:v>
      </x:c>
      <x:c r="U2213" t="str">
        <x:v>FB1310D094B04186E02ACE7B8C6</x:v>
      </x:c>
      <x:c r="V2213" t="str">
        <x:v>FXMIRHNVSNVTFCAU</x:v>
      </x:c>
    </x:row>
    <x:row r="2214">
      <x:c r="A2214" t="str">
        <x:v>RAW-IMP-20260516-FULLDRAFT-002197</x:v>
      </x:c>
      <x:c r="B2214" t="str">
        <x:v>IMP-20260516-FULLDRAFT</x:v>
      </x:c>
      <x:c r="C2214" t="str">
        <x:v>KTO001</x:v>
      </x:c>
      <x:c r="D2214" t="str">
        <x:v>16-05-2026_Umsatzliste_Girokonto_DE98120300001061711675.csv</x:v>
      </x:c>
      <x:c r="E2214" t="n">
        <x:v>46163</x:v>
      </x:c>
      <x:c r="F2214" t="n">
        <x:v>2197</x:v>
      </x:c>
      <x:c r="G2214" t="str">
        <x:v>69b60591128db046b402ef53a02fb869202c03922811172976e7ab92159103cc</x:v>
      </x:c>
      <x:c r="H2214" t="str">
        <x:v>neu</x:v>
      </x:c>
      <x:c r="I2214" t="str">
        <x:v>ok</x:v>
      </x:c>
      <x:c r="J2214"/>
      <x:c r="K2214" t="n">
        <x:v>45428</x:v>
      </x:c>
      <x:c r="L2214" t="n">
        <x:v>45428</x:v>
      </x:c>
      <x:c r="M2214" t="str">
        <x:v>Gebucht</x:v>
      </x:c>
      <x:c r="N2214" t="str">
        <x:v>Lars Kohlenberg</x:v>
      </x:c>
      <x:c r="O2214" t="str">
        <x:v>Drillisch Online GmbH                                                 Wilhelm-Rontgen-Strase 1-5, 63477 Maintal</x:v>
      </x:c>
      <x:c r="P2214" t="str">
        <x:v>C0851820 U630177352 B725555618 winSIM</x:v>
      </x:c>
      <x:c r="Q2214" t="str">
        <x:v>Ausgang</x:v>
      </x:c>
      <x:c r="R2214" t="str">
        <x:v>DE87300500000008996811</x:v>
      </x:c>
      <x:c r="S2214" t="n">
        <x:v>-7.06</x:v>
      </x:c>
      <x:c r="T2214" t="str">
        <x:v>DE40ZZZ00000206926</x:v>
      </x:c>
      <x:c r="U2214" t="str">
        <x:v>FB1310D094B04186E02ACE7B8C6</x:v>
      </x:c>
      <x:c r="V2214" t="str">
        <x:v>TCIFCPSSSJERMSUD</x:v>
      </x:c>
    </x:row>
    <x:row r="2215">
      <x:c r="A2215" t="str">
        <x:v>RAW-IMP-20260516-FULLDRAFT-002198</x:v>
      </x:c>
      <x:c r="B2215" t="str">
        <x:v>IMP-20260516-FULLDRAFT</x:v>
      </x:c>
      <x:c r="C2215" t="str">
        <x:v>KTO001</x:v>
      </x:c>
      <x:c r="D2215" t="str">
        <x:v>16-05-2026_Umsatzliste_Girokonto_DE98120300001061711675.csv</x:v>
      </x:c>
      <x:c r="E2215" t="n">
        <x:v>46163</x:v>
      </x:c>
      <x:c r="F2215" t="n">
        <x:v>2198</x:v>
      </x:c>
      <x:c r="G2215" t="str">
        <x:v>188c8ba24c630c3197b9eca859b5a63721a0bb1b4352920d54223271cf90c028</x:v>
      </x:c>
      <x:c r="H2215" t="str">
        <x:v>neu</x:v>
      </x:c>
      <x:c r="I2215" t="str">
        <x:v>ok</x:v>
      </x:c>
      <x:c r="J2215"/>
      <x:c r="K2215" t="n">
        <x:v>45428</x:v>
      </x:c>
      <x:c r="L2215" t="n">
        <x:v>45428</x:v>
      </x:c>
      <x:c r="M2215" t="str">
        <x:v>Gebucht</x:v>
      </x:c>
      <x:c r="N2215" t="str">
        <x:v>Lars Kohlenberg</x:v>
      </x:c>
      <x:c r="O2215" t="str">
        <x:v>Drillisch Online GmbH                                                 Wilhelm-Rontgen-Strase 1-5, 63477 Maintal</x:v>
      </x:c>
      <x:c r="P2215" t="str">
        <x:v>C0851820 U633401293 B725308103 winSIM</x:v>
      </x:c>
      <x:c r="Q2215" t="str">
        <x:v>Ausgang</x:v>
      </x:c>
      <x:c r="R2215" t="str">
        <x:v>DE87300500000008996811</x:v>
      </x:c>
      <x:c r="S2215" t="n">
        <x:v>-6.99</x:v>
      </x:c>
      <x:c r="T2215" t="str">
        <x:v>DE40ZZZ00000206926</x:v>
      </x:c>
      <x:c r="U2215" t="str">
        <x:v>FB1310D094B04186E02ACE7B8C6</x:v>
      </x:c>
      <x:c r="V2215" t="str">
        <x:v>XIRNUBQSYPEMYGBU</x:v>
      </x:c>
    </x:row>
    <x:row r="2216">
      <x:c r="A2216" t="str">
        <x:v>RAW-IMP-20260516-FULLDRAFT-002199</x:v>
      </x:c>
      <x:c r="B2216" t="str">
        <x:v>IMP-20260516-FULLDRAFT</x:v>
      </x:c>
      <x:c r="C2216" t="str">
        <x:v>KTO001</x:v>
      </x:c>
      <x:c r="D2216" t="str">
        <x:v>16-05-2026_Umsatzliste_Girokonto_DE98120300001061711675.csv</x:v>
      </x:c>
      <x:c r="E2216" t="n">
        <x:v>46163</x:v>
      </x:c>
      <x:c r="F2216" t="n">
        <x:v>2199</x:v>
      </x:c>
      <x:c r="G2216" t="str">
        <x:v>a25c7025fc7fe604140bece91bc43f56bd4889e6f89643dc46784093ab21c1f8</x:v>
      </x:c>
      <x:c r="H2216" t="str">
        <x:v>neu</x:v>
      </x:c>
      <x:c r="I2216" t="str">
        <x:v>ok</x:v>
      </x:c>
      <x:c r="J2216"/>
      <x:c r="K2216" t="n">
        <x:v>45428</x:v>
      </x:c>
      <x:c r="L2216" t="n">
        <x:v>45428</x:v>
      </x:c>
      <x:c r="M2216" t="str">
        <x:v>Gebucht</x:v>
      </x:c>
      <x:c r="N2216" t="str">
        <x:v>Lars Kohlenberg                                                       JohannesWosnitzaStr.</x:v>
      </x:c>
      <x:c r="O2216" t="str">
        <x:v>Adyen N.V.</x:v>
      </x:c>
      <x:c r="P2216" t="str">
        <x:v>GMX by LOTTO24 C98983063 T520908780175</x:v>
      </x:c>
      <x:c r="Q2216" t="str">
        <x:v>Ausgang</x:v>
      </x:c>
      <x:c r="R2216" t="str">
        <x:v>DE11120700700020000603</x:v>
      </x:c>
      <x:c r="S2216" t="n">
        <x:v>-8.14</x:v>
      </x:c>
      <x:c r="T2216" t="str">
        <x:v>NL48ZZZ342764500000</x:v>
      </x:c>
      <x:c r="U2216" t="str">
        <x:v>R372DKN5SSBXZP52</x:v>
      </x:c>
      <x:c r="V2216" t="str">
        <x:v>CLT6PVVTKVZX4RMH2C</x:v>
      </x:c>
    </x:row>
    <x:row r="2217">
      <x:c r="A2217" t="str">
        <x:v>RAW-IMP-20260516-FULLDRAFT-002200</x:v>
      </x:c>
      <x:c r="B2217" t="str">
        <x:v>IMP-20260516-FULLDRAFT</x:v>
      </x:c>
      <x:c r="C2217" t="str">
        <x:v>KTO001</x:v>
      </x:c>
      <x:c r="D2217" t="str">
        <x:v>16-05-2026_Umsatzliste_Girokonto_DE98120300001061711675.csv</x:v>
      </x:c>
      <x:c r="E2217" t="n">
        <x:v>46163</x:v>
      </x:c>
      <x:c r="F2217" t="n">
        <x:v>2200</x:v>
      </x:c>
      <x:c r="G2217" t="str">
        <x:v>419bb003f90abd3d31dfcccbf184afcf7d1d3ef51c6581fd956d3a434883ebc2</x:v>
      </x:c>
      <x:c r="H2217" t="str">
        <x:v>neu</x:v>
      </x:c>
      <x:c r="I2217" t="str">
        <x:v>ok</x:v>
      </x:c>
      <x:c r="J2217"/>
      <x:c r="K2217" t="n">
        <x:v>45426</x:v>
      </x:c>
      <x:c r="L2217" t="n">
        <x:v>45426</x:v>
      </x:c>
      <x:c r="M2217" t="str">
        <x:v>Gebucht</x:v>
      </x:c>
      <x:c r="N2217" t="str">
        <x:v>ISSUER</x:v>
      </x:c>
      <x:c r="O2217" t="str">
        <x:v>RAVENSBERG.BASECAMP/BAD.SACHSA</x:v>
      </x:c>
      <x:c r="P2217" t="str">
        <x:v>VISA Debitkartenumsatz vom 13.05.2024</x:v>
      </x:c>
      <x:c r="Q2217" t="str">
        <x:v>Ausgang</x:v>
      </x:c>
      <x:c r="R2217" t="str">
        <x:v>DE96120300009005290904</x:v>
      </x:c>
      <x:c r="S2217" t="n">
        <x:v>-112</x:v>
      </x:c>
      <x:c r="T2217" t="str">
        <x:v>"</x:v>
      </x:c>
      <x:c r="U2217" t="str">
        <x:v>"</x:v>
      </x:c>
      <x:c r="V2217" t="str">
        <x:v>484134684026486</x:v>
      </x:c>
    </x:row>
    <x:row r="2218">
      <x:c r="A2218" t="str">
        <x:v>RAW-IMP-20260516-FULLDRAFT-002201</x:v>
      </x:c>
      <x:c r="B2218" t="str">
        <x:v>IMP-20260516-FULLDRAFT</x:v>
      </x:c>
      <x:c r="C2218" t="str">
        <x:v>KTO001</x:v>
      </x:c>
      <x:c r="D2218" t="str">
        <x:v>16-05-2026_Umsatzliste_Girokonto_DE98120300001061711675.csv</x:v>
      </x:c>
      <x:c r="E2218" t="n">
        <x:v>46163</x:v>
      </x:c>
      <x:c r="F2218" t="n">
        <x:v>2201</x:v>
      </x:c>
      <x:c r="G2218" t="str">
        <x:v>c08e99190a88803557d63279dafee701f8043695bfa2c91f6cffd1f8c8cffafb</x:v>
      </x:c>
      <x:c r="H2218" t="str">
        <x:v>neu</x:v>
      </x:c>
      <x:c r="I2218" t="str">
        <x:v>ok</x:v>
      </x:c>
      <x:c r="J2218"/>
      <x:c r="K2218" t="n">
        <x:v>45425</x:v>
      </x:c>
      <x:c r="L2218" t="n">
        <x:v>45425</x:v>
      </x:c>
      <x:c r="M2218" t="str">
        <x:v>Gebucht</x:v>
      </x:c>
      <x:c r="N2218" t="str">
        <x:v>Hoche, Andre</x:v>
      </x:c>
      <x:c r="O2218" t="str">
        <x:v>Lars Kohlenberg</x:v>
      </x:c>
      <x:c r="P2218" t="str">
        <x:v>Ferienhaus - Moraira</x:v>
      </x:c>
      <x:c r="Q2218" t="str">
        <x:v>Eingang</x:v>
      </x:c>
      <x:c r="R2218" t="str">
        <x:v>DE98292500000117509418</x:v>
      </x:c>
      <x:c r="S2218" t="n">
        <x:v>2115</x:v>
      </x:c>
      <x:c r="T2218" t="str">
        <x:v>"</x:v>
      </x:c>
      <x:c r="U2218" t="str">
        <x:v>"</x:v>
      </x:c>
      <x:c r="V2218" t="str">
        <x:v>"</x:v>
      </x:c>
    </x:row>
    <x:row r="2219">
      <x:c r="A2219" t="str">
        <x:v>RAW-IMP-20260516-FULLDRAFT-002202</x:v>
      </x:c>
      <x:c r="B2219" t="str">
        <x:v>IMP-20260516-FULLDRAFT</x:v>
      </x:c>
      <x:c r="C2219" t="str">
        <x:v>KTO001</x:v>
      </x:c>
      <x:c r="D2219" t="str">
        <x:v>16-05-2026_Umsatzliste_Girokonto_DE98120300001061711675.csv</x:v>
      </x:c>
      <x:c r="E2219" t="n">
        <x:v>46163</x:v>
      </x:c>
      <x:c r="F2219" t="n">
        <x:v>2202</x:v>
      </x:c>
      <x:c r="G2219" t="str">
        <x:v>d89094d3753a18e1adc76997048cb3bbe193390f5d7cf1e6936a242c185d0949</x:v>
      </x:c>
      <x:c r="H2219" t="str">
        <x:v>neu</x:v>
      </x:c>
      <x:c r="I2219" t="str">
        <x:v>ok</x:v>
      </x:c>
      <x:c r="J2219"/>
      <x:c r="K2219" t="n">
        <x:v>45425</x:v>
      </x:c>
      <x:c r="L2219" t="n">
        <x:v>45425</x:v>
      </x:c>
      <x:c r="M2219" t="str">
        <x:v>Gebucht</x:v>
      </x:c>
      <x:c r="N2219" t="str">
        <x:v>ISSUER</x:v>
      </x:c>
      <x:c r="O2219" t="str">
        <x:v>REWE.Salzgitter.Ge/Salzgitter</x:v>
      </x:c>
      <x:c r="P2219" t="str">
        <x:v>VISA Debitkartenumsatz vom 11.05.2024</x:v>
      </x:c>
      <x:c r="Q2219" t="str">
        <x:v>Ausgang</x:v>
      </x:c>
      <x:c r="R2219" t="str">
        <x:v>DE96120300009005290904</x:v>
      </x:c>
      <x:c r="S2219" t="n">
        <x:v>-15.76</x:v>
      </x:c>
      <x:c r="T2219" t="str">
        <x:v>"</x:v>
      </x:c>
      <x:c r="U2219" t="str">
        <x:v>"</x:v>
      </x:c>
      <x:c r="V2219" t="str">
        <x:v>484132628684678</x:v>
      </x:c>
    </x:row>
    <x:row r="2220">
      <x:c r="A2220" t="str">
        <x:v>RAW-IMP-20260516-FULLDRAFT-002203</x:v>
      </x:c>
      <x:c r="B2220" t="str">
        <x:v>IMP-20260516-FULLDRAFT</x:v>
      </x:c>
      <x:c r="C2220" t="str">
        <x:v>KTO001</x:v>
      </x:c>
      <x:c r="D2220" t="str">
        <x:v>16-05-2026_Umsatzliste_Girokonto_DE98120300001061711675.csv</x:v>
      </x:c>
      <x:c r="E2220" t="n">
        <x:v>46163</x:v>
      </x:c>
      <x:c r="F2220" t="n">
        <x:v>2203</x:v>
      </x:c>
      <x:c r="G2220" t="str">
        <x:v>986ea71f9ac58360eb0c4d91b5190e57dc28db20dbf0bc97c1112ed24ffd4e8b</x:v>
      </x:c>
      <x:c r="H2220" t="str">
        <x:v>neu</x:v>
      </x:c>
      <x:c r="I2220" t="str">
        <x:v>ok</x:v>
      </x:c>
      <x:c r="J2220"/>
      <x:c r="K2220" t="n">
        <x:v>45425</x:v>
      </x:c>
      <x:c r="L2220" t="n">
        <x:v>45425</x:v>
      </x:c>
      <x:c r="M2220" t="str">
        <x:v>Gebucht</x:v>
      </x:c>
      <x:c r="N2220" t="str">
        <x:v>ISSUER</x:v>
      </x:c>
      <x:c r="O2220" t="str">
        <x:v>Globus.Baumarkt/Salzgitter</x:v>
      </x:c>
      <x:c r="P2220" t="str">
        <x:v>VISA Debitkartenumsatz vom 11.05.2024</x:v>
      </x:c>
      <x:c r="Q2220" t="str">
        <x:v>Ausgang</x:v>
      </x:c>
      <x:c r="R2220" t="str">
        <x:v>DE96120300009005290904</x:v>
      </x:c>
      <x:c r="S2220" t="n">
        <x:v>-54.32</x:v>
      </x:c>
      <x:c r="T2220" t="str">
        <x:v>"</x:v>
      </x:c>
      <x:c r="U2220" t="str">
        <x:v>"</x:v>
      </x:c>
      <x:c r="V2220" t="str">
        <x:v>484132404495429</x:v>
      </x:c>
    </x:row>
    <x:row r="2221">
      <x:c r="A2221" t="str">
        <x:v>RAW-IMP-20260516-FULLDRAFT-002204</x:v>
      </x:c>
      <x:c r="B2221" t="str">
        <x:v>IMP-20260516-FULLDRAFT</x:v>
      </x:c>
      <x:c r="C2221" t="str">
        <x:v>KTO001</x:v>
      </x:c>
      <x:c r="D2221" t="str">
        <x:v>16-05-2026_Umsatzliste_Girokonto_DE98120300001061711675.csv</x:v>
      </x:c>
      <x:c r="E2221" t="n">
        <x:v>46163</x:v>
      </x:c>
      <x:c r="F2221" t="n">
        <x:v>2204</x:v>
      </x:c>
      <x:c r="G2221" t="str">
        <x:v>c15093328e1f62a33b7607b8398bd02b5c60bc18028f0494ab8c5c60f30bde65</x:v>
      </x:c>
      <x:c r="H2221" t="str">
        <x:v>neu</x:v>
      </x:c>
      <x:c r="I2221" t="str">
        <x:v>ok</x:v>
      </x:c>
      <x:c r="J2221"/>
      <x:c r="K2221" t="n">
        <x:v>45425</x:v>
      </x:c>
      <x:c r="L2221" t="n">
        <x:v>45425</x:v>
      </x:c>
      <x:c r="M2221" t="str">
        <x:v>Gebucht</x:v>
      </x:c>
      <x:c r="N2221" t="str">
        <x:v>ISSUER</x:v>
      </x:c>
      <x:c r="O2221" t="str">
        <x:v>REWE.Salzgitter.Ge/Salzgitter</x:v>
      </x:c>
      <x:c r="P2221" t="str">
        <x:v>VISA Debitkartenumsatz vom 11.05.2024</x:v>
      </x:c>
      <x:c r="Q2221" t="str">
        <x:v>Ausgang</x:v>
      </x:c>
      <x:c r="R2221" t="str">
        <x:v>DE96120300009005290904</x:v>
      </x:c>
      <x:c r="S2221" t="n">
        <x:v>-12.4</x:v>
      </x:c>
      <x:c r="T2221" t="str">
        <x:v>"</x:v>
      </x:c>
      <x:c r="U2221" t="str">
        <x:v>"</x:v>
      </x:c>
      <x:c r="V2221" t="str">
        <x:v>484132415952617</x:v>
      </x:c>
    </x:row>
    <x:row r="2222">
      <x:c r="A2222" t="str">
        <x:v>RAW-IMP-20260516-FULLDRAFT-002205</x:v>
      </x:c>
      <x:c r="B2222" t="str">
        <x:v>IMP-20260516-FULLDRAFT</x:v>
      </x:c>
      <x:c r="C2222" t="str">
        <x:v>KTO001</x:v>
      </x:c>
      <x:c r="D2222" t="str">
        <x:v>16-05-2026_Umsatzliste_Girokonto_DE98120300001061711675.csv</x:v>
      </x:c>
      <x:c r="E2222" t="n">
        <x:v>46163</x:v>
      </x:c>
      <x:c r="F2222" t="n">
        <x:v>2205</x:v>
      </x:c>
      <x:c r="G2222" t="str">
        <x:v>9ace82b18c9d08a8b6ea2b5ccdc1d0ff1556a5c410318987b15f3b1e86ed569f</x:v>
      </x:c>
      <x:c r="H2222" t="str">
        <x:v>neu</x:v>
      </x:c>
      <x:c r="I2222" t="str">
        <x:v>ok</x:v>
      </x:c>
      <x:c r="J2222"/>
      <x:c r="K2222" t="n">
        <x:v>45425</x:v>
      </x:c>
      <x:c r="L2222" t="n">
        <x:v>45425</x:v>
      </x:c>
      <x:c r="M2222" t="str">
        <x:v>Gebucht</x:v>
      </x:c>
      <x:c r="N2222" t="str">
        <x:v>ISSUER</x:v>
      </x:c>
      <x:c r="O2222" t="str">
        <x:v>Hagebaumarkt.Salzgitter/Salzgitter</x:v>
      </x:c>
      <x:c r="P2222" t="str">
        <x:v>VISA Debitkartenumsatz vom 11.05.2024</x:v>
      </x:c>
      <x:c r="Q2222" t="str">
        <x:v>Ausgang</x:v>
      </x:c>
      <x:c r="R2222" t="str">
        <x:v>DE96120300009005290904</x:v>
      </x:c>
      <x:c r="S2222" t="n">
        <x:v>-69.74</x:v>
      </x:c>
      <x:c r="T2222" t="str">
        <x:v>"</x:v>
      </x:c>
      <x:c r="U2222" t="str">
        <x:v>"</x:v>
      </x:c>
      <x:c r="V2222" t="str">
        <x:v>484132442691980</x:v>
      </x:c>
    </x:row>
    <x:row r="2223">
      <x:c r="A2223" t="str">
        <x:v>RAW-IMP-20260516-FULLDRAFT-002206</x:v>
      </x:c>
      <x:c r="B2223" t="str">
        <x:v>IMP-20260516-FULLDRAFT</x:v>
      </x:c>
      <x:c r="C2223" t="str">
        <x:v>KTO001</x:v>
      </x:c>
      <x:c r="D2223" t="str">
        <x:v>16-05-2026_Umsatzliste_Girokonto_DE98120300001061711675.csv</x:v>
      </x:c>
      <x:c r="E2223" t="n">
        <x:v>46163</x:v>
      </x:c>
      <x:c r="F2223" t="n">
        <x:v>2206</x:v>
      </x:c>
      <x:c r="G2223" t="str">
        <x:v>496c4215852d615e1f1147cbb612912082e41702773fe0fe6bb139ebfcf4a458</x:v>
      </x:c>
      <x:c r="H2223" t="str">
        <x:v>neu</x:v>
      </x:c>
      <x:c r="I2223" t="str">
        <x:v>ok</x:v>
      </x:c>
      <x:c r="J2223"/>
      <x:c r="K2223" t="n">
        <x:v>45425</x:v>
      </x:c>
      <x:c r="L2223" t="n">
        <x:v>45425</x:v>
      </x:c>
      <x:c r="M2223" t="str">
        <x:v>Gebucht</x:v>
      </x:c>
      <x:c r="N2223" t="str">
        <x:v>ISSUER</x:v>
      </x:c>
      <x:c r="O2223" t="str">
        <x:v>Globus.Baumarkt/Salzgitter</x:v>
      </x:c>
      <x:c r="P2223" t="str">
        <x:v>VISA Debitkartenumsatz vom 11.05.2024</x:v>
      </x:c>
      <x:c r="Q2223" t="str">
        <x:v>Ausgang</x:v>
      </x:c>
      <x:c r="R2223" t="str">
        <x:v>DE96120300009005290904</x:v>
      </x:c>
      <x:c r="S2223" t="n">
        <x:v>-16.98</x:v>
      </x:c>
      <x:c r="T2223" t="str">
        <x:v>"</x:v>
      </x:c>
      <x:c r="U2223" t="str">
        <x:v>"</x:v>
      </x:c>
      <x:c r="V2223" t="str">
        <x:v>484132452068563</x:v>
      </x:c>
    </x:row>
    <x:row r="2224">
      <x:c r="A2224" t="str">
        <x:v>RAW-IMP-20260516-FULLDRAFT-002207</x:v>
      </x:c>
      <x:c r="B2224" t="str">
        <x:v>IMP-20260516-FULLDRAFT</x:v>
      </x:c>
      <x:c r="C2224" t="str">
        <x:v>KTO001</x:v>
      </x:c>
      <x:c r="D2224" t="str">
        <x:v>16-05-2026_Umsatzliste_Girokonto_DE98120300001061711675.csv</x:v>
      </x:c>
      <x:c r="E2224" t="n">
        <x:v>46163</x:v>
      </x:c>
      <x:c r="F2224" t="n">
        <x:v>2207</x:v>
      </x:c>
      <x:c r="G2224" t="str">
        <x:v>c536feb787d8a632f781498f3e9a8fee98fc8542f8517452ca8432af7c457216</x:v>
      </x:c>
      <x:c r="H2224" t="str">
        <x:v>neu</x:v>
      </x:c>
      <x:c r="I2224" t="str">
        <x:v>ok</x:v>
      </x:c>
      <x:c r="J2224"/>
      <x:c r="K2224" t="n">
        <x:v>45425</x:v>
      </x:c>
      <x:c r="L2224" t="n">
        <x:v>45425</x:v>
      </x:c>
      <x:c r="M2224" t="str">
        <x:v>Gebucht</x:v>
      </x:c>
      <x:c r="N2224" t="str">
        <x:v>ISSUER</x:v>
      </x:c>
      <x:c r="O2224" t="str">
        <x:v>PAYBYPHONE.DEUTSCHLAND/ERLANGEN</x:v>
      </x:c>
      <x:c r="P2224" t="str">
        <x:v>VISA Debitkartenumsatz vom 10.05.2024</x:v>
      </x:c>
      <x:c r="Q2224" t="str">
        <x:v>Ausgang</x:v>
      </x:c>
      <x:c r="R2224" t="str">
        <x:v>DE96120300009005290904</x:v>
      </x:c>
      <x:c r="S2224" t="n">
        <x:v>-2.07</x:v>
      </x:c>
      <x:c r="T2224" t="str">
        <x:v>"</x:v>
      </x:c>
      <x:c r="U2224" t="str">
        <x:v>"</x:v>
      </x:c>
      <x:c r="V2224" t="str">
        <x:v>484131504892670</x:v>
      </x:c>
    </x:row>
    <x:row r="2225">
      <x:c r="A2225" t="str">
        <x:v>RAW-IMP-20260516-FULLDRAFT-002208</x:v>
      </x:c>
      <x:c r="B2225" t="str">
        <x:v>IMP-20260516-FULLDRAFT</x:v>
      </x:c>
      <x:c r="C2225" t="str">
        <x:v>KTO001</x:v>
      </x:c>
      <x:c r="D2225" t="str">
        <x:v>16-05-2026_Umsatzliste_Girokonto_DE98120300001061711675.csv</x:v>
      </x:c>
      <x:c r="E2225" t="n">
        <x:v>46163</x:v>
      </x:c>
      <x:c r="F2225" t="n">
        <x:v>2208</x:v>
      </x:c>
      <x:c r="G2225" t="str">
        <x:v>17886277615449caf532d50f51eefa0109b2410de3be331d7d39009e4bf2c5f9</x:v>
      </x:c>
      <x:c r="H2225" t="str">
        <x:v>neu</x:v>
      </x:c>
      <x:c r="I2225" t="str">
        <x:v>ok</x:v>
      </x:c>
      <x:c r="J2225"/>
      <x:c r="K2225" t="n">
        <x:v>45425</x:v>
      </x:c>
      <x:c r="L2225" t="n">
        <x:v>45425</x:v>
      </x:c>
      <x:c r="M2225" t="str">
        <x:v>Gebucht</x:v>
      </x:c>
      <x:c r="N2225" t="str">
        <x:v>Globus.Baumarkt/Salzgitter</x:v>
      </x:c>
      <x:c r="O2225" t="str">
        <x:v>NOTPROVIDED</x:v>
      </x:c>
      <x:c r="P2225" t="str">
        <x:v>20240512144854 Globus.Baumarkt DE</x:v>
      </x:c>
      <x:c r="Q2225" t="str">
        <x:v>Eingang</x:v>
      </x:c>
      <x:c r="R2225" t="str">
        <x:v>DE96120300009005290904</x:v>
      </x:c>
      <x:c r="S2225" t="n">
        <x:v>16.98</x:v>
      </x:c>
      <x:c r="T2225" t="str">
        <x:v>"</x:v>
      </x:c>
      <x:c r="U2225" t="str">
        <x:v>"</x:v>
      </x:c>
      <x:c r="V2225" t="str">
        <x:v>634133473628290</x:v>
      </x:c>
    </x:row>
    <x:row r="2226">
      <x:c r="A2226" t="str">
        <x:v>RAW-IMP-20260516-FULLDRAFT-002209</x:v>
      </x:c>
      <x:c r="B2226" t="str">
        <x:v>IMP-20260516-FULLDRAFT</x:v>
      </x:c>
      <x:c r="C2226" t="str">
        <x:v>KTO001</x:v>
      </x:c>
      <x:c r="D2226" t="str">
        <x:v>16-05-2026_Umsatzliste_Girokonto_DE98120300001061711675.csv</x:v>
      </x:c>
      <x:c r="E2226" t="n">
        <x:v>46163</x:v>
      </x:c>
      <x:c r="F2226" t="n">
        <x:v>2209</x:v>
      </x:c>
      <x:c r="G2226" t="str">
        <x:v>8b968b9c386c359a64ac6702d2f39bd73e063a3da2aa41e8be1b0fae77815502</x:v>
      </x:c>
      <x:c r="H2226" t="str">
        <x:v>neu</x:v>
      </x:c>
      <x:c r="I2226" t="str">
        <x:v>ok</x:v>
      </x:c>
      <x:c r="J2226"/>
      <x:c r="K2226" t="n">
        <x:v>45422</x:v>
      </x:c>
      <x:c r="L2226" t="n">
        <x:v>45421</x:v>
      </x:c>
      <x:c r="M2226" t="str">
        <x:v>Gebucht</x:v>
      </x:c>
      <x:c r="N2226" t="str">
        <x:v>ISSUER</x:v>
      </x:c>
      <x:c r="O2226" t="str">
        <x:v>REWE.Salzgitter.Ge/Salzgitter</x:v>
      </x:c>
      <x:c r="P2226" t="str">
        <x:v>VISA Debitkartenumsatz vom 08.05.2024</x:v>
      </x:c>
      <x:c r="Q2226" t="str">
        <x:v>Ausgang</x:v>
      </x:c>
      <x:c r="R2226" t="str">
        <x:v>DE96120300009005290904</x:v>
      </x:c>
      <x:c r="S2226" t="n">
        <x:v>-10.92</x:v>
      </x:c>
      <x:c r="T2226" t="str">
        <x:v>"</x:v>
      </x:c>
      <x:c r="U2226" t="str">
        <x:v>"</x:v>
      </x:c>
      <x:c r="V2226" t="str">
        <x:v>484129675446761</x:v>
      </x:c>
    </x:row>
    <x:row r="2227">
      <x:c r="A2227" t="str">
        <x:v>RAW-IMP-20260516-FULLDRAFT-002210</x:v>
      </x:c>
      <x:c r="B2227" t="str">
        <x:v>IMP-20260516-FULLDRAFT</x:v>
      </x:c>
      <x:c r="C2227" t="str">
        <x:v>KTO001</x:v>
      </x:c>
      <x:c r="D2227" t="str">
        <x:v>16-05-2026_Umsatzliste_Girokonto_DE98120300001061711675.csv</x:v>
      </x:c>
      <x:c r="E2227" t="n">
        <x:v>46163</x:v>
      </x:c>
      <x:c r="F2227" t="n">
        <x:v>2210</x:v>
      </x:c>
      <x:c r="G2227" t="str">
        <x:v>4fdd06874d134f0e126c8180e5848a80ae9e520b3485e29229b857428071e17b</x:v>
      </x:c>
      <x:c r="H2227" t="str">
        <x:v>neu</x:v>
      </x:c>
      <x:c r="I2227" t="str">
        <x:v>ok</x:v>
      </x:c>
      <x:c r="J2227"/>
      <x:c r="K2227" t="n">
        <x:v>45422</x:v>
      </x:c>
      <x:c r="L2227" t="n">
        <x:v>45422</x:v>
      </x:c>
      <x:c r="M2227" t="str">
        <x:v>Gebucht</x:v>
      </x:c>
      <x:c r="N2227" t="str">
        <x:v>Lars Kohlenberg                                                       Johannes-Wosnitza-Str. 8 38229 Salzgitter</x:v>
      </x:c>
      <x:c r="O2227" t="str">
        <x:v>1+1 Mail + Media GmbH                                                 Elgendorfer Str. 57, 56410 Montabaur</x:v>
      </x:c>
      <x:c r="P2227" t="str">
        <x:v>GMX / WEB.DE / KD-Nr. K7440512/ RG-Nr. 201537353213</x:v>
      </x:c>
      <x:c r="Q2227" t="str">
        <x:v>Ausgang</x:v>
      </x:c>
      <x:c r="R2227" t="str">
        <x:v>DE76700800000881679702</x:v>
      </x:c>
      <x:c r="S2227" t="n">
        <x:v>-5.99</x:v>
      </x:c>
      <x:c r="T2227" t="str">
        <x:v>DE07ZZZ00000569718</x:v>
      </x:c>
      <x:c r="U2227" t="str">
        <x:v>0090001393062</x:v>
      </x:c>
      <x:c r="V2227" t="str">
        <x:v>006111668476</x:v>
      </x:c>
    </x:row>
    <x:row r="2228">
      <x:c r="A2228" t="str">
        <x:v>RAW-IMP-20260516-FULLDRAFT-002211</x:v>
      </x:c>
      <x:c r="B2228" t="str">
        <x:v>IMP-20260516-FULLDRAFT</x:v>
      </x:c>
      <x:c r="C2228" t="str">
        <x:v>KTO001</x:v>
      </x:c>
      <x:c r="D2228" t="str">
        <x:v>16-05-2026_Umsatzliste_Girokonto_DE98120300001061711675.csv</x:v>
      </x:c>
      <x:c r="E2228" t="n">
        <x:v>46163</x:v>
      </x:c>
      <x:c r="F2228" t="n">
        <x:v>2211</x:v>
      </x:c>
      <x:c r="G2228" t="str">
        <x:v>f017346cfbada518e7687504513b84d960995de43e5ff4d7dcca78818a49d9ed</x:v>
      </x:c>
      <x:c r="H2228" t="str">
        <x:v>neu</x:v>
      </x:c>
      <x:c r="I2228" t="str">
        <x:v>ok</x:v>
      </x:c>
      <x:c r="J2228"/>
      <x:c r="K2228" t="n">
        <x:v>45420</x:v>
      </x:c>
      <x:c r="L2228" t="n">
        <x:v>45420</x:v>
      </x:c>
      <x:c r="M2228" t="str">
        <x:v>Gebucht</x:v>
      </x:c>
      <x:c r="N2228" t="str">
        <x:v>ISSUER</x:v>
      </x:c>
      <x:c r="O2228" t="str">
        <x:v>C1.CINEMA.BRAUNSCHWEIG/BRAUNSCHWEIG</x:v>
      </x:c>
      <x:c r="P2228" t="str">
        <x:v>VISA Debitkartenumsatz vom 07.05.2024</x:v>
      </x:c>
      <x:c r="Q2228" t="str">
        <x:v>Ausgang</x:v>
      </x:c>
      <x:c r="R2228" t="str">
        <x:v>DE96120300009005290904</x:v>
      </x:c>
      <x:c r="S2228" t="n">
        <x:v>-3</x:v>
      </x:c>
      <x:c r="T2228" t="str">
        <x:v>"</x:v>
      </x:c>
      <x:c r="U2228" t="str">
        <x:v>"</x:v>
      </x:c>
      <x:c r="V2228" t="str">
        <x:v>484128412012702</x:v>
      </x:c>
    </x:row>
    <x:row r="2229">
      <x:c r="A2229" t="str">
        <x:v>RAW-IMP-20260516-FULLDRAFT-002212</x:v>
      </x:c>
      <x:c r="B2229" t="str">
        <x:v>IMP-20260516-FULLDRAFT</x:v>
      </x:c>
      <x:c r="C2229" t="str">
        <x:v>KTO001</x:v>
      </x:c>
      <x:c r="D2229" t="str">
        <x:v>16-05-2026_Umsatzliste_Girokonto_DE98120300001061711675.csv</x:v>
      </x:c>
      <x:c r="E2229" t="n">
        <x:v>46163</x:v>
      </x:c>
      <x:c r="F2229" t="n">
        <x:v>2212</x:v>
      </x:c>
      <x:c r="G2229" t="str">
        <x:v>b2ced834bb13d870947b3c1b231592d8435b3ab845f7d205b91fda8bab841359</x:v>
      </x:c>
      <x:c r="H2229" t="str">
        <x:v>neu</x:v>
      </x:c>
      <x:c r="I2229" t="str">
        <x:v>ok</x:v>
      </x:c>
      <x:c r="J2229"/>
      <x:c r="K2229" t="n">
        <x:v>45420</x:v>
      </x:c>
      <x:c r="L2229" t="n">
        <x:v>45420</x:v>
      </x:c>
      <x:c r="M2229" t="str">
        <x:v>Gebucht</x:v>
      </x:c>
      <x:c r="N2229" t="str">
        <x:v>ISSUER</x:v>
      </x:c>
      <x:c r="O2229" t="str">
        <x:v>REWE.Salzgitter.Ge/Salzgitter</x:v>
      </x:c>
      <x:c r="P2229" t="str">
        <x:v>VISA Debitkartenumsatz vom 07.05.2024</x:v>
      </x:c>
      <x:c r="Q2229" t="str">
        <x:v>Ausgang</x:v>
      </x:c>
      <x:c r="R2229" t="str">
        <x:v>DE96120300009005290904</x:v>
      </x:c>
      <x:c r="S2229" t="n">
        <x:v>-2.99</x:v>
      </x:c>
      <x:c r="T2229" t="str">
        <x:v>"</x:v>
      </x:c>
      <x:c r="U2229" t="str">
        <x:v>"</x:v>
      </x:c>
      <x:c r="V2229" t="str">
        <x:v>484128495139849</x:v>
      </x:c>
    </x:row>
    <x:row r="2230">
      <x:c r="A2230" t="str">
        <x:v>RAW-IMP-20260516-FULLDRAFT-002213</x:v>
      </x:c>
      <x:c r="B2230" t="str">
        <x:v>IMP-20260516-FULLDRAFT</x:v>
      </x:c>
      <x:c r="C2230" t="str">
        <x:v>KTO001</x:v>
      </x:c>
      <x:c r="D2230" t="str">
        <x:v>16-05-2026_Umsatzliste_Girokonto_DE98120300001061711675.csv</x:v>
      </x:c>
      <x:c r="E2230" t="n">
        <x:v>46163</x:v>
      </x:c>
      <x:c r="F2230" t="n">
        <x:v>2213</x:v>
      </x:c>
      <x:c r="G2230" t="str">
        <x:v>d25d94303956f748cee8e732533054aa81761ca3ed8c3f5f10da18cebbc45176</x:v>
      </x:c>
      <x:c r="H2230" t="str">
        <x:v>neu</x:v>
      </x:c>
      <x:c r="I2230" t="str">
        <x:v>ok</x:v>
      </x:c>
      <x:c r="J2230"/>
      <x:c r="K2230" t="n">
        <x:v>45420</x:v>
      </x:c>
      <x:c r="L2230" t="n">
        <x:v>45420</x:v>
      </x:c>
      <x:c r="M2230" t="str">
        <x:v>Gebucht</x:v>
      </x:c>
      <x:c r="N2230" t="str">
        <x:v>ISSUER</x:v>
      </x:c>
      <x:c r="O2230" t="str">
        <x:v>Vorwerk.Deutschland.St/Wuppertal</x:v>
      </x:c>
      <x:c r="P2230" t="str">
        <x:v>VISA Debitkartenumsatz vom 07.05.2024</x:v>
      </x:c>
      <x:c r="Q2230" t="str">
        <x:v>Ausgang</x:v>
      </x:c>
      <x:c r="R2230" t="str">
        <x:v>DE96120300009005290904</x:v>
      </x:c>
      <x:c r="S2230" t="n">
        <x:v>-59</x:v>
      </x:c>
      <x:c r="T2230" t="str">
        <x:v>"</x:v>
      </x:c>
      <x:c r="U2230" t="str">
        <x:v>"</x:v>
      </x:c>
      <x:c r="V2230" t="str">
        <x:v>484128404751458</x:v>
      </x:c>
    </x:row>
    <x:row r="2231">
      <x:c r="A2231" t="str">
        <x:v>RAW-IMP-20260516-FULLDRAFT-002214</x:v>
      </x:c>
      <x:c r="B2231" t="str">
        <x:v>IMP-20260516-FULLDRAFT</x:v>
      </x:c>
      <x:c r="C2231" t="str">
        <x:v>KTO001</x:v>
      </x:c>
      <x:c r="D2231" t="str">
        <x:v>16-05-2026_Umsatzliste_Girokonto_DE98120300001061711675.csv</x:v>
      </x:c>
      <x:c r="E2231" t="n">
        <x:v>46163</x:v>
      </x:c>
      <x:c r="F2231" t="n">
        <x:v>2214</x:v>
      </x:c>
      <x:c r="G2231" t="str">
        <x:v>856a30015428132d7286d25cd1550ca793b1effc0cebecfc3c8900d8e06acc49</x:v>
      </x:c>
      <x:c r="H2231" t="str">
        <x:v>neu</x:v>
      </x:c>
      <x:c r="I2231" t="str">
        <x:v>ok</x:v>
      </x:c>
      <x:c r="J2231"/>
      <x:c r="K2231" t="n">
        <x:v>45419</x:v>
      </x:c>
      <x:c r="L2231" t="n">
        <x:v>45419</x:v>
      </x:c>
      <x:c r="M2231" t="str">
        <x:v>Gebucht</x:v>
      </x:c>
      <x:c r="N2231" t="str">
        <x:v>ISSUER</x:v>
      </x:c>
      <x:c r="O2231" t="str">
        <x:v>REWE.Salzgitter.Ge/Salzgitter</x:v>
      </x:c>
      <x:c r="P2231" t="str">
        <x:v>VISA Debitkartenumsatz vom 06.05.2024</x:v>
      </x:c>
      <x:c r="Q2231" t="str">
        <x:v>Ausgang</x:v>
      </x:c>
      <x:c r="R2231" t="str">
        <x:v>DE96120300009005290904</x:v>
      </x:c>
      <x:c r="S2231" t="n">
        <x:v>-6.17</x:v>
      </x:c>
      <x:c r="T2231" t="str">
        <x:v>"</x:v>
      </x:c>
      <x:c r="U2231" t="str">
        <x:v>"</x:v>
      </x:c>
      <x:c r="V2231" t="str">
        <x:v>484127574090919</x:v>
      </x:c>
    </x:row>
    <x:row r="2232">
      <x:c r="A2232" t="str">
        <x:v>RAW-IMP-20260516-FULLDRAFT-002215</x:v>
      </x:c>
      <x:c r="B2232" t="str">
        <x:v>IMP-20260516-FULLDRAFT</x:v>
      </x:c>
      <x:c r="C2232" t="str">
        <x:v>KTO001</x:v>
      </x:c>
      <x:c r="D2232" t="str">
        <x:v>16-05-2026_Umsatzliste_Girokonto_DE98120300001061711675.csv</x:v>
      </x:c>
      <x:c r="E2232" t="n">
        <x:v>46163</x:v>
      </x:c>
      <x:c r="F2232" t="n">
        <x:v>2215</x:v>
      </x:c>
      <x:c r="G2232" t="str">
        <x:v>42b8d1833de6e0c99412bb548c0a8ea2527179d3026a61f5aab77a634e020e04</x:v>
      </x:c>
      <x:c r="H2232" t="str">
        <x:v>neu</x:v>
      </x:c>
      <x:c r="I2232" t="str">
        <x:v>ok</x:v>
      </x:c>
      <x:c r="J2232"/>
      <x:c r="K2232" t="n">
        <x:v>45419</x:v>
      </x:c>
      <x:c r="L2232" t="n">
        <x:v>45419</x:v>
      </x:c>
      <x:c r="M2232" t="str">
        <x:v>Gebucht</x:v>
      </x:c>
      <x:c r="N2232" t="str">
        <x:v>Lars Kohlenberg                                                       Johannes-Wosnitza-Str. 8</x:v>
      </x:c>
      <x:c r="O2232" t="str">
        <x:v>Telekom Deutschland GmbH                                              Landgrabenweg 151</x:v>
      </x:c>
      <x:c r="P2232" t="str">
        <x:v>Festnetz Vertragskonto 4763666565 RG 7578674757/25.04.2024</x:v>
      </x:c>
      <x:c r="Q2232" t="str">
        <x:v>Ausgang</x:v>
      </x:c>
      <x:c r="R2232" t="str">
        <x:v>DE08250100300000289304</x:v>
      </x:c>
      <x:c r="S2232" t="n">
        <x:v>-61.94</x:v>
      </x:c>
      <x:c r="T2232" t="str">
        <x:v>DE93ZZZ00000078611</x:v>
      </x:c>
      <x:c r="U2232" t="str">
        <x:v>DE000201000200000000000000012966156</x:v>
      </x:c>
      <x:c r="V2232" t="str">
        <x:v>Zahlbeleg 341297703669</x:v>
      </x:c>
    </x:row>
    <x:row r="2233">
      <x:c r="A2233" t="str">
        <x:v>RAW-IMP-20260516-FULLDRAFT-002216</x:v>
      </x:c>
      <x:c r="B2233" t="str">
        <x:v>IMP-20260516-FULLDRAFT</x:v>
      </x:c>
      <x:c r="C2233" t="str">
        <x:v>KTO001</x:v>
      </x:c>
      <x:c r="D2233" t="str">
        <x:v>16-05-2026_Umsatzliste_Girokonto_DE98120300001061711675.csv</x:v>
      </x:c>
      <x:c r="E2233" t="n">
        <x:v>46163</x:v>
      </x:c>
      <x:c r="F2233" t="n">
        <x:v>2216</x:v>
      </x:c>
      <x:c r="G2233" t="str">
        <x:v>5100e5187b3a2be84b8885577651d6eb3dd165a9a122d5480533f97cd3c60061</x:v>
      </x:c>
      <x:c r="H2233" t="str">
        <x:v>neu</x:v>
      </x:c>
      <x:c r="I2233" t="str">
        <x:v>ok</x:v>
      </x:c>
      <x:c r="J2233"/>
      <x:c r="K2233" t="n">
        <x:v>45418</x:v>
      </x:c>
      <x:c r="L2233" t="n">
        <x:v>45418</x:v>
      </x:c>
      <x:c r="M2233" t="str">
        <x:v>Gebucht</x:v>
      </x:c>
      <x:c r="N2233" t="str">
        <x:v>ISSUER</x:v>
      </x:c>
      <x:c r="O2233" t="str">
        <x:v>Stadtbad.Salzgitter.Leb/Salzgitter</x:v>
      </x:c>
      <x:c r="P2233" t="str">
        <x:v>VISA Debitkartenumsatz vom 05.05.2024</x:v>
      </x:c>
      <x:c r="Q2233" t="str">
        <x:v>Ausgang</x:v>
      </x:c>
      <x:c r="R2233" t="str">
        <x:v>DE96120300009005290904</x:v>
      </x:c>
      <x:c r="S2233" t="n">
        <x:v>-21.1</x:v>
      </x:c>
      <x:c r="T2233" t="str">
        <x:v>"</x:v>
      </x:c>
      <x:c r="U2233" t="str">
        <x:v>"</x:v>
      </x:c>
      <x:c r="V2233" t="str">
        <x:v>484126318952483</x:v>
      </x:c>
    </x:row>
    <x:row r="2234">
      <x:c r="A2234" t="str">
        <x:v>RAW-IMP-20260516-FULLDRAFT-002217</x:v>
      </x:c>
      <x:c r="B2234" t="str">
        <x:v>IMP-20260516-FULLDRAFT</x:v>
      </x:c>
      <x:c r="C2234" t="str">
        <x:v>KTO001</x:v>
      </x:c>
      <x:c r="D2234" t="str">
        <x:v>16-05-2026_Umsatzliste_Girokonto_DE98120300001061711675.csv</x:v>
      </x:c>
      <x:c r="E2234" t="n">
        <x:v>46163</x:v>
      </x:c>
      <x:c r="F2234" t="n">
        <x:v>2217</x:v>
      </x:c>
      <x:c r="G2234" t="str">
        <x:v>a51d2fe0e075bf4a9a4954b66ffff54bc6ef0a174c2281a74abd56707b8d01b1</x:v>
      </x:c>
      <x:c r="H2234" t="str">
        <x:v>neu</x:v>
      </x:c>
      <x:c r="I2234" t="str">
        <x:v>ok</x:v>
      </x:c>
      <x:c r="J2234"/>
      <x:c r="K2234" t="n">
        <x:v>45418</x:v>
      </x:c>
      <x:c r="L2234" t="n">
        <x:v>45418</x:v>
      </x:c>
      <x:c r="M2234" t="str">
        <x:v>Gebucht</x:v>
      </x:c>
      <x:c r="N2234" t="str">
        <x:v>ISSUER</x:v>
      </x:c>
      <x:c r="O2234" t="str">
        <x:v>Lidl.sagt.Danke/Salzgitter</x:v>
      </x:c>
      <x:c r="P2234" t="str">
        <x:v>VISA Debitkartenumsatz vom 03.05.2024</x:v>
      </x:c>
      <x:c r="Q2234" t="str">
        <x:v>Ausgang</x:v>
      </x:c>
      <x:c r="R2234" t="str">
        <x:v>DE96120300009005290904</x:v>
      </x:c>
      <x:c r="S2234" t="n">
        <x:v>-136.52</x:v>
      </x:c>
      <x:c r="T2234" t="str">
        <x:v>"</x:v>
      </x:c>
      <x:c r="U2234" t="str">
        <x:v>"</x:v>
      </x:c>
      <x:c r="V2234" t="str">
        <x:v>484124591705862</x:v>
      </x:c>
    </x:row>
    <x:row r="2235">
      <x:c r="A2235" t="str">
        <x:v>RAW-IMP-20260516-FULLDRAFT-002218</x:v>
      </x:c>
      <x:c r="B2235" t="str">
        <x:v>IMP-20260516-FULLDRAFT</x:v>
      </x:c>
      <x:c r="C2235" t="str">
        <x:v>KTO001</x:v>
      </x:c>
      <x:c r="D2235" t="str">
        <x:v>16-05-2026_Umsatzliste_Girokonto_DE98120300001061711675.csv</x:v>
      </x:c>
      <x:c r="E2235" t="n">
        <x:v>46163</x:v>
      </x:c>
      <x:c r="F2235" t="n">
        <x:v>2218</x:v>
      </x:c>
      <x:c r="G2235" t="str">
        <x:v>5293379405433cb587465b84590bdb3c54a9b7611183452a7507998335d02278</x:v>
      </x:c>
      <x:c r="H2235" t="str">
        <x:v>neu</x:v>
      </x:c>
      <x:c r="I2235" t="str">
        <x:v>ok</x:v>
      </x:c>
      <x:c r="J2235"/>
      <x:c r="K2235" t="n">
        <x:v>45418</x:v>
      </x:c>
      <x:c r="L2235" t="n">
        <x:v>45418</x:v>
      </x:c>
      <x:c r="M2235" t="str">
        <x:v>Gebucht</x:v>
      </x:c>
      <x:c r="N2235" t="str">
        <x:v>ISSUER</x:v>
      </x:c>
      <x:c r="O2235" t="str">
        <x:v>REWE.Acar.oHG/Salzgitter</x:v>
      </x:c>
      <x:c r="P2235" t="str">
        <x:v>VISA Debitkartenumsatz vom 04.05.2024</x:v>
      </x:c>
      <x:c r="Q2235" t="str">
        <x:v>Ausgang</x:v>
      </x:c>
      <x:c r="R2235" t="str">
        <x:v>DE96120300009005290904</x:v>
      </x:c>
      <x:c r="S2235" t="n">
        <x:v>-53.96</x:v>
      </x:c>
      <x:c r="T2235" t="str">
        <x:v>"</x:v>
      </x:c>
      <x:c r="U2235" t="str">
        <x:v>"</x:v>
      </x:c>
      <x:c r="V2235" t="str">
        <x:v>484125397851391</x:v>
      </x:c>
    </x:row>
    <x:row r="2236">
      <x:c r="A2236" t="str">
        <x:v>RAW-IMP-20260516-FULLDRAFT-002219</x:v>
      </x:c>
      <x:c r="B2236" t="str">
        <x:v>IMP-20260516-FULLDRAFT</x:v>
      </x:c>
      <x:c r="C2236" t="str">
        <x:v>KTO001</x:v>
      </x:c>
      <x:c r="D2236" t="str">
        <x:v>16-05-2026_Umsatzliste_Girokonto_DE98120300001061711675.csv</x:v>
      </x:c>
      <x:c r="E2236" t="n">
        <x:v>46163</x:v>
      </x:c>
      <x:c r="F2236" t="n">
        <x:v>2219</x:v>
      </x:c>
      <x:c r="G2236" t="str">
        <x:v>0648c43539cb4701cfd399b5c240983256077475e5f45b213bc24881ecda4537</x:v>
      </x:c>
      <x:c r="H2236" t="str">
        <x:v>neu</x:v>
      </x:c>
      <x:c r="I2236" t="str">
        <x:v>ok</x:v>
      </x:c>
      <x:c r="J2236"/>
      <x:c r="K2236" t="n">
        <x:v>45418</x:v>
      </x:c>
      <x:c r="L2236" t="n">
        <x:v>45418</x:v>
      </x:c>
      <x:c r="M2236" t="str">
        <x:v>Gebucht</x:v>
      </x:c>
      <x:c r="N2236" t="str">
        <x:v>ISSUER</x:v>
      </x:c>
      <x:c r="O2236" t="str">
        <x:v>E.CENTER.3375/SALZGITTER</x:v>
      </x:c>
      <x:c r="P2236" t="str">
        <x:v>VISA Debitkartenumsatz vom 03.05.2024</x:v>
      </x:c>
      <x:c r="Q2236" t="str">
        <x:v>Ausgang</x:v>
      </x:c>
      <x:c r="R2236" t="str">
        <x:v>DE96120300009005290904</x:v>
      </x:c>
      <x:c r="S2236" t="n">
        <x:v>-32.97</x:v>
      </x:c>
      <x:c r="T2236" t="str">
        <x:v>"</x:v>
      </x:c>
      <x:c r="U2236" t="str">
        <x:v>"</x:v>
      </x:c>
      <x:c r="V2236" t="str">
        <x:v>484124573501892</x:v>
      </x:c>
    </x:row>
    <x:row r="2237">
      <x:c r="A2237" t="str">
        <x:v>RAW-IMP-20260516-FULLDRAFT-002220</x:v>
      </x:c>
      <x:c r="B2237" t="str">
        <x:v>IMP-20260516-FULLDRAFT</x:v>
      </x:c>
      <x:c r="C2237" t="str">
        <x:v>KTO001</x:v>
      </x:c>
      <x:c r="D2237" t="str">
        <x:v>16-05-2026_Umsatzliste_Girokonto_DE98120300001061711675.csv</x:v>
      </x:c>
      <x:c r="E2237" t="n">
        <x:v>46163</x:v>
      </x:c>
      <x:c r="F2237" t="n">
        <x:v>2220</x:v>
      </x:c>
      <x:c r="G2237" t="str">
        <x:v>7182cb2e1035010afbb7c7e5b69a9019b789843ec2d946f6d9f5f0994ddb0811</x:v>
      </x:c>
      <x:c r="H2237" t="str">
        <x:v>neu</x:v>
      </x:c>
      <x:c r="I2237" t="str">
        <x:v>ok</x:v>
      </x:c>
      <x:c r="J2237"/>
      <x:c r="K2237" t="n">
        <x:v>45418</x:v>
      </x:c>
      <x:c r="L2237" t="n">
        <x:v>45418</x:v>
      </x:c>
      <x:c r="M2237" t="str">
        <x:v>Gebucht</x:v>
      </x:c>
      <x:c r="N2237" t="str">
        <x:v>ISSUER</x:v>
      </x:c>
      <x:c r="O2237" t="str">
        <x:v>Hornbach.Baumarkt.AG.FI/Braunschweig</x:v>
      </x:c>
      <x:c r="P2237" t="str">
        <x:v>VISA Debitkartenumsatz vom 04.05.2024</x:v>
      </x:c>
      <x:c r="Q2237" t="str">
        <x:v>Ausgang</x:v>
      </x:c>
      <x:c r="R2237" t="str">
        <x:v>DE96120300009005290904</x:v>
      </x:c>
      <x:c r="S2237" t="n">
        <x:v>-159</x:v>
      </x:c>
      <x:c r="T2237" t="str">
        <x:v>"</x:v>
      </x:c>
      <x:c r="U2237" t="str">
        <x:v>"</x:v>
      </x:c>
      <x:c r="V2237" t="str">
        <x:v>484125635504258</x:v>
      </x:c>
    </x:row>
    <x:row r="2238">
      <x:c r="A2238" t="str">
        <x:v>RAW-IMP-20260516-FULLDRAFT-002221</x:v>
      </x:c>
      <x:c r="B2238" t="str">
        <x:v>IMP-20260516-FULLDRAFT</x:v>
      </x:c>
      <x:c r="C2238" t="str">
        <x:v>KTO001</x:v>
      </x:c>
      <x:c r="D2238" t="str">
        <x:v>16-05-2026_Umsatzliste_Girokonto_DE98120300001061711675.csv</x:v>
      </x:c>
      <x:c r="E2238" t="n">
        <x:v>46163</x:v>
      </x:c>
      <x:c r="F2238" t="n">
        <x:v>2221</x:v>
      </x:c>
      <x:c r="G2238" t="str">
        <x:v>0e7506935c46655d681c31cc69c406be72f4dc801bf7aa7cea584bf73b1037a0</x:v>
      </x:c>
      <x:c r="H2238" t="str">
        <x:v>neu</x:v>
      </x:c>
      <x:c r="I2238" t="str">
        <x:v>ok</x:v>
      </x:c>
      <x:c r="J2238"/>
      <x:c r="K2238" t="n">
        <x:v>45418</x:v>
      </x:c>
      <x:c r="L2238" t="n">
        <x:v>45418</x:v>
      </x:c>
      <x:c r="M2238" t="str">
        <x:v>Gebucht</x:v>
      </x:c>
      <x:c r="N2238" t="str">
        <x:v>ISSUER</x:v>
      </x:c>
      <x:c r="O2238" t="str">
        <x:v>APPLE.COM.BILL/ITUNES.COM</x:v>
      </x:c>
      <x:c r="P2238" t="str">
        <x:v>VISA Debitkartenumsatz vom 03.05.2024</x:v>
      </x:c>
      <x:c r="Q2238" t="str">
        <x:v>Ausgang</x:v>
      </x:c>
      <x:c r="R2238" t="str">
        <x:v>DE96120300009005290904</x:v>
      </x:c>
      <x:c r="S2238" t="n">
        <x:v>-0.99</x:v>
      </x:c>
      <x:c r="T2238" t="str">
        <x:v>"</x:v>
      </x:c>
      <x:c r="U2238" t="str">
        <x:v>"</x:v>
      </x:c>
      <x:c r="V2238" t="str">
        <x:v>484124083069096</x:v>
      </x:c>
    </x:row>
    <x:row r="2239">
      <x:c r="A2239" t="str">
        <x:v>RAW-IMP-20260516-FULLDRAFT-002222</x:v>
      </x:c>
      <x:c r="B2239" t="str">
        <x:v>IMP-20260516-FULLDRAFT</x:v>
      </x:c>
      <x:c r="C2239" t="str">
        <x:v>KTO001</x:v>
      </x:c>
      <x:c r="D2239" t="str">
        <x:v>16-05-2026_Umsatzliste_Girokonto_DE98120300001061711675.csv</x:v>
      </x:c>
      <x:c r="E2239" t="n">
        <x:v>46163</x:v>
      </x:c>
      <x:c r="F2239" t="n">
        <x:v>2222</x:v>
      </x:c>
      <x:c r="G2239" t="str">
        <x:v>e5be0285fc5ed941228a4af3ffc8dd7d29e1fd6c33409749da61739d29d24201</x:v>
      </x:c>
      <x:c r="H2239" t="str">
        <x:v>neu</x:v>
      </x:c>
      <x:c r="I2239" t="str">
        <x:v>ok</x:v>
      </x:c>
      <x:c r="J2239"/>
      <x:c r="K2239" t="n">
        <x:v>45418</x:v>
      </x:c>
      <x:c r="L2239" t="n">
        <x:v>45418</x:v>
      </x:c>
      <x:c r="M2239" t="str">
        <x:v>Gebucht</x:v>
      </x:c>
      <x:c r="N2239" t="str">
        <x:v>Lars Kohlenberg</x:v>
      </x:c>
      <x:c r="O2239" t="str">
        <x:v>Iman Firat</x:v>
      </x:c>
      <x:c r="P2239" t="str">
        <x:v>2230 Lea Kohlenberg</x:v>
      </x:c>
      <x:c r="Q2239" t="str">
        <x:v>Ausgang</x:v>
      </x:c>
      <x:c r="R2239" t="str">
        <x:v>DE67269910662694298000</x:v>
      </x:c>
      <x:c r="S2239" t="n">
        <x:v>-49.9</x:v>
      </x:c>
      <x:c r="T2239" t="str">
        <x:v>"</x:v>
      </x:c>
      <x:c r="U2239" t="str">
        <x:v>"</x:v>
      </x:c>
      <x:c r="V2239" t="str">
        <x:v>"</x:v>
      </x:c>
    </x:row>
    <x:row r="2240">
      <x:c r="A2240" t="str">
        <x:v>RAW-IMP-20260516-FULLDRAFT-002223</x:v>
      </x:c>
      <x:c r="B2240" t="str">
        <x:v>IMP-20260516-FULLDRAFT</x:v>
      </x:c>
      <x:c r="C2240" t="str">
        <x:v>KTO001</x:v>
      </x:c>
      <x:c r="D2240" t="str">
        <x:v>16-05-2026_Umsatzliste_Girokonto_DE98120300001061711675.csv</x:v>
      </x:c>
      <x:c r="E2240" t="n">
        <x:v>46163</x:v>
      </x:c>
      <x:c r="F2240" t="n">
        <x:v>2223</x:v>
      </x:c>
      <x:c r="G2240" t="str">
        <x:v>0e9da5d7274e8aa898b3ab09cd125ba16b57bf947152b4d5de1e8817f3fe1e69</x:v>
      </x:c>
      <x:c r="H2240" t="str">
        <x:v>neu</x:v>
      </x:c>
      <x:c r="I2240" t="str">
        <x:v>ok</x:v>
      </x:c>
      <x:c r="J2240"/>
      <x:c r="K2240" t="n">
        <x:v>45415</x:v>
      </x:c>
      <x:c r="L2240" t="n">
        <x:v>45415</x:v>
      </x:c>
      <x:c r="M2240" t="str">
        <x:v>Gebucht</x:v>
      </x:c>
      <x:c r="N2240" t="str">
        <x:v>Lars Kohlenberg                                                       Johannes-Wosnitza-Str. 8</x:v>
      </x:c>
      <x:c r="O2240" t="str">
        <x:v>FUNKE Medien Nieders.GmbH</x:v>
      </x:c>
      <x:c r="P2240" t="str">
        <x:v>SZ/00001050/VA/01.05.24-31.05.24/Rg-Nr.:6315525686/Kd-Nr:0053112791/Steuer:3.57</x:v>
      </x:c>
      <x:c r="Q2240" t="str">
        <x:v>Ausgang</x:v>
      </x:c>
      <x:c r="R2240" t="str">
        <x:v>DE67250500000000146910</x:v>
      </x:c>
      <x:c r="S2240" t="n">
        <x:v>-54.5</x:v>
      </x:c>
      <x:c r="T2240" t="str">
        <x:v>DE8850000000483288</x:v>
      </x:c>
      <x:c r="U2240" t="str">
        <x:v>0053112791-0500-01300001</x:v>
      </x:c>
      <x:c r="V2240" t="str">
        <x:v>034005934031</x:v>
      </x:c>
    </x:row>
    <x:row r="2241">
      <x:c r="A2241" t="str">
        <x:v>RAW-IMP-20260516-FULLDRAFT-002224</x:v>
      </x:c>
      <x:c r="B2241" t="str">
        <x:v>IMP-20260516-FULLDRAFT</x:v>
      </x:c>
      <x:c r="C2241" t="str">
        <x:v>KTO001</x:v>
      </x:c>
      <x:c r="D2241" t="str">
        <x:v>16-05-2026_Umsatzliste_Girokonto_DE98120300001061711675.csv</x:v>
      </x:c>
      <x:c r="E2241" t="n">
        <x:v>46163</x:v>
      </x:c>
      <x:c r="F2241" t="n">
        <x:v>2224</x:v>
      </x:c>
      <x:c r="G2241" t="str">
        <x:v>a47e14f62a3812d5a0e9c9ccf1cafbc136ca868bd86a463483a00019ba1b1b92</x:v>
      </x:c>
      <x:c r="H2241" t="str">
        <x:v>neu</x:v>
      </x:c>
      <x:c r="I2241" t="str">
        <x:v>ok</x:v>
      </x:c>
      <x:c r="J2241"/>
      <x:c r="K2241" t="n">
        <x:v>45415</x:v>
      </x:c>
      <x:c r="L2241" t="n">
        <x:v>45415</x:v>
      </x:c>
      <x:c r="M2241" t="str">
        <x:v>Gebucht</x:v>
      </x:c>
      <x:c r="N2241" t="str">
        <x:v>Lars Kohlenberg</x:v>
      </x:c>
      <x:c r="O2241" t="str">
        <x:v>VHV Allg. Versicherung AG</x:v>
      </x:c>
      <x:c r="P2241" t="str">
        <x:v>VHV Versicherung UNFALLVERSICHERUNG U 013-072445/0000 Abrechnung: 01.05.24 - 01.06.24</x:v>
      </x:c>
      <x:c r="Q2241" t="str">
        <x:v>Ausgang</x:v>
      </x:c>
      <x:c r="R2241" t="str">
        <x:v>DE65250500000101411551</x:v>
      </x:c>
      <x:c r="S2241" t="n">
        <x:v>-11.96</x:v>
      </x:c>
      <x:c r="T2241" t="str">
        <x:v>DE32VHV00000150810</x:v>
      </x:c>
      <x:c r="U2241" t="str">
        <x:v>0015012300010039</x:v>
      </x:c>
      <x:c r="V2241" t="str">
        <x:v>31162964319</x:v>
      </x:c>
    </x:row>
    <x:row r="2242">
      <x:c r="A2242" t="str">
        <x:v>RAW-IMP-20260516-FULLDRAFT-002225</x:v>
      </x:c>
      <x:c r="B2242" t="str">
        <x:v>IMP-20260516-FULLDRAFT</x:v>
      </x:c>
      <x:c r="C2242" t="str">
        <x:v>KTO001</x:v>
      </x:c>
      <x:c r="D2242" t="str">
        <x:v>16-05-2026_Umsatzliste_Girokonto_DE98120300001061711675.csv</x:v>
      </x:c>
      <x:c r="E2242" t="n">
        <x:v>46163</x:v>
      </x:c>
      <x:c r="F2242" t="n">
        <x:v>2225</x:v>
      </x:c>
      <x:c r="G2242" t="str">
        <x:v>8ac41bf56723b58d4e97a17936b70416ef6dd58e19b0c8aa39b18d4303615041</x:v>
      </x:c>
      <x:c r="H2242" t="str">
        <x:v>neu</x:v>
      </x:c>
      <x:c r="I2242" t="str">
        <x:v>ok</x:v>
      </x:c>
      <x:c r="J2242"/>
      <x:c r="K2242" t="n">
        <x:v>45414</x:v>
      </x:c>
      <x:c r="L2242" t="n">
        <x:v>45414</x:v>
      </x:c>
      <x:c r="M2242" t="str">
        <x:v>Gebucht</x:v>
      </x:c>
      <x:c r="N2242" t="str">
        <x:v>WILLI KOHLENBERG</x:v>
      </x:c>
      <x:c r="O2242" t="str">
        <x:v>LARS KOHLENBERG</x:v>
      </x:c>
      <x:c r="P2242" t="str">
        <x:v>MIETE 2/3 HAUS</x:v>
      </x:c>
      <x:c r="Q2242" t="str">
        <x:v>Eingang</x:v>
      </x:c>
      <x:c r="R2242" t="str">
        <x:v>DE84270800600651520400</x:v>
      </x:c>
      <x:c r="S2242" t="n">
        <x:v>750</x:v>
      </x:c>
      <x:c r="T2242" t="str">
        <x:v>"</x:v>
      </x:c>
      <x:c r="U2242" t="str">
        <x:v>"</x:v>
      </x:c>
      <x:c r="V2242" t="str">
        <x:v>"</x:v>
      </x:c>
    </x:row>
    <x:row r="2243">
      <x:c r="A2243" t="str">
        <x:v>RAW-IMP-20260516-FULLDRAFT-002226</x:v>
      </x:c>
      <x:c r="B2243" t="str">
        <x:v>IMP-20260516-FULLDRAFT</x:v>
      </x:c>
      <x:c r="C2243" t="str">
        <x:v>KTO001</x:v>
      </x:c>
      <x:c r="D2243" t="str">
        <x:v>16-05-2026_Umsatzliste_Girokonto_DE98120300001061711675.csv</x:v>
      </x:c>
      <x:c r="E2243" t="n">
        <x:v>46163</x:v>
      </x:c>
      <x:c r="F2243" t="n">
        <x:v>2226</x:v>
      </x:c>
      <x:c r="G2243" t="str">
        <x:v>b06a12a9a47e21ed671caca89a555043dfc00da850533747225fd26d87951603</x:v>
      </x:c>
      <x:c r="H2243" t="str">
        <x:v>neu</x:v>
      </x:c>
      <x:c r="I2243" t="str">
        <x:v>ok</x:v>
      </x:c>
      <x:c r="J2243"/>
      <x:c r="K2243" t="n">
        <x:v>45414</x:v>
      </x:c>
      <x:c r="L2243" t="n">
        <x:v>45414</x:v>
      </x:c>
      <x:c r="M2243" t="str">
        <x:v>Gebucht</x:v>
      </x:c>
      <x:c r="N2243" t="str">
        <x:v>ISSUER</x:v>
      </x:c>
      <x:c r="O2243" t="str">
        <x:v>Prime.Video..H55XO8WS4/442.011518546</x:v>
      </x:c>
      <x:c r="P2243" t="str">
        <x:v>VISA Debitkartenumsatz vom 30.04.2024</x:v>
      </x:c>
      <x:c r="Q2243" t="str">
        <x:v>Ausgang</x:v>
      </x:c>
      <x:c r="R2243" t="str">
        <x:v>DE96120300009005290904</x:v>
      </x:c>
      <x:c r="S2243" t="n">
        <x:v>-4.99</x:v>
      </x:c>
      <x:c r="T2243" t="str">
        <x:v>"</x:v>
      </x:c>
      <x:c r="U2243" t="str">
        <x:v>"</x:v>
      </x:c>
      <x:c r="V2243" t="str">
        <x:v>484121674341933</x:v>
      </x:c>
    </x:row>
    <x:row r="2244">
      <x:c r="A2244" t="str">
        <x:v>RAW-IMP-20260516-FULLDRAFT-002227</x:v>
      </x:c>
      <x:c r="B2244" t="str">
        <x:v>IMP-20260516-FULLDRAFT</x:v>
      </x:c>
      <x:c r="C2244" t="str">
        <x:v>KTO001</x:v>
      </x:c>
      <x:c r="D2244" t="str">
        <x:v>16-05-2026_Umsatzliste_Girokonto_DE98120300001061711675.csv</x:v>
      </x:c>
      <x:c r="E2244" t="n">
        <x:v>46163</x:v>
      </x:c>
      <x:c r="F2244" t="n">
        <x:v>2227</x:v>
      </x:c>
      <x:c r="G2244" t="str">
        <x:v>aa019de95e81af5bf55cc51847962dac3533b9e42d6507907c414206de54b82b</x:v>
      </x:c>
      <x:c r="H2244" t="str">
        <x:v>neu</x:v>
      </x:c>
      <x:c r="I2244" t="str">
        <x:v>ok</x:v>
      </x:c>
      <x:c r="J2244"/>
      <x:c r="K2244" t="n">
        <x:v>45414</x:v>
      </x:c>
      <x:c r="L2244" t="n">
        <x:v>45414</x:v>
      </x:c>
      <x:c r="M2244" t="str">
        <x:v>Gebucht</x:v>
      </x:c>
      <x:c r="N2244" t="str">
        <x:v>ISSUER</x:v>
      </x:c>
      <x:c r="O2244" t="str">
        <x:v>E.CENTER.3397/BRAUNSCHWEIG</x:v>
      </x:c>
      <x:c r="P2244" t="str">
        <x:v>VISA Debitkartenumsatz vom 30.04.2024</x:v>
      </x:c>
      <x:c r="Q2244" t="str">
        <x:v>Ausgang</x:v>
      </x:c>
      <x:c r="R2244" t="str">
        <x:v>DE96120300009005290904</x:v>
      </x:c>
      <x:c r="S2244" t="n">
        <x:v>-10.08</x:v>
      </x:c>
      <x:c r="T2244" t="str">
        <x:v>"</x:v>
      </x:c>
      <x:c r="U2244" t="str">
        <x:v>"</x:v>
      </x:c>
      <x:c r="V2244" t="str">
        <x:v>484121364935255</x:v>
      </x:c>
    </x:row>
    <x:row r="2245">
      <x:c r="A2245" t="str">
        <x:v>RAW-IMP-20260516-FULLDRAFT-002228</x:v>
      </x:c>
      <x:c r="B2245" t="str">
        <x:v>IMP-20260516-FULLDRAFT</x:v>
      </x:c>
      <x:c r="C2245" t="str">
        <x:v>KTO001</x:v>
      </x:c>
      <x:c r="D2245" t="str">
        <x:v>16-05-2026_Umsatzliste_Girokonto_DE98120300001061711675.csv</x:v>
      </x:c>
      <x:c r="E2245" t="n">
        <x:v>46163</x:v>
      </x:c>
      <x:c r="F2245" t="n">
        <x:v>2228</x:v>
      </x:c>
      <x:c r="G2245" t="str">
        <x:v>6c3f724d6b8d39434ea5d5888ea97916eb7efe347cf460bd7468ee5bbbaf465b</x:v>
      </x:c>
      <x:c r="H2245" t="str">
        <x:v>neu</x:v>
      </x:c>
      <x:c r="I2245" t="str">
        <x:v>ok</x:v>
      </x:c>
      <x:c r="J2245"/>
      <x:c r="K2245" t="n">
        <x:v>45414</x:v>
      </x:c>
      <x:c r="L2245" t="n">
        <x:v>45414</x:v>
      </x:c>
      <x:c r="M2245" t="str">
        <x:v>Gebucht</x:v>
      </x:c>
      <x:c r="N2245" t="str">
        <x:v>ISSUER</x:v>
      </x:c>
      <x:c r="O2245" t="str">
        <x:v>MARKUS.FINKE/SALZGITTER</x:v>
      </x:c>
      <x:c r="P2245" t="str">
        <x:v>VISA Debitkartenumsatz vom 30.04.2024</x:v>
      </x:c>
      <x:c r="Q2245" t="str">
        <x:v>Ausgang</x:v>
      </x:c>
      <x:c r="R2245" t="str">
        <x:v>DE96120300009005290904</x:v>
      </x:c>
      <x:c r="S2245" t="n">
        <x:v>-54</x:v>
      </x:c>
      <x:c r="T2245" t="str">
        <x:v>"</x:v>
      </x:c>
      <x:c r="U2245" t="str">
        <x:v>"</x:v>
      </x:c>
      <x:c r="V2245" t="str">
        <x:v>484121434129524</x:v>
      </x:c>
    </x:row>
    <x:row r="2246">
      <x:c r="A2246" t="str">
        <x:v>RAW-IMP-20260516-FULLDRAFT-002229</x:v>
      </x:c>
      <x:c r="B2246" t="str">
        <x:v>IMP-20260516-FULLDRAFT</x:v>
      </x:c>
      <x:c r="C2246" t="str">
        <x:v>KTO001</x:v>
      </x:c>
      <x:c r="D2246" t="str">
        <x:v>16-05-2026_Umsatzliste_Girokonto_DE98120300001061711675.csv</x:v>
      </x:c>
      <x:c r="E2246" t="n">
        <x:v>46163</x:v>
      </x:c>
      <x:c r="F2246" t="n">
        <x:v>2229</x:v>
      </x:c>
      <x:c r="G2246" t="str">
        <x:v>128a49f0f56a46d26f33f945dc8d0294b3bb462aad9789168f48416989586118</x:v>
      </x:c>
      <x:c r="H2246" t="str">
        <x:v>neu</x:v>
      </x:c>
      <x:c r="I2246" t="str">
        <x:v>ok</x:v>
      </x:c>
      <x:c r="J2246"/>
      <x:c r="K2246" t="n">
        <x:v>45414</x:v>
      </x:c>
      <x:c r="L2246" t="n">
        <x:v>45414</x:v>
      </x:c>
      <x:c r="M2246" t="str">
        <x:v>Gebucht</x:v>
      </x:c>
      <x:c r="N2246" t="str">
        <x:v>KOHLENBERG, LARS</x:v>
      </x:c>
      <x:c r="O2246" t="str">
        <x:v>Lars und Katrin Kohlenberg</x:v>
      </x:c>
      <x:c r="P2246" t="str">
        <x:v>10230952 VERMOEGENSDEPOT SPARPLAN WKN A1C9ED</x:v>
      </x:c>
      <x:c r="Q2246" t="str">
        <x:v>Ausgang</x:v>
      </x:c>
      <x:c r="R2246" t="str">
        <x:v>DE27672300000506966162</x:v>
      </x:c>
      <x:c r="S2246" t="n">
        <x:v>-100</x:v>
      </x:c>
      <x:c r="T2246" t="str">
        <x:v>DE53ZZZ00000010849</x:v>
      </x:c>
      <x:c r="U2246" t="str">
        <x:v>WPBF0000180845</x:v>
      </x:c>
      <x:c r="V2246" t="str">
        <x:v>SPARSP 14509128</x:v>
      </x:c>
    </x:row>
    <x:row r="2247">
      <x:c r="A2247" t="str">
        <x:v>RAW-IMP-20260516-FULLDRAFT-002230</x:v>
      </x:c>
      <x:c r="B2247" t="str">
        <x:v>IMP-20260516-FULLDRAFT</x:v>
      </x:c>
      <x:c r="C2247" t="str">
        <x:v>KTO001</x:v>
      </x:c>
      <x:c r="D2247" t="str">
        <x:v>16-05-2026_Umsatzliste_Girokonto_DE98120300001061711675.csv</x:v>
      </x:c>
      <x:c r="E2247" t="n">
        <x:v>46163</x:v>
      </x:c>
      <x:c r="F2247" t="n">
        <x:v>2230</x:v>
      </x:c>
      <x:c r="G2247" t="str">
        <x:v>a42306be149a6ece1e89bdf543a848baf66df55a1b8e7f514d2ccf7793d0f9e3</x:v>
      </x:c>
      <x:c r="H2247" t="str">
        <x:v>neu</x:v>
      </x:c>
      <x:c r="I2247" t="str">
        <x:v>ok</x:v>
      </x:c>
      <x:c r="J2247"/>
      <x:c r="K2247" t="n">
        <x:v>45414</x:v>
      </x:c>
      <x:c r="L2247" t="n">
        <x:v>45414</x:v>
      </x:c>
      <x:c r="M2247" t="str">
        <x:v>Gebucht</x:v>
      </x:c>
      <x:c r="N2247" t="str">
        <x:v>Kohlenberg, Lars</x:v>
      </x:c>
      <x:c r="O2247" t="str">
        <x:v>IDEAL Lebensversicherung aG</x:v>
      </x:c>
      <x:c r="P2247" t="str">
        <x:v>2011216280009 LV 051</x:v>
      </x:c>
      <x:c r="Q2247" t="str">
        <x:v>Ausgang</x:v>
      </x:c>
      <x:c r="R2247" t="str">
        <x:v>DE36100700000460303100</x:v>
      </x:c>
      <x:c r="S2247" t="n">
        <x:v>-97.12</x:v>
      </x:c>
      <x:c r="T2247" t="str">
        <x:v>DE40ZZZ00000559230</x:v>
      </x:c>
      <x:c r="U2247" t="str">
        <x:v>2011216280009-001</x:v>
      </x:c>
      <x:c r="V2247" t="str">
        <x:v>GL,KL,PD-20240501-1-2011216280009-0</x:v>
      </x:c>
    </x:row>
    <x:row r="2248">
      <x:c r="A2248" t="str">
        <x:v>RAW-IMP-20260516-FULLDRAFT-002231</x:v>
      </x:c>
      <x:c r="B2248" t="str">
        <x:v>IMP-20260516-FULLDRAFT</x:v>
      </x:c>
      <x:c r="C2248" t="str">
        <x:v>KTO001</x:v>
      </x:c>
      <x:c r="D2248" t="str">
        <x:v>16-05-2026_Umsatzliste_Girokonto_DE98120300001061711675.csv</x:v>
      </x:c>
      <x:c r="E2248" t="n">
        <x:v>46163</x:v>
      </x:c>
      <x:c r="F2248" t="n">
        <x:v>2231</x:v>
      </x:c>
      <x:c r="G2248" t="str">
        <x:v>29f06c8896a132425ecb8ede49dbf008c90b7f0c8374c4b94359976c697d6a47</x:v>
      </x:c>
      <x:c r="H2248" t="str">
        <x:v>neu</x:v>
      </x:c>
      <x:c r="I2248" t="str">
        <x:v>ok</x:v>
      </x:c>
      <x:c r="J2248"/>
      <x:c r="K2248" t="n">
        <x:v>45414</x:v>
      </x:c>
      <x:c r="L2248" t="n">
        <x:v>45414</x:v>
      </x:c>
      <x:c r="M2248" t="str">
        <x:v>Gebucht</x:v>
      </x:c>
      <x:c r="N2248" t="str">
        <x:v>Lars Kohlenberg                                                       Johannes-Wosnitza-Str. 8 38229 Salzgitter</x:v>
      </x:c>
      <x:c r="O2248" t="str">
        <x:v>Heidelberger Lebensversicherung AG                                    Im Breitspiel 2-4, 69126 Heidelberg</x:v>
      </x:c>
      <x:c r="P2248" t="str">
        <x:v>60012826 , 05.24</x:v>
      </x:c>
      <x:c r="Q2248" t="str">
        <x:v>Ausgang</x:v>
      </x:c>
      <x:c r="R2248" t="str">
        <x:v>DE38600501010002662604</x:v>
      </x:c>
      <x:c r="S2248" t="n">
        <x:v>-452.71</x:v>
      </x:c>
      <x:c r="T2248" t="str">
        <x:v>DE31HLE00000032682</x:v>
      </x:c>
      <x:c r="U2248" t="str">
        <x:v>11-140000075706</x:v>
      </x:c>
      <x:c r="V2248" t="str">
        <x:v>158034451359</x:v>
      </x:c>
    </x:row>
    <x:row r="2249">
      <x:c r="A2249" t="str">
        <x:v>RAW-IMP-20260516-FULLDRAFT-002232</x:v>
      </x:c>
      <x:c r="B2249" t="str">
        <x:v>IMP-20260516-FULLDRAFT</x:v>
      </x:c>
      <x:c r="C2249" t="str">
        <x:v>KTO001</x:v>
      </x:c>
      <x:c r="D2249" t="str">
        <x:v>16-05-2026_Umsatzliste_Girokonto_DE98120300001061711675.csv</x:v>
      </x:c>
      <x:c r="E2249" t="n">
        <x:v>46163</x:v>
      </x:c>
      <x:c r="F2249" t="n">
        <x:v>2232</x:v>
      </x:c>
      <x:c r="G2249" t="str">
        <x:v>14fb45f113c4b1583656a1df0ffffb0f59755be81b303cef6b9cdff4fa14fe59</x:v>
      </x:c>
      <x:c r="H2249" t="str">
        <x:v>neu</x:v>
      </x:c>
      <x:c r="I2249" t="str">
        <x:v>ok</x:v>
      </x:c>
      <x:c r="J2249"/>
      <x:c r="K2249" t="n">
        <x:v>45414</x:v>
      </x:c>
      <x:c r="L2249" t="n">
        <x:v>45414</x:v>
      </x:c>
      <x:c r="M2249" t="str">
        <x:v>Gebucht</x:v>
      </x:c>
      <x:c r="N2249" t="str">
        <x:v>KOHLENBERG, LARS</x:v>
      </x:c>
      <x:c r="O2249" t="str">
        <x:v>VPV-LEBENSVERSICHERUNGS-AG</x:v>
      </x:c>
      <x:c r="P2249" t="str">
        <x:v>VNR 301667726</x:v>
      </x:c>
      <x:c r="Q2249" t="str">
        <x:v>Ausgang</x:v>
      </x:c>
      <x:c r="R2249" t="str">
        <x:v>DE78600501010001166338</x:v>
      </x:c>
      <x:c r="S2249" t="n">
        <x:v>-51.54</x:v>
      </x:c>
      <x:c r="T2249" t="str">
        <x:v>DE96LAG00000064686</x:v>
      </x:c>
      <x:c r="U2249" t="str">
        <x:v>ML700120510</x:v>
      </x:c>
      <x:c r="V2249" t="str">
        <x:v>240429 447230389 ML700120510</x:v>
      </x:c>
    </x:row>
    <x:row r="2250">
      <x:c r="A2250" t="str">
        <x:v>RAW-IMP-20260516-FULLDRAFT-002233</x:v>
      </x:c>
      <x:c r="B2250" t="str">
        <x:v>IMP-20260516-FULLDRAFT</x:v>
      </x:c>
      <x:c r="C2250" t="str">
        <x:v>KTO001</x:v>
      </x:c>
      <x:c r="D2250" t="str">
        <x:v>16-05-2026_Umsatzliste_Girokonto_DE98120300001061711675.csv</x:v>
      </x:c>
      <x:c r="E2250" t="n">
        <x:v>46163</x:v>
      </x:c>
      <x:c r="F2250" t="n">
        <x:v>2233</x:v>
      </x:c>
      <x:c r="G2250" t="str">
        <x:v>6f9b711353d450d75da1fc39d74933fbc2f271b6f426c23757817c6880c2d863</x:v>
      </x:c>
      <x:c r="H2250" t="str">
        <x:v>neu</x:v>
      </x:c>
      <x:c r="I2250" t="str">
        <x:v>ok</x:v>
      </x:c>
      <x:c r="J2250"/>
      <x:c r="K2250" t="n">
        <x:v>45414</x:v>
      </x:c>
      <x:c r="L2250" t="n">
        <x:v>45414</x:v>
      </x:c>
      <x:c r="M2250" t="str">
        <x:v>Gebucht</x:v>
      </x:c>
      <x:c r="N2250" t="str">
        <x:v>KOHLENBERG LARS</x:v>
      </x:c>
      <x:c r="O2250" t="str">
        <x:v>VOLKSWOHL BUND Lebensversicherung a.G.</x:v>
      </x:c>
      <x:c r="P2250" t="str">
        <x:v>009893595 LA000750566/ 009893595 LEBEN 66,15</x:v>
      </x:c>
      <x:c r="Q2250" t="str">
        <x:v>Ausgang</x:v>
      </x:c>
      <x:c r="R2250" t="str">
        <x:v>DE76440400370361155500</x:v>
      </x:c>
      <x:c r="S2250" t="n">
        <x:v>-66.15</x:v>
      </x:c>
      <x:c r="T2250" t="str">
        <x:v>DE13ZZZ00000141064</x:v>
      </x:c>
      <x:c r="U2250" t="str">
        <x:v>LA000750566</x:v>
      </x:c>
      <x:c r="V2250" t="str">
        <x:v>009893595/NVMA.G1077-345875</x:v>
      </x:c>
    </x:row>
    <x:row r="2251">
      <x:c r="A2251" t="str">
        <x:v>RAW-IMP-20260516-FULLDRAFT-002234</x:v>
      </x:c>
      <x:c r="B2251" t="str">
        <x:v>IMP-20260516-FULLDRAFT</x:v>
      </x:c>
      <x:c r="C2251" t="str">
        <x:v>KTO001</x:v>
      </x:c>
      <x:c r="D2251" t="str">
        <x:v>16-05-2026_Umsatzliste_Girokonto_DE98120300001061711675.csv</x:v>
      </x:c>
      <x:c r="E2251" t="n">
        <x:v>46163</x:v>
      </x:c>
      <x:c r="F2251" t="n">
        <x:v>2234</x:v>
      </x:c>
      <x:c r="G2251" t="str">
        <x:v>6533799f7ef21c10de1fd03529db281531d7329c6aff0e7b33131c6ab65cae03</x:v>
      </x:c>
      <x:c r="H2251" t="str">
        <x:v>neu</x:v>
      </x:c>
      <x:c r="I2251" t="str">
        <x:v>ok</x:v>
      </x:c>
      <x:c r="J2251"/>
      <x:c r="K2251" t="n">
        <x:v>45414</x:v>
      </x:c>
      <x:c r="L2251" t="n">
        <x:v>45414</x:v>
      </x:c>
      <x:c r="M2251" t="str">
        <x:v>Gebucht</x:v>
      </x:c>
      <x:c r="N2251" t="str">
        <x:v>Kohlenberg Lars</x:v>
      </x:c>
      <x:c r="O2251" t="str">
        <x:v>Allianz Lebensvers. AG</x:v>
      </x:c>
      <x:c r="P2251" t="str">
        <x:v>330296196 0524</x:v>
      </x:c>
      <x:c r="Q2251" t="str">
        <x:v>Ausgang</x:v>
      </x:c>
      <x:c r="R2251" t="str">
        <x:v>DE77700202700062328142</x:v>
      </x:c>
      <x:c r="S2251" t="n">
        <x:v>-162.17</x:v>
      </x:c>
      <x:c r="T2251" t="str">
        <x:v>DE07ZZZ00000063475</x:v>
      </x:c>
      <x:c r="U2251" t="str">
        <x:v>LA01L312001066775296</x:v>
      </x:c>
      <x:c r="V2251" t="str">
        <x:v>A7024114-000330296196033649910934</x:v>
      </x:c>
    </x:row>
    <x:row r="2252">
      <x:c r="A2252" t="str">
        <x:v>RAW-IMP-20260516-FULLDRAFT-002235</x:v>
      </x:c>
      <x:c r="B2252" t="str">
        <x:v>IMP-20260516-FULLDRAFT</x:v>
      </x:c>
      <x:c r="C2252" t="str">
        <x:v>KTO001</x:v>
      </x:c>
      <x:c r="D2252" t="str">
        <x:v>16-05-2026_Umsatzliste_Girokonto_DE98120300001061711675.csv</x:v>
      </x:c>
      <x:c r="E2252" t="n">
        <x:v>46163</x:v>
      </x:c>
      <x:c r="F2252" t="n">
        <x:v>2235</x:v>
      </x:c>
      <x:c r="G2252" t="str">
        <x:v>882b549e489e875787fb52a75e413c63395a82bddd2953fd69d7d9ed2dcb0ccb</x:v>
      </x:c>
      <x:c r="H2252" t="str">
        <x:v>neu</x:v>
      </x:c>
      <x:c r="I2252" t="str">
        <x:v>ok</x:v>
      </x:c>
      <x:c r="J2252"/>
      <x:c r="K2252" t="n">
        <x:v>45414</x:v>
      </x:c>
      <x:c r="L2252" t="n">
        <x:v>45414</x:v>
      </x:c>
      <x:c r="M2252" t="str">
        <x:v>Gebucht</x:v>
      </x:c>
      <x:c r="N2252" t="str">
        <x:v>Lars Kohlenberg</x:v>
      </x:c>
      <x:c r="O2252" t="str">
        <x:v>LARS KOHLENBERG</x:v>
      </x:c>
      <x:c r="P2252" t="str">
        <x:v>Sparrate 650,- + 750 EUR Mieteinnahmen</x:v>
      </x:c>
      <x:c r="Q2252" t="str">
        <x:v>Ausgang</x:v>
      </x:c>
      <x:c r="R2252" t="str">
        <x:v>DE91270200001510365800</x:v>
      </x:c>
      <x:c r="S2252" t="n">
        <x:v>-1400</x:v>
      </x:c>
      <x:c r="T2252" t="str">
        <x:v>"</x:v>
      </x:c>
      <x:c r="U2252" t="str">
        <x:v>"</x:v>
      </x:c>
      <x:c r="V2252" t="str">
        <x:v>"</x:v>
      </x:c>
    </x:row>
    <x:row r="2253">
      <x:c r="A2253" t="str">
        <x:v>RAW-IMP-20260516-FULLDRAFT-002236</x:v>
      </x:c>
      <x:c r="B2253" t="str">
        <x:v>IMP-20260516-FULLDRAFT</x:v>
      </x:c>
      <x:c r="C2253" t="str">
        <x:v>KTO001</x:v>
      </x:c>
      <x:c r="D2253" t="str">
        <x:v>16-05-2026_Umsatzliste_Girokonto_DE98120300001061711675.csv</x:v>
      </x:c>
      <x:c r="E2253" t="n">
        <x:v>46163</x:v>
      </x:c>
      <x:c r="F2253" t="n">
        <x:v>2236</x:v>
      </x:c>
      <x:c r="G2253" t="str">
        <x:v>97fddc5f305c775ab494cbca9e14f308fa222800f9f37636f1d7c8df9871f3ee</x:v>
      </x:c>
      <x:c r="H2253" t="str">
        <x:v>neu</x:v>
      </x:c>
      <x:c r="I2253" t="str">
        <x:v>ok</x:v>
      </x:c>
      <x:c r="J2253"/>
      <x:c r="K2253" t="n">
        <x:v>45414</x:v>
      </x:c>
      <x:c r="L2253" t="n">
        <x:v>45414</x:v>
      </x:c>
      <x:c r="M2253" t="str">
        <x:v>Gebucht</x:v>
      </x:c>
      <x:c r="N2253" t="str">
        <x:v>Lars Kohlenberg</x:v>
      </x:c>
      <x:c r="O2253" t="str">
        <x:v>KATRIN KOHLENBERG</x:v>
      </x:c>
      <x:c r="P2253" t="str">
        <x:v>Apanage</x:v>
      </x:c>
      <x:c r="Q2253" t="str">
        <x:v>Ausgang</x:v>
      </x:c>
      <x:c r="R2253" t="str">
        <x:v>DE32270727240307336800</x:v>
      </x:c>
      <x:c r="S2253" t="n">
        <x:v>-1800</x:v>
      </x:c>
      <x:c r="T2253" t="str">
        <x:v>"</x:v>
      </x:c>
      <x:c r="U2253" t="str">
        <x:v>"</x:v>
      </x:c>
      <x:c r="V2253" t="str">
        <x:v>"</x:v>
      </x:c>
    </x:row>
    <x:row r="2254">
      <x:c r="A2254" t="str">
        <x:v>RAW-IMP-20260516-FULLDRAFT-002237</x:v>
      </x:c>
      <x:c r="B2254" t="str">
        <x:v>IMP-20260516-FULLDRAFT</x:v>
      </x:c>
      <x:c r="C2254" t="str">
        <x:v>KTO001</x:v>
      </x:c>
      <x:c r="D2254" t="str">
        <x:v>16-05-2026_Umsatzliste_Girokonto_DE98120300001061711675.csv</x:v>
      </x:c>
      <x:c r="E2254" t="n">
        <x:v>46163</x:v>
      </x:c>
      <x:c r="F2254" t="n">
        <x:v>2237</x:v>
      </x:c>
      <x:c r="G2254" t="str">
        <x:v>7527ec043bcbc4ce8e5c7119da642468ee02396f6afa2562b0b7cf579d62c581</x:v>
      </x:c>
      <x:c r="H2254" t="str">
        <x:v>neu</x:v>
      </x:c>
      <x:c r="I2254" t="str">
        <x:v>ok</x:v>
      </x:c>
      <x:c r="J2254"/>
      <x:c r="K2254" t="n">
        <x:v>45412</x:v>
      </x:c>
      <x:c r="L2254" t="n">
        <x:v>45412</x:v>
      </x:c>
      <x:c r="M2254" t="str">
        <x:v>Gebucht</x:v>
      </x:c>
      <x:c r="N2254" t="str">
        <x:v>ISSUER</x:v>
      </x:c>
      <x:c r="O2254" t="str">
        <x:v>REWE.Salzgitter.Ge/Salzgitter</x:v>
      </x:c>
      <x:c r="P2254" t="str">
        <x:v>VISA Debitkartenumsatz vom 29.04.2024</x:v>
      </x:c>
      <x:c r="Q2254" t="str">
        <x:v>Ausgang</x:v>
      </x:c>
      <x:c r="R2254" t="str">
        <x:v>DE96120300009005290904</x:v>
      </x:c>
      <x:c r="S2254" t="n">
        <x:v>-26.74</x:v>
      </x:c>
      <x:c r="T2254" t="str">
        <x:v>"</x:v>
      </x:c>
      <x:c r="U2254" t="str">
        <x:v>"</x:v>
      </x:c>
      <x:c r="V2254" t="str">
        <x:v>484120582243242</x:v>
      </x:c>
    </x:row>
    <x:row r="2255">
      <x:c r="A2255" t="str">
        <x:v>RAW-IMP-20260516-FULLDRAFT-002238</x:v>
      </x:c>
      <x:c r="B2255" t="str">
        <x:v>IMP-20260516-FULLDRAFT</x:v>
      </x:c>
      <x:c r="C2255" t="str">
        <x:v>KTO001</x:v>
      </x:c>
      <x:c r="D2255" t="str">
        <x:v>16-05-2026_Umsatzliste_Girokonto_DE98120300001061711675.csv</x:v>
      </x:c>
      <x:c r="E2255" t="n">
        <x:v>46163</x:v>
      </x:c>
      <x:c r="F2255" t="n">
        <x:v>2238</x:v>
      </x:c>
      <x:c r="G2255" t="str">
        <x:v>b1445a4df4bf4f40ef2cb257c795da81c903bbb1cd2a819c9252a3b99a0b9437</x:v>
      </x:c>
      <x:c r="H2255" t="str">
        <x:v>neu</x:v>
      </x:c>
      <x:c r="I2255" t="str">
        <x:v>ok</x:v>
      </x:c>
      <x:c r="J2255"/>
      <x:c r="K2255" t="n">
        <x:v>45412</x:v>
      </x:c>
      <x:c r="L2255" t="n">
        <x:v>45412</x:v>
      </x:c>
      <x:c r="M2255" t="str">
        <x:v>Gebucht</x:v>
      </x:c>
      <x:c r="N2255" t="str">
        <x:v>ISSUER</x:v>
      </x:c>
      <x:c r="O2255" t="str">
        <x:v>ALDI.SAGT.DANKE/BRAUNSCHWEIG</x:v>
      </x:c>
      <x:c r="P2255" t="str">
        <x:v>VISA Debitkartenumsatz vom 29.04.2024</x:v>
      </x:c>
      <x:c r="Q2255" t="str">
        <x:v>Ausgang</x:v>
      </x:c>
      <x:c r="R2255" t="str">
        <x:v>DE96120300009005290904</x:v>
      </x:c>
      <x:c r="S2255" t="n">
        <x:v>-5.58</x:v>
      </x:c>
      <x:c r="T2255" t="str">
        <x:v>"</x:v>
      </x:c>
      <x:c r="U2255" t="str">
        <x:v>"</x:v>
      </x:c>
      <x:c r="V2255" t="str">
        <x:v>484120360571791</x:v>
      </x:c>
    </x:row>
    <x:row r="2256">
      <x:c r="A2256" t="str">
        <x:v>RAW-IMP-20260516-FULLDRAFT-002239</x:v>
      </x:c>
      <x:c r="B2256" t="str">
        <x:v>IMP-20260516-FULLDRAFT</x:v>
      </x:c>
      <x:c r="C2256" t="str">
        <x:v>KTO001</x:v>
      </x:c>
      <x:c r="D2256" t="str">
        <x:v>16-05-2026_Umsatzliste_Girokonto_DE98120300001061711675.csv</x:v>
      </x:c>
      <x:c r="E2256" t="n">
        <x:v>46163</x:v>
      </x:c>
      <x:c r="F2256" t="n">
        <x:v>2239</x:v>
      </x:c>
      <x:c r="G2256" t="str">
        <x:v>cc4bbe4266dc46268295b6f5e80a206d17a20bb4c8ea62258550d3fd1b4d5e2d</x:v>
      </x:c>
      <x:c r="H2256" t="str">
        <x:v>neu</x:v>
      </x:c>
      <x:c r="I2256" t="str">
        <x:v>ok</x:v>
      </x:c>
      <x:c r="J2256"/>
      <x:c r="K2256" t="n">
        <x:v>45412</x:v>
      </x:c>
      <x:c r="L2256" t="n">
        <x:v>45412</x:v>
      </x:c>
      <x:c r="M2256" t="str">
        <x:v>Gebucht</x:v>
      </x:c>
      <x:c r="N2256" t="str">
        <x:v>Kohlenberg, Katrin</x:v>
      </x:c>
      <x:c r="O2256" t="str">
        <x:v>WEVG Salzgitter GmbH + Co. KG</x:v>
      </x:c>
      <x:c r="P2256" t="str">
        <x:v>Kd-Nr 79288 Einz 30.04.24 41710/352.00/Johannes-Wosni 100833/70.00/Johannes-Wosni</x:v>
      </x:c>
      <x:c r="Q2256" t="str">
        <x:v>Ausgang</x:v>
      </x:c>
      <x:c r="R2256" t="str">
        <x:v>DE19300700100394127500</x:v>
      </x:c>
      <x:c r="S2256" t="n">
        <x:v>-422</x:v>
      </x:c>
      <x:c r="T2256" t="str">
        <x:v>DE83WEV00000032716</x:v>
      </x:c>
      <x:c r="U2256" t="str">
        <x:v>WEVG0000079288G1000178580</x:v>
      </x:c>
      <x:c r="V2256" t="str">
        <x:v>12936497</x:v>
      </x:c>
    </x:row>
    <x:row r="2257">
      <x:c r="A2257" t="str">
        <x:v>RAW-IMP-20260516-FULLDRAFT-002240</x:v>
      </x:c>
      <x:c r="B2257" t="str">
        <x:v>IMP-20260516-FULLDRAFT</x:v>
      </x:c>
      <x:c r="C2257" t="str">
        <x:v>KTO001</x:v>
      </x:c>
      <x:c r="D2257" t="str">
        <x:v>16-05-2026_Umsatzliste_Girokonto_DE98120300001061711675.csv</x:v>
      </x:c>
      <x:c r="E2257" t="n">
        <x:v>46163</x:v>
      </x:c>
      <x:c r="F2257" t="n">
        <x:v>2240</x:v>
      </x:c>
      <x:c r="G2257" t="str">
        <x:v>c534e97c31d294cbcdc925311f909e15b599f1d4ca12bb192f48a59ce38b6d9d</x:v>
      </x:c>
      <x:c r="H2257" t="str">
        <x:v>neu</x:v>
      </x:c>
      <x:c r="I2257" t="str">
        <x:v>ok</x:v>
      </x:c>
      <x:c r="J2257"/>
      <x:c r="K2257" t="n">
        <x:v>45412</x:v>
      </x:c>
      <x:c r="L2257" t="n">
        <x:v>45412</x:v>
      </x:c>
      <x:c r="M2257" t="str">
        <x:v>Gebucht</x:v>
      </x:c>
      <x:c r="N2257" t="str">
        <x:v>Lars Kohlenberg</x:v>
      </x:c>
      <x:c r="O2257" t="str">
        <x:v>LARS KOHLENBERG</x:v>
      </x:c>
      <x:c r="P2257" t="str">
        <x:v>Zins und Tilgung zu 2/3</x:v>
      </x:c>
      <x:c r="Q2257" t="str">
        <x:v>Ausgang</x:v>
      </x:c>
      <x:c r="R2257" t="str">
        <x:v>DE33269910668923736000</x:v>
      </x:c>
      <x:c r="S2257" t="n">
        <x:v>-1153.94</x:v>
      </x:c>
      <x:c r="T2257" t="str">
        <x:v>"</x:v>
      </x:c>
      <x:c r="U2257" t="str">
        <x:v>"</x:v>
      </x:c>
      <x:c r="V2257" t="str">
        <x:v>"</x:v>
      </x:c>
    </x:row>
    <x:row r="2258">
      <x:c r="A2258" t="str">
        <x:v>RAW-IMP-20260516-FULLDRAFT-002241</x:v>
      </x:c>
      <x:c r="B2258" t="str">
        <x:v>IMP-20260516-FULLDRAFT</x:v>
      </x:c>
      <x:c r="C2258" t="str">
        <x:v>KTO001</x:v>
      </x:c>
      <x:c r="D2258" t="str">
        <x:v>16-05-2026_Umsatzliste_Girokonto_DE98120300001061711675.csv</x:v>
      </x:c>
      <x:c r="E2258" t="n">
        <x:v>46163</x:v>
      </x:c>
      <x:c r="F2258" t="n">
        <x:v>2241</x:v>
      </x:c>
      <x:c r="G2258" t="str">
        <x:v>9c9fa1c0fa21e401411dd6d659c74d0ee7aa761437d9442fa8aaf94fc96a0771</x:v>
      </x:c>
      <x:c r="H2258" t="str">
        <x:v>neu</x:v>
      </x:c>
      <x:c r="I2258" t="str">
        <x:v>ok</x:v>
      </x:c>
      <x:c r="J2258"/>
      <x:c r="K2258" t="n">
        <x:v>45411</x:v>
      </x:c>
      <x:c r="L2258" t="n">
        <x:v>45411</x:v>
      </x:c>
      <x:c r="M2258" t="str">
        <x:v>Gebucht</x:v>
      </x:c>
      <x:c r="N2258" t="str">
        <x:v>Wolkenmacher GmbH</x:v>
      </x:c>
      <x:c r="O2258" t="str">
        <x:v>Kohlenberg Lars</x:v>
      </x:c>
      <x:c r="P2258" t="str">
        <x:v>Lohn-Gehalt Abrechnung 04/2024</x:v>
      </x:c>
      <x:c r="Q2258" t="str">
        <x:v>Eingang</x:v>
      </x:c>
      <x:c r="R2258" t="str">
        <x:v>DE30270700300031340300</x:v>
      </x:c>
      <x:c r="S2258" t="n">
        <x:v>7685.54</x:v>
      </x:c>
      <x:c r="T2258" t="str">
        <x:v>"</x:v>
      </x:c>
      <x:c r="U2258" t="str">
        <x:v>"</x:v>
      </x:c>
      <x:c r="V2258" t="str">
        <x:v>4411446642-0000001</x:v>
      </x:c>
    </x:row>
    <x:row r="2259">
      <x:c r="A2259" t="str">
        <x:v>RAW-IMP-20260516-FULLDRAFT-002242</x:v>
      </x:c>
      <x:c r="B2259" t="str">
        <x:v>IMP-20260516-FULLDRAFT</x:v>
      </x:c>
      <x:c r="C2259" t="str">
        <x:v>KTO001</x:v>
      </x:c>
      <x:c r="D2259" t="str">
        <x:v>16-05-2026_Umsatzliste_Girokonto_DE98120300001061711675.csv</x:v>
      </x:c>
      <x:c r="E2259" t="n">
        <x:v>46163</x:v>
      </x:c>
      <x:c r="F2259" t="n">
        <x:v>2242</x:v>
      </x:c>
      <x:c r="G2259" t="str">
        <x:v>08720ef317404c40ab20bbcb7328fda2aae25e99b12bfb52005044c9fcad46d4</x:v>
      </x:c>
      <x:c r="H2259" t="str">
        <x:v>neu</x:v>
      </x:c>
      <x:c r="I2259" t="str">
        <x:v>ok</x:v>
      </x:c>
      <x:c r="J2259"/>
      <x:c r="K2259" t="n">
        <x:v>45411</x:v>
      </x:c>
      <x:c r="L2259" t="n">
        <x:v>45411</x:v>
      </x:c>
      <x:c r="M2259" t="str">
        <x:v>Gebucht</x:v>
      </x:c>
      <x:c r="N2259" t="str">
        <x:v>ISSUER</x:v>
      </x:c>
      <x:c r="O2259" t="str">
        <x:v>Hotel.Gran.Belveder/Scharbeutz</x:v>
      </x:c>
      <x:c r="P2259" t="str">
        <x:v>VISA Debitkartenumsatz vom 28.04.2024</x:v>
      </x:c>
      <x:c r="Q2259" t="str">
        <x:v>Ausgang</x:v>
      </x:c>
      <x:c r="R2259" t="str">
        <x:v>DE96120300009005290904</x:v>
      </x:c>
      <x:c r="S2259" t="n">
        <x:v>-175.3</x:v>
      </x:c>
      <x:c r="T2259" t="str">
        <x:v>"</x:v>
      </x:c>
      <x:c r="U2259" t="str">
        <x:v>"</x:v>
      </x:c>
      <x:c r="V2259" t="str">
        <x:v>484119393291698</x:v>
      </x:c>
    </x:row>
    <x:row r="2260">
      <x:c r="A2260" t="str">
        <x:v>RAW-IMP-20260516-FULLDRAFT-002243</x:v>
      </x:c>
      <x:c r="B2260" t="str">
        <x:v>IMP-20260516-FULLDRAFT</x:v>
      </x:c>
      <x:c r="C2260" t="str">
        <x:v>KTO001</x:v>
      </x:c>
      <x:c r="D2260" t="str">
        <x:v>16-05-2026_Umsatzliste_Girokonto_DE98120300001061711675.csv</x:v>
      </x:c>
      <x:c r="E2260" t="n">
        <x:v>46163</x:v>
      </x:c>
      <x:c r="F2260" t="n">
        <x:v>2243</x:v>
      </x:c>
      <x:c r="G2260" t="str">
        <x:v>6e39106825de5bc91b7862619aa34b46976b7ccb77bea1888425ade9bad05fdf</x:v>
      </x:c>
      <x:c r="H2260" t="str">
        <x:v>neu</x:v>
      </x:c>
      <x:c r="I2260" t="str">
        <x:v>ok</x:v>
      </x:c>
      <x:c r="J2260"/>
      <x:c r="K2260" t="n">
        <x:v>45411</x:v>
      </x:c>
      <x:c r="L2260" t="n">
        <x:v>45411</x:v>
      </x:c>
      <x:c r="M2260" t="str">
        <x:v>Gebucht</x:v>
      </x:c>
      <x:c r="N2260" t="str">
        <x:v>ISSUER</x:v>
      </x:c>
      <x:c r="O2260" t="str">
        <x:v>BTS.GMBH/SCHARBEUTZ</x:v>
      </x:c>
      <x:c r="P2260" t="str">
        <x:v>VISA Debitkartenumsatz vom 27.04.2024</x:v>
      </x:c>
      <x:c r="Q2260" t="str">
        <x:v>Ausgang</x:v>
      </x:c>
      <x:c r="R2260" t="str">
        <x:v>DE96120300009005290904</x:v>
      </x:c>
      <x:c r="S2260" t="n">
        <x:v>-12.9</x:v>
      </x:c>
      <x:c r="T2260" t="str">
        <x:v>"</x:v>
      </x:c>
      <x:c r="U2260" t="str">
        <x:v>"</x:v>
      </x:c>
      <x:c r="V2260" t="str">
        <x:v>484118483706553</x:v>
      </x:c>
    </x:row>
    <x:row r="2261">
      <x:c r="A2261" t="str">
        <x:v>RAW-IMP-20260516-FULLDRAFT-002244</x:v>
      </x:c>
      <x:c r="B2261" t="str">
        <x:v>IMP-20260516-FULLDRAFT</x:v>
      </x:c>
      <x:c r="C2261" t="str">
        <x:v>KTO001</x:v>
      </x:c>
      <x:c r="D2261" t="str">
        <x:v>16-05-2026_Umsatzliste_Girokonto_DE98120300001061711675.csv</x:v>
      </x:c>
      <x:c r="E2261" t="n">
        <x:v>46163</x:v>
      </x:c>
      <x:c r="F2261" t="n">
        <x:v>2244</x:v>
      </x:c>
      <x:c r="G2261" t="str">
        <x:v>4a802dd0d9f5dba469f1d2cda5c5a3406eff014058188ee1c278cc7007d9b899</x:v>
      </x:c>
      <x:c r="H2261" t="str">
        <x:v>neu</x:v>
      </x:c>
      <x:c r="I2261" t="str">
        <x:v>ok</x:v>
      </x:c>
      <x:c r="J2261"/>
      <x:c r="K2261" t="n">
        <x:v>45411</x:v>
      </x:c>
      <x:c r="L2261" t="n">
        <x:v>45411</x:v>
      </x:c>
      <x:c r="M2261" t="str">
        <x:v>Gebucht</x:v>
      </x:c>
      <x:c r="N2261" t="str">
        <x:v>ISSUER</x:v>
      </x:c>
      <x:c r="O2261" t="str">
        <x:v>BTS.GMBH/SCHARBEUTZ</x:v>
      </x:c>
      <x:c r="P2261" t="str">
        <x:v>VISA Debitkartenumsatz vom 27.04.2024</x:v>
      </x:c>
      <x:c r="Q2261" t="str">
        <x:v>Ausgang</x:v>
      </x:c>
      <x:c r="R2261" t="str">
        <x:v>DE96120300009005290904</x:v>
      </x:c>
      <x:c r="S2261" t="n">
        <x:v>-8.2</x:v>
      </x:c>
      <x:c r="T2261" t="str">
        <x:v>"</x:v>
      </x:c>
      <x:c r="U2261" t="str">
        <x:v>"</x:v>
      </x:c>
      <x:c r="V2261" t="str">
        <x:v>484118482859652</x:v>
      </x:c>
    </x:row>
    <x:row r="2262">
      <x:c r="A2262" t="str">
        <x:v>RAW-IMP-20260516-FULLDRAFT-002245</x:v>
      </x:c>
      <x:c r="B2262" t="str">
        <x:v>IMP-20260516-FULLDRAFT</x:v>
      </x:c>
      <x:c r="C2262" t="str">
        <x:v>KTO001</x:v>
      </x:c>
      <x:c r="D2262" t="str">
        <x:v>16-05-2026_Umsatzliste_Girokonto_DE98120300001061711675.csv</x:v>
      </x:c>
      <x:c r="E2262" t="n">
        <x:v>46163</x:v>
      </x:c>
      <x:c r="F2262" t="n">
        <x:v>2245</x:v>
      </x:c>
      <x:c r="G2262" t="str">
        <x:v>79f62f3d414afbe28449d3f81c03919e5a5165e508b460ca7defa6c2332f2df4</x:v>
      </x:c>
      <x:c r="H2262" t="str">
        <x:v>neu</x:v>
      </x:c>
      <x:c r="I2262" t="str">
        <x:v>ok</x:v>
      </x:c>
      <x:c r="J2262"/>
      <x:c r="K2262" t="n">
        <x:v>45411</x:v>
      </x:c>
      <x:c r="L2262" t="n">
        <x:v>45411</x:v>
      </x:c>
      <x:c r="M2262" t="str">
        <x:v>Gebucht</x:v>
      </x:c>
      <x:c r="N2262" t="str">
        <x:v>ISSUER</x:v>
      </x:c>
      <x:c r="O2262" t="str">
        <x:v>BTS.GMBH/TIMMENDORFER</x:v>
      </x:c>
      <x:c r="P2262" t="str">
        <x:v>VISA Debitkartenumsatz vom 26.04.2024</x:v>
      </x:c>
      <x:c r="Q2262" t="str">
        <x:v>Ausgang</x:v>
      </x:c>
      <x:c r="R2262" t="str">
        <x:v>DE96120300009005290904</x:v>
      </x:c>
      <x:c r="S2262" t="n">
        <x:v>-49</x:v>
      </x:c>
      <x:c r="T2262" t="str">
        <x:v>"</x:v>
      </x:c>
      <x:c r="U2262" t="str">
        <x:v>"</x:v>
      </x:c>
      <x:c r="V2262" t="str">
        <x:v>484117588580925</x:v>
      </x:c>
    </x:row>
    <x:row r="2263">
      <x:c r="A2263" t="str">
        <x:v>RAW-IMP-20260516-FULLDRAFT-002246</x:v>
      </x:c>
      <x:c r="B2263" t="str">
        <x:v>IMP-20260516-FULLDRAFT</x:v>
      </x:c>
      <x:c r="C2263" t="str">
        <x:v>KTO001</x:v>
      </x:c>
      <x:c r="D2263" t="str">
        <x:v>16-05-2026_Umsatzliste_Girokonto_DE98120300001061711675.csv</x:v>
      </x:c>
      <x:c r="E2263" t="n">
        <x:v>46163</x:v>
      </x:c>
      <x:c r="F2263" t="n">
        <x:v>2246</x:v>
      </x:c>
      <x:c r="G2263" t="str">
        <x:v>091e3984d6d92a69cd886277d439c52e5d6cef8dbde5583678bf7a64e508f395</x:v>
      </x:c>
      <x:c r="H2263" t="str">
        <x:v>neu</x:v>
      </x:c>
      <x:c r="I2263" t="str">
        <x:v>ok</x:v>
      </x:c>
      <x:c r="J2263"/>
      <x:c r="K2263" t="n">
        <x:v>45411</x:v>
      </x:c>
      <x:c r="L2263" t="n">
        <x:v>45411</x:v>
      </x:c>
      <x:c r="M2263" t="str">
        <x:v>Gebucht</x:v>
      </x:c>
      <x:c r="N2263" t="str">
        <x:v>ISSUER</x:v>
      </x:c>
      <x:c r="O2263" t="str">
        <x:v>BTS.GMBH/TIMMENDORFER</x:v>
      </x:c>
      <x:c r="P2263" t="str">
        <x:v>VISA Debitkartenumsatz vom 26.04.2024</x:v>
      </x:c>
      <x:c r="Q2263" t="str">
        <x:v>Ausgang</x:v>
      </x:c>
      <x:c r="R2263" t="str">
        <x:v>DE96120300009005290904</x:v>
      </x:c>
      <x:c r="S2263" t="n">
        <x:v>-25.3</x:v>
      </x:c>
      <x:c r="T2263" t="str">
        <x:v>"</x:v>
      </x:c>
      <x:c r="U2263" t="str">
        <x:v>"</x:v>
      </x:c>
      <x:c r="V2263" t="str">
        <x:v>484117585899576</x:v>
      </x:c>
    </x:row>
    <x:row r="2264">
      <x:c r="A2264" t="str">
        <x:v>RAW-IMP-20260516-FULLDRAFT-002247</x:v>
      </x:c>
      <x:c r="B2264" t="str">
        <x:v>IMP-20260516-FULLDRAFT</x:v>
      </x:c>
      <x:c r="C2264" t="str">
        <x:v>KTO001</x:v>
      </x:c>
      <x:c r="D2264" t="str">
        <x:v>16-05-2026_Umsatzliste_Girokonto_DE98120300001061711675.csv</x:v>
      </x:c>
      <x:c r="E2264" t="n">
        <x:v>46163</x:v>
      </x:c>
      <x:c r="F2264" t="n">
        <x:v>2247</x:v>
      </x:c>
      <x:c r="G2264" t="str">
        <x:v>0aa7a0c2aa413b5efddf14c2fa9d60c74a27a8a1a2843d49eed8b1b308315f8b</x:v>
      </x:c>
      <x:c r="H2264" t="str">
        <x:v>neu</x:v>
      </x:c>
      <x:c r="I2264" t="str">
        <x:v>ok</x:v>
      </x:c>
      <x:c r="J2264"/>
      <x:c r="K2264" t="n">
        <x:v>45411</x:v>
      </x:c>
      <x:c r="L2264" t="n">
        <x:v>45411</x:v>
      </x:c>
      <x:c r="M2264" t="str">
        <x:v>Gebucht</x:v>
      </x:c>
      <x:c r="N2264" t="str">
        <x:v>ISSUER</x:v>
      </x:c>
      <x:c r="O2264" t="str">
        <x:v>EDEKA.LAURA.SCHULZ.E.K/TIMMENDORFER</x:v>
      </x:c>
      <x:c r="P2264" t="str">
        <x:v>VISA Debitkartenumsatz vom 26.04.2024</x:v>
      </x:c>
      <x:c r="Q2264" t="str">
        <x:v>Ausgang</x:v>
      </x:c>
      <x:c r="R2264" t="str">
        <x:v>DE96120300009005290904</x:v>
      </x:c>
      <x:c r="S2264" t="n">
        <x:v>-2.36</x:v>
      </x:c>
      <x:c r="T2264" t="str">
        <x:v>"</x:v>
      </x:c>
      <x:c r="U2264" t="str">
        <x:v>"</x:v>
      </x:c>
      <x:c r="V2264" t="str">
        <x:v>484117628606526</x:v>
      </x:c>
    </x:row>
    <x:row r="2265">
      <x:c r="A2265" t="str">
        <x:v>RAW-IMP-20260516-FULLDRAFT-002248</x:v>
      </x:c>
      <x:c r="B2265" t="str">
        <x:v>IMP-20260516-FULLDRAFT</x:v>
      </x:c>
      <x:c r="C2265" t="str">
        <x:v>KTO001</x:v>
      </x:c>
      <x:c r="D2265" t="str">
        <x:v>16-05-2026_Umsatzliste_Girokonto_DE98120300001061711675.csv</x:v>
      </x:c>
      <x:c r="E2265" t="n">
        <x:v>46163</x:v>
      </x:c>
      <x:c r="F2265" t="n">
        <x:v>2248</x:v>
      </x:c>
      <x:c r="G2265" t="str">
        <x:v>d05dde7d7f8217fc43dffeda69e25611c101675384ba721ac2e0f7b35f4e8850</x:v>
      </x:c>
      <x:c r="H2265" t="str">
        <x:v>neu</x:v>
      </x:c>
      <x:c r="I2265" t="str">
        <x:v>ok</x:v>
      </x:c>
      <x:c r="J2265"/>
      <x:c r="K2265" t="n">
        <x:v>45408</x:v>
      </x:c>
      <x:c r="L2265" t="n">
        <x:v>45408</x:v>
      </x:c>
      <x:c r="M2265" t="str">
        <x:v>Gebucht</x:v>
      </x:c>
      <x:c r="N2265" t="str">
        <x:v>Lars Kohlenberg</x:v>
      </x:c>
      <x:c r="O2265" t="str">
        <x:v>Gymnasium Salzgitter Bad</x:v>
      </x:c>
      <x:c r="P2265" t="str">
        <x:v>Lea Kohlenberg /Börßum/Klasse 9F2/3-2024-35</x:v>
      </x:c>
      <x:c r="Q2265" t="str">
        <x:v>Ausgang</x:v>
      </x:c>
      <x:c r="R2265" t="str">
        <x:v>DE36259501300154022560</x:v>
      </x:c>
      <x:c r="S2265" t="n">
        <x:v>-20</x:v>
      </x:c>
      <x:c r="T2265" t="str">
        <x:v>"</x:v>
      </x:c>
      <x:c r="U2265" t="str">
        <x:v>"</x:v>
      </x:c>
      <x:c r="V2265" t="str">
        <x:v>"</x:v>
      </x:c>
    </x:row>
    <x:row r="2266">
      <x:c r="A2266" t="str">
        <x:v>RAW-IMP-20260516-FULLDRAFT-002249</x:v>
      </x:c>
      <x:c r="B2266" t="str">
        <x:v>IMP-20260516-FULLDRAFT</x:v>
      </x:c>
      <x:c r="C2266" t="str">
        <x:v>KTO001</x:v>
      </x:c>
      <x:c r="D2266" t="str">
        <x:v>16-05-2026_Umsatzliste_Girokonto_DE98120300001061711675.csv</x:v>
      </x:c>
      <x:c r="E2266" t="n">
        <x:v>46163</x:v>
      </x:c>
      <x:c r="F2266" t="n">
        <x:v>2249</x:v>
      </x:c>
      <x:c r="G2266" t="str">
        <x:v>778ffdeb09ba3405c05be38765c7594b609704bcfee4beb25c42f5333e95aeac</x:v>
      </x:c>
      <x:c r="H2266" t="str">
        <x:v>neu</x:v>
      </x:c>
      <x:c r="I2266" t="str">
        <x:v>ok</x:v>
      </x:c>
      <x:c r="J2266"/>
      <x:c r="K2266" t="n">
        <x:v>45408</x:v>
      </x:c>
      <x:c r="L2266" t="n">
        <x:v>45408</x:v>
      </x:c>
      <x:c r="M2266" t="str">
        <x:v>Gebucht</x:v>
      </x:c>
      <x:c r="N2266" t="str">
        <x:v>ISSUER</x:v>
      </x:c>
      <x:c r="O2266" t="str">
        <x:v>Hotel.Gran.Belveder/Scharbeutz</x:v>
      </x:c>
      <x:c r="P2266" t="str">
        <x:v>VISA Debitkartenumsatz vom 25.04.2024</x:v>
      </x:c>
      <x:c r="Q2266" t="str">
        <x:v>Ausgang</x:v>
      </x:c>
      <x:c r="R2266" t="str">
        <x:v>DE96120300009005290904</x:v>
      </x:c>
      <x:c r="S2266" t="n">
        <x:v>-1463</x:v>
      </x:c>
      <x:c r="T2266" t="str">
        <x:v>"</x:v>
      </x:c>
      <x:c r="U2266" t="str">
        <x:v>"</x:v>
      </x:c>
      <x:c r="V2266" t="str">
        <x:v>484116637463846</x:v>
      </x:c>
    </x:row>
    <x:row r="2267">
      <x:c r="A2267" t="str">
        <x:v>RAW-IMP-20260516-FULLDRAFT-002250</x:v>
      </x:c>
      <x:c r="B2267" t="str">
        <x:v>IMP-20260516-FULLDRAFT</x:v>
      </x:c>
      <x:c r="C2267" t="str">
        <x:v>KTO001</x:v>
      </x:c>
      <x:c r="D2267" t="str">
        <x:v>16-05-2026_Umsatzliste_Girokonto_DE98120300001061711675.csv</x:v>
      </x:c>
      <x:c r="E2267" t="n">
        <x:v>46163</x:v>
      </x:c>
      <x:c r="F2267" t="n">
        <x:v>2250</x:v>
      </x:c>
      <x:c r="G2267" t="str">
        <x:v>76c8563218f486a1ae65ec21e35bc9034a4032b2ae9c572e99e52ff67344f139</x:v>
      </x:c>
      <x:c r="H2267" t="str">
        <x:v>neu</x:v>
      </x:c>
      <x:c r="I2267" t="str">
        <x:v>ok</x:v>
      </x:c>
      <x:c r="J2267"/>
      <x:c r="K2267" t="n">
        <x:v>45407</x:v>
      </x:c>
      <x:c r="L2267" t="n">
        <x:v>45407</x:v>
      </x:c>
      <x:c r="M2267" t="str">
        <x:v>Gebucht</x:v>
      </x:c>
      <x:c r="N2267" t="str">
        <x:v>ISSUER</x:v>
      </x:c>
      <x:c r="O2267" t="str">
        <x:v>PETER.PANE.BRAUNSCHWEI/BRAUNSCHWEIG</x:v>
      </x:c>
      <x:c r="P2267" t="str">
        <x:v>VISA Debitkartenumsatz vom 24.04.2024</x:v>
      </x:c>
      <x:c r="Q2267" t="str">
        <x:v>Ausgang</x:v>
      </x:c>
      <x:c r="R2267" t="str">
        <x:v>DE96120300009005290904</x:v>
      </x:c>
      <x:c r="S2267" t="n">
        <x:v>-21</x:v>
      </x:c>
      <x:c r="T2267" t="str">
        <x:v>"</x:v>
      </x:c>
      <x:c r="U2267" t="str">
        <x:v>"</x:v>
      </x:c>
      <x:c r="V2267" t="str">
        <x:v>484115394977671</x:v>
      </x:c>
    </x:row>
    <x:row r="2268">
      <x:c r="A2268" t="str">
        <x:v>RAW-IMP-20260516-FULLDRAFT-002251</x:v>
      </x:c>
      <x:c r="B2268" t="str">
        <x:v>IMP-20260516-FULLDRAFT</x:v>
      </x:c>
      <x:c r="C2268" t="str">
        <x:v>KTO001</x:v>
      </x:c>
      <x:c r="D2268" t="str">
        <x:v>16-05-2026_Umsatzliste_Girokonto_DE98120300001061711675.csv</x:v>
      </x:c>
      <x:c r="E2268" t="n">
        <x:v>46163</x:v>
      </x:c>
      <x:c r="F2268" t="n">
        <x:v>2251</x:v>
      </x:c>
      <x:c r="G2268" t="str">
        <x:v>7b463a140685ddbb1ed2f0ad2e58efe4544d396329810d44430c70b7339b78d1</x:v>
      </x:c>
      <x:c r="H2268" t="str">
        <x:v>neu</x:v>
      </x:c>
      <x:c r="I2268" t="str">
        <x:v>ok</x:v>
      </x:c>
      <x:c r="J2268"/>
      <x:c r="K2268" t="n">
        <x:v>45407</x:v>
      </x:c>
      <x:c r="L2268" t="n">
        <x:v>45407</x:v>
      </x:c>
      <x:c r="M2268" t="str">
        <x:v>Gebucht</x:v>
      </x:c>
      <x:c r="N2268" t="str">
        <x:v>ISSUER</x:v>
      </x:c>
      <x:c r="O2268" t="str">
        <x:v>Rossmann.2376/Salzgitter</x:v>
      </x:c>
      <x:c r="P2268" t="str">
        <x:v>VISA Debitkartenumsatz vom 24.04.2024</x:v>
      </x:c>
      <x:c r="Q2268" t="str">
        <x:v>Ausgang</x:v>
      </x:c>
      <x:c r="R2268" t="str">
        <x:v>DE96120300009005290904</x:v>
      </x:c>
      <x:c r="S2268" t="n">
        <x:v>-10.9</x:v>
      </x:c>
      <x:c r="T2268" t="str">
        <x:v>"</x:v>
      </x:c>
      <x:c r="U2268" t="str">
        <x:v>"</x:v>
      </x:c>
      <x:c r="V2268" t="str">
        <x:v>484115600653703</x:v>
      </x:c>
    </x:row>
    <x:row r="2269">
      <x:c r="A2269" t="str">
        <x:v>RAW-IMP-20260516-FULLDRAFT-002252</x:v>
      </x:c>
      <x:c r="B2269" t="str">
        <x:v>IMP-20260516-FULLDRAFT</x:v>
      </x:c>
      <x:c r="C2269" t="str">
        <x:v>KTO001</x:v>
      </x:c>
      <x:c r="D2269" t="str">
        <x:v>16-05-2026_Umsatzliste_Girokonto_DE98120300001061711675.csv</x:v>
      </x:c>
      <x:c r="E2269" t="n">
        <x:v>46163</x:v>
      </x:c>
      <x:c r="F2269" t="n">
        <x:v>2252</x:v>
      </x:c>
      <x:c r="G2269" t="str">
        <x:v>35d5af3632245c952f20a89feb7a9ade7e5e7fc8469ee0784814a842c4d83cd2</x:v>
      </x:c>
      <x:c r="H2269" t="str">
        <x:v>neu</x:v>
      </x:c>
      <x:c r="I2269" t="str">
        <x:v>ok</x:v>
      </x:c>
      <x:c r="J2269"/>
      <x:c r="K2269" t="n">
        <x:v>45406</x:v>
      </x:c>
      <x:c r="L2269" t="n">
        <x:v>45406</x:v>
      </x:c>
      <x:c r="M2269" t="str">
        <x:v>Gebucht</x:v>
      </x:c>
      <x:c r="N2269" t="str">
        <x:v>ISSUER</x:v>
      </x:c>
      <x:c r="O2269" t="str">
        <x:v>Volksbank.BRAWO.eG/BS.Berl.Pl</x:v>
      </x:c>
      <x:c r="P2269" t="str">
        <x:v>VISA Debitkartenumsatz vom 24.04.2024</x:v>
      </x:c>
      <x:c r="Q2269" t="str">
        <x:v>Ausgang</x:v>
      </x:c>
      <x:c r="R2269" t="str">
        <x:v>DE96120300009005290904</x:v>
      </x:c>
      <x:c r="S2269" t="n">
        <x:v>-50</x:v>
      </x:c>
      <x:c r="T2269" t="str">
        <x:v>"</x:v>
      </x:c>
      <x:c r="U2269" t="str">
        <x:v>"</x:v>
      </x:c>
      <x:c r="V2269" t="str">
        <x:v>484115369769169</x:v>
      </x:c>
    </x:row>
    <x:row r="2270">
      <x:c r="A2270" t="str">
        <x:v>RAW-IMP-20260516-FULLDRAFT-002253</x:v>
      </x:c>
      <x:c r="B2270" t="str">
        <x:v>IMP-20260516-FULLDRAFT</x:v>
      </x:c>
      <x:c r="C2270" t="str">
        <x:v>KTO001</x:v>
      </x:c>
      <x:c r="D2270" t="str">
        <x:v>16-05-2026_Umsatzliste_Girokonto_DE98120300001061711675.csv</x:v>
      </x:c>
      <x:c r="E2270" t="n">
        <x:v>46163</x:v>
      </x:c>
      <x:c r="F2270" t="n">
        <x:v>2253</x:v>
      </x:c>
      <x:c r="G2270" t="str">
        <x:v>76fe5ead4a996b1132ca2a21a6edf94c37de0669afb7cab4b12ea0e316055dc8</x:v>
      </x:c>
      <x:c r="H2270" t="str">
        <x:v>neu</x:v>
      </x:c>
      <x:c r="I2270" t="str">
        <x:v>ok</x:v>
      </x:c>
      <x:c r="J2270"/>
      <x:c r="K2270" t="n">
        <x:v>45406</x:v>
      </x:c>
      <x:c r="L2270" t="n">
        <x:v>45406</x:v>
      </x:c>
      <x:c r="M2270" t="str">
        <x:v>Gebucht</x:v>
      </x:c>
      <x:c r="N2270" t="str">
        <x:v>Lars Kohlenberg</x:v>
      </x:c>
      <x:c r="O2270" t="str">
        <x:v>Zwergenlunch GmbH</x:v>
      </x:c>
      <x:c r="P2270" t="str">
        <x:v>kole6587</x:v>
      </x:c>
      <x:c r="Q2270" t="str">
        <x:v>Ausgang</x:v>
      </x:c>
      <x:c r="R2270" t="str">
        <x:v>DE59270400800523366301</x:v>
      </x:c>
      <x:c r="S2270" t="n">
        <x:v>-20</x:v>
      </x:c>
      <x:c r="T2270" t="str">
        <x:v>"</x:v>
      </x:c>
      <x:c r="U2270" t="str">
        <x:v>"</x:v>
      </x:c>
      <x:c r="V2270" t="str">
        <x:v>"</x:v>
      </x:c>
    </x:row>
    <x:row r="2271">
      <x:c r="A2271" t="str">
        <x:v>RAW-IMP-20260516-FULLDRAFT-002254</x:v>
      </x:c>
      <x:c r="B2271" t="str">
        <x:v>IMP-20260516-FULLDRAFT</x:v>
      </x:c>
      <x:c r="C2271" t="str">
        <x:v>KTO001</x:v>
      </x:c>
      <x:c r="D2271" t="str">
        <x:v>16-05-2026_Umsatzliste_Girokonto_DE98120300001061711675.csv</x:v>
      </x:c>
      <x:c r="E2271" t="n">
        <x:v>46163</x:v>
      </x:c>
      <x:c r="F2271" t="n">
        <x:v>2254</x:v>
      </x:c>
      <x:c r="G2271" t="str">
        <x:v>6b9c4ae391b24fc5f5c01825dd33a334f0cf8a8643b29d911c636afdcf5c0cf8</x:v>
      </x:c>
      <x:c r="H2271" t="str">
        <x:v>neu</x:v>
      </x:c>
      <x:c r="I2271" t="str">
        <x:v>ok</x:v>
      </x:c>
      <x:c r="J2271"/>
      <x:c r="K2271" t="n">
        <x:v>45406</x:v>
      </x:c>
      <x:c r="L2271" t="n">
        <x:v>45406</x:v>
      </x:c>
      <x:c r="M2271" t="str">
        <x:v>Gebucht</x:v>
      </x:c>
      <x:c r="N2271" t="str">
        <x:v>ISSUER</x:v>
      </x:c>
      <x:c r="O2271" t="str">
        <x:v>REWE.Mehmet.Kaysal.oHG/Salzgitter</x:v>
      </x:c>
      <x:c r="P2271" t="str">
        <x:v>VISA Debitkartenumsatz vom 23.04.2024</x:v>
      </x:c>
      <x:c r="Q2271" t="str">
        <x:v>Ausgang</x:v>
      </x:c>
      <x:c r="R2271" t="str">
        <x:v>DE96120300009005290904</x:v>
      </x:c>
      <x:c r="S2271" t="n">
        <x:v>-43.22</x:v>
      </x:c>
      <x:c r="T2271" t="str">
        <x:v>"</x:v>
      </x:c>
      <x:c r="U2271" t="str">
        <x:v>"</x:v>
      </x:c>
      <x:c r="V2271" t="str">
        <x:v>484114637243610</x:v>
      </x:c>
    </x:row>
    <x:row r="2272">
      <x:c r="A2272" t="str">
        <x:v>RAW-IMP-20260516-FULLDRAFT-002255</x:v>
      </x:c>
      <x:c r="B2272" t="str">
        <x:v>IMP-20260516-FULLDRAFT</x:v>
      </x:c>
      <x:c r="C2272" t="str">
        <x:v>KTO001</x:v>
      </x:c>
      <x:c r="D2272" t="str">
        <x:v>16-05-2026_Umsatzliste_Girokonto_DE98120300001061711675.csv</x:v>
      </x:c>
      <x:c r="E2272" t="n">
        <x:v>46163</x:v>
      </x:c>
      <x:c r="F2272" t="n">
        <x:v>2255</x:v>
      </x:c>
      <x:c r="G2272" t="str">
        <x:v>866d186d81a9bb03e4d283a31532d510984bc29a7cc6c5d72248249074c8fcff</x:v>
      </x:c>
      <x:c r="H2272" t="str">
        <x:v>neu</x:v>
      </x:c>
      <x:c r="I2272" t="str">
        <x:v>ok</x:v>
      </x:c>
      <x:c r="J2272"/>
      <x:c r="K2272" t="n">
        <x:v>45405</x:v>
      </x:c>
      <x:c r="L2272" t="n">
        <x:v>45405</x:v>
      </x:c>
      <x:c r="M2272" t="str">
        <x:v>Gebucht</x:v>
      </x:c>
      <x:c r="N2272" t="str">
        <x:v>ISSUER</x:v>
      </x:c>
      <x:c r="O2272" t="str">
        <x:v>SCHAEFERS.35189/SALZGITTER</x:v>
      </x:c>
      <x:c r="P2272" t="str">
        <x:v>VISA Debitkartenumsatz vom 22.04.2024</x:v>
      </x:c>
      <x:c r="Q2272" t="str">
        <x:v>Ausgang</x:v>
      </x:c>
      <x:c r="R2272" t="str">
        <x:v>DE96120300009005290904</x:v>
      </x:c>
      <x:c r="S2272" t="n">
        <x:v>-2.3</x:v>
      </x:c>
      <x:c r="T2272" t="str">
        <x:v>"</x:v>
      </x:c>
      <x:c r="U2272" t="str">
        <x:v>"</x:v>
      </x:c>
      <x:c r="V2272" t="str">
        <x:v>484113415601753</x:v>
      </x:c>
    </x:row>
    <x:row r="2273">
      <x:c r="A2273" t="str">
        <x:v>RAW-IMP-20260516-FULLDRAFT-002256</x:v>
      </x:c>
      <x:c r="B2273" t="str">
        <x:v>IMP-20260516-FULLDRAFT</x:v>
      </x:c>
      <x:c r="C2273" t="str">
        <x:v>KTO001</x:v>
      </x:c>
      <x:c r="D2273" t="str">
        <x:v>16-05-2026_Umsatzliste_Girokonto_DE98120300001061711675.csv</x:v>
      </x:c>
      <x:c r="E2273" t="n">
        <x:v>46163</x:v>
      </x:c>
      <x:c r="F2273" t="n">
        <x:v>2256</x:v>
      </x:c>
      <x:c r="G2273" t="str">
        <x:v>a5d5785645118d6fc03ac1b644e57568fb2d94e5cb7a30340bffd1a9bcc22e07</x:v>
      </x:c>
      <x:c r="H2273" t="str">
        <x:v>neu</x:v>
      </x:c>
      <x:c r="I2273" t="str">
        <x:v>ok</x:v>
      </x:c>
      <x:c r="J2273"/>
      <x:c r="K2273" t="n">
        <x:v>45405</x:v>
      </x:c>
      <x:c r="L2273" t="n">
        <x:v>45405</x:v>
      </x:c>
      <x:c r="M2273" t="str">
        <x:v>Gebucht</x:v>
      </x:c>
      <x:c r="N2273" t="str">
        <x:v>Lars Kohlenberg</x:v>
      </x:c>
      <x:c r="O2273" t="str">
        <x:v>Lange-Sock Haustechnik</x:v>
      </x:c>
      <x:c r="P2273" t="str">
        <x:v>Re J-24-00384/09.04.2024 Kohlenberg Kd.Nr. 01-031-8</x:v>
      </x:c>
      <x:c r="Q2273" t="str">
        <x:v>Ausgang</x:v>
      </x:c>
      <x:c r="R2273" t="str">
        <x:v>DE91508900000001400118</x:v>
      </x:c>
      <x:c r="S2273" t="n">
        <x:v>-64.13</x:v>
      </x:c>
      <x:c r="T2273" t="str">
        <x:v>"</x:v>
      </x:c>
      <x:c r="U2273" t="str">
        <x:v>"</x:v>
      </x:c>
      <x:c r="V2273" t="str">
        <x:v>"</x:v>
      </x:c>
    </x:row>
    <x:row r="2274">
      <x:c r="A2274" t="str">
        <x:v>RAW-IMP-20260516-FULLDRAFT-002257</x:v>
      </x:c>
      <x:c r="B2274" t="str">
        <x:v>IMP-20260516-FULLDRAFT</x:v>
      </x:c>
      <x:c r="C2274" t="str">
        <x:v>KTO001</x:v>
      </x:c>
      <x:c r="D2274" t="str">
        <x:v>16-05-2026_Umsatzliste_Girokonto_DE98120300001061711675.csv</x:v>
      </x:c>
      <x:c r="E2274" t="n">
        <x:v>46163</x:v>
      </x:c>
      <x:c r="F2274" t="n">
        <x:v>2257</x:v>
      </x:c>
      <x:c r="G2274" t="str">
        <x:v>4e62527e31739546eaceddc9c1ce2689e340d2d31f2c2d51a9d390aecca7ba10</x:v>
      </x:c>
      <x:c r="H2274" t="str">
        <x:v>neu</x:v>
      </x:c>
      <x:c r="I2274" t="str">
        <x:v>ok</x:v>
      </x:c>
      <x:c r="J2274"/>
      <x:c r="K2274" t="n">
        <x:v>45405</x:v>
      </x:c>
      <x:c r="L2274" t="n">
        <x:v>45405</x:v>
      </x:c>
      <x:c r="M2274" t="str">
        <x:v>Gebucht</x:v>
      </x:c>
      <x:c r="N2274" t="str">
        <x:v>Lars Kohlenberg</x:v>
      </x:c>
      <x:c r="O2274" t="str">
        <x:v>Lars Kohlenberg</x:v>
      </x:c>
      <x:c r="P2274" t="str">
        <x:v>Uebertrag</x:v>
      </x:c>
      <x:c r="Q2274" t="str">
        <x:v>Eingang</x:v>
      </x:c>
      <x:c r="R2274" t="str">
        <x:v>DE91270200001510365800</x:v>
      </x:c>
      <x:c r="S2274" t="n">
        <x:v>2000</x:v>
      </x:c>
      <x:c r="T2274" t="str">
        <x:v>"</x:v>
      </x:c>
      <x:c r="U2274" t="str">
        <x:v>"</x:v>
      </x:c>
      <x:c r="V2274" t="str">
        <x:v>"</x:v>
      </x:c>
    </x:row>
    <x:row r="2275">
      <x:c r="A2275" t="str">
        <x:v>RAW-IMP-20260516-FULLDRAFT-002258</x:v>
      </x:c>
      <x:c r="B2275" t="str">
        <x:v>IMP-20260516-FULLDRAFT</x:v>
      </x:c>
      <x:c r="C2275" t="str">
        <x:v>KTO001</x:v>
      </x:c>
      <x:c r="D2275" t="str">
        <x:v>16-05-2026_Umsatzliste_Girokonto_DE98120300001061711675.csv</x:v>
      </x:c>
      <x:c r="E2275" t="n">
        <x:v>46163</x:v>
      </x:c>
      <x:c r="F2275" t="n">
        <x:v>2258</x:v>
      </x:c>
      <x:c r="G2275" t="str">
        <x:v>beb3996f93760a20dcd502b42d0e13b317407f44e000ede9455094876ad1a5f3</x:v>
      </x:c>
      <x:c r="H2275" t="str">
        <x:v>neu</x:v>
      </x:c>
      <x:c r="I2275" t="str">
        <x:v>ok</x:v>
      </x:c>
      <x:c r="J2275"/>
      <x:c r="K2275" t="n">
        <x:v>45405</x:v>
      </x:c>
      <x:c r="L2275" t="n">
        <x:v>45405</x:v>
      </x:c>
      <x:c r="M2275" t="str">
        <x:v>Gebucht</x:v>
      </x:c>
      <x:c r="N2275" t="str">
        <x:v>Lars Kohlenberg                                                       JohannesWosnitzaStr.</x:v>
      </x:c>
      <x:c r="O2275" t="str">
        <x:v>Adyen N.V.</x:v>
      </x:c>
      <x:c r="P2275" t="str">
        <x:v>GMX by LOTTO24 C98983063 T005928439909</x:v>
      </x:c>
      <x:c r="Q2275" t="str">
        <x:v>Ausgang</x:v>
      </x:c>
      <x:c r="R2275" t="str">
        <x:v>DE11120700700020000603</x:v>
      </x:c>
      <x:c r="S2275" t="n">
        <x:v>-18.14</x:v>
      </x:c>
      <x:c r="T2275" t="str">
        <x:v>NL48ZZZ342764500000</x:v>
      </x:c>
      <x:c r="U2275" t="str">
        <x:v>R372DKN5SSBXZP52</x:v>
      </x:c>
      <x:c r="V2275" t="str">
        <x:v>CM5FD4DC3B5WSLKH2C</x:v>
      </x:c>
    </x:row>
    <x:row r="2276">
      <x:c r="A2276" t="str">
        <x:v>RAW-IMP-20260516-FULLDRAFT-002259</x:v>
      </x:c>
      <x:c r="B2276" t="str">
        <x:v>IMP-20260516-FULLDRAFT</x:v>
      </x:c>
      <x:c r="C2276" t="str">
        <x:v>KTO001</x:v>
      </x:c>
      <x:c r="D2276" t="str">
        <x:v>16-05-2026_Umsatzliste_Girokonto_DE98120300001061711675.csv</x:v>
      </x:c>
      <x:c r="E2276" t="n">
        <x:v>46163</x:v>
      </x:c>
      <x:c r="F2276" t="n">
        <x:v>2259</x:v>
      </x:c>
      <x:c r="G2276" t="str">
        <x:v>f4e420867d6472009f359f424b0cdba27754dee8a3d3f63c27d86d039cd79979</x:v>
      </x:c>
      <x:c r="H2276" t="str">
        <x:v>neu</x:v>
      </x:c>
      <x:c r="I2276" t="str">
        <x:v>ok</x:v>
      </x:c>
      <x:c r="J2276"/>
      <x:c r="K2276" t="n">
        <x:v>45404</x:v>
      </x:c>
      <x:c r="L2276" t="n">
        <x:v>45404</x:v>
      </x:c>
      <x:c r="M2276" t="str">
        <x:v>Gebucht</x:v>
      </x:c>
      <x:c r="N2276" t="str">
        <x:v>ISSUER</x:v>
      </x:c>
      <x:c r="O2276" t="str">
        <x:v>REWE.Salzgitter.Ge/Salzgitter</x:v>
      </x:c>
      <x:c r="P2276" t="str">
        <x:v>VISA Debitkartenumsatz vom 19.04.2024</x:v>
      </x:c>
      <x:c r="Q2276" t="str">
        <x:v>Ausgang</x:v>
      </x:c>
      <x:c r="R2276" t="str">
        <x:v>DE96120300009005290904</x:v>
      </x:c>
      <x:c r="S2276" t="n">
        <x:v>-2.58</x:v>
      </x:c>
      <x:c r="T2276" t="str">
        <x:v>"</x:v>
      </x:c>
      <x:c r="U2276" t="str">
        <x:v>"</x:v>
      </x:c>
      <x:c r="V2276" t="str">
        <x:v>484110672842399</x:v>
      </x:c>
    </x:row>
    <x:row r="2277">
      <x:c r="A2277" t="str">
        <x:v>RAW-IMP-20260516-FULLDRAFT-002260</x:v>
      </x:c>
      <x:c r="B2277" t="str">
        <x:v>IMP-20260516-FULLDRAFT</x:v>
      </x:c>
      <x:c r="C2277" t="str">
        <x:v>KTO001</x:v>
      </x:c>
      <x:c r="D2277" t="str">
        <x:v>16-05-2026_Umsatzliste_Girokonto_DE98120300001061711675.csv</x:v>
      </x:c>
      <x:c r="E2277" t="n">
        <x:v>46163</x:v>
      </x:c>
      <x:c r="F2277" t="n">
        <x:v>2260</x:v>
      </x:c>
      <x:c r="G2277" t="str">
        <x:v>2ff138d343bec69b05cc1dfce1dc728ae49778f8825e9e9930f4aa8b5fe604b0</x:v>
      </x:c>
      <x:c r="H2277" t="str">
        <x:v>neu</x:v>
      </x:c>
      <x:c r="I2277" t="str">
        <x:v>ok</x:v>
      </x:c>
      <x:c r="J2277"/>
      <x:c r="K2277" t="n">
        <x:v>45404</x:v>
      </x:c>
      <x:c r="L2277" t="n">
        <x:v>45404</x:v>
      </x:c>
      <x:c r="M2277" t="str">
        <x:v>Gebucht</x:v>
      </x:c>
      <x:c r="N2277" t="str">
        <x:v>ISSUER</x:v>
      </x:c>
      <x:c r="O2277" t="str">
        <x:v>AMZN.Mktp.DE.HD6OK9G04/800.279.6620</x:v>
      </x:c>
      <x:c r="P2277" t="str">
        <x:v>VISA Debitkartenumsatz vom 19.04.2024</x:v>
      </x:c>
      <x:c r="Q2277" t="str">
        <x:v>Ausgang</x:v>
      </x:c>
      <x:c r="R2277" t="str">
        <x:v>DE96120300009005290904</x:v>
      </x:c>
      <x:c r="S2277" t="n">
        <x:v>-7.22</x:v>
      </x:c>
      <x:c r="T2277" t="str">
        <x:v>"</x:v>
      </x:c>
      <x:c r="U2277" t="str">
        <x:v>"</x:v>
      </x:c>
      <x:c r="V2277" t="str">
        <x:v>484110313033319</x:v>
      </x:c>
    </x:row>
    <x:row r="2278">
      <x:c r="A2278" t="str">
        <x:v>RAW-IMP-20260516-FULLDRAFT-002261</x:v>
      </x:c>
      <x:c r="B2278" t="str">
        <x:v>IMP-20260516-FULLDRAFT</x:v>
      </x:c>
      <x:c r="C2278" t="str">
        <x:v>KTO001</x:v>
      </x:c>
      <x:c r="D2278" t="str">
        <x:v>16-05-2026_Umsatzliste_Girokonto_DE98120300001061711675.csv</x:v>
      </x:c>
      <x:c r="E2278" t="n">
        <x:v>46163</x:v>
      </x:c>
      <x:c r="F2278" t="n">
        <x:v>2261</x:v>
      </x:c>
      <x:c r="G2278" t="str">
        <x:v>c0b73a6ce0c7187ffb8dddca8935c827c905d4f0b83e04413d643374d19a5549</x:v>
      </x:c>
      <x:c r="H2278" t="str">
        <x:v>neu</x:v>
      </x:c>
      <x:c r="I2278" t="str">
        <x:v>ok</x:v>
      </x:c>
      <x:c r="J2278"/>
      <x:c r="K2278" t="n">
        <x:v>45404</x:v>
      </x:c>
      <x:c r="L2278" t="n">
        <x:v>45404</x:v>
      </x:c>
      <x:c r="M2278" t="str">
        <x:v>Gebucht</x:v>
      </x:c>
      <x:c r="N2278" t="str">
        <x:v>ISSUER</x:v>
      </x:c>
      <x:c r="O2278" t="str">
        <x:v>PAYPAL..HPDEUTSCHLA/35314369001</x:v>
      </x:c>
      <x:c r="P2278" t="str">
        <x:v>VISA Debitkartenumsatz vom 19.04.2024</x:v>
      </x:c>
      <x:c r="Q2278" t="str">
        <x:v>Ausgang</x:v>
      </x:c>
      <x:c r="R2278" t="str">
        <x:v>DE96120300009005290904</x:v>
      </x:c>
      <x:c r="S2278" t="n">
        <x:v>-1.48</x:v>
      </x:c>
      <x:c r="T2278" t="str">
        <x:v>"</x:v>
      </x:c>
      <x:c r="U2278" t="str">
        <x:v>"</x:v>
      </x:c>
      <x:c r="V2278" t="str">
        <x:v>584110687960652</x:v>
      </x:c>
    </x:row>
    <x:row r="2279">
      <x:c r="A2279" t="str">
        <x:v>RAW-IMP-20260516-FULLDRAFT-002262</x:v>
      </x:c>
      <x:c r="B2279" t="str">
        <x:v>IMP-20260516-FULLDRAFT</x:v>
      </x:c>
      <x:c r="C2279" t="str">
        <x:v>KTO001</x:v>
      </x:c>
      <x:c r="D2279" t="str">
        <x:v>16-05-2026_Umsatzliste_Girokonto_DE98120300001061711675.csv</x:v>
      </x:c>
      <x:c r="E2279" t="n">
        <x:v>46163</x:v>
      </x:c>
      <x:c r="F2279" t="n">
        <x:v>2262</x:v>
      </x:c>
      <x:c r="G2279" t="str">
        <x:v>f9a333977dcbf27212849fee254e93746b876f576b53109477d447f9dc4abffd</x:v>
      </x:c>
      <x:c r="H2279" t="str">
        <x:v>neu</x:v>
      </x:c>
      <x:c r="I2279" t="str">
        <x:v>ok</x:v>
      </x:c>
      <x:c r="J2279"/>
      <x:c r="K2279" t="n">
        <x:v>45404</x:v>
      </x:c>
      <x:c r="L2279" t="n">
        <x:v>45404</x:v>
      </x:c>
      <x:c r="M2279" t="str">
        <x:v>Gebucht</x:v>
      </x:c>
      <x:c r="N2279" t="str">
        <x:v>ISSUER</x:v>
      </x:c>
      <x:c r="O2279" t="str">
        <x:v>REWE.Salzgitter.Ge/Salzgitter</x:v>
      </x:c>
      <x:c r="P2279" t="str">
        <x:v>VISA Debitkartenumsatz vom 20.04.2024</x:v>
      </x:c>
      <x:c r="Q2279" t="str">
        <x:v>Ausgang</x:v>
      </x:c>
      <x:c r="R2279" t="str">
        <x:v>DE96120300009005290904</x:v>
      </x:c>
      <x:c r="S2279" t="n">
        <x:v>-15.55</x:v>
      </x:c>
      <x:c r="T2279" t="str">
        <x:v>"</x:v>
      </x:c>
      <x:c r="U2279" t="str">
        <x:v>"</x:v>
      </x:c>
      <x:c r="V2279" t="str">
        <x:v>484111264516566</x:v>
      </x:c>
    </x:row>
    <x:row r="2280">
      <x:c r="A2280" t="str">
        <x:v>RAW-IMP-20260516-FULLDRAFT-002263</x:v>
      </x:c>
      <x:c r="B2280" t="str">
        <x:v>IMP-20260516-FULLDRAFT</x:v>
      </x:c>
      <x:c r="C2280" t="str">
        <x:v>KTO001</x:v>
      </x:c>
      <x:c r="D2280" t="str">
        <x:v>16-05-2026_Umsatzliste_Girokonto_DE98120300001061711675.csv</x:v>
      </x:c>
      <x:c r="E2280" t="n">
        <x:v>46163</x:v>
      </x:c>
      <x:c r="F2280" t="n">
        <x:v>2263</x:v>
      </x:c>
      <x:c r="G2280" t="str">
        <x:v>92cb24d350702fc0cec67730509535913974bb5472cda88c7c7e47555a4ea72a</x:v>
      </x:c>
      <x:c r="H2280" t="str">
        <x:v>neu</x:v>
      </x:c>
      <x:c r="I2280" t="str">
        <x:v>ok</x:v>
      </x:c>
      <x:c r="J2280"/>
      <x:c r="K2280" t="n">
        <x:v>45404</x:v>
      </x:c>
      <x:c r="L2280" t="n">
        <x:v>45404</x:v>
      </x:c>
      <x:c r="M2280" t="str">
        <x:v>Gebucht</x:v>
      </x:c>
      <x:c r="N2280" t="str">
        <x:v>ISSUER</x:v>
      </x:c>
      <x:c r="O2280" t="str">
        <x:v>Hagebaumarkt.Salzgitter/Salzgitter</x:v>
      </x:c>
      <x:c r="P2280" t="str">
        <x:v>VISA Debitkartenumsatz vom 20.04.2024</x:v>
      </x:c>
      <x:c r="Q2280" t="str">
        <x:v>Ausgang</x:v>
      </x:c>
      <x:c r="R2280" t="str">
        <x:v>DE96120300009005290904</x:v>
      </x:c>
      <x:c r="S2280" t="n">
        <x:v>-14.48</x:v>
      </x:c>
      <x:c r="T2280" t="str">
        <x:v>"</x:v>
      </x:c>
      <x:c r="U2280" t="str">
        <x:v>"</x:v>
      </x:c>
      <x:c r="V2280" t="str">
        <x:v>484111407084283</x:v>
      </x:c>
    </x:row>
    <x:row r="2281">
      <x:c r="A2281" t="str">
        <x:v>RAW-IMP-20260516-FULLDRAFT-002264</x:v>
      </x:c>
      <x:c r="B2281" t="str">
        <x:v>IMP-20260516-FULLDRAFT</x:v>
      </x:c>
      <x:c r="C2281" t="str">
        <x:v>KTO001</x:v>
      </x:c>
      <x:c r="D2281" t="str">
        <x:v>16-05-2026_Umsatzliste_Girokonto_DE98120300001061711675.csv</x:v>
      </x:c>
      <x:c r="E2281" t="n">
        <x:v>46163</x:v>
      </x:c>
      <x:c r="F2281" t="n">
        <x:v>2264</x:v>
      </x:c>
      <x:c r="G2281" t="str">
        <x:v>e950c13178751255bd602987ce9580f0b49cc3cc121d28a7ce3016a9cccc24c7</x:v>
      </x:c>
      <x:c r="H2281" t="str">
        <x:v>neu</x:v>
      </x:c>
      <x:c r="I2281" t="str">
        <x:v>ok</x:v>
      </x:c>
      <x:c r="J2281"/>
      <x:c r="K2281" t="n">
        <x:v>45404</x:v>
      </x:c>
      <x:c r="L2281" t="n">
        <x:v>45404</x:v>
      </x:c>
      <x:c r="M2281" t="str">
        <x:v>Gebucht</x:v>
      </x:c>
      <x:c r="N2281" t="str">
        <x:v>ISSUER</x:v>
      </x:c>
      <x:c r="O2281" t="str">
        <x:v>REWE.Acar.oHG/Salzgitter</x:v>
      </x:c>
      <x:c r="P2281" t="str">
        <x:v>VISA Debitkartenumsatz vom 20.04.2024</x:v>
      </x:c>
      <x:c r="Q2281" t="str">
        <x:v>Ausgang</x:v>
      </x:c>
      <x:c r="R2281" t="str">
        <x:v>DE96120300009005290904</x:v>
      </x:c>
      <x:c r="S2281" t="n">
        <x:v>-2.59</x:v>
      </x:c>
      <x:c r="T2281" t="str">
        <x:v>"</x:v>
      </x:c>
      <x:c r="U2281" t="str">
        <x:v>"</x:v>
      </x:c>
      <x:c r="V2281" t="str">
        <x:v>484111652830144</x:v>
      </x:c>
    </x:row>
    <x:row r="2282">
      <x:c r="A2282" t="str">
        <x:v>RAW-IMP-20260516-FULLDRAFT-002265</x:v>
      </x:c>
      <x:c r="B2282" t="str">
        <x:v>IMP-20260516-FULLDRAFT</x:v>
      </x:c>
      <x:c r="C2282" t="str">
        <x:v>KTO001</x:v>
      </x:c>
      <x:c r="D2282" t="str">
        <x:v>16-05-2026_Umsatzliste_Girokonto_DE98120300001061711675.csv</x:v>
      </x:c>
      <x:c r="E2282" t="n">
        <x:v>46163</x:v>
      </x:c>
      <x:c r="F2282" t="n">
        <x:v>2265</x:v>
      </x:c>
      <x:c r="G2282" t="str">
        <x:v>61909832a060c9e78ec157455f11d15adac948ede847a57c6eafba9355cdbe5c</x:v>
      </x:c>
      <x:c r="H2282" t="str">
        <x:v>neu</x:v>
      </x:c>
      <x:c r="I2282" t="str">
        <x:v>ok</x:v>
      </x:c>
      <x:c r="J2282"/>
      <x:c r="K2282" t="n">
        <x:v>45404</x:v>
      </x:c>
      <x:c r="L2282" t="n">
        <x:v>45404</x:v>
      </x:c>
      <x:c r="M2282" t="str">
        <x:v>Gebucht</x:v>
      </x:c>
      <x:c r="N2282" t="str">
        <x:v>ISSUER</x:v>
      </x:c>
      <x:c r="O2282" t="str">
        <x:v>Globus.Baumarkt/Salzgitter</x:v>
      </x:c>
      <x:c r="P2282" t="str">
        <x:v>VISA Debitkartenumsatz vom 20.04.2024</x:v>
      </x:c>
      <x:c r="Q2282" t="str">
        <x:v>Ausgang</x:v>
      </x:c>
      <x:c r="R2282" t="str">
        <x:v>DE96120300009005290904</x:v>
      </x:c>
      <x:c r="S2282" t="n">
        <x:v>-7.99</x:v>
      </x:c>
      <x:c r="T2282" t="str">
        <x:v>"</x:v>
      </x:c>
      <x:c r="U2282" t="str">
        <x:v>"</x:v>
      </x:c>
      <x:c r="V2282" t="str">
        <x:v>484111622525460</x:v>
      </x:c>
    </x:row>
    <x:row r="2283">
      <x:c r="A2283" t="str">
        <x:v>RAW-IMP-20260516-FULLDRAFT-002266</x:v>
      </x:c>
      <x:c r="B2283" t="str">
        <x:v>IMP-20260516-FULLDRAFT</x:v>
      </x:c>
      <x:c r="C2283" t="str">
        <x:v>KTO001</x:v>
      </x:c>
      <x:c r="D2283" t="str">
        <x:v>16-05-2026_Umsatzliste_Girokonto_DE98120300001061711675.csv</x:v>
      </x:c>
      <x:c r="E2283" t="n">
        <x:v>46163</x:v>
      </x:c>
      <x:c r="F2283" t="n">
        <x:v>2266</x:v>
      </x:c>
      <x:c r="G2283" t="str">
        <x:v>911c6b68e678aa5de269c10d25c92fa5b82f87d96b1b8f79c824a6839468a380</x:v>
      </x:c>
      <x:c r="H2283" t="str">
        <x:v>neu</x:v>
      </x:c>
      <x:c r="I2283" t="str">
        <x:v>ok</x:v>
      </x:c>
      <x:c r="J2283"/>
      <x:c r="K2283" t="n">
        <x:v>45404</x:v>
      </x:c>
      <x:c r="L2283" t="n">
        <x:v>45404</x:v>
      </x:c>
      <x:c r="M2283" t="str">
        <x:v>Gebucht</x:v>
      </x:c>
      <x:c r="N2283" t="str">
        <x:v>Amazon.de/AMAZON.DE</x:v>
      </x:c>
      <x:c r="O2283" t="str">
        <x:v>NOTPROVIDED</x:v>
      </x:c>
      <x:c r="P2283" t="str">
        <x:v>20240420210643 Amazon.de LU</x:v>
      </x:c>
      <x:c r="Q2283" t="str">
        <x:v>Eingang</x:v>
      </x:c>
      <x:c r="R2283" t="str">
        <x:v>DE96120300009005290904</x:v>
      </x:c>
      <x:c r="S2283" t="n">
        <x:v>37.14</x:v>
      </x:c>
      <x:c r="T2283" t="str">
        <x:v>"</x:v>
      </x:c>
      <x:c r="U2283" t="str">
        <x:v>"</x:v>
      </x:c>
      <x:c r="V2283" t="str">
        <x:v>634111476047920</x:v>
      </x:c>
    </x:row>
    <x:row r="2284">
      <x:c r="A2284" t="str">
        <x:v>RAW-IMP-20260516-FULLDRAFT-002267</x:v>
      </x:c>
      <x:c r="B2284" t="str">
        <x:v>IMP-20260516-FULLDRAFT</x:v>
      </x:c>
      <x:c r="C2284" t="str">
        <x:v>KTO001</x:v>
      </x:c>
      <x:c r="D2284" t="str">
        <x:v>16-05-2026_Umsatzliste_Girokonto_DE98120300001061711675.csv</x:v>
      </x:c>
      <x:c r="E2284" t="n">
        <x:v>46163</x:v>
      </x:c>
      <x:c r="F2284" t="n">
        <x:v>2267</x:v>
      </x:c>
      <x:c r="G2284" t="str">
        <x:v>edb8bfcd27975f32fcf72cc2ffd4aada2601b17160a9d067f16ae6e228934b69</x:v>
      </x:c>
      <x:c r="H2284" t="str">
        <x:v>neu</x:v>
      </x:c>
      <x:c r="I2284" t="str">
        <x:v>ok</x:v>
      </x:c>
      <x:c r="J2284"/>
      <x:c r="K2284" t="n">
        <x:v>45404</x:v>
      </x:c>
      <x:c r="L2284" t="n">
        <x:v>45404</x:v>
      </x:c>
      <x:c r="M2284" t="str">
        <x:v>Gebucht</x:v>
      </x:c>
      <x:c r="N2284" t="str">
        <x:v>Amazon.de/AMAZON.DE</x:v>
      </x:c>
      <x:c r="O2284" t="str">
        <x:v>NOTPROVIDED</x:v>
      </x:c>
      <x:c r="P2284" t="str">
        <x:v>20240420210643 Amazon.de LU</x:v>
      </x:c>
      <x:c r="Q2284" t="str">
        <x:v>Eingang</x:v>
      </x:c>
      <x:c r="R2284" t="str">
        <x:v>DE96120300009005290904</x:v>
      </x:c>
      <x:c r="S2284" t="n">
        <x:v>38.95</x:v>
      </x:c>
      <x:c r="T2284" t="str">
        <x:v>"</x:v>
      </x:c>
      <x:c r="U2284" t="str">
        <x:v>"</x:v>
      </x:c>
      <x:c r="V2284" t="str">
        <x:v>634111476044648</x:v>
      </x:c>
    </x:row>
    <x:row r="2285">
      <x:c r="A2285" t="str">
        <x:v>RAW-IMP-20260516-FULLDRAFT-002268</x:v>
      </x:c>
      <x:c r="B2285" t="str">
        <x:v>IMP-20260516-FULLDRAFT</x:v>
      </x:c>
      <x:c r="C2285" t="str">
        <x:v>KTO001</x:v>
      </x:c>
      <x:c r="D2285" t="str">
        <x:v>16-05-2026_Umsatzliste_Girokonto_DE98120300001061711675.csv</x:v>
      </x:c>
      <x:c r="E2285" t="n">
        <x:v>46163</x:v>
      </x:c>
      <x:c r="F2285" t="n">
        <x:v>2268</x:v>
      </x:c>
      <x:c r="G2285" t="str">
        <x:v>6f9bae9f5db2a538cd3f0efb6fcf5817003c6b6edcec4f54afe4a3b66b7b84b3</x:v>
      </x:c>
      <x:c r="H2285" t="str">
        <x:v>neu</x:v>
      </x:c>
      <x:c r="I2285" t="str">
        <x:v>ok</x:v>
      </x:c>
      <x:c r="J2285"/>
      <x:c r="K2285" t="n">
        <x:v>45401</x:v>
      </x:c>
      <x:c r="L2285" t="n">
        <x:v>45401</x:v>
      </x:c>
      <x:c r="M2285" t="str">
        <x:v>Gebucht</x:v>
      </x:c>
      <x:c r="N2285" t="str">
        <x:v>ISSUER</x:v>
      </x:c>
      <x:c r="O2285" t="str">
        <x:v>JOERG.BARTHEL/BRAUNSCHWEIG</x:v>
      </x:c>
      <x:c r="P2285" t="str">
        <x:v>VISA Debitkartenumsatz vom 18.04.2024</x:v>
      </x:c>
      <x:c r="Q2285" t="str">
        <x:v>Ausgang</x:v>
      </x:c>
      <x:c r="R2285" t="str">
        <x:v>DE96120300009005290904</x:v>
      </x:c>
      <x:c r="S2285" t="n">
        <x:v>-13</x:v>
      </x:c>
      <x:c r="T2285" t="str">
        <x:v>"</x:v>
      </x:c>
      <x:c r="U2285" t="str">
        <x:v>"</x:v>
      </x:c>
      <x:c r="V2285" t="str">
        <x:v>484109367298448</x:v>
      </x:c>
    </x:row>
    <x:row r="2286">
      <x:c r="A2286" t="str">
        <x:v>RAW-IMP-20260516-FULLDRAFT-002269</x:v>
      </x:c>
      <x:c r="B2286" t="str">
        <x:v>IMP-20260516-FULLDRAFT</x:v>
      </x:c>
      <x:c r="C2286" t="str">
        <x:v>KTO001</x:v>
      </x:c>
      <x:c r="D2286" t="str">
        <x:v>16-05-2026_Umsatzliste_Girokonto_DE98120300001061711675.csv</x:v>
      </x:c>
      <x:c r="E2286" t="n">
        <x:v>46163</x:v>
      </x:c>
      <x:c r="F2286" t="n">
        <x:v>2269</x:v>
      </x:c>
      <x:c r="G2286" t="str">
        <x:v>59b00118389a6b87001b8c9139313a1051a2c90d3695522f759a0eb9038f6c43</x:v>
      </x:c>
      <x:c r="H2286" t="str">
        <x:v>neu</x:v>
      </x:c>
      <x:c r="I2286" t="str">
        <x:v>ok</x:v>
      </x:c>
      <x:c r="J2286"/>
      <x:c r="K2286" t="n">
        <x:v>45401</x:v>
      </x:c>
      <x:c r="L2286" t="n">
        <x:v>45401</x:v>
      </x:c>
      <x:c r="M2286" t="str">
        <x:v>Gebucht</x:v>
      </x:c>
      <x:c r="N2286" t="str">
        <x:v>ISSUER</x:v>
      </x:c>
      <x:c r="O2286" t="str">
        <x:v>AMZN.Mktp.DE.HD8QN9AM4/800.279.6620</x:v>
      </x:c>
      <x:c r="P2286" t="str">
        <x:v>VISA Debitkartenumsatz vom 18.04.2024</x:v>
      </x:c>
      <x:c r="Q2286" t="str">
        <x:v>Ausgang</x:v>
      </x:c>
      <x:c r="R2286" t="str">
        <x:v>DE96120300009005290904</x:v>
      </x:c>
      <x:c r="S2286" t="n">
        <x:v>-29.74</x:v>
      </x:c>
      <x:c r="T2286" t="str">
        <x:v>"</x:v>
      </x:c>
      <x:c r="U2286" t="str">
        <x:v>"</x:v>
      </x:c>
      <x:c r="V2286" t="str">
        <x:v>484109756694970</x:v>
      </x:c>
    </x:row>
    <x:row r="2287">
      <x:c r="A2287" t="str">
        <x:v>RAW-IMP-20260516-FULLDRAFT-002270</x:v>
      </x:c>
      <x:c r="B2287" t="str">
        <x:v>IMP-20260516-FULLDRAFT</x:v>
      </x:c>
      <x:c r="C2287" t="str">
        <x:v>KTO001</x:v>
      </x:c>
      <x:c r="D2287" t="str">
        <x:v>16-05-2026_Umsatzliste_Girokonto_DE98120300001061711675.csv</x:v>
      </x:c>
      <x:c r="E2287" t="n">
        <x:v>46163</x:v>
      </x:c>
      <x:c r="F2287" t="n">
        <x:v>2270</x:v>
      </x:c>
      <x:c r="G2287" t="str">
        <x:v>86cd21e145f6e334df94f2e4c0486867b86b8f12702e1f6f3c973eabc780ff88</x:v>
      </x:c>
      <x:c r="H2287" t="str">
        <x:v>neu</x:v>
      </x:c>
      <x:c r="I2287" t="str">
        <x:v>ok</x:v>
      </x:c>
      <x:c r="J2287"/>
      <x:c r="K2287" t="n">
        <x:v>45401</x:v>
      </x:c>
      <x:c r="L2287" t="n">
        <x:v>45401</x:v>
      </x:c>
      <x:c r="M2287" t="str">
        <x:v>Gebucht</x:v>
      </x:c>
      <x:c r="N2287" t="str">
        <x:v>ISSUER</x:v>
      </x:c>
      <x:c r="O2287" t="str">
        <x:v>HAMMER.Fachmaerkte.Nord/Salzgitter</x:v>
      </x:c>
      <x:c r="P2287" t="str">
        <x:v>VISA Debitkartenumsatz vom 18.04.2024</x:v>
      </x:c>
      <x:c r="Q2287" t="str">
        <x:v>Ausgang</x:v>
      </x:c>
      <x:c r="R2287" t="str">
        <x:v>DE96120300009005290904</x:v>
      </x:c>
      <x:c r="S2287" t="n">
        <x:v>-10.99</x:v>
      </x:c>
      <x:c r="T2287" t="str">
        <x:v>"</x:v>
      </x:c>
      <x:c r="U2287" t="str">
        <x:v>"</x:v>
      </x:c>
      <x:c r="V2287" t="str">
        <x:v>484109556604516</x:v>
      </x:c>
    </x:row>
    <x:row r="2288">
      <x:c r="A2288" t="str">
        <x:v>RAW-IMP-20260516-FULLDRAFT-002271</x:v>
      </x:c>
      <x:c r="B2288" t="str">
        <x:v>IMP-20260516-FULLDRAFT</x:v>
      </x:c>
      <x:c r="C2288" t="str">
        <x:v>KTO001</x:v>
      </x:c>
      <x:c r="D2288" t="str">
        <x:v>16-05-2026_Umsatzliste_Girokonto_DE98120300001061711675.csv</x:v>
      </x:c>
      <x:c r="E2288" t="n">
        <x:v>46163</x:v>
      </x:c>
      <x:c r="F2288" t="n">
        <x:v>2271</x:v>
      </x:c>
      <x:c r="G2288" t="str">
        <x:v>055b26b07cbecb3fa5146719d5b7455dfc78a911c5b818a0d15fb6c29928456c</x:v>
      </x:c>
      <x:c r="H2288" t="str">
        <x:v>neu</x:v>
      </x:c>
      <x:c r="I2288" t="str">
        <x:v>ok</x:v>
      </x:c>
      <x:c r="J2288"/>
      <x:c r="K2288" t="n">
        <x:v>45401</x:v>
      </x:c>
      <x:c r="L2288" t="n">
        <x:v>45401</x:v>
      </x:c>
      <x:c r="M2288" t="str">
        <x:v>Gebucht</x:v>
      </x:c>
      <x:c r="N2288" t="str">
        <x:v>ISSUER</x:v>
      </x:c>
      <x:c r="O2288" t="str">
        <x:v>Globus.Baumarkt/Salzgitter</x:v>
      </x:c>
      <x:c r="P2288" t="str">
        <x:v>VISA Debitkartenumsatz vom 18.04.2024</x:v>
      </x:c>
      <x:c r="Q2288" t="str">
        <x:v>Ausgang</x:v>
      </x:c>
      <x:c r="R2288" t="str">
        <x:v>DE96120300009005290904</x:v>
      </x:c>
      <x:c r="S2288" t="n">
        <x:v>-4.49</x:v>
      </x:c>
      <x:c r="T2288" t="str">
        <x:v>"</x:v>
      </x:c>
      <x:c r="U2288" t="str">
        <x:v>"</x:v>
      </x:c>
      <x:c r="V2288" t="str">
        <x:v>484109568874292</x:v>
      </x:c>
    </x:row>
    <x:row r="2289">
      <x:c r="A2289" t="str">
        <x:v>RAW-IMP-20260516-FULLDRAFT-002272</x:v>
      </x:c>
      <x:c r="B2289" t="str">
        <x:v>IMP-20260516-FULLDRAFT</x:v>
      </x:c>
      <x:c r="C2289" t="str">
        <x:v>KTO001</x:v>
      </x:c>
      <x:c r="D2289" t="str">
        <x:v>16-05-2026_Umsatzliste_Girokonto_DE98120300001061711675.csv</x:v>
      </x:c>
      <x:c r="E2289" t="n">
        <x:v>46163</x:v>
      </x:c>
      <x:c r="F2289" t="n">
        <x:v>2272</x:v>
      </x:c>
      <x:c r="G2289" t="str">
        <x:v>9a6114275dff2fc088625c37fa601f4023d6f3a8db1e73b70a1ad6d841c7a72b</x:v>
      </x:c>
      <x:c r="H2289" t="str">
        <x:v>neu</x:v>
      </x:c>
      <x:c r="I2289" t="str">
        <x:v>ok</x:v>
      </x:c>
      <x:c r="J2289"/>
      <x:c r="K2289" t="n">
        <x:v>45400</x:v>
      </x:c>
      <x:c r="L2289" t="n">
        <x:v>45400</x:v>
      </x:c>
      <x:c r="M2289" t="str">
        <x:v>Gebucht</x:v>
      </x:c>
      <x:c r="N2289" t="str">
        <x:v>ISSUER</x:v>
      </x:c>
      <x:c r="O2289" t="str">
        <x:v>Amazon.de.HD6EL0ZD4/AMAZON.DE</x:v>
      </x:c>
      <x:c r="P2289" t="str">
        <x:v>VISA Debitkartenumsatz vom 17.04.2024</x:v>
      </x:c>
      <x:c r="Q2289" t="str">
        <x:v>Ausgang</x:v>
      </x:c>
      <x:c r="R2289" t="str">
        <x:v>DE96120300009005290904</x:v>
      </x:c>
      <x:c r="S2289" t="n">
        <x:v>-155.94</x:v>
      </x:c>
      <x:c r="T2289" t="str">
        <x:v>"</x:v>
      </x:c>
      <x:c r="U2289" t="str">
        <x:v>"</x:v>
      </x:c>
      <x:c r="V2289" t="str">
        <x:v>484108576257469</x:v>
      </x:c>
    </x:row>
    <x:row r="2290">
      <x:c r="A2290" t="str">
        <x:v>RAW-IMP-20260516-FULLDRAFT-002273</x:v>
      </x:c>
      <x:c r="B2290" t="str">
        <x:v>IMP-20260516-FULLDRAFT</x:v>
      </x:c>
      <x:c r="C2290" t="str">
        <x:v>KTO001</x:v>
      </x:c>
      <x:c r="D2290" t="str">
        <x:v>16-05-2026_Umsatzliste_Girokonto_DE98120300001061711675.csv</x:v>
      </x:c>
      <x:c r="E2290" t="n">
        <x:v>46163</x:v>
      </x:c>
      <x:c r="F2290" t="n">
        <x:v>2273</x:v>
      </x:c>
      <x:c r="G2290" t="str">
        <x:v>c9a4a8a377ddf9e7d7972ed272fd27649188944b17aea6d90b6e37f735f565d5</x:v>
      </x:c>
      <x:c r="H2290" t="str">
        <x:v>neu</x:v>
      </x:c>
      <x:c r="I2290" t="str">
        <x:v>ok</x:v>
      </x:c>
      <x:c r="J2290"/>
      <x:c r="K2290" t="n">
        <x:v>45400</x:v>
      </x:c>
      <x:c r="L2290" t="n">
        <x:v>45400</x:v>
      </x:c>
      <x:c r="M2290" t="str">
        <x:v>Gebucht</x:v>
      </x:c>
      <x:c r="N2290" t="str">
        <x:v>ISSUER</x:v>
      </x:c>
      <x:c r="O2290" t="str">
        <x:v>Contipark.09033049601.B/Braunschweig</x:v>
      </x:c>
      <x:c r="P2290" t="str">
        <x:v>VISA Debitkartenumsatz vom 17.04.2024</x:v>
      </x:c>
      <x:c r="Q2290" t="str">
        <x:v>Ausgang</x:v>
      </x:c>
      <x:c r="R2290" t="str">
        <x:v>DE96120300009005290904</x:v>
      </x:c>
      <x:c r="S2290" t="n">
        <x:v>-2</x:v>
      </x:c>
      <x:c r="T2290" t="str">
        <x:v>"</x:v>
      </x:c>
      <x:c r="U2290" t="str">
        <x:v>"</x:v>
      </x:c>
      <x:c r="V2290" t="str">
        <x:v>484108383221152</x:v>
      </x:c>
    </x:row>
    <x:row r="2291">
      <x:c r="A2291" t="str">
        <x:v>RAW-IMP-20260516-FULLDRAFT-002274</x:v>
      </x:c>
      <x:c r="B2291" t="str">
        <x:v>IMP-20260516-FULLDRAFT</x:v>
      </x:c>
      <x:c r="C2291" t="str">
        <x:v>KTO001</x:v>
      </x:c>
      <x:c r="D2291" t="str">
        <x:v>16-05-2026_Umsatzliste_Girokonto_DE98120300001061711675.csv</x:v>
      </x:c>
      <x:c r="E2291" t="n">
        <x:v>46163</x:v>
      </x:c>
      <x:c r="F2291" t="n">
        <x:v>2274</x:v>
      </x:c>
      <x:c r="G2291" t="str">
        <x:v>827c758be44e8360000d0361ffa8aa93526bf7d1e18d52191189cea5495d52c6</x:v>
      </x:c>
      <x:c r="H2291" t="str">
        <x:v>neu</x:v>
      </x:c>
      <x:c r="I2291" t="str">
        <x:v>ok</x:v>
      </x:c>
      <x:c r="J2291"/>
      <x:c r="K2291" t="n">
        <x:v>45400</x:v>
      </x:c>
      <x:c r="L2291" t="n">
        <x:v>45400</x:v>
      </x:c>
      <x:c r="M2291" t="str">
        <x:v>Gebucht</x:v>
      </x:c>
      <x:c r="N2291" t="str">
        <x:v>Lars Kohlenberg                                                       JohannesWosnitzaStr.</x:v>
      </x:c>
      <x:c r="O2291" t="str">
        <x:v>Adyen N.V.</x:v>
      </x:c>
      <x:c r="P2291" t="str">
        <x:v>GMX by LOTTO24 C98983063 T095717126700</x:v>
      </x:c>
      <x:c r="Q2291" t="str">
        <x:v>Ausgang</x:v>
      </x:c>
      <x:c r="R2291" t="str">
        <x:v>DE11120700700020000603</x:v>
      </x:c>
      <x:c r="S2291" t="n">
        <x:v>-18.14</x:v>
      </x:c>
      <x:c r="T2291" t="str">
        <x:v>NL48ZZZ342764500000</x:v>
      </x:c>
      <x:c r="U2291" t="str">
        <x:v>R372DKN5SSBXZP52</x:v>
      </x:c>
      <x:c r="V2291" t="str">
        <x:v>CZSNJ42QQNC8X3SG2C</x:v>
      </x:c>
    </x:row>
    <x:row r="2292">
      <x:c r="A2292" t="str">
        <x:v>RAW-IMP-20260516-FULLDRAFT-002275</x:v>
      </x:c>
      <x:c r="B2292" t="str">
        <x:v>IMP-20260516-FULLDRAFT</x:v>
      </x:c>
      <x:c r="C2292" t="str">
        <x:v>KTO001</x:v>
      </x:c>
      <x:c r="D2292" t="str">
        <x:v>16-05-2026_Umsatzliste_Girokonto_DE98120300001061711675.csv</x:v>
      </x:c>
      <x:c r="E2292" t="n">
        <x:v>46163</x:v>
      </x:c>
      <x:c r="F2292" t="n">
        <x:v>2275</x:v>
      </x:c>
      <x:c r="G2292" t="str">
        <x:v>2ae46437acc0dfefe9218aefd9a5038e0e67bac2e5ecfac76f40ce81d8bbbd50</x:v>
      </x:c>
      <x:c r="H2292" t="str">
        <x:v>neu</x:v>
      </x:c>
      <x:c r="I2292" t="str">
        <x:v>ok</x:v>
      </x:c>
      <x:c r="J2292"/>
      <x:c r="K2292" t="n">
        <x:v>45399</x:v>
      </x:c>
      <x:c r="L2292" t="n">
        <x:v>45399</x:v>
      </x:c>
      <x:c r="M2292" t="str">
        <x:v>Gebucht</x:v>
      </x:c>
      <x:c r="N2292" t="str">
        <x:v>Lars Kohlenberg</x:v>
      </x:c>
      <x:c r="O2292" t="str">
        <x:v>Drillisch Online GmbH                                                 Wilhelm-Rontgen-Strase 1-5, 63477 Maintal</x:v>
      </x:c>
      <x:c r="P2292" t="str">
        <x:v>C0851820 U623297801 B720471591 winSIM</x:v>
      </x:c>
      <x:c r="Q2292" t="str">
        <x:v>Ausgang</x:v>
      </x:c>
      <x:c r="R2292" t="str">
        <x:v>DE87300500000008996811</x:v>
      </x:c>
      <x:c r="S2292" t="n">
        <x:v>-6.99</x:v>
      </x:c>
      <x:c r="T2292" t="str">
        <x:v>DE40ZZZ00000206926</x:v>
      </x:c>
      <x:c r="U2292" t="str">
        <x:v>FB1310D094B04186E02ACE7B8C6</x:v>
      </x:c>
      <x:c r="V2292" t="str">
        <x:v>APCQEVUJBVKIPPGN</x:v>
      </x:c>
    </x:row>
    <x:row r="2293">
      <x:c r="A2293" t="str">
        <x:v>RAW-IMP-20260516-FULLDRAFT-002276</x:v>
      </x:c>
      <x:c r="B2293" t="str">
        <x:v>IMP-20260516-FULLDRAFT</x:v>
      </x:c>
      <x:c r="C2293" t="str">
        <x:v>KTO001</x:v>
      </x:c>
      <x:c r="D2293" t="str">
        <x:v>16-05-2026_Umsatzliste_Girokonto_DE98120300001061711675.csv</x:v>
      </x:c>
      <x:c r="E2293" t="n">
        <x:v>46163</x:v>
      </x:c>
      <x:c r="F2293" t="n">
        <x:v>2276</x:v>
      </x:c>
      <x:c r="G2293" t="str">
        <x:v>0d77e171c034d1a2e59a48d174e9f1a4ef111bfcf1d84dcc2b37d266252b0422</x:v>
      </x:c>
      <x:c r="H2293" t="str">
        <x:v>neu</x:v>
      </x:c>
      <x:c r="I2293" t="str">
        <x:v>ok</x:v>
      </x:c>
      <x:c r="J2293"/>
      <x:c r="K2293" t="n">
        <x:v>45399</x:v>
      </x:c>
      <x:c r="L2293" t="n">
        <x:v>45399</x:v>
      </x:c>
      <x:c r="M2293" t="str">
        <x:v>Gebucht</x:v>
      </x:c>
      <x:c r="N2293" t="str">
        <x:v>Lars Kohlenberg</x:v>
      </x:c>
      <x:c r="O2293" t="str">
        <x:v>Drillisch Online GmbH                                                 Wilhelm-Rontgen-Strase 1-5, 63477 Maintal</x:v>
      </x:c>
      <x:c r="P2293" t="str">
        <x:v>C0851820 U626552596 B719645014 winSIM</x:v>
      </x:c>
      <x:c r="Q2293" t="str">
        <x:v>Ausgang</x:v>
      </x:c>
      <x:c r="R2293" t="str">
        <x:v>DE87300500000008996811</x:v>
      </x:c>
      <x:c r="S2293" t="n">
        <x:v>-6.99</x:v>
      </x:c>
      <x:c r="T2293" t="str">
        <x:v>DE40ZZZ00000206926</x:v>
      </x:c>
      <x:c r="U2293" t="str">
        <x:v>FB1310D094B04186E02ACE7B8C6</x:v>
      </x:c>
      <x:c r="V2293" t="str">
        <x:v>RPZLEIJVUPTLAAUR</x:v>
      </x:c>
    </x:row>
    <x:row r="2294">
      <x:c r="A2294" t="str">
        <x:v>RAW-IMP-20260516-FULLDRAFT-002277</x:v>
      </x:c>
      <x:c r="B2294" t="str">
        <x:v>IMP-20260516-FULLDRAFT</x:v>
      </x:c>
      <x:c r="C2294" t="str">
        <x:v>KTO001</x:v>
      </x:c>
      <x:c r="D2294" t="str">
        <x:v>16-05-2026_Umsatzliste_Girokonto_DE98120300001061711675.csv</x:v>
      </x:c>
      <x:c r="E2294" t="n">
        <x:v>46163</x:v>
      </x:c>
      <x:c r="F2294" t="n">
        <x:v>2277</x:v>
      </x:c>
      <x:c r="G2294" t="str">
        <x:v>ed21de7b8c741600425295a159c60be31a00e7c4b066ea255b6f97274ae3d683</x:v>
      </x:c>
      <x:c r="H2294" t="str">
        <x:v>neu</x:v>
      </x:c>
      <x:c r="I2294" t="str">
        <x:v>ok</x:v>
      </x:c>
      <x:c r="J2294"/>
      <x:c r="K2294" t="n">
        <x:v>45399</x:v>
      </x:c>
      <x:c r="L2294" t="n">
        <x:v>45399</x:v>
      </x:c>
      <x:c r="M2294" t="str">
        <x:v>Gebucht</x:v>
      </x:c>
      <x:c r="N2294" t="str">
        <x:v>Lars Kohlenberg</x:v>
      </x:c>
      <x:c r="O2294" t="str">
        <x:v>Drillisch Online GmbH                                                 Wilhelm-Rontgen-Strase 1-5, 63477 Maintal</x:v>
      </x:c>
      <x:c r="P2294" t="str">
        <x:v>C0851820 U622468336 B718916327 winSIM</x:v>
      </x:c>
      <x:c r="Q2294" t="str">
        <x:v>Ausgang</x:v>
      </x:c>
      <x:c r="R2294" t="str">
        <x:v>DE87300500000008996811</x:v>
      </x:c>
      <x:c r="S2294" t="n">
        <x:v>-6.99</x:v>
      </x:c>
      <x:c r="T2294" t="str">
        <x:v>DE40ZZZ00000206926</x:v>
      </x:c>
      <x:c r="U2294" t="str">
        <x:v>FB1310D094B04186E02ACE7B8C6</x:v>
      </x:c>
      <x:c r="V2294" t="str">
        <x:v>DFMDMTYVGDUOBCCB</x:v>
      </x:c>
    </x:row>
    <x:row r="2295">
      <x:c r="A2295" t="str">
        <x:v>RAW-IMP-20260516-FULLDRAFT-002278</x:v>
      </x:c>
      <x:c r="B2295" t="str">
        <x:v>IMP-20260516-FULLDRAFT</x:v>
      </x:c>
      <x:c r="C2295" t="str">
        <x:v>KTO001</x:v>
      </x:c>
      <x:c r="D2295" t="str">
        <x:v>16-05-2026_Umsatzliste_Girokonto_DE98120300001061711675.csv</x:v>
      </x:c>
      <x:c r="E2295" t="n">
        <x:v>46163</x:v>
      </x:c>
      <x:c r="F2295" t="n">
        <x:v>2278</x:v>
      </x:c>
      <x:c r="G2295" t="str">
        <x:v>674d42a20e82c5f12fb89828128dd10e59c696a9393fb7e20d2cca099f5f1db6</x:v>
      </x:c>
      <x:c r="H2295" t="str">
        <x:v>neu</x:v>
      </x:c>
      <x:c r="I2295" t="str">
        <x:v>ok</x:v>
      </x:c>
      <x:c r="J2295"/>
      <x:c r="K2295" t="n">
        <x:v>45398</x:v>
      </x:c>
      <x:c r="L2295" t="n">
        <x:v>45398</x:v>
      </x:c>
      <x:c r="M2295" t="str">
        <x:v>Gebucht</x:v>
      </x:c>
      <x:c r="N2295" t="str">
        <x:v>Lars Kohlenberg                                                       JohannesWosnitzaStr.</x:v>
      </x:c>
      <x:c r="O2295" t="str">
        <x:v>Adyen N.V.</x:v>
      </x:c>
      <x:c r="P2295" t="str">
        <x:v>GMX by LOTTO24 C98983063 T204537517919</x:v>
      </x:c>
      <x:c r="Q2295" t="str">
        <x:v>Ausgang</x:v>
      </x:c>
      <x:c r="R2295" t="str">
        <x:v>DE11120700700020000603</x:v>
      </x:c>
      <x:c r="S2295" t="n">
        <x:v>-18.14</x:v>
      </x:c>
      <x:c r="T2295" t="str">
        <x:v>NL48ZZZ342764500000</x:v>
      </x:c>
      <x:c r="U2295" t="str">
        <x:v>R372DKN5SSBXZP52</x:v>
      </x:c>
      <x:c r="V2295" t="str">
        <x:v>CMFHNHHTS95WSLKH2C</x:v>
      </x:c>
    </x:row>
    <x:row r="2296">
      <x:c r="A2296" t="str">
        <x:v>RAW-IMP-20260516-FULLDRAFT-002279</x:v>
      </x:c>
      <x:c r="B2296" t="str">
        <x:v>IMP-20260516-FULLDRAFT</x:v>
      </x:c>
      <x:c r="C2296" t="str">
        <x:v>KTO001</x:v>
      </x:c>
      <x:c r="D2296" t="str">
        <x:v>16-05-2026_Umsatzliste_Girokonto_DE98120300001061711675.csv</x:v>
      </x:c>
      <x:c r="E2296" t="n">
        <x:v>46163</x:v>
      </x:c>
      <x:c r="F2296" t="n">
        <x:v>2279</x:v>
      </x:c>
      <x:c r="G2296" t="str">
        <x:v>8300809f1fed3a6056f56726dda5bc7f1fce26850d2b4a465bd8622b36d0328d</x:v>
      </x:c>
      <x:c r="H2296" t="str">
        <x:v>neu</x:v>
      </x:c>
      <x:c r="I2296" t="str">
        <x:v>ok</x:v>
      </x:c>
      <x:c r="J2296"/>
      <x:c r="K2296" t="n">
        <x:v>45397</x:v>
      </x:c>
      <x:c r="L2296" t="n">
        <x:v>45397</x:v>
      </x:c>
      <x:c r="M2296" t="str">
        <x:v>Gebucht</x:v>
      </x:c>
      <x:c r="N2296" t="str">
        <x:v>ISSUER</x:v>
      </x:c>
      <x:c r="O2296" t="str">
        <x:v>HANOVA.GEWERBE.GMBH/HANNOVER</x:v>
      </x:c>
      <x:c r="P2296" t="str">
        <x:v>VISA Debitkartenumsatz vom 12.04.2024</x:v>
      </x:c>
      <x:c r="Q2296" t="str">
        <x:v>Ausgang</x:v>
      </x:c>
      <x:c r="R2296" t="str">
        <x:v>DE96120300009005290904</x:v>
      </x:c>
      <x:c r="S2296" t="n">
        <x:v>-7.5</x:v>
      </x:c>
      <x:c r="T2296" t="str">
        <x:v>"</x:v>
      </x:c>
      <x:c r="U2296" t="str">
        <x:v>"</x:v>
      </x:c>
      <x:c r="V2296" t="str">
        <x:v>484103707907970</x:v>
      </x:c>
    </x:row>
    <x:row r="2297">
      <x:c r="A2297" t="str">
        <x:v>RAW-IMP-20260516-FULLDRAFT-002280</x:v>
      </x:c>
      <x:c r="B2297" t="str">
        <x:v>IMP-20260516-FULLDRAFT</x:v>
      </x:c>
      <x:c r="C2297" t="str">
        <x:v>KTO001</x:v>
      </x:c>
      <x:c r="D2297" t="str">
        <x:v>16-05-2026_Umsatzliste_Girokonto_DE98120300001061711675.csv</x:v>
      </x:c>
      <x:c r="E2297" t="n">
        <x:v>46163</x:v>
      </x:c>
      <x:c r="F2297" t="n">
        <x:v>2280</x:v>
      </x:c>
      <x:c r="G2297" t="str">
        <x:v>c7cd1dd59b285a09005b6729df1e042fe16c43cbb13c9f3b411025b98cd68974</x:v>
      </x:c>
      <x:c r="H2297" t="str">
        <x:v>neu</x:v>
      </x:c>
      <x:c r="I2297" t="str">
        <x:v>ok</x:v>
      </x:c>
      <x:c r="J2297"/>
      <x:c r="K2297" t="n">
        <x:v>45397</x:v>
      </x:c>
      <x:c r="L2297" t="n">
        <x:v>45397</x:v>
      </x:c>
      <x:c r="M2297" t="str">
        <x:v>Gebucht</x:v>
      </x:c>
      <x:c r="N2297" t="str">
        <x:v>ISSUER</x:v>
      </x:c>
      <x:c r="O2297" t="str">
        <x:v>HANOVA.GEWERBE.GMBH/HANNOVER</x:v>
      </x:c>
      <x:c r="P2297" t="str">
        <x:v>VISA Debitkartenumsatz vom 12.04.2024</x:v>
      </x:c>
      <x:c r="Q2297" t="str">
        <x:v>Ausgang</x:v>
      </x:c>
      <x:c r="R2297" t="str">
        <x:v>DE96120300009005290904</x:v>
      </x:c>
      <x:c r="S2297" t="n">
        <x:v>-7.5</x:v>
      </x:c>
      <x:c r="T2297" t="str">
        <x:v>"</x:v>
      </x:c>
      <x:c r="U2297" t="str">
        <x:v>"</x:v>
      </x:c>
      <x:c r="V2297" t="str">
        <x:v>484103708164713</x:v>
      </x:c>
    </x:row>
    <x:row r="2298">
      <x:c r="A2298" t="str">
        <x:v>RAW-IMP-20260516-FULLDRAFT-002281</x:v>
      </x:c>
      <x:c r="B2298" t="str">
        <x:v>IMP-20260516-FULLDRAFT</x:v>
      </x:c>
      <x:c r="C2298" t="str">
        <x:v>KTO001</x:v>
      </x:c>
      <x:c r="D2298" t="str">
        <x:v>16-05-2026_Umsatzliste_Girokonto_DE98120300001061711675.csv</x:v>
      </x:c>
      <x:c r="E2298" t="n">
        <x:v>46163</x:v>
      </x:c>
      <x:c r="F2298" t="n">
        <x:v>2281</x:v>
      </x:c>
      <x:c r="G2298" t="str">
        <x:v>563cc8b320729d68ac417e24af9b942d76420c225cacfef9c99b0ee127124912</x:v>
      </x:c>
      <x:c r="H2298" t="str">
        <x:v>neu</x:v>
      </x:c>
      <x:c r="I2298" t="str">
        <x:v>ok</x:v>
      </x:c>
      <x:c r="J2298"/>
      <x:c r="K2298" t="n">
        <x:v>45397</x:v>
      </x:c>
      <x:c r="L2298" t="n">
        <x:v>45397</x:v>
      </x:c>
      <x:c r="M2298" t="str">
        <x:v>Gebucht</x:v>
      </x:c>
      <x:c r="N2298" t="str">
        <x:v>ISSUER</x:v>
      </x:c>
      <x:c r="O2298" t="str">
        <x:v>NORD.LB...Braunschweigi/GEBHARDSHG</x:v>
      </x:c>
      <x:c r="P2298" t="str">
        <x:v>VISA Debitkartenumsatz vom 12.04.2024</x:v>
      </x:c>
      <x:c r="Q2298" t="str">
        <x:v>Ausgang</x:v>
      </x:c>
      <x:c r="R2298" t="str">
        <x:v>DE96120300009005290904</x:v>
      </x:c>
      <x:c r="S2298" t="n">
        <x:v>-100</x:v>
      </x:c>
      <x:c r="T2298" t="str">
        <x:v>"</x:v>
      </x:c>
      <x:c r="U2298" t="str">
        <x:v>"</x:v>
      </x:c>
      <x:c r="V2298" t="str">
        <x:v>484103563344492</x:v>
      </x:c>
    </x:row>
    <x:row r="2299">
      <x:c r="A2299" t="str">
        <x:v>RAW-IMP-20260516-FULLDRAFT-002282</x:v>
      </x:c>
      <x:c r="B2299" t="str">
        <x:v>IMP-20260516-FULLDRAFT</x:v>
      </x:c>
      <x:c r="C2299" t="str">
        <x:v>KTO001</x:v>
      </x:c>
      <x:c r="D2299" t="str">
        <x:v>16-05-2026_Umsatzliste_Girokonto_DE98120300001061711675.csv</x:v>
      </x:c>
      <x:c r="E2299" t="n">
        <x:v>46163</x:v>
      </x:c>
      <x:c r="F2299" t="n">
        <x:v>2282</x:v>
      </x:c>
      <x:c r="G2299" t="str">
        <x:v>10e11a0f7a0a635a5381d2c5ce380b5dd910052b0ac55f1f5e8e9cb9e00db43c</x:v>
      </x:c>
      <x:c r="H2299" t="str">
        <x:v>neu</x:v>
      </x:c>
      <x:c r="I2299" t="str">
        <x:v>ok</x:v>
      </x:c>
      <x:c r="J2299"/>
      <x:c r="K2299" t="n">
        <x:v>45397</x:v>
      </x:c>
      <x:c r="L2299" t="n">
        <x:v>45397</x:v>
      </x:c>
      <x:c r="M2299" t="str">
        <x:v>Gebucht</x:v>
      </x:c>
      <x:c r="N2299" t="str">
        <x:v>ISSUER</x:v>
      </x:c>
      <x:c r="O2299" t="str">
        <x:v>REWE.Acar.oHG/Salzgitter</x:v>
      </x:c>
      <x:c r="P2299" t="str">
        <x:v>VISA Debitkartenumsatz vom 13.04.2024</x:v>
      </x:c>
      <x:c r="Q2299" t="str">
        <x:v>Ausgang</x:v>
      </x:c>
      <x:c r="R2299" t="str">
        <x:v>DE96120300009005290904</x:v>
      </x:c>
      <x:c r="S2299" t="n">
        <x:v>-195.2</x:v>
      </x:c>
      <x:c r="T2299" t="str">
        <x:v>"</x:v>
      </x:c>
      <x:c r="U2299" t="str">
        <x:v>"</x:v>
      </x:c>
      <x:c r="V2299" t="str">
        <x:v>484104303675748</x:v>
      </x:c>
    </x:row>
    <x:row r="2300">
      <x:c r="A2300" t="str">
        <x:v>RAW-IMP-20260516-FULLDRAFT-002283</x:v>
      </x:c>
      <x:c r="B2300" t="str">
        <x:v>IMP-20260516-FULLDRAFT</x:v>
      </x:c>
      <x:c r="C2300" t="str">
        <x:v>KTO001</x:v>
      </x:c>
      <x:c r="D2300" t="str">
        <x:v>16-05-2026_Umsatzliste_Girokonto_DE98120300001061711675.csv</x:v>
      </x:c>
      <x:c r="E2300" t="n">
        <x:v>46163</x:v>
      </x:c>
      <x:c r="F2300" t="n">
        <x:v>2283</x:v>
      </x:c>
      <x:c r="G2300" t="str">
        <x:v>74a60ccd31e3d43d4a612bc39086e5d2585826440ddc948d95fe2396c901d2a1</x:v>
      </x:c>
      <x:c r="H2300" t="str">
        <x:v>neu</x:v>
      </x:c>
      <x:c r="I2300" t="str">
        <x:v>ok</x:v>
      </x:c>
      <x:c r="J2300"/>
      <x:c r="K2300" t="n">
        <x:v>45397</x:v>
      </x:c>
      <x:c r="L2300" t="n">
        <x:v>45397</x:v>
      </x:c>
      <x:c r="M2300" t="str">
        <x:v>Gebucht</x:v>
      </x:c>
      <x:c r="N2300" t="str">
        <x:v>ISSUER</x:v>
      </x:c>
      <x:c r="O2300" t="str">
        <x:v>GAERTNEREI.STARKE/SALZGITTER</x:v>
      </x:c>
      <x:c r="P2300" t="str">
        <x:v>VISA Debitkartenumsatz vom 13.04.2024</x:v>
      </x:c>
      <x:c r="Q2300" t="str">
        <x:v>Ausgang</x:v>
      </x:c>
      <x:c r="R2300" t="str">
        <x:v>DE96120300009005290904</x:v>
      </x:c>
      <x:c r="S2300" t="n">
        <x:v>-3</x:v>
      </x:c>
      <x:c r="T2300" t="str">
        <x:v>"</x:v>
      </x:c>
      <x:c r="U2300" t="str">
        <x:v>"</x:v>
      </x:c>
      <x:c r="V2300" t="str">
        <x:v>484104313601145</x:v>
      </x:c>
    </x:row>
    <x:row r="2301">
      <x:c r="A2301" t="str">
        <x:v>RAW-IMP-20260516-FULLDRAFT-002284</x:v>
      </x:c>
      <x:c r="B2301" t="str">
        <x:v>IMP-20260516-FULLDRAFT</x:v>
      </x:c>
      <x:c r="C2301" t="str">
        <x:v>KTO001</x:v>
      </x:c>
      <x:c r="D2301" t="str">
        <x:v>16-05-2026_Umsatzliste_Girokonto_DE98120300001061711675.csv</x:v>
      </x:c>
      <x:c r="E2301" t="n">
        <x:v>46163</x:v>
      </x:c>
      <x:c r="F2301" t="n">
        <x:v>2284</x:v>
      </x:c>
      <x:c r="G2301" t="str">
        <x:v>0a9e41abc5352e6d24bf458e0b0c65cfae3421dcae3141ca9de9aa41b990d21e</x:v>
      </x:c>
      <x:c r="H2301" t="str">
        <x:v>neu</x:v>
      </x:c>
      <x:c r="I2301" t="str">
        <x:v>ok</x:v>
      </x:c>
      <x:c r="J2301"/>
      <x:c r="K2301" t="n">
        <x:v>45394</x:v>
      </x:c>
      <x:c r="L2301" t="n">
        <x:v>45394</x:v>
      </x:c>
      <x:c r="M2301" t="str">
        <x:v>Gebucht</x:v>
      </x:c>
      <x:c r="N2301" t="str">
        <x:v>Lars Kohlenberg</x:v>
      </x:c>
      <x:c r="O2301" t="str">
        <x:v>Heise Medien GmbH + Co. KG</x:v>
      </x:c>
      <x:c r="P2301" t="str">
        <x:v>Abo 4707748549 ct Gesamtbetrag EUR 163,35 incl. 7,00 MWST EUR 10,69</x:v>
      </x:c>
      <x:c r="Q2301" t="str">
        <x:v>Ausgang</x:v>
      </x:c>
      <x:c r="R2301" t="str">
        <x:v>DE96250100300457119308</x:v>
      </x:c>
      <x:c r="S2301" t="n">
        <x:v>-163.35</x:v>
      </x:c>
      <x:c r="T2301" t="str">
        <x:v>DE97ZZZ00000169525</x:v>
      </x:c>
      <x:c r="U2301" t="str">
        <x:v>537-4707748549-2</x:v>
      </x:c>
      <x:c r="V2301" t="str">
        <x:v>032000441770</x:v>
      </x:c>
    </x:row>
    <x:row r="2302">
      <x:c r="A2302" t="str">
        <x:v>RAW-IMP-20260516-FULLDRAFT-002285</x:v>
      </x:c>
      <x:c r="B2302" t="str">
        <x:v>IMP-20260516-FULLDRAFT</x:v>
      </x:c>
      <x:c r="C2302" t="str">
        <x:v>KTO001</x:v>
      </x:c>
      <x:c r="D2302" t="str">
        <x:v>16-05-2026_Umsatzliste_Girokonto_DE98120300001061711675.csv</x:v>
      </x:c>
      <x:c r="E2302" t="n">
        <x:v>46163</x:v>
      </x:c>
      <x:c r="F2302" t="n">
        <x:v>2285</x:v>
      </x:c>
      <x:c r="G2302" t="str">
        <x:v>20906757107adac347476ed408b4dc21687ad5a5797ea7adfdbd4573ebfb30be</x:v>
      </x:c>
      <x:c r="H2302" t="str">
        <x:v>neu</x:v>
      </x:c>
      <x:c r="I2302" t="str">
        <x:v>ok</x:v>
      </x:c>
      <x:c r="J2302"/>
      <x:c r="K2302" t="n">
        <x:v>45393</x:v>
      </x:c>
      <x:c r="L2302" t="n">
        <x:v>45393</x:v>
      </x:c>
      <x:c r="M2302" t="str">
        <x:v>Gebucht</x:v>
      </x:c>
      <x:c r="N2302" t="str">
        <x:v>ISSUER</x:v>
      </x:c>
      <x:c r="O2302" t="str">
        <x:v>MCDONALDS.01597/BRAUNSCHWEIG</x:v>
      </x:c>
      <x:c r="P2302" t="str">
        <x:v>VISA Debitkartenumsatz vom 10.04.2024</x:v>
      </x:c>
      <x:c r="Q2302" t="str">
        <x:v>Ausgang</x:v>
      </x:c>
      <x:c r="R2302" t="str">
        <x:v>DE96120300009005290904</x:v>
      </x:c>
      <x:c r="S2302" t="n">
        <x:v>-12.99</x:v>
      </x:c>
      <x:c r="T2302" t="str">
        <x:v>"</x:v>
      </x:c>
      <x:c r="U2302" t="str">
        <x:v>"</x:v>
      </x:c>
      <x:c r="V2302" t="str">
        <x:v>464101371691045</x:v>
      </x:c>
    </x:row>
    <x:row r="2303">
      <x:c r="A2303" t="str">
        <x:v>RAW-IMP-20260516-FULLDRAFT-002286</x:v>
      </x:c>
      <x:c r="B2303" t="str">
        <x:v>IMP-20260516-FULLDRAFT</x:v>
      </x:c>
      <x:c r="C2303" t="str">
        <x:v>KTO001</x:v>
      </x:c>
      <x:c r="D2303" t="str">
        <x:v>16-05-2026_Umsatzliste_Girokonto_DE98120300001061711675.csv</x:v>
      </x:c>
      <x:c r="E2303" t="n">
        <x:v>46163</x:v>
      </x:c>
      <x:c r="F2303" t="n">
        <x:v>2286</x:v>
      </x:c>
      <x:c r="G2303" t="str">
        <x:v>f5c555a1335777396e854e964a99b2627b975eb975c140936208f262102207de</x:v>
      </x:c>
      <x:c r="H2303" t="str">
        <x:v>neu</x:v>
      </x:c>
      <x:c r="I2303" t="str">
        <x:v>ok</x:v>
      </x:c>
      <x:c r="J2303"/>
      <x:c r="K2303" t="n">
        <x:v>45393</x:v>
      </x:c>
      <x:c r="L2303" t="n">
        <x:v>45393</x:v>
      </x:c>
      <x:c r="M2303" t="str">
        <x:v>Gebucht</x:v>
      </x:c>
      <x:c r="N2303" t="str">
        <x:v>ISSUER</x:v>
      </x:c>
      <x:c r="O2303" t="str">
        <x:v>AMZN.Mktp.DE.HP78H3ZD4/800.279.6620</x:v>
      </x:c>
      <x:c r="P2303" t="str">
        <x:v>VISA Debitkartenumsatz vom 10.04.2024</x:v>
      </x:c>
      <x:c r="Q2303" t="str">
        <x:v>Ausgang</x:v>
      </x:c>
      <x:c r="R2303" t="str">
        <x:v>DE96120300009005290904</x:v>
      </x:c>
      <x:c r="S2303" t="n">
        <x:v>-10.99</x:v>
      </x:c>
      <x:c r="T2303" t="str">
        <x:v>"</x:v>
      </x:c>
      <x:c r="U2303" t="str">
        <x:v>"</x:v>
      </x:c>
      <x:c r="V2303" t="str">
        <x:v>384101648028267</x:v>
      </x:c>
    </x:row>
    <x:row r="2304">
      <x:c r="A2304" t="str">
        <x:v>RAW-IMP-20260516-FULLDRAFT-002287</x:v>
      </x:c>
      <x:c r="B2304" t="str">
        <x:v>IMP-20260516-FULLDRAFT</x:v>
      </x:c>
      <x:c r="C2304" t="str">
        <x:v>KTO001</x:v>
      </x:c>
      <x:c r="D2304" t="str">
        <x:v>16-05-2026_Umsatzliste_Girokonto_DE98120300001061711675.csv</x:v>
      </x:c>
      <x:c r="E2304" t="n">
        <x:v>46163</x:v>
      </x:c>
      <x:c r="F2304" t="n">
        <x:v>2287</x:v>
      </x:c>
      <x:c r="G2304" t="str">
        <x:v>755ae262f572ef68de961dff3c5369a4656295587110d5e03fefcc219961a4fe</x:v>
      </x:c>
      <x:c r="H2304" t="str">
        <x:v>neu</x:v>
      </x:c>
      <x:c r="I2304" t="str">
        <x:v>ok</x:v>
      </x:c>
      <x:c r="J2304"/>
      <x:c r="K2304" t="n">
        <x:v>45393</x:v>
      </x:c>
      <x:c r="L2304" t="n">
        <x:v>45393</x:v>
      </x:c>
      <x:c r="M2304" t="str">
        <x:v>Gebucht</x:v>
      </x:c>
      <x:c r="N2304" t="str">
        <x:v>Lars Kohlenberg                                                       JohannesWosnitzaStr.</x:v>
      </x:c>
      <x:c r="O2304" t="str">
        <x:v>Adyen N.V.</x:v>
      </x:c>
      <x:c r="P2304" t="str">
        <x:v>GMX by LOTTO24 C98983063 T523847213099</x:v>
      </x:c>
      <x:c r="Q2304" t="str">
        <x:v>Ausgang</x:v>
      </x:c>
      <x:c r="R2304" t="str">
        <x:v>DE11120700700020000603</x:v>
      </x:c>
      <x:c r="S2304" t="n">
        <x:v>-18.14</x:v>
      </x:c>
      <x:c r="T2304" t="str">
        <x:v>NL48ZZZ342764500000</x:v>
      </x:c>
      <x:c r="U2304" t="str">
        <x:v>R372DKN5SSBXZP52</x:v>
      </x:c>
      <x:c r="V2304" t="str">
        <x:v>CQWQP53NXSJ4SDKH2C</x:v>
      </x:c>
    </x:row>
    <x:row r="2305">
      <x:c r="A2305" t="str">
        <x:v>RAW-IMP-20260516-FULLDRAFT-002288</x:v>
      </x:c>
      <x:c r="B2305" t="str">
        <x:v>IMP-20260516-FULLDRAFT</x:v>
      </x:c>
      <x:c r="C2305" t="str">
        <x:v>KTO001</x:v>
      </x:c>
      <x:c r="D2305" t="str">
        <x:v>16-05-2026_Umsatzliste_Girokonto_DE98120300001061711675.csv</x:v>
      </x:c>
      <x:c r="E2305" t="n">
        <x:v>46163</x:v>
      </x:c>
      <x:c r="F2305" t="n">
        <x:v>2288</x:v>
      </x:c>
      <x:c r="G2305" t="str">
        <x:v>8cf5e39ed10c88b35394a30aee67f279cd9ffd5bfeffe5a5dbb9912bc2959a76</x:v>
      </x:c>
      <x:c r="H2305" t="str">
        <x:v>neu</x:v>
      </x:c>
      <x:c r="I2305" t="str">
        <x:v>ok</x:v>
      </x:c>
      <x:c r="J2305"/>
      <x:c r="K2305" t="n">
        <x:v>45392</x:v>
      </x:c>
      <x:c r="L2305" t="n">
        <x:v>45392</x:v>
      </x:c>
      <x:c r="M2305" t="str">
        <x:v>Gebucht</x:v>
      </x:c>
      <x:c r="N2305" t="str">
        <x:v>ISSUER</x:v>
      </x:c>
      <x:c r="O2305" t="str">
        <x:v>Amazon.de.HE0QO4YJ4/AMAZON.DE</x:v>
      </x:c>
      <x:c r="P2305" t="str">
        <x:v>VISA Debitkartenumsatz vom 09.04.2024</x:v>
      </x:c>
      <x:c r="Q2305" t="str">
        <x:v>Ausgang</x:v>
      </x:c>
      <x:c r="R2305" t="str">
        <x:v>DE96120300009005290904</x:v>
      </x:c>
      <x:c r="S2305" t="n">
        <x:v>-11</x:v>
      </x:c>
      <x:c r="T2305" t="str">
        <x:v>"</x:v>
      </x:c>
      <x:c r="U2305" t="str">
        <x:v>"</x:v>
      </x:c>
      <x:c r="V2305" t="str">
        <x:v>484099669809821</x:v>
      </x:c>
    </x:row>
    <x:row r="2306">
      <x:c r="A2306" t="str">
        <x:v>RAW-IMP-20260516-FULLDRAFT-002289</x:v>
      </x:c>
      <x:c r="B2306" t="str">
        <x:v>IMP-20260516-FULLDRAFT</x:v>
      </x:c>
      <x:c r="C2306" t="str">
        <x:v>KTO001</x:v>
      </x:c>
      <x:c r="D2306" t="str">
        <x:v>16-05-2026_Umsatzliste_Girokonto_DE98120300001061711675.csv</x:v>
      </x:c>
      <x:c r="E2306" t="n">
        <x:v>46163</x:v>
      </x:c>
      <x:c r="F2306" t="n">
        <x:v>2289</x:v>
      </x:c>
      <x:c r="G2306" t="str">
        <x:v>60482fbb6029cd867cd42e48bb69aeacbf77bfff1af1ade422a040d98de849a0</x:v>
      </x:c>
      <x:c r="H2306" t="str">
        <x:v>neu</x:v>
      </x:c>
      <x:c r="I2306" t="str">
        <x:v>ok</x:v>
      </x:c>
      <x:c r="J2306"/>
      <x:c r="K2306" t="n">
        <x:v>45392</x:v>
      </x:c>
      <x:c r="L2306" t="n">
        <x:v>45392</x:v>
      </x:c>
      <x:c r="M2306" t="str">
        <x:v>Gebucht</x:v>
      </x:c>
      <x:c r="N2306" t="str">
        <x:v>Lars Kohlenberg</x:v>
      </x:c>
      <x:c r="O2306" t="str">
        <x:v>AMAZON PAYMENTS EUROPE S.C.A.</x:v>
      </x:c>
      <x:c r="P2306" t="str">
        <x:v>P02-4717788-2851211 amzn.com/pmts 3U3XU50HYRPB728U</x:v>
      </x:c>
      <x:c r="Q2306" t="str">
        <x:v>Ausgang</x:v>
      </x:c>
      <x:c r="R2306" t="str">
        <x:v>DE87300308801908262006</x:v>
      </x:c>
      <x:c r="S2306" t="n">
        <x:v>-28.37</x:v>
      </x:c>
      <x:c r="T2306" t="str">
        <x:v>DE94ZZZ00000561653</x:v>
      </x:c>
      <x:c r="U2306" t="str">
        <x:v>rh5Glnolk)0EF+8-(J(,CqXY:26g.K</x:v>
      </x:c>
      <x:c r="V2306" t="str">
        <x:v>3U3XU50HYRPB728U</x:v>
      </x:c>
    </x:row>
    <x:row r="2307">
      <x:c r="A2307" t="str">
        <x:v>RAW-IMP-20260516-FULLDRAFT-002290</x:v>
      </x:c>
      <x:c r="B2307" t="str">
        <x:v>IMP-20260516-FULLDRAFT</x:v>
      </x:c>
      <x:c r="C2307" t="str">
        <x:v>KTO001</x:v>
      </x:c>
      <x:c r="D2307" t="str">
        <x:v>16-05-2026_Umsatzliste_Girokonto_DE98120300001061711675.csv</x:v>
      </x:c>
      <x:c r="E2307" t="n">
        <x:v>46163</x:v>
      </x:c>
      <x:c r="F2307" t="n">
        <x:v>2290</x:v>
      </x:c>
      <x:c r="G2307" t="str">
        <x:v>f2170e6a228d47e5e8b93d13560a912c62790b4b01a8f9d34a43738155244c54</x:v>
      </x:c>
      <x:c r="H2307" t="str">
        <x:v>neu</x:v>
      </x:c>
      <x:c r="I2307" t="str">
        <x:v>ok</x:v>
      </x:c>
      <x:c r="J2307"/>
      <x:c r="K2307" t="n">
        <x:v>45392</x:v>
      </x:c>
      <x:c r="L2307" t="n">
        <x:v>45392</x:v>
      </x:c>
      <x:c r="M2307" t="str">
        <x:v>Gebucht</x:v>
      </x:c>
      <x:c r="N2307" t="str">
        <x:v>Lars Kohlenberg                                                       Johannes-Wosnitza-Str. 8 38229 Salzgitter</x:v>
      </x:c>
      <x:c r="O2307" t="str">
        <x:v>1+1 Mail + Media GmbH                                                 Elgendorfer Str. 57, 56410 Montabaur</x:v>
      </x:c>
      <x:c r="P2307" t="str">
        <x:v>GMX / WEB.DE / KD-Nr. K7440512/ RG-Nr. 201537067595</x:v>
      </x:c>
      <x:c r="Q2307" t="str">
        <x:v>Ausgang</x:v>
      </x:c>
      <x:c r="R2307" t="str">
        <x:v>DE76700800000881679702</x:v>
      </x:c>
      <x:c r="S2307" t="n">
        <x:v>-5.99</x:v>
      </x:c>
      <x:c r="T2307" t="str">
        <x:v>DE07ZZZ00000569718</x:v>
      </x:c>
      <x:c r="U2307" t="str">
        <x:v>0090001393062</x:v>
      </x:c>
      <x:c r="V2307" t="str">
        <x:v>006400649280</x:v>
      </x:c>
    </x:row>
    <x:row r="2308">
      <x:c r="A2308" t="str">
        <x:v>RAW-IMP-20260516-FULLDRAFT-002291</x:v>
      </x:c>
      <x:c r="B2308" t="str">
        <x:v>IMP-20260516-FULLDRAFT</x:v>
      </x:c>
      <x:c r="C2308" t="str">
        <x:v>KTO001</x:v>
      </x:c>
      <x:c r="D2308" t="str">
        <x:v>16-05-2026_Umsatzliste_Girokonto_DE98120300001061711675.csv</x:v>
      </x:c>
      <x:c r="E2308" t="n">
        <x:v>46163</x:v>
      </x:c>
      <x:c r="F2308" t="n">
        <x:v>2291</x:v>
      </x:c>
      <x:c r="G2308" t="str">
        <x:v>7b1cca1a8dc0d80a42ef7df5f15e90bf79493fc36d90cd559f516fa669010ca6</x:v>
      </x:c>
      <x:c r="H2308" t="str">
        <x:v>neu</x:v>
      </x:c>
      <x:c r="I2308" t="str">
        <x:v>ok</x:v>
      </x:c>
      <x:c r="J2308"/>
      <x:c r="K2308" t="n">
        <x:v>45391</x:v>
      </x:c>
      <x:c r="L2308" t="n">
        <x:v>45391</x:v>
      </x:c>
      <x:c r="M2308" t="str">
        <x:v>Gebucht</x:v>
      </x:c>
      <x:c r="N2308" t="str">
        <x:v>ISSUER</x:v>
      </x:c>
      <x:c r="O2308" t="str">
        <x:v>SCHAEFERS.35189/SALZGITTER</x:v>
      </x:c>
      <x:c r="P2308" t="str">
        <x:v>VISA Debitkartenumsatz vom 08.04.2024</x:v>
      </x:c>
      <x:c r="Q2308" t="str">
        <x:v>Ausgang</x:v>
      </x:c>
      <x:c r="R2308" t="str">
        <x:v>DE96120300009005290904</x:v>
      </x:c>
      <x:c r="S2308" t="n">
        <x:v>-6.35</x:v>
      </x:c>
      <x:c r="T2308" t="str">
        <x:v>"</x:v>
      </x:c>
      <x:c r="U2308" t="str">
        <x:v>"</x:v>
      </x:c>
      <x:c r="V2308" t="str">
        <x:v>484099567897526</x:v>
      </x:c>
    </x:row>
    <x:row r="2309">
      <x:c r="A2309" t="str">
        <x:v>RAW-IMP-20260516-FULLDRAFT-002292</x:v>
      </x:c>
      <x:c r="B2309" t="str">
        <x:v>IMP-20260516-FULLDRAFT</x:v>
      </x:c>
      <x:c r="C2309" t="str">
        <x:v>KTO001</x:v>
      </x:c>
      <x:c r="D2309" t="str">
        <x:v>16-05-2026_Umsatzliste_Girokonto_DE98120300001061711675.csv</x:v>
      </x:c>
      <x:c r="E2309" t="n">
        <x:v>46163</x:v>
      </x:c>
      <x:c r="F2309" t="n">
        <x:v>2292</x:v>
      </x:c>
      <x:c r="G2309" t="str">
        <x:v>fadeddbce892104242b018c8596b4d0e637308c342ba832458312a1b5c93c797</x:v>
      </x:c>
      <x:c r="H2309" t="str">
        <x:v>neu</x:v>
      </x:c>
      <x:c r="I2309" t="str">
        <x:v>ok</x:v>
      </x:c>
      <x:c r="J2309"/>
      <x:c r="K2309" t="n">
        <x:v>45391</x:v>
      </x:c>
      <x:c r="L2309" t="n">
        <x:v>45391</x:v>
      </x:c>
      <x:c r="M2309" t="str">
        <x:v>Gebucht</x:v>
      </x:c>
      <x:c r="N2309" t="str">
        <x:v>ISSUER</x:v>
      </x:c>
      <x:c r="O2309" t="str">
        <x:v>MEDIA.MARKT.TV.HIFI.EL/SALZGITTER</x:v>
      </x:c>
      <x:c r="P2309" t="str">
        <x:v>VISA Debitkartenumsatz vom 08.04.2024</x:v>
      </x:c>
      <x:c r="Q2309" t="str">
        <x:v>Ausgang</x:v>
      </x:c>
      <x:c r="R2309" t="str">
        <x:v>DE96120300009005290904</x:v>
      </x:c>
      <x:c r="S2309" t="n">
        <x:v>-145</x:v>
      </x:c>
      <x:c r="T2309" t="str">
        <x:v>"</x:v>
      </x:c>
      <x:c r="U2309" t="str">
        <x:v>"</x:v>
      </x:c>
      <x:c r="V2309" t="str">
        <x:v>484099554878287</x:v>
      </x:c>
    </x:row>
    <x:row r="2310">
      <x:c r="A2310" t="str">
        <x:v>RAW-IMP-20260516-FULLDRAFT-002293</x:v>
      </x:c>
      <x:c r="B2310" t="str">
        <x:v>IMP-20260516-FULLDRAFT</x:v>
      </x:c>
      <x:c r="C2310" t="str">
        <x:v>KTO001</x:v>
      </x:c>
      <x:c r="D2310" t="str">
        <x:v>16-05-2026_Umsatzliste_Girokonto_DE98120300001061711675.csv</x:v>
      </x:c>
      <x:c r="E2310" t="n">
        <x:v>46163</x:v>
      </x:c>
      <x:c r="F2310" t="n">
        <x:v>2293</x:v>
      </x:c>
      <x:c r="G2310" t="str">
        <x:v>c6d7bbb9ab1a923bb5a0037322ab5c8839f967846112f68daf74f478d95a069a</x:v>
      </x:c>
      <x:c r="H2310" t="str">
        <x:v>neu</x:v>
      </x:c>
      <x:c r="I2310" t="str">
        <x:v>ok</x:v>
      </x:c>
      <x:c r="J2310"/>
      <x:c r="K2310" t="n">
        <x:v>45391</x:v>
      </x:c>
      <x:c r="L2310" t="n">
        <x:v>45391</x:v>
      </x:c>
      <x:c r="M2310" t="str">
        <x:v>Gebucht</x:v>
      </x:c>
      <x:c r="N2310" t="str">
        <x:v>ISSUER</x:v>
      </x:c>
      <x:c r="O2310" t="str">
        <x:v>TDV.S.Bahn..Hannover/Leipzig</x:v>
      </x:c>
      <x:c r="P2310" t="str">
        <x:v>VISA Debitkartenumsatz vom 08.04.2024</x:v>
      </x:c>
      <x:c r="Q2310" t="str">
        <x:v>Ausgang</x:v>
      </x:c>
      <x:c r="R2310" t="str">
        <x:v>DE96120300009005290904</x:v>
      </x:c>
      <x:c r="S2310" t="n">
        <x:v>-7.3</x:v>
      </x:c>
      <x:c r="T2310" t="str">
        <x:v>"</x:v>
      </x:c>
      <x:c r="U2310" t="str">
        <x:v>"</x:v>
      </x:c>
      <x:c r="V2310" t="str">
        <x:v>484099458190049</x:v>
      </x:c>
    </x:row>
    <x:row r="2311">
      <x:c r="A2311" t="str">
        <x:v>RAW-IMP-20260516-FULLDRAFT-002294</x:v>
      </x:c>
      <x:c r="B2311" t="str">
        <x:v>IMP-20260516-FULLDRAFT</x:v>
      </x:c>
      <x:c r="C2311" t="str">
        <x:v>KTO001</x:v>
      </x:c>
      <x:c r="D2311" t="str">
        <x:v>16-05-2026_Umsatzliste_Girokonto_DE98120300001061711675.csv</x:v>
      </x:c>
      <x:c r="E2311" t="n">
        <x:v>46163</x:v>
      </x:c>
      <x:c r="F2311" t="n">
        <x:v>2294</x:v>
      </x:c>
      <x:c r="G2311" t="str">
        <x:v>9e1bfa629c534a0a7945b8d1bbde8c4de94b7ca3ca25fd6ee0bfff7e3a4e604a</x:v>
      </x:c>
      <x:c r="H2311" t="str">
        <x:v>neu</x:v>
      </x:c>
      <x:c r="I2311" t="str">
        <x:v>ok</x:v>
      </x:c>
      <x:c r="J2311"/>
      <x:c r="K2311" t="n">
        <x:v>45391</x:v>
      </x:c>
      <x:c r="L2311" t="n">
        <x:v>45391</x:v>
      </x:c>
      <x:c r="M2311" t="str">
        <x:v>Gebucht</x:v>
      </x:c>
      <x:c r="N2311" t="str">
        <x:v>ISSUER</x:v>
      </x:c>
      <x:c r="O2311" t="str">
        <x:v>Lidl.sagt.Danke/Salzgitter</x:v>
      </x:c>
      <x:c r="P2311" t="str">
        <x:v>VISA Debitkartenumsatz vom 08.04.2024</x:v>
      </x:c>
      <x:c r="Q2311" t="str">
        <x:v>Ausgang</x:v>
      </x:c>
      <x:c r="R2311" t="str">
        <x:v>DE96120300009005290904</x:v>
      </x:c>
      <x:c r="S2311" t="n">
        <x:v>-23.46</x:v>
      </x:c>
      <x:c r="T2311" t="str">
        <x:v>"</x:v>
      </x:c>
      <x:c r="U2311" t="str">
        <x:v>"</x:v>
      </x:c>
      <x:c r="V2311" t="str">
        <x:v>484099565854303</x:v>
      </x:c>
    </x:row>
    <x:row r="2312">
      <x:c r="A2312" t="str">
        <x:v>RAW-IMP-20260516-FULLDRAFT-002295</x:v>
      </x:c>
      <x:c r="B2312" t="str">
        <x:v>IMP-20260516-FULLDRAFT</x:v>
      </x:c>
      <x:c r="C2312" t="str">
        <x:v>KTO001</x:v>
      </x:c>
      <x:c r="D2312" t="str">
        <x:v>16-05-2026_Umsatzliste_Girokonto_DE98120300001061711675.csv</x:v>
      </x:c>
      <x:c r="E2312" t="n">
        <x:v>46163</x:v>
      </x:c>
      <x:c r="F2312" t="n">
        <x:v>2295</x:v>
      </x:c>
      <x:c r="G2312" t="str">
        <x:v>21868e47745b6f5cb90fd993fa56e6f9752ff9e11cad07e2d2fd08de7021b8e1</x:v>
      </x:c>
      <x:c r="H2312" t="str">
        <x:v>neu</x:v>
      </x:c>
      <x:c r="I2312" t="str">
        <x:v>ok</x:v>
      </x:c>
      <x:c r="J2312"/>
      <x:c r="K2312" t="n">
        <x:v>45391</x:v>
      </x:c>
      <x:c r="L2312" t="n">
        <x:v>45391</x:v>
      </x:c>
      <x:c r="M2312" t="str">
        <x:v>Gebucht</x:v>
      </x:c>
      <x:c r="N2312" t="str">
        <x:v>ISSUER</x:v>
      </x:c>
      <x:c r="O2312" t="str">
        <x:v>AMZN.Mktp.DE.HE4U15284/800.279.6620</x:v>
      </x:c>
      <x:c r="P2312" t="str">
        <x:v>VISA Debitkartenumsatz vom 08.04.2024</x:v>
      </x:c>
      <x:c r="Q2312" t="str">
        <x:v>Ausgang</x:v>
      </x:c>
      <x:c r="R2312" t="str">
        <x:v>DE96120300009005290904</x:v>
      </x:c>
      <x:c r="S2312" t="n">
        <x:v>-460.95</x:v>
      </x:c>
      <x:c r="T2312" t="str">
        <x:v>"</x:v>
      </x:c>
      <x:c r="U2312" t="str">
        <x:v>"</x:v>
      </x:c>
      <x:c r="V2312" t="str">
        <x:v>484096797133877</x:v>
      </x:c>
    </x:row>
    <x:row r="2313">
      <x:c r="A2313" t="str">
        <x:v>RAW-IMP-20260516-FULLDRAFT-002296</x:v>
      </x:c>
      <x:c r="B2313" t="str">
        <x:v>IMP-20260516-FULLDRAFT</x:v>
      </x:c>
      <x:c r="C2313" t="str">
        <x:v>KTO001</x:v>
      </x:c>
      <x:c r="D2313" t="str">
        <x:v>16-05-2026_Umsatzliste_Girokonto_DE98120300001061711675.csv</x:v>
      </x:c>
      <x:c r="E2313" t="n">
        <x:v>46163</x:v>
      </x:c>
      <x:c r="F2313" t="n">
        <x:v>2296</x:v>
      </x:c>
      <x:c r="G2313" t="str">
        <x:v>11888e8b3c56c30575d879f36a1d8500626598074672a732bc5c81a4f8d83d93</x:v>
      </x:c>
      <x:c r="H2313" t="str">
        <x:v>neu</x:v>
      </x:c>
      <x:c r="I2313" t="str">
        <x:v>ok</x:v>
      </x:c>
      <x:c r="J2313"/>
      <x:c r="K2313" t="n">
        <x:v>45391</x:v>
      </x:c>
      <x:c r="L2313" t="n">
        <x:v>45391</x:v>
      </x:c>
      <x:c r="M2313" t="str">
        <x:v>Gebucht</x:v>
      </x:c>
      <x:c r="N2313" t="str">
        <x:v>Lars Kohlenberg                                                       JohannesWosnitzaStr.</x:v>
      </x:c>
      <x:c r="O2313" t="str">
        <x:v>Adyen N.V.</x:v>
      </x:c>
      <x:c r="P2313" t="str">
        <x:v>GMX by LOTTO24 C98983063 T633791097678</x:v>
      </x:c>
      <x:c r="Q2313" t="str">
        <x:v>Ausgang</x:v>
      </x:c>
      <x:c r="R2313" t="str">
        <x:v>DE11120700700020000603</x:v>
      </x:c>
      <x:c r="S2313" t="n">
        <x:v>-18.14</x:v>
      </x:c>
      <x:c r="T2313" t="str">
        <x:v>NL48ZZZ342764500000</x:v>
      </x:c>
      <x:c r="U2313" t="str">
        <x:v>R372DKN5SSBXZP52</x:v>
      </x:c>
      <x:c r="V2313" t="str">
        <x:v>CJDZWGMZ488B88VG2C</x:v>
      </x:c>
    </x:row>
    <x:row r="2314">
      <x:c r="A2314" t="str">
        <x:v>RAW-IMP-20260516-FULLDRAFT-002297</x:v>
      </x:c>
      <x:c r="B2314" t="str">
        <x:v>IMP-20260516-FULLDRAFT</x:v>
      </x:c>
      <x:c r="C2314" t="str">
        <x:v>KTO001</x:v>
      </x:c>
      <x:c r="D2314" t="str">
        <x:v>16-05-2026_Umsatzliste_Girokonto_DE98120300001061711675.csv</x:v>
      </x:c>
      <x:c r="E2314" t="n">
        <x:v>46163</x:v>
      </x:c>
      <x:c r="F2314" t="n">
        <x:v>2297</x:v>
      </x:c>
      <x:c r="G2314" t="str">
        <x:v>b767839ad7cf3d8da9b4aecd57689b2267215dd38d07350c75b85fca69d721fc</x:v>
      </x:c>
      <x:c r="H2314" t="str">
        <x:v>neu</x:v>
      </x:c>
      <x:c r="I2314" t="str">
        <x:v>ok</x:v>
      </x:c>
      <x:c r="J2314"/>
      <x:c r="K2314" t="n">
        <x:v>45390</x:v>
      </x:c>
      <x:c r="L2314" t="n">
        <x:v>45390</x:v>
      </x:c>
      <x:c r="M2314" t="str">
        <x:v>Gebucht</x:v>
      </x:c>
      <x:c r="N2314" t="str">
        <x:v>ISSUER</x:v>
      </x:c>
      <x:c r="O2314" t="str">
        <x:v>BURGER.KING.10150.SOT/BRAUNSCHWEIG</x:v>
      </x:c>
      <x:c r="P2314" t="str">
        <x:v>VISA Debitkartenumsatz vom 05.04.2024</x:v>
      </x:c>
      <x:c r="Q2314" t="str">
        <x:v>Ausgang</x:v>
      </x:c>
      <x:c r="R2314" t="str">
        <x:v>DE96120300009005290904</x:v>
      </x:c>
      <x:c r="S2314" t="n">
        <x:v>-11.99</x:v>
      </x:c>
      <x:c r="T2314" t="str">
        <x:v>"</x:v>
      </x:c>
      <x:c r="U2314" t="str">
        <x:v>"</x:v>
      </x:c>
      <x:c r="V2314" t="str">
        <x:v>484096370795718</x:v>
      </x:c>
    </x:row>
    <x:row r="2315">
      <x:c r="A2315" t="str">
        <x:v>RAW-IMP-20260516-FULLDRAFT-002298</x:v>
      </x:c>
      <x:c r="B2315" t="str">
        <x:v>IMP-20260516-FULLDRAFT</x:v>
      </x:c>
      <x:c r="C2315" t="str">
        <x:v>KTO001</x:v>
      </x:c>
      <x:c r="D2315" t="str">
        <x:v>16-05-2026_Umsatzliste_Girokonto_DE98120300001061711675.csv</x:v>
      </x:c>
      <x:c r="E2315" t="n">
        <x:v>46163</x:v>
      </x:c>
      <x:c r="F2315" t="n">
        <x:v>2298</x:v>
      </x:c>
      <x:c r="G2315" t="str">
        <x:v>844ad559a92805b64c44a09154894911893b5f0b1727e710cc48fb3cc5b2f235</x:v>
      </x:c>
      <x:c r="H2315" t="str">
        <x:v>neu</x:v>
      </x:c>
      <x:c r="I2315" t="str">
        <x:v>ok</x:v>
      </x:c>
      <x:c r="J2315"/>
      <x:c r="K2315" t="n">
        <x:v>45390</x:v>
      </x:c>
      <x:c r="L2315" t="n">
        <x:v>45390</x:v>
      </x:c>
      <x:c r="M2315" t="str">
        <x:v>Gebucht</x:v>
      </x:c>
      <x:c r="N2315" t="str">
        <x:v>ISSUER</x:v>
      </x:c>
      <x:c r="O2315" t="str">
        <x:v>Porta.Mobel.Handels/Braunschweig</x:v>
      </x:c>
      <x:c r="P2315" t="str">
        <x:v>VISA Debitkartenumsatz vom 05.04.2024</x:v>
      </x:c>
      <x:c r="Q2315" t="str">
        <x:v>Ausgang</x:v>
      </x:c>
      <x:c r="R2315" t="str">
        <x:v>DE96120300009005290904</x:v>
      </x:c>
      <x:c r="S2315" t="n">
        <x:v>-188</x:v>
      </x:c>
      <x:c r="T2315" t="str">
        <x:v>"</x:v>
      </x:c>
      <x:c r="U2315" t="str">
        <x:v>"</x:v>
      </x:c>
      <x:c r="V2315" t="str">
        <x:v>484096444201722</x:v>
      </x:c>
    </x:row>
    <x:row r="2316">
      <x:c r="A2316" t="str">
        <x:v>RAW-IMP-20260516-FULLDRAFT-002299</x:v>
      </x:c>
      <x:c r="B2316" t="str">
        <x:v>IMP-20260516-FULLDRAFT</x:v>
      </x:c>
      <x:c r="C2316" t="str">
        <x:v>KTO001</x:v>
      </x:c>
      <x:c r="D2316" t="str">
        <x:v>16-05-2026_Umsatzliste_Girokonto_DE98120300001061711675.csv</x:v>
      </x:c>
      <x:c r="E2316" t="n">
        <x:v>46163</x:v>
      </x:c>
      <x:c r="F2316" t="n">
        <x:v>2299</x:v>
      </x:c>
      <x:c r="G2316" t="str">
        <x:v>28aeab5ad700ddf817695927d0bdc5d75609c6e0cb448ad61f3925cf1277e212</x:v>
      </x:c>
      <x:c r="H2316" t="str">
        <x:v>neu</x:v>
      </x:c>
      <x:c r="I2316" t="str">
        <x:v>ok</x:v>
      </x:c>
      <x:c r="J2316"/>
      <x:c r="K2316" t="n">
        <x:v>45390</x:v>
      </x:c>
      <x:c r="L2316" t="n">
        <x:v>45390</x:v>
      </x:c>
      <x:c r="M2316" t="str">
        <x:v>Gebucht</x:v>
      </x:c>
      <x:c r="N2316" t="str">
        <x:v>ISSUER</x:v>
      </x:c>
      <x:c r="O2316" t="str">
        <x:v>HFB.ECO.IKEA.117.BRAUNS/BRAUNSCHWEIG</x:v>
      </x:c>
      <x:c r="P2316" t="str">
        <x:v>VISA Debitkartenumsatz vom 05.04.2024</x:v>
      </x:c>
      <x:c r="Q2316" t="str">
        <x:v>Ausgang</x:v>
      </x:c>
      <x:c r="R2316" t="str">
        <x:v>DE96120300009005290904</x:v>
      </x:c>
      <x:c r="S2316" t="n">
        <x:v>-1.99</x:v>
      </x:c>
      <x:c r="T2316" t="str">
        <x:v>"</x:v>
      </x:c>
      <x:c r="U2316" t="str">
        <x:v>"</x:v>
      </x:c>
      <x:c r="V2316" t="str">
        <x:v>484096594043379</x:v>
      </x:c>
    </x:row>
    <x:row r="2317">
      <x:c r="A2317" t="str">
        <x:v>RAW-IMP-20260516-FULLDRAFT-002300</x:v>
      </x:c>
      <x:c r="B2317" t="str">
        <x:v>IMP-20260516-FULLDRAFT</x:v>
      </x:c>
      <x:c r="C2317" t="str">
        <x:v>KTO001</x:v>
      </x:c>
      <x:c r="D2317" t="str">
        <x:v>16-05-2026_Umsatzliste_Girokonto_DE98120300001061711675.csv</x:v>
      </x:c>
      <x:c r="E2317" t="n">
        <x:v>46163</x:v>
      </x:c>
      <x:c r="F2317" t="n">
        <x:v>2300</x:v>
      </x:c>
      <x:c r="G2317" t="str">
        <x:v>764a26eb7c426c935796ca546de33bb54eb8aca256a06e41a558e8902fd0b814</x:v>
      </x:c>
      <x:c r="H2317" t="str">
        <x:v>neu</x:v>
      </x:c>
      <x:c r="I2317" t="str">
        <x:v>ok</x:v>
      </x:c>
      <x:c r="J2317"/>
      <x:c r="K2317" t="n">
        <x:v>45390</x:v>
      </x:c>
      <x:c r="L2317" t="n">
        <x:v>45390</x:v>
      </x:c>
      <x:c r="M2317" t="str">
        <x:v>Gebucht</x:v>
      </x:c>
      <x:c r="N2317" t="str">
        <x:v>ISSUER</x:v>
      </x:c>
      <x:c r="O2317" t="str">
        <x:v>REWE.Filialen.Voll/Vechelde</x:v>
      </x:c>
      <x:c r="P2317" t="str">
        <x:v>VISA Debitkartenumsatz vom 06.04.2024</x:v>
      </x:c>
      <x:c r="Q2317" t="str">
        <x:v>Ausgang</x:v>
      </x:c>
      <x:c r="R2317" t="str">
        <x:v>DE96120300009005290904</x:v>
      </x:c>
      <x:c r="S2317" t="n">
        <x:v>-56.96</x:v>
      </x:c>
      <x:c r="T2317" t="str">
        <x:v>"</x:v>
      </x:c>
      <x:c r="U2317" t="str">
        <x:v>"</x:v>
      </x:c>
      <x:c r="V2317" t="str">
        <x:v>484097700863882</x:v>
      </x:c>
    </x:row>
    <x:row r="2318">
      <x:c r="A2318" t="str">
        <x:v>RAW-IMP-20260516-FULLDRAFT-002301</x:v>
      </x:c>
      <x:c r="B2318" t="str">
        <x:v>IMP-20260516-FULLDRAFT</x:v>
      </x:c>
      <x:c r="C2318" t="str">
        <x:v>KTO001</x:v>
      </x:c>
      <x:c r="D2318" t="str">
        <x:v>16-05-2026_Umsatzliste_Girokonto_DE98120300001061711675.csv</x:v>
      </x:c>
      <x:c r="E2318" t="n">
        <x:v>46163</x:v>
      </x:c>
      <x:c r="F2318" t="n">
        <x:v>2301</x:v>
      </x:c>
      <x:c r="G2318" t="str">
        <x:v>f480eaa209a8319e313142555dbfe4953cb7b0d7fd3b2a7b98044346644d48db</x:v>
      </x:c>
      <x:c r="H2318" t="str">
        <x:v>neu</x:v>
      </x:c>
      <x:c r="I2318" t="str">
        <x:v>ok</x:v>
      </x:c>
      <x:c r="J2318"/>
      <x:c r="K2318" t="n">
        <x:v>45390</x:v>
      </x:c>
      <x:c r="L2318" t="n">
        <x:v>45390</x:v>
      </x:c>
      <x:c r="M2318" t="str">
        <x:v>Gebucht</x:v>
      </x:c>
      <x:c r="N2318" t="str">
        <x:v>Lars Kohlenberg</x:v>
      </x:c>
      <x:c r="O2318" t="str">
        <x:v>Iman Firat</x:v>
      </x:c>
      <x:c r="P2318" t="str">
        <x:v>2230 Lea Kohlenberg</x:v>
      </x:c>
      <x:c r="Q2318" t="str">
        <x:v>Ausgang</x:v>
      </x:c>
      <x:c r="R2318" t="str">
        <x:v>DE67269910662694298000</x:v>
      </x:c>
      <x:c r="S2318" t="n">
        <x:v>-49.9</x:v>
      </x:c>
      <x:c r="T2318" t="str">
        <x:v>"</x:v>
      </x:c>
      <x:c r="U2318" t="str">
        <x:v>"</x:v>
      </x:c>
      <x:c r="V2318" t="str">
        <x:v>"</x:v>
      </x:c>
    </x:row>
    <x:row r="2319">
      <x:c r="A2319" t="str">
        <x:v>RAW-IMP-20260516-FULLDRAFT-002302</x:v>
      </x:c>
      <x:c r="B2319" t="str">
        <x:v>IMP-20260516-FULLDRAFT</x:v>
      </x:c>
      <x:c r="C2319" t="str">
        <x:v>KTO001</x:v>
      </x:c>
      <x:c r="D2319" t="str">
        <x:v>16-05-2026_Umsatzliste_Girokonto_DE98120300001061711675.csv</x:v>
      </x:c>
      <x:c r="E2319" t="n">
        <x:v>46163</x:v>
      </x:c>
      <x:c r="F2319" t="n">
        <x:v>2302</x:v>
      </x:c>
      <x:c r="G2319" t="str">
        <x:v>2e21d86d6cca83f87ee774886b861c95793003578b70ed0fbd6b820974f3b006</x:v>
      </x:c>
      <x:c r="H2319" t="str">
        <x:v>neu</x:v>
      </x:c>
      <x:c r="I2319" t="str">
        <x:v>ok</x:v>
      </x:c>
      <x:c r="J2319"/>
      <x:c r="K2319" t="n">
        <x:v>45387</x:v>
      </x:c>
      <x:c r="L2319" t="n">
        <x:v>45387</x:v>
      </x:c>
      <x:c r="M2319" t="str">
        <x:v>Gebucht</x:v>
      </x:c>
      <x:c r="N2319" t="str">
        <x:v>ISSUER</x:v>
      </x:c>
      <x:c r="O2319" t="str">
        <x:v>REWE.Salzgitter.Ge/Salzgitter</x:v>
      </x:c>
      <x:c r="P2319" t="str">
        <x:v>VISA Debitkartenumsatz vom 04.04.2024</x:v>
      </x:c>
      <x:c r="Q2319" t="str">
        <x:v>Ausgang</x:v>
      </x:c>
      <x:c r="R2319" t="str">
        <x:v>DE96120300009005290904</x:v>
      </x:c>
      <x:c r="S2319" t="n">
        <x:v>-11.62</x:v>
      </x:c>
      <x:c r="T2319" t="str">
        <x:v>"</x:v>
      </x:c>
      <x:c r="U2319" t="str">
        <x:v>"</x:v>
      </x:c>
      <x:c r="V2319" t="str">
        <x:v>484095610848274</x:v>
      </x:c>
    </x:row>
    <x:row r="2320">
      <x:c r="A2320" t="str">
        <x:v>RAW-IMP-20260516-FULLDRAFT-002303</x:v>
      </x:c>
      <x:c r="B2320" t="str">
        <x:v>IMP-20260516-FULLDRAFT</x:v>
      </x:c>
      <x:c r="C2320" t="str">
        <x:v>KTO001</x:v>
      </x:c>
      <x:c r="D2320" t="str">
        <x:v>16-05-2026_Umsatzliste_Girokonto_DE98120300001061711675.csv</x:v>
      </x:c>
      <x:c r="E2320" t="n">
        <x:v>46163</x:v>
      </x:c>
      <x:c r="F2320" t="n">
        <x:v>2303</x:v>
      </x:c>
      <x:c r="G2320" t="str">
        <x:v>a10af73fd0f0cc0c8dfbb15d73305930dc0a763f3c9fe0a7dfc14fee7ffacaf5</x:v>
      </x:c>
      <x:c r="H2320" t="str">
        <x:v>neu</x:v>
      </x:c>
      <x:c r="I2320" t="str">
        <x:v>ok</x:v>
      </x:c>
      <x:c r="J2320"/>
      <x:c r="K2320" t="n">
        <x:v>45387</x:v>
      </x:c>
      <x:c r="L2320" t="n">
        <x:v>45387</x:v>
      </x:c>
      <x:c r="M2320" t="str">
        <x:v>Gebucht</x:v>
      </x:c>
      <x:c r="N2320" t="str">
        <x:v>ISSUER</x:v>
      </x:c>
      <x:c r="O2320" t="str">
        <x:v>Amazon.de.HE2V35T44/AMAZON.DE</x:v>
      </x:c>
      <x:c r="P2320" t="str">
        <x:v>VISA Debitkartenumsatz vom 04.04.2024</x:v>
      </x:c>
      <x:c r="Q2320" t="str">
        <x:v>Ausgang</x:v>
      </x:c>
      <x:c r="R2320" t="str">
        <x:v>DE96120300009005290904</x:v>
      </x:c>
      <x:c r="S2320" t="n">
        <x:v>-18.99</x:v>
      </x:c>
      <x:c r="T2320" t="str">
        <x:v>"</x:v>
      </x:c>
      <x:c r="U2320" t="str">
        <x:v>"</x:v>
      </x:c>
      <x:c r="V2320" t="str">
        <x:v>484094619073098</x:v>
      </x:c>
    </x:row>
    <x:row r="2321">
      <x:c r="A2321" t="str">
        <x:v>RAW-IMP-20260516-FULLDRAFT-002304</x:v>
      </x:c>
      <x:c r="B2321" t="str">
        <x:v>IMP-20260516-FULLDRAFT</x:v>
      </x:c>
      <x:c r="C2321" t="str">
        <x:v>KTO001</x:v>
      </x:c>
      <x:c r="D2321" t="str">
        <x:v>16-05-2026_Umsatzliste_Girokonto_DE98120300001061711675.csv</x:v>
      </x:c>
      <x:c r="E2321" t="n">
        <x:v>46163</x:v>
      </x:c>
      <x:c r="F2321" t="n">
        <x:v>2304</x:v>
      </x:c>
      <x:c r="G2321" t="str">
        <x:v>2c2b5fc568db454be6c55e274d549d8409a286a60a278e1737bc32a0981bb3c5</x:v>
      </x:c>
      <x:c r="H2321" t="str">
        <x:v>neu</x:v>
      </x:c>
      <x:c r="I2321" t="str">
        <x:v>ok</x:v>
      </x:c>
      <x:c r="J2321"/>
      <x:c r="K2321" t="n">
        <x:v>45387</x:v>
      </x:c>
      <x:c r="L2321" t="n">
        <x:v>45387</x:v>
      </x:c>
      <x:c r="M2321" t="str">
        <x:v>Gebucht</x:v>
      </x:c>
      <x:c r="N2321" t="str">
        <x:v>Lars Kohlenberg                                                       Johannes-Wosnitza-Str. 8</x:v>
      </x:c>
      <x:c r="O2321" t="str">
        <x:v>Telekom Deutschland GmbH                                              Landgrabenweg 151</x:v>
      </x:c>
      <x:c r="P2321" t="str">
        <x:v>Festnetz Vertragskonto 4763666565 RG 7562144555/25.03.2024</x:v>
      </x:c>
      <x:c r="Q2321" t="str">
        <x:v>Ausgang</x:v>
      </x:c>
      <x:c r="R2321" t="str">
        <x:v>DE68700202700667302269</x:v>
      </x:c>
      <x:c r="S2321" t="n">
        <x:v>-61.94</x:v>
      </x:c>
      <x:c r="T2321" t="str">
        <x:v>DE93ZZZ00000078611</x:v>
      </x:c>
      <x:c r="U2321" t="str">
        <x:v>DE000201000200000000000000012966156</x:v>
      </x:c>
      <x:c r="V2321" t="str">
        <x:v>Zahlbeleg 372977822096</x:v>
      </x:c>
    </x:row>
    <x:row r="2322">
      <x:c r="A2322" t="str">
        <x:v>RAW-IMP-20260516-FULLDRAFT-002305</x:v>
      </x:c>
      <x:c r="B2322" t="str">
        <x:v>IMP-20260516-FULLDRAFT</x:v>
      </x:c>
      <x:c r="C2322" t="str">
        <x:v>KTO001</x:v>
      </x:c>
      <x:c r="D2322" t="str">
        <x:v>16-05-2026_Umsatzliste_Girokonto_DE98120300001061711675.csv</x:v>
      </x:c>
      <x:c r="E2322" t="n">
        <x:v>46163</x:v>
      </x:c>
      <x:c r="F2322" t="n">
        <x:v>2305</x:v>
      </x:c>
      <x:c r="G2322" t="str">
        <x:v>28448b1e8f5078a9b0734cca1b7713c6080a01a83c2235af133e6506bbffeb5d</x:v>
      </x:c>
      <x:c r="H2322" t="str">
        <x:v>neu</x:v>
      </x:c>
      <x:c r="I2322" t="str">
        <x:v>ok</x:v>
      </x:c>
      <x:c r="J2322"/>
      <x:c r="K2322" t="n">
        <x:v>45387</x:v>
      </x:c>
      <x:c r="L2322" t="n">
        <x:v>45387</x:v>
      </x:c>
      <x:c r="M2322" t="str">
        <x:v>Gebucht</x:v>
      </x:c>
      <x:c r="N2322" t="str">
        <x:v>EC-KARTE</x:v>
      </x:c>
      <x:c r="O2322" t="str">
        <x:v>GEMEINDEKASSE GROEMITZ</x:v>
      </x:c>
      <x:c r="P2322" t="str">
        <x:v>Parken 22.03.2024 11:59</x:v>
      </x:c>
      <x:c r="Q2322" t="str">
        <x:v>Ausgang</x:v>
      </x:c>
      <x:c r="R2322" t="str">
        <x:v>DE02213522400056060007</x:v>
      </x:c>
      <x:c r="S2322" t="n">
        <x:v>-4</x:v>
      </x:c>
      <x:c r="T2322" t="str">
        <x:v>DE31ZZZ00000155969</x:v>
      </x:c>
      <x:c r="U2322" t="str">
        <x:v>Mandat-ID-2024-03-22-86</x:v>
      </x:c>
      <x:c r="V2322" t="str">
        <x:v>T-ID-20240329.082146842-86</x:v>
      </x:c>
    </x:row>
    <x:row r="2323">
      <x:c r="A2323" t="str">
        <x:v>RAW-IMP-20260516-FULLDRAFT-002306</x:v>
      </x:c>
      <x:c r="B2323" t="str">
        <x:v>IMP-20260516-FULLDRAFT</x:v>
      </x:c>
      <x:c r="C2323" t="str">
        <x:v>KTO001</x:v>
      </x:c>
      <x:c r="D2323" t="str">
        <x:v>16-05-2026_Umsatzliste_Girokonto_DE98120300001061711675.csv</x:v>
      </x:c>
      <x:c r="E2323" t="n">
        <x:v>46163</x:v>
      </x:c>
      <x:c r="F2323" t="n">
        <x:v>2306</x:v>
      </x:c>
      <x:c r="G2323" t="str">
        <x:v>b8e235e4cc57b31066ed273e8a20c375b19ab1829adb1e272317ead1902efacc</x:v>
      </x:c>
      <x:c r="H2323" t="str">
        <x:v>neu</x:v>
      </x:c>
      <x:c r="I2323" t="str">
        <x:v>ok</x:v>
      </x:c>
      <x:c r="J2323"/>
      <x:c r="K2323" t="n">
        <x:v>45387</x:v>
      </x:c>
      <x:c r="L2323" t="n">
        <x:v>45387</x:v>
      </x:c>
      <x:c r="M2323" t="str">
        <x:v>Gebucht</x:v>
      </x:c>
      <x:c r="N2323" t="str">
        <x:v>KOHLENBERG, LARS</x:v>
      </x:c>
      <x:c r="O2323" t="str">
        <x:v>Schulverein Gymnasium, Salzgitter-Bad e.V.</x:v>
      </x:c>
      <x:c r="P2323" t="str">
        <x:v>113/KOHLENBERG, LARS MITGLIEDSBEITRAG SCHULVEREIN GYMNASIUM SZ-BAD 2024</x:v>
      </x:c>
      <x:c r="Q2323" t="str">
        <x:v>Ausgang</x:v>
      </x:c>
      <x:c r="R2323" t="str">
        <x:v>DE84259501300178007662</x:v>
      </x:c>
      <x:c r="S2323" t="n">
        <x:v>-12</x:v>
      </x:c>
      <x:c r="T2323" t="str">
        <x:v>DE83ZZZ00001305841</x:v>
      </x:c>
      <x:c r="U2323" t="str">
        <x:v>113-1</x:v>
      </x:c>
      <x:c r="V2323" t="str">
        <x:v>113-1</x:v>
      </x:c>
    </x:row>
    <x:row r="2324">
      <x:c r="A2324" t="str">
        <x:v>RAW-IMP-20260516-FULLDRAFT-002307</x:v>
      </x:c>
      <x:c r="B2324" t="str">
        <x:v>IMP-20260516-FULLDRAFT</x:v>
      </x:c>
      <x:c r="C2324" t="str">
        <x:v>KTO001</x:v>
      </x:c>
      <x:c r="D2324" t="str">
        <x:v>16-05-2026_Umsatzliste_Girokonto_DE98120300001061711675.csv</x:v>
      </x:c>
      <x:c r="E2324" t="n">
        <x:v>46163</x:v>
      </x:c>
      <x:c r="F2324" t="n">
        <x:v>2307</x:v>
      </x:c>
      <x:c r="G2324" t="str">
        <x:v>e09ca9953b1b4498278f10e3059d1d68c54e6583561e1e187032c99bd123e71f</x:v>
      </x:c>
      <x:c r="H2324" t="str">
        <x:v>neu</x:v>
      </x:c>
      <x:c r="I2324" t="str">
        <x:v>ok</x:v>
      </x:c>
      <x:c r="J2324"/>
      <x:c r="K2324" t="n">
        <x:v>45387</x:v>
      </x:c>
      <x:c r="L2324" t="n">
        <x:v>45387</x:v>
      </x:c>
      <x:c r="M2324" t="str">
        <x:v>Gebucht</x:v>
      </x:c>
      <x:c r="N2324" t="str">
        <x:v>Lars Kohlenberg</x:v>
      </x:c>
      <x:c r="O2324" t="str">
        <x:v>BBQ BREW CREW CATERing</x:v>
      </x:c>
      <x:c r="P2324" t="str">
        <x:v>Anzahlung zu Angebot AG0071, Kohlenberg für Catering am 9.5.24</x:v>
      </x:c>
      <x:c r="Q2324" t="str">
        <x:v>Ausgang</x:v>
      </x:c>
      <x:c r="R2324" t="str">
        <x:v>DE90259501300035028002</x:v>
      </x:c>
      <x:c r="S2324" t="n">
        <x:v>-340</x:v>
      </x:c>
      <x:c r="T2324" t="str">
        <x:v>"</x:v>
      </x:c>
      <x:c r="U2324" t="str">
        <x:v>"</x:v>
      </x:c>
      <x:c r="V2324" t="str">
        <x:v>"</x:v>
      </x:c>
    </x:row>
    <x:row r="2325">
      <x:c r="A2325" t="str">
        <x:v>RAW-IMP-20260516-FULLDRAFT-002308</x:v>
      </x:c>
      <x:c r="B2325" t="str">
        <x:v>IMP-20260516-FULLDRAFT</x:v>
      </x:c>
      <x:c r="C2325" t="str">
        <x:v>KTO001</x:v>
      </x:c>
      <x:c r="D2325" t="str">
        <x:v>16-05-2026_Umsatzliste_Girokonto_DE98120300001061711675.csv</x:v>
      </x:c>
      <x:c r="E2325" t="n">
        <x:v>46163</x:v>
      </x:c>
      <x:c r="F2325" t="n">
        <x:v>2308</x:v>
      </x:c>
      <x:c r="G2325" t="str">
        <x:v>3ac9562791ae9fc10aa5d1efe729103624bfab768aa88ad279c1806f36108143</x:v>
      </x:c>
      <x:c r="H2325" t="str">
        <x:v>neu</x:v>
      </x:c>
      <x:c r="I2325" t="str">
        <x:v>ok</x:v>
      </x:c>
      <x:c r="J2325"/>
      <x:c r="K2325" t="n">
        <x:v>45386</x:v>
      </x:c>
      <x:c r="L2325" t="n">
        <x:v>45386</x:v>
      </x:c>
      <x:c r="M2325" t="str">
        <x:v>Gebucht</x:v>
      </x:c>
      <x:c r="N2325" t="str">
        <x:v>ISSUER</x:v>
      </x:c>
      <x:c r="O2325" t="str">
        <x:v>REWE.Salzgitter.Ge/Salzgitter</x:v>
      </x:c>
      <x:c r="P2325" t="str">
        <x:v>VISA Debitkartenumsatz vom 03.04.2024</x:v>
      </x:c>
      <x:c r="Q2325" t="str">
        <x:v>Ausgang</x:v>
      </x:c>
      <x:c r="R2325" t="str">
        <x:v>DE96120300009005290904</x:v>
      </x:c>
      <x:c r="S2325" t="n">
        <x:v>-17.33</x:v>
      </x:c>
      <x:c r="T2325" t="str">
        <x:v>"</x:v>
      </x:c>
      <x:c r="U2325" t="str">
        <x:v>"</x:v>
      </x:c>
      <x:c r="V2325" t="str">
        <x:v>484094624379679</x:v>
      </x:c>
    </x:row>
    <x:row r="2326">
      <x:c r="A2326" t="str">
        <x:v>RAW-IMP-20260516-FULLDRAFT-002309</x:v>
      </x:c>
      <x:c r="B2326" t="str">
        <x:v>IMP-20260516-FULLDRAFT</x:v>
      </x:c>
      <x:c r="C2326" t="str">
        <x:v>KTO001</x:v>
      </x:c>
      <x:c r="D2326" t="str">
        <x:v>16-05-2026_Umsatzliste_Girokonto_DE98120300001061711675.csv</x:v>
      </x:c>
      <x:c r="E2326" t="n">
        <x:v>46163</x:v>
      </x:c>
      <x:c r="F2326" t="n">
        <x:v>2309</x:v>
      </x:c>
      <x:c r="G2326" t="str">
        <x:v>94e4dbd216a224642ee6445255fc1b3945d1bbe447dd9c3941df8c755368a078</x:v>
      </x:c>
      <x:c r="H2326" t="str">
        <x:v>neu</x:v>
      </x:c>
      <x:c r="I2326" t="str">
        <x:v>ok</x:v>
      </x:c>
      <x:c r="J2326"/>
      <x:c r="K2326" t="n">
        <x:v>45386</x:v>
      </x:c>
      <x:c r="L2326" t="n">
        <x:v>45386</x:v>
      </x:c>
      <x:c r="M2326" t="str">
        <x:v>Gebucht</x:v>
      </x:c>
      <x:c r="N2326" t="str">
        <x:v>ISSUER</x:v>
      </x:c>
      <x:c r="O2326" t="str">
        <x:v>KAUFLAND.SALZGITTER.CIT/SALZGITTER</x:v>
      </x:c>
      <x:c r="P2326" t="str">
        <x:v>VISA Debitkartenumsatz vom 02.04.2024</x:v>
      </x:c>
      <x:c r="Q2326" t="str">
        <x:v>Ausgang</x:v>
      </x:c>
      <x:c r="R2326" t="str">
        <x:v>DE96120300009005290904</x:v>
      </x:c>
      <x:c r="S2326" t="n">
        <x:v>-37.83</x:v>
      </x:c>
      <x:c r="T2326" t="str">
        <x:v>"</x:v>
      </x:c>
      <x:c r="U2326" t="str">
        <x:v>"</x:v>
      </x:c>
      <x:c r="V2326" t="str">
        <x:v>484093627958879</x:v>
      </x:c>
    </x:row>
    <x:row r="2327">
      <x:c r="A2327" t="str">
        <x:v>RAW-IMP-20260516-FULLDRAFT-002310</x:v>
      </x:c>
      <x:c r="B2327" t="str">
        <x:v>IMP-20260516-FULLDRAFT</x:v>
      </x:c>
      <x:c r="C2327" t="str">
        <x:v>KTO001</x:v>
      </x:c>
      <x:c r="D2327" t="str">
        <x:v>16-05-2026_Umsatzliste_Girokonto_DE98120300001061711675.csv</x:v>
      </x:c>
      <x:c r="E2327" t="n">
        <x:v>46163</x:v>
      </x:c>
      <x:c r="F2327" t="n">
        <x:v>2310</x:v>
      </x:c>
      <x:c r="G2327" t="str">
        <x:v>ec3203df80783d2634d6266443e06b9990181b555e2d5c192214feec27e1625c</x:v>
      </x:c>
      <x:c r="H2327" t="str">
        <x:v>neu</x:v>
      </x:c>
      <x:c r="I2327" t="str">
        <x:v>ok</x:v>
      </x:c>
      <x:c r="J2327"/>
      <x:c r="K2327" t="n">
        <x:v>45386</x:v>
      </x:c>
      <x:c r="L2327" t="n">
        <x:v>45386</x:v>
      </x:c>
      <x:c r="M2327" t="str">
        <x:v>Gebucht</x:v>
      </x:c>
      <x:c r="N2327" t="str">
        <x:v>ISSUER</x:v>
      </x:c>
      <x:c r="O2327" t="str">
        <x:v>APPLE.COM.BILL/ITUNES.COM</x:v>
      </x:c>
      <x:c r="P2327" t="str">
        <x:v>VISA Debitkartenumsatz vom 03.04.2024</x:v>
      </x:c>
      <x:c r="Q2327" t="str">
        <x:v>Ausgang</x:v>
      </x:c>
      <x:c r="R2327" t="str">
        <x:v>DE96120300009005290904</x:v>
      </x:c>
      <x:c r="S2327" t="n">
        <x:v>-0.99</x:v>
      </x:c>
      <x:c r="T2327" t="str">
        <x:v>"</x:v>
      </x:c>
      <x:c r="U2327" t="str">
        <x:v>"</x:v>
      </x:c>
      <x:c r="V2327" t="str">
        <x:v>384094083047336</x:v>
      </x:c>
    </x:row>
    <x:row r="2328">
      <x:c r="A2328" t="str">
        <x:v>RAW-IMP-20260516-FULLDRAFT-002311</x:v>
      </x:c>
      <x:c r="B2328" t="str">
        <x:v>IMP-20260516-FULLDRAFT</x:v>
      </x:c>
      <x:c r="C2328" t="str">
        <x:v>KTO001</x:v>
      </x:c>
      <x:c r="D2328" t="str">
        <x:v>16-05-2026_Umsatzliste_Girokonto_DE98120300001061711675.csv</x:v>
      </x:c>
      <x:c r="E2328" t="n">
        <x:v>46163</x:v>
      </x:c>
      <x:c r="F2328" t="n">
        <x:v>2311</x:v>
      </x:c>
      <x:c r="G2328" t="str">
        <x:v>476b55266ef92828207b36a9ed4c6061a8487674673eaed2df4d2000f078e0c3</x:v>
      </x:c>
      <x:c r="H2328" t="str">
        <x:v>neu</x:v>
      </x:c>
      <x:c r="I2328" t="str">
        <x:v>ok</x:v>
      </x:c>
      <x:c r="J2328"/>
      <x:c r="K2328" t="n">
        <x:v>45386</x:v>
      </x:c>
      <x:c r="L2328" t="n">
        <x:v>45386</x:v>
      </x:c>
      <x:c r="M2328" t="str">
        <x:v>Gebucht</x:v>
      </x:c>
      <x:c r="N2328" t="str">
        <x:v>Lars Kohlenberg                                                       JohannesWosnitzaStr.</x:v>
      </x:c>
      <x:c r="O2328" t="str">
        <x:v>Adyen N.V.</x:v>
      </x:c>
      <x:c r="P2328" t="str">
        <x:v>GMX by LOTTO24 C98983063 T978353494608</x:v>
      </x:c>
      <x:c r="Q2328" t="str">
        <x:v>Ausgang</x:v>
      </x:c>
      <x:c r="R2328" t="str">
        <x:v>DE11120700700020000603</x:v>
      </x:c>
      <x:c r="S2328" t="n">
        <x:v>-18.14</x:v>
      </x:c>
      <x:c r="T2328" t="str">
        <x:v>NL48ZZZ342764500000</x:v>
      </x:c>
      <x:c r="U2328" t="str">
        <x:v>R372DKN5SSBXZP52</x:v>
      </x:c>
      <x:c r="V2328" t="str">
        <x:v>CXZ52GKBBNC8X3SG2C</x:v>
      </x:c>
    </x:row>
    <x:row r="2329">
      <x:c r="A2329" t="str">
        <x:v>RAW-IMP-20260516-FULLDRAFT-002312</x:v>
      </x:c>
      <x:c r="B2329" t="str">
        <x:v>IMP-20260516-FULLDRAFT</x:v>
      </x:c>
      <x:c r="C2329" t="str">
        <x:v>KTO001</x:v>
      </x:c>
      <x:c r="D2329" t="str">
        <x:v>16-05-2026_Umsatzliste_Girokonto_DE98120300001061711675.csv</x:v>
      </x:c>
      <x:c r="E2329" t="n">
        <x:v>46163</x:v>
      </x:c>
      <x:c r="F2329" t="n">
        <x:v>2312</x:v>
      </x:c>
      <x:c r="G2329" t="str">
        <x:v>c51a1ced24c30cbc01041db97ed889c7648fa0ab4bb6f455c4a6d2dc5b7cf2f4</x:v>
      </x:c>
      <x:c r="H2329" t="str">
        <x:v>neu</x:v>
      </x:c>
      <x:c r="I2329" t="str">
        <x:v>ok</x:v>
      </x:c>
      <x:c r="J2329"/>
      <x:c r="K2329" t="n">
        <x:v>45385</x:v>
      </x:c>
      <x:c r="L2329" t="n">
        <x:v>45385</x:v>
      </x:c>
      <x:c r="M2329" t="str">
        <x:v>Gebucht</x:v>
      </x:c>
      <x:c r="N2329" t="str">
        <x:v>ISSUER</x:v>
      </x:c>
      <x:c r="O2329" t="str">
        <x:v>REWE.Mehmet.Kaysal.oHG/Salzgitter</x:v>
      </x:c>
      <x:c r="P2329" t="str">
        <x:v>VISA Debitkartenumsatz vom 02.04.2024</x:v>
      </x:c>
      <x:c r="Q2329" t="str">
        <x:v>Ausgang</x:v>
      </x:c>
      <x:c r="R2329" t="str">
        <x:v>DE96120300009005290904</x:v>
      </x:c>
      <x:c r="S2329" t="n">
        <x:v>-39.47</x:v>
      </x:c>
      <x:c r="T2329" t="str">
        <x:v>"</x:v>
      </x:c>
      <x:c r="U2329" t="str">
        <x:v>"</x:v>
      </x:c>
      <x:c r="V2329" t="str">
        <x:v>484093640198227</x:v>
      </x:c>
    </x:row>
    <x:row r="2330">
      <x:c r="A2330" t="str">
        <x:v>RAW-IMP-20260516-FULLDRAFT-002313</x:v>
      </x:c>
      <x:c r="B2330" t="str">
        <x:v>IMP-20260516-FULLDRAFT</x:v>
      </x:c>
      <x:c r="C2330" t="str">
        <x:v>KTO001</x:v>
      </x:c>
      <x:c r="D2330" t="str">
        <x:v>16-05-2026_Umsatzliste_Girokonto_DE98120300001061711675.csv</x:v>
      </x:c>
      <x:c r="E2330" t="n">
        <x:v>46163</x:v>
      </x:c>
      <x:c r="F2330" t="n">
        <x:v>2313</x:v>
      </x:c>
      <x:c r="G2330" t="str">
        <x:v>9ce1eba484fb3186acff380004559d485a7cd858d097b6e22922d2536542b51e</x:v>
      </x:c>
      <x:c r="H2330" t="str">
        <x:v>neu</x:v>
      </x:c>
      <x:c r="I2330" t="str">
        <x:v>ok</x:v>
      </x:c>
      <x:c r="J2330"/>
      <x:c r="K2330" t="n">
        <x:v>45385</x:v>
      </x:c>
      <x:c r="L2330" t="n">
        <x:v>45385</x:v>
      </x:c>
      <x:c r="M2330" t="str">
        <x:v>Gebucht</x:v>
      </x:c>
      <x:c r="N2330" t="str">
        <x:v>ISSUER</x:v>
      </x:c>
      <x:c r="O2330" t="str">
        <x:v>AMZN.Mktp.DE.H97SH2IQ4/800.279.6620</x:v>
      </x:c>
      <x:c r="P2330" t="str">
        <x:v>VISA Debitkartenumsatz vom 02.04.2024</x:v>
      </x:c>
      <x:c r="Q2330" t="str">
        <x:v>Ausgang</x:v>
      </x:c>
      <x:c r="R2330" t="str">
        <x:v>DE96120300009005290904</x:v>
      </x:c>
      <x:c r="S2330" t="n">
        <x:v>-120</x:v>
      </x:c>
      <x:c r="T2330" t="str">
        <x:v>"</x:v>
      </x:c>
      <x:c r="U2330" t="str">
        <x:v>"</x:v>
      </x:c>
      <x:c r="V2330" t="str">
        <x:v>484089517835460</x:v>
      </x:c>
    </x:row>
    <x:row r="2331">
      <x:c r="A2331" t="str">
        <x:v>RAW-IMP-20260516-FULLDRAFT-002314</x:v>
      </x:c>
      <x:c r="B2331" t="str">
        <x:v>IMP-20260516-FULLDRAFT</x:v>
      </x:c>
      <x:c r="C2331" t="str">
        <x:v>KTO001</x:v>
      </x:c>
      <x:c r="D2331" t="str">
        <x:v>16-05-2026_Umsatzliste_Girokonto_DE98120300001061711675.csv</x:v>
      </x:c>
      <x:c r="E2331" t="n">
        <x:v>46163</x:v>
      </x:c>
      <x:c r="F2331" t="n">
        <x:v>2314</x:v>
      </x:c>
      <x:c r="G2331" t="str">
        <x:v>900c9c2828bf08e43393edb4b49c9d84e15145eabff0b035ca2274b60a4b6fd1</x:v>
      </x:c>
      <x:c r="H2331" t="str">
        <x:v>neu</x:v>
      </x:c>
      <x:c r="I2331" t="str">
        <x:v>ok</x:v>
      </x:c>
      <x:c r="J2331"/>
      <x:c r="K2331" t="n">
        <x:v>45385</x:v>
      </x:c>
      <x:c r="L2331" t="n">
        <x:v>45385</x:v>
      </x:c>
      <x:c r="M2331" t="str">
        <x:v>Gebucht</x:v>
      </x:c>
      <x:c r="N2331" t="str">
        <x:v>Lars Kohlenberg</x:v>
      </x:c>
      <x:c r="O2331" t="str">
        <x:v>VHV Allg. Versicherung AG</x:v>
      </x:c>
      <x:c r="P2331" t="str">
        <x:v>VHV Versicherung UNFALLVERSICHERUNG U 013-072445/0000 Abrechnung: 01.04.24 - 01.05.24</x:v>
      </x:c>
      <x:c r="Q2331" t="str">
        <x:v>Ausgang</x:v>
      </x:c>
      <x:c r="R2331" t="str">
        <x:v>DE65250500000101411551</x:v>
      </x:c>
      <x:c r="S2331" t="n">
        <x:v>-11.96</x:v>
      </x:c>
      <x:c r="T2331" t="str">
        <x:v>DE32VHV00000150810</x:v>
      </x:c>
      <x:c r="U2331" t="str">
        <x:v>0015012300010039</x:v>
      </x:c>
      <x:c r="V2331" t="str">
        <x:v>31253154992</x:v>
      </x:c>
    </x:row>
    <x:row r="2332">
      <x:c r="A2332" t="str">
        <x:v>RAW-IMP-20260516-FULLDRAFT-002315</x:v>
      </x:c>
      <x:c r="B2332" t="str">
        <x:v>IMP-20260516-FULLDRAFT</x:v>
      </x:c>
      <x:c r="C2332" t="str">
        <x:v>KTO001</x:v>
      </x:c>
      <x:c r="D2332" t="str">
        <x:v>16-05-2026_Umsatzliste_Girokonto_DE98120300001061711675.csv</x:v>
      </x:c>
      <x:c r="E2332" t="n">
        <x:v>46163</x:v>
      </x:c>
      <x:c r="F2332" t="n">
        <x:v>2315</x:v>
      </x:c>
      <x:c r="G2332" t="str">
        <x:v>6580622bac4175dbff765bbf8cfeb644d5a3e0037bf577eff10d2bf0b723fadc</x:v>
      </x:c>
      <x:c r="H2332" t="str">
        <x:v>neu</x:v>
      </x:c>
      <x:c r="I2332" t="str">
        <x:v>ok</x:v>
      </x:c>
      <x:c r="J2332"/>
      <x:c r="K2332" t="n">
        <x:v>45385</x:v>
      </x:c>
      <x:c r="L2332" t="n">
        <x:v>45385</x:v>
      </x:c>
      <x:c r="M2332" t="str">
        <x:v>Gebucht</x:v>
      </x:c>
      <x:c r="N2332" t="str">
        <x:v>Lars Kohlenberg</x:v>
      </x:c>
      <x:c r="O2332" t="str">
        <x:v>VHV Allg. Versicherung AG</x:v>
      </x:c>
      <x:c r="P2332" t="str">
        <x:v>VHV Versicherung HAFTPFLICHTVERSICHERUNG H 306-298548/0000 Abrechnung: 01.04.24 - 01.07.24</x:v>
      </x:c>
      <x:c r="Q2332" t="str">
        <x:v>Ausgang</x:v>
      </x:c>
      <x:c r="R2332" t="str">
        <x:v>DE65250500000101411551</x:v>
      </x:c>
      <x:c r="S2332" t="n">
        <x:v>-23.63</x:v>
      </x:c>
      <x:c r="T2332" t="str">
        <x:v>DE32VHV00000150810</x:v>
      </x:c>
      <x:c r="U2332" t="str">
        <x:v>0015012300010037</x:v>
      </x:c>
      <x:c r="V2332" t="str">
        <x:v>31253154991</x:v>
      </x:c>
    </x:row>
    <x:row r="2333">
      <x:c r="A2333" t="str">
        <x:v>RAW-IMP-20260516-FULLDRAFT-002316</x:v>
      </x:c>
      <x:c r="B2333" t="str">
        <x:v>IMP-20260516-FULLDRAFT</x:v>
      </x:c>
      <x:c r="C2333" t="str">
        <x:v>KTO001</x:v>
      </x:c>
      <x:c r="D2333" t="str">
        <x:v>16-05-2026_Umsatzliste_Girokonto_DE98120300001061711675.csv</x:v>
      </x:c>
      <x:c r="E2333" t="n">
        <x:v>46163</x:v>
      </x:c>
      <x:c r="F2333" t="n">
        <x:v>2316</x:v>
      </x:c>
      <x:c r="G2333" t="str">
        <x:v>8c4d3b7da964dd40c4b4a40dba446ef2f8f37e9b5eeb7e105cd1915ec7cc03ff</x:v>
      </x:c>
      <x:c r="H2333" t="str">
        <x:v>neu</x:v>
      </x:c>
      <x:c r="I2333" t="str">
        <x:v>ok</x:v>
      </x:c>
      <x:c r="J2333"/>
      <x:c r="K2333" t="n">
        <x:v>45385</x:v>
      </x:c>
      <x:c r="L2333" t="n">
        <x:v>45385</x:v>
      </x:c>
      <x:c r="M2333" t="str">
        <x:v>Gebucht</x:v>
      </x:c>
      <x:c r="N2333" t="str">
        <x:v>Lars Kohlenberg                                                       JohannesWosnitzaStr.</x:v>
      </x:c>
      <x:c r="O2333" t="str">
        <x:v>Adyen N.V.</x:v>
      </x:c>
      <x:c r="P2333" t="str">
        <x:v>GMX by LOTTO24 C98983063 T694127032702</x:v>
      </x:c>
      <x:c r="Q2333" t="str">
        <x:v>Ausgang</x:v>
      </x:c>
      <x:c r="R2333" t="str">
        <x:v>DE11120700700020000603</x:v>
      </x:c>
      <x:c r="S2333" t="n">
        <x:v>-8.54</x:v>
      </x:c>
      <x:c r="T2333" t="str">
        <x:v>NL48ZZZ342764500000</x:v>
      </x:c>
      <x:c r="U2333" t="str">
        <x:v>R372DKN5SSBXZP52</x:v>
      </x:c>
      <x:c r="V2333" t="str">
        <x:v>CG29C22XLR4DJDXG2C</x:v>
      </x:c>
    </x:row>
    <x:row r="2334">
      <x:c r="A2334" t="str">
        <x:v>RAW-IMP-20260516-FULLDRAFT-002317</x:v>
      </x:c>
      <x:c r="B2334" t="str">
        <x:v>IMP-20260516-FULLDRAFT</x:v>
      </x:c>
      <x:c r="C2334" t="str">
        <x:v>KTO001</x:v>
      </x:c>
      <x:c r="D2334" t="str">
        <x:v>16-05-2026_Umsatzliste_Girokonto_DE98120300001061711675.csv</x:v>
      </x:c>
      <x:c r="E2334" t="n">
        <x:v>46163</x:v>
      </x:c>
      <x:c r="F2334" t="n">
        <x:v>2317</x:v>
      </x:c>
      <x:c r="G2334" t="str">
        <x:v>d02ae847bdd24e4284f06f068d89d0eb491ee324ec8105804dcfcc2b179a3289</x:v>
      </x:c>
      <x:c r="H2334" t="str">
        <x:v>neu</x:v>
      </x:c>
      <x:c r="I2334" t="str">
        <x:v>ok</x:v>
      </x:c>
      <x:c r="J2334"/>
      <x:c r="K2334" t="n">
        <x:v>45385</x:v>
      </x:c>
      <x:c r="L2334" t="n">
        <x:v>45385</x:v>
      </x:c>
      <x:c r="M2334" t="str">
        <x:v>Gebucht</x:v>
      </x:c>
      <x:c r="N2334" t="str">
        <x:v>Lars Kohlenberg                                                       Johannes-Wosnitza-Str. 8</x:v>
      </x:c>
      <x:c r="O2334" t="str">
        <x:v>FUNKE Medien Nieders.GmbH</x:v>
      </x:c>
      <x:c r="P2334" t="str">
        <x:v>SZ/00001050/VA/01.04.24-30.04.24/Rg-Nr.:6315455701/Kd-Nr:0053112791/Steuer:3.57</x:v>
      </x:c>
      <x:c r="Q2334" t="str">
        <x:v>Ausgang</x:v>
      </x:c>
      <x:c r="R2334" t="str">
        <x:v>DE67250500000000146910</x:v>
      </x:c>
      <x:c r="S2334" t="n">
        <x:v>-54.5</x:v>
      </x:c>
      <x:c r="T2334" t="str">
        <x:v>DE8850000000483288</x:v>
      </x:c>
      <x:c r="U2334" t="str">
        <x:v>0053112791-0500-01300001</x:v>
      </x:c>
      <x:c r="V2334" t="str">
        <x:v>035006320523</x:v>
      </x:c>
    </x:row>
    <x:row r="2335">
      <x:c r="A2335" t="str">
        <x:v>RAW-IMP-20260516-FULLDRAFT-002318</x:v>
      </x:c>
      <x:c r="B2335" t="str">
        <x:v>IMP-20260516-FULLDRAFT</x:v>
      </x:c>
      <x:c r="C2335" t="str">
        <x:v>KTO001</x:v>
      </x:c>
      <x:c r="D2335" t="str">
        <x:v>16-05-2026_Umsatzliste_Girokonto_DE98120300001061711675.csv</x:v>
      </x:c>
      <x:c r="E2335" t="n">
        <x:v>46163</x:v>
      </x:c>
      <x:c r="F2335" t="n">
        <x:v>2318</x:v>
      </x:c>
      <x:c r="G2335" t="str">
        <x:v>f92ade5687e341d7c56291e0e2dfbe61bb483357c9e306c97fda8b662c068eb1</x:v>
      </x:c>
      <x:c r="H2335" t="str">
        <x:v>neu</x:v>
      </x:c>
      <x:c r="I2335" t="str">
        <x:v>ok</x:v>
      </x:c>
      <x:c r="J2335"/>
      <x:c r="K2335" t="n">
        <x:v>45385</x:v>
      </x:c>
      <x:c r="L2335" t="n">
        <x:v>45385</x:v>
      </x:c>
      <x:c r="M2335" t="str">
        <x:v>Gebucht</x:v>
      </x:c>
      <x:c r="N2335" t="str">
        <x:v>KOHLENBERG, LARS</x:v>
      </x:c>
      <x:c r="O2335" t="str">
        <x:v>VPV-LEBENSVERSICHERUNGS-AG</x:v>
      </x:c>
      <x:c r="P2335" t="str">
        <x:v>VNR 301667726</x:v>
      </x:c>
      <x:c r="Q2335" t="str">
        <x:v>Ausgang</x:v>
      </x:c>
      <x:c r="R2335" t="str">
        <x:v>DE78600501010001166338</x:v>
      </x:c>
      <x:c r="S2335" t="n">
        <x:v>-51.54</x:v>
      </x:c>
      <x:c r="T2335" t="str">
        <x:v>DE96LAG00000064686</x:v>
      </x:c>
      <x:c r="U2335" t="str">
        <x:v>ML700120510</x:v>
      </x:c>
      <x:c r="V2335" t="str">
        <x:v>240402 446255391 ML700120510</x:v>
      </x:c>
    </x:row>
    <x:row r="2336">
      <x:c r="A2336" t="str">
        <x:v>RAW-IMP-20260516-FULLDRAFT-002319</x:v>
      </x:c>
      <x:c r="B2336" t="str">
        <x:v>IMP-20260516-FULLDRAFT</x:v>
      </x:c>
      <x:c r="C2336" t="str">
        <x:v>KTO001</x:v>
      </x:c>
      <x:c r="D2336" t="str">
        <x:v>16-05-2026_Umsatzliste_Girokonto_DE98120300001061711675.csv</x:v>
      </x:c>
      <x:c r="E2336" t="n">
        <x:v>46163</x:v>
      </x:c>
      <x:c r="F2336" t="n">
        <x:v>2319</x:v>
      </x:c>
      <x:c r="G2336" t="str">
        <x:v>b25c3f4213bcf571f7052c684623a4b88097f26d2bc42fa4002249506734fc60</x:v>
      </x:c>
      <x:c r="H2336" t="str">
        <x:v>neu</x:v>
      </x:c>
      <x:c r="I2336" t="str">
        <x:v>ok</x:v>
      </x:c>
      <x:c r="J2336"/>
      <x:c r="K2336" t="n">
        <x:v>45384</x:v>
      </x:c>
      <x:c r="L2336" t="n">
        <x:v>45384</x:v>
      </x:c>
      <x:c r="M2336" t="str">
        <x:v>Gebucht</x:v>
      </x:c>
      <x:c r="N2336" t="str">
        <x:v>ISSUER</x:v>
      </x:c>
      <x:c r="O2336" t="str">
        <x:v>GEM.PRAXIS KOEBRICH, HIPPE</x:v>
      </x:c>
      <x:c r="P2336" t="str">
        <x:v>Girokartenumsatz</x:v>
      </x:c>
      <x:c r="Q2336" t="str">
        <x:v>Ausgang</x:v>
      </x:c>
      <x:c r="R2336" t="str">
        <x:v>DE48269910666178960001</x:v>
      </x:c>
      <x:c r="S2336" t="n">
        <x:v>-35</x:v>
      </x:c>
      <x:c r="T2336" t="str">
        <x:v>"</x:v>
      </x:c>
      <x:c r="U2336" t="str">
        <x:v>"</x:v>
      </x:c>
      <x:c r="V2336" t="str">
        <x:v>52072729001787280324154112</x:v>
      </x:c>
    </x:row>
    <x:row r="2337">
      <x:c r="A2337" t="str">
        <x:v>RAW-IMP-20260516-FULLDRAFT-002320</x:v>
      </x:c>
      <x:c r="B2337" t="str">
        <x:v>IMP-20260516-FULLDRAFT</x:v>
      </x:c>
      <x:c r="C2337" t="str">
        <x:v>KTO001</x:v>
      </x:c>
      <x:c r="D2337" t="str">
        <x:v>16-05-2026_Umsatzliste_Girokonto_DE98120300001061711675.csv</x:v>
      </x:c>
      <x:c r="E2337" t="n">
        <x:v>46163</x:v>
      </x:c>
      <x:c r="F2337" t="n">
        <x:v>2320</x:v>
      </x:c>
      <x:c r="G2337" t="str">
        <x:v>9cfb30b36b5d5a9146879576e6cf310fcfca4df3925a52a34b5bf1125f9b7d44</x:v>
      </x:c>
      <x:c r="H2337" t="str">
        <x:v>neu</x:v>
      </x:c>
      <x:c r="I2337" t="str">
        <x:v>ok</x:v>
      </x:c>
      <x:c r="J2337"/>
      <x:c r="K2337" t="n">
        <x:v>45384</x:v>
      </x:c>
      <x:c r="L2337" t="n">
        <x:v>45384</x:v>
      </x:c>
      <x:c r="M2337" t="str">
        <x:v>Gebucht</x:v>
      </x:c>
      <x:c r="N2337" t="str">
        <x:v>ISSUER</x:v>
      </x:c>
      <x:c r="O2337" t="str">
        <x:v>GEM.PRAXIS KOEBRICH, HIPPE</x:v>
      </x:c>
      <x:c r="P2337" t="str">
        <x:v>Girokartenumsatz</x:v>
      </x:c>
      <x:c r="Q2337" t="str">
        <x:v>Ausgang</x:v>
      </x:c>
      <x:c r="R2337" t="str">
        <x:v>DE48269910666178960001</x:v>
      </x:c>
      <x:c r="S2337" t="n">
        <x:v>-35</x:v>
      </x:c>
      <x:c r="T2337" t="str">
        <x:v>"</x:v>
      </x:c>
      <x:c r="U2337" t="str">
        <x:v>"</x:v>
      </x:c>
      <x:c r="V2337" t="str">
        <x:v>52072729001789280324154154</x:v>
      </x:c>
    </x:row>
    <x:row r="2338">
      <x:c r="A2338" t="str">
        <x:v>RAW-IMP-20260516-FULLDRAFT-002321</x:v>
      </x:c>
      <x:c r="B2338" t="str">
        <x:v>IMP-20260516-FULLDRAFT</x:v>
      </x:c>
      <x:c r="C2338" t="str">
        <x:v>KTO001</x:v>
      </x:c>
      <x:c r="D2338" t="str">
        <x:v>16-05-2026_Umsatzliste_Girokonto_DE98120300001061711675.csv</x:v>
      </x:c>
      <x:c r="E2338" t="n">
        <x:v>46163</x:v>
      </x:c>
      <x:c r="F2338" t="n">
        <x:v>2321</x:v>
      </x:c>
      <x:c r="G2338" t="str">
        <x:v>f0d6e516b7c19f62f3bc498de59ea5bef53802092fa12d3681198f09f7ddca0f</x:v>
      </x:c>
      <x:c r="H2338" t="str">
        <x:v>neu</x:v>
      </x:c>
      <x:c r="I2338" t="str">
        <x:v>ok</x:v>
      </x:c>
      <x:c r="J2338"/>
      <x:c r="K2338" t="n">
        <x:v>45384</x:v>
      </x:c>
      <x:c r="L2338" t="n">
        <x:v>45384</x:v>
      </x:c>
      <x:c r="M2338" t="str">
        <x:v>Gebucht</x:v>
      </x:c>
      <x:c r="N2338" t="str">
        <x:v>WILLI KOHLENBERG</x:v>
      </x:c>
      <x:c r="O2338" t="str">
        <x:v>LARS KOHLENBERG</x:v>
      </x:c>
      <x:c r="P2338" t="str">
        <x:v>MIETE 2/3 HAUS</x:v>
      </x:c>
      <x:c r="Q2338" t="str">
        <x:v>Eingang</x:v>
      </x:c>
      <x:c r="R2338" t="str">
        <x:v>DE84270800600651520400</x:v>
      </x:c>
      <x:c r="S2338" t="n">
        <x:v>750</x:v>
      </x:c>
      <x:c r="T2338" t="str">
        <x:v>"</x:v>
      </x:c>
      <x:c r="U2338" t="str">
        <x:v>"</x:v>
      </x:c>
      <x:c r="V2338" t="str">
        <x:v>"</x:v>
      </x:c>
    </x:row>
    <x:row r="2339">
      <x:c r="A2339" t="str">
        <x:v>RAW-IMP-20260516-FULLDRAFT-002322</x:v>
      </x:c>
      <x:c r="B2339" t="str">
        <x:v>IMP-20260516-FULLDRAFT</x:v>
      </x:c>
      <x:c r="C2339" t="str">
        <x:v>KTO001</x:v>
      </x:c>
      <x:c r="D2339" t="str">
        <x:v>16-05-2026_Umsatzliste_Girokonto_DE98120300001061711675.csv</x:v>
      </x:c>
      <x:c r="E2339" t="n">
        <x:v>46163</x:v>
      </x:c>
      <x:c r="F2339" t="n">
        <x:v>2322</x:v>
      </x:c>
      <x:c r="G2339" t="str">
        <x:v>dc36a0622eef1df1359743005196a3fd106027ac74001900c4e880a1a32eaa59</x:v>
      </x:c>
      <x:c r="H2339" t="str">
        <x:v>neu</x:v>
      </x:c>
      <x:c r="I2339" t="str">
        <x:v>ok</x:v>
      </x:c>
      <x:c r="J2339"/>
      <x:c r="K2339" t="n">
        <x:v>45384</x:v>
      </x:c>
      <x:c r="L2339" t="n">
        <x:v>45384</x:v>
      </x:c>
      <x:c r="M2339" t="str">
        <x:v>Gebucht</x:v>
      </x:c>
      <x:c r="N2339" t="str">
        <x:v>ISSUER</x:v>
      </x:c>
      <x:c r="O2339" t="str">
        <x:v>ENTSORGUNGSZENTRUM.SAL/SALZGITTER</x:v>
      </x:c>
      <x:c r="P2339" t="str">
        <x:v>VISA Debitkartenumsatz vom 30.03.2024</x:v>
      </x:c>
      <x:c r="Q2339" t="str">
        <x:v>Ausgang</x:v>
      </x:c>
      <x:c r="R2339" t="str">
        <x:v>DE96120300009005290904</x:v>
      </x:c>
      <x:c r="S2339" t="n">
        <x:v>-7</x:v>
      </x:c>
      <x:c r="T2339" t="str">
        <x:v>"</x:v>
      </x:c>
      <x:c r="U2339" t="str">
        <x:v>"</x:v>
      </x:c>
      <x:c r="V2339" t="str">
        <x:v>484090257200506</x:v>
      </x:c>
    </x:row>
    <x:row r="2340">
      <x:c r="A2340" t="str">
        <x:v>RAW-IMP-20260516-FULLDRAFT-002323</x:v>
      </x:c>
      <x:c r="B2340" t="str">
        <x:v>IMP-20260516-FULLDRAFT</x:v>
      </x:c>
      <x:c r="C2340" t="str">
        <x:v>KTO001</x:v>
      </x:c>
      <x:c r="D2340" t="str">
        <x:v>16-05-2026_Umsatzliste_Girokonto_DE98120300001061711675.csv</x:v>
      </x:c>
      <x:c r="E2340" t="n">
        <x:v>46163</x:v>
      </x:c>
      <x:c r="F2340" t="n">
        <x:v>2323</x:v>
      </x:c>
      <x:c r="G2340" t="str">
        <x:v>0efcd820d476e23ece51b76f20a9599b8ed20c2015d893589d926fddae93413f</x:v>
      </x:c>
      <x:c r="H2340" t="str">
        <x:v>neu</x:v>
      </x:c>
      <x:c r="I2340" t="str">
        <x:v>ok</x:v>
      </x:c>
      <x:c r="J2340"/>
      <x:c r="K2340" t="n">
        <x:v>45384</x:v>
      </x:c>
      <x:c r="L2340" t="n">
        <x:v>45384</x:v>
      </x:c>
      <x:c r="M2340" t="str">
        <x:v>Gebucht</x:v>
      </x:c>
      <x:c r="N2340" t="str">
        <x:v>ISSUER</x:v>
      </x:c>
      <x:c r="O2340" t="str">
        <x:v>SANDERS.BACKSTUBE.GMBH/LENGEDE</x:v>
      </x:c>
      <x:c r="P2340" t="str">
        <x:v>VISA Debitkartenumsatz vom 01.04.2024</x:v>
      </x:c>
      <x:c r="Q2340" t="str">
        <x:v>Ausgang</x:v>
      </x:c>
      <x:c r="R2340" t="str">
        <x:v>DE96120300009005290904</x:v>
      </x:c>
      <x:c r="S2340" t="n">
        <x:v>-4.93</x:v>
      </x:c>
      <x:c r="T2340" t="str">
        <x:v>"</x:v>
      </x:c>
      <x:c r="U2340" t="str">
        <x:v>"</x:v>
      </x:c>
      <x:c r="V2340" t="str">
        <x:v>484092292416160</x:v>
      </x:c>
    </x:row>
    <x:row r="2341">
      <x:c r="A2341" t="str">
        <x:v>RAW-IMP-20260516-FULLDRAFT-002324</x:v>
      </x:c>
      <x:c r="B2341" t="str">
        <x:v>IMP-20260516-FULLDRAFT</x:v>
      </x:c>
      <x:c r="C2341" t="str">
        <x:v>KTO001</x:v>
      </x:c>
      <x:c r="D2341" t="str">
        <x:v>16-05-2026_Umsatzliste_Girokonto_DE98120300001061711675.csv</x:v>
      </x:c>
      <x:c r="E2341" t="n">
        <x:v>46163</x:v>
      </x:c>
      <x:c r="F2341" t="n">
        <x:v>2324</x:v>
      </x:c>
      <x:c r="G2341" t="str">
        <x:v>85b6f831fd53d9fa42a4b77f0eb53bb623d56561ad3c2afe816e640b55011ca2</x:v>
      </x:c>
      <x:c r="H2341" t="str">
        <x:v>neu</x:v>
      </x:c>
      <x:c r="I2341" t="str">
        <x:v>ok</x:v>
      </x:c>
      <x:c r="J2341"/>
      <x:c r="K2341" t="n">
        <x:v>45384</x:v>
      </x:c>
      <x:c r="L2341" t="n">
        <x:v>45384</x:v>
      </x:c>
      <x:c r="M2341" t="str">
        <x:v>Gebucht</x:v>
      </x:c>
      <x:c r="N2341" t="str">
        <x:v>ISSUER</x:v>
      </x:c>
      <x:c r="O2341" t="str">
        <x:v>Amazon.de.H98V32U34/AMAZON.DE</x:v>
      </x:c>
      <x:c r="P2341" t="str">
        <x:v>VISA Debitkartenumsatz vom 01.04.2024</x:v>
      </x:c>
      <x:c r="Q2341" t="str">
        <x:v>Ausgang</x:v>
      </x:c>
      <x:c r="R2341" t="str">
        <x:v>DE96120300009005290904</x:v>
      </x:c>
      <x:c r="S2341" t="n">
        <x:v>-11</x:v>
      </x:c>
      <x:c r="T2341" t="str">
        <x:v>"</x:v>
      </x:c>
      <x:c r="U2341" t="str">
        <x:v>"</x:v>
      </x:c>
      <x:c r="V2341" t="str">
        <x:v>484090772375236</x:v>
      </x:c>
    </x:row>
    <x:row r="2342">
      <x:c r="A2342" t="str">
        <x:v>RAW-IMP-20260516-FULLDRAFT-002325</x:v>
      </x:c>
      <x:c r="B2342" t="str">
        <x:v>IMP-20260516-FULLDRAFT</x:v>
      </x:c>
      <x:c r="C2342" t="str">
        <x:v>KTO001</x:v>
      </x:c>
      <x:c r="D2342" t="str">
        <x:v>16-05-2026_Umsatzliste_Girokonto_DE98120300001061711675.csv</x:v>
      </x:c>
      <x:c r="E2342" t="n">
        <x:v>46163</x:v>
      </x:c>
      <x:c r="F2342" t="n">
        <x:v>2325</x:v>
      </x:c>
      <x:c r="G2342" t="str">
        <x:v>aaa856fd96db29ff0519f56618cd8a96b3fc7be9c030e57746fe00d5e27bd53d</x:v>
      </x:c>
      <x:c r="H2342" t="str">
        <x:v>neu</x:v>
      </x:c>
      <x:c r="I2342" t="str">
        <x:v>ok</x:v>
      </x:c>
      <x:c r="J2342"/>
      <x:c r="K2342" t="n">
        <x:v>45384</x:v>
      </x:c>
      <x:c r="L2342" t="n">
        <x:v>45384</x:v>
      </x:c>
      <x:c r="M2342" t="str">
        <x:v>Gebucht</x:v>
      </x:c>
      <x:c r="N2342" t="str">
        <x:v>ISSUER</x:v>
      </x:c>
      <x:c r="O2342" t="str">
        <x:v>Hagebaumarkt.Salzgitter/Salzgitter</x:v>
      </x:c>
      <x:c r="P2342" t="str">
        <x:v>VISA Debitkartenumsatz vom 30.03.2024</x:v>
      </x:c>
      <x:c r="Q2342" t="str">
        <x:v>Ausgang</x:v>
      </x:c>
      <x:c r="R2342" t="str">
        <x:v>DE96120300009005290904</x:v>
      </x:c>
      <x:c r="S2342" t="n">
        <x:v>-12.96</x:v>
      </x:c>
      <x:c r="T2342" t="str">
        <x:v>"</x:v>
      </x:c>
      <x:c r="U2342" t="str">
        <x:v>"</x:v>
      </x:c>
      <x:c r="V2342" t="str">
        <x:v>484090597067320</x:v>
      </x:c>
    </x:row>
    <x:row r="2343">
      <x:c r="A2343" t="str">
        <x:v>RAW-IMP-20260516-FULLDRAFT-002326</x:v>
      </x:c>
      <x:c r="B2343" t="str">
        <x:v>IMP-20260516-FULLDRAFT</x:v>
      </x:c>
      <x:c r="C2343" t="str">
        <x:v>KTO001</x:v>
      </x:c>
      <x:c r="D2343" t="str">
        <x:v>16-05-2026_Umsatzliste_Girokonto_DE98120300001061711675.csv</x:v>
      </x:c>
      <x:c r="E2343" t="n">
        <x:v>46163</x:v>
      </x:c>
      <x:c r="F2343" t="n">
        <x:v>2326</x:v>
      </x:c>
      <x:c r="G2343" t="str">
        <x:v>dd54465898835ba97ca1c157ee528d29befa90f626b80e5c2fe79fe7d6260b19</x:v>
      </x:c>
      <x:c r="H2343" t="str">
        <x:v>neu</x:v>
      </x:c>
      <x:c r="I2343" t="str">
        <x:v>ok</x:v>
      </x:c>
      <x:c r="J2343"/>
      <x:c r="K2343" t="n">
        <x:v>45384</x:v>
      </x:c>
      <x:c r="L2343" t="n">
        <x:v>45384</x:v>
      </x:c>
      <x:c r="M2343" t="str">
        <x:v>Gebucht</x:v>
      </x:c>
      <x:c r="N2343" t="str">
        <x:v>ISSUER</x:v>
      </x:c>
      <x:c r="O2343" t="str">
        <x:v>REWE.Salzgitter.Ge/Salzgitter</x:v>
      </x:c>
      <x:c r="P2343" t="str">
        <x:v>VISA Debitkartenumsatz vom 28.03.2024</x:v>
      </x:c>
      <x:c r="Q2343" t="str">
        <x:v>Ausgang</x:v>
      </x:c>
      <x:c r="R2343" t="str">
        <x:v>DE96120300009005290904</x:v>
      </x:c>
      <x:c r="S2343" t="n">
        <x:v>-128.21</x:v>
      </x:c>
      <x:c r="T2343" t="str">
        <x:v>"</x:v>
      </x:c>
      <x:c r="U2343" t="str">
        <x:v>"</x:v>
      </x:c>
      <x:c r="V2343" t="str">
        <x:v>484088621594954</x:v>
      </x:c>
    </x:row>
    <x:row r="2344">
      <x:c r="A2344" t="str">
        <x:v>RAW-IMP-20260516-FULLDRAFT-002327</x:v>
      </x:c>
      <x:c r="B2344" t="str">
        <x:v>IMP-20260516-FULLDRAFT</x:v>
      </x:c>
      <x:c r="C2344" t="str">
        <x:v>KTO001</x:v>
      </x:c>
      <x:c r="D2344" t="str">
        <x:v>16-05-2026_Umsatzliste_Girokonto_DE98120300001061711675.csv</x:v>
      </x:c>
      <x:c r="E2344" t="n">
        <x:v>46163</x:v>
      </x:c>
      <x:c r="F2344" t="n">
        <x:v>2327</x:v>
      </x:c>
      <x:c r="G2344" t="str">
        <x:v>8b365598bb43a93cb3bbc086b948aebdfa5a139c6675322e0a62c7c007de2f11</x:v>
      </x:c>
      <x:c r="H2344" t="str">
        <x:v>neu</x:v>
      </x:c>
      <x:c r="I2344" t="str">
        <x:v>ok</x:v>
      </x:c>
      <x:c r="J2344"/>
      <x:c r="K2344" t="n">
        <x:v>45384</x:v>
      </x:c>
      <x:c r="L2344" t="n">
        <x:v>45384</x:v>
      </x:c>
      <x:c r="M2344" t="str">
        <x:v>Gebucht</x:v>
      </x:c>
      <x:c r="N2344" t="str">
        <x:v>ISSUER</x:v>
      </x:c>
      <x:c r="O2344" t="str">
        <x:v>pay.amazon.com/amazon.de</x:v>
      </x:c>
      <x:c r="P2344" t="str">
        <x:v>VISA Debitkartenumsatz vom 30.03.2024</x:v>
      </x:c>
      <x:c r="Q2344" t="str">
        <x:v>Ausgang</x:v>
      </x:c>
      <x:c r="R2344" t="str">
        <x:v>DE96120300009005290904</x:v>
      </x:c>
      <x:c r="S2344" t="n">
        <x:v>-94.68</x:v>
      </x:c>
      <x:c r="T2344" t="str">
        <x:v>"</x:v>
      </x:c>
      <x:c r="U2344" t="str">
        <x:v>"</x:v>
      </x:c>
      <x:c r="V2344" t="str">
        <x:v>484089517375502</x:v>
      </x:c>
    </x:row>
    <x:row r="2345">
      <x:c r="A2345" t="str">
        <x:v>RAW-IMP-20260516-FULLDRAFT-002328</x:v>
      </x:c>
      <x:c r="B2345" t="str">
        <x:v>IMP-20260516-FULLDRAFT</x:v>
      </x:c>
      <x:c r="C2345" t="str">
        <x:v>KTO001</x:v>
      </x:c>
      <x:c r="D2345" t="str">
        <x:v>16-05-2026_Umsatzliste_Girokonto_DE98120300001061711675.csv</x:v>
      </x:c>
      <x:c r="E2345" t="n">
        <x:v>46163</x:v>
      </x:c>
      <x:c r="F2345" t="n">
        <x:v>2328</x:v>
      </x:c>
      <x:c r="G2345" t="str">
        <x:v>dca97546d3bce76da89efd76f66eb42ee611d2db6e0ee3ea01b5a55172f78306</x:v>
      </x:c>
      <x:c r="H2345" t="str">
        <x:v>neu</x:v>
      </x:c>
      <x:c r="I2345" t="str">
        <x:v>ok</x:v>
      </x:c>
      <x:c r="J2345"/>
      <x:c r="K2345" t="n">
        <x:v>45384</x:v>
      </x:c>
      <x:c r="L2345" t="n">
        <x:v>45384</x:v>
      </x:c>
      <x:c r="M2345" t="str">
        <x:v>Gebucht</x:v>
      </x:c>
      <x:c r="N2345" t="str">
        <x:v>ISSUER</x:v>
      </x:c>
      <x:c r="O2345" t="str">
        <x:v>AMZN.Mktp.DE.CG4J99JZ5/800.279.6620</x:v>
      </x:c>
      <x:c r="P2345" t="str">
        <x:v>VISA Debitkartenumsatz vom 30.03.2024</x:v>
      </x:c>
      <x:c r="Q2345" t="str">
        <x:v>Ausgang</x:v>
      </x:c>
      <x:c r="R2345" t="str">
        <x:v>DE96120300009005290904</x:v>
      </x:c>
      <x:c r="S2345" t="n">
        <x:v>-63.94</x:v>
      </x:c>
      <x:c r="T2345" t="str">
        <x:v>"</x:v>
      </x:c>
      <x:c r="U2345" t="str">
        <x:v>"</x:v>
      </x:c>
      <x:c r="V2345" t="str">
        <x:v>484089526571429</x:v>
      </x:c>
    </x:row>
    <x:row r="2346">
      <x:c r="A2346" t="str">
        <x:v>RAW-IMP-20260516-FULLDRAFT-002329</x:v>
      </x:c>
      <x:c r="B2346" t="str">
        <x:v>IMP-20260516-FULLDRAFT</x:v>
      </x:c>
      <x:c r="C2346" t="str">
        <x:v>KTO001</x:v>
      </x:c>
      <x:c r="D2346" t="str">
        <x:v>16-05-2026_Umsatzliste_Girokonto_DE98120300001061711675.csv</x:v>
      </x:c>
      <x:c r="E2346" t="n">
        <x:v>46163</x:v>
      </x:c>
      <x:c r="F2346" t="n">
        <x:v>2329</x:v>
      </x:c>
      <x:c r="G2346" t="str">
        <x:v>5f433bad695e9d4826dc5f730233a8b699aa54948af1612db9bb5aa7db0623de</x:v>
      </x:c>
      <x:c r="H2346" t="str">
        <x:v>neu</x:v>
      </x:c>
      <x:c r="I2346" t="str">
        <x:v>ok</x:v>
      </x:c>
      <x:c r="J2346"/>
      <x:c r="K2346" t="n">
        <x:v>45384</x:v>
      </x:c>
      <x:c r="L2346" t="n">
        <x:v>45384</x:v>
      </x:c>
      <x:c r="M2346" t="str">
        <x:v>Gebucht</x:v>
      </x:c>
      <x:c r="N2346" t="str">
        <x:v>ISSUER</x:v>
      </x:c>
      <x:c r="O2346" t="str">
        <x:v>NORD.LB...Braunschweigi/GEBHARDSHG</x:v>
      </x:c>
      <x:c r="P2346" t="str">
        <x:v>VISA Debitkartenumsatz vom 29.03.2024</x:v>
      </x:c>
      <x:c r="Q2346" t="str">
        <x:v>Ausgang</x:v>
      </x:c>
      <x:c r="R2346" t="str">
        <x:v>DE96120300009005290904</x:v>
      </x:c>
      <x:c r="S2346" t="n">
        <x:v>-500</x:v>
      </x:c>
      <x:c r="T2346" t="str">
        <x:v>"</x:v>
      </x:c>
      <x:c r="U2346" t="str">
        <x:v>"</x:v>
      </x:c>
      <x:c r="V2346" t="str">
        <x:v>484089476160194</x:v>
      </x:c>
    </x:row>
    <x:row r="2347">
      <x:c r="A2347" t="str">
        <x:v>RAW-IMP-20260516-FULLDRAFT-002330</x:v>
      </x:c>
      <x:c r="B2347" t="str">
        <x:v>IMP-20260516-FULLDRAFT</x:v>
      </x:c>
      <x:c r="C2347" t="str">
        <x:v>KTO001</x:v>
      </x:c>
      <x:c r="D2347" t="str">
        <x:v>16-05-2026_Umsatzliste_Girokonto_DE98120300001061711675.csv</x:v>
      </x:c>
      <x:c r="E2347" t="n">
        <x:v>46163</x:v>
      </x:c>
      <x:c r="F2347" t="n">
        <x:v>2330</x:v>
      </x:c>
      <x:c r="G2347" t="str">
        <x:v>9483017175532613b5ae8160265771f42ac9aa02b3ac50fa99aad09b913626b4</x:v>
      </x:c>
      <x:c r="H2347" t="str">
        <x:v>neu</x:v>
      </x:c>
      <x:c r="I2347" t="str">
        <x:v>ok</x:v>
      </x:c>
      <x:c r="J2347"/>
      <x:c r="K2347" t="n">
        <x:v>45384</x:v>
      </x:c>
      <x:c r="L2347" t="n">
        <x:v>45384</x:v>
      </x:c>
      <x:c r="M2347" t="str">
        <x:v>Gebucht</x:v>
      </x:c>
      <x:c r="N2347" t="str">
        <x:v>Lars Kohlenberg                                                       Johannes-Wosnitza-Str. 8 38229 Salzgitter</x:v>
      </x:c>
      <x:c r="O2347" t="str">
        <x:v>Heidelberger Lebensversicherung AG                                    Im Breitspiel 2-4, 69126 Heidelberg</x:v>
      </x:c>
      <x:c r="P2347" t="str">
        <x:v>60012826 , 04.24</x:v>
      </x:c>
      <x:c r="Q2347" t="str">
        <x:v>Ausgang</x:v>
      </x:c>
      <x:c r="R2347" t="str">
        <x:v>DE38600501010002662604</x:v>
      </x:c>
      <x:c r="S2347" t="n">
        <x:v>-452.71</x:v>
      </x:c>
      <x:c r="T2347" t="str">
        <x:v>DE31HLE00000032682</x:v>
      </x:c>
      <x:c r="U2347" t="str">
        <x:v>11-140000075706</x:v>
      </x:c>
      <x:c r="V2347" t="str">
        <x:v>150042025850</x:v>
      </x:c>
    </x:row>
    <x:row r="2348">
      <x:c r="A2348" t="str">
        <x:v>RAW-IMP-20260516-FULLDRAFT-002331</x:v>
      </x:c>
      <x:c r="B2348" t="str">
        <x:v>IMP-20260516-FULLDRAFT</x:v>
      </x:c>
      <x:c r="C2348" t="str">
        <x:v>KTO001</x:v>
      </x:c>
      <x:c r="D2348" t="str">
        <x:v>16-05-2026_Umsatzliste_Girokonto_DE98120300001061711675.csv</x:v>
      </x:c>
      <x:c r="E2348" t="n">
        <x:v>46163</x:v>
      </x:c>
      <x:c r="F2348" t="n">
        <x:v>2331</x:v>
      </x:c>
      <x:c r="G2348" t="str">
        <x:v>2b0c2863efaafb0f9ea90026a69a815a17292ba856d55f807f81ce79f54e2857</x:v>
      </x:c>
      <x:c r="H2348" t="str">
        <x:v>neu</x:v>
      </x:c>
      <x:c r="I2348" t="str">
        <x:v>ok</x:v>
      </x:c>
      <x:c r="J2348"/>
      <x:c r="K2348" t="n">
        <x:v>45384</x:v>
      </x:c>
      <x:c r="L2348" t="n">
        <x:v>45384</x:v>
      </x:c>
      <x:c r="M2348" t="str">
        <x:v>Gebucht</x:v>
      </x:c>
      <x:c r="N2348" t="str">
        <x:v>Kohlenberg, Lars</x:v>
      </x:c>
      <x:c r="O2348" t="str">
        <x:v>IDEAL Lebensversicherung aG</x:v>
      </x:c>
      <x:c r="P2348" t="str">
        <x:v>2011216280009 LV 041</x:v>
      </x:c>
      <x:c r="Q2348" t="str">
        <x:v>Ausgang</x:v>
      </x:c>
      <x:c r="R2348" t="str">
        <x:v>DE36100700000460303100</x:v>
      </x:c>
      <x:c r="S2348" t="n">
        <x:v>-97.12</x:v>
      </x:c>
      <x:c r="T2348" t="str">
        <x:v>DE40ZZZ00000559230</x:v>
      </x:c>
      <x:c r="U2348" t="str">
        <x:v>2011216280009-001</x:v>
      </x:c>
      <x:c r="V2348" t="str">
        <x:v>GL,KL,PD-20240401-1-2011216280009-0</x:v>
      </x:c>
    </x:row>
    <x:row r="2349">
      <x:c r="A2349" t="str">
        <x:v>RAW-IMP-20260516-FULLDRAFT-002332</x:v>
      </x:c>
      <x:c r="B2349" t="str">
        <x:v>IMP-20260516-FULLDRAFT</x:v>
      </x:c>
      <x:c r="C2349" t="str">
        <x:v>KTO001</x:v>
      </x:c>
      <x:c r="D2349" t="str">
        <x:v>16-05-2026_Umsatzliste_Girokonto_DE98120300001061711675.csv</x:v>
      </x:c>
      <x:c r="E2349" t="n">
        <x:v>46163</x:v>
      </x:c>
      <x:c r="F2349" t="n">
        <x:v>2332</x:v>
      </x:c>
      <x:c r="G2349" t="str">
        <x:v>94f24dc90e78e331bea051e887d6f49e5dfad77e73ad42041d3bd4928d8e7d30</x:v>
      </x:c>
      <x:c r="H2349" t="str">
        <x:v>neu</x:v>
      </x:c>
      <x:c r="I2349" t="str">
        <x:v>ok</x:v>
      </x:c>
      <x:c r="J2349"/>
      <x:c r="K2349" t="n">
        <x:v>45384</x:v>
      </x:c>
      <x:c r="L2349" t="n">
        <x:v>45384</x:v>
      </x:c>
      <x:c r="M2349" t="str">
        <x:v>Gebucht</x:v>
      </x:c>
      <x:c r="N2349" t="str">
        <x:v>KOHLENBERG, LARS</x:v>
      </x:c>
      <x:c r="O2349" t="str">
        <x:v>Lars und Katrin Kohlenberg</x:v>
      </x:c>
      <x:c r="P2349" t="str">
        <x:v>10120059 VERMOEGENSDEPOT SPARPLAN WKN A1C9ED</x:v>
      </x:c>
      <x:c r="Q2349" t="str">
        <x:v>Ausgang</x:v>
      </x:c>
      <x:c r="R2349" t="str">
        <x:v>DE27672300000506966162</x:v>
      </x:c>
      <x:c r="S2349" t="n">
        <x:v>-100</x:v>
      </x:c>
      <x:c r="T2349" t="str">
        <x:v>DE53ZZZ00000010849</x:v>
      </x:c>
      <x:c r="U2349" t="str">
        <x:v>WPBF0000180845</x:v>
      </x:c>
      <x:c r="V2349" t="str">
        <x:v>SPARSP 14129620</x:v>
      </x:c>
    </x:row>
    <x:row r="2350">
      <x:c r="A2350" t="str">
        <x:v>RAW-IMP-20260516-FULLDRAFT-002333</x:v>
      </x:c>
      <x:c r="B2350" t="str">
        <x:v>IMP-20260516-FULLDRAFT</x:v>
      </x:c>
      <x:c r="C2350" t="str">
        <x:v>KTO001</x:v>
      </x:c>
      <x:c r="D2350" t="str">
        <x:v>16-05-2026_Umsatzliste_Girokonto_DE98120300001061711675.csv</x:v>
      </x:c>
      <x:c r="E2350" t="n">
        <x:v>46163</x:v>
      </x:c>
      <x:c r="F2350" t="n">
        <x:v>2333</x:v>
      </x:c>
      <x:c r="G2350" t="str">
        <x:v>0fb5c2602a72f4cb1a1769b1039f117b6e1e20680e92cd89c7d0937b2428e0fa</x:v>
      </x:c>
      <x:c r="H2350" t="str">
        <x:v>neu</x:v>
      </x:c>
      <x:c r="I2350" t="str">
        <x:v>ok</x:v>
      </x:c>
      <x:c r="J2350"/>
      <x:c r="K2350" t="n">
        <x:v>45384</x:v>
      </x:c>
      <x:c r="L2350" t="n">
        <x:v>45384</x:v>
      </x:c>
      <x:c r="M2350" t="str">
        <x:v>Gebucht</x:v>
      </x:c>
      <x:c r="N2350" t="str">
        <x:v>Kohlenberg Lars</x:v>
      </x:c>
      <x:c r="O2350" t="str">
        <x:v>Allianz Lebensvers. AG</x:v>
      </x:c>
      <x:c r="P2350" t="str">
        <x:v>330296196 0424</x:v>
      </x:c>
      <x:c r="Q2350" t="str">
        <x:v>Ausgang</x:v>
      </x:c>
      <x:c r="R2350" t="str">
        <x:v>DE77700202700062328142</x:v>
      </x:c>
      <x:c r="S2350" t="n">
        <x:v>-162.17</x:v>
      </x:c>
      <x:c r="T2350" t="str">
        <x:v>DE07ZZZ00000063475</x:v>
      </x:c>
      <x:c r="U2350" t="str">
        <x:v>LA01L312001066775296</x:v>
      </x:c>
      <x:c r="V2350" t="str">
        <x:v>A7024081-000330296196051842354999</x:v>
      </x:c>
    </x:row>
    <x:row r="2351">
      <x:c r="A2351" t="str">
        <x:v>RAW-IMP-20260516-FULLDRAFT-002334</x:v>
      </x:c>
      <x:c r="B2351" t="str">
        <x:v>IMP-20260516-FULLDRAFT</x:v>
      </x:c>
      <x:c r="C2351" t="str">
        <x:v>KTO001</x:v>
      </x:c>
      <x:c r="D2351" t="str">
        <x:v>16-05-2026_Umsatzliste_Girokonto_DE98120300001061711675.csv</x:v>
      </x:c>
      <x:c r="E2351" t="n">
        <x:v>46163</x:v>
      </x:c>
      <x:c r="F2351" t="n">
        <x:v>2334</x:v>
      </x:c>
      <x:c r="G2351" t="str">
        <x:v>4308493376a9828fcc0cab64898c9cf18c8fd57fdda74878b443edf56b81a185</x:v>
      </x:c>
      <x:c r="H2351" t="str">
        <x:v>neu</x:v>
      </x:c>
      <x:c r="I2351" t="str">
        <x:v>ok</x:v>
      </x:c>
      <x:c r="J2351"/>
      <x:c r="K2351" t="n">
        <x:v>45384</x:v>
      </x:c>
      <x:c r="L2351" t="n">
        <x:v>45384</x:v>
      </x:c>
      <x:c r="M2351" t="str">
        <x:v>Gebucht</x:v>
      </x:c>
      <x:c r="N2351" t="str">
        <x:v>KOHLENBERG LARS</x:v>
      </x:c>
      <x:c r="O2351" t="str">
        <x:v>VOLKSWOHL BUND Lebensversicherung a.G.</x:v>
      </x:c>
      <x:c r="P2351" t="str">
        <x:v>009893595 LA000750566/ 009893595 LEBEN 66,15</x:v>
      </x:c>
      <x:c r="Q2351" t="str">
        <x:v>Ausgang</x:v>
      </x:c>
      <x:c r="R2351" t="str">
        <x:v>DE76440400370361155500</x:v>
      </x:c>
      <x:c r="S2351" t="n">
        <x:v>-66.15</x:v>
      </x:c>
      <x:c r="T2351" t="str">
        <x:v>DE13ZZZ00000141064</x:v>
      </x:c>
      <x:c r="U2351" t="str">
        <x:v>LA000750566</x:v>
      </x:c>
      <x:c r="V2351" t="str">
        <x:v>009893595/NVMA.G1073-347851</x:v>
      </x:c>
    </x:row>
    <x:row r="2352">
      <x:c r="A2352" t="str">
        <x:v>RAW-IMP-20260516-FULLDRAFT-002335</x:v>
      </x:c>
      <x:c r="B2352" t="str">
        <x:v>IMP-20260516-FULLDRAFT</x:v>
      </x:c>
      <x:c r="C2352" t="str">
        <x:v>KTO001</x:v>
      </x:c>
      <x:c r="D2352" t="str">
        <x:v>16-05-2026_Umsatzliste_Girokonto_DE98120300001061711675.csv</x:v>
      </x:c>
      <x:c r="E2352" t="n">
        <x:v>46163</x:v>
      </x:c>
      <x:c r="F2352" t="n">
        <x:v>2335</x:v>
      </x:c>
      <x:c r="G2352" t="str">
        <x:v>3837aea9ab9eef335d1acfb215cd6e82edb6d321c34eb9ff24351908d35ded11</x:v>
      </x:c>
      <x:c r="H2352" t="str">
        <x:v>neu</x:v>
      </x:c>
      <x:c r="I2352" t="str">
        <x:v>ok</x:v>
      </x:c>
      <x:c r="J2352"/>
      <x:c r="K2352" t="n">
        <x:v>45384</x:v>
      </x:c>
      <x:c r="L2352" t="n">
        <x:v>45384</x:v>
      </x:c>
      <x:c r="M2352" t="str">
        <x:v>Gebucht</x:v>
      </x:c>
      <x:c r="N2352" t="str">
        <x:v>Kohlenberg, Katrin</x:v>
      </x:c>
      <x:c r="O2352" t="str">
        <x:v>WEVG Salzgitter GmbH + Co. KG</x:v>
      </x:c>
      <x:c r="P2352" t="str">
        <x:v>Kd-Nr 79288 Einz 31.03.24 100833/70.00/Johannes-Wosni</x:v>
      </x:c>
      <x:c r="Q2352" t="str">
        <x:v>Ausgang</x:v>
      </x:c>
      <x:c r="R2352" t="str">
        <x:v>DE19300700100394127500</x:v>
      </x:c>
      <x:c r="S2352" t="n">
        <x:v>-70</x:v>
      </x:c>
      <x:c r="T2352" t="str">
        <x:v>DE83WEV00000032716</x:v>
      </x:c>
      <x:c r="U2352" t="str">
        <x:v>WEVG0000079288G1000178580</x:v>
      </x:c>
      <x:c r="V2352" t="str">
        <x:v>12877495</x:v>
      </x:c>
    </x:row>
    <x:row r="2353">
      <x:c r="A2353" t="str">
        <x:v>RAW-IMP-20260516-FULLDRAFT-002336</x:v>
      </x:c>
      <x:c r="B2353" t="str">
        <x:v>IMP-20260516-FULLDRAFT</x:v>
      </x:c>
      <x:c r="C2353" t="str">
        <x:v>KTO001</x:v>
      </x:c>
      <x:c r="D2353" t="str">
        <x:v>16-05-2026_Umsatzliste_Girokonto_DE98120300001061711675.csv</x:v>
      </x:c>
      <x:c r="E2353" t="n">
        <x:v>46163</x:v>
      </x:c>
      <x:c r="F2353" t="n">
        <x:v>2336</x:v>
      </x:c>
      <x:c r="G2353" t="str">
        <x:v>99e638bc89bc68aacb855f8be2494d494ccaa1aa9aeeb8d482fbd002284c0f0b</x:v>
      </x:c>
      <x:c r="H2353" t="str">
        <x:v>neu</x:v>
      </x:c>
      <x:c r="I2353" t="str">
        <x:v>ok</x:v>
      </x:c>
      <x:c r="J2353"/>
      <x:c r="K2353" t="n">
        <x:v>45384</x:v>
      </x:c>
      <x:c r="L2353" t="n">
        <x:v>45384</x:v>
      </x:c>
      <x:c r="M2353" t="str">
        <x:v>Gebucht</x:v>
      </x:c>
      <x:c r="N2353" t="str">
        <x:v>Lars Kohlenberg</x:v>
      </x:c>
      <x:c r="O2353" t="str">
        <x:v>KATRIN KOHLENBERG</x:v>
      </x:c>
      <x:c r="P2353" t="str">
        <x:v>Apanage</x:v>
      </x:c>
      <x:c r="Q2353" t="str">
        <x:v>Ausgang</x:v>
      </x:c>
      <x:c r="R2353" t="str">
        <x:v>DE32270727240307336800</x:v>
      </x:c>
      <x:c r="S2353" t="n">
        <x:v>-1800</x:v>
      </x:c>
      <x:c r="T2353" t="str">
        <x:v>"</x:v>
      </x:c>
      <x:c r="U2353" t="str">
        <x:v>"</x:v>
      </x:c>
      <x:c r="V2353" t="str">
        <x:v>"</x:v>
      </x:c>
    </x:row>
    <x:row r="2354">
      <x:c r="A2354" t="str">
        <x:v>RAW-IMP-20260516-FULLDRAFT-002337</x:v>
      </x:c>
      <x:c r="B2354" t="str">
        <x:v>IMP-20260516-FULLDRAFT</x:v>
      </x:c>
      <x:c r="C2354" t="str">
        <x:v>KTO001</x:v>
      </x:c>
      <x:c r="D2354" t="str">
        <x:v>16-05-2026_Umsatzliste_Girokonto_DE98120300001061711675.csv</x:v>
      </x:c>
      <x:c r="E2354" t="n">
        <x:v>46163</x:v>
      </x:c>
      <x:c r="F2354" t="n">
        <x:v>2337</x:v>
      </x:c>
      <x:c r="G2354" t="str">
        <x:v>b90ce8fcf122199a905623fa1c885bfdfd0aebd5a243766c803b5aa2e41e3685</x:v>
      </x:c>
      <x:c r="H2354" t="str">
        <x:v>neu</x:v>
      </x:c>
      <x:c r="I2354" t="str">
        <x:v>ok</x:v>
      </x:c>
      <x:c r="J2354"/>
      <x:c r="K2354" t="n">
        <x:v>45384</x:v>
      </x:c>
      <x:c r="L2354" t="n">
        <x:v>45384</x:v>
      </x:c>
      <x:c r="M2354" t="str">
        <x:v>Gebucht</x:v>
      </x:c>
      <x:c r="N2354" t="str">
        <x:v>Lars Kohlenberg</x:v>
      </x:c>
      <x:c r="O2354" t="str">
        <x:v>LARS KOHLENBERG</x:v>
      </x:c>
      <x:c r="P2354" t="str">
        <x:v>Sparrate 650,- + 750 EUR Mieteinnahmen</x:v>
      </x:c>
      <x:c r="Q2354" t="str">
        <x:v>Ausgang</x:v>
      </x:c>
      <x:c r="R2354" t="str">
        <x:v>DE91270200001510365800</x:v>
      </x:c>
      <x:c r="S2354" t="n">
        <x:v>-1400</x:v>
      </x:c>
      <x:c r="T2354" t="str">
        <x:v>"</x:v>
      </x:c>
      <x:c r="U2354" t="str">
        <x:v>"</x:v>
      </x:c>
      <x:c r="V2354" t="str">
        <x:v>"</x:v>
      </x:c>
    </x:row>
    <x:row r="2355">
      <x:c r="A2355" t="str">
        <x:v>RAW-IMP-20260516-FULLDRAFT-002338</x:v>
      </x:c>
      <x:c r="B2355" t="str">
        <x:v>IMP-20260516-FULLDRAFT</x:v>
      </x:c>
      <x:c r="C2355" t="str">
        <x:v>KTO001</x:v>
      </x:c>
      <x:c r="D2355" t="str">
        <x:v>16-05-2026_Umsatzliste_Girokonto_DE98120300001061711675.csv</x:v>
      </x:c>
      <x:c r="E2355" t="n">
        <x:v>46163</x:v>
      </x:c>
      <x:c r="F2355" t="n">
        <x:v>2338</x:v>
      </x:c>
      <x:c r="G2355" t="str">
        <x:v>47c9ad56e8c4c63b4a102da48fc6220338f61e8b83f0af5e28ac53ca835b23f4</x:v>
      </x:c>
      <x:c r="H2355" t="str">
        <x:v>neu</x:v>
      </x:c>
      <x:c r="I2355" t="str">
        <x:v>ok</x:v>
      </x:c>
      <x:c r="J2355"/>
      <x:c r="K2355" t="n">
        <x:v>45384</x:v>
      </x:c>
      <x:c r="L2355" t="n">
        <x:v>45384</x:v>
      </x:c>
      <x:c r="M2355" t="str">
        <x:v>Gebucht</x:v>
      </x:c>
      <x:c r="N2355" t="str">
        <x:v>Lars Kohlenberg</x:v>
      </x:c>
      <x:c r="O2355" t="str">
        <x:v>LARS KOHLENBERG</x:v>
      </x:c>
      <x:c r="P2355" t="str">
        <x:v>Zins und Tilgung zu 2/3</x:v>
      </x:c>
      <x:c r="Q2355" t="str">
        <x:v>Ausgang</x:v>
      </x:c>
      <x:c r="R2355" t="str">
        <x:v>DE33269910668923736000</x:v>
      </x:c>
      <x:c r="S2355" t="n">
        <x:v>-1153.94</x:v>
      </x:c>
      <x:c r="T2355" t="str">
        <x:v>"</x:v>
      </x:c>
      <x:c r="U2355" t="str">
        <x:v>"</x:v>
      </x:c>
      <x:c r="V2355" t="str">
        <x:v>"</x:v>
      </x:c>
    </x:row>
    <x:row r="2356">
      <x:c r="A2356" t="str">
        <x:v>RAW-IMP-20260516-FULLDRAFT-002339</x:v>
      </x:c>
      <x:c r="B2356" t="str">
        <x:v>IMP-20260516-FULLDRAFT</x:v>
      </x:c>
      <x:c r="C2356" t="str">
        <x:v>KTO001</x:v>
      </x:c>
      <x:c r="D2356" t="str">
        <x:v>16-05-2026_Umsatzliste_Girokonto_DE98120300001061711675.csv</x:v>
      </x:c>
      <x:c r="E2356" t="n">
        <x:v>46163</x:v>
      </x:c>
      <x:c r="F2356" t="n">
        <x:v>2339</x:v>
      </x:c>
      <x:c r="G2356" t="str">
        <x:v>b201e232acfd64db19cf042997adf8c70bc12b3aafc19bc9a5d25f571528011e</x:v>
      </x:c>
      <x:c r="H2356" t="str">
        <x:v>neu</x:v>
      </x:c>
      <x:c r="I2356" t="str">
        <x:v>ok</x:v>
      </x:c>
      <x:c r="J2356"/>
      <x:c r="K2356" t="n">
        <x:v>45384</x:v>
      </x:c>
      <x:c r="L2356" t="n">
        <x:v>45383</x:v>
      </x:c>
      <x:c r="M2356" t="str">
        <x:v>Gebucht</x:v>
      </x:c>
      <x:c r="N2356" t="str">
        <x:v>DKB AG</x:v>
      </x:c>
      <x:c r="O2356" t="str">
        <x:v>DKB AG</x:v>
      </x:c>
      <x:c r="P2356" t="str">
        <x:v>Abrechnung 28.03.2024 siehe Anlage Abrechnung 28.03.2024 Information zur Abrechnung Kontostand am 28.03.2024                                        8.316,50 + Abrechnungszeitraum vom 01.01.2024 bis 31.03.2024 Abrechnung 31.03.2024                                                0,00+ Sollzinssätze am 30.03.2024  9,9000 v.H. für eingeräumte Kontoüberziehung (aktuell eingeräumte Kontoüberziehung       2.000,00)  9,9000 v.H. für geduldete Kontoüberziehung über die eingeräumte Kontoüberziehung hinaus Kontostand/Rechnungsabschluss am 28.03.2024                     8.316,50 + Rechnungsnummer: 20240328-BY111-00190330290</x:v>
      </x:c>
      <x:c r="Q2356" t="str">
        <x:v>Eingang</x:v>
      </x:c>
      <x:c r="R2356" t="str">
        <x:v>1061711675</x:v>
      </x:c>
      <x:c r="S2356" t="n">
        <x:v>0</x:v>
      </x:c>
      <x:c r="T2356" t="str">
        <x:v>"</x:v>
      </x:c>
      <x:c r="U2356" t="str">
        <x:v>"</x:v>
      </x:c>
      <x:c r="V2356" t="str">
        <x:v>"</x:v>
      </x:c>
    </x:row>
    <x:row r="2357">
      <x:c r="A2357" t="str">
        <x:v>RAW-IMP-20260516-FULLDRAFT-002340</x:v>
      </x:c>
      <x:c r="B2357" t="str">
        <x:v>IMP-20260516-FULLDRAFT</x:v>
      </x:c>
      <x:c r="C2357" t="str">
        <x:v>KTO001</x:v>
      </x:c>
      <x:c r="D2357" t="str">
        <x:v>16-05-2026_Umsatzliste_Girokonto_DE98120300001061711675.csv</x:v>
      </x:c>
      <x:c r="E2357" t="n">
        <x:v>46163</x:v>
      </x:c>
      <x:c r="F2357" t="n">
        <x:v>2340</x:v>
      </x:c>
      <x:c r="G2357" t="str">
        <x:v>fedcdcc39c35d66f491492755c4597460cb93783cbbbe51c31e3f22a45d63ffe</x:v>
      </x:c>
      <x:c r="H2357" t="str">
        <x:v>neu</x:v>
      </x:c>
      <x:c r="I2357" t="str">
        <x:v>ok</x:v>
      </x:c>
      <x:c r="J2357"/>
      <x:c r="K2357" t="n">
        <x:v>45379</x:v>
      </x:c>
      <x:c r="L2357" t="n">
        <x:v>45379</x:v>
      </x:c>
      <x:c r="M2357" t="str">
        <x:v>Gebucht</x:v>
      </x:c>
      <x:c r="N2357" t="str">
        <x:v>ISSUER</x:v>
      </x:c>
      <x:c r="O2357" t="str">
        <x:v>E.CENTER.3397/BRAUNSCHWEIG</x:v>
      </x:c>
      <x:c r="P2357" t="str">
        <x:v>VISA Debitkartenumsatz vom 27.03.2024</x:v>
      </x:c>
      <x:c r="Q2357" t="str">
        <x:v>Ausgang</x:v>
      </x:c>
      <x:c r="R2357" t="str">
        <x:v>DE96120300009005290904</x:v>
      </x:c>
      <x:c r="S2357" t="n">
        <x:v>-2.75</x:v>
      </x:c>
      <x:c r="T2357" t="str">
        <x:v>"</x:v>
      </x:c>
      <x:c r="U2357" t="str">
        <x:v>"</x:v>
      </x:c>
      <x:c r="V2357" t="str">
        <x:v>484087415154564</x:v>
      </x:c>
    </x:row>
    <x:row r="2358">
      <x:c r="A2358" t="str">
        <x:v>RAW-IMP-20260516-FULLDRAFT-002341</x:v>
      </x:c>
      <x:c r="B2358" t="str">
        <x:v>IMP-20260516-FULLDRAFT</x:v>
      </x:c>
      <x:c r="C2358" t="str">
        <x:v>KTO001</x:v>
      </x:c>
      <x:c r="D2358" t="str">
        <x:v>16-05-2026_Umsatzliste_Girokonto_DE98120300001061711675.csv</x:v>
      </x:c>
      <x:c r="E2358" t="n">
        <x:v>46163</x:v>
      </x:c>
      <x:c r="F2358" t="n">
        <x:v>2341</x:v>
      </x:c>
      <x:c r="G2358" t="str">
        <x:v>0726dab719b71bc6ae43c9082d6a0bb972a40485968a925e7522103cd54f9405</x:v>
      </x:c>
      <x:c r="H2358" t="str">
        <x:v>neu</x:v>
      </x:c>
      <x:c r="I2358" t="str">
        <x:v>ok</x:v>
      </x:c>
      <x:c r="J2358"/>
      <x:c r="K2358" t="n">
        <x:v>45379</x:v>
      </x:c>
      <x:c r="L2358" t="n">
        <x:v>45379</x:v>
      </x:c>
      <x:c r="M2358" t="str">
        <x:v>Gebucht</x:v>
      </x:c>
      <x:c r="N2358" t="str">
        <x:v>ISSUER</x:v>
      </x:c>
      <x:c r="O2358" t="str">
        <x:v>E.CENTER.3397/BRAUNSCHWEIG</x:v>
      </x:c>
      <x:c r="P2358" t="str">
        <x:v>VISA Debitkartenumsatz vom 27.03.2024</x:v>
      </x:c>
      <x:c r="Q2358" t="str">
        <x:v>Ausgang</x:v>
      </x:c>
      <x:c r="R2358" t="str">
        <x:v>DE96120300009005290904</x:v>
      </x:c>
      <x:c r="S2358" t="n">
        <x:v>-4.49</x:v>
      </x:c>
      <x:c r="T2358" t="str">
        <x:v>"</x:v>
      </x:c>
      <x:c r="U2358" t="str">
        <x:v>"</x:v>
      </x:c>
      <x:c r="V2358" t="str">
        <x:v>484087413570397</x:v>
      </x:c>
    </x:row>
    <x:row r="2359">
      <x:c r="A2359" t="str">
        <x:v>RAW-IMP-20260516-FULLDRAFT-002342</x:v>
      </x:c>
      <x:c r="B2359" t="str">
        <x:v>IMP-20260516-FULLDRAFT</x:v>
      </x:c>
      <x:c r="C2359" t="str">
        <x:v>KTO001</x:v>
      </x:c>
      <x:c r="D2359" t="str">
        <x:v>16-05-2026_Umsatzliste_Girokonto_DE98120300001061711675.csv</x:v>
      </x:c>
      <x:c r="E2359" t="n">
        <x:v>46163</x:v>
      </x:c>
      <x:c r="F2359" t="n">
        <x:v>2342</x:v>
      </x:c>
      <x:c r="G2359" t="str">
        <x:v>bd69a83a197be46e44492c312b6cdfe6f44dea206fbdb4e10a83b13465e051f7</x:v>
      </x:c>
      <x:c r="H2359" t="str">
        <x:v>neu</x:v>
      </x:c>
      <x:c r="I2359" t="str">
        <x:v>ok</x:v>
      </x:c>
      <x:c r="J2359"/>
      <x:c r="K2359" t="n">
        <x:v>45378</x:v>
      </x:c>
      <x:c r="L2359" t="n">
        <x:v>45378</x:v>
      </x:c>
      <x:c r="M2359" t="str">
        <x:v>Gebucht</x:v>
      </x:c>
      <x:c r="N2359" t="str">
        <x:v>WEVG Salzgitter GmbH + Co. KG</x:v>
      </x:c>
      <x:c r="O2359" t="str">
        <x:v>Kohlenberg, Katrin</x:v>
      </x:c>
      <x:c r="P2359" t="str">
        <x:v>Kd-Nr 79288 Ausz 27.03.24 41710/-631.57/Johannes-Wosn</x:v>
      </x:c>
      <x:c r="Q2359" t="str">
        <x:v>Eingang</x:v>
      </x:c>
      <x:c r="R2359" t="str">
        <x:v>DE19300700100394127500</x:v>
      </x:c>
      <x:c r="S2359" t="n">
        <x:v>631.57</x:v>
      </x:c>
      <x:c r="T2359" t="str">
        <x:v>"</x:v>
      </x:c>
      <x:c r="U2359" t="str">
        <x:v>"</x:v>
      </x:c>
      <x:c r="V2359" t="str">
        <x:v>12911813</x:v>
      </x:c>
    </x:row>
    <x:row r="2360">
      <x:c r="A2360" t="str">
        <x:v>RAW-IMP-20260516-FULLDRAFT-002343</x:v>
      </x:c>
      <x:c r="B2360" t="str">
        <x:v>IMP-20260516-FULLDRAFT</x:v>
      </x:c>
      <x:c r="C2360" t="str">
        <x:v>KTO001</x:v>
      </x:c>
      <x:c r="D2360" t="str">
        <x:v>16-05-2026_Umsatzliste_Girokonto_DE98120300001061711675.csv</x:v>
      </x:c>
      <x:c r="E2360" t="n">
        <x:v>46163</x:v>
      </x:c>
      <x:c r="F2360" t="n">
        <x:v>2343</x:v>
      </x:c>
      <x:c r="G2360" t="str">
        <x:v>52e9afcadc1fb004a0f23f98eba79cb5826bcd5662be087a411272b7d82d02e9</x:v>
      </x:c>
      <x:c r="H2360" t="str">
        <x:v>neu</x:v>
      </x:c>
      <x:c r="I2360" t="str">
        <x:v>ok</x:v>
      </x:c>
      <x:c r="J2360"/>
      <x:c r="K2360" t="n">
        <x:v>45378</x:v>
      </x:c>
      <x:c r="L2360" t="n">
        <x:v>45378</x:v>
      </x:c>
      <x:c r="M2360" t="str">
        <x:v>Gebucht</x:v>
      </x:c>
      <x:c r="N2360" t="str">
        <x:v>Wolkenmacher GmbH</x:v>
      </x:c>
      <x:c r="O2360" t="str">
        <x:v>Kohlenberg Lars</x:v>
      </x:c>
      <x:c r="P2360" t="str">
        <x:v>Lohn-Gehalt Abrechnung 03/2024</x:v>
      </x:c>
      <x:c r="Q2360" t="str">
        <x:v>Eingang</x:v>
      </x:c>
      <x:c r="R2360" t="str">
        <x:v>DE30270700300031340300</x:v>
      </x:c>
      <x:c r="S2360" t="n">
        <x:v>7709.94</x:v>
      </x:c>
      <x:c r="T2360" t="str">
        <x:v>"</x:v>
      </x:c>
      <x:c r="U2360" t="str">
        <x:v>"</x:v>
      </x:c>
      <x:c r="V2360" t="str">
        <x:v>4407568254-0000001</x:v>
      </x:c>
    </x:row>
    <x:row r="2361">
      <x:c r="A2361" t="str">
        <x:v>RAW-IMP-20260516-FULLDRAFT-002344</x:v>
      </x:c>
      <x:c r="B2361" t="str">
        <x:v>IMP-20260516-FULLDRAFT</x:v>
      </x:c>
      <x:c r="C2361" t="str">
        <x:v>KTO001</x:v>
      </x:c>
      <x:c r="D2361" t="str">
        <x:v>16-05-2026_Umsatzliste_Girokonto_DE98120300001061711675.csv</x:v>
      </x:c>
      <x:c r="E2361" t="n">
        <x:v>46163</x:v>
      </x:c>
      <x:c r="F2361" t="n">
        <x:v>2344</x:v>
      </x:c>
      <x:c r="G2361" t="str">
        <x:v>102aa4730137e0c5dbc9c45a1f6a22c5d8f39f02b627a1c38e8da6511e1a2758</x:v>
      </x:c>
      <x:c r="H2361" t="str">
        <x:v>neu</x:v>
      </x:c>
      <x:c r="I2361" t="str">
        <x:v>ok</x:v>
      </x:c>
      <x:c r="J2361"/>
      <x:c r="K2361" t="n">
        <x:v>45378</x:v>
      </x:c>
      <x:c r="L2361" t="n">
        <x:v>45378</x:v>
      </x:c>
      <x:c r="M2361" t="str">
        <x:v>Gebucht</x:v>
      </x:c>
      <x:c r="N2361" t="str">
        <x:v>ISSUER</x:v>
      </x:c>
      <x:c r="O2361" t="str">
        <x:v>E.CENTER.3397/BRAUNSCHWEIG</x:v>
      </x:c>
      <x:c r="P2361" t="str">
        <x:v>VISA Debitkartenumsatz vom 26.03.2024</x:v>
      </x:c>
      <x:c r="Q2361" t="str">
        <x:v>Ausgang</x:v>
      </x:c>
      <x:c r="R2361" t="str">
        <x:v>DE96120300009005290904</x:v>
      </x:c>
      <x:c r="S2361" t="n">
        <x:v>-10.08</x:v>
      </x:c>
      <x:c r="T2361" t="str">
        <x:v>"</x:v>
      </x:c>
      <x:c r="U2361" t="str">
        <x:v>"</x:v>
      </x:c>
      <x:c r="V2361" t="str">
        <x:v>484086407412830</x:v>
      </x:c>
    </x:row>
    <x:row r="2362">
      <x:c r="A2362" t="str">
        <x:v>RAW-IMP-20260516-FULLDRAFT-002345</x:v>
      </x:c>
      <x:c r="B2362" t="str">
        <x:v>IMP-20260516-FULLDRAFT</x:v>
      </x:c>
      <x:c r="C2362" t="str">
        <x:v>KTO001</x:v>
      </x:c>
      <x:c r="D2362" t="str">
        <x:v>16-05-2026_Umsatzliste_Girokonto_DE98120300001061711675.csv</x:v>
      </x:c>
      <x:c r="E2362" t="n">
        <x:v>46163</x:v>
      </x:c>
      <x:c r="F2362" t="n">
        <x:v>2345</x:v>
      </x:c>
      <x:c r="G2362" t="str">
        <x:v>b429ab448cf79f063405df36885c51a7d8725e7b0d71fe33463176405deb1be2</x:v>
      </x:c>
      <x:c r="H2362" t="str">
        <x:v>neu</x:v>
      </x:c>
      <x:c r="I2362" t="str">
        <x:v>ok</x:v>
      </x:c>
      <x:c r="J2362"/>
      <x:c r="K2362" t="n">
        <x:v>45377</x:v>
      </x:c>
      <x:c r="L2362" t="n">
        <x:v>45377</x:v>
      </x:c>
      <x:c r="M2362" t="str">
        <x:v>Gebucht</x:v>
      </x:c>
      <x:c r="N2362" t="str">
        <x:v>ISSUER</x:v>
      </x:c>
      <x:c r="O2362" t="str">
        <x:v>REWE.Salzgitter.Ge/Salzgitter</x:v>
      </x:c>
      <x:c r="P2362" t="str">
        <x:v>VISA Debitkartenumsatz vom 25.03.2024</x:v>
      </x:c>
      <x:c r="Q2362" t="str">
        <x:v>Ausgang</x:v>
      </x:c>
      <x:c r="R2362" t="str">
        <x:v>DE96120300009005290904</x:v>
      </x:c>
      <x:c r="S2362" t="n">
        <x:v>-1.74</x:v>
      </x:c>
      <x:c r="T2362" t="str">
        <x:v>"</x:v>
      </x:c>
      <x:c r="U2362" t="str">
        <x:v>"</x:v>
      </x:c>
      <x:c r="V2362" t="str">
        <x:v>484085594932728</x:v>
      </x:c>
    </x:row>
    <x:row r="2363">
      <x:c r="A2363" t="str">
        <x:v>RAW-IMP-20260516-FULLDRAFT-002346</x:v>
      </x:c>
      <x:c r="B2363" t="str">
        <x:v>IMP-20260516-FULLDRAFT</x:v>
      </x:c>
      <x:c r="C2363" t="str">
        <x:v>KTO001</x:v>
      </x:c>
      <x:c r="D2363" t="str">
        <x:v>16-05-2026_Umsatzliste_Girokonto_DE98120300001061711675.csv</x:v>
      </x:c>
      <x:c r="E2363" t="n">
        <x:v>46163</x:v>
      </x:c>
      <x:c r="F2363" t="n">
        <x:v>2346</x:v>
      </x:c>
      <x:c r="G2363" t="str">
        <x:v>b6a89c5d107dc7637072c80d0c64a10b11a91150a47e8d3e1e9a63347e77d066</x:v>
      </x:c>
      <x:c r="H2363" t="str">
        <x:v>neu</x:v>
      </x:c>
      <x:c r="I2363" t="str">
        <x:v>ok</x:v>
      </x:c>
      <x:c r="J2363"/>
      <x:c r="K2363" t="n">
        <x:v>45376</x:v>
      </x:c>
      <x:c r="L2363" t="n">
        <x:v>45376</x:v>
      </x:c>
      <x:c r="M2363" t="str">
        <x:v>Gebucht</x:v>
      </x:c>
      <x:c r="N2363" t="str">
        <x:v>ISSUER</x:v>
      </x:c>
      <x:c r="O2363" t="str">
        <x:v>FW.NEUMUENSTER.OUTLET/NEUMUENSTER</x:v>
      </x:c>
      <x:c r="P2363" t="str">
        <x:v>VISA Debitkartenumsatz vom 23.03.2024</x:v>
      </x:c>
      <x:c r="Q2363" t="str">
        <x:v>Ausgang</x:v>
      </x:c>
      <x:c r="R2363" t="str">
        <x:v>DE96120300009005290904</x:v>
      </x:c>
      <x:c r="S2363" t="n">
        <x:v>-44.5</x:v>
      </x:c>
      <x:c r="T2363" t="str">
        <x:v>"</x:v>
      </x:c>
      <x:c r="U2363" t="str">
        <x:v>"</x:v>
      </x:c>
      <x:c r="V2363" t="str">
        <x:v>484083517354162</x:v>
      </x:c>
    </x:row>
    <x:row r="2364">
      <x:c r="A2364" t="str">
        <x:v>RAW-IMP-20260516-FULLDRAFT-002347</x:v>
      </x:c>
      <x:c r="B2364" t="str">
        <x:v>IMP-20260516-FULLDRAFT</x:v>
      </x:c>
      <x:c r="C2364" t="str">
        <x:v>KTO001</x:v>
      </x:c>
      <x:c r="D2364" t="str">
        <x:v>16-05-2026_Umsatzliste_Girokonto_DE98120300001061711675.csv</x:v>
      </x:c>
      <x:c r="E2364" t="n">
        <x:v>46163</x:v>
      </x:c>
      <x:c r="F2364" t="n">
        <x:v>2347</x:v>
      </x:c>
      <x:c r="G2364" t="str">
        <x:v>b95c039b4da1773a32e2d891a05de7e7f1224c4de69215ec46a4131b9635db63</x:v>
      </x:c>
      <x:c r="H2364" t="str">
        <x:v>neu</x:v>
      </x:c>
      <x:c r="I2364" t="str">
        <x:v>ok</x:v>
      </x:c>
      <x:c r="J2364"/>
      <x:c r="K2364" t="n">
        <x:v>45376</x:v>
      </x:c>
      <x:c r="L2364" t="n">
        <x:v>45376</x:v>
      </x:c>
      <x:c r="M2364" t="str">
        <x:v>Gebucht</x:v>
      </x:c>
      <x:c r="N2364" t="str">
        <x:v>ISSUER</x:v>
      </x:c>
      <x:c r="O2364" t="str">
        <x:v>DESIGNER.OUTLET/NEUMUENSTER</x:v>
      </x:c>
      <x:c r="P2364" t="str">
        <x:v>VISA Debitkartenumsatz vom 23.03.2024</x:v>
      </x:c>
      <x:c r="Q2364" t="str">
        <x:v>Ausgang</x:v>
      </x:c>
      <x:c r="R2364" t="str">
        <x:v>DE96120300009005290904</x:v>
      </x:c>
      <x:c r="S2364" t="n">
        <x:v>-4</x:v>
      </x:c>
      <x:c r="T2364" t="str">
        <x:v>"</x:v>
      </x:c>
      <x:c r="U2364" t="str">
        <x:v>"</x:v>
      </x:c>
      <x:c r="V2364" t="str">
        <x:v>484083584777008</x:v>
      </x:c>
    </x:row>
    <x:row r="2365">
      <x:c r="A2365" t="str">
        <x:v>RAW-IMP-20260516-FULLDRAFT-002348</x:v>
      </x:c>
      <x:c r="B2365" t="str">
        <x:v>IMP-20260516-FULLDRAFT</x:v>
      </x:c>
      <x:c r="C2365" t="str">
        <x:v>KTO001</x:v>
      </x:c>
      <x:c r="D2365" t="str">
        <x:v>16-05-2026_Umsatzliste_Girokonto_DE98120300001061711675.csv</x:v>
      </x:c>
      <x:c r="E2365" t="n">
        <x:v>46163</x:v>
      </x:c>
      <x:c r="F2365" t="n">
        <x:v>2348</x:v>
      </x:c>
      <x:c r="G2365" t="str">
        <x:v>cd14e7e07708e38a85a05f91f05aa4421c0b2d411152b3466a01d03c9ebd11b9</x:v>
      </x:c>
      <x:c r="H2365" t="str">
        <x:v>neu</x:v>
      </x:c>
      <x:c r="I2365" t="str">
        <x:v>ok</x:v>
      </x:c>
      <x:c r="J2365"/>
      <x:c r="K2365" t="n">
        <x:v>45376</x:v>
      </x:c>
      <x:c r="L2365" t="n">
        <x:v>45376</x:v>
      </x:c>
      <x:c r="M2365" t="str">
        <x:v>Gebucht</x:v>
      </x:c>
      <x:c r="N2365" t="str">
        <x:v>ISSUER</x:v>
      </x:c>
      <x:c r="O2365" t="str">
        <x:v>JENS.MAERKTE/GROSSENBRODE</x:v>
      </x:c>
      <x:c r="P2365" t="str">
        <x:v>VISA Debitkartenumsatz vom 22.03.2024</x:v>
      </x:c>
      <x:c r="Q2365" t="str">
        <x:v>Ausgang</x:v>
      </x:c>
      <x:c r="R2365" t="str">
        <x:v>DE96120300009005290904</x:v>
      </x:c>
      <x:c r="S2365" t="n">
        <x:v>-11.2</x:v>
      </x:c>
      <x:c r="T2365" t="str">
        <x:v>"</x:v>
      </x:c>
      <x:c r="U2365" t="str">
        <x:v>"</x:v>
      </x:c>
      <x:c r="V2365" t="str">
        <x:v>484082567959869</x:v>
      </x:c>
    </x:row>
    <x:row r="2366">
      <x:c r="A2366" t="str">
        <x:v>RAW-IMP-20260516-FULLDRAFT-002349</x:v>
      </x:c>
      <x:c r="B2366" t="str">
        <x:v>IMP-20260516-FULLDRAFT</x:v>
      </x:c>
      <x:c r="C2366" t="str">
        <x:v>KTO001</x:v>
      </x:c>
      <x:c r="D2366" t="str">
        <x:v>16-05-2026_Umsatzliste_Girokonto_DE98120300001061711675.csv</x:v>
      </x:c>
      <x:c r="E2366" t="n">
        <x:v>46163</x:v>
      </x:c>
      <x:c r="F2366" t="n">
        <x:v>2349</x:v>
      </x:c>
      <x:c r="G2366" t="str">
        <x:v>d895a8313506e6070d32cda5f14a78bd13462df77d7bd5cf51046f06bde417b1</x:v>
      </x:c>
      <x:c r="H2366" t="str">
        <x:v>neu</x:v>
      </x:c>
      <x:c r="I2366" t="str">
        <x:v>ok</x:v>
      </x:c>
      <x:c r="J2366"/>
      <x:c r="K2366" t="n">
        <x:v>45376</x:v>
      </x:c>
      <x:c r="L2366" t="n">
        <x:v>45376</x:v>
      </x:c>
      <x:c r="M2366" t="str">
        <x:v>Gebucht</x:v>
      </x:c>
      <x:c r="N2366" t="str">
        <x:v>ISSUER</x:v>
      </x:c>
      <x:c r="O2366" t="str">
        <x:v>Under.Armour/Neumuenster</x:v>
      </x:c>
      <x:c r="P2366" t="str">
        <x:v>VISA Debitkartenumsatz vom 23.03.2024</x:v>
      </x:c>
      <x:c r="Q2366" t="str">
        <x:v>Ausgang</x:v>
      </x:c>
      <x:c r="R2366" t="str">
        <x:v>DE96120300009005290904</x:v>
      </x:c>
      <x:c r="S2366" t="n">
        <x:v>-41.29</x:v>
      </x:c>
      <x:c r="T2366" t="str">
        <x:v>"</x:v>
      </x:c>
      <x:c r="U2366" t="str">
        <x:v>"</x:v>
      </x:c>
      <x:c r="V2366" t="str">
        <x:v>484083512357979</x:v>
      </x:c>
    </x:row>
    <x:row r="2367">
      <x:c r="A2367" t="str">
        <x:v>RAW-IMP-20260516-FULLDRAFT-002350</x:v>
      </x:c>
      <x:c r="B2367" t="str">
        <x:v>IMP-20260516-FULLDRAFT</x:v>
      </x:c>
      <x:c r="C2367" t="str">
        <x:v>KTO001</x:v>
      </x:c>
      <x:c r="D2367" t="str">
        <x:v>16-05-2026_Umsatzliste_Girokonto_DE98120300001061711675.csv</x:v>
      </x:c>
      <x:c r="E2367" t="n">
        <x:v>46163</x:v>
      </x:c>
      <x:c r="F2367" t="n">
        <x:v>2350</x:v>
      </x:c>
      <x:c r="G2367" t="str">
        <x:v>71b823d2aa3074387d37c07942661ebd1fd1b3bcde58232a418fe36af3174283</x:v>
      </x:c>
      <x:c r="H2367" t="str">
        <x:v>neu</x:v>
      </x:c>
      <x:c r="I2367" t="str">
        <x:v>ok</x:v>
      </x:c>
      <x:c r="J2367"/>
      <x:c r="K2367" t="n">
        <x:v>45376</x:v>
      </x:c>
      <x:c r="L2367" t="n">
        <x:v>45376</x:v>
      </x:c>
      <x:c r="M2367" t="str">
        <x:v>Gebucht</x:v>
      </x:c>
      <x:c r="N2367" t="str">
        <x:v>ISSUER</x:v>
      </x:c>
      <x:c r="O2367" t="str">
        <x:v>Happy.Socks.Neumuenster/Neumuenster</x:v>
      </x:c>
      <x:c r="P2367" t="str">
        <x:v>VISA Debitkartenumsatz vom 23.03.2024</x:v>
      </x:c>
      <x:c r="Q2367" t="str">
        <x:v>Ausgang</x:v>
      </x:c>
      <x:c r="R2367" t="str">
        <x:v>DE96120300009005290904</x:v>
      </x:c>
      <x:c r="S2367" t="n">
        <x:v>-66</x:v>
      </x:c>
      <x:c r="T2367" t="str">
        <x:v>"</x:v>
      </x:c>
      <x:c r="U2367" t="str">
        <x:v>"</x:v>
      </x:c>
      <x:c r="V2367" t="str">
        <x:v>484083579068042</x:v>
      </x:c>
    </x:row>
    <x:row r="2368">
      <x:c r="A2368" t="str">
        <x:v>RAW-IMP-20260516-FULLDRAFT-002351</x:v>
      </x:c>
      <x:c r="B2368" t="str">
        <x:v>IMP-20260516-FULLDRAFT</x:v>
      </x:c>
      <x:c r="C2368" t="str">
        <x:v>KTO001</x:v>
      </x:c>
      <x:c r="D2368" t="str">
        <x:v>16-05-2026_Umsatzliste_Girokonto_DE98120300001061711675.csv</x:v>
      </x:c>
      <x:c r="E2368" t="n">
        <x:v>46163</x:v>
      </x:c>
      <x:c r="F2368" t="n">
        <x:v>2351</x:v>
      </x:c>
      <x:c r="G2368" t="str">
        <x:v>80378cba7a0a5fa6f26b72a3f78b352d2dd03a1d340c720f6f9187f2bb0dae0d</x:v>
      </x:c>
      <x:c r="H2368" t="str">
        <x:v>neu</x:v>
      </x:c>
      <x:c r="I2368" t="str">
        <x:v>ok</x:v>
      </x:c>
      <x:c r="J2368"/>
      <x:c r="K2368" t="n">
        <x:v>45376</x:v>
      </x:c>
      <x:c r="L2368" t="n">
        <x:v>45376</x:v>
      </x:c>
      <x:c r="M2368" t="str">
        <x:v>Gebucht</x:v>
      </x:c>
      <x:c r="N2368" t="str">
        <x:v>ISSUER</x:v>
      </x:c>
      <x:c r="O2368" t="str">
        <x:v>RITUALS.COSMETICS.GERMA/Neumuenster</x:v>
      </x:c>
      <x:c r="P2368" t="str">
        <x:v>VISA Debitkartenumsatz vom 23.03.2024</x:v>
      </x:c>
      <x:c r="Q2368" t="str">
        <x:v>Ausgang</x:v>
      </x:c>
      <x:c r="R2368" t="str">
        <x:v>DE96120300009005290904</x:v>
      </x:c>
      <x:c r="S2368" t="n">
        <x:v>-14.31</x:v>
      </x:c>
      <x:c r="T2368" t="str">
        <x:v>"</x:v>
      </x:c>
      <x:c r="U2368" t="str">
        <x:v>"</x:v>
      </x:c>
      <x:c r="V2368" t="str">
        <x:v>484083562269840</x:v>
      </x:c>
    </x:row>
    <x:row r="2369">
      <x:c r="A2369" t="str">
        <x:v>RAW-IMP-20260516-FULLDRAFT-002352</x:v>
      </x:c>
      <x:c r="B2369" t="str">
        <x:v>IMP-20260516-FULLDRAFT</x:v>
      </x:c>
      <x:c r="C2369" t="str">
        <x:v>KTO001</x:v>
      </x:c>
      <x:c r="D2369" t="str">
        <x:v>16-05-2026_Umsatzliste_Girokonto_DE98120300001061711675.csv</x:v>
      </x:c>
      <x:c r="E2369" t="n">
        <x:v>46163</x:v>
      </x:c>
      <x:c r="F2369" t="n">
        <x:v>2352</x:v>
      </x:c>
      <x:c r="G2369" t="str">
        <x:v>9d8f7cc3fdbe9f32a360331101ac1b962e44044223009e50fc36e2216ecc38f7</x:v>
      </x:c>
      <x:c r="H2369" t="str">
        <x:v>neu</x:v>
      </x:c>
      <x:c r="I2369" t="str">
        <x:v>ok</x:v>
      </x:c>
      <x:c r="J2369"/>
      <x:c r="K2369" t="n">
        <x:v>45376</x:v>
      </x:c>
      <x:c r="L2369" t="n">
        <x:v>45376</x:v>
      </x:c>
      <x:c r="M2369" t="str">
        <x:v>Gebucht</x:v>
      </x:c>
      <x:c r="N2369" t="str">
        <x:v>ISSUER</x:v>
      </x:c>
      <x:c r="O2369" t="str">
        <x:v>NikePOS.DE/Neumunster</x:v>
      </x:c>
      <x:c r="P2369" t="str">
        <x:v>VISA Debitkartenumsatz vom 23.03.2024</x:v>
      </x:c>
      <x:c r="Q2369" t="str">
        <x:v>Ausgang</x:v>
      </x:c>
      <x:c r="R2369" t="str">
        <x:v>DE96120300009005290904</x:v>
      </x:c>
      <x:c r="S2369" t="n">
        <x:v>-83.99</x:v>
      </x:c>
      <x:c r="T2369" t="str">
        <x:v>"</x:v>
      </x:c>
      <x:c r="U2369" t="str">
        <x:v>"</x:v>
      </x:c>
      <x:c r="V2369" t="str">
        <x:v>484083473267677</x:v>
      </x:c>
    </x:row>
    <x:row r="2370">
      <x:c r="A2370" t="str">
        <x:v>RAW-IMP-20260516-FULLDRAFT-002353</x:v>
      </x:c>
      <x:c r="B2370" t="str">
        <x:v>IMP-20260516-FULLDRAFT</x:v>
      </x:c>
      <x:c r="C2370" t="str">
        <x:v>KTO001</x:v>
      </x:c>
      <x:c r="D2370" t="str">
        <x:v>16-05-2026_Umsatzliste_Girokonto_DE98120300001061711675.csv</x:v>
      </x:c>
      <x:c r="E2370" t="n">
        <x:v>46163</x:v>
      </x:c>
      <x:c r="F2370" t="n">
        <x:v>2353</x:v>
      </x:c>
      <x:c r="G2370" t="str">
        <x:v>5382644e02b3ca115e5526cbc7ca7712ee1a7097e800e85d5202edeba41e482a</x:v>
      </x:c>
      <x:c r="H2370" t="str">
        <x:v>neu</x:v>
      </x:c>
      <x:c r="I2370" t="str">
        <x:v>ok</x:v>
      </x:c>
      <x:c r="J2370"/>
      <x:c r="K2370" t="n">
        <x:v>45376</x:v>
      </x:c>
      <x:c r="L2370" t="n">
        <x:v>45376</x:v>
      </x:c>
      <x:c r="M2370" t="str">
        <x:v>Gebucht</x:v>
      </x:c>
      <x:c r="N2370" t="str">
        <x:v>ISSUER</x:v>
      </x:c>
      <x:c r="O2370" t="str">
        <x:v>REWE.Salzgitter.Ge/Salzgitter</x:v>
      </x:c>
      <x:c r="P2370" t="str">
        <x:v>VISA Debitkartenumsatz vom 23.03.2024</x:v>
      </x:c>
      <x:c r="Q2370" t="str">
        <x:v>Ausgang</x:v>
      </x:c>
      <x:c r="R2370" t="str">
        <x:v>DE96120300009005290904</x:v>
      </x:c>
      <x:c r="S2370" t="n">
        <x:v>-50.71</x:v>
      </x:c>
      <x:c r="T2370" t="str">
        <x:v>"</x:v>
      </x:c>
      <x:c r="U2370" t="str">
        <x:v>"</x:v>
      </x:c>
      <x:c r="V2370" t="str">
        <x:v>484083700937228</x:v>
      </x:c>
    </x:row>
    <x:row r="2371">
      <x:c r="A2371" t="str">
        <x:v>RAW-IMP-20260516-FULLDRAFT-002354</x:v>
      </x:c>
      <x:c r="B2371" t="str">
        <x:v>IMP-20260516-FULLDRAFT</x:v>
      </x:c>
      <x:c r="C2371" t="str">
        <x:v>KTO001</x:v>
      </x:c>
      <x:c r="D2371" t="str">
        <x:v>16-05-2026_Umsatzliste_Girokonto_DE98120300001061711675.csv</x:v>
      </x:c>
      <x:c r="E2371" t="n">
        <x:v>46163</x:v>
      </x:c>
      <x:c r="F2371" t="n">
        <x:v>2354</x:v>
      </x:c>
      <x:c r="G2371" t="str">
        <x:v>e9ce8ac3784238160d3ff4a702f66fa5bd66357754e3ccdf64968d4f77f12dd9</x:v>
      </x:c>
      <x:c r="H2371" t="str">
        <x:v>neu</x:v>
      </x:c>
      <x:c r="I2371" t="str">
        <x:v>ok</x:v>
      </x:c>
      <x:c r="J2371"/>
      <x:c r="K2371" t="n">
        <x:v>45376</x:v>
      </x:c>
      <x:c r="L2371" t="n">
        <x:v>45376</x:v>
      </x:c>
      <x:c r="M2371" t="str">
        <x:v>Gebucht</x:v>
      </x:c>
      <x:c r="N2371" t="str">
        <x:v>ISSUER</x:v>
      </x:c>
      <x:c r="O2371" t="str">
        <x:v>Marc.OPolo.Einzelhandel/Neumuenster</x:v>
      </x:c>
      <x:c r="P2371" t="str">
        <x:v>VISA Debitkartenumsatz vom 23.03.2024</x:v>
      </x:c>
      <x:c r="Q2371" t="str">
        <x:v>Ausgang</x:v>
      </x:c>
      <x:c r="R2371" t="str">
        <x:v>DE96120300009005290904</x:v>
      </x:c>
      <x:c r="S2371" t="n">
        <x:v>-90.9</x:v>
      </x:c>
      <x:c r="T2371" t="str">
        <x:v>"</x:v>
      </x:c>
      <x:c r="U2371" t="str">
        <x:v>"</x:v>
      </x:c>
      <x:c r="V2371" t="str">
        <x:v>484083551606090</x:v>
      </x:c>
    </x:row>
    <x:row r="2372">
      <x:c r="A2372" t="str">
        <x:v>RAW-IMP-20260516-FULLDRAFT-002355</x:v>
      </x:c>
      <x:c r="B2372" t="str">
        <x:v>IMP-20260516-FULLDRAFT</x:v>
      </x:c>
      <x:c r="C2372" t="str">
        <x:v>KTO001</x:v>
      </x:c>
      <x:c r="D2372" t="str">
        <x:v>16-05-2026_Umsatzliste_Girokonto_DE98120300001061711675.csv</x:v>
      </x:c>
      <x:c r="E2372" t="n">
        <x:v>46163</x:v>
      </x:c>
      <x:c r="F2372" t="n">
        <x:v>2355</x:v>
      </x:c>
      <x:c r="G2372" t="str">
        <x:v>b3cb5bb28de6b3d1c8162de71bb66ee09bc00058017e154f28931f6980515f08</x:v>
      </x:c>
      <x:c r="H2372" t="str">
        <x:v>neu</x:v>
      </x:c>
      <x:c r="I2372" t="str">
        <x:v>ok</x:v>
      </x:c>
      <x:c r="J2372"/>
      <x:c r="K2372" t="n">
        <x:v>45376</x:v>
      </x:c>
      <x:c r="L2372" t="n">
        <x:v>45376</x:v>
      </x:c>
      <x:c r="M2372" t="str">
        <x:v>Gebucht</x:v>
      </x:c>
      <x:c r="N2372" t="str">
        <x:v>ISSUER</x:v>
      </x:c>
      <x:c r="O2372" t="str">
        <x:v>Groemitzer.Welle/Groemitz</x:v>
      </x:c>
      <x:c r="P2372" t="str">
        <x:v>VISA Debitkartenumsatz vom 22.03.2024</x:v>
      </x:c>
      <x:c r="Q2372" t="str">
        <x:v>Ausgang</x:v>
      </x:c>
      <x:c r="R2372" t="str">
        <x:v>DE96120300009005290904</x:v>
      </x:c>
      <x:c r="S2372" t="n">
        <x:v>-22.2</x:v>
      </x:c>
      <x:c r="T2372" t="str">
        <x:v>"</x:v>
      </x:c>
      <x:c r="U2372" t="str">
        <x:v>"</x:v>
      </x:c>
      <x:c r="V2372" t="str">
        <x:v>484082529100428</x:v>
      </x:c>
    </x:row>
    <x:row r="2373">
      <x:c r="A2373" t="str">
        <x:v>RAW-IMP-20260516-FULLDRAFT-002356</x:v>
      </x:c>
      <x:c r="B2373" t="str">
        <x:v>IMP-20260516-FULLDRAFT</x:v>
      </x:c>
      <x:c r="C2373" t="str">
        <x:v>KTO001</x:v>
      </x:c>
      <x:c r="D2373" t="str">
        <x:v>16-05-2026_Umsatzliste_Girokonto_DE98120300001061711675.csv</x:v>
      </x:c>
      <x:c r="E2373" t="n">
        <x:v>46163</x:v>
      </x:c>
      <x:c r="F2373" t="n">
        <x:v>2356</x:v>
      </x:c>
      <x:c r="G2373" t="str">
        <x:v>aa0ab9644fd96c79c2c3678d8d912c33b8569e332dc249ae23536e9d66736cbd</x:v>
      </x:c>
      <x:c r="H2373" t="str">
        <x:v>neu</x:v>
      </x:c>
      <x:c r="I2373" t="str">
        <x:v>ok</x:v>
      </x:c>
      <x:c r="J2373"/>
      <x:c r="K2373" t="n">
        <x:v>45376</x:v>
      </x:c>
      <x:c r="L2373" t="n">
        <x:v>45376</x:v>
      </x:c>
      <x:c r="M2373" t="str">
        <x:v>Gebucht</x:v>
      </x:c>
      <x:c r="N2373" t="str">
        <x:v>ISSUER</x:v>
      </x:c>
      <x:c r="O2373" t="str">
        <x:v>RESTAURANT.ATHEN/GROSSENBRODE</x:v>
      </x:c>
      <x:c r="P2373" t="str">
        <x:v>VISA Debitkartenumsatz vom 22.03.2024</x:v>
      </x:c>
      <x:c r="Q2373" t="str">
        <x:v>Ausgang</x:v>
      </x:c>
      <x:c r="R2373" t="str">
        <x:v>DE96120300009005290904</x:v>
      </x:c>
      <x:c r="S2373" t="n">
        <x:v>-100</x:v>
      </x:c>
      <x:c r="T2373" t="str">
        <x:v>"</x:v>
      </x:c>
      <x:c r="U2373" t="str">
        <x:v>"</x:v>
      </x:c>
      <x:c r="V2373" t="str">
        <x:v>484082629888746</x:v>
      </x:c>
    </x:row>
    <x:row r="2374">
      <x:c r="A2374" t="str">
        <x:v>RAW-IMP-20260516-FULLDRAFT-002357</x:v>
      </x:c>
      <x:c r="B2374" t="str">
        <x:v>IMP-20260516-FULLDRAFT</x:v>
      </x:c>
      <x:c r="C2374" t="str">
        <x:v>KTO001</x:v>
      </x:c>
      <x:c r="D2374" t="str">
        <x:v>16-05-2026_Umsatzliste_Girokonto_DE98120300001061711675.csv</x:v>
      </x:c>
      <x:c r="E2374" t="n">
        <x:v>46163</x:v>
      </x:c>
      <x:c r="F2374" t="n">
        <x:v>2357</x:v>
      </x:c>
      <x:c r="G2374" t="str">
        <x:v>75eb594fc7f0b117a0b5dbb83a5d9125933c1930b543de59c2a4d950304b791f</x:v>
      </x:c>
      <x:c r="H2374" t="str">
        <x:v>neu</x:v>
      </x:c>
      <x:c r="I2374" t="str">
        <x:v>ok</x:v>
      </x:c>
      <x:c r="J2374"/>
      <x:c r="K2374" t="n">
        <x:v>45376</x:v>
      </x:c>
      <x:c r="L2374" t="n">
        <x:v>45376</x:v>
      </x:c>
      <x:c r="M2374" t="str">
        <x:v>Gebucht</x:v>
      </x:c>
      <x:c r="N2374" t="str">
        <x:v>ISSUER</x:v>
      </x:c>
      <x:c r="O2374" t="str">
        <x:v>TOURISMUS.SERVICE.GROE/OSTSEEBAD.GRO</x:v>
      </x:c>
      <x:c r="P2374" t="str">
        <x:v>VISA Debitkartenumsatz vom 22.03.2024</x:v>
      </x:c>
      <x:c r="Q2374" t="str">
        <x:v>Ausgang</x:v>
      </x:c>
      <x:c r="R2374" t="str">
        <x:v>DE96120300009005290904</x:v>
      </x:c>
      <x:c r="S2374" t="n">
        <x:v>-32.6</x:v>
      </x:c>
      <x:c r="T2374" t="str">
        <x:v>"</x:v>
      </x:c>
      <x:c r="U2374" t="str">
        <x:v>"</x:v>
      </x:c>
      <x:c r="V2374" t="str">
        <x:v>484082400466214</x:v>
      </x:c>
    </x:row>
    <x:row r="2375">
      <x:c r="A2375" t="str">
        <x:v>RAW-IMP-20260516-FULLDRAFT-002358</x:v>
      </x:c>
      <x:c r="B2375" t="str">
        <x:v>IMP-20260516-FULLDRAFT</x:v>
      </x:c>
      <x:c r="C2375" t="str">
        <x:v>KTO001</x:v>
      </x:c>
      <x:c r="D2375" t="str">
        <x:v>16-05-2026_Umsatzliste_Girokonto_DE98120300001061711675.csv</x:v>
      </x:c>
      <x:c r="E2375" t="n">
        <x:v>46163</x:v>
      </x:c>
      <x:c r="F2375" t="n">
        <x:v>2358</x:v>
      </x:c>
      <x:c r="G2375" t="str">
        <x:v>0a36a4831482bd7262e1dbe488937df9738cc223cd86cb86812d53b3a7834f8a</x:v>
      </x:c>
      <x:c r="H2375" t="str">
        <x:v>neu</x:v>
      </x:c>
      <x:c r="I2375" t="str">
        <x:v>ok</x:v>
      </x:c>
      <x:c r="J2375"/>
      <x:c r="K2375" t="n">
        <x:v>45373</x:v>
      </x:c>
      <x:c r="L2375" t="n">
        <x:v>45373</x:v>
      </x:c>
      <x:c r="M2375" t="str">
        <x:v>Gebucht</x:v>
      </x:c>
      <x:c r="N2375" t="str">
        <x:v>ISSUER</x:v>
      </x:c>
      <x:c r="O2375" t="str">
        <x:v>GUT.GOERTZ/HERINGSDORF</x:v>
      </x:c>
      <x:c r="P2375" t="str">
        <x:v>VISA Debitkartenumsatz vom 21.03.2024</x:v>
      </x:c>
      <x:c r="Q2375" t="str">
        <x:v>Ausgang</x:v>
      </x:c>
      <x:c r="R2375" t="str">
        <x:v>DE96120300009005290904</x:v>
      </x:c>
      <x:c r="S2375" t="n">
        <x:v>-22.2</x:v>
      </x:c>
      <x:c r="T2375" t="str">
        <x:v>"</x:v>
      </x:c>
      <x:c r="U2375" t="str">
        <x:v>"</x:v>
      </x:c>
      <x:c r="V2375" t="str">
        <x:v>484081456246556</x:v>
      </x:c>
    </x:row>
    <x:row r="2376">
      <x:c r="A2376" t="str">
        <x:v>RAW-IMP-20260516-FULLDRAFT-002359</x:v>
      </x:c>
      <x:c r="B2376" t="str">
        <x:v>IMP-20260516-FULLDRAFT</x:v>
      </x:c>
      <x:c r="C2376" t="str">
        <x:v>KTO001</x:v>
      </x:c>
      <x:c r="D2376" t="str">
        <x:v>16-05-2026_Umsatzliste_Girokonto_DE98120300001061711675.csv</x:v>
      </x:c>
      <x:c r="E2376" t="n">
        <x:v>46163</x:v>
      </x:c>
      <x:c r="F2376" t="n">
        <x:v>2359</x:v>
      </x:c>
      <x:c r="G2376" t="str">
        <x:v>c9608ac3ea28d8c35cdee4965548209364a9682acb8aec47530154432ababc07</x:v>
      </x:c>
      <x:c r="H2376" t="str">
        <x:v>neu</x:v>
      </x:c>
      <x:c r="I2376" t="str">
        <x:v>ok</x:v>
      </x:c>
      <x:c r="J2376"/>
      <x:c r="K2376" t="n">
        <x:v>45373</x:v>
      </x:c>
      <x:c r="L2376" t="n">
        <x:v>45373</x:v>
      </x:c>
      <x:c r="M2376" t="str">
        <x:v>Gebucht</x:v>
      </x:c>
      <x:c r="N2376" t="str">
        <x:v>ISSUER</x:v>
      </x:c>
      <x:c r="O2376" t="str">
        <x:v>GUT.GOERTZ/HERINGSDORF</x:v>
      </x:c>
      <x:c r="P2376" t="str">
        <x:v>VISA Debitkartenumsatz vom 21.03.2024</x:v>
      </x:c>
      <x:c r="Q2376" t="str">
        <x:v>Ausgang</x:v>
      </x:c>
      <x:c r="R2376" t="str">
        <x:v>DE96120300009005290904</x:v>
      </x:c>
      <x:c r="S2376" t="n">
        <x:v>-5.9</x:v>
      </x:c>
      <x:c r="T2376" t="str">
        <x:v>"</x:v>
      </x:c>
      <x:c r="U2376" t="str">
        <x:v>"</x:v>
      </x:c>
      <x:c r="V2376" t="str">
        <x:v>484081460787308</x:v>
      </x:c>
    </x:row>
    <x:row r="2377">
      <x:c r="A2377" t="str">
        <x:v>RAW-IMP-20260516-FULLDRAFT-002360</x:v>
      </x:c>
      <x:c r="B2377" t="str">
        <x:v>IMP-20260516-FULLDRAFT</x:v>
      </x:c>
      <x:c r="C2377" t="str">
        <x:v>KTO001</x:v>
      </x:c>
      <x:c r="D2377" t="str">
        <x:v>16-05-2026_Umsatzliste_Girokonto_DE98120300001061711675.csv</x:v>
      </x:c>
      <x:c r="E2377" t="n">
        <x:v>46163</x:v>
      </x:c>
      <x:c r="F2377" t="n">
        <x:v>2360</x:v>
      </x:c>
      <x:c r="G2377" t="str">
        <x:v>6538003cf6e85d82b9b0a07c92a059900e53776266f7b112d134cc231b53f120</x:v>
      </x:c>
      <x:c r="H2377" t="str">
        <x:v>neu</x:v>
      </x:c>
      <x:c r="I2377" t="str">
        <x:v>ok</x:v>
      </x:c>
      <x:c r="J2377"/>
      <x:c r="K2377" t="n">
        <x:v>45372</x:v>
      </x:c>
      <x:c r="L2377" t="n">
        <x:v>45372</x:v>
      </x:c>
      <x:c r="M2377" t="str">
        <x:v>Gebucht</x:v>
      </x:c>
      <x:c r="N2377" t="str">
        <x:v>ISSUER</x:v>
      </x:c>
      <x:c r="O2377" t="str">
        <x:v>JENS.MAERKTE/GROSSENBRODE</x:v>
      </x:c>
      <x:c r="P2377" t="str">
        <x:v>VISA Debitkartenumsatz vom 20.03.2024</x:v>
      </x:c>
      <x:c r="Q2377" t="str">
        <x:v>Ausgang</x:v>
      </x:c>
      <x:c r="R2377" t="str">
        <x:v>DE96120300009005290904</x:v>
      </x:c>
      <x:c r="S2377" t="n">
        <x:v>-9.78</x:v>
      </x:c>
      <x:c r="T2377" t="str">
        <x:v>"</x:v>
      </x:c>
      <x:c r="U2377" t="str">
        <x:v>"</x:v>
      </x:c>
      <x:c r="V2377" t="str">
        <x:v>484080611894498</x:v>
      </x:c>
    </x:row>
    <x:row r="2378">
      <x:c r="A2378" t="str">
        <x:v>RAW-IMP-20260516-FULLDRAFT-002361</x:v>
      </x:c>
      <x:c r="B2378" t="str">
        <x:v>IMP-20260516-FULLDRAFT</x:v>
      </x:c>
      <x:c r="C2378" t="str">
        <x:v>KTO001</x:v>
      </x:c>
      <x:c r="D2378" t="str">
        <x:v>16-05-2026_Umsatzliste_Girokonto_DE98120300001061711675.csv</x:v>
      </x:c>
      <x:c r="E2378" t="n">
        <x:v>46163</x:v>
      </x:c>
      <x:c r="F2378" t="n">
        <x:v>2361</x:v>
      </x:c>
      <x:c r="G2378" t="str">
        <x:v>b4e0ed8037887f32618e7a9d3bd23c58de5dc9d87a1670229aa59353d9b9c56b</x:v>
      </x:c>
      <x:c r="H2378" t="str">
        <x:v>neu</x:v>
      </x:c>
      <x:c r="I2378" t="str">
        <x:v>ok</x:v>
      </x:c>
      <x:c r="J2378"/>
      <x:c r="K2378" t="n">
        <x:v>45372</x:v>
      </x:c>
      <x:c r="L2378" t="n">
        <x:v>45372</x:v>
      </x:c>
      <x:c r="M2378" t="str">
        <x:v>Gebucht</x:v>
      </x:c>
      <x:c r="N2378" t="str">
        <x:v>ISSUER</x:v>
      </x:c>
      <x:c r="O2378" t="str">
        <x:v>SeaSide.und.CappuVino/Groemitz</x:v>
      </x:c>
      <x:c r="P2378" t="str">
        <x:v>VISA Debitkartenumsatz vom 20.03.2024</x:v>
      </x:c>
      <x:c r="Q2378" t="str">
        <x:v>Ausgang</x:v>
      </x:c>
      <x:c r="R2378" t="str">
        <x:v>DE96120300009005290904</x:v>
      </x:c>
      <x:c r="S2378" t="n">
        <x:v>-27.6</x:v>
      </x:c>
      <x:c r="T2378" t="str">
        <x:v>"</x:v>
      </x:c>
      <x:c r="U2378" t="str">
        <x:v>"</x:v>
      </x:c>
      <x:c r="V2378" t="str">
        <x:v>484080507429775</x:v>
      </x:c>
    </x:row>
    <x:row r="2379">
      <x:c r="A2379" t="str">
        <x:v>RAW-IMP-20260516-FULLDRAFT-002362</x:v>
      </x:c>
      <x:c r="B2379" t="str">
        <x:v>IMP-20260516-FULLDRAFT</x:v>
      </x:c>
      <x:c r="C2379" t="str">
        <x:v>KTO001</x:v>
      </x:c>
      <x:c r="D2379" t="str">
        <x:v>16-05-2026_Umsatzliste_Girokonto_DE98120300001061711675.csv</x:v>
      </x:c>
      <x:c r="E2379" t="n">
        <x:v>46163</x:v>
      </x:c>
      <x:c r="F2379" t="n">
        <x:v>2362</x:v>
      </x:c>
      <x:c r="G2379" t="str">
        <x:v>92726a2022274b174054fc67c3b3bac3cd65a6d5d2f2d34a3ab39a7f8a432f72</x:v>
      </x:c>
      <x:c r="H2379" t="str">
        <x:v>neu</x:v>
      </x:c>
      <x:c r="I2379" t="str">
        <x:v>ok</x:v>
      </x:c>
      <x:c r="J2379"/>
      <x:c r="K2379" t="n">
        <x:v>45372</x:v>
      </x:c>
      <x:c r="L2379" t="n">
        <x:v>45372</x:v>
      </x:c>
      <x:c r="M2379" t="str">
        <x:v>Gebucht</x:v>
      </x:c>
      <x:c r="N2379" t="str">
        <x:v>ISSUER</x:v>
      </x:c>
      <x:c r="O2379" t="str">
        <x:v>Rossmann.2102/Groemitz</x:v>
      </x:c>
      <x:c r="P2379" t="str">
        <x:v>VISA Debitkartenumsatz vom 20.03.2024</x:v>
      </x:c>
      <x:c r="Q2379" t="str">
        <x:v>Ausgang</x:v>
      </x:c>
      <x:c r="R2379" t="str">
        <x:v>DE96120300009005290904</x:v>
      </x:c>
      <x:c r="S2379" t="n">
        <x:v>-13.82</x:v>
      </x:c>
      <x:c r="T2379" t="str">
        <x:v>"</x:v>
      </x:c>
      <x:c r="U2379" t="str">
        <x:v>"</x:v>
      </x:c>
      <x:c r="V2379" t="str">
        <x:v>484080465710716</x:v>
      </x:c>
    </x:row>
    <x:row r="2380">
      <x:c r="A2380" t="str">
        <x:v>RAW-IMP-20260516-FULLDRAFT-002363</x:v>
      </x:c>
      <x:c r="B2380" t="str">
        <x:v>IMP-20260516-FULLDRAFT</x:v>
      </x:c>
      <x:c r="C2380" t="str">
        <x:v>KTO001</x:v>
      </x:c>
      <x:c r="D2380" t="str">
        <x:v>16-05-2026_Umsatzliste_Girokonto_DE98120300001061711675.csv</x:v>
      </x:c>
      <x:c r="E2380" t="n">
        <x:v>46163</x:v>
      </x:c>
      <x:c r="F2380" t="n">
        <x:v>2363</x:v>
      </x:c>
      <x:c r="G2380" t="str">
        <x:v>fc792aaf6fc97004a8ea85f5d66bba3adf4eae7ecbd39d379f4954b7b2813add</x:v>
      </x:c>
      <x:c r="H2380" t="str">
        <x:v>neu</x:v>
      </x:c>
      <x:c r="I2380" t="str">
        <x:v>ok</x:v>
      </x:c>
      <x:c r="J2380"/>
      <x:c r="K2380" t="n">
        <x:v>45372</x:v>
      </x:c>
      <x:c r="L2380" t="n">
        <x:v>45372</x:v>
      </x:c>
      <x:c r="M2380" t="str">
        <x:v>Gebucht</x:v>
      </x:c>
      <x:c r="N2380" t="str">
        <x:v>Lars Kohlenberg</x:v>
      </x:c>
      <x:c r="O2380" t="str">
        <x:v>Lars Kohlenberg</x:v>
      </x:c>
      <x:c r="P2380" t="str">
        <x:v>Uebertrag</x:v>
      </x:c>
      <x:c r="Q2380" t="str">
        <x:v>Eingang</x:v>
      </x:c>
      <x:c r="R2380" t="str">
        <x:v>DE91270200001510365800</x:v>
      </x:c>
      <x:c r="S2380" t="n">
        <x:v>500</x:v>
      </x:c>
      <x:c r="T2380" t="str">
        <x:v>"</x:v>
      </x:c>
      <x:c r="U2380" t="str">
        <x:v>"</x:v>
      </x:c>
      <x:c r="V2380" t="str">
        <x:v>"</x:v>
      </x:c>
    </x:row>
    <x:row r="2381">
      <x:c r="A2381" t="str">
        <x:v>RAW-IMP-20260516-FULLDRAFT-002364</x:v>
      </x:c>
      <x:c r="B2381" t="str">
        <x:v>IMP-20260516-FULLDRAFT</x:v>
      </x:c>
      <x:c r="C2381" t="str">
        <x:v>KTO001</x:v>
      </x:c>
      <x:c r="D2381" t="str">
        <x:v>16-05-2026_Umsatzliste_Girokonto_DE98120300001061711675.csv</x:v>
      </x:c>
      <x:c r="E2381" t="n">
        <x:v>46163</x:v>
      </x:c>
      <x:c r="F2381" t="n">
        <x:v>2364</x:v>
      </x:c>
      <x:c r="G2381" t="str">
        <x:v>9fe2db5e6e14bd76aca8451106a91c3c2c4bf6622310daed381187b7e404e76a</x:v>
      </x:c>
      <x:c r="H2381" t="str">
        <x:v>neu</x:v>
      </x:c>
      <x:c r="I2381" t="str">
        <x:v>ok</x:v>
      </x:c>
      <x:c r="J2381"/>
      <x:c r="K2381" t="n">
        <x:v>45371</x:v>
      </x:c>
      <x:c r="L2381" t="n">
        <x:v>45371</x:v>
      </x:c>
      <x:c r="M2381" t="str">
        <x:v>Gebucht</x:v>
      </x:c>
      <x:c r="N2381" t="str">
        <x:v>ISSUER</x:v>
      </x:c>
      <x:c r="O2381" t="str">
        <x:v>BALTIC.KOELLN.HEILIGEN/HEILIGENHAFEN</x:v>
      </x:c>
      <x:c r="P2381" t="str">
        <x:v>VISA Debitkartenumsatz vom 19.03.2024</x:v>
      </x:c>
      <x:c r="Q2381" t="str">
        <x:v>Ausgang</x:v>
      </x:c>
      <x:c r="R2381" t="str">
        <x:v>DE96120300009005290904</x:v>
      </x:c>
      <x:c r="S2381" t="n">
        <x:v>-5.9</x:v>
      </x:c>
      <x:c r="T2381" t="str">
        <x:v>"</x:v>
      </x:c>
      <x:c r="U2381" t="str">
        <x:v>"</x:v>
      </x:c>
      <x:c r="V2381" t="str">
        <x:v>484079486247777</x:v>
      </x:c>
    </x:row>
    <x:row r="2382">
      <x:c r="A2382" t="str">
        <x:v>RAW-IMP-20260516-FULLDRAFT-002365</x:v>
      </x:c>
      <x:c r="B2382" t="str">
        <x:v>IMP-20260516-FULLDRAFT</x:v>
      </x:c>
      <x:c r="C2382" t="str">
        <x:v>KTO001</x:v>
      </x:c>
      <x:c r="D2382" t="str">
        <x:v>16-05-2026_Umsatzliste_Girokonto_DE98120300001061711675.csv</x:v>
      </x:c>
      <x:c r="E2382" t="n">
        <x:v>46163</x:v>
      </x:c>
      <x:c r="F2382" t="n">
        <x:v>2365</x:v>
      </x:c>
      <x:c r="G2382" t="str">
        <x:v>d6f1b183aaa6878d6131386a95b5d7e3fefbece9da53804ced7322e34378014c</x:v>
      </x:c>
      <x:c r="H2382" t="str">
        <x:v>neu</x:v>
      </x:c>
      <x:c r="I2382" t="str">
        <x:v>ok</x:v>
      </x:c>
      <x:c r="J2382"/>
      <x:c r="K2382" t="n">
        <x:v>45371</x:v>
      </x:c>
      <x:c r="L2382" t="n">
        <x:v>45371</x:v>
      </x:c>
      <x:c r="M2382" t="str">
        <x:v>Gebucht</x:v>
      </x:c>
      <x:c r="N2382" t="str">
        <x:v>ISSUER</x:v>
      </x:c>
      <x:c r="O2382" t="str">
        <x:v>Kaeppen.Plambeck/Heiligenhafen</x:v>
      </x:c>
      <x:c r="P2382" t="str">
        <x:v>VISA Debitkartenumsatz vom 19.03.2024</x:v>
      </x:c>
      <x:c r="Q2382" t="str">
        <x:v>Ausgang</x:v>
      </x:c>
      <x:c r="R2382" t="str">
        <x:v>DE96120300009005290904</x:v>
      </x:c>
      <x:c r="S2382" t="n">
        <x:v>-103.2</x:v>
      </x:c>
      <x:c r="T2382" t="str">
        <x:v>"</x:v>
      </x:c>
      <x:c r="U2382" t="str">
        <x:v>"</x:v>
      </x:c>
      <x:c r="V2382" t="str">
        <x:v>484079532104697</x:v>
      </x:c>
    </x:row>
    <x:row r="2383">
      <x:c r="A2383" t="str">
        <x:v>RAW-IMP-20260516-FULLDRAFT-002366</x:v>
      </x:c>
      <x:c r="B2383" t="str">
        <x:v>IMP-20260516-FULLDRAFT</x:v>
      </x:c>
      <x:c r="C2383" t="str">
        <x:v>KTO001</x:v>
      </x:c>
      <x:c r="D2383" t="str">
        <x:v>16-05-2026_Umsatzliste_Girokonto_DE98120300001061711675.csv</x:v>
      </x:c>
      <x:c r="E2383" t="n">
        <x:v>46163</x:v>
      </x:c>
      <x:c r="F2383" t="n">
        <x:v>2366</x:v>
      </x:c>
      <x:c r="G2383" t="str">
        <x:v>bca69d26ff5976cadd4c09ffe553ae5a6bd75fb2cb938b8c5ca4d48967c6181b</x:v>
      </x:c>
      <x:c r="H2383" t="str">
        <x:v>neu</x:v>
      </x:c>
      <x:c r="I2383" t="str">
        <x:v>ok</x:v>
      </x:c>
      <x:c r="J2383"/>
      <x:c r="K2383" t="n">
        <x:v>45371</x:v>
      </x:c>
      <x:c r="L2383" t="n">
        <x:v>45371</x:v>
      </x:c>
      <x:c r="M2383" t="str">
        <x:v>Gebucht</x:v>
      </x:c>
      <x:c r="N2383" t="str">
        <x:v>ISSUER</x:v>
      </x:c>
      <x:c r="O2383" t="str">
        <x:v>Marc...Daniel.Home/Heiligenhafen</x:v>
      </x:c>
      <x:c r="P2383" t="str">
        <x:v>VISA Debitkartenumsatz vom 19.03.2024</x:v>
      </x:c>
      <x:c r="Q2383" t="str">
        <x:v>Ausgang</x:v>
      </x:c>
      <x:c r="R2383" t="str">
        <x:v>DE96120300009005290904</x:v>
      </x:c>
      <x:c r="S2383" t="n">
        <x:v>-6.75</x:v>
      </x:c>
      <x:c r="T2383" t="str">
        <x:v>"</x:v>
      </x:c>
      <x:c r="U2383" t="str">
        <x:v>"</x:v>
      </x:c>
      <x:c r="V2383" t="str">
        <x:v>484079473667914</x:v>
      </x:c>
    </x:row>
    <x:row r="2384">
      <x:c r="A2384" t="str">
        <x:v>RAW-IMP-20260516-FULLDRAFT-002367</x:v>
      </x:c>
      <x:c r="B2384" t="str">
        <x:v>IMP-20260516-FULLDRAFT</x:v>
      </x:c>
      <x:c r="C2384" t="str">
        <x:v>KTO001</x:v>
      </x:c>
      <x:c r="D2384" t="str">
        <x:v>16-05-2026_Umsatzliste_Girokonto_DE98120300001061711675.csv</x:v>
      </x:c>
      <x:c r="E2384" t="n">
        <x:v>46163</x:v>
      </x:c>
      <x:c r="F2384" t="n">
        <x:v>2367</x:v>
      </x:c>
      <x:c r="G2384" t="str">
        <x:v>9890f5adf6aebdd4da2cb337066df7135ad2681a203eb3a18dd434edccca1e9b</x:v>
      </x:c>
      <x:c r="H2384" t="str">
        <x:v>neu</x:v>
      </x:c>
      <x:c r="I2384" t="str">
        <x:v>ok</x:v>
      </x:c>
      <x:c r="J2384"/>
      <x:c r="K2384" t="n">
        <x:v>45370</x:v>
      </x:c>
      <x:c r="L2384" t="n">
        <x:v>45370</x:v>
      </x:c>
      <x:c r="M2384" t="str">
        <x:v>Gebucht</x:v>
      </x:c>
      <x:c r="N2384" t="str">
        <x:v>ISSUER</x:v>
      </x:c>
      <x:c r="O2384" t="str">
        <x:v>JENS.MAERKTE/GROSSENBRODE</x:v>
      </x:c>
      <x:c r="P2384" t="str">
        <x:v>VISA Debitkartenumsatz vom 18.03.2024</x:v>
      </x:c>
      <x:c r="Q2384" t="str">
        <x:v>Ausgang</x:v>
      </x:c>
      <x:c r="R2384" t="str">
        <x:v>DE96120300009005290904</x:v>
      </x:c>
      <x:c r="S2384" t="n">
        <x:v>-21.35</x:v>
      </x:c>
      <x:c r="T2384" t="str">
        <x:v>"</x:v>
      </x:c>
      <x:c r="U2384" t="str">
        <x:v>"</x:v>
      </x:c>
      <x:c r="V2384" t="str">
        <x:v>484078543575616</x:v>
      </x:c>
    </x:row>
    <x:row r="2385">
      <x:c r="A2385" t="str">
        <x:v>RAW-IMP-20260516-FULLDRAFT-002368</x:v>
      </x:c>
      <x:c r="B2385" t="str">
        <x:v>IMP-20260516-FULLDRAFT</x:v>
      </x:c>
      <x:c r="C2385" t="str">
        <x:v>KTO001</x:v>
      </x:c>
      <x:c r="D2385" t="str">
        <x:v>16-05-2026_Umsatzliste_Girokonto_DE98120300001061711675.csv</x:v>
      </x:c>
      <x:c r="E2385" t="n">
        <x:v>46163</x:v>
      </x:c>
      <x:c r="F2385" t="n">
        <x:v>2368</x:v>
      </x:c>
      <x:c r="G2385" t="str">
        <x:v>cb6bcf2cd3a2d6bbc78e46b52cc95765f45c44b96e33940feb0fa6de837dd79a</x:v>
      </x:c>
      <x:c r="H2385" t="str">
        <x:v>neu</x:v>
      </x:c>
      <x:c r="I2385" t="str">
        <x:v>ok</x:v>
      </x:c>
      <x:c r="J2385"/>
      <x:c r="K2385" t="n">
        <x:v>45370</x:v>
      </x:c>
      <x:c r="L2385" t="n">
        <x:v>45370</x:v>
      </x:c>
      <x:c r="M2385" t="str">
        <x:v>Gebucht</x:v>
      </x:c>
      <x:c r="N2385" t="str">
        <x:v>ISSUER</x:v>
      </x:c>
      <x:c r="O2385" t="str">
        <x:v>49001868.STRANDPROMENAD/GROSSENBRODE</x:v>
      </x:c>
      <x:c r="P2385" t="str">
        <x:v>VISA Debitkartenumsatz vom 18.03.2024</x:v>
      </x:c>
      <x:c r="Q2385" t="str">
        <x:v>Ausgang</x:v>
      </x:c>
      <x:c r="R2385" t="str">
        <x:v>DE96120300009005290904</x:v>
      </x:c>
      <x:c r="S2385" t="n">
        <x:v>-50</x:v>
      </x:c>
      <x:c r="T2385" t="str">
        <x:v>"</x:v>
      </x:c>
      <x:c r="U2385" t="str">
        <x:v>"</x:v>
      </x:c>
      <x:c r="V2385" t="str">
        <x:v>484078615822739</x:v>
      </x:c>
    </x:row>
    <x:row r="2386">
      <x:c r="A2386" t="str">
        <x:v>RAW-IMP-20260516-FULLDRAFT-002369</x:v>
      </x:c>
      <x:c r="B2386" t="str">
        <x:v>IMP-20260516-FULLDRAFT</x:v>
      </x:c>
      <x:c r="C2386" t="str">
        <x:v>KTO001</x:v>
      </x:c>
      <x:c r="D2386" t="str">
        <x:v>16-05-2026_Umsatzliste_Girokonto_DE98120300001061711675.csv</x:v>
      </x:c>
      <x:c r="E2386" t="n">
        <x:v>46163</x:v>
      </x:c>
      <x:c r="F2386" t="n">
        <x:v>2369</x:v>
      </x:c>
      <x:c r="G2386" t="str">
        <x:v>0ba38a4b6fa4c47fd576f7a6ab2f9a3afcade53da594b00700f23dc4ca88156d</x:v>
      </x:c>
      <x:c r="H2386" t="str">
        <x:v>neu</x:v>
      </x:c>
      <x:c r="I2386" t="str">
        <x:v>ok</x:v>
      </x:c>
      <x:c r="J2386"/>
      <x:c r="K2386" t="n">
        <x:v>45369</x:v>
      </x:c>
      <x:c r="L2386" t="n">
        <x:v>45369</x:v>
      </x:c>
      <x:c r="M2386" t="str">
        <x:v>Gebucht</x:v>
      </x:c>
      <x:c r="N2386" t="str">
        <x:v>ISSUER</x:v>
      </x:c>
      <x:c r="O2386" t="str">
        <x:v>JENS.MAERKTE/GROSSENBRODE</x:v>
      </x:c>
      <x:c r="P2386" t="str">
        <x:v>VISA Debitkartenumsatz vom 16.03.2024</x:v>
      </x:c>
      <x:c r="Q2386" t="str">
        <x:v>Ausgang</x:v>
      </x:c>
      <x:c r="R2386" t="str">
        <x:v>DE96120300009005290904</x:v>
      </x:c>
      <x:c r="S2386" t="n">
        <x:v>-105.3</x:v>
      </x:c>
      <x:c r="T2386" t="str">
        <x:v>"</x:v>
      </x:c>
      <x:c r="U2386" t="str">
        <x:v>"</x:v>
      </x:c>
      <x:c r="V2386" t="str">
        <x:v>484076528085781</x:v>
      </x:c>
    </x:row>
    <x:row r="2387">
      <x:c r="A2387" t="str">
        <x:v>RAW-IMP-20260516-FULLDRAFT-002370</x:v>
      </x:c>
      <x:c r="B2387" t="str">
        <x:v>IMP-20260516-FULLDRAFT</x:v>
      </x:c>
      <x:c r="C2387" t="str">
        <x:v>KTO001</x:v>
      </x:c>
      <x:c r="D2387" t="str">
        <x:v>16-05-2026_Umsatzliste_Girokonto_DE98120300001061711675.csv</x:v>
      </x:c>
      <x:c r="E2387" t="n">
        <x:v>46163</x:v>
      </x:c>
      <x:c r="F2387" t="n">
        <x:v>2370</x:v>
      </x:c>
      <x:c r="G2387" t="str">
        <x:v>5d5a85b22fd22a0abdf5fd559b23d45ef549bdea41f91932a799e9cb607e50c4</x:v>
      </x:c>
      <x:c r="H2387" t="str">
        <x:v>neu</x:v>
      </x:c>
      <x:c r="I2387" t="str">
        <x:v>ok</x:v>
      </x:c>
      <x:c r="J2387"/>
      <x:c r="K2387" t="n">
        <x:v>45369</x:v>
      </x:c>
      <x:c r="L2387" t="n">
        <x:v>45369</x:v>
      </x:c>
      <x:c r="M2387" t="str">
        <x:v>Gebucht</x:v>
      </x:c>
      <x:c r="N2387" t="str">
        <x:v>ISSUER</x:v>
      </x:c>
      <x:c r="O2387" t="str">
        <x:v>Cafe...Restaurant.NORBU/Grossenbrode</x:v>
      </x:c>
      <x:c r="P2387" t="str">
        <x:v>VISA Debitkartenumsatz vom 17.03.2024</x:v>
      </x:c>
      <x:c r="Q2387" t="str">
        <x:v>Ausgang</x:v>
      </x:c>
      <x:c r="R2387" t="str">
        <x:v>DE96120300009005290904</x:v>
      </x:c>
      <x:c r="S2387" t="n">
        <x:v>-35</x:v>
      </x:c>
      <x:c r="T2387" t="str">
        <x:v>"</x:v>
      </x:c>
      <x:c r="U2387" t="str">
        <x:v>"</x:v>
      </x:c>
      <x:c r="V2387" t="str">
        <x:v>484077573646463</x:v>
      </x:c>
    </x:row>
    <x:row r="2388">
      <x:c r="A2388" t="str">
        <x:v>RAW-IMP-20260516-FULLDRAFT-002371</x:v>
      </x:c>
      <x:c r="B2388" t="str">
        <x:v>IMP-20260516-FULLDRAFT</x:v>
      </x:c>
      <x:c r="C2388" t="str">
        <x:v>KTO001</x:v>
      </x:c>
      <x:c r="D2388" t="str">
        <x:v>16-05-2026_Umsatzliste_Girokonto_DE98120300001061711675.csv</x:v>
      </x:c>
      <x:c r="E2388" t="n">
        <x:v>46163</x:v>
      </x:c>
      <x:c r="F2388" t="n">
        <x:v>2371</x:v>
      </x:c>
      <x:c r="G2388" t="str">
        <x:v>3ab2247a5a5b6a0c563354eb5cce87511c252992bd4b4292d2e52a999a4b31ba</x:v>
      </x:c>
      <x:c r="H2388" t="str">
        <x:v>neu</x:v>
      </x:c>
      <x:c r="I2388" t="str">
        <x:v>ok</x:v>
      </x:c>
      <x:c r="J2388"/>
      <x:c r="K2388" t="n">
        <x:v>45369</x:v>
      </x:c>
      <x:c r="L2388" t="n">
        <x:v>45369</x:v>
      </x:c>
      <x:c r="M2388" t="str">
        <x:v>Gebucht</x:v>
      </x:c>
      <x:c r="N2388" t="str">
        <x:v>ISSUER</x:v>
      </x:c>
      <x:c r="O2388" t="str">
        <x:v>Rossmann.2058/Fehmarn</x:v>
      </x:c>
      <x:c r="P2388" t="str">
        <x:v>VISA Debitkartenumsatz vom 17.03.2024</x:v>
      </x:c>
      <x:c r="Q2388" t="str">
        <x:v>Ausgang</x:v>
      </x:c>
      <x:c r="R2388" t="str">
        <x:v>DE96120300009005290904</x:v>
      </x:c>
      <x:c r="S2388" t="n">
        <x:v>-15.22</x:v>
      </x:c>
      <x:c r="T2388" t="str">
        <x:v>"</x:v>
      </x:c>
      <x:c r="U2388" t="str">
        <x:v>"</x:v>
      </x:c>
      <x:c r="V2388" t="str">
        <x:v>484077513865886</x:v>
      </x:c>
    </x:row>
    <x:row r="2389">
      <x:c r="A2389" t="str">
        <x:v>RAW-IMP-20260516-FULLDRAFT-002372</x:v>
      </x:c>
      <x:c r="B2389" t="str">
        <x:v>IMP-20260516-FULLDRAFT</x:v>
      </x:c>
      <x:c r="C2389" t="str">
        <x:v>KTO001</x:v>
      </x:c>
      <x:c r="D2389" t="str">
        <x:v>16-05-2026_Umsatzliste_Girokonto_DE98120300001061711675.csv</x:v>
      </x:c>
      <x:c r="E2389" t="n">
        <x:v>46163</x:v>
      </x:c>
      <x:c r="F2389" t="n">
        <x:v>2372</x:v>
      </x:c>
      <x:c r="G2389" t="str">
        <x:v>4adb07417a64689f2fd169be5a363276b9899cfe6b2b402f912abaa7e608665e</x:v>
      </x:c>
      <x:c r="H2389" t="str">
        <x:v>neu</x:v>
      </x:c>
      <x:c r="I2389" t="str">
        <x:v>ok</x:v>
      </x:c>
      <x:c r="J2389"/>
      <x:c r="K2389" t="n">
        <x:v>45369</x:v>
      </x:c>
      <x:c r="L2389" t="n">
        <x:v>45369</x:v>
      </x:c>
      <x:c r="M2389" t="str">
        <x:v>Gebucht</x:v>
      </x:c>
      <x:c r="N2389" t="str">
        <x:v>ISSUER</x:v>
      </x:c>
      <x:c r="O2389" t="str">
        <x:v>Burg.Eis.Inh..Khatera/Fehmarn</x:v>
      </x:c>
      <x:c r="P2389" t="str">
        <x:v>VISA Debitkartenumsatz vom 17.03.2024</x:v>
      </x:c>
      <x:c r="Q2389" t="str">
        <x:v>Ausgang</x:v>
      </x:c>
      <x:c r="R2389" t="str">
        <x:v>DE96120300009005290904</x:v>
      </x:c>
      <x:c r="S2389" t="n">
        <x:v>-26.5</x:v>
      </x:c>
      <x:c r="T2389" t="str">
        <x:v>"</x:v>
      </x:c>
      <x:c r="U2389" t="str">
        <x:v>"</x:v>
      </x:c>
      <x:c r="V2389" t="str">
        <x:v>484077475635563</x:v>
      </x:c>
    </x:row>
    <x:row r="2390">
      <x:c r="A2390" t="str">
        <x:v>RAW-IMP-20260516-FULLDRAFT-002373</x:v>
      </x:c>
      <x:c r="B2390" t="str">
        <x:v>IMP-20260516-FULLDRAFT</x:v>
      </x:c>
      <x:c r="C2390" t="str">
        <x:v>KTO001</x:v>
      </x:c>
      <x:c r="D2390" t="str">
        <x:v>16-05-2026_Umsatzliste_Girokonto_DE98120300001061711675.csv</x:v>
      </x:c>
      <x:c r="E2390" t="n">
        <x:v>46163</x:v>
      </x:c>
      <x:c r="F2390" t="n">
        <x:v>2373</x:v>
      </x:c>
      <x:c r="G2390" t="str">
        <x:v>a12b27b394e1a2b2dfc9f717d95f4702efd3138f533b39e2edd5d645922946b1</x:v>
      </x:c>
      <x:c r="H2390" t="str">
        <x:v>neu</x:v>
      </x:c>
      <x:c r="I2390" t="str">
        <x:v>ok</x:v>
      </x:c>
      <x:c r="J2390"/>
      <x:c r="K2390" t="n">
        <x:v>45369</x:v>
      </x:c>
      <x:c r="L2390" t="n">
        <x:v>45369</x:v>
      </x:c>
      <x:c r="M2390" t="str">
        <x:v>Gebucht</x:v>
      </x:c>
      <x:c r="N2390" t="str">
        <x:v>ISSUER</x:v>
      </x:c>
      <x:c r="O2390" t="str">
        <x:v>49001868.STRANDPROMENAD/GROSSENBRODE</x:v>
      </x:c>
      <x:c r="P2390" t="str">
        <x:v>VISA Debitkartenumsatz vom 16.03.2024</x:v>
      </x:c>
      <x:c r="Q2390" t="str">
        <x:v>Ausgang</x:v>
      </x:c>
      <x:c r="R2390" t="str">
        <x:v>DE96120300009005290904</x:v>
      </x:c>
      <x:c r="S2390" t="n">
        <x:v>-100</x:v>
      </x:c>
      <x:c r="T2390" t="str">
        <x:v>"</x:v>
      </x:c>
      <x:c r="U2390" t="str">
        <x:v>"</x:v>
      </x:c>
      <x:c r="V2390" t="str">
        <x:v>484076624878388</x:v>
      </x:c>
    </x:row>
    <x:row r="2391">
      <x:c r="A2391" t="str">
        <x:v>RAW-IMP-20260516-FULLDRAFT-002374</x:v>
      </x:c>
      <x:c r="B2391" t="str">
        <x:v>IMP-20260516-FULLDRAFT</x:v>
      </x:c>
      <x:c r="C2391" t="str">
        <x:v>KTO001</x:v>
      </x:c>
      <x:c r="D2391" t="str">
        <x:v>16-05-2026_Umsatzliste_Girokonto_DE98120300001061711675.csv</x:v>
      </x:c>
      <x:c r="E2391" t="n">
        <x:v>46163</x:v>
      </x:c>
      <x:c r="F2391" t="n">
        <x:v>2374</x:v>
      </x:c>
      <x:c r="G2391" t="str">
        <x:v>eb792b9c96a04deaa15075d627687655fb18555c6cea44ae43dc9bc5e456291b</x:v>
      </x:c>
      <x:c r="H2391" t="str">
        <x:v>neu</x:v>
      </x:c>
      <x:c r="I2391" t="str">
        <x:v>ok</x:v>
      </x:c>
      <x:c r="J2391"/>
      <x:c r="K2391" t="n">
        <x:v>45369</x:v>
      </x:c>
      <x:c r="L2391" t="n">
        <x:v>45369</x:v>
      </x:c>
      <x:c r="M2391" t="str">
        <x:v>Gebucht</x:v>
      </x:c>
      <x:c r="N2391" t="str">
        <x:v>ISSUER</x:v>
      </x:c>
      <x:c r="O2391" t="str">
        <x:v>Prime.Video..4R7550CZ5/442.011518546</x:v>
      </x:c>
      <x:c r="P2391" t="str">
        <x:v>VISA Debitkartenumsatz vom 15.03.2024</x:v>
      </x:c>
      <x:c r="Q2391" t="str">
        <x:v>Ausgang</x:v>
      </x:c>
      <x:c r="R2391" t="str">
        <x:v>DE96120300009005290904</x:v>
      </x:c>
      <x:c r="S2391" t="n">
        <x:v>-0.99</x:v>
      </x:c>
      <x:c r="T2391" t="str">
        <x:v>"</x:v>
      </x:c>
      <x:c r="U2391" t="str">
        <x:v>"</x:v>
      </x:c>
      <x:c r="V2391" t="str">
        <x:v>484075667235956</x:v>
      </x:c>
    </x:row>
    <x:row r="2392">
      <x:c r="A2392" t="str">
        <x:v>RAW-IMP-20260516-FULLDRAFT-002375</x:v>
      </x:c>
      <x:c r="B2392" t="str">
        <x:v>IMP-20260516-FULLDRAFT</x:v>
      </x:c>
      <x:c r="C2392" t="str">
        <x:v>KTO001</x:v>
      </x:c>
      <x:c r="D2392" t="str">
        <x:v>16-05-2026_Umsatzliste_Girokonto_DE98120300001061711675.csv</x:v>
      </x:c>
      <x:c r="E2392" t="n">
        <x:v>46163</x:v>
      </x:c>
      <x:c r="F2392" t="n">
        <x:v>2375</x:v>
      </x:c>
      <x:c r="G2392" t="str">
        <x:v>510b212c74f3f70321258f6887ae07abf261235a267e12111c91a2ec36a2a5d1</x:v>
      </x:c>
      <x:c r="H2392" t="str">
        <x:v>neu</x:v>
      </x:c>
      <x:c r="I2392" t="str">
        <x:v>ok</x:v>
      </x:c>
      <x:c r="J2392"/>
      <x:c r="K2392" t="n">
        <x:v>45369</x:v>
      </x:c>
      <x:c r="L2392" t="n">
        <x:v>45369</x:v>
      </x:c>
      <x:c r="M2392" t="str">
        <x:v>Gebucht</x:v>
      </x:c>
      <x:c r="N2392" t="str">
        <x:v>ISSUER</x:v>
      </x:c>
      <x:c r="O2392" t="str">
        <x:v>Prime.Video..G54L03RI5/442.011518546</x:v>
      </x:c>
      <x:c r="P2392" t="str">
        <x:v>VISA Debitkartenumsatz vom 15.03.2024</x:v>
      </x:c>
      <x:c r="Q2392" t="str">
        <x:v>Ausgang</x:v>
      </x:c>
      <x:c r="R2392" t="str">
        <x:v>DE96120300009005290904</x:v>
      </x:c>
      <x:c r="S2392" t="n">
        <x:v>-0.99</x:v>
      </x:c>
      <x:c r="T2392" t="str">
        <x:v>"</x:v>
      </x:c>
      <x:c r="U2392" t="str">
        <x:v>"</x:v>
      </x:c>
      <x:c r="V2392" t="str">
        <x:v>484075664043851</x:v>
      </x:c>
    </x:row>
    <x:row r="2393">
      <x:c r="A2393" t="str">
        <x:v>RAW-IMP-20260516-FULLDRAFT-002376</x:v>
      </x:c>
      <x:c r="B2393" t="str">
        <x:v>IMP-20260516-FULLDRAFT</x:v>
      </x:c>
      <x:c r="C2393" t="str">
        <x:v>KTO001</x:v>
      </x:c>
      <x:c r="D2393" t="str">
        <x:v>16-05-2026_Umsatzliste_Girokonto_DE98120300001061711675.csv</x:v>
      </x:c>
      <x:c r="E2393" t="n">
        <x:v>46163</x:v>
      </x:c>
      <x:c r="F2393" t="n">
        <x:v>2376</x:v>
      </x:c>
      <x:c r="G2393" t="str">
        <x:v>53497fb8ae90ea82097e4aa79b6c5773b1d9464f43207df05deaec41523fbcc5</x:v>
      </x:c>
      <x:c r="H2393" t="str">
        <x:v>neu</x:v>
      </x:c>
      <x:c r="I2393" t="str">
        <x:v>ok</x:v>
      </x:c>
      <x:c r="J2393"/>
      <x:c r="K2393" t="n">
        <x:v>45369</x:v>
      </x:c>
      <x:c r="L2393" t="n">
        <x:v>45369</x:v>
      </x:c>
      <x:c r="M2393" t="str">
        <x:v>Gebucht</x:v>
      </x:c>
      <x:c r="N2393" t="str">
        <x:v>ISSUER</x:v>
      </x:c>
      <x:c r="O2393" t="str">
        <x:v>Prime.Video..H64OO31J5/442.011518546</x:v>
      </x:c>
      <x:c r="P2393" t="str">
        <x:v>VISA Debitkartenumsatz vom 15.03.2024</x:v>
      </x:c>
      <x:c r="Q2393" t="str">
        <x:v>Ausgang</x:v>
      </x:c>
      <x:c r="R2393" t="str">
        <x:v>DE96120300009005290904</x:v>
      </x:c>
      <x:c r="S2393" t="n">
        <x:v>-0.99</x:v>
      </x:c>
      <x:c r="T2393" t="str">
        <x:v>"</x:v>
      </x:c>
      <x:c r="U2393" t="str">
        <x:v>"</x:v>
      </x:c>
      <x:c r="V2393" t="str">
        <x:v>484075665621681</x:v>
      </x:c>
    </x:row>
    <x:row r="2394">
      <x:c r="A2394" t="str">
        <x:v>RAW-IMP-20260516-FULLDRAFT-002377</x:v>
      </x:c>
      <x:c r="B2394" t="str">
        <x:v>IMP-20260516-FULLDRAFT</x:v>
      </x:c>
      <x:c r="C2394" t="str">
        <x:v>KTO001</x:v>
      </x:c>
      <x:c r="D2394" t="str">
        <x:v>16-05-2026_Umsatzliste_Girokonto_DE98120300001061711675.csv</x:v>
      </x:c>
      <x:c r="E2394" t="n">
        <x:v>46163</x:v>
      </x:c>
      <x:c r="F2394" t="n">
        <x:v>2377</x:v>
      </x:c>
      <x:c r="G2394" t="str">
        <x:v>d90de976c62f0bf644a91c7ff14c4f34301516f4d0e6c17ab7c070fbb4e0352d</x:v>
      </x:c>
      <x:c r="H2394" t="str">
        <x:v>neu</x:v>
      </x:c>
      <x:c r="I2394" t="str">
        <x:v>ok</x:v>
      </x:c>
      <x:c r="J2394"/>
      <x:c r="K2394" t="n">
        <x:v>45366</x:v>
      </x:c>
      <x:c r="L2394" t="n">
        <x:v>45366</x:v>
      </x:c>
      <x:c r="M2394" t="str">
        <x:v>Gebucht</x:v>
      </x:c>
      <x:c r="N2394" t="str">
        <x:v>Lars Kohlenberg</x:v>
      </x:c>
      <x:c r="O2394" t="str">
        <x:v>Drillisch Online GmbH                                                 Wilhelm-Rontgen-Strase 1-5, 63477 Maintal</x:v>
      </x:c>
      <x:c r="P2394" t="str">
        <x:v>C0851820 U613764429 B712991217 winSIM</x:v>
      </x:c>
      <x:c r="Q2394" t="str">
        <x:v>Ausgang</x:v>
      </x:c>
      <x:c r="R2394" t="str">
        <x:v>DE87300500000008996811</x:v>
      </x:c>
      <x:c r="S2394" t="n">
        <x:v>-6.99</x:v>
      </x:c>
      <x:c r="T2394" t="str">
        <x:v>DE40ZZZ00000206926</x:v>
      </x:c>
      <x:c r="U2394" t="str">
        <x:v>FB1310D094B04186E02ACE7B8C6</x:v>
      </x:c>
      <x:c r="V2394" t="str">
        <x:v>MYNKAWNLYASJZGQX</x:v>
      </x:c>
    </x:row>
    <x:row r="2395">
      <x:c r="A2395" t="str">
        <x:v>RAW-IMP-20260516-FULLDRAFT-002378</x:v>
      </x:c>
      <x:c r="B2395" t="str">
        <x:v>IMP-20260516-FULLDRAFT</x:v>
      </x:c>
      <x:c r="C2395" t="str">
        <x:v>KTO001</x:v>
      </x:c>
      <x:c r="D2395" t="str">
        <x:v>16-05-2026_Umsatzliste_Girokonto_DE98120300001061711675.csv</x:v>
      </x:c>
      <x:c r="E2395" t="n">
        <x:v>46163</x:v>
      </x:c>
      <x:c r="F2395" t="n">
        <x:v>2378</x:v>
      </x:c>
      <x:c r="G2395" t="str">
        <x:v>8092513641efc1933c405ba94293155dacc37a88c3a3c5b03c7ca3583f98197e</x:v>
      </x:c>
      <x:c r="H2395" t="str">
        <x:v>neu</x:v>
      </x:c>
      <x:c r="I2395" t="str">
        <x:v>ok</x:v>
      </x:c>
      <x:c r="J2395"/>
      <x:c r="K2395" t="n">
        <x:v>45366</x:v>
      </x:c>
      <x:c r="L2395" t="n">
        <x:v>45366</x:v>
      </x:c>
      <x:c r="M2395" t="str">
        <x:v>Gebucht</x:v>
      </x:c>
      <x:c r="N2395" t="str">
        <x:v>Lars Kohlenberg</x:v>
      </x:c>
      <x:c r="O2395" t="str">
        <x:v>Drillisch Online GmbH                                                 Wilhelm-Rontgen-Strase 1-5, 63477 Maintal</x:v>
      </x:c>
      <x:c r="P2395" t="str">
        <x:v>C0851820 U612813831 B711821635 winSIM</x:v>
      </x:c>
      <x:c r="Q2395" t="str">
        <x:v>Ausgang</x:v>
      </x:c>
      <x:c r="R2395" t="str">
        <x:v>DE87300500000008996811</x:v>
      </x:c>
      <x:c r="S2395" t="n">
        <x:v>-6.99</x:v>
      </x:c>
      <x:c r="T2395" t="str">
        <x:v>DE40ZZZ00000206926</x:v>
      </x:c>
      <x:c r="U2395" t="str">
        <x:v>FB1310D094B04186E02ACE7B8C6</x:v>
      </x:c>
      <x:c r="V2395" t="str">
        <x:v>HCLCGXLNZCMIJSMJ</x:v>
      </x:c>
    </x:row>
    <x:row r="2396">
      <x:c r="A2396" t="str">
        <x:v>RAW-IMP-20260516-FULLDRAFT-002379</x:v>
      </x:c>
      <x:c r="B2396" t="str">
        <x:v>IMP-20260516-FULLDRAFT</x:v>
      </x:c>
      <x:c r="C2396" t="str">
        <x:v>KTO001</x:v>
      </x:c>
      <x:c r="D2396" t="str">
        <x:v>16-05-2026_Umsatzliste_Girokonto_DE98120300001061711675.csv</x:v>
      </x:c>
      <x:c r="E2396" t="n">
        <x:v>46163</x:v>
      </x:c>
      <x:c r="F2396" t="n">
        <x:v>2379</x:v>
      </x:c>
      <x:c r="G2396" t="str">
        <x:v>04b49068f4343d7f056486dfc99517110be12f9e97b888cb431ec41a0595e001</x:v>
      </x:c>
      <x:c r="H2396" t="str">
        <x:v>neu</x:v>
      </x:c>
      <x:c r="I2396" t="str">
        <x:v>ok</x:v>
      </x:c>
      <x:c r="J2396"/>
      <x:c r="K2396" t="n">
        <x:v>45366</x:v>
      </x:c>
      <x:c r="L2396" t="n">
        <x:v>45366</x:v>
      </x:c>
      <x:c r="M2396" t="str">
        <x:v>Gebucht</x:v>
      </x:c>
      <x:c r="N2396" t="str">
        <x:v>Lars Kohlenberg</x:v>
      </x:c>
      <x:c r="O2396" t="str">
        <x:v>Drillisch Online GmbH                                                 Wilhelm-Rontgen-Strase 1-5, 63477 Maintal</x:v>
      </x:c>
      <x:c r="P2396" t="str">
        <x:v>C0851820 U617049672 B713299177 winSIM</x:v>
      </x:c>
      <x:c r="Q2396" t="str">
        <x:v>Ausgang</x:v>
      </x:c>
      <x:c r="R2396" t="str">
        <x:v>DE87300500000008996811</x:v>
      </x:c>
      <x:c r="S2396" t="n">
        <x:v>-7.77</x:v>
      </x:c>
      <x:c r="T2396" t="str">
        <x:v>DE40ZZZ00000206926</x:v>
      </x:c>
      <x:c r="U2396" t="str">
        <x:v>FB1310D094B04186E02ACE7B8C6</x:v>
      </x:c>
      <x:c r="V2396" t="str">
        <x:v>JGNRFFDCKOJAPQWX</x:v>
      </x:c>
    </x:row>
    <x:row r="2397">
      <x:c r="A2397" t="str">
        <x:v>RAW-IMP-20260516-FULLDRAFT-002380</x:v>
      </x:c>
      <x:c r="B2397" t="str">
        <x:v>IMP-20260516-FULLDRAFT</x:v>
      </x:c>
      <x:c r="C2397" t="str">
        <x:v>KTO001</x:v>
      </x:c>
      <x:c r="D2397" t="str">
        <x:v>16-05-2026_Umsatzliste_Girokonto_DE98120300001061711675.csv</x:v>
      </x:c>
      <x:c r="E2397" t="n">
        <x:v>46163</x:v>
      </x:c>
      <x:c r="F2397" t="n">
        <x:v>2380</x:v>
      </x:c>
      <x:c r="G2397" t="str">
        <x:v>0c26b520c5f795af71e6b105cafdc95a6e1939592f65c384ff2a59386ac7fa8d</x:v>
      </x:c>
      <x:c r="H2397" t="str">
        <x:v>neu</x:v>
      </x:c>
      <x:c r="I2397" t="str">
        <x:v>ok</x:v>
      </x:c>
      <x:c r="J2397"/>
      <x:c r="K2397" t="n">
        <x:v>45365</x:v>
      </x:c>
      <x:c r="L2397" t="n">
        <x:v>45365</x:v>
      </x:c>
      <x:c r="M2397" t="str">
        <x:v>Gebucht</x:v>
      </x:c>
      <x:c r="N2397" t="str">
        <x:v>ISSUER</x:v>
      </x:c>
      <x:c r="O2397" t="str">
        <x:v>E-CENTER 3397</x:v>
      </x:c>
      <x:c r="P2397" t="str">
        <x:v>VISA Debitkartenumsatz vom 13.03.2024</x:v>
      </x:c>
      <x:c r="Q2397" t="str">
        <x:v>Ausgang</x:v>
      </x:c>
      <x:c r="R2397" t="str">
        <x:v>DE96120300009005290904</x:v>
      </x:c>
      <x:c r="S2397" t="n">
        <x:v>-12.37</x:v>
      </x:c>
      <x:c r="T2397" t="str">
        <x:v>"</x:v>
      </x:c>
      <x:c r="U2397" t="str">
        <x:v>"</x:v>
      </x:c>
      <x:c r="V2397" t="str">
        <x:v>484073412101675</x:v>
      </x:c>
    </x:row>
    <x:row r="2398">
      <x:c r="A2398" t="str">
        <x:v>RAW-IMP-20260516-FULLDRAFT-002381</x:v>
      </x:c>
      <x:c r="B2398" t="str">
        <x:v>IMP-20260516-FULLDRAFT</x:v>
      </x:c>
      <x:c r="C2398" t="str">
        <x:v>KTO001</x:v>
      </x:c>
      <x:c r="D2398" t="str">
        <x:v>16-05-2026_Umsatzliste_Girokonto_DE98120300001061711675.csv</x:v>
      </x:c>
      <x:c r="E2398" t="n">
        <x:v>46163</x:v>
      </x:c>
      <x:c r="F2398" t="n">
        <x:v>2381</x:v>
      </x:c>
      <x:c r="G2398" t="str">
        <x:v>09ba3559e42a4ad7d910bdb9234ee051ad23fffc0018724ef633056356032535</x:v>
      </x:c>
      <x:c r="H2398" t="str">
        <x:v>neu</x:v>
      </x:c>
      <x:c r="I2398" t="str">
        <x:v>ok</x:v>
      </x:c>
      <x:c r="J2398"/>
      <x:c r="K2398" t="n">
        <x:v>45365</x:v>
      </x:c>
      <x:c r="L2398" t="n">
        <x:v>45365</x:v>
      </x:c>
      <x:c r="M2398" t="str">
        <x:v>Gebucht</x:v>
      </x:c>
      <x:c r="N2398" t="str">
        <x:v>ISSUER</x:v>
      </x:c>
      <x:c r="O2398" t="str">
        <x:v>Apotheke im BraWoPark,</x:v>
      </x:c>
      <x:c r="P2398" t="str">
        <x:v>VISA Debitkartenumsatz vom 13.03.2024</x:v>
      </x:c>
      <x:c r="Q2398" t="str">
        <x:v>Ausgang</x:v>
      </x:c>
      <x:c r="R2398" t="str">
        <x:v>DE96120300009005290904</x:v>
      </x:c>
      <x:c r="S2398" t="n">
        <x:v>-2</x:v>
      </x:c>
      <x:c r="T2398" t="str">
        <x:v>"</x:v>
      </x:c>
      <x:c r="U2398" t="str">
        <x:v>"</x:v>
      </x:c>
      <x:c r="V2398" t="str">
        <x:v>484073409446065</x:v>
      </x:c>
    </x:row>
    <x:row r="2399">
      <x:c r="A2399" t="str">
        <x:v>RAW-IMP-20260516-FULLDRAFT-002382</x:v>
      </x:c>
      <x:c r="B2399" t="str">
        <x:v>IMP-20260516-FULLDRAFT</x:v>
      </x:c>
      <x:c r="C2399" t="str">
        <x:v>KTO001</x:v>
      </x:c>
      <x:c r="D2399" t="str">
        <x:v>16-05-2026_Umsatzliste_Girokonto_DE98120300001061711675.csv</x:v>
      </x:c>
      <x:c r="E2399" t="n">
        <x:v>46163</x:v>
      </x:c>
      <x:c r="F2399" t="n">
        <x:v>2382</x:v>
      </x:c>
      <x:c r="G2399" t="str">
        <x:v>de014fd1179561b8abea21fb495f5ff02ef7504e27df8fbdb69aeb694031faaa</x:v>
      </x:c>
      <x:c r="H2399" t="str">
        <x:v>neu</x:v>
      </x:c>
      <x:c r="I2399" t="str">
        <x:v>ok</x:v>
      </x:c>
      <x:c r="J2399"/>
      <x:c r="K2399" t="n">
        <x:v>45365</x:v>
      </x:c>
      <x:c r="L2399" t="n">
        <x:v>45365</x:v>
      </x:c>
      <x:c r="M2399" t="str">
        <x:v>Gebucht</x:v>
      </x:c>
      <x:c r="N2399" t="str">
        <x:v>ISSUER</x:v>
      </x:c>
      <x:c r="O2399" t="str">
        <x:v>REWE Salzgitter.Ge</x:v>
      </x:c>
      <x:c r="P2399" t="str">
        <x:v>VISA Debitkartenumsatz vom 13.03.2024</x:v>
      </x:c>
      <x:c r="Q2399" t="str">
        <x:v>Ausgang</x:v>
      </x:c>
      <x:c r="R2399" t="str">
        <x:v>DE96120300009005290904</x:v>
      </x:c>
      <x:c r="S2399" t="n">
        <x:v>-1.99</x:v>
      </x:c>
      <x:c r="T2399" t="str">
        <x:v>"</x:v>
      </x:c>
      <x:c r="U2399" t="str">
        <x:v>"</x:v>
      </x:c>
      <x:c r="V2399" t="str">
        <x:v>484073616300819</x:v>
      </x:c>
    </x:row>
    <x:row r="2400">
      <x:c r="A2400" t="str">
        <x:v>RAW-IMP-20260516-FULLDRAFT-002383</x:v>
      </x:c>
      <x:c r="B2400" t="str">
        <x:v>IMP-20260516-FULLDRAFT</x:v>
      </x:c>
      <x:c r="C2400" t="str">
        <x:v>KTO001</x:v>
      </x:c>
      <x:c r="D2400" t="str">
        <x:v>16-05-2026_Umsatzliste_Girokonto_DE98120300001061711675.csv</x:v>
      </x:c>
      <x:c r="E2400" t="n">
        <x:v>46163</x:v>
      </x:c>
      <x:c r="F2400" t="n">
        <x:v>2383</x:v>
      </x:c>
      <x:c r="G2400" t="str">
        <x:v>f98e7440beff8224b0dff11a66461ee83dd2a1c6ec04d1c6b2f3f0c8bf6619b3</x:v>
      </x:c>
      <x:c r="H2400" t="str">
        <x:v>neu</x:v>
      </x:c>
      <x:c r="I2400" t="str">
        <x:v>ok</x:v>
      </x:c>
      <x:c r="J2400"/>
      <x:c r="K2400" t="n">
        <x:v>45364</x:v>
      </x:c>
      <x:c r="L2400" t="n">
        <x:v>45364</x:v>
      </x:c>
      <x:c r="M2400" t="str">
        <x:v>Gebucht</x:v>
      </x:c>
      <x:c r="N2400" t="str">
        <x:v>ISSUER</x:v>
      </x:c>
      <x:c r="O2400" t="str">
        <x:v>REWE Salzgitter.Ge</x:v>
      </x:c>
      <x:c r="P2400" t="str">
        <x:v>VISA Debitkartenumsatz vom 12.03.2024</x:v>
      </x:c>
      <x:c r="Q2400" t="str">
        <x:v>Ausgang</x:v>
      </x:c>
      <x:c r="R2400" t="str">
        <x:v>DE96120300009005290904</x:v>
      </x:c>
      <x:c r="S2400" t="n">
        <x:v>-2.76</x:v>
      </x:c>
      <x:c r="T2400" t="str">
        <x:v>"</x:v>
      </x:c>
      <x:c r="U2400" t="str">
        <x:v>"</x:v>
      </x:c>
      <x:c r="V2400" t="str">
        <x:v>484072627871752</x:v>
      </x:c>
    </x:row>
    <x:row r="2401">
      <x:c r="A2401" t="str">
        <x:v>RAW-IMP-20260516-FULLDRAFT-002384</x:v>
      </x:c>
      <x:c r="B2401" t="str">
        <x:v>IMP-20260516-FULLDRAFT</x:v>
      </x:c>
      <x:c r="C2401" t="str">
        <x:v>KTO001</x:v>
      </x:c>
      <x:c r="D2401" t="str">
        <x:v>16-05-2026_Umsatzliste_Girokonto_DE98120300001061711675.csv</x:v>
      </x:c>
      <x:c r="E2401" t="n">
        <x:v>46163</x:v>
      </x:c>
      <x:c r="F2401" t="n">
        <x:v>2384</x:v>
      </x:c>
      <x:c r="G2401" t="str">
        <x:v>9e87b15846dfa985b88768e07ce9e4aeece19f52e1d46470193af4b3713ae884</x:v>
      </x:c>
      <x:c r="H2401" t="str">
        <x:v>neu</x:v>
      </x:c>
      <x:c r="I2401" t="str">
        <x:v>ok</x:v>
      </x:c>
      <x:c r="J2401"/>
      <x:c r="K2401" t="n">
        <x:v>45364</x:v>
      </x:c>
      <x:c r="L2401" t="n">
        <x:v>45364</x:v>
      </x:c>
      <x:c r="M2401" t="str">
        <x:v>Gebucht</x:v>
      </x:c>
      <x:c r="N2401" t="str">
        <x:v>ISSUER</x:v>
      </x:c>
      <x:c r="O2401" t="str">
        <x:v>REWE Mehmet Kaysal oHG</x:v>
      </x:c>
      <x:c r="P2401" t="str">
        <x:v>VISA Debitkartenumsatz vom 12.03.2024</x:v>
      </x:c>
      <x:c r="Q2401" t="str">
        <x:v>Ausgang</x:v>
      </x:c>
      <x:c r="R2401" t="str">
        <x:v>DE96120300009005290904</x:v>
      </x:c>
      <x:c r="S2401" t="n">
        <x:v>-91.07</x:v>
      </x:c>
      <x:c r="T2401" t="str">
        <x:v>"</x:v>
      </x:c>
      <x:c r="U2401" t="str">
        <x:v>"</x:v>
      </x:c>
      <x:c r="V2401" t="str">
        <x:v>484072672481274</x:v>
      </x:c>
    </x:row>
    <x:row r="2402">
      <x:c r="A2402" t="str">
        <x:v>RAW-IMP-20260516-FULLDRAFT-002385</x:v>
      </x:c>
      <x:c r="B2402" t="str">
        <x:v>IMP-20260516-FULLDRAFT</x:v>
      </x:c>
      <x:c r="C2402" t="str">
        <x:v>KTO001</x:v>
      </x:c>
      <x:c r="D2402" t="str">
        <x:v>16-05-2026_Umsatzliste_Girokonto_DE98120300001061711675.csv</x:v>
      </x:c>
      <x:c r="E2402" t="n">
        <x:v>46163</x:v>
      </x:c>
      <x:c r="F2402" t="n">
        <x:v>2385</x:v>
      </x:c>
      <x:c r="G2402" t="str">
        <x:v>eebd421a0c013cb839f854abb762c2c5d97719daa004abaf58b79bef2949dcf7</x:v>
      </x:c>
      <x:c r="H2402" t="str">
        <x:v>neu</x:v>
      </x:c>
      <x:c r="I2402" t="str">
        <x:v>ok</x:v>
      </x:c>
      <x:c r="J2402"/>
      <x:c r="K2402" t="n">
        <x:v>45363</x:v>
      </x:c>
      <x:c r="L2402" t="n">
        <x:v>45363</x:v>
      </x:c>
      <x:c r="M2402" t="str">
        <x:v>Gebucht</x:v>
      </x:c>
      <x:c r="N2402" t="str">
        <x:v>ISSUER</x:v>
      </x:c>
      <x:c r="O2402" t="str">
        <x:v>NORD.LB . Braunschweigi</x:v>
      </x:c>
      <x:c r="P2402" t="str">
        <x:v>VISA Debitkartenumsatz vom 12.03.2024</x:v>
      </x:c>
      <x:c r="Q2402" t="str">
        <x:v>Ausgang</x:v>
      </x:c>
      <x:c r="R2402" t="str">
        <x:v>DE96120300009005290904</x:v>
      </x:c>
      <x:c r="S2402" t="n">
        <x:v>-100</x:v>
      </x:c>
      <x:c r="T2402" t="str">
        <x:v>"</x:v>
      </x:c>
      <x:c r="U2402" t="str">
        <x:v>"</x:v>
      </x:c>
      <x:c r="V2402" t="str">
        <x:v>484072399012952</x:v>
      </x:c>
    </x:row>
    <x:row r="2403">
      <x:c r="A2403" t="str">
        <x:v>RAW-IMP-20260516-FULLDRAFT-002386</x:v>
      </x:c>
      <x:c r="B2403" t="str">
        <x:v>IMP-20260516-FULLDRAFT</x:v>
      </x:c>
      <x:c r="C2403" t="str">
        <x:v>KTO001</x:v>
      </x:c>
      <x:c r="D2403" t="str">
        <x:v>16-05-2026_Umsatzliste_Girokonto_DE98120300001061711675.csv</x:v>
      </x:c>
      <x:c r="E2403" t="n">
        <x:v>46163</x:v>
      </x:c>
      <x:c r="F2403" t="n">
        <x:v>2386</x:v>
      </x:c>
      <x:c r="G2403" t="str">
        <x:v>ef1b210f6c7e7933212f678b09d4ac040437a29f0f214d5c0031bc8796bcd02a</x:v>
      </x:c>
      <x:c r="H2403" t="str">
        <x:v>neu</x:v>
      </x:c>
      <x:c r="I2403" t="str">
        <x:v>ok</x:v>
      </x:c>
      <x:c r="J2403"/>
      <x:c r="K2403" t="n">
        <x:v>45363</x:v>
      </x:c>
      <x:c r="L2403" t="n">
        <x:v>45363</x:v>
      </x:c>
      <x:c r="M2403" t="str">
        <x:v>Gebucht</x:v>
      </x:c>
      <x:c r="N2403" t="str">
        <x:v>ISSUER</x:v>
      </x:c>
      <x:c r="O2403" t="str">
        <x:v>MARKUS FINKE</x:v>
      </x:c>
      <x:c r="P2403" t="str">
        <x:v>VISA Debitkartenumsatz vom 11.03.2024</x:v>
      </x:c>
      <x:c r="Q2403" t="str">
        <x:v>Ausgang</x:v>
      </x:c>
      <x:c r="R2403" t="str">
        <x:v>DE96120300009005290904</x:v>
      </x:c>
      <x:c r="S2403" t="n">
        <x:v>-369</x:v>
      </x:c>
      <x:c r="T2403" t="str">
        <x:v>"</x:v>
      </x:c>
      <x:c r="U2403" t="str">
        <x:v>"</x:v>
      </x:c>
      <x:c r="V2403" t="str">
        <x:v>484071474520204</x:v>
      </x:c>
    </x:row>
    <x:row r="2404">
      <x:c r="A2404" t="str">
        <x:v>RAW-IMP-20260516-FULLDRAFT-002387</x:v>
      </x:c>
      <x:c r="B2404" t="str">
        <x:v>IMP-20260516-FULLDRAFT</x:v>
      </x:c>
      <x:c r="C2404" t="str">
        <x:v>KTO001</x:v>
      </x:c>
      <x:c r="D2404" t="str">
        <x:v>16-05-2026_Umsatzliste_Girokonto_DE98120300001061711675.csv</x:v>
      </x:c>
      <x:c r="E2404" t="n">
        <x:v>46163</x:v>
      </x:c>
      <x:c r="F2404" t="n">
        <x:v>2387</x:v>
      </x:c>
      <x:c r="G2404" t="str">
        <x:v>18999f7acd1b823d2a59a114c6778536fb2d8644cc38fc24c4a2b2aa7fbad6de</x:v>
      </x:c>
      <x:c r="H2404" t="str">
        <x:v>neu</x:v>
      </x:c>
      <x:c r="I2404" t="str">
        <x:v>ok</x:v>
      </x:c>
      <x:c r="J2404"/>
      <x:c r="K2404" t="n">
        <x:v>45363</x:v>
      </x:c>
      <x:c r="L2404" t="n">
        <x:v>45363</x:v>
      </x:c>
      <x:c r="M2404" t="str">
        <x:v>Gebucht</x:v>
      </x:c>
      <x:c r="N2404" t="str">
        <x:v>ISSUER</x:v>
      </x:c>
      <x:c r="O2404" t="str">
        <x:v>MCDONALDS 00293</x:v>
      </x:c>
      <x:c r="P2404" t="str">
        <x:v>VISA Debitkartenumsatz vom 11.03.2024</x:v>
      </x:c>
      <x:c r="Q2404" t="str">
        <x:v>Ausgang</x:v>
      </x:c>
      <x:c r="R2404" t="str">
        <x:v>DE96120300009005290904</x:v>
      </x:c>
      <x:c r="S2404" t="n">
        <x:v>-8.99</x:v>
      </x:c>
      <x:c r="T2404" t="str">
        <x:v>"</x:v>
      </x:c>
      <x:c r="U2404" t="str">
        <x:v>"</x:v>
      </x:c>
      <x:c r="V2404" t="str">
        <x:v>484071456778469</x:v>
      </x:c>
    </x:row>
    <x:row r="2405">
      <x:c r="A2405" t="str">
        <x:v>RAW-IMP-20260516-FULLDRAFT-002388</x:v>
      </x:c>
      <x:c r="B2405" t="str">
        <x:v>IMP-20260516-FULLDRAFT</x:v>
      </x:c>
      <x:c r="C2405" t="str">
        <x:v>KTO001</x:v>
      </x:c>
      <x:c r="D2405" t="str">
        <x:v>16-05-2026_Umsatzliste_Girokonto_DE98120300001061711675.csv</x:v>
      </x:c>
      <x:c r="E2405" t="n">
        <x:v>46163</x:v>
      </x:c>
      <x:c r="F2405" t="n">
        <x:v>2388</x:v>
      </x:c>
      <x:c r="G2405" t="str">
        <x:v>3a3f4f06f34aaa433f4b09589aa9bce2a154e94a807218efd64382b8f1bcb087</x:v>
      </x:c>
      <x:c r="H2405" t="str">
        <x:v>neu</x:v>
      </x:c>
      <x:c r="I2405" t="str">
        <x:v>ok</x:v>
      </x:c>
      <x:c r="J2405"/>
      <x:c r="K2405" t="n">
        <x:v>45363</x:v>
      </x:c>
      <x:c r="L2405" t="n">
        <x:v>45363</x:v>
      </x:c>
      <x:c r="M2405" t="str">
        <x:v>Gebucht</x:v>
      </x:c>
      <x:c r="N2405" t="str">
        <x:v>ISSUER</x:v>
      </x:c>
      <x:c r="O2405" t="str">
        <x:v>BRAUNSCHWEIGER IMMOBIL</x:v>
      </x:c>
      <x:c r="P2405" t="str">
        <x:v>VISA Debitkartenumsatz vom 11.03.2024</x:v>
      </x:c>
      <x:c r="Q2405" t="str">
        <x:v>Ausgang</x:v>
      </x:c>
      <x:c r="R2405" t="str">
        <x:v>DE96120300009005290904</x:v>
      </x:c>
      <x:c r="S2405" t="n">
        <x:v>-3</x:v>
      </x:c>
      <x:c r="T2405" t="str">
        <x:v>"</x:v>
      </x:c>
      <x:c r="U2405" t="str">
        <x:v>"</x:v>
      </x:c>
      <x:c r="V2405" t="str">
        <x:v>484071517196439</x:v>
      </x:c>
    </x:row>
    <x:row r="2406">
      <x:c r="A2406" t="str">
        <x:v>RAW-IMP-20260516-FULLDRAFT-002389</x:v>
      </x:c>
      <x:c r="B2406" t="str">
        <x:v>IMP-20260516-FULLDRAFT</x:v>
      </x:c>
      <x:c r="C2406" t="str">
        <x:v>KTO001</x:v>
      </x:c>
      <x:c r="D2406" t="str">
        <x:v>16-05-2026_Umsatzliste_Girokonto_DE98120300001061711675.csv</x:v>
      </x:c>
      <x:c r="E2406" t="n">
        <x:v>46163</x:v>
      </x:c>
      <x:c r="F2406" t="n">
        <x:v>2389</x:v>
      </x:c>
      <x:c r="G2406" t="str">
        <x:v>facf514fdcabd4f3ea0a0e072a2f6ba8b051585fee7202d255cbc52675973cda</x:v>
      </x:c>
      <x:c r="H2406" t="str">
        <x:v>neu</x:v>
      </x:c>
      <x:c r="I2406" t="str">
        <x:v>ok</x:v>
      </x:c>
      <x:c r="J2406"/>
      <x:c r="K2406" t="n">
        <x:v>45363</x:v>
      </x:c>
      <x:c r="L2406" t="n">
        <x:v>45363</x:v>
      </x:c>
      <x:c r="M2406" t="str">
        <x:v>Gebucht</x:v>
      </x:c>
      <x:c r="N2406" t="str">
        <x:v>Lars Kohlenberg                                                       Johannes-Wosnitza-Str. 8 38229 Salzgitter</x:v>
      </x:c>
      <x:c r="O2406" t="str">
        <x:v>1+1 Mail + Media GmbH                                                 Elgendorfer Str. 57, 56410 Montabaur</x:v>
      </x:c>
      <x:c r="P2406" t="str">
        <x:v>GMX / WEB.DE / KD-Nr. K7440512/ RG-Nr. 201536786339</x:v>
      </x:c>
      <x:c r="Q2406" t="str">
        <x:v>Ausgang</x:v>
      </x:c>
      <x:c r="R2406" t="str">
        <x:v>DE76700800000881679702</x:v>
      </x:c>
      <x:c r="S2406" t="n">
        <x:v>-5.99</x:v>
      </x:c>
      <x:c r="T2406" t="str">
        <x:v>DE07ZZZ00000569718</x:v>
      </x:c>
      <x:c r="U2406" t="str">
        <x:v>0090001393062</x:v>
      </x:c>
      <x:c r="V2406" t="str">
        <x:v>006240737695</x:v>
      </x:c>
    </x:row>
    <x:row r="2407">
      <x:c r="A2407" t="str">
        <x:v>RAW-IMP-20260516-FULLDRAFT-002390</x:v>
      </x:c>
      <x:c r="B2407" t="str">
        <x:v>IMP-20260516-FULLDRAFT</x:v>
      </x:c>
      <x:c r="C2407" t="str">
        <x:v>KTO001</x:v>
      </x:c>
      <x:c r="D2407" t="str">
        <x:v>16-05-2026_Umsatzliste_Girokonto_DE98120300001061711675.csv</x:v>
      </x:c>
      <x:c r="E2407" t="n">
        <x:v>46163</x:v>
      </x:c>
      <x:c r="F2407" t="n">
        <x:v>2390</x:v>
      </x:c>
      <x:c r="G2407" t="str">
        <x:v>fab867cce0f70cd0351510df94a282d2554984150c5f2d263cea2ec1dd74accc</x:v>
      </x:c>
      <x:c r="H2407" t="str">
        <x:v>neu</x:v>
      </x:c>
      <x:c r="I2407" t="str">
        <x:v>ok</x:v>
      </x:c>
      <x:c r="J2407"/>
      <x:c r="K2407" t="n">
        <x:v>45362</x:v>
      </x:c>
      <x:c r="L2407" t="n">
        <x:v>45362</x:v>
      </x:c>
      <x:c r="M2407" t="str">
        <x:v>Gebucht</x:v>
      </x:c>
      <x:c r="N2407" t="str">
        <x:v>ISSUER</x:v>
      </x:c>
      <x:c r="O2407" t="str">
        <x:v>MOUHAMMED ANAS SAWAS</x:v>
      </x:c>
      <x:c r="P2407" t="str">
        <x:v>VISA Debitkartenumsatz vom 10.03.2024</x:v>
      </x:c>
      <x:c r="Q2407" t="str">
        <x:v>Ausgang</x:v>
      </x:c>
      <x:c r="R2407" t="str">
        <x:v>DE96120300009005290904</x:v>
      </x:c>
      <x:c r="S2407" t="n">
        <x:v>-111.9</x:v>
      </x:c>
      <x:c r="T2407" t="str">
        <x:v>"</x:v>
      </x:c>
      <x:c r="U2407" t="str">
        <x:v>"</x:v>
      </x:c>
      <x:c r="V2407" t="str">
        <x:v>484070447149058</x:v>
      </x:c>
    </x:row>
    <x:row r="2408">
      <x:c r="A2408" t="str">
        <x:v>RAW-IMP-20260516-FULLDRAFT-002391</x:v>
      </x:c>
      <x:c r="B2408" t="str">
        <x:v>IMP-20260516-FULLDRAFT</x:v>
      </x:c>
      <x:c r="C2408" t="str">
        <x:v>KTO001</x:v>
      </x:c>
      <x:c r="D2408" t="str">
        <x:v>16-05-2026_Umsatzliste_Girokonto_DE98120300001061711675.csv</x:v>
      </x:c>
      <x:c r="E2408" t="n">
        <x:v>46163</x:v>
      </x:c>
      <x:c r="F2408" t="n">
        <x:v>2391</x:v>
      </x:c>
      <x:c r="G2408" t="str">
        <x:v>ce11be85477f5b1d9905f15298b02ba99e33c0250262ef44f4f82dcc17a1e167</x:v>
      </x:c>
      <x:c r="H2408" t="str">
        <x:v>neu</x:v>
      </x:c>
      <x:c r="I2408" t="str">
        <x:v>ok</x:v>
      </x:c>
      <x:c r="J2408"/>
      <x:c r="K2408" t="n">
        <x:v>45362</x:v>
      </x:c>
      <x:c r="L2408" t="n">
        <x:v>45362</x:v>
      </x:c>
      <x:c r="M2408" t="str">
        <x:v>Gebucht</x:v>
      </x:c>
      <x:c r="N2408" t="str">
        <x:v>ISSUER</x:v>
      </x:c>
      <x:c r="O2408" t="str">
        <x:v>SUMUP .HAGEN GASTRO GM</x:v>
      </x:c>
      <x:c r="P2408" t="str">
        <x:v>VISA Debitkartenumsatz vom 09.03.2024</x:v>
      </x:c>
      <x:c r="Q2408" t="str">
        <x:v>Ausgang</x:v>
      </x:c>
      <x:c r="R2408" t="str">
        <x:v>DE96120300009005290904</x:v>
      </x:c>
      <x:c r="S2408" t="n">
        <x:v>-31.5</x:v>
      </x:c>
      <x:c r="T2408" t="str">
        <x:v>"</x:v>
      </x:c>
      <x:c r="U2408" t="str">
        <x:v>"</x:v>
      </x:c>
      <x:c r="V2408" t="str">
        <x:v>484069710120339</x:v>
      </x:c>
    </x:row>
    <x:row r="2409">
      <x:c r="A2409" t="str">
        <x:v>RAW-IMP-20260516-FULLDRAFT-002392</x:v>
      </x:c>
      <x:c r="B2409" t="str">
        <x:v>IMP-20260516-FULLDRAFT</x:v>
      </x:c>
      <x:c r="C2409" t="str">
        <x:v>KTO001</x:v>
      </x:c>
      <x:c r="D2409" t="str">
        <x:v>16-05-2026_Umsatzliste_Girokonto_DE98120300001061711675.csv</x:v>
      </x:c>
      <x:c r="E2409" t="n">
        <x:v>46163</x:v>
      </x:c>
      <x:c r="F2409" t="n">
        <x:v>2392</x:v>
      </x:c>
      <x:c r="G2409" t="str">
        <x:v>fc61b10d81c46d0b93e6d4f4e888f6015a2cc5c76699f8af2a582b21d85bf895</x:v>
      </x:c>
      <x:c r="H2409" t="str">
        <x:v>neu</x:v>
      </x:c>
      <x:c r="I2409" t="str">
        <x:v>ok</x:v>
      </x:c>
      <x:c r="J2409"/>
      <x:c r="K2409" t="n">
        <x:v>45362</x:v>
      </x:c>
      <x:c r="L2409" t="n">
        <x:v>45362</x:v>
      </x:c>
      <x:c r="M2409" t="str">
        <x:v>Gebucht</x:v>
      </x:c>
      <x:c r="N2409" t="str">
        <x:v>Lars Kohlenberg</x:v>
      </x:c>
      <x:c r="O2409" t="str">
        <x:v>Gymnasium Salzgitter Bad</x:v>
      </x:c>
      <x:c r="P2409" t="str">
        <x:v>Jan Kohlenberg, Kassenzeichen 3-2024-26, Cuxhaven 7FL3 Bu/Mz</x:v>
      </x:c>
      <x:c r="Q2409" t="str">
        <x:v>Ausgang</x:v>
      </x:c>
      <x:c r="R2409" t="str">
        <x:v>DE36259501300154022560</x:v>
      </x:c>
      <x:c r="S2409" t="n">
        <x:v>-150</x:v>
      </x:c>
      <x:c r="T2409" t="str">
        <x:v>"</x:v>
      </x:c>
      <x:c r="U2409" t="str">
        <x:v>"</x:v>
      </x:c>
      <x:c r="V2409" t="str">
        <x:v>"</x:v>
      </x:c>
    </x:row>
    <x:row r="2410">
      <x:c r="A2410" t="str">
        <x:v>RAW-IMP-20260516-FULLDRAFT-002393</x:v>
      </x:c>
      <x:c r="B2410" t="str">
        <x:v>IMP-20260516-FULLDRAFT</x:v>
      </x:c>
      <x:c r="C2410" t="str">
        <x:v>KTO001</x:v>
      </x:c>
      <x:c r="D2410" t="str">
        <x:v>16-05-2026_Umsatzliste_Girokonto_DE98120300001061711675.csv</x:v>
      </x:c>
      <x:c r="E2410" t="n">
        <x:v>46163</x:v>
      </x:c>
      <x:c r="F2410" t="n">
        <x:v>2393</x:v>
      </x:c>
      <x:c r="G2410" t="str">
        <x:v>9a2d4986e2f09af80bcf32903e3935e981e53c6fb8d4718091511f33c6b4c8d9</x:v>
      </x:c>
      <x:c r="H2410" t="str">
        <x:v>neu</x:v>
      </x:c>
      <x:c r="I2410" t="str">
        <x:v>ok</x:v>
      </x:c>
      <x:c r="J2410"/>
      <x:c r="K2410" t="n">
        <x:v>45362</x:v>
      </x:c>
      <x:c r="L2410" t="n">
        <x:v>45362</x:v>
      </x:c>
      <x:c r="M2410" t="str">
        <x:v>Gebucht</x:v>
      </x:c>
      <x:c r="N2410" t="str">
        <x:v>Lars Kohlenberg</x:v>
      </x:c>
      <x:c r="O2410" t="str">
        <x:v>Bernd Tiedje</x:v>
      </x:c>
      <x:c r="P2410" t="str">
        <x:v>DoKo Wochenende, vielen Dank</x:v>
      </x:c>
      <x:c r="Q2410" t="str">
        <x:v>Ausgang</x:v>
      </x:c>
      <x:c r="R2410" t="str">
        <x:v>DE71292657473600490100</x:v>
      </x:c>
      <x:c r="S2410" t="n">
        <x:v>-102.71</x:v>
      </x:c>
      <x:c r="T2410" t="str">
        <x:v>"</x:v>
      </x:c>
      <x:c r="U2410" t="str">
        <x:v>"</x:v>
      </x:c>
      <x:c r="V2410" t="str">
        <x:v>"</x:v>
      </x:c>
    </x:row>
    <x:row r="2411">
      <x:c r="A2411" t="str">
        <x:v>RAW-IMP-20260516-FULLDRAFT-002394</x:v>
      </x:c>
      <x:c r="B2411" t="str">
        <x:v>IMP-20260516-FULLDRAFT</x:v>
      </x:c>
      <x:c r="C2411" t="str">
        <x:v>KTO001</x:v>
      </x:c>
      <x:c r="D2411" t="str">
        <x:v>16-05-2026_Umsatzliste_Girokonto_DE98120300001061711675.csv</x:v>
      </x:c>
      <x:c r="E2411" t="n">
        <x:v>46163</x:v>
      </x:c>
      <x:c r="F2411" t="n">
        <x:v>2394</x:v>
      </x:c>
      <x:c r="G2411" t="str">
        <x:v>cf87e623b1ee9c6111fce9846429ec5f3580fabaa14406dbd2df69292b4b1229</x:v>
      </x:c>
      <x:c r="H2411" t="str">
        <x:v>neu</x:v>
      </x:c>
      <x:c r="I2411" t="str">
        <x:v>ok</x:v>
      </x:c>
      <x:c r="J2411"/>
      <x:c r="K2411" t="n">
        <x:v>45359</x:v>
      </x:c>
      <x:c r="L2411" t="n">
        <x:v>45359</x:v>
      </x:c>
      <x:c r="M2411" t="str">
        <x:v>Gebucht</x:v>
      </x:c>
      <x:c r="N2411" t="str">
        <x:v>ISSUER</x:v>
      </x:c>
      <x:c r="O2411" t="str">
        <x:v>JOERG BARTHEL</x:v>
      </x:c>
      <x:c r="P2411" t="str">
        <x:v>VISA Debitkartenumsatz vom 07.03.2024</x:v>
      </x:c>
      <x:c r="Q2411" t="str">
        <x:v>Ausgang</x:v>
      </x:c>
      <x:c r="R2411" t="str">
        <x:v>DE96120300009005290904</x:v>
      </x:c>
      <x:c r="S2411" t="n">
        <x:v>-26</x:v>
      </x:c>
      <x:c r="T2411" t="str">
        <x:v>"</x:v>
      </x:c>
      <x:c r="U2411" t="str">
        <x:v>"</x:v>
      </x:c>
      <x:c r="V2411" t="str">
        <x:v>484067407924597</x:v>
      </x:c>
    </x:row>
    <x:row r="2412">
      <x:c r="A2412" t="str">
        <x:v>RAW-IMP-20260516-FULLDRAFT-002395</x:v>
      </x:c>
      <x:c r="B2412" t="str">
        <x:v>IMP-20260516-FULLDRAFT</x:v>
      </x:c>
      <x:c r="C2412" t="str">
        <x:v>KTO001</x:v>
      </x:c>
      <x:c r="D2412" t="str">
        <x:v>16-05-2026_Umsatzliste_Girokonto_DE98120300001061711675.csv</x:v>
      </x:c>
      <x:c r="E2412" t="n">
        <x:v>46163</x:v>
      </x:c>
      <x:c r="F2412" t="n">
        <x:v>2395</x:v>
      </x:c>
      <x:c r="G2412" t="str">
        <x:v>718fde1a36b279371f5a3797f5aa088eed5dbbf0929db76efa6c03d0ffacbacc</x:v>
      </x:c>
      <x:c r="H2412" t="str">
        <x:v>neu</x:v>
      </x:c>
      <x:c r="I2412" t="str">
        <x:v>ok</x:v>
      </x:c>
      <x:c r="J2412"/>
      <x:c r="K2412" t="n">
        <x:v>45359</x:v>
      </x:c>
      <x:c r="L2412" t="n">
        <x:v>45359</x:v>
      </x:c>
      <x:c r="M2412" t="str">
        <x:v>Gebucht</x:v>
      </x:c>
      <x:c r="N2412" t="str">
        <x:v>ISSUER</x:v>
      </x:c>
      <x:c r="O2412" t="str">
        <x:v>REWE Salzgitter.Ge</x:v>
      </x:c>
      <x:c r="P2412" t="str">
        <x:v>VISA Debitkartenumsatz vom 07.03.2024</x:v>
      </x:c>
      <x:c r="Q2412" t="str">
        <x:v>Ausgang</x:v>
      </x:c>
      <x:c r="R2412" t="str">
        <x:v>DE96120300009005290904</x:v>
      </x:c>
      <x:c r="S2412" t="n">
        <x:v>-10.36</x:v>
      </x:c>
      <x:c r="T2412" t="str">
        <x:v>"</x:v>
      </x:c>
      <x:c r="U2412" t="str">
        <x:v>"</x:v>
      </x:c>
      <x:c r="V2412" t="str">
        <x:v>484067653636545</x:v>
      </x:c>
    </x:row>
    <x:row r="2413">
      <x:c r="A2413" t="str">
        <x:v>RAW-IMP-20260516-FULLDRAFT-002396</x:v>
      </x:c>
      <x:c r="B2413" t="str">
        <x:v>IMP-20260516-FULLDRAFT</x:v>
      </x:c>
      <x:c r="C2413" t="str">
        <x:v>KTO001</x:v>
      </x:c>
      <x:c r="D2413" t="str">
        <x:v>16-05-2026_Umsatzliste_Girokonto_DE98120300001061711675.csv</x:v>
      </x:c>
      <x:c r="E2413" t="n">
        <x:v>46163</x:v>
      </x:c>
      <x:c r="F2413" t="n">
        <x:v>2396</x:v>
      </x:c>
      <x:c r="G2413" t="str">
        <x:v>bc0642ef21b77c9c4f367a85e7b5078320b094372dfd564cb304a1afb634752a</x:v>
      </x:c>
      <x:c r="H2413" t="str">
        <x:v>neu</x:v>
      </x:c>
      <x:c r="I2413" t="str">
        <x:v>ok</x:v>
      </x:c>
      <x:c r="J2413"/>
      <x:c r="K2413" t="n">
        <x:v>45358</x:v>
      </x:c>
      <x:c r="L2413" t="n">
        <x:v>45358</x:v>
      </x:c>
      <x:c r="M2413" t="str">
        <x:v>Gebucht</x:v>
      </x:c>
      <x:c r="N2413" t="str">
        <x:v>ISSUER</x:v>
      </x:c>
      <x:c r="O2413" t="str">
        <x:v>REWE Salzgitter.Ge</x:v>
      </x:c>
      <x:c r="P2413" t="str">
        <x:v>VISA Debitkartenumsatz vom 06.03.2024</x:v>
      </x:c>
      <x:c r="Q2413" t="str">
        <x:v>Ausgang</x:v>
      </x:c>
      <x:c r="R2413" t="str">
        <x:v>DE96120300009005290904</x:v>
      </x:c>
      <x:c r="S2413" t="n">
        <x:v>-11.77</x:v>
      </x:c>
      <x:c r="T2413" t="str">
        <x:v>"</x:v>
      </x:c>
      <x:c r="U2413" t="str">
        <x:v>"</x:v>
      </x:c>
      <x:c r="V2413" t="str">
        <x:v>484066403851484</x:v>
      </x:c>
    </x:row>
    <x:row r="2414">
      <x:c r="A2414" t="str">
        <x:v>RAW-IMP-20260516-FULLDRAFT-002397</x:v>
      </x:c>
      <x:c r="B2414" t="str">
        <x:v>IMP-20260516-FULLDRAFT</x:v>
      </x:c>
      <x:c r="C2414" t="str">
        <x:v>KTO001</x:v>
      </x:c>
      <x:c r="D2414" t="str">
        <x:v>16-05-2026_Umsatzliste_Girokonto_DE98120300001061711675.csv</x:v>
      </x:c>
      <x:c r="E2414" t="n">
        <x:v>46163</x:v>
      </x:c>
      <x:c r="F2414" t="n">
        <x:v>2397</x:v>
      </x:c>
      <x:c r="G2414" t="str">
        <x:v>c821f79acbc5238296c98ec398b0e09b0ea05ca1680da37c99459944a986f167</x:v>
      </x:c>
      <x:c r="H2414" t="str">
        <x:v>neu</x:v>
      </x:c>
      <x:c r="I2414" t="str">
        <x:v>ok</x:v>
      </x:c>
      <x:c r="J2414"/>
      <x:c r="K2414" t="n">
        <x:v>45357</x:v>
      </x:c>
      <x:c r="L2414" t="n">
        <x:v>45357</x:v>
      </x:c>
      <x:c r="M2414" t="str">
        <x:v>Gebucht</x:v>
      </x:c>
      <x:c r="N2414" t="str">
        <x:v>ISSUER</x:v>
      </x:c>
      <x:c r="O2414" t="str">
        <x:v>REWE Mehmet Kaysal oHG</x:v>
      </x:c>
      <x:c r="P2414" t="str">
        <x:v>VISA Debitkartenumsatz vom 05.03.2024</x:v>
      </x:c>
      <x:c r="Q2414" t="str">
        <x:v>Ausgang</x:v>
      </x:c>
      <x:c r="R2414" t="str">
        <x:v>DE96120300009005290904</x:v>
      </x:c>
      <x:c r="S2414" t="n">
        <x:v>-3.78</x:v>
      </x:c>
      <x:c r="T2414" t="str">
        <x:v>"</x:v>
      </x:c>
      <x:c r="U2414" t="str">
        <x:v>"</x:v>
      </x:c>
      <x:c r="V2414" t="str">
        <x:v>484065669000564</x:v>
      </x:c>
    </x:row>
    <x:row r="2415">
      <x:c r="A2415" t="str">
        <x:v>RAW-IMP-20260516-FULLDRAFT-002398</x:v>
      </x:c>
      <x:c r="B2415" t="str">
        <x:v>IMP-20260516-FULLDRAFT</x:v>
      </x:c>
      <x:c r="C2415" t="str">
        <x:v>KTO001</x:v>
      </x:c>
      <x:c r="D2415" t="str">
        <x:v>16-05-2026_Umsatzliste_Girokonto_DE98120300001061711675.csv</x:v>
      </x:c>
      <x:c r="E2415" t="n">
        <x:v>46163</x:v>
      </x:c>
      <x:c r="F2415" t="n">
        <x:v>2398</x:v>
      </x:c>
      <x:c r="G2415" t="str">
        <x:v>e05770cb422b4b07b4773a2dd6d733dffcb8b0e4157acca62f8b2a3dec2bc9e1</x:v>
      </x:c>
      <x:c r="H2415" t="str">
        <x:v>neu</x:v>
      </x:c>
      <x:c r="I2415" t="str">
        <x:v>ok</x:v>
      </x:c>
      <x:c r="J2415"/>
      <x:c r="K2415" t="n">
        <x:v>45357</x:v>
      </x:c>
      <x:c r="L2415" t="n">
        <x:v>45357</x:v>
      </x:c>
      <x:c r="M2415" t="str">
        <x:v>Gebucht</x:v>
      </x:c>
      <x:c r="N2415" t="str">
        <x:v>ISSUER</x:v>
      </x:c>
      <x:c r="O2415" t="str">
        <x:v>Lidl sagt Danke</x:v>
      </x:c>
      <x:c r="P2415" t="str">
        <x:v>VISA Debitkartenumsatz vom 05.03.2024</x:v>
      </x:c>
      <x:c r="Q2415" t="str">
        <x:v>Ausgang</x:v>
      </x:c>
      <x:c r="R2415" t="str">
        <x:v>DE96120300009005290904</x:v>
      </x:c>
      <x:c r="S2415" t="n">
        <x:v>-19.08</x:v>
      </x:c>
      <x:c r="T2415" t="str">
        <x:v>"</x:v>
      </x:c>
      <x:c r="U2415" t="str">
        <x:v>"</x:v>
      </x:c>
      <x:c r="V2415" t="str">
        <x:v>484065657092044</x:v>
      </x:c>
    </x:row>
    <x:row r="2416">
      <x:c r="A2416" t="str">
        <x:v>RAW-IMP-20260516-FULLDRAFT-002399</x:v>
      </x:c>
      <x:c r="B2416" t="str">
        <x:v>IMP-20260516-FULLDRAFT</x:v>
      </x:c>
      <x:c r="C2416" t="str">
        <x:v>KTO001</x:v>
      </x:c>
      <x:c r="D2416" t="str">
        <x:v>16-05-2026_Umsatzliste_Girokonto_DE98120300001061711675.csv</x:v>
      </x:c>
      <x:c r="E2416" t="n">
        <x:v>46163</x:v>
      </x:c>
      <x:c r="F2416" t="n">
        <x:v>2399</x:v>
      </x:c>
      <x:c r="G2416" t="str">
        <x:v>973b5bd5a4fe445dbaa973eba8451cfad6631fed3c336cb84903ed962079b802</x:v>
      </x:c>
      <x:c r="H2416" t="str">
        <x:v>neu</x:v>
      </x:c>
      <x:c r="I2416" t="str">
        <x:v>ok</x:v>
      </x:c>
      <x:c r="J2416"/>
      <x:c r="K2416" t="n">
        <x:v>45357</x:v>
      </x:c>
      <x:c r="L2416" t="n">
        <x:v>45357</x:v>
      </x:c>
      <x:c r="M2416" t="str">
        <x:v>Gebucht</x:v>
      </x:c>
      <x:c r="N2416" t="str">
        <x:v>Lars Kohlenberg                                                       Johannes-Wosnitza-Str. 8 38229 Salzgitter DE</x:v>
      </x:c>
      <x:c r="O2416" t="str">
        <x:v>Telekom Deutschland GmbH                                              Landgrabenweg 151 53227 Bonn DE</x:v>
      </x:c>
      <x:c r="P2416" t="str">
        <x:v>Festnetz Vertragskonto 4763666565 RG 7545604984/26.02.2024</x:v>
      </x:c>
      <x:c r="Q2416" t="str">
        <x:v>Ausgang</x:v>
      </x:c>
      <x:c r="R2416" t="str">
        <x:v>DE75370800400232113001</x:v>
      </x:c>
      <x:c r="S2416" t="n">
        <x:v>-61.94</x:v>
      </x:c>
      <x:c r="T2416" t="str">
        <x:v>DE93ZZZ00000078611</x:v>
      </x:c>
      <x:c r="U2416" t="str">
        <x:v>DE000201000200000000000000012966156</x:v>
      </x:c>
      <x:c r="V2416" t="str">
        <x:v>Zahlbeleg 374297758926</x:v>
      </x:c>
    </x:row>
    <x:row r="2417">
      <x:c r="A2417" t="str">
        <x:v>RAW-IMP-20260516-FULLDRAFT-002400</x:v>
      </x:c>
      <x:c r="B2417" t="str">
        <x:v>IMP-20260516-FULLDRAFT</x:v>
      </x:c>
      <x:c r="C2417" t="str">
        <x:v>KTO001</x:v>
      </x:c>
      <x:c r="D2417" t="str">
        <x:v>16-05-2026_Umsatzliste_Girokonto_DE98120300001061711675.csv</x:v>
      </x:c>
      <x:c r="E2417" t="n">
        <x:v>46163</x:v>
      </x:c>
      <x:c r="F2417" t="n">
        <x:v>2400</x:v>
      </x:c>
      <x:c r="G2417" t="str">
        <x:v>5dc3d2b40c10191deff0c4a41fae1d494f2411ad96fa3f055352c1d50a692154</x:v>
      </x:c>
      <x:c r="H2417" t="str">
        <x:v>neu</x:v>
      </x:c>
      <x:c r="I2417" t="str">
        <x:v>ok</x:v>
      </x:c>
      <x:c r="J2417"/>
      <x:c r="K2417" t="n">
        <x:v>45357</x:v>
      </x:c>
      <x:c r="L2417" t="n">
        <x:v>45357</x:v>
      </x:c>
      <x:c r="M2417" t="str">
        <x:v>Gebucht</x:v>
      </x:c>
      <x:c r="N2417" t="str">
        <x:v>Lars Kohlenberg</x:v>
      </x:c>
      <x:c r="O2417" t="str">
        <x:v>Iman Firat</x:v>
      </x:c>
      <x:c r="P2417" t="str">
        <x:v>2230 Lea Kohlenberg</x:v>
      </x:c>
      <x:c r="Q2417" t="str">
        <x:v>Ausgang</x:v>
      </x:c>
      <x:c r="R2417" t="str">
        <x:v>DE67269910662694298000</x:v>
      </x:c>
      <x:c r="S2417" t="n">
        <x:v>-49.9</x:v>
      </x:c>
      <x:c r="T2417" t="str">
        <x:v>"</x:v>
      </x:c>
      <x:c r="U2417" t="str">
        <x:v>"</x:v>
      </x:c>
      <x:c r="V2417" t="str">
        <x:v>"</x:v>
      </x:c>
    </x:row>
    <x:row r="2418">
      <x:c r="A2418" t="str">
        <x:v>RAW-IMP-20260516-FULLDRAFT-002401</x:v>
      </x:c>
      <x:c r="B2418" t="str">
        <x:v>IMP-20260516-FULLDRAFT</x:v>
      </x:c>
      <x:c r="C2418" t="str">
        <x:v>KTO001</x:v>
      </x:c>
      <x:c r="D2418" t="str">
        <x:v>16-05-2026_Umsatzliste_Girokonto_DE98120300001061711675.csv</x:v>
      </x:c>
      <x:c r="E2418" t="n">
        <x:v>46163</x:v>
      </x:c>
      <x:c r="F2418" t="n">
        <x:v>2401</x:v>
      </x:c>
      <x:c r="G2418" t="str">
        <x:v>8e1ea57defbd97037c31365f6b41e022dca71eac07ace252e407794b0b68f07a</x:v>
      </x:c>
      <x:c r="H2418" t="str">
        <x:v>neu</x:v>
      </x:c>
      <x:c r="I2418" t="str">
        <x:v>ok</x:v>
      </x:c>
      <x:c r="J2418"/>
      <x:c r="K2418" t="n">
        <x:v>45356</x:v>
      </x:c>
      <x:c r="L2418" t="n">
        <x:v>45356</x:v>
      </x:c>
      <x:c r="M2418" t="str">
        <x:v>Gebucht</x:v>
      </x:c>
      <x:c r="N2418" t="str">
        <x:v>ISSUER</x:v>
      </x:c>
      <x:c r="O2418" t="str">
        <x:v>MILKAU KONDITOREI STAD</x:v>
      </x:c>
      <x:c r="P2418" t="str">
        <x:v>VISA Debitkartenumsatz vom 04.03.2024</x:v>
      </x:c>
      <x:c r="Q2418" t="str">
        <x:v>Ausgang</x:v>
      </x:c>
      <x:c r="R2418" t="str">
        <x:v>DE96120300009005290904</x:v>
      </x:c>
      <x:c r="S2418" t="n">
        <x:v>-1.95</x:v>
      </x:c>
      <x:c r="T2418" t="str">
        <x:v>"</x:v>
      </x:c>
      <x:c r="U2418" t="str">
        <x:v>"</x:v>
      </x:c>
      <x:c r="V2418" t="str">
        <x:v>484064404444822</x:v>
      </x:c>
    </x:row>
    <x:row r="2419">
      <x:c r="A2419" t="str">
        <x:v>RAW-IMP-20260516-FULLDRAFT-002402</x:v>
      </x:c>
      <x:c r="B2419" t="str">
        <x:v>IMP-20260516-FULLDRAFT</x:v>
      </x:c>
      <x:c r="C2419" t="str">
        <x:v>KTO001</x:v>
      </x:c>
      <x:c r="D2419" t="str">
        <x:v>16-05-2026_Umsatzliste_Girokonto_DE98120300001061711675.csv</x:v>
      </x:c>
      <x:c r="E2419" t="n">
        <x:v>46163</x:v>
      </x:c>
      <x:c r="F2419" t="n">
        <x:v>2402</x:v>
      </x:c>
      <x:c r="G2419" t="str">
        <x:v>044fcc67e830ebfa2cbbc3cd96114b7aca2519a9251095b6fcdf0eeabd991da3</x:v>
      </x:c>
      <x:c r="H2419" t="str">
        <x:v>neu</x:v>
      </x:c>
      <x:c r="I2419" t="str">
        <x:v>ok</x:v>
      </x:c>
      <x:c r="J2419"/>
      <x:c r="K2419" t="n">
        <x:v>45356</x:v>
      </x:c>
      <x:c r="L2419" t="n">
        <x:v>45356</x:v>
      </x:c>
      <x:c r="M2419" t="str">
        <x:v>Gebucht</x:v>
      </x:c>
      <x:c r="N2419" t="str">
        <x:v>ISSUER</x:v>
      </x:c>
      <x:c r="O2419" t="str">
        <x:v>Lidl sagt Danke</x:v>
      </x:c>
      <x:c r="P2419" t="str">
        <x:v>VISA Debitkartenumsatz vom 04.03.2024</x:v>
      </x:c>
      <x:c r="Q2419" t="str">
        <x:v>Ausgang</x:v>
      </x:c>
      <x:c r="R2419" t="str">
        <x:v>DE96120300009005290904</x:v>
      </x:c>
      <x:c r="S2419" t="n">
        <x:v>-38.14</x:v>
      </x:c>
      <x:c r="T2419" t="str">
        <x:v>"</x:v>
      </x:c>
      <x:c r="U2419" t="str">
        <x:v>"</x:v>
      </x:c>
      <x:c r="V2419" t="str">
        <x:v>484064628374349</x:v>
      </x:c>
    </x:row>
    <x:row r="2420">
      <x:c r="A2420" t="str">
        <x:v>RAW-IMP-20260516-FULLDRAFT-002403</x:v>
      </x:c>
      <x:c r="B2420" t="str">
        <x:v>IMP-20260516-FULLDRAFT</x:v>
      </x:c>
      <x:c r="C2420" t="str">
        <x:v>KTO001</x:v>
      </x:c>
      <x:c r="D2420" t="str">
        <x:v>16-05-2026_Umsatzliste_Girokonto_DE98120300001061711675.csv</x:v>
      </x:c>
      <x:c r="E2420" t="n">
        <x:v>46163</x:v>
      </x:c>
      <x:c r="F2420" t="n">
        <x:v>2403</x:v>
      </x:c>
      <x:c r="G2420" t="str">
        <x:v>2cc27d5b47f9c05bc51241381c05100056374dfeca720779e6125f7673e67c28</x:v>
      </x:c>
      <x:c r="H2420" t="str">
        <x:v>neu</x:v>
      </x:c>
      <x:c r="I2420" t="str">
        <x:v>ok</x:v>
      </x:c>
      <x:c r="J2420"/>
      <x:c r="K2420" t="n">
        <x:v>45356</x:v>
      </x:c>
      <x:c r="L2420" t="n">
        <x:v>45356</x:v>
      </x:c>
      <x:c r="M2420" t="str">
        <x:v>Gebucht</x:v>
      </x:c>
      <x:c r="N2420" t="str">
        <x:v>ISSUER</x:v>
      </x:c>
      <x:c r="O2420" t="str">
        <x:v>AMAZON. 304-6921776-76</x:v>
      </x:c>
      <x:c r="P2420" t="str">
        <x:v>VISA Debitkartenumsatz vom 03.03.2024</x:v>
      </x:c>
      <x:c r="Q2420" t="str">
        <x:v>Ausgang</x:v>
      </x:c>
      <x:c r="R2420" t="str">
        <x:v>DE96120300009005290904</x:v>
      </x:c>
      <x:c r="S2420" t="n">
        <x:v>-187.86</x:v>
      </x:c>
      <x:c r="T2420" t="str">
        <x:v>"</x:v>
      </x:c>
      <x:c r="U2420" t="str">
        <x:v>"</x:v>
      </x:c>
      <x:c r="V2420" t="str">
        <x:v>484063544225966</x:v>
      </x:c>
    </x:row>
    <x:row r="2421">
      <x:c r="A2421" t="str">
        <x:v>RAW-IMP-20260516-FULLDRAFT-002404</x:v>
      </x:c>
      <x:c r="B2421" t="str">
        <x:v>IMP-20260516-FULLDRAFT</x:v>
      </x:c>
      <x:c r="C2421" t="str">
        <x:v>KTO001</x:v>
      </x:c>
      <x:c r="D2421" t="str">
        <x:v>16-05-2026_Umsatzliste_Girokonto_DE98120300001061711675.csv</x:v>
      </x:c>
      <x:c r="E2421" t="n">
        <x:v>46163</x:v>
      </x:c>
      <x:c r="F2421" t="n">
        <x:v>2404</x:v>
      </x:c>
      <x:c r="G2421" t="str">
        <x:v>b9f02f7f1d6a92ccd22d332f113a26933370efa924add52375fd1a83b2f88e82</x:v>
      </x:c>
      <x:c r="H2421" t="str">
        <x:v>neu</x:v>
      </x:c>
      <x:c r="I2421" t="str">
        <x:v>ok</x:v>
      </x:c>
      <x:c r="J2421"/>
      <x:c r="K2421" t="n">
        <x:v>45355</x:v>
      </x:c>
      <x:c r="L2421" t="n">
        <x:v>45355</x:v>
      </x:c>
      <x:c r="M2421" t="str">
        <x:v>Gebucht</x:v>
      </x:c>
      <x:c r="N2421" t="str">
        <x:v>ISSUER</x:v>
      </x:c>
      <x:c r="O2421" t="str">
        <x:v>REWE Salzgitter.Ge</x:v>
      </x:c>
      <x:c r="P2421" t="str">
        <x:v>VISA Debitkartenumsatz vom 01.03.2024</x:v>
      </x:c>
      <x:c r="Q2421" t="str">
        <x:v>Ausgang</x:v>
      </x:c>
      <x:c r="R2421" t="str">
        <x:v>DE96120300009005290904</x:v>
      </x:c>
      <x:c r="S2421" t="n">
        <x:v>-139</x:v>
      </x:c>
      <x:c r="T2421" t="str">
        <x:v>"</x:v>
      </x:c>
      <x:c r="U2421" t="str">
        <x:v>"</x:v>
      </x:c>
      <x:c r="V2421" t="str">
        <x:v>484061616576434</x:v>
      </x:c>
    </x:row>
    <x:row r="2422">
      <x:c r="A2422" t="str">
        <x:v>RAW-IMP-20260516-FULLDRAFT-002405</x:v>
      </x:c>
      <x:c r="B2422" t="str">
        <x:v>IMP-20260516-FULLDRAFT</x:v>
      </x:c>
      <x:c r="C2422" t="str">
        <x:v>KTO001</x:v>
      </x:c>
      <x:c r="D2422" t="str">
        <x:v>16-05-2026_Umsatzliste_Girokonto_DE98120300001061711675.csv</x:v>
      </x:c>
      <x:c r="E2422" t="n">
        <x:v>46163</x:v>
      </x:c>
      <x:c r="F2422" t="n">
        <x:v>2405</x:v>
      </x:c>
      <x:c r="G2422" t="str">
        <x:v>b667e8b1d83de5454897ebcb3c65d84b1e3415715626c8d4f582ce4eb73c5ec5</x:v>
      </x:c>
      <x:c r="H2422" t="str">
        <x:v>neu</x:v>
      </x:c>
      <x:c r="I2422" t="str">
        <x:v>ok</x:v>
      </x:c>
      <x:c r="J2422"/>
      <x:c r="K2422" t="n">
        <x:v>45355</x:v>
      </x:c>
      <x:c r="L2422" t="n">
        <x:v>45355</x:v>
      </x:c>
      <x:c r="M2422" t="str">
        <x:v>Gebucht</x:v>
      </x:c>
      <x:c r="N2422" t="str">
        <x:v>ISSUER</x:v>
      </x:c>
      <x:c r="O2422" t="str">
        <x:v>APPLE.COM.BILL</x:v>
      </x:c>
      <x:c r="P2422" t="str">
        <x:v>VISA Debitkartenumsatz vom 03.03.2024</x:v>
      </x:c>
      <x:c r="Q2422" t="str">
        <x:v>Ausgang</x:v>
      </x:c>
      <x:c r="R2422" t="str">
        <x:v>DE96120300009005290904</x:v>
      </x:c>
      <x:c r="S2422" t="n">
        <x:v>-0.99</x:v>
      </x:c>
      <x:c r="T2422" t="str">
        <x:v>"</x:v>
      </x:c>
      <x:c r="U2422" t="str">
        <x:v>"</x:v>
      </x:c>
      <x:c r="V2422" t="str">
        <x:v>484063118978122</x:v>
      </x:c>
    </x:row>
    <x:row r="2423">
      <x:c r="A2423" t="str">
        <x:v>RAW-IMP-20260516-FULLDRAFT-002406</x:v>
      </x:c>
      <x:c r="B2423" t="str">
        <x:v>IMP-20260516-FULLDRAFT</x:v>
      </x:c>
      <x:c r="C2423" t="str">
        <x:v>KTO001</x:v>
      </x:c>
      <x:c r="D2423" t="str">
        <x:v>16-05-2026_Umsatzliste_Girokonto_DE98120300001061711675.csv</x:v>
      </x:c>
      <x:c r="E2423" t="n">
        <x:v>46163</x:v>
      </x:c>
      <x:c r="F2423" t="n">
        <x:v>2406</x:v>
      </x:c>
      <x:c r="G2423" t="str">
        <x:v>c35ab537bbf074ebea888be2be84f17beb542e87385347fc55ba2e78517704ef</x:v>
      </x:c>
      <x:c r="H2423" t="str">
        <x:v>neu</x:v>
      </x:c>
      <x:c r="I2423" t="str">
        <x:v>ok</x:v>
      </x:c>
      <x:c r="J2423"/>
      <x:c r="K2423" t="n">
        <x:v>45355</x:v>
      </x:c>
      <x:c r="L2423" t="n">
        <x:v>45355</x:v>
      </x:c>
      <x:c r="M2423" t="str">
        <x:v>Gebucht</x:v>
      </x:c>
      <x:c r="N2423" t="str">
        <x:v>ISSUER</x:v>
      </x:c>
      <x:c r="O2423" t="str">
        <x:v>Prime Video .R238T8A05</x:v>
      </x:c>
      <x:c r="P2423" t="str">
        <x:v>VISA Debitkartenumsatz vom 01.03.2024</x:v>
      </x:c>
      <x:c r="Q2423" t="str">
        <x:v>Ausgang</x:v>
      </x:c>
      <x:c r="R2423" t="str">
        <x:v>DE96120300009005290904</x:v>
      </x:c>
      <x:c r="S2423" t="n">
        <x:v>-4.99</x:v>
      </x:c>
      <x:c r="T2423" t="str">
        <x:v>"</x:v>
      </x:c>
      <x:c r="U2423" t="str">
        <x:v>"</x:v>
      </x:c>
      <x:c r="V2423" t="str">
        <x:v>484061645439921</x:v>
      </x:c>
    </x:row>
    <x:row r="2424">
      <x:c r="A2424" t="str">
        <x:v>RAW-IMP-20260516-FULLDRAFT-002407</x:v>
      </x:c>
      <x:c r="B2424" t="str">
        <x:v>IMP-20260516-FULLDRAFT</x:v>
      </x:c>
      <x:c r="C2424" t="str">
        <x:v>KTO001</x:v>
      </x:c>
      <x:c r="D2424" t="str">
        <x:v>16-05-2026_Umsatzliste_Girokonto_DE98120300001061711675.csv</x:v>
      </x:c>
      <x:c r="E2424" t="n">
        <x:v>46163</x:v>
      </x:c>
      <x:c r="F2424" t="n">
        <x:v>2407</x:v>
      </x:c>
      <x:c r="G2424" t="str">
        <x:v>d0e39b5e47f1d44b7bf93105e224e6a62fcf7a7ea9275bb46b7fa7a849729ab7</x:v>
      </x:c>
      <x:c r="H2424" t="str">
        <x:v>neu</x:v>
      </x:c>
      <x:c r="I2424" t="str">
        <x:v>ok</x:v>
      </x:c>
      <x:c r="J2424"/>
      <x:c r="K2424" t="n">
        <x:v>45355</x:v>
      </x:c>
      <x:c r="L2424" t="n">
        <x:v>45355</x:v>
      </x:c>
      <x:c r="M2424" t="str">
        <x:v>Gebucht</x:v>
      </x:c>
      <x:c r="N2424" t="str">
        <x:v>ISSUER</x:v>
      </x:c>
      <x:c r="O2424" t="str">
        <x:v>Rossmann 2376</x:v>
      </x:c>
      <x:c r="P2424" t="str">
        <x:v>VISA Debitkartenumsatz vom 02.03.2024</x:v>
      </x:c>
      <x:c r="Q2424" t="str">
        <x:v>Ausgang</x:v>
      </x:c>
      <x:c r="R2424" t="str">
        <x:v>DE96120300009005290904</x:v>
      </x:c>
      <x:c r="S2424" t="n">
        <x:v>-5.79</x:v>
      </x:c>
      <x:c r="T2424" t="str">
        <x:v>"</x:v>
      </x:c>
      <x:c r="U2424" t="str">
        <x:v>"</x:v>
      </x:c>
      <x:c r="V2424" t="str">
        <x:v>484062345719393</x:v>
      </x:c>
    </x:row>
    <x:row r="2425">
      <x:c r="A2425" t="str">
        <x:v>RAW-IMP-20260516-FULLDRAFT-002408</x:v>
      </x:c>
      <x:c r="B2425" t="str">
        <x:v>IMP-20260516-FULLDRAFT</x:v>
      </x:c>
      <x:c r="C2425" t="str">
        <x:v>KTO001</x:v>
      </x:c>
      <x:c r="D2425" t="str">
        <x:v>16-05-2026_Umsatzliste_Girokonto_DE98120300001061711675.csv</x:v>
      </x:c>
      <x:c r="E2425" t="n">
        <x:v>46163</x:v>
      </x:c>
      <x:c r="F2425" t="n">
        <x:v>2408</x:v>
      </x:c>
      <x:c r="G2425" t="str">
        <x:v>d4bd2646fce79f1a75d94030e4c31ceabb51d9f251888fe1d3af5c5e1b1a70ac</x:v>
      </x:c>
      <x:c r="H2425" t="str">
        <x:v>neu</x:v>
      </x:c>
      <x:c r="I2425" t="str">
        <x:v>ok</x:v>
      </x:c>
      <x:c r="J2425"/>
      <x:c r="K2425" t="n">
        <x:v>45355</x:v>
      </x:c>
      <x:c r="L2425" t="n">
        <x:v>45355</x:v>
      </x:c>
      <x:c r="M2425" t="str">
        <x:v>Gebucht</x:v>
      </x:c>
      <x:c r="N2425" t="str">
        <x:v>Lars Kohlenberg</x:v>
      </x:c>
      <x:c r="O2425" t="str">
        <x:v>VHV Allg. Versicherung AG</x:v>
      </x:c>
      <x:c r="P2425" t="str">
        <x:v>VHV Versicherung UNFALLVERSICHERUNG U 013-072445/0000 Abrechnung: 01.03.24 - 01.04.24</x:v>
      </x:c>
      <x:c r="Q2425" t="str">
        <x:v>Ausgang</x:v>
      </x:c>
      <x:c r="R2425" t="str">
        <x:v>DE65250500000101411551</x:v>
      </x:c>
      <x:c r="S2425" t="n">
        <x:v>-11.96</x:v>
      </x:c>
      <x:c r="T2425" t="str">
        <x:v>DE32VHV00000150810</x:v>
      </x:c>
      <x:c r="U2425" t="str">
        <x:v>0015012300010039</x:v>
      </x:c>
      <x:c r="V2425" t="str">
        <x:v>31143163755</x:v>
      </x:c>
    </x:row>
    <x:row r="2426">
      <x:c r="A2426" t="str">
        <x:v>RAW-IMP-20260516-FULLDRAFT-002409</x:v>
      </x:c>
      <x:c r="B2426" t="str">
        <x:v>IMP-20260516-FULLDRAFT</x:v>
      </x:c>
      <x:c r="C2426" t="str">
        <x:v>KTO001</x:v>
      </x:c>
      <x:c r="D2426" t="str">
        <x:v>16-05-2026_Umsatzliste_Girokonto_DE98120300001061711675.csv</x:v>
      </x:c>
      <x:c r="E2426" t="n">
        <x:v>46163</x:v>
      </x:c>
      <x:c r="F2426" t="n">
        <x:v>2409</x:v>
      </x:c>
      <x:c r="G2426" t="str">
        <x:v>04fddbf20eb608cef459c55af6d037b93ca9974b2bb619686b0f07ad416b763b</x:v>
      </x:c>
      <x:c r="H2426" t="str">
        <x:v>neu</x:v>
      </x:c>
      <x:c r="I2426" t="str">
        <x:v>ok</x:v>
      </x:c>
      <x:c r="J2426"/>
      <x:c r="K2426" t="n">
        <x:v>45355</x:v>
      </x:c>
      <x:c r="L2426" t="n">
        <x:v>45355</x:v>
      </x:c>
      <x:c r="M2426" t="str">
        <x:v>Gebucht</x:v>
      </x:c>
      <x:c r="N2426" t="str">
        <x:v>Lars Kohlenberg                                                       Johannes-Wosnitza-Str. 8</x:v>
      </x:c>
      <x:c r="O2426" t="str">
        <x:v>FUNKE Medien Nieders.GmbH</x:v>
      </x:c>
      <x:c r="P2426" t="str">
        <x:v>SZ/00001050/VA/01.03.24-31.03.24/Rg-Nr.:6315383167/Kd-Nr:0053112791/Steuer:3.57</x:v>
      </x:c>
      <x:c r="Q2426" t="str">
        <x:v>Ausgang</x:v>
      </x:c>
      <x:c r="R2426" t="str">
        <x:v>DE67250500000000146910</x:v>
      </x:c>
      <x:c r="S2426" t="n">
        <x:v>-54.5</x:v>
      </x:c>
      <x:c r="T2426" t="str">
        <x:v>DE8850000000483288</x:v>
      </x:c>
      <x:c r="U2426" t="str">
        <x:v>0053112791-0500-01300001</x:v>
      </x:c>
      <x:c r="V2426" t="str">
        <x:v>032006981929</x:v>
      </x:c>
    </x:row>
    <x:row r="2427">
      <x:c r="A2427" t="str">
        <x:v>RAW-IMP-20260516-FULLDRAFT-002410</x:v>
      </x:c>
      <x:c r="B2427" t="str">
        <x:v>IMP-20260516-FULLDRAFT</x:v>
      </x:c>
      <x:c r="C2427" t="str">
        <x:v>KTO001</x:v>
      </x:c>
      <x:c r="D2427" t="str">
        <x:v>16-05-2026_Umsatzliste_Girokonto_DE98120300001061711675.csv</x:v>
      </x:c>
      <x:c r="E2427" t="n">
        <x:v>46163</x:v>
      </x:c>
      <x:c r="F2427" t="n">
        <x:v>2410</x:v>
      </x:c>
      <x:c r="G2427" t="str">
        <x:v>a3e6d8154eafb8014e32d1a4697358e0874a57bac29a7038620d9fb311bd8fdb</x:v>
      </x:c>
      <x:c r="H2427" t="str">
        <x:v>neu</x:v>
      </x:c>
      <x:c r="I2427" t="str">
        <x:v>ok</x:v>
      </x:c>
      <x:c r="J2427"/>
      <x:c r="K2427" t="n">
        <x:v>45355</x:v>
      </x:c>
      <x:c r="L2427" t="n">
        <x:v>45355</x:v>
      </x:c>
      <x:c r="M2427" t="str">
        <x:v>Gebucht</x:v>
      </x:c>
      <x:c r="N2427" t="str">
        <x:v>Lars Kohlenberg</x:v>
      </x:c>
      <x:c r="O2427" t="str">
        <x:v>Jan Kohlenberg</x:v>
      </x:c>
      <x:c r="P2427" t="str">
        <x:v>Übertrag Führerschein Oma und Opa</x:v>
      </x:c>
      <x:c r="Q2427" t="str">
        <x:v>Ausgang</x:v>
      </x:c>
      <x:c r="R2427" t="str">
        <x:v>DE43270200001527701534</x:v>
      </x:c>
      <x:c r="S2427" t="n">
        <x:v>-1000</x:v>
      </x:c>
      <x:c r="T2427" t="str">
        <x:v>"</x:v>
      </x:c>
      <x:c r="U2427" t="str">
        <x:v>"</x:v>
      </x:c>
      <x:c r="V2427" t="str">
        <x:v>"</x:v>
      </x:c>
    </x:row>
    <x:row r="2428">
      <x:c r="A2428" t="str">
        <x:v>RAW-IMP-20260516-FULLDRAFT-002411</x:v>
      </x:c>
      <x:c r="B2428" t="str">
        <x:v>IMP-20260516-FULLDRAFT</x:v>
      </x:c>
      <x:c r="C2428" t="str">
        <x:v>KTO001</x:v>
      </x:c>
      <x:c r="D2428" t="str">
        <x:v>16-05-2026_Umsatzliste_Girokonto_DE98120300001061711675.csv</x:v>
      </x:c>
      <x:c r="E2428" t="n">
        <x:v>46163</x:v>
      </x:c>
      <x:c r="F2428" t="n">
        <x:v>2411</x:v>
      </x:c>
      <x:c r="G2428" t="str">
        <x:v>a278390cb04d908265a1f607a7e824972cad8f4996b7601adf390c760ce391fc</x:v>
      </x:c>
      <x:c r="H2428" t="str">
        <x:v>neu</x:v>
      </x:c>
      <x:c r="I2428" t="str">
        <x:v>ok</x:v>
      </x:c>
      <x:c r="J2428"/>
      <x:c r="K2428" t="n">
        <x:v>45352</x:v>
      </x:c>
      <x:c r="L2428" t="n">
        <x:v>45352</x:v>
      </x:c>
      <x:c r="M2428" t="str">
        <x:v>Gebucht</x:v>
      </x:c>
      <x:c r="N2428" t="str">
        <x:v>WILLI KOHLENBERG</x:v>
      </x:c>
      <x:c r="O2428" t="str">
        <x:v>LARS KOHLENBERG</x:v>
      </x:c>
      <x:c r="P2428" t="str">
        <x:v>MIETE 2/3 HAUS</x:v>
      </x:c>
      <x:c r="Q2428" t="str">
        <x:v>Eingang</x:v>
      </x:c>
      <x:c r="R2428" t="str">
        <x:v>DE84270800600651520400</x:v>
      </x:c>
      <x:c r="S2428" t="n">
        <x:v>750</x:v>
      </x:c>
      <x:c r="T2428" t="str">
        <x:v>"</x:v>
      </x:c>
      <x:c r="U2428" t="str">
        <x:v>"</x:v>
      </x:c>
      <x:c r="V2428" t="str">
        <x:v>"</x:v>
      </x:c>
    </x:row>
    <x:row r="2429">
      <x:c r="A2429" t="str">
        <x:v>RAW-IMP-20260516-FULLDRAFT-002412</x:v>
      </x:c>
      <x:c r="B2429" t="str">
        <x:v>IMP-20260516-FULLDRAFT</x:v>
      </x:c>
      <x:c r="C2429" t="str">
        <x:v>KTO001</x:v>
      </x:c>
      <x:c r="D2429" t="str">
        <x:v>16-05-2026_Umsatzliste_Girokonto_DE98120300001061711675.csv</x:v>
      </x:c>
      <x:c r="E2429" t="n">
        <x:v>46163</x:v>
      </x:c>
      <x:c r="F2429" t="n">
        <x:v>2412</x:v>
      </x:c>
      <x:c r="G2429" t="str">
        <x:v>72378c4bd876f9f162aa37e409a6e7de977982dd19a789199fbde708286aebf7</x:v>
      </x:c>
      <x:c r="H2429" t="str">
        <x:v>neu</x:v>
      </x:c>
      <x:c r="I2429" t="str">
        <x:v>ok</x:v>
      </x:c>
      <x:c r="J2429"/>
      <x:c r="K2429" t="n">
        <x:v>45352</x:v>
      </x:c>
      <x:c r="L2429" t="n">
        <x:v>45352</x:v>
      </x:c>
      <x:c r="M2429" t="str">
        <x:v>Gebucht</x:v>
      </x:c>
      <x:c r="N2429" t="str">
        <x:v>Lars Kohlenberg</x:v>
      </x:c>
      <x:c r="O2429" t="str">
        <x:v>KATRIN KOHLENBERG</x:v>
      </x:c>
      <x:c r="P2429" t="str">
        <x:v>Apanage</x:v>
      </x:c>
      <x:c r="Q2429" t="str">
        <x:v>Ausgang</x:v>
      </x:c>
      <x:c r="R2429" t="str">
        <x:v>DE32270727240307336800</x:v>
      </x:c>
      <x:c r="S2429" t="n">
        <x:v>-1800</x:v>
      </x:c>
      <x:c r="T2429" t="str">
        <x:v>"</x:v>
      </x:c>
      <x:c r="U2429" t="str">
        <x:v>"</x:v>
      </x:c>
      <x:c r="V2429" t="str">
        <x:v>"</x:v>
      </x:c>
    </x:row>
    <x:row r="2430">
      <x:c r="A2430" t="str">
        <x:v>RAW-IMP-20260516-FULLDRAFT-002413</x:v>
      </x:c>
      <x:c r="B2430" t="str">
        <x:v>IMP-20260516-FULLDRAFT</x:v>
      </x:c>
      <x:c r="C2430" t="str">
        <x:v>KTO001</x:v>
      </x:c>
      <x:c r="D2430" t="str">
        <x:v>16-05-2026_Umsatzliste_Girokonto_DE98120300001061711675.csv</x:v>
      </x:c>
      <x:c r="E2430" t="n">
        <x:v>46163</x:v>
      </x:c>
      <x:c r="F2430" t="n">
        <x:v>2413</x:v>
      </x:c>
      <x:c r="G2430" t="str">
        <x:v>356c1944b6be369501e85deead3db41b3ee99bd98b110d45a1c18ed5e7772b47</x:v>
      </x:c>
      <x:c r="H2430" t="str">
        <x:v>neu</x:v>
      </x:c>
      <x:c r="I2430" t="str">
        <x:v>ok</x:v>
      </x:c>
      <x:c r="J2430"/>
      <x:c r="K2430" t="n">
        <x:v>45352</x:v>
      </x:c>
      <x:c r="L2430" t="n">
        <x:v>45352</x:v>
      </x:c>
      <x:c r="M2430" t="str">
        <x:v>Gebucht</x:v>
      </x:c>
      <x:c r="N2430" t="str">
        <x:v>KOHLENBERG, LARS</x:v>
      </x:c>
      <x:c r="O2430" t="str">
        <x:v>VPV-LEBENSVERSICHERUNGS-AG</x:v>
      </x:c>
      <x:c r="P2430" t="str">
        <x:v>VNR 301667726</x:v>
      </x:c>
      <x:c r="Q2430" t="str">
        <x:v>Ausgang</x:v>
      </x:c>
      <x:c r="R2430" t="str">
        <x:v>DE78600501010001166338</x:v>
      </x:c>
      <x:c r="S2430" t="n">
        <x:v>-51.54</x:v>
      </x:c>
      <x:c r="T2430" t="str">
        <x:v>DE96LAG00000064686</x:v>
      </x:c>
      <x:c r="U2430" t="str">
        <x:v>ML700120510</x:v>
      </x:c>
      <x:c r="V2430" t="str">
        <x:v>240226 445139618 ML700120510</x:v>
      </x:c>
    </x:row>
    <x:row r="2431">
      <x:c r="A2431" t="str">
        <x:v>RAW-IMP-20260516-FULLDRAFT-002414</x:v>
      </x:c>
      <x:c r="B2431" t="str">
        <x:v>IMP-20260516-FULLDRAFT</x:v>
      </x:c>
      <x:c r="C2431" t="str">
        <x:v>KTO001</x:v>
      </x:c>
      <x:c r="D2431" t="str">
        <x:v>16-05-2026_Umsatzliste_Girokonto_DE98120300001061711675.csv</x:v>
      </x:c>
      <x:c r="E2431" t="n">
        <x:v>46163</x:v>
      </x:c>
      <x:c r="F2431" t="n">
        <x:v>2414</x:v>
      </x:c>
      <x:c r="G2431" t="str">
        <x:v>9d662d8644c09297e15d14c73712c10a049a824b3af43c463802884aab901315</x:v>
      </x:c>
      <x:c r="H2431" t="str">
        <x:v>neu</x:v>
      </x:c>
      <x:c r="I2431" t="str">
        <x:v>ok</x:v>
      </x:c>
      <x:c r="J2431"/>
      <x:c r="K2431" t="n">
        <x:v>45352</x:v>
      </x:c>
      <x:c r="L2431" t="n">
        <x:v>45352</x:v>
      </x:c>
      <x:c r="M2431" t="str">
        <x:v>Gebucht</x:v>
      </x:c>
      <x:c r="N2431" t="str">
        <x:v>Lars Kohlenberg                                                       Johannes-Wosnitza-Str. 8 38229 Salzgitter</x:v>
      </x:c>
      <x:c r="O2431" t="str">
        <x:v>Heidelberger Lebensversicherung AG                                    Im Breitspiel 2-4, 69126 Heidelberg</x:v>
      </x:c>
      <x:c r="P2431" t="str">
        <x:v>60012826 , 03.24</x:v>
      </x:c>
      <x:c r="Q2431" t="str">
        <x:v>Ausgang</x:v>
      </x:c>
      <x:c r="R2431" t="str">
        <x:v>DE38600501010002662604</x:v>
      </x:c>
      <x:c r="S2431" t="n">
        <x:v>-452.71</x:v>
      </x:c>
      <x:c r="T2431" t="str">
        <x:v>DE31HLE00000032682</x:v>
      </x:c>
      <x:c r="U2431" t="str">
        <x:v>11-140000075706</x:v>
      </x:c>
      <x:c r="V2431" t="str">
        <x:v>152040338452</x:v>
      </x:c>
    </x:row>
    <x:row r="2432">
      <x:c r="A2432" t="str">
        <x:v>RAW-IMP-20260516-FULLDRAFT-002415</x:v>
      </x:c>
      <x:c r="B2432" t="str">
        <x:v>IMP-20260516-FULLDRAFT</x:v>
      </x:c>
      <x:c r="C2432" t="str">
        <x:v>KTO001</x:v>
      </x:c>
      <x:c r="D2432" t="str">
        <x:v>16-05-2026_Umsatzliste_Girokonto_DE98120300001061711675.csv</x:v>
      </x:c>
      <x:c r="E2432" t="n">
        <x:v>46163</x:v>
      </x:c>
      <x:c r="F2432" t="n">
        <x:v>2415</x:v>
      </x:c>
      <x:c r="G2432" t="str">
        <x:v>133829bfc3f3b4db2efe19dd9c196874eb7809999386add8f24ed96382f7d725</x:v>
      </x:c>
      <x:c r="H2432" t="str">
        <x:v>neu</x:v>
      </x:c>
      <x:c r="I2432" t="str">
        <x:v>ok</x:v>
      </x:c>
      <x:c r="J2432"/>
      <x:c r="K2432" t="n">
        <x:v>45352</x:v>
      </x:c>
      <x:c r="L2432" t="n">
        <x:v>45352</x:v>
      </x:c>
      <x:c r="M2432" t="str">
        <x:v>Gebucht</x:v>
      </x:c>
      <x:c r="N2432" t="str">
        <x:v>KOHLENBERG LARS</x:v>
      </x:c>
      <x:c r="O2432" t="str">
        <x:v>VOLKSWOHL BUND Lebensversicherung a.G.</x:v>
      </x:c>
      <x:c r="P2432" t="str">
        <x:v>009893595 LA000750566/ 009893595 LEBEN 66,15</x:v>
      </x:c>
      <x:c r="Q2432" t="str">
        <x:v>Ausgang</x:v>
      </x:c>
      <x:c r="R2432" t="str">
        <x:v>DE76440400370361155500</x:v>
      </x:c>
      <x:c r="S2432" t="n">
        <x:v>-66.15</x:v>
      </x:c>
      <x:c r="T2432" t="str">
        <x:v>DE13ZZZ00000141064</x:v>
      </x:c>
      <x:c r="U2432" t="str">
        <x:v>LA000750566</x:v>
      </x:c>
      <x:c r="V2432" t="str">
        <x:v>009893595/NVMA.G1069-349715</x:v>
      </x:c>
    </x:row>
    <x:row r="2433">
      <x:c r="A2433" t="str">
        <x:v>RAW-IMP-20260516-FULLDRAFT-002416</x:v>
      </x:c>
      <x:c r="B2433" t="str">
        <x:v>IMP-20260516-FULLDRAFT</x:v>
      </x:c>
      <x:c r="C2433" t="str">
        <x:v>KTO001</x:v>
      </x:c>
      <x:c r="D2433" t="str">
        <x:v>16-05-2026_Umsatzliste_Girokonto_DE98120300001061711675.csv</x:v>
      </x:c>
      <x:c r="E2433" t="n">
        <x:v>46163</x:v>
      </x:c>
      <x:c r="F2433" t="n">
        <x:v>2416</x:v>
      </x:c>
      <x:c r="G2433" t="str">
        <x:v>e5ecbb053519bff5b7e1a0bc0deea557defbad6d91f4daf97706a9dd931e6277</x:v>
      </x:c>
      <x:c r="H2433" t="str">
        <x:v>neu</x:v>
      </x:c>
      <x:c r="I2433" t="str">
        <x:v>ok</x:v>
      </x:c>
      <x:c r="J2433"/>
      <x:c r="K2433" t="n">
        <x:v>45352</x:v>
      </x:c>
      <x:c r="L2433" t="n">
        <x:v>45352</x:v>
      </x:c>
      <x:c r="M2433" t="str">
        <x:v>Gebucht</x:v>
      </x:c>
      <x:c r="N2433" t="str">
        <x:v>Lars Kohlenberg</x:v>
      </x:c>
      <x:c r="O2433" t="str">
        <x:v>LARS KOHLENBERG</x:v>
      </x:c>
      <x:c r="P2433" t="str">
        <x:v>Sparrate 650,- + 750 EUR Mieteinnahmen</x:v>
      </x:c>
      <x:c r="Q2433" t="str">
        <x:v>Ausgang</x:v>
      </x:c>
      <x:c r="R2433" t="str">
        <x:v>DE91270200001510365800</x:v>
      </x:c>
      <x:c r="S2433" t="n">
        <x:v>-1400</x:v>
      </x:c>
      <x:c r="T2433" t="str">
        <x:v>"</x:v>
      </x:c>
      <x:c r="U2433" t="str">
        <x:v>"</x:v>
      </x:c>
      <x:c r="V2433" t="str">
        <x:v>"</x:v>
      </x:c>
    </x:row>
    <x:row r="2434">
      <x:c r="A2434" t="str">
        <x:v>RAW-IMP-20260516-FULLDRAFT-002417</x:v>
      </x:c>
      <x:c r="B2434" t="str">
        <x:v>IMP-20260516-FULLDRAFT</x:v>
      </x:c>
      <x:c r="C2434" t="str">
        <x:v>KTO001</x:v>
      </x:c>
      <x:c r="D2434" t="str">
        <x:v>16-05-2026_Umsatzliste_Girokonto_DE98120300001061711675.csv</x:v>
      </x:c>
      <x:c r="E2434" t="n">
        <x:v>46163</x:v>
      </x:c>
      <x:c r="F2434" t="n">
        <x:v>2417</x:v>
      </x:c>
      <x:c r="G2434" t="str">
        <x:v>4d292255cb9d6464d246e3b4349c839a3b4897813b886c27351bc542f7d20e3c</x:v>
      </x:c>
      <x:c r="H2434" t="str">
        <x:v>neu</x:v>
      </x:c>
      <x:c r="I2434" t="str">
        <x:v>ok</x:v>
      </x:c>
      <x:c r="J2434"/>
      <x:c r="K2434" t="n">
        <x:v>45352</x:v>
      </x:c>
      <x:c r="L2434" t="n">
        <x:v>45352</x:v>
      </x:c>
      <x:c r="M2434" t="str">
        <x:v>Gebucht</x:v>
      </x:c>
      <x:c r="N2434" t="str">
        <x:v>Kohlenberg, Lars</x:v>
      </x:c>
      <x:c r="O2434" t="str">
        <x:v>IDEAL Lebensversicherung aG</x:v>
      </x:c>
      <x:c r="P2434" t="str">
        <x:v>2011216280009 LV 031</x:v>
      </x:c>
      <x:c r="Q2434" t="str">
        <x:v>Ausgang</x:v>
      </x:c>
      <x:c r="R2434" t="str">
        <x:v>DE36100700000460303100</x:v>
      </x:c>
      <x:c r="S2434" t="n">
        <x:v>-97.12</x:v>
      </x:c>
      <x:c r="T2434" t="str">
        <x:v>DE40ZZZ00000559230</x:v>
      </x:c>
      <x:c r="U2434" t="str">
        <x:v>2011216280009-001</x:v>
      </x:c>
      <x:c r="V2434" t="str">
        <x:v>GL,KL,PD-20240301-1-2011216280009-0</x:v>
      </x:c>
    </x:row>
    <x:row r="2435">
      <x:c r="A2435" t="str">
        <x:v>RAW-IMP-20260516-FULLDRAFT-002418</x:v>
      </x:c>
      <x:c r="B2435" t="str">
        <x:v>IMP-20260516-FULLDRAFT</x:v>
      </x:c>
      <x:c r="C2435" t="str">
        <x:v>KTO001</x:v>
      </x:c>
      <x:c r="D2435" t="str">
        <x:v>16-05-2026_Umsatzliste_Girokonto_DE98120300001061711675.csv</x:v>
      </x:c>
      <x:c r="E2435" t="n">
        <x:v>46163</x:v>
      </x:c>
      <x:c r="F2435" t="n">
        <x:v>2418</x:v>
      </x:c>
      <x:c r="G2435" t="str">
        <x:v>71609847e6b995c1dd00fcd02ff122b8a1078c66506620b3a38174fd6555db97</x:v>
      </x:c>
      <x:c r="H2435" t="str">
        <x:v>neu</x:v>
      </x:c>
      <x:c r="I2435" t="str">
        <x:v>ok</x:v>
      </x:c>
      <x:c r="J2435"/>
      <x:c r="K2435" t="n">
        <x:v>45352</x:v>
      </x:c>
      <x:c r="L2435" t="n">
        <x:v>45352</x:v>
      </x:c>
      <x:c r="M2435" t="str">
        <x:v>Gebucht</x:v>
      </x:c>
      <x:c r="N2435" t="str">
        <x:v>Kohlenberg Lars</x:v>
      </x:c>
      <x:c r="O2435" t="str">
        <x:v>Allianz Lebensvers. AG</x:v>
      </x:c>
      <x:c r="P2435" t="str">
        <x:v>330296196 0324</x:v>
      </x:c>
      <x:c r="Q2435" t="str">
        <x:v>Ausgang</x:v>
      </x:c>
      <x:c r="R2435" t="str">
        <x:v>DE77700202700062328142</x:v>
      </x:c>
      <x:c r="S2435" t="n">
        <x:v>-162.17</x:v>
      </x:c>
      <x:c r="T2435" t="str">
        <x:v>DE07ZZZ00000063475</x:v>
      </x:c>
      <x:c r="U2435" t="str">
        <x:v>LA01L312001066775296</x:v>
      </x:c>
      <x:c r="V2435" t="str">
        <x:v>A7024053-000330296196013129106493</x:v>
      </x:c>
    </x:row>
    <x:row r="2436">
      <x:c r="A2436" t="str">
        <x:v>RAW-IMP-20260516-FULLDRAFT-002419</x:v>
      </x:c>
      <x:c r="B2436" t="str">
        <x:v>IMP-20260516-FULLDRAFT</x:v>
      </x:c>
      <x:c r="C2436" t="str">
        <x:v>KTO001</x:v>
      </x:c>
      <x:c r="D2436" t="str">
        <x:v>16-05-2026_Umsatzliste_Girokonto_DE98120300001061711675.csv</x:v>
      </x:c>
      <x:c r="E2436" t="n">
        <x:v>46163</x:v>
      </x:c>
      <x:c r="F2436" t="n">
        <x:v>2419</x:v>
      </x:c>
      <x:c r="G2436" t="str">
        <x:v>7a37ad0dd3f4697c156f5e46e0947736c684abc8be5f7c0bce7ec95fa701cac9</x:v>
      </x:c>
      <x:c r="H2436" t="str">
        <x:v>neu</x:v>
      </x:c>
      <x:c r="I2436" t="str">
        <x:v>ok</x:v>
      </x:c>
      <x:c r="J2436"/>
      <x:c r="K2436" t="n">
        <x:v>45352</x:v>
      </x:c>
      <x:c r="L2436" t="n">
        <x:v>45352</x:v>
      </x:c>
      <x:c r="M2436" t="str">
        <x:v>Gebucht</x:v>
      </x:c>
      <x:c r="N2436" t="str">
        <x:v>KOHLENBERG, LARS</x:v>
      </x:c>
      <x:c r="O2436" t="str">
        <x:v>Lars und Katrin Kohlenberg</x:v>
      </x:c>
      <x:c r="P2436" t="str">
        <x:v>10009544 VERMOEGENSDEPOT SAMMELBUCHUNG SPARPLAN WKN A1C9ED, 847809</x:v>
      </x:c>
      <x:c r="Q2436" t="str">
        <x:v>Ausgang</x:v>
      </x:c>
      <x:c r="R2436" t="str">
        <x:v>DE27672300000506966162</x:v>
      </x:c>
      <x:c r="S2436" t="n">
        <x:v>-600</x:v>
      </x:c>
      <x:c r="T2436" t="str">
        <x:v>DE53ZZZ00000010849</x:v>
      </x:c>
      <x:c r="U2436" t="str">
        <x:v>WPBF0000180845</x:v>
      </x:c>
      <x:c r="V2436" t="str">
        <x:v>SPARSP 14031479</x:v>
      </x:c>
    </x:row>
    <x:row r="2437">
      <x:c r="A2437" t="str">
        <x:v>RAW-IMP-20260516-FULLDRAFT-002420</x:v>
      </x:c>
      <x:c r="B2437" t="str">
        <x:v>IMP-20260516-FULLDRAFT</x:v>
      </x:c>
      <x:c r="C2437" t="str">
        <x:v>KTO001</x:v>
      </x:c>
      <x:c r="D2437" t="str">
        <x:v>16-05-2026_Umsatzliste_Girokonto_DE98120300001061711675.csv</x:v>
      </x:c>
      <x:c r="E2437" t="n">
        <x:v>46163</x:v>
      </x:c>
      <x:c r="F2437" t="n">
        <x:v>2420</x:v>
      </x:c>
      <x:c r="G2437" t="str">
        <x:v>f4c71a2b886aebc66a9ba9423af4691589716867bc87d7ad8fe1e28eb9feb381</x:v>
      </x:c>
      <x:c r="H2437" t="str">
        <x:v>neu</x:v>
      </x:c>
      <x:c r="I2437" t="str">
        <x:v>ok</x:v>
      </x:c>
      <x:c r="J2437"/>
      <x:c r="K2437" t="n">
        <x:v>45351</x:v>
      </x:c>
      <x:c r="L2437" t="n">
        <x:v>45351</x:v>
      </x:c>
      <x:c r="M2437" t="str">
        <x:v>Gebucht</x:v>
      </x:c>
      <x:c r="N2437" t="str">
        <x:v>Lars Kohlenberg</x:v>
      </x:c>
      <x:c r="O2437" t="str">
        <x:v>LARS KOHLENBERG</x:v>
      </x:c>
      <x:c r="P2437" t="str">
        <x:v>Zins und Tilgung zu 2/3</x:v>
      </x:c>
      <x:c r="Q2437" t="str">
        <x:v>Ausgang</x:v>
      </x:c>
      <x:c r="R2437" t="str">
        <x:v>DE33269910668923736000</x:v>
      </x:c>
      <x:c r="S2437" t="n">
        <x:v>-1153.94</x:v>
      </x:c>
      <x:c r="T2437" t="str">
        <x:v>"</x:v>
      </x:c>
      <x:c r="U2437" t="str">
        <x:v>"</x:v>
      </x:c>
      <x:c r="V2437" t="str">
        <x:v>"</x:v>
      </x:c>
    </x:row>
    <x:row r="2438">
      <x:c r="A2438" t="str">
        <x:v>RAW-IMP-20260516-FULLDRAFT-002421</x:v>
      </x:c>
      <x:c r="B2438" t="str">
        <x:v>IMP-20260516-FULLDRAFT</x:v>
      </x:c>
      <x:c r="C2438" t="str">
        <x:v>KTO001</x:v>
      </x:c>
      <x:c r="D2438" t="str">
        <x:v>16-05-2026_Umsatzliste_Girokonto_DE98120300001061711675.csv</x:v>
      </x:c>
      <x:c r="E2438" t="n">
        <x:v>46163</x:v>
      </x:c>
      <x:c r="F2438" t="n">
        <x:v>2421</x:v>
      </x:c>
      <x:c r="G2438" t="str">
        <x:v>0c6ae3c4d7b4215a19b0bd6cbcc212516e518c73553183768292f1b9803d81cc</x:v>
      </x:c>
      <x:c r="H2438" t="str">
        <x:v>neu</x:v>
      </x:c>
      <x:c r="I2438" t="str">
        <x:v>ok</x:v>
      </x:c>
      <x:c r="J2438"/>
      <x:c r="K2438" t="n">
        <x:v>45350</x:v>
      </x:c>
      <x:c r="L2438" t="n">
        <x:v>45350</x:v>
      </x:c>
      <x:c r="M2438" t="str">
        <x:v>Gebucht</x:v>
      </x:c>
      <x:c r="N2438" t="str">
        <x:v>Wolkenmacher GmbH</x:v>
      </x:c>
      <x:c r="O2438" t="str">
        <x:v>Kohlenberg Lars</x:v>
      </x:c>
      <x:c r="P2438" t="str">
        <x:v>Lohn-Gehalt Abrechnung 02/2024</x:v>
      </x:c>
      <x:c r="Q2438" t="str">
        <x:v>Eingang</x:v>
      </x:c>
      <x:c r="R2438" t="str">
        <x:v>DE30270700300031340300</x:v>
      </x:c>
      <x:c r="S2438" t="n">
        <x:v>7709.94</x:v>
      </x:c>
      <x:c r="T2438" t="str">
        <x:v>"</x:v>
      </x:c>
      <x:c r="U2438" t="str">
        <x:v>"</x:v>
      </x:c>
      <x:c r="V2438" t="str">
        <x:v>2402201117-0000001</x:v>
      </x:c>
    </x:row>
    <x:row r="2439">
      <x:c r="A2439" t="str">
        <x:v>RAW-IMP-20260516-FULLDRAFT-002422</x:v>
      </x:c>
      <x:c r="B2439" t="str">
        <x:v>IMP-20260516-FULLDRAFT</x:v>
      </x:c>
      <x:c r="C2439" t="str">
        <x:v>KTO001</x:v>
      </x:c>
      <x:c r="D2439" t="str">
        <x:v>16-05-2026_Umsatzliste_Girokonto_DE98120300001061711675.csv</x:v>
      </x:c>
      <x:c r="E2439" t="n">
        <x:v>46163</x:v>
      </x:c>
      <x:c r="F2439" t="n">
        <x:v>2422</x:v>
      </x:c>
      <x:c r="G2439" t="str">
        <x:v>a78cf211452739b4bc158364ad87976ffebed1c1ecb0c8cafc3524e3d36ea649</x:v>
      </x:c>
      <x:c r="H2439" t="str">
        <x:v>neu</x:v>
      </x:c>
      <x:c r="I2439" t="str">
        <x:v>ok</x:v>
      </x:c>
      <x:c r="J2439"/>
      <x:c r="K2439" t="n">
        <x:v>45350</x:v>
      </x:c>
      <x:c r="L2439" t="n">
        <x:v>45350</x:v>
      </x:c>
      <x:c r="M2439" t="str">
        <x:v>Gebucht</x:v>
      </x:c>
      <x:c r="N2439" t="str">
        <x:v>ISSUER</x:v>
      </x:c>
      <x:c r="O2439" t="str">
        <x:v>SUMUP .CAFE BIANCO GBR</x:v>
      </x:c>
      <x:c r="P2439" t="str">
        <x:v>VISA Debitkartenumsatz vom 27.02.2024</x:v>
      </x:c>
      <x:c r="Q2439" t="str">
        <x:v>Ausgang</x:v>
      </x:c>
      <x:c r="R2439" t="str">
        <x:v>DE96120300009005290904</x:v>
      </x:c>
      <x:c r="S2439" t="n">
        <x:v>-12.7</x:v>
      </x:c>
      <x:c r="T2439" t="str">
        <x:v>"</x:v>
      </x:c>
      <x:c r="U2439" t="str">
        <x:v>"</x:v>
      </x:c>
      <x:c r="V2439" t="str">
        <x:v>484058517686105</x:v>
      </x:c>
    </x:row>
    <x:row r="2440">
      <x:c r="A2440" t="str">
        <x:v>RAW-IMP-20260516-FULLDRAFT-002423</x:v>
      </x:c>
      <x:c r="B2440" t="str">
        <x:v>IMP-20260516-FULLDRAFT</x:v>
      </x:c>
      <x:c r="C2440" t="str">
        <x:v>KTO001</x:v>
      </x:c>
      <x:c r="D2440" t="str">
        <x:v>16-05-2026_Umsatzliste_Girokonto_DE98120300001061711675.csv</x:v>
      </x:c>
      <x:c r="E2440" t="n">
        <x:v>46163</x:v>
      </x:c>
      <x:c r="F2440" t="n">
        <x:v>2423</x:v>
      </x:c>
      <x:c r="G2440" t="str">
        <x:v>365ec4cb881672efdb2cb9e269fd41212f54376e2a34c46fc1062c7bc14474a8</x:v>
      </x:c>
      <x:c r="H2440" t="str">
        <x:v>neu</x:v>
      </x:c>
      <x:c r="I2440" t="str">
        <x:v>ok</x:v>
      </x:c>
      <x:c r="J2440"/>
      <x:c r="K2440" t="n">
        <x:v>45350</x:v>
      </x:c>
      <x:c r="L2440" t="n">
        <x:v>45350</x:v>
      </x:c>
      <x:c r="M2440" t="str">
        <x:v>Gebucht</x:v>
      </x:c>
      <x:c r="N2440" t="str">
        <x:v>ISSUER</x:v>
      </x:c>
      <x:c r="O2440" t="str">
        <x:v>REWE Salzgitter.Ge</x:v>
      </x:c>
      <x:c r="P2440" t="str">
        <x:v>VISA Debitkartenumsatz vom 27.02.2024</x:v>
      </x:c>
      <x:c r="Q2440" t="str">
        <x:v>Ausgang</x:v>
      </x:c>
      <x:c r="R2440" t="str">
        <x:v>DE96120300009005290904</x:v>
      </x:c>
      <x:c r="S2440" t="n">
        <x:v>-3.39</x:v>
      </x:c>
      <x:c r="T2440" t="str">
        <x:v>"</x:v>
      </x:c>
      <x:c r="U2440" t="str">
        <x:v>"</x:v>
      </x:c>
      <x:c r="V2440" t="str">
        <x:v>484058637483652</x:v>
      </x:c>
    </x:row>
    <x:row r="2441">
      <x:c r="A2441" t="str">
        <x:v>RAW-IMP-20260516-FULLDRAFT-002424</x:v>
      </x:c>
      <x:c r="B2441" t="str">
        <x:v>IMP-20260516-FULLDRAFT</x:v>
      </x:c>
      <x:c r="C2441" t="str">
        <x:v>KTO001</x:v>
      </x:c>
      <x:c r="D2441" t="str">
        <x:v>16-05-2026_Umsatzliste_Girokonto_DE98120300001061711675.csv</x:v>
      </x:c>
      <x:c r="E2441" t="n">
        <x:v>46163</x:v>
      </x:c>
      <x:c r="F2441" t="n">
        <x:v>2424</x:v>
      </x:c>
      <x:c r="G2441" t="str">
        <x:v>54c0b3db85c1cf9c96b83875bdb47a20a3d7f8fa7ace0c1076fde6da96574cdc</x:v>
      </x:c>
      <x:c r="H2441" t="str">
        <x:v>neu</x:v>
      </x:c>
      <x:c r="I2441" t="str">
        <x:v>ok</x:v>
      </x:c>
      <x:c r="J2441"/>
      <x:c r="K2441" t="n">
        <x:v>45350</x:v>
      </x:c>
      <x:c r="L2441" t="n">
        <x:v>45350</x:v>
      </x:c>
      <x:c r="M2441" t="str">
        <x:v>Gebucht</x:v>
      </x:c>
      <x:c r="N2441" t="str">
        <x:v>ISSUER</x:v>
      </x:c>
      <x:c r="O2441" t="str">
        <x:v>Raststaette Muldental S</x:v>
      </x:c>
      <x:c r="P2441" t="str">
        <x:v>VISA Debitkartenumsatz vom 27.02.2024</x:v>
      </x:c>
      <x:c r="Q2441" t="str">
        <x:v>Ausgang</x:v>
      </x:c>
      <x:c r="R2441" t="str">
        <x:v>DE96120300009005290904</x:v>
      </x:c>
      <x:c r="S2441" t="n">
        <x:v>-8</x:v>
      </x:c>
      <x:c r="T2441" t="str">
        <x:v>"</x:v>
      </x:c>
      <x:c r="U2441" t="str">
        <x:v>"</x:v>
      </x:c>
      <x:c r="V2441" t="str">
        <x:v>484058324630169</x:v>
      </x:c>
    </x:row>
    <x:row r="2442">
      <x:c r="A2442" t="str">
        <x:v>RAW-IMP-20260516-FULLDRAFT-002425</x:v>
      </x:c>
      <x:c r="B2442" t="str">
        <x:v>IMP-20260516-FULLDRAFT</x:v>
      </x:c>
      <x:c r="C2442" t="str">
        <x:v>KTO001</x:v>
      </x:c>
      <x:c r="D2442" t="str">
        <x:v>16-05-2026_Umsatzliste_Girokonto_DE98120300001061711675.csv</x:v>
      </x:c>
      <x:c r="E2442" t="n">
        <x:v>46163</x:v>
      </x:c>
      <x:c r="F2442" t="n">
        <x:v>2425</x:v>
      </x:c>
      <x:c r="G2442" t="str">
        <x:v>518641b336c2c560ddbaa49ad418fe1cf8bbb670f51ee91c9a255c0d955fafcd</x:v>
      </x:c>
      <x:c r="H2442" t="str">
        <x:v>neu</x:v>
      </x:c>
      <x:c r="I2442" t="str">
        <x:v>ok</x:v>
      </x:c>
      <x:c r="J2442"/>
      <x:c r="K2442" t="n">
        <x:v>45350</x:v>
      </x:c>
      <x:c r="L2442" t="n">
        <x:v>45350</x:v>
      </x:c>
      <x:c r="M2442" t="str">
        <x:v>Gebucht</x:v>
      </x:c>
      <x:c r="N2442" t="str">
        <x:v>ISSUER</x:v>
      </x:c>
      <x:c r="O2442" t="str">
        <x:v>KAUFLAND SALZGITTER CIT</x:v>
      </x:c>
      <x:c r="P2442" t="str">
        <x:v>VISA Debitkartenumsatz vom 26.02.2024</x:v>
      </x:c>
      <x:c r="Q2442" t="str">
        <x:v>Ausgang</x:v>
      </x:c>
      <x:c r="R2442" t="str">
        <x:v>DE96120300009005290904</x:v>
      </x:c>
      <x:c r="S2442" t="n">
        <x:v>-3.09</x:v>
      </x:c>
      <x:c r="T2442" t="str">
        <x:v>"</x:v>
      </x:c>
      <x:c r="U2442" t="str">
        <x:v>"</x:v>
      </x:c>
      <x:c r="V2442" t="str">
        <x:v>484057588753683</x:v>
      </x:c>
    </x:row>
    <x:row r="2443">
      <x:c r="A2443" t="str">
        <x:v>RAW-IMP-20260516-FULLDRAFT-002426</x:v>
      </x:c>
      <x:c r="B2443" t="str">
        <x:v>IMP-20260516-FULLDRAFT</x:v>
      </x:c>
      <x:c r="C2443" t="str">
        <x:v>KTO001</x:v>
      </x:c>
      <x:c r="D2443" t="str">
        <x:v>16-05-2026_Umsatzliste_Girokonto_DE98120300001061711675.csv</x:v>
      </x:c>
      <x:c r="E2443" t="n">
        <x:v>46163</x:v>
      </x:c>
      <x:c r="F2443" t="n">
        <x:v>2426</x:v>
      </x:c>
      <x:c r="G2443" t="str">
        <x:v>6e1e628a7821ebd5da62d27fca390610b55aef21e11b6aeab67b576250ef3f4c</x:v>
      </x:c>
      <x:c r="H2443" t="str">
        <x:v>neu</x:v>
      </x:c>
      <x:c r="I2443" t="str">
        <x:v>ok</x:v>
      </x:c>
      <x:c r="J2443"/>
      <x:c r="K2443" t="n">
        <x:v>45350</x:v>
      </x:c>
      <x:c r="L2443" t="n">
        <x:v>45350</x:v>
      </x:c>
      <x:c r="M2443" t="str">
        <x:v>Gebucht</x:v>
      </x:c>
      <x:c r="N2443" t="str">
        <x:v>Kohlenberg, Katrin</x:v>
      </x:c>
      <x:c r="O2443" t="str">
        <x:v>WEVG Salzgitter GmbH + Co. KG</x:v>
      </x:c>
      <x:c r="P2443" t="str">
        <x:v>Kd-Nr 79288 Einz 28.02.24 100833/70.00/Johannes-Wosni</x:v>
      </x:c>
      <x:c r="Q2443" t="str">
        <x:v>Ausgang</x:v>
      </x:c>
      <x:c r="R2443" t="str">
        <x:v>DE19300700100394127500</x:v>
      </x:c>
      <x:c r="S2443" t="n">
        <x:v>-70</x:v>
      </x:c>
      <x:c r="T2443" t="str">
        <x:v>DE83WEV00000032716</x:v>
      </x:c>
      <x:c r="U2443" t="str">
        <x:v>WEVG0000079288G1000178580</x:v>
      </x:c>
      <x:c r="V2443" t="str">
        <x:v>12817601</x:v>
      </x:c>
    </x:row>
    <x:row r="2444">
      <x:c r="A2444" t="str">
        <x:v>RAW-IMP-20260516-FULLDRAFT-002427</x:v>
      </x:c>
      <x:c r="B2444" t="str">
        <x:v>IMP-20260516-FULLDRAFT</x:v>
      </x:c>
      <x:c r="C2444" t="str">
        <x:v>KTO001</x:v>
      </x:c>
      <x:c r="D2444" t="str">
        <x:v>16-05-2026_Umsatzliste_Girokonto_DE98120300001061711675.csv</x:v>
      </x:c>
      <x:c r="E2444" t="n">
        <x:v>46163</x:v>
      </x:c>
      <x:c r="F2444" t="n">
        <x:v>2427</x:v>
      </x:c>
      <x:c r="G2444" t="str">
        <x:v>938ae0face3d921121663c9db1015d4a2e3be42a6a03533f55fe1a1825119554</x:v>
      </x:c>
      <x:c r="H2444" t="str">
        <x:v>neu</x:v>
      </x:c>
      <x:c r="I2444" t="str">
        <x:v>ok</x:v>
      </x:c>
      <x:c r="J2444"/>
      <x:c r="K2444" t="n">
        <x:v>45349</x:v>
      </x:c>
      <x:c r="L2444" t="n">
        <x:v>45349</x:v>
      </x:c>
      <x:c r="M2444" t="str">
        <x:v>Gebucht</x:v>
      </x:c>
      <x:c r="N2444" t="str">
        <x:v>ISSUER</x:v>
      </x:c>
      <x:c r="O2444" t="str">
        <x:v>LOEWENBAECKER SCHAPER</x:v>
      </x:c>
      <x:c r="P2444" t="str">
        <x:v>VISA Debitkartenumsatz vom 26.02.2024</x:v>
      </x:c>
      <x:c r="Q2444" t="str">
        <x:v>Ausgang</x:v>
      </x:c>
      <x:c r="R2444" t="str">
        <x:v>DE96120300009005290904</x:v>
      </x:c>
      <x:c r="S2444" t="n">
        <x:v>-2.75</x:v>
      </x:c>
      <x:c r="T2444" t="str">
        <x:v>"</x:v>
      </x:c>
      <x:c r="U2444" t="str">
        <x:v>"</x:v>
      </x:c>
      <x:c r="V2444" t="str">
        <x:v>484057597574304</x:v>
      </x:c>
    </x:row>
    <x:row r="2445">
      <x:c r="A2445" t="str">
        <x:v>RAW-IMP-20260516-FULLDRAFT-002428</x:v>
      </x:c>
      <x:c r="B2445" t="str">
        <x:v>IMP-20260516-FULLDRAFT</x:v>
      </x:c>
      <x:c r="C2445" t="str">
        <x:v>KTO001</x:v>
      </x:c>
      <x:c r="D2445" t="str">
        <x:v>16-05-2026_Umsatzliste_Girokonto_DE98120300001061711675.csv</x:v>
      </x:c>
      <x:c r="E2445" t="n">
        <x:v>46163</x:v>
      </x:c>
      <x:c r="F2445" t="n">
        <x:v>2428</x:v>
      </x:c>
      <x:c r="G2445" t="str">
        <x:v>c4b7897f540ee964a0aa7d675eb4501d014193ab481612b063d040ba69ff31be</x:v>
      </x:c>
      <x:c r="H2445" t="str">
        <x:v>neu</x:v>
      </x:c>
      <x:c r="I2445" t="str">
        <x:v>ok</x:v>
      </x:c>
      <x:c r="J2445"/>
      <x:c r="K2445" t="n">
        <x:v>45349</x:v>
      </x:c>
      <x:c r="L2445" t="n">
        <x:v>45349</x:v>
      </x:c>
      <x:c r="M2445" t="str">
        <x:v>Gebucht</x:v>
      </x:c>
      <x:c r="N2445" t="str">
        <x:v>ISSUER</x:v>
      </x:c>
      <x:c r="O2445" t="str">
        <x:v>ALDI SAGT DANKE</x:v>
      </x:c>
      <x:c r="P2445" t="str">
        <x:v>VISA Debitkartenumsatz vom 26.02.2024</x:v>
      </x:c>
      <x:c r="Q2445" t="str">
        <x:v>Ausgang</x:v>
      </x:c>
      <x:c r="R2445" t="str">
        <x:v>DE96120300009005290904</x:v>
      </x:c>
      <x:c r="S2445" t="n">
        <x:v>-4.68</x:v>
      </x:c>
      <x:c r="T2445" t="str">
        <x:v>"</x:v>
      </x:c>
      <x:c r="U2445" t="str">
        <x:v>"</x:v>
      </x:c>
      <x:c r="V2445" t="str">
        <x:v>484057411710988</x:v>
      </x:c>
    </x:row>
    <x:row r="2446">
      <x:c r="A2446" t="str">
        <x:v>RAW-IMP-20260516-FULLDRAFT-002429</x:v>
      </x:c>
      <x:c r="B2446" t="str">
        <x:v>IMP-20260516-FULLDRAFT</x:v>
      </x:c>
      <x:c r="C2446" t="str">
        <x:v>KTO001</x:v>
      </x:c>
      <x:c r="D2446" t="str">
        <x:v>16-05-2026_Umsatzliste_Girokonto_DE98120300001061711675.csv</x:v>
      </x:c>
      <x:c r="E2446" t="n">
        <x:v>46163</x:v>
      </x:c>
      <x:c r="F2446" t="n">
        <x:v>2429</x:v>
      </x:c>
      <x:c r="G2446" t="str">
        <x:v>a00b1337878d1ee5982d1a328c85418a923fe03da652b28017c6b88eda01a5c4</x:v>
      </x:c>
      <x:c r="H2446" t="str">
        <x:v>neu</x:v>
      </x:c>
      <x:c r="I2446" t="str">
        <x:v>ok</x:v>
      </x:c>
      <x:c r="J2446"/>
      <x:c r="K2446" t="n">
        <x:v>45349</x:v>
      </x:c>
      <x:c r="L2446" t="n">
        <x:v>45349</x:v>
      </x:c>
      <x:c r="M2446" t="str">
        <x:v>Gebucht</x:v>
      </x:c>
      <x:c r="N2446" t="str">
        <x:v>ISSUER</x:v>
      </x:c>
      <x:c r="O2446" t="str">
        <x:v>NORD.LB . Braunschweigi</x:v>
      </x:c>
      <x:c r="P2446" t="str">
        <x:v>VISA Debitkartenumsatz vom 26.02.2024</x:v>
      </x:c>
      <x:c r="Q2446" t="str">
        <x:v>Ausgang</x:v>
      </x:c>
      <x:c r="R2446" t="str">
        <x:v>DE96120300009005290904</x:v>
      </x:c>
      <x:c r="S2446" t="n">
        <x:v>-50</x:v>
      </x:c>
      <x:c r="T2446" t="str">
        <x:v>"</x:v>
      </x:c>
      <x:c r="U2446" t="str">
        <x:v>"</x:v>
      </x:c>
      <x:c r="V2446" t="str">
        <x:v>484057591790429</x:v>
      </x:c>
    </x:row>
    <x:row r="2447">
      <x:c r="A2447" t="str">
        <x:v>RAW-IMP-20260516-FULLDRAFT-002430</x:v>
      </x:c>
      <x:c r="B2447" t="str">
        <x:v>IMP-20260516-FULLDRAFT</x:v>
      </x:c>
      <x:c r="C2447" t="str">
        <x:v>KTO001</x:v>
      </x:c>
      <x:c r="D2447" t="str">
        <x:v>16-05-2026_Umsatzliste_Girokonto_DE98120300001061711675.csv</x:v>
      </x:c>
      <x:c r="E2447" t="n">
        <x:v>46163</x:v>
      </x:c>
      <x:c r="F2447" t="n">
        <x:v>2430</x:v>
      </x:c>
      <x:c r="G2447" t="str">
        <x:v>50cf3b961c3a891c24423846db99ce88187ad7cf4ab003a2689117012459d647</x:v>
      </x:c>
      <x:c r="H2447" t="str">
        <x:v>neu</x:v>
      </x:c>
      <x:c r="I2447" t="str">
        <x:v>ok</x:v>
      </x:c>
      <x:c r="J2447"/>
      <x:c r="K2447" t="n">
        <x:v>45349</x:v>
      </x:c>
      <x:c r="L2447" t="n">
        <x:v>45349</x:v>
      </x:c>
      <x:c r="M2447" t="str">
        <x:v>Gebucht</x:v>
      </x:c>
      <x:c r="N2447" t="str">
        <x:v>Lars Kohlenberg                                                       JohannesWosnitzaStr.</x:v>
      </x:c>
      <x:c r="O2447" t="str">
        <x:v>Adyen N.V.</x:v>
      </x:c>
      <x:c r="P2447" t="str">
        <x:v>GMX by LOTTO24 C98983063 T818665901939</x:v>
      </x:c>
      <x:c r="Q2447" t="str">
        <x:v>Ausgang</x:v>
      </x:c>
      <x:c r="R2447" t="str">
        <x:v>DE11120700700020000603</x:v>
      </x:c>
      <x:c r="S2447" t="n">
        <x:v>-8.24</x:v>
      </x:c>
      <x:c r="T2447" t="str">
        <x:v>NL48ZZZ342764500000</x:v>
      </x:c>
      <x:c r="U2447" t="str">
        <x:v>R372DKN5SSBXZP52</x:v>
      </x:c>
      <x:c r="V2447" t="str">
        <x:v>CWRSVQV7985WSLKH2C</x:v>
      </x:c>
    </x:row>
    <x:row r="2448">
      <x:c r="A2448" t="str">
        <x:v>RAW-IMP-20260516-FULLDRAFT-002431</x:v>
      </x:c>
      <x:c r="B2448" t="str">
        <x:v>IMP-20260516-FULLDRAFT</x:v>
      </x:c>
      <x:c r="C2448" t="str">
        <x:v>KTO001</x:v>
      </x:c>
      <x:c r="D2448" t="str">
        <x:v>16-05-2026_Umsatzliste_Girokonto_DE98120300001061711675.csv</x:v>
      </x:c>
      <x:c r="E2448" t="n">
        <x:v>46163</x:v>
      </x:c>
      <x:c r="F2448" t="n">
        <x:v>2431</x:v>
      </x:c>
      <x:c r="G2448" t="str">
        <x:v>eb76f9215c3a3029a9cd9cb275b9f0d16983891d23e3ff26166c25148b1d180e</x:v>
      </x:c>
      <x:c r="H2448" t="str">
        <x:v>neu</x:v>
      </x:c>
      <x:c r="I2448" t="str">
        <x:v>ok</x:v>
      </x:c>
      <x:c r="J2448"/>
      <x:c r="K2448" t="n">
        <x:v>45348</x:v>
      </x:c>
      <x:c r="L2448" t="n">
        <x:v>45348</x:v>
      </x:c>
      <x:c r="M2448" t="str">
        <x:v>Gebucht</x:v>
      </x:c>
      <x:c r="N2448" t="str">
        <x:v>ISSUER</x:v>
      </x:c>
      <x:c r="O2448" t="str">
        <x:v>Amazon.de</x:v>
      </x:c>
      <x:c r="P2448" t="str">
        <x:v>VISA Debitkartenumsatz vom 26.02.2024</x:v>
      </x:c>
      <x:c r="Q2448" t="str">
        <x:v>Ausgang</x:v>
      </x:c>
      <x:c r="R2448" t="str">
        <x:v>DE96120300009005290904</x:v>
      </x:c>
      <x:c r="S2448" t="n">
        <x:v>-59.99</x:v>
      </x:c>
      <x:c r="T2448" t="str">
        <x:v>"</x:v>
      </x:c>
      <x:c r="U2448" t="str">
        <x:v>"</x:v>
      </x:c>
      <x:c r="V2448" t="str">
        <x:v>484055471204654</x:v>
      </x:c>
    </x:row>
    <x:row r="2449">
      <x:c r="A2449" t="str">
        <x:v>RAW-IMP-20260516-FULLDRAFT-002432</x:v>
      </x:c>
      <x:c r="B2449" t="str">
        <x:v>IMP-20260516-FULLDRAFT</x:v>
      </x:c>
      <x:c r="C2449" t="str">
        <x:v>KTO001</x:v>
      </x:c>
      <x:c r="D2449" t="str">
        <x:v>16-05-2026_Umsatzliste_Girokonto_DE98120300001061711675.csv</x:v>
      </x:c>
      <x:c r="E2449" t="n">
        <x:v>46163</x:v>
      </x:c>
      <x:c r="F2449" t="n">
        <x:v>2432</x:v>
      </x:c>
      <x:c r="G2449" t="str">
        <x:v>2b036e8175f430f293d37bb49ebe719843c827ba98d128d95379e070b328ac69</x:v>
      </x:c>
      <x:c r="H2449" t="str">
        <x:v>neu</x:v>
      </x:c>
      <x:c r="I2449" t="str">
        <x:v>ok</x:v>
      </x:c>
      <x:c r="J2449"/>
      <x:c r="K2449" t="n">
        <x:v>45348</x:v>
      </x:c>
      <x:c r="L2449" t="n">
        <x:v>45348</x:v>
      </x:c>
      <x:c r="M2449" t="str">
        <x:v>Gebucht</x:v>
      </x:c>
      <x:c r="N2449" t="str">
        <x:v>ISSUER</x:v>
      </x:c>
      <x:c r="O2449" t="str">
        <x:v>GAERTNEREI STARKE</x:v>
      </x:c>
      <x:c r="P2449" t="str">
        <x:v>VISA Debitkartenumsatz vom 23.02.2024</x:v>
      </x:c>
      <x:c r="Q2449" t="str">
        <x:v>Ausgang</x:v>
      </x:c>
      <x:c r="R2449" t="str">
        <x:v>DE96120300009005290904</x:v>
      </x:c>
      <x:c r="S2449" t="n">
        <x:v>-10</x:v>
      </x:c>
      <x:c r="T2449" t="str">
        <x:v>"</x:v>
      </x:c>
      <x:c r="U2449" t="str">
        <x:v>"</x:v>
      </x:c>
      <x:c r="V2449" t="str">
        <x:v>484054605597281</x:v>
      </x:c>
    </x:row>
    <x:row r="2450">
      <x:c r="A2450" t="str">
        <x:v>RAW-IMP-20260516-FULLDRAFT-002433</x:v>
      </x:c>
      <x:c r="B2450" t="str">
        <x:v>IMP-20260516-FULLDRAFT</x:v>
      </x:c>
      <x:c r="C2450" t="str">
        <x:v>KTO001</x:v>
      </x:c>
      <x:c r="D2450" t="str">
        <x:v>16-05-2026_Umsatzliste_Girokonto_DE98120300001061711675.csv</x:v>
      </x:c>
      <x:c r="E2450" t="n">
        <x:v>46163</x:v>
      </x:c>
      <x:c r="F2450" t="n">
        <x:v>2433</x:v>
      </x:c>
      <x:c r="G2450" t="str">
        <x:v>0d08ac76b5ccdd2270a8d355c48e3e8538fde331696d4d4740e4e1e8e2510812</x:v>
      </x:c>
      <x:c r="H2450" t="str">
        <x:v>neu</x:v>
      </x:c>
      <x:c r="I2450" t="str">
        <x:v>ok</x:v>
      </x:c>
      <x:c r="J2450"/>
      <x:c r="K2450" t="n">
        <x:v>45348</x:v>
      </x:c>
      <x:c r="L2450" t="n">
        <x:v>45348</x:v>
      </x:c>
      <x:c r="M2450" t="str">
        <x:v>Gebucht</x:v>
      </x:c>
      <x:c r="N2450" t="str">
        <x:v>ISSUER</x:v>
      </x:c>
      <x:c r="O2450" t="str">
        <x:v>Netto Marken-Discount</x:v>
      </x:c>
      <x:c r="P2450" t="str">
        <x:v>VISA Debitkartenumsatz vom 24.02.2024</x:v>
      </x:c>
      <x:c r="Q2450" t="str">
        <x:v>Ausgang</x:v>
      </x:c>
      <x:c r="R2450" t="str">
        <x:v>DE96120300009005290904</x:v>
      </x:c>
      <x:c r="S2450" t="n">
        <x:v>-1.24</x:v>
      </x:c>
      <x:c r="T2450" t="str">
        <x:v>"</x:v>
      </x:c>
      <x:c r="U2450" t="str">
        <x:v>"</x:v>
      </x:c>
      <x:c r="V2450" t="str">
        <x:v>484055430147888</x:v>
      </x:c>
    </x:row>
    <x:row r="2451">
      <x:c r="A2451" t="str">
        <x:v>RAW-IMP-20260516-FULLDRAFT-002434</x:v>
      </x:c>
      <x:c r="B2451" t="str">
        <x:v>IMP-20260516-FULLDRAFT</x:v>
      </x:c>
      <x:c r="C2451" t="str">
        <x:v>KTO001</x:v>
      </x:c>
      <x:c r="D2451" t="str">
        <x:v>16-05-2026_Umsatzliste_Girokonto_DE98120300001061711675.csv</x:v>
      </x:c>
      <x:c r="E2451" t="n">
        <x:v>46163</x:v>
      </x:c>
      <x:c r="F2451" t="n">
        <x:v>2434</x:v>
      </x:c>
      <x:c r="G2451" t="str">
        <x:v>90210dd73c78f01e1e5c702e32b54dc090a4e77248f28386db4f1254ed2cd5cc</x:v>
      </x:c>
      <x:c r="H2451" t="str">
        <x:v>neu</x:v>
      </x:c>
      <x:c r="I2451" t="str">
        <x:v>ok</x:v>
      </x:c>
      <x:c r="J2451"/>
      <x:c r="K2451" t="n">
        <x:v>45348</x:v>
      </x:c>
      <x:c r="L2451" t="n">
        <x:v>45348</x:v>
      </x:c>
      <x:c r="M2451" t="str">
        <x:v>Gebucht</x:v>
      </x:c>
      <x:c r="N2451" t="str">
        <x:v>ISSUER</x:v>
      </x:c>
      <x:c r="O2451" t="str">
        <x:v>NORD.LB . Braunschweigi</x:v>
      </x:c>
      <x:c r="P2451" t="str">
        <x:v>VISA Debitkartenumsatz vom 24.02.2024</x:v>
      </x:c>
      <x:c r="Q2451" t="str">
        <x:v>Ausgang</x:v>
      </x:c>
      <x:c r="R2451" t="str">
        <x:v>DE96120300009005290904</x:v>
      </x:c>
      <x:c r="S2451" t="n">
        <x:v>-500</x:v>
      </x:c>
      <x:c r="T2451" t="str">
        <x:v>"</x:v>
      </x:c>
      <x:c r="U2451" t="str">
        <x:v>"</x:v>
      </x:c>
      <x:c r="V2451" t="str">
        <x:v>384055242774624</x:v>
      </x:c>
    </x:row>
    <x:row r="2452">
      <x:c r="A2452" t="str">
        <x:v>RAW-IMP-20260516-FULLDRAFT-002435</x:v>
      </x:c>
      <x:c r="B2452" t="str">
        <x:v>IMP-20260516-FULLDRAFT</x:v>
      </x:c>
      <x:c r="C2452" t="str">
        <x:v>KTO001</x:v>
      </x:c>
      <x:c r="D2452" t="str">
        <x:v>16-05-2026_Umsatzliste_Girokonto_DE98120300001061711675.csv</x:v>
      </x:c>
      <x:c r="E2452" t="n">
        <x:v>46163</x:v>
      </x:c>
      <x:c r="F2452" t="n">
        <x:v>2435</x:v>
      </x:c>
      <x:c r="G2452" t="str">
        <x:v>c673a4f010f5bb34bb057936ee957426d841793fbfc31af2485c55e70909e8b7</x:v>
      </x:c>
      <x:c r="H2452" t="str">
        <x:v>neu</x:v>
      </x:c>
      <x:c r="I2452" t="str">
        <x:v>ok</x:v>
      </x:c>
      <x:c r="J2452"/>
      <x:c r="K2452" t="n">
        <x:v>45348</x:v>
      </x:c>
      <x:c r="L2452" t="n">
        <x:v>45348</x:v>
      </x:c>
      <x:c r="M2452" t="str">
        <x:v>Gebucht</x:v>
      </x:c>
      <x:c r="N2452" t="str">
        <x:v>ISSUER</x:v>
      </x:c>
      <x:c r="O2452" t="str">
        <x:v>REWE Salzgitter.Ge</x:v>
      </x:c>
      <x:c r="P2452" t="str">
        <x:v>VISA Debitkartenumsatz vom 24.02.2024</x:v>
      </x:c>
      <x:c r="Q2452" t="str">
        <x:v>Ausgang</x:v>
      </x:c>
      <x:c r="R2452" t="str">
        <x:v>DE96120300009005290904</x:v>
      </x:c>
      <x:c r="S2452" t="n">
        <x:v>-12.1</x:v>
      </x:c>
      <x:c r="T2452" t="str">
        <x:v>"</x:v>
      </x:c>
      <x:c r="U2452" t="str">
        <x:v>"</x:v>
      </x:c>
      <x:c r="V2452" t="str">
        <x:v>484055670575626</x:v>
      </x:c>
    </x:row>
    <x:row r="2453">
      <x:c r="A2453" t="str">
        <x:v>RAW-IMP-20260516-FULLDRAFT-002436</x:v>
      </x:c>
      <x:c r="B2453" t="str">
        <x:v>IMP-20260516-FULLDRAFT</x:v>
      </x:c>
      <x:c r="C2453" t="str">
        <x:v>KTO001</x:v>
      </x:c>
      <x:c r="D2453" t="str">
        <x:v>16-05-2026_Umsatzliste_Girokonto_DE98120300001061711675.csv</x:v>
      </x:c>
      <x:c r="E2453" t="n">
        <x:v>46163</x:v>
      </x:c>
      <x:c r="F2453" t="n">
        <x:v>2436</x:v>
      </x:c>
      <x:c r="G2453" t="str">
        <x:v>663514df95e030d872802f0b59f8815618692596312d8a7daf4b34f37874de0f</x:v>
      </x:c>
      <x:c r="H2453" t="str">
        <x:v>neu</x:v>
      </x:c>
      <x:c r="I2453" t="str">
        <x:v>ok</x:v>
      </x:c>
      <x:c r="J2453"/>
      <x:c r="K2453" t="n">
        <x:v>45348</x:v>
      </x:c>
      <x:c r="L2453" t="n">
        <x:v>45348</x:v>
      </x:c>
      <x:c r="M2453" t="str">
        <x:v>Gebucht</x:v>
      </x:c>
      <x:c r="N2453" t="str">
        <x:v>ISSUER</x:v>
      </x:c>
      <x:c r="O2453" t="str">
        <x:v>REWE Salzgitter.Ge</x:v>
      </x:c>
      <x:c r="P2453" t="str">
        <x:v>VISA Debitkartenumsatz vom 23.02.2024</x:v>
      </x:c>
      <x:c r="Q2453" t="str">
        <x:v>Ausgang</x:v>
      </x:c>
      <x:c r="R2453" t="str">
        <x:v>DE96120300009005290904</x:v>
      </x:c>
      <x:c r="S2453" t="n">
        <x:v>-72.11</x:v>
      </x:c>
      <x:c r="T2453" t="str">
        <x:v>"</x:v>
      </x:c>
      <x:c r="U2453" t="str">
        <x:v>"</x:v>
      </x:c>
      <x:c r="V2453" t="str">
        <x:v>484054619809686</x:v>
      </x:c>
    </x:row>
    <x:row r="2454">
      <x:c r="A2454" t="str">
        <x:v>RAW-IMP-20260516-FULLDRAFT-002437</x:v>
      </x:c>
      <x:c r="B2454" t="str">
        <x:v>IMP-20260516-FULLDRAFT</x:v>
      </x:c>
      <x:c r="C2454" t="str">
        <x:v>KTO001</x:v>
      </x:c>
      <x:c r="D2454" t="str">
        <x:v>16-05-2026_Umsatzliste_Girokonto_DE98120300001061711675.csv</x:v>
      </x:c>
      <x:c r="E2454" t="n">
        <x:v>46163</x:v>
      </x:c>
      <x:c r="F2454" t="n">
        <x:v>2437</x:v>
      </x:c>
      <x:c r="G2454" t="str">
        <x:v>a176b925ffc10d1b27d6e1fed7deebee4224538e0f1951b8eb7d99539dbf30ed</x:v>
      </x:c>
      <x:c r="H2454" t="str">
        <x:v>neu</x:v>
      </x:c>
      <x:c r="I2454" t="str">
        <x:v>ok</x:v>
      </x:c>
      <x:c r="J2454"/>
      <x:c r="K2454" t="n">
        <x:v>45345</x:v>
      </x:c>
      <x:c r="L2454" t="n">
        <x:v>45345</x:v>
      </x:c>
      <x:c r="M2454" t="str">
        <x:v>Gebucht</x:v>
      </x:c>
      <x:c r="N2454" t="str">
        <x:v>ISSUER</x:v>
      </x:c>
      <x:c r="O2454" t="str">
        <x:v>JOERG BARTHEL</x:v>
      </x:c>
      <x:c r="P2454" t="str">
        <x:v>VISA Debitkartenumsatz vom 22.02.2024</x:v>
      </x:c>
      <x:c r="Q2454" t="str">
        <x:v>Ausgang</x:v>
      </x:c>
      <x:c r="R2454" t="str">
        <x:v>DE96120300009005290904</x:v>
      </x:c>
      <x:c r="S2454" t="n">
        <x:v>-13</x:v>
      </x:c>
      <x:c r="T2454" t="str">
        <x:v>"</x:v>
      </x:c>
      <x:c r="U2454" t="str">
        <x:v>"</x:v>
      </x:c>
      <x:c r="V2454" t="str">
        <x:v>484053397903702</x:v>
      </x:c>
    </x:row>
    <x:row r="2455">
      <x:c r="A2455" t="str">
        <x:v>RAW-IMP-20260516-FULLDRAFT-002438</x:v>
      </x:c>
      <x:c r="B2455" t="str">
        <x:v>IMP-20260516-FULLDRAFT</x:v>
      </x:c>
      <x:c r="C2455" t="str">
        <x:v>KTO001</x:v>
      </x:c>
      <x:c r="D2455" t="str">
        <x:v>16-05-2026_Umsatzliste_Girokonto_DE98120300001061711675.csv</x:v>
      </x:c>
      <x:c r="E2455" t="n">
        <x:v>46163</x:v>
      </x:c>
      <x:c r="F2455" t="n">
        <x:v>2438</x:v>
      </x:c>
      <x:c r="G2455" t="str">
        <x:v>25fee36a7d2a72e5b5b03bea1e355bf09e1ef63ae7fd7a50e904da19f3a1d2a4</x:v>
      </x:c>
      <x:c r="H2455" t="str">
        <x:v>neu</x:v>
      </x:c>
      <x:c r="I2455" t="str">
        <x:v>ok</x:v>
      </x:c>
      <x:c r="J2455"/>
      <x:c r="K2455" t="n">
        <x:v>45345</x:v>
      </x:c>
      <x:c r="L2455" t="n">
        <x:v>45345</x:v>
      </x:c>
      <x:c r="M2455" t="str">
        <x:v>Gebucht</x:v>
      </x:c>
      <x:c r="N2455" t="str">
        <x:v>ISSUER</x:v>
      </x:c>
      <x:c r="O2455" t="str">
        <x:v>REWE Salzgitter.Ge</x:v>
      </x:c>
      <x:c r="P2455" t="str">
        <x:v>VISA Debitkartenumsatz vom 22.02.2024</x:v>
      </x:c>
      <x:c r="Q2455" t="str">
        <x:v>Ausgang</x:v>
      </x:c>
      <x:c r="R2455" t="str">
        <x:v>DE96120300009005290904</x:v>
      </x:c>
      <x:c r="S2455" t="n">
        <x:v>-20.02</x:v>
      </x:c>
      <x:c r="T2455" t="str">
        <x:v>"</x:v>
      </x:c>
      <x:c r="U2455" t="str">
        <x:v>"</x:v>
      </x:c>
      <x:c r="V2455" t="str">
        <x:v>484053590004340</x:v>
      </x:c>
    </x:row>
    <x:row r="2456">
      <x:c r="A2456" t="str">
        <x:v>RAW-IMP-20260516-FULLDRAFT-002439</x:v>
      </x:c>
      <x:c r="B2456" t="str">
        <x:v>IMP-20260516-FULLDRAFT</x:v>
      </x:c>
      <x:c r="C2456" t="str">
        <x:v>KTO001</x:v>
      </x:c>
      <x:c r="D2456" t="str">
        <x:v>16-05-2026_Umsatzliste_Girokonto_DE98120300001061711675.csv</x:v>
      </x:c>
      <x:c r="E2456" t="n">
        <x:v>46163</x:v>
      </x:c>
      <x:c r="F2456" t="n">
        <x:v>2439</x:v>
      </x:c>
      <x:c r="G2456" t="str">
        <x:v>7dee05bfa34bcb2b68b93b91d95ef1d538415886f3be14c8729b965ac16b68bc</x:v>
      </x:c>
      <x:c r="H2456" t="str">
        <x:v>neu</x:v>
      </x:c>
      <x:c r="I2456" t="str">
        <x:v>ok</x:v>
      </x:c>
      <x:c r="J2456"/>
      <x:c r="K2456" t="n">
        <x:v>45343</x:v>
      </x:c>
      <x:c r="L2456" t="n">
        <x:v>45343</x:v>
      </x:c>
      <x:c r="M2456" t="str">
        <x:v>Gebucht</x:v>
      </x:c>
      <x:c r="N2456" t="str">
        <x:v>ISSUER</x:v>
      </x:c>
      <x:c r="O2456" t="str">
        <x:v>Backerei Kamps</x:v>
      </x:c>
      <x:c r="P2456" t="str">
        <x:v>VISA Debitkartenumsatz vom 20.02.2024</x:v>
      </x:c>
      <x:c r="Q2456" t="str">
        <x:v>Ausgang</x:v>
      </x:c>
      <x:c r="R2456" t="str">
        <x:v>DE96120300009005290904</x:v>
      </x:c>
      <x:c r="S2456" t="n">
        <x:v>-9.14</x:v>
      </x:c>
      <x:c r="T2456" t="str">
        <x:v>"</x:v>
      </x:c>
      <x:c r="U2456" t="str">
        <x:v>"</x:v>
      </x:c>
      <x:c r="V2456" t="str">
        <x:v>484051418273630</x:v>
      </x:c>
    </x:row>
    <x:row r="2457">
      <x:c r="A2457" t="str">
        <x:v>RAW-IMP-20260516-FULLDRAFT-002440</x:v>
      </x:c>
      <x:c r="B2457" t="str">
        <x:v>IMP-20260516-FULLDRAFT</x:v>
      </x:c>
      <x:c r="C2457" t="str">
        <x:v>KTO001</x:v>
      </x:c>
      <x:c r="D2457" t="str">
        <x:v>16-05-2026_Umsatzliste_Girokonto_DE98120300001061711675.csv</x:v>
      </x:c>
      <x:c r="E2457" t="n">
        <x:v>46163</x:v>
      </x:c>
      <x:c r="F2457" t="n">
        <x:v>2440</x:v>
      </x:c>
      <x:c r="G2457" t="str">
        <x:v>5049d81db021733944084ab68d2f91be5fcf013cda6983ec3d4d37874458dcf2</x:v>
      </x:c>
      <x:c r="H2457" t="str">
        <x:v>neu</x:v>
      </x:c>
      <x:c r="I2457" t="str">
        <x:v>ok</x:v>
      </x:c>
      <x:c r="J2457"/>
      <x:c r="K2457" t="n">
        <x:v>45343</x:v>
      </x:c>
      <x:c r="L2457" t="n">
        <x:v>45343</x:v>
      </x:c>
      <x:c r="M2457" t="str">
        <x:v>Gebucht</x:v>
      </x:c>
      <x:c r="N2457" t="str">
        <x:v>ISSUER</x:v>
      </x:c>
      <x:c r="O2457" t="str">
        <x:v>PAYPAL .HPDEUTSCHLA</x:v>
      </x:c>
      <x:c r="P2457" t="str">
        <x:v>VISA Debitkartenumsatz vom 19.02.2024</x:v>
      </x:c>
      <x:c r="Q2457" t="str">
        <x:v>Ausgang</x:v>
      </x:c>
      <x:c r="R2457" t="str">
        <x:v>DE96120300009005290904</x:v>
      </x:c>
      <x:c r="S2457" t="n">
        <x:v>-3.99</x:v>
      </x:c>
      <x:c r="T2457" t="str">
        <x:v>"</x:v>
      </x:c>
      <x:c r="U2457" t="str">
        <x:v>"</x:v>
      </x:c>
      <x:c r="V2457" t="str">
        <x:v>484050687017740</x:v>
      </x:c>
    </x:row>
    <x:row r="2458">
      <x:c r="A2458" t="str">
        <x:v>RAW-IMP-20260516-FULLDRAFT-002441</x:v>
      </x:c>
      <x:c r="B2458" t="str">
        <x:v>IMP-20260516-FULLDRAFT</x:v>
      </x:c>
      <x:c r="C2458" t="str">
        <x:v>KTO001</x:v>
      </x:c>
      <x:c r="D2458" t="str">
        <x:v>16-05-2026_Umsatzliste_Girokonto_DE98120300001061711675.csv</x:v>
      </x:c>
      <x:c r="E2458" t="n">
        <x:v>46163</x:v>
      </x:c>
      <x:c r="F2458" t="n">
        <x:v>2441</x:v>
      </x:c>
      <x:c r="G2458" t="str">
        <x:v>9157fbc29e2d6f84d80203d4a05848faad340ba9e98c696e56cfabc8a1011ae2</x:v>
      </x:c>
      <x:c r="H2458" t="str">
        <x:v>neu</x:v>
      </x:c>
      <x:c r="I2458" t="str">
        <x:v>ok</x:v>
      </x:c>
      <x:c r="J2458"/>
      <x:c r="K2458" t="n">
        <x:v>45342</x:v>
      </x:c>
      <x:c r="L2458" t="n">
        <x:v>45342</x:v>
      </x:c>
      <x:c r="M2458" t="str">
        <x:v>Gebucht</x:v>
      </x:c>
      <x:c r="N2458" t="str">
        <x:v>ISSUER</x:v>
      </x:c>
      <x:c r="O2458" t="str">
        <x:v>Amazon.de</x:v>
      </x:c>
      <x:c r="P2458" t="str">
        <x:v>VISA Debitkartenumsatz vom 19.02.2024</x:v>
      </x:c>
      <x:c r="Q2458" t="str">
        <x:v>Ausgang</x:v>
      </x:c>
      <x:c r="R2458" t="str">
        <x:v>DE96120300009005290904</x:v>
      </x:c>
      <x:c r="S2458" t="n">
        <x:v>-299</x:v>
      </x:c>
      <x:c r="T2458" t="str">
        <x:v>"</x:v>
      </x:c>
      <x:c r="U2458" t="str">
        <x:v>"</x:v>
      </x:c>
      <x:c r="V2458" t="str">
        <x:v>484049567556989</x:v>
      </x:c>
    </x:row>
    <x:row r="2459">
      <x:c r="A2459" t="str">
        <x:v>RAW-IMP-20260516-FULLDRAFT-002442</x:v>
      </x:c>
      <x:c r="B2459" t="str">
        <x:v>IMP-20260516-FULLDRAFT</x:v>
      </x:c>
      <x:c r="C2459" t="str">
        <x:v>KTO001</x:v>
      </x:c>
      <x:c r="D2459" t="str">
        <x:v>16-05-2026_Umsatzliste_Girokonto_DE98120300001061711675.csv</x:v>
      </x:c>
      <x:c r="E2459" t="n">
        <x:v>46163</x:v>
      </x:c>
      <x:c r="F2459" t="n">
        <x:v>2442</x:v>
      </x:c>
      <x:c r="G2459" t="str">
        <x:v>a43c43e7f7f1ee07c08dd2d22058531cf015edbf96974cbfba7acd3c110a8729</x:v>
      </x:c>
      <x:c r="H2459" t="str">
        <x:v>neu</x:v>
      </x:c>
      <x:c r="I2459" t="str">
        <x:v>ok</x:v>
      </x:c>
      <x:c r="J2459"/>
      <x:c r="K2459" t="n">
        <x:v>45341</x:v>
      </x:c>
      <x:c r="L2459" t="n">
        <x:v>45341</x:v>
      </x:c>
      <x:c r="M2459" t="str">
        <x:v>Gebucht</x:v>
      </x:c>
      <x:c r="N2459" t="str">
        <x:v>ISSUER</x:v>
      </x:c>
      <x:c r="O2459" t="str">
        <x:v>REWE Salzgitter.Ge</x:v>
      </x:c>
      <x:c r="P2459" t="str">
        <x:v>VISA Debitkartenumsatz vom 17.02.2024</x:v>
      </x:c>
      <x:c r="Q2459" t="str">
        <x:v>Ausgang</x:v>
      </x:c>
      <x:c r="R2459" t="str">
        <x:v>DE96120300009005290904</x:v>
      </x:c>
      <x:c r="S2459" t="n">
        <x:v>-108.22</x:v>
      </x:c>
      <x:c r="T2459" t="str">
        <x:v>"</x:v>
      </x:c>
      <x:c r="U2459" t="str">
        <x:v>"</x:v>
      </x:c>
      <x:c r="V2459" t="str">
        <x:v>484048322806272</x:v>
      </x:c>
    </x:row>
    <x:row r="2460">
      <x:c r="A2460" t="str">
        <x:v>RAW-IMP-20260516-FULLDRAFT-002443</x:v>
      </x:c>
      <x:c r="B2460" t="str">
        <x:v>IMP-20260516-FULLDRAFT</x:v>
      </x:c>
      <x:c r="C2460" t="str">
        <x:v>KTO001</x:v>
      </x:c>
      <x:c r="D2460" t="str">
        <x:v>16-05-2026_Umsatzliste_Girokonto_DE98120300001061711675.csv</x:v>
      </x:c>
      <x:c r="E2460" t="n">
        <x:v>46163</x:v>
      </x:c>
      <x:c r="F2460" t="n">
        <x:v>2443</x:v>
      </x:c>
      <x:c r="G2460" t="str">
        <x:v>4b279f3d1aaf6543cabd2a2d9ca577b577ca222358ffe6a6f08cf7a74387326f</x:v>
      </x:c>
      <x:c r="H2460" t="str">
        <x:v>neu</x:v>
      </x:c>
      <x:c r="I2460" t="str">
        <x:v>ok</x:v>
      </x:c>
      <x:c r="J2460"/>
      <x:c r="K2460" t="n">
        <x:v>45341</x:v>
      </x:c>
      <x:c r="L2460" t="n">
        <x:v>45341</x:v>
      </x:c>
      <x:c r="M2460" t="str">
        <x:v>Gebucht</x:v>
      </x:c>
      <x:c r="N2460" t="str">
        <x:v>ISSUER</x:v>
      </x:c>
      <x:c r="O2460" t="str">
        <x:v>LOEWENBAECKER SCHAPER</x:v>
      </x:c>
      <x:c r="P2460" t="str">
        <x:v>VISA Debitkartenumsatz vom 17.02.2024</x:v>
      </x:c>
      <x:c r="Q2460" t="str">
        <x:v>Ausgang</x:v>
      </x:c>
      <x:c r="R2460" t="str">
        <x:v>DE96120300009005290904</x:v>
      </x:c>
      <x:c r="S2460" t="n">
        <x:v>-3.55</x:v>
      </x:c>
      <x:c r="T2460" t="str">
        <x:v>"</x:v>
      </x:c>
      <x:c r="U2460" t="str">
        <x:v>"</x:v>
      </x:c>
      <x:c r="V2460" t="str">
        <x:v>484048323864014</x:v>
      </x:c>
    </x:row>
    <x:row r="2461">
      <x:c r="A2461" t="str">
        <x:v>RAW-IMP-20260516-FULLDRAFT-002444</x:v>
      </x:c>
      <x:c r="B2461" t="str">
        <x:v>IMP-20260516-FULLDRAFT</x:v>
      </x:c>
      <x:c r="C2461" t="str">
        <x:v>KTO001</x:v>
      </x:c>
      <x:c r="D2461" t="str">
        <x:v>16-05-2026_Umsatzliste_Girokonto_DE98120300001061711675.csv</x:v>
      </x:c>
      <x:c r="E2461" t="n">
        <x:v>46163</x:v>
      </x:c>
      <x:c r="F2461" t="n">
        <x:v>2444</x:v>
      </x:c>
      <x:c r="G2461" t="str">
        <x:v>15dd6816ab50a7b5da63bb6ad3e5ba99a198e97156b715bcec1998f09e15211b</x:v>
      </x:c>
      <x:c r="H2461" t="str">
        <x:v>neu</x:v>
      </x:c>
      <x:c r="I2461" t="str">
        <x:v>ok</x:v>
      </x:c>
      <x:c r="J2461"/>
      <x:c r="K2461" t="n">
        <x:v>45341</x:v>
      </x:c>
      <x:c r="L2461" t="n">
        <x:v>45341</x:v>
      </x:c>
      <x:c r="M2461" t="str">
        <x:v>Gebucht</x:v>
      </x:c>
      <x:c r="N2461" t="str">
        <x:v>ISSUER</x:v>
      </x:c>
      <x:c r="O2461" t="str">
        <x:v>Subway 34661 Berliner P</x:v>
      </x:c>
      <x:c r="P2461" t="str">
        <x:v>VISA Debitkartenumsatz vom 16.02.2024</x:v>
      </x:c>
      <x:c r="Q2461" t="str">
        <x:v>Ausgang</x:v>
      </x:c>
      <x:c r="R2461" t="str">
        <x:v>DE96120300009005290904</x:v>
      </x:c>
      <x:c r="S2461" t="n">
        <x:v>-10.89</x:v>
      </x:c>
      <x:c r="T2461" t="str">
        <x:v>"</x:v>
      </x:c>
      <x:c r="U2461" t="str">
        <x:v>"</x:v>
      </x:c>
      <x:c r="V2461" t="str">
        <x:v>484047442112172</x:v>
      </x:c>
    </x:row>
    <x:row r="2462">
      <x:c r="A2462" t="str">
        <x:v>RAW-IMP-20260516-FULLDRAFT-002445</x:v>
      </x:c>
      <x:c r="B2462" t="str">
        <x:v>IMP-20260516-FULLDRAFT</x:v>
      </x:c>
      <x:c r="C2462" t="str">
        <x:v>KTO001</x:v>
      </x:c>
      <x:c r="D2462" t="str">
        <x:v>16-05-2026_Umsatzliste_Girokonto_DE98120300001061711675.csv</x:v>
      </x:c>
      <x:c r="E2462" t="n">
        <x:v>46163</x:v>
      </x:c>
      <x:c r="F2462" t="n">
        <x:v>2445</x:v>
      </x:c>
      <x:c r="G2462" t="str">
        <x:v>933337777590a4e7c8351a8309b2bdf87fe1192911220761beabb582e1e128c0</x:v>
      </x:c>
      <x:c r="H2462" t="str">
        <x:v>neu</x:v>
      </x:c>
      <x:c r="I2462" t="str">
        <x:v>ok</x:v>
      </x:c>
      <x:c r="J2462"/>
      <x:c r="K2462" t="n">
        <x:v>45338</x:v>
      </x:c>
      <x:c r="L2462" t="n">
        <x:v>45338</x:v>
      </x:c>
      <x:c r="M2462" t="str">
        <x:v>Gebucht</x:v>
      </x:c>
      <x:c r="N2462" t="str">
        <x:v>ISSUER</x:v>
      </x:c>
      <x:c r="O2462" t="str">
        <x:v>PAYPAL .SIEGERJAKOB</x:v>
      </x:c>
      <x:c r="P2462" t="str">
        <x:v>VISA Debitkartenumsatz vom 15.02.2024</x:v>
      </x:c>
      <x:c r="Q2462" t="str">
        <x:v>Ausgang</x:v>
      </x:c>
      <x:c r="R2462" t="str">
        <x:v>DE96120300009005290904</x:v>
      </x:c>
      <x:c r="S2462" t="n">
        <x:v>-6.5</x:v>
      </x:c>
      <x:c r="T2462" t="str">
        <x:v>"</x:v>
      </x:c>
      <x:c r="U2462" t="str">
        <x:v>"</x:v>
      </x:c>
      <x:c r="V2462" t="str">
        <x:v>464046405452766</x:v>
      </x:c>
    </x:row>
    <x:row r="2463">
      <x:c r="A2463" t="str">
        <x:v>RAW-IMP-20260516-FULLDRAFT-002446</x:v>
      </x:c>
      <x:c r="B2463" t="str">
        <x:v>IMP-20260516-FULLDRAFT</x:v>
      </x:c>
      <x:c r="C2463" t="str">
        <x:v>KTO001</x:v>
      </x:c>
      <x:c r="D2463" t="str">
        <x:v>16-05-2026_Umsatzliste_Girokonto_DE98120300001061711675.csv</x:v>
      </x:c>
      <x:c r="E2463" t="n">
        <x:v>46163</x:v>
      </x:c>
      <x:c r="F2463" t="n">
        <x:v>2446</x:v>
      </x:c>
      <x:c r="G2463" t="str">
        <x:v>4c873b3250c644702439328bc51f4f4216505758b2b81b62a6fdba841708b953</x:v>
      </x:c>
      <x:c r="H2463" t="str">
        <x:v>neu</x:v>
      </x:c>
      <x:c r="I2463" t="str">
        <x:v>ok</x:v>
      </x:c>
      <x:c r="J2463"/>
      <x:c r="K2463" t="n">
        <x:v>45338</x:v>
      </x:c>
      <x:c r="L2463" t="n">
        <x:v>45338</x:v>
      </x:c>
      <x:c r="M2463" t="str">
        <x:v>Gebucht</x:v>
      </x:c>
      <x:c r="N2463" t="str">
        <x:v>ISSUER</x:v>
      </x:c>
      <x:c r="O2463" t="str">
        <x:v>REWE Salzgitter.Ge</x:v>
      </x:c>
      <x:c r="P2463" t="str">
        <x:v>VISA Debitkartenumsatz vom 15.02.2024</x:v>
      </x:c>
      <x:c r="Q2463" t="str">
        <x:v>Ausgang</x:v>
      </x:c>
      <x:c r="R2463" t="str">
        <x:v>DE96120300009005290904</x:v>
      </x:c>
      <x:c r="S2463" t="n">
        <x:v>-19.47</x:v>
      </x:c>
      <x:c r="T2463" t="str">
        <x:v>"</x:v>
      </x:c>
      <x:c r="U2463" t="str">
        <x:v>"</x:v>
      </x:c>
      <x:c r="V2463" t="str">
        <x:v>484046646190408</x:v>
      </x:c>
    </x:row>
    <x:row r="2464">
      <x:c r="A2464" t="str">
        <x:v>RAW-IMP-20260516-FULLDRAFT-002447</x:v>
      </x:c>
      <x:c r="B2464" t="str">
        <x:v>IMP-20260516-FULLDRAFT</x:v>
      </x:c>
      <x:c r="C2464" t="str">
        <x:v>KTO001</x:v>
      </x:c>
      <x:c r="D2464" t="str">
        <x:v>16-05-2026_Umsatzliste_Girokonto_DE98120300001061711675.csv</x:v>
      </x:c>
      <x:c r="E2464" t="n">
        <x:v>46163</x:v>
      </x:c>
      <x:c r="F2464" t="n">
        <x:v>2447</x:v>
      </x:c>
      <x:c r="G2464" t="str">
        <x:v>6ebb515afe32715d2007c504175f0de97d6fb9f68068c6925208f00a15ac2259</x:v>
      </x:c>
      <x:c r="H2464" t="str">
        <x:v>neu</x:v>
      </x:c>
      <x:c r="I2464" t="str">
        <x:v>ok</x:v>
      </x:c>
      <x:c r="J2464"/>
      <x:c r="K2464" t="n">
        <x:v>45337</x:v>
      </x:c>
      <x:c r="L2464" t="n">
        <x:v>45337</x:v>
      </x:c>
      <x:c r="M2464" t="str">
        <x:v>Gebucht</x:v>
      </x:c>
      <x:c r="N2464" t="str">
        <x:v>ISSUER</x:v>
      </x:c>
      <x:c r="O2464" t="str">
        <x:v>BURGER KING 10150 SOT</x:v>
      </x:c>
      <x:c r="P2464" t="str">
        <x:v>VISA Debitkartenumsatz vom 14.02.2024</x:v>
      </x:c>
      <x:c r="Q2464" t="str">
        <x:v>Ausgang</x:v>
      </x:c>
      <x:c r="R2464" t="str">
        <x:v>DE96120300009005290904</x:v>
      </x:c>
      <x:c r="S2464" t="n">
        <x:v>-9.98</x:v>
      </x:c>
      <x:c r="T2464" t="str">
        <x:v>"</x:v>
      </x:c>
      <x:c r="U2464" t="str">
        <x:v>"</x:v>
      </x:c>
      <x:c r="V2464" t="str">
        <x:v>484045406008765</x:v>
      </x:c>
    </x:row>
    <x:row r="2465">
      <x:c r="A2465" t="str">
        <x:v>RAW-IMP-20260516-FULLDRAFT-002448</x:v>
      </x:c>
      <x:c r="B2465" t="str">
        <x:v>IMP-20260516-FULLDRAFT</x:v>
      </x:c>
      <x:c r="C2465" t="str">
        <x:v>KTO001</x:v>
      </x:c>
      <x:c r="D2465" t="str">
        <x:v>16-05-2026_Umsatzliste_Girokonto_DE98120300001061711675.csv</x:v>
      </x:c>
      <x:c r="E2465" t="n">
        <x:v>46163</x:v>
      </x:c>
      <x:c r="F2465" t="n">
        <x:v>2448</x:v>
      </x:c>
      <x:c r="G2465" t="str">
        <x:v>d7dddd4cc870f181c29b5e9989ce02a652679b3bd4a118dedb6509b77ebd4905</x:v>
      </x:c>
      <x:c r="H2465" t="str">
        <x:v>neu</x:v>
      </x:c>
      <x:c r="I2465" t="str">
        <x:v>ok</x:v>
      </x:c>
      <x:c r="J2465"/>
      <x:c r="K2465" t="n">
        <x:v>45337</x:v>
      </x:c>
      <x:c r="L2465" t="n">
        <x:v>45337</x:v>
      </x:c>
      <x:c r="M2465" t="str">
        <x:v>Gebucht</x:v>
      </x:c>
      <x:c r="N2465" t="str">
        <x:v>ISSUER</x:v>
      </x:c>
      <x:c r="O2465" t="str">
        <x:v>Lidl sagt Danke</x:v>
      </x:c>
      <x:c r="P2465" t="str">
        <x:v>VISA Debitkartenumsatz vom 14.02.2024</x:v>
      </x:c>
      <x:c r="Q2465" t="str">
        <x:v>Ausgang</x:v>
      </x:c>
      <x:c r="R2465" t="str">
        <x:v>DE96120300009005290904</x:v>
      </x:c>
      <x:c r="S2465" t="n">
        <x:v>-31.22</x:v>
      </x:c>
      <x:c r="T2465" t="str">
        <x:v>"</x:v>
      </x:c>
      <x:c r="U2465" t="str">
        <x:v>"</x:v>
      </x:c>
      <x:c r="V2465" t="str">
        <x:v>484045629052043</x:v>
      </x:c>
    </x:row>
    <x:row r="2466">
      <x:c r="A2466" t="str">
        <x:v>RAW-IMP-20260516-FULLDRAFT-002449</x:v>
      </x:c>
      <x:c r="B2466" t="str">
        <x:v>IMP-20260516-FULLDRAFT</x:v>
      </x:c>
      <x:c r="C2466" t="str">
        <x:v>KTO001</x:v>
      </x:c>
      <x:c r="D2466" t="str">
        <x:v>16-05-2026_Umsatzliste_Girokonto_DE98120300001061711675.csv</x:v>
      </x:c>
      <x:c r="E2466" t="n">
        <x:v>46163</x:v>
      </x:c>
      <x:c r="F2466" t="n">
        <x:v>2449</x:v>
      </x:c>
      <x:c r="G2466" t="str">
        <x:v>f6295f5025e89f4bcebbfb9cc27cf1ced5c7697be59041f4c10fe1846fce0372</x:v>
      </x:c>
      <x:c r="H2466" t="str">
        <x:v>neu</x:v>
      </x:c>
      <x:c r="I2466" t="str">
        <x:v>ok</x:v>
      </x:c>
      <x:c r="J2466"/>
      <x:c r="K2466" t="n">
        <x:v>45337</x:v>
      </x:c>
      <x:c r="L2466" t="n">
        <x:v>45337</x:v>
      </x:c>
      <x:c r="M2466" t="str">
        <x:v>Gebucht</x:v>
      </x:c>
      <x:c r="N2466" t="str">
        <x:v>ISSUER</x:v>
      </x:c>
      <x:c r="O2466" t="str">
        <x:v>REWE Markt GmbH-ZW</x:v>
      </x:c>
      <x:c r="P2466" t="str">
        <x:v>VISA Debitkartenumsatz vom 14.02.2024</x:v>
      </x:c>
      <x:c r="Q2466" t="str">
        <x:v>Ausgang</x:v>
      </x:c>
      <x:c r="R2466" t="str">
        <x:v>DE96120300009005290904</x:v>
      </x:c>
      <x:c r="S2466" t="n">
        <x:v>-1.78</x:v>
      </x:c>
      <x:c r="T2466" t="str">
        <x:v>"</x:v>
      </x:c>
      <x:c r="U2466" t="str">
        <x:v>"</x:v>
      </x:c>
      <x:c r="V2466" t="str">
        <x:v>484045633010821</x:v>
      </x:c>
    </x:row>
    <x:row r="2467">
      <x:c r="A2467" t="str">
        <x:v>RAW-IMP-20260516-FULLDRAFT-002450</x:v>
      </x:c>
      <x:c r="B2467" t="str">
        <x:v>IMP-20260516-FULLDRAFT</x:v>
      </x:c>
      <x:c r="C2467" t="str">
        <x:v>KTO001</x:v>
      </x:c>
      <x:c r="D2467" t="str">
        <x:v>16-05-2026_Umsatzliste_Girokonto_DE98120300001061711675.csv</x:v>
      </x:c>
      <x:c r="E2467" t="n">
        <x:v>46163</x:v>
      </x:c>
      <x:c r="F2467" t="n">
        <x:v>2450</x:v>
      </x:c>
      <x:c r="G2467" t="str">
        <x:v>8b3b69b0616a333ae72a03da62082fab04a88025053bc885f7c065a039dda3b3</x:v>
      </x:c>
      <x:c r="H2467" t="str">
        <x:v>neu</x:v>
      </x:c>
      <x:c r="I2467" t="str">
        <x:v>ok</x:v>
      </x:c>
      <x:c r="J2467"/>
      <x:c r="K2467" t="n">
        <x:v>45337</x:v>
      </x:c>
      <x:c r="L2467" t="n">
        <x:v>45337</x:v>
      </x:c>
      <x:c r="M2467" t="str">
        <x:v>Gebucht</x:v>
      </x:c>
      <x:c r="N2467" t="str">
        <x:v>ISSUER</x:v>
      </x:c>
      <x:c r="O2467" t="str">
        <x:v>AMZN Mktp DE.JA2JY0K75</x:v>
      </x:c>
      <x:c r="P2467" t="str">
        <x:v>VISA Debitkartenumsatz vom 14.02.2024</x:v>
      </x:c>
      <x:c r="Q2467" t="str">
        <x:v>Ausgang</x:v>
      </x:c>
      <x:c r="R2467" t="str">
        <x:v>DE96120300009005290904</x:v>
      </x:c>
      <x:c r="S2467" t="n">
        <x:v>-4.99</x:v>
      </x:c>
      <x:c r="T2467" t="str">
        <x:v>"</x:v>
      </x:c>
      <x:c r="U2467" t="str">
        <x:v>"</x:v>
      </x:c>
      <x:c r="V2467" t="str">
        <x:v>484045477051316</x:v>
      </x:c>
    </x:row>
    <x:row r="2468">
      <x:c r="A2468" t="str">
        <x:v>RAW-IMP-20260516-FULLDRAFT-002451</x:v>
      </x:c>
      <x:c r="B2468" t="str">
        <x:v>IMP-20260516-FULLDRAFT</x:v>
      </x:c>
      <x:c r="C2468" t="str">
        <x:v>KTO001</x:v>
      </x:c>
      <x:c r="D2468" t="str">
        <x:v>16-05-2026_Umsatzliste_Girokonto_DE98120300001061711675.csv</x:v>
      </x:c>
      <x:c r="E2468" t="n">
        <x:v>46163</x:v>
      </x:c>
      <x:c r="F2468" t="n">
        <x:v>2451</x:v>
      </x:c>
      <x:c r="G2468" t="str">
        <x:v>63fab9cd2cb6e0104f6305e4d1bf650259b2539352bf548c77d352732e94f7e3</x:v>
      </x:c>
      <x:c r="H2468" t="str">
        <x:v>neu</x:v>
      </x:c>
      <x:c r="I2468" t="str">
        <x:v>ok</x:v>
      </x:c>
      <x:c r="J2468"/>
      <x:c r="K2468" t="n">
        <x:v>45337</x:v>
      </x:c>
      <x:c r="L2468" t="n">
        <x:v>45337</x:v>
      </x:c>
      <x:c r="M2468" t="str">
        <x:v>Gebucht</x:v>
      </x:c>
      <x:c r="N2468" t="str">
        <x:v>Lars Kohlenberg</x:v>
      </x:c>
      <x:c r="O2468" t="str">
        <x:v>Drillisch Online GmbH                                                 Wilhelm-Rontgen-Strase 1-5, 63477 Maintal</x:v>
      </x:c>
      <x:c r="P2468" t="str">
        <x:v>C0851820 U606756935 B706611975 winSIM</x:v>
      </x:c>
      <x:c r="Q2468" t="str">
        <x:v>Ausgang</x:v>
      </x:c>
      <x:c r="R2468" t="str">
        <x:v>DE87300500000008996811</x:v>
      </x:c>
      <x:c r="S2468" t="n">
        <x:v>-7.44</x:v>
      </x:c>
      <x:c r="T2468" t="str">
        <x:v>DE40ZZZ00000206926</x:v>
      </x:c>
      <x:c r="U2468" t="str">
        <x:v>FB1310D094B04186E02ACE7B8C6</x:v>
      </x:c>
      <x:c r="V2468" t="str">
        <x:v>YAELSVDYFAOBBLVU</x:v>
      </x:c>
    </x:row>
    <x:row r="2469">
      <x:c r="A2469" t="str">
        <x:v>RAW-IMP-20260516-FULLDRAFT-002452</x:v>
      </x:c>
      <x:c r="B2469" t="str">
        <x:v>IMP-20260516-FULLDRAFT</x:v>
      </x:c>
      <x:c r="C2469" t="str">
        <x:v>KTO001</x:v>
      </x:c>
      <x:c r="D2469" t="str">
        <x:v>16-05-2026_Umsatzliste_Girokonto_DE98120300001061711675.csv</x:v>
      </x:c>
      <x:c r="E2469" t="n">
        <x:v>46163</x:v>
      </x:c>
      <x:c r="F2469" t="n">
        <x:v>2452</x:v>
      </x:c>
      <x:c r="G2469" t="str">
        <x:v>a219d6a19766a253391bbb97b70dce8cbd3a3b015d3c9a2d4058bceef2f20ac4</x:v>
      </x:c>
      <x:c r="H2469" t="str">
        <x:v>neu</x:v>
      </x:c>
      <x:c r="I2469" t="str">
        <x:v>ok</x:v>
      </x:c>
      <x:c r="J2469"/>
      <x:c r="K2469" t="n">
        <x:v>45337</x:v>
      </x:c>
      <x:c r="L2469" t="n">
        <x:v>45337</x:v>
      </x:c>
      <x:c r="M2469" t="str">
        <x:v>Gebucht</x:v>
      </x:c>
      <x:c r="N2469" t="str">
        <x:v>Lars Kohlenberg</x:v>
      </x:c>
      <x:c r="O2469" t="str">
        <x:v>Drillisch Online GmbH                                                 Wilhelm-Rontgen-Strase 1-5, 63477 Maintal</x:v>
      </x:c>
      <x:c r="P2469" t="str">
        <x:v>C0851820 U612168083 B703317044 winSIM</x:v>
      </x:c>
      <x:c r="Q2469" t="str">
        <x:v>Ausgang</x:v>
      </x:c>
      <x:c r="R2469" t="str">
        <x:v>DE87300500000008996811</x:v>
      </x:c>
      <x:c r="S2469" t="n">
        <x:v>-6.99</x:v>
      </x:c>
      <x:c r="T2469" t="str">
        <x:v>DE40ZZZ00000206926</x:v>
      </x:c>
      <x:c r="U2469" t="str">
        <x:v>FB1310D094B04186E02ACE7B8C6</x:v>
      </x:c>
      <x:c r="V2469" t="str">
        <x:v>PFWGSDKWFPZREBAZ</x:v>
      </x:c>
    </x:row>
    <x:row r="2470">
      <x:c r="A2470" t="str">
        <x:v>RAW-IMP-20260516-FULLDRAFT-002453</x:v>
      </x:c>
      <x:c r="B2470" t="str">
        <x:v>IMP-20260516-FULLDRAFT</x:v>
      </x:c>
      <x:c r="C2470" t="str">
        <x:v>KTO001</x:v>
      </x:c>
      <x:c r="D2470" t="str">
        <x:v>16-05-2026_Umsatzliste_Girokonto_DE98120300001061711675.csv</x:v>
      </x:c>
      <x:c r="E2470" t="n">
        <x:v>46163</x:v>
      </x:c>
      <x:c r="F2470" t="n">
        <x:v>2453</x:v>
      </x:c>
      <x:c r="G2470" t="str">
        <x:v>076ed716db25ae14acdbb970c352cfb4bf598b01a7164f2d1aaf47bf5849101d</x:v>
      </x:c>
      <x:c r="H2470" t="str">
        <x:v>neu</x:v>
      </x:c>
      <x:c r="I2470" t="str">
        <x:v>ok</x:v>
      </x:c>
      <x:c r="J2470"/>
      <x:c r="K2470" t="n">
        <x:v>45337</x:v>
      </x:c>
      <x:c r="L2470" t="n">
        <x:v>45337</x:v>
      </x:c>
      <x:c r="M2470" t="str">
        <x:v>Gebucht</x:v>
      </x:c>
      <x:c r="N2470" t="str">
        <x:v>Lars Kohlenberg</x:v>
      </x:c>
      <x:c r="O2470" t="str">
        <x:v>Drillisch Online GmbH                                                 Wilhelm-Rontgen-Strase 1-5, 63477 Maintal</x:v>
      </x:c>
      <x:c r="P2470" t="str">
        <x:v>C0851820 U610069312 B705047099 winSIM</x:v>
      </x:c>
      <x:c r="Q2470" t="str">
        <x:v>Ausgang</x:v>
      </x:c>
      <x:c r="R2470" t="str">
        <x:v>DE87300500000008996811</x:v>
      </x:c>
      <x:c r="S2470" t="n">
        <x:v>-8.16</x:v>
      </x:c>
      <x:c r="T2470" t="str">
        <x:v>DE40ZZZ00000206926</x:v>
      </x:c>
      <x:c r="U2470" t="str">
        <x:v>FB1310D094B04186E02ACE7B8C6</x:v>
      </x:c>
      <x:c r="V2470" t="str">
        <x:v>UMFJOPXWUFPUPOZA</x:v>
      </x:c>
    </x:row>
    <x:row r="2471">
      <x:c r="A2471" t="str">
        <x:v>RAW-IMP-20260516-FULLDRAFT-002454</x:v>
      </x:c>
      <x:c r="B2471" t="str">
        <x:v>IMP-20260516-FULLDRAFT</x:v>
      </x:c>
      <x:c r="C2471" t="str">
        <x:v>KTO001</x:v>
      </x:c>
      <x:c r="D2471" t="str">
        <x:v>16-05-2026_Umsatzliste_Girokonto_DE98120300001061711675.csv</x:v>
      </x:c>
      <x:c r="E2471" t="n">
        <x:v>46163</x:v>
      </x:c>
      <x:c r="F2471" t="n">
        <x:v>2454</x:v>
      </x:c>
      <x:c r="G2471" t="str">
        <x:v>af61f68338f17cbbb9f91d91473101c3feff64e409a9b9c439e618223cc714ae</x:v>
      </x:c>
      <x:c r="H2471" t="str">
        <x:v>neu</x:v>
      </x:c>
      <x:c r="I2471" t="str">
        <x:v>ok</x:v>
      </x:c>
      <x:c r="J2471"/>
      <x:c r="K2471" t="n">
        <x:v>45336</x:v>
      </x:c>
      <x:c r="L2471" t="n">
        <x:v>45336</x:v>
      </x:c>
      <x:c r="M2471" t="str">
        <x:v>Gebucht</x:v>
      </x:c>
      <x:c r="N2471" t="str">
        <x:v>ISSUER</x:v>
      </x:c>
      <x:c r="O2471" t="str">
        <x:v>E-CENTER 3397</x:v>
      </x:c>
      <x:c r="P2471" t="str">
        <x:v>VISA Debitkartenumsatz vom 13.02.2024</x:v>
      </x:c>
      <x:c r="Q2471" t="str">
        <x:v>Ausgang</x:v>
      </x:c>
      <x:c r="R2471" t="str">
        <x:v>DE96120300009005290904</x:v>
      </x:c>
      <x:c r="S2471" t="n">
        <x:v>-10.07</x:v>
      </x:c>
      <x:c r="T2471" t="str">
        <x:v>"</x:v>
      </x:c>
      <x:c r="U2471" t="str">
        <x:v>"</x:v>
      </x:c>
      <x:c r="V2471" t="str">
        <x:v>484044403780199</x:v>
      </x:c>
    </x:row>
    <x:row r="2472">
      <x:c r="A2472" t="str">
        <x:v>RAW-IMP-20260516-FULLDRAFT-002455</x:v>
      </x:c>
      <x:c r="B2472" t="str">
        <x:v>IMP-20260516-FULLDRAFT</x:v>
      </x:c>
      <x:c r="C2472" t="str">
        <x:v>KTO001</x:v>
      </x:c>
      <x:c r="D2472" t="str">
        <x:v>16-05-2026_Umsatzliste_Girokonto_DE98120300001061711675.csv</x:v>
      </x:c>
      <x:c r="E2472" t="n">
        <x:v>46163</x:v>
      </x:c>
      <x:c r="F2472" t="n">
        <x:v>2455</x:v>
      </x:c>
      <x:c r="G2472" t="str">
        <x:v>50abe26ff58162bfbf52218eb6e634f91183abefb79afe5dd51c2576bc867209</x:v>
      </x:c>
      <x:c r="H2472" t="str">
        <x:v>neu</x:v>
      </x:c>
      <x:c r="I2472" t="str">
        <x:v>ok</x:v>
      </x:c>
      <x:c r="J2472"/>
      <x:c r="K2472" t="n">
        <x:v>45336</x:v>
      </x:c>
      <x:c r="L2472" t="n">
        <x:v>45336</x:v>
      </x:c>
      <x:c r="M2472" t="str">
        <x:v>Gebucht</x:v>
      </x:c>
      <x:c r="N2472" t="str">
        <x:v>ISSUER</x:v>
      </x:c>
      <x:c r="O2472" t="str">
        <x:v>PAYPAL .SMYREKL</x:v>
      </x:c>
      <x:c r="P2472" t="str">
        <x:v>VISA Debitkartenumsatz vom 13.02.2024</x:v>
      </x:c>
      <x:c r="Q2472" t="str">
        <x:v>Ausgang</x:v>
      </x:c>
      <x:c r="R2472" t="str">
        <x:v>DE96120300009005290904</x:v>
      </x:c>
      <x:c r="S2472" t="n">
        <x:v>-5</x:v>
      </x:c>
      <x:c r="T2472" t="str">
        <x:v>"</x:v>
      </x:c>
      <x:c r="U2472" t="str">
        <x:v>"</x:v>
      </x:c>
      <x:c r="V2472" t="str">
        <x:v>484044278228869</x:v>
      </x:c>
    </x:row>
    <x:row r="2473">
      <x:c r="A2473" t="str">
        <x:v>RAW-IMP-20260516-FULLDRAFT-002456</x:v>
      </x:c>
      <x:c r="B2473" t="str">
        <x:v>IMP-20260516-FULLDRAFT</x:v>
      </x:c>
      <x:c r="C2473" t="str">
        <x:v>KTO001</x:v>
      </x:c>
      <x:c r="D2473" t="str">
        <x:v>16-05-2026_Umsatzliste_Girokonto_DE98120300001061711675.csv</x:v>
      </x:c>
      <x:c r="E2473" t="n">
        <x:v>46163</x:v>
      </x:c>
      <x:c r="F2473" t="n">
        <x:v>2456</x:v>
      </x:c>
      <x:c r="G2473" t="str">
        <x:v>07708b3249249b2d91786fe720fad8c28851ef863269f8de303d5fa6c1b554d9</x:v>
      </x:c>
      <x:c r="H2473" t="str">
        <x:v>neu</x:v>
      </x:c>
      <x:c r="I2473" t="str">
        <x:v>ok</x:v>
      </x:c>
      <x:c r="J2473"/>
      <x:c r="K2473" t="n">
        <x:v>45335</x:v>
      </x:c>
      <x:c r="L2473" t="n">
        <x:v>45335</x:v>
      </x:c>
      <x:c r="M2473" t="str">
        <x:v>Gebucht</x:v>
      </x:c>
      <x:c r="N2473" t="str">
        <x:v>ISSUER</x:v>
      </x:c>
      <x:c r="O2473" t="str">
        <x:v>ALDI SAGT DANKE</x:v>
      </x:c>
      <x:c r="P2473" t="str">
        <x:v>VISA Debitkartenumsatz vom 12.02.2024</x:v>
      </x:c>
      <x:c r="Q2473" t="str">
        <x:v>Ausgang</x:v>
      </x:c>
      <x:c r="R2473" t="str">
        <x:v>DE96120300009005290904</x:v>
      </x:c>
      <x:c r="S2473" t="n">
        <x:v>-1.59</x:v>
      </x:c>
      <x:c r="T2473" t="str">
        <x:v>"</x:v>
      </x:c>
      <x:c r="U2473" t="str">
        <x:v>"</x:v>
      </x:c>
      <x:c r="V2473" t="str">
        <x:v>484043403176497</x:v>
      </x:c>
    </x:row>
    <x:row r="2474">
      <x:c r="A2474" t="str">
        <x:v>RAW-IMP-20260516-FULLDRAFT-002457</x:v>
      </x:c>
      <x:c r="B2474" t="str">
        <x:v>IMP-20260516-FULLDRAFT</x:v>
      </x:c>
      <x:c r="C2474" t="str">
        <x:v>KTO001</x:v>
      </x:c>
      <x:c r="D2474" t="str">
        <x:v>16-05-2026_Umsatzliste_Girokonto_DE98120300001061711675.csv</x:v>
      </x:c>
      <x:c r="E2474" t="n">
        <x:v>46163</x:v>
      </x:c>
      <x:c r="F2474" t="n">
        <x:v>2457</x:v>
      </x:c>
      <x:c r="G2474" t="str">
        <x:v>f5f0479f0f06d9b64a07c99be89120afaf4c1d4f1ac1400880ddb18e0779ba5b</x:v>
      </x:c>
      <x:c r="H2474" t="str">
        <x:v>neu</x:v>
      </x:c>
      <x:c r="I2474" t="str">
        <x:v>ok</x:v>
      </x:c>
      <x:c r="J2474"/>
      <x:c r="K2474" t="n">
        <x:v>45335</x:v>
      </x:c>
      <x:c r="L2474" t="n">
        <x:v>45335</x:v>
      </x:c>
      <x:c r="M2474" t="str">
        <x:v>Gebucht</x:v>
      </x:c>
      <x:c r="N2474" t="str">
        <x:v>ISSUER</x:v>
      </x:c>
      <x:c r="O2474" t="str">
        <x:v>Volksbank BRAWO eG</x:v>
      </x:c>
      <x:c r="P2474" t="str">
        <x:v>VISA Debitkartenumsatz vom 12.02.2024</x:v>
      </x:c>
      <x:c r="Q2474" t="str">
        <x:v>Ausgang</x:v>
      </x:c>
      <x:c r="R2474" t="str">
        <x:v>DE96120300009005290904</x:v>
      </x:c>
      <x:c r="S2474" t="n">
        <x:v>-70</x:v>
      </x:c>
      <x:c r="T2474" t="str">
        <x:v>"</x:v>
      </x:c>
      <x:c r="U2474" t="str">
        <x:v>"</x:v>
      </x:c>
      <x:c r="V2474" t="str">
        <x:v>484043608413379</x:v>
      </x:c>
    </x:row>
    <x:row r="2475">
      <x:c r="A2475" t="str">
        <x:v>RAW-IMP-20260516-FULLDRAFT-002458</x:v>
      </x:c>
      <x:c r="B2475" t="str">
        <x:v>IMP-20260516-FULLDRAFT</x:v>
      </x:c>
      <x:c r="C2475" t="str">
        <x:v>KTO001</x:v>
      </x:c>
      <x:c r="D2475" t="str">
        <x:v>16-05-2026_Umsatzliste_Girokonto_DE98120300001061711675.csv</x:v>
      </x:c>
      <x:c r="E2475" t="n">
        <x:v>46163</x:v>
      </x:c>
      <x:c r="F2475" t="n">
        <x:v>2458</x:v>
      </x:c>
      <x:c r="G2475" t="str">
        <x:v>2c715f2926d544cb5f6c9598974832e3806541b3e5a0be02558a994108adc9e1</x:v>
      </x:c>
      <x:c r="H2475" t="str">
        <x:v>neu</x:v>
      </x:c>
      <x:c r="I2475" t="str">
        <x:v>ok</x:v>
      </x:c>
      <x:c r="J2475"/>
      <x:c r="K2475" t="n">
        <x:v>45335</x:v>
      </x:c>
      <x:c r="L2475" t="n">
        <x:v>45335</x:v>
      </x:c>
      <x:c r="M2475" t="str">
        <x:v>Gebucht</x:v>
      </x:c>
      <x:c r="N2475" t="str">
        <x:v>ISSUER</x:v>
      </x:c>
      <x:c r="O2475" t="str">
        <x:v>DM-Drogerie Markt</x:v>
      </x:c>
      <x:c r="P2475" t="str">
        <x:v>VISA Debitkartenumsatz vom 12.02.2024</x:v>
      </x:c>
      <x:c r="Q2475" t="str">
        <x:v>Ausgang</x:v>
      </x:c>
      <x:c r="R2475" t="str">
        <x:v>DE96120300009005290904</x:v>
      </x:c>
      <x:c r="S2475" t="n">
        <x:v>-1.14</x:v>
      </x:c>
      <x:c r="T2475" t="str">
        <x:v>"</x:v>
      </x:c>
      <x:c r="U2475" t="str">
        <x:v>"</x:v>
      </x:c>
      <x:c r="V2475" t="str">
        <x:v>484043618317800</x:v>
      </x:c>
    </x:row>
    <x:row r="2476">
      <x:c r="A2476" t="str">
        <x:v>RAW-IMP-20260516-FULLDRAFT-002459</x:v>
      </x:c>
      <x:c r="B2476" t="str">
        <x:v>IMP-20260516-FULLDRAFT</x:v>
      </x:c>
      <x:c r="C2476" t="str">
        <x:v>KTO001</x:v>
      </x:c>
      <x:c r="D2476" t="str">
        <x:v>16-05-2026_Umsatzliste_Girokonto_DE98120300001061711675.csv</x:v>
      </x:c>
      <x:c r="E2476" t="n">
        <x:v>46163</x:v>
      </x:c>
      <x:c r="F2476" t="n">
        <x:v>2459</x:v>
      </x:c>
      <x:c r="G2476" t="str">
        <x:v>8df75d56dc13cef8dee3ef1eff867bd92ab391c995af82aed2dd234adc050c0c</x:v>
      </x:c>
      <x:c r="H2476" t="str">
        <x:v>neu</x:v>
      </x:c>
      <x:c r="I2476" t="str">
        <x:v>ok</x:v>
      </x:c>
      <x:c r="J2476"/>
      <x:c r="K2476" t="n">
        <x:v>45334</x:v>
      </x:c>
      <x:c r="L2476" t="n">
        <x:v>45334</x:v>
      </x:c>
      <x:c r="M2476" t="str">
        <x:v>Gebucht</x:v>
      </x:c>
      <x:c r="N2476" t="str">
        <x:v>ISSUER</x:v>
      </x:c>
      <x:c r="O2476" t="str">
        <x:v>CRISTALLIS ITAL LEBEN</x:v>
      </x:c>
      <x:c r="P2476" t="str">
        <x:v>VISA Debitkartenumsatz vom 10.02.2024</x:v>
      </x:c>
      <x:c r="Q2476" t="str">
        <x:v>Ausgang</x:v>
      </x:c>
      <x:c r="R2476" t="str">
        <x:v>DE96120300009005290904</x:v>
      </x:c>
      <x:c r="S2476" t="n">
        <x:v>-35</x:v>
      </x:c>
      <x:c r="T2476" t="str">
        <x:v>"</x:v>
      </x:c>
      <x:c r="U2476" t="str">
        <x:v>"</x:v>
      </x:c>
      <x:c r="V2476" t="str">
        <x:v>484041444446979</x:v>
      </x:c>
    </x:row>
    <x:row r="2477">
      <x:c r="A2477" t="str">
        <x:v>RAW-IMP-20260516-FULLDRAFT-002460</x:v>
      </x:c>
      <x:c r="B2477" t="str">
        <x:v>IMP-20260516-FULLDRAFT</x:v>
      </x:c>
      <x:c r="C2477" t="str">
        <x:v>KTO001</x:v>
      </x:c>
      <x:c r="D2477" t="str">
        <x:v>16-05-2026_Umsatzliste_Girokonto_DE98120300001061711675.csv</x:v>
      </x:c>
      <x:c r="E2477" t="n">
        <x:v>46163</x:v>
      </x:c>
      <x:c r="F2477" t="n">
        <x:v>2460</x:v>
      </x:c>
      <x:c r="G2477" t="str">
        <x:v>15b98ad4d3781f9baaaaa948a930778d78d6e9177d43b39a705f9f6e1b5ed7f4</x:v>
      </x:c>
      <x:c r="H2477" t="str">
        <x:v>neu</x:v>
      </x:c>
      <x:c r="I2477" t="str">
        <x:v>ok</x:v>
      </x:c>
      <x:c r="J2477"/>
      <x:c r="K2477" t="n">
        <x:v>45334</x:v>
      </x:c>
      <x:c r="L2477" t="n">
        <x:v>45334</x:v>
      </x:c>
      <x:c r="M2477" t="str">
        <x:v>Gebucht</x:v>
      </x:c>
      <x:c r="N2477" t="str">
        <x:v>ISSUER</x:v>
      </x:c>
      <x:c r="O2477" t="str">
        <x:v>REWE Salzgitter.Ge</x:v>
      </x:c>
      <x:c r="P2477" t="str">
        <x:v>VISA Debitkartenumsatz vom 10.02.2024</x:v>
      </x:c>
      <x:c r="Q2477" t="str">
        <x:v>Ausgang</x:v>
      </x:c>
      <x:c r="R2477" t="str">
        <x:v>DE96120300009005290904</x:v>
      </x:c>
      <x:c r="S2477" t="n">
        <x:v>-31.23</x:v>
      </x:c>
      <x:c r="T2477" t="str">
        <x:v>"</x:v>
      </x:c>
      <x:c r="U2477" t="str">
        <x:v>"</x:v>
      </x:c>
      <x:c r="V2477" t="str">
        <x:v>484041641940314</x:v>
      </x:c>
    </x:row>
    <x:row r="2478">
      <x:c r="A2478" t="str">
        <x:v>RAW-IMP-20260516-FULLDRAFT-002461</x:v>
      </x:c>
      <x:c r="B2478" t="str">
        <x:v>IMP-20260516-FULLDRAFT</x:v>
      </x:c>
      <x:c r="C2478" t="str">
        <x:v>KTO001</x:v>
      </x:c>
      <x:c r="D2478" t="str">
        <x:v>16-05-2026_Umsatzliste_Girokonto_DE98120300001061711675.csv</x:v>
      </x:c>
      <x:c r="E2478" t="n">
        <x:v>46163</x:v>
      </x:c>
      <x:c r="F2478" t="n">
        <x:v>2461</x:v>
      </x:c>
      <x:c r="G2478" t="str">
        <x:v>5f453c3c64448afa542ea74b39a7ef1a8b84b2d45b031f8fbc25d0a701dc7656</x:v>
      </x:c>
      <x:c r="H2478" t="str">
        <x:v>neu</x:v>
      </x:c>
      <x:c r="I2478" t="str">
        <x:v>ok</x:v>
      </x:c>
      <x:c r="J2478"/>
      <x:c r="K2478" t="n">
        <x:v>45334</x:v>
      </x:c>
      <x:c r="L2478" t="n">
        <x:v>45334</x:v>
      </x:c>
      <x:c r="M2478" t="str">
        <x:v>Gebucht</x:v>
      </x:c>
      <x:c r="N2478" t="str">
        <x:v>ISSUER</x:v>
      </x:c>
      <x:c r="O2478" t="str">
        <x:v>THALIA-BUCHHANDLUNG</x:v>
      </x:c>
      <x:c r="P2478" t="str">
        <x:v>VISA Debitkartenumsatz vom 10.02.2024</x:v>
      </x:c>
      <x:c r="Q2478" t="str">
        <x:v>Ausgang</x:v>
      </x:c>
      <x:c r="R2478" t="str">
        <x:v>DE96120300009005290904</x:v>
      </x:c>
      <x:c r="S2478" t="n">
        <x:v>-23.49</x:v>
      </x:c>
      <x:c r="T2478" t="str">
        <x:v>"</x:v>
      </x:c>
      <x:c r="U2478" t="str">
        <x:v>"</x:v>
      </x:c>
      <x:c r="V2478" t="str">
        <x:v>484041420635497</x:v>
      </x:c>
    </x:row>
    <x:row r="2479">
      <x:c r="A2479" t="str">
        <x:v>RAW-IMP-20260516-FULLDRAFT-002462</x:v>
      </x:c>
      <x:c r="B2479" t="str">
        <x:v>IMP-20260516-FULLDRAFT</x:v>
      </x:c>
      <x:c r="C2479" t="str">
        <x:v>KTO001</x:v>
      </x:c>
      <x:c r="D2479" t="str">
        <x:v>16-05-2026_Umsatzliste_Girokonto_DE98120300001061711675.csv</x:v>
      </x:c>
      <x:c r="E2479" t="n">
        <x:v>46163</x:v>
      </x:c>
      <x:c r="F2479" t="n">
        <x:v>2462</x:v>
      </x:c>
      <x:c r="G2479" t="str">
        <x:v>d5cdaf8abfca7fbe8335eee9d293d5f233b17dc96ce1c5309a3c73387b21160f</x:v>
      </x:c>
      <x:c r="H2479" t="str">
        <x:v>neu</x:v>
      </x:c>
      <x:c r="I2479" t="str">
        <x:v>ok</x:v>
      </x:c>
      <x:c r="J2479"/>
      <x:c r="K2479" t="n">
        <x:v>45334</x:v>
      </x:c>
      <x:c r="L2479" t="n">
        <x:v>45334</x:v>
      </x:c>
      <x:c r="M2479" t="str">
        <x:v>Gebucht</x:v>
      </x:c>
      <x:c r="N2479" t="str">
        <x:v>ISSUER</x:v>
      </x:c>
      <x:c r="O2479" t="str">
        <x:v>E-CENTER 3375</x:v>
      </x:c>
      <x:c r="P2479" t="str">
        <x:v>VISA Debitkartenumsatz vom 10.02.2024</x:v>
      </x:c>
      <x:c r="Q2479" t="str">
        <x:v>Ausgang</x:v>
      </x:c>
      <x:c r="R2479" t="str">
        <x:v>DE96120300009005290904</x:v>
      </x:c>
      <x:c r="S2479" t="n">
        <x:v>-4.73</x:v>
      </x:c>
      <x:c r="T2479" t="str">
        <x:v>"</x:v>
      </x:c>
      <x:c r="U2479" t="str">
        <x:v>"</x:v>
      </x:c>
      <x:c r="V2479" t="str">
        <x:v>484041228246222</x:v>
      </x:c>
    </x:row>
    <x:row r="2480">
      <x:c r="A2480" t="str">
        <x:v>RAW-IMP-20260516-FULLDRAFT-002463</x:v>
      </x:c>
      <x:c r="B2480" t="str">
        <x:v>IMP-20260516-FULLDRAFT</x:v>
      </x:c>
      <x:c r="C2480" t="str">
        <x:v>KTO001</x:v>
      </x:c>
      <x:c r="D2480" t="str">
        <x:v>16-05-2026_Umsatzliste_Girokonto_DE98120300001061711675.csv</x:v>
      </x:c>
      <x:c r="E2480" t="n">
        <x:v>46163</x:v>
      </x:c>
      <x:c r="F2480" t="n">
        <x:v>2463</x:v>
      </x:c>
      <x:c r="G2480" t="str">
        <x:v>6a46ade38157f295b92f8cf043c80568cc87503ae240a1b6e766402fb8a8aa91</x:v>
      </x:c>
      <x:c r="H2480" t="str">
        <x:v>neu</x:v>
      </x:c>
      <x:c r="I2480" t="str">
        <x:v>ok</x:v>
      </x:c>
      <x:c r="J2480"/>
      <x:c r="K2480" t="n">
        <x:v>45334</x:v>
      </x:c>
      <x:c r="L2480" t="n">
        <x:v>45334</x:v>
      </x:c>
      <x:c r="M2480" t="str">
        <x:v>Gebucht</x:v>
      </x:c>
      <x:c r="N2480" t="str">
        <x:v>ISSUER</x:v>
      </x:c>
      <x:c r="O2480" t="str">
        <x:v>Blume 2000 SE</x:v>
      </x:c>
      <x:c r="P2480" t="str">
        <x:v>VISA Debitkartenumsatz vom 10.02.2024</x:v>
      </x:c>
      <x:c r="Q2480" t="str">
        <x:v>Ausgang</x:v>
      </x:c>
      <x:c r="R2480" t="str">
        <x:v>DE96120300009005290904</x:v>
      </x:c>
      <x:c r="S2480" t="n">
        <x:v>-4</x:v>
      </x:c>
      <x:c r="T2480" t="str">
        <x:v>"</x:v>
      </x:c>
      <x:c r="U2480" t="str">
        <x:v>"</x:v>
      </x:c>
      <x:c r="V2480" t="str">
        <x:v>484041450830024</x:v>
      </x:c>
    </x:row>
    <x:row r="2481">
      <x:c r="A2481" t="str">
        <x:v>RAW-IMP-20260516-FULLDRAFT-002464</x:v>
      </x:c>
      <x:c r="B2481" t="str">
        <x:v>IMP-20260516-FULLDRAFT</x:v>
      </x:c>
      <x:c r="C2481" t="str">
        <x:v>KTO001</x:v>
      </x:c>
      <x:c r="D2481" t="str">
        <x:v>16-05-2026_Umsatzliste_Girokonto_DE98120300001061711675.csv</x:v>
      </x:c>
      <x:c r="E2481" t="n">
        <x:v>46163</x:v>
      </x:c>
      <x:c r="F2481" t="n">
        <x:v>2464</x:v>
      </x:c>
      <x:c r="G2481" t="str">
        <x:v>4a6f819d1fb2acae906344c153f0fe984d0878bda31bf3106c60f5bc68e7d7a5</x:v>
      </x:c>
      <x:c r="H2481" t="str">
        <x:v>neu</x:v>
      </x:c>
      <x:c r="I2481" t="str">
        <x:v>ok</x:v>
      </x:c>
      <x:c r="J2481"/>
      <x:c r="K2481" t="n">
        <x:v>45334</x:v>
      </x:c>
      <x:c r="L2481" t="n">
        <x:v>45334</x:v>
      </x:c>
      <x:c r="M2481" t="str">
        <x:v>Gebucht</x:v>
      </x:c>
      <x:c r="N2481" t="str">
        <x:v>ISSUER</x:v>
      </x:c>
      <x:c r="O2481" t="str">
        <x:v>PEEK . CLOPPENBURG</x:v>
      </x:c>
      <x:c r="P2481" t="str">
        <x:v>VISA Debitkartenumsatz vom 10.02.2024</x:v>
      </x:c>
      <x:c r="Q2481" t="str">
        <x:v>Ausgang</x:v>
      </x:c>
      <x:c r="R2481" t="str">
        <x:v>DE96120300009005290904</x:v>
      </x:c>
      <x:c r="S2481" t="n">
        <x:v>-69.98</x:v>
      </x:c>
      <x:c r="T2481" t="str">
        <x:v>"</x:v>
      </x:c>
      <x:c r="U2481" t="str">
        <x:v>"</x:v>
      </x:c>
      <x:c r="V2481" t="str">
        <x:v>484041408866356</x:v>
      </x:c>
    </x:row>
    <x:row r="2482">
      <x:c r="A2482" t="str">
        <x:v>RAW-IMP-20260516-FULLDRAFT-002465</x:v>
      </x:c>
      <x:c r="B2482" t="str">
        <x:v>IMP-20260516-FULLDRAFT</x:v>
      </x:c>
      <x:c r="C2482" t="str">
        <x:v>KTO001</x:v>
      </x:c>
      <x:c r="D2482" t="str">
        <x:v>16-05-2026_Umsatzliste_Girokonto_DE98120300001061711675.csv</x:v>
      </x:c>
      <x:c r="E2482" t="n">
        <x:v>46163</x:v>
      </x:c>
      <x:c r="F2482" t="n">
        <x:v>2465</x:v>
      </x:c>
      <x:c r="G2482" t="str">
        <x:v>4291d5e194098bf6d7ed5357427da324c3924307929675582639f0869490621a</x:v>
      </x:c>
      <x:c r="H2482" t="str">
        <x:v>neu</x:v>
      </x:c>
      <x:c r="I2482" t="str">
        <x:v>ok</x:v>
      </x:c>
      <x:c r="J2482"/>
      <x:c r="K2482" t="n">
        <x:v>45334</x:v>
      </x:c>
      <x:c r="L2482" t="n">
        <x:v>45334</x:v>
      </x:c>
      <x:c r="M2482" t="str">
        <x:v>Gebucht</x:v>
      </x:c>
      <x:c r="N2482" t="str">
        <x:v>ISSUER</x:v>
      </x:c>
      <x:c r="O2482" t="str">
        <x:v>SumUp .Ni Coffee Coff</x:v>
      </x:c>
      <x:c r="P2482" t="str">
        <x:v>VISA Debitkartenumsatz vom 10.02.2024</x:v>
      </x:c>
      <x:c r="Q2482" t="str">
        <x:v>Ausgang</x:v>
      </x:c>
      <x:c r="R2482" t="str">
        <x:v>DE96120300009005290904</x:v>
      </x:c>
      <x:c r="S2482" t="n">
        <x:v>-7</x:v>
      </x:c>
      <x:c r="T2482" t="str">
        <x:v>"</x:v>
      </x:c>
      <x:c r="U2482" t="str">
        <x:v>"</x:v>
      </x:c>
      <x:c r="V2482" t="str">
        <x:v>484041391464272</x:v>
      </x:c>
    </x:row>
    <x:row r="2483">
      <x:c r="A2483" t="str">
        <x:v>RAW-IMP-20260516-FULLDRAFT-002466</x:v>
      </x:c>
      <x:c r="B2483" t="str">
        <x:v>IMP-20260516-FULLDRAFT</x:v>
      </x:c>
      <x:c r="C2483" t="str">
        <x:v>KTO001</x:v>
      </x:c>
      <x:c r="D2483" t="str">
        <x:v>16-05-2026_Umsatzliste_Girokonto_DE98120300001061711675.csv</x:v>
      </x:c>
      <x:c r="E2483" t="n">
        <x:v>46163</x:v>
      </x:c>
      <x:c r="F2483" t="n">
        <x:v>2466</x:v>
      </x:c>
      <x:c r="G2483" t="str">
        <x:v>209c85b60f49a2968a808ff1f99edc3c9ff989a1a991e69696653248a026fdf3</x:v>
      </x:c>
      <x:c r="H2483" t="str">
        <x:v>neu</x:v>
      </x:c>
      <x:c r="I2483" t="str">
        <x:v>ok</x:v>
      </x:c>
      <x:c r="J2483"/>
      <x:c r="K2483" t="n">
        <x:v>45334</x:v>
      </x:c>
      <x:c r="L2483" t="n">
        <x:v>45334</x:v>
      </x:c>
      <x:c r="M2483" t="str">
        <x:v>Gebucht</x:v>
      </x:c>
      <x:c r="N2483" t="str">
        <x:v>ISSUER</x:v>
      </x:c>
      <x:c r="O2483" t="str">
        <x:v>Designforum Braunschwei</x:v>
      </x:c>
      <x:c r="P2483" t="str">
        <x:v>VISA Debitkartenumsatz vom 10.02.2024</x:v>
      </x:c>
      <x:c r="Q2483" t="str">
        <x:v>Ausgang</x:v>
      </x:c>
      <x:c r="R2483" t="str">
        <x:v>DE96120300009005290904</x:v>
      </x:c>
      <x:c r="S2483" t="n">
        <x:v>-8.95</x:v>
      </x:c>
      <x:c r="T2483" t="str">
        <x:v>"</x:v>
      </x:c>
      <x:c r="U2483" t="str">
        <x:v>"</x:v>
      </x:c>
      <x:c r="V2483" t="str">
        <x:v>484041383636010</x:v>
      </x:c>
    </x:row>
    <x:row r="2484">
      <x:c r="A2484" t="str">
        <x:v>RAW-IMP-20260516-FULLDRAFT-002467</x:v>
      </x:c>
      <x:c r="B2484" t="str">
        <x:v>IMP-20260516-FULLDRAFT</x:v>
      </x:c>
      <x:c r="C2484" t="str">
        <x:v>KTO001</x:v>
      </x:c>
      <x:c r="D2484" t="str">
        <x:v>16-05-2026_Umsatzliste_Girokonto_DE98120300001061711675.csv</x:v>
      </x:c>
      <x:c r="E2484" t="n">
        <x:v>46163</x:v>
      </x:c>
      <x:c r="F2484" t="n">
        <x:v>2467</x:v>
      </x:c>
      <x:c r="G2484" t="str">
        <x:v>85315b2369bcbe14788e540e7a684c5d595579c669fc1c7f75e138719f497bc3</x:v>
      </x:c>
      <x:c r="H2484" t="str">
        <x:v>neu</x:v>
      </x:c>
      <x:c r="I2484" t="str">
        <x:v>ok</x:v>
      </x:c>
      <x:c r="J2484"/>
      <x:c r="K2484" t="n">
        <x:v>45334</x:v>
      </x:c>
      <x:c r="L2484" t="n">
        <x:v>45334</x:v>
      </x:c>
      <x:c r="M2484" t="str">
        <x:v>Gebucht</x:v>
      </x:c>
      <x:c r="N2484" t="str">
        <x:v>ISSUER</x:v>
      </x:c>
      <x:c r="O2484" t="str">
        <x:v>Hornbach Baumarkt AG FI</x:v>
      </x:c>
      <x:c r="P2484" t="str">
        <x:v>VISA Debitkartenumsatz vom 10.02.2024</x:v>
      </x:c>
      <x:c r="Q2484" t="str">
        <x:v>Ausgang</x:v>
      </x:c>
      <x:c r="R2484" t="str">
        <x:v>DE96120300009005290904</x:v>
      </x:c>
      <x:c r="S2484" t="n">
        <x:v>-93.97</x:v>
      </x:c>
      <x:c r="T2484" t="str">
        <x:v>"</x:v>
      </x:c>
      <x:c r="U2484" t="str">
        <x:v>"</x:v>
      </x:c>
      <x:c r="V2484" t="str">
        <x:v>484041493778333</x:v>
      </x:c>
    </x:row>
    <x:row r="2485">
      <x:c r="A2485" t="str">
        <x:v>RAW-IMP-20260516-FULLDRAFT-002468</x:v>
      </x:c>
      <x:c r="B2485" t="str">
        <x:v>IMP-20260516-FULLDRAFT</x:v>
      </x:c>
      <x:c r="C2485" t="str">
        <x:v>KTO001</x:v>
      </x:c>
      <x:c r="D2485" t="str">
        <x:v>16-05-2026_Umsatzliste_Girokonto_DE98120300001061711675.csv</x:v>
      </x:c>
      <x:c r="E2485" t="n">
        <x:v>46163</x:v>
      </x:c>
      <x:c r="F2485" t="n">
        <x:v>2468</x:v>
      </x:c>
      <x:c r="G2485" t="str">
        <x:v>c427d417d453af1c4d693d9f2b1c25bf9d37b30322279ae8a8d3e32d85d57802</x:v>
      </x:c>
      <x:c r="H2485" t="str">
        <x:v>neu</x:v>
      </x:c>
      <x:c r="I2485" t="str">
        <x:v>ok</x:v>
      </x:c>
      <x:c r="J2485"/>
      <x:c r="K2485" t="n">
        <x:v>45334</x:v>
      </x:c>
      <x:c r="L2485" t="n">
        <x:v>45334</x:v>
      </x:c>
      <x:c r="M2485" t="str">
        <x:v>Gebucht</x:v>
      </x:c>
      <x:c r="N2485" t="str">
        <x:v>ISSUER</x:v>
      </x:c>
      <x:c r="O2485" t="str">
        <x:v>Prime Video .UV6C60L85</x:v>
      </x:c>
      <x:c r="P2485" t="str">
        <x:v>VISA Debitkartenumsatz vom 09.02.2024</x:v>
      </x:c>
      <x:c r="Q2485" t="str">
        <x:v>Ausgang</x:v>
      </x:c>
      <x:c r="R2485" t="str">
        <x:v>DE96120300009005290904</x:v>
      </x:c>
      <x:c r="S2485" t="n">
        <x:v>-0.99</x:v>
      </x:c>
      <x:c r="T2485" t="str">
        <x:v>"</x:v>
      </x:c>
      <x:c r="U2485" t="str">
        <x:v>"</x:v>
      </x:c>
      <x:c r="V2485" t="str">
        <x:v>484040656458365</x:v>
      </x:c>
    </x:row>
    <x:row r="2486">
      <x:c r="A2486" t="str">
        <x:v>RAW-IMP-20260516-FULLDRAFT-002469</x:v>
      </x:c>
      <x:c r="B2486" t="str">
        <x:v>IMP-20260516-FULLDRAFT</x:v>
      </x:c>
      <x:c r="C2486" t="str">
        <x:v>KTO001</x:v>
      </x:c>
      <x:c r="D2486" t="str">
        <x:v>16-05-2026_Umsatzliste_Girokonto_DE98120300001061711675.csv</x:v>
      </x:c>
      <x:c r="E2486" t="n">
        <x:v>46163</x:v>
      </x:c>
      <x:c r="F2486" t="n">
        <x:v>2469</x:v>
      </x:c>
      <x:c r="G2486" t="str">
        <x:v>a8f5fe6d099e62f7d3fa5199cc84832af13639d66d7a2d97b09994e89a345c69</x:v>
      </x:c>
      <x:c r="H2486" t="str">
        <x:v>neu</x:v>
      </x:c>
      <x:c r="I2486" t="str">
        <x:v>ok</x:v>
      </x:c>
      <x:c r="J2486"/>
      <x:c r="K2486" t="n">
        <x:v>45334</x:v>
      </x:c>
      <x:c r="L2486" t="n">
        <x:v>45334</x:v>
      </x:c>
      <x:c r="M2486" t="str">
        <x:v>Gebucht</x:v>
      </x:c>
      <x:c r="N2486" t="str">
        <x:v>ISSUER</x:v>
      </x:c>
      <x:c r="O2486" t="str">
        <x:v>Prime Video .IY7QN8W65</x:v>
      </x:c>
      <x:c r="P2486" t="str">
        <x:v>VISA Debitkartenumsatz vom 09.02.2024</x:v>
      </x:c>
      <x:c r="Q2486" t="str">
        <x:v>Ausgang</x:v>
      </x:c>
      <x:c r="R2486" t="str">
        <x:v>DE96120300009005290904</x:v>
      </x:c>
      <x:c r="S2486" t="n">
        <x:v>-0.99</x:v>
      </x:c>
      <x:c r="T2486" t="str">
        <x:v>"</x:v>
      </x:c>
      <x:c r="U2486" t="str">
        <x:v>"</x:v>
      </x:c>
      <x:c r="V2486" t="str">
        <x:v>484040655146664</x:v>
      </x:c>
    </x:row>
    <x:row r="2487">
      <x:c r="A2487" t="str">
        <x:v>RAW-IMP-20260516-FULLDRAFT-002470</x:v>
      </x:c>
      <x:c r="B2487" t="str">
        <x:v>IMP-20260516-FULLDRAFT</x:v>
      </x:c>
      <x:c r="C2487" t="str">
        <x:v>KTO001</x:v>
      </x:c>
      <x:c r="D2487" t="str">
        <x:v>16-05-2026_Umsatzliste_Girokonto_DE98120300001061711675.csv</x:v>
      </x:c>
      <x:c r="E2487" t="n">
        <x:v>46163</x:v>
      </x:c>
      <x:c r="F2487" t="n">
        <x:v>2470</x:v>
      </x:c>
      <x:c r="G2487" t="str">
        <x:v>ffd632c8e414236b8d749eaf8bec39f486c1008a1ada3212d3cbd8b0d4757a5e</x:v>
      </x:c>
      <x:c r="H2487" t="str">
        <x:v>neu</x:v>
      </x:c>
      <x:c r="I2487" t="str">
        <x:v>ok</x:v>
      </x:c>
      <x:c r="J2487"/>
      <x:c r="K2487" t="n">
        <x:v>45334</x:v>
      </x:c>
      <x:c r="L2487" t="n">
        <x:v>45334</x:v>
      </x:c>
      <x:c r="M2487" t="str">
        <x:v>Gebucht</x:v>
      </x:c>
      <x:c r="N2487" t="str">
        <x:v>ISSUER</x:v>
      </x:c>
      <x:c r="O2487" t="str">
        <x:v>Prime Video .QA1ZL5US5</x:v>
      </x:c>
      <x:c r="P2487" t="str">
        <x:v>VISA Debitkartenumsatz vom 09.02.2024</x:v>
      </x:c>
      <x:c r="Q2487" t="str">
        <x:v>Ausgang</x:v>
      </x:c>
      <x:c r="R2487" t="str">
        <x:v>DE96120300009005290904</x:v>
      </x:c>
      <x:c r="S2487" t="n">
        <x:v>-0.99</x:v>
      </x:c>
      <x:c r="T2487" t="str">
        <x:v>"</x:v>
      </x:c>
      <x:c r="U2487" t="str">
        <x:v>"</x:v>
      </x:c>
      <x:c r="V2487" t="str">
        <x:v>484040653584474</x:v>
      </x:c>
    </x:row>
    <x:row r="2488">
      <x:c r="A2488" t="str">
        <x:v>RAW-IMP-20260516-FULLDRAFT-002471</x:v>
      </x:c>
      <x:c r="B2488" t="str">
        <x:v>IMP-20260516-FULLDRAFT</x:v>
      </x:c>
      <x:c r="C2488" t="str">
        <x:v>KTO001</x:v>
      </x:c>
      <x:c r="D2488" t="str">
        <x:v>16-05-2026_Umsatzliste_Girokonto_DE98120300001061711675.csv</x:v>
      </x:c>
      <x:c r="E2488" t="n">
        <x:v>46163</x:v>
      </x:c>
      <x:c r="F2488" t="n">
        <x:v>2471</x:v>
      </x:c>
      <x:c r="G2488" t="str">
        <x:v>98ead704fb1be4d3dbe0b4274a7af811eee5ce409026380d1645d1cbe6e41882</x:v>
      </x:c>
      <x:c r="H2488" t="str">
        <x:v>neu</x:v>
      </x:c>
      <x:c r="I2488" t="str">
        <x:v>ok</x:v>
      </x:c>
      <x:c r="J2488"/>
      <x:c r="K2488" t="n">
        <x:v>45334</x:v>
      </x:c>
      <x:c r="L2488" t="n">
        <x:v>45334</x:v>
      </x:c>
      <x:c r="M2488" t="str">
        <x:v>Gebucht</x:v>
      </x:c>
      <x:c r="N2488" t="str">
        <x:v>ISSUER</x:v>
      </x:c>
      <x:c r="O2488" t="str">
        <x:v>Prime Video .UI0BP5I35</x:v>
      </x:c>
      <x:c r="P2488" t="str">
        <x:v>VISA Debitkartenumsatz vom 09.02.2024</x:v>
      </x:c>
      <x:c r="Q2488" t="str">
        <x:v>Ausgang</x:v>
      </x:c>
      <x:c r="R2488" t="str">
        <x:v>DE96120300009005290904</x:v>
      </x:c>
      <x:c r="S2488" t="n">
        <x:v>-0.99</x:v>
      </x:c>
      <x:c r="T2488" t="str">
        <x:v>"</x:v>
      </x:c>
      <x:c r="U2488" t="str">
        <x:v>"</x:v>
      </x:c>
      <x:c r="V2488" t="str">
        <x:v>484040659287163</x:v>
      </x:c>
    </x:row>
    <x:row r="2489">
      <x:c r="A2489" t="str">
        <x:v>RAW-IMP-20260516-FULLDRAFT-002472</x:v>
      </x:c>
      <x:c r="B2489" t="str">
        <x:v>IMP-20260516-FULLDRAFT</x:v>
      </x:c>
      <x:c r="C2489" t="str">
        <x:v>KTO001</x:v>
      </x:c>
      <x:c r="D2489" t="str">
        <x:v>16-05-2026_Umsatzliste_Girokonto_DE98120300001061711675.csv</x:v>
      </x:c>
      <x:c r="E2489" t="n">
        <x:v>46163</x:v>
      </x:c>
      <x:c r="F2489" t="n">
        <x:v>2472</x:v>
      </x:c>
      <x:c r="G2489" t="str">
        <x:v>7f1630f7371aaaa92981508f9dded0a7d192bc27fffc7d4f8d184d8b2398a9d9</x:v>
      </x:c>
      <x:c r="H2489" t="str">
        <x:v>neu</x:v>
      </x:c>
      <x:c r="I2489" t="str">
        <x:v>ok</x:v>
      </x:c>
      <x:c r="J2489"/>
      <x:c r="K2489" t="n">
        <x:v>45334</x:v>
      </x:c>
      <x:c r="L2489" t="n">
        <x:v>45334</x:v>
      </x:c>
      <x:c r="M2489" t="str">
        <x:v>Gebucht</x:v>
      </x:c>
      <x:c r="N2489" t="str">
        <x:v>Lars Kohlenberg                                                       Johannes-Wosnitza-Str. 8 38229 Salzgitter</x:v>
      </x:c>
      <x:c r="O2489" t="str">
        <x:v>1+1 Mail + Media GmbH                                                 Elgendorfer Str. 57, 56410 Montabaur</x:v>
      </x:c>
      <x:c r="P2489" t="str">
        <x:v>GMX / WEB.DE / KD-Nr. K7440512/ RG-Nr. 201536508931</x:v>
      </x:c>
      <x:c r="Q2489" t="str">
        <x:v>Ausgang</x:v>
      </x:c>
      <x:c r="R2489" t="str">
        <x:v>DE76700800000881679702</x:v>
      </x:c>
      <x:c r="S2489" t="n">
        <x:v>-5.99</x:v>
      </x:c>
      <x:c r="T2489" t="str">
        <x:v>DE07ZZZ00000569718</x:v>
      </x:c>
      <x:c r="U2489" t="str">
        <x:v>0090001393062</x:v>
      </x:c>
      <x:c r="V2489" t="str">
        <x:v>006031461762</x:v>
      </x:c>
    </x:row>
    <x:row r="2490">
      <x:c r="A2490" t="str">
        <x:v>RAW-IMP-20260516-FULLDRAFT-002473</x:v>
      </x:c>
      <x:c r="B2490" t="str">
        <x:v>IMP-20260516-FULLDRAFT</x:v>
      </x:c>
      <x:c r="C2490" t="str">
        <x:v>KTO001</x:v>
      </x:c>
      <x:c r="D2490" t="str">
        <x:v>16-05-2026_Umsatzliste_Girokonto_DE98120300001061711675.csv</x:v>
      </x:c>
      <x:c r="E2490" t="n">
        <x:v>46163</x:v>
      </x:c>
      <x:c r="F2490" t="n">
        <x:v>2473</x:v>
      </x:c>
      <x:c r="G2490" t="str">
        <x:v>91985f6c4c71eb528955fe5c14a1d68a343a2c44cb87a640e98d3f3cb9f9b65e</x:v>
      </x:c>
      <x:c r="H2490" t="str">
        <x:v>neu</x:v>
      </x:c>
      <x:c r="I2490" t="str">
        <x:v>ok</x:v>
      </x:c>
      <x:c r="J2490"/>
      <x:c r="K2490" t="n">
        <x:v>45331</x:v>
      </x:c>
      <x:c r="L2490" t="n">
        <x:v>45331</x:v>
      </x:c>
      <x:c r="M2490" t="str">
        <x:v>Gebucht</x:v>
      </x:c>
      <x:c r="N2490" t="str">
        <x:v>ISSUER</x:v>
      </x:c>
      <x:c r="O2490" t="str">
        <x:v>RESTAURANT GLUECK AUF</x:v>
      </x:c>
      <x:c r="P2490" t="str">
        <x:v>VISA Debitkartenumsatz vom 08.02.2024</x:v>
      </x:c>
      <x:c r="Q2490" t="str">
        <x:v>Ausgang</x:v>
      </x:c>
      <x:c r="R2490" t="str">
        <x:v>DE96120300009005290904</x:v>
      </x:c>
      <x:c r="S2490" t="n">
        <x:v>-63.2</x:v>
      </x:c>
      <x:c r="T2490" t="str">
        <x:v>"</x:v>
      </x:c>
      <x:c r="U2490" t="str">
        <x:v>"</x:v>
      </x:c>
      <x:c r="V2490" t="str">
        <x:v>484039602146835</x:v>
      </x:c>
    </x:row>
    <x:row r="2491">
      <x:c r="A2491" t="str">
        <x:v>RAW-IMP-20260516-FULLDRAFT-002474</x:v>
      </x:c>
      <x:c r="B2491" t="str">
        <x:v>IMP-20260516-FULLDRAFT</x:v>
      </x:c>
      <x:c r="C2491" t="str">
        <x:v>KTO001</x:v>
      </x:c>
      <x:c r="D2491" t="str">
        <x:v>16-05-2026_Umsatzliste_Girokonto_DE98120300001061711675.csv</x:v>
      </x:c>
      <x:c r="E2491" t="n">
        <x:v>46163</x:v>
      </x:c>
      <x:c r="F2491" t="n">
        <x:v>2474</x:v>
      </x:c>
      <x:c r="G2491" t="str">
        <x:v>4fb6a5680acbeb9747c0a2c2660a5e3ca1ff56ca41ac3ed5396367c18ff44390</x:v>
      </x:c>
      <x:c r="H2491" t="str">
        <x:v>neu</x:v>
      </x:c>
      <x:c r="I2491" t="str">
        <x:v>ok</x:v>
      </x:c>
      <x:c r="J2491"/>
      <x:c r="K2491" t="n">
        <x:v>45331</x:v>
      </x:c>
      <x:c r="L2491" t="n">
        <x:v>45331</x:v>
      </x:c>
      <x:c r="M2491" t="str">
        <x:v>Gebucht</x:v>
      </x:c>
      <x:c r="N2491" t="str">
        <x:v>ISSUER</x:v>
      </x:c>
      <x:c r="O2491" t="str">
        <x:v>REWE Salzgitter.Ge</x:v>
      </x:c>
      <x:c r="P2491" t="str">
        <x:v>VISA Debitkartenumsatz vom 08.02.2024</x:v>
      </x:c>
      <x:c r="Q2491" t="str">
        <x:v>Ausgang</x:v>
      </x:c>
      <x:c r="R2491" t="str">
        <x:v>DE96120300009005290904</x:v>
      </x:c>
      <x:c r="S2491" t="n">
        <x:v>-2.69</x:v>
      </x:c>
      <x:c r="T2491" t="str">
        <x:v>"</x:v>
      </x:c>
      <x:c r="U2491" t="str">
        <x:v>"</x:v>
      </x:c>
      <x:c r="V2491" t="str">
        <x:v>484039593614646</x:v>
      </x:c>
    </x:row>
    <x:row r="2492">
      <x:c r="A2492" t="str">
        <x:v>RAW-IMP-20260516-FULLDRAFT-002475</x:v>
      </x:c>
      <x:c r="B2492" t="str">
        <x:v>IMP-20260516-FULLDRAFT</x:v>
      </x:c>
      <x:c r="C2492" t="str">
        <x:v>KTO001</x:v>
      </x:c>
      <x:c r="D2492" t="str">
        <x:v>16-05-2026_Umsatzliste_Girokonto_DE98120300001061711675.csv</x:v>
      </x:c>
      <x:c r="E2492" t="n">
        <x:v>46163</x:v>
      </x:c>
      <x:c r="F2492" t="n">
        <x:v>2475</x:v>
      </x:c>
      <x:c r="G2492" t="str">
        <x:v>195358b7c914678c96c7e428cb947018ed591cd5ddc550dadfff13cd94392696</x:v>
      </x:c>
      <x:c r="H2492" t="str">
        <x:v>neu</x:v>
      </x:c>
      <x:c r="I2492" t="str">
        <x:v>ok</x:v>
      </x:c>
      <x:c r="J2492"/>
      <x:c r="K2492" t="n">
        <x:v>45330</x:v>
      </x:c>
      <x:c r="L2492" t="n">
        <x:v>45330</x:v>
      </x:c>
      <x:c r="M2492" t="str">
        <x:v>Gebucht</x:v>
      </x:c>
      <x:c r="N2492" t="str">
        <x:v>Lars Kohlenberg                                                       JohannesWosnitzaStr.</x:v>
      </x:c>
      <x:c r="O2492" t="str">
        <x:v>Adyen N.V.</x:v>
      </x:c>
      <x:c r="P2492" t="str">
        <x:v>GMX by LOTTO24 C98983063 T358415685167</x:v>
      </x:c>
      <x:c r="Q2492" t="str">
        <x:v>Ausgang</x:v>
      </x:c>
      <x:c r="R2492" t="str">
        <x:v>DE11120700700020000603</x:v>
      </x:c>
      <x:c r="S2492" t="n">
        <x:v>-11.18</x:v>
      </x:c>
      <x:c r="T2492" t="str">
        <x:v>NL48ZZZ342764500000</x:v>
      </x:c>
      <x:c r="U2492" t="str">
        <x:v>R372DKN5SSBXZP52</x:v>
      </x:c>
      <x:c r="V2492" t="str">
        <x:v>CVMRD2Z9NBF64KMH2C</x:v>
      </x:c>
    </x:row>
    <x:row r="2493">
      <x:c r="A2493" t="str">
        <x:v>RAW-IMP-20260516-FULLDRAFT-002476</x:v>
      </x:c>
      <x:c r="B2493" t="str">
        <x:v>IMP-20260516-FULLDRAFT</x:v>
      </x:c>
      <x:c r="C2493" t="str">
        <x:v>KTO001</x:v>
      </x:c>
      <x:c r="D2493" t="str">
        <x:v>16-05-2026_Umsatzliste_Girokonto_DE98120300001061711675.csv</x:v>
      </x:c>
      <x:c r="E2493" t="n">
        <x:v>46163</x:v>
      </x:c>
      <x:c r="F2493" t="n">
        <x:v>2476</x:v>
      </x:c>
      <x:c r="G2493" t="str">
        <x:v>3f138ead430f1eca795fbb77b0376bdcc3156a3d6fbf9daad877a50f5a23bdb4</x:v>
      </x:c>
      <x:c r="H2493" t="str">
        <x:v>neu</x:v>
      </x:c>
      <x:c r="I2493" t="str">
        <x:v>ok</x:v>
      </x:c>
      <x:c r="J2493"/>
      <x:c r="K2493" t="n">
        <x:v>45329</x:v>
      </x:c>
      <x:c r="L2493" t="n">
        <x:v>45329</x:v>
      </x:c>
      <x:c r="M2493" t="str">
        <x:v>Gebucht</x:v>
      </x:c>
      <x:c r="N2493" t="str">
        <x:v>ISSUER</x:v>
      </x:c>
      <x:c r="O2493" t="str">
        <x:v>PAYPAL .DANCENTER S PA</x:v>
      </x:c>
      <x:c r="P2493" t="str">
        <x:v>VISA Debitkartenumsatz vom 06.02.2024</x:v>
      </x:c>
      <x:c r="Q2493" t="str">
        <x:v>Ausgang</x:v>
      </x:c>
      <x:c r="R2493" t="str">
        <x:v>DE96120300009005290904</x:v>
      </x:c>
      <x:c r="S2493" t="n">
        <x:v>-302.05</x:v>
      </x:c>
      <x:c r="T2493" t="str">
        <x:v>"</x:v>
      </x:c>
      <x:c r="U2493" t="str">
        <x:v>"</x:v>
      </x:c>
      <x:c r="V2493" t="str">
        <x:v>484037453328708</x:v>
      </x:c>
    </x:row>
    <x:row r="2494">
      <x:c r="A2494" t="str">
        <x:v>RAW-IMP-20260516-FULLDRAFT-002477</x:v>
      </x:c>
      <x:c r="B2494" t="str">
        <x:v>IMP-20260516-FULLDRAFT</x:v>
      </x:c>
      <x:c r="C2494" t="str">
        <x:v>KTO001</x:v>
      </x:c>
      <x:c r="D2494" t="str">
        <x:v>16-05-2026_Umsatzliste_Girokonto_DE98120300001061711675.csv</x:v>
      </x:c>
      <x:c r="E2494" t="n">
        <x:v>46163</x:v>
      </x:c>
      <x:c r="F2494" t="n">
        <x:v>2477</x:v>
      </x:c>
      <x:c r="G2494" t="str">
        <x:v>57bb01c409fc4d2c062cef91521646f92b6809834b6675bdd409a3fefc364a43</x:v>
      </x:c>
      <x:c r="H2494" t="str">
        <x:v>neu</x:v>
      </x:c>
      <x:c r="I2494" t="str">
        <x:v>ok</x:v>
      </x:c>
      <x:c r="J2494"/>
      <x:c r="K2494" t="n">
        <x:v>45328</x:v>
      </x:c>
      <x:c r="L2494" t="n">
        <x:v>45328</x:v>
      </x:c>
      <x:c r="M2494" t="str">
        <x:v>Gebucht</x:v>
      </x:c>
      <x:c r="N2494" t="str">
        <x:v>ISSUER</x:v>
      </x:c>
      <x:c r="O2494" t="str">
        <x:v>ALDI SAGT DANKE</x:v>
      </x:c>
      <x:c r="P2494" t="str">
        <x:v>VISA Debitkartenumsatz vom 05.02.2024</x:v>
      </x:c>
      <x:c r="Q2494" t="str">
        <x:v>Ausgang</x:v>
      </x:c>
      <x:c r="R2494" t="str">
        <x:v>DE96120300009005290904</x:v>
      </x:c>
      <x:c r="S2494" t="n">
        <x:v>-8.71</x:v>
      </x:c>
      <x:c r="T2494" t="str">
        <x:v>"</x:v>
      </x:c>
      <x:c r="U2494" t="str">
        <x:v>"</x:v>
      </x:c>
      <x:c r="V2494" t="str">
        <x:v>484036405732509</x:v>
      </x:c>
    </x:row>
    <x:row r="2495">
      <x:c r="A2495" t="str">
        <x:v>RAW-IMP-20260516-FULLDRAFT-002478</x:v>
      </x:c>
      <x:c r="B2495" t="str">
        <x:v>IMP-20260516-FULLDRAFT</x:v>
      </x:c>
      <x:c r="C2495" t="str">
        <x:v>KTO001</x:v>
      </x:c>
      <x:c r="D2495" t="str">
        <x:v>16-05-2026_Umsatzliste_Girokonto_DE98120300001061711675.csv</x:v>
      </x:c>
      <x:c r="E2495" t="n">
        <x:v>46163</x:v>
      </x:c>
      <x:c r="F2495" t="n">
        <x:v>2478</x:v>
      </x:c>
      <x:c r="G2495" t="str">
        <x:v>31dcfbc5427273249c04744136e60aa823fbb533516f501bec1e1e630c873f58</x:v>
      </x:c>
      <x:c r="H2495" t="str">
        <x:v>neu</x:v>
      </x:c>
      <x:c r="I2495" t="str">
        <x:v>ok</x:v>
      </x:c>
      <x:c r="J2495"/>
      <x:c r="K2495" t="n">
        <x:v>45328</x:v>
      </x:c>
      <x:c r="L2495" t="n">
        <x:v>45328</x:v>
      </x:c>
      <x:c r="M2495" t="str">
        <x:v>Gebucht</x:v>
      </x:c>
      <x:c r="N2495" t="str">
        <x:v>Lars Kohlenberg                                                       Johannes-Wosnitza-Str. 8</x:v>
      </x:c>
      <x:c r="O2495" t="str">
        <x:v>Telekom Deutschland GmbH                                              Landgrabenweg 151</x:v>
      </x:c>
      <x:c r="P2495" t="str">
        <x:v>Festnetz Vertragskonto 4763666565 RG 7528785620/26.01.2024</x:v>
      </x:c>
      <x:c r="Q2495" t="str">
        <x:v>Ausgang</x:v>
      </x:c>
      <x:c r="R2495" t="str">
        <x:v>DE08250100300000289304</x:v>
      </x:c>
      <x:c r="S2495" t="n">
        <x:v>-61.94</x:v>
      </x:c>
      <x:c r="T2495" t="str">
        <x:v>DE93ZZZ00000078611</x:v>
      </x:c>
      <x:c r="U2495" t="str">
        <x:v>DE000201000200000000000000012966156</x:v>
      </x:c>
      <x:c r="V2495" t="str">
        <x:v>Zahlbeleg 369017326471</x:v>
      </x:c>
    </x:row>
    <x:row r="2496">
      <x:c r="A2496" t="str">
        <x:v>RAW-IMP-20260516-FULLDRAFT-002479</x:v>
      </x:c>
      <x:c r="B2496" t="str">
        <x:v>IMP-20260516-FULLDRAFT</x:v>
      </x:c>
      <x:c r="C2496" t="str">
        <x:v>KTO001</x:v>
      </x:c>
      <x:c r="D2496" t="str">
        <x:v>16-05-2026_Umsatzliste_Girokonto_DE98120300001061711675.csv</x:v>
      </x:c>
      <x:c r="E2496" t="n">
        <x:v>46163</x:v>
      </x:c>
      <x:c r="F2496" t="n">
        <x:v>2479</x:v>
      </x:c>
      <x:c r="G2496" t="str">
        <x:v>85f9313f8be665eed28ba61ca5a8fecf4b00e143d1441014bf47c1b2e6522e99</x:v>
      </x:c>
      <x:c r="H2496" t="str">
        <x:v>neu</x:v>
      </x:c>
      <x:c r="I2496" t="str">
        <x:v>ok</x:v>
      </x:c>
      <x:c r="J2496"/>
      <x:c r="K2496" t="n">
        <x:v>45328</x:v>
      </x:c>
      <x:c r="L2496" t="n">
        <x:v>45328</x:v>
      </x:c>
      <x:c r="M2496" t="str">
        <x:v>Gebucht</x:v>
      </x:c>
      <x:c r="N2496" t="str">
        <x:v>Lars Kohlenberg</x:v>
      </x:c>
      <x:c r="O2496" t="str">
        <x:v>Iman Firat</x:v>
      </x:c>
      <x:c r="P2496" t="str">
        <x:v>2230 Lea Kohlenberg</x:v>
      </x:c>
      <x:c r="Q2496" t="str">
        <x:v>Ausgang</x:v>
      </x:c>
      <x:c r="R2496" t="str">
        <x:v>DE67269910662694298000</x:v>
      </x:c>
      <x:c r="S2496" t="n">
        <x:v>-49.9</x:v>
      </x:c>
      <x:c r="T2496" t="str">
        <x:v>"</x:v>
      </x:c>
      <x:c r="U2496" t="str">
        <x:v>"</x:v>
      </x:c>
      <x:c r="V2496" t="str">
        <x:v>"</x:v>
      </x:c>
    </x:row>
    <x:row r="2497">
      <x:c r="A2497" t="str">
        <x:v>RAW-IMP-20260516-FULLDRAFT-002480</x:v>
      </x:c>
      <x:c r="B2497" t="str">
        <x:v>IMP-20260516-FULLDRAFT</x:v>
      </x:c>
      <x:c r="C2497" t="str">
        <x:v>KTO001</x:v>
      </x:c>
      <x:c r="D2497" t="str">
        <x:v>16-05-2026_Umsatzliste_Girokonto_DE98120300001061711675.csv</x:v>
      </x:c>
      <x:c r="E2497" t="n">
        <x:v>46163</x:v>
      </x:c>
      <x:c r="F2497" t="n">
        <x:v>2480</x:v>
      </x:c>
      <x:c r="G2497" t="str">
        <x:v>d78b7c8e8ff0348ac73b452d854a526b0a89406c04c0f9c02409647becbfe86b</x:v>
      </x:c>
      <x:c r="H2497" t="str">
        <x:v>neu</x:v>
      </x:c>
      <x:c r="I2497" t="str">
        <x:v>ok</x:v>
      </x:c>
      <x:c r="J2497"/>
      <x:c r="K2497" t="n">
        <x:v>45327</x:v>
      </x:c>
      <x:c r="L2497" t="n">
        <x:v>45327</x:v>
      </x:c>
      <x:c r="M2497" t="str">
        <x:v>Gebucht</x:v>
      </x:c>
      <x:c r="N2497" t="str">
        <x:v>ISSUER</x:v>
      </x:c>
      <x:c r="O2497" t="str">
        <x:v>REWE Acar oHG</x:v>
      </x:c>
      <x:c r="P2497" t="str">
        <x:v>VISA Debitkartenumsatz vom 03.02.2024</x:v>
      </x:c>
      <x:c r="Q2497" t="str">
        <x:v>Ausgang</x:v>
      </x:c>
      <x:c r="R2497" t="str">
        <x:v>DE96120300009005290904</x:v>
      </x:c>
      <x:c r="S2497" t="n">
        <x:v>-186.39</x:v>
      </x:c>
      <x:c r="T2497" t="str">
        <x:v>"</x:v>
      </x:c>
      <x:c r="U2497" t="str">
        <x:v>"</x:v>
      </x:c>
      <x:c r="V2497" t="str">
        <x:v>484034407615888</x:v>
      </x:c>
    </x:row>
    <x:row r="2498">
      <x:c r="A2498" t="str">
        <x:v>RAW-IMP-20260516-FULLDRAFT-002481</x:v>
      </x:c>
      <x:c r="B2498" t="str">
        <x:v>IMP-20260516-FULLDRAFT</x:v>
      </x:c>
      <x:c r="C2498" t="str">
        <x:v>KTO001</x:v>
      </x:c>
      <x:c r="D2498" t="str">
        <x:v>16-05-2026_Umsatzliste_Girokonto_DE98120300001061711675.csv</x:v>
      </x:c>
      <x:c r="E2498" t="n">
        <x:v>46163</x:v>
      </x:c>
      <x:c r="F2498" t="n">
        <x:v>2481</x:v>
      </x:c>
      <x:c r="G2498" t="str">
        <x:v>10fde831a14bff6a9dd9e9057db9a2d33da956f944b4b7647d3d98a9da03dfa8</x:v>
      </x:c>
      <x:c r="H2498" t="str">
        <x:v>neu</x:v>
      </x:c>
      <x:c r="I2498" t="str">
        <x:v>ok</x:v>
      </x:c>
      <x:c r="J2498"/>
      <x:c r="K2498" t="n">
        <x:v>45327</x:v>
      </x:c>
      <x:c r="L2498" t="n">
        <x:v>45327</x:v>
      </x:c>
      <x:c r="M2498" t="str">
        <x:v>Gebucht</x:v>
      </x:c>
      <x:c r="N2498" t="str">
        <x:v>ISSUER</x:v>
      </x:c>
      <x:c r="O2498" t="str">
        <x:v>APPLE.COM.BILL</x:v>
      </x:c>
      <x:c r="P2498" t="str">
        <x:v>VISA Debitkartenumsatz vom 03.02.2024</x:v>
      </x:c>
      <x:c r="Q2498" t="str">
        <x:v>Ausgang</x:v>
      </x:c>
      <x:c r="R2498" t="str">
        <x:v>DE96120300009005290904</x:v>
      </x:c>
      <x:c r="S2498" t="n">
        <x:v>-0.99</x:v>
      </x:c>
      <x:c r="T2498" t="str">
        <x:v>"</x:v>
      </x:c>
      <x:c r="U2498" t="str">
        <x:v>"</x:v>
      </x:c>
      <x:c r="V2498" t="str">
        <x:v>484034118944182</x:v>
      </x:c>
    </x:row>
    <x:row r="2499">
      <x:c r="A2499" t="str">
        <x:v>RAW-IMP-20260516-FULLDRAFT-002482</x:v>
      </x:c>
      <x:c r="B2499" t="str">
        <x:v>IMP-20260516-FULLDRAFT</x:v>
      </x:c>
      <x:c r="C2499" t="str">
        <x:v>KTO001</x:v>
      </x:c>
      <x:c r="D2499" t="str">
        <x:v>16-05-2026_Umsatzliste_Girokonto_DE98120300001061711675.csv</x:v>
      </x:c>
      <x:c r="E2499" t="n">
        <x:v>46163</x:v>
      </x:c>
      <x:c r="F2499" t="n">
        <x:v>2482</x:v>
      </x:c>
      <x:c r="G2499" t="str">
        <x:v>7d9f156d373735623afc34df0c3ca0e71d1d19edfc10ad7c21cb6f94c288ab75</x:v>
      </x:c>
      <x:c r="H2499" t="str">
        <x:v>neu</x:v>
      </x:c>
      <x:c r="I2499" t="str">
        <x:v>ok</x:v>
      </x:c>
      <x:c r="J2499"/>
      <x:c r="K2499" t="n">
        <x:v>45327</x:v>
      </x:c>
      <x:c r="L2499" t="n">
        <x:v>45327</x:v>
      </x:c>
      <x:c r="M2499" t="str">
        <x:v>Gebucht</x:v>
      </x:c>
      <x:c r="N2499" t="str">
        <x:v>ISSUER</x:v>
      </x:c>
      <x:c r="O2499" t="str">
        <x:v>AUTOSTADT GMBH</x:v>
      </x:c>
      <x:c r="P2499" t="str">
        <x:v>VISA Debitkartenumsatz vom 02.02.2024</x:v>
      </x:c>
      <x:c r="Q2499" t="str">
        <x:v>Ausgang</x:v>
      </x:c>
      <x:c r="R2499" t="str">
        <x:v>DE96120300009005290904</x:v>
      </x:c>
      <x:c r="S2499" t="n">
        <x:v>-24</x:v>
      </x:c>
      <x:c r="T2499" t="str">
        <x:v>"</x:v>
      </x:c>
      <x:c r="U2499" t="str">
        <x:v>"</x:v>
      </x:c>
      <x:c r="V2499" t="str">
        <x:v>484033470914627</x:v>
      </x:c>
    </x:row>
    <x:row r="2500">
      <x:c r="A2500" t="str">
        <x:v>RAW-IMP-20260516-FULLDRAFT-002483</x:v>
      </x:c>
      <x:c r="B2500" t="str">
        <x:v>IMP-20260516-FULLDRAFT</x:v>
      </x:c>
      <x:c r="C2500" t="str">
        <x:v>KTO001</x:v>
      </x:c>
      <x:c r="D2500" t="str">
        <x:v>16-05-2026_Umsatzliste_Girokonto_DE98120300001061711675.csv</x:v>
      </x:c>
      <x:c r="E2500" t="n">
        <x:v>46163</x:v>
      </x:c>
      <x:c r="F2500" t="n">
        <x:v>2483</x:v>
      </x:c>
      <x:c r="G2500" t="str">
        <x:v>fc19302998adeadbeeb6fc7fd092c77b99cb4327ed41554cd2731d202061e65f</x:v>
      </x:c>
      <x:c r="H2500" t="str">
        <x:v>neu</x:v>
      </x:c>
      <x:c r="I2500" t="str">
        <x:v>ok</x:v>
      </x:c>
      <x:c r="J2500"/>
      <x:c r="K2500" t="n">
        <x:v>45327</x:v>
      </x:c>
      <x:c r="L2500" t="n">
        <x:v>45327</x:v>
      </x:c>
      <x:c r="M2500" t="str">
        <x:v>Gebucht</x:v>
      </x:c>
      <x:c r="N2500" t="str">
        <x:v>ISSUER</x:v>
      </x:c>
      <x:c r="O2500" t="str">
        <x:v>LOEWENBAECKER SCHAPER</x:v>
      </x:c>
      <x:c r="P2500" t="str">
        <x:v>VISA Debitkartenumsatz vom 03.02.2024</x:v>
      </x:c>
      <x:c r="Q2500" t="str">
        <x:v>Ausgang</x:v>
      </x:c>
      <x:c r="R2500" t="str">
        <x:v>DE96120300009005290904</x:v>
      </x:c>
      <x:c r="S2500" t="n">
        <x:v>-4.5</x:v>
      </x:c>
      <x:c r="T2500" t="str">
        <x:v>"</x:v>
      </x:c>
      <x:c r="U2500" t="str">
        <x:v>"</x:v>
      </x:c>
      <x:c r="V2500" t="str">
        <x:v>484034310738899</x:v>
      </x:c>
    </x:row>
    <x:row r="2501">
      <x:c r="A2501" t="str">
        <x:v>RAW-IMP-20260516-FULLDRAFT-002484</x:v>
      </x:c>
      <x:c r="B2501" t="str">
        <x:v>IMP-20260516-FULLDRAFT</x:v>
      </x:c>
      <x:c r="C2501" t="str">
        <x:v>KTO001</x:v>
      </x:c>
      <x:c r="D2501" t="str">
        <x:v>16-05-2026_Umsatzliste_Girokonto_DE98120300001061711675.csv</x:v>
      </x:c>
      <x:c r="E2501" t="n">
        <x:v>46163</x:v>
      </x:c>
      <x:c r="F2501" t="n">
        <x:v>2484</x:v>
      </x:c>
      <x:c r="G2501" t="str">
        <x:v>ca3e6d243ea3432c57498b1549c3e0bb2cef8d3ce750e5cecca513fc56f577ef</x:v>
      </x:c>
      <x:c r="H2501" t="str">
        <x:v>neu</x:v>
      </x:c>
      <x:c r="I2501" t="str">
        <x:v>ok</x:v>
      </x:c>
      <x:c r="J2501"/>
      <x:c r="K2501" t="n">
        <x:v>45327</x:v>
      </x:c>
      <x:c r="L2501" t="n">
        <x:v>45327</x:v>
      </x:c>
      <x:c r="M2501" t="str">
        <x:v>Gebucht</x:v>
      </x:c>
      <x:c r="N2501" t="str">
        <x:v>ISSUER</x:v>
      </x:c>
      <x:c r="O2501" t="str">
        <x:v>Autostadt Restaurants</x:v>
      </x:c>
      <x:c r="P2501" t="str">
        <x:v>VISA Debitkartenumsatz vom 02.02.2024</x:v>
      </x:c>
      <x:c r="Q2501" t="str">
        <x:v>Ausgang</x:v>
      </x:c>
      <x:c r="R2501" t="str">
        <x:v>DE96120300009005290904</x:v>
      </x:c>
      <x:c r="S2501" t="n">
        <x:v>-70</x:v>
      </x:c>
      <x:c r="T2501" t="str">
        <x:v>"</x:v>
      </x:c>
      <x:c r="U2501" t="str">
        <x:v>"</x:v>
      </x:c>
      <x:c r="V2501" t="str">
        <x:v>484033568028065</x:v>
      </x:c>
    </x:row>
    <x:row r="2502">
      <x:c r="A2502" t="str">
        <x:v>RAW-IMP-20260516-FULLDRAFT-002485</x:v>
      </x:c>
      <x:c r="B2502" t="str">
        <x:v>IMP-20260516-FULLDRAFT</x:v>
      </x:c>
      <x:c r="C2502" t="str">
        <x:v>KTO001</x:v>
      </x:c>
      <x:c r="D2502" t="str">
        <x:v>16-05-2026_Umsatzliste_Girokonto_DE98120300001061711675.csv</x:v>
      </x:c>
      <x:c r="E2502" t="n">
        <x:v>46163</x:v>
      </x:c>
      <x:c r="F2502" t="n">
        <x:v>2485</x:v>
      </x:c>
      <x:c r="G2502" t="str">
        <x:v>b3803e87b9825131e5c79cd42c882255e3f87548eb2e42e21ee1f5062cde7182</x:v>
      </x:c>
      <x:c r="H2502" t="str">
        <x:v>neu</x:v>
      </x:c>
      <x:c r="I2502" t="str">
        <x:v>ok</x:v>
      </x:c>
      <x:c r="J2502"/>
      <x:c r="K2502" t="n">
        <x:v>45327</x:v>
      </x:c>
      <x:c r="L2502" t="n">
        <x:v>45327</x:v>
      </x:c>
      <x:c r="M2502" t="str">
        <x:v>Gebucht</x:v>
      </x:c>
      <x:c r="N2502" t="str">
        <x:v>ISSUER</x:v>
      </x:c>
      <x:c r="O2502" t="str">
        <x:v>Autostadt Restaurants</x:v>
      </x:c>
      <x:c r="P2502" t="str">
        <x:v>VISA Debitkartenumsatz vom 02.02.2024</x:v>
      </x:c>
      <x:c r="Q2502" t="str">
        <x:v>Ausgang</x:v>
      </x:c>
      <x:c r="R2502" t="str">
        <x:v>DE96120300009005290904</x:v>
      </x:c>
      <x:c r="S2502" t="n">
        <x:v>-13.9</x:v>
      </x:c>
      <x:c r="T2502" t="str">
        <x:v>"</x:v>
      </x:c>
      <x:c r="U2502" t="str">
        <x:v>"</x:v>
      </x:c>
      <x:c r="V2502" t="str">
        <x:v>484033345350159</x:v>
      </x:c>
    </x:row>
    <x:row r="2503">
      <x:c r="A2503" t="str">
        <x:v>RAW-IMP-20260516-FULLDRAFT-002486</x:v>
      </x:c>
      <x:c r="B2503" t="str">
        <x:v>IMP-20260516-FULLDRAFT</x:v>
      </x:c>
      <x:c r="C2503" t="str">
        <x:v>KTO001</x:v>
      </x:c>
      <x:c r="D2503" t="str">
        <x:v>16-05-2026_Umsatzliste_Girokonto_DE98120300001061711675.csv</x:v>
      </x:c>
      <x:c r="E2503" t="n">
        <x:v>46163</x:v>
      </x:c>
      <x:c r="F2503" t="n">
        <x:v>2486</x:v>
      </x:c>
      <x:c r="G2503" t="str">
        <x:v>07536226c6e48e6b99dcfa228a923528b267a9dbd4823a58935675e36c96b6d2</x:v>
      </x:c>
      <x:c r="H2503" t="str">
        <x:v>neu</x:v>
      </x:c>
      <x:c r="I2503" t="str">
        <x:v>ok</x:v>
      </x:c>
      <x:c r="J2503"/>
      <x:c r="K2503" t="n">
        <x:v>45327</x:v>
      </x:c>
      <x:c r="L2503" t="n">
        <x:v>45327</x:v>
      </x:c>
      <x:c r="M2503" t="str">
        <x:v>Gebucht</x:v>
      </x:c>
      <x:c r="N2503" t="str">
        <x:v>ISSUER</x:v>
      </x:c>
      <x:c r="O2503" t="str">
        <x:v>Autostadt Restaurants</x:v>
      </x:c>
      <x:c r="P2503" t="str">
        <x:v>VISA Debitkartenumsatz vom 02.02.2024</x:v>
      </x:c>
      <x:c r="Q2503" t="str">
        <x:v>Ausgang</x:v>
      </x:c>
      <x:c r="R2503" t="str">
        <x:v>DE96120300009005290904</x:v>
      </x:c>
      <x:c r="S2503" t="n">
        <x:v>-6.1</x:v>
      </x:c>
      <x:c r="T2503" t="str">
        <x:v>"</x:v>
      </x:c>
      <x:c r="U2503" t="str">
        <x:v>"</x:v>
      </x:c>
      <x:c r="V2503" t="str">
        <x:v>484033389525762</x:v>
      </x:c>
    </x:row>
    <x:row r="2504">
      <x:c r="A2504" t="str">
        <x:v>RAW-IMP-20260516-FULLDRAFT-002487</x:v>
      </x:c>
      <x:c r="B2504" t="str">
        <x:v>IMP-20260516-FULLDRAFT</x:v>
      </x:c>
      <x:c r="C2504" t="str">
        <x:v>KTO001</x:v>
      </x:c>
      <x:c r="D2504" t="str">
        <x:v>16-05-2026_Umsatzliste_Girokonto_DE98120300001061711675.csv</x:v>
      </x:c>
      <x:c r="E2504" t="n">
        <x:v>46163</x:v>
      </x:c>
      <x:c r="F2504" t="n">
        <x:v>2487</x:v>
      </x:c>
      <x:c r="G2504" t="str">
        <x:v>e9b457ec5328211d6a79d590b84866a70b06a874c59909c20b6f7a8d4018f81f</x:v>
      </x:c>
      <x:c r="H2504" t="str">
        <x:v>neu</x:v>
      </x:c>
      <x:c r="I2504" t="str">
        <x:v>ok</x:v>
      </x:c>
      <x:c r="J2504"/>
      <x:c r="K2504" t="n">
        <x:v>45327</x:v>
      </x:c>
      <x:c r="L2504" t="n">
        <x:v>45327</x:v>
      </x:c>
      <x:c r="M2504" t="str">
        <x:v>Gebucht</x:v>
      </x:c>
      <x:c r="N2504" t="str">
        <x:v>ISSUER</x:v>
      </x:c>
      <x:c r="O2504" t="str">
        <x:v>Autostadt GmbH</x:v>
      </x:c>
      <x:c r="P2504" t="str">
        <x:v>VISA Debitkartenumsatz vom 02.02.2024</x:v>
      </x:c>
      <x:c r="Q2504" t="str">
        <x:v>Ausgang</x:v>
      </x:c>
      <x:c r="R2504" t="str">
        <x:v>DE96120300009005290904</x:v>
      </x:c>
      <x:c r="S2504" t="n">
        <x:v>-6</x:v>
      </x:c>
      <x:c r="T2504" t="str">
        <x:v>"</x:v>
      </x:c>
      <x:c r="U2504" t="str">
        <x:v>"</x:v>
      </x:c>
      <x:c r="V2504" t="str">
        <x:v>484033574141007</x:v>
      </x:c>
    </x:row>
    <x:row r="2505">
      <x:c r="A2505" t="str">
        <x:v>RAW-IMP-20260516-FULLDRAFT-002488</x:v>
      </x:c>
      <x:c r="B2505" t="str">
        <x:v>IMP-20260516-FULLDRAFT</x:v>
      </x:c>
      <x:c r="C2505" t="str">
        <x:v>KTO001</x:v>
      </x:c>
      <x:c r="D2505" t="str">
        <x:v>16-05-2026_Umsatzliste_Girokonto_DE98120300001061711675.csv</x:v>
      </x:c>
      <x:c r="E2505" t="n">
        <x:v>46163</x:v>
      </x:c>
      <x:c r="F2505" t="n">
        <x:v>2488</x:v>
      </x:c>
      <x:c r="G2505" t="str">
        <x:v>aa63effd0bfa574a6c308c629f1fc5f07910d6dd5babcac0e85f95b5fb63ff54</x:v>
      </x:c>
      <x:c r="H2505" t="str">
        <x:v>neu</x:v>
      </x:c>
      <x:c r="I2505" t="str">
        <x:v>ok</x:v>
      </x:c>
      <x:c r="J2505"/>
      <x:c r="K2505" t="n">
        <x:v>45327</x:v>
      </x:c>
      <x:c r="L2505" t="n">
        <x:v>45327</x:v>
      </x:c>
      <x:c r="M2505" t="str">
        <x:v>Gebucht</x:v>
      </x:c>
      <x:c r="N2505" t="str">
        <x:v>Lars Kohlenberg</x:v>
      </x:c>
      <x:c r="O2505" t="str">
        <x:v>Lea Sophie Kohlenberg</x:v>
      </x:c>
      <x:c r="P2505" t="str">
        <x:v>1000,- von Elke für Führerschein, 600,- Rückzahlung Bett v. 08/14</x:v>
      </x:c>
      <x:c r="Q2505" t="str">
        <x:v>Ausgang</x:v>
      </x:c>
      <x:c r="R2505" t="str">
        <x:v>DE07270200001515313342</x:v>
      </x:c>
      <x:c r="S2505" t="n">
        <x:v>-1600</x:v>
      </x:c>
      <x:c r="T2505" t="str">
        <x:v>"</x:v>
      </x:c>
      <x:c r="U2505" t="str">
        <x:v>"</x:v>
      </x:c>
      <x:c r="V2505" t="str">
        <x:v>"</x:v>
      </x:c>
    </x:row>
    <x:row r="2506">
      <x:c r="A2506" t="str">
        <x:v>RAW-IMP-20260516-FULLDRAFT-002489</x:v>
      </x:c>
      <x:c r="B2506" t="str">
        <x:v>IMP-20260516-FULLDRAFT</x:v>
      </x:c>
      <x:c r="C2506" t="str">
        <x:v>KTO001</x:v>
      </x:c>
      <x:c r="D2506" t="str">
        <x:v>16-05-2026_Umsatzliste_Girokonto_DE98120300001061711675.csv</x:v>
      </x:c>
      <x:c r="E2506" t="n">
        <x:v>46163</x:v>
      </x:c>
      <x:c r="F2506" t="n">
        <x:v>2489</x:v>
      </x:c>
      <x:c r="G2506" t="str">
        <x:v>70781a368c49c6eeb5b33829e3ccdba027e063ab190cf7fdb2e3866928034041</x:v>
      </x:c>
      <x:c r="H2506" t="str">
        <x:v>neu</x:v>
      </x:c>
      <x:c r="I2506" t="str">
        <x:v>ok</x:v>
      </x:c>
      <x:c r="J2506"/>
      <x:c r="K2506" t="n">
        <x:v>45324</x:v>
      </x:c>
      <x:c r="L2506" t="n">
        <x:v>45324</x:v>
      </x:c>
      <x:c r="M2506" t="str">
        <x:v>Gebucht</x:v>
      </x:c>
      <x:c r="N2506" t="str">
        <x:v>Lars Kohlenberg</x:v>
      </x:c>
      <x:c r="O2506" t="str">
        <x:v>VHV Allg. Versicherung AG</x:v>
      </x:c>
      <x:c r="P2506" t="str">
        <x:v>VHV Versicherung UNFALLVERSICHERUNG U 013-072445/0000 Abrechnung: 01.02.24 - 01.03.24</x:v>
      </x:c>
      <x:c r="Q2506" t="str">
        <x:v>Ausgang</x:v>
      </x:c>
      <x:c r="R2506" t="str">
        <x:v>DE65250500000101411551</x:v>
      </x:c>
      <x:c r="S2506" t="n">
        <x:v>-11.96</x:v>
      </x:c>
      <x:c r="T2506" t="str">
        <x:v>DE32VHV00000150810</x:v>
      </x:c>
      <x:c r="U2506" t="str">
        <x:v>0015012300010039</x:v>
      </x:c>
      <x:c r="V2506" t="str">
        <x:v>31183431382</x:v>
      </x:c>
    </x:row>
    <x:row r="2507">
      <x:c r="A2507" t="str">
        <x:v>RAW-IMP-20260516-FULLDRAFT-002490</x:v>
      </x:c>
      <x:c r="B2507" t="str">
        <x:v>IMP-20260516-FULLDRAFT</x:v>
      </x:c>
      <x:c r="C2507" t="str">
        <x:v>KTO001</x:v>
      </x:c>
      <x:c r="D2507" t="str">
        <x:v>16-05-2026_Umsatzliste_Girokonto_DE98120300001061711675.csv</x:v>
      </x:c>
      <x:c r="E2507" t="n">
        <x:v>46163</x:v>
      </x:c>
      <x:c r="F2507" t="n">
        <x:v>2490</x:v>
      </x:c>
      <x:c r="G2507" t="str">
        <x:v>9926894bf7c92b08f045572af0d22526824ce38be4652cb1799757cd615d5e8f</x:v>
      </x:c>
      <x:c r="H2507" t="str">
        <x:v>neu</x:v>
      </x:c>
      <x:c r="I2507" t="str">
        <x:v>ok</x:v>
      </x:c>
      <x:c r="J2507"/>
      <x:c r="K2507" t="n">
        <x:v>45324</x:v>
      </x:c>
      <x:c r="L2507" t="n">
        <x:v>45324</x:v>
      </x:c>
      <x:c r="M2507" t="str">
        <x:v>Gebucht</x:v>
      </x:c>
      <x:c r="N2507" t="str">
        <x:v>Lars Kohlenberg                                                       Johannes-Wosnitza-Str. 8</x:v>
      </x:c>
      <x:c r="O2507" t="str">
        <x:v>FUNKE Medien Nieders.GmbH</x:v>
      </x:c>
      <x:c r="P2507" t="str">
        <x:v>SZ/00001050/VA/01.02.24-29.02.24/Rg-Nr.:6315312745/Kd-Nr:0053112791/Steuer:3.57</x:v>
      </x:c>
      <x:c r="Q2507" t="str">
        <x:v>Ausgang</x:v>
      </x:c>
      <x:c r="R2507" t="str">
        <x:v>DE67250500000000146910</x:v>
      </x:c>
      <x:c r="S2507" t="n">
        <x:v>-54.5</x:v>
      </x:c>
      <x:c r="T2507" t="str">
        <x:v>DE8850000000483288</x:v>
      </x:c>
      <x:c r="U2507" t="str">
        <x:v>0053112791-0500-01300001</x:v>
      </x:c>
      <x:c r="V2507" t="str">
        <x:v>031006608708</x:v>
      </x:c>
    </x:row>
    <x:row r="2508">
      <x:c r="A2508" t="str">
        <x:v>RAW-IMP-20260516-FULLDRAFT-002491</x:v>
      </x:c>
      <x:c r="B2508" t="str">
        <x:v>IMP-20260516-FULLDRAFT</x:v>
      </x:c>
      <x:c r="C2508" t="str">
        <x:v>KTO001</x:v>
      </x:c>
      <x:c r="D2508" t="str">
        <x:v>16-05-2026_Umsatzliste_Girokonto_DE98120300001061711675.csv</x:v>
      </x:c>
      <x:c r="E2508" t="n">
        <x:v>46163</x:v>
      </x:c>
      <x:c r="F2508" t="n">
        <x:v>2491</x:v>
      </x:c>
      <x:c r="G2508" t="str">
        <x:v>381b0ee4c0b43d7376e645e2809796416243c0ebfa508e8a393f8fed644b621f</x:v>
      </x:c>
      <x:c r="H2508" t="str">
        <x:v>neu</x:v>
      </x:c>
      <x:c r="I2508" t="str">
        <x:v>ok</x:v>
      </x:c>
      <x:c r="J2508"/>
      <x:c r="K2508" t="n">
        <x:v>45324</x:v>
      </x:c>
      <x:c r="L2508" t="n">
        <x:v>45324</x:v>
      </x:c>
      <x:c r="M2508" t="str">
        <x:v>Gebucht</x:v>
      </x:c>
      <x:c r="N2508" t="str">
        <x:v>Kohlenberg Lars</x:v>
      </x:c>
      <x:c r="O2508" t="str">
        <x:v>Verein fuer Leibesuebungen (VfL) Salder e.V.</x:v>
      </x:c>
      <x:c r="P2508" t="str">
        <x:v>VfL Salder e.V., Kohlenberg, Jan Niklas, 3191, Beitrag 2024</x:v>
      </x:c>
      <x:c r="Q2508" t="str">
        <x:v>Ausgang</x:v>
      </x:c>
      <x:c r="R2508" t="str">
        <x:v>DE47270925550000226700</x:v>
      </x:c>
      <x:c r="S2508" t="n">
        <x:v>-60</x:v>
      </x:c>
      <x:c r="T2508" t="str">
        <x:v>DE72VFL00000575435</x:v>
      </x:c>
      <x:c r="U2508" t="str">
        <x:v>11224</x:v>
      </x:c>
      <x:c r="V2508" t="str">
        <x:v>73126062</x:v>
      </x:c>
    </x:row>
    <x:row r="2509">
      <x:c r="A2509" t="str">
        <x:v>RAW-IMP-20260516-FULLDRAFT-002492</x:v>
      </x:c>
      <x:c r="B2509" t="str">
        <x:v>IMP-20260516-FULLDRAFT</x:v>
      </x:c>
      <x:c r="C2509" t="str">
        <x:v>KTO001</x:v>
      </x:c>
      <x:c r="D2509" t="str">
        <x:v>16-05-2026_Umsatzliste_Girokonto_DE98120300001061711675.csv</x:v>
      </x:c>
      <x:c r="E2509" t="n">
        <x:v>46163</x:v>
      </x:c>
      <x:c r="F2509" t="n">
        <x:v>2492</x:v>
      </x:c>
      <x:c r="G2509" t="str">
        <x:v>d84c8c31ba568d730272791a344d76dbf5ef75fa1e41345e9071c57dccf30700</x:v>
      </x:c>
      <x:c r="H2509" t="str">
        <x:v>neu</x:v>
      </x:c>
      <x:c r="I2509" t="str">
        <x:v>ok</x:v>
      </x:c>
      <x:c r="J2509"/>
      <x:c r="K2509" t="n">
        <x:v>45323</x:v>
      </x:c>
      <x:c r="L2509" t="n">
        <x:v>45323</x:v>
      </x:c>
      <x:c r="M2509" t="str">
        <x:v>Gebucht</x:v>
      </x:c>
      <x:c r="N2509" t="str">
        <x:v>Elke Hoogeveen</x:v>
      </x:c>
      <x:c r="O2509" t="str">
        <x:v>Kohlenberg Lars</x:v>
      </x:c>
      <x:c r="P2509" t="str">
        <x:v>für Lea ud Jan</x:v>
      </x:c>
      <x:c r="Q2509" t="str">
        <x:v>Eingang</x:v>
      </x:c>
      <x:c r="R2509" t="str">
        <x:v>DE37292500000002892600</x:v>
      </x:c>
      <x:c r="S2509" t="n">
        <x:v>2000</x:v>
      </x:c>
      <x:c r="T2509" t="str">
        <x:v>"</x:v>
      </x:c>
      <x:c r="U2509" t="str">
        <x:v>"</x:v>
      </x:c>
      <x:c r="V2509" t="str">
        <x:v>"</x:v>
      </x:c>
    </x:row>
    <x:row r="2510">
      <x:c r="A2510" t="str">
        <x:v>RAW-IMP-20260516-FULLDRAFT-002493</x:v>
      </x:c>
      <x:c r="B2510" t="str">
        <x:v>IMP-20260516-FULLDRAFT</x:v>
      </x:c>
      <x:c r="C2510" t="str">
        <x:v>KTO001</x:v>
      </x:c>
      <x:c r="D2510" t="str">
        <x:v>16-05-2026_Umsatzliste_Girokonto_DE98120300001061711675.csv</x:v>
      </x:c>
      <x:c r="E2510" t="n">
        <x:v>46163</x:v>
      </x:c>
      <x:c r="F2510" t="n">
        <x:v>2493</x:v>
      </x:c>
      <x:c r="G2510" t="str">
        <x:v>9410ad3b6e449cf904cf7afa6df7f7d4583a8077a92b3ef91315de2fff9e2123</x:v>
      </x:c>
      <x:c r="H2510" t="str">
        <x:v>neu</x:v>
      </x:c>
      <x:c r="I2510" t="str">
        <x:v>ok</x:v>
      </x:c>
      <x:c r="J2510"/>
      <x:c r="K2510" t="n">
        <x:v>45323</x:v>
      </x:c>
      <x:c r="L2510" t="n">
        <x:v>45323</x:v>
      </x:c>
      <x:c r="M2510" t="str">
        <x:v>Gebucht</x:v>
      </x:c>
      <x:c r="N2510" t="str">
        <x:v>WILLI KOHLENBERG</x:v>
      </x:c>
      <x:c r="O2510" t="str">
        <x:v>LARS KOHLENBERG</x:v>
      </x:c>
      <x:c r="P2510" t="str">
        <x:v>MIETE 2/3 HAUS</x:v>
      </x:c>
      <x:c r="Q2510" t="str">
        <x:v>Eingang</x:v>
      </x:c>
      <x:c r="R2510" t="str">
        <x:v>DE84270800600651520400</x:v>
      </x:c>
      <x:c r="S2510" t="n">
        <x:v>750</x:v>
      </x:c>
      <x:c r="T2510" t="str">
        <x:v>"</x:v>
      </x:c>
      <x:c r="U2510" t="str">
        <x:v>"</x:v>
      </x:c>
      <x:c r="V2510" t="str">
        <x:v>"</x:v>
      </x:c>
    </x:row>
    <x:row r="2511">
      <x:c r="A2511" t="str">
        <x:v>RAW-IMP-20260516-FULLDRAFT-002494</x:v>
      </x:c>
      <x:c r="B2511" t="str">
        <x:v>IMP-20260516-FULLDRAFT</x:v>
      </x:c>
      <x:c r="C2511" t="str">
        <x:v>KTO001</x:v>
      </x:c>
      <x:c r="D2511" t="str">
        <x:v>16-05-2026_Umsatzliste_Girokonto_DE98120300001061711675.csv</x:v>
      </x:c>
      <x:c r="E2511" t="n">
        <x:v>46163</x:v>
      </x:c>
      <x:c r="F2511" t="n">
        <x:v>2494</x:v>
      </x:c>
      <x:c r="G2511" t="str">
        <x:v>680e33deb7ff95a03c72e76ca29da7502c736b640ee0e1bd0f8c034b57cb3af9</x:v>
      </x:c>
      <x:c r="H2511" t="str">
        <x:v>neu</x:v>
      </x:c>
      <x:c r="I2511" t="str">
        <x:v>ok</x:v>
      </x:c>
      <x:c r="J2511"/>
      <x:c r="K2511" t="n">
        <x:v>45323</x:v>
      </x:c>
      <x:c r="L2511" t="n">
        <x:v>45323</x:v>
      </x:c>
      <x:c r="M2511" t="str">
        <x:v>Gebucht</x:v>
      </x:c>
      <x:c r="N2511" t="str">
        <x:v>ISSUER</x:v>
      </x:c>
      <x:c r="O2511" t="str">
        <x:v>BURGER KING 10150 SOT</x:v>
      </x:c>
      <x:c r="P2511" t="str">
        <x:v>VISA Debitkartenumsatz vom 31.01.2024</x:v>
      </x:c>
      <x:c r="Q2511" t="str">
        <x:v>Ausgang</x:v>
      </x:c>
      <x:c r="R2511" t="str">
        <x:v>DE96120300009005290904</x:v>
      </x:c>
      <x:c r="S2511" t="n">
        <x:v>-12.99</x:v>
      </x:c>
      <x:c r="T2511" t="str">
        <x:v>"</x:v>
      </x:c>
      <x:c r="U2511" t="str">
        <x:v>"</x:v>
      </x:c>
      <x:c r="V2511" t="str">
        <x:v>484031398418286</x:v>
      </x:c>
    </x:row>
    <x:row r="2512">
      <x:c r="A2512" t="str">
        <x:v>RAW-IMP-20260516-FULLDRAFT-002495</x:v>
      </x:c>
      <x:c r="B2512" t="str">
        <x:v>IMP-20260516-FULLDRAFT</x:v>
      </x:c>
      <x:c r="C2512" t="str">
        <x:v>KTO001</x:v>
      </x:c>
      <x:c r="D2512" t="str">
        <x:v>16-05-2026_Umsatzliste_Girokonto_DE98120300001061711675.csv</x:v>
      </x:c>
      <x:c r="E2512" t="n">
        <x:v>46163</x:v>
      </x:c>
      <x:c r="F2512" t="n">
        <x:v>2495</x:v>
      </x:c>
      <x:c r="G2512" t="str">
        <x:v>092da5accc0c28718a6271b9436499ecab3fcc07a48792ce61d7a10fc797f7ef</x:v>
      </x:c>
      <x:c r="H2512" t="str">
        <x:v>neu</x:v>
      </x:c>
      <x:c r="I2512" t="str">
        <x:v>ok</x:v>
      </x:c>
      <x:c r="J2512"/>
      <x:c r="K2512" t="n">
        <x:v>45323</x:v>
      </x:c>
      <x:c r="L2512" t="n">
        <x:v>45323</x:v>
      </x:c>
      <x:c r="M2512" t="str">
        <x:v>Gebucht</x:v>
      </x:c>
      <x:c r="N2512" t="str">
        <x:v>ISSUER</x:v>
      </x:c>
      <x:c r="O2512" t="str">
        <x:v>REWE Salzgitter.Ge</x:v>
      </x:c>
      <x:c r="P2512" t="str">
        <x:v>VISA Debitkartenumsatz vom 31.01.2024</x:v>
      </x:c>
      <x:c r="Q2512" t="str">
        <x:v>Ausgang</x:v>
      </x:c>
      <x:c r="R2512" t="str">
        <x:v>DE96120300009005290904</x:v>
      </x:c>
      <x:c r="S2512" t="n">
        <x:v>-9.68</x:v>
      </x:c>
      <x:c r="T2512" t="str">
        <x:v>"</x:v>
      </x:c>
      <x:c r="U2512" t="str">
        <x:v>"</x:v>
      </x:c>
      <x:c r="V2512" t="str">
        <x:v>484031664087959</x:v>
      </x:c>
    </x:row>
    <x:row r="2513">
      <x:c r="A2513" t="str">
        <x:v>RAW-IMP-20260516-FULLDRAFT-002496</x:v>
      </x:c>
      <x:c r="B2513" t="str">
        <x:v>IMP-20260516-FULLDRAFT</x:v>
      </x:c>
      <x:c r="C2513" t="str">
        <x:v>KTO001</x:v>
      </x:c>
      <x:c r="D2513" t="str">
        <x:v>16-05-2026_Umsatzliste_Girokonto_DE98120300001061711675.csv</x:v>
      </x:c>
      <x:c r="E2513" t="n">
        <x:v>46163</x:v>
      </x:c>
      <x:c r="F2513" t="n">
        <x:v>2496</x:v>
      </x:c>
      <x:c r="G2513" t="str">
        <x:v>27b6a2f441849b5671cd4a1dd557212b0de860a38f66e0c40566f613b82dc656</x:v>
      </x:c>
      <x:c r="H2513" t="str">
        <x:v>neu</x:v>
      </x:c>
      <x:c r="I2513" t="str">
        <x:v>ok</x:v>
      </x:c>
      <x:c r="J2513"/>
      <x:c r="K2513" t="n">
        <x:v>45323</x:v>
      </x:c>
      <x:c r="L2513" t="n">
        <x:v>45323</x:v>
      </x:c>
      <x:c r="M2513" t="str">
        <x:v>Gebucht</x:v>
      </x:c>
      <x:c r="N2513" t="str">
        <x:v>KOHLENBERG LARS</x:v>
      </x:c>
      <x:c r="O2513" t="str">
        <x:v>VOLKSWOHL BUND Lebensversicherung a.G.</x:v>
      </x:c>
      <x:c r="P2513" t="str">
        <x:v>009893595 LA000750566/ 009893595 LEBEN 66,15</x:v>
      </x:c>
      <x:c r="Q2513" t="str">
        <x:v>Ausgang</x:v>
      </x:c>
      <x:c r="R2513" t="str">
        <x:v>DE76440400370361155500</x:v>
      </x:c>
      <x:c r="S2513" t="n">
        <x:v>-66.15</x:v>
      </x:c>
      <x:c r="T2513" t="str">
        <x:v>DE13ZZZ00000141064</x:v>
      </x:c>
      <x:c r="U2513" t="str">
        <x:v>LA000750566</x:v>
      </x:c>
      <x:c r="V2513" t="str">
        <x:v>009893595/NVMA.G1065-350831</x:v>
      </x:c>
    </x:row>
    <x:row r="2514">
      <x:c r="A2514" t="str">
        <x:v>RAW-IMP-20260516-FULLDRAFT-002497</x:v>
      </x:c>
      <x:c r="B2514" t="str">
        <x:v>IMP-20260516-FULLDRAFT</x:v>
      </x:c>
      <x:c r="C2514" t="str">
        <x:v>KTO001</x:v>
      </x:c>
      <x:c r="D2514" t="str">
        <x:v>16-05-2026_Umsatzliste_Girokonto_DE98120300001061711675.csv</x:v>
      </x:c>
      <x:c r="E2514" t="n">
        <x:v>46163</x:v>
      </x:c>
      <x:c r="F2514" t="n">
        <x:v>2497</x:v>
      </x:c>
      <x:c r="G2514" t="str">
        <x:v>eaa88a274b65f9d332a061c4040d8d004d9e2adc0d0610a2a5221eb708508af9</x:v>
      </x:c>
      <x:c r="H2514" t="str">
        <x:v>neu</x:v>
      </x:c>
      <x:c r="I2514" t="str">
        <x:v>ok</x:v>
      </x:c>
      <x:c r="J2514"/>
      <x:c r="K2514" t="n">
        <x:v>45323</x:v>
      </x:c>
      <x:c r="L2514" t="n">
        <x:v>45323</x:v>
      </x:c>
      <x:c r="M2514" t="str">
        <x:v>Gebucht</x:v>
      </x:c>
      <x:c r="N2514" t="str">
        <x:v>KOHLENBERG, LARS</x:v>
      </x:c>
      <x:c r="O2514" t="str">
        <x:v>Lars und Katrin Kohlenberg</x:v>
      </x:c>
      <x:c r="P2514" t="str">
        <x:v>9900548 VERMOEGENSDEPOT SPARPLAN WKN A0NDDA</x:v>
      </x:c>
      <x:c r="Q2514" t="str">
        <x:v>Ausgang</x:v>
      </x:c>
      <x:c r="R2514" t="str">
        <x:v>DE27672300000506966162</x:v>
      </x:c>
      <x:c r="S2514" t="n">
        <x:v>-400</x:v>
      </x:c>
      <x:c r="T2514" t="str">
        <x:v>DE53ZZZ00000010849</x:v>
      </x:c>
      <x:c r="U2514" t="str">
        <x:v>WPBF0000180845</x:v>
      </x:c>
      <x:c r="V2514" t="str">
        <x:v>SPARSP 13929727</x:v>
      </x:c>
    </x:row>
    <x:row r="2515">
      <x:c r="A2515" t="str">
        <x:v>RAW-IMP-20260516-FULLDRAFT-002498</x:v>
      </x:c>
      <x:c r="B2515" t="str">
        <x:v>IMP-20260516-FULLDRAFT</x:v>
      </x:c>
      <x:c r="C2515" t="str">
        <x:v>KTO001</x:v>
      </x:c>
      <x:c r="D2515" t="str">
        <x:v>16-05-2026_Umsatzliste_Girokonto_DE98120300001061711675.csv</x:v>
      </x:c>
      <x:c r="E2515" t="n">
        <x:v>46163</x:v>
      </x:c>
      <x:c r="F2515" t="n">
        <x:v>2498</x:v>
      </x:c>
      <x:c r="G2515" t="str">
        <x:v>ac048644813896d25e8255bfe3e368775d64cb3217c307911c03b5841f645a40</x:v>
      </x:c>
      <x:c r="H2515" t="str">
        <x:v>neu</x:v>
      </x:c>
      <x:c r="I2515" t="str">
        <x:v>ok</x:v>
      </x:c>
      <x:c r="J2515"/>
      <x:c r="K2515" t="n">
        <x:v>45323</x:v>
      </x:c>
      <x:c r="L2515" t="n">
        <x:v>45323</x:v>
      </x:c>
      <x:c r="M2515" t="str">
        <x:v>Gebucht</x:v>
      </x:c>
      <x:c r="N2515" t="str">
        <x:v>Kohlenberg, Lars</x:v>
      </x:c>
      <x:c r="O2515" t="str">
        <x:v>IDEAL Lebensversicherung aG</x:v>
      </x:c>
      <x:c r="P2515" t="str">
        <x:v>2011216280009 LV 021</x:v>
      </x:c>
      <x:c r="Q2515" t="str">
        <x:v>Ausgang</x:v>
      </x:c>
      <x:c r="R2515" t="str">
        <x:v>DE36100700000460303100</x:v>
      </x:c>
      <x:c r="S2515" t="n">
        <x:v>-97.12</x:v>
      </x:c>
      <x:c r="T2515" t="str">
        <x:v>DE40ZZZ00000559230</x:v>
      </x:c>
      <x:c r="U2515" t="str">
        <x:v>2011216280009-001</x:v>
      </x:c>
      <x:c r="V2515" t="str">
        <x:v>GL,KL,PD-20240201-1-2011216280009-0</x:v>
      </x:c>
    </x:row>
    <x:row r="2516">
      <x:c r="A2516" t="str">
        <x:v>RAW-IMP-20260516-FULLDRAFT-002499</x:v>
      </x:c>
      <x:c r="B2516" t="str">
        <x:v>IMP-20260516-FULLDRAFT</x:v>
      </x:c>
      <x:c r="C2516" t="str">
        <x:v>KTO001</x:v>
      </x:c>
      <x:c r="D2516" t="str">
        <x:v>16-05-2026_Umsatzliste_Girokonto_DE98120300001061711675.csv</x:v>
      </x:c>
      <x:c r="E2516" t="n">
        <x:v>46163</x:v>
      </x:c>
      <x:c r="F2516" t="n">
        <x:v>2499</x:v>
      </x:c>
      <x:c r="G2516" t="str">
        <x:v>da2bebd73cefae72e8d9ef581391e7e7c26df733577bddb8846b65203e1c9d6b</x:v>
      </x:c>
      <x:c r="H2516" t="str">
        <x:v>neu</x:v>
      </x:c>
      <x:c r="I2516" t="str">
        <x:v>ok</x:v>
      </x:c>
      <x:c r="J2516"/>
      <x:c r="K2516" t="n">
        <x:v>45323</x:v>
      </x:c>
      <x:c r="L2516" t="n">
        <x:v>45323</x:v>
      </x:c>
      <x:c r="M2516" t="str">
        <x:v>Gebucht</x:v>
      </x:c>
      <x:c r="N2516" t="str">
        <x:v>Lars Kohlenberg</x:v>
      </x:c>
      <x:c r="O2516" t="str">
        <x:v>KATRIN KOHLENBERG</x:v>
      </x:c>
      <x:c r="P2516" t="str">
        <x:v>Apanage</x:v>
      </x:c>
      <x:c r="Q2516" t="str">
        <x:v>Ausgang</x:v>
      </x:c>
      <x:c r="R2516" t="str">
        <x:v>DE32270727240307336800</x:v>
      </x:c>
      <x:c r="S2516" t="n">
        <x:v>-1800</x:v>
      </x:c>
      <x:c r="T2516" t="str">
        <x:v>"</x:v>
      </x:c>
      <x:c r="U2516" t="str">
        <x:v>"</x:v>
      </x:c>
      <x:c r="V2516" t="str">
        <x:v>"</x:v>
      </x:c>
    </x:row>
    <x:row r="2517">
      <x:c r="A2517" t="str">
        <x:v>RAW-IMP-20260516-FULLDRAFT-002500</x:v>
      </x:c>
      <x:c r="B2517" t="str">
        <x:v>IMP-20260516-FULLDRAFT</x:v>
      </x:c>
      <x:c r="C2517" t="str">
        <x:v>KTO001</x:v>
      </x:c>
      <x:c r="D2517" t="str">
        <x:v>16-05-2026_Umsatzliste_Girokonto_DE98120300001061711675.csv</x:v>
      </x:c>
      <x:c r="E2517" t="n">
        <x:v>46163</x:v>
      </x:c>
      <x:c r="F2517" t="n">
        <x:v>2500</x:v>
      </x:c>
      <x:c r="G2517" t="str">
        <x:v>65c51d2142aa5d3a8566be79ebc7d99688968d0b4d87b35515d2770479557d41</x:v>
      </x:c>
      <x:c r="H2517" t="str">
        <x:v>neu</x:v>
      </x:c>
      <x:c r="I2517" t="str">
        <x:v>ok</x:v>
      </x:c>
      <x:c r="J2517"/>
      <x:c r="K2517" t="n">
        <x:v>45323</x:v>
      </x:c>
      <x:c r="L2517" t="n">
        <x:v>45323</x:v>
      </x:c>
      <x:c r="M2517" t="str">
        <x:v>Gebucht</x:v>
      </x:c>
      <x:c r="N2517" t="str">
        <x:v>Lars Kohlenberg</x:v>
      </x:c>
      <x:c r="O2517" t="str">
        <x:v>LARS KOHLENBERG</x:v>
      </x:c>
      <x:c r="P2517" t="str">
        <x:v>Sparrate 650,- + 750 EUR Mieteinnahmen</x:v>
      </x:c>
      <x:c r="Q2517" t="str">
        <x:v>Ausgang</x:v>
      </x:c>
      <x:c r="R2517" t="str">
        <x:v>DE91270200001510365800</x:v>
      </x:c>
      <x:c r="S2517" t="n">
        <x:v>-1400</x:v>
      </x:c>
      <x:c r="T2517" t="str">
        <x:v>"</x:v>
      </x:c>
      <x:c r="U2517" t="str">
        <x:v>"</x:v>
      </x:c>
      <x:c r="V2517" t="str">
        <x:v>"</x:v>
      </x:c>
    </x:row>
    <x:row r="2518">
      <x:c r="A2518" t="str">
        <x:v>RAW-IMP-20260516-FULLDRAFT-002501</x:v>
      </x:c>
      <x:c r="B2518" t="str">
        <x:v>IMP-20260516-FULLDRAFT</x:v>
      </x:c>
      <x:c r="C2518" t="str">
        <x:v>KTO001</x:v>
      </x:c>
      <x:c r="D2518" t="str">
        <x:v>16-05-2026_Umsatzliste_Girokonto_DE98120300001061711675.csv</x:v>
      </x:c>
      <x:c r="E2518" t="n">
        <x:v>46163</x:v>
      </x:c>
      <x:c r="F2518" t="n">
        <x:v>2501</x:v>
      </x:c>
      <x:c r="G2518" t="str">
        <x:v>aa57ab57e436222897a7b38d68ce09aa543c85b224774d52d93069fc1b928d4a</x:v>
      </x:c>
      <x:c r="H2518" t="str">
        <x:v>neu</x:v>
      </x:c>
      <x:c r="I2518" t="str">
        <x:v>ok</x:v>
      </x:c>
      <x:c r="J2518"/>
      <x:c r="K2518" t="n">
        <x:v>45323</x:v>
      </x:c>
      <x:c r="L2518" t="n">
        <x:v>45323</x:v>
      </x:c>
      <x:c r="M2518" t="str">
        <x:v>Gebucht</x:v>
      </x:c>
      <x:c r="N2518" t="str">
        <x:v>Lars Kohlenberg                                                       Johannes-Wosnitza-Str. 8 38229 Salzgitter</x:v>
      </x:c>
      <x:c r="O2518" t="str">
        <x:v>Heidelberger Lebensversicherung AG                                    Im Breitspiel 2-4, 69126 Heidelberg</x:v>
      </x:c>
      <x:c r="P2518" t="str">
        <x:v>60012826 , 02.24</x:v>
      </x:c>
      <x:c r="Q2518" t="str">
        <x:v>Ausgang</x:v>
      </x:c>
      <x:c r="R2518" t="str">
        <x:v>DE38600501010002662604</x:v>
      </x:c>
      <x:c r="S2518" t="n">
        <x:v>-452.71</x:v>
      </x:c>
      <x:c r="T2518" t="str">
        <x:v>DE31HLE00000032682</x:v>
      </x:c>
      <x:c r="U2518" t="str">
        <x:v>11-140000075706</x:v>
      </x:c>
      <x:c r="V2518" t="str">
        <x:v>130037167186</x:v>
      </x:c>
    </x:row>
    <x:row r="2519">
      <x:c r="A2519" t="str">
        <x:v>RAW-IMP-20260516-FULLDRAFT-002502</x:v>
      </x:c>
      <x:c r="B2519" t="str">
        <x:v>IMP-20260516-FULLDRAFT</x:v>
      </x:c>
      <x:c r="C2519" t="str">
        <x:v>KTO001</x:v>
      </x:c>
      <x:c r="D2519" t="str">
        <x:v>16-05-2026_Umsatzliste_Girokonto_DE98120300001061711675.csv</x:v>
      </x:c>
      <x:c r="E2519" t="n">
        <x:v>46163</x:v>
      </x:c>
      <x:c r="F2519" t="n">
        <x:v>2502</x:v>
      </x:c>
      <x:c r="G2519" t="str">
        <x:v>9af961bdae479af8c0a256ed123a077d04c913ef62df48803c218254f98df799</x:v>
      </x:c>
      <x:c r="H2519" t="str">
        <x:v>neu</x:v>
      </x:c>
      <x:c r="I2519" t="str">
        <x:v>ok</x:v>
      </x:c>
      <x:c r="J2519"/>
      <x:c r="K2519" t="n">
        <x:v>45323</x:v>
      </x:c>
      <x:c r="L2519" t="n">
        <x:v>45323</x:v>
      </x:c>
      <x:c r="M2519" t="str">
        <x:v>Gebucht</x:v>
      </x:c>
      <x:c r="N2519" t="str">
        <x:v>KOHLENBERG, LARS</x:v>
      </x:c>
      <x:c r="O2519" t="str">
        <x:v>VPV-LEBENSVERSICHERUNGS-AG</x:v>
      </x:c>
      <x:c r="P2519" t="str">
        <x:v>VNR 301667726</x:v>
      </x:c>
      <x:c r="Q2519" t="str">
        <x:v>Ausgang</x:v>
      </x:c>
      <x:c r="R2519" t="str">
        <x:v>DE78600501010001166338</x:v>
      </x:c>
      <x:c r="S2519" t="n">
        <x:v>-51.54</x:v>
      </x:c>
      <x:c r="T2519" t="str">
        <x:v>DE96LAG00000064686</x:v>
      </x:c>
      <x:c r="U2519" t="str">
        <x:v>ML700120510</x:v>
      </x:c>
      <x:c r="V2519" t="str">
        <x:v>240129 444168489 ML700120510</x:v>
      </x:c>
    </x:row>
    <x:row r="2520">
      <x:c r="A2520" t="str">
        <x:v>RAW-IMP-20260516-FULLDRAFT-002503</x:v>
      </x:c>
      <x:c r="B2520" t="str">
        <x:v>IMP-20260516-FULLDRAFT</x:v>
      </x:c>
      <x:c r="C2520" t="str">
        <x:v>KTO001</x:v>
      </x:c>
      <x:c r="D2520" t="str">
        <x:v>16-05-2026_Umsatzliste_Girokonto_DE98120300001061711675.csv</x:v>
      </x:c>
      <x:c r="E2520" t="n">
        <x:v>46163</x:v>
      </x:c>
      <x:c r="F2520" t="n">
        <x:v>2503</x:v>
      </x:c>
      <x:c r="G2520" t="str">
        <x:v>b55c53243c5918677b35107bbc3d76a615948ba13cd1cb6e87263ef83c2ed9d7</x:v>
      </x:c>
      <x:c r="H2520" t="str">
        <x:v>neu</x:v>
      </x:c>
      <x:c r="I2520" t="str">
        <x:v>ok</x:v>
      </x:c>
      <x:c r="J2520"/>
      <x:c r="K2520" t="n">
        <x:v>45323</x:v>
      </x:c>
      <x:c r="L2520" t="n">
        <x:v>45323</x:v>
      </x:c>
      <x:c r="M2520" t="str">
        <x:v>Gebucht</x:v>
      </x:c>
      <x:c r="N2520" t="str">
        <x:v>Kohlenberg Lars</x:v>
      </x:c>
      <x:c r="O2520" t="str">
        <x:v>Allianz Lebensvers. AG</x:v>
      </x:c>
      <x:c r="P2520" t="str">
        <x:v>330296196 0224</x:v>
      </x:c>
      <x:c r="Q2520" t="str">
        <x:v>Ausgang</x:v>
      </x:c>
      <x:c r="R2520" t="str">
        <x:v>DE77700202700062328142</x:v>
      </x:c>
      <x:c r="S2520" t="n">
        <x:v>-162.17</x:v>
      </x:c>
      <x:c r="T2520" t="str">
        <x:v>DE07ZZZ00000063475</x:v>
      </x:c>
      <x:c r="U2520" t="str">
        <x:v>LA01L312001066775296</x:v>
      </x:c>
      <x:c r="V2520" t="str">
        <x:v>A7024024-000330296196012146098388</x:v>
      </x:c>
    </x:row>
    <x:row r="2521">
      <x:c r="A2521" t="str">
        <x:v>RAW-IMP-20260516-FULLDRAFT-002504</x:v>
      </x:c>
      <x:c r="B2521" t="str">
        <x:v>IMP-20260516-FULLDRAFT</x:v>
      </x:c>
      <x:c r="C2521" t="str">
        <x:v>KTO001</x:v>
      </x:c>
      <x:c r="D2521" t="str">
        <x:v>16-05-2026_Umsatzliste_Girokonto_DE98120300001061711675.csv</x:v>
      </x:c>
      <x:c r="E2521" t="n">
        <x:v>46163</x:v>
      </x:c>
      <x:c r="F2521" t="n">
        <x:v>2504</x:v>
      </x:c>
      <x:c r="G2521" t="str">
        <x:v>4604e38147dc9010c2adae8aa03b8426454ed3149ef630667525ae684fc3a011</x:v>
      </x:c>
      <x:c r="H2521" t="str">
        <x:v>neu</x:v>
      </x:c>
      <x:c r="I2521" t="str">
        <x:v>ok</x:v>
      </x:c>
      <x:c r="J2521"/>
      <x:c r="K2521" t="n">
        <x:v>45322</x:v>
      </x:c>
      <x:c r="L2521" t="n">
        <x:v>45322</x:v>
      </x:c>
      <x:c r="M2521" t="str">
        <x:v>Gebucht</x:v>
      </x:c>
      <x:c r="N2521" t="str">
        <x:v>ISSUER</x:v>
      </x:c>
      <x:c r="O2521" t="str">
        <x:v>ALDI SAGT DANKE</x:v>
      </x:c>
      <x:c r="P2521" t="str">
        <x:v>VISA Debitkartenumsatz vom 30.01.2024</x:v>
      </x:c>
      <x:c r="Q2521" t="str">
        <x:v>Ausgang</x:v>
      </x:c>
      <x:c r="R2521" t="str">
        <x:v>DE96120300009005290904</x:v>
      </x:c>
      <x:c r="S2521" t="n">
        <x:v>-2.19</x:v>
      </x:c>
      <x:c r="T2521" t="str">
        <x:v>"</x:v>
      </x:c>
      <x:c r="U2521" t="str">
        <x:v>"</x:v>
      </x:c>
      <x:c r="V2521" t="str">
        <x:v>484030408600727</x:v>
      </x:c>
    </x:row>
    <x:row r="2522">
      <x:c r="A2522" t="str">
        <x:v>RAW-IMP-20260516-FULLDRAFT-002505</x:v>
      </x:c>
      <x:c r="B2522" t="str">
        <x:v>IMP-20260516-FULLDRAFT</x:v>
      </x:c>
      <x:c r="C2522" t="str">
        <x:v>KTO001</x:v>
      </x:c>
      <x:c r="D2522" t="str">
        <x:v>16-05-2026_Umsatzliste_Girokonto_DE98120300001061711675.csv</x:v>
      </x:c>
      <x:c r="E2522" t="n">
        <x:v>46163</x:v>
      </x:c>
      <x:c r="F2522" t="n">
        <x:v>2505</x:v>
      </x:c>
      <x:c r="G2522" t="str">
        <x:v>3393f95b5c8e8201f2d8ac7a1230114a9372b91f82ed1bc1717bba236c970d24</x:v>
      </x:c>
      <x:c r="H2522" t="str">
        <x:v>neu</x:v>
      </x:c>
      <x:c r="I2522" t="str">
        <x:v>ok</x:v>
      </x:c>
      <x:c r="J2522"/>
      <x:c r="K2522" t="n">
        <x:v>45322</x:v>
      </x:c>
      <x:c r="L2522" t="n">
        <x:v>45322</x:v>
      </x:c>
      <x:c r="M2522" t="str">
        <x:v>Gebucht</x:v>
      </x:c>
      <x:c r="N2522" t="str">
        <x:v>Kohlenberg, Katrin</x:v>
      </x:c>
      <x:c r="O2522" t="str">
        <x:v>WEVG Salzgitter GmbH + Co. KG</x:v>
      </x:c>
      <x:c r="P2522" t="str">
        <x:v>Kd-Nr 79288 Einz 31.01.24 100833/70.00/Johannes-Wosni</x:v>
      </x:c>
      <x:c r="Q2522" t="str">
        <x:v>Ausgang</x:v>
      </x:c>
      <x:c r="R2522" t="str">
        <x:v>DE19300700100394127500</x:v>
      </x:c>
      <x:c r="S2522" t="n">
        <x:v>-70</x:v>
      </x:c>
      <x:c r="T2522" t="str">
        <x:v>DE83WEV00000032716</x:v>
      </x:c>
      <x:c r="U2522" t="str">
        <x:v>WEVG0000079288G1000178580</x:v>
      </x:c>
      <x:c r="V2522" t="str">
        <x:v>12755155</x:v>
      </x:c>
    </x:row>
    <x:row r="2523">
      <x:c r="A2523" t="str">
        <x:v>RAW-IMP-20260516-FULLDRAFT-002506</x:v>
      </x:c>
      <x:c r="B2523" t="str">
        <x:v>IMP-20260516-FULLDRAFT</x:v>
      </x:c>
      <x:c r="C2523" t="str">
        <x:v>KTO001</x:v>
      </x:c>
      <x:c r="D2523" t="str">
        <x:v>16-05-2026_Umsatzliste_Girokonto_DE98120300001061711675.csv</x:v>
      </x:c>
      <x:c r="E2523" t="n">
        <x:v>46163</x:v>
      </x:c>
      <x:c r="F2523" t="n">
        <x:v>2506</x:v>
      </x:c>
      <x:c r="G2523" t="str">
        <x:v>c20554a717ba999ab69e2bd2c434a215111b4d13f43223ea69fabe8648f36f1a</x:v>
      </x:c>
      <x:c r="H2523" t="str">
        <x:v>neu</x:v>
      </x:c>
      <x:c r="I2523" t="str">
        <x:v>ok</x:v>
      </x:c>
      <x:c r="J2523"/>
      <x:c r="K2523" t="n">
        <x:v>45322</x:v>
      </x:c>
      <x:c r="L2523" t="n">
        <x:v>45322</x:v>
      </x:c>
      <x:c r="M2523" t="str">
        <x:v>Gebucht</x:v>
      </x:c>
      <x:c r="N2523" t="str">
        <x:v>Lars Kohlenberg</x:v>
      </x:c>
      <x:c r="O2523" t="str">
        <x:v>LARS KOHLENBERG</x:v>
      </x:c>
      <x:c r="P2523" t="str">
        <x:v>Zins und Tilgung zu 2/3</x:v>
      </x:c>
      <x:c r="Q2523" t="str">
        <x:v>Ausgang</x:v>
      </x:c>
      <x:c r="R2523" t="str">
        <x:v>DE33269910668923736000</x:v>
      </x:c>
      <x:c r="S2523" t="n">
        <x:v>-1153.94</x:v>
      </x:c>
      <x:c r="T2523" t="str">
        <x:v>"</x:v>
      </x:c>
      <x:c r="U2523" t="str">
        <x:v>"</x:v>
      </x:c>
      <x:c r="V2523" t="str">
        <x:v>"</x:v>
      </x:c>
    </x:row>
    <x:row r="2524">
      <x:c r="A2524" t="str">
        <x:v>RAW-IMP-20260516-FULLDRAFT-002507</x:v>
      </x:c>
      <x:c r="B2524" t="str">
        <x:v>IMP-20260516-FULLDRAFT</x:v>
      </x:c>
      <x:c r="C2524" t="str">
        <x:v>KTO001</x:v>
      </x:c>
      <x:c r="D2524" t="str">
        <x:v>16-05-2026_Umsatzliste_Girokonto_DE98120300001061711675.csv</x:v>
      </x:c>
      <x:c r="E2524" t="n">
        <x:v>46163</x:v>
      </x:c>
      <x:c r="F2524" t="n">
        <x:v>2507</x:v>
      </x:c>
      <x:c r="G2524" t="str">
        <x:v>275833fb95a3eb6d9ce53a7f18c941fd2057b2450441992df987727270d4ae55</x:v>
      </x:c>
      <x:c r="H2524" t="str">
        <x:v>neu</x:v>
      </x:c>
      <x:c r="I2524" t="str">
        <x:v>ok</x:v>
      </x:c>
      <x:c r="J2524"/>
      <x:c r="K2524" t="n">
        <x:v>45321</x:v>
      </x:c>
      <x:c r="L2524" t="n">
        <x:v>45321</x:v>
      </x:c>
      <x:c r="M2524" t="str">
        <x:v>Gebucht</x:v>
      </x:c>
      <x:c r="N2524" t="str">
        <x:v>Wolkenmacher GmbH</x:v>
      </x:c>
      <x:c r="O2524" t="str">
        <x:v>Kohlenberg Lars</x:v>
      </x:c>
      <x:c r="P2524" t="str">
        <x:v>Lohn-Gehalt Abrechnung 01/2024</x:v>
      </x:c>
      <x:c r="Q2524" t="str">
        <x:v>Eingang</x:v>
      </x:c>
      <x:c r="R2524" t="str">
        <x:v>DE30270700300031340300</x:v>
      </x:c>
      <x:c r="S2524" t="n">
        <x:v>7709.94</x:v>
      </x:c>
      <x:c r="T2524" t="str">
        <x:v>"</x:v>
      </x:c>
      <x:c r="U2524" t="str">
        <x:v>"</x:v>
      </x:c>
      <x:c r="V2524" t="str">
        <x:v>4402282852-0000001</x:v>
      </x:c>
    </x:row>
    <x:row r="2525">
      <x:c r="A2525" t="str">
        <x:v>RAW-IMP-20260516-FULLDRAFT-002508</x:v>
      </x:c>
      <x:c r="B2525" t="str">
        <x:v>IMP-20260516-FULLDRAFT</x:v>
      </x:c>
      <x:c r="C2525" t="str">
        <x:v>KTO001</x:v>
      </x:c>
      <x:c r="D2525" t="str">
        <x:v>16-05-2026_Umsatzliste_Girokonto_DE98120300001061711675.csv</x:v>
      </x:c>
      <x:c r="E2525" t="n">
        <x:v>46163</x:v>
      </x:c>
      <x:c r="F2525" t="n">
        <x:v>2508</x:v>
      </x:c>
      <x:c r="G2525" t="str">
        <x:v>ad9fed3d79cfd38b4ec62b1869c8ca0e49ba0118f318da3cca041e3aea22f347</x:v>
      </x:c>
      <x:c r="H2525" t="str">
        <x:v>neu</x:v>
      </x:c>
      <x:c r="I2525" t="str">
        <x:v>ok</x:v>
      </x:c>
      <x:c r="J2525"/>
      <x:c r="K2525" t="n">
        <x:v>45320</x:v>
      </x:c>
      <x:c r="L2525" t="n">
        <x:v>45320</x:v>
      </x:c>
      <x:c r="M2525" t="str">
        <x:v>Gebucht</x:v>
      </x:c>
      <x:c r="N2525" t="str">
        <x:v>ISSUER</x:v>
      </x:c>
      <x:c r="O2525" t="str">
        <x:v>SANDERS BACKSTUBE GMBH</x:v>
      </x:c>
      <x:c r="P2525" t="str">
        <x:v>VISA Debitkartenumsatz vom 28.01.2024</x:v>
      </x:c>
      <x:c r="Q2525" t="str">
        <x:v>Ausgang</x:v>
      </x:c>
      <x:c r="R2525" t="str">
        <x:v>DE96120300009005290904</x:v>
      </x:c>
      <x:c r="S2525" t="n">
        <x:v>-5.44</x:v>
      </x:c>
      <x:c r="T2525" t="str">
        <x:v>"</x:v>
      </x:c>
      <x:c r="U2525" t="str">
        <x:v>"</x:v>
      </x:c>
      <x:c r="V2525" t="str">
        <x:v>484028321899392</x:v>
      </x:c>
    </x:row>
    <x:row r="2526">
      <x:c r="A2526" t="str">
        <x:v>RAW-IMP-20260516-FULLDRAFT-002509</x:v>
      </x:c>
      <x:c r="B2526" t="str">
        <x:v>IMP-20260516-FULLDRAFT</x:v>
      </x:c>
      <x:c r="C2526" t="str">
        <x:v>KTO001</x:v>
      </x:c>
      <x:c r="D2526" t="str">
        <x:v>16-05-2026_Umsatzliste_Girokonto_DE98120300001061711675.csv</x:v>
      </x:c>
      <x:c r="E2526" t="n">
        <x:v>46163</x:v>
      </x:c>
      <x:c r="F2526" t="n">
        <x:v>2509</x:v>
      </x:c>
      <x:c r="G2526" t="str">
        <x:v>740d691d4ee1f11446add11799253efe3c08faa3da7e169f46d0f322551bcc8a</x:v>
      </x:c>
      <x:c r="H2526" t="str">
        <x:v>neu</x:v>
      </x:c>
      <x:c r="I2526" t="str">
        <x:v>ok</x:v>
      </x:c>
      <x:c r="J2526"/>
      <x:c r="K2526" t="n">
        <x:v>45320</x:v>
      </x:c>
      <x:c r="L2526" t="n">
        <x:v>45320</x:v>
      </x:c>
      <x:c r="M2526" t="str">
        <x:v>Gebucht</x:v>
      </x:c>
      <x:c r="N2526" t="str">
        <x:v>ISSUER</x:v>
      </x:c>
      <x:c r="O2526" t="str">
        <x:v>ENTSORGUNGSZENTRUM SAL</x:v>
      </x:c>
      <x:c r="P2526" t="str">
        <x:v>VISA Debitkartenumsatz vom 27.01.2024</x:v>
      </x:c>
      <x:c r="Q2526" t="str">
        <x:v>Ausgang</x:v>
      </x:c>
      <x:c r="R2526" t="str">
        <x:v>DE96120300009005290904</x:v>
      </x:c>
      <x:c r="S2526" t="n">
        <x:v>-7</x:v>
      </x:c>
      <x:c r="T2526" t="str">
        <x:v>"</x:v>
      </x:c>
      <x:c r="U2526" t="str">
        <x:v>"</x:v>
      </x:c>
      <x:c r="V2526" t="str">
        <x:v>484027296874762</x:v>
      </x:c>
    </x:row>
    <x:row r="2527">
      <x:c r="A2527" t="str">
        <x:v>RAW-IMP-20260516-FULLDRAFT-002510</x:v>
      </x:c>
      <x:c r="B2527" t="str">
        <x:v>IMP-20260516-FULLDRAFT</x:v>
      </x:c>
      <x:c r="C2527" t="str">
        <x:v>KTO001</x:v>
      </x:c>
      <x:c r="D2527" t="str">
        <x:v>16-05-2026_Umsatzliste_Girokonto_DE98120300001061711675.csv</x:v>
      </x:c>
      <x:c r="E2527" t="n">
        <x:v>46163</x:v>
      </x:c>
      <x:c r="F2527" t="n">
        <x:v>2510</x:v>
      </x:c>
      <x:c r="G2527" t="str">
        <x:v>31d4f6c9b3080c058c85ff1518221492f8825d421f678d6980820943b56112ec</x:v>
      </x:c>
      <x:c r="H2527" t="str">
        <x:v>neu</x:v>
      </x:c>
      <x:c r="I2527" t="str">
        <x:v>ok</x:v>
      </x:c>
      <x:c r="J2527"/>
      <x:c r="K2527" t="n">
        <x:v>45320</x:v>
      </x:c>
      <x:c r="L2527" t="n">
        <x:v>45320</x:v>
      </x:c>
      <x:c r="M2527" t="str">
        <x:v>Gebucht</x:v>
      </x:c>
      <x:c r="N2527" t="str">
        <x:v>ISSUER</x:v>
      </x:c>
      <x:c r="O2527" t="str">
        <x:v>LOEWENBAECKER SCHAPER</x:v>
      </x:c>
      <x:c r="P2527" t="str">
        <x:v>VISA Debitkartenumsatz vom 27.01.2024</x:v>
      </x:c>
      <x:c r="Q2527" t="str">
        <x:v>Ausgang</x:v>
      </x:c>
      <x:c r="R2527" t="str">
        <x:v>DE96120300009005290904</x:v>
      </x:c>
      <x:c r="S2527" t="n">
        <x:v>-6.55</x:v>
      </x:c>
      <x:c r="T2527" t="str">
        <x:v>"</x:v>
      </x:c>
      <x:c r="U2527" t="str">
        <x:v>"</x:v>
      </x:c>
      <x:c r="V2527" t="str">
        <x:v>484027308797994</x:v>
      </x:c>
    </x:row>
    <x:row r="2528">
      <x:c r="A2528" t="str">
        <x:v>RAW-IMP-20260516-FULLDRAFT-002511</x:v>
      </x:c>
      <x:c r="B2528" t="str">
        <x:v>IMP-20260516-FULLDRAFT</x:v>
      </x:c>
      <x:c r="C2528" t="str">
        <x:v>KTO001</x:v>
      </x:c>
      <x:c r="D2528" t="str">
        <x:v>16-05-2026_Umsatzliste_Girokonto_DE98120300001061711675.csv</x:v>
      </x:c>
      <x:c r="E2528" t="n">
        <x:v>46163</x:v>
      </x:c>
      <x:c r="F2528" t="n">
        <x:v>2511</x:v>
      </x:c>
      <x:c r="G2528" t="str">
        <x:v>7b8e0f88e0e544a87535c31cefa66b00a44a68cde07b2a77783ec7c6c8ccfc00</x:v>
      </x:c>
      <x:c r="H2528" t="str">
        <x:v>neu</x:v>
      </x:c>
      <x:c r="I2528" t="str">
        <x:v>ok</x:v>
      </x:c>
      <x:c r="J2528"/>
      <x:c r="K2528" t="n">
        <x:v>45320</x:v>
      </x:c>
      <x:c r="L2528" t="n">
        <x:v>45320</x:v>
      </x:c>
      <x:c r="M2528" t="str">
        <x:v>Gebucht</x:v>
      </x:c>
      <x:c r="N2528" t="str">
        <x:v>ISSUER</x:v>
      </x:c>
      <x:c r="O2528" t="str">
        <x:v>DM-Drogerie Markt</x:v>
      </x:c>
      <x:c r="P2528" t="str">
        <x:v>VISA Debitkartenumsatz vom 27.01.2024</x:v>
      </x:c>
      <x:c r="Q2528" t="str">
        <x:v>Ausgang</x:v>
      </x:c>
      <x:c r="R2528" t="str">
        <x:v>DE96120300009005290904</x:v>
      </x:c>
      <x:c r="S2528" t="n">
        <x:v>-3.9</x:v>
      </x:c>
      <x:c r="T2528" t="str">
        <x:v>"</x:v>
      </x:c>
      <x:c r="U2528" t="str">
        <x:v>"</x:v>
      </x:c>
      <x:c r="V2528" t="str">
        <x:v>484027513611693</x:v>
      </x:c>
    </x:row>
    <x:row r="2529">
      <x:c r="A2529" t="str">
        <x:v>RAW-IMP-20260516-FULLDRAFT-002512</x:v>
      </x:c>
      <x:c r="B2529" t="str">
        <x:v>IMP-20260516-FULLDRAFT</x:v>
      </x:c>
      <x:c r="C2529" t="str">
        <x:v>KTO001</x:v>
      </x:c>
      <x:c r="D2529" t="str">
        <x:v>16-05-2026_Umsatzliste_Girokonto_DE98120300001061711675.csv</x:v>
      </x:c>
      <x:c r="E2529" t="n">
        <x:v>46163</x:v>
      </x:c>
      <x:c r="F2529" t="n">
        <x:v>2512</x:v>
      </x:c>
      <x:c r="G2529" t="str">
        <x:v>6fdac7918ad372934f27ae0eec7bf5b03bc9a4243f4885cd6fb7c1a7ae645452</x:v>
      </x:c>
      <x:c r="H2529" t="str">
        <x:v>neu</x:v>
      </x:c>
      <x:c r="I2529" t="str">
        <x:v>ok</x:v>
      </x:c>
      <x:c r="J2529"/>
      <x:c r="K2529" t="n">
        <x:v>45320</x:v>
      </x:c>
      <x:c r="L2529" t="n">
        <x:v>45320</x:v>
      </x:c>
      <x:c r="M2529" t="str">
        <x:v>Gebucht</x:v>
      </x:c>
      <x:c r="N2529" t="str">
        <x:v>ISSUER</x:v>
      </x:c>
      <x:c r="O2529" t="str">
        <x:v>DM-Drogerie Markt</x:v>
      </x:c>
      <x:c r="P2529" t="str">
        <x:v>VISA Debitkartenumsatz vom 27.01.2024</x:v>
      </x:c>
      <x:c r="Q2529" t="str">
        <x:v>Ausgang</x:v>
      </x:c>
      <x:c r="R2529" t="str">
        <x:v>DE96120300009005290904</x:v>
      </x:c>
      <x:c r="S2529" t="n">
        <x:v>-1.1</x:v>
      </x:c>
      <x:c r="T2529" t="str">
        <x:v>"</x:v>
      </x:c>
      <x:c r="U2529" t="str">
        <x:v>"</x:v>
      </x:c>
      <x:c r="V2529" t="str">
        <x:v>484027513444388</x:v>
      </x:c>
    </x:row>
    <x:row r="2530">
      <x:c r="A2530" t="str">
        <x:v>RAW-IMP-20260516-FULLDRAFT-002513</x:v>
      </x:c>
      <x:c r="B2530" t="str">
        <x:v>IMP-20260516-FULLDRAFT</x:v>
      </x:c>
      <x:c r="C2530" t="str">
        <x:v>KTO001</x:v>
      </x:c>
      <x:c r="D2530" t="str">
        <x:v>16-05-2026_Umsatzliste_Girokonto_DE98120300001061711675.csv</x:v>
      </x:c>
      <x:c r="E2530" t="n">
        <x:v>46163</x:v>
      </x:c>
      <x:c r="F2530" t="n">
        <x:v>2513</x:v>
      </x:c>
      <x:c r="G2530" t="str">
        <x:v>0c3c2ecfe1e94542e679fc1d09186a80e202cf0559bddfd7fd12f321d89cb3b9</x:v>
      </x:c>
      <x:c r="H2530" t="str">
        <x:v>neu</x:v>
      </x:c>
      <x:c r="I2530" t="str">
        <x:v>ok</x:v>
      </x:c>
      <x:c r="J2530"/>
      <x:c r="K2530" t="n">
        <x:v>45320</x:v>
      </x:c>
      <x:c r="L2530" t="n">
        <x:v>45320</x:v>
      </x:c>
      <x:c r="M2530" t="str">
        <x:v>Gebucht</x:v>
      </x:c>
      <x:c r="N2530" t="str">
        <x:v>ISSUER</x:v>
      </x:c>
      <x:c r="O2530" t="str">
        <x:v>tedox KG</x:v>
      </x:c>
      <x:c r="P2530" t="str">
        <x:v>VISA Debitkartenumsatz vom 27.01.2024</x:v>
      </x:c>
      <x:c r="Q2530" t="str">
        <x:v>Ausgang</x:v>
      </x:c>
      <x:c r="R2530" t="str">
        <x:v>DE96120300009005290904</x:v>
      </x:c>
      <x:c r="S2530" t="n">
        <x:v>-16</x:v>
      </x:c>
      <x:c r="T2530" t="str">
        <x:v>"</x:v>
      </x:c>
      <x:c r="U2530" t="str">
        <x:v>"</x:v>
      </x:c>
      <x:c r="V2530" t="str">
        <x:v>484027523854888</x:v>
      </x:c>
    </x:row>
    <x:row r="2531">
      <x:c r="A2531" t="str">
        <x:v>RAW-IMP-20260516-FULLDRAFT-002514</x:v>
      </x:c>
      <x:c r="B2531" t="str">
        <x:v>IMP-20260516-FULLDRAFT</x:v>
      </x:c>
      <x:c r="C2531" t="str">
        <x:v>KTO001</x:v>
      </x:c>
      <x:c r="D2531" t="str">
        <x:v>16-05-2026_Umsatzliste_Girokonto_DE98120300001061711675.csv</x:v>
      </x:c>
      <x:c r="E2531" t="n">
        <x:v>46163</x:v>
      </x:c>
      <x:c r="F2531" t="n">
        <x:v>2514</x:v>
      </x:c>
      <x:c r="G2531" t="str">
        <x:v>f74c2818b4582a5082003854848b4f6057702777d69c71a9d1747b62bffbf1eb</x:v>
      </x:c>
      <x:c r="H2531" t="str">
        <x:v>neu</x:v>
      </x:c>
      <x:c r="I2531" t="str">
        <x:v>ok</x:v>
      </x:c>
      <x:c r="J2531"/>
      <x:c r="K2531" t="n">
        <x:v>45320</x:v>
      </x:c>
      <x:c r="L2531" t="n">
        <x:v>45320</x:v>
      </x:c>
      <x:c r="M2531" t="str">
        <x:v>Gebucht</x:v>
      </x:c>
      <x:c r="N2531" t="str">
        <x:v>ISSUER</x:v>
      </x:c>
      <x:c r="O2531" t="str">
        <x:v>REWE Salzgitter.Ge</x:v>
      </x:c>
      <x:c r="P2531" t="str">
        <x:v>VISA Debitkartenumsatz vom 27.01.2024</x:v>
      </x:c>
      <x:c r="Q2531" t="str">
        <x:v>Ausgang</x:v>
      </x:c>
      <x:c r="R2531" t="str">
        <x:v>DE96120300009005290904</x:v>
      </x:c>
      <x:c r="S2531" t="n">
        <x:v>-5.23</x:v>
      </x:c>
      <x:c r="T2531" t="str">
        <x:v>"</x:v>
      </x:c>
      <x:c r="U2531" t="str">
        <x:v>"</x:v>
      </x:c>
      <x:c r="V2531" t="str">
        <x:v>484027314827854</x:v>
      </x:c>
    </x:row>
    <x:row r="2532">
      <x:c r="A2532" t="str">
        <x:v>RAW-IMP-20260516-FULLDRAFT-002515</x:v>
      </x:c>
      <x:c r="B2532" t="str">
        <x:v>IMP-20260516-FULLDRAFT</x:v>
      </x:c>
      <x:c r="C2532" t="str">
        <x:v>KTO001</x:v>
      </x:c>
      <x:c r="D2532" t="str">
        <x:v>16-05-2026_Umsatzliste_Girokonto_DE98120300001061711675.csv</x:v>
      </x:c>
      <x:c r="E2532" t="n">
        <x:v>46163</x:v>
      </x:c>
      <x:c r="F2532" t="n">
        <x:v>2515</x:v>
      </x:c>
      <x:c r="G2532" t="str">
        <x:v>6fcb00bc8dad3f556955dc7c5ff2eebf7da9d68e5b86733206fb9cf088d53937</x:v>
      </x:c>
      <x:c r="H2532" t="str">
        <x:v>neu</x:v>
      </x:c>
      <x:c r="I2532" t="str">
        <x:v>ok</x:v>
      </x:c>
      <x:c r="J2532"/>
      <x:c r="K2532" t="n">
        <x:v>45316</x:v>
      </x:c>
      <x:c r="L2532" t="n">
        <x:v>45316</x:v>
      </x:c>
      <x:c r="M2532" t="str">
        <x:v>Gebucht</x:v>
      </x:c>
      <x:c r="N2532" t="str">
        <x:v>ISSUER</x:v>
      </x:c>
      <x:c r="O2532" t="str">
        <x:v>GERD LIEBIG GMBH</x:v>
      </x:c>
      <x:c r="P2532" t="str">
        <x:v>VISA Debitkartenumsatz vom 24.01.2024</x:v>
      </x:c>
      <x:c r="Q2532" t="str">
        <x:v>Ausgang</x:v>
      </x:c>
      <x:c r="R2532" t="str">
        <x:v>DE96120300009005290904</x:v>
      </x:c>
      <x:c r="S2532" t="n">
        <x:v>-1.99</x:v>
      </x:c>
      <x:c r="T2532" t="str">
        <x:v>"</x:v>
      </x:c>
      <x:c r="U2532" t="str">
        <x:v>"</x:v>
      </x:c>
      <x:c r="V2532" t="str">
        <x:v>484024399594860</x:v>
      </x:c>
    </x:row>
    <x:row r="2533">
      <x:c r="A2533" t="str">
        <x:v>RAW-IMP-20260516-FULLDRAFT-002516</x:v>
      </x:c>
      <x:c r="B2533" t="str">
        <x:v>IMP-20260516-FULLDRAFT</x:v>
      </x:c>
      <x:c r="C2533" t="str">
        <x:v>KTO001</x:v>
      </x:c>
      <x:c r="D2533" t="str">
        <x:v>16-05-2026_Umsatzliste_Girokonto_DE98120300001061711675.csv</x:v>
      </x:c>
      <x:c r="E2533" t="n">
        <x:v>46163</x:v>
      </x:c>
      <x:c r="F2533" t="n">
        <x:v>2516</x:v>
      </x:c>
      <x:c r="G2533" t="str">
        <x:v>de708fa47139ee7f3443b4cc00b432429501e61fcc6049171c51c8ccd5e463bb</x:v>
      </x:c>
      <x:c r="H2533" t="str">
        <x:v>neu</x:v>
      </x:c>
      <x:c r="I2533" t="str">
        <x:v>ok</x:v>
      </x:c>
      <x:c r="J2533"/>
      <x:c r="K2533" t="n">
        <x:v>45316</x:v>
      </x:c>
      <x:c r="L2533" t="n">
        <x:v>45316</x:v>
      </x:c>
      <x:c r="M2533" t="str">
        <x:v>Gebucht</x:v>
      </x:c>
      <x:c r="N2533" t="str">
        <x:v>ISSUER</x:v>
      </x:c>
      <x:c r="O2533" t="str">
        <x:v>Amazon.de</x:v>
      </x:c>
      <x:c r="P2533" t="str">
        <x:v>VISA Debitkartenumsatz vom 24.01.2024</x:v>
      </x:c>
      <x:c r="Q2533" t="str">
        <x:v>Ausgang</x:v>
      </x:c>
      <x:c r="R2533" t="str">
        <x:v>DE96120300009005290904</x:v>
      </x:c>
      <x:c r="S2533" t="n">
        <x:v>-35</x:v>
      </x:c>
      <x:c r="T2533" t="str">
        <x:v>"</x:v>
      </x:c>
      <x:c r="U2533" t="str">
        <x:v>"</x:v>
      </x:c>
      <x:c r="V2533" t="str">
        <x:v>484023715604128</x:v>
      </x:c>
    </x:row>
    <x:row r="2534">
      <x:c r="A2534" t="str">
        <x:v>RAW-IMP-20260516-FULLDRAFT-002517</x:v>
      </x:c>
      <x:c r="B2534" t="str">
        <x:v>IMP-20260516-FULLDRAFT</x:v>
      </x:c>
      <x:c r="C2534" t="str">
        <x:v>KTO001</x:v>
      </x:c>
      <x:c r="D2534" t="str">
        <x:v>16-05-2026_Umsatzliste_Girokonto_DE98120300001061711675.csv</x:v>
      </x:c>
      <x:c r="E2534" t="n">
        <x:v>46163</x:v>
      </x:c>
      <x:c r="F2534" t="n">
        <x:v>2517</x:v>
      </x:c>
      <x:c r="G2534" t="str">
        <x:v>fef24c6c71bea34b95db12744f8b8c481e1236f6118ce55c4eb1d2065ecac9ad</x:v>
      </x:c>
      <x:c r="H2534" t="str">
        <x:v>neu</x:v>
      </x:c>
      <x:c r="I2534" t="str">
        <x:v>ok</x:v>
      </x:c>
      <x:c r="J2534"/>
      <x:c r="K2534" t="n">
        <x:v>45316</x:v>
      </x:c>
      <x:c r="L2534" t="n">
        <x:v>45316</x:v>
      </x:c>
      <x:c r="M2534" t="str">
        <x:v>Gebucht</x:v>
      </x:c>
      <x:c r="N2534" t="str">
        <x:v>ISSUER</x:v>
      </x:c>
      <x:c r="O2534" t="str">
        <x:v>BURGER KING 10150 SOT</x:v>
      </x:c>
      <x:c r="P2534" t="str">
        <x:v>VISA Debitkartenumsatz vom 24.01.2024</x:v>
      </x:c>
      <x:c r="Q2534" t="str">
        <x:v>Ausgang</x:v>
      </x:c>
      <x:c r="R2534" t="str">
        <x:v>DE96120300009005290904</x:v>
      </x:c>
      <x:c r="S2534" t="n">
        <x:v>-11.99</x:v>
      </x:c>
      <x:c r="T2534" t="str">
        <x:v>"</x:v>
      </x:c>
      <x:c r="U2534" t="str">
        <x:v>"</x:v>
      </x:c>
      <x:c r="V2534" t="str">
        <x:v>484024398914574</x:v>
      </x:c>
    </x:row>
    <x:row r="2535">
      <x:c r="A2535" t="str">
        <x:v>RAW-IMP-20260516-FULLDRAFT-002518</x:v>
      </x:c>
      <x:c r="B2535" t="str">
        <x:v>IMP-20260516-FULLDRAFT</x:v>
      </x:c>
      <x:c r="C2535" t="str">
        <x:v>KTO001</x:v>
      </x:c>
      <x:c r="D2535" t="str">
        <x:v>16-05-2026_Umsatzliste_Girokonto_DE98120300001061711675.csv</x:v>
      </x:c>
      <x:c r="E2535" t="n">
        <x:v>46163</x:v>
      </x:c>
      <x:c r="F2535" t="n">
        <x:v>2518</x:v>
      </x:c>
      <x:c r="G2535" t="str">
        <x:v>a3701840cf428e2efdf485c3aa5726b5727948966ac27eb403e38839a72b6b73</x:v>
      </x:c>
      <x:c r="H2535" t="str">
        <x:v>neu</x:v>
      </x:c>
      <x:c r="I2535" t="str">
        <x:v>ok</x:v>
      </x:c>
      <x:c r="J2535"/>
      <x:c r="K2535" t="n">
        <x:v>45316</x:v>
      </x:c>
      <x:c r="L2535" t="n">
        <x:v>45316</x:v>
      </x:c>
      <x:c r="M2535" t="str">
        <x:v>Gebucht</x:v>
      </x:c>
      <x:c r="N2535" t="str">
        <x:v>ISSUER</x:v>
      </x:c>
      <x:c r="O2535" t="str">
        <x:v>Amazon.de</x:v>
      </x:c>
      <x:c r="P2535" t="str">
        <x:v>VISA Debitkartenumsatz vom 24.01.2024</x:v>
      </x:c>
      <x:c r="Q2535" t="str">
        <x:v>Ausgang</x:v>
      </x:c>
      <x:c r="R2535" t="str">
        <x:v>DE96120300009005290904</x:v>
      </x:c>
      <x:c r="S2535" t="n">
        <x:v>-84.99</x:v>
      </x:c>
      <x:c r="T2535" t="str">
        <x:v>"</x:v>
      </x:c>
      <x:c r="U2535" t="str">
        <x:v>"</x:v>
      </x:c>
      <x:c r="V2535" t="str">
        <x:v>484022751994278</x:v>
      </x:c>
    </x:row>
    <x:row r="2536">
      <x:c r="A2536" t="str">
        <x:v>RAW-IMP-20260516-FULLDRAFT-002519</x:v>
      </x:c>
      <x:c r="B2536" t="str">
        <x:v>IMP-20260516-FULLDRAFT</x:v>
      </x:c>
      <x:c r="C2536" t="str">
        <x:v>KTO001</x:v>
      </x:c>
      <x:c r="D2536" t="str">
        <x:v>16-05-2026_Umsatzliste_Girokonto_DE98120300001061711675.csv</x:v>
      </x:c>
      <x:c r="E2536" t="n">
        <x:v>46163</x:v>
      </x:c>
      <x:c r="F2536" t="n">
        <x:v>2519</x:v>
      </x:c>
      <x:c r="G2536" t="str">
        <x:v>bfeba465b3e8cfc1b087df224c6416d152445334fa857d7958dbb7b8b5da7b2b</x:v>
      </x:c>
      <x:c r="H2536" t="str">
        <x:v>neu</x:v>
      </x:c>
      <x:c r="I2536" t="str">
        <x:v>ok</x:v>
      </x:c>
      <x:c r="J2536"/>
      <x:c r="K2536" t="n">
        <x:v>45315</x:v>
      </x:c>
      <x:c r="L2536" t="n">
        <x:v>45315</x:v>
      </x:c>
      <x:c r="M2536" t="str">
        <x:v>Gebucht</x:v>
      </x:c>
      <x:c r="N2536" t="str">
        <x:v>ISSUER</x:v>
      </x:c>
      <x:c r="O2536" t="str">
        <x:v>NP-MARKT 1088</x:v>
      </x:c>
      <x:c r="P2536" t="str">
        <x:v>VISA Debitkartenumsatz vom 23.01.2024</x:v>
      </x:c>
      <x:c r="Q2536" t="str">
        <x:v>Ausgang</x:v>
      </x:c>
      <x:c r="R2536" t="str">
        <x:v>DE96120300009005290904</x:v>
      </x:c>
      <x:c r="S2536" t="n">
        <x:v>-10.5</x:v>
      </x:c>
      <x:c r="T2536" t="str">
        <x:v>"</x:v>
      </x:c>
      <x:c r="U2536" t="str">
        <x:v>"</x:v>
      </x:c>
      <x:c r="V2536" t="str">
        <x:v>484023449873030</x:v>
      </x:c>
    </x:row>
    <x:row r="2537">
      <x:c r="A2537" t="str">
        <x:v>RAW-IMP-20260516-FULLDRAFT-002520</x:v>
      </x:c>
      <x:c r="B2537" t="str">
        <x:v>IMP-20260516-FULLDRAFT</x:v>
      </x:c>
      <x:c r="C2537" t="str">
        <x:v>KTO001</x:v>
      </x:c>
      <x:c r="D2537" t="str">
        <x:v>16-05-2026_Umsatzliste_Girokonto_DE98120300001061711675.csv</x:v>
      </x:c>
      <x:c r="E2537" t="n">
        <x:v>46163</x:v>
      </x:c>
      <x:c r="F2537" t="n">
        <x:v>2520</x:v>
      </x:c>
      <x:c r="G2537" t="str">
        <x:v>eece058db4b1b25f93b6bbd7f20564c3eebe654fc359e5f15bc077ad63dc1b39</x:v>
      </x:c>
      <x:c r="H2537" t="str">
        <x:v>neu</x:v>
      </x:c>
      <x:c r="I2537" t="str">
        <x:v>ok</x:v>
      </x:c>
      <x:c r="J2537"/>
      <x:c r="K2537" t="n">
        <x:v>45314</x:v>
      </x:c>
      <x:c r="L2537" t="n">
        <x:v>45314</x:v>
      </x:c>
      <x:c r="M2537" t="str">
        <x:v>Gebucht</x:v>
      </x:c>
      <x:c r="N2537" t="str">
        <x:v>ISSUER</x:v>
      </x:c>
      <x:c r="O2537" t="str">
        <x:v>PAYPAL .SCHIEMANN89</x:v>
      </x:c>
      <x:c r="P2537" t="str">
        <x:v>VISA Debitkartenumsatz vom 22.01.2024</x:v>
      </x:c>
      <x:c r="Q2537" t="str">
        <x:v>Ausgang</x:v>
      </x:c>
      <x:c r="R2537" t="str">
        <x:v>DE96120300009005290904</x:v>
      </x:c>
      <x:c r="S2537" t="n">
        <x:v>-10</x:v>
      </x:c>
      <x:c r="T2537" t="str">
        <x:v>"</x:v>
      </x:c>
      <x:c r="U2537" t="str">
        <x:v>"</x:v>
      </x:c>
      <x:c r="V2537" t="str">
        <x:v>484022512257497</x:v>
      </x:c>
    </x:row>
    <x:row r="2538">
      <x:c r="A2538" t="str">
        <x:v>RAW-IMP-20260516-FULLDRAFT-002521</x:v>
      </x:c>
      <x:c r="B2538" t="str">
        <x:v>IMP-20260516-FULLDRAFT</x:v>
      </x:c>
      <x:c r="C2538" t="str">
        <x:v>KTO001</x:v>
      </x:c>
      <x:c r="D2538" t="str">
        <x:v>16-05-2026_Umsatzliste_Girokonto_DE98120300001061711675.csv</x:v>
      </x:c>
      <x:c r="E2538" t="n">
        <x:v>46163</x:v>
      </x:c>
      <x:c r="F2538" t="n">
        <x:v>2521</x:v>
      </x:c>
      <x:c r="G2538" t="str">
        <x:v>a87c9e7ec077ed63f80dece679454231d5f11404017c67630eed00c3eaf6948c</x:v>
      </x:c>
      <x:c r="H2538" t="str">
        <x:v>neu</x:v>
      </x:c>
      <x:c r="I2538" t="str">
        <x:v>ok</x:v>
      </x:c>
      <x:c r="J2538"/>
      <x:c r="K2538" t="n">
        <x:v>45313</x:v>
      </x:c>
      <x:c r="L2538" t="n">
        <x:v>45313</x:v>
      </x:c>
      <x:c r="M2538" t="str">
        <x:v>Gebucht</x:v>
      </x:c>
      <x:c r="N2538" t="str">
        <x:v>ISSUER</x:v>
      </x:c>
      <x:c r="O2538" t="str">
        <x:v>Globus Baumarkt</x:v>
      </x:c>
      <x:c r="P2538" t="str">
        <x:v>VISA Debitkartenumsatz vom 20.01.2024</x:v>
      </x:c>
      <x:c r="Q2538" t="str">
        <x:v>Ausgang</x:v>
      </x:c>
      <x:c r="R2538" t="str">
        <x:v>DE96120300009005290904</x:v>
      </x:c>
      <x:c r="S2538" t="n">
        <x:v>-8.49</x:v>
      </x:c>
      <x:c r="T2538" t="str">
        <x:v>"</x:v>
      </x:c>
      <x:c r="U2538" t="str">
        <x:v>"</x:v>
      </x:c>
      <x:c r="V2538" t="str">
        <x:v>484020640487533</x:v>
      </x:c>
    </x:row>
    <x:row r="2539">
      <x:c r="A2539" t="str">
        <x:v>RAW-IMP-20260516-FULLDRAFT-002522</x:v>
      </x:c>
      <x:c r="B2539" t="str">
        <x:v>IMP-20260516-FULLDRAFT</x:v>
      </x:c>
      <x:c r="C2539" t="str">
        <x:v>KTO001</x:v>
      </x:c>
      <x:c r="D2539" t="str">
        <x:v>16-05-2026_Umsatzliste_Girokonto_DE98120300001061711675.csv</x:v>
      </x:c>
      <x:c r="E2539" t="n">
        <x:v>46163</x:v>
      </x:c>
      <x:c r="F2539" t="n">
        <x:v>2522</x:v>
      </x:c>
      <x:c r="G2539" t="str">
        <x:v>03f68e54ac394171e16bc2dc3fce70232f0bc41868d966aa0a7755647ffb837f</x:v>
      </x:c>
      <x:c r="H2539" t="str">
        <x:v>neu</x:v>
      </x:c>
      <x:c r="I2539" t="str">
        <x:v>ok</x:v>
      </x:c>
      <x:c r="J2539"/>
      <x:c r="K2539" t="n">
        <x:v>45313</x:v>
      </x:c>
      <x:c r="L2539" t="n">
        <x:v>45313</x:v>
      </x:c>
      <x:c r="M2539" t="str">
        <x:v>Gebucht</x:v>
      </x:c>
      <x:c r="N2539" t="str">
        <x:v>ISSUER</x:v>
      </x:c>
      <x:c r="O2539" t="str">
        <x:v>HFB ECO IKEA 117 BRAUNS</x:v>
      </x:c>
      <x:c r="P2539" t="str">
        <x:v>VISA Debitkartenumsatz vom 20.01.2024</x:v>
      </x:c>
      <x:c r="Q2539" t="str">
        <x:v>Ausgang</x:v>
      </x:c>
      <x:c r="R2539" t="str">
        <x:v>DE96120300009005290904</x:v>
      </x:c>
      <x:c r="S2539" t="n">
        <x:v>-74.49</x:v>
      </x:c>
      <x:c r="T2539" t="str">
        <x:v>"</x:v>
      </x:c>
      <x:c r="U2539" t="str">
        <x:v>"</x:v>
      </x:c>
      <x:c r="V2539" t="str">
        <x:v>484020631456660</x:v>
      </x:c>
    </x:row>
    <x:row r="2540">
      <x:c r="A2540" t="str">
        <x:v>RAW-IMP-20260516-FULLDRAFT-002523</x:v>
      </x:c>
      <x:c r="B2540" t="str">
        <x:v>IMP-20260516-FULLDRAFT</x:v>
      </x:c>
      <x:c r="C2540" t="str">
        <x:v>KTO001</x:v>
      </x:c>
      <x:c r="D2540" t="str">
        <x:v>16-05-2026_Umsatzliste_Girokonto_DE98120300001061711675.csv</x:v>
      </x:c>
      <x:c r="E2540" t="n">
        <x:v>46163</x:v>
      </x:c>
      <x:c r="F2540" t="n">
        <x:v>2523</x:v>
      </x:c>
      <x:c r="G2540" t="str">
        <x:v>05ba449b334a204cbeaa9cde73336e02c4f425289f4e15bf817eba66528eb81a</x:v>
      </x:c>
      <x:c r="H2540" t="str">
        <x:v>neu</x:v>
      </x:c>
      <x:c r="I2540" t="str">
        <x:v>ok</x:v>
      </x:c>
      <x:c r="J2540"/>
      <x:c r="K2540" t="n">
        <x:v>45310</x:v>
      </x:c>
      <x:c r="L2540" t="n">
        <x:v>45310</x:v>
      </x:c>
      <x:c r="M2540" t="str">
        <x:v>Gebucht</x:v>
      </x:c>
      <x:c r="N2540" t="str">
        <x:v>ISSUER</x:v>
      </x:c>
      <x:c r="O2540" t="str">
        <x:v>real GmbH 8253</x:v>
      </x:c>
      <x:c r="P2540" t="str">
        <x:v>VISA Debitkartenumsatz vom 18.01.2024</x:v>
      </x:c>
      <x:c r="Q2540" t="str">
        <x:v>Ausgang</x:v>
      </x:c>
      <x:c r="R2540" t="str">
        <x:v>DE96120300009005290904</x:v>
      </x:c>
      <x:c r="S2540" t="n">
        <x:v>-4.58</x:v>
      </x:c>
      <x:c r="T2540" t="str">
        <x:v>"</x:v>
      </x:c>
      <x:c r="U2540" t="str">
        <x:v>"</x:v>
      </x:c>
      <x:c r="V2540" t="str">
        <x:v>484018617016341</x:v>
      </x:c>
    </x:row>
    <x:row r="2541">
      <x:c r="A2541" t="str">
        <x:v>RAW-IMP-20260516-FULLDRAFT-002524</x:v>
      </x:c>
      <x:c r="B2541" t="str">
        <x:v>IMP-20260516-FULLDRAFT</x:v>
      </x:c>
      <x:c r="C2541" t="str">
        <x:v>KTO001</x:v>
      </x:c>
      <x:c r="D2541" t="str">
        <x:v>16-05-2026_Umsatzliste_Girokonto_DE98120300001061711675.csv</x:v>
      </x:c>
      <x:c r="E2541" t="n">
        <x:v>46163</x:v>
      </x:c>
      <x:c r="F2541" t="n">
        <x:v>2524</x:v>
      </x:c>
      <x:c r="G2541" t="str">
        <x:v>c22a2055b366a75f43a594389e6c76c312ba50d6f18ba9a1e89420252b2f763c</x:v>
      </x:c>
      <x:c r="H2541" t="str">
        <x:v>neu</x:v>
      </x:c>
      <x:c r="I2541" t="str">
        <x:v>ok</x:v>
      </x:c>
      <x:c r="J2541"/>
      <x:c r="K2541" t="n">
        <x:v>45309</x:v>
      </x:c>
      <x:c r="L2541" t="n">
        <x:v>45309</x:v>
      </x:c>
      <x:c r="M2541" t="str">
        <x:v>Gebucht</x:v>
      </x:c>
      <x:c r="N2541" t="str">
        <x:v>WEVG Salzgitter GmbH + Co. KG</x:v>
      </x:c>
      <x:c r="O2541" t="str">
        <x:v>Kohlenberg, Katrin</x:v>
      </x:c>
      <x:c r="P2541" t="str">
        <x:v>Kd-Nr 79288 Ausz 18.01.24 100833/-37.67/Johannes-Wosn</x:v>
      </x:c>
      <x:c r="Q2541" t="str">
        <x:v>Eingang</x:v>
      </x:c>
      <x:c r="R2541" t="str">
        <x:v>DE19300700100394127500</x:v>
      </x:c>
      <x:c r="S2541" t="n">
        <x:v>37.67</x:v>
      </x:c>
      <x:c r="T2541" t="str">
        <x:v>"</x:v>
      </x:c>
      <x:c r="U2541" t="str">
        <x:v>"</x:v>
      </x:c>
      <x:c r="V2541" t="str">
        <x:v>12731402</x:v>
      </x:c>
    </x:row>
    <x:row r="2542">
      <x:c r="A2542" t="str">
        <x:v>RAW-IMP-20260516-FULLDRAFT-002525</x:v>
      </x:c>
      <x:c r="B2542" t="str">
        <x:v>IMP-20260516-FULLDRAFT</x:v>
      </x:c>
      <x:c r="C2542" t="str">
        <x:v>KTO001</x:v>
      </x:c>
      <x:c r="D2542" t="str">
        <x:v>16-05-2026_Umsatzliste_Girokonto_DE98120300001061711675.csv</x:v>
      </x:c>
      <x:c r="E2542" t="n">
        <x:v>46163</x:v>
      </x:c>
      <x:c r="F2542" t="n">
        <x:v>2525</x:v>
      </x:c>
      <x:c r="G2542" t="str">
        <x:v>78b4a0635e57ac3838a1239efde8b939aefef76c8ce63a41815b891784aa5607</x:v>
      </x:c>
      <x:c r="H2542" t="str">
        <x:v>neu</x:v>
      </x:c>
      <x:c r="I2542" t="str">
        <x:v>ok</x:v>
      </x:c>
      <x:c r="J2542"/>
      <x:c r="K2542" t="n">
        <x:v>45309</x:v>
      </x:c>
      <x:c r="L2542" t="n">
        <x:v>45309</x:v>
      </x:c>
      <x:c r="M2542" t="str">
        <x:v>Gebucht</x:v>
      </x:c>
      <x:c r="N2542" t="str">
        <x:v>ISSUER</x:v>
      </x:c>
      <x:c r="O2542" t="str">
        <x:v>REWE Salzgitter.Ge</x:v>
      </x:c>
      <x:c r="P2542" t="str">
        <x:v>VISA Debitkartenumsatz vom 17.01.2024</x:v>
      </x:c>
      <x:c r="Q2542" t="str">
        <x:v>Ausgang</x:v>
      </x:c>
      <x:c r="R2542" t="str">
        <x:v>DE96120300009005290904</x:v>
      </x:c>
      <x:c r="S2542" t="n">
        <x:v>-18.88</x:v>
      </x:c>
      <x:c r="T2542" t="str">
        <x:v>"</x:v>
      </x:c>
      <x:c r="U2542" t="str">
        <x:v>"</x:v>
      </x:c>
      <x:c r="V2542" t="str">
        <x:v>484017629099781</x:v>
      </x:c>
    </x:row>
    <x:row r="2543">
      <x:c r="A2543" t="str">
        <x:v>RAW-IMP-20260516-FULLDRAFT-002526</x:v>
      </x:c>
      <x:c r="B2543" t="str">
        <x:v>IMP-20260516-FULLDRAFT</x:v>
      </x:c>
      <x:c r="C2543" t="str">
        <x:v>KTO001</x:v>
      </x:c>
      <x:c r="D2543" t="str">
        <x:v>16-05-2026_Umsatzliste_Girokonto_DE98120300001061711675.csv</x:v>
      </x:c>
      <x:c r="E2543" t="n">
        <x:v>46163</x:v>
      </x:c>
      <x:c r="F2543" t="n">
        <x:v>2526</x:v>
      </x:c>
      <x:c r="G2543" t="str">
        <x:v>65be9d217b7310b4a785f1c9fef3095c166d8a95f445d6f2884f74148890026f</x:v>
      </x:c>
      <x:c r="H2543" t="str">
        <x:v>neu</x:v>
      </x:c>
      <x:c r="I2543" t="str">
        <x:v>ok</x:v>
      </x:c>
      <x:c r="J2543"/>
      <x:c r="K2543" t="n">
        <x:v>45308</x:v>
      </x:c>
      <x:c r="L2543" t="n">
        <x:v>45308</x:v>
      </x:c>
      <x:c r="M2543" t="str">
        <x:v>Gebucht</x:v>
      </x:c>
      <x:c r="N2543" t="str">
        <x:v>Lars Kohlenberg</x:v>
      </x:c>
      <x:c r="O2543" t="str">
        <x:v>Drillisch Online GmbH                                                 Wilhelm-Rontgen-Strase 1-5, 63477 Maintal</x:v>
      </x:c>
      <x:c r="P2543" t="str">
        <x:v>C0851820 U603261965 B697518560 winSIM</x:v>
      </x:c>
      <x:c r="Q2543" t="str">
        <x:v>Ausgang</x:v>
      </x:c>
      <x:c r="R2543" t="str">
        <x:v>DE87300500000008996811</x:v>
      </x:c>
      <x:c r="S2543" t="n">
        <x:v>-6.99</x:v>
      </x:c>
      <x:c r="T2543" t="str">
        <x:v>DE40ZZZ00000206926</x:v>
      </x:c>
      <x:c r="U2543" t="str">
        <x:v>FB1310D094B04186E02ACE7B8C6</x:v>
      </x:c>
      <x:c r="V2543" t="str">
        <x:v>CVTHVSCIBZFMCKKC</x:v>
      </x:c>
    </x:row>
    <x:row r="2544">
      <x:c r="A2544" t="str">
        <x:v>RAW-IMP-20260516-FULLDRAFT-002527</x:v>
      </x:c>
      <x:c r="B2544" t="str">
        <x:v>IMP-20260516-FULLDRAFT</x:v>
      </x:c>
      <x:c r="C2544" t="str">
        <x:v>KTO001</x:v>
      </x:c>
      <x:c r="D2544" t="str">
        <x:v>16-05-2026_Umsatzliste_Girokonto_DE98120300001061711675.csv</x:v>
      </x:c>
      <x:c r="E2544" t="n">
        <x:v>46163</x:v>
      </x:c>
      <x:c r="F2544" t="n">
        <x:v>2527</x:v>
      </x:c>
      <x:c r="G2544" t="str">
        <x:v>9c6d61481f3a57591f460cfb04e942e48a88d11ffa15a82f76e5e0245ee3faf1</x:v>
      </x:c>
      <x:c r="H2544" t="str">
        <x:v>neu</x:v>
      </x:c>
      <x:c r="I2544" t="str">
        <x:v>ok</x:v>
      </x:c>
      <x:c r="J2544"/>
      <x:c r="K2544" t="n">
        <x:v>45308</x:v>
      </x:c>
      <x:c r="L2544" t="n">
        <x:v>45308</x:v>
      </x:c>
      <x:c r="M2544" t="str">
        <x:v>Gebucht</x:v>
      </x:c>
      <x:c r="N2544" t="str">
        <x:v>Lars Kohlenberg</x:v>
      </x:c>
      <x:c r="O2544" t="str">
        <x:v>Drillisch Online GmbH                                                 Wilhelm-Rontgen-Strase 1-5, 63477 Maintal</x:v>
      </x:c>
      <x:c r="P2544" t="str">
        <x:v>C0851820 U599910237 B698976240 winSIM</x:v>
      </x:c>
      <x:c r="Q2544" t="str">
        <x:v>Ausgang</x:v>
      </x:c>
      <x:c r="R2544" t="str">
        <x:v>DE87300500000008996811</x:v>
      </x:c>
      <x:c r="S2544" t="n">
        <x:v>-6.99</x:v>
      </x:c>
      <x:c r="T2544" t="str">
        <x:v>DE40ZZZ00000206926</x:v>
      </x:c>
      <x:c r="U2544" t="str">
        <x:v>FB1310D094B04186E02ACE7B8C6</x:v>
      </x:c>
      <x:c r="V2544" t="str">
        <x:v>DJHEONHGGORAJVAT</x:v>
      </x:c>
    </x:row>
    <x:row r="2545">
      <x:c r="A2545" t="str">
        <x:v>RAW-IMP-20260516-FULLDRAFT-002528</x:v>
      </x:c>
      <x:c r="B2545" t="str">
        <x:v>IMP-20260516-FULLDRAFT</x:v>
      </x:c>
      <x:c r="C2545" t="str">
        <x:v>KTO001</x:v>
      </x:c>
      <x:c r="D2545" t="str">
        <x:v>16-05-2026_Umsatzliste_Girokonto_DE98120300001061711675.csv</x:v>
      </x:c>
      <x:c r="E2545" t="n">
        <x:v>46163</x:v>
      </x:c>
      <x:c r="F2545" t="n">
        <x:v>2528</x:v>
      </x:c>
      <x:c r="G2545" t="str">
        <x:v>3231518a36a18eacfc816f5fe47a2e913731b41e99296a6eb2d762dddeccefb5</x:v>
      </x:c>
      <x:c r="H2545" t="str">
        <x:v>neu</x:v>
      </x:c>
      <x:c r="I2545" t="str">
        <x:v>ok</x:v>
      </x:c>
      <x:c r="J2545"/>
      <x:c r="K2545" t="n">
        <x:v>45308</x:v>
      </x:c>
      <x:c r="L2545" t="n">
        <x:v>45308</x:v>
      </x:c>
      <x:c r="M2545" t="str">
        <x:v>Gebucht</x:v>
      </x:c>
      <x:c r="N2545" t="str">
        <x:v>Lars Kohlenberg</x:v>
      </x:c>
      <x:c r="O2545" t="str">
        <x:v>Drillisch Online GmbH                                                 Wilhelm-Rontgen-Strase 1-5, 63477 Maintal</x:v>
      </x:c>
      <x:c r="P2545" t="str">
        <x:v>C0851820 U598965613 B697424329 winSIM</x:v>
      </x:c>
      <x:c r="Q2545" t="str">
        <x:v>Ausgang</x:v>
      </x:c>
      <x:c r="R2545" t="str">
        <x:v>DE87300500000008996811</x:v>
      </x:c>
      <x:c r="S2545" t="n">
        <x:v>-6.99</x:v>
      </x:c>
      <x:c r="T2545" t="str">
        <x:v>DE40ZZZ00000206926</x:v>
      </x:c>
      <x:c r="U2545" t="str">
        <x:v>FB1310D094B04186E02ACE7B8C6</x:v>
      </x:c>
      <x:c r="V2545" t="str">
        <x:v>KGXWGCHNRYJBSVZE</x:v>
      </x:c>
    </x:row>
    <x:row r="2546">
      <x:c r="A2546" t="str">
        <x:v>RAW-IMP-20260516-FULLDRAFT-002529</x:v>
      </x:c>
      <x:c r="B2546" t="str">
        <x:v>IMP-20260516-FULLDRAFT</x:v>
      </x:c>
      <x:c r="C2546" t="str">
        <x:v>KTO001</x:v>
      </x:c>
      <x:c r="D2546" t="str">
        <x:v>16-05-2026_Umsatzliste_Girokonto_DE98120300001061711675.csv</x:v>
      </x:c>
      <x:c r="E2546" t="n">
        <x:v>46163</x:v>
      </x:c>
      <x:c r="F2546" t="n">
        <x:v>2529</x:v>
      </x:c>
      <x:c r="G2546" t="str">
        <x:v>7a3adcda19f35beb2d10f8ea49cb79b511e3d9645f1d1d956b6cb52e7baf8c43</x:v>
      </x:c>
      <x:c r="H2546" t="str">
        <x:v>neu</x:v>
      </x:c>
      <x:c r="I2546" t="str">
        <x:v>ok</x:v>
      </x:c>
      <x:c r="J2546"/>
      <x:c r="K2546" t="n">
        <x:v>45306</x:v>
      </x:c>
      <x:c r="L2546" t="n">
        <x:v>45306</x:v>
      </x:c>
      <x:c r="M2546" t="str">
        <x:v>Gebucht</x:v>
      </x:c>
      <x:c r="N2546" t="str">
        <x:v>ISSUER</x:v>
      </x:c>
      <x:c r="O2546" t="str">
        <x:v>NARBONNE</x:v>
      </x:c>
      <x:c r="P2546" t="str">
        <x:v>VISA Debitkartenumsatz vom 13.01.2024</x:v>
      </x:c>
      <x:c r="Q2546" t="str">
        <x:v>Ausgang</x:v>
      </x:c>
      <x:c r="R2546" t="str">
        <x:v>DE96120300009005290904</x:v>
      </x:c>
      <x:c r="S2546" t="n">
        <x:v>-144.35</x:v>
      </x:c>
      <x:c r="T2546" t="str">
        <x:v>"</x:v>
      </x:c>
      <x:c r="U2546" t="str">
        <x:v>"</x:v>
      </x:c>
      <x:c r="V2546" t="str">
        <x:v>484013444416883</x:v>
      </x:c>
    </x:row>
    <x:row r="2547">
      <x:c r="A2547" t="str">
        <x:v>RAW-IMP-20260516-FULLDRAFT-002530</x:v>
      </x:c>
      <x:c r="B2547" t="str">
        <x:v>IMP-20260516-FULLDRAFT</x:v>
      </x:c>
      <x:c r="C2547" t="str">
        <x:v>KTO001</x:v>
      </x:c>
      <x:c r="D2547" t="str">
        <x:v>16-05-2026_Umsatzliste_Girokonto_DE98120300001061711675.csv</x:v>
      </x:c>
      <x:c r="E2547" t="n">
        <x:v>46163</x:v>
      </x:c>
      <x:c r="F2547" t="n">
        <x:v>2530</x:v>
      </x:c>
      <x:c r="G2547" t="str">
        <x:v>8309d9d0d25b9b4349ee70220f28034e224d23db3f93b12fa22f2d9bec8d03d8</x:v>
      </x:c>
      <x:c r="H2547" t="str">
        <x:v>neu</x:v>
      </x:c>
      <x:c r="I2547" t="str">
        <x:v>ok</x:v>
      </x:c>
      <x:c r="J2547"/>
      <x:c r="K2547" t="n">
        <x:v>45306</x:v>
      </x:c>
      <x:c r="L2547" t="n">
        <x:v>45306</x:v>
      </x:c>
      <x:c r="M2547" t="str">
        <x:v>Gebucht</x:v>
      </x:c>
      <x:c r="N2547" t="str">
        <x:v>ISSUER</x:v>
      </x:c>
      <x:c r="O2547" t="str">
        <x:v>RSB 05250128</x:v>
      </x:c>
      <x:c r="P2547" t="str">
        <x:v>VISA Debitkartenumsatz vom 12.01.2024</x:v>
      </x:c>
      <x:c r="Q2547" t="str">
        <x:v>Ausgang</x:v>
      </x:c>
      <x:c r="R2547" t="str">
        <x:v>DE96120300009005290904</x:v>
      </x:c>
      <x:c r="S2547" t="n">
        <x:v>-100</x:v>
      </x:c>
      <x:c r="T2547" t="str">
        <x:v>"</x:v>
      </x:c>
      <x:c r="U2547" t="str">
        <x:v>"</x:v>
      </x:c>
      <x:c r="V2547" t="str">
        <x:v>484012643816298</x:v>
      </x:c>
    </x:row>
    <x:row r="2548">
      <x:c r="A2548" t="str">
        <x:v>RAW-IMP-20260516-FULLDRAFT-002531</x:v>
      </x:c>
      <x:c r="B2548" t="str">
        <x:v>IMP-20260516-FULLDRAFT</x:v>
      </x:c>
      <x:c r="C2548" t="str">
        <x:v>KTO001</x:v>
      </x:c>
      <x:c r="D2548" t="str">
        <x:v>16-05-2026_Umsatzliste_Girokonto_DE98120300001061711675.csv</x:v>
      </x:c>
      <x:c r="E2548" t="n">
        <x:v>46163</x:v>
      </x:c>
      <x:c r="F2548" t="n">
        <x:v>2531</x:v>
      </x:c>
      <x:c r="G2548" t="str">
        <x:v>5ff4a2d5215652a9f31462748a8fa0e26ae9d0d868471111255121f40e11846f</x:v>
      </x:c>
      <x:c r="H2548" t="str">
        <x:v>neu</x:v>
      </x:c>
      <x:c r="I2548" t="str">
        <x:v>ok</x:v>
      </x:c>
      <x:c r="J2548"/>
      <x:c r="K2548" t="n">
        <x:v>45306</x:v>
      </x:c>
      <x:c r="L2548" t="n">
        <x:v>45306</x:v>
      </x:c>
      <x:c r="M2548" t="str">
        <x:v>Gebucht</x:v>
      </x:c>
      <x:c r="N2548" t="str">
        <x:v>ISSUER</x:v>
      </x:c>
      <x:c r="O2548" t="str">
        <x:v>REWE Salzgitter.Ge</x:v>
      </x:c>
      <x:c r="P2548" t="str">
        <x:v>VISA Debitkartenumsatz vom 12.01.2024</x:v>
      </x:c>
      <x:c r="Q2548" t="str">
        <x:v>Ausgang</x:v>
      </x:c>
      <x:c r="R2548" t="str">
        <x:v>DE96120300009005290904</x:v>
      </x:c>
      <x:c r="S2548" t="n">
        <x:v>-5.38</x:v>
      </x:c>
      <x:c r="T2548" t="str">
        <x:v>"</x:v>
      </x:c>
      <x:c r="U2548" t="str">
        <x:v>"</x:v>
      </x:c>
      <x:c r="V2548" t="str">
        <x:v>484012646785084</x:v>
      </x:c>
    </x:row>
    <x:row r="2549">
      <x:c r="A2549" t="str">
        <x:v>RAW-IMP-20260516-FULLDRAFT-002532</x:v>
      </x:c>
      <x:c r="B2549" t="str">
        <x:v>IMP-20260516-FULLDRAFT</x:v>
      </x:c>
      <x:c r="C2549" t="str">
        <x:v>KTO001</x:v>
      </x:c>
      <x:c r="D2549" t="str">
        <x:v>16-05-2026_Umsatzliste_Girokonto_DE98120300001061711675.csv</x:v>
      </x:c>
      <x:c r="E2549" t="n">
        <x:v>46163</x:v>
      </x:c>
      <x:c r="F2549" t="n">
        <x:v>2532</x:v>
      </x:c>
      <x:c r="G2549" t="str">
        <x:v>05cd8ec2800b62e2ac81e15d7ff03df1d9134ae4be4d90ccd1cd88cac9453a61</x:v>
      </x:c>
      <x:c r="H2549" t="str">
        <x:v>neu</x:v>
      </x:c>
      <x:c r="I2549" t="str">
        <x:v>ok</x:v>
      </x:c>
      <x:c r="J2549"/>
      <x:c r="K2549" t="n">
        <x:v>45306</x:v>
      </x:c>
      <x:c r="L2549" t="n">
        <x:v>45304</x:v>
      </x:c>
      <x:c r="M2549" t="str">
        <x:v>Gebucht</x:v>
      </x:c>
      <x:c r="N2549" t="str">
        <x:v>DKB AG</x:v>
      </x:c>
      <x:c r="O2549" t="str">
        <x:v>DKB AG</x:v>
      </x:c>
      <x:c r="P2549" t="str">
        <x:v>Rechnung DEUTSCHE KREDITBANK AG Entgelt Girokarte für 2024/KartNr.******4414 LARS KOHLENBERG 20240115-BY111-00183557568</x:v>
      </x:c>
      <x:c r="Q2549" t="str">
        <x:v>Ausgang</x:v>
      </x:c>
      <x:c r="R2549" t="str">
        <x:v>0000000000</x:v>
      </x:c>
      <x:c r="S2549" t="n">
        <x:v>-11.88</x:v>
      </x:c>
      <x:c r="T2549" t="str">
        <x:v>"</x:v>
      </x:c>
      <x:c r="U2549" t="str">
        <x:v>"</x:v>
      </x:c>
      <x:c r="V2549" t="str">
        <x:v>"</x:v>
      </x:c>
    </x:row>
    <x:row r="2550">
      <x:c r="A2550" t="str">
        <x:v>RAW-IMP-20260516-FULLDRAFT-002533</x:v>
      </x:c>
      <x:c r="B2550" t="str">
        <x:v>IMP-20260516-FULLDRAFT</x:v>
      </x:c>
      <x:c r="C2550" t="str">
        <x:v>KTO001</x:v>
      </x:c>
      <x:c r="D2550" t="str">
        <x:v>16-05-2026_Umsatzliste_Girokonto_DE98120300001061711675.csv</x:v>
      </x:c>
      <x:c r="E2550" t="n">
        <x:v>46163</x:v>
      </x:c>
      <x:c r="F2550" t="n">
        <x:v>2533</x:v>
      </x:c>
      <x:c r="G2550" t="str">
        <x:v>8583e31c3e7988834eb38d76edeecfe0ba050e3a7a76bffeaa68d062d6cc2854</x:v>
      </x:c>
      <x:c r="H2550" t="str">
        <x:v>neu</x:v>
      </x:c>
      <x:c r="I2550" t="str">
        <x:v>ok</x:v>
      </x:c>
      <x:c r="J2550"/>
      <x:c r="K2550" t="n">
        <x:v>45303</x:v>
      </x:c>
      <x:c r="L2550" t="n">
        <x:v>45303</x:v>
      </x:c>
      <x:c r="M2550" t="str">
        <x:v>Gebucht</x:v>
      </x:c>
      <x:c r="N2550" t="str">
        <x:v>ISSUER</x:v>
      </x:c>
      <x:c r="O2550" t="str">
        <x:v>JOERG BARTHEL</x:v>
      </x:c>
      <x:c r="P2550" t="str">
        <x:v>VISA Debitkartenumsatz vom 11.01.2024</x:v>
      </x:c>
      <x:c r="Q2550" t="str">
        <x:v>Ausgang</x:v>
      </x:c>
      <x:c r="R2550" t="str">
        <x:v>DE96120300009005290904</x:v>
      </x:c>
      <x:c r="S2550" t="n">
        <x:v>-13</x:v>
      </x:c>
      <x:c r="T2550" t="str">
        <x:v>"</x:v>
      </x:c>
      <x:c r="U2550" t="str">
        <x:v>"</x:v>
      </x:c>
      <x:c r="V2550" t="str">
        <x:v>484011398589253</x:v>
      </x:c>
    </x:row>
    <x:row r="2551">
      <x:c r="A2551" t="str">
        <x:v>RAW-IMP-20260516-FULLDRAFT-002534</x:v>
      </x:c>
      <x:c r="B2551" t="str">
        <x:v>IMP-20260516-FULLDRAFT</x:v>
      </x:c>
      <x:c r="C2551" t="str">
        <x:v>KTO001</x:v>
      </x:c>
      <x:c r="D2551" t="str">
        <x:v>16-05-2026_Umsatzliste_Girokonto_DE98120300001061711675.csv</x:v>
      </x:c>
      <x:c r="E2551" t="n">
        <x:v>46163</x:v>
      </x:c>
      <x:c r="F2551" t="n">
        <x:v>2534</x:v>
      </x:c>
      <x:c r="G2551" t="str">
        <x:v>a91b4f911a7b32751d03b99b6c80a589365cfe732483fd77764aa63b3b11621e</x:v>
      </x:c>
      <x:c r="H2551" t="str">
        <x:v>neu</x:v>
      </x:c>
      <x:c r="I2551" t="str">
        <x:v>ok</x:v>
      </x:c>
      <x:c r="J2551"/>
      <x:c r="K2551" t="n">
        <x:v>45303</x:v>
      </x:c>
      <x:c r="L2551" t="n">
        <x:v>45303</x:v>
      </x:c>
      <x:c r="M2551" t="str">
        <x:v>Gebucht</x:v>
      </x:c>
      <x:c r="N2551" t="str">
        <x:v>ISSUER</x:v>
      </x:c>
      <x:c r="O2551" t="str">
        <x:v>PAYPAL .DANCENTER S PA</x:v>
      </x:c>
      <x:c r="P2551" t="str">
        <x:v>VISA Debitkartenumsatz vom 09.01.2024</x:v>
      </x:c>
      <x:c r="Q2551" t="str">
        <x:v>Ausgang</x:v>
      </x:c>
      <x:c r="R2551" t="str">
        <x:v>DE96120300009005290904</x:v>
      </x:c>
      <x:c r="S2551" t="n">
        <x:v>-1</x:v>
      </x:c>
      <x:c r="T2551" t="str">
        <x:v>"</x:v>
      </x:c>
      <x:c r="U2551" t="str">
        <x:v>"</x:v>
      </x:c>
      <x:c r="V2551" t="str">
        <x:v>304009230681972</x:v>
      </x:c>
    </x:row>
    <x:row r="2552">
      <x:c r="A2552" t="str">
        <x:v>RAW-IMP-20260516-FULLDRAFT-002535</x:v>
      </x:c>
      <x:c r="B2552" t="str">
        <x:v>IMP-20260516-FULLDRAFT</x:v>
      </x:c>
      <x:c r="C2552" t="str">
        <x:v>KTO001</x:v>
      </x:c>
      <x:c r="D2552" t="str">
        <x:v>16-05-2026_Umsatzliste_Girokonto_DE98120300001061711675.csv</x:v>
      </x:c>
      <x:c r="E2552" t="n">
        <x:v>46163</x:v>
      </x:c>
      <x:c r="F2552" t="n">
        <x:v>2535</x:v>
      </x:c>
      <x:c r="G2552" t="str">
        <x:v>ff90543fa42df800b358e21f46a143525aa62f4b8c3f76ed8d45a4c9d24ed972</x:v>
      </x:c>
      <x:c r="H2552" t="str">
        <x:v>neu</x:v>
      </x:c>
      <x:c r="I2552" t="str">
        <x:v>ok</x:v>
      </x:c>
      <x:c r="J2552"/>
      <x:c r="K2552" t="n">
        <x:v>45303</x:v>
      </x:c>
      <x:c r="L2552" t="n">
        <x:v>45303</x:v>
      </x:c>
      <x:c r="M2552" t="str">
        <x:v>Gebucht</x:v>
      </x:c>
      <x:c r="N2552" t="str">
        <x:v>ISSUER</x:v>
      </x:c>
      <x:c r="O2552" t="str">
        <x:v>PAYPAL .DANCENTER S PA</x:v>
      </x:c>
      <x:c r="P2552" t="str">
        <x:v>VISA Debitkartenumsatz vom 09.01.2024</x:v>
      </x:c>
      <x:c r="Q2552" t="str">
        <x:v>Ausgang</x:v>
      </x:c>
      <x:c r="R2552" t="str">
        <x:v>DE96120300009005290904</x:v>
      </x:c>
      <x:c r="S2552" t="n">
        <x:v>-152</x:v>
      </x:c>
      <x:c r="T2552" t="str">
        <x:v>"</x:v>
      </x:c>
      <x:c r="U2552" t="str">
        <x:v>"</x:v>
      </x:c>
      <x:c r="V2552" t="str">
        <x:v>484009226125881</x:v>
      </x:c>
    </x:row>
    <x:row r="2553">
      <x:c r="A2553" t="str">
        <x:v>RAW-IMP-20260516-FULLDRAFT-002536</x:v>
      </x:c>
      <x:c r="B2553" t="str">
        <x:v>IMP-20260516-FULLDRAFT</x:v>
      </x:c>
      <x:c r="C2553" t="str">
        <x:v>KTO001</x:v>
      </x:c>
      <x:c r="D2553" t="str">
        <x:v>16-05-2026_Umsatzliste_Girokonto_DE98120300001061711675.csv</x:v>
      </x:c>
      <x:c r="E2553" t="n">
        <x:v>46163</x:v>
      </x:c>
      <x:c r="F2553" t="n">
        <x:v>2536</x:v>
      </x:c>
      <x:c r="G2553" t="str">
        <x:v>fa1abc07f115e2fe395066c3955327bcdb8de1e384177cdf021f87b16b8fe231</x:v>
      </x:c>
      <x:c r="H2553" t="str">
        <x:v>neu</x:v>
      </x:c>
      <x:c r="I2553" t="str">
        <x:v>ok</x:v>
      </x:c>
      <x:c r="J2553"/>
      <x:c r="K2553" t="n">
        <x:v>45302</x:v>
      </x:c>
      <x:c r="L2553" t="n">
        <x:v>45302</x:v>
      </x:c>
      <x:c r="M2553" t="str">
        <x:v>Gebucht</x:v>
      </x:c>
      <x:c r="N2553" t="str">
        <x:v>ISSUER</x:v>
      </x:c>
      <x:c r="O2553" t="str">
        <x:v>E-CENTER 3397</x:v>
      </x:c>
      <x:c r="P2553" t="str">
        <x:v>VISA Debitkartenumsatz vom 10.01.2024</x:v>
      </x:c>
      <x:c r="Q2553" t="str">
        <x:v>Ausgang</x:v>
      </x:c>
      <x:c r="R2553" t="str">
        <x:v>DE96120300009005290904</x:v>
      </x:c>
      <x:c r="S2553" t="n">
        <x:v>-11.03</x:v>
      </x:c>
      <x:c r="T2553" t="str">
        <x:v>"</x:v>
      </x:c>
      <x:c r="U2553" t="str">
        <x:v>"</x:v>
      </x:c>
      <x:c r="V2553" t="str">
        <x:v>484010430892064</x:v>
      </x:c>
    </x:row>
    <x:row r="2554">
      <x:c r="A2554" t="str">
        <x:v>RAW-IMP-20260516-FULLDRAFT-002537</x:v>
      </x:c>
      <x:c r="B2554" t="str">
        <x:v>IMP-20260516-FULLDRAFT</x:v>
      </x:c>
      <x:c r="C2554" t="str">
        <x:v>KTO001</x:v>
      </x:c>
      <x:c r="D2554" t="str">
        <x:v>16-05-2026_Umsatzliste_Girokonto_DE98120300001061711675.csv</x:v>
      </x:c>
      <x:c r="E2554" t="n">
        <x:v>46163</x:v>
      </x:c>
      <x:c r="F2554" t="n">
        <x:v>2537</x:v>
      </x:c>
      <x:c r="G2554" t="str">
        <x:v>dfa0fc1fe61d9839c83d70072806bc0d23b85418e6f27d308c3112b47593eaf8</x:v>
      </x:c>
      <x:c r="H2554" t="str">
        <x:v>neu</x:v>
      </x:c>
      <x:c r="I2554" t="str">
        <x:v>ok</x:v>
      </x:c>
      <x:c r="J2554"/>
      <x:c r="K2554" t="n">
        <x:v>45301</x:v>
      </x:c>
      <x:c r="L2554" t="n">
        <x:v>45301</x:v>
      </x:c>
      <x:c r="M2554" t="str">
        <x:v>Gebucht</x:v>
      </x:c>
      <x:c r="N2554" t="str">
        <x:v>ISSUER</x:v>
      </x:c>
      <x:c r="O2554" t="str">
        <x:v>REWE Salzgitter.Ge</x:v>
      </x:c>
      <x:c r="P2554" t="str">
        <x:v>VISA Debitkartenumsatz vom 09.01.2024</x:v>
      </x:c>
      <x:c r="Q2554" t="str">
        <x:v>Ausgang</x:v>
      </x:c>
      <x:c r="R2554" t="str">
        <x:v>DE96120300009005290904</x:v>
      </x:c>
      <x:c r="S2554" t="n">
        <x:v>-13.37</x:v>
      </x:c>
      <x:c r="T2554" t="str">
        <x:v>"</x:v>
      </x:c>
      <x:c r="U2554" t="str">
        <x:v>"</x:v>
      </x:c>
      <x:c r="V2554" t="str">
        <x:v>484009620597506</x:v>
      </x:c>
    </x:row>
    <x:row r="2555">
      <x:c r="A2555" t="str">
        <x:v>RAW-IMP-20260516-FULLDRAFT-002538</x:v>
      </x:c>
      <x:c r="B2555" t="str">
        <x:v>IMP-20260516-FULLDRAFT</x:v>
      </x:c>
      <x:c r="C2555" t="str">
        <x:v>KTO001</x:v>
      </x:c>
      <x:c r="D2555" t="str">
        <x:v>16-05-2026_Umsatzliste_Girokonto_DE98120300001061711675.csv</x:v>
      </x:c>
      <x:c r="E2555" t="n">
        <x:v>46163</x:v>
      </x:c>
      <x:c r="F2555" t="n">
        <x:v>2538</x:v>
      </x:c>
      <x:c r="G2555" t="str">
        <x:v>62b1b5ea1a523f08a9c3990474605ce0e8ca86b3ce84fb5a98712ee5df4e61e9</x:v>
      </x:c>
      <x:c r="H2555" t="str">
        <x:v>neu</x:v>
      </x:c>
      <x:c r="I2555" t="str">
        <x:v>ok</x:v>
      </x:c>
      <x:c r="J2555"/>
      <x:c r="K2555" t="n">
        <x:v>45301</x:v>
      </x:c>
      <x:c r="L2555" t="n">
        <x:v>45301</x:v>
      </x:c>
      <x:c r="M2555" t="str">
        <x:v>Gebucht</x:v>
      </x:c>
      <x:c r="N2555" t="str">
        <x:v>Lars Kohlenberg                                                       Johannes-Wosnitza-Str. 8 38229 Salzgitter</x:v>
      </x:c>
      <x:c r="O2555" t="str">
        <x:v>1+1 Mail + Media GmbH                                                 Elgendorfer Str. 57, 56410 Montabaur</x:v>
      </x:c>
      <x:c r="P2555" t="str">
        <x:v>GMX / WEB.de / KD-Nr. K7440512/ RG-Nr. 201536089260</x:v>
      </x:c>
      <x:c r="Q2555" t="str">
        <x:v>Ausgang</x:v>
      </x:c>
      <x:c r="R2555" t="str">
        <x:v>DE76700800000881679702</x:v>
      </x:c>
      <x:c r="S2555" t="n">
        <x:v>-5.99</x:v>
      </x:c>
      <x:c r="T2555" t="str">
        <x:v>DE07ZZZ00000569718</x:v>
      </x:c>
      <x:c r="U2555" t="str">
        <x:v>0090001393062</x:v>
      </x:c>
      <x:c r="V2555" t="str">
        <x:v>006320414029</x:v>
      </x:c>
    </x:row>
    <x:row r="2556">
      <x:c r="A2556" t="str">
        <x:v>RAW-IMP-20260516-FULLDRAFT-002539</x:v>
      </x:c>
      <x:c r="B2556" t="str">
        <x:v>IMP-20260516-FULLDRAFT</x:v>
      </x:c>
      <x:c r="C2556" t="str">
        <x:v>KTO001</x:v>
      </x:c>
      <x:c r="D2556" t="str">
        <x:v>16-05-2026_Umsatzliste_Girokonto_DE98120300001061711675.csv</x:v>
      </x:c>
      <x:c r="E2556" t="n">
        <x:v>46163</x:v>
      </x:c>
      <x:c r="F2556" t="n">
        <x:v>2539</x:v>
      </x:c>
      <x:c r="G2556" t="str">
        <x:v>b09a1cc37ae33c477a973470cd71b74e0f7b4056389c35058250355bf5d92851</x:v>
      </x:c>
      <x:c r="H2556" t="str">
        <x:v>neu</x:v>
      </x:c>
      <x:c r="I2556" t="str">
        <x:v>ok</x:v>
      </x:c>
      <x:c r="J2556"/>
      <x:c r="K2556" t="n">
        <x:v>45301</x:v>
      </x:c>
      <x:c r="L2556" t="n">
        <x:v>45301</x:v>
      </x:c>
      <x:c r="M2556" t="str">
        <x:v>Gebucht</x:v>
      </x:c>
      <x:c r="N2556" t="str">
        <x:v>DKB AG</x:v>
      </x:c>
      <x:c r="O2556" t="str">
        <x:v>DKB AG</x:v>
      </x:c>
      <x:c r="P2556" t="str">
        <x:v>Stornorechnung zur Abrechnung 29.12.2023 Erstattung: eingeräumte Kontoüberz.             0,01 EUR 20240110-BY111-00182180974</x:v>
      </x:c>
      <x:c r="Q2556" t="str">
        <x:v>Eingang</x:v>
      </x:c>
      <x:c r="R2556" t="str">
        <x:v>1061711675</x:v>
      </x:c>
      <x:c r="S2556" t="n">
        <x:v>0.01</x:v>
      </x:c>
      <x:c r="T2556" t="str">
        <x:v>"</x:v>
      </x:c>
      <x:c r="U2556" t="str">
        <x:v>"</x:v>
      </x:c>
      <x:c r="V2556" t="str">
        <x:v>"</x:v>
      </x:c>
    </x:row>
    <x:row r="2557">
      <x:c r="A2557" t="str">
        <x:v>RAW-IMP-20260516-FULLDRAFT-002540</x:v>
      </x:c>
      <x:c r="B2557" t="str">
        <x:v>IMP-20260516-FULLDRAFT</x:v>
      </x:c>
      <x:c r="C2557" t="str">
        <x:v>KTO001</x:v>
      </x:c>
      <x:c r="D2557" t="str">
        <x:v>16-05-2026_Umsatzliste_Girokonto_DE98120300001061711675.csv</x:v>
      </x:c>
      <x:c r="E2557" t="n">
        <x:v>46163</x:v>
      </x:c>
      <x:c r="F2557" t="n">
        <x:v>2540</x:v>
      </x:c>
      <x:c r="G2557" t="str">
        <x:v>d0466aec8c9be7840168ff51c59a85bce3386104165d33c04c729c27056487e3</x:v>
      </x:c>
      <x:c r="H2557" t="str">
        <x:v>neu</x:v>
      </x:c>
      <x:c r="I2557" t="str">
        <x:v>ok</x:v>
      </x:c>
      <x:c r="J2557"/>
      <x:c r="K2557" t="n">
        <x:v>45300</x:v>
      </x:c>
      <x:c r="L2557" t="n">
        <x:v>45300</x:v>
      </x:c>
      <x:c r="M2557" t="str">
        <x:v>Gebucht</x:v>
      </x:c>
      <x:c r="N2557" t="str">
        <x:v>ISSUER</x:v>
      </x:c>
      <x:c r="O2557" t="str">
        <x:v>ALDI SAGT DANKE</x:v>
      </x:c>
      <x:c r="P2557" t="str">
        <x:v>VISA Debitkartenumsatz vom 08.01.2024</x:v>
      </x:c>
      <x:c r="Q2557" t="str">
        <x:v>Ausgang</x:v>
      </x:c>
      <x:c r="R2557" t="str">
        <x:v>DE96120300009005290904</x:v>
      </x:c>
      <x:c r="S2557" t="n">
        <x:v>-1.39</x:v>
      </x:c>
      <x:c r="T2557" t="str">
        <x:v>"</x:v>
      </x:c>
      <x:c r="U2557" t="str">
        <x:v>"</x:v>
      </x:c>
      <x:c r="V2557" t="str">
        <x:v>484008402675061</x:v>
      </x:c>
    </x:row>
    <x:row r="2558">
      <x:c r="A2558" t="str">
        <x:v>RAW-IMP-20260516-FULLDRAFT-002541</x:v>
      </x:c>
      <x:c r="B2558" t="str">
        <x:v>IMP-20260516-FULLDRAFT</x:v>
      </x:c>
      <x:c r="C2558" t="str">
        <x:v>KTO001</x:v>
      </x:c>
      <x:c r="D2558" t="str">
        <x:v>16-05-2026_Umsatzliste_Girokonto_DE98120300001061711675.csv</x:v>
      </x:c>
      <x:c r="E2558" t="n">
        <x:v>46163</x:v>
      </x:c>
      <x:c r="F2558" t="n">
        <x:v>2541</x:v>
      </x:c>
      <x:c r="G2558" t="str">
        <x:v>adcb2f726ccb85a618db88ff1d729cbe0ad84522c7d73258abad7b5f919b2d22</x:v>
      </x:c>
      <x:c r="H2558" t="str">
        <x:v>neu</x:v>
      </x:c>
      <x:c r="I2558" t="str">
        <x:v>ok</x:v>
      </x:c>
      <x:c r="J2558"/>
      <x:c r="K2558" t="n">
        <x:v>45300</x:v>
      </x:c>
      <x:c r="L2558" t="n">
        <x:v>45300</x:v>
      </x:c>
      <x:c r="M2558" t="str">
        <x:v>Gebucht</x:v>
      </x:c>
      <x:c r="N2558" t="str">
        <x:v>ISSUER</x:v>
      </x:c>
      <x:c r="O2558" t="str">
        <x:v>ACCOR. NOVOTEL BARCELO</x:v>
      </x:c>
      <x:c r="P2558" t="str">
        <x:v>VISA Debitkartenumsatz vom 08.01.2024</x:v>
      </x:c>
      <x:c r="Q2558" t="str">
        <x:v>Ausgang</x:v>
      </x:c>
      <x:c r="R2558" t="str">
        <x:v>DE96120300009005290904</x:v>
      </x:c>
      <x:c r="S2558" t="n">
        <x:v>-377.05</x:v>
      </x:c>
      <x:c r="T2558" t="str">
        <x:v>"</x:v>
      </x:c>
      <x:c r="U2558" t="str">
        <x:v>"</x:v>
      </x:c>
      <x:c r="V2558" t="str">
        <x:v>484008777750284</x:v>
      </x:c>
    </x:row>
    <x:row r="2559">
      <x:c r="A2559" t="str">
        <x:v>RAW-IMP-20260516-FULLDRAFT-002542</x:v>
      </x:c>
      <x:c r="B2559" t="str">
        <x:v>IMP-20260516-FULLDRAFT</x:v>
      </x:c>
      <x:c r="C2559" t="str">
        <x:v>KTO001</x:v>
      </x:c>
      <x:c r="D2559" t="str">
        <x:v>16-05-2026_Umsatzliste_Girokonto_DE98120300001061711675.csv</x:v>
      </x:c>
      <x:c r="E2559" t="n">
        <x:v>46163</x:v>
      </x:c>
      <x:c r="F2559" t="n">
        <x:v>2542</x:v>
      </x:c>
      <x:c r="G2559" t="str">
        <x:v>c7986a7b2ac6f5c991d4969896a711a918c053c091c01b5db9d88323fdef70aa</x:v>
      </x:c>
      <x:c r="H2559" t="str">
        <x:v>neu</x:v>
      </x:c>
      <x:c r="I2559" t="str">
        <x:v>ok</x:v>
      </x:c>
      <x:c r="J2559"/>
      <x:c r="K2559" t="n">
        <x:v>45300</x:v>
      </x:c>
      <x:c r="L2559" t="n">
        <x:v>45300</x:v>
      </x:c>
      <x:c r="M2559" t="str">
        <x:v>Gebucht</x:v>
      </x:c>
      <x:c r="N2559" t="str">
        <x:v>Lars Kohlenberg</x:v>
      </x:c>
      <x:c r="O2559" t="str">
        <x:v>VHV Allg. Versicherung AG</x:v>
      </x:c>
      <x:c r="P2559" t="str">
        <x:v>VHV Versicherung HAFTPFLICHTVERSICHERUNG H 306-298548/0000 Abrechnung: 01.01.24 - 01.04.24</x:v>
      </x:c>
      <x:c r="Q2559" t="str">
        <x:v>Ausgang</x:v>
      </x:c>
      <x:c r="R2559" t="str">
        <x:v>DE65250500000101411551</x:v>
      </x:c>
      <x:c r="S2559" t="n">
        <x:v>-22.5</x:v>
      </x:c>
      <x:c r="T2559" t="str">
        <x:v>DE32VHV00000150810</x:v>
      </x:c>
      <x:c r="U2559" t="str">
        <x:v>0015012300010037</x:v>
      </x:c>
      <x:c r="V2559" t="str">
        <x:v>31272942059</x:v>
      </x:c>
    </x:row>
    <x:row r="2560">
      <x:c r="A2560" t="str">
        <x:v>RAW-IMP-20260516-FULLDRAFT-002543</x:v>
      </x:c>
      <x:c r="B2560" t="str">
        <x:v>IMP-20260516-FULLDRAFT</x:v>
      </x:c>
      <x:c r="C2560" t="str">
        <x:v>KTO001</x:v>
      </x:c>
      <x:c r="D2560" t="str">
        <x:v>16-05-2026_Umsatzliste_Girokonto_DE98120300001061711675.csv</x:v>
      </x:c>
      <x:c r="E2560" t="n">
        <x:v>46163</x:v>
      </x:c>
      <x:c r="F2560" t="n">
        <x:v>2543</x:v>
      </x:c>
      <x:c r="G2560" t="str">
        <x:v>03b930e91fc8984166bceae22bdee2bfe114f03b55af8488301fe670a90c6a55</x:v>
      </x:c>
      <x:c r="H2560" t="str">
        <x:v>neu</x:v>
      </x:c>
      <x:c r="I2560" t="str">
        <x:v>ok</x:v>
      </x:c>
      <x:c r="J2560"/>
      <x:c r="K2560" t="n">
        <x:v>45300</x:v>
      </x:c>
      <x:c r="L2560" t="n">
        <x:v>45300</x:v>
      </x:c>
      <x:c r="M2560" t="str">
        <x:v>Gebucht</x:v>
      </x:c>
      <x:c r="N2560" t="str">
        <x:v>Lars Kohlenberg</x:v>
      </x:c>
      <x:c r="O2560" t="str">
        <x:v>VHV Allg. Versicherung AG</x:v>
      </x:c>
      <x:c r="P2560" t="str">
        <x:v>VHV Versicherung UNFALLVERSICHERUNG U 013-072445/0000 Abrechnung: 01.01.24 - 01.02.24</x:v>
      </x:c>
      <x:c r="Q2560" t="str">
        <x:v>Ausgang</x:v>
      </x:c>
      <x:c r="R2560" t="str">
        <x:v>DE65250500000101411551</x:v>
      </x:c>
      <x:c r="S2560" t="n">
        <x:v>-11.96</x:v>
      </x:c>
      <x:c r="T2560" t="str">
        <x:v>DE32VHV00000150810</x:v>
      </x:c>
      <x:c r="U2560" t="str">
        <x:v>0015012300010039</x:v>
      </x:c>
      <x:c r="V2560" t="str">
        <x:v>31272942061</x:v>
      </x:c>
    </x:row>
    <x:row r="2561">
      <x:c r="A2561" t="str">
        <x:v>RAW-IMP-20260516-FULLDRAFT-002544</x:v>
      </x:c>
      <x:c r="B2561" t="str">
        <x:v>IMP-20260516-FULLDRAFT</x:v>
      </x:c>
      <x:c r="C2561" t="str">
        <x:v>KTO001</x:v>
      </x:c>
      <x:c r="D2561" t="str">
        <x:v>16-05-2026_Umsatzliste_Girokonto_DE98120300001061711675.csv</x:v>
      </x:c>
      <x:c r="E2561" t="n">
        <x:v>46163</x:v>
      </x:c>
      <x:c r="F2561" t="n">
        <x:v>2544</x:v>
      </x:c>
      <x:c r="G2561" t="str">
        <x:v>2f19f203fac23c1a3600c986b4cf698ab99c73b968eba40db7b4ae970b651092</x:v>
      </x:c>
      <x:c r="H2561" t="str">
        <x:v>neu</x:v>
      </x:c>
      <x:c r="I2561" t="str">
        <x:v>ok</x:v>
      </x:c>
      <x:c r="J2561"/>
      <x:c r="K2561" t="n">
        <x:v>45300</x:v>
      </x:c>
      <x:c r="L2561" t="n">
        <x:v>45300</x:v>
      </x:c>
      <x:c r="M2561" t="str">
        <x:v>Gebucht</x:v>
      </x:c>
      <x:c r="N2561" t="str">
        <x:v>Lars Kohlenberg</x:v>
      </x:c>
      <x:c r="O2561" t="str">
        <x:v>VHV Allg. Versicherung AG</x:v>
      </x:c>
      <x:c r="P2561" t="str">
        <x:v>VHV Versicherung KFZ-VERSICHERUNG SZ-KL 910 K 809-411325/0002 Abrechnung: 01.01.24 - 01.01.25</x:v>
      </x:c>
      <x:c r="Q2561" t="str">
        <x:v>Ausgang</x:v>
      </x:c>
      <x:c r="R2561" t="str">
        <x:v>DE65250500000101411551</x:v>
      </x:c>
      <x:c r="S2561" t="n">
        <x:v>-356.32</x:v>
      </x:c>
      <x:c r="T2561" t="str">
        <x:v>DE32VHV00000150810</x:v>
      </x:c>
      <x:c r="U2561" t="str">
        <x:v>0015012300010038</x:v>
      </x:c>
      <x:c r="V2561" t="str">
        <x:v>31272942060</x:v>
      </x:c>
    </x:row>
    <x:row r="2562">
      <x:c r="A2562" t="str">
        <x:v>RAW-IMP-20260516-FULLDRAFT-002545</x:v>
      </x:c>
      <x:c r="B2562" t="str">
        <x:v>IMP-20260516-FULLDRAFT</x:v>
      </x:c>
      <x:c r="C2562" t="str">
        <x:v>KTO001</x:v>
      </x:c>
      <x:c r="D2562" t="str">
        <x:v>16-05-2026_Umsatzliste_Girokonto_DE98120300001061711675.csv</x:v>
      </x:c>
      <x:c r="E2562" t="n">
        <x:v>46163</x:v>
      </x:c>
      <x:c r="F2562" t="n">
        <x:v>2545</x:v>
      </x:c>
      <x:c r="G2562" t="str">
        <x:v>bb1648d7a1a494f634949b46822999a62e423ec5aa0f09c2a1f0156b333483e3</x:v>
      </x:c>
      <x:c r="H2562" t="str">
        <x:v>neu</x:v>
      </x:c>
      <x:c r="I2562" t="str">
        <x:v>ok</x:v>
      </x:c>
      <x:c r="J2562"/>
      <x:c r="K2562" t="n">
        <x:v>45300</x:v>
      </x:c>
      <x:c r="L2562" t="n">
        <x:v>45300</x:v>
      </x:c>
      <x:c r="M2562" t="str">
        <x:v>Gebucht</x:v>
      </x:c>
      <x:c r="N2562" t="str">
        <x:v>Lars Kohlenberg                                                       JohannesWosnitzaStr.</x:v>
      </x:c>
      <x:c r="O2562" t="str">
        <x:v>Adyen N.V.</x:v>
      </x:c>
      <x:c r="P2562" t="str">
        <x:v>GMX by LOTTO24 C98983063 T285865467185</x:v>
      </x:c>
      <x:c r="Q2562" t="str">
        <x:v>Ausgang</x:v>
      </x:c>
      <x:c r="R2562" t="str">
        <x:v>DE11120700700020000603</x:v>
      </x:c>
      <x:c r="S2562" t="n">
        <x:v>-18.14</x:v>
      </x:c>
      <x:c r="T2562" t="str">
        <x:v>NL48ZZZ342764500000</x:v>
      </x:c>
      <x:c r="U2562" t="str">
        <x:v>R372DKN5SSBXZP52</x:v>
      </x:c>
      <x:c r="V2562" t="str">
        <x:v>CVDV8D9F76N2J8HH2C</x:v>
      </x:c>
    </x:row>
    <x:row r="2563">
      <x:c r="A2563" t="str">
        <x:v>RAW-IMP-20260516-FULLDRAFT-002546</x:v>
      </x:c>
      <x:c r="B2563" t="str">
        <x:v>IMP-20260516-FULLDRAFT</x:v>
      </x:c>
      <x:c r="C2563" t="str">
        <x:v>KTO001</x:v>
      </x:c>
      <x:c r="D2563" t="str">
        <x:v>16-05-2026_Umsatzliste_Girokonto_DE98120300001061711675.csv</x:v>
      </x:c>
      <x:c r="E2563" t="n">
        <x:v>46163</x:v>
      </x:c>
      <x:c r="F2563" t="n">
        <x:v>2546</x:v>
      </x:c>
      <x:c r="G2563" t="str">
        <x:v>5c81cc80d3e5f073c83795bcc53bd377427ebc813e46cb14e288c60ce66be52e</x:v>
      </x:c>
      <x:c r="H2563" t="str">
        <x:v>neu</x:v>
      </x:c>
      <x:c r="I2563" t="str">
        <x:v>ok</x:v>
      </x:c>
      <x:c r="J2563"/>
      <x:c r="K2563" t="n">
        <x:v>45300</x:v>
      </x:c>
      <x:c r="L2563" t="n">
        <x:v>45287</x:v>
      </x:c>
      <x:c r="M2563" t="str">
        <x:v>Gebucht</x:v>
      </x:c>
      <x:c r="N2563" t="str">
        <x:v>LARS KOHLENBERG</x:v>
      </x:c>
      <x:c r="O2563" t="str">
        <x:v>LARS KOHLENBERG</x:v>
      </x:c>
      <x:c r="P2563" t="str">
        <x:v>WERTSTELLUNGSKORREKTUR NACH  DOPPELBUCHUNG ZUR GUTSCHRI FT VOM 29.12.2023</x:v>
      </x:c>
      <x:c r="Q2563" t="str">
        <x:v>Eingang</x:v>
      </x:c>
      <x:c r="R2563" t="str">
        <x:v>1061711675</x:v>
      </x:c>
      <x:c r="S2563" t="n">
        <x:v>45.96</x:v>
      </x:c>
      <x:c r="T2563" t="str">
        <x:v>"</x:v>
      </x:c>
      <x:c r="U2563" t="str">
        <x:v>"</x:v>
      </x:c>
      <x:c r="V2563" t="str">
        <x:v>"</x:v>
      </x:c>
    </x:row>
    <x:row r="2564">
      <x:c r="A2564" t="str">
        <x:v>RAW-IMP-20260516-FULLDRAFT-002547</x:v>
      </x:c>
      <x:c r="B2564" t="str">
        <x:v>IMP-20260516-FULLDRAFT</x:v>
      </x:c>
      <x:c r="C2564" t="str">
        <x:v>KTO001</x:v>
      </x:c>
      <x:c r="D2564" t="str">
        <x:v>16-05-2026_Umsatzliste_Girokonto_DE98120300001061711675.csv</x:v>
      </x:c>
      <x:c r="E2564" t="n">
        <x:v>46163</x:v>
      </x:c>
      <x:c r="F2564" t="n">
        <x:v>2547</x:v>
      </x:c>
      <x:c r="G2564" t="str">
        <x:v>dcac9f6f66011eabe6ad3c84a719d21a6b65080b221fbe6d228e330d3029f7fe</x:v>
      </x:c>
      <x:c r="H2564" t="str">
        <x:v>neu</x:v>
      </x:c>
      <x:c r="I2564" t="str">
        <x:v>ok</x:v>
      </x:c>
      <x:c r="J2564"/>
      <x:c r="K2564" t="n">
        <x:v>45300</x:v>
      </x:c>
      <x:c r="L2564" t="n">
        <x:v>45289</x:v>
      </x:c>
      <x:c r="M2564" t="str">
        <x:v>Gebucht</x:v>
      </x:c>
      <x:c r="N2564" t="str">
        <x:v>LARS KOHLENBERG</x:v>
      </x:c>
      <x:c r="O2564" t="str">
        <x:v>LARS KOHLENBERG</x:v>
      </x:c>
      <x:c r="P2564" t="str">
        <x:v>WERTSTELLUNGSKORREKTUR NACH  DOPPELBUCHUNG ZUR GUTSCHRI FT VOM 29.12.2023</x:v>
      </x:c>
      <x:c r="Q2564" t="str">
        <x:v>Ausgang</x:v>
      </x:c>
      <x:c r="R2564" t="str">
        <x:v>1061711675</x:v>
      </x:c>
      <x:c r="S2564" t="n">
        <x:v>-45.96</x:v>
      </x:c>
      <x:c r="T2564" t="str">
        <x:v>"</x:v>
      </x:c>
      <x:c r="U2564" t="str">
        <x:v>"</x:v>
      </x:c>
      <x:c r="V2564" t="str">
        <x:v>"</x:v>
      </x:c>
    </x:row>
    <x:row r="2565">
      <x:c r="A2565" t="str">
        <x:v>RAW-IMP-20260516-FULLDRAFT-002548</x:v>
      </x:c>
      <x:c r="B2565" t="str">
        <x:v>IMP-20260516-FULLDRAFT</x:v>
      </x:c>
      <x:c r="C2565" t="str">
        <x:v>KTO001</x:v>
      </x:c>
      <x:c r="D2565" t="str">
        <x:v>16-05-2026_Umsatzliste_Girokonto_DE98120300001061711675.csv</x:v>
      </x:c>
      <x:c r="E2565" t="n">
        <x:v>46163</x:v>
      </x:c>
      <x:c r="F2565" t="n">
        <x:v>2548</x:v>
      </x:c>
      <x:c r="G2565" t="str">
        <x:v>8bb7a25c6be768b77ea3af591ea6ad7547731a666b81b91da7914a58eea3fb3b</x:v>
      </x:c>
      <x:c r="H2565" t="str">
        <x:v>neu</x:v>
      </x:c>
      <x:c r="I2565" t="str">
        <x:v>ok</x:v>
      </x:c>
      <x:c r="J2565"/>
      <x:c r="K2565" t="n">
        <x:v>45299</x:v>
      </x:c>
      <x:c r="L2565" t="n">
        <x:v>45299</x:v>
      </x:c>
      <x:c r="M2565" t="str">
        <x:v>Gebucht</x:v>
      </x:c>
      <x:c r="N2565" t="str">
        <x:v>ISSUER</x:v>
      </x:c>
      <x:c r="O2565" t="str">
        <x:v>ALDI SAGT DANKE</x:v>
      </x:c>
      <x:c r="P2565" t="str">
        <x:v>VISA Debitkartenumsatz vom 05.01.2024</x:v>
      </x:c>
      <x:c r="Q2565" t="str">
        <x:v>Ausgang</x:v>
      </x:c>
      <x:c r="R2565" t="str">
        <x:v>DE96120300009005290904</x:v>
      </x:c>
      <x:c r="S2565" t="n">
        <x:v>-4.43</x:v>
      </x:c>
      <x:c r="T2565" t="str">
        <x:v>"</x:v>
      </x:c>
      <x:c r="U2565" t="str">
        <x:v>"</x:v>
      </x:c>
      <x:c r="V2565" t="str">
        <x:v>484005401924369</x:v>
      </x:c>
    </x:row>
    <x:row r="2566">
      <x:c r="A2566" t="str">
        <x:v>RAW-IMP-20260516-FULLDRAFT-002549</x:v>
      </x:c>
      <x:c r="B2566" t="str">
        <x:v>IMP-20260516-FULLDRAFT</x:v>
      </x:c>
      <x:c r="C2566" t="str">
        <x:v>KTO001</x:v>
      </x:c>
      <x:c r="D2566" t="str">
        <x:v>16-05-2026_Umsatzliste_Girokonto_DE98120300001061711675.csv</x:v>
      </x:c>
      <x:c r="E2566" t="n">
        <x:v>46163</x:v>
      </x:c>
      <x:c r="F2566" t="n">
        <x:v>2549</x:v>
      </x:c>
      <x:c r="G2566" t="str">
        <x:v>fddb0c51eb43c51c603fc4b58c7c01a6507509a07768bd2286670fb6c0cebf1f</x:v>
      </x:c>
      <x:c r="H2566" t="str">
        <x:v>neu</x:v>
      </x:c>
      <x:c r="I2566" t="str">
        <x:v>ok</x:v>
      </x:c>
      <x:c r="J2566"/>
      <x:c r="K2566" t="n">
        <x:v>45299</x:v>
      </x:c>
      <x:c r="L2566" t="n">
        <x:v>45299</x:v>
      </x:c>
      <x:c r="M2566" t="str">
        <x:v>Gebucht</x:v>
      </x:c>
      <x:c r="N2566" t="str">
        <x:v>ISSUER</x:v>
      </x:c>
      <x:c r="O2566" t="str">
        <x:v>Prime Video .S660J9FQ5</x:v>
      </x:c>
      <x:c r="P2566" t="str">
        <x:v>VISA Debitkartenumsatz vom 07.01.2024</x:v>
      </x:c>
      <x:c r="Q2566" t="str">
        <x:v>Ausgang</x:v>
      </x:c>
      <x:c r="R2566" t="str">
        <x:v>DE96120300009005290904</x:v>
      </x:c>
      <x:c r="S2566" t="n">
        <x:v>-0.99</x:v>
      </x:c>
      <x:c r="T2566" t="str">
        <x:v>"</x:v>
      </x:c>
      <x:c r="U2566" t="str">
        <x:v>"</x:v>
      </x:c>
      <x:c r="V2566" t="str">
        <x:v>484007695065359</x:v>
      </x:c>
    </x:row>
    <x:row r="2567">
      <x:c r="A2567" t="str">
        <x:v>RAW-IMP-20260516-FULLDRAFT-002550</x:v>
      </x:c>
      <x:c r="B2567" t="str">
        <x:v>IMP-20260516-FULLDRAFT</x:v>
      </x:c>
      <x:c r="C2567" t="str">
        <x:v>KTO001</x:v>
      </x:c>
      <x:c r="D2567" t="str">
        <x:v>16-05-2026_Umsatzliste_Girokonto_DE98120300001061711675.csv</x:v>
      </x:c>
      <x:c r="E2567" t="n">
        <x:v>46163</x:v>
      </x:c>
      <x:c r="F2567" t="n">
        <x:v>2550</x:v>
      </x:c>
      <x:c r="G2567" t="str">
        <x:v>93630ce848ff7ed051c55d057761cd9efe1ffec18f5690a9f54c141e4f79e3a7</x:v>
      </x:c>
      <x:c r="H2567" t="str">
        <x:v>neu</x:v>
      </x:c>
      <x:c r="I2567" t="str">
        <x:v>ok</x:v>
      </x:c>
      <x:c r="J2567"/>
      <x:c r="K2567" t="n">
        <x:v>45299</x:v>
      </x:c>
      <x:c r="L2567" t="n">
        <x:v>45299</x:v>
      </x:c>
      <x:c r="M2567" t="str">
        <x:v>Gebucht</x:v>
      </x:c>
      <x:c r="N2567" t="str">
        <x:v>ISSUER</x:v>
      </x:c>
      <x:c r="O2567" t="str">
        <x:v>Prime Video .VS3IC0HL5</x:v>
      </x:c>
      <x:c r="P2567" t="str">
        <x:v>VISA Debitkartenumsatz vom 07.01.2024</x:v>
      </x:c>
      <x:c r="Q2567" t="str">
        <x:v>Ausgang</x:v>
      </x:c>
      <x:c r="R2567" t="str">
        <x:v>DE96120300009005290904</x:v>
      </x:c>
      <x:c r="S2567" t="n">
        <x:v>-0.99</x:v>
      </x:c>
      <x:c r="T2567" t="str">
        <x:v>"</x:v>
      </x:c>
      <x:c r="U2567" t="str">
        <x:v>"</x:v>
      </x:c>
      <x:c r="V2567" t="str">
        <x:v>484007698227054</x:v>
      </x:c>
    </x:row>
    <x:row r="2568">
      <x:c r="A2568" t="str">
        <x:v>RAW-IMP-20260516-FULLDRAFT-002551</x:v>
      </x:c>
      <x:c r="B2568" t="str">
        <x:v>IMP-20260516-FULLDRAFT</x:v>
      </x:c>
      <x:c r="C2568" t="str">
        <x:v>KTO001</x:v>
      </x:c>
      <x:c r="D2568" t="str">
        <x:v>16-05-2026_Umsatzliste_Girokonto_DE98120300001061711675.csv</x:v>
      </x:c>
      <x:c r="E2568" t="n">
        <x:v>46163</x:v>
      </x:c>
      <x:c r="F2568" t="n">
        <x:v>2551</x:v>
      </x:c>
      <x:c r="G2568" t="str">
        <x:v>3fe7f025df3835ef64da6248625d2f6fb42f2d4dc4cc1035ef75f67bff66541e</x:v>
      </x:c>
      <x:c r="H2568" t="str">
        <x:v>neu</x:v>
      </x:c>
      <x:c r="I2568" t="str">
        <x:v>ok</x:v>
      </x:c>
      <x:c r="J2568"/>
      <x:c r="K2568" t="n">
        <x:v>45299</x:v>
      </x:c>
      <x:c r="L2568" t="n">
        <x:v>45299</x:v>
      </x:c>
      <x:c r="M2568" t="str">
        <x:v>Gebucht</x:v>
      </x:c>
      <x:c r="N2568" t="str">
        <x:v>ISSUER</x:v>
      </x:c>
      <x:c r="O2568" t="str">
        <x:v>Prime Video .W149L5I75</x:v>
      </x:c>
      <x:c r="P2568" t="str">
        <x:v>VISA Debitkartenumsatz vom 07.01.2024</x:v>
      </x:c>
      <x:c r="Q2568" t="str">
        <x:v>Ausgang</x:v>
      </x:c>
      <x:c r="R2568" t="str">
        <x:v>DE96120300009005290904</x:v>
      </x:c>
      <x:c r="S2568" t="n">
        <x:v>-0.99</x:v>
      </x:c>
      <x:c r="T2568" t="str">
        <x:v>"</x:v>
      </x:c>
      <x:c r="U2568" t="str">
        <x:v>"</x:v>
      </x:c>
      <x:c r="V2568" t="str">
        <x:v>484007694804937</x:v>
      </x:c>
    </x:row>
    <x:row r="2569">
      <x:c r="A2569" t="str">
        <x:v>RAW-IMP-20260516-FULLDRAFT-002552</x:v>
      </x:c>
      <x:c r="B2569" t="str">
        <x:v>IMP-20260516-FULLDRAFT</x:v>
      </x:c>
      <x:c r="C2569" t="str">
        <x:v>KTO001</x:v>
      </x:c>
      <x:c r="D2569" t="str">
        <x:v>16-05-2026_Umsatzliste_Girokonto_DE98120300001061711675.csv</x:v>
      </x:c>
      <x:c r="E2569" t="n">
        <x:v>46163</x:v>
      </x:c>
      <x:c r="F2569" t="n">
        <x:v>2552</x:v>
      </x:c>
      <x:c r="G2569" t="str">
        <x:v>793cd5a4aa4575336a68045b15ad888ed1bedfe83c57b1a66f8b85f50137ac2b</x:v>
      </x:c>
      <x:c r="H2569" t="str">
        <x:v>neu</x:v>
      </x:c>
      <x:c r="I2569" t="str">
        <x:v>ok</x:v>
      </x:c>
      <x:c r="J2569"/>
      <x:c r="K2569" t="n">
        <x:v>45299</x:v>
      </x:c>
      <x:c r="L2569" t="n">
        <x:v>45299</x:v>
      </x:c>
      <x:c r="M2569" t="str">
        <x:v>Gebucht</x:v>
      </x:c>
      <x:c r="N2569" t="str">
        <x:v>ISSUER</x:v>
      </x:c>
      <x:c r="O2569" t="str">
        <x:v>Prime Video .TI8665V15</x:v>
      </x:c>
      <x:c r="P2569" t="str">
        <x:v>VISA Debitkartenumsatz vom 07.01.2024</x:v>
      </x:c>
      <x:c r="Q2569" t="str">
        <x:v>Ausgang</x:v>
      </x:c>
      <x:c r="R2569" t="str">
        <x:v>DE96120300009005290904</x:v>
      </x:c>
      <x:c r="S2569" t="n">
        <x:v>-0.99</x:v>
      </x:c>
      <x:c r="T2569" t="str">
        <x:v>"</x:v>
      </x:c>
      <x:c r="U2569" t="str">
        <x:v>"</x:v>
      </x:c>
      <x:c r="V2569" t="str">
        <x:v>484007697836438</x:v>
      </x:c>
    </x:row>
    <x:row r="2570">
      <x:c r="A2570" t="str">
        <x:v>RAW-IMP-20260516-FULLDRAFT-002553</x:v>
      </x:c>
      <x:c r="B2570" t="str">
        <x:v>IMP-20260516-FULLDRAFT</x:v>
      </x:c>
      <x:c r="C2570" t="str">
        <x:v>KTO001</x:v>
      </x:c>
      <x:c r="D2570" t="str">
        <x:v>16-05-2026_Umsatzliste_Girokonto_DE98120300001061711675.csv</x:v>
      </x:c>
      <x:c r="E2570" t="n">
        <x:v>46163</x:v>
      </x:c>
      <x:c r="F2570" t="n">
        <x:v>2553</x:v>
      </x:c>
      <x:c r="G2570" t="str">
        <x:v>70f00029ccaff865186d2b466bea4f3bbafcb8d37c61970aff84cfe6368f68c4</x:v>
      </x:c>
      <x:c r="H2570" t="str">
        <x:v>neu</x:v>
      </x:c>
      <x:c r="I2570" t="str">
        <x:v>ok</x:v>
      </x:c>
      <x:c r="J2570"/>
      <x:c r="K2570" t="n">
        <x:v>45299</x:v>
      </x:c>
      <x:c r="L2570" t="n">
        <x:v>45299</x:v>
      </x:c>
      <x:c r="M2570" t="str">
        <x:v>Gebucht</x:v>
      </x:c>
      <x:c r="N2570" t="str">
        <x:v>ISSUER</x:v>
      </x:c>
      <x:c r="O2570" t="str">
        <x:v>Prime Video .SX2IU6I95</x:v>
      </x:c>
      <x:c r="P2570" t="str">
        <x:v>VISA Debitkartenumsatz vom 07.01.2024</x:v>
      </x:c>
      <x:c r="Q2570" t="str">
        <x:v>Ausgang</x:v>
      </x:c>
      <x:c r="R2570" t="str">
        <x:v>DE96120300009005290904</x:v>
      </x:c>
      <x:c r="S2570" t="n">
        <x:v>-0.99</x:v>
      </x:c>
      <x:c r="T2570" t="str">
        <x:v>"</x:v>
      </x:c>
      <x:c r="U2570" t="str">
        <x:v>"</x:v>
      </x:c>
      <x:c r="V2570" t="str">
        <x:v>484007694577745</x:v>
      </x:c>
    </x:row>
    <x:row r="2571">
      <x:c r="A2571" t="str">
        <x:v>RAW-IMP-20260516-FULLDRAFT-002554</x:v>
      </x:c>
      <x:c r="B2571" t="str">
        <x:v>IMP-20260516-FULLDRAFT</x:v>
      </x:c>
      <x:c r="C2571" t="str">
        <x:v>KTO001</x:v>
      </x:c>
      <x:c r="D2571" t="str">
        <x:v>16-05-2026_Umsatzliste_Girokonto_DE98120300001061711675.csv</x:v>
      </x:c>
      <x:c r="E2571" t="n">
        <x:v>46163</x:v>
      </x:c>
      <x:c r="F2571" t="n">
        <x:v>2554</x:v>
      </x:c>
      <x:c r="G2571" t="str">
        <x:v>0a917b8e064f368cf1569d732b6c252de45f7e20be3d533462de6ee7cf351111</x:v>
      </x:c>
      <x:c r="H2571" t="str">
        <x:v>neu</x:v>
      </x:c>
      <x:c r="I2571" t="str">
        <x:v>ok</x:v>
      </x:c>
      <x:c r="J2571"/>
      <x:c r="K2571" t="n">
        <x:v>45299</x:v>
      </x:c>
      <x:c r="L2571" t="n">
        <x:v>45299</x:v>
      </x:c>
      <x:c r="M2571" t="str">
        <x:v>Gebucht</x:v>
      </x:c>
      <x:c r="N2571" t="str">
        <x:v>ISSUER</x:v>
      </x:c>
      <x:c r="O2571" t="str">
        <x:v>REWE Salzgitter.Ge</x:v>
      </x:c>
      <x:c r="P2571" t="str">
        <x:v>VISA Debitkartenumsatz vom 06.01.2024</x:v>
      </x:c>
      <x:c r="Q2571" t="str">
        <x:v>Ausgang</x:v>
      </x:c>
      <x:c r="R2571" t="str">
        <x:v>DE96120300009005290904</x:v>
      </x:c>
      <x:c r="S2571" t="n">
        <x:v>-13.73</x:v>
      </x:c>
      <x:c r="T2571" t="str">
        <x:v>"</x:v>
      </x:c>
      <x:c r="U2571" t="str">
        <x:v>"</x:v>
      </x:c>
      <x:c r="V2571" t="str">
        <x:v>484006323643558</x:v>
      </x:c>
    </x:row>
    <x:row r="2572">
      <x:c r="A2572" t="str">
        <x:v>RAW-IMP-20260516-FULLDRAFT-002555</x:v>
      </x:c>
      <x:c r="B2572" t="str">
        <x:v>IMP-20260516-FULLDRAFT</x:v>
      </x:c>
      <x:c r="C2572" t="str">
        <x:v>KTO001</x:v>
      </x:c>
      <x:c r="D2572" t="str">
        <x:v>16-05-2026_Umsatzliste_Girokonto_DE98120300001061711675.csv</x:v>
      </x:c>
      <x:c r="E2572" t="n">
        <x:v>46163</x:v>
      </x:c>
      <x:c r="F2572" t="n">
        <x:v>2555</x:v>
      </x:c>
      <x:c r="G2572" t="str">
        <x:v>5579f2d6bcb816f8328c3d5a27aebbcdb487244fc004db7bedd240c6e0c68dca</x:v>
      </x:c>
      <x:c r="H2572" t="str">
        <x:v>neu</x:v>
      </x:c>
      <x:c r="I2572" t="str">
        <x:v>ok</x:v>
      </x:c>
      <x:c r="J2572"/>
      <x:c r="K2572" t="n">
        <x:v>45299</x:v>
      </x:c>
      <x:c r="L2572" t="n">
        <x:v>45299</x:v>
      </x:c>
      <x:c r="M2572" t="str">
        <x:v>Gebucht</x:v>
      </x:c>
      <x:c r="N2572" t="str">
        <x:v>ISSUER</x:v>
      </x:c>
      <x:c r="O2572" t="str">
        <x:v>REWE Salzgitter.Ge</x:v>
      </x:c>
      <x:c r="P2572" t="str">
        <x:v>VISA Debitkartenumsatz vom 05.01.2024</x:v>
      </x:c>
      <x:c r="Q2572" t="str">
        <x:v>Ausgang</x:v>
      </x:c>
      <x:c r="R2572" t="str">
        <x:v>DE96120300009005290904</x:v>
      </x:c>
      <x:c r="S2572" t="n">
        <x:v>-7.9</x:v>
      </x:c>
      <x:c r="T2572" t="str">
        <x:v>"</x:v>
      </x:c>
      <x:c r="U2572" t="str">
        <x:v>"</x:v>
      </x:c>
      <x:c r="V2572" t="str">
        <x:v>484005634889949</x:v>
      </x:c>
    </x:row>
    <x:row r="2573">
      <x:c r="A2573" t="str">
        <x:v>RAW-IMP-20260516-FULLDRAFT-002556</x:v>
      </x:c>
      <x:c r="B2573" t="str">
        <x:v>IMP-20260516-FULLDRAFT</x:v>
      </x:c>
      <x:c r="C2573" t="str">
        <x:v>KTO001</x:v>
      </x:c>
      <x:c r="D2573" t="str">
        <x:v>16-05-2026_Umsatzliste_Girokonto_DE98120300001061711675.csv</x:v>
      </x:c>
      <x:c r="E2573" t="n">
        <x:v>46163</x:v>
      </x:c>
      <x:c r="F2573" t="n">
        <x:v>2556</x:v>
      </x:c>
      <x:c r="G2573" t="str">
        <x:v>b5686ea09da4e4ecce0dd8ff4eff2bd40f9a89b5ae7a36ed99d0386560d8a0a5</x:v>
      </x:c>
      <x:c r="H2573" t="str">
        <x:v>neu</x:v>
      </x:c>
      <x:c r="I2573" t="str">
        <x:v>ok</x:v>
      </x:c>
      <x:c r="J2573"/>
      <x:c r="K2573" t="n">
        <x:v>45299</x:v>
      </x:c>
      <x:c r="L2573" t="n">
        <x:v>45299</x:v>
      </x:c>
      <x:c r="M2573" t="str">
        <x:v>Gebucht</x:v>
      </x:c>
      <x:c r="N2573" t="str">
        <x:v>ISSUER</x:v>
      </x:c>
      <x:c r="O2573" t="str">
        <x:v>SP ZUBEHOERKISTE24</x:v>
      </x:c>
      <x:c r="P2573" t="str">
        <x:v>VISA Debitkartenumsatz vom 06.01.2024</x:v>
      </x:c>
      <x:c r="Q2573" t="str">
        <x:v>Ausgang</x:v>
      </x:c>
      <x:c r="R2573" t="str">
        <x:v>DE96120300009005290904</x:v>
      </x:c>
      <x:c r="S2573" t="n">
        <x:v>-34.99</x:v>
      </x:c>
      <x:c r="T2573" t="str">
        <x:v>"</x:v>
      </x:c>
      <x:c r="U2573" t="str">
        <x:v>"</x:v>
      </x:c>
      <x:c r="V2573" t="str">
        <x:v>484006380749524</x:v>
      </x:c>
    </x:row>
    <x:row r="2574">
      <x:c r="A2574" t="str">
        <x:v>RAW-IMP-20260516-FULLDRAFT-002557</x:v>
      </x:c>
      <x:c r="B2574" t="str">
        <x:v>IMP-20260516-FULLDRAFT</x:v>
      </x:c>
      <x:c r="C2574" t="str">
        <x:v>KTO001</x:v>
      </x:c>
      <x:c r="D2574" t="str">
        <x:v>16-05-2026_Umsatzliste_Girokonto_DE98120300001061711675.csv</x:v>
      </x:c>
      <x:c r="E2574" t="n">
        <x:v>46163</x:v>
      </x:c>
      <x:c r="F2574" t="n">
        <x:v>2557</x:v>
      </x:c>
      <x:c r="G2574" t="str">
        <x:v>2f1f9d8e825ae13dbedabcafb917ebbf2bcfbbb5f833b8ff66cbb5df11955de2</x:v>
      </x:c>
      <x:c r="H2574" t="str">
        <x:v>neu</x:v>
      </x:c>
      <x:c r="I2574" t="str">
        <x:v>ok</x:v>
      </x:c>
      <x:c r="J2574"/>
      <x:c r="K2574" t="n">
        <x:v>45299</x:v>
      </x:c>
      <x:c r="L2574" t="n">
        <x:v>45299</x:v>
      </x:c>
      <x:c r="M2574" t="str">
        <x:v>Gebucht</x:v>
      </x:c>
      <x:c r="N2574" t="str">
        <x:v>Lars Kohlenberg</x:v>
      </x:c>
      <x:c r="O2574" t="str">
        <x:v>Iman Firat</x:v>
      </x:c>
      <x:c r="P2574" t="str">
        <x:v>2230 Lea Kohlenberg</x:v>
      </x:c>
      <x:c r="Q2574" t="str">
        <x:v>Ausgang</x:v>
      </x:c>
      <x:c r="R2574" t="str">
        <x:v>DE67269910662694298000</x:v>
      </x:c>
      <x:c r="S2574" t="n">
        <x:v>-49.9</x:v>
      </x:c>
      <x:c r="T2574" t="str">
        <x:v>"</x:v>
      </x:c>
      <x:c r="U2574" t="str">
        <x:v>"</x:v>
      </x:c>
      <x:c r="V2574" t="str">
        <x:v>"</x:v>
      </x:c>
    </x:row>
    <x:row r="2575">
      <x:c r="A2575" t="str">
        <x:v>RAW-IMP-20260516-FULLDRAFT-002558</x:v>
      </x:c>
      <x:c r="B2575" t="str">
        <x:v>IMP-20260516-FULLDRAFT</x:v>
      </x:c>
      <x:c r="C2575" t="str">
        <x:v>KTO001</x:v>
      </x:c>
      <x:c r="D2575" t="str">
        <x:v>16-05-2026_Umsatzliste_Girokonto_DE98120300001061711675.csv</x:v>
      </x:c>
      <x:c r="E2575" t="n">
        <x:v>46163</x:v>
      </x:c>
      <x:c r="F2575" t="n">
        <x:v>2558</x:v>
      </x:c>
      <x:c r="G2575" t="str">
        <x:v>9a22a2c74e6b58e9177ecc1a48686c69ecc3216cf5ba461e441a085649c99222</x:v>
      </x:c>
      <x:c r="H2575" t="str">
        <x:v>neu</x:v>
      </x:c>
      <x:c r="I2575" t="str">
        <x:v>ok</x:v>
      </x:c>
      <x:c r="J2575"/>
      <x:c r="K2575" t="n">
        <x:v>45296</x:v>
      </x:c>
      <x:c r="L2575" t="n">
        <x:v>45296</x:v>
      </x:c>
      <x:c r="M2575" t="str">
        <x:v>Gebucht</x:v>
      </x:c>
      <x:c r="N2575" t="str">
        <x:v>ISSUER</x:v>
      </x:c>
      <x:c r="O2575" t="str">
        <x:v>REWE Salzgitter.Ge</x:v>
      </x:c>
      <x:c r="P2575" t="str">
        <x:v>VISA Debitkartenumsatz</x:v>
      </x:c>
      <x:c r="Q2575" t="str">
        <x:v>Ausgang</x:v>
      </x:c>
      <x:c r="R2575" t="str">
        <x:v>DE96120300009005290904</x:v>
      </x:c>
      <x:c r="S2575" t="n">
        <x:v>-15.76</x:v>
      </x:c>
      <x:c r="T2575" t="str">
        <x:v>"</x:v>
      </x:c>
      <x:c r="U2575" t="str">
        <x:v>"</x:v>
      </x:c>
      <x:c r="V2575" t="str">
        <x:v>484004652446980</x:v>
      </x:c>
    </x:row>
    <x:row r="2576">
      <x:c r="A2576" t="str">
        <x:v>RAW-IMP-20260516-FULLDRAFT-002559</x:v>
      </x:c>
      <x:c r="B2576" t="str">
        <x:v>IMP-20260516-FULLDRAFT</x:v>
      </x:c>
      <x:c r="C2576" t="str">
        <x:v>KTO001</x:v>
      </x:c>
      <x:c r="D2576" t="str">
        <x:v>16-05-2026_Umsatzliste_Girokonto_DE98120300001061711675.csv</x:v>
      </x:c>
      <x:c r="E2576" t="n">
        <x:v>46163</x:v>
      </x:c>
      <x:c r="F2576" t="n">
        <x:v>2559</x:v>
      </x:c>
      <x:c r="G2576" t="str">
        <x:v>db541528dc9ef826efad40481f129602ec41efd3bb1e143ba26762c487cf3885</x:v>
      </x:c>
      <x:c r="H2576" t="str">
        <x:v>neu</x:v>
      </x:c>
      <x:c r="I2576" t="str">
        <x:v>ok</x:v>
      </x:c>
      <x:c r="J2576"/>
      <x:c r="K2576" t="n">
        <x:v>45296</x:v>
      </x:c>
      <x:c r="L2576" t="n">
        <x:v>45296</x:v>
      </x:c>
      <x:c r="M2576" t="str">
        <x:v>Gebucht</x:v>
      </x:c>
      <x:c r="N2576" t="str">
        <x:v>Lars Kohlenberg                                                       Johannes-Wosnitza-Str. 8 38229 Salzgitter DE</x:v>
      </x:c>
      <x:c r="O2576" t="str">
        <x:v>Telekom Deutschland GmbH                                              Landgrabenweg 151 53227 Bonn DE</x:v>
      </x:c>
      <x:c r="P2576" t="str">
        <x:v>Festnetz Vertragskonto 4763666565 RG 7512293219/22.12.2023</x:v>
      </x:c>
      <x:c r="Q2576" t="str">
        <x:v>Ausgang</x:v>
      </x:c>
      <x:c r="R2576" t="str">
        <x:v>DE75370800400232113001</x:v>
      </x:c>
      <x:c r="S2576" t="n">
        <x:v>-61.94</x:v>
      </x:c>
      <x:c r="T2576" t="str">
        <x:v>DE93ZZZ00000078611</x:v>
      </x:c>
      <x:c r="U2576" t="str">
        <x:v>DE000201000200000000000000012966156</x:v>
      </x:c>
      <x:c r="V2576" t="str">
        <x:v>Zahlbeleg 306317341304</x:v>
      </x:c>
    </x:row>
    <x:row r="2577">
      <x:c r="A2577" t="str">
        <x:v>RAW-IMP-20260516-FULLDRAFT-002560</x:v>
      </x:c>
      <x:c r="B2577" t="str">
        <x:v>IMP-20260516-FULLDRAFT</x:v>
      </x:c>
      <x:c r="C2577" t="str">
        <x:v>KTO001</x:v>
      </x:c>
      <x:c r="D2577" t="str">
        <x:v>16-05-2026_Umsatzliste_Girokonto_DE98120300001061711675.csv</x:v>
      </x:c>
      <x:c r="E2577" t="n">
        <x:v>46163</x:v>
      </x:c>
      <x:c r="F2577" t="n">
        <x:v>2560</x:v>
      </x:c>
      <x:c r="G2577" t="str">
        <x:v>c6e1eb2e1a192ede44fdf57bf62b6b82a4955341fb34203c525a7bb5ce56120e</x:v>
      </x:c>
      <x:c r="H2577" t="str">
        <x:v>neu</x:v>
      </x:c>
      <x:c r="I2577" t="str">
        <x:v>ok</x:v>
      </x:c>
      <x:c r="J2577"/>
      <x:c r="K2577" t="n">
        <x:v>45295</x:v>
      </x:c>
      <x:c r="L2577" t="n">
        <x:v>45295</x:v>
      </x:c>
      <x:c r="M2577" t="str">
        <x:v>Gebucht</x:v>
      </x:c>
      <x:c r="N2577" t="str">
        <x:v>ISSUER</x:v>
      </x:c>
      <x:c r="O2577" t="str">
        <x:v>ALDI SAGT DANKE</x:v>
      </x:c>
      <x:c r="P2577" t="str">
        <x:v>VISA Debitkartenumsatz</x:v>
      </x:c>
      <x:c r="Q2577" t="str">
        <x:v>Ausgang</x:v>
      </x:c>
      <x:c r="R2577" t="str">
        <x:v>DE96120300009005290904</x:v>
      </x:c>
      <x:c r="S2577" t="n">
        <x:v>-4.99</x:v>
      </x:c>
      <x:c r="T2577" t="str">
        <x:v>"</x:v>
      </x:c>
      <x:c r="U2577" t="str">
        <x:v>"</x:v>
      </x:c>
      <x:c r="V2577" t="str">
        <x:v>484003386899898</x:v>
      </x:c>
    </x:row>
    <x:row r="2578">
      <x:c r="A2578" t="str">
        <x:v>RAW-IMP-20260516-FULLDRAFT-002561</x:v>
      </x:c>
      <x:c r="B2578" t="str">
        <x:v>IMP-20260516-FULLDRAFT</x:v>
      </x:c>
      <x:c r="C2578" t="str">
        <x:v>KTO001</x:v>
      </x:c>
      <x:c r="D2578" t="str">
        <x:v>16-05-2026_Umsatzliste_Girokonto_DE98120300001061711675.csv</x:v>
      </x:c>
      <x:c r="E2578" t="n">
        <x:v>46163</x:v>
      </x:c>
      <x:c r="F2578" t="n">
        <x:v>2561</x:v>
      </x:c>
      <x:c r="G2578" t="str">
        <x:v>6b85ec6005df83658eaa8bd4d42c9f7ec9dc3c4f7e4832bff410e8b6c4978458</x:v>
      </x:c>
      <x:c r="H2578" t="str">
        <x:v>neu</x:v>
      </x:c>
      <x:c r="I2578" t="str">
        <x:v>ok</x:v>
      </x:c>
      <x:c r="J2578"/>
      <x:c r="K2578" t="n">
        <x:v>45295</x:v>
      </x:c>
      <x:c r="L2578" t="n">
        <x:v>45295</x:v>
      </x:c>
      <x:c r="M2578" t="str">
        <x:v>Gebucht</x:v>
      </x:c>
      <x:c r="N2578" t="str">
        <x:v>ISSUER</x:v>
      </x:c>
      <x:c r="O2578" t="str">
        <x:v>APPLE.COM.BILL</x:v>
      </x:c>
      <x:c r="P2578" t="str">
        <x:v>VISA Debitkartenumsatz</x:v>
      </x:c>
      <x:c r="Q2578" t="str">
        <x:v>Ausgang</x:v>
      </x:c>
      <x:c r="R2578" t="str">
        <x:v>DE96120300009005290904</x:v>
      </x:c>
      <x:c r="S2578" t="n">
        <x:v>-0.99</x:v>
      </x:c>
      <x:c r="T2578" t="str">
        <x:v>"</x:v>
      </x:c>
      <x:c r="U2578" t="str">
        <x:v>"</x:v>
      </x:c>
      <x:c r="V2578" t="str">
        <x:v>484003119040513</x:v>
      </x:c>
    </x:row>
    <x:row r="2579">
      <x:c r="A2579" t="str">
        <x:v>RAW-IMP-20260516-FULLDRAFT-002562</x:v>
      </x:c>
      <x:c r="B2579" t="str">
        <x:v>IMP-20260516-FULLDRAFT</x:v>
      </x:c>
      <x:c r="C2579" t="str">
        <x:v>KTO001</x:v>
      </x:c>
      <x:c r="D2579" t="str">
        <x:v>16-05-2026_Umsatzliste_Girokonto_DE98120300001061711675.csv</x:v>
      </x:c>
      <x:c r="E2579" t="n">
        <x:v>46163</x:v>
      </x:c>
      <x:c r="F2579" t="n">
        <x:v>2562</x:v>
      </x:c>
      <x:c r="G2579" t="str">
        <x:v>3fb46dca8163eef4612936669fcc898dd206d16107b58b8d7d8494529d79fdb5</x:v>
      </x:c>
      <x:c r="H2579" t="str">
        <x:v>neu</x:v>
      </x:c>
      <x:c r="I2579" t="str">
        <x:v>ok</x:v>
      </x:c>
      <x:c r="J2579"/>
      <x:c r="K2579" t="n">
        <x:v>45294</x:v>
      </x:c>
      <x:c r="L2579" t="n">
        <x:v>45294</x:v>
      </x:c>
      <x:c r="M2579" t="str">
        <x:v>Gebucht</x:v>
      </x:c>
      <x:c r="N2579" t="str">
        <x:v>ISSUER</x:v>
      </x:c>
      <x:c r="O2579" t="str">
        <x:v>Hagebaumarkt Salzgitter</x:v>
      </x:c>
      <x:c r="P2579" t="str">
        <x:v>VISA Debitkartenumsatz</x:v>
      </x:c>
      <x:c r="Q2579" t="str">
        <x:v>Ausgang</x:v>
      </x:c>
      <x:c r="R2579" t="str">
        <x:v>DE96120300009005290904</x:v>
      </x:c>
      <x:c r="S2579" t="n">
        <x:v>-13.99</x:v>
      </x:c>
      <x:c r="T2579" t="str">
        <x:v>"</x:v>
      </x:c>
      <x:c r="U2579" t="str">
        <x:v>"</x:v>
      </x:c>
      <x:c r="V2579" t="str">
        <x:v>484002632543975</x:v>
      </x:c>
    </x:row>
    <x:row r="2580">
      <x:c r="A2580" t="str">
        <x:v>RAW-IMP-20260516-FULLDRAFT-002563</x:v>
      </x:c>
      <x:c r="B2580" t="str">
        <x:v>IMP-20260516-FULLDRAFT</x:v>
      </x:c>
      <x:c r="C2580" t="str">
        <x:v>KTO001</x:v>
      </x:c>
      <x:c r="D2580" t="str">
        <x:v>16-05-2026_Umsatzliste_Girokonto_DE98120300001061711675.csv</x:v>
      </x:c>
      <x:c r="E2580" t="n">
        <x:v>46163</x:v>
      </x:c>
      <x:c r="F2580" t="n">
        <x:v>2563</x:v>
      </x:c>
      <x:c r="G2580" t="str">
        <x:v>ebbc7cfba54aa7d330304d213e365fb18198a3d0bb60d368b96fef90ccf7c3fe</x:v>
      </x:c>
      <x:c r="H2580" t="str">
        <x:v>neu</x:v>
      </x:c>
      <x:c r="I2580" t="str">
        <x:v>ok</x:v>
      </x:c>
      <x:c r="J2580"/>
      <x:c r="K2580" t="n">
        <x:v>45294</x:v>
      </x:c>
      <x:c r="L2580" t="n">
        <x:v>45294</x:v>
      </x:c>
      <x:c r="M2580" t="str">
        <x:v>Gebucht</x:v>
      </x:c>
      <x:c r="N2580" t="str">
        <x:v>KOHLENBERG, LARS</x:v>
      </x:c>
      <x:c r="O2580" t="str">
        <x:v>VPV-LEBENSVERSICHERUNGS-AG</x:v>
      </x:c>
      <x:c r="P2580" t="str">
        <x:v>VNR 301667726</x:v>
      </x:c>
      <x:c r="Q2580" t="str">
        <x:v>Ausgang</x:v>
      </x:c>
      <x:c r="R2580" t="str">
        <x:v>DE78600501010001166338</x:v>
      </x:c>
      <x:c r="S2580" t="n">
        <x:v>-51.54</x:v>
      </x:c>
      <x:c r="T2580" t="str">
        <x:v>DE96LAG00000064686</x:v>
      </x:c>
      <x:c r="U2580" t="str">
        <x:v>ML700120510</x:v>
      </x:c>
      <x:c r="V2580" t="str">
        <x:v>240102 443202905 ML700120510</x:v>
      </x:c>
    </x:row>
    <x:row r="2581">
      <x:c r="A2581" t="str">
        <x:v>RAW-IMP-20260516-FULLDRAFT-002564</x:v>
      </x:c>
      <x:c r="B2581" t="str">
        <x:v>IMP-20260516-FULLDRAFT</x:v>
      </x:c>
      <x:c r="C2581" t="str">
        <x:v>KTO001</x:v>
      </x:c>
      <x:c r="D2581" t="str">
        <x:v>16-05-2026_Umsatzliste_Girokonto_DE98120300001061711675.csv</x:v>
      </x:c>
      <x:c r="E2581" t="n">
        <x:v>46163</x:v>
      </x:c>
      <x:c r="F2581" t="n">
        <x:v>2564</x:v>
      </x:c>
      <x:c r="G2581" t="str">
        <x:v>cf958cdb3e1e16463e5c02a69d896df9d590cc151a4b6b45186bdc7728b81882</x:v>
      </x:c>
      <x:c r="H2581" t="str">
        <x:v>neu</x:v>
      </x:c>
      <x:c r="I2581" t="str">
        <x:v>ok</x:v>
      </x:c>
      <x:c r="J2581"/>
      <x:c r="K2581" t="n">
        <x:v>45294</x:v>
      </x:c>
      <x:c r="L2581" t="n">
        <x:v>45294</x:v>
      </x:c>
      <x:c r="M2581" t="str">
        <x:v>Gebucht</x:v>
      </x:c>
      <x:c r="N2581" t="str">
        <x:v>Lars Kohlenberg                                                       Johannes-Wosnitza-Str. 8</x:v>
      </x:c>
      <x:c r="O2581" t="str">
        <x:v>FUNKE Medien Nieders.GmbH</x:v>
      </x:c>
      <x:c r="P2581" t="str">
        <x:v>SZ/00001050/VA/01.01.24-31.01.24/Rg-Nr.:6315240338/Kd-Nr:0053112791/Steuer:3.57</x:v>
      </x:c>
      <x:c r="Q2581" t="str">
        <x:v>Ausgang</x:v>
      </x:c>
      <x:c r="R2581" t="str">
        <x:v>DE67250500000000146910</x:v>
      </x:c>
      <x:c r="S2581" t="n">
        <x:v>-54.5</x:v>
      </x:c>
      <x:c r="T2581" t="str">
        <x:v>DE8850000000483288</x:v>
      </x:c>
      <x:c r="U2581" t="str">
        <x:v>0053112791-0500-01300001</x:v>
      </x:c>
      <x:c r="V2581" t="str">
        <x:v>034005597531</x:v>
      </x:c>
    </x:row>
    <x:row r="2582">
      <x:c r="A2582" t="str">
        <x:v>RAW-IMP-20260516-FULLDRAFT-002565</x:v>
      </x:c>
      <x:c r="B2582" t="str">
        <x:v>IMP-20260516-FULLDRAFT</x:v>
      </x:c>
      <x:c r="C2582" t="str">
        <x:v>KTO001</x:v>
      </x:c>
      <x:c r="D2582" t="str">
        <x:v>16-05-2026_Umsatzliste_Girokonto_DE98120300001061711675.csv</x:v>
      </x:c>
      <x:c r="E2582" t="n">
        <x:v>46163</x:v>
      </x:c>
      <x:c r="F2582" t="n">
        <x:v>2565</x:v>
      </x:c>
      <x:c r="G2582" t="str">
        <x:v>709bf82455f8f33d37e1e22253c744bbef5d626a7ed846b83f0d141f07c8ad36</x:v>
      </x:c>
      <x:c r="H2582" t="str">
        <x:v>neu</x:v>
      </x:c>
      <x:c r="I2582" t="str">
        <x:v>ok</x:v>
      </x:c>
      <x:c r="J2582"/>
      <x:c r="K2582" t="n">
        <x:v>45293</x:v>
      </x:c>
      <x:c r="L2582" t="n">
        <x:v>45293</x:v>
      </x:c>
      <x:c r="M2582" t="str">
        <x:v>Gebucht</x:v>
      </x:c>
      <x:c r="N2582" t="str">
        <x:v>WILLI KOHLENBERG</x:v>
      </x:c>
      <x:c r="O2582" t="str">
        <x:v>LARS KOHLENBERG</x:v>
      </x:c>
      <x:c r="P2582" t="str">
        <x:v>MIETE 2/3 HAUS</x:v>
      </x:c>
      <x:c r="Q2582" t="str">
        <x:v>Eingang</x:v>
      </x:c>
      <x:c r="R2582" t="str">
        <x:v>DE84270800600651520400</x:v>
      </x:c>
      <x:c r="S2582" t="n">
        <x:v>750</x:v>
      </x:c>
      <x:c r="T2582" t="str">
        <x:v>"</x:v>
      </x:c>
      <x:c r="U2582" t="str">
        <x:v>"</x:v>
      </x:c>
      <x:c r="V2582" t="str">
        <x:v>"</x:v>
      </x:c>
    </x:row>
    <x:row r="2583">
      <x:c r="A2583" t="str">
        <x:v>RAW-IMP-20260516-FULLDRAFT-002566</x:v>
      </x:c>
      <x:c r="B2583" t="str">
        <x:v>IMP-20260516-FULLDRAFT</x:v>
      </x:c>
      <x:c r="C2583" t="str">
        <x:v>KTO001</x:v>
      </x:c>
      <x:c r="D2583" t="str">
        <x:v>16-05-2026_Umsatzliste_Girokonto_DE98120300001061711675.csv</x:v>
      </x:c>
      <x:c r="E2583" t="n">
        <x:v>46163</x:v>
      </x:c>
      <x:c r="F2583" t="n">
        <x:v>2566</x:v>
      </x:c>
      <x:c r="G2583" t="str">
        <x:v>b4c8a2dc487ec5b63bde71b215c7fbd437e70759c30bfaa1679739b4a7992e5a</x:v>
      </x:c>
      <x:c r="H2583" t="str">
        <x:v>neu</x:v>
      </x:c>
      <x:c r="I2583" t="str">
        <x:v>ok</x:v>
      </x:c>
      <x:c r="J2583"/>
      <x:c r="K2583" t="n">
        <x:v>45293</x:v>
      </x:c>
      <x:c r="L2583" t="n">
        <x:v>45293</x:v>
      </x:c>
      <x:c r="M2583" t="str">
        <x:v>Gebucht</x:v>
      </x:c>
      <x:c r="N2583" t="str">
        <x:v>ISSUER</x:v>
      </x:c>
      <x:c r="O2583" t="str">
        <x:v>KAUFLAND SALZGITTER CIT</x:v>
      </x:c>
      <x:c r="P2583" t="str">
        <x:v>VISA Debitkartenumsatz</x:v>
      </x:c>
      <x:c r="Q2583" t="str">
        <x:v>Ausgang</x:v>
      </x:c>
      <x:c r="R2583" t="str">
        <x:v>DE96120300009005290904</x:v>
      </x:c>
      <x:c r="S2583" t="n">
        <x:v>-31.9</x:v>
      </x:c>
      <x:c r="T2583" t="str">
        <x:v>"</x:v>
      </x:c>
      <x:c r="U2583" t="str">
        <x:v>"</x:v>
      </x:c>
      <x:c r="V2583" t="str">
        <x:v>483363719507621</x:v>
      </x:c>
    </x:row>
    <x:row r="2584">
      <x:c r="A2584" t="str">
        <x:v>RAW-IMP-20260516-FULLDRAFT-002567</x:v>
      </x:c>
      <x:c r="B2584" t="str">
        <x:v>IMP-20260516-FULLDRAFT</x:v>
      </x:c>
      <x:c r="C2584" t="str">
        <x:v>KTO001</x:v>
      </x:c>
      <x:c r="D2584" t="str">
        <x:v>16-05-2026_Umsatzliste_Girokonto_DE98120300001061711675.csv</x:v>
      </x:c>
      <x:c r="E2584" t="n">
        <x:v>46163</x:v>
      </x:c>
      <x:c r="F2584" t="n">
        <x:v>2567</x:v>
      </x:c>
      <x:c r="G2584" t="str">
        <x:v>b814e93c22bdb54f1c0a89e9c808c2cc81fd38db20b300b21fcaf153cabf53a4</x:v>
      </x:c>
      <x:c r="H2584" t="str">
        <x:v>neu</x:v>
      </x:c>
      <x:c r="I2584" t="str">
        <x:v>ok</x:v>
      </x:c>
      <x:c r="J2584"/>
      <x:c r="K2584" t="n">
        <x:v>45293</x:v>
      </x:c>
      <x:c r="L2584" t="n">
        <x:v>45293</x:v>
      </x:c>
      <x:c r="M2584" t="str">
        <x:v>Gebucht</x:v>
      </x:c>
      <x:c r="N2584" t="str">
        <x:v>ISSUER</x:v>
      </x:c>
      <x:c r="O2584" t="str">
        <x:v>REWE Salzgitter.Ge</x:v>
      </x:c>
      <x:c r="P2584" t="str">
        <x:v>VISA Debitkartenumsatz</x:v>
      </x:c>
      <x:c r="Q2584" t="str">
        <x:v>Ausgang</x:v>
      </x:c>
      <x:c r="R2584" t="str">
        <x:v>DE96120300009005290904</x:v>
      </x:c>
      <x:c r="S2584" t="n">
        <x:v>-3.13</x:v>
      </x:c>
      <x:c r="T2584" t="str">
        <x:v>"</x:v>
      </x:c>
      <x:c r="U2584" t="str">
        <x:v>"</x:v>
      </x:c>
      <x:c r="V2584" t="str">
        <x:v>483364598921614</x:v>
      </x:c>
    </x:row>
    <x:row r="2585">
      <x:c r="A2585" t="str">
        <x:v>RAW-IMP-20260516-FULLDRAFT-002568</x:v>
      </x:c>
      <x:c r="B2585" t="str">
        <x:v>IMP-20260516-FULLDRAFT</x:v>
      </x:c>
      <x:c r="C2585" t="str">
        <x:v>KTO001</x:v>
      </x:c>
      <x:c r="D2585" t="str">
        <x:v>16-05-2026_Umsatzliste_Girokonto_DE98120300001061711675.csv</x:v>
      </x:c>
      <x:c r="E2585" t="n">
        <x:v>46163</x:v>
      </x:c>
      <x:c r="F2585" t="n">
        <x:v>2568</x:v>
      </x:c>
      <x:c r="G2585" t="str">
        <x:v>bfde0bbf457fdbe24be26421af298b17ce2f5edb56971ed3c5b840498b789b5a</x:v>
      </x:c>
      <x:c r="H2585" t="str">
        <x:v>neu</x:v>
      </x:c>
      <x:c r="I2585" t="str">
        <x:v>ok</x:v>
      </x:c>
      <x:c r="J2585"/>
      <x:c r="K2585" t="n">
        <x:v>45293</x:v>
      </x:c>
      <x:c r="L2585" t="n">
        <x:v>45293</x:v>
      </x:c>
      <x:c r="M2585" t="str">
        <x:v>Gebucht</x:v>
      </x:c>
      <x:c r="N2585" t="str">
        <x:v>ISSUER</x:v>
      </x:c>
      <x:c r="O2585" t="str">
        <x:v>BOSPORUS GRILL</x:v>
      </x:c>
      <x:c r="P2585" t="str">
        <x:v>VISA Debitkartenumsatz</x:v>
      </x:c>
      <x:c r="Q2585" t="str">
        <x:v>Ausgang</x:v>
      </x:c>
      <x:c r="R2585" t="str">
        <x:v>DE96120300009005290904</x:v>
      </x:c>
      <x:c r="S2585" t="n">
        <x:v>-21.5</x:v>
      </x:c>
      <x:c r="T2585" t="str">
        <x:v>"</x:v>
      </x:c>
      <x:c r="U2585" t="str">
        <x:v>"</x:v>
      </x:c>
      <x:c r="V2585" t="str">
        <x:v>483364610923872</x:v>
      </x:c>
    </x:row>
    <x:row r="2586">
      <x:c r="A2586" t="str">
        <x:v>RAW-IMP-20260516-FULLDRAFT-002569</x:v>
      </x:c>
      <x:c r="B2586" t="str">
        <x:v>IMP-20260516-FULLDRAFT</x:v>
      </x:c>
      <x:c r="C2586" t="str">
        <x:v>KTO001</x:v>
      </x:c>
      <x:c r="D2586" t="str">
        <x:v>16-05-2026_Umsatzliste_Girokonto_DE98120300001061711675.csv</x:v>
      </x:c>
      <x:c r="E2586" t="n">
        <x:v>46163</x:v>
      </x:c>
      <x:c r="F2586" t="n">
        <x:v>2569</x:v>
      </x:c>
      <x:c r="G2586" t="str">
        <x:v>823a5285114e4c5d22929735242eaa922730058fe5f9edfc295d871671000664</x:v>
      </x:c>
      <x:c r="H2586" t="str">
        <x:v>neu</x:v>
      </x:c>
      <x:c r="I2586" t="str">
        <x:v>ok</x:v>
      </x:c>
      <x:c r="J2586"/>
      <x:c r="K2586" t="n">
        <x:v>45293</x:v>
      </x:c>
      <x:c r="L2586" t="n">
        <x:v>45293</x:v>
      </x:c>
      <x:c r="M2586" t="str">
        <x:v>Gebucht</x:v>
      </x:c>
      <x:c r="N2586" t="str">
        <x:v>LARS KOHLENBERG</x:v>
      </x:c>
      <x:c r="O2586" t="str">
        <x:v>Gothaer Kranken- versicherung Aktiengesellschaft</x:v>
      </x:c>
      <x:c r="P2586" t="str">
        <x:v>98.000.055668 ABBUCHUNG AM 02.01.2024 KV 197,68+</x:v>
      </x:c>
      <x:c r="Q2586" t="str">
        <x:v>Ausgang</x:v>
      </x:c>
      <x:c r="R2586" t="str">
        <x:v>DE08370100500079144506</x:v>
      </x:c>
      <x:c r="S2586" t="n">
        <x:v>-197.68</x:v>
      </x:c>
      <x:c r="T2586" t="str">
        <x:v>DE52ZZZ00000070522</x:v>
      </x:c>
      <x:c r="U2586" t="str">
        <x:v>205411613</x:v>
      </x:c>
      <x:c r="V2586" t="str">
        <x:v>S2023121601001094807</x:v>
      </x:c>
    </x:row>
    <x:row r="2587">
      <x:c r="A2587" t="str">
        <x:v>RAW-IMP-20260516-FULLDRAFT-002570</x:v>
      </x:c>
      <x:c r="B2587" t="str">
        <x:v>IMP-20260516-FULLDRAFT</x:v>
      </x:c>
      <x:c r="C2587" t="str">
        <x:v>KTO001</x:v>
      </x:c>
      <x:c r="D2587" t="str">
        <x:v>16-05-2026_Umsatzliste_Girokonto_DE98120300001061711675.csv</x:v>
      </x:c>
      <x:c r="E2587" t="n">
        <x:v>46163</x:v>
      </x:c>
      <x:c r="F2587" t="n">
        <x:v>2570</x:v>
      </x:c>
      <x:c r="G2587" t="str">
        <x:v>2e0461cb9b839fdc276a789e65341a33d2a7121f5a962832d44d20a183a4df87</x:v>
      </x:c>
      <x:c r="H2587" t="str">
        <x:v>neu</x:v>
      </x:c>
      <x:c r="I2587" t="str">
        <x:v>ok</x:v>
      </x:c>
      <x:c r="J2587"/>
      <x:c r="K2587" t="n">
        <x:v>45293</x:v>
      </x:c>
      <x:c r="L2587" t="n">
        <x:v>45293</x:v>
      </x:c>
      <x:c r="M2587" t="str">
        <x:v>Gebucht</x:v>
      </x:c>
      <x:c r="N2587" t="str">
        <x:v>Lars Kohlenberg                                                       Johannes-Wosnitza-Str. 8 38229 Salzgitter</x:v>
      </x:c>
      <x:c r="O2587" t="str">
        <x:v>Heidelberger Lebensversicherung AG                                    Im Breitspiel 2-4, 69126 Heidelberg</x:v>
      </x:c>
      <x:c r="P2587" t="str">
        <x:v>60012826 , 01.24</x:v>
      </x:c>
      <x:c r="Q2587" t="str">
        <x:v>Ausgang</x:v>
      </x:c>
      <x:c r="R2587" t="str">
        <x:v>DE38600501010002662604</x:v>
      </x:c>
      <x:c r="S2587" t="n">
        <x:v>-452.71</x:v>
      </x:c>
      <x:c r="T2587" t="str">
        <x:v>DE31HLE00000032682</x:v>
      </x:c>
      <x:c r="U2587" t="str">
        <x:v>11-140000075706</x:v>
      </x:c>
      <x:c r="V2587" t="str">
        <x:v>150040216721</x:v>
      </x:c>
    </x:row>
    <x:row r="2588">
      <x:c r="A2588" t="str">
        <x:v>RAW-IMP-20260516-FULLDRAFT-002571</x:v>
      </x:c>
      <x:c r="B2588" t="str">
        <x:v>IMP-20260516-FULLDRAFT</x:v>
      </x:c>
      <x:c r="C2588" t="str">
        <x:v>KTO001</x:v>
      </x:c>
      <x:c r="D2588" t="str">
        <x:v>16-05-2026_Umsatzliste_Girokonto_DE98120300001061711675.csv</x:v>
      </x:c>
      <x:c r="E2588" t="n">
        <x:v>46163</x:v>
      </x:c>
      <x:c r="F2588" t="n">
        <x:v>2571</x:v>
      </x:c>
      <x:c r="G2588" t="str">
        <x:v>07f1b4fc7f9b1c625e45608cc17bef4d2e921cf1878068cac7107c74337fffa2</x:v>
      </x:c>
      <x:c r="H2588" t="str">
        <x:v>neu</x:v>
      </x:c>
      <x:c r="I2588" t="str">
        <x:v>ok</x:v>
      </x:c>
      <x:c r="J2588"/>
      <x:c r="K2588" t="n">
        <x:v>45293</x:v>
      </x:c>
      <x:c r="L2588" t="n">
        <x:v>45293</x:v>
      </x:c>
      <x:c r="M2588" t="str">
        <x:v>Gebucht</x:v>
      </x:c>
      <x:c r="N2588" t="str">
        <x:v>KOHLENBERG LARS</x:v>
      </x:c>
      <x:c r="O2588" t="str">
        <x:v>VOLKSWOHL BUND Lebensversicherung a.G.</x:v>
      </x:c>
      <x:c r="P2588" t="str">
        <x:v>009893595 LA000750566/ 009893595 LEBEN 66,15</x:v>
      </x:c>
      <x:c r="Q2588" t="str">
        <x:v>Ausgang</x:v>
      </x:c>
      <x:c r="R2588" t="str">
        <x:v>DE76440400370361155500</x:v>
      </x:c>
      <x:c r="S2588" t="n">
        <x:v>-66.15</x:v>
      </x:c>
      <x:c r="T2588" t="str">
        <x:v>DE13ZZZ00000141064</x:v>
      </x:c>
      <x:c r="U2588" t="str">
        <x:v>LA000750566</x:v>
      </x:c>
      <x:c r="V2588" t="str">
        <x:v>009893595/NVMA.G1060-354413</x:v>
      </x:c>
    </x:row>
    <x:row r="2589">
      <x:c r="A2589" t="str">
        <x:v>RAW-IMP-20260516-FULLDRAFT-002572</x:v>
      </x:c>
      <x:c r="B2589" t="str">
        <x:v>IMP-20260516-FULLDRAFT</x:v>
      </x:c>
      <x:c r="C2589" t="str">
        <x:v>KTO001</x:v>
      </x:c>
      <x:c r="D2589" t="str">
        <x:v>16-05-2026_Umsatzliste_Girokonto_DE98120300001061711675.csv</x:v>
      </x:c>
      <x:c r="E2589" t="n">
        <x:v>46163</x:v>
      </x:c>
      <x:c r="F2589" t="n">
        <x:v>2572</x:v>
      </x:c>
      <x:c r="G2589" t="str">
        <x:v>b63adc5ac21a3ec416725d872d669d0b10039fbd1d5e7e8487b0465efdbbc4b5</x:v>
      </x:c>
      <x:c r="H2589" t="str">
        <x:v>neu</x:v>
      </x:c>
      <x:c r="I2589" t="str">
        <x:v>ok</x:v>
      </x:c>
      <x:c r="J2589"/>
      <x:c r="K2589" t="n">
        <x:v>45293</x:v>
      </x:c>
      <x:c r="L2589" t="n">
        <x:v>45293</x:v>
      </x:c>
      <x:c r="M2589" t="str">
        <x:v>Gebucht</x:v>
      </x:c>
      <x:c r="N2589" t="str">
        <x:v>Kohlenberg, Katrin</x:v>
      </x:c>
      <x:c r="O2589" t="str">
        <x:v>WEVG Salzgitter GmbH + Co. KG</x:v>
      </x:c>
      <x:c r="P2589" t="str">
        <x:v>Kd-Nr 79288 Einz 30.12.23 41710/360.99/Johannes-Wosni 100833/73.00/Johannes-Wosni</x:v>
      </x:c>
      <x:c r="Q2589" t="str">
        <x:v>Ausgang</x:v>
      </x:c>
      <x:c r="R2589" t="str">
        <x:v>DE19300700100394127500</x:v>
      </x:c>
      <x:c r="S2589" t="n">
        <x:v>-433.99</x:v>
      </x:c>
      <x:c r="T2589" t="str">
        <x:v>DE83WEV00000032716</x:v>
      </x:c>
      <x:c r="U2589" t="str">
        <x:v>WEVG0000079288G1000178580</x:v>
      </x:c>
      <x:c r="V2589" t="str">
        <x:v>12685382</x:v>
      </x:c>
    </x:row>
    <x:row r="2590">
      <x:c r="A2590" t="str">
        <x:v>RAW-IMP-20260516-FULLDRAFT-002573</x:v>
      </x:c>
      <x:c r="B2590" t="str">
        <x:v>IMP-20260516-FULLDRAFT</x:v>
      </x:c>
      <x:c r="C2590" t="str">
        <x:v>KTO001</x:v>
      </x:c>
      <x:c r="D2590" t="str">
        <x:v>16-05-2026_Umsatzliste_Girokonto_DE98120300001061711675.csv</x:v>
      </x:c>
      <x:c r="E2590" t="n">
        <x:v>46163</x:v>
      </x:c>
      <x:c r="F2590" t="n">
        <x:v>2573</x:v>
      </x:c>
      <x:c r="G2590" t="str">
        <x:v>465c0027503102bbd13329df06da76f4d03bec5906e89b2d55272f6e6ceebe8b</x:v>
      </x:c>
      <x:c r="H2590" t="str">
        <x:v>neu</x:v>
      </x:c>
      <x:c r="I2590" t="str">
        <x:v>ok</x:v>
      </x:c>
      <x:c r="J2590"/>
      <x:c r="K2590" t="n">
        <x:v>45293</x:v>
      </x:c>
      <x:c r="L2590" t="n">
        <x:v>45293</x:v>
      </x:c>
      <x:c r="M2590" t="str">
        <x:v>Gebucht</x:v>
      </x:c>
      <x:c r="N2590" t="str">
        <x:v>Kohlenberg, Lars</x:v>
      </x:c>
      <x:c r="O2590" t="str">
        <x:v>IDEAL Lebensversicherung aG</x:v>
      </x:c>
      <x:c r="P2590" t="str">
        <x:v>2011216280009 LV 011</x:v>
      </x:c>
      <x:c r="Q2590" t="str">
        <x:v>Ausgang</x:v>
      </x:c>
      <x:c r="R2590" t="str">
        <x:v>DE36100700000460303100</x:v>
      </x:c>
      <x:c r="S2590" t="n">
        <x:v>-97.12</x:v>
      </x:c>
      <x:c r="T2590" t="str">
        <x:v>DE40ZZZ00000559230</x:v>
      </x:c>
      <x:c r="U2590" t="str">
        <x:v>2011216280009-001</x:v>
      </x:c>
      <x:c r="V2590" t="str">
        <x:v>GL,KL,PD-20240101-1-2011216280009-0</x:v>
      </x:c>
    </x:row>
    <x:row r="2591">
      <x:c r="A2591" t="str">
        <x:v>RAW-IMP-20260516-FULLDRAFT-002574</x:v>
      </x:c>
      <x:c r="B2591" t="str">
        <x:v>IMP-20260516-FULLDRAFT</x:v>
      </x:c>
      <x:c r="C2591" t="str">
        <x:v>KTO001</x:v>
      </x:c>
      <x:c r="D2591" t="str">
        <x:v>16-05-2026_Umsatzliste_Girokonto_DE98120300001061711675.csv</x:v>
      </x:c>
      <x:c r="E2591" t="n">
        <x:v>46163</x:v>
      </x:c>
      <x:c r="F2591" t="n">
        <x:v>2574</x:v>
      </x:c>
      <x:c r="G2591" t="str">
        <x:v>e13aa1dc390620359d8df3cf9583760e893b6d00f23c635e0cc9bf1f1d0e1845</x:v>
      </x:c>
      <x:c r="H2591" t="str">
        <x:v>neu</x:v>
      </x:c>
      <x:c r="I2591" t="str">
        <x:v>ok</x:v>
      </x:c>
      <x:c r="J2591"/>
      <x:c r="K2591" t="n">
        <x:v>45293</x:v>
      </x:c>
      <x:c r="L2591" t="n">
        <x:v>45293</x:v>
      </x:c>
      <x:c r="M2591" t="str">
        <x:v>Gebucht</x:v>
      </x:c>
      <x:c r="N2591" t="str">
        <x:v>Kohlenberg Lars</x:v>
      </x:c>
      <x:c r="O2591" t="str">
        <x:v>Allianz Lebensvers. AG</x:v>
      </x:c>
      <x:c r="P2591" t="str">
        <x:v>330296196 0124</x:v>
      </x:c>
      <x:c r="Q2591" t="str">
        <x:v>Ausgang</x:v>
      </x:c>
      <x:c r="R2591" t="str">
        <x:v>DE77700202700062328142</x:v>
      </x:c>
      <x:c r="S2591" t="n">
        <x:v>-162.17</x:v>
      </x:c>
      <x:c r="T2591" t="str">
        <x:v>DE07ZZZ00000063475</x:v>
      </x:c>
      <x:c r="U2591" t="str">
        <x:v>LA01L312001066775296</x:v>
      </x:c>
      <x:c r="V2591" t="str">
        <x:v>A7023356-000330296196025355426591</x:v>
      </x:c>
    </x:row>
    <x:row r="2592">
      <x:c r="A2592" t="str">
        <x:v>RAW-IMP-20260516-FULLDRAFT-002575</x:v>
      </x:c>
      <x:c r="B2592" t="str">
        <x:v>IMP-20260516-FULLDRAFT</x:v>
      </x:c>
      <x:c r="C2592" t="str">
        <x:v>KTO001</x:v>
      </x:c>
      <x:c r="D2592" t="str">
        <x:v>16-05-2026_Umsatzliste_Girokonto_DE98120300001061711675.csv</x:v>
      </x:c>
      <x:c r="E2592" t="n">
        <x:v>46163</x:v>
      </x:c>
      <x:c r="F2592" t="n">
        <x:v>2575</x:v>
      </x:c>
      <x:c r="G2592" t="str">
        <x:v>65983fc0424f676ae0cd372b3bbcbb9be2bdc060be94d9c947f9e5726541c949</x:v>
      </x:c>
      <x:c r="H2592" t="str">
        <x:v>neu</x:v>
      </x:c>
      <x:c r="I2592" t="str">
        <x:v>ok</x:v>
      </x:c>
      <x:c r="J2592"/>
      <x:c r="K2592" t="n">
        <x:v>45293</x:v>
      </x:c>
      <x:c r="L2592" t="n">
        <x:v>45293</x:v>
      </x:c>
      <x:c r="M2592" t="str">
        <x:v>Gebucht</x:v>
      </x:c>
      <x:c r="N2592" t="str">
        <x:v>KOHLENBERG, LARS</x:v>
      </x:c>
      <x:c r="O2592" t="str">
        <x:v>Lars und Katrin Kohlenberg</x:v>
      </x:c>
      <x:c r="P2592" t="str">
        <x:v>9791673 VERMOEGENSDEPOT SPARPLAN WKN A0NDDA</x:v>
      </x:c>
      <x:c r="Q2592" t="str">
        <x:v>Ausgang</x:v>
      </x:c>
      <x:c r="R2592" t="str">
        <x:v>DE27672300000506966162</x:v>
      </x:c>
      <x:c r="S2592" t="n">
        <x:v>-400</x:v>
      </x:c>
      <x:c r="T2592" t="str">
        <x:v>DE53ZZZ00000010849</x:v>
      </x:c>
      <x:c r="U2592" t="str">
        <x:v>WPBF0000180845</x:v>
      </x:c>
      <x:c r="V2592" t="str">
        <x:v>SPARSP 13581852</x:v>
      </x:c>
    </x:row>
    <x:row r="2593">
      <x:c r="A2593" t="str">
        <x:v>RAW-IMP-20260516-FULLDRAFT-002576</x:v>
      </x:c>
      <x:c r="B2593" t="str">
        <x:v>IMP-20260516-FULLDRAFT</x:v>
      </x:c>
      <x:c r="C2593" t="str">
        <x:v>KTO001</x:v>
      </x:c>
      <x:c r="D2593" t="str">
        <x:v>16-05-2026_Umsatzliste_Girokonto_DE98120300001061711675.csv</x:v>
      </x:c>
      <x:c r="E2593" t="n">
        <x:v>46163</x:v>
      </x:c>
      <x:c r="F2593" t="n">
        <x:v>2576</x:v>
      </x:c>
      <x:c r="G2593" t="str">
        <x:v>8b82a70f385d37dbcaffc37300f4fe2044d71272ee7586c778a5cfc6bc2922e7</x:v>
      </x:c>
      <x:c r="H2593" t="str">
        <x:v>neu</x:v>
      </x:c>
      <x:c r="I2593" t="str">
        <x:v>ok</x:v>
      </x:c>
      <x:c r="J2593"/>
      <x:c r="K2593" t="n">
        <x:v>45293</x:v>
      </x:c>
      <x:c r="L2593" t="n">
        <x:v>45293</x:v>
      </x:c>
      <x:c r="M2593" t="str">
        <x:v>Gebucht</x:v>
      </x:c>
      <x:c r="N2593" t="str">
        <x:v>Lars Kohlenberg</x:v>
      </x:c>
      <x:c r="O2593" t="str">
        <x:v>KATRIN KOHLENBERG</x:v>
      </x:c>
      <x:c r="P2593" t="str">
        <x:v>Apanage</x:v>
      </x:c>
      <x:c r="Q2593" t="str">
        <x:v>Ausgang</x:v>
      </x:c>
      <x:c r="R2593" t="str">
        <x:v>DE32270727240307336800</x:v>
      </x:c>
      <x:c r="S2593" t="n">
        <x:v>-1800</x:v>
      </x:c>
      <x:c r="T2593" t="str">
        <x:v>"</x:v>
      </x:c>
      <x:c r="U2593" t="str">
        <x:v>"</x:v>
      </x:c>
      <x:c r="V2593" t="str">
        <x:v>"</x:v>
      </x:c>
    </x:row>
    <x:row r="2594">
      <x:c r="A2594" t="str">
        <x:v>RAW-IMP-20260516-FULLDRAFT-002577</x:v>
      </x:c>
      <x:c r="B2594" t="str">
        <x:v>IMP-20260516-FULLDRAFT</x:v>
      </x:c>
      <x:c r="C2594" t="str">
        <x:v>KTO001</x:v>
      </x:c>
      <x:c r="D2594" t="str">
        <x:v>16-05-2026_Umsatzliste_Girokonto_DE98120300001061711675.csv</x:v>
      </x:c>
      <x:c r="E2594" t="n">
        <x:v>46163</x:v>
      </x:c>
      <x:c r="F2594" t="n">
        <x:v>2577</x:v>
      </x:c>
      <x:c r="G2594" t="str">
        <x:v>42c0f8dc18c9d307bb386edcb034a5445dc8e79f828d964240f126a3e6f8429b</x:v>
      </x:c>
      <x:c r="H2594" t="str">
        <x:v>neu</x:v>
      </x:c>
      <x:c r="I2594" t="str">
        <x:v>ok</x:v>
      </x:c>
      <x:c r="J2594"/>
      <x:c r="K2594" t="n">
        <x:v>45293</x:v>
      </x:c>
      <x:c r="L2594" t="n">
        <x:v>45293</x:v>
      </x:c>
      <x:c r="M2594" t="str">
        <x:v>Gebucht</x:v>
      </x:c>
      <x:c r="N2594" t="str">
        <x:v>Lars Kohlenberg</x:v>
      </x:c>
      <x:c r="O2594" t="str">
        <x:v>LARS KOHLENBERG</x:v>
      </x:c>
      <x:c r="P2594" t="str">
        <x:v>Sparrate 650,- + 750 EUR Mieteinnahmen</x:v>
      </x:c>
      <x:c r="Q2594" t="str">
        <x:v>Ausgang</x:v>
      </x:c>
      <x:c r="R2594" t="str">
        <x:v>DE91270200001510365800</x:v>
      </x:c>
      <x:c r="S2594" t="n">
        <x:v>-1400</x:v>
      </x:c>
      <x:c r="T2594" t="str">
        <x:v>"</x:v>
      </x:c>
      <x:c r="U2594" t="str">
        <x:v>"</x:v>
      </x:c>
      <x:c r="V2594" t="str">
        <x:v>"</x:v>
      </x:c>
    </x:row>
    <x:row r="2595">
      <x:c r="A2595" t="str">
        <x:v>RAW-IMP-20260516-FULLDRAFT-002578</x:v>
      </x:c>
      <x:c r="B2595" t="str">
        <x:v>IMP-20260516-FULLDRAFT</x:v>
      </x:c>
      <x:c r="C2595" t="str">
        <x:v>KTO001</x:v>
      </x:c>
      <x:c r="D2595" t="str">
        <x:v>16-05-2026_Umsatzliste_Girokonto_DE98120300001061711675.csv</x:v>
      </x:c>
      <x:c r="E2595" t="n">
        <x:v>46163</x:v>
      </x:c>
      <x:c r="F2595" t="n">
        <x:v>2578</x:v>
      </x:c>
      <x:c r="G2595" t="str">
        <x:v>009b7fe40e2f6290c818b9124db4f96bba229ffbec175097cf455b1418af34ae</x:v>
      </x:c>
      <x:c r="H2595" t="str">
        <x:v>neu</x:v>
      </x:c>
      <x:c r="I2595" t="str">
        <x:v>ok</x:v>
      </x:c>
      <x:c r="J2595"/>
      <x:c r="K2595" t="n">
        <x:v>45293</x:v>
      </x:c>
      <x:c r="L2595" t="n">
        <x:v>45293</x:v>
      </x:c>
      <x:c r="M2595" t="str">
        <x:v>Gebucht</x:v>
      </x:c>
      <x:c r="N2595" t="str">
        <x:v>Lars Kohlenberg</x:v>
      </x:c>
      <x:c r="O2595" t="str">
        <x:v>LARS KOHLENBERG</x:v>
      </x:c>
      <x:c r="P2595" t="str">
        <x:v>Zins und Tilgung zu 2/3</x:v>
      </x:c>
      <x:c r="Q2595" t="str">
        <x:v>Ausgang</x:v>
      </x:c>
      <x:c r="R2595" t="str">
        <x:v>DE33269910668923736000</x:v>
      </x:c>
      <x:c r="S2595" t="n">
        <x:v>-1153.94</x:v>
      </x:c>
      <x:c r="T2595" t="str">
        <x:v>"</x:v>
      </x:c>
      <x:c r="U2595" t="str">
        <x:v>"</x:v>
      </x:c>
      <x:c r="V2595" t="str">
        <x:v>"</x:v>
      </x:c>
    </x:row>
  </x:sheetData>
  <x:mergeCells>
    <x:mergeCell ref="A1:H1"/>
    <x:mergeCell ref="A4:P4"/>
    <x:mergeCell ref="A5:P5"/>
    <x:mergeCell ref="A10:V10"/>
    <x:mergeCell ref="A11:V11"/>
  </x:mergeCells>
  <x:dataValidations count="1">
    <x:dataValidation type="list" allowBlank="1" showDropDown="0" sqref="N7:N57">
      <x:formula1>"offen,belegt,geprueft,geschaetzt,inaktiv"</x:formula1>
    </x:dataValidation>
  </x:dataValidations>
  <x:pageMargins left="0.7" right="0.7" top="0.75" bottom="0.75" header="0.3" footer="0.3"/>
  <x:tableParts count="2">
    <x:tablePart xmlns:r="http://schemas.openxmlformats.org/officeDocument/2006/relationships" r:id="R413bc8b7ff2e4451"/>
    <x:tablePart xmlns:r="http://schemas.openxmlformats.org/officeDocument/2006/relationships" r:id="Ra337aadbb13240a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4.109999656677246" hidden="0" customWidth="1"/>
    <x:col min="4" max="4" width="14.109999656677246" hidden="0" customWidth="1"/>
    <x:col min="5" max="5" width="14.109999656677246" hidden="0" customWidth="1"/>
    <x:col min="6" max="6" width="14.109999656677246" hidden="0" customWidth="1"/>
    <x:col min="7" max="7" width="14.109999656677246" hidden="0" customWidth="1"/>
    <x:col min="8" max="8" width="12.880000114440918" hidden="0" customWidth="1"/>
    <x:col min="9" max="9" width="27.610000610351562" hidden="0" customWidth="1"/>
    <x:col min="10" max="10" width="12.880000114440918" hidden="0" customWidth="1"/>
    <x:col min="11" max="11" width="14.109999656677246" hidden="0" customWidth="1"/>
    <x:col min="12" max="12" width="12.880000114440918" hidden="0" customWidth="1"/>
    <x:col min="13" max="13" width="14.109999656677246" hidden="0" customWidth="1"/>
    <x:col min="14" max="14" width="12.880000114440918" hidden="0" customWidth="1"/>
    <x:col min="15" max="15" width="12.880000114440918" hidden="0" customWidth="1"/>
    <x:col min="16" max="16" width="12.880000114440918" hidden="0" customWidth="1"/>
    <x:col min="17" max="17" width="12.880000114440918" hidden="0" customWidth="1"/>
    <x:col min="18" max="18" width="12.880000114440918" hidden="0" customWidth="1"/>
    <x:col min="19" max="19" width="12.880000114440918" hidden="0" customWidth="1"/>
    <x:col min="20" max="20" width="14.109999656677246" hidden="0" customWidth="1"/>
    <x:col min="21" max="21" width="14.109999656677246" hidden="0" customWidth="1"/>
    <x:col min="22" max="22" width="12.880000114440918" hidden="0" customWidth="1"/>
    <x:col min="23" max="23" width="12.880000114440918" hidden="0" customWidth="1"/>
    <x:col min="24" max="24" width="14.109999656677246" hidden="0" customWidth="1"/>
    <x:col min="25" max="25" width="27.610000610351562" hidden="0" customWidth="1"/>
  </x:cols>
  <x:sheetData>
    <x:row r="1" ht="25.5" customHeight="1">
      <x:c r="A1" s="28" t="str">
        <x:v>11_Umsaetze_Modell</x:v>
      </x:c>
      <x:c r="B1" s="28"/>
      <x:c r="C1" s="28"/>
      <x:c r="D1" s="28"/>
      <x:c r="E1" s="28"/>
      <x:c r="F1" s="28"/>
      <x:c r="G1" s="28"/>
      <x:c r="H1" s="28"/>
    </x:row>
    <x:row r="2" ht="61.5" customHeight="1">
      <x:c r="A2" s="48" t="str">
        <x:v>Zweck</x:v>
      </x:c>
      <x:c r="B2" s="43" t="str">
        <x:v>Vorschlagsgetriebene Transferregeln, noch k...</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Transferregeln</x:v>
      </x:c>
      <x:c r="B4" s="54"/>
      <x:c r="C4" s="54"/>
      <x:c r="D4" s="54"/>
      <x:c r="E4" s="54"/>
      <x:c r="F4" s="54"/>
      <x:c r="G4" s="54"/>
      <x:c r="H4" s="54"/>
      <x:c r="I4" s="54"/>
      <x:c r="J4" s="54"/>
      <x:c r="K4" s="54"/>
      <x:c r="L4" s="54"/>
      <x:c r="M4" s="54"/>
      <x:c r="N4" s="54"/>
      <x:c r="O4" s="54"/>
      <x:c r="P4" s="54"/>
      <x:c r="Q4" s="54"/>
      <x:c r="R4" s="54"/>
    </x:row>
    <x:row r="5">
      <x:c r="A5" s="56" t="str">
        <x:v>PK: Transfer_Regel_ID | Update: nur_durch_angenommenen_vorschlag | ID: TRF</x:v>
      </x:c>
      <x:c r="B5" s="56"/>
      <x:c r="C5" s="56"/>
      <x:c r="D5" s="56"/>
      <x:c r="E5" s="56"/>
      <x:c r="F5" s="56"/>
      <x:c r="G5" s="56"/>
      <x:c r="H5" s="56"/>
      <x:c r="I5" s="56"/>
      <x:c r="J5" s="56"/>
      <x:c r="K5" s="56"/>
      <x:c r="L5" s="56"/>
      <x:c r="M5" s="56"/>
      <x:c r="N5" s="56"/>
      <x:c r="O5" s="56"/>
      <x:c r="P5" s="56"/>
      <x:c r="Q5" s="56"/>
      <x:c r="R5" s="56"/>
    </x:row>
    <x:row r="6" ht="25.5" customHeight="1">
      <x:c r="A6" s="21" t="str">
        <x:v>Transfer_Regel_ID</x:v>
      </x:c>
      <x:c r="B6" s="21" t="str">
        <x:v>Name</x:v>
      </x:c>
      <x:c r="C6" s="21" t="str">
        <x:v>Aktiv</x:v>
      </x:c>
      <x:c r="D6" s="21" t="str">
        <x:v>Prioritaet</x:v>
      </x:c>
      <x:c r="E6" s="21" t="str">
        <x:v>Konto_ID</x:v>
      </x:c>
      <x:c r="F6" s="21" t="str">
        <x:v>Zielkonto_ID</x:v>
      </x:c>
      <x:c r="G6" s="21" t="str">
        <x:v>Gegenpartei_Muster</x:v>
      </x:c>
      <x:c r="H6" s="21" t="str">
        <x:v>IBAN_Muster</x:v>
      </x:c>
      <x:c r="I6" s="21" t="str">
        <x:v>Verwendungszweck_Muster</x:v>
      </x:c>
      <x:c r="J6" s="21" t="str">
        <x:v>Betrag_Min</x:v>
      </x:c>
      <x:c r="K6" s="21" t="str">
        <x:v>Betrag_Max</x:v>
      </x:c>
      <x:c r="L6" s="21" t="str">
        <x:v>Datums_Toleranz_Tage</x:v>
      </x:c>
      <x:c r="M6" s="21" t="str">
        <x:v>Transfer_Typ</x:v>
      </x:c>
      <x:c r="N6" s="21" t="str">
        <x:v>Vorgeschlagene_Cashflow_Wirkung</x:v>
      </x:c>
      <x:c r="O6" s="21" t="str">
        <x:v>Lebenshaltung_Relevant_Vorschlag</x:v>
      </x:c>
      <x:c r="P6" s="21" t="str">
        <x:v>Status</x:v>
      </x:c>
      <x:c r="Q6" s="21" t="str">
        <x:v>auto_person_id</x:v>
      </x:c>
      <x:c r="R6" s="21" t="str">
        <x:v>Kommentar</x:v>
      </x:c>
    </x:row>
    <x:row r="7">
      <x:c r="A7" s="18" t="str">
        <x:v>TRF-20260521-001</x:v>
      </x:c>
      <x:c r="B7" s="18" t="str">
        <x:v>Interner Transfer Kandidat</x:v>
      </x:c>
      <x:c r="C7" s="63" t="b">
        <x:v>0</x:v>
      </x:c>
      <x:c r="D7" s="18" t="n">
        <x:v>10</x:v>
      </x:c>
      <x:c r="E7" s="18" t="str">
        <x:v>KTO001</x:v>
      </x:c>
      <x:c r="F7" s="18" t="str"/>
      <x:c r="G7" s="18" t="str"/>
      <x:c r="H7" s="18" t="str"/>
      <x:c r="I7" s="18" t="str"/>
      <x:c r="J7" s="66" t="str"/>
      <x:c r="K7" s="66" t="str"/>
      <x:c r="L7" s="57" t="n">
        <x:v>3</x:v>
      </x:c>
      <x:c r="M7" s="18" t="str">
        <x:v>unklar</x:v>
      </x:c>
      <x:c r="N7" s="18" t="str">
        <x:v>neutral</x:v>
      </x:c>
      <x:c r="O7" s="63" t="b">
        <x:v>0</x:v>
      </x:c>
      <x:c r="P7" s="18" t="str">
        <x:v>offen</x:v>
      </x:c>
      <x:c r="Q7" s="18" t="str"/>
      <x:c r="R7" s="18" t="str">
        <x:v>Nur Vorschlag; nicht produktiv angewendet</x:v>
      </x:c>
    </x:row>
    <x:row r="8">
      <x:c r="J8" s="67"/>
      <x:c r="K8" s="67"/>
      <x:c r="L8" s="58"/>
    </x:row>
    <x:row r="10">
      <x:c r="A10" s="54" t="str">
        <x:v>Modellumsaetze</x:v>
      </x:c>
      <x:c r="B10" s="54"/>
      <x:c r="C10" s="54"/>
      <x:c r="D10" s="54"/>
      <x:c r="E10" s="54"/>
      <x:c r="F10" s="54"/>
      <x:c r="G10" s="54"/>
      <x:c r="H10" s="54"/>
      <x:c r="I10" s="54"/>
      <x:c r="J10" s="54"/>
      <x:c r="K10" s="54"/>
      <x:c r="L10" s="54"/>
      <x:c r="M10" s="54"/>
      <x:c r="N10" s="54"/>
      <x:c r="O10" s="54"/>
      <x:c r="P10" s="54"/>
      <x:c r="Q10" s="54"/>
      <x:c r="R10" s="54"/>
      <x:c r="S10" s="54"/>
      <x:c r="T10" s="54"/>
      <x:c r="U10" s="54"/>
      <x:c r="V10" s="54"/>
      <x:c r="W10" s="54"/>
      <x:c r="X10" s="54"/>
      <x:c r="Y10" s="54"/>
    </x:row>
    <x:row r="11">
      <x:c r="A11" s="56" t="str">
        <x:v>PK: Transaktion_ID | Update: parser_vorschlag_manuell | ID: TXN</x:v>
      </x:c>
      <x:c r="B11" s="56"/>
      <x:c r="C11" s="56"/>
      <x:c r="D11" s="56"/>
      <x:c r="E11" s="56"/>
      <x:c r="F11" s="56"/>
      <x:c r="G11" s="56"/>
      <x:c r="H11" s="56"/>
      <x:c r="I11" s="56"/>
      <x:c r="J11" s="56"/>
      <x:c r="K11" s="56"/>
      <x:c r="L11" s="56"/>
      <x:c r="M11" s="56"/>
      <x:c r="N11" s="56"/>
      <x:c r="O11" s="56"/>
      <x:c r="P11" s="56"/>
      <x:c r="Q11" s="56"/>
      <x:c r="R11" s="56"/>
      <x:c r="S11" s="56"/>
      <x:c r="T11" s="56"/>
      <x:c r="U11" s="56"/>
      <x:c r="V11" s="56"/>
      <x:c r="W11" s="56"/>
      <x:c r="X11" s="56"/>
      <x:c r="Y11" s="56"/>
    </x:row>
    <x:row r="12" ht="25.5" customHeight="1">
      <x:c r="A12" s="21" t="str">
        <x:v>Transaktion_ID</x:v>
      </x:c>
      <x:c r="B12" s="21" t="str">
        <x:v>Rohumsatz_ID</x:v>
      </x:c>
      <x:c r="C12" s="21" t="str">
        <x:v>Konto_ID</x:v>
      </x:c>
      <x:c r="D12" s="21" t="str">
        <x:v>Zielkonto_ID</x:v>
      </x:c>
      <x:c r="E12" s="21" t="str">
        <x:v>Kategorie_ID</x:v>
      </x:c>
      <x:c r="F12" s="21" t="str">
        <x:v>Person_ID</x:v>
      </x:c>
      <x:c r="G12" s="21" t="str">
        <x:v>Regel_ID</x:v>
      </x:c>
      <x:c r="H12" s="21" t="str">
        <x:v>Regel_Match_Status</x:v>
      </x:c>
      <x:c r="I12" s="21" t="str">
        <x:v>Regel_Match_Hinweis</x:v>
      </x:c>
      <x:c r="J12" s="21" t="str">
        <x:v>Erwartetes_Zahldatum</x:v>
      </x:c>
      <x:c r="K12" s="21" t="str">
        <x:v>Betragsabweichung</x:v>
      </x:c>
      <x:c r="L12" s="21" t="str">
        <x:v>Tage_Abweichung</x:v>
      </x:c>
      <x:c r="M12" s="21" t="str">
        <x:v>Betrag</x:v>
      </x:c>
      <x:c r="N12" s="21" t="str">
        <x:v>Buchungsmonat</x:v>
      </x:c>
      <x:c r="O12" s="21" t="str">
        <x:v>Cashflow_Wirkung</x:v>
      </x:c>
      <x:c r="P12" s="21" t="str">
        <x:v>Szenario_Wirkung</x:v>
      </x:c>
      <x:c r="Q12" s="21" t="str">
        <x:v>Ist_Transfer</x:v>
      </x:c>
      <x:c r="R12" s="21" t="str">
        <x:v>Transfer_Status</x:v>
      </x:c>
      <x:c r="S12" s="21" t="str">
        <x:v>Transfer_Typ</x:v>
      </x:c>
      <x:c r="T12" s="21" t="str">
        <x:v>Gegenbuchung_Transaktion_ID</x:v>
      </x:c>
      <x:c r="U12" s="21" t="str">
        <x:v>Transfer_Regel_ID</x:v>
      </x:c>
      <x:c r="V12" s="21" t="str">
        <x:v>Lebenshaltung_Relevant</x:v>
      </x:c>
      <x:c r="W12" s="21" t="str">
        <x:v>Transfer_Pruefhinweis</x:v>
      </x:c>
      <x:c r="X12" s="21" t="str">
        <x:v>Status</x:v>
      </x:c>
      <x:c r="Y12" s="21" t="str">
        <x:v>Kommentar</x:v>
      </x:c>
    </x:row>
    <x:row r="13">
      <x:c r="A13" s="18" t="str">
        <x:v>TXN-RAW-IMP-20260518-001-000001</x:v>
      </x:c>
      <x:c r="B13" s="18" t="str">
        <x:v>RAW-IMP-20260518-001-000001</x:v>
      </x:c>
      <x:c r="C13" s="18" t="str">
        <x:v>KTO001</x:v>
      </x:c>
      <x:c r="D13" s="18" t="str"/>
      <x:c r="E13" s="18" t="str">
        <x:v>KAT001</x:v>
      </x:c>
      <x:c r="F13" s="18" t="str">
        <x:v>P01</x:v>
      </x:c>
      <x:c r="G13" s="18" t="str"/>
      <x:c r="H13" s="18" t="str">
        <x:v>kein_match</x:v>
      </x:c>
      <x:c r="I13" s="18" t="str">
        <x:v>Noch keine Regelzahlung bestaetigt</x:v>
      </x:c>
      <x:c r="J13" s="57" t="n">
        <x:v>46144</x:v>
      </x:c>
      <x:c r="K13" s="66" t="str"/>
      <x:c r="L13" s="18" t="str"/>
      <x:c r="M13" s="66" t="n">
        <x:v>2500</x:v>
      </x:c>
      <x:c r="N13" s="18" t="str">
        <x:v>2026-05</x:v>
      </x:c>
      <x:c r="O13" s="18" t="str">
        <x:v>Einnahme</x:v>
      </x:c>
      <x:c r="P13" s="18" t="str">
        <x:v>Ist</x:v>
      </x:c>
      <x:c r="Q13" s="63" t="b">
        <x:v>0</x:v>
      </x:c>
      <x:c r="R13" s="18" t="str">
        <x:v>kein_transfer</x:v>
      </x:c>
      <x:c r="S13" s="18" t="str"/>
      <x:c r="T13" s="18" t="str"/>
      <x:c r="U13" s="18" t="str"/>
      <x:c r="V13" s="63" t="b">
        <x:v>1</x:v>
      </x:c>
      <x:c r="W13" s="18" t="str"/>
      <x:c r="X13" s="18" t="str">
        <x:v>offen</x:v>
      </x:c>
      <x:c r="Y13" s="18" t="str">
        <x:v>Startzuordnung, spaeter pruefen</x:v>
      </x:c>
    </x:row>
    <x:row r="14">
      <x:c r="A14" s="18" t="str">
        <x:v>TXN-RAW-IMP-20260518-001-000002</x:v>
      </x:c>
      <x:c r="B14" s="18" t="str">
        <x:v>RAW-IMP-20260518-001-000002</x:v>
      </x:c>
      <x:c r="C14" s="18" t="str">
        <x:v>KTO001</x:v>
      </x:c>
      <x:c r="D14" s="18" t="str"/>
      <x:c r="E14" s="18" t="str">
        <x:v>KAT002</x:v>
      </x:c>
      <x:c r="F14" s="18" t="str">
        <x:v>HH</x:v>
      </x:c>
      <x:c r="G14" s="18" t="str"/>
      <x:c r="H14" s="18" t="str">
        <x:v>kein_match</x:v>
      </x:c>
      <x:c r="I14" s="18" t="str">
        <x:v>Regelzahlung noch nicht bestaetigt</x:v>
      </x:c>
      <x:c r="J14" s="57" t="n">
        <x:v>46147</x:v>
      </x:c>
      <x:c r="K14" s="66" t="str"/>
      <x:c r="L14" s="18" t="str"/>
      <x:c r="M14" s="66" t="n">
        <x:v>-1200</x:v>
      </x:c>
      <x:c r="N14" s="18" t="str">
        <x:v>2026-05</x:v>
      </x:c>
      <x:c r="O14" s="18" t="str">
        <x:v>Ausgabe</x:v>
      </x:c>
      <x:c r="P14" s="18" t="str">
        <x:v>Ist</x:v>
      </x:c>
      <x:c r="Q14" s="63" t="b">
        <x:v>0</x:v>
      </x:c>
      <x:c r="R14" s="18" t="str">
        <x:v>kein_transfer</x:v>
      </x:c>
      <x:c r="S14" s="18" t="str"/>
      <x:c r="T14" s="18" t="str"/>
      <x:c r="U14" s="18" t="str"/>
      <x:c r="V14" s="63" t="b">
        <x:v>1</x:v>
      </x:c>
      <x:c r="W14" s="18" t="str"/>
      <x:c r="X14" s="18" t="str">
        <x:v>offen</x:v>
      </x:c>
      <x:c r="Y14" s="18" t="str">
        <x:v>Wohnkosten als Kandidat</x:v>
      </x:c>
    </x:row>
    <x:row r="15">
      <x:c r="A15" s="18" t="str">
        <x:v>TXN-RAW-IMP-20260518-001-000003</x:v>
      </x:c>
      <x:c r="B15" s="18" t="str">
        <x:v>RAW-IMP-20260518-001-000003</x:v>
      </x:c>
      <x:c r="C15" s="18" t="str">
        <x:v>KTO001</x:v>
      </x:c>
      <x:c r="D15" s="18" t="str"/>
      <x:c r="E15" s="18" t="str">
        <x:v>KAT003</x:v>
      </x:c>
      <x:c r="F15" s="18" t="str"/>
      <x:c r="G15" s="18" t="str"/>
      <x:c r="H15" s="18" t="str">
        <x:v>kein_match</x:v>
      </x:c>
      <x:c r="I15" s="18" t="str">
        <x:v>Person noch offen</x:v>
      </x:c>
      <x:c r="J15" s="57" t="n">
        <x:v>46150</x:v>
      </x:c>
      <x:c r="K15" s="66" t="str"/>
      <x:c r="L15" s="18" t="str"/>
      <x:c r="M15" s="66" t="n">
        <x:v>-186.42</x:v>
      </x:c>
      <x:c r="N15" s="18" t="str">
        <x:v>2026-05</x:v>
      </x:c>
      <x:c r="O15" s="18" t="str">
        <x:v>Ausgabe</x:v>
      </x:c>
      <x:c r="P15" s="18" t="str">
        <x:v>Ist</x:v>
      </x:c>
      <x:c r="Q15" s="63" t="b">
        <x:v>0</x:v>
      </x:c>
      <x:c r="R15" s="18" t="str">
        <x:v>kein_transfer</x:v>
      </x:c>
      <x:c r="S15" s="18" t="str"/>
      <x:c r="T15" s="18" t="str"/>
      <x:c r="U15" s="18" t="str"/>
      <x:c r="V15" s="63" t="b">
        <x:v>1</x:v>
      </x:c>
      <x:c r="W15" s="18" t="str"/>
      <x:c r="X15" s="18" t="str">
        <x:v>offen</x:v>
      </x:c>
      <x:c r="Y15" s="18" t="str">
        <x:v>Personenzuordnung offen</x:v>
      </x:c>
    </x:row>
    <x:row r="16">
      <x:c r="A16" s="18" t="str">
        <x:v>TXN-RAW-IMP-20260518-001-000004</x:v>
      </x:c>
      <x:c r="B16" s="18" t="str">
        <x:v>RAW-IMP-20260518-001-000004</x:v>
      </x:c>
      <x:c r="C16" s="18" t="str">
        <x:v>KTO001</x:v>
      </x:c>
      <x:c r="D16" s="18" t="str"/>
      <x:c r="E16" s="18" t="str">
        <x:v>KAT013</x:v>
      </x:c>
      <x:c r="F16" s="18" t="str"/>
      <x:c r="G16" s="18" t="str"/>
      <x:c r="H16" s="18" t="str">
        <x:v>kein_match</x:v>
      </x:c>
      <x:c r="I16" s="18" t="str">
        <x:v>Kategorie offen</x:v>
      </x:c>
      <x:c r="J16" s="57" t="n">
        <x:v>46154</x:v>
      </x:c>
      <x:c r="K16" s="66" t="str"/>
      <x:c r="L16" s="18" t="str"/>
      <x:c r="M16" s="66" t="n">
        <x:v>-74.9</x:v>
      </x:c>
      <x:c r="N16" s="18" t="str">
        <x:v>2026-05</x:v>
      </x:c>
      <x:c r="O16" s="18" t="str">
        <x:v>Ausgabe</x:v>
      </x:c>
      <x:c r="P16" s="18" t="str">
        <x:v>Ist</x:v>
      </x:c>
      <x:c r="Q16" s="63" t="b">
        <x:v>0</x:v>
      </x:c>
      <x:c r="R16" s="18" t="str">
        <x:v>unklar</x:v>
      </x:c>
      <x:c r="S16" s="18" t="str"/>
      <x:c r="T16" s="18" t="str"/>
      <x:c r="U16" s="18" t="str"/>
      <x:c r="V16" s="63" t="b">
        <x:v>1</x:v>
      </x:c>
      <x:c r="W16" s="18" t="str">
        <x:v>Offene Kategorie erzeugt Warnung</x:v>
      </x:c>
      <x:c r="X16" s="18" t="str">
        <x:v>offen</x:v>
      </x:c>
      <x:c r="Y16" s="18" t="str">
        <x:v>Thin-Slice-Beleg fuer KAT013</x:v>
      </x:c>
    </x:row>
    <x:row r="17">
      <x:c r="A17" t="str">
        <x:v>TXN-RAW-IMP-20260516-FULLDRAFT-000001</x:v>
      </x:c>
      <x:c r="B17" t="str">
        <x:v>RAW-IMP-20260516-FULLDRAFT-000001</x:v>
      </x:c>
      <x:c r="C17" t="str">
        <x:v>KTO001</x:v>
      </x:c>
      <x:c r="D17"/>
      <x:c r="E17" t="str">
        <x:v>KAT013</x:v>
      </x:c>
      <x:c r="F17"/>
      <x:c r="G17"/>
      <x:c r="H17" t="str">
        <x:v>kein_match</x:v>
      </x:c>
      <x:c r="I17" t="str">
        <x:v>Agent-Draft: keine finale Regelentscheidung</x:v>
      </x:c>
      <x:c r="J17" s="58" t="n">
        <x:v>46157</x:v>
      </x:c>
      <x:c r="K17" s="67"/>
      <x:c r="L17"/>
      <x:c r="M17" s="67" t="n">
        <x:v>-4501</x:v>
      </x:c>
      <x:c r="N17" t="str">
        <x:v>2026-05</x:v>
      </x:c>
      <x:c r="O17" t="str">
        <x:v>Ausgabe</x:v>
      </x:c>
      <x:c r="P17" t="str">
        <x:v>Ist</x:v>
      </x:c>
      <x:c r="Q17" s="59" t="b">
        <x:v>0</x:v>
      </x:c>
      <x:c r="R17" t="str">
        <x:v>unklar</x:v>
      </x:c>
      <x:c r="S17"/>
      <x:c r="T17"/>
      <x:c r="U17"/>
      <x:c r="V17" s="59" t="b">
        <x:v>1</x:v>
      </x:c>
      <x:c r="W17" t="str">
        <x:v>Transferkandidat im Draft</x:v>
      </x:c>
      <x:c r="X17" t="str">
        <x:v>offen</x:v>
      </x:c>
      <x:c r="Y17" t="str">
        <x:v>Agent-Draft; Kategorie und Person pruefen</x:v>
      </x:c>
    </x:row>
    <x:row r="18">
      <x:c r="A18" t="str">
        <x:v>TXN-RAW-IMP-20260516-FULLDRAFT-000002</x:v>
      </x:c>
      <x:c r="B18" t="str">
        <x:v>RAW-IMP-20260516-FULLDRAFT-000002</x:v>
      </x:c>
      <x:c r="C18" t="str">
        <x:v>KTO001</x:v>
      </x:c>
      <x:c r="D18"/>
      <x:c r="E18" t="str">
        <x:v>KAT013</x:v>
      </x:c>
      <x:c r="F18"/>
      <x:c r="G18"/>
      <x:c r="H18" t="str">
        <x:v>kein_match</x:v>
      </x:c>
      <x:c r="I18" t="str">
        <x:v>Agent-Draft: keine finale Regelentscheidung</x:v>
      </x:c>
      <x:c r="J18" t="n">
        <x:v>46157</x:v>
      </x:c>
      <x:c r="K18"/>
      <x:c r="L18"/>
      <x:c r="M18" t="n">
        <x:v>-8.67</x:v>
      </x:c>
      <x:c r="N18" t="str">
        <x:v>2026-05</x:v>
      </x:c>
      <x:c r="O18" t="str">
        <x:v>Ausgabe</x:v>
      </x:c>
      <x:c r="P18" t="str">
        <x:v>Ist</x:v>
      </x:c>
      <x:c r="Q18" s="59" t="b">
        <x:v>0</x:v>
      </x:c>
      <x:c r="R18" t="str">
        <x:v>kein_transfer</x:v>
      </x:c>
      <x:c r="S18"/>
      <x:c r="T18"/>
      <x:c r="U18"/>
      <x:c r="V18" s="59" t="b">
        <x:v>1</x:v>
      </x:c>
      <x:c r="W18"/>
      <x:c r="X18" t="str">
        <x:v>offen</x:v>
      </x:c>
      <x:c r="Y18" t="str">
        <x:v>Agent-Draft; Kategorie und Person pruefen</x:v>
      </x:c>
    </x:row>
    <x:row r="19">
      <x:c r="A19" t="str">
        <x:v>TXN-RAW-IMP-20260516-FULLDRAFT-000003</x:v>
      </x:c>
      <x:c r="B19" t="str">
        <x:v>RAW-IMP-20260516-FULLDRAFT-000003</x:v>
      </x:c>
      <x:c r="C19" t="str">
        <x:v>KTO001</x:v>
      </x:c>
      <x:c r="D19"/>
      <x:c r="E19" t="str">
        <x:v>KAT013</x:v>
      </x:c>
      <x:c r="F19"/>
      <x:c r="G19"/>
      <x:c r="H19" t="str">
        <x:v>kein_match</x:v>
      </x:c>
      <x:c r="I19" t="str">
        <x:v>Agent-Draft: keine finale Regelentscheidung</x:v>
      </x:c>
      <x:c r="J19" t="n">
        <x:v>46157</x:v>
      </x:c>
      <x:c r="K19"/>
      <x:c r="L19"/>
      <x:c r="M19" t="n">
        <x:v>-31.04</x:v>
      </x:c>
      <x:c r="N19" t="str">
        <x:v>2026-05</x:v>
      </x:c>
      <x:c r="O19" t="str">
        <x:v>Ausgabe</x:v>
      </x:c>
      <x:c r="P19" t="str">
        <x:v>Ist</x:v>
      </x:c>
      <x:c r="Q19" s="59" t="b">
        <x:v>0</x:v>
      </x:c>
      <x:c r="R19" t="str">
        <x:v>kein_transfer</x:v>
      </x:c>
      <x:c r="S19"/>
      <x:c r="T19"/>
      <x:c r="U19"/>
      <x:c r="V19" s="59" t="b">
        <x:v>1</x:v>
      </x:c>
      <x:c r="W19"/>
      <x:c r="X19" t="str">
        <x:v>offen</x:v>
      </x:c>
      <x:c r="Y19" t="str">
        <x:v>Agent-Draft; Kategorie und Person pruefen</x:v>
      </x:c>
    </x:row>
    <x:row r="20">
      <x:c r="A20" t="str">
        <x:v>TXN-RAW-IMP-20260516-FULLDRAFT-000004</x:v>
      </x:c>
      <x:c r="B20" t="str">
        <x:v>RAW-IMP-20260516-FULLDRAFT-000004</x:v>
      </x:c>
      <x:c r="C20" t="str">
        <x:v>KTO001</x:v>
      </x:c>
      <x:c r="D20"/>
      <x:c r="E20" t="str">
        <x:v>KAT013</x:v>
      </x:c>
      <x:c r="F20"/>
      <x:c r="G20"/>
      <x:c r="H20" t="str">
        <x:v>kein_match</x:v>
      </x:c>
      <x:c r="I20" t="str">
        <x:v>Agent-Draft: keine finale Regelentscheidung</x:v>
      </x:c>
      <x:c r="J20" t="n">
        <x:v>46157</x:v>
      </x:c>
      <x:c r="K20"/>
      <x:c r="L20"/>
      <x:c r="M20" t="n">
        <x:v>-98</x:v>
      </x:c>
      <x:c r="N20" t="str">
        <x:v>2026-05</x:v>
      </x:c>
      <x:c r="O20" t="str">
        <x:v>Ausgabe</x:v>
      </x:c>
      <x:c r="P20" t="str">
        <x:v>Ist</x:v>
      </x:c>
      <x:c r="Q20" s="59" t="b">
        <x:v>0</x:v>
      </x:c>
      <x:c r="R20" t="str">
        <x:v>kein_transfer</x:v>
      </x:c>
      <x:c r="S20"/>
      <x:c r="T20"/>
      <x:c r="U20"/>
      <x:c r="V20" s="59" t="b">
        <x:v>1</x:v>
      </x:c>
      <x:c r="W20"/>
      <x:c r="X20" t="str">
        <x:v>offen</x:v>
      </x:c>
      <x:c r="Y20" t="str">
        <x:v>Agent-Draft; Kategorie und Person pruefen</x:v>
      </x:c>
    </x:row>
    <x:row r="21">
      <x:c r="A21" t="str">
        <x:v>TXN-RAW-IMP-20260516-FULLDRAFT-000005</x:v>
      </x:c>
      <x:c r="B21" t="str">
        <x:v>RAW-IMP-20260516-FULLDRAFT-000005</x:v>
      </x:c>
      <x:c r="C21" t="str">
        <x:v>KTO001</x:v>
      </x:c>
      <x:c r="D21"/>
      <x:c r="E21" t="str">
        <x:v>KAT013</x:v>
      </x:c>
      <x:c r="F21"/>
      <x:c r="G21"/>
      <x:c r="H21" t="str">
        <x:v>kein_match</x:v>
      </x:c>
      <x:c r="I21" t="str">
        <x:v>Agent-Draft: keine finale Regelentscheidung</x:v>
      </x:c>
      <x:c r="J21" t="n">
        <x:v>46157</x:v>
      </x:c>
      <x:c r="K21"/>
      <x:c r="L21"/>
      <x:c r="M21" t="n">
        <x:v>5000</x:v>
      </x:c>
      <x:c r="N21" t="str">
        <x:v>2026-05</x:v>
      </x:c>
      <x:c r="O21" t="str">
        <x:v>Einnahme</x:v>
      </x:c>
      <x:c r="P21" t="str">
        <x:v>Ist</x:v>
      </x:c>
      <x:c r="Q21" s="59" t="b">
        <x:v>0</x:v>
      </x:c>
      <x:c r="R21" t="str">
        <x:v>unklar</x:v>
      </x:c>
      <x:c r="S21"/>
      <x:c r="T21"/>
      <x:c r="U21"/>
      <x:c r="V21" s="59" t="b">
        <x:v>1</x:v>
      </x:c>
      <x:c r="W21" t="str">
        <x:v>Transferkandidat im Draft</x:v>
      </x:c>
      <x:c r="X21" t="str">
        <x:v>offen</x:v>
      </x:c>
      <x:c r="Y21" t="str">
        <x:v>Agent-Draft; Kategorie und Person pruefen</x:v>
      </x:c>
    </x:row>
    <x:row r="22">
      <x:c r="A22" t="str">
        <x:v>TXN-RAW-IMP-20260516-FULLDRAFT-000006</x:v>
      </x:c>
      <x:c r="B22" t="str">
        <x:v>RAW-IMP-20260516-FULLDRAFT-000006</x:v>
      </x:c>
      <x:c r="C22" t="str">
        <x:v>KTO001</x:v>
      </x:c>
      <x:c r="D22"/>
      <x:c r="E22" t="str">
        <x:v>KAT013</x:v>
      </x:c>
      <x:c r="F22"/>
      <x:c r="G22"/>
      <x:c r="H22" t="str">
        <x:v>kein_match</x:v>
      </x:c>
      <x:c r="I22" t="str">
        <x:v>Agent-Draft: keine finale Regelentscheidung</x:v>
      </x:c>
      <x:c r="J22" t="n">
        <x:v>46155</x:v>
      </x:c>
      <x:c r="K22"/>
      <x:c r="L22"/>
      <x:c r="M22" t="n">
        <x:v>-128.5</x:v>
      </x:c>
      <x:c r="N22" t="str">
        <x:v>2026-05</x:v>
      </x:c>
      <x:c r="O22" t="str">
        <x:v>Ausgabe</x:v>
      </x:c>
      <x:c r="P22" t="str">
        <x:v>Ist</x:v>
      </x:c>
      <x:c r="Q22" s="59" t="b">
        <x:v>0</x:v>
      </x:c>
      <x:c r="R22" t="str">
        <x:v>kein_transfer</x:v>
      </x:c>
      <x:c r="S22"/>
      <x:c r="T22"/>
      <x:c r="U22"/>
      <x:c r="V22" s="59" t="b">
        <x:v>1</x:v>
      </x:c>
      <x:c r="W22"/>
      <x:c r="X22" t="str">
        <x:v>offen</x:v>
      </x:c>
      <x:c r="Y22" t="str">
        <x:v>Agent-Draft; Kategorie und Person pruefen</x:v>
      </x:c>
    </x:row>
    <x:row r="23">
      <x:c r="A23" t="str">
        <x:v>TXN-RAW-IMP-20260516-FULLDRAFT-000007</x:v>
      </x:c>
      <x:c r="B23" t="str">
        <x:v>RAW-IMP-20260516-FULLDRAFT-000007</x:v>
      </x:c>
      <x:c r="C23" t="str">
        <x:v>KTO001</x:v>
      </x:c>
      <x:c r="D23"/>
      <x:c r="E23" t="str">
        <x:v>KAT013</x:v>
      </x:c>
      <x:c r="F23"/>
      <x:c r="G23"/>
      <x:c r="H23" t="str">
        <x:v>kein_match</x:v>
      </x:c>
      <x:c r="I23" t="str">
        <x:v>Agent-Draft: keine finale Regelentscheidung</x:v>
      </x:c>
      <x:c r="J23" t="n">
        <x:v>46154</x:v>
      </x:c>
      <x:c r="K23"/>
      <x:c r="L23"/>
      <x:c r="M23" t="n">
        <x:v>-55.25</x:v>
      </x:c>
      <x:c r="N23" t="str">
        <x:v>2026-05</x:v>
      </x:c>
      <x:c r="O23" t="str">
        <x:v>Ausgabe</x:v>
      </x:c>
      <x:c r="P23" t="str">
        <x:v>Ist</x:v>
      </x:c>
      <x:c r="Q23" s="59" t="b">
        <x:v>0</x:v>
      </x:c>
      <x:c r="R23" t="str">
        <x:v>kein_transfer</x:v>
      </x:c>
      <x:c r="S23"/>
      <x:c r="T23"/>
      <x:c r="U23"/>
      <x:c r="V23" s="59" t="b">
        <x:v>1</x:v>
      </x:c>
      <x:c r="W23"/>
      <x:c r="X23" t="str">
        <x:v>offen</x:v>
      </x:c>
      <x:c r="Y23" t="str">
        <x:v>Agent-Draft; Kategorie und Person pruefen</x:v>
      </x:c>
    </x:row>
    <x:row r="24">
      <x:c r="A24" t="str">
        <x:v>TXN-RAW-IMP-20260516-FULLDRAFT-000008</x:v>
      </x:c>
      <x:c r="B24" t="str">
        <x:v>RAW-IMP-20260516-FULLDRAFT-000008</x:v>
      </x:c>
      <x:c r="C24" t="str">
        <x:v>KTO001</x:v>
      </x:c>
      <x:c r="D24"/>
      <x:c r="E24" t="str">
        <x:v>KAT013</x:v>
      </x:c>
      <x:c r="F24"/>
      <x:c r="G24"/>
      <x:c r="H24" t="str">
        <x:v>kein_match</x:v>
      </x:c>
      <x:c r="I24" t="str">
        <x:v>Agent-Draft: keine finale Regelentscheidung</x:v>
      </x:c>
      <x:c r="J24" t="n">
        <x:v>46154</x:v>
      </x:c>
      <x:c r="K24"/>
      <x:c r="L24"/>
      <x:c r="M24" t="n">
        <x:v>-14.41</x:v>
      </x:c>
      <x:c r="N24" t="str">
        <x:v>2026-05</x:v>
      </x:c>
      <x:c r="O24" t="str">
        <x:v>Ausgabe</x:v>
      </x:c>
      <x:c r="P24" t="str">
        <x:v>Ist</x:v>
      </x:c>
      <x:c r="Q24" s="59" t="b">
        <x:v>0</x:v>
      </x:c>
      <x:c r="R24" t="str">
        <x:v>kein_transfer</x:v>
      </x:c>
      <x:c r="S24"/>
      <x:c r="T24"/>
      <x:c r="U24"/>
      <x:c r="V24" s="59" t="b">
        <x:v>1</x:v>
      </x:c>
      <x:c r="W24"/>
      <x:c r="X24" t="str">
        <x:v>offen</x:v>
      </x:c>
      <x:c r="Y24" t="str">
        <x:v>Agent-Draft; Kategorie und Person pruefen</x:v>
      </x:c>
    </x:row>
    <x:row r="25">
      <x:c r="A25" t="str">
        <x:v>TXN-RAW-IMP-20260516-FULLDRAFT-000009</x:v>
      </x:c>
      <x:c r="B25" t="str">
        <x:v>RAW-IMP-20260516-FULLDRAFT-000009</x:v>
      </x:c>
      <x:c r="C25" t="str">
        <x:v>KTO001</x:v>
      </x:c>
      <x:c r="D25"/>
      <x:c r="E25" t="str">
        <x:v>KAT013</x:v>
      </x:c>
      <x:c r="F25"/>
      <x:c r="G25"/>
      <x:c r="H25" t="str">
        <x:v>kein_match</x:v>
      </x:c>
      <x:c r="I25" t="str">
        <x:v>Agent-Draft: keine finale Regelentscheidung</x:v>
      </x:c>
      <x:c r="J25" t="n">
        <x:v>46154</x:v>
      </x:c>
      <x:c r="K25"/>
      <x:c r="L25"/>
      <x:c r="M25" t="n">
        <x:v>-12.35</x:v>
      </x:c>
      <x:c r="N25" t="str">
        <x:v>2026-05</x:v>
      </x:c>
      <x:c r="O25" t="str">
        <x:v>Ausgabe</x:v>
      </x:c>
      <x:c r="P25" t="str">
        <x:v>Ist</x:v>
      </x:c>
      <x:c r="Q25" s="59" t="b">
        <x:v>0</x:v>
      </x:c>
      <x:c r="R25" t="str">
        <x:v>kein_transfer</x:v>
      </x:c>
      <x:c r="S25"/>
      <x:c r="T25"/>
      <x:c r="U25"/>
      <x:c r="V25" s="59" t="b">
        <x:v>1</x:v>
      </x:c>
      <x:c r="W25"/>
      <x:c r="X25" t="str">
        <x:v>offen</x:v>
      </x:c>
      <x:c r="Y25" t="str">
        <x:v>Agent-Draft; Kategorie und Person pruefen</x:v>
      </x:c>
    </x:row>
    <x:row r="26">
      <x:c r="A26" t="str">
        <x:v>TXN-RAW-IMP-20260516-FULLDRAFT-000010</x:v>
      </x:c>
      <x:c r="B26" t="str">
        <x:v>RAW-IMP-20260516-FULLDRAFT-000010</x:v>
      </x:c>
      <x:c r="C26" t="str">
        <x:v>KTO001</x:v>
      </x:c>
      <x:c r="D26"/>
      <x:c r="E26" t="str">
        <x:v>KAT013</x:v>
      </x:c>
      <x:c r="F26"/>
      <x:c r="G26"/>
      <x:c r="H26" t="str">
        <x:v>kein_match</x:v>
      </x:c>
      <x:c r="I26" t="str">
        <x:v>Agent-Draft: keine finale Regelentscheidung</x:v>
      </x:c>
      <x:c r="J26" t="n">
        <x:v>46154</x:v>
      </x:c>
      <x:c r="K26"/>
      <x:c r="L26"/>
      <x:c r="M26" t="n">
        <x:v>-10</x:v>
      </x:c>
      <x:c r="N26" t="str">
        <x:v>2026-05</x:v>
      </x:c>
      <x:c r="O26" t="str">
        <x:v>Ausgabe</x:v>
      </x:c>
      <x:c r="P26" t="str">
        <x:v>Ist</x:v>
      </x:c>
      <x:c r="Q26" s="59" t="b">
        <x:v>0</x:v>
      </x:c>
      <x:c r="R26" t="str">
        <x:v>kein_transfer</x:v>
      </x:c>
      <x:c r="S26"/>
      <x:c r="T26"/>
      <x:c r="U26"/>
      <x:c r="V26" s="59" t="b">
        <x:v>1</x:v>
      </x:c>
      <x:c r="W26"/>
      <x:c r="X26" t="str">
        <x:v>offen</x:v>
      </x:c>
      <x:c r="Y26" t="str">
        <x:v>Agent-Draft; Kategorie und Person pruefen</x:v>
      </x:c>
    </x:row>
    <x:row r="27">
      <x:c r="A27" t="str">
        <x:v>TXN-RAW-IMP-20260516-FULLDRAFT-000011</x:v>
      </x:c>
      <x:c r="B27" t="str">
        <x:v>RAW-IMP-20260516-FULLDRAFT-000011</x:v>
      </x:c>
      <x:c r="C27" t="str">
        <x:v>KTO001</x:v>
      </x:c>
      <x:c r="D27"/>
      <x:c r="E27" t="str">
        <x:v>KAT013</x:v>
      </x:c>
      <x:c r="F27"/>
      <x:c r="G27"/>
      <x:c r="H27" t="str">
        <x:v>kein_match</x:v>
      </x:c>
      <x:c r="I27" t="str">
        <x:v>Agent-Draft: keine finale Regelentscheidung</x:v>
      </x:c>
      <x:c r="J27" t="n">
        <x:v>46153</x:v>
      </x:c>
      <x:c r="K27"/>
      <x:c r="L27"/>
      <x:c r="M27" t="n">
        <x:v>-7.53</x:v>
      </x:c>
      <x:c r="N27" t="str">
        <x:v>2026-05</x:v>
      </x:c>
      <x:c r="O27" t="str">
        <x:v>Ausgabe</x:v>
      </x:c>
      <x:c r="P27" t="str">
        <x:v>Ist</x:v>
      </x:c>
      <x:c r="Q27" s="59" t="b">
        <x:v>0</x:v>
      </x:c>
      <x:c r="R27" t="str">
        <x:v>kein_transfer</x:v>
      </x:c>
      <x:c r="S27"/>
      <x:c r="T27"/>
      <x:c r="U27"/>
      <x:c r="V27" s="59" t="b">
        <x:v>1</x:v>
      </x:c>
      <x:c r="W27"/>
      <x:c r="X27" t="str">
        <x:v>offen</x:v>
      </x:c>
      <x:c r="Y27" t="str">
        <x:v>Agent-Draft; Kategorie und Person pruefen</x:v>
      </x:c>
    </x:row>
    <x:row r="28">
      <x:c r="A28" t="str">
        <x:v>TXN-RAW-IMP-20260516-FULLDRAFT-000012</x:v>
      </x:c>
      <x:c r="B28" t="str">
        <x:v>RAW-IMP-20260516-FULLDRAFT-000012</x:v>
      </x:c>
      <x:c r="C28" t="str">
        <x:v>KTO001</x:v>
      </x:c>
      <x:c r="D28"/>
      <x:c r="E28" t="str">
        <x:v>KAT013</x:v>
      </x:c>
      <x:c r="F28"/>
      <x:c r="G28"/>
      <x:c r="H28" t="str">
        <x:v>kein_match</x:v>
      </x:c>
      <x:c r="I28" t="str">
        <x:v>Agent-Draft: keine finale Regelentscheidung</x:v>
      </x:c>
      <x:c r="J28" t="n">
        <x:v>46153</x:v>
      </x:c>
      <x:c r="K28"/>
      <x:c r="L28"/>
      <x:c r="M28" t="n">
        <x:v>-40.15</x:v>
      </x:c>
      <x:c r="N28" t="str">
        <x:v>2026-05</x:v>
      </x:c>
      <x:c r="O28" t="str">
        <x:v>Ausgabe</x:v>
      </x:c>
      <x:c r="P28" t="str">
        <x:v>Ist</x:v>
      </x:c>
      <x:c r="Q28" s="59" t="b">
        <x:v>0</x:v>
      </x:c>
      <x:c r="R28" t="str">
        <x:v>kein_transfer</x:v>
      </x:c>
      <x:c r="S28"/>
      <x:c r="T28"/>
      <x:c r="U28"/>
      <x:c r="V28" s="59" t="b">
        <x:v>1</x:v>
      </x:c>
      <x:c r="W28"/>
      <x:c r="X28" t="str">
        <x:v>offen</x:v>
      </x:c>
      <x:c r="Y28" t="str">
        <x:v>Agent-Draft; Kategorie und Person pruefen</x:v>
      </x:c>
    </x:row>
    <x:row r="29">
      <x:c r="A29" t="str">
        <x:v>TXN-RAW-IMP-20260516-FULLDRAFT-000013</x:v>
      </x:c>
      <x:c r="B29" t="str">
        <x:v>RAW-IMP-20260516-FULLDRAFT-000013</x:v>
      </x:c>
      <x:c r="C29" t="str">
        <x:v>KTO001</x:v>
      </x:c>
      <x:c r="D29"/>
      <x:c r="E29" t="str">
        <x:v>KAT013</x:v>
      </x:c>
      <x:c r="F29"/>
      <x:c r="G29"/>
      <x:c r="H29" t="str">
        <x:v>kein_match</x:v>
      </x:c>
      <x:c r="I29" t="str">
        <x:v>Agent-Draft: keine finale Regelentscheidung</x:v>
      </x:c>
      <x:c r="J29" t="n">
        <x:v>46153</x:v>
      </x:c>
      <x:c r="K29"/>
      <x:c r="L29"/>
      <x:c r="M29" t="n">
        <x:v>-10.4</x:v>
      </x:c>
      <x:c r="N29" t="str">
        <x:v>2026-05</x:v>
      </x:c>
      <x:c r="O29" t="str">
        <x:v>Ausgabe</x:v>
      </x:c>
      <x:c r="P29" t="str">
        <x:v>Ist</x:v>
      </x:c>
      <x:c r="Q29" s="59" t="b">
        <x:v>0</x:v>
      </x:c>
      <x:c r="R29" t="str">
        <x:v>kein_transfer</x:v>
      </x:c>
      <x:c r="S29"/>
      <x:c r="T29"/>
      <x:c r="U29"/>
      <x:c r="V29" s="59" t="b">
        <x:v>1</x:v>
      </x:c>
      <x:c r="W29"/>
      <x:c r="X29" t="str">
        <x:v>offen</x:v>
      </x:c>
      <x:c r="Y29" t="str">
        <x:v>Agent-Draft; Kategorie und Person pruefen</x:v>
      </x:c>
    </x:row>
    <x:row r="30">
      <x:c r="A30" t="str">
        <x:v>TXN-RAW-IMP-20260516-FULLDRAFT-000014</x:v>
      </x:c>
      <x:c r="B30" t="str">
        <x:v>RAW-IMP-20260516-FULLDRAFT-000014</x:v>
      </x:c>
      <x:c r="C30" t="str">
        <x:v>KTO001</x:v>
      </x:c>
      <x:c r="D30"/>
      <x:c r="E30" t="str">
        <x:v>KAT013</x:v>
      </x:c>
      <x:c r="F30"/>
      <x:c r="G30"/>
      <x:c r="H30" t="str">
        <x:v>kein_match</x:v>
      </x:c>
      <x:c r="I30" t="str">
        <x:v>Agent-Draft: keine finale Regelentscheidung</x:v>
      </x:c>
      <x:c r="J30" t="n">
        <x:v>46153</x:v>
      </x:c>
      <x:c r="K30"/>
      <x:c r="L30"/>
      <x:c r="M30" t="n">
        <x:v>-4.92</x:v>
      </x:c>
      <x:c r="N30" t="str">
        <x:v>2026-05</x:v>
      </x:c>
      <x:c r="O30" t="str">
        <x:v>Ausgabe</x:v>
      </x:c>
      <x:c r="P30" t="str">
        <x:v>Ist</x:v>
      </x:c>
      <x:c r="Q30" s="59" t="b">
        <x:v>0</x:v>
      </x:c>
      <x:c r="R30" t="str">
        <x:v>kein_transfer</x:v>
      </x:c>
      <x:c r="S30"/>
      <x:c r="T30"/>
      <x:c r="U30"/>
      <x:c r="V30" s="59" t="b">
        <x:v>1</x:v>
      </x:c>
      <x:c r="W30"/>
      <x:c r="X30" t="str">
        <x:v>offen</x:v>
      </x:c>
      <x:c r="Y30" t="str">
        <x:v>Agent-Draft; Kategorie und Person pruefen</x:v>
      </x:c>
    </x:row>
    <x:row r="31">
      <x:c r="A31" t="str">
        <x:v>TXN-RAW-IMP-20260516-FULLDRAFT-000015</x:v>
      </x:c>
      <x:c r="B31" t="str">
        <x:v>RAW-IMP-20260516-FULLDRAFT-000015</x:v>
      </x:c>
      <x:c r="C31" t="str">
        <x:v>KTO001</x:v>
      </x:c>
      <x:c r="D31"/>
      <x:c r="E31" t="str">
        <x:v>KAT013</x:v>
      </x:c>
      <x:c r="F31"/>
      <x:c r="G31"/>
      <x:c r="H31" t="str">
        <x:v>kein_match</x:v>
      </x:c>
      <x:c r="I31" t="str">
        <x:v>Agent-Draft: keine finale Regelentscheidung</x:v>
      </x:c>
      <x:c r="J31" t="n">
        <x:v>46153</x:v>
      </x:c>
      <x:c r="K31"/>
      <x:c r="L31"/>
      <x:c r="M31" t="n">
        <x:v>-108.72</x:v>
      </x:c>
      <x:c r="N31" t="str">
        <x:v>2026-05</x:v>
      </x:c>
      <x:c r="O31" t="str">
        <x:v>Ausgabe</x:v>
      </x:c>
      <x:c r="P31" t="str">
        <x:v>Ist</x:v>
      </x:c>
      <x:c r="Q31" s="59" t="b">
        <x:v>0</x:v>
      </x:c>
      <x:c r="R31" t="str">
        <x:v>kein_transfer</x:v>
      </x:c>
      <x:c r="S31"/>
      <x:c r="T31"/>
      <x:c r="U31"/>
      <x:c r="V31" s="59" t="b">
        <x:v>1</x:v>
      </x:c>
      <x:c r="W31"/>
      <x:c r="X31" t="str">
        <x:v>offen</x:v>
      </x:c>
      <x:c r="Y31" t="str">
        <x:v>Agent-Draft; Kategorie und Person pruefen</x:v>
      </x:c>
    </x:row>
    <x:row r="32">
      <x:c r="A32" t="str">
        <x:v>TXN-RAW-IMP-20260516-FULLDRAFT-000016</x:v>
      </x:c>
      <x:c r="B32" t="str">
        <x:v>RAW-IMP-20260516-FULLDRAFT-000016</x:v>
      </x:c>
      <x:c r="C32" t="str">
        <x:v>KTO001</x:v>
      </x:c>
      <x:c r="D32"/>
      <x:c r="E32" t="str">
        <x:v>KAT013</x:v>
      </x:c>
      <x:c r="F32"/>
      <x:c r="G32"/>
      <x:c r="H32" t="str">
        <x:v>kein_match</x:v>
      </x:c>
      <x:c r="I32" t="str">
        <x:v>Agent-Draft: keine finale Regelentscheidung</x:v>
      </x:c>
      <x:c r="J32" t="n">
        <x:v>46153</x:v>
      </x:c>
      <x:c r="K32"/>
      <x:c r="L32"/>
      <x:c r="M32" t="n">
        <x:v>-4.7</x:v>
      </x:c>
      <x:c r="N32" t="str">
        <x:v>2026-05</x:v>
      </x:c>
      <x:c r="O32" t="str">
        <x:v>Ausgabe</x:v>
      </x:c>
      <x:c r="P32" t="str">
        <x:v>Ist</x:v>
      </x:c>
      <x:c r="Q32" s="59" t="b">
        <x:v>0</x:v>
      </x:c>
      <x:c r="R32" t="str">
        <x:v>kein_transfer</x:v>
      </x:c>
      <x:c r="S32"/>
      <x:c r="T32"/>
      <x:c r="U32"/>
      <x:c r="V32" s="59" t="b">
        <x:v>1</x:v>
      </x:c>
      <x:c r="W32"/>
      <x:c r="X32" t="str">
        <x:v>offen</x:v>
      </x:c>
      <x:c r="Y32" t="str">
        <x:v>Agent-Draft; Kategorie und Person pruefen</x:v>
      </x:c>
    </x:row>
    <x:row r="33">
      <x:c r="A33" t="str">
        <x:v>TXN-RAW-IMP-20260516-FULLDRAFT-000017</x:v>
      </x:c>
      <x:c r="B33" t="str">
        <x:v>RAW-IMP-20260516-FULLDRAFT-000017</x:v>
      </x:c>
      <x:c r="C33" t="str">
        <x:v>KTO001</x:v>
      </x:c>
      <x:c r="D33"/>
      <x:c r="E33" t="str">
        <x:v>KAT013</x:v>
      </x:c>
      <x:c r="F33"/>
      <x:c r="G33"/>
      <x:c r="H33" t="str">
        <x:v>kein_match</x:v>
      </x:c>
      <x:c r="I33" t="str">
        <x:v>Agent-Draft: keine finale Regelentscheidung</x:v>
      </x:c>
      <x:c r="J33" t="n">
        <x:v>46153</x:v>
      </x:c>
      <x:c r="K33"/>
      <x:c r="L33"/>
      <x:c r="M33" t="n">
        <x:v>-57.05</x:v>
      </x:c>
      <x:c r="N33" t="str">
        <x:v>2026-05</x:v>
      </x:c>
      <x:c r="O33" t="str">
        <x:v>Ausgabe</x:v>
      </x:c>
      <x:c r="P33" t="str">
        <x:v>Ist</x:v>
      </x:c>
      <x:c r="Q33" s="59" t="b">
        <x:v>0</x:v>
      </x:c>
      <x:c r="R33" t="str">
        <x:v>kein_transfer</x:v>
      </x:c>
      <x:c r="S33"/>
      <x:c r="T33"/>
      <x:c r="U33"/>
      <x:c r="V33" s="59" t="b">
        <x:v>1</x:v>
      </x:c>
      <x:c r="W33"/>
      <x:c r="X33" t="str">
        <x:v>offen</x:v>
      </x:c>
      <x:c r="Y33" t="str">
        <x:v>Agent-Draft; Kategorie und Person pruefen</x:v>
      </x:c>
    </x:row>
    <x:row r="34">
      <x:c r="A34" t="str">
        <x:v>TXN-RAW-IMP-20260516-FULLDRAFT-000018</x:v>
      </x:c>
      <x:c r="B34" t="str">
        <x:v>RAW-IMP-20260516-FULLDRAFT-000018</x:v>
      </x:c>
      <x:c r="C34" t="str">
        <x:v>KTO001</x:v>
      </x:c>
      <x:c r="D34"/>
      <x:c r="E34" t="str">
        <x:v>KAT013</x:v>
      </x:c>
      <x:c r="F34"/>
      <x:c r="G34"/>
      <x:c r="H34" t="str">
        <x:v>kein_match</x:v>
      </x:c>
      <x:c r="I34" t="str">
        <x:v>Agent-Draft: keine finale Regelentscheidung</x:v>
      </x:c>
      <x:c r="J34" t="n">
        <x:v>46150</x:v>
      </x:c>
      <x:c r="K34"/>
      <x:c r="L34"/>
      <x:c r="M34" t="n">
        <x:v>-58.16</x:v>
      </x:c>
      <x:c r="N34" t="str">
        <x:v>2026-05</x:v>
      </x:c>
      <x:c r="O34" t="str">
        <x:v>Ausgabe</x:v>
      </x:c>
      <x:c r="P34" t="str">
        <x:v>Ist</x:v>
      </x:c>
      <x:c r="Q34" s="59" t="b">
        <x:v>0</x:v>
      </x:c>
      <x:c r="R34" t="str">
        <x:v>kein_transfer</x:v>
      </x:c>
      <x:c r="S34"/>
      <x:c r="T34"/>
      <x:c r="U34"/>
      <x:c r="V34" s="59" t="b">
        <x:v>1</x:v>
      </x:c>
      <x:c r="W34"/>
      <x:c r="X34" t="str">
        <x:v>offen</x:v>
      </x:c>
      <x:c r="Y34" t="str">
        <x:v>Agent-Draft; Kategorie und Person pruefen</x:v>
      </x:c>
    </x:row>
    <x:row r="35">
      <x:c r="A35" t="str">
        <x:v>TXN-RAW-IMP-20260516-FULLDRAFT-000019</x:v>
      </x:c>
      <x:c r="B35" t="str">
        <x:v>RAW-IMP-20260516-FULLDRAFT-000019</x:v>
      </x:c>
      <x:c r="C35" t="str">
        <x:v>KTO001</x:v>
      </x:c>
      <x:c r="D35"/>
      <x:c r="E35" t="str">
        <x:v>KAT013</x:v>
      </x:c>
      <x:c r="F35"/>
      <x:c r="G35"/>
      <x:c r="H35" t="str">
        <x:v>kein_match</x:v>
      </x:c>
      <x:c r="I35" t="str">
        <x:v>Agent-Draft: keine finale Regelentscheidung</x:v>
      </x:c>
      <x:c r="J35" t="n">
        <x:v>46149</x:v>
      </x:c>
      <x:c r="K35"/>
      <x:c r="L35"/>
      <x:c r="M35" t="n">
        <x:v>-17.18</x:v>
      </x:c>
      <x:c r="N35" t="str">
        <x:v>2026-05</x:v>
      </x:c>
      <x:c r="O35" t="str">
        <x:v>Ausgabe</x:v>
      </x:c>
      <x:c r="P35" t="str">
        <x:v>Ist</x:v>
      </x:c>
      <x:c r="Q35" s="59" t="b">
        <x:v>0</x:v>
      </x:c>
      <x:c r="R35" t="str">
        <x:v>kein_transfer</x:v>
      </x:c>
      <x:c r="S35"/>
      <x:c r="T35"/>
      <x:c r="U35"/>
      <x:c r="V35" s="59" t="b">
        <x:v>1</x:v>
      </x:c>
      <x:c r="W35"/>
      <x:c r="X35" t="str">
        <x:v>offen</x:v>
      </x:c>
      <x:c r="Y35" t="str">
        <x:v>Agent-Draft; Kategorie und Person pruefen</x:v>
      </x:c>
    </x:row>
    <x:row r="36">
      <x:c r="A36" t="str">
        <x:v>TXN-RAW-IMP-20260516-FULLDRAFT-000020</x:v>
      </x:c>
      <x:c r="B36" t="str">
        <x:v>RAW-IMP-20260516-FULLDRAFT-000020</x:v>
      </x:c>
      <x:c r="C36" t="str">
        <x:v>KTO001</x:v>
      </x:c>
      <x:c r="D36"/>
      <x:c r="E36" t="str">
        <x:v>KAT013</x:v>
      </x:c>
      <x:c r="F36"/>
      <x:c r="G36"/>
      <x:c r="H36" t="str">
        <x:v>kein_match</x:v>
      </x:c>
      <x:c r="I36" t="str">
        <x:v>Agent-Draft: keine finale Regelentscheidung</x:v>
      </x:c>
      <x:c r="J36" t="n">
        <x:v>46148</x:v>
      </x:c>
      <x:c r="K36"/>
      <x:c r="L36"/>
      <x:c r="M36" t="n">
        <x:v>12.06</x:v>
      </x:c>
      <x:c r="N36" t="str">
        <x:v>2026-05</x:v>
      </x:c>
      <x:c r="O36" t="str">
        <x:v>Einnahme</x:v>
      </x:c>
      <x:c r="P36" t="str">
        <x:v>Ist</x:v>
      </x:c>
      <x:c r="Q36" s="59" t="b">
        <x:v>0</x:v>
      </x:c>
      <x:c r="R36" t="str">
        <x:v>kein_transfer</x:v>
      </x:c>
      <x:c r="S36"/>
      <x:c r="T36"/>
      <x:c r="U36"/>
      <x:c r="V36" s="59" t="b">
        <x:v>1</x:v>
      </x:c>
      <x:c r="W36"/>
      <x:c r="X36" t="str">
        <x:v>offen</x:v>
      </x:c>
      <x:c r="Y36" t="str">
        <x:v>Agent-Draft; Kategorie und Person pruefen</x:v>
      </x:c>
    </x:row>
    <x:row r="37">
      <x:c r="A37" t="str">
        <x:v>TXN-RAW-IMP-20260516-FULLDRAFT-000021</x:v>
      </x:c>
      <x:c r="B37" t="str">
        <x:v>RAW-IMP-20260516-FULLDRAFT-000021</x:v>
      </x:c>
      <x:c r="C37" t="str">
        <x:v>KTO001</x:v>
      </x:c>
      <x:c r="D37"/>
      <x:c r="E37" t="str">
        <x:v>KAT013</x:v>
      </x:c>
      <x:c r="F37"/>
      <x:c r="G37"/>
      <x:c r="H37" t="str">
        <x:v>kein_match</x:v>
      </x:c>
      <x:c r="I37" t="str">
        <x:v>Agent-Draft: keine finale Regelentscheidung</x:v>
      </x:c>
      <x:c r="J37" t="n">
        <x:v>46148</x:v>
      </x:c>
      <x:c r="K37"/>
      <x:c r="L37"/>
      <x:c r="M37" t="n">
        <x:v>-1.9</x:v>
      </x:c>
      <x:c r="N37" t="str">
        <x:v>2026-05</x:v>
      </x:c>
      <x:c r="O37" t="str">
        <x:v>Ausgabe</x:v>
      </x:c>
      <x:c r="P37" t="str">
        <x:v>Ist</x:v>
      </x:c>
      <x:c r="Q37" s="59" t="b">
        <x:v>0</x:v>
      </x:c>
      <x:c r="R37" t="str">
        <x:v>kein_transfer</x:v>
      </x:c>
      <x:c r="S37"/>
      <x:c r="T37"/>
      <x:c r="U37"/>
      <x:c r="V37" s="59" t="b">
        <x:v>1</x:v>
      </x:c>
      <x:c r="W37"/>
      <x:c r="X37" t="str">
        <x:v>offen</x:v>
      </x:c>
      <x:c r="Y37" t="str">
        <x:v>Agent-Draft; Kategorie und Person pruefen</x:v>
      </x:c>
    </x:row>
    <x:row r="38">
      <x:c r="A38" t="str">
        <x:v>TXN-RAW-IMP-20260516-FULLDRAFT-000022</x:v>
      </x:c>
      <x:c r="B38" t="str">
        <x:v>RAW-IMP-20260516-FULLDRAFT-000022</x:v>
      </x:c>
      <x:c r="C38" t="str">
        <x:v>KTO001</x:v>
      </x:c>
      <x:c r="D38"/>
      <x:c r="E38" t="str">
        <x:v>KAT013</x:v>
      </x:c>
      <x:c r="F38"/>
      <x:c r="G38"/>
      <x:c r="H38" t="str">
        <x:v>kein_match</x:v>
      </x:c>
      <x:c r="I38" t="str">
        <x:v>Agent-Draft: keine finale Regelentscheidung</x:v>
      </x:c>
      <x:c r="J38" t="n">
        <x:v>46148</x:v>
      </x:c>
      <x:c r="K38"/>
      <x:c r="L38"/>
      <x:c r="M38" t="n">
        <x:v>-7.2</x:v>
      </x:c>
      <x:c r="N38" t="str">
        <x:v>2026-05</x:v>
      </x:c>
      <x:c r="O38" t="str">
        <x:v>Ausgabe</x:v>
      </x:c>
      <x:c r="P38" t="str">
        <x:v>Ist</x:v>
      </x:c>
      <x:c r="Q38" s="59" t="b">
        <x:v>0</x:v>
      </x:c>
      <x:c r="R38" t="str">
        <x:v>kein_transfer</x:v>
      </x:c>
      <x:c r="S38"/>
      <x:c r="T38"/>
      <x:c r="U38"/>
      <x:c r="V38" s="59" t="b">
        <x:v>1</x:v>
      </x:c>
      <x:c r="W38"/>
      <x:c r="X38" t="str">
        <x:v>offen</x:v>
      </x:c>
      <x:c r="Y38" t="str">
        <x:v>Agent-Draft; Kategorie und Person pruefen</x:v>
      </x:c>
    </x:row>
    <x:row r="39">
      <x:c r="A39" t="str">
        <x:v>TXN-RAW-IMP-20260516-FULLDRAFT-000023</x:v>
      </x:c>
      <x:c r="B39" t="str">
        <x:v>RAW-IMP-20260516-FULLDRAFT-000023</x:v>
      </x:c>
      <x:c r="C39" t="str">
        <x:v>KTO001</x:v>
      </x:c>
      <x:c r="D39"/>
      <x:c r="E39" t="str">
        <x:v>KAT013</x:v>
      </x:c>
      <x:c r="F39"/>
      <x:c r="G39"/>
      <x:c r="H39" t="str">
        <x:v>kein_match</x:v>
      </x:c>
      <x:c r="I39" t="str">
        <x:v>Agent-Draft: keine finale Regelentscheidung</x:v>
      </x:c>
      <x:c r="J39" t="n">
        <x:v>46148</x:v>
      </x:c>
      <x:c r="K39"/>
      <x:c r="L39"/>
      <x:c r="M39" t="n">
        <x:v>-65.93</x:v>
      </x:c>
      <x:c r="N39" t="str">
        <x:v>2026-05</x:v>
      </x:c>
      <x:c r="O39" t="str">
        <x:v>Ausgabe</x:v>
      </x:c>
      <x:c r="P39" t="str">
        <x:v>Ist</x:v>
      </x:c>
      <x:c r="Q39" s="59" t="b">
        <x:v>0</x:v>
      </x:c>
      <x:c r="R39" t="str">
        <x:v>kein_transfer</x:v>
      </x:c>
      <x:c r="S39"/>
      <x:c r="T39"/>
      <x:c r="U39"/>
      <x:c r="V39" s="59" t="b">
        <x:v>1</x:v>
      </x:c>
      <x:c r="W39"/>
      <x:c r="X39" t="str">
        <x:v>offen</x:v>
      </x:c>
      <x:c r="Y39" t="str">
        <x:v>Agent-Draft; Kategorie und Person pruefen</x:v>
      </x:c>
    </x:row>
    <x:row r="40">
      <x:c r="A40" t="str">
        <x:v>TXN-RAW-IMP-20260516-FULLDRAFT-000024</x:v>
      </x:c>
      <x:c r="B40" t="str">
        <x:v>RAW-IMP-20260516-FULLDRAFT-000024</x:v>
      </x:c>
      <x:c r="C40" t="str">
        <x:v>KTO001</x:v>
      </x:c>
      <x:c r="D40"/>
      <x:c r="E40" t="str">
        <x:v>KAT013</x:v>
      </x:c>
      <x:c r="F40"/>
      <x:c r="G40"/>
      <x:c r="H40" t="str">
        <x:v>kein_match</x:v>
      </x:c>
      <x:c r="I40" t="str">
        <x:v>Agent-Draft: keine finale Regelentscheidung</x:v>
      </x:c>
      <x:c r="J40" t="n">
        <x:v>46147</x:v>
      </x:c>
      <x:c r="K40"/>
      <x:c r="L40"/>
      <x:c r="M40" t="n">
        <x:v>-30</x:v>
      </x:c>
      <x:c r="N40" t="str">
        <x:v>2026-05</x:v>
      </x:c>
      <x:c r="O40" t="str">
        <x:v>Ausgabe</x:v>
      </x:c>
      <x:c r="P40" t="str">
        <x:v>Ist</x:v>
      </x:c>
      <x:c r="Q40" s="59" t="b">
        <x:v>0</x:v>
      </x:c>
      <x:c r="R40" t="str">
        <x:v>kein_transfer</x:v>
      </x:c>
      <x:c r="S40"/>
      <x:c r="T40"/>
      <x:c r="U40"/>
      <x:c r="V40" s="59" t="b">
        <x:v>1</x:v>
      </x:c>
      <x:c r="W40"/>
      <x:c r="X40" t="str">
        <x:v>offen</x:v>
      </x:c>
      <x:c r="Y40" t="str">
        <x:v>Agent-Draft; Kategorie und Person pruefen</x:v>
      </x:c>
    </x:row>
    <x:row r="41">
      <x:c r="A41" t="str">
        <x:v>TXN-RAW-IMP-20260516-FULLDRAFT-000025</x:v>
      </x:c>
      <x:c r="B41" t="str">
        <x:v>RAW-IMP-20260516-FULLDRAFT-000025</x:v>
      </x:c>
      <x:c r="C41" t="str">
        <x:v>KTO001</x:v>
      </x:c>
      <x:c r="D41"/>
      <x:c r="E41" t="str">
        <x:v>KAT013</x:v>
      </x:c>
      <x:c r="F41"/>
      <x:c r="G41"/>
      <x:c r="H41" t="str">
        <x:v>kein_match</x:v>
      </x:c>
      <x:c r="I41" t="str">
        <x:v>Agent-Draft: keine finale Regelentscheidung</x:v>
      </x:c>
      <x:c r="J41" t="n">
        <x:v>46147</x:v>
      </x:c>
      <x:c r="K41"/>
      <x:c r="L41"/>
      <x:c r="M41" t="n">
        <x:v>-5000</x:v>
      </x:c>
      <x:c r="N41" t="str">
        <x:v>2026-05</x:v>
      </x:c>
      <x:c r="O41" t="str">
        <x:v>Ausgabe</x:v>
      </x:c>
      <x:c r="P41" t="str">
        <x:v>Ist</x:v>
      </x:c>
      <x:c r="Q41" s="59" t="b">
        <x:v>0</x:v>
      </x:c>
      <x:c r="R41" t="str">
        <x:v>kein_transfer</x:v>
      </x:c>
      <x:c r="S41"/>
      <x:c r="T41"/>
      <x:c r="U41"/>
      <x:c r="V41" s="59" t="b">
        <x:v>1</x:v>
      </x:c>
      <x:c r="W41"/>
      <x:c r="X41" t="str">
        <x:v>offen</x:v>
      </x:c>
      <x:c r="Y41" t="str">
        <x:v>Agent-Draft; Kategorie und Person pruefen</x:v>
      </x:c>
    </x:row>
    <x:row r="42">
      <x:c r="A42" t="str">
        <x:v>TXN-RAW-IMP-20260516-FULLDRAFT-000026</x:v>
      </x:c>
      <x:c r="B42" t="str">
        <x:v>RAW-IMP-20260516-FULLDRAFT-000026</x:v>
      </x:c>
      <x:c r="C42" t="str">
        <x:v>KTO001</x:v>
      </x:c>
      <x:c r="D42"/>
      <x:c r="E42" t="str">
        <x:v>KAT013</x:v>
      </x:c>
      <x:c r="F42"/>
      <x:c r="G42"/>
      <x:c r="H42" t="str">
        <x:v>kein_match</x:v>
      </x:c>
      <x:c r="I42" t="str">
        <x:v>Agent-Draft: keine finale Regelentscheidung</x:v>
      </x:c>
      <x:c r="J42" t="n">
        <x:v>46147</x:v>
      </x:c>
      <x:c r="K42"/>
      <x:c r="L42"/>
      <x:c r="M42" t="n">
        <x:v>-249.9</x:v>
      </x:c>
      <x:c r="N42" t="str">
        <x:v>2026-05</x:v>
      </x:c>
      <x:c r="O42" t="str">
        <x:v>Ausgabe</x:v>
      </x:c>
      <x:c r="P42" t="str">
        <x:v>Ist</x:v>
      </x:c>
      <x:c r="Q42" s="59" t="b">
        <x:v>0</x:v>
      </x:c>
      <x:c r="R42" t="str">
        <x:v>kein_transfer</x:v>
      </x:c>
      <x:c r="S42"/>
      <x:c r="T42"/>
      <x:c r="U42"/>
      <x:c r="V42" s="59" t="b">
        <x:v>1</x:v>
      </x:c>
      <x:c r="W42"/>
      <x:c r="X42" t="str">
        <x:v>offen</x:v>
      </x:c>
      <x:c r="Y42" t="str">
        <x:v>Agent-Draft; Kategorie und Person pruefen</x:v>
      </x:c>
    </x:row>
    <x:row r="43">
      <x:c r="A43" t="str">
        <x:v>TXN-RAW-IMP-20260516-FULLDRAFT-000027</x:v>
      </x:c>
      <x:c r="B43" t="str">
        <x:v>RAW-IMP-20260516-FULLDRAFT-000027</x:v>
      </x:c>
      <x:c r="C43" t="str">
        <x:v>KTO001</x:v>
      </x:c>
      <x:c r="D43"/>
      <x:c r="E43" t="str">
        <x:v>KAT013</x:v>
      </x:c>
      <x:c r="F43"/>
      <x:c r="G43"/>
      <x:c r="H43" t="str">
        <x:v>kein_match</x:v>
      </x:c>
      <x:c r="I43" t="str">
        <x:v>Agent-Draft: keine finale Regelentscheidung</x:v>
      </x:c>
      <x:c r="J43" t="n">
        <x:v>46147</x:v>
      </x:c>
      <x:c r="K43"/>
      <x:c r="L43"/>
      <x:c r="M43" t="n">
        <x:v>-4.79</x:v>
      </x:c>
      <x:c r="N43" t="str">
        <x:v>2026-05</x:v>
      </x:c>
      <x:c r="O43" t="str">
        <x:v>Ausgabe</x:v>
      </x:c>
      <x:c r="P43" t="str">
        <x:v>Ist</x:v>
      </x:c>
      <x:c r="Q43" s="59" t="b">
        <x:v>0</x:v>
      </x:c>
      <x:c r="R43" t="str">
        <x:v>kein_transfer</x:v>
      </x:c>
      <x:c r="S43"/>
      <x:c r="T43"/>
      <x:c r="U43"/>
      <x:c r="V43" s="59" t="b">
        <x:v>1</x:v>
      </x:c>
      <x:c r="W43"/>
      <x:c r="X43" t="str">
        <x:v>offen</x:v>
      </x:c>
      <x:c r="Y43" t="str">
        <x:v>Agent-Draft; Kategorie und Person pruefen</x:v>
      </x:c>
    </x:row>
    <x:row r="44">
      <x:c r="A44" t="str">
        <x:v>TXN-RAW-IMP-20260516-FULLDRAFT-000028</x:v>
      </x:c>
      <x:c r="B44" t="str">
        <x:v>RAW-IMP-20260516-FULLDRAFT-000028</x:v>
      </x:c>
      <x:c r="C44" t="str">
        <x:v>KTO001</x:v>
      </x:c>
      <x:c r="D44"/>
      <x:c r="E44" t="str">
        <x:v>KAT013</x:v>
      </x:c>
      <x:c r="F44"/>
      <x:c r="G44"/>
      <x:c r="H44" t="str">
        <x:v>kein_match</x:v>
      </x:c>
      <x:c r="I44" t="str">
        <x:v>Agent-Draft: keine finale Regelentscheidung</x:v>
      </x:c>
      <x:c r="J44" t="n">
        <x:v>46147</x:v>
      </x:c>
      <x:c r="K44"/>
      <x:c r="L44"/>
      <x:c r="M44" t="n">
        <x:v>983.84</x:v>
      </x:c>
      <x:c r="N44" t="str">
        <x:v>2026-05</x:v>
      </x:c>
      <x:c r="O44" t="str">
        <x:v>Einnahme</x:v>
      </x:c>
      <x:c r="P44" t="str">
        <x:v>Ist</x:v>
      </x:c>
      <x:c r="Q44" s="59" t="b">
        <x:v>0</x:v>
      </x:c>
      <x:c r="R44" t="str">
        <x:v>kein_transfer</x:v>
      </x:c>
      <x:c r="S44"/>
      <x:c r="T44"/>
      <x:c r="U44"/>
      <x:c r="V44" s="59" t="b">
        <x:v>1</x:v>
      </x:c>
      <x:c r="W44"/>
      <x:c r="X44" t="str">
        <x:v>offen</x:v>
      </x:c>
      <x:c r="Y44" t="str">
        <x:v>Agent-Draft; Kategorie und Person pruefen</x:v>
      </x:c>
    </x:row>
    <x:row r="45">
      <x:c r="A45" t="str">
        <x:v>TXN-RAW-IMP-20260516-FULLDRAFT-000029</x:v>
      </x:c>
      <x:c r="B45" t="str">
        <x:v>RAW-IMP-20260516-FULLDRAFT-000029</x:v>
      </x:c>
      <x:c r="C45" t="str">
        <x:v>KTO001</x:v>
      </x:c>
      <x:c r="D45"/>
      <x:c r="E45" t="str">
        <x:v>KAT013</x:v>
      </x:c>
      <x:c r="F45"/>
      <x:c r="G45"/>
      <x:c r="H45" t="str">
        <x:v>kein_match</x:v>
      </x:c>
      <x:c r="I45" t="str">
        <x:v>Agent-Draft: keine finale Regelentscheidung</x:v>
      </x:c>
      <x:c r="J45" t="n">
        <x:v>46147</x:v>
      </x:c>
      <x:c r="K45"/>
      <x:c r="L45"/>
      <x:c r="M45" t="n">
        <x:v>5000</x:v>
      </x:c>
      <x:c r="N45" t="str">
        <x:v>2026-05</x:v>
      </x:c>
      <x:c r="O45" t="str">
        <x:v>Einnahme</x:v>
      </x:c>
      <x:c r="P45" t="str">
        <x:v>Ist</x:v>
      </x:c>
      <x:c r="Q45" s="59" t="b">
        <x:v>0</x:v>
      </x:c>
      <x:c r="R45" t="str">
        <x:v>unklar</x:v>
      </x:c>
      <x:c r="S45"/>
      <x:c r="T45"/>
      <x:c r="U45"/>
      <x:c r="V45" s="59" t="b">
        <x:v>1</x:v>
      </x:c>
      <x:c r="W45" t="str">
        <x:v>Transferkandidat im Draft</x:v>
      </x:c>
      <x:c r="X45" t="str">
        <x:v>offen</x:v>
      </x:c>
      <x:c r="Y45" t="str">
        <x:v>Agent-Draft; Kategorie und Person pruefen</x:v>
      </x:c>
    </x:row>
    <x:row r="46">
      <x:c r="A46" t="str">
        <x:v>TXN-RAW-IMP-20260516-FULLDRAFT-000030</x:v>
      </x:c>
      <x:c r="B46" t="str">
        <x:v>RAW-IMP-20260516-FULLDRAFT-000030</x:v>
      </x:c>
      <x:c r="C46" t="str">
        <x:v>KTO001</x:v>
      </x:c>
      <x:c r="D46"/>
      <x:c r="E46" t="str">
        <x:v>KAT013</x:v>
      </x:c>
      <x:c r="F46"/>
      <x:c r="G46"/>
      <x:c r="H46" t="str">
        <x:v>kein_match</x:v>
      </x:c>
      <x:c r="I46" t="str">
        <x:v>Agent-Draft: keine finale Regelentscheidung</x:v>
      </x:c>
      <x:c r="J46" t="n">
        <x:v>46147</x:v>
      </x:c>
      <x:c r="K46"/>
      <x:c r="L46"/>
      <x:c r="M46" t="n">
        <x:v>-11.96</x:v>
      </x:c>
      <x:c r="N46" t="str">
        <x:v>2026-05</x:v>
      </x:c>
      <x:c r="O46" t="str">
        <x:v>Ausgabe</x:v>
      </x:c>
      <x:c r="P46" t="str">
        <x:v>Ist</x:v>
      </x:c>
      <x:c r="Q46" s="59" t="b">
        <x:v>0</x:v>
      </x:c>
      <x:c r="R46" t="str">
        <x:v>kein_transfer</x:v>
      </x:c>
      <x:c r="S46"/>
      <x:c r="T46"/>
      <x:c r="U46"/>
      <x:c r="V46" s="59" t="b">
        <x:v>1</x:v>
      </x:c>
      <x:c r="W46"/>
      <x:c r="X46" t="str">
        <x:v>offen</x:v>
      </x:c>
      <x:c r="Y46" t="str">
        <x:v>Agent-Draft; Kategorie und Person pruefen</x:v>
      </x:c>
    </x:row>
    <x:row r="47">
      <x:c r="A47" t="str">
        <x:v>TXN-RAW-IMP-20260516-FULLDRAFT-000031</x:v>
      </x:c>
      <x:c r="B47" t="str">
        <x:v>RAW-IMP-20260516-FULLDRAFT-000031</x:v>
      </x:c>
      <x:c r="C47" t="str">
        <x:v>KTO001</x:v>
      </x:c>
      <x:c r="D47"/>
      <x:c r="E47" t="str">
        <x:v>KAT013</x:v>
      </x:c>
      <x:c r="F47"/>
      <x:c r="G47"/>
      <x:c r="H47" t="str">
        <x:v>kein_match</x:v>
      </x:c>
      <x:c r="I47" t="str">
        <x:v>Agent-Draft: keine finale Regelentscheidung</x:v>
      </x:c>
      <x:c r="J47" t="n">
        <x:v>46147</x:v>
      </x:c>
      <x:c r="K47"/>
      <x:c r="L47"/>
      <x:c r="M47" t="n">
        <x:v>-60.5</x:v>
      </x:c>
      <x:c r="N47" t="str">
        <x:v>2026-05</x:v>
      </x:c>
      <x:c r="O47" t="str">
        <x:v>Ausgabe</x:v>
      </x:c>
      <x:c r="P47" t="str">
        <x:v>Ist</x:v>
      </x:c>
      <x:c r="Q47" s="59" t="b">
        <x:v>0</x:v>
      </x:c>
      <x:c r="R47" t="str">
        <x:v>kein_transfer</x:v>
      </x:c>
      <x:c r="S47"/>
      <x:c r="T47"/>
      <x:c r="U47"/>
      <x:c r="V47" s="59" t="b">
        <x:v>1</x:v>
      </x:c>
      <x:c r="W47"/>
      <x:c r="X47" t="str">
        <x:v>offen</x:v>
      </x:c>
      <x:c r="Y47" t="str">
        <x:v>Agent-Draft; Kategorie und Person pruefen</x:v>
      </x:c>
    </x:row>
    <x:row r="48">
      <x:c r="A48" t="str">
        <x:v>TXN-RAW-IMP-20260516-FULLDRAFT-000032</x:v>
      </x:c>
      <x:c r="B48" t="str">
        <x:v>RAW-IMP-20260516-FULLDRAFT-000032</x:v>
      </x:c>
      <x:c r="C48" t="str">
        <x:v>KTO001</x:v>
      </x:c>
      <x:c r="D48"/>
      <x:c r="E48" t="str">
        <x:v>KAT013</x:v>
      </x:c>
      <x:c r="F48"/>
      <x:c r="G48"/>
      <x:c r="H48" t="str">
        <x:v>kein_match</x:v>
      </x:c>
      <x:c r="I48" t="str">
        <x:v>Agent-Draft: keine finale Regelentscheidung</x:v>
      </x:c>
      <x:c r="J48" t="n">
        <x:v>46147</x:v>
      </x:c>
      <x:c r="K48"/>
      <x:c r="L48"/>
      <x:c r="M48" t="n">
        <x:v>-56.83</x:v>
      </x:c>
      <x:c r="N48" t="str">
        <x:v>2026-05</x:v>
      </x:c>
      <x:c r="O48" t="str">
        <x:v>Ausgabe</x:v>
      </x:c>
      <x:c r="P48" t="str">
        <x:v>Ist</x:v>
      </x:c>
      <x:c r="Q48" s="59" t="b">
        <x:v>0</x:v>
      </x:c>
      <x:c r="R48" t="str">
        <x:v>kein_transfer</x:v>
      </x:c>
      <x:c r="S48"/>
      <x:c r="T48"/>
      <x:c r="U48"/>
      <x:c r="V48" s="59" t="b">
        <x:v>1</x:v>
      </x:c>
      <x:c r="W48"/>
      <x:c r="X48" t="str">
        <x:v>offen</x:v>
      </x:c>
      <x:c r="Y48" t="str">
        <x:v>Agent-Draft; Kategorie und Person pruefen</x:v>
      </x:c>
    </x:row>
    <x:row r="49">
      <x:c r="A49" t="str">
        <x:v>TXN-RAW-IMP-20260516-FULLDRAFT-000033</x:v>
      </x:c>
      <x:c r="B49" t="str">
        <x:v>RAW-IMP-20260516-FULLDRAFT-000033</x:v>
      </x:c>
      <x:c r="C49" t="str">
        <x:v>KTO001</x:v>
      </x:c>
      <x:c r="D49"/>
      <x:c r="E49" t="str">
        <x:v>KAT013</x:v>
      </x:c>
      <x:c r="F49"/>
      <x:c r="G49"/>
      <x:c r="H49" t="str">
        <x:v>kein_match</x:v>
      </x:c>
      <x:c r="I49" t="str">
        <x:v>Agent-Draft: keine finale Regelentscheidung</x:v>
      </x:c>
      <x:c r="J49" t="n">
        <x:v>46146</x:v>
      </x:c>
      <x:c r="K49"/>
      <x:c r="L49"/>
      <x:c r="M49" t="n">
        <x:v>-1</x:v>
      </x:c>
      <x:c r="N49" t="str">
        <x:v>2026-05</x:v>
      </x:c>
      <x:c r="O49" t="str">
        <x:v>Ausgabe</x:v>
      </x:c>
      <x:c r="P49" t="str">
        <x:v>Ist</x:v>
      </x:c>
      <x:c r="Q49" s="59" t="b">
        <x:v>0</x:v>
      </x:c>
      <x:c r="R49" t="str">
        <x:v>kein_transfer</x:v>
      </x:c>
      <x:c r="S49"/>
      <x:c r="T49"/>
      <x:c r="U49"/>
      <x:c r="V49" s="59" t="b">
        <x:v>1</x:v>
      </x:c>
      <x:c r="W49"/>
      <x:c r="X49" t="str">
        <x:v>offen</x:v>
      </x:c>
      <x:c r="Y49" t="str">
        <x:v>Agent-Draft; Kategorie und Person pruefen</x:v>
      </x:c>
    </x:row>
    <x:row r="50">
      <x:c r="A50" t="str">
        <x:v>TXN-RAW-IMP-20260516-FULLDRAFT-000034</x:v>
      </x:c>
      <x:c r="B50" t="str">
        <x:v>RAW-IMP-20260516-FULLDRAFT-000034</x:v>
      </x:c>
      <x:c r="C50" t="str">
        <x:v>KTO001</x:v>
      </x:c>
      <x:c r="D50"/>
      <x:c r="E50" t="str">
        <x:v>KAT013</x:v>
      </x:c>
      <x:c r="F50"/>
      <x:c r="G50"/>
      <x:c r="H50" t="str">
        <x:v>kein_match</x:v>
      </x:c>
      <x:c r="I50" t="str">
        <x:v>Agent-Draft: keine finale Regelentscheidung</x:v>
      </x:c>
      <x:c r="J50" t="n">
        <x:v>46146</x:v>
      </x:c>
      <x:c r="K50"/>
      <x:c r="L50"/>
      <x:c r="M50" t="n">
        <x:v>-983.84</x:v>
      </x:c>
      <x:c r="N50" t="str">
        <x:v>2026-05</x:v>
      </x:c>
      <x:c r="O50" t="str">
        <x:v>Ausgabe</x:v>
      </x:c>
      <x:c r="P50" t="str">
        <x:v>Ist</x:v>
      </x:c>
      <x:c r="Q50" s="59" t="b">
        <x:v>0</x:v>
      </x:c>
      <x:c r="R50" t="str">
        <x:v>kein_transfer</x:v>
      </x:c>
      <x:c r="S50"/>
      <x:c r="T50"/>
      <x:c r="U50"/>
      <x:c r="V50" s="59" t="b">
        <x:v>1</x:v>
      </x:c>
      <x:c r="W50"/>
      <x:c r="X50" t="str">
        <x:v>offen</x:v>
      </x:c>
      <x:c r="Y50" t="str">
        <x:v>Agent-Draft; Kategorie und Person pruefen</x:v>
      </x:c>
    </x:row>
    <x:row r="51">
      <x:c r="A51" t="str">
        <x:v>TXN-RAW-IMP-20260516-FULLDRAFT-000035</x:v>
      </x:c>
      <x:c r="B51" t="str">
        <x:v>RAW-IMP-20260516-FULLDRAFT-000035</x:v>
      </x:c>
      <x:c r="C51" t="str">
        <x:v>KTO001</x:v>
      </x:c>
      <x:c r="D51"/>
      <x:c r="E51" t="str">
        <x:v>KAT013</x:v>
      </x:c>
      <x:c r="F51"/>
      <x:c r="G51"/>
      <x:c r="H51" t="str">
        <x:v>kein_match</x:v>
      </x:c>
      <x:c r="I51" t="str">
        <x:v>Agent-Draft: keine finale Regelentscheidung</x:v>
      </x:c>
      <x:c r="J51" t="n">
        <x:v>46146</x:v>
      </x:c>
      <x:c r="K51"/>
      <x:c r="L51"/>
      <x:c r="M51" t="n">
        <x:v>750</x:v>
      </x:c>
      <x:c r="N51" t="str">
        <x:v>2026-05</x:v>
      </x:c>
      <x:c r="O51" t="str">
        <x:v>Einnahme</x:v>
      </x:c>
      <x:c r="P51" t="str">
        <x:v>Ist</x:v>
      </x:c>
      <x:c r="Q51" s="59" t="b">
        <x:v>0</x:v>
      </x:c>
      <x:c r="R51" t="str">
        <x:v>kein_transfer</x:v>
      </x:c>
      <x:c r="S51"/>
      <x:c r="T51"/>
      <x:c r="U51"/>
      <x:c r="V51" s="59" t="b">
        <x:v>1</x:v>
      </x:c>
      <x:c r="W51"/>
      <x:c r="X51" t="str">
        <x:v>offen</x:v>
      </x:c>
      <x:c r="Y51" t="str">
        <x:v>Agent-Draft; Kategorie und Person pruefen</x:v>
      </x:c>
    </x:row>
    <x:row r="52">
      <x:c r="A52" t="str">
        <x:v>TXN-RAW-IMP-20260516-FULLDRAFT-000036</x:v>
      </x:c>
      <x:c r="B52" t="str">
        <x:v>RAW-IMP-20260516-FULLDRAFT-000036</x:v>
      </x:c>
      <x:c r="C52" t="str">
        <x:v>KTO001</x:v>
      </x:c>
      <x:c r="D52"/>
      <x:c r="E52" t="str">
        <x:v>KAT013</x:v>
      </x:c>
      <x:c r="F52"/>
      <x:c r="G52"/>
      <x:c r="H52" t="str">
        <x:v>kein_match</x:v>
      </x:c>
      <x:c r="I52" t="str">
        <x:v>Agent-Draft: keine finale Regelentscheidung</x:v>
      </x:c>
      <x:c r="J52" t="n">
        <x:v>46146</x:v>
      </x:c>
      <x:c r="K52"/>
      <x:c r="L52"/>
      <x:c r="M52" t="n">
        <x:v>-88.15</x:v>
      </x:c>
      <x:c r="N52" t="str">
        <x:v>2026-05</x:v>
      </x:c>
      <x:c r="O52" t="str">
        <x:v>Ausgabe</x:v>
      </x:c>
      <x:c r="P52" t="str">
        <x:v>Ist</x:v>
      </x:c>
      <x:c r="Q52" s="59" t="b">
        <x:v>0</x:v>
      </x:c>
      <x:c r="R52" t="str">
        <x:v>kein_transfer</x:v>
      </x:c>
      <x:c r="S52"/>
      <x:c r="T52"/>
      <x:c r="U52"/>
      <x:c r="V52" s="59" t="b">
        <x:v>1</x:v>
      </x:c>
      <x:c r="W52"/>
      <x:c r="X52" t="str">
        <x:v>offen</x:v>
      </x:c>
      <x:c r="Y52" t="str">
        <x:v>Agent-Draft; Kategorie und Person pruefen</x:v>
      </x:c>
    </x:row>
    <x:row r="53">
      <x:c r="A53" t="str">
        <x:v>TXN-RAW-IMP-20260516-FULLDRAFT-000037</x:v>
      </x:c>
      <x:c r="B53" t="str">
        <x:v>RAW-IMP-20260516-FULLDRAFT-000037</x:v>
      </x:c>
      <x:c r="C53" t="str">
        <x:v>KTO001</x:v>
      </x:c>
      <x:c r="D53"/>
      <x:c r="E53" t="str">
        <x:v>KAT013</x:v>
      </x:c>
      <x:c r="F53"/>
      <x:c r="G53"/>
      <x:c r="H53" t="str">
        <x:v>kein_match</x:v>
      </x:c>
      <x:c r="I53" t="str">
        <x:v>Agent-Draft: keine finale Regelentscheidung</x:v>
      </x:c>
      <x:c r="J53" t="n">
        <x:v>46146</x:v>
      </x:c>
      <x:c r="K53"/>
      <x:c r="L53"/>
      <x:c r="M53" t="n">
        <x:v>-0.08</x:v>
      </x:c>
      <x:c r="N53" t="str">
        <x:v>2026-05</x:v>
      </x:c>
      <x:c r="O53" t="str">
        <x:v>Ausgabe</x:v>
      </x:c>
      <x:c r="P53" t="str">
        <x:v>Ist</x:v>
      </x:c>
      <x:c r="Q53" s="59" t="b">
        <x:v>0</x:v>
      </x:c>
      <x:c r="R53" t="str">
        <x:v>kein_transfer</x:v>
      </x:c>
      <x:c r="S53"/>
      <x:c r="T53"/>
      <x:c r="U53"/>
      <x:c r="V53" s="59" t="b">
        <x:v>1</x:v>
      </x:c>
      <x:c r="W53"/>
      <x:c r="X53" t="str">
        <x:v>offen</x:v>
      </x:c>
      <x:c r="Y53" t="str">
        <x:v>Agent-Draft; Kategorie und Person pruefen</x:v>
      </x:c>
    </x:row>
    <x:row r="54">
      <x:c r="A54" t="str">
        <x:v>TXN-RAW-IMP-20260516-FULLDRAFT-000038</x:v>
      </x:c>
      <x:c r="B54" t="str">
        <x:v>RAW-IMP-20260516-FULLDRAFT-000038</x:v>
      </x:c>
      <x:c r="C54" t="str">
        <x:v>KTO001</x:v>
      </x:c>
      <x:c r="D54"/>
      <x:c r="E54" t="str">
        <x:v>KAT013</x:v>
      </x:c>
      <x:c r="F54"/>
      <x:c r="G54"/>
      <x:c r="H54" t="str">
        <x:v>kein_match</x:v>
      </x:c>
      <x:c r="I54" t="str">
        <x:v>Agent-Draft: keine finale Regelentscheidung</x:v>
      </x:c>
      <x:c r="J54" t="n">
        <x:v>46146</x:v>
      </x:c>
      <x:c r="K54"/>
      <x:c r="L54"/>
      <x:c r="M54" t="n">
        <x:v>-10.99</x:v>
      </x:c>
      <x:c r="N54" t="str">
        <x:v>2026-05</x:v>
      </x:c>
      <x:c r="O54" t="str">
        <x:v>Ausgabe</x:v>
      </x:c>
      <x:c r="P54" t="str">
        <x:v>Ist</x:v>
      </x:c>
      <x:c r="Q54" s="59" t="b">
        <x:v>0</x:v>
      </x:c>
      <x:c r="R54" t="str">
        <x:v>kein_transfer</x:v>
      </x:c>
      <x:c r="S54"/>
      <x:c r="T54"/>
      <x:c r="U54"/>
      <x:c r="V54" s="59" t="b">
        <x:v>1</x:v>
      </x:c>
      <x:c r="W54"/>
      <x:c r="X54" t="str">
        <x:v>offen</x:v>
      </x:c>
      <x:c r="Y54" t="str">
        <x:v>Agent-Draft; Kategorie und Person pruefen</x:v>
      </x:c>
    </x:row>
    <x:row r="55">
      <x:c r="A55" t="str">
        <x:v>TXN-RAW-IMP-20260516-FULLDRAFT-000039</x:v>
      </x:c>
      <x:c r="B55" t="str">
        <x:v>RAW-IMP-20260516-FULLDRAFT-000039</x:v>
      </x:c>
      <x:c r="C55" t="str">
        <x:v>KTO001</x:v>
      </x:c>
      <x:c r="D55"/>
      <x:c r="E55" t="str">
        <x:v>KAT013</x:v>
      </x:c>
      <x:c r="F55"/>
      <x:c r="G55"/>
      <x:c r="H55" t="str">
        <x:v>kein_match</x:v>
      </x:c>
      <x:c r="I55" t="str">
        <x:v>Agent-Draft: keine finale Regelentscheidung</x:v>
      </x:c>
      <x:c r="J55" t="n">
        <x:v>46146</x:v>
      </x:c>
      <x:c r="K55"/>
      <x:c r="L55"/>
      <x:c r="M55" t="n">
        <x:v>-8.3</x:v>
      </x:c>
      <x:c r="N55" t="str">
        <x:v>2026-05</x:v>
      </x:c>
      <x:c r="O55" t="str">
        <x:v>Ausgabe</x:v>
      </x:c>
      <x:c r="P55" t="str">
        <x:v>Ist</x:v>
      </x:c>
      <x:c r="Q55" s="59" t="b">
        <x:v>0</x:v>
      </x:c>
      <x:c r="R55" t="str">
        <x:v>kein_transfer</x:v>
      </x:c>
      <x:c r="S55"/>
      <x:c r="T55"/>
      <x:c r="U55"/>
      <x:c r="V55" s="59" t="b">
        <x:v>1</x:v>
      </x:c>
      <x:c r="W55"/>
      <x:c r="X55" t="str">
        <x:v>offen</x:v>
      </x:c>
      <x:c r="Y55" t="str">
        <x:v>Agent-Draft; Kategorie und Person pruefen</x:v>
      </x:c>
    </x:row>
    <x:row r="56">
      <x:c r="A56" t="str">
        <x:v>TXN-RAW-IMP-20260516-FULLDRAFT-000040</x:v>
      </x:c>
      <x:c r="B56" t="str">
        <x:v>RAW-IMP-20260516-FULLDRAFT-000040</x:v>
      </x:c>
      <x:c r="C56" t="str">
        <x:v>KTO001</x:v>
      </x:c>
      <x:c r="D56"/>
      <x:c r="E56" t="str">
        <x:v>KAT013</x:v>
      </x:c>
      <x:c r="F56"/>
      <x:c r="G56"/>
      <x:c r="H56" t="str">
        <x:v>kein_match</x:v>
      </x:c>
      <x:c r="I56" t="str">
        <x:v>Agent-Draft: keine finale Regelentscheidung</x:v>
      </x:c>
      <x:c r="J56" t="n">
        <x:v>46146</x:v>
      </x:c>
      <x:c r="K56"/>
      <x:c r="L56"/>
      <x:c r="M56" t="n">
        <x:v>-81.78</x:v>
      </x:c>
      <x:c r="N56" t="str">
        <x:v>2026-05</x:v>
      </x:c>
      <x:c r="O56" t="str">
        <x:v>Ausgabe</x:v>
      </x:c>
      <x:c r="P56" t="str">
        <x:v>Ist</x:v>
      </x:c>
      <x:c r="Q56" s="59" t="b">
        <x:v>0</x:v>
      </x:c>
      <x:c r="R56" t="str">
        <x:v>kein_transfer</x:v>
      </x:c>
      <x:c r="S56"/>
      <x:c r="T56"/>
      <x:c r="U56"/>
      <x:c r="V56" s="59" t="b">
        <x:v>1</x:v>
      </x:c>
      <x:c r="W56"/>
      <x:c r="X56" t="str">
        <x:v>offen</x:v>
      </x:c>
      <x:c r="Y56" t="str">
        <x:v>Agent-Draft; Kategorie und Person pruefen</x:v>
      </x:c>
    </x:row>
    <x:row r="57">
      <x:c r="A57" t="str">
        <x:v>TXN-RAW-IMP-20260516-FULLDRAFT-000041</x:v>
      </x:c>
      <x:c r="B57" t="str">
        <x:v>RAW-IMP-20260516-FULLDRAFT-000041</x:v>
      </x:c>
      <x:c r="C57" t="str">
        <x:v>KTO001</x:v>
      </x:c>
      <x:c r="D57"/>
      <x:c r="E57" t="str">
        <x:v>KAT013</x:v>
      </x:c>
      <x:c r="F57"/>
      <x:c r="G57"/>
      <x:c r="H57" t="str">
        <x:v>kein_match</x:v>
      </x:c>
      <x:c r="I57" t="str">
        <x:v>Agent-Draft: keine finale Regelentscheidung</x:v>
      </x:c>
      <x:c r="J57" t="n">
        <x:v>46146</x:v>
      </x:c>
      <x:c r="K57"/>
      <x:c r="L57"/>
      <x:c r="M57" t="n">
        <x:v>-100.52</x:v>
      </x:c>
      <x:c r="N57" t="str">
        <x:v>2026-05</x:v>
      </x:c>
      <x:c r="O57" t="str">
        <x:v>Ausgabe</x:v>
      </x:c>
      <x:c r="P57" t="str">
        <x:v>Ist</x:v>
      </x:c>
      <x:c r="Q57" s="59" t="b">
        <x:v>0</x:v>
      </x:c>
      <x:c r="R57" t="str">
        <x:v>kein_transfer</x:v>
      </x:c>
      <x:c r="S57"/>
      <x:c r="T57"/>
      <x:c r="U57"/>
      <x:c r="V57" s="59" t="b">
        <x:v>1</x:v>
      </x:c>
      <x:c r="W57"/>
      <x:c r="X57" t="str">
        <x:v>offen</x:v>
      </x:c>
      <x:c r="Y57" t="str">
        <x:v>Agent-Draft; Kategorie und Person pruefen</x:v>
      </x:c>
    </x:row>
    <x:row r="58">
      <x:c r="A58" t="str">
        <x:v>TXN-RAW-IMP-20260516-FULLDRAFT-000042</x:v>
      </x:c>
      <x:c r="B58" t="str">
        <x:v>RAW-IMP-20260516-FULLDRAFT-000042</x:v>
      </x:c>
      <x:c r="C58" t="str">
        <x:v>KTO001</x:v>
      </x:c>
      <x:c r="D58"/>
      <x:c r="E58" t="str">
        <x:v>KAT013</x:v>
      </x:c>
      <x:c r="F58"/>
      <x:c r="G58"/>
      <x:c r="H58" t="str">
        <x:v>kein_match</x:v>
      </x:c>
      <x:c r="I58" t="str">
        <x:v>Agent-Draft: keine finale Regelentscheidung</x:v>
      </x:c>
      <x:c r="J58" t="n">
        <x:v>46146</x:v>
      </x:c>
      <x:c r="K58"/>
      <x:c r="L58"/>
      <x:c r="M58" t="n">
        <x:v>-73.09</x:v>
      </x:c>
      <x:c r="N58" t="str">
        <x:v>2026-05</x:v>
      </x:c>
      <x:c r="O58" t="str">
        <x:v>Ausgabe</x:v>
      </x:c>
      <x:c r="P58" t="str">
        <x:v>Ist</x:v>
      </x:c>
      <x:c r="Q58" s="59" t="b">
        <x:v>0</x:v>
      </x:c>
      <x:c r="R58" t="str">
        <x:v>kein_transfer</x:v>
      </x:c>
      <x:c r="S58"/>
      <x:c r="T58"/>
      <x:c r="U58"/>
      <x:c r="V58" s="59" t="b">
        <x:v>1</x:v>
      </x:c>
      <x:c r="W58"/>
      <x:c r="X58" t="str">
        <x:v>offen</x:v>
      </x:c>
      <x:c r="Y58" t="str">
        <x:v>Agent-Draft; Kategorie und Person pruefen</x:v>
      </x:c>
    </x:row>
    <x:row r="59">
      <x:c r="A59" t="str">
        <x:v>TXN-RAW-IMP-20260516-FULLDRAFT-000043</x:v>
      </x:c>
      <x:c r="B59" t="str">
        <x:v>RAW-IMP-20260516-FULLDRAFT-000043</x:v>
      </x:c>
      <x:c r="C59" t="str">
        <x:v>KTO001</x:v>
      </x:c>
      <x:c r="D59"/>
      <x:c r="E59" t="str">
        <x:v>KAT013</x:v>
      </x:c>
      <x:c r="F59"/>
      <x:c r="G59"/>
      <x:c r="H59" t="str">
        <x:v>kein_match</x:v>
      </x:c>
      <x:c r="I59" t="str">
        <x:v>Agent-Draft: keine finale Regelentscheidung</x:v>
      </x:c>
      <x:c r="J59" t="n">
        <x:v>46146</x:v>
      </x:c>
      <x:c r="K59"/>
      <x:c r="L59"/>
      <x:c r="M59" t="n">
        <x:v>-49</x:v>
      </x:c>
      <x:c r="N59" t="str">
        <x:v>2026-05</x:v>
      </x:c>
      <x:c r="O59" t="str">
        <x:v>Ausgabe</x:v>
      </x:c>
      <x:c r="P59" t="str">
        <x:v>Ist</x:v>
      </x:c>
      <x:c r="Q59" s="59" t="b">
        <x:v>0</x:v>
      </x:c>
      <x:c r="R59" t="str">
        <x:v>kein_transfer</x:v>
      </x:c>
      <x:c r="S59"/>
      <x:c r="T59"/>
      <x:c r="U59"/>
      <x:c r="V59" s="59" t="b">
        <x:v>1</x:v>
      </x:c>
      <x:c r="W59"/>
      <x:c r="X59" t="str">
        <x:v>offen</x:v>
      </x:c>
      <x:c r="Y59" t="str">
        <x:v>Agent-Draft; Kategorie und Person pruefen</x:v>
      </x:c>
    </x:row>
    <x:row r="60">
      <x:c r="A60" t="str">
        <x:v>TXN-RAW-IMP-20260516-FULLDRAFT-000044</x:v>
      </x:c>
      <x:c r="B60" t="str">
        <x:v>RAW-IMP-20260516-FULLDRAFT-000044</x:v>
      </x:c>
      <x:c r="C60" t="str">
        <x:v>KTO001</x:v>
      </x:c>
      <x:c r="D60"/>
      <x:c r="E60" t="str">
        <x:v>KAT013</x:v>
      </x:c>
      <x:c r="F60"/>
      <x:c r="G60"/>
      <x:c r="H60" t="str">
        <x:v>kein_match</x:v>
      </x:c>
      <x:c r="I60" t="str">
        <x:v>Agent-Draft: keine finale Regelentscheidung</x:v>
      </x:c>
      <x:c r="J60" t="n">
        <x:v>46146</x:v>
      </x:c>
      <x:c r="K60"/>
      <x:c r="L60"/>
      <x:c r="M60" t="n">
        <x:v>-162.17</x:v>
      </x:c>
      <x:c r="N60" t="str">
        <x:v>2026-05</x:v>
      </x:c>
      <x:c r="O60" t="str">
        <x:v>Ausgabe</x:v>
      </x:c>
      <x:c r="P60" t="str">
        <x:v>Ist</x:v>
      </x:c>
      <x:c r="Q60" s="59" t="b">
        <x:v>0</x:v>
      </x:c>
      <x:c r="R60" t="str">
        <x:v>kein_transfer</x:v>
      </x:c>
      <x:c r="S60"/>
      <x:c r="T60"/>
      <x:c r="U60"/>
      <x:c r="V60" s="59" t="b">
        <x:v>1</x:v>
      </x:c>
      <x:c r="W60"/>
      <x:c r="X60" t="str">
        <x:v>offen</x:v>
      </x:c>
      <x:c r="Y60" t="str">
        <x:v>Agent-Draft; Kategorie und Person pruefen</x:v>
      </x:c>
    </x:row>
    <x:row r="61">
      <x:c r="A61" t="str">
        <x:v>TXN-RAW-IMP-20260516-FULLDRAFT-000045</x:v>
      </x:c>
      <x:c r="B61" t="str">
        <x:v>RAW-IMP-20260516-FULLDRAFT-000045</x:v>
      </x:c>
      <x:c r="C61" t="str">
        <x:v>KTO001</x:v>
      </x:c>
      <x:c r="D61"/>
      <x:c r="E61" t="str">
        <x:v>KAT013</x:v>
      </x:c>
      <x:c r="F61"/>
      <x:c r="G61"/>
      <x:c r="H61" t="str">
        <x:v>kein_match</x:v>
      </x:c>
      <x:c r="I61" t="str">
        <x:v>Agent-Draft: keine finale Regelentscheidung</x:v>
      </x:c>
      <x:c r="J61" t="n">
        <x:v>46146</x:v>
      </x:c>
      <x:c r="K61"/>
      <x:c r="L61"/>
      <x:c r="M61" t="n">
        <x:v>-452.71</x:v>
      </x:c>
      <x:c r="N61" t="str">
        <x:v>2026-05</x:v>
      </x:c>
      <x:c r="O61" t="str">
        <x:v>Ausgabe</x:v>
      </x:c>
      <x:c r="P61" t="str">
        <x:v>Ist</x:v>
      </x:c>
      <x:c r="Q61" s="59" t="b">
        <x:v>0</x:v>
      </x:c>
      <x:c r="R61" t="str">
        <x:v>kein_transfer</x:v>
      </x:c>
      <x:c r="S61"/>
      <x:c r="T61"/>
      <x:c r="U61"/>
      <x:c r="V61" s="59" t="b">
        <x:v>1</x:v>
      </x:c>
      <x:c r="W61"/>
      <x:c r="X61" t="str">
        <x:v>offen</x:v>
      </x:c>
      <x:c r="Y61" t="str">
        <x:v>Agent-Draft; Kategorie und Person pruefen</x:v>
      </x:c>
    </x:row>
    <x:row r="62">
      <x:c r="A62" t="str">
        <x:v>TXN-RAW-IMP-20260516-FULLDRAFT-000046</x:v>
      </x:c>
      <x:c r="B62" t="str">
        <x:v>RAW-IMP-20260516-FULLDRAFT-000046</x:v>
      </x:c>
      <x:c r="C62" t="str">
        <x:v>KTO001</x:v>
      </x:c>
      <x:c r="D62"/>
      <x:c r="E62" t="str">
        <x:v>KAT013</x:v>
      </x:c>
      <x:c r="F62"/>
      <x:c r="G62"/>
      <x:c r="H62" t="str">
        <x:v>kein_match</x:v>
      </x:c>
      <x:c r="I62" t="str">
        <x:v>Agent-Draft: keine finale Regelentscheidung</x:v>
      </x:c>
      <x:c r="J62" t="n">
        <x:v>46146</x:v>
      </x:c>
      <x:c r="K62"/>
      <x:c r="L62"/>
      <x:c r="M62" t="n">
        <x:v>-600</x:v>
      </x:c>
      <x:c r="N62" t="str">
        <x:v>2026-05</x:v>
      </x:c>
      <x:c r="O62" t="str">
        <x:v>Ausgabe</x:v>
      </x:c>
      <x:c r="P62" t="str">
        <x:v>Ist</x:v>
      </x:c>
      <x:c r="Q62" s="59" t="b">
        <x:v>0</x:v>
      </x:c>
      <x:c r="R62" t="str">
        <x:v>kein_transfer</x:v>
      </x:c>
      <x:c r="S62"/>
      <x:c r="T62"/>
      <x:c r="U62"/>
      <x:c r="V62" s="59" t="b">
        <x:v>1</x:v>
      </x:c>
      <x:c r="W62"/>
      <x:c r="X62" t="str">
        <x:v>offen</x:v>
      </x:c>
      <x:c r="Y62" t="str">
        <x:v>Agent-Draft; Kategorie und Person pruefen</x:v>
      </x:c>
    </x:row>
    <x:row r="63">
      <x:c r="A63" t="str">
        <x:v>TXN-RAW-IMP-20260516-FULLDRAFT-000047</x:v>
      </x:c>
      <x:c r="B63" t="str">
        <x:v>RAW-IMP-20260516-FULLDRAFT-000047</x:v>
      </x:c>
      <x:c r="C63" t="str">
        <x:v>KTO001</x:v>
      </x:c>
      <x:c r="D63"/>
      <x:c r="E63" t="str">
        <x:v>KAT013</x:v>
      </x:c>
      <x:c r="F63"/>
      <x:c r="G63"/>
      <x:c r="H63" t="str">
        <x:v>kein_match</x:v>
      </x:c>
      <x:c r="I63" t="str">
        <x:v>Agent-Draft: keine finale Regelentscheidung</x:v>
      </x:c>
      <x:c r="J63" t="n">
        <x:v>46146</x:v>
      </x:c>
      <x:c r="K63"/>
      <x:c r="L63"/>
      <x:c r="M63" t="n">
        <x:v>-60</x:v>
      </x:c>
      <x:c r="N63" t="str">
        <x:v>2026-05</x:v>
      </x:c>
      <x:c r="O63" t="str">
        <x:v>Ausgabe</x:v>
      </x:c>
      <x:c r="P63" t="str">
        <x:v>Ist</x:v>
      </x:c>
      <x:c r="Q63" s="59" t="b">
        <x:v>0</x:v>
      </x:c>
      <x:c r="R63" t="str">
        <x:v>kein_transfer</x:v>
      </x:c>
      <x:c r="S63"/>
      <x:c r="T63"/>
      <x:c r="U63"/>
      <x:c r="V63" s="59" t="b">
        <x:v>1</x:v>
      </x:c>
      <x:c r="W63"/>
      <x:c r="X63" t="str">
        <x:v>offen</x:v>
      </x:c>
      <x:c r="Y63" t="str">
        <x:v>Agent-Draft; Kategorie und Person pruefen</x:v>
      </x:c>
    </x:row>
    <x:row r="64">
      <x:c r="A64" t="str">
        <x:v>TXN-RAW-IMP-20260516-FULLDRAFT-000048</x:v>
      </x:c>
      <x:c r="B64" t="str">
        <x:v>RAW-IMP-20260516-FULLDRAFT-000048</x:v>
      </x:c>
      <x:c r="C64" t="str">
        <x:v>KTO001</x:v>
      </x:c>
      <x:c r="D64"/>
      <x:c r="E64" t="str">
        <x:v>KAT013</x:v>
      </x:c>
      <x:c r="F64"/>
      <x:c r="G64"/>
      <x:c r="H64" t="str">
        <x:v>kein_match</x:v>
      </x:c>
      <x:c r="I64" t="str">
        <x:v>Agent-Draft: keine finale Regelentscheidung</x:v>
      </x:c>
      <x:c r="J64" t="n">
        <x:v>46146</x:v>
      </x:c>
      <x:c r="K64"/>
      <x:c r="L64"/>
      <x:c r="M64" t="n">
        <x:v>-1800</x:v>
      </x:c>
      <x:c r="N64" t="str">
        <x:v>2026-05</x:v>
      </x:c>
      <x:c r="O64" t="str">
        <x:v>Ausgabe</x:v>
      </x:c>
      <x:c r="P64" t="str">
        <x:v>Ist</x:v>
      </x:c>
      <x:c r="Q64" s="59" t="b">
        <x:v>0</x:v>
      </x:c>
      <x:c r="R64" t="str">
        <x:v>kein_transfer</x:v>
      </x:c>
      <x:c r="S64"/>
      <x:c r="T64"/>
      <x:c r="U64"/>
      <x:c r="V64" s="59" t="b">
        <x:v>1</x:v>
      </x:c>
      <x:c r="W64"/>
      <x:c r="X64" t="str">
        <x:v>offen</x:v>
      </x:c>
      <x:c r="Y64" t="str">
        <x:v>Agent-Draft; Kategorie und Person pruefen</x:v>
      </x:c>
    </x:row>
    <x:row r="65">
      <x:c r="A65" t="str">
        <x:v>TXN-RAW-IMP-20260516-FULLDRAFT-000049</x:v>
      </x:c>
      <x:c r="B65" t="str">
        <x:v>RAW-IMP-20260516-FULLDRAFT-000049</x:v>
      </x:c>
      <x:c r="C65" t="str">
        <x:v>KTO001</x:v>
      </x:c>
      <x:c r="D65"/>
      <x:c r="E65" t="str">
        <x:v>KAT013</x:v>
      </x:c>
      <x:c r="F65"/>
      <x:c r="G65"/>
      <x:c r="H65" t="str">
        <x:v>kein_match</x:v>
      </x:c>
      <x:c r="I65" t="str">
        <x:v>Agent-Draft: keine finale Regelentscheidung</x:v>
      </x:c>
      <x:c r="J65" t="n">
        <x:v>46146</x:v>
      </x:c>
      <x:c r="K65"/>
      <x:c r="L65"/>
      <x:c r="M65" t="n">
        <x:v>-1400</x:v>
      </x:c>
      <x:c r="N65" t="str">
        <x:v>2026-05</x:v>
      </x:c>
      <x:c r="O65" t="str">
        <x:v>Ausgabe</x:v>
      </x:c>
      <x:c r="P65" t="str">
        <x:v>Ist</x:v>
      </x:c>
      <x:c r="Q65" s="59" t="b">
        <x:v>0</x:v>
      </x:c>
      <x:c r="R65" t="str">
        <x:v>kein_transfer</x:v>
      </x:c>
      <x:c r="S65"/>
      <x:c r="T65"/>
      <x:c r="U65"/>
      <x:c r="V65" s="59" t="b">
        <x:v>1</x:v>
      </x:c>
      <x:c r="W65"/>
      <x:c r="X65" t="str">
        <x:v>offen</x:v>
      </x:c>
      <x:c r="Y65" t="str">
        <x:v>Agent-Draft; Kategorie und Person pruefen</x:v>
      </x:c>
    </x:row>
    <x:row r="66">
      <x:c r="A66" t="str">
        <x:v>TXN-RAW-IMP-20260516-FULLDRAFT-000050</x:v>
      </x:c>
      <x:c r="B66" t="str">
        <x:v>RAW-IMP-20260516-FULLDRAFT-000050</x:v>
      </x:c>
      <x:c r="C66" t="str">
        <x:v>KTO001</x:v>
      </x:c>
      <x:c r="D66"/>
      <x:c r="E66" t="str">
        <x:v>KAT013</x:v>
      </x:c>
      <x:c r="F66"/>
      <x:c r="G66"/>
      <x:c r="H66" t="str">
        <x:v>kein_match</x:v>
      </x:c>
      <x:c r="I66" t="str">
        <x:v>Agent-Draft: keine finale Regelentscheidung</x:v>
      </x:c>
      <x:c r="J66" t="n">
        <x:v>46142</x:v>
      </x:c>
      <x:c r="K66"/>
      <x:c r="L66"/>
      <x:c r="M66" t="n">
        <x:v>-650</x:v>
      </x:c>
      <x:c r="N66" t="str">
        <x:v>2026-04</x:v>
      </x:c>
      <x:c r="O66" t="str">
        <x:v>Ausgabe</x:v>
      </x:c>
      <x:c r="P66" t="str">
        <x:v>Ist</x:v>
      </x:c>
      <x:c r="Q66" s="59" t="b">
        <x:v>0</x:v>
      </x:c>
      <x:c r="R66" t="str">
        <x:v>kein_transfer</x:v>
      </x:c>
      <x:c r="S66"/>
      <x:c r="T66"/>
      <x:c r="U66"/>
      <x:c r="V66" s="59" t="b">
        <x:v>1</x:v>
      </x:c>
      <x:c r="W66"/>
      <x:c r="X66" t="str">
        <x:v>offen</x:v>
      </x:c>
      <x:c r="Y66" t="str">
        <x:v>Agent-Draft; Kategorie und Person pruefen</x:v>
      </x:c>
    </x:row>
    <x:row r="67">
      <x:c r="A67" t="str">
        <x:v>TXN-RAW-IMP-20260516-FULLDRAFT-000051</x:v>
      </x:c>
      <x:c r="B67" t="str">
        <x:v>RAW-IMP-20260516-FULLDRAFT-000051</x:v>
      </x:c>
      <x:c r="C67" t="str">
        <x:v>KTO001</x:v>
      </x:c>
      <x:c r="D67"/>
      <x:c r="E67" t="str">
        <x:v>KAT013</x:v>
      </x:c>
      <x:c r="F67"/>
      <x:c r="G67"/>
      <x:c r="H67" t="str">
        <x:v>kein_match</x:v>
      </x:c>
      <x:c r="I67" t="str">
        <x:v>Agent-Draft: keine finale Regelentscheidung</x:v>
      </x:c>
      <x:c r="J67" t="n">
        <x:v>46142</x:v>
      </x:c>
      <x:c r="K67"/>
      <x:c r="L67"/>
      <x:c r="M67" t="n">
        <x:v>-21.99</x:v>
      </x:c>
      <x:c r="N67" t="str">
        <x:v>2026-04</x:v>
      </x:c>
      <x:c r="O67" t="str">
        <x:v>Ausgabe</x:v>
      </x:c>
      <x:c r="P67" t="str">
        <x:v>Ist</x:v>
      </x:c>
      <x:c r="Q67" s="59" t="b">
        <x:v>0</x:v>
      </x:c>
      <x:c r="R67" t="str">
        <x:v>kein_transfer</x:v>
      </x:c>
      <x:c r="S67"/>
      <x:c r="T67"/>
      <x:c r="U67"/>
      <x:c r="V67" s="59" t="b">
        <x:v>1</x:v>
      </x:c>
      <x:c r="W67"/>
      <x:c r="X67" t="str">
        <x:v>offen</x:v>
      </x:c>
      <x:c r="Y67" t="str">
        <x:v>Agent-Draft; Kategorie und Person pruefen</x:v>
      </x:c>
    </x:row>
    <x:row r="68">
      <x:c r="A68" t="str">
        <x:v>TXN-RAW-IMP-20260516-FULLDRAFT-000052</x:v>
      </x:c>
      <x:c r="B68" t="str">
        <x:v>RAW-IMP-20260516-FULLDRAFT-000052</x:v>
      </x:c>
      <x:c r="C68" t="str">
        <x:v>KTO001</x:v>
      </x:c>
      <x:c r="D68"/>
      <x:c r="E68" t="str">
        <x:v>KAT013</x:v>
      </x:c>
      <x:c r="F68"/>
      <x:c r="G68"/>
      <x:c r="H68" t="str">
        <x:v>kein_match</x:v>
      </x:c>
      <x:c r="I68" t="str">
        <x:v>Agent-Draft: keine finale Regelentscheidung</x:v>
      </x:c>
      <x:c r="J68" t="n">
        <x:v>46142</x:v>
      </x:c>
      <x:c r="K68"/>
      <x:c r="L68"/>
      <x:c r="M68" t="n">
        <x:v>-64.65</x:v>
      </x:c>
      <x:c r="N68" t="str">
        <x:v>2026-04</x:v>
      </x:c>
      <x:c r="O68" t="str">
        <x:v>Ausgabe</x:v>
      </x:c>
      <x:c r="P68" t="str">
        <x:v>Ist</x:v>
      </x:c>
      <x:c r="Q68" s="59" t="b">
        <x:v>0</x:v>
      </x:c>
      <x:c r="R68" t="str">
        <x:v>kein_transfer</x:v>
      </x:c>
      <x:c r="S68"/>
      <x:c r="T68"/>
      <x:c r="U68"/>
      <x:c r="V68" s="59" t="b">
        <x:v>1</x:v>
      </x:c>
      <x:c r="W68"/>
      <x:c r="X68" t="str">
        <x:v>offen</x:v>
      </x:c>
      <x:c r="Y68" t="str">
        <x:v>Agent-Draft; Kategorie und Person pruefen</x:v>
      </x:c>
    </x:row>
    <x:row r="69">
      <x:c r="A69" t="str">
        <x:v>TXN-RAW-IMP-20260516-FULLDRAFT-000053</x:v>
      </x:c>
      <x:c r="B69" t="str">
        <x:v>RAW-IMP-20260516-FULLDRAFT-000053</x:v>
      </x:c>
      <x:c r="C69" t="str">
        <x:v>KTO001</x:v>
      </x:c>
      <x:c r="D69"/>
      <x:c r="E69" t="str">
        <x:v>KAT013</x:v>
      </x:c>
      <x:c r="F69"/>
      <x:c r="G69"/>
      <x:c r="H69" t="str">
        <x:v>kein_match</x:v>
      </x:c>
      <x:c r="I69" t="str">
        <x:v>Agent-Draft: keine finale Regelentscheidung</x:v>
      </x:c>
      <x:c r="J69" t="n">
        <x:v>46142</x:v>
      </x:c>
      <x:c r="K69"/>
      <x:c r="L69"/>
      <x:c r="M69" t="n">
        <x:v>-219</x:v>
      </x:c>
      <x:c r="N69" t="str">
        <x:v>2026-04</x:v>
      </x:c>
      <x:c r="O69" t="str">
        <x:v>Ausgabe</x:v>
      </x:c>
      <x:c r="P69" t="str">
        <x:v>Ist</x:v>
      </x:c>
      <x:c r="Q69" s="59" t="b">
        <x:v>0</x:v>
      </x:c>
      <x:c r="R69" t="str">
        <x:v>kein_transfer</x:v>
      </x:c>
      <x:c r="S69"/>
      <x:c r="T69"/>
      <x:c r="U69"/>
      <x:c r="V69" s="59" t="b">
        <x:v>1</x:v>
      </x:c>
      <x:c r="W69"/>
      <x:c r="X69" t="str">
        <x:v>offen</x:v>
      </x:c>
      <x:c r="Y69" t="str">
        <x:v>Agent-Draft; Kategorie und Person pruefen</x:v>
      </x:c>
    </x:row>
    <x:row r="70">
      <x:c r="A70" t="str">
        <x:v>TXN-RAW-IMP-20260516-FULLDRAFT-000054</x:v>
      </x:c>
      <x:c r="B70" t="str">
        <x:v>RAW-IMP-20260516-FULLDRAFT-000054</x:v>
      </x:c>
      <x:c r="C70" t="str">
        <x:v>KTO001</x:v>
      </x:c>
      <x:c r="D70"/>
      <x:c r="E70" t="str">
        <x:v>KAT013</x:v>
      </x:c>
      <x:c r="F70"/>
      <x:c r="G70"/>
      <x:c r="H70" t="str">
        <x:v>kein_match</x:v>
      </x:c>
      <x:c r="I70" t="str">
        <x:v>Agent-Draft: keine finale Regelentscheidung</x:v>
      </x:c>
      <x:c r="J70" t="n">
        <x:v>46142</x:v>
      </x:c>
      <x:c r="K70"/>
      <x:c r="L70"/>
      <x:c r="M70" t="n">
        <x:v>-1153.94</x:v>
      </x:c>
      <x:c r="N70" t="str">
        <x:v>2026-04</x:v>
      </x:c>
      <x:c r="O70" t="str">
        <x:v>Ausgabe</x:v>
      </x:c>
      <x:c r="P70" t="str">
        <x:v>Ist</x:v>
      </x:c>
      <x:c r="Q70" s="59" t="b">
        <x:v>0</x:v>
      </x:c>
      <x:c r="R70" t="str">
        <x:v>kein_transfer</x:v>
      </x:c>
      <x:c r="S70"/>
      <x:c r="T70"/>
      <x:c r="U70"/>
      <x:c r="V70" s="59" t="b">
        <x:v>1</x:v>
      </x:c>
      <x:c r="W70"/>
      <x:c r="X70" t="str">
        <x:v>offen</x:v>
      </x:c>
      <x:c r="Y70" t="str">
        <x:v>Agent-Draft; Kategorie und Person pruefen</x:v>
      </x:c>
    </x:row>
    <x:row r="71">
      <x:c r="A71" t="str">
        <x:v>TXN-RAW-IMP-20260516-FULLDRAFT-000055</x:v>
      </x:c>
      <x:c r="B71" t="str">
        <x:v>RAW-IMP-20260516-FULLDRAFT-000055</x:v>
      </x:c>
      <x:c r="C71" t="str">
        <x:v>KTO001</x:v>
      </x:c>
      <x:c r="D71"/>
      <x:c r="E71" t="str">
        <x:v>KAT013</x:v>
      </x:c>
      <x:c r="F71"/>
      <x:c r="G71"/>
      <x:c r="H71" t="str">
        <x:v>kein_match</x:v>
      </x:c>
      <x:c r="I71" t="str">
        <x:v>Agent-Draft: keine finale Regelentscheidung</x:v>
      </x:c>
      <x:c r="J71" t="n">
        <x:v>46142</x:v>
      </x:c>
      <x:c r="K71"/>
      <x:c r="L71"/>
      <x:c r="M71" t="n">
        <x:v>-20</x:v>
      </x:c>
      <x:c r="N71" t="str">
        <x:v>2026-04</x:v>
      </x:c>
      <x:c r="O71" t="str">
        <x:v>Ausgabe</x:v>
      </x:c>
      <x:c r="P71" t="str">
        <x:v>Ist</x:v>
      </x:c>
      <x:c r="Q71" s="59" t="b">
        <x:v>0</x:v>
      </x:c>
      <x:c r="R71" t="str">
        <x:v>kein_transfer</x:v>
      </x:c>
      <x:c r="S71"/>
      <x:c r="T71"/>
      <x:c r="U71"/>
      <x:c r="V71" s="59" t="b">
        <x:v>1</x:v>
      </x:c>
      <x:c r="W71"/>
      <x:c r="X71" t="str">
        <x:v>offen</x:v>
      </x:c>
      <x:c r="Y71" t="str">
        <x:v>Agent-Draft; Kategorie und Person pruefen</x:v>
      </x:c>
    </x:row>
    <x:row r="72">
      <x:c r="A72" t="str">
        <x:v>TXN-RAW-IMP-20260516-FULLDRAFT-000056</x:v>
      </x:c>
      <x:c r="B72" t="str">
        <x:v>RAW-IMP-20260516-FULLDRAFT-000056</x:v>
      </x:c>
      <x:c r="C72" t="str">
        <x:v>KTO001</x:v>
      </x:c>
      <x:c r="D72"/>
      <x:c r="E72" t="str">
        <x:v>KAT013</x:v>
      </x:c>
      <x:c r="F72"/>
      <x:c r="G72"/>
      <x:c r="H72" t="str">
        <x:v>kein_match</x:v>
      </x:c>
      <x:c r="I72" t="str">
        <x:v>Agent-Draft: keine finale Regelentscheidung</x:v>
      </x:c>
      <x:c r="J72" t="n">
        <x:v>46141</x:v>
      </x:c>
      <x:c r="K72"/>
      <x:c r="L72"/>
      <x:c r="M72" t="n">
        <x:v>-1.08</x:v>
      </x:c>
      <x:c r="N72" t="str">
        <x:v>2026-04</x:v>
      </x:c>
      <x:c r="O72" t="str">
        <x:v>Ausgabe</x:v>
      </x:c>
      <x:c r="P72" t="str">
        <x:v>Ist</x:v>
      </x:c>
      <x:c r="Q72" s="59" t="b">
        <x:v>0</x:v>
      </x:c>
      <x:c r="R72" t="str">
        <x:v>kein_transfer</x:v>
      </x:c>
      <x:c r="S72"/>
      <x:c r="T72"/>
      <x:c r="U72"/>
      <x:c r="V72" s="59" t="b">
        <x:v>1</x:v>
      </x:c>
      <x:c r="W72"/>
      <x:c r="X72" t="str">
        <x:v>offen</x:v>
      </x:c>
      <x:c r="Y72" t="str">
        <x:v>Agent-Draft; Kategorie und Person pruefen</x:v>
      </x:c>
    </x:row>
    <x:row r="73">
      <x:c r="A73" t="str">
        <x:v>TXN-RAW-IMP-20260516-FULLDRAFT-000057</x:v>
      </x:c>
      <x:c r="B73" t="str">
        <x:v>RAW-IMP-20260516-FULLDRAFT-000057</x:v>
      </x:c>
      <x:c r="C73" t="str">
        <x:v>KTO001</x:v>
      </x:c>
      <x:c r="D73"/>
      <x:c r="E73" t="str">
        <x:v>KAT013</x:v>
      </x:c>
      <x:c r="F73"/>
      <x:c r="G73"/>
      <x:c r="H73" t="str">
        <x:v>kein_match</x:v>
      </x:c>
      <x:c r="I73" t="str">
        <x:v>Agent-Draft: keine finale Regelentscheidung</x:v>
      </x:c>
      <x:c r="J73" t="n">
        <x:v>46141</x:v>
      </x:c>
      <x:c r="K73"/>
      <x:c r="L73"/>
      <x:c r="M73" t="n">
        <x:v>-9.49</x:v>
      </x:c>
      <x:c r="N73" t="str">
        <x:v>2026-04</x:v>
      </x:c>
      <x:c r="O73" t="str">
        <x:v>Ausgabe</x:v>
      </x:c>
      <x:c r="P73" t="str">
        <x:v>Ist</x:v>
      </x:c>
      <x:c r="Q73" s="59" t="b">
        <x:v>0</x:v>
      </x:c>
      <x:c r="R73" t="str">
        <x:v>kein_transfer</x:v>
      </x:c>
      <x:c r="S73"/>
      <x:c r="T73"/>
      <x:c r="U73"/>
      <x:c r="V73" s="59" t="b">
        <x:v>1</x:v>
      </x:c>
      <x:c r="W73"/>
      <x:c r="X73" t="str">
        <x:v>offen</x:v>
      </x:c>
      <x:c r="Y73" t="str">
        <x:v>Agent-Draft; Kategorie und Person pruefen</x:v>
      </x:c>
    </x:row>
    <x:row r="74">
      <x:c r="A74" t="str">
        <x:v>TXN-RAW-IMP-20260516-FULLDRAFT-000058</x:v>
      </x:c>
      <x:c r="B74" t="str">
        <x:v>RAW-IMP-20260516-FULLDRAFT-000058</x:v>
      </x:c>
      <x:c r="C74" t="str">
        <x:v>KTO001</x:v>
      </x:c>
      <x:c r="D74"/>
      <x:c r="E74" t="str">
        <x:v>KAT013</x:v>
      </x:c>
      <x:c r="F74"/>
      <x:c r="G74"/>
      <x:c r="H74" t="str">
        <x:v>kein_match</x:v>
      </x:c>
      <x:c r="I74" t="str">
        <x:v>Agent-Draft: keine finale Regelentscheidung</x:v>
      </x:c>
      <x:c r="J74" t="n">
        <x:v>46141</x:v>
      </x:c>
      <x:c r="K74"/>
      <x:c r="L74"/>
      <x:c r="M74" t="n">
        <x:v>-2.99</x:v>
      </x:c>
      <x:c r="N74" t="str">
        <x:v>2026-04</x:v>
      </x:c>
      <x:c r="O74" t="str">
        <x:v>Ausgabe</x:v>
      </x:c>
      <x:c r="P74" t="str">
        <x:v>Ist</x:v>
      </x:c>
      <x:c r="Q74" s="59" t="b">
        <x:v>0</x:v>
      </x:c>
      <x:c r="R74" t="str">
        <x:v>kein_transfer</x:v>
      </x:c>
      <x:c r="S74"/>
      <x:c r="T74"/>
      <x:c r="U74"/>
      <x:c r="V74" s="59" t="b">
        <x:v>1</x:v>
      </x:c>
      <x:c r="W74"/>
      <x:c r="X74" t="str">
        <x:v>offen</x:v>
      </x:c>
      <x:c r="Y74" t="str">
        <x:v>Agent-Draft; Kategorie und Person pruefen</x:v>
      </x:c>
    </x:row>
    <x:row r="75">
      <x:c r="A75" t="str">
        <x:v>TXN-RAW-IMP-20260516-FULLDRAFT-000059</x:v>
      </x:c>
      <x:c r="B75" t="str">
        <x:v>RAW-IMP-20260516-FULLDRAFT-000059</x:v>
      </x:c>
      <x:c r="C75" t="str">
        <x:v>KTO001</x:v>
      </x:c>
      <x:c r="D75"/>
      <x:c r="E75" t="str">
        <x:v>KAT013</x:v>
      </x:c>
      <x:c r="F75"/>
      <x:c r="G75"/>
      <x:c r="H75" t="str">
        <x:v>kein_match</x:v>
      </x:c>
      <x:c r="I75" t="str">
        <x:v>Agent-Draft: keine finale Regelentscheidung</x:v>
      </x:c>
      <x:c r="J75" t="n">
        <x:v>46141</x:v>
      </x:c>
      <x:c r="K75"/>
      <x:c r="L75"/>
      <x:c r="M75" t="n">
        <x:v>-15.52</x:v>
      </x:c>
      <x:c r="N75" t="str">
        <x:v>2026-04</x:v>
      </x:c>
      <x:c r="O75" t="str">
        <x:v>Ausgabe</x:v>
      </x:c>
      <x:c r="P75" t="str">
        <x:v>Ist</x:v>
      </x:c>
      <x:c r="Q75" s="59" t="b">
        <x:v>0</x:v>
      </x:c>
      <x:c r="R75" t="str">
        <x:v>kein_transfer</x:v>
      </x:c>
      <x:c r="S75"/>
      <x:c r="T75"/>
      <x:c r="U75"/>
      <x:c r="V75" s="59" t="b">
        <x:v>1</x:v>
      </x:c>
      <x:c r="W75"/>
      <x:c r="X75" t="str">
        <x:v>offen</x:v>
      </x:c>
      <x:c r="Y75" t="str">
        <x:v>Agent-Draft; Kategorie und Person pruefen</x:v>
      </x:c>
    </x:row>
    <x:row r="76">
      <x:c r="A76" t="str">
        <x:v>TXN-RAW-IMP-20260516-FULLDRAFT-000060</x:v>
      </x:c>
      <x:c r="B76" t="str">
        <x:v>RAW-IMP-20260516-FULLDRAFT-000060</x:v>
      </x:c>
      <x:c r="C76" t="str">
        <x:v>KTO001</x:v>
      </x:c>
      <x:c r="D76"/>
      <x:c r="E76" t="str">
        <x:v>KAT013</x:v>
      </x:c>
      <x:c r="F76"/>
      <x:c r="G76"/>
      <x:c r="H76" t="str">
        <x:v>kein_match</x:v>
      </x:c>
      <x:c r="I76" t="str">
        <x:v>Agent-Draft: keine finale Regelentscheidung</x:v>
      </x:c>
      <x:c r="J76" t="n">
        <x:v>46141</x:v>
      </x:c>
      <x:c r="K76"/>
      <x:c r="L76"/>
      <x:c r="M76" t="n">
        <x:v>-8</x:v>
      </x:c>
      <x:c r="N76" t="str">
        <x:v>2026-04</x:v>
      </x:c>
      <x:c r="O76" t="str">
        <x:v>Ausgabe</x:v>
      </x:c>
      <x:c r="P76" t="str">
        <x:v>Ist</x:v>
      </x:c>
      <x:c r="Q76" s="59" t="b">
        <x:v>0</x:v>
      </x:c>
      <x:c r="R76" t="str">
        <x:v>kein_transfer</x:v>
      </x:c>
      <x:c r="S76"/>
      <x:c r="T76"/>
      <x:c r="U76"/>
      <x:c r="V76" s="59" t="b">
        <x:v>1</x:v>
      </x:c>
      <x:c r="W76"/>
      <x:c r="X76" t="str">
        <x:v>offen</x:v>
      </x:c>
      <x:c r="Y76" t="str">
        <x:v>Agent-Draft; Kategorie und Person pruefen</x:v>
      </x:c>
    </x:row>
    <x:row r="77">
      <x:c r="A77" t="str">
        <x:v>TXN-RAW-IMP-20260516-FULLDRAFT-000061</x:v>
      </x:c>
      <x:c r="B77" t="str">
        <x:v>RAW-IMP-20260516-FULLDRAFT-000061</x:v>
      </x:c>
      <x:c r="C77" t="str">
        <x:v>KTO001</x:v>
      </x:c>
      <x:c r="D77"/>
      <x:c r="E77" t="str">
        <x:v>KAT013</x:v>
      </x:c>
      <x:c r="F77"/>
      <x:c r="G77"/>
      <x:c r="H77" t="str">
        <x:v>kein_match</x:v>
      </x:c>
      <x:c r="I77" t="str">
        <x:v>Agent-Draft: keine finale Regelentscheidung</x:v>
      </x:c>
      <x:c r="J77" t="n">
        <x:v>46140</x:v>
      </x:c>
      <x:c r="K77"/>
      <x:c r="L77"/>
      <x:c r="M77" t="n">
        <x:v>-14.37</x:v>
      </x:c>
      <x:c r="N77" t="str">
        <x:v>2026-04</x:v>
      </x:c>
      <x:c r="O77" t="str">
        <x:v>Ausgabe</x:v>
      </x:c>
      <x:c r="P77" t="str">
        <x:v>Ist</x:v>
      </x:c>
      <x:c r="Q77" s="59" t="b">
        <x:v>0</x:v>
      </x:c>
      <x:c r="R77" t="str">
        <x:v>kein_transfer</x:v>
      </x:c>
      <x:c r="S77"/>
      <x:c r="T77"/>
      <x:c r="U77"/>
      <x:c r="V77" s="59" t="b">
        <x:v>1</x:v>
      </x:c>
      <x:c r="W77"/>
      <x:c r="X77" t="str">
        <x:v>offen</x:v>
      </x:c>
      <x:c r="Y77" t="str">
        <x:v>Agent-Draft; Kategorie und Person pruefen</x:v>
      </x:c>
    </x:row>
    <x:row r="78">
      <x:c r="A78" t="str">
        <x:v>TXN-RAW-IMP-20260516-FULLDRAFT-000062</x:v>
      </x:c>
      <x:c r="B78" t="str">
        <x:v>RAW-IMP-20260516-FULLDRAFT-000062</x:v>
      </x:c>
      <x:c r="C78" t="str">
        <x:v>KTO001</x:v>
      </x:c>
      <x:c r="D78"/>
      <x:c r="E78" t="str">
        <x:v>KAT013</x:v>
      </x:c>
      <x:c r="F78"/>
      <x:c r="G78"/>
      <x:c r="H78" t="str">
        <x:v>kein_match</x:v>
      </x:c>
      <x:c r="I78" t="str">
        <x:v>Agent-Draft: keine finale Regelentscheidung</x:v>
      </x:c>
      <x:c r="J78" t="n">
        <x:v>46139</x:v>
      </x:c>
      <x:c r="K78"/>
      <x:c r="L78"/>
      <x:c r="M78" t="n">
        <x:v>7818.53</x:v>
      </x:c>
      <x:c r="N78" t="str">
        <x:v>2026-04</x:v>
      </x:c>
      <x:c r="O78" t="str">
        <x:v>Einnahme</x:v>
      </x:c>
      <x:c r="P78" t="str">
        <x:v>Ist</x:v>
      </x:c>
      <x:c r="Q78" s="59" t="b">
        <x:v>0</x:v>
      </x:c>
      <x:c r="R78" t="str">
        <x:v>kein_transfer</x:v>
      </x:c>
      <x:c r="S78"/>
      <x:c r="T78"/>
      <x:c r="U78"/>
      <x:c r="V78" s="59" t="b">
        <x:v>1</x:v>
      </x:c>
      <x:c r="W78"/>
      <x:c r="X78" t="str">
        <x:v>offen</x:v>
      </x:c>
      <x:c r="Y78" t="str">
        <x:v>Agent-Draft; Kategorie und Person pruefen</x:v>
      </x:c>
    </x:row>
    <x:row r="79">
      <x:c r="A79" t="str">
        <x:v>TXN-RAW-IMP-20260516-FULLDRAFT-000063</x:v>
      </x:c>
      <x:c r="B79" t="str">
        <x:v>RAW-IMP-20260516-FULLDRAFT-000063</x:v>
      </x:c>
      <x:c r="C79" t="str">
        <x:v>KTO001</x:v>
      </x:c>
      <x:c r="D79"/>
      <x:c r="E79" t="str">
        <x:v>KAT013</x:v>
      </x:c>
      <x:c r="F79"/>
      <x:c r="G79"/>
      <x:c r="H79" t="str">
        <x:v>kein_match</x:v>
      </x:c>
      <x:c r="I79" t="str">
        <x:v>Agent-Draft: keine finale Regelentscheidung</x:v>
      </x:c>
      <x:c r="J79" t="n">
        <x:v>46139</x:v>
      </x:c>
      <x:c r="K79"/>
      <x:c r="L79"/>
      <x:c r="M79" t="n">
        <x:v>-27.61</x:v>
      </x:c>
      <x:c r="N79" t="str">
        <x:v>2026-04</x:v>
      </x:c>
      <x:c r="O79" t="str">
        <x:v>Ausgabe</x:v>
      </x:c>
      <x:c r="P79" t="str">
        <x:v>Ist</x:v>
      </x:c>
      <x:c r="Q79" s="59" t="b">
        <x:v>0</x:v>
      </x:c>
      <x:c r="R79" t="str">
        <x:v>kein_transfer</x:v>
      </x:c>
      <x:c r="S79"/>
      <x:c r="T79"/>
      <x:c r="U79"/>
      <x:c r="V79" s="59" t="b">
        <x:v>1</x:v>
      </x:c>
      <x:c r="W79"/>
      <x:c r="X79" t="str">
        <x:v>offen</x:v>
      </x:c>
      <x:c r="Y79" t="str">
        <x:v>Agent-Draft; Kategorie und Person pruefen</x:v>
      </x:c>
    </x:row>
    <x:row r="80">
      <x:c r="A80" t="str">
        <x:v>TXN-RAW-IMP-20260516-FULLDRAFT-000064</x:v>
      </x:c>
      <x:c r="B80" t="str">
        <x:v>RAW-IMP-20260516-FULLDRAFT-000064</x:v>
      </x:c>
      <x:c r="C80" t="str">
        <x:v>KTO001</x:v>
      </x:c>
      <x:c r="D80"/>
      <x:c r="E80" t="str">
        <x:v>KAT013</x:v>
      </x:c>
      <x:c r="F80"/>
      <x:c r="G80"/>
      <x:c r="H80" t="str">
        <x:v>kein_match</x:v>
      </x:c>
      <x:c r="I80" t="str">
        <x:v>Agent-Draft: keine finale Regelentscheidung</x:v>
      </x:c>
      <x:c r="J80" t="n">
        <x:v>46139</x:v>
      </x:c>
      <x:c r="K80"/>
      <x:c r="L80"/>
      <x:c r="M80" t="n">
        <x:v>-5.4</x:v>
      </x:c>
      <x:c r="N80" t="str">
        <x:v>2026-04</x:v>
      </x:c>
      <x:c r="O80" t="str">
        <x:v>Ausgabe</x:v>
      </x:c>
      <x:c r="P80" t="str">
        <x:v>Ist</x:v>
      </x:c>
      <x:c r="Q80" s="59" t="b">
        <x:v>0</x:v>
      </x:c>
      <x:c r="R80" t="str">
        <x:v>kein_transfer</x:v>
      </x:c>
      <x:c r="S80"/>
      <x:c r="T80"/>
      <x:c r="U80"/>
      <x:c r="V80" s="59" t="b">
        <x:v>1</x:v>
      </x:c>
      <x:c r="W80"/>
      <x:c r="X80" t="str">
        <x:v>offen</x:v>
      </x:c>
      <x:c r="Y80" t="str">
        <x:v>Agent-Draft; Kategorie und Person pruefen</x:v>
      </x:c>
    </x:row>
    <x:row r="81">
      <x:c r="A81" t="str">
        <x:v>TXN-RAW-IMP-20260516-FULLDRAFT-000065</x:v>
      </x:c>
      <x:c r="B81" t="str">
        <x:v>RAW-IMP-20260516-FULLDRAFT-000065</x:v>
      </x:c>
      <x:c r="C81" t="str">
        <x:v>KTO001</x:v>
      </x:c>
      <x:c r="D81"/>
      <x:c r="E81" t="str">
        <x:v>KAT013</x:v>
      </x:c>
      <x:c r="F81"/>
      <x:c r="G81"/>
      <x:c r="H81" t="str">
        <x:v>kein_match</x:v>
      </x:c>
      <x:c r="I81" t="str">
        <x:v>Agent-Draft: keine finale Regelentscheidung</x:v>
      </x:c>
      <x:c r="J81" t="n">
        <x:v>46139</x:v>
      </x:c>
      <x:c r="K81"/>
      <x:c r="L81"/>
      <x:c r="M81" t="n">
        <x:v>-5.4</x:v>
      </x:c>
      <x:c r="N81" t="str">
        <x:v>2026-04</x:v>
      </x:c>
      <x:c r="O81" t="str">
        <x:v>Ausgabe</x:v>
      </x:c>
      <x:c r="P81" t="str">
        <x:v>Ist</x:v>
      </x:c>
      <x:c r="Q81" s="59" t="b">
        <x:v>0</x:v>
      </x:c>
      <x:c r="R81" t="str">
        <x:v>kein_transfer</x:v>
      </x:c>
      <x:c r="S81"/>
      <x:c r="T81"/>
      <x:c r="U81"/>
      <x:c r="V81" s="59" t="b">
        <x:v>1</x:v>
      </x:c>
      <x:c r="W81"/>
      <x:c r="X81" t="str">
        <x:v>offen</x:v>
      </x:c>
      <x:c r="Y81" t="str">
        <x:v>Agent-Draft; Kategorie und Person pruefen</x:v>
      </x:c>
    </x:row>
    <x:row r="82">
      <x:c r="A82" t="str">
        <x:v>TXN-RAW-IMP-20260516-FULLDRAFT-000066</x:v>
      </x:c>
      <x:c r="B82" t="str">
        <x:v>RAW-IMP-20260516-FULLDRAFT-000066</x:v>
      </x:c>
      <x:c r="C82" t="str">
        <x:v>KTO001</x:v>
      </x:c>
      <x:c r="D82"/>
      <x:c r="E82" t="str">
        <x:v>KAT013</x:v>
      </x:c>
      <x:c r="F82"/>
      <x:c r="G82"/>
      <x:c r="H82" t="str">
        <x:v>kein_match</x:v>
      </x:c>
      <x:c r="I82" t="str">
        <x:v>Agent-Draft: keine finale Regelentscheidung</x:v>
      </x:c>
      <x:c r="J82" t="n">
        <x:v>46139</x:v>
      </x:c>
      <x:c r="K82"/>
      <x:c r="L82"/>
      <x:c r="M82" t="n">
        <x:v>-25</x:v>
      </x:c>
      <x:c r="N82" t="str">
        <x:v>2026-04</x:v>
      </x:c>
      <x:c r="O82" t="str">
        <x:v>Ausgabe</x:v>
      </x:c>
      <x:c r="P82" t="str">
        <x:v>Ist</x:v>
      </x:c>
      <x:c r="Q82" s="59" t="b">
        <x:v>0</x:v>
      </x:c>
      <x:c r="R82" t="str">
        <x:v>kein_transfer</x:v>
      </x:c>
      <x:c r="S82"/>
      <x:c r="T82"/>
      <x:c r="U82"/>
      <x:c r="V82" s="59" t="b">
        <x:v>1</x:v>
      </x:c>
      <x:c r="W82"/>
      <x:c r="X82" t="str">
        <x:v>offen</x:v>
      </x:c>
      <x:c r="Y82" t="str">
        <x:v>Agent-Draft; Kategorie und Person pruefen</x:v>
      </x:c>
    </x:row>
    <x:row r="83">
      <x:c r="A83" t="str">
        <x:v>TXN-RAW-IMP-20260516-FULLDRAFT-000067</x:v>
      </x:c>
      <x:c r="B83" t="str">
        <x:v>RAW-IMP-20260516-FULLDRAFT-000067</x:v>
      </x:c>
      <x:c r="C83" t="str">
        <x:v>KTO001</x:v>
      </x:c>
      <x:c r="D83"/>
      <x:c r="E83" t="str">
        <x:v>KAT013</x:v>
      </x:c>
      <x:c r="F83"/>
      <x:c r="G83"/>
      <x:c r="H83" t="str">
        <x:v>kein_match</x:v>
      </x:c>
      <x:c r="I83" t="str">
        <x:v>Agent-Draft: keine finale Regelentscheidung</x:v>
      </x:c>
      <x:c r="J83" t="n">
        <x:v>46139</x:v>
      </x:c>
      <x:c r="K83"/>
      <x:c r="L83"/>
      <x:c r="M83" t="n">
        <x:v>-2.7</x:v>
      </x:c>
      <x:c r="N83" t="str">
        <x:v>2026-04</x:v>
      </x:c>
      <x:c r="O83" t="str">
        <x:v>Ausgabe</x:v>
      </x:c>
      <x:c r="P83" t="str">
        <x:v>Ist</x:v>
      </x:c>
      <x:c r="Q83" s="59" t="b">
        <x:v>0</x:v>
      </x:c>
      <x:c r="R83" t="str">
        <x:v>kein_transfer</x:v>
      </x:c>
      <x:c r="S83"/>
      <x:c r="T83"/>
      <x:c r="U83"/>
      <x:c r="V83" s="59" t="b">
        <x:v>1</x:v>
      </x:c>
      <x:c r="W83"/>
      <x:c r="X83" t="str">
        <x:v>offen</x:v>
      </x:c>
      <x:c r="Y83" t="str">
        <x:v>Agent-Draft; Kategorie und Person pruefen</x:v>
      </x:c>
    </x:row>
    <x:row r="84">
      <x:c r="A84" t="str">
        <x:v>TXN-RAW-IMP-20260516-FULLDRAFT-000068</x:v>
      </x:c>
      <x:c r="B84" t="str">
        <x:v>RAW-IMP-20260516-FULLDRAFT-000068</x:v>
      </x:c>
      <x:c r="C84" t="str">
        <x:v>KTO001</x:v>
      </x:c>
      <x:c r="D84"/>
      <x:c r="E84" t="str">
        <x:v>KAT013</x:v>
      </x:c>
      <x:c r="F84"/>
      <x:c r="G84"/>
      <x:c r="H84" t="str">
        <x:v>kein_match</x:v>
      </x:c>
      <x:c r="I84" t="str">
        <x:v>Agent-Draft: keine finale Regelentscheidung</x:v>
      </x:c>
      <x:c r="J84" t="n">
        <x:v>46136</x:v>
      </x:c>
      <x:c r="K84"/>
      <x:c r="L84"/>
      <x:c r="M84" t="n">
        <x:v>-11.97</x:v>
      </x:c>
      <x:c r="N84" t="str">
        <x:v>2026-04</x:v>
      </x:c>
      <x:c r="O84" t="str">
        <x:v>Ausgabe</x:v>
      </x:c>
      <x:c r="P84" t="str">
        <x:v>Ist</x:v>
      </x:c>
      <x:c r="Q84" s="59" t="b">
        <x:v>0</x:v>
      </x:c>
      <x:c r="R84" t="str">
        <x:v>kein_transfer</x:v>
      </x:c>
      <x:c r="S84"/>
      <x:c r="T84"/>
      <x:c r="U84"/>
      <x:c r="V84" s="59" t="b">
        <x:v>1</x:v>
      </x:c>
      <x:c r="W84"/>
      <x:c r="X84" t="str">
        <x:v>offen</x:v>
      </x:c>
      <x:c r="Y84" t="str">
        <x:v>Agent-Draft; Kategorie und Person pruefen</x:v>
      </x:c>
    </x:row>
    <x:row r="85">
      <x:c r="A85" t="str">
        <x:v>TXN-RAW-IMP-20260516-FULLDRAFT-000069</x:v>
      </x:c>
      <x:c r="B85" t="str">
        <x:v>RAW-IMP-20260516-FULLDRAFT-000069</x:v>
      </x:c>
      <x:c r="C85" t="str">
        <x:v>KTO001</x:v>
      </x:c>
      <x:c r="D85"/>
      <x:c r="E85" t="str">
        <x:v>KAT013</x:v>
      </x:c>
      <x:c r="F85"/>
      <x:c r="G85"/>
      <x:c r="H85" t="str">
        <x:v>kein_match</x:v>
      </x:c>
      <x:c r="I85" t="str">
        <x:v>Agent-Draft: keine finale Regelentscheidung</x:v>
      </x:c>
      <x:c r="J85" t="n">
        <x:v>46136</x:v>
      </x:c>
      <x:c r="K85"/>
      <x:c r="L85"/>
      <x:c r="M85" t="n">
        <x:v>-32.19</x:v>
      </x:c>
      <x:c r="N85" t="str">
        <x:v>2026-04</x:v>
      </x:c>
      <x:c r="O85" t="str">
        <x:v>Ausgabe</x:v>
      </x:c>
      <x:c r="P85" t="str">
        <x:v>Ist</x:v>
      </x:c>
      <x:c r="Q85" s="59" t="b">
        <x:v>0</x:v>
      </x:c>
      <x:c r="R85" t="str">
        <x:v>kein_transfer</x:v>
      </x:c>
      <x:c r="S85"/>
      <x:c r="T85"/>
      <x:c r="U85"/>
      <x:c r="V85" s="59" t="b">
        <x:v>1</x:v>
      </x:c>
      <x:c r="W85"/>
      <x:c r="X85" t="str">
        <x:v>offen</x:v>
      </x:c>
      <x:c r="Y85" t="str">
        <x:v>Agent-Draft; Kategorie und Person pruefen</x:v>
      </x:c>
    </x:row>
    <x:row r="86">
      <x:c r="A86" t="str">
        <x:v>TXN-RAW-IMP-20260516-FULLDRAFT-000070</x:v>
      </x:c>
      <x:c r="B86" t="str">
        <x:v>RAW-IMP-20260516-FULLDRAFT-000070</x:v>
      </x:c>
      <x:c r="C86" t="str">
        <x:v>KTO001</x:v>
      </x:c>
      <x:c r="D86"/>
      <x:c r="E86" t="str">
        <x:v>KAT013</x:v>
      </x:c>
      <x:c r="F86"/>
      <x:c r="G86"/>
      <x:c r="H86" t="str">
        <x:v>kein_match</x:v>
      </x:c>
      <x:c r="I86" t="str">
        <x:v>Agent-Draft: keine finale Regelentscheidung</x:v>
      </x:c>
      <x:c r="J86" t="n">
        <x:v>46136</x:v>
      </x:c>
      <x:c r="K86"/>
      <x:c r="L86"/>
      <x:c r="M86" t="n">
        <x:v>-11.99</x:v>
      </x:c>
      <x:c r="N86" t="str">
        <x:v>2026-04</x:v>
      </x:c>
      <x:c r="O86" t="str">
        <x:v>Ausgabe</x:v>
      </x:c>
      <x:c r="P86" t="str">
        <x:v>Ist</x:v>
      </x:c>
      <x:c r="Q86" s="59" t="b">
        <x:v>0</x:v>
      </x:c>
      <x:c r="R86" t="str">
        <x:v>kein_transfer</x:v>
      </x:c>
      <x:c r="S86"/>
      <x:c r="T86"/>
      <x:c r="U86"/>
      <x:c r="V86" s="59" t="b">
        <x:v>1</x:v>
      </x:c>
      <x:c r="W86"/>
      <x:c r="X86" t="str">
        <x:v>offen</x:v>
      </x:c>
      <x:c r="Y86" t="str">
        <x:v>Agent-Draft; Kategorie und Person pruefen</x:v>
      </x:c>
    </x:row>
    <x:row r="87">
      <x:c r="A87" t="str">
        <x:v>TXN-RAW-IMP-20260516-FULLDRAFT-000071</x:v>
      </x:c>
      <x:c r="B87" t="str">
        <x:v>RAW-IMP-20260516-FULLDRAFT-000071</x:v>
      </x:c>
      <x:c r="C87" t="str">
        <x:v>KTO001</x:v>
      </x:c>
      <x:c r="D87"/>
      <x:c r="E87" t="str">
        <x:v>KAT013</x:v>
      </x:c>
      <x:c r="F87"/>
      <x:c r="G87"/>
      <x:c r="H87" t="str">
        <x:v>kein_match</x:v>
      </x:c>
      <x:c r="I87" t="str">
        <x:v>Agent-Draft: keine finale Regelentscheidung</x:v>
      </x:c>
      <x:c r="J87" t="n">
        <x:v>46136</x:v>
      </x:c>
      <x:c r="K87"/>
      <x:c r="L87"/>
      <x:c r="M87" t="n">
        <x:v>-2.99</x:v>
      </x:c>
      <x:c r="N87" t="str">
        <x:v>2026-04</x:v>
      </x:c>
      <x:c r="O87" t="str">
        <x:v>Ausgabe</x:v>
      </x:c>
      <x:c r="P87" t="str">
        <x:v>Ist</x:v>
      </x:c>
      <x:c r="Q87" s="59" t="b">
        <x:v>0</x:v>
      </x:c>
      <x:c r="R87" t="str">
        <x:v>kein_transfer</x:v>
      </x:c>
      <x:c r="S87"/>
      <x:c r="T87"/>
      <x:c r="U87"/>
      <x:c r="V87" s="59" t="b">
        <x:v>1</x:v>
      </x:c>
      <x:c r="W87"/>
      <x:c r="X87" t="str">
        <x:v>offen</x:v>
      </x:c>
      <x:c r="Y87" t="str">
        <x:v>Agent-Draft; Kategorie und Person pruefen</x:v>
      </x:c>
    </x:row>
    <x:row r="88">
      <x:c r="A88" t="str">
        <x:v>TXN-RAW-IMP-20260516-FULLDRAFT-000072</x:v>
      </x:c>
      <x:c r="B88" t="str">
        <x:v>RAW-IMP-20260516-FULLDRAFT-000072</x:v>
      </x:c>
      <x:c r="C88" t="str">
        <x:v>KTO001</x:v>
      </x:c>
      <x:c r="D88"/>
      <x:c r="E88" t="str">
        <x:v>KAT013</x:v>
      </x:c>
      <x:c r="F88"/>
      <x:c r="G88"/>
      <x:c r="H88" t="str">
        <x:v>kein_match</x:v>
      </x:c>
      <x:c r="I88" t="str">
        <x:v>Agent-Draft: keine finale Regelentscheidung</x:v>
      </x:c>
      <x:c r="J88" t="n">
        <x:v>46135</x:v>
      </x:c>
      <x:c r="K88"/>
      <x:c r="L88"/>
      <x:c r="M88" t="n">
        <x:v>-7.79</x:v>
      </x:c>
      <x:c r="N88" t="str">
        <x:v>2026-04</x:v>
      </x:c>
      <x:c r="O88" t="str">
        <x:v>Ausgabe</x:v>
      </x:c>
      <x:c r="P88" t="str">
        <x:v>Ist</x:v>
      </x:c>
      <x:c r="Q88" s="59" t="b">
        <x:v>0</x:v>
      </x:c>
      <x:c r="R88" t="str">
        <x:v>kein_transfer</x:v>
      </x:c>
      <x:c r="S88"/>
      <x:c r="T88"/>
      <x:c r="U88"/>
      <x:c r="V88" s="59" t="b">
        <x:v>1</x:v>
      </x:c>
      <x:c r="W88"/>
      <x:c r="X88" t="str">
        <x:v>offen</x:v>
      </x:c>
      <x:c r="Y88" t="str">
        <x:v>Agent-Draft; Kategorie und Person pruefen</x:v>
      </x:c>
    </x:row>
    <x:row r="89">
      <x:c r="A89" t="str">
        <x:v>TXN-RAW-IMP-20260516-FULLDRAFT-000073</x:v>
      </x:c>
      <x:c r="B89" t="str">
        <x:v>RAW-IMP-20260516-FULLDRAFT-000073</x:v>
      </x:c>
      <x:c r="C89" t="str">
        <x:v>KTO001</x:v>
      </x:c>
      <x:c r="D89"/>
      <x:c r="E89" t="str">
        <x:v>KAT013</x:v>
      </x:c>
      <x:c r="F89"/>
      <x:c r="G89"/>
      <x:c r="H89" t="str">
        <x:v>kein_match</x:v>
      </x:c>
      <x:c r="I89" t="str">
        <x:v>Agent-Draft: keine finale Regelentscheidung</x:v>
      </x:c>
      <x:c r="J89" t="n">
        <x:v>46135</x:v>
      </x:c>
      <x:c r="K89"/>
      <x:c r="L89"/>
      <x:c r="M89" t="n">
        <x:v>-7.7</x:v>
      </x:c>
      <x:c r="N89" t="str">
        <x:v>2026-04</x:v>
      </x:c>
      <x:c r="O89" t="str">
        <x:v>Ausgabe</x:v>
      </x:c>
      <x:c r="P89" t="str">
        <x:v>Ist</x:v>
      </x:c>
      <x:c r="Q89" s="59" t="b">
        <x:v>0</x:v>
      </x:c>
      <x:c r="R89" t="str">
        <x:v>kein_transfer</x:v>
      </x:c>
      <x:c r="S89"/>
      <x:c r="T89"/>
      <x:c r="U89"/>
      <x:c r="V89" s="59" t="b">
        <x:v>1</x:v>
      </x:c>
      <x:c r="W89"/>
      <x:c r="X89" t="str">
        <x:v>offen</x:v>
      </x:c>
      <x:c r="Y89" t="str">
        <x:v>Agent-Draft; Kategorie und Person pruefen</x:v>
      </x:c>
    </x:row>
    <x:row r="90">
      <x:c r="A90" t="str">
        <x:v>TXN-RAW-IMP-20260516-FULLDRAFT-000074</x:v>
      </x:c>
      <x:c r="B90" t="str">
        <x:v>RAW-IMP-20260516-FULLDRAFT-000074</x:v>
      </x:c>
      <x:c r="C90" t="str">
        <x:v>KTO001</x:v>
      </x:c>
      <x:c r="D90"/>
      <x:c r="E90" t="str">
        <x:v>KAT013</x:v>
      </x:c>
      <x:c r="F90"/>
      <x:c r="G90"/>
      <x:c r="H90" t="str">
        <x:v>kein_match</x:v>
      </x:c>
      <x:c r="I90" t="str">
        <x:v>Agent-Draft: keine finale Regelentscheidung</x:v>
      </x:c>
      <x:c r="J90" t="n">
        <x:v>46135</x:v>
      </x:c>
      <x:c r="K90"/>
      <x:c r="L90"/>
      <x:c r="M90" t="n">
        <x:v>-38.01</x:v>
      </x:c>
      <x:c r="N90" t="str">
        <x:v>2026-04</x:v>
      </x:c>
      <x:c r="O90" t="str">
        <x:v>Ausgabe</x:v>
      </x:c>
      <x:c r="P90" t="str">
        <x:v>Ist</x:v>
      </x:c>
      <x:c r="Q90" s="59" t="b">
        <x:v>0</x:v>
      </x:c>
      <x:c r="R90" t="str">
        <x:v>kein_transfer</x:v>
      </x:c>
      <x:c r="S90"/>
      <x:c r="T90"/>
      <x:c r="U90"/>
      <x:c r="V90" s="59" t="b">
        <x:v>1</x:v>
      </x:c>
      <x:c r="W90"/>
      <x:c r="X90" t="str">
        <x:v>offen</x:v>
      </x:c>
      <x:c r="Y90" t="str">
        <x:v>Agent-Draft; Kategorie und Person pruefen</x:v>
      </x:c>
    </x:row>
    <x:row r="91">
      <x:c r="A91" t="str">
        <x:v>TXN-RAW-IMP-20260516-FULLDRAFT-000075</x:v>
      </x:c>
      <x:c r="B91" t="str">
        <x:v>RAW-IMP-20260516-FULLDRAFT-000075</x:v>
      </x:c>
      <x:c r="C91" t="str">
        <x:v>KTO001</x:v>
      </x:c>
      <x:c r="D91"/>
      <x:c r="E91" t="str">
        <x:v>KAT013</x:v>
      </x:c>
      <x:c r="F91"/>
      <x:c r="G91"/>
      <x:c r="H91" t="str">
        <x:v>kein_match</x:v>
      </x:c>
      <x:c r="I91" t="str">
        <x:v>Agent-Draft: keine finale Regelentscheidung</x:v>
      </x:c>
      <x:c r="J91" t="n">
        <x:v>46135</x:v>
      </x:c>
      <x:c r="K91"/>
      <x:c r="L91"/>
      <x:c r="M91" t="n">
        <x:v>-6.99</x:v>
      </x:c>
      <x:c r="N91" t="str">
        <x:v>2026-04</x:v>
      </x:c>
      <x:c r="O91" t="str">
        <x:v>Ausgabe</x:v>
      </x:c>
      <x:c r="P91" t="str">
        <x:v>Ist</x:v>
      </x:c>
      <x:c r="Q91" s="59" t="b">
        <x:v>0</x:v>
      </x:c>
      <x:c r="R91" t="str">
        <x:v>kein_transfer</x:v>
      </x:c>
      <x:c r="S91"/>
      <x:c r="T91"/>
      <x:c r="U91"/>
      <x:c r="V91" s="59" t="b">
        <x:v>1</x:v>
      </x:c>
      <x:c r="W91"/>
      <x:c r="X91" t="str">
        <x:v>offen</x:v>
      </x:c>
      <x:c r="Y91" t="str">
        <x:v>Agent-Draft; Kategorie und Person pruefen</x:v>
      </x:c>
    </x:row>
    <x:row r="92">
      <x:c r="A92" t="str">
        <x:v>TXN-RAW-IMP-20260516-FULLDRAFT-000076</x:v>
      </x:c>
      <x:c r="B92" t="str">
        <x:v>RAW-IMP-20260516-FULLDRAFT-000076</x:v>
      </x:c>
      <x:c r="C92" t="str">
        <x:v>KTO001</x:v>
      </x:c>
      <x:c r="D92"/>
      <x:c r="E92" t="str">
        <x:v>KAT013</x:v>
      </x:c>
      <x:c r="F92"/>
      <x:c r="G92"/>
      <x:c r="H92" t="str">
        <x:v>kein_match</x:v>
      </x:c>
      <x:c r="I92" t="str">
        <x:v>Agent-Draft: keine finale Regelentscheidung</x:v>
      </x:c>
      <x:c r="J92" t="n">
        <x:v>46135</x:v>
      </x:c>
      <x:c r="K92"/>
      <x:c r="L92"/>
      <x:c r="M92" t="n">
        <x:v>-17</x:v>
      </x:c>
      <x:c r="N92" t="str">
        <x:v>2026-04</x:v>
      </x:c>
      <x:c r="O92" t="str">
        <x:v>Ausgabe</x:v>
      </x:c>
      <x:c r="P92" t="str">
        <x:v>Ist</x:v>
      </x:c>
      <x:c r="Q92" s="59" t="b">
        <x:v>0</x:v>
      </x:c>
      <x:c r="R92" t="str">
        <x:v>kein_transfer</x:v>
      </x:c>
      <x:c r="S92"/>
      <x:c r="T92"/>
      <x:c r="U92"/>
      <x:c r="V92" s="59" t="b">
        <x:v>1</x:v>
      </x:c>
      <x:c r="W92"/>
      <x:c r="X92" t="str">
        <x:v>offen</x:v>
      </x:c>
      <x:c r="Y92" t="str">
        <x:v>Agent-Draft; Kategorie und Person pruefen</x:v>
      </x:c>
    </x:row>
    <x:row r="93">
      <x:c r="A93" t="str">
        <x:v>TXN-RAW-IMP-20260516-FULLDRAFT-000077</x:v>
      </x:c>
      <x:c r="B93" t="str">
        <x:v>RAW-IMP-20260516-FULLDRAFT-000077</x:v>
      </x:c>
      <x:c r="C93" t="str">
        <x:v>KTO001</x:v>
      </x:c>
      <x:c r="D93"/>
      <x:c r="E93" t="str">
        <x:v>KAT013</x:v>
      </x:c>
      <x:c r="F93"/>
      <x:c r="G93"/>
      <x:c r="H93" t="str">
        <x:v>kein_match</x:v>
      </x:c>
      <x:c r="I93" t="str">
        <x:v>Agent-Draft: keine finale Regelentscheidung</x:v>
      </x:c>
      <x:c r="J93" t="n">
        <x:v>46134</x:v>
      </x:c>
      <x:c r="K93"/>
      <x:c r="L93"/>
      <x:c r="M93" t="n">
        <x:v>-45.52</x:v>
      </x:c>
      <x:c r="N93" t="str">
        <x:v>2026-04</x:v>
      </x:c>
      <x:c r="O93" t="str">
        <x:v>Ausgabe</x:v>
      </x:c>
      <x:c r="P93" t="str">
        <x:v>Ist</x:v>
      </x:c>
      <x:c r="Q93" s="59" t="b">
        <x:v>0</x:v>
      </x:c>
      <x:c r="R93" t="str">
        <x:v>kein_transfer</x:v>
      </x:c>
      <x:c r="S93"/>
      <x:c r="T93"/>
      <x:c r="U93"/>
      <x:c r="V93" s="59" t="b">
        <x:v>1</x:v>
      </x:c>
      <x:c r="W93"/>
      <x:c r="X93" t="str">
        <x:v>offen</x:v>
      </x:c>
      <x:c r="Y93" t="str">
        <x:v>Agent-Draft; Kategorie und Person pruefen</x:v>
      </x:c>
    </x:row>
    <x:row r="94">
      <x:c r="A94" t="str">
        <x:v>TXN-RAW-IMP-20260516-FULLDRAFT-000078</x:v>
      </x:c>
      <x:c r="B94" t="str">
        <x:v>RAW-IMP-20260516-FULLDRAFT-000078</x:v>
      </x:c>
      <x:c r="C94" t="str">
        <x:v>KTO001</x:v>
      </x:c>
      <x:c r="D94"/>
      <x:c r="E94" t="str">
        <x:v>KAT013</x:v>
      </x:c>
      <x:c r="F94"/>
      <x:c r="G94"/>
      <x:c r="H94" t="str">
        <x:v>kein_match</x:v>
      </x:c>
      <x:c r="I94" t="str">
        <x:v>Agent-Draft: keine finale Regelentscheidung</x:v>
      </x:c>
      <x:c r="J94" t="n">
        <x:v>46134</x:v>
      </x:c>
      <x:c r="K94"/>
      <x:c r="L94"/>
      <x:c r="M94" t="n">
        <x:v>-6.99</x:v>
      </x:c>
      <x:c r="N94" t="str">
        <x:v>2026-04</x:v>
      </x:c>
      <x:c r="O94" t="str">
        <x:v>Ausgabe</x:v>
      </x:c>
      <x:c r="P94" t="str">
        <x:v>Ist</x:v>
      </x:c>
      <x:c r="Q94" s="59" t="b">
        <x:v>0</x:v>
      </x:c>
      <x:c r="R94" t="str">
        <x:v>kein_transfer</x:v>
      </x:c>
      <x:c r="S94"/>
      <x:c r="T94"/>
      <x:c r="U94"/>
      <x:c r="V94" s="59" t="b">
        <x:v>1</x:v>
      </x:c>
      <x:c r="W94"/>
      <x:c r="X94" t="str">
        <x:v>offen</x:v>
      </x:c>
      <x:c r="Y94" t="str">
        <x:v>Agent-Draft; Kategorie und Person pruefen</x:v>
      </x:c>
    </x:row>
    <x:row r="95">
      <x:c r="A95" t="str">
        <x:v>TXN-RAW-IMP-20260516-FULLDRAFT-000079</x:v>
      </x:c>
      <x:c r="B95" t="str">
        <x:v>RAW-IMP-20260516-FULLDRAFT-000079</x:v>
      </x:c>
      <x:c r="C95" t="str">
        <x:v>KTO001</x:v>
      </x:c>
      <x:c r="D95"/>
      <x:c r="E95" t="str">
        <x:v>KAT013</x:v>
      </x:c>
      <x:c r="F95"/>
      <x:c r="G95"/>
      <x:c r="H95" t="str">
        <x:v>kein_match</x:v>
      </x:c>
      <x:c r="I95" t="str">
        <x:v>Agent-Draft: keine finale Regelentscheidung</x:v>
      </x:c>
      <x:c r="J95" t="n">
        <x:v>46133</x:v>
      </x:c>
      <x:c r="K95"/>
      <x:c r="L95"/>
      <x:c r="M95" t="n">
        <x:v>-3.95</x:v>
      </x:c>
      <x:c r="N95" t="str">
        <x:v>2026-04</x:v>
      </x:c>
      <x:c r="O95" t="str">
        <x:v>Ausgabe</x:v>
      </x:c>
      <x:c r="P95" t="str">
        <x:v>Ist</x:v>
      </x:c>
      <x:c r="Q95" s="59" t="b">
        <x:v>0</x:v>
      </x:c>
      <x:c r="R95" t="str">
        <x:v>kein_transfer</x:v>
      </x:c>
      <x:c r="S95"/>
      <x:c r="T95"/>
      <x:c r="U95"/>
      <x:c r="V95" s="59" t="b">
        <x:v>1</x:v>
      </x:c>
      <x:c r="W95"/>
      <x:c r="X95" t="str">
        <x:v>offen</x:v>
      </x:c>
      <x:c r="Y95" t="str">
        <x:v>Agent-Draft; Kategorie und Person pruefen</x:v>
      </x:c>
    </x:row>
    <x:row r="96">
      <x:c r="A96" t="str">
        <x:v>TXN-RAW-IMP-20260516-FULLDRAFT-000080</x:v>
      </x:c>
      <x:c r="B96" t="str">
        <x:v>RAW-IMP-20260516-FULLDRAFT-000080</x:v>
      </x:c>
      <x:c r="C96" t="str">
        <x:v>KTO001</x:v>
      </x:c>
      <x:c r="D96"/>
      <x:c r="E96" t="str">
        <x:v>KAT013</x:v>
      </x:c>
      <x:c r="F96"/>
      <x:c r="G96"/>
      <x:c r="H96" t="str">
        <x:v>kein_match</x:v>
      </x:c>
      <x:c r="I96" t="str">
        <x:v>Agent-Draft: keine finale Regelentscheidung</x:v>
      </x:c>
      <x:c r="J96" t="n">
        <x:v>46133</x:v>
      </x:c>
      <x:c r="K96"/>
      <x:c r="L96"/>
      <x:c r="M96" t="n">
        <x:v>-6.99</x:v>
      </x:c>
      <x:c r="N96" t="str">
        <x:v>2026-04</x:v>
      </x:c>
      <x:c r="O96" t="str">
        <x:v>Ausgabe</x:v>
      </x:c>
      <x:c r="P96" t="str">
        <x:v>Ist</x:v>
      </x:c>
      <x:c r="Q96" s="59" t="b">
        <x:v>0</x:v>
      </x:c>
      <x:c r="R96" t="str">
        <x:v>kein_transfer</x:v>
      </x:c>
      <x:c r="S96"/>
      <x:c r="T96"/>
      <x:c r="U96"/>
      <x:c r="V96" s="59" t="b">
        <x:v>1</x:v>
      </x:c>
      <x:c r="W96"/>
      <x:c r="X96" t="str">
        <x:v>offen</x:v>
      </x:c>
      <x:c r="Y96" t="str">
        <x:v>Agent-Draft; Kategorie und Person pruefen</x:v>
      </x:c>
    </x:row>
    <x:row r="97">
      <x:c r="A97" t="str">
        <x:v>TXN-RAW-IMP-20260516-FULLDRAFT-000081</x:v>
      </x:c>
      <x:c r="B97" t="str">
        <x:v>RAW-IMP-20260516-FULLDRAFT-000081</x:v>
      </x:c>
      <x:c r="C97" t="str">
        <x:v>KTO001</x:v>
      </x:c>
      <x:c r="D97"/>
      <x:c r="E97" t="str">
        <x:v>KAT013</x:v>
      </x:c>
      <x:c r="F97"/>
      <x:c r="G97"/>
      <x:c r="H97" t="str">
        <x:v>kein_match</x:v>
      </x:c>
      <x:c r="I97" t="str">
        <x:v>Agent-Draft: keine finale Regelentscheidung</x:v>
      </x:c>
      <x:c r="J97" t="n">
        <x:v>46132</x:v>
      </x:c>
      <x:c r="K97"/>
      <x:c r="L97"/>
      <x:c r="M97" t="n">
        <x:v>-4.99</x:v>
      </x:c>
      <x:c r="N97" t="str">
        <x:v>2026-04</x:v>
      </x:c>
      <x:c r="O97" t="str">
        <x:v>Ausgabe</x:v>
      </x:c>
      <x:c r="P97" t="str">
        <x:v>Ist</x:v>
      </x:c>
      <x:c r="Q97" s="59" t="b">
        <x:v>0</x:v>
      </x:c>
      <x:c r="R97" t="str">
        <x:v>kein_transfer</x:v>
      </x:c>
      <x:c r="S97"/>
      <x:c r="T97"/>
      <x:c r="U97"/>
      <x:c r="V97" s="59" t="b">
        <x:v>1</x:v>
      </x:c>
      <x:c r="W97"/>
      <x:c r="X97" t="str">
        <x:v>offen</x:v>
      </x:c>
      <x:c r="Y97" t="str">
        <x:v>Agent-Draft; Kategorie und Person pruefen</x:v>
      </x:c>
    </x:row>
    <x:row r="98">
      <x:c r="A98" t="str">
        <x:v>TXN-RAW-IMP-20260516-FULLDRAFT-000082</x:v>
      </x:c>
      <x:c r="B98" t="str">
        <x:v>RAW-IMP-20260516-FULLDRAFT-000082</x:v>
      </x:c>
      <x:c r="C98" t="str">
        <x:v>KTO001</x:v>
      </x:c>
      <x:c r="D98"/>
      <x:c r="E98" t="str">
        <x:v>KAT013</x:v>
      </x:c>
      <x:c r="F98"/>
      <x:c r="G98"/>
      <x:c r="H98" t="str">
        <x:v>kein_match</x:v>
      </x:c>
      <x:c r="I98" t="str">
        <x:v>Agent-Draft: keine finale Regelentscheidung</x:v>
      </x:c>
      <x:c r="J98" t="n">
        <x:v>46132</x:v>
      </x:c>
      <x:c r="K98"/>
      <x:c r="L98"/>
      <x:c r="M98" t="n">
        <x:v>-3.24</x:v>
      </x:c>
      <x:c r="N98" t="str">
        <x:v>2026-04</x:v>
      </x:c>
      <x:c r="O98" t="str">
        <x:v>Ausgabe</x:v>
      </x:c>
      <x:c r="P98" t="str">
        <x:v>Ist</x:v>
      </x:c>
      <x:c r="Q98" s="59" t="b">
        <x:v>0</x:v>
      </x:c>
      <x:c r="R98" t="str">
        <x:v>kein_transfer</x:v>
      </x:c>
      <x:c r="S98"/>
      <x:c r="T98"/>
      <x:c r="U98"/>
      <x:c r="V98" s="59" t="b">
        <x:v>1</x:v>
      </x:c>
      <x:c r="W98"/>
      <x:c r="X98" t="str">
        <x:v>offen</x:v>
      </x:c>
      <x:c r="Y98" t="str">
        <x:v>Agent-Draft; Kategorie und Person pruefen</x:v>
      </x:c>
    </x:row>
    <x:row r="99">
      <x:c r="A99" t="str">
        <x:v>TXN-RAW-IMP-20260516-FULLDRAFT-000083</x:v>
      </x:c>
      <x:c r="B99" t="str">
        <x:v>RAW-IMP-20260516-FULLDRAFT-000083</x:v>
      </x:c>
      <x:c r="C99" t="str">
        <x:v>KTO001</x:v>
      </x:c>
      <x:c r="D99"/>
      <x:c r="E99" t="str">
        <x:v>KAT013</x:v>
      </x:c>
      <x:c r="F99"/>
      <x:c r="G99"/>
      <x:c r="H99" t="str">
        <x:v>kein_match</x:v>
      </x:c>
      <x:c r="I99" t="str">
        <x:v>Agent-Draft: keine finale Regelentscheidung</x:v>
      </x:c>
      <x:c r="J99" t="n">
        <x:v>46132</x:v>
      </x:c>
      <x:c r="K99"/>
      <x:c r="L99"/>
      <x:c r="M99" t="n">
        <x:v>-14.11</x:v>
      </x:c>
      <x:c r="N99" t="str">
        <x:v>2026-04</x:v>
      </x:c>
      <x:c r="O99" t="str">
        <x:v>Ausgabe</x:v>
      </x:c>
      <x:c r="P99" t="str">
        <x:v>Ist</x:v>
      </x:c>
      <x:c r="Q99" s="59" t="b">
        <x:v>0</x:v>
      </x:c>
      <x:c r="R99" t="str">
        <x:v>kein_transfer</x:v>
      </x:c>
      <x:c r="S99"/>
      <x:c r="T99"/>
      <x:c r="U99"/>
      <x:c r="V99" s="59" t="b">
        <x:v>1</x:v>
      </x:c>
      <x:c r="W99"/>
      <x:c r="X99" t="str">
        <x:v>offen</x:v>
      </x:c>
      <x:c r="Y99" t="str">
        <x:v>Agent-Draft; Kategorie und Person pruefen</x:v>
      </x:c>
    </x:row>
    <x:row r="100">
      <x:c r="A100" t="str">
        <x:v>TXN-RAW-IMP-20260516-FULLDRAFT-000084</x:v>
      </x:c>
      <x:c r="B100" t="str">
        <x:v>RAW-IMP-20260516-FULLDRAFT-000084</x:v>
      </x:c>
      <x:c r="C100" t="str">
        <x:v>KTO001</x:v>
      </x:c>
      <x:c r="D100"/>
      <x:c r="E100" t="str">
        <x:v>KAT013</x:v>
      </x:c>
      <x:c r="F100"/>
      <x:c r="G100"/>
      <x:c r="H100" t="str">
        <x:v>kein_match</x:v>
      </x:c>
      <x:c r="I100" t="str">
        <x:v>Agent-Draft: keine finale Regelentscheidung</x:v>
      </x:c>
      <x:c r="J100" t="n">
        <x:v>46132</x:v>
      </x:c>
      <x:c r="K100"/>
      <x:c r="L100"/>
      <x:c r="M100" t="n">
        <x:v>-223.95</x:v>
      </x:c>
      <x:c r="N100" t="str">
        <x:v>2026-04</x:v>
      </x:c>
      <x:c r="O100" t="str">
        <x:v>Ausgabe</x:v>
      </x:c>
      <x:c r="P100" t="str">
        <x:v>Ist</x:v>
      </x:c>
      <x:c r="Q100" s="59" t="b">
        <x:v>0</x:v>
      </x:c>
      <x:c r="R100" t="str">
        <x:v>kein_transfer</x:v>
      </x:c>
      <x:c r="S100"/>
      <x:c r="T100"/>
      <x:c r="U100"/>
      <x:c r="V100" s="59" t="b">
        <x:v>1</x:v>
      </x:c>
      <x:c r="W100"/>
      <x:c r="X100" t="str">
        <x:v>offen</x:v>
      </x:c>
      <x:c r="Y100" t="str">
        <x:v>Agent-Draft; Kategorie und Person pruefen</x:v>
      </x:c>
    </x:row>
    <x:row r="101">
      <x:c r="A101" t="str">
        <x:v>TXN-RAW-IMP-20260516-FULLDRAFT-000085</x:v>
      </x:c>
      <x:c r="B101" t="str">
        <x:v>RAW-IMP-20260516-FULLDRAFT-000085</x:v>
      </x:c>
      <x:c r="C101" t="str">
        <x:v>KTO001</x:v>
      </x:c>
      <x:c r="D101"/>
      <x:c r="E101" t="str">
        <x:v>KAT013</x:v>
      </x:c>
      <x:c r="F101"/>
      <x:c r="G101"/>
      <x:c r="H101" t="str">
        <x:v>kein_match</x:v>
      </x:c>
      <x:c r="I101" t="str">
        <x:v>Agent-Draft: keine finale Regelentscheidung</x:v>
      </x:c>
      <x:c r="J101" t="n">
        <x:v>46132</x:v>
      </x:c>
      <x:c r="K101"/>
      <x:c r="L101"/>
      <x:c r="M101" t="n">
        <x:v>-12.74</x:v>
      </x:c>
      <x:c r="N101" t="str">
        <x:v>2026-04</x:v>
      </x:c>
      <x:c r="O101" t="str">
        <x:v>Ausgabe</x:v>
      </x:c>
      <x:c r="P101" t="str">
        <x:v>Ist</x:v>
      </x:c>
      <x:c r="Q101" s="59" t="b">
        <x:v>0</x:v>
      </x:c>
      <x:c r="R101" t="str">
        <x:v>kein_transfer</x:v>
      </x:c>
      <x:c r="S101"/>
      <x:c r="T101"/>
      <x:c r="U101"/>
      <x:c r="V101" s="59" t="b">
        <x:v>1</x:v>
      </x:c>
      <x:c r="W101"/>
      <x:c r="X101" t="str">
        <x:v>offen</x:v>
      </x:c>
      <x:c r="Y101" t="str">
        <x:v>Agent-Draft; Kategorie und Person pruefen</x:v>
      </x:c>
    </x:row>
    <x:row r="102">
      <x:c r="A102" t="str">
        <x:v>TXN-RAW-IMP-20260516-FULLDRAFT-000086</x:v>
      </x:c>
      <x:c r="B102" t="str">
        <x:v>RAW-IMP-20260516-FULLDRAFT-000086</x:v>
      </x:c>
      <x:c r="C102" t="str">
        <x:v>KTO001</x:v>
      </x:c>
      <x:c r="D102"/>
      <x:c r="E102" t="str">
        <x:v>KAT013</x:v>
      </x:c>
      <x:c r="F102"/>
      <x:c r="G102"/>
      <x:c r="H102" t="str">
        <x:v>kein_match</x:v>
      </x:c>
      <x:c r="I102" t="str">
        <x:v>Agent-Draft: keine finale Regelentscheidung</x:v>
      </x:c>
      <x:c r="J102" t="n">
        <x:v>46132</x:v>
      </x:c>
      <x:c r="K102"/>
      <x:c r="L102"/>
      <x:c r="M102" t="n">
        <x:v>-325.85</x:v>
      </x:c>
      <x:c r="N102" t="str">
        <x:v>2026-04</x:v>
      </x:c>
      <x:c r="O102" t="str">
        <x:v>Ausgabe</x:v>
      </x:c>
      <x:c r="P102" t="str">
        <x:v>Ist</x:v>
      </x:c>
      <x:c r="Q102" s="59" t="b">
        <x:v>0</x:v>
      </x:c>
      <x:c r="R102" t="str">
        <x:v>kein_transfer</x:v>
      </x:c>
      <x:c r="S102"/>
      <x:c r="T102"/>
      <x:c r="U102"/>
      <x:c r="V102" s="59" t="b">
        <x:v>1</x:v>
      </x:c>
      <x:c r="W102"/>
      <x:c r="X102" t="str">
        <x:v>offen</x:v>
      </x:c>
      <x:c r="Y102" t="str">
        <x:v>Agent-Draft; Kategorie und Person pruefen</x:v>
      </x:c>
    </x:row>
    <x:row r="103">
      <x:c r="A103" t="str">
        <x:v>TXN-RAW-IMP-20260516-FULLDRAFT-000087</x:v>
      </x:c>
      <x:c r="B103" t="str">
        <x:v>RAW-IMP-20260516-FULLDRAFT-000087</x:v>
      </x:c>
      <x:c r="C103" t="str">
        <x:v>KTO001</x:v>
      </x:c>
      <x:c r="D103"/>
      <x:c r="E103" t="str">
        <x:v>KAT013</x:v>
      </x:c>
      <x:c r="F103"/>
      <x:c r="G103"/>
      <x:c r="H103" t="str">
        <x:v>kein_match</x:v>
      </x:c>
      <x:c r="I103" t="str">
        <x:v>Agent-Draft: keine finale Regelentscheidung</x:v>
      </x:c>
      <x:c r="J103" t="n">
        <x:v>46132</x:v>
      </x:c>
      <x:c r="K103"/>
      <x:c r="L103"/>
      <x:c r="M103" t="n">
        <x:v>500</x:v>
      </x:c>
      <x:c r="N103" t="str">
        <x:v>2026-04</x:v>
      </x:c>
      <x:c r="O103" t="str">
        <x:v>Einnahme</x:v>
      </x:c>
      <x:c r="P103" t="str">
        <x:v>Ist</x:v>
      </x:c>
      <x:c r="Q103" s="59" t="b">
        <x:v>0</x:v>
      </x:c>
      <x:c r="R103" t="str">
        <x:v>kein_transfer</x:v>
      </x:c>
      <x:c r="S103"/>
      <x:c r="T103"/>
      <x:c r="U103"/>
      <x:c r="V103" s="59" t="b">
        <x:v>1</x:v>
      </x:c>
      <x:c r="W103"/>
      <x:c r="X103" t="str">
        <x:v>offen</x:v>
      </x:c>
      <x:c r="Y103" t="str">
        <x:v>Agent-Draft; Kategorie und Person pruefen</x:v>
      </x:c>
    </x:row>
    <x:row r="104">
      <x:c r="A104" t="str">
        <x:v>TXN-RAW-IMP-20260516-FULLDRAFT-000088</x:v>
      </x:c>
      <x:c r="B104" t="str">
        <x:v>RAW-IMP-20260516-FULLDRAFT-000088</x:v>
      </x:c>
      <x:c r="C104" t="str">
        <x:v>KTO001</x:v>
      </x:c>
      <x:c r="D104"/>
      <x:c r="E104" t="str">
        <x:v>KAT013</x:v>
      </x:c>
      <x:c r="F104"/>
      <x:c r="G104"/>
      <x:c r="H104" t="str">
        <x:v>kein_match</x:v>
      </x:c>
      <x:c r="I104" t="str">
        <x:v>Agent-Draft: keine finale Regelentscheidung</x:v>
      </x:c>
      <x:c r="J104" t="n">
        <x:v>46129</x:v>
      </x:c>
      <x:c r="K104"/>
      <x:c r="L104"/>
      <x:c r="M104" t="n">
        <x:v>-21.42</x:v>
      </x:c>
      <x:c r="N104" t="str">
        <x:v>2026-04</x:v>
      </x:c>
      <x:c r="O104" t="str">
        <x:v>Ausgabe</x:v>
      </x:c>
      <x:c r="P104" t="str">
        <x:v>Ist</x:v>
      </x:c>
      <x:c r="Q104" s="59" t="b">
        <x:v>0</x:v>
      </x:c>
      <x:c r="R104" t="str">
        <x:v>kein_transfer</x:v>
      </x:c>
      <x:c r="S104"/>
      <x:c r="T104"/>
      <x:c r="U104"/>
      <x:c r="V104" s="59" t="b">
        <x:v>1</x:v>
      </x:c>
      <x:c r="W104"/>
      <x:c r="X104" t="str">
        <x:v>offen</x:v>
      </x:c>
      <x:c r="Y104" t="str">
        <x:v>Agent-Draft; Kategorie und Person pruefen</x:v>
      </x:c>
    </x:row>
    <x:row r="105">
      <x:c r="A105" t="str">
        <x:v>TXN-RAW-IMP-20260516-FULLDRAFT-000089</x:v>
      </x:c>
      <x:c r="B105" t="str">
        <x:v>RAW-IMP-20260516-FULLDRAFT-000089</x:v>
      </x:c>
      <x:c r="C105" t="str">
        <x:v>KTO001</x:v>
      </x:c>
      <x:c r="D105"/>
      <x:c r="E105" t="str">
        <x:v>KAT013</x:v>
      </x:c>
      <x:c r="F105"/>
      <x:c r="G105"/>
      <x:c r="H105" t="str">
        <x:v>kein_match</x:v>
      </x:c>
      <x:c r="I105" t="str">
        <x:v>Agent-Draft: keine finale Regelentscheidung</x:v>
      </x:c>
      <x:c r="J105" t="n">
        <x:v>46129</x:v>
      </x:c>
      <x:c r="K105"/>
      <x:c r="L105"/>
      <x:c r="M105" t="n">
        <x:v>-37.78</x:v>
      </x:c>
      <x:c r="N105" t="str">
        <x:v>2026-04</x:v>
      </x:c>
      <x:c r="O105" t="str">
        <x:v>Ausgabe</x:v>
      </x:c>
      <x:c r="P105" t="str">
        <x:v>Ist</x:v>
      </x:c>
      <x:c r="Q105" s="59" t="b">
        <x:v>0</x:v>
      </x:c>
      <x:c r="R105" t="str">
        <x:v>kein_transfer</x:v>
      </x:c>
      <x:c r="S105"/>
      <x:c r="T105"/>
      <x:c r="U105"/>
      <x:c r="V105" s="59" t="b">
        <x:v>1</x:v>
      </x:c>
      <x:c r="W105"/>
      <x:c r="X105" t="str">
        <x:v>offen</x:v>
      </x:c>
      <x:c r="Y105" t="str">
        <x:v>Agent-Draft; Kategorie und Person pruefen</x:v>
      </x:c>
    </x:row>
    <x:row r="106">
      <x:c r="A106" t="str">
        <x:v>TXN-RAW-IMP-20260516-FULLDRAFT-000090</x:v>
      </x:c>
      <x:c r="B106" t="str">
        <x:v>RAW-IMP-20260516-FULLDRAFT-000090</x:v>
      </x:c>
      <x:c r="C106" t="str">
        <x:v>KTO001</x:v>
      </x:c>
      <x:c r="D106"/>
      <x:c r="E106" t="str">
        <x:v>KAT013</x:v>
      </x:c>
      <x:c r="F106"/>
      <x:c r="G106"/>
      <x:c r="H106" t="str">
        <x:v>kein_match</x:v>
      </x:c>
      <x:c r="I106" t="str">
        <x:v>Agent-Draft: keine finale Regelentscheidung</x:v>
      </x:c>
      <x:c r="J106" t="n">
        <x:v>46129</x:v>
      </x:c>
      <x:c r="K106"/>
      <x:c r="L106"/>
      <x:c r="M106" t="n">
        <x:v>400</x:v>
      </x:c>
      <x:c r="N106" t="str">
        <x:v>2026-04</x:v>
      </x:c>
      <x:c r="O106" t="str">
        <x:v>Einnahme</x:v>
      </x:c>
      <x:c r="P106" t="str">
        <x:v>Ist</x:v>
      </x:c>
      <x:c r="Q106" s="59" t="b">
        <x:v>0</x:v>
      </x:c>
      <x:c r="R106" t="str">
        <x:v>unklar</x:v>
      </x:c>
      <x:c r="S106"/>
      <x:c r="T106"/>
      <x:c r="U106"/>
      <x:c r="V106" s="59" t="b">
        <x:v>1</x:v>
      </x:c>
      <x:c r="W106" t="str">
        <x:v>Transferkandidat im Draft</x:v>
      </x:c>
      <x:c r="X106" t="str">
        <x:v>offen</x:v>
      </x:c>
      <x:c r="Y106" t="str">
        <x:v>Agent-Draft; Kategorie und Person pruefen</x:v>
      </x:c>
    </x:row>
    <x:row r="107">
      <x:c r="A107" t="str">
        <x:v>TXN-RAW-IMP-20260516-FULLDRAFT-000091</x:v>
      </x:c>
      <x:c r="B107" t="str">
        <x:v>RAW-IMP-20260516-FULLDRAFT-000091</x:v>
      </x:c>
      <x:c r="C107" t="str">
        <x:v>KTO001</x:v>
      </x:c>
      <x:c r="D107"/>
      <x:c r="E107" t="str">
        <x:v>KAT013</x:v>
      </x:c>
      <x:c r="F107"/>
      <x:c r="G107"/>
      <x:c r="H107" t="str">
        <x:v>kein_match</x:v>
      </x:c>
      <x:c r="I107" t="str">
        <x:v>Agent-Draft: keine finale Regelentscheidung</x:v>
      </x:c>
      <x:c r="J107" t="n">
        <x:v>46128</x:v>
      </x:c>
      <x:c r="K107"/>
      <x:c r="L107"/>
      <x:c r="M107" t="n">
        <x:v>-9.95</x:v>
      </x:c>
      <x:c r="N107" t="str">
        <x:v>2026-04</x:v>
      </x:c>
      <x:c r="O107" t="str">
        <x:v>Ausgabe</x:v>
      </x:c>
      <x:c r="P107" t="str">
        <x:v>Ist</x:v>
      </x:c>
      <x:c r="Q107" s="59" t="b">
        <x:v>0</x:v>
      </x:c>
      <x:c r="R107" t="str">
        <x:v>kein_transfer</x:v>
      </x:c>
      <x:c r="S107"/>
      <x:c r="T107"/>
      <x:c r="U107"/>
      <x:c r="V107" s="59" t="b">
        <x:v>1</x:v>
      </x:c>
      <x:c r="W107"/>
      <x:c r="X107" t="str">
        <x:v>offen</x:v>
      </x:c>
      <x:c r="Y107" t="str">
        <x:v>Agent-Draft; Kategorie und Person pruefen</x:v>
      </x:c>
    </x:row>
    <x:row r="108">
      <x:c r="A108" t="str">
        <x:v>TXN-RAW-IMP-20260516-FULLDRAFT-000092</x:v>
      </x:c>
      <x:c r="B108" t="str">
        <x:v>RAW-IMP-20260516-FULLDRAFT-000092</x:v>
      </x:c>
      <x:c r="C108" t="str">
        <x:v>KTO001</x:v>
      </x:c>
      <x:c r="D108"/>
      <x:c r="E108" t="str">
        <x:v>KAT013</x:v>
      </x:c>
      <x:c r="F108"/>
      <x:c r="G108"/>
      <x:c r="H108" t="str">
        <x:v>kein_match</x:v>
      </x:c>
      <x:c r="I108" t="str">
        <x:v>Agent-Draft: keine finale Regelentscheidung</x:v>
      </x:c>
      <x:c r="J108" t="n">
        <x:v>46127</x:v>
      </x:c>
      <x:c r="K108"/>
      <x:c r="L108"/>
      <x:c r="M108" t="n">
        <x:v>-14.71</x:v>
      </x:c>
      <x:c r="N108" t="str">
        <x:v>2026-04</x:v>
      </x:c>
      <x:c r="O108" t="str">
        <x:v>Ausgabe</x:v>
      </x:c>
      <x:c r="P108" t="str">
        <x:v>Ist</x:v>
      </x:c>
      <x:c r="Q108" s="59" t="b">
        <x:v>0</x:v>
      </x:c>
      <x:c r="R108" t="str">
        <x:v>kein_transfer</x:v>
      </x:c>
      <x:c r="S108"/>
      <x:c r="T108"/>
      <x:c r="U108"/>
      <x:c r="V108" s="59" t="b">
        <x:v>1</x:v>
      </x:c>
      <x:c r="W108"/>
      <x:c r="X108" t="str">
        <x:v>offen</x:v>
      </x:c>
      <x:c r="Y108" t="str">
        <x:v>Agent-Draft; Kategorie und Person pruefen</x:v>
      </x:c>
    </x:row>
    <x:row r="109">
      <x:c r="A109" t="str">
        <x:v>TXN-RAW-IMP-20260516-FULLDRAFT-000093</x:v>
      </x:c>
      <x:c r="B109" t="str">
        <x:v>RAW-IMP-20260516-FULLDRAFT-000093</x:v>
      </x:c>
      <x:c r="C109" t="str">
        <x:v>KTO001</x:v>
      </x:c>
      <x:c r="D109"/>
      <x:c r="E109" t="str">
        <x:v>KAT013</x:v>
      </x:c>
      <x:c r="F109"/>
      <x:c r="G109"/>
      <x:c r="H109" t="str">
        <x:v>kein_match</x:v>
      </x:c>
      <x:c r="I109" t="str">
        <x:v>Agent-Draft: keine finale Regelentscheidung</x:v>
      </x:c>
      <x:c r="J109" t="n">
        <x:v>46127</x:v>
      </x:c>
      <x:c r="K109"/>
      <x:c r="L109"/>
      <x:c r="M109" t="n">
        <x:v>-98</x:v>
      </x:c>
      <x:c r="N109" t="str">
        <x:v>2026-04</x:v>
      </x:c>
      <x:c r="O109" t="str">
        <x:v>Ausgabe</x:v>
      </x:c>
      <x:c r="P109" t="str">
        <x:v>Ist</x:v>
      </x:c>
      <x:c r="Q109" s="59" t="b">
        <x:v>0</x:v>
      </x:c>
      <x:c r="R109" t="str">
        <x:v>kein_transfer</x:v>
      </x:c>
      <x:c r="S109"/>
      <x:c r="T109"/>
      <x:c r="U109"/>
      <x:c r="V109" s="59" t="b">
        <x:v>1</x:v>
      </x:c>
      <x:c r="W109"/>
      <x:c r="X109" t="str">
        <x:v>offen</x:v>
      </x:c>
      <x:c r="Y109" t="str">
        <x:v>Agent-Draft; Kategorie und Person pruefen</x:v>
      </x:c>
    </x:row>
    <x:row r="110">
      <x:c r="A110" t="str">
        <x:v>TXN-RAW-IMP-20260516-FULLDRAFT-000094</x:v>
      </x:c>
      <x:c r="B110" t="str">
        <x:v>RAW-IMP-20260516-FULLDRAFT-000094</x:v>
      </x:c>
      <x:c r="C110" t="str">
        <x:v>KTO001</x:v>
      </x:c>
      <x:c r="D110"/>
      <x:c r="E110" t="str">
        <x:v>KAT013</x:v>
      </x:c>
      <x:c r="F110"/>
      <x:c r="G110"/>
      <x:c r="H110" t="str">
        <x:v>kein_match</x:v>
      </x:c>
      <x:c r="I110" t="str">
        <x:v>Agent-Draft: keine finale Regelentscheidung</x:v>
      </x:c>
      <x:c r="J110" t="n">
        <x:v>46126</x:v>
      </x:c>
      <x:c r="K110"/>
      <x:c r="L110"/>
      <x:c r="M110" t="n">
        <x:v>-11.01</x:v>
      </x:c>
      <x:c r="N110" t="str">
        <x:v>2026-04</x:v>
      </x:c>
      <x:c r="O110" t="str">
        <x:v>Ausgabe</x:v>
      </x:c>
      <x:c r="P110" t="str">
        <x:v>Ist</x:v>
      </x:c>
      <x:c r="Q110" s="59" t="b">
        <x:v>0</x:v>
      </x:c>
      <x:c r="R110" t="str">
        <x:v>kein_transfer</x:v>
      </x:c>
      <x:c r="S110"/>
      <x:c r="T110"/>
      <x:c r="U110"/>
      <x:c r="V110" s="59" t="b">
        <x:v>1</x:v>
      </x:c>
      <x:c r="W110"/>
      <x:c r="X110" t="str">
        <x:v>offen</x:v>
      </x:c>
      <x:c r="Y110" t="str">
        <x:v>Agent-Draft; Kategorie und Person pruefen</x:v>
      </x:c>
    </x:row>
    <x:row r="111">
      <x:c r="A111" t="str">
        <x:v>TXN-RAW-IMP-20260516-FULLDRAFT-000095</x:v>
      </x:c>
      <x:c r="B111" t="str">
        <x:v>RAW-IMP-20260516-FULLDRAFT-000095</x:v>
      </x:c>
      <x:c r="C111" t="str">
        <x:v>KTO001</x:v>
      </x:c>
      <x:c r="D111"/>
      <x:c r="E111" t="str">
        <x:v>KAT013</x:v>
      </x:c>
      <x:c r="F111"/>
      <x:c r="G111"/>
      <x:c r="H111" t="str">
        <x:v>kein_match</x:v>
      </x:c>
      <x:c r="I111" t="str">
        <x:v>Agent-Draft: keine finale Regelentscheidung</x:v>
      </x:c>
      <x:c r="J111" t="n">
        <x:v>46126</x:v>
      </x:c>
      <x:c r="K111"/>
      <x:c r="L111"/>
      <x:c r="M111" t="n">
        <x:v>-13.52</x:v>
      </x:c>
      <x:c r="N111" t="str">
        <x:v>2026-04</x:v>
      </x:c>
      <x:c r="O111" t="str">
        <x:v>Ausgabe</x:v>
      </x:c>
      <x:c r="P111" t="str">
        <x:v>Ist</x:v>
      </x:c>
      <x:c r="Q111" s="59" t="b">
        <x:v>0</x:v>
      </x:c>
      <x:c r="R111" t="str">
        <x:v>kein_transfer</x:v>
      </x:c>
      <x:c r="S111"/>
      <x:c r="T111"/>
      <x:c r="U111"/>
      <x:c r="V111" s="59" t="b">
        <x:v>1</x:v>
      </x:c>
      <x:c r="W111"/>
      <x:c r="X111" t="str">
        <x:v>offen</x:v>
      </x:c>
      <x:c r="Y111" t="str">
        <x:v>Agent-Draft; Kategorie und Person pruefen</x:v>
      </x:c>
    </x:row>
    <x:row r="112">
      <x:c r="A112" t="str">
        <x:v>TXN-RAW-IMP-20260516-FULLDRAFT-000096</x:v>
      </x:c>
      <x:c r="B112" t="str">
        <x:v>RAW-IMP-20260516-FULLDRAFT-000096</x:v>
      </x:c>
      <x:c r="C112" t="str">
        <x:v>KTO001</x:v>
      </x:c>
      <x:c r="D112"/>
      <x:c r="E112" t="str">
        <x:v>KAT013</x:v>
      </x:c>
      <x:c r="F112"/>
      <x:c r="G112"/>
      <x:c r="H112" t="str">
        <x:v>kein_match</x:v>
      </x:c>
      <x:c r="I112" t="str">
        <x:v>Agent-Draft: keine finale Regelentscheidung</x:v>
      </x:c>
      <x:c r="J112" t="n">
        <x:v>46126</x:v>
      </x:c>
      <x:c r="K112"/>
      <x:c r="L112"/>
      <x:c r="M112" t="n">
        <x:v>-5.8</x:v>
      </x:c>
      <x:c r="N112" t="str">
        <x:v>2026-04</x:v>
      </x:c>
      <x:c r="O112" t="str">
        <x:v>Ausgabe</x:v>
      </x:c>
      <x:c r="P112" t="str">
        <x:v>Ist</x:v>
      </x:c>
      <x:c r="Q112" s="59" t="b">
        <x:v>0</x:v>
      </x:c>
      <x:c r="R112" t="str">
        <x:v>kein_transfer</x:v>
      </x:c>
      <x:c r="S112"/>
      <x:c r="T112"/>
      <x:c r="U112"/>
      <x:c r="V112" s="59" t="b">
        <x:v>1</x:v>
      </x:c>
      <x:c r="W112"/>
      <x:c r="X112" t="str">
        <x:v>offen</x:v>
      </x:c>
      <x:c r="Y112" t="str">
        <x:v>Agent-Draft; Kategorie und Person pruefen</x:v>
      </x:c>
    </x:row>
    <x:row r="113">
      <x:c r="A113" t="str">
        <x:v>TXN-RAW-IMP-20260516-FULLDRAFT-000097</x:v>
      </x:c>
      <x:c r="B113" t="str">
        <x:v>RAW-IMP-20260516-FULLDRAFT-000097</x:v>
      </x:c>
      <x:c r="C113" t="str">
        <x:v>KTO001</x:v>
      </x:c>
      <x:c r="D113"/>
      <x:c r="E113" t="str">
        <x:v>KAT013</x:v>
      </x:c>
      <x:c r="F113"/>
      <x:c r="G113"/>
      <x:c r="H113" t="str">
        <x:v>kein_match</x:v>
      </x:c>
      <x:c r="I113" t="str">
        <x:v>Agent-Draft: keine finale Regelentscheidung</x:v>
      </x:c>
      <x:c r="J113" t="n">
        <x:v>46126</x:v>
      </x:c>
      <x:c r="K113"/>
      <x:c r="L113"/>
      <x:c r="M113" t="n">
        <x:v>-21</x:v>
      </x:c>
      <x:c r="N113" t="str">
        <x:v>2026-04</x:v>
      </x:c>
      <x:c r="O113" t="str">
        <x:v>Ausgabe</x:v>
      </x:c>
      <x:c r="P113" t="str">
        <x:v>Ist</x:v>
      </x:c>
      <x:c r="Q113" s="59" t="b">
        <x:v>0</x:v>
      </x:c>
      <x:c r="R113" t="str">
        <x:v>kein_transfer</x:v>
      </x:c>
      <x:c r="S113"/>
      <x:c r="T113"/>
      <x:c r="U113"/>
      <x:c r="V113" s="59" t="b">
        <x:v>1</x:v>
      </x:c>
      <x:c r="W113"/>
      <x:c r="X113" t="str">
        <x:v>offen</x:v>
      </x:c>
      <x:c r="Y113" t="str">
        <x:v>Agent-Draft; Kategorie und Person pruefen</x:v>
      </x:c>
    </x:row>
    <x:row r="114">
      <x:c r="A114" t="str">
        <x:v>TXN-RAW-IMP-20260516-FULLDRAFT-000098</x:v>
      </x:c>
      <x:c r="B114" t="str">
        <x:v>RAW-IMP-20260516-FULLDRAFT-000098</x:v>
      </x:c>
      <x:c r="C114" t="str">
        <x:v>KTO001</x:v>
      </x:c>
      <x:c r="D114"/>
      <x:c r="E114" t="str">
        <x:v>KAT013</x:v>
      </x:c>
      <x:c r="F114"/>
      <x:c r="G114"/>
      <x:c r="H114" t="str">
        <x:v>kein_match</x:v>
      </x:c>
      <x:c r="I114" t="str">
        <x:v>Agent-Draft: keine finale Regelentscheidung</x:v>
      </x:c>
      <x:c r="J114" t="n">
        <x:v>46126</x:v>
      </x:c>
      <x:c r="K114"/>
      <x:c r="L114"/>
      <x:c r="M114" t="n">
        <x:v>-16.99</x:v>
      </x:c>
      <x:c r="N114" t="str">
        <x:v>2026-04</x:v>
      </x:c>
      <x:c r="O114" t="str">
        <x:v>Ausgabe</x:v>
      </x:c>
      <x:c r="P114" t="str">
        <x:v>Ist</x:v>
      </x:c>
      <x:c r="Q114" s="59" t="b">
        <x:v>0</x:v>
      </x:c>
      <x:c r="R114" t="str">
        <x:v>kein_transfer</x:v>
      </x:c>
      <x:c r="S114"/>
      <x:c r="T114"/>
      <x:c r="U114"/>
      <x:c r="V114" s="59" t="b">
        <x:v>1</x:v>
      </x:c>
      <x:c r="W114"/>
      <x:c r="X114" t="str">
        <x:v>offen</x:v>
      </x:c>
      <x:c r="Y114" t="str">
        <x:v>Agent-Draft; Kategorie und Person pruefen</x:v>
      </x:c>
    </x:row>
    <x:row r="115">
      <x:c r="A115" t="str">
        <x:v>TXN-RAW-IMP-20260516-FULLDRAFT-000099</x:v>
      </x:c>
      <x:c r="B115" t="str">
        <x:v>RAW-IMP-20260516-FULLDRAFT-000099</x:v>
      </x:c>
      <x:c r="C115" t="str">
        <x:v>KTO001</x:v>
      </x:c>
      <x:c r="D115"/>
      <x:c r="E115" t="str">
        <x:v>KAT013</x:v>
      </x:c>
      <x:c r="F115"/>
      <x:c r="G115"/>
      <x:c r="H115" t="str">
        <x:v>kein_match</x:v>
      </x:c>
      <x:c r="I115" t="str">
        <x:v>Agent-Draft: keine finale Regelentscheidung</x:v>
      </x:c>
      <x:c r="J115" t="n">
        <x:v>46125</x:v>
      </x:c>
      <x:c r="K115"/>
      <x:c r="L115"/>
      <x:c r="M115" t="n">
        <x:v>-46</x:v>
      </x:c>
      <x:c r="N115" t="str">
        <x:v>2026-04</x:v>
      </x:c>
      <x:c r="O115" t="str">
        <x:v>Ausgabe</x:v>
      </x:c>
      <x:c r="P115" t="str">
        <x:v>Ist</x:v>
      </x:c>
      <x:c r="Q115" s="59" t="b">
        <x:v>0</x:v>
      </x:c>
      <x:c r="R115" t="str">
        <x:v>kein_transfer</x:v>
      </x:c>
      <x:c r="S115"/>
      <x:c r="T115"/>
      <x:c r="U115"/>
      <x:c r="V115" s="59" t="b">
        <x:v>1</x:v>
      </x:c>
      <x:c r="W115"/>
      <x:c r="X115" t="str">
        <x:v>offen</x:v>
      </x:c>
      <x:c r="Y115" t="str">
        <x:v>Agent-Draft; Kategorie und Person pruefen</x:v>
      </x:c>
    </x:row>
    <x:row r="116">
      <x:c r="A116" t="str">
        <x:v>TXN-RAW-IMP-20260516-FULLDRAFT-000100</x:v>
      </x:c>
      <x:c r="B116" t="str">
        <x:v>RAW-IMP-20260516-FULLDRAFT-000100</x:v>
      </x:c>
      <x:c r="C116" t="str">
        <x:v>KTO001</x:v>
      </x:c>
      <x:c r="D116"/>
      <x:c r="E116" t="str">
        <x:v>KAT013</x:v>
      </x:c>
      <x:c r="F116"/>
      <x:c r="G116"/>
      <x:c r="H116" t="str">
        <x:v>kein_match</x:v>
      </x:c>
      <x:c r="I116" t="str">
        <x:v>Agent-Draft: keine finale Regelentscheidung</x:v>
      </x:c>
      <x:c r="J116" t="n">
        <x:v>46125</x:v>
      </x:c>
      <x:c r="K116"/>
      <x:c r="L116"/>
      <x:c r="M116" t="n">
        <x:v>-23.69</x:v>
      </x:c>
      <x:c r="N116" t="str">
        <x:v>2026-04</x:v>
      </x:c>
      <x:c r="O116" t="str">
        <x:v>Ausgabe</x:v>
      </x:c>
      <x:c r="P116" t="str">
        <x:v>Ist</x:v>
      </x:c>
      <x:c r="Q116" s="59" t="b">
        <x:v>0</x:v>
      </x:c>
      <x:c r="R116" t="str">
        <x:v>kein_transfer</x:v>
      </x:c>
      <x:c r="S116"/>
      <x:c r="T116"/>
      <x:c r="U116"/>
      <x:c r="V116" s="59" t="b">
        <x:v>1</x:v>
      </x:c>
      <x:c r="W116"/>
      <x:c r="X116" t="str">
        <x:v>offen</x:v>
      </x:c>
      <x:c r="Y116" t="str">
        <x:v>Agent-Draft; Kategorie und Person pruefen</x:v>
      </x:c>
    </x:row>
    <x:row r="117">
      <x:c r="A117" t="str">
        <x:v>TXN-RAW-IMP-20260516-FULLDRAFT-000101</x:v>
      </x:c>
      <x:c r="B117" t="str">
        <x:v>RAW-IMP-20260516-FULLDRAFT-000101</x:v>
      </x:c>
      <x:c r="C117" t="str">
        <x:v>KTO001</x:v>
      </x:c>
      <x:c r="D117"/>
      <x:c r="E117" t="str">
        <x:v>KAT013</x:v>
      </x:c>
      <x:c r="F117"/>
      <x:c r="G117"/>
      <x:c r="H117" t="str">
        <x:v>kein_match</x:v>
      </x:c>
      <x:c r="I117" t="str">
        <x:v>Agent-Draft: keine finale Regelentscheidung</x:v>
      </x:c>
      <x:c r="J117" t="n">
        <x:v>46125</x:v>
      </x:c>
      <x:c r="K117"/>
      <x:c r="L117"/>
      <x:c r="M117" t="n">
        <x:v>-11.5</x:v>
      </x:c>
      <x:c r="N117" t="str">
        <x:v>2026-04</x:v>
      </x:c>
      <x:c r="O117" t="str">
        <x:v>Ausgabe</x:v>
      </x:c>
      <x:c r="P117" t="str">
        <x:v>Ist</x:v>
      </x:c>
      <x:c r="Q117" s="59" t="b">
        <x:v>0</x:v>
      </x:c>
      <x:c r="R117" t="str">
        <x:v>kein_transfer</x:v>
      </x:c>
      <x:c r="S117"/>
      <x:c r="T117"/>
      <x:c r="U117"/>
      <x:c r="V117" s="59" t="b">
        <x:v>1</x:v>
      </x:c>
      <x:c r="W117"/>
      <x:c r="X117" t="str">
        <x:v>offen</x:v>
      </x:c>
      <x:c r="Y117" t="str">
        <x:v>Agent-Draft; Kategorie und Person pruefen</x:v>
      </x:c>
    </x:row>
    <x:row r="118">
      <x:c r="A118" t="str">
        <x:v>TXN-RAW-IMP-20260516-FULLDRAFT-000102</x:v>
      </x:c>
      <x:c r="B118" t="str">
        <x:v>RAW-IMP-20260516-FULLDRAFT-000102</x:v>
      </x:c>
      <x:c r="C118" t="str">
        <x:v>KTO001</x:v>
      </x:c>
      <x:c r="D118"/>
      <x:c r="E118" t="str">
        <x:v>KAT013</x:v>
      </x:c>
      <x:c r="F118"/>
      <x:c r="G118"/>
      <x:c r="H118" t="str">
        <x:v>kein_match</x:v>
      </x:c>
      <x:c r="I118" t="str">
        <x:v>Agent-Draft: keine finale Regelentscheidung</x:v>
      </x:c>
      <x:c r="J118" t="n">
        <x:v>46125</x:v>
      </x:c>
      <x:c r="K118"/>
      <x:c r="L118"/>
      <x:c r="M118" t="n">
        <x:v>-10</x:v>
      </x:c>
      <x:c r="N118" t="str">
        <x:v>2026-04</x:v>
      </x:c>
      <x:c r="O118" t="str">
        <x:v>Ausgabe</x:v>
      </x:c>
      <x:c r="P118" t="str">
        <x:v>Ist</x:v>
      </x:c>
      <x:c r="Q118" s="59" t="b">
        <x:v>0</x:v>
      </x:c>
      <x:c r="R118" t="str">
        <x:v>kein_transfer</x:v>
      </x:c>
      <x:c r="S118"/>
      <x:c r="T118"/>
      <x:c r="U118"/>
      <x:c r="V118" s="59" t="b">
        <x:v>1</x:v>
      </x:c>
      <x:c r="W118"/>
      <x:c r="X118" t="str">
        <x:v>offen</x:v>
      </x:c>
      <x:c r="Y118" t="str">
        <x:v>Agent-Draft; Kategorie und Person pruefen</x:v>
      </x:c>
    </x:row>
    <x:row r="119">
      <x:c r="A119" t="str">
        <x:v>TXN-RAW-IMP-20260516-FULLDRAFT-000103</x:v>
      </x:c>
      <x:c r="B119" t="str">
        <x:v>RAW-IMP-20260516-FULLDRAFT-000103</x:v>
      </x:c>
      <x:c r="C119" t="str">
        <x:v>KTO001</x:v>
      </x:c>
      <x:c r="D119"/>
      <x:c r="E119" t="str">
        <x:v>KAT013</x:v>
      </x:c>
      <x:c r="F119"/>
      <x:c r="G119"/>
      <x:c r="H119" t="str">
        <x:v>kein_match</x:v>
      </x:c>
      <x:c r="I119" t="str">
        <x:v>Agent-Draft: keine finale Regelentscheidung</x:v>
      </x:c>
      <x:c r="J119" t="n">
        <x:v>46125</x:v>
      </x:c>
      <x:c r="K119"/>
      <x:c r="L119"/>
      <x:c r="M119" t="n">
        <x:v>-79.98</x:v>
      </x:c>
      <x:c r="N119" t="str">
        <x:v>2026-04</x:v>
      </x:c>
      <x:c r="O119" t="str">
        <x:v>Ausgabe</x:v>
      </x:c>
      <x:c r="P119" t="str">
        <x:v>Ist</x:v>
      </x:c>
      <x:c r="Q119" s="59" t="b">
        <x:v>0</x:v>
      </x:c>
      <x:c r="R119" t="str">
        <x:v>kein_transfer</x:v>
      </x:c>
      <x:c r="S119"/>
      <x:c r="T119"/>
      <x:c r="U119"/>
      <x:c r="V119" s="59" t="b">
        <x:v>1</x:v>
      </x:c>
      <x:c r="W119"/>
      <x:c r="X119" t="str">
        <x:v>offen</x:v>
      </x:c>
      <x:c r="Y119" t="str">
        <x:v>Agent-Draft; Kategorie und Person pruefen</x:v>
      </x:c>
    </x:row>
    <x:row r="120">
      <x:c r="A120" t="str">
        <x:v>TXN-RAW-IMP-20260516-FULLDRAFT-000104</x:v>
      </x:c>
      <x:c r="B120" t="str">
        <x:v>RAW-IMP-20260516-FULLDRAFT-000104</x:v>
      </x:c>
      <x:c r="C120" t="str">
        <x:v>KTO001</x:v>
      </x:c>
      <x:c r="D120"/>
      <x:c r="E120" t="str">
        <x:v>KAT013</x:v>
      </x:c>
      <x:c r="F120"/>
      <x:c r="G120"/>
      <x:c r="H120" t="str">
        <x:v>kein_match</x:v>
      </x:c>
      <x:c r="I120" t="str">
        <x:v>Agent-Draft: keine finale Regelentscheidung</x:v>
      </x:c>
      <x:c r="J120" t="n">
        <x:v>46125</x:v>
      </x:c>
      <x:c r="K120"/>
      <x:c r="L120"/>
      <x:c r="M120" t="n">
        <x:v>-33</x:v>
      </x:c>
      <x:c r="N120" t="str">
        <x:v>2026-04</x:v>
      </x:c>
      <x:c r="O120" t="str">
        <x:v>Ausgabe</x:v>
      </x:c>
      <x:c r="P120" t="str">
        <x:v>Ist</x:v>
      </x:c>
      <x:c r="Q120" s="59" t="b">
        <x:v>0</x:v>
      </x:c>
      <x:c r="R120" t="str">
        <x:v>kein_transfer</x:v>
      </x:c>
      <x:c r="S120"/>
      <x:c r="T120"/>
      <x:c r="U120"/>
      <x:c r="V120" s="59" t="b">
        <x:v>1</x:v>
      </x:c>
      <x:c r="W120"/>
      <x:c r="X120" t="str">
        <x:v>offen</x:v>
      </x:c>
      <x:c r="Y120" t="str">
        <x:v>Agent-Draft; Kategorie und Person pruefen</x:v>
      </x:c>
    </x:row>
    <x:row r="121">
      <x:c r="A121" t="str">
        <x:v>TXN-RAW-IMP-20260516-FULLDRAFT-000105</x:v>
      </x:c>
      <x:c r="B121" t="str">
        <x:v>RAW-IMP-20260516-FULLDRAFT-000105</x:v>
      </x:c>
      <x:c r="C121" t="str">
        <x:v>KTO001</x:v>
      </x:c>
      <x:c r="D121"/>
      <x:c r="E121" t="str">
        <x:v>KAT013</x:v>
      </x:c>
      <x:c r="F121"/>
      <x:c r="G121"/>
      <x:c r="H121" t="str">
        <x:v>kein_match</x:v>
      </x:c>
      <x:c r="I121" t="str">
        <x:v>Agent-Draft: keine finale Regelentscheidung</x:v>
      </x:c>
      <x:c r="J121" t="n">
        <x:v>46122</x:v>
      </x:c>
      <x:c r="K121"/>
      <x:c r="L121"/>
      <x:c r="M121" t="n">
        <x:v>-25</x:v>
      </x:c>
      <x:c r="N121" t="str">
        <x:v>2026-04</x:v>
      </x:c>
      <x:c r="O121" t="str">
        <x:v>Ausgabe</x:v>
      </x:c>
      <x:c r="P121" t="str">
        <x:v>Ist</x:v>
      </x:c>
      <x:c r="Q121" s="59" t="b">
        <x:v>0</x:v>
      </x:c>
      <x:c r="R121" t="str">
        <x:v>kein_transfer</x:v>
      </x:c>
      <x:c r="S121"/>
      <x:c r="T121"/>
      <x:c r="U121"/>
      <x:c r="V121" s="59" t="b">
        <x:v>1</x:v>
      </x:c>
      <x:c r="W121"/>
      <x:c r="X121" t="str">
        <x:v>offen</x:v>
      </x:c>
      <x:c r="Y121" t="str">
        <x:v>Agent-Draft; Kategorie und Person pruefen</x:v>
      </x:c>
    </x:row>
    <x:row r="122">
      <x:c r="A122" t="str">
        <x:v>TXN-RAW-IMP-20260516-FULLDRAFT-000106</x:v>
      </x:c>
      <x:c r="B122" t="str">
        <x:v>RAW-IMP-20260516-FULLDRAFT-000106</x:v>
      </x:c>
      <x:c r="C122" t="str">
        <x:v>KTO001</x:v>
      </x:c>
      <x:c r="D122"/>
      <x:c r="E122" t="str">
        <x:v>KAT013</x:v>
      </x:c>
      <x:c r="F122"/>
      <x:c r="G122"/>
      <x:c r="H122" t="str">
        <x:v>kein_match</x:v>
      </x:c>
      <x:c r="I122" t="str">
        <x:v>Agent-Draft: keine finale Regelentscheidung</x:v>
      </x:c>
      <x:c r="J122" t="n">
        <x:v>46122</x:v>
      </x:c>
      <x:c r="K122"/>
      <x:c r="L122"/>
      <x:c r="M122" t="n">
        <x:v>-934.86</x:v>
      </x:c>
      <x:c r="N122" t="str">
        <x:v>2026-04</x:v>
      </x:c>
      <x:c r="O122" t="str">
        <x:v>Ausgabe</x:v>
      </x:c>
      <x:c r="P122" t="str">
        <x:v>Ist</x:v>
      </x:c>
      <x:c r="Q122" s="59" t="b">
        <x:v>0</x:v>
      </x:c>
      <x:c r="R122" t="str">
        <x:v>kein_transfer</x:v>
      </x:c>
      <x:c r="S122"/>
      <x:c r="T122"/>
      <x:c r="U122"/>
      <x:c r="V122" s="59" t="b">
        <x:v>1</x:v>
      </x:c>
      <x:c r="W122"/>
      <x:c r="X122" t="str">
        <x:v>offen</x:v>
      </x:c>
      <x:c r="Y122" t="str">
        <x:v>Agent-Draft; Kategorie und Person pruefen</x:v>
      </x:c>
    </x:row>
    <x:row r="123">
      <x:c r="A123" t="str">
        <x:v>TXN-RAW-IMP-20260516-FULLDRAFT-000107</x:v>
      </x:c>
      <x:c r="B123" t="str">
        <x:v>RAW-IMP-20260516-FULLDRAFT-000107</x:v>
      </x:c>
      <x:c r="C123" t="str">
        <x:v>KTO001</x:v>
      </x:c>
      <x:c r="D123"/>
      <x:c r="E123" t="str">
        <x:v>KAT013</x:v>
      </x:c>
      <x:c r="F123"/>
      <x:c r="G123"/>
      <x:c r="H123" t="str">
        <x:v>kein_match</x:v>
      </x:c>
      <x:c r="I123" t="str">
        <x:v>Agent-Draft: keine finale Regelentscheidung</x:v>
      </x:c>
      <x:c r="J123" t="n">
        <x:v>46122</x:v>
      </x:c>
      <x:c r="K123"/>
      <x:c r="L123"/>
      <x:c r="M123" t="n">
        <x:v>-0.94</x:v>
      </x:c>
      <x:c r="N123" t="str">
        <x:v>2026-04</x:v>
      </x:c>
      <x:c r="O123" t="str">
        <x:v>Ausgabe</x:v>
      </x:c>
      <x:c r="P123" t="str">
        <x:v>Ist</x:v>
      </x:c>
      <x:c r="Q123" s="59" t="b">
        <x:v>0</x:v>
      </x:c>
      <x:c r="R123" t="str">
        <x:v>kein_transfer</x:v>
      </x:c>
      <x:c r="S123"/>
      <x:c r="T123"/>
      <x:c r="U123"/>
      <x:c r="V123" s="59" t="b">
        <x:v>1</x:v>
      </x:c>
      <x:c r="W123"/>
      <x:c r="X123" t="str">
        <x:v>offen</x:v>
      </x:c>
      <x:c r="Y123" t="str">
        <x:v>Agent-Draft; Kategorie und Person pruefen</x:v>
      </x:c>
    </x:row>
    <x:row r="124">
      <x:c r="A124" t="str">
        <x:v>TXN-RAW-IMP-20260516-FULLDRAFT-000108</x:v>
      </x:c>
      <x:c r="B124" t="str">
        <x:v>RAW-IMP-20260516-FULLDRAFT-000108</x:v>
      </x:c>
      <x:c r="C124" t="str">
        <x:v>KTO001</x:v>
      </x:c>
      <x:c r="D124"/>
      <x:c r="E124" t="str">
        <x:v>KAT013</x:v>
      </x:c>
      <x:c r="F124"/>
      <x:c r="G124"/>
      <x:c r="H124" t="str">
        <x:v>kein_match</x:v>
      </x:c>
      <x:c r="I124" t="str">
        <x:v>Agent-Draft: keine finale Regelentscheidung</x:v>
      </x:c>
      <x:c r="J124" t="n">
        <x:v>46122</x:v>
      </x:c>
      <x:c r="K124"/>
      <x:c r="L124"/>
      <x:c r="M124" t="n">
        <x:v>-12.24</x:v>
      </x:c>
      <x:c r="N124" t="str">
        <x:v>2026-04</x:v>
      </x:c>
      <x:c r="O124" t="str">
        <x:v>Ausgabe</x:v>
      </x:c>
      <x:c r="P124" t="str">
        <x:v>Ist</x:v>
      </x:c>
      <x:c r="Q124" s="59" t="b">
        <x:v>0</x:v>
      </x:c>
      <x:c r="R124" t="str">
        <x:v>kein_transfer</x:v>
      </x:c>
      <x:c r="S124"/>
      <x:c r="T124"/>
      <x:c r="U124"/>
      <x:c r="V124" s="59" t="b">
        <x:v>1</x:v>
      </x:c>
      <x:c r="W124"/>
      <x:c r="X124" t="str">
        <x:v>offen</x:v>
      </x:c>
      <x:c r="Y124" t="str">
        <x:v>Agent-Draft; Kategorie und Person pruefen</x:v>
      </x:c>
    </x:row>
    <x:row r="125">
      <x:c r="A125" t="str">
        <x:v>TXN-RAW-IMP-20260516-FULLDRAFT-000109</x:v>
      </x:c>
      <x:c r="B125" t="str">
        <x:v>RAW-IMP-20260516-FULLDRAFT-000109</x:v>
      </x:c>
      <x:c r="C125" t="str">
        <x:v>KTO001</x:v>
      </x:c>
      <x:c r="D125"/>
      <x:c r="E125" t="str">
        <x:v>KAT013</x:v>
      </x:c>
      <x:c r="F125"/>
      <x:c r="G125"/>
      <x:c r="H125" t="str">
        <x:v>kein_match</x:v>
      </x:c>
      <x:c r="I125" t="str">
        <x:v>Agent-Draft: keine finale Regelentscheidung</x:v>
      </x:c>
      <x:c r="J125" t="n">
        <x:v>46122</x:v>
      </x:c>
      <x:c r="K125"/>
      <x:c r="L125"/>
      <x:c r="M125" t="n">
        <x:v>-19.95</x:v>
      </x:c>
      <x:c r="N125" t="str">
        <x:v>2026-04</x:v>
      </x:c>
      <x:c r="O125" t="str">
        <x:v>Ausgabe</x:v>
      </x:c>
      <x:c r="P125" t="str">
        <x:v>Ist</x:v>
      </x:c>
      <x:c r="Q125" s="59" t="b">
        <x:v>0</x:v>
      </x:c>
      <x:c r="R125" t="str">
        <x:v>kein_transfer</x:v>
      </x:c>
      <x:c r="S125"/>
      <x:c r="T125"/>
      <x:c r="U125"/>
      <x:c r="V125" s="59" t="b">
        <x:v>1</x:v>
      </x:c>
      <x:c r="W125"/>
      <x:c r="X125" t="str">
        <x:v>offen</x:v>
      </x:c>
      <x:c r="Y125" t="str">
        <x:v>Agent-Draft; Kategorie und Person pruefen</x:v>
      </x:c>
    </x:row>
    <x:row r="126">
      <x:c r="A126" t="str">
        <x:v>TXN-RAW-IMP-20260516-FULLDRAFT-000110</x:v>
      </x:c>
      <x:c r="B126" t="str">
        <x:v>RAW-IMP-20260516-FULLDRAFT-000110</x:v>
      </x:c>
      <x:c r="C126" t="str">
        <x:v>KTO001</x:v>
      </x:c>
      <x:c r="D126"/>
      <x:c r="E126" t="str">
        <x:v>KAT013</x:v>
      </x:c>
      <x:c r="F126"/>
      <x:c r="G126"/>
      <x:c r="H126" t="str">
        <x:v>kein_match</x:v>
      </x:c>
      <x:c r="I126" t="str">
        <x:v>Agent-Draft: keine finale Regelentscheidung</x:v>
      </x:c>
      <x:c r="J126" t="n">
        <x:v>46121</x:v>
      </x:c>
      <x:c r="K126"/>
      <x:c r="L126"/>
      <x:c r="M126" t="n">
        <x:v>-43</x:v>
      </x:c>
      <x:c r="N126" t="str">
        <x:v>2026-04</x:v>
      </x:c>
      <x:c r="O126" t="str">
        <x:v>Ausgabe</x:v>
      </x:c>
      <x:c r="P126" t="str">
        <x:v>Ist</x:v>
      </x:c>
      <x:c r="Q126" s="59" t="b">
        <x:v>0</x:v>
      </x:c>
      <x:c r="R126" t="str">
        <x:v>kein_transfer</x:v>
      </x:c>
      <x:c r="S126"/>
      <x:c r="T126"/>
      <x:c r="U126"/>
      <x:c r="V126" s="59" t="b">
        <x:v>1</x:v>
      </x:c>
      <x:c r="W126"/>
      <x:c r="X126" t="str">
        <x:v>offen</x:v>
      </x:c>
      <x:c r="Y126" t="str">
        <x:v>Agent-Draft; Kategorie und Person pruefen</x:v>
      </x:c>
    </x:row>
    <x:row r="127">
      <x:c r="A127" t="str">
        <x:v>TXN-RAW-IMP-20260516-FULLDRAFT-000111</x:v>
      </x:c>
      <x:c r="B127" t="str">
        <x:v>RAW-IMP-20260516-FULLDRAFT-000111</x:v>
      </x:c>
      <x:c r="C127" t="str">
        <x:v>KTO001</x:v>
      </x:c>
      <x:c r="D127"/>
      <x:c r="E127" t="str">
        <x:v>KAT013</x:v>
      </x:c>
      <x:c r="F127"/>
      <x:c r="G127"/>
      <x:c r="H127" t="str">
        <x:v>kein_match</x:v>
      </x:c>
      <x:c r="I127" t="str">
        <x:v>Agent-Draft: keine finale Regelentscheidung</x:v>
      </x:c>
      <x:c r="J127" t="n">
        <x:v>46121</x:v>
      </x:c>
      <x:c r="K127"/>
      <x:c r="L127"/>
      <x:c r="M127" t="n">
        <x:v>-7</x:v>
      </x:c>
      <x:c r="N127" t="str">
        <x:v>2026-04</x:v>
      </x:c>
      <x:c r="O127" t="str">
        <x:v>Ausgabe</x:v>
      </x:c>
      <x:c r="P127" t="str">
        <x:v>Ist</x:v>
      </x:c>
      <x:c r="Q127" s="59" t="b">
        <x:v>0</x:v>
      </x:c>
      <x:c r="R127" t="str">
        <x:v>kein_transfer</x:v>
      </x:c>
      <x:c r="S127"/>
      <x:c r="T127"/>
      <x:c r="U127"/>
      <x:c r="V127" s="59" t="b">
        <x:v>1</x:v>
      </x:c>
      <x:c r="W127"/>
      <x:c r="X127" t="str">
        <x:v>offen</x:v>
      </x:c>
      <x:c r="Y127" t="str">
        <x:v>Agent-Draft; Kategorie und Person pruefen</x:v>
      </x:c>
    </x:row>
    <x:row r="128">
      <x:c r="A128" t="str">
        <x:v>TXN-RAW-IMP-20260516-FULLDRAFT-000112</x:v>
      </x:c>
      <x:c r="B128" t="str">
        <x:v>RAW-IMP-20260516-FULLDRAFT-000112</x:v>
      </x:c>
      <x:c r="C128" t="str">
        <x:v>KTO001</x:v>
      </x:c>
      <x:c r="D128"/>
      <x:c r="E128" t="str">
        <x:v>KAT013</x:v>
      </x:c>
      <x:c r="F128"/>
      <x:c r="G128"/>
      <x:c r="H128" t="str">
        <x:v>kein_match</x:v>
      </x:c>
      <x:c r="I128" t="str">
        <x:v>Agent-Draft: keine finale Regelentscheidung</x:v>
      </x:c>
      <x:c r="J128" t="n">
        <x:v>46121</x:v>
      </x:c>
      <x:c r="K128"/>
      <x:c r="L128"/>
      <x:c r="M128" t="n">
        <x:v>-19.76</x:v>
      </x:c>
      <x:c r="N128" t="str">
        <x:v>2026-04</x:v>
      </x:c>
      <x:c r="O128" t="str">
        <x:v>Ausgabe</x:v>
      </x:c>
      <x:c r="P128" t="str">
        <x:v>Ist</x:v>
      </x:c>
      <x:c r="Q128" s="59" t="b">
        <x:v>0</x:v>
      </x:c>
      <x:c r="R128" t="str">
        <x:v>kein_transfer</x:v>
      </x:c>
      <x:c r="S128"/>
      <x:c r="T128"/>
      <x:c r="U128"/>
      <x:c r="V128" s="59" t="b">
        <x:v>1</x:v>
      </x:c>
      <x:c r="W128"/>
      <x:c r="X128" t="str">
        <x:v>offen</x:v>
      </x:c>
      <x:c r="Y128" t="str">
        <x:v>Agent-Draft; Kategorie und Person pruefen</x:v>
      </x:c>
    </x:row>
    <x:row r="129">
      <x:c r="A129" t="str">
        <x:v>TXN-RAW-IMP-20260516-FULLDRAFT-000113</x:v>
      </x:c>
      <x:c r="B129" t="str">
        <x:v>RAW-IMP-20260516-FULLDRAFT-000113</x:v>
      </x:c>
      <x:c r="C129" t="str">
        <x:v>KTO001</x:v>
      </x:c>
      <x:c r="D129"/>
      <x:c r="E129" t="str">
        <x:v>KAT013</x:v>
      </x:c>
      <x:c r="F129"/>
      <x:c r="G129"/>
      <x:c r="H129" t="str">
        <x:v>kein_match</x:v>
      </x:c>
      <x:c r="I129" t="str">
        <x:v>Agent-Draft: keine finale Regelentscheidung</x:v>
      </x:c>
      <x:c r="J129" t="n">
        <x:v>46121</x:v>
      </x:c>
      <x:c r="K129"/>
      <x:c r="L129"/>
      <x:c r="M129" t="n">
        <x:v>-6.08</x:v>
      </x:c>
      <x:c r="N129" t="str">
        <x:v>2026-04</x:v>
      </x:c>
      <x:c r="O129" t="str">
        <x:v>Ausgabe</x:v>
      </x:c>
      <x:c r="P129" t="str">
        <x:v>Ist</x:v>
      </x:c>
      <x:c r="Q129" s="59" t="b">
        <x:v>0</x:v>
      </x:c>
      <x:c r="R129" t="str">
        <x:v>kein_transfer</x:v>
      </x:c>
      <x:c r="S129"/>
      <x:c r="T129"/>
      <x:c r="U129"/>
      <x:c r="V129" s="59" t="b">
        <x:v>1</x:v>
      </x:c>
      <x:c r="W129"/>
      <x:c r="X129" t="str">
        <x:v>offen</x:v>
      </x:c>
      <x:c r="Y129" t="str">
        <x:v>Agent-Draft; Kategorie und Person pruefen</x:v>
      </x:c>
    </x:row>
    <x:row r="130">
      <x:c r="A130" t="str">
        <x:v>TXN-RAW-IMP-20260516-FULLDRAFT-000114</x:v>
      </x:c>
      <x:c r="B130" t="str">
        <x:v>RAW-IMP-20260516-FULLDRAFT-000114</x:v>
      </x:c>
      <x:c r="C130" t="str">
        <x:v>KTO001</x:v>
      </x:c>
      <x:c r="D130"/>
      <x:c r="E130" t="str">
        <x:v>KAT013</x:v>
      </x:c>
      <x:c r="F130"/>
      <x:c r="G130"/>
      <x:c r="H130" t="str">
        <x:v>kein_match</x:v>
      </x:c>
      <x:c r="I130" t="str">
        <x:v>Agent-Draft: keine finale Regelentscheidung</x:v>
      </x:c>
      <x:c r="J130" t="n">
        <x:v>46121</x:v>
      </x:c>
      <x:c r="K130"/>
      <x:c r="L130"/>
      <x:c r="M130" t="n">
        <x:v>1000</x:v>
      </x:c>
      <x:c r="N130" t="str">
        <x:v>2026-04</x:v>
      </x:c>
      <x:c r="O130" t="str">
        <x:v>Einnahme</x:v>
      </x:c>
      <x:c r="P130" t="str">
        <x:v>Ist</x:v>
      </x:c>
      <x:c r="Q130" s="59" t="b">
        <x:v>0</x:v>
      </x:c>
      <x:c r="R130" t="str">
        <x:v>unklar</x:v>
      </x:c>
      <x:c r="S130"/>
      <x:c r="T130"/>
      <x:c r="U130"/>
      <x:c r="V130" s="59" t="b">
        <x:v>1</x:v>
      </x:c>
      <x:c r="W130" t="str">
        <x:v>Transferkandidat im Draft</x:v>
      </x:c>
      <x:c r="X130" t="str">
        <x:v>offen</x:v>
      </x:c>
      <x:c r="Y130" t="str">
        <x:v>Agent-Draft; Kategorie und Person pruefen</x:v>
      </x:c>
    </x:row>
    <x:row r="131">
      <x:c r="A131" t="str">
        <x:v>TXN-RAW-IMP-20260516-FULLDRAFT-000115</x:v>
      </x:c>
      <x:c r="B131" t="str">
        <x:v>RAW-IMP-20260516-FULLDRAFT-000115</x:v>
      </x:c>
      <x:c r="C131" t="str">
        <x:v>KTO001</x:v>
      </x:c>
      <x:c r="D131"/>
      <x:c r="E131" t="str">
        <x:v>KAT013</x:v>
      </x:c>
      <x:c r="F131"/>
      <x:c r="G131"/>
      <x:c r="H131" t="str">
        <x:v>kein_match</x:v>
      </x:c>
      <x:c r="I131" t="str">
        <x:v>Agent-Draft: keine finale Regelentscheidung</x:v>
      </x:c>
      <x:c r="J131" t="n">
        <x:v>46120</x:v>
      </x:c>
      <x:c r="K131"/>
      <x:c r="L131"/>
      <x:c r="M131" t="n">
        <x:v>-13.79</x:v>
      </x:c>
      <x:c r="N131" t="str">
        <x:v>2026-04</x:v>
      </x:c>
      <x:c r="O131" t="str">
        <x:v>Ausgabe</x:v>
      </x:c>
      <x:c r="P131" t="str">
        <x:v>Ist</x:v>
      </x:c>
      <x:c r="Q131" s="59" t="b">
        <x:v>0</x:v>
      </x:c>
      <x:c r="R131" t="str">
        <x:v>kein_transfer</x:v>
      </x:c>
      <x:c r="S131"/>
      <x:c r="T131"/>
      <x:c r="U131"/>
      <x:c r="V131" s="59" t="b">
        <x:v>1</x:v>
      </x:c>
      <x:c r="W131"/>
      <x:c r="X131" t="str">
        <x:v>offen</x:v>
      </x:c>
      <x:c r="Y131" t="str">
        <x:v>Agent-Draft; Kategorie und Person pruefen</x:v>
      </x:c>
    </x:row>
    <x:row r="132">
      <x:c r="A132" t="str">
        <x:v>TXN-RAW-IMP-20260516-FULLDRAFT-000116</x:v>
      </x:c>
      <x:c r="B132" t="str">
        <x:v>RAW-IMP-20260516-FULLDRAFT-000116</x:v>
      </x:c>
      <x:c r="C132" t="str">
        <x:v>KTO001</x:v>
      </x:c>
      <x:c r="D132"/>
      <x:c r="E132" t="str">
        <x:v>KAT013</x:v>
      </x:c>
      <x:c r="F132"/>
      <x:c r="G132"/>
      <x:c r="H132" t="str">
        <x:v>kein_match</x:v>
      </x:c>
      <x:c r="I132" t="str">
        <x:v>Agent-Draft: keine finale Regelentscheidung</x:v>
      </x:c>
      <x:c r="J132" t="n">
        <x:v>46120</x:v>
      </x:c>
      <x:c r="K132"/>
      <x:c r="L132"/>
      <x:c r="M132" t="n">
        <x:v>-1.63</x:v>
      </x:c>
      <x:c r="N132" t="str">
        <x:v>2026-04</x:v>
      </x:c>
      <x:c r="O132" t="str">
        <x:v>Ausgabe</x:v>
      </x:c>
      <x:c r="P132" t="str">
        <x:v>Ist</x:v>
      </x:c>
      <x:c r="Q132" s="59" t="b">
        <x:v>0</x:v>
      </x:c>
      <x:c r="R132" t="str">
        <x:v>kein_transfer</x:v>
      </x:c>
      <x:c r="S132"/>
      <x:c r="T132"/>
      <x:c r="U132"/>
      <x:c r="V132" s="59" t="b">
        <x:v>1</x:v>
      </x:c>
      <x:c r="W132"/>
      <x:c r="X132" t="str">
        <x:v>offen</x:v>
      </x:c>
      <x:c r="Y132" t="str">
        <x:v>Agent-Draft; Kategorie und Person pruefen</x:v>
      </x:c>
    </x:row>
    <x:row r="133">
      <x:c r="A133" t="str">
        <x:v>TXN-RAW-IMP-20260516-FULLDRAFT-000117</x:v>
      </x:c>
      <x:c r="B133" t="str">
        <x:v>RAW-IMP-20260516-FULLDRAFT-000117</x:v>
      </x:c>
      <x:c r="C133" t="str">
        <x:v>KTO001</x:v>
      </x:c>
      <x:c r="D133"/>
      <x:c r="E133" t="str">
        <x:v>KAT013</x:v>
      </x:c>
      <x:c r="F133"/>
      <x:c r="G133"/>
      <x:c r="H133" t="str">
        <x:v>kein_match</x:v>
      </x:c>
      <x:c r="I133" t="str">
        <x:v>Agent-Draft: keine finale Regelentscheidung</x:v>
      </x:c>
      <x:c r="J133" t="n">
        <x:v>46120</x:v>
      </x:c>
      <x:c r="K133"/>
      <x:c r="L133"/>
      <x:c r="M133" t="n">
        <x:v>-156.05</x:v>
      </x:c>
      <x:c r="N133" t="str">
        <x:v>2026-04</x:v>
      </x:c>
      <x:c r="O133" t="str">
        <x:v>Ausgabe</x:v>
      </x:c>
      <x:c r="P133" t="str">
        <x:v>Ist</x:v>
      </x:c>
      <x:c r="Q133" s="59" t="b">
        <x:v>0</x:v>
      </x:c>
      <x:c r="R133" t="str">
        <x:v>kein_transfer</x:v>
      </x:c>
      <x:c r="S133"/>
      <x:c r="T133"/>
      <x:c r="U133"/>
      <x:c r="V133" s="59" t="b">
        <x:v>1</x:v>
      </x:c>
      <x:c r="W133"/>
      <x:c r="X133" t="str">
        <x:v>offen</x:v>
      </x:c>
      <x:c r="Y133" t="str">
        <x:v>Agent-Draft; Kategorie und Person pruefen</x:v>
      </x:c>
    </x:row>
    <x:row r="134">
      <x:c r="A134" t="str">
        <x:v>TXN-RAW-IMP-20260516-FULLDRAFT-000118</x:v>
      </x:c>
      <x:c r="B134" t="str">
        <x:v>RAW-IMP-20260516-FULLDRAFT-000118</x:v>
      </x:c>
      <x:c r="C134" t="str">
        <x:v>KTO001</x:v>
      </x:c>
      <x:c r="D134"/>
      <x:c r="E134" t="str">
        <x:v>KAT013</x:v>
      </x:c>
      <x:c r="F134"/>
      <x:c r="G134"/>
      <x:c r="H134" t="str">
        <x:v>kein_match</x:v>
      </x:c>
      <x:c r="I134" t="str">
        <x:v>Agent-Draft: keine finale Regelentscheidung</x:v>
      </x:c>
      <x:c r="J134" t="n">
        <x:v>46119</x:v>
      </x:c>
      <x:c r="K134"/>
      <x:c r="L134"/>
      <x:c r="M134" t="n">
        <x:v>-30</x:v>
      </x:c>
      <x:c r="N134" t="str">
        <x:v>2026-04</x:v>
      </x:c>
      <x:c r="O134" t="str">
        <x:v>Ausgabe</x:v>
      </x:c>
      <x:c r="P134" t="str">
        <x:v>Ist</x:v>
      </x:c>
      <x:c r="Q134" s="59" t="b">
        <x:v>0</x:v>
      </x:c>
      <x:c r="R134" t="str">
        <x:v>kein_transfer</x:v>
      </x:c>
      <x:c r="S134"/>
      <x:c r="T134"/>
      <x:c r="U134"/>
      <x:c r="V134" s="59" t="b">
        <x:v>1</x:v>
      </x:c>
      <x:c r="W134"/>
      <x:c r="X134" t="str">
        <x:v>offen</x:v>
      </x:c>
      <x:c r="Y134" t="str">
        <x:v>Agent-Draft; Kategorie und Person pruefen</x:v>
      </x:c>
    </x:row>
    <x:row r="135">
      <x:c r="A135" t="str">
        <x:v>TXN-RAW-IMP-20260516-FULLDRAFT-000119</x:v>
      </x:c>
      <x:c r="B135" t="str">
        <x:v>RAW-IMP-20260516-FULLDRAFT-000119</x:v>
      </x:c>
      <x:c r="C135" t="str">
        <x:v>KTO001</x:v>
      </x:c>
      <x:c r="D135"/>
      <x:c r="E135" t="str">
        <x:v>KAT013</x:v>
      </x:c>
      <x:c r="F135"/>
      <x:c r="G135"/>
      <x:c r="H135" t="str">
        <x:v>kein_match</x:v>
      </x:c>
      <x:c r="I135" t="str">
        <x:v>Agent-Draft: keine finale Regelentscheidung</x:v>
      </x:c>
      <x:c r="J135" t="n">
        <x:v>46119</x:v>
      </x:c>
      <x:c r="K135"/>
      <x:c r="L135"/>
      <x:c r="M135" t="n">
        <x:v>-3.24</x:v>
      </x:c>
      <x:c r="N135" t="str">
        <x:v>2026-04</x:v>
      </x:c>
      <x:c r="O135" t="str">
        <x:v>Ausgabe</x:v>
      </x:c>
      <x:c r="P135" t="str">
        <x:v>Ist</x:v>
      </x:c>
      <x:c r="Q135" s="59" t="b">
        <x:v>0</x:v>
      </x:c>
      <x:c r="R135" t="str">
        <x:v>kein_transfer</x:v>
      </x:c>
      <x:c r="S135"/>
      <x:c r="T135"/>
      <x:c r="U135"/>
      <x:c r="V135" s="59" t="b">
        <x:v>1</x:v>
      </x:c>
      <x:c r="W135"/>
      <x:c r="X135" t="str">
        <x:v>offen</x:v>
      </x:c>
      <x:c r="Y135" t="str">
        <x:v>Agent-Draft; Kategorie und Person pruefen</x:v>
      </x:c>
    </x:row>
    <x:row r="136">
      <x:c r="A136" t="str">
        <x:v>TXN-RAW-IMP-20260516-FULLDRAFT-000120</x:v>
      </x:c>
      <x:c r="B136" t="str">
        <x:v>RAW-IMP-20260516-FULLDRAFT-000120</x:v>
      </x:c>
      <x:c r="C136" t="str">
        <x:v>KTO001</x:v>
      </x:c>
      <x:c r="D136"/>
      <x:c r="E136" t="str">
        <x:v>KAT013</x:v>
      </x:c>
      <x:c r="F136"/>
      <x:c r="G136"/>
      <x:c r="H136" t="str">
        <x:v>kein_match</x:v>
      </x:c>
      <x:c r="I136" t="str">
        <x:v>Agent-Draft: keine finale Regelentscheidung</x:v>
      </x:c>
      <x:c r="J136" t="n">
        <x:v>46119</x:v>
      </x:c>
      <x:c r="K136"/>
      <x:c r="L136"/>
      <x:c r="M136" t="n">
        <x:v>-7.4</x:v>
      </x:c>
      <x:c r="N136" t="str">
        <x:v>2026-04</x:v>
      </x:c>
      <x:c r="O136" t="str">
        <x:v>Ausgabe</x:v>
      </x:c>
      <x:c r="P136" t="str">
        <x:v>Ist</x:v>
      </x:c>
      <x:c r="Q136" s="59" t="b">
        <x:v>0</x:v>
      </x:c>
      <x:c r="R136" t="str">
        <x:v>kein_transfer</x:v>
      </x:c>
      <x:c r="S136"/>
      <x:c r="T136"/>
      <x:c r="U136"/>
      <x:c r="V136" s="59" t="b">
        <x:v>1</x:v>
      </x:c>
      <x:c r="W136"/>
      <x:c r="X136" t="str">
        <x:v>offen</x:v>
      </x:c>
      <x:c r="Y136" t="str">
        <x:v>Agent-Draft; Kategorie und Person pruefen</x:v>
      </x:c>
    </x:row>
    <x:row r="137">
      <x:c r="A137" t="str">
        <x:v>TXN-RAW-IMP-20260516-FULLDRAFT-000121</x:v>
      </x:c>
      <x:c r="B137" t="str">
        <x:v>RAW-IMP-20260516-FULLDRAFT-000121</x:v>
      </x:c>
      <x:c r="C137" t="str">
        <x:v>KTO001</x:v>
      </x:c>
      <x:c r="D137"/>
      <x:c r="E137" t="str">
        <x:v>KAT013</x:v>
      </x:c>
      <x:c r="F137"/>
      <x:c r="G137"/>
      <x:c r="H137" t="str">
        <x:v>kein_match</x:v>
      </x:c>
      <x:c r="I137" t="str">
        <x:v>Agent-Draft: keine finale Regelentscheidung</x:v>
      </x:c>
      <x:c r="J137" t="n">
        <x:v>46119</x:v>
      </x:c>
      <x:c r="K137"/>
      <x:c r="L137"/>
      <x:c r="M137" t="n">
        <x:v>-109.07</x:v>
      </x:c>
      <x:c r="N137" t="str">
        <x:v>2026-04</x:v>
      </x:c>
      <x:c r="O137" t="str">
        <x:v>Ausgabe</x:v>
      </x:c>
      <x:c r="P137" t="str">
        <x:v>Ist</x:v>
      </x:c>
      <x:c r="Q137" s="59" t="b">
        <x:v>0</x:v>
      </x:c>
      <x:c r="R137" t="str">
        <x:v>kein_transfer</x:v>
      </x:c>
      <x:c r="S137"/>
      <x:c r="T137"/>
      <x:c r="U137"/>
      <x:c r="V137" s="59" t="b">
        <x:v>1</x:v>
      </x:c>
      <x:c r="W137"/>
      <x:c r="X137" t="str">
        <x:v>offen</x:v>
      </x:c>
      <x:c r="Y137" t="str">
        <x:v>Agent-Draft; Kategorie und Person pruefen</x:v>
      </x:c>
    </x:row>
    <x:row r="138">
      <x:c r="A138" t="str">
        <x:v>TXN-RAW-IMP-20260516-FULLDRAFT-000122</x:v>
      </x:c>
      <x:c r="B138" t="str">
        <x:v>RAW-IMP-20260516-FULLDRAFT-000122</x:v>
      </x:c>
      <x:c r="C138" t="str">
        <x:v>KTO001</x:v>
      </x:c>
      <x:c r="D138"/>
      <x:c r="E138" t="str">
        <x:v>KAT013</x:v>
      </x:c>
      <x:c r="F138"/>
      <x:c r="G138"/>
      <x:c r="H138" t="str">
        <x:v>kein_match</x:v>
      </x:c>
      <x:c r="I138" t="str">
        <x:v>Agent-Draft: keine finale Regelentscheidung</x:v>
      </x:c>
      <x:c r="J138" t="n">
        <x:v>46119</x:v>
      </x:c>
      <x:c r="K138"/>
      <x:c r="L138"/>
      <x:c r="M138" t="n">
        <x:v>-2.88</x:v>
      </x:c>
      <x:c r="N138" t="str">
        <x:v>2026-04</x:v>
      </x:c>
      <x:c r="O138" t="str">
        <x:v>Ausgabe</x:v>
      </x:c>
      <x:c r="P138" t="str">
        <x:v>Ist</x:v>
      </x:c>
      <x:c r="Q138" s="59" t="b">
        <x:v>0</x:v>
      </x:c>
      <x:c r="R138" t="str">
        <x:v>kein_transfer</x:v>
      </x:c>
      <x:c r="S138"/>
      <x:c r="T138"/>
      <x:c r="U138"/>
      <x:c r="V138" s="59" t="b">
        <x:v>1</x:v>
      </x:c>
      <x:c r="W138"/>
      <x:c r="X138" t="str">
        <x:v>offen</x:v>
      </x:c>
      <x:c r="Y138" t="str">
        <x:v>Agent-Draft; Kategorie und Person pruefen</x:v>
      </x:c>
    </x:row>
    <x:row r="139">
      <x:c r="A139" t="str">
        <x:v>TXN-RAW-IMP-20260516-FULLDRAFT-000123</x:v>
      </x:c>
      <x:c r="B139" t="str">
        <x:v>RAW-IMP-20260516-FULLDRAFT-000123</x:v>
      </x:c>
      <x:c r="C139" t="str">
        <x:v>KTO001</x:v>
      </x:c>
      <x:c r="D139"/>
      <x:c r="E139" t="str">
        <x:v>KAT013</x:v>
      </x:c>
      <x:c r="F139"/>
      <x:c r="G139"/>
      <x:c r="H139" t="str">
        <x:v>kein_match</x:v>
      </x:c>
      <x:c r="I139" t="str">
        <x:v>Agent-Draft: keine finale Regelentscheidung</x:v>
      </x:c>
      <x:c r="J139" t="n">
        <x:v>46119</x:v>
      </x:c>
      <x:c r="K139"/>
      <x:c r="L139"/>
      <x:c r="M139" t="n">
        <x:v>-19.41</x:v>
      </x:c>
      <x:c r="N139" t="str">
        <x:v>2026-04</x:v>
      </x:c>
      <x:c r="O139" t="str">
        <x:v>Ausgabe</x:v>
      </x:c>
      <x:c r="P139" t="str">
        <x:v>Ist</x:v>
      </x:c>
      <x:c r="Q139" s="59" t="b">
        <x:v>0</x:v>
      </x:c>
      <x:c r="R139" t="str">
        <x:v>kein_transfer</x:v>
      </x:c>
      <x:c r="S139"/>
      <x:c r="T139"/>
      <x:c r="U139"/>
      <x:c r="V139" s="59" t="b">
        <x:v>1</x:v>
      </x:c>
      <x:c r="W139"/>
      <x:c r="X139" t="str">
        <x:v>offen</x:v>
      </x:c>
      <x:c r="Y139" t="str">
        <x:v>Agent-Draft; Kategorie und Person pruefen</x:v>
      </x:c>
    </x:row>
    <x:row r="140">
      <x:c r="A140" t="str">
        <x:v>TXN-RAW-IMP-20260516-FULLDRAFT-000124</x:v>
      </x:c>
      <x:c r="B140" t="str">
        <x:v>RAW-IMP-20260516-FULLDRAFT-000124</x:v>
      </x:c>
      <x:c r="C140" t="str">
        <x:v>KTO001</x:v>
      </x:c>
      <x:c r="D140"/>
      <x:c r="E140" t="str">
        <x:v>KAT013</x:v>
      </x:c>
      <x:c r="F140"/>
      <x:c r="G140"/>
      <x:c r="H140" t="str">
        <x:v>kein_match</x:v>
      </x:c>
      <x:c r="I140" t="str">
        <x:v>Agent-Draft: keine finale Regelentscheidung</x:v>
      </x:c>
      <x:c r="J140" t="n">
        <x:v>46119</x:v>
      </x:c>
      <x:c r="K140"/>
      <x:c r="L140"/>
      <x:c r="M140" t="n">
        <x:v>-68.97</x:v>
      </x:c>
      <x:c r="N140" t="str">
        <x:v>2026-04</x:v>
      </x:c>
      <x:c r="O140" t="str">
        <x:v>Ausgabe</x:v>
      </x:c>
      <x:c r="P140" t="str">
        <x:v>Ist</x:v>
      </x:c>
      <x:c r="Q140" s="59" t="b">
        <x:v>0</x:v>
      </x:c>
      <x:c r="R140" t="str">
        <x:v>kein_transfer</x:v>
      </x:c>
      <x:c r="S140"/>
      <x:c r="T140"/>
      <x:c r="U140"/>
      <x:c r="V140" s="59" t="b">
        <x:v>1</x:v>
      </x:c>
      <x:c r="W140"/>
      <x:c r="X140" t="str">
        <x:v>offen</x:v>
      </x:c>
      <x:c r="Y140" t="str">
        <x:v>Agent-Draft; Kategorie und Person pruefen</x:v>
      </x:c>
    </x:row>
    <x:row r="141">
      <x:c r="A141" t="str">
        <x:v>TXN-RAW-IMP-20260516-FULLDRAFT-000125</x:v>
      </x:c>
      <x:c r="B141" t="str">
        <x:v>RAW-IMP-20260516-FULLDRAFT-000125</x:v>
      </x:c>
      <x:c r="C141" t="str">
        <x:v>KTO001</x:v>
      </x:c>
      <x:c r="D141"/>
      <x:c r="E141" t="str">
        <x:v>KAT013</x:v>
      </x:c>
      <x:c r="F141"/>
      <x:c r="G141"/>
      <x:c r="H141" t="str">
        <x:v>kein_match</x:v>
      </x:c>
      <x:c r="I141" t="str">
        <x:v>Agent-Draft: keine finale Regelentscheidung</x:v>
      </x:c>
      <x:c r="J141" t="n">
        <x:v>46119</x:v>
      </x:c>
      <x:c r="K141"/>
      <x:c r="L141"/>
      <x:c r="M141" t="n">
        <x:v>-41.36</x:v>
      </x:c>
      <x:c r="N141" t="str">
        <x:v>2026-04</x:v>
      </x:c>
      <x:c r="O141" t="str">
        <x:v>Ausgabe</x:v>
      </x:c>
      <x:c r="P141" t="str">
        <x:v>Ist</x:v>
      </x:c>
      <x:c r="Q141" s="59" t="b">
        <x:v>0</x:v>
      </x:c>
      <x:c r="R141" t="str">
        <x:v>kein_transfer</x:v>
      </x:c>
      <x:c r="S141"/>
      <x:c r="T141"/>
      <x:c r="U141"/>
      <x:c r="V141" s="59" t="b">
        <x:v>1</x:v>
      </x:c>
      <x:c r="W141"/>
      <x:c r="X141" t="str">
        <x:v>offen</x:v>
      </x:c>
      <x:c r="Y141" t="str">
        <x:v>Agent-Draft; Kategorie und Person pruefen</x:v>
      </x:c>
    </x:row>
    <x:row r="142">
      <x:c r="A142" t="str">
        <x:v>TXN-RAW-IMP-20260516-FULLDRAFT-000126</x:v>
      </x:c>
      <x:c r="B142" t="str">
        <x:v>RAW-IMP-20260516-FULLDRAFT-000126</x:v>
      </x:c>
      <x:c r="C142" t="str">
        <x:v>KTO001</x:v>
      </x:c>
      <x:c r="D142"/>
      <x:c r="E142" t="str">
        <x:v>KAT013</x:v>
      </x:c>
      <x:c r="F142"/>
      <x:c r="G142"/>
      <x:c r="H142" t="str">
        <x:v>kein_match</x:v>
      </x:c>
      <x:c r="I142" t="str">
        <x:v>Agent-Draft: keine finale Regelentscheidung</x:v>
      </x:c>
      <x:c r="J142" t="n">
        <x:v>46119</x:v>
      </x:c>
      <x:c r="K142"/>
      <x:c r="L142"/>
      <x:c r="M142" t="n">
        <x:v>-90</x:v>
      </x:c>
      <x:c r="N142" t="str">
        <x:v>2026-04</x:v>
      </x:c>
      <x:c r="O142" t="str">
        <x:v>Ausgabe</x:v>
      </x:c>
      <x:c r="P142" t="str">
        <x:v>Ist</x:v>
      </x:c>
      <x:c r="Q142" s="59" t="b">
        <x:v>0</x:v>
      </x:c>
      <x:c r="R142" t="str">
        <x:v>kein_transfer</x:v>
      </x:c>
      <x:c r="S142"/>
      <x:c r="T142"/>
      <x:c r="U142"/>
      <x:c r="V142" s="59" t="b">
        <x:v>1</x:v>
      </x:c>
      <x:c r="W142"/>
      <x:c r="X142" t="str">
        <x:v>offen</x:v>
      </x:c>
      <x:c r="Y142" t="str">
        <x:v>Agent-Draft; Kategorie und Person pruefen</x:v>
      </x:c>
    </x:row>
    <x:row r="143">
      <x:c r="A143" t="str">
        <x:v>TXN-RAW-IMP-20260516-FULLDRAFT-000127</x:v>
      </x:c>
      <x:c r="B143" t="str">
        <x:v>RAW-IMP-20260516-FULLDRAFT-000127</x:v>
      </x:c>
      <x:c r="C143" t="str">
        <x:v>KTO001</x:v>
      </x:c>
      <x:c r="D143"/>
      <x:c r="E143" t="str">
        <x:v>KAT013</x:v>
      </x:c>
      <x:c r="F143"/>
      <x:c r="G143"/>
      <x:c r="H143" t="str">
        <x:v>kein_match</x:v>
      </x:c>
      <x:c r="I143" t="str">
        <x:v>Agent-Draft: keine finale Regelentscheidung</x:v>
      </x:c>
      <x:c r="J143" t="n">
        <x:v>46119</x:v>
      </x:c>
      <x:c r="K143"/>
      <x:c r="L143"/>
      <x:c r="M143" t="n">
        <x:v>-65.93</x:v>
      </x:c>
      <x:c r="N143" t="str">
        <x:v>2026-04</x:v>
      </x:c>
      <x:c r="O143" t="str">
        <x:v>Ausgabe</x:v>
      </x:c>
      <x:c r="P143" t="str">
        <x:v>Ist</x:v>
      </x:c>
      <x:c r="Q143" s="59" t="b">
        <x:v>0</x:v>
      </x:c>
      <x:c r="R143" t="str">
        <x:v>kein_transfer</x:v>
      </x:c>
      <x:c r="S143"/>
      <x:c r="T143"/>
      <x:c r="U143"/>
      <x:c r="V143" s="59" t="b">
        <x:v>1</x:v>
      </x:c>
      <x:c r="W143"/>
      <x:c r="X143" t="str">
        <x:v>offen</x:v>
      </x:c>
      <x:c r="Y143" t="str">
        <x:v>Agent-Draft; Kategorie und Person pruefen</x:v>
      </x:c>
    </x:row>
    <x:row r="144">
      <x:c r="A144" t="str">
        <x:v>TXN-RAW-IMP-20260516-FULLDRAFT-000128</x:v>
      </x:c>
      <x:c r="B144" t="str">
        <x:v>RAW-IMP-20260516-FULLDRAFT-000128</x:v>
      </x:c>
      <x:c r="C144" t="str">
        <x:v>KTO001</x:v>
      </x:c>
      <x:c r="D144"/>
      <x:c r="E144" t="str">
        <x:v>KAT013</x:v>
      </x:c>
      <x:c r="F144"/>
      <x:c r="G144"/>
      <x:c r="H144" t="str">
        <x:v>kein_match</x:v>
      </x:c>
      <x:c r="I144" t="str">
        <x:v>Agent-Draft: keine finale Regelentscheidung</x:v>
      </x:c>
      <x:c r="J144" t="n">
        <x:v>46114</x:v>
      </x:c>
      <x:c r="K144"/>
      <x:c r="L144"/>
      <x:c r="M144" t="n">
        <x:v>-36</x:v>
      </x:c>
      <x:c r="N144" t="str">
        <x:v>2026-04</x:v>
      </x:c>
      <x:c r="O144" t="str">
        <x:v>Ausgabe</x:v>
      </x:c>
      <x:c r="P144" t="str">
        <x:v>Ist</x:v>
      </x:c>
      <x:c r="Q144" s="59" t="b">
        <x:v>0</x:v>
      </x:c>
      <x:c r="R144" t="str">
        <x:v>kein_transfer</x:v>
      </x:c>
      <x:c r="S144"/>
      <x:c r="T144"/>
      <x:c r="U144"/>
      <x:c r="V144" s="59" t="b">
        <x:v>1</x:v>
      </x:c>
      <x:c r="W144"/>
      <x:c r="X144" t="str">
        <x:v>offen</x:v>
      </x:c>
      <x:c r="Y144" t="str">
        <x:v>Agent-Draft; Kategorie und Person pruefen</x:v>
      </x:c>
    </x:row>
    <x:row r="145">
      <x:c r="A145" t="str">
        <x:v>TXN-RAW-IMP-20260516-FULLDRAFT-000129</x:v>
      </x:c>
      <x:c r="B145" t="str">
        <x:v>RAW-IMP-20260516-FULLDRAFT-000129</x:v>
      </x:c>
      <x:c r="C145" t="str">
        <x:v>KTO001</x:v>
      </x:c>
      <x:c r="D145"/>
      <x:c r="E145" t="str">
        <x:v>KAT013</x:v>
      </x:c>
      <x:c r="F145"/>
      <x:c r="G145"/>
      <x:c r="H145" t="str">
        <x:v>kein_match</x:v>
      </x:c>
      <x:c r="I145" t="str">
        <x:v>Agent-Draft: keine finale Regelentscheidung</x:v>
      </x:c>
      <x:c r="J145" t="n">
        <x:v>46114</x:v>
      </x:c>
      <x:c r="K145"/>
      <x:c r="L145"/>
      <x:c r="M145" t="n">
        <x:v>-92.47</x:v>
      </x:c>
      <x:c r="N145" t="str">
        <x:v>2026-04</x:v>
      </x:c>
      <x:c r="O145" t="str">
        <x:v>Ausgabe</x:v>
      </x:c>
      <x:c r="P145" t="str">
        <x:v>Ist</x:v>
      </x:c>
      <x:c r="Q145" s="59" t="b">
        <x:v>0</x:v>
      </x:c>
      <x:c r="R145" t="str">
        <x:v>kein_transfer</x:v>
      </x:c>
      <x:c r="S145"/>
      <x:c r="T145"/>
      <x:c r="U145"/>
      <x:c r="V145" s="59" t="b">
        <x:v>1</x:v>
      </x:c>
      <x:c r="W145"/>
      <x:c r="X145" t="str">
        <x:v>offen</x:v>
      </x:c>
      <x:c r="Y145" t="str">
        <x:v>Agent-Draft; Kategorie und Person pruefen</x:v>
      </x:c>
    </x:row>
    <x:row r="146">
      <x:c r="A146" t="str">
        <x:v>TXN-RAW-IMP-20260516-FULLDRAFT-000130</x:v>
      </x:c>
      <x:c r="B146" t="str">
        <x:v>RAW-IMP-20260516-FULLDRAFT-000130</x:v>
      </x:c>
      <x:c r="C146" t="str">
        <x:v>KTO001</x:v>
      </x:c>
      <x:c r="D146"/>
      <x:c r="E146" t="str">
        <x:v>KAT013</x:v>
      </x:c>
      <x:c r="F146"/>
      <x:c r="G146"/>
      <x:c r="H146" t="str">
        <x:v>kein_match</x:v>
      </x:c>
      <x:c r="I146" t="str">
        <x:v>Agent-Draft: keine finale Regelentscheidung</x:v>
      </x:c>
      <x:c r="J146" t="n">
        <x:v>46114</x:v>
      </x:c>
      <x:c r="K146"/>
      <x:c r="L146"/>
      <x:c r="M146" t="n">
        <x:v>-8.8</x:v>
      </x:c>
      <x:c r="N146" t="str">
        <x:v>2026-04</x:v>
      </x:c>
      <x:c r="O146" t="str">
        <x:v>Ausgabe</x:v>
      </x:c>
      <x:c r="P146" t="str">
        <x:v>Ist</x:v>
      </x:c>
      <x:c r="Q146" s="59" t="b">
        <x:v>0</x:v>
      </x:c>
      <x:c r="R146" t="str">
        <x:v>kein_transfer</x:v>
      </x:c>
      <x:c r="S146"/>
      <x:c r="T146"/>
      <x:c r="U146"/>
      <x:c r="V146" s="59" t="b">
        <x:v>1</x:v>
      </x:c>
      <x:c r="W146"/>
      <x:c r="X146" t="str">
        <x:v>offen</x:v>
      </x:c>
      <x:c r="Y146" t="str">
        <x:v>Agent-Draft; Kategorie und Person pruefen</x:v>
      </x:c>
    </x:row>
    <x:row r="147">
      <x:c r="A147" t="str">
        <x:v>TXN-RAW-IMP-20260516-FULLDRAFT-000131</x:v>
      </x:c>
      <x:c r="B147" t="str">
        <x:v>RAW-IMP-20260516-FULLDRAFT-000131</x:v>
      </x:c>
      <x:c r="C147" t="str">
        <x:v>KTO001</x:v>
      </x:c>
      <x:c r="D147"/>
      <x:c r="E147" t="str">
        <x:v>KAT013</x:v>
      </x:c>
      <x:c r="F147"/>
      <x:c r="G147"/>
      <x:c r="H147" t="str">
        <x:v>kein_match</x:v>
      </x:c>
      <x:c r="I147" t="str">
        <x:v>Agent-Draft: keine finale Regelentscheidung</x:v>
      </x:c>
      <x:c r="J147" t="n">
        <x:v>46114</x:v>
      </x:c>
      <x:c r="K147"/>
      <x:c r="L147"/>
      <x:c r="M147" t="n">
        <x:v>32.53</x:v>
      </x:c>
      <x:c r="N147" t="str">
        <x:v>2026-04</x:v>
      </x:c>
      <x:c r="O147" t="str">
        <x:v>Einnahme</x:v>
      </x:c>
      <x:c r="P147" t="str">
        <x:v>Ist</x:v>
      </x:c>
      <x:c r="Q147" s="59" t="b">
        <x:v>0</x:v>
      </x:c>
      <x:c r="R147" t="str">
        <x:v>kein_transfer</x:v>
      </x:c>
      <x:c r="S147"/>
      <x:c r="T147"/>
      <x:c r="U147"/>
      <x:c r="V147" s="59" t="b">
        <x:v>1</x:v>
      </x:c>
      <x:c r="W147"/>
      <x:c r="X147" t="str">
        <x:v>offen</x:v>
      </x:c>
      <x:c r="Y147" t="str">
        <x:v>Agent-Draft; Kategorie und Person pruefen</x:v>
      </x:c>
    </x:row>
    <x:row r="148">
      <x:c r="A148" t="str">
        <x:v>TXN-RAW-IMP-20260516-FULLDRAFT-000132</x:v>
      </x:c>
      <x:c r="B148" t="str">
        <x:v>RAW-IMP-20260516-FULLDRAFT-000132</x:v>
      </x:c>
      <x:c r="C148" t="str">
        <x:v>KTO001</x:v>
      </x:c>
      <x:c r="D148"/>
      <x:c r="E148" t="str">
        <x:v>KAT013</x:v>
      </x:c>
      <x:c r="F148"/>
      <x:c r="G148"/>
      <x:c r="H148" t="str">
        <x:v>kein_match</x:v>
      </x:c>
      <x:c r="I148" t="str">
        <x:v>Agent-Draft: keine finale Regelentscheidung</x:v>
      </x:c>
      <x:c r="J148" t="n">
        <x:v>46114</x:v>
      </x:c>
      <x:c r="K148"/>
      <x:c r="L148"/>
      <x:c r="M148" t="n">
        <x:v>-11.78</x:v>
      </x:c>
      <x:c r="N148" t="str">
        <x:v>2026-04</x:v>
      </x:c>
      <x:c r="O148" t="str">
        <x:v>Ausgabe</x:v>
      </x:c>
      <x:c r="P148" t="str">
        <x:v>Ist</x:v>
      </x:c>
      <x:c r="Q148" s="59" t="b">
        <x:v>0</x:v>
      </x:c>
      <x:c r="R148" t="str">
        <x:v>kein_transfer</x:v>
      </x:c>
      <x:c r="S148"/>
      <x:c r="T148"/>
      <x:c r="U148"/>
      <x:c r="V148" s="59" t="b">
        <x:v>1</x:v>
      </x:c>
      <x:c r="W148"/>
      <x:c r="X148" t="str">
        <x:v>offen</x:v>
      </x:c>
      <x:c r="Y148" t="str">
        <x:v>Agent-Draft; Kategorie und Person pruefen</x:v>
      </x:c>
    </x:row>
    <x:row r="149">
      <x:c r="A149" t="str">
        <x:v>TXN-RAW-IMP-20260516-FULLDRAFT-000133</x:v>
      </x:c>
      <x:c r="B149" t="str">
        <x:v>RAW-IMP-20260516-FULLDRAFT-000133</x:v>
      </x:c>
      <x:c r="C149" t="str">
        <x:v>KTO001</x:v>
      </x:c>
      <x:c r="D149"/>
      <x:c r="E149" t="str">
        <x:v>KAT013</x:v>
      </x:c>
      <x:c r="F149"/>
      <x:c r="G149"/>
      <x:c r="H149" t="str">
        <x:v>kein_match</x:v>
      </x:c>
      <x:c r="I149" t="str">
        <x:v>Agent-Draft: keine finale Regelentscheidung</x:v>
      </x:c>
      <x:c r="J149" t="n">
        <x:v>46114</x:v>
      </x:c>
      <x:c r="K149"/>
      <x:c r="L149"/>
      <x:c r="M149" t="n">
        <x:v>-4.99</x:v>
      </x:c>
      <x:c r="N149" t="str">
        <x:v>2026-04</x:v>
      </x:c>
      <x:c r="O149" t="str">
        <x:v>Ausgabe</x:v>
      </x:c>
      <x:c r="P149" t="str">
        <x:v>Ist</x:v>
      </x:c>
      <x:c r="Q149" s="59" t="b">
        <x:v>0</x:v>
      </x:c>
      <x:c r="R149" t="str">
        <x:v>kein_transfer</x:v>
      </x:c>
      <x:c r="S149"/>
      <x:c r="T149"/>
      <x:c r="U149"/>
      <x:c r="V149" s="59" t="b">
        <x:v>1</x:v>
      </x:c>
      <x:c r="W149"/>
      <x:c r="X149" t="str">
        <x:v>offen</x:v>
      </x:c>
      <x:c r="Y149" t="str">
        <x:v>Agent-Draft; Kategorie und Person pruefen</x:v>
      </x:c>
    </x:row>
    <x:row r="150">
      <x:c r="A150" t="str">
        <x:v>TXN-RAW-IMP-20260516-FULLDRAFT-000134</x:v>
      </x:c>
      <x:c r="B150" t="str">
        <x:v>RAW-IMP-20260516-FULLDRAFT-000134</x:v>
      </x:c>
      <x:c r="C150" t="str">
        <x:v>KTO001</x:v>
      </x:c>
      <x:c r="D150"/>
      <x:c r="E150" t="str">
        <x:v>KAT013</x:v>
      </x:c>
      <x:c r="F150"/>
      <x:c r="G150"/>
      <x:c r="H150" t="str">
        <x:v>kein_match</x:v>
      </x:c>
      <x:c r="I150" t="str">
        <x:v>Agent-Draft: keine finale Regelentscheidung</x:v>
      </x:c>
      <x:c r="J150" t="n">
        <x:v>46114</x:v>
      </x:c>
      <x:c r="K150"/>
      <x:c r="L150"/>
      <x:c r="M150" t="n">
        <x:v>9.96</x:v>
      </x:c>
      <x:c r="N150" t="str">
        <x:v>2026-04</x:v>
      </x:c>
      <x:c r="O150" t="str">
        <x:v>Einnahme</x:v>
      </x:c>
      <x:c r="P150" t="str">
        <x:v>Ist</x:v>
      </x:c>
      <x:c r="Q150" s="59" t="b">
        <x:v>0</x:v>
      </x:c>
      <x:c r="R150" t="str">
        <x:v>kein_transfer</x:v>
      </x:c>
      <x:c r="S150"/>
      <x:c r="T150"/>
      <x:c r="U150"/>
      <x:c r="V150" s="59" t="b">
        <x:v>1</x:v>
      </x:c>
      <x:c r="W150"/>
      <x:c r="X150" t="str">
        <x:v>offen</x:v>
      </x:c>
      <x:c r="Y150" t="str">
        <x:v>Agent-Draft; Kategorie und Person pruefen</x:v>
      </x:c>
    </x:row>
    <x:row r="151">
      <x:c r="A151" t="str">
        <x:v>TXN-RAW-IMP-20260516-FULLDRAFT-000135</x:v>
      </x:c>
      <x:c r="B151" t="str">
        <x:v>RAW-IMP-20260516-FULLDRAFT-000135</x:v>
      </x:c>
      <x:c r="C151" t="str">
        <x:v>KTO001</x:v>
      </x:c>
      <x:c r="D151"/>
      <x:c r="E151" t="str">
        <x:v>KAT013</x:v>
      </x:c>
      <x:c r="F151"/>
      <x:c r="G151"/>
      <x:c r="H151" t="str">
        <x:v>kein_match</x:v>
      </x:c>
      <x:c r="I151" t="str">
        <x:v>Agent-Draft: keine finale Regelentscheidung</x:v>
      </x:c>
      <x:c r="J151" t="n">
        <x:v>46114</x:v>
      </x:c>
      <x:c r="K151"/>
      <x:c r="L151"/>
      <x:c r="M151" t="n">
        <x:v>-25.99</x:v>
      </x:c>
      <x:c r="N151" t="str">
        <x:v>2026-04</x:v>
      </x:c>
      <x:c r="O151" t="str">
        <x:v>Ausgabe</x:v>
      </x:c>
      <x:c r="P151" t="str">
        <x:v>Ist</x:v>
      </x:c>
      <x:c r="Q151" s="59" t="b">
        <x:v>0</x:v>
      </x:c>
      <x:c r="R151" t="str">
        <x:v>kein_transfer</x:v>
      </x:c>
      <x:c r="S151"/>
      <x:c r="T151"/>
      <x:c r="U151"/>
      <x:c r="V151" s="59" t="b">
        <x:v>1</x:v>
      </x:c>
      <x:c r="W151"/>
      <x:c r="X151" t="str">
        <x:v>offen</x:v>
      </x:c>
      <x:c r="Y151" t="str">
        <x:v>Agent-Draft; Kategorie und Person pruefen</x:v>
      </x:c>
    </x:row>
    <x:row r="152">
      <x:c r="A152" t="str">
        <x:v>TXN-RAW-IMP-20260516-FULLDRAFT-000136</x:v>
      </x:c>
      <x:c r="B152" t="str">
        <x:v>RAW-IMP-20260516-FULLDRAFT-000136</x:v>
      </x:c>
      <x:c r="C152" t="str">
        <x:v>KTO001</x:v>
      </x:c>
      <x:c r="D152"/>
      <x:c r="E152" t="str">
        <x:v>KAT013</x:v>
      </x:c>
      <x:c r="F152"/>
      <x:c r="G152"/>
      <x:c r="H152" t="str">
        <x:v>kein_match</x:v>
      </x:c>
      <x:c r="I152" t="str">
        <x:v>Agent-Draft: keine finale Regelentscheidung</x:v>
      </x:c>
      <x:c r="J152" t="n">
        <x:v>46114</x:v>
      </x:c>
      <x:c r="K152"/>
      <x:c r="L152"/>
      <x:c r="M152" t="n">
        <x:v>-60.5</x:v>
      </x:c>
      <x:c r="N152" t="str">
        <x:v>2026-04</x:v>
      </x:c>
      <x:c r="O152" t="str">
        <x:v>Ausgabe</x:v>
      </x:c>
      <x:c r="P152" t="str">
        <x:v>Ist</x:v>
      </x:c>
      <x:c r="Q152" s="59" t="b">
        <x:v>0</x:v>
      </x:c>
      <x:c r="R152" t="str">
        <x:v>kein_transfer</x:v>
      </x:c>
      <x:c r="S152"/>
      <x:c r="T152"/>
      <x:c r="U152"/>
      <x:c r="V152" s="59" t="b">
        <x:v>1</x:v>
      </x:c>
      <x:c r="W152"/>
      <x:c r="X152" t="str">
        <x:v>offen</x:v>
      </x:c>
      <x:c r="Y152" t="str">
        <x:v>Agent-Draft; Kategorie und Person pruefen</x:v>
      </x:c>
    </x:row>
    <x:row r="153">
      <x:c r="A153" t="str">
        <x:v>TXN-RAW-IMP-20260516-FULLDRAFT-000137</x:v>
      </x:c>
      <x:c r="B153" t="str">
        <x:v>RAW-IMP-20260516-FULLDRAFT-000137</x:v>
      </x:c>
      <x:c r="C153" t="str">
        <x:v>KTO001</x:v>
      </x:c>
      <x:c r="D153"/>
      <x:c r="E153" t="str">
        <x:v>KAT013</x:v>
      </x:c>
      <x:c r="F153"/>
      <x:c r="G153"/>
      <x:c r="H153" t="str">
        <x:v>kein_match</x:v>
      </x:c>
      <x:c r="I153" t="str">
        <x:v>Agent-Draft: keine finale Regelentscheidung</x:v>
      </x:c>
      <x:c r="J153" t="n">
        <x:v>46114</x:v>
      </x:c>
      <x:c r="K153"/>
      <x:c r="L153"/>
      <x:c r="M153" t="n">
        <x:v>-11.96</x:v>
      </x:c>
      <x:c r="N153" t="str">
        <x:v>2026-04</x:v>
      </x:c>
      <x:c r="O153" t="str">
        <x:v>Ausgabe</x:v>
      </x:c>
      <x:c r="P153" t="str">
        <x:v>Ist</x:v>
      </x:c>
      <x:c r="Q153" s="59" t="b">
        <x:v>0</x:v>
      </x:c>
      <x:c r="R153" t="str">
        <x:v>kein_transfer</x:v>
      </x:c>
      <x:c r="S153"/>
      <x:c r="T153"/>
      <x:c r="U153"/>
      <x:c r="V153" s="59" t="b">
        <x:v>1</x:v>
      </x:c>
      <x:c r="W153"/>
      <x:c r="X153" t="str">
        <x:v>offen</x:v>
      </x:c>
      <x:c r="Y153" t="str">
        <x:v>Agent-Draft; Kategorie und Person pruefen</x:v>
      </x:c>
    </x:row>
    <x:row r="154">
      <x:c r="A154" t="str">
        <x:v>TXN-RAW-IMP-20260516-FULLDRAFT-000138</x:v>
      </x:c>
      <x:c r="B154" t="str">
        <x:v>RAW-IMP-20260516-FULLDRAFT-000138</x:v>
      </x:c>
      <x:c r="C154" t="str">
        <x:v>KTO001</x:v>
      </x:c>
      <x:c r="D154"/>
      <x:c r="E154" t="str">
        <x:v>KAT013</x:v>
      </x:c>
      <x:c r="F154"/>
      <x:c r="G154"/>
      <x:c r="H154" t="str">
        <x:v>kein_match</x:v>
      </x:c>
      <x:c r="I154" t="str">
        <x:v>Agent-Draft: keine finale Regelentscheidung</x:v>
      </x:c>
      <x:c r="J154" t="n">
        <x:v>46113</x:v>
      </x:c>
      <x:c r="K154"/>
      <x:c r="L154"/>
      <x:c r="M154" t="n">
        <x:v>750</x:v>
      </x:c>
      <x:c r="N154" t="str">
        <x:v>2026-04</x:v>
      </x:c>
      <x:c r="O154" t="str">
        <x:v>Einnahme</x:v>
      </x:c>
      <x:c r="P154" t="str">
        <x:v>Ist</x:v>
      </x:c>
      <x:c r="Q154" s="59" t="b">
        <x:v>0</x:v>
      </x:c>
      <x:c r="R154" t="str">
        <x:v>kein_transfer</x:v>
      </x:c>
      <x:c r="S154"/>
      <x:c r="T154"/>
      <x:c r="U154"/>
      <x:c r="V154" s="59" t="b">
        <x:v>1</x:v>
      </x:c>
      <x:c r="W154"/>
      <x:c r="X154" t="str">
        <x:v>offen</x:v>
      </x:c>
      <x:c r="Y154" t="str">
        <x:v>Agent-Draft; Kategorie und Person pruefen</x:v>
      </x:c>
    </x:row>
    <x:row r="155">
      <x:c r="A155" t="str">
        <x:v>TXN-RAW-IMP-20260516-FULLDRAFT-000139</x:v>
      </x:c>
      <x:c r="B155" t="str">
        <x:v>RAW-IMP-20260516-FULLDRAFT-000139</x:v>
      </x:c>
      <x:c r="C155" t="str">
        <x:v>KTO001</x:v>
      </x:c>
      <x:c r="D155"/>
      <x:c r="E155" t="str">
        <x:v>KAT013</x:v>
      </x:c>
      <x:c r="F155"/>
      <x:c r="G155"/>
      <x:c r="H155" t="str">
        <x:v>kein_match</x:v>
      </x:c>
      <x:c r="I155" t="str">
        <x:v>Agent-Draft: keine finale Regelentscheidung</x:v>
      </x:c>
      <x:c r="J155" t="n">
        <x:v>46113</x:v>
      </x:c>
      <x:c r="K155"/>
      <x:c r="L155"/>
      <x:c r="M155" t="n">
        <x:v>-26.44</x:v>
      </x:c>
      <x:c r="N155" t="str">
        <x:v>2026-04</x:v>
      </x:c>
      <x:c r="O155" t="str">
        <x:v>Ausgabe</x:v>
      </x:c>
      <x:c r="P155" t="str">
        <x:v>Ist</x:v>
      </x:c>
      <x:c r="Q155" s="59" t="b">
        <x:v>0</x:v>
      </x:c>
      <x:c r="R155" t="str">
        <x:v>kein_transfer</x:v>
      </x:c>
      <x:c r="S155"/>
      <x:c r="T155"/>
      <x:c r="U155"/>
      <x:c r="V155" s="59" t="b">
        <x:v>1</x:v>
      </x:c>
      <x:c r="W155"/>
      <x:c r="X155" t="str">
        <x:v>offen</x:v>
      </x:c>
      <x:c r="Y155" t="str">
        <x:v>Agent-Draft; Kategorie und Person pruefen</x:v>
      </x:c>
    </x:row>
    <x:row r="156">
      <x:c r="A156" t="str">
        <x:v>TXN-RAW-IMP-20260516-FULLDRAFT-000140</x:v>
      </x:c>
      <x:c r="B156" t="str">
        <x:v>RAW-IMP-20260516-FULLDRAFT-000140</x:v>
      </x:c>
      <x:c r="C156" t="str">
        <x:v>KTO001</x:v>
      </x:c>
      <x:c r="D156"/>
      <x:c r="E156" t="str">
        <x:v>KAT013</x:v>
      </x:c>
      <x:c r="F156"/>
      <x:c r="G156"/>
      <x:c r="H156" t="str">
        <x:v>kein_match</x:v>
      </x:c>
      <x:c r="I156" t="str">
        <x:v>Agent-Draft: keine finale Regelentscheidung</x:v>
      </x:c>
      <x:c r="J156" t="n">
        <x:v>46113</x:v>
      </x:c>
      <x:c r="K156"/>
      <x:c r="L156"/>
      <x:c r="M156" t="n">
        <x:v>-11.83</x:v>
      </x:c>
      <x:c r="N156" t="str">
        <x:v>2026-04</x:v>
      </x:c>
      <x:c r="O156" t="str">
        <x:v>Ausgabe</x:v>
      </x:c>
      <x:c r="P156" t="str">
        <x:v>Ist</x:v>
      </x:c>
      <x:c r="Q156" s="59" t="b">
        <x:v>0</x:v>
      </x:c>
      <x:c r="R156" t="str">
        <x:v>kein_transfer</x:v>
      </x:c>
      <x:c r="S156"/>
      <x:c r="T156"/>
      <x:c r="U156"/>
      <x:c r="V156" s="59" t="b">
        <x:v>1</x:v>
      </x:c>
      <x:c r="W156"/>
      <x:c r="X156" t="str">
        <x:v>offen</x:v>
      </x:c>
      <x:c r="Y156" t="str">
        <x:v>Agent-Draft; Kategorie und Person pruefen</x:v>
      </x:c>
    </x:row>
    <x:row r="157">
      <x:c r="A157" t="str">
        <x:v>TXN-RAW-IMP-20260516-FULLDRAFT-000141</x:v>
      </x:c>
      <x:c r="B157" t="str">
        <x:v>RAW-IMP-20260516-FULLDRAFT-000141</x:v>
      </x:c>
      <x:c r="C157" t="str">
        <x:v>KTO001</x:v>
      </x:c>
      <x:c r="D157"/>
      <x:c r="E157" t="str">
        <x:v>KAT013</x:v>
      </x:c>
      <x:c r="F157"/>
      <x:c r="G157"/>
      <x:c r="H157" t="str">
        <x:v>kein_match</x:v>
      </x:c>
      <x:c r="I157" t="str">
        <x:v>Agent-Draft: keine finale Regelentscheidung</x:v>
      </x:c>
      <x:c r="J157" t="n">
        <x:v>46113</x:v>
      </x:c>
      <x:c r="K157"/>
      <x:c r="L157"/>
      <x:c r="M157" t="n">
        <x:v>-1400</x:v>
      </x:c>
      <x:c r="N157" t="str">
        <x:v>2026-04</x:v>
      </x:c>
      <x:c r="O157" t="str">
        <x:v>Ausgabe</x:v>
      </x:c>
      <x:c r="P157" t="str">
        <x:v>Ist</x:v>
      </x:c>
      <x:c r="Q157" s="59" t="b">
        <x:v>0</x:v>
      </x:c>
      <x:c r="R157" t="str">
        <x:v>kein_transfer</x:v>
      </x:c>
      <x:c r="S157"/>
      <x:c r="T157"/>
      <x:c r="U157"/>
      <x:c r="V157" s="59" t="b">
        <x:v>1</x:v>
      </x:c>
      <x:c r="W157"/>
      <x:c r="X157" t="str">
        <x:v>offen</x:v>
      </x:c>
      <x:c r="Y157" t="str">
        <x:v>Agent-Draft; Kategorie und Person pruefen</x:v>
      </x:c>
    </x:row>
    <x:row r="158">
      <x:c r="A158" t="str">
        <x:v>TXN-RAW-IMP-20260516-FULLDRAFT-000142</x:v>
      </x:c>
      <x:c r="B158" t="str">
        <x:v>RAW-IMP-20260516-FULLDRAFT-000142</x:v>
      </x:c>
      <x:c r="C158" t="str">
        <x:v>KTO001</x:v>
      </x:c>
      <x:c r="D158"/>
      <x:c r="E158" t="str">
        <x:v>KAT013</x:v>
      </x:c>
      <x:c r="F158"/>
      <x:c r="G158"/>
      <x:c r="H158" t="str">
        <x:v>kein_match</x:v>
      </x:c>
      <x:c r="I158" t="str">
        <x:v>Agent-Draft: keine finale Regelentscheidung</x:v>
      </x:c>
      <x:c r="J158" t="n">
        <x:v>46113</x:v>
      </x:c>
      <x:c r="K158"/>
      <x:c r="L158"/>
      <x:c r="M158" t="n">
        <x:v>-1800</x:v>
      </x:c>
      <x:c r="N158" t="str">
        <x:v>2026-04</x:v>
      </x:c>
      <x:c r="O158" t="str">
        <x:v>Ausgabe</x:v>
      </x:c>
      <x:c r="P158" t="str">
        <x:v>Ist</x:v>
      </x:c>
      <x:c r="Q158" s="59" t="b">
        <x:v>0</x:v>
      </x:c>
      <x:c r="R158" t="str">
        <x:v>kein_transfer</x:v>
      </x:c>
      <x:c r="S158"/>
      <x:c r="T158"/>
      <x:c r="U158"/>
      <x:c r="V158" s="59" t="b">
        <x:v>1</x:v>
      </x:c>
      <x:c r="W158"/>
      <x:c r="X158" t="str">
        <x:v>offen</x:v>
      </x:c>
      <x:c r="Y158" t="str">
        <x:v>Agent-Draft; Kategorie und Person pruefen</x:v>
      </x:c>
    </x:row>
    <x:row r="159">
      <x:c r="A159" t="str">
        <x:v>TXN-RAW-IMP-20260516-FULLDRAFT-000143</x:v>
      </x:c>
      <x:c r="B159" t="str">
        <x:v>RAW-IMP-20260516-FULLDRAFT-000143</x:v>
      </x:c>
      <x:c r="C159" t="str">
        <x:v>KTO001</x:v>
      </x:c>
      <x:c r="D159"/>
      <x:c r="E159" t="str">
        <x:v>KAT013</x:v>
      </x:c>
      <x:c r="F159"/>
      <x:c r="G159"/>
      <x:c r="H159" t="str">
        <x:v>kein_match</x:v>
      </x:c>
      <x:c r="I159" t="str">
        <x:v>Agent-Draft: keine finale Regelentscheidung</x:v>
      </x:c>
      <x:c r="J159" t="n">
        <x:v>46113</x:v>
      </x:c>
      <x:c r="K159"/>
      <x:c r="L159"/>
      <x:c r="M159" t="n">
        <x:v>-162.17</x:v>
      </x:c>
      <x:c r="N159" t="str">
        <x:v>2026-04</x:v>
      </x:c>
      <x:c r="O159" t="str">
        <x:v>Ausgabe</x:v>
      </x:c>
      <x:c r="P159" t="str">
        <x:v>Ist</x:v>
      </x:c>
      <x:c r="Q159" s="59" t="b">
        <x:v>0</x:v>
      </x:c>
      <x:c r="R159" t="str">
        <x:v>kein_transfer</x:v>
      </x:c>
      <x:c r="S159"/>
      <x:c r="T159"/>
      <x:c r="U159"/>
      <x:c r="V159" s="59" t="b">
        <x:v>1</x:v>
      </x:c>
      <x:c r="W159"/>
      <x:c r="X159" t="str">
        <x:v>offen</x:v>
      </x:c>
      <x:c r="Y159" t="str">
        <x:v>Agent-Draft; Kategorie und Person pruefen</x:v>
      </x:c>
    </x:row>
    <x:row r="160">
      <x:c r="A160" t="str">
        <x:v>TXN-RAW-IMP-20260516-FULLDRAFT-000144</x:v>
      </x:c>
      <x:c r="B160" t="str">
        <x:v>RAW-IMP-20260516-FULLDRAFT-000144</x:v>
      </x:c>
      <x:c r="C160" t="str">
        <x:v>KTO001</x:v>
      </x:c>
      <x:c r="D160"/>
      <x:c r="E160" t="str">
        <x:v>KAT013</x:v>
      </x:c>
      <x:c r="F160"/>
      <x:c r="G160"/>
      <x:c r="H160" t="str">
        <x:v>kein_match</x:v>
      </x:c>
      <x:c r="I160" t="str">
        <x:v>Agent-Draft: keine finale Regelentscheidung</x:v>
      </x:c>
      <x:c r="J160" t="n">
        <x:v>46113</x:v>
      </x:c>
      <x:c r="K160"/>
      <x:c r="L160"/>
      <x:c r="M160" t="n">
        <x:v>-452.71</x:v>
      </x:c>
      <x:c r="N160" t="str">
        <x:v>2026-04</x:v>
      </x:c>
      <x:c r="O160" t="str">
        <x:v>Ausgabe</x:v>
      </x:c>
      <x:c r="P160" t="str">
        <x:v>Ist</x:v>
      </x:c>
      <x:c r="Q160" s="59" t="b">
        <x:v>0</x:v>
      </x:c>
      <x:c r="R160" t="str">
        <x:v>kein_transfer</x:v>
      </x:c>
      <x:c r="S160"/>
      <x:c r="T160"/>
      <x:c r="U160"/>
      <x:c r="V160" s="59" t="b">
        <x:v>1</x:v>
      </x:c>
      <x:c r="W160"/>
      <x:c r="X160" t="str">
        <x:v>offen</x:v>
      </x:c>
      <x:c r="Y160" t="str">
        <x:v>Agent-Draft; Kategorie und Person pruefen</x:v>
      </x:c>
    </x:row>
    <x:row r="161">
      <x:c r="A161" t="str">
        <x:v>TXN-RAW-IMP-20260516-FULLDRAFT-000145</x:v>
      </x:c>
      <x:c r="B161" t="str">
        <x:v>RAW-IMP-20260516-FULLDRAFT-000145</x:v>
      </x:c>
      <x:c r="C161" t="str">
        <x:v>KTO001</x:v>
      </x:c>
      <x:c r="D161"/>
      <x:c r="E161" t="str">
        <x:v>KAT013</x:v>
      </x:c>
      <x:c r="F161"/>
      <x:c r="G161"/>
      <x:c r="H161" t="str">
        <x:v>kein_match</x:v>
      </x:c>
      <x:c r="I161" t="str">
        <x:v>Agent-Draft: keine finale Regelentscheidung</x:v>
      </x:c>
      <x:c r="J161" t="n">
        <x:v>46113</x:v>
      </x:c>
      <x:c r="K161"/>
      <x:c r="L161"/>
      <x:c r="M161" t="n">
        <x:v>-600</x:v>
      </x:c>
      <x:c r="N161" t="str">
        <x:v>2026-04</x:v>
      </x:c>
      <x:c r="O161" t="str">
        <x:v>Ausgabe</x:v>
      </x:c>
      <x:c r="P161" t="str">
        <x:v>Ist</x:v>
      </x:c>
      <x:c r="Q161" s="59" t="b">
        <x:v>0</x:v>
      </x:c>
      <x:c r="R161" t="str">
        <x:v>kein_transfer</x:v>
      </x:c>
      <x:c r="S161"/>
      <x:c r="T161"/>
      <x:c r="U161"/>
      <x:c r="V161" s="59" t="b">
        <x:v>1</x:v>
      </x:c>
      <x:c r="W161"/>
      <x:c r="X161" t="str">
        <x:v>offen</x:v>
      </x:c>
      <x:c r="Y161" t="str">
        <x:v>Agent-Draft; Kategorie und Person pruefen</x:v>
      </x:c>
    </x:row>
    <x:row r="162">
      <x:c r="A162" t="str">
        <x:v>TXN-RAW-IMP-20260516-FULLDRAFT-000146</x:v>
      </x:c>
      <x:c r="B162" t="str">
        <x:v>RAW-IMP-20260516-FULLDRAFT-000146</x:v>
      </x:c>
      <x:c r="C162" t="str">
        <x:v>KTO001</x:v>
      </x:c>
      <x:c r="D162"/>
      <x:c r="E162" t="str">
        <x:v>KAT013</x:v>
      </x:c>
      <x:c r="F162"/>
      <x:c r="G162"/>
      <x:c r="H162" t="str">
        <x:v>kein_match</x:v>
      </x:c>
      <x:c r="I162" t="str">
        <x:v>Agent-Draft: keine finale Regelentscheidung</x:v>
      </x:c>
      <x:c r="J162" t="n">
        <x:v>46113</x:v>
      </x:c>
      <x:c r="K162"/>
      <x:c r="L162"/>
      <x:c r="M162" t="n">
        <x:v>-56.83</x:v>
      </x:c>
      <x:c r="N162" t="str">
        <x:v>2026-04</x:v>
      </x:c>
      <x:c r="O162" t="str">
        <x:v>Ausgabe</x:v>
      </x:c>
      <x:c r="P162" t="str">
        <x:v>Ist</x:v>
      </x:c>
      <x:c r="Q162" s="59" t="b">
        <x:v>0</x:v>
      </x:c>
      <x:c r="R162" t="str">
        <x:v>kein_transfer</x:v>
      </x:c>
      <x:c r="S162"/>
      <x:c r="T162"/>
      <x:c r="U162"/>
      <x:c r="V162" s="59" t="b">
        <x:v>1</x:v>
      </x:c>
      <x:c r="W162"/>
      <x:c r="X162" t="str">
        <x:v>offen</x:v>
      </x:c>
      <x:c r="Y162" t="str">
        <x:v>Agent-Draft; Kategorie und Person pruefen</x:v>
      </x:c>
    </x:row>
    <x:row r="163">
      <x:c r="A163" t="str">
        <x:v>TXN-RAW-IMP-20260516-FULLDRAFT-000147</x:v>
      </x:c>
      <x:c r="B163" t="str">
        <x:v>RAW-IMP-20260516-FULLDRAFT-000147</x:v>
      </x:c>
      <x:c r="C163" t="str">
        <x:v>KTO001</x:v>
      </x:c>
      <x:c r="D163"/>
      <x:c r="E163" t="str">
        <x:v>KAT013</x:v>
      </x:c>
      <x:c r="F163"/>
      <x:c r="G163"/>
      <x:c r="H163" t="str">
        <x:v>kein_match</x:v>
      </x:c>
      <x:c r="I163" t="str">
        <x:v>Agent-Draft: keine finale Regelentscheidung</x:v>
      </x:c>
      <x:c r="J163" t="n">
        <x:v>46113</x:v>
      </x:c>
      <x:c r="K163"/>
      <x:c r="L163"/>
      <x:c r="M163" t="n">
        <x:v>-49</x:v>
      </x:c>
      <x:c r="N163" t="str">
        <x:v>2026-04</x:v>
      </x:c>
      <x:c r="O163" t="str">
        <x:v>Ausgabe</x:v>
      </x:c>
      <x:c r="P163" t="str">
        <x:v>Ist</x:v>
      </x:c>
      <x:c r="Q163" s="59" t="b">
        <x:v>0</x:v>
      </x:c>
      <x:c r="R163" t="str">
        <x:v>kein_transfer</x:v>
      </x:c>
      <x:c r="S163"/>
      <x:c r="T163"/>
      <x:c r="U163"/>
      <x:c r="V163" s="59" t="b">
        <x:v>1</x:v>
      </x:c>
      <x:c r="W163"/>
      <x:c r="X163" t="str">
        <x:v>offen</x:v>
      </x:c>
      <x:c r="Y163" t="str">
        <x:v>Agent-Draft; Kategorie und Person pruefen</x:v>
      </x:c>
    </x:row>
    <x:row r="164">
      <x:c r="A164" t="str">
        <x:v>TXN-RAW-IMP-20260516-FULLDRAFT-000148</x:v>
      </x:c>
      <x:c r="B164" t="str">
        <x:v>RAW-IMP-20260516-FULLDRAFT-000148</x:v>
      </x:c>
      <x:c r="C164" t="str">
        <x:v>KTO001</x:v>
      </x:c>
      <x:c r="D164"/>
      <x:c r="E164" t="str">
        <x:v>KAT013</x:v>
      </x:c>
      <x:c r="F164"/>
      <x:c r="G164"/>
      <x:c r="H164" t="str">
        <x:v>kein_match</x:v>
      </x:c>
      <x:c r="I164" t="str">
        <x:v>Agent-Draft: keine finale Regelentscheidung</x:v>
      </x:c>
      <x:c r="J164" t="n">
        <x:v>46113</x:v>
      </x:c>
      <x:c r="K164"/>
      <x:c r="L164"/>
      <x:c r="M164" t="n">
        <x:v>-73.09</x:v>
      </x:c>
      <x:c r="N164" t="str">
        <x:v>2026-04</x:v>
      </x:c>
      <x:c r="O164" t="str">
        <x:v>Ausgabe</x:v>
      </x:c>
      <x:c r="P164" t="str">
        <x:v>Ist</x:v>
      </x:c>
      <x:c r="Q164" s="59" t="b">
        <x:v>0</x:v>
      </x:c>
      <x:c r="R164" t="str">
        <x:v>kein_transfer</x:v>
      </x:c>
      <x:c r="S164"/>
      <x:c r="T164"/>
      <x:c r="U164"/>
      <x:c r="V164" s="59" t="b">
        <x:v>1</x:v>
      </x:c>
      <x:c r="W164"/>
      <x:c r="X164" t="str">
        <x:v>offen</x:v>
      </x:c>
      <x:c r="Y164" t="str">
        <x:v>Agent-Draft; Kategorie und Person pruefen</x:v>
      </x:c>
    </x:row>
    <x:row r="165">
      <x:c r="A165" t="str">
        <x:v>TXN-RAW-IMP-20260516-FULLDRAFT-000149</x:v>
      </x:c>
      <x:c r="B165" t="str">
        <x:v>RAW-IMP-20260516-FULLDRAFT-000149</x:v>
      </x:c>
      <x:c r="C165" t="str">
        <x:v>KTO001</x:v>
      </x:c>
      <x:c r="D165"/>
      <x:c r="E165" t="str">
        <x:v>KAT013</x:v>
      </x:c>
      <x:c r="F165"/>
      <x:c r="G165"/>
      <x:c r="H165" t="str">
        <x:v>kein_match</x:v>
      </x:c>
      <x:c r="I165" t="str">
        <x:v>Agent-Draft: keine finale Regelentscheidung</x:v>
      </x:c>
      <x:c r="J165" t="n">
        <x:v>46113</x:v>
      </x:c>
      <x:c r="K165"/>
      <x:c r="L165"/>
      <x:c r="M165" t="n">
        <x:v>-100.52</x:v>
      </x:c>
      <x:c r="N165" t="str">
        <x:v>2026-04</x:v>
      </x:c>
      <x:c r="O165" t="str">
        <x:v>Ausgabe</x:v>
      </x:c>
      <x:c r="P165" t="str">
        <x:v>Ist</x:v>
      </x:c>
      <x:c r="Q165" s="59" t="b">
        <x:v>0</x:v>
      </x:c>
      <x:c r="R165" t="str">
        <x:v>kein_transfer</x:v>
      </x:c>
      <x:c r="S165"/>
      <x:c r="T165"/>
      <x:c r="U165"/>
      <x:c r="V165" s="59" t="b">
        <x:v>1</x:v>
      </x:c>
      <x:c r="W165"/>
      <x:c r="X165" t="str">
        <x:v>offen</x:v>
      </x:c>
      <x:c r="Y165" t="str">
        <x:v>Agent-Draft; Kategorie und Person pruefen</x:v>
      </x:c>
    </x:row>
    <x:row r="166">
      <x:c r="A166" t="str">
        <x:v>TXN-RAW-IMP-20260516-FULLDRAFT-000150</x:v>
      </x:c>
      <x:c r="B166" t="str">
        <x:v>RAW-IMP-20260516-FULLDRAFT-000150</x:v>
      </x:c>
      <x:c r="C166" t="str">
        <x:v>KTO001</x:v>
      </x:c>
      <x:c r="D166"/>
      <x:c r="E166" t="str">
        <x:v>KAT013</x:v>
      </x:c>
      <x:c r="F166"/>
      <x:c r="G166"/>
      <x:c r="H166" t="str">
        <x:v>kein_match</x:v>
      </x:c>
      <x:c r="I166" t="str">
        <x:v>Agent-Draft: keine finale Regelentscheidung</x:v>
      </x:c>
      <x:c r="J166" t="n">
        <x:v>46113</x:v>
      </x:c>
      <x:c r="K166"/>
      <x:c r="L166"/>
      <x:c r="M166" t="n">
        <x:v>-0.48</x:v>
      </x:c>
      <x:c r="N166" t="str">
        <x:v>2026-04</x:v>
      </x:c>
      <x:c r="O166" t="str">
        <x:v>Ausgabe</x:v>
      </x:c>
      <x:c r="P166" t="str">
        <x:v>Ist</x:v>
      </x:c>
      <x:c r="Q166" s="59" t="b">
        <x:v>0</x:v>
      </x:c>
      <x:c r="R166" t="str">
        <x:v>kein_transfer</x:v>
      </x:c>
      <x:c r="S166"/>
      <x:c r="T166"/>
      <x:c r="U166"/>
      <x:c r="V166" s="59" t="b">
        <x:v>1</x:v>
      </x:c>
      <x:c r="W166"/>
      <x:c r="X166" t="str">
        <x:v>offen</x:v>
      </x:c>
      <x:c r="Y166" t="str">
        <x:v>Agent-Draft; Kategorie und Person pruefen</x:v>
      </x:c>
    </x:row>
    <x:row r="167">
      <x:c r="A167" t="str">
        <x:v>TXN-RAW-IMP-20260516-FULLDRAFT-000151</x:v>
      </x:c>
      <x:c r="B167" t="str">
        <x:v>RAW-IMP-20260516-FULLDRAFT-000151</x:v>
      </x:c>
      <x:c r="C167" t="str">
        <x:v>KTO001</x:v>
      </x:c>
      <x:c r="D167"/>
      <x:c r="E167" t="str">
        <x:v>KAT013</x:v>
      </x:c>
      <x:c r="F167"/>
      <x:c r="G167"/>
      <x:c r="H167" t="str">
        <x:v>kein_match</x:v>
      </x:c>
      <x:c r="I167" t="str">
        <x:v>Agent-Draft: keine finale Regelentscheidung</x:v>
      </x:c>
      <x:c r="J167" t="n">
        <x:v>46112</x:v>
      </x:c>
      <x:c r="K167"/>
      <x:c r="L167"/>
      <x:c r="M167" t="n">
        <x:v>-2.15</x:v>
      </x:c>
      <x:c r="N167" t="str">
        <x:v>2026-03</x:v>
      </x:c>
      <x:c r="O167" t="str">
        <x:v>Ausgabe</x:v>
      </x:c>
      <x:c r="P167" t="str">
        <x:v>Ist</x:v>
      </x:c>
      <x:c r="Q167" s="59" t="b">
        <x:v>0</x:v>
      </x:c>
      <x:c r="R167" t="str">
        <x:v>kein_transfer</x:v>
      </x:c>
      <x:c r="S167"/>
      <x:c r="T167"/>
      <x:c r="U167"/>
      <x:c r="V167" s="59" t="b">
        <x:v>1</x:v>
      </x:c>
      <x:c r="W167"/>
      <x:c r="X167" t="str">
        <x:v>offen</x:v>
      </x:c>
      <x:c r="Y167" t="str">
        <x:v>Agent-Draft; Kategorie und Person pruefen</x:v>
      </x:c>
    </x:row>
    <x:row r="168">
      <x:c r="A168" t="str">
        <x:v>TXN-RAW-IMP-20260516-FULLDRAFT-000152</x:v>
      </x:c>
      <x:c r="B168" t="str">
        <x:v>RAW-IMP-20260516-FULLDRAFT-000152</x:v>
      </x:c>
      <x:c r="C168" t="str">
        <x:v>KTO001</x:v>
      </x:c>
      <x:c r="D168"/>
      <x:c r="E168" t="str">
        <x:v>KAT013</x:v>
      </x:c>
      <x:c r="F168"/>
      <x:c r="G168"/>
      <x:c r="H168" t="str">
        <x:v>kein_match</x:v>
      </x:c>
      <x:c r="I168" t="str">
        <x:v>Agent-Draft: keine finale Regelentscheidung</x:v>
      </x:c>
      <x:c r="J168" t="n">
        <x:v>46112</x:v>
      </x:c>
      <x:c r="K168"/>
      <x:c r="L168"/>
      <x:c r="M168" t="n">
        <x:v>-4.99</x:v>
      </x:c>
      <x:c r="N168" t="str">
        <x:v>2026-03</x:v>
      </x:c>
      <x:c r="O168" t="str">
        <x:v>Ausgabe</x:v>
      </x:c>
      <x:c r="P168" t="str">
        <x:v>Ist</x:v>
      </x:c>
      <x:c r="Q168" s="59" t="b">
        <x:v>0</x:v>
      </x:c>
      <x:c r="R168" t="str">
        <x:v>kein_transfer</x:v>
      </x:c>
      <x:c r="S168"/>
      <x:c r="T168"/>
      <x:c r="U168"/>
      <x:c r="V168" s="59" t="b">
        <x:v>1</x:v>
      </x:c>
      <x:c r="W168"/>
      <x:c r="X168" t="str">
        <x:v>offen</x:v>
      </x:c>
      <x:c r="Y168" t="str">
        <x:v>Agent-Draft; Kategorie und Person pruefen</x:v>
      </x:c>
    </x:row>
    <x:row r="169">
      <x:c r="A169" t="str">
        <x:v>TXN-RAW-IMP-20260516-FULLDRAFT-000153</x:v>
      </x:c>
      <x:c r="B169" t="str">
        <x:v>RAW-IMP-20260516-FULLDRAFT-000153</x:v>
      </x:c>
      <x:c r="C169" t="str">
        <x:v>KTO001</x:v>
      </x:c>
      <x:c r="D169"/>
      <x:c r="E169" t="str">
        <x:v>KAT013</x:v>
      </x:c>
      <x:c r="F169"/>
      <x:c r="G169"/>
      <x:c r="H169" t="str">
        <x:v>kein_match</x:v>
      </x:c>
      <x:c r="I169" t="str">
        <x:v>Agent-Draft: keine finale Regelentscheidung</x:v>
      </x:c>
      <x:c r="J169" t="n">
        <x:v>46112</x:v>
      </x:c>
      <x:c r="K169"/>
      <x:c r="L169"/>
      <x:c r="M169" t="n">
        <x:v>33.49</x:v>
      </x:c>
      <x:c r="N169" t="str">
        <x:v>2026-03</x:v>
      </x:c>
      <x:c r="O169" t="str">
        <x:v>Einnahme</x:v>
      </x:c>
      <x:c r="P169" t="str">
        <x:v>Ist</x:v>
      </x:c>
      <x:c r="Q169" s="59" t="b">
        <x:v>0</x:v>
      </x:c>
      <x:c r="R169" t="str">
        <x:v>kein_transfer</x:v>
      </x:c>
      <x:c r="S169"/>
      <x:c r="T169"/>
      <x:c r="U169"/>
      <x:c r="V169" s="59" t="b">
        <x:v>1</x:v>
      </x:c>
      <x:c r="W169"/>
      <x:c r="X169" t="str">
        <x:v>offen</x:v>
      </x:c>
      <x:c r="Y169" t="str">
        <x:v>Agent-Draft; Kategorie und Person pruefen</x:v>
      </x:c>
    </x:row>
    <x:row r="170">
      <x:c r="A170" t="str">
        <x:v>TXN-RAW-IMP-20260516-FULLDRAFT-000154</x:v>
      </x:c>
      <x:c r="B170" t="str">
        <x:v>RAW-IMP-20260516-FULLDRAFT-000154</x:v>
      </x:c>
      <x:c r="C170" t="str">
        <x:v>KTO001</x:v>
      </x:c>
      <x:c r="D170"/>
      <x:c r="E170" t="str">
        <x:v>KAT013</x:v>
      </x:c>
      <x:c r="F170"/>
      <x:c r="G170"/>
      <x:c r="H170" t="str">
        <x:v>kein_match</x:v>
      </x:c>
      <x:c r="I170" t="str">
        <x:v>Agent-Draft: keine finale Regelentscheidung</x:v>
      </x:c>
      <x:c r="J170" t="n">
        <x:v>46112</x:v>
      </x:c>
      <x:c r="K170"/>
      <x:c r="L170"/>
      <x:c r="M170" t="n">
        <x:v>-14.47</x:v>
      </x:c>
      <x:c r="N170" t="str">
        <x:v>2026-03</x:v>
      </x:c>
      <x:c r="O170" t="str">
        <x:v>Ausgabe</x:v>
      </x:c>
      <x:c r="P170" t="str">
        <x:v>Ist</x:v>
      </x:c>
      <x:c r="Q170" s="59" t="b">
        <x:v>0</x:v>
      </x:c>
      <x:c r="R170" t="str">
        <x:v>kein_transfer</x:v>
      </x:c>
      <x:c r="S170"/>
      <x:c r="T170"/>
      <x:c r="U170"/>
      <x:c r="V170" s="59" t="b">
        <x:v>1</x:v>
      </x:c>
      <x:c r="W170"/>
      <x:c r="X170" t="str">
        <x:v>offen</x:v>
      </x:c>
      <x:c r="Y170" t="str">
        <x:v>Agent-Draft; Kategorie und Person pruefen</x:v>
      </x:c>
    </x:row>
    <x:row r="171">
      <x:c r="A171" t="str">
        <x:v>TXN-RAW-IMP-20260516-FULLDRAFT-000155</x:v>
      </x:c>
      <x:c r="B171" t="str">
        <x:v>RAW-IMP-20260516-FULLDRAFT-000155</x:v>
      </x:c>
      <x:c r="C171" t="str">
        <x:v>KTO001</x:v>
      </x:c>
      <x:c r="D171"/>
      <x:c r="E171" t="str">
        <x:v>KAT013</x:v>
      </x:c>
      <x:c r="F171"/>
      <x:c r="G171"/>
      <x:c r="H171" t="str">
        <x:v>kein_match</x:v>
      </x:c>
      <x:c r="I171" t="str">
        <x:v>Agent-Draft: keine finale Regelentscheidung</x:v>
      </x:c>
      <x:c r="J171" t="n">
        <x:v>46112</x:v>
      </x:c>
      <x:c r="K171"/>
      <x:c r="L171"/>
      <x:c r="M171" t="n">
        <x:v>-219</x:v>
      </x:c>
      <x:c r="N171" t="str">
        <x:v>2026-03</x:v>
      </x:c>
      <x:c r="O171" t="str">
        <x:v>Ausgabe</x:v>
      </x:c>
      <x:c r="P171" t="str">
        <x:v>Ist</x:v>
      </x:c>
      <x:c r="Q171" s="59" t="b">
        <x:v>0</x:v>
      </x:c>
      <x:c r="R171" t="str">
        <x:v>kein_transfer</x:v>
      </x:c>
      <x:c r="S171"/>
      <x:c r="T171"/>
      <x:c r="U171"/>
      <x:c r="V171" s="59" t="b">
        <x:v>1</x:v>
      </x:c>
      <x:c r="W171"/>
      <x:c r="X171" t="str">
        <x:v>offen</x:v>
      </x:c>
      <x:c r="Y171" t="str">
        <x:v>Agent-Draft; Kategorie und Person pruefen</x:v>
      </x:c>
    </x:row>
    <x:row r="172">
      <x:c r="A172" t="str">
        <x:v>TXN-RAW-IMP-20260516-FULLDRAFT-000156</x:v>
      </x:c>
      <x:c r="B172" t="str">
        <x:v>RAW-IMP-20260516-FULLDRAFT-000156</x:v>
      </x:c>
      <x:c r="C172" t="str">
        <x:v>KTO001</x:v>
      </x:c>
      <x:c r="D172"/>
      <x:c r="E172" t="str">
        <x:v>KAT013</x:v>
      </x:c>
      <x:c r="F172"/>
      <x:c r="G172"/>
      <x:c r="H172" t="str">
        <x:v>kein_match</x:v>
      </x:c>
      <x:c r="I172" t="str">
        <x:v>Agent-Draft: keine finale Regelentscheidung</x:v>
      </x:c>
      <x:c r="J172" t="n">
        <x:v>46112</x:v>
      </x:c>
      <x:c r="K172"/>
      <x:c r="L172"/>
      <x:c r="M172" t="n">
        <x:v>-20</x:v>
      </x:c>
      <x:c r="N172" t="str">
        <x:v>2026-03</x:v>
      </x:c>
      <x:c r="O172" t="str">
        <x:v>Ausgabe</x:v>
      </x:c>
      <x:c r="P172" t="str">
        <x:v>Ist</x:v>
      </x:c>
      <x:c r="Q172" s="59" t="b">
        <x:v>0</x:v>
      </x:c>
      <x:c r="R172" t="str">
        <x:v>kein_transfer</x:v>
      </x:c>
      <x:c r="S172"/>
      <x:c r="T172"/>
      <x:c r="U172"/>
      <x:c r="V172" s="59" t="b">
        <x:v>1</x:v>
      </x:c>
      <x:c r="W172"/>
      <x:c r="X172" t="str">
        <x:v>offen</x:v>
      </x:c>
      <x:c r="Y172" t="str">
        <x:v>Agent-Draft; Kategorie und Person pruefen</x:v>
      </x:c>
    </x:row>
    <x:row r="173">
      <x:c r="A173" t="str">
        <x:v>TXN-RAW-IMP-20260516-FULLDRAFT-000157</x:v>
      </x:c>
      <x:c r="B173" t="str">
        <x:v>RAW-IMP-20260516-FULLDRAFT-000157</x:v>
      </x:c>
      <x:c r="C173" t="str">
        <x:v>KTO001</x:v>
      </x:c>
      <x:c r="D173"/>
      <x:c r="E173" t="str">
        <x:v>KAT013</x:v>
      </x:c>
      <x:c r="F173"/>
      <x:c r="G173"/>
      <x:c r="H173" t="str">
        <x:v>kein_match</x:v>
      </x:c>
      <x:c r="I173" t="str">
        <x:v>Agent-Draft: keine finale Regelentscheidung</x:v>
      </x:c>
      <x:c r="J173" t="n">
        <x:v>46111</x:v>
      </x:c>
      <x:c r="K173"/>
      <x:c r="L173"/>
      <x:c r="M173" t="n">
        <x:v>0.64</x:v>
      </x:c>
      <x:c r="N173" t="str">
        <x:v>2026-03</x:v>
      </x:c>
      <x:c r="O173" t="str">
        <x:v>Einnahme</x:v>
      </x:c>
      <x:c r="P173" t="str">
        <x:v>Ist</x:v>
      </x:c>
      <x:c r="Q173" s="59" t="b">
        <x:v>0</x:v>
      </x:c>
      <x:c r="R173" t="str">
        <x:v>kein_transfer</x:v>
      </x:c>
      <x:c r="S173"/>
      <x:c r="T173"/>
      <x:c r="U173"/>
      <x:c r="V173" s="59" t="b">
        <x:v>1</x:v>
      </x:c>
      <x:c r="W173"/>
      <x:c r="X173" t="str">
        <x:v>offen</x:v>
      </x:c>
      <x:c r="Y173" t="str">
        <x:v>Agent-Draft; Kategorie und Person pruefen</x:v>
      </x:c>
    </x:row>
    <x:row r="174">
      <x:c r="A174" t="str">
        <x:v>TXN-RAW-IMP-20260516-FULLDRAFT-000158</x:v>
      </x:c>
      <x:c r="B174" t="str">
        <x:v>RAW-IMP-20260516-FULLDRAFT-000158</x:v>
      </x:c>
      <x:c r="C174" t="str">
        <x:v>KTO001</x:v>
      </x:c>
      <x:c r="D174"/>
      <x:c r="E174" t="str">
        <x:v>KAT013</x:v>
      </x:c>
      <x:c r="F174"/>
      <x:c r="G174"/>
      <x:c r="H174" t="str">
        <x:v>kein_match</x:v>
      </x:c>
      <x:c r="I174" t="str">
        <x:v>Agent-Draft: keine finale Regelentscheidung</x:v>
      </x:c>
      <x:c r="J174" t="n">
        <x:v>46111</x:v>
      </x:c>
      <x:c r="K174"/>
      <x:c r="L174"/>
      <x:c r="M174" t="n">
        <x:v>-21.99</x:v>
      </x:c>
      <x:c r="N174" t="str">
        <x:v>2026-03</x:v>
      </x:c>
      <x:c r="O174" t="str">
        <x:v>Ausgabe</x:v>
      </x:c>
      <x:c r="P174" t="str">
        <x:v>Ist</x:v>
      </x:c>
      <x:c r="Q174" s="59" t="b">
        <x:v>0</x:v>
      </x:c>
      <x:c r="R174" t="str">
        <x:v>kein_transfer</x:v>
      </x:c>
      <x:c r="S174"/>
      <x:c r="T174"/>
      <x:c r="U174"/>
      <x:c r="V174" s="59" t="b">
        <x:v>1</x:v>
      </x:c>
      <x:c r="W174"/>
      <x:c r="X174" t="str">
        <x:v>offen</x:v>
      </x:c>
      <x:c r="Y174" t="str">
        <x:v>Agent-Draft; Kategorie und Person pruefen</x:v>
      </x:c>
    </x:row>
    <x:row r="175">
      <x:c r="A175" t="str">
        <x:v>TXN-RAW-IMP-20260516-FULLDRAFT-000159</x:v>
      </x:c>
      <x:c r="B175" t="str">
        <x:v>RAW-IMP-20260516-FULLDRAFT-000159</x:v>
      </x:c>
      <x:c r="C175" t="str">
        <x:v>KTO001</x:v>
      </x:c>
      <x:c r="D175"/>
      <x:c r="E175" t="str">
        <x:v>KAT013</x:v>
      </x:c>
      <x:c r="F175"/>
      <x:c r="G175"/>
      <x:c r="H175" t="str">
        <x:v>kein_match</x:v>
      </x:c>
      <x:c r="I175" t="str">
        <x:v>Agent-Draft: keine finale Regelentscheidung</x:v>
      </x:c>
      <x:c r="J175" t="n">
        <x:v>46111</x:v>
      </x:c>
      <x:c r="K175"/>
      <x:c r="L175"/>
      <x:c r="M175" t="n">
        <x:v>-53.9</x:v>
      </x:c>
      <x:c r="N175" t="str">
        <x:v>2026-03</x:v>
      </x:c>
      <x:c r="O175" t="str">
        <x:v>Ausgabe</x:v>
      </x:c>
      <x:c r="P175" t="str">
        <x:v>Ist</x:v>
      </x:c>
      <x:c r="Q175" s="59" t="b">
        <x:v>0</x:v>
      </x:c>
      <x:c r="R175" t="str">
        <x:v>kein_transfer</x:v>
      </x:c>
      <x:c r="S175"/>
      <x:c r="T175"/>
      <x:c r="U175"/>
      <x:c r="V175" s="59" t="b">
        <x:v>1</x:v>
      </x:c>
      <x:c r="W175"/>
      <x:c r="X175" t="str">
        <x:v>offen</x:v>
      </x:c>
      <x:c r="Y175" t="str">
        <x:v>Agent-Draft; Kategorie und Person pruefen</x:v>
      </x:c>
    </x:row>
    <x:row r="176">
      <x:c r="A176" t="str">
        <x:v>TXN-RAW-IMP-20260516-FULLDRAFT-000160</x:v>
      </x:c>
      <x:c r="B176" t="str">
        <x:v>RAW-IMP-20260516-FULLDRAFT-000160</x:v>
      </x:c>
      <x:c r="C176" t="str">
        <x:v>KTO001</x:v>
      </x:c>
      <x:c r="D176"/>
      <x:c r="E176" t="str">
        <x:v>KAT013</x:v>
      </x:c>
      <x:c r="F176"/>
      <x:c r="G176"/>
      <x:c r="H176" t="str">
        <x:v>kein_match</x:v>
      </x:c>
      <x:c r="I176" t="str">
        <x:v>Agent-Draft: keine finale Regelentscheidung</x:v>
      </x:c>
      <x:c r="J176" t="n">
        <x:v>46111</x:v>
      </x:c>
      <x:c r="K176"/>
      <x:c r="L176"/>
      <x:c r="M176" t="n">
        <x:v>-119.05</x:v>
      </x:c>
      <x:c r="N176" t="str">
        <x:v>2026-03</x:v>
      </x:c>
      <x:c r="O176" t="str">
        <x:v>Ausgabe</x:v>
      </x:c>
      <x:c r="P176" t="str">
        <x:v>Ist</x:v>
      </x:c>
      <x:c r="Q176" s="59" t="b">
        <x:v>0</x:v>
      </x:c>
      <x:c r="R176" t="str">
        <x:v>kein_transfer</x:v>
      </x:c>
      <x:c r="S176"/>
      <x:c r="T176"/>
      <x:c r="U176"/>
      <x:c r="V176" s="59" t="b">
        <x:v>1</x:v>
      </x:c>
      <x:c r="W176"/>
      <x:c r="X176" t="str">
        <x:v>offen</x:v>
      </x:c>
      <x:c r="Y176" t="str">
        <x:v>Agent-Draft; Kategorie und Person pruefen</x:v>
      </x:c>
    </x:row>
    <x:row r="177">
      <x:c r="A177" t="str">
        <x:v>TXN-RAW-IMP-20260516-FULLDRAFT-000161</x:v>
      </x:c>
      <x:c r="B177" t="str">
        <x:v>RAW-IMP-20260516-FULLDRAFT-000161</x:v>
      </x:c>
      <x:c r="C177" t="str">
        <x:v>KTO001</x:v>
      </x:c>
      <x:c r="D177"/>
      <x:c r="E177" t="str">
        <x:v>KAT013</x:v>
      </x:c>
      <x:c r="F177"/>
      <x:c r="G177"/>
      <x:c r="H177" t="str">
        <x:v>kein_match</x:v>
      </x:c>
      <x:c r="I177" t="str">
        <x:v>Agent-Draft: keine finale Regelentscheidung</x:v>
      </x:c>
      <x:c r="J177" t="n">
        <x:v>46111</x:v>
      </x:c>
      <x:c r="K177"/>
      <x:c r="L177"/>
      <x:c r="M177" t="n">
        <x:v>-104.71</x:v>
      </x:c>
      <x:c r="N177" t="str">
        <x:v>2026-03</x:v>
      </x:c>
      <x:c r="O177" t="str">
        <x:v>Ausgabe</x:v>
      </x:c>
      <x:c r="P177" t="str">
        <x:v>Ist</x:v>
      </x:c>
      <x:c r="Q177" s="59" t="b">
        <x:v>0</x:v>
      </x:c>
      <x:c r="R177" t="str">
        <x:v>kein_transfer</x:v>
      </x:c>
      <x:c r="S177"/>
      <x:c r="T177"/>
      <x:c r="U177"/>
      <x:c r="V177" s="59" t="b">
        <x:v>1</x:v>
      </x:c>
      <x:c r="W177"/>
      <x:c r="X177" t="str">
        <x:v>offen</x:v>
      </x:c>
      <x:c r="Y177" t="str">
        <x:v>Agent-Draft; Kategorie und Person pruefen</x:v>
      </x:c>
    </x:row>
    <x:row r="178">
      <x:c r="A178" t="str">
        <x:v>TXN-RAW-IMP-20260516-FULLDRAFT-000162</x:v>
      </x:c>
      <x:c r="B178" t="str">
        <x:v>RAW-IMP-20260516-FULLDRAFT-000162</x:v>
      </x:c>
      <x:c r="C178" t="str">
        <x:v>KTO001</x:v>
      </x:c>
      <x:c r="D178"/>
      <x:c r="E178" t="str">
        <x:v>KAT013</x:v>
      </x:c>
      <x:c r="F178"/>
      <x:c r="G178"/>
      <x:c r="H178" t="str">
        <x:v>kein_match</x:v>
      </x:c>
      <x:c r="I178" t="str">
        <x:v>Agent-Draft: keine finale Regelentscheidung</x:v>
      </x:c>
      <x:c r="J178" t="n">
        <x:v>46111</x:v>
      </x:c>
      <x:c r="K178"/>
      <x:c r="L178"/>
      <x:c r="M178" t="n">
        <x:v>-16.5</x:v>
      </x:c>
      <x:c r="N178" t="str">
        <x:v>2026-03</x:v>
      </x:c>
      <x:c r="O178" t="str">
        <x:v>Ausgabe</x:v>
      </x:c>
      <x:c r="P178" t="str">
        <x:v>Ist</x:v>
      </x:c>
      <x:c r="Q178" s="59" t="b">
        <x:v>0</x:v>
      </x:c>
      <x:c r="R178" t="str">
        <x:v>kein_transfer</x:v>
      </x:c>
      <x:c r="S178"/>
      <x:c r="T178"/>
      <x:c r="U178"/>
      <x:c r="V178" s="59" t="b">
        <x:v>1</x:v>
      </x:c>
      <x:c r="W178"/>
      <x:c r="X178" t="str">
        <x:v>offen</x:v>
      </x:c>
      <x:c r="Y178" t="str">
        <x:v>Agent-Draft; Kategorie und Person pruefen</x:v>
      </x:c>
    </x:row>
    <x:row r="179">
      <x:c r="A179" t="str">
        <x:v>TXN-RAW-IMP-20260516-FULLDRAFT-000163</x:v>
      </x:c>
      <x:c r="B179" t="str">
        <x:v>RAW-IMP-20260516-FULLDRAFT-000163</x:v>
      </x:c>
      <x:c r="C179" t="str">
        <x:v>KTO001</x:v>
      </x:c>
      <x:c r="D179"/>
      <x:c r="E179" t="str">
        <x:v>KAT013</x:v>
      </x:c>
      <x:c r="F179"/>
      <x:c r="G179"/>
      <x:c r="H179" t="str">
        <x:v>kein_match</x:v>
      </x:c>
      <x:c r="I179" t="str">
        <x:v>Agent-Draft: keine finale Regelentscheidung</x:v>
      </x:c>
      <x:c r="J179" t="n">
        <x:v>46111</x:v>
      </x:c>
      <x:c r="K179"/>
      <x:c r="L179"/>
      <x:c r="M179" t="n">
        <x:v>-5.5</x:v>
      </x:c>
      <x:c r="N179" t="str">
        <x:v>2026-03</x:v>
      </x:c>
      <x:c r="O179" t="str">
        <x:v>Ausgabe</x:v>
      </x:c>
      <x:c r="P179" t="str">
        <x:v>Ist</x:v>
      </x:c>
      <x:c r="Q179" s="59" t="b">
        <x:v>0</x:v>
      </x:c>
      <x:c r="R179" t="str">
        <x:v>kein_transfer</x:v>
      </x:c>
      <x:c r="S179"/>
      <x:c r="T179"/>
      <x:c r="U179"/>
      <x:c r="V179" s="59" t="b">
        <x:v>1</x:v>
      </x:c>
      <x:c r="W179"/>
      <x:c r="X179" t="str">
        <x:v>offen</x:v>
      </x:c>
      <x:c r="Y179" t="str">
        <x:v>Agent-Draft; Kategorie und Person pruefen</x:v>
      </x:c>
    </x:row>
    <x:row r="180">
      <x:c r="A180" t="str">
        <x:v>TXN-RAW-IMP-20260516-FULLDRAFT-000164</x:v>
      </x:c>
      <x:c r="B180" t="str">
        <x:v>RAW-IMP-20260516-FULLDRAFT-000164</x:v>
      </x:c>
      <x:c r="C180" t="str">
        <x:v>KTO001</x:v>
      </x:c>
      <x:c r="D180"/>
      <x:c r="E180" t="str">
        <x:v>KAT013</x:v>
      </x:c>
      <x:c r="F180"/>
      <x:c r="G180"/>
      <x:c r="H180" t="str">
        <x:v>kein_match</x:v>
      </x:c>
      <x:c r="I180" t="str">
        <x:v>Agent-Draft: keine finale Regelentscheidung</x:v>
      </x:c>
      <x:c r="J180" t="n">
        <x:v>46111</x:v>
      </x:c>
      <x:c r="K180"/>
      <x:c r="L180"/>
      <x:c r="M180" t="n">
        <x:v>-15.37</x:v>
      </x:c>
      <x:c r="N180" t="str">
        <x:v>2026-03</x:v>
      </x:c>
      <x:c r="O180" t="str">
        <x:v>Ausgabe</x:v>
      </x:c>
      <x:c r="P180" t="str">
        <x:v>Ist</x:v>
      </x:c>
      <x:c r="Q180" s="59" t="b">
        <x:v>0</x:v>
      </x:c>
      <x:c r="R180" t="str">
        <x:v>kein_transfer</x:v>
      </x:c>
      <x:c r="S180"/>
      <x:c r="T180"/>
      <x:c r="U180"/>
      <x:c r="V180" s="59" t="b">
        <x:v>1</x:v>
      </x:c>
      <x:c r="W180"/>
      <x:c r="X180" t="str">
        <x:v>offen</x:v>
      </x:c>
      <x:c r="Y180" t="str">
        <x:v>Agent-Draft; Kategorie und Person pruefen</x:v>
      </x:c>
    </x:row>
    <x:row r="181">
      <x:c r="A181" t="str">
        <x:v>TXN-RAW-IMP-20260516-FULLDRAFT-000165</x:v>
      </x:c>
      <x:c r="B181" t="str">
        <x:v>RAW-IMP-20260516-FULLDRAFT-000165</x:v>
      </x:c>
      <x:c r="C181" t="str">
        <x:v>KTO001</x:v>
      </x:c>
      <x:c r="D181"/>
      <x:c r="E181" t="str">
        <x:v>KAT013</x:v>
      </x:c>
      <x:c r="F181"/>
      <x:c r="G181"/>
      <x:c r="H181" t="str">
        <x:v>kein_match</x:v>
      </x:c>
      <x:c r="I181" t="str">
        <x:v>Agent-Draft: keine finale Regelentscheidung</x:v>
      </x:c>
      <x:c r="J181" t="n">
        <x:v>46111</x:v>
      </x:c>
      <x:c r="K181"/>
      <x:c r="L181"/>
      <x:c r="M181" t="n">
        <x:v>-18.92</x:v>
      </x:c>
      <x:c r="N181" t="str">
        <x:v>2026-03</x:v>
      </x:c>
      <x:c r="O181" t="str">
        <x:v>Ausgabe</x:v>
      </x:c>
      <x:c r="P181" t="str">
        <x:v>Ist</x:v>
      </x:c>
      <x:c r="Q181" s="59" t="b">
        <x:v>0</x:v>
      </x:c>
      <x:c r="R181" t="str">
        <x:v>kein_transfer</x:v>
      </x:c>
      <x:c r="S181"/>
      <x:c r="T181"/>
      <x:c r="U181"/>
      <x:c r="V181" s="59" t="b">
        <x:v>1</x:v>
      </x:c>
      <x:c r="W181"/>
      <x:c r="X181" t="str">
        <x:v>offen</x:v>
      </x:c>
      <x:c r="Y181" t="str">
        <x:v>Agent-Draft; Kategorie und Person pruefen</x:v>
      </x:c>
    </x:row>
    <x:row r="182">
      <x:c r="A182" t="str">
        <x:v>TXN-RAW-IMP-20260516-FULLDRAFT-000166</x:v>
      </x:c>
      <x:c r="B182" t="str">
        <x:v>RAW-IMP-20260516-FULLDRAFT-000166</x:v>
      </x:c>
      <x:c r="C182" t="str">
        <x:v>KTO001</x:v>
      </x:c>
      <x:c r="D182"/>
      <x:c r="E182" t="str">
        <x:v>KAT013</x:v>
      </x:c>
      <x:c r="F182"/>
      <x:c r="G182"/>
      <x:c r="H182" t="str">
        <x:v>kein_match</x:v>
      </x:c>
      <x:c r="I182" t="str">
        <x:v>Agent-Draft: keine finale Regelentscheidung</x:v>
      </x:c>
      <x:c r="J182" t="n">
        <x:v>46111</x:v>
      </x:c>
      <x:c r="K182"/>
      <x:c r="L182"/>
      <x:c r="M182" t="n">
        <x:v>-8.85</x:v>
      </x:c>
      <x:c r="N182" t="str">
        <x:v>2026-03</x:v>
      </x:c>
      <x:c r="O182" t="str">
        <x:v>Ausgabe</x:v>
      </x:c>
      <x:c r="P182" t="str">
        <x:v>Ist</x:v>
      </x:c>
      <x:c r="Q182" s="59" t="b">
        <x:v>0</x:v>
      </x:c>
      <x:c r="R182" t="str">
        <x:v>kein_transfer</x:v>
      </x:c>
      <x:c r="S182"/>
      <x:c r="T182"/>
      <x:c r="U182"/>
      <x:c r="V182" s="59" t="b">
        <x:v>1</x:v>
      </x:c>
      <x:c r="W182"/>
      <x:c r="X182" t="str">
        <x:v>offen</x:v>
      </x:c>
      <x:c r="Y182" t="str">
        <x:v>Agent-Draft; Kategorie und Person pruefen</x:v>
      </x:c>
    </x:row>
    <x:row r="183">
      <x:c r="A183" t="str">
        <x:v>TXN-RAW-IMP-20260516-FULLDRAFT-000167</x:v>
      </x:c>
      <x:c r="B183" t="str">
        <x:v>RAW-IMP-20260516-FULLDRAFT-000167</x:v>
      </x:c>
      <x:c r="C183" t="str">
        <x:v>KTO001</x:v>
      </x:c>
      <x:c r="D183"/>
      <x:c r="E183" t="str">
        <x:v>KAT013</x:v>
      </x:c>
      <x:c r="F183"/>
      <x:c r="G183"/>
      <x:c r="H183" t="str">
        <x:v>kein_match</x:v>
      </x:c>
      <x:c r="I183" t="str">
        <x:v>Agent-Draft: keine finale Regelentscheidung</x:v>
      </x:c>
      <x:c r="J183" t="n">
        <x:v>46111</x:v>
      </x:c>
      <x:c r="K183"/>
      <x:c r="L183"/>
      <x:c r="M183" t="n">
        <x:v>-1.17</x:v>
      </x:c>
      <x:c r="N183" t="str">
        <x:v>2026-03</x:v>
      </x:c>
      <x:c r="O183" t="str">
        <x:v>Ausgabe</x:v>
      </x:c>
      <x:c r="P183" t="str">
        <x:v>Ist</x:v>
      </x:c>
      <x:c r="Q183" s="59" t="b">
        <x:v>0</x:v>
      </x:c>
      <x:c r="R183" t="str">
        <x:v>kein_transfer</x:v>
      </x:c>
      <x:c r="S183"/>
      <x:c r="T183"/>
      <x:c r="U183"/>
      <x:c r="V183" s="59" t="b">
        <x:v>1</x:v>
      </x:c>
      <x:c r="W183"/>
      <x:c r="X183" t="str">
        <x:v>offen</x:v>
      </x:c>
      <x:c r="Y183" t="str">
        <x:v>Agent-Draft; Kategorie und Person pruefen</x:v>
      </x:c>
    </x:row>
    <x:row r="184">
      <x:c r="A184" t="str">
        <x:v>TXN-RAW-IMP-20260516-FULLDRAFT-000168</x:v>
      </x:c>
      <x:c r="B184" t="str">
        <x:v>RAW-IMP-20260516-FULLDRAFT-000168</x:v>
      </x:c>
      <x:c r="C184" t="str">
        <x:v>KTO001</x:v>
      </x:c>
      <x:c r="D184"/>
      <x:c r="E184" t="str">
        <x:v>KAT013</x:v>
      </x:c>
      <x:c r="F184"/>
      <x:c r="G184"/>
      <x:c r="H184" t="str">
        <x:v>kein_match</x:v>
      </x:c>
      <x:c r="I184" t="str">
        <x:v>Agent-Draft: keine finale Regelentscheidung</x:v>
      </x:c>
      <x:c r="J184" t="n">
        <x:v>46111</x:v>
      </x:c>
      <x:c r="K184"/>
      <x:c r="L184"/>
      <x:c r="M184" t="n">
        <x:v>-1.4</x:v>
      </x:c>
      <x:c r="N184" t="str">
        <x:v>2026-03</x:v>
      </x:c>
      <x:c r="O184" t="str">
        <x:v>Ausgabe</x:v>
      </x:c>
      <x:c r="P184" t="str">
        <x:v>Ist</x:v>
      </x:c>
      <x:c r="Q184" s="59" t="b">
        <x:v>0</x:v>
      </x:c>
      <x:c r="R184" t="str">
        <x:v>kein_transfer</x:v>
      </x:c>
      <x:c r="S184"/>
      <x:c r="T184"/>
      <x:c r="U184"/>
      <x:c r="V184" s="59" t="b">
        <x:v>1</x:v>
      </x:c>
      <x:c r="W184"/>
      <x:c r="X184" t="str">
        <x:v>offen</x:v>
      </x:c>
      <x:c r="Y184" t="str">
        <x:v>Agent-Draft; Kategorie und Person pruefen</x:v>
      </x:c>
    </x:row>
    <x:row r="185">
      <x:c r="A185" t="str">
        <x:v>TXN-RAW-IMP-20260516-FULLDRAFT-000169</x:v>
      </x:c>
      <x:c r="B185" t="str">
        <x:v>RAW-IMP-20260516-FULLDRAFT-000169</x:v>
      </x:c>
      <x:c r="C185" t="str">
        <x:v>KTO001</x:v>
      </x:c>
      <x:c r="D185"/>
      <x:c r="E185" t="str">
        <x:v>KAT013</x:v>
      </x:c>
      <x:c r="F185"/>
      <x:c r="G185"/>
      <x:c r="H185" t="str">
        <x:v>kein_match</x:v>
      </x:c>
      <x:c r="I185" t="str">
        <x:v>Agent-Draft: keine finale Regelentscheidung</x:v>
      </x:c>
      <x:c r="J185" t="n">
        <x:v>46111</x:v>
      </x:c>
      <x:c r="K185"/>
      <x:c r="L185"/>
      <x:c r="M185" t="n">
        <x:v>-2.99</x:v>
      </x:c>
      <x:c r="N185" t="str">
        <x:v>2026-03</x:v>
      </x:c>
      <x:c r="O185" t="str">
        <x:v>Ausgabe</x:v>
      </x:c>
      <x:c r="P185" t="str">
        <x:v>Ist</x:v>
      </x:c>
      <x:c r="Q185" s="59" t="b">
        <x:v>0</x:v>
      </x:c>
      <x:c r="R185" t="str">
        <x:v>kein_transfer</x:v>
      </x:c>
      <x:c r="S185"/>
      <x:c r="T185"/>
      <x:c r="U185"/>
      <x:c r="V185" s="59" t="b">
        <x:v>1</x:v>
      </x:c>
      <x:c r="W185"/>
      <x:c r="X185" t="str">
        <x:v>offen</x:v>
      </x:c>
      <x:c r="Y185" t="str">
        <x:v>Agent-Draft; Kategorie und Person pruefen</x:v>
      </x:c>
    </x:row>
    <x:row r="186">
      <x:c r="A186" t="str">
        <x:v>TXN-RAW-IMP-20260516-FULLDRAFT-000170</x:v>
      </x:c>
      <x:c r="B186" t="str">
        <x:v>RAW-IMP-20260516-FULLDRAFT-000170</x:v>
      </x:c>
      <x:c r="C186" t="str">
        <x:v>KTO001</x:v>
      </x:c>
      <x:c r="D186"/>
      <x:c r="E186" t="str">
        <x:v>KAT013</x:v>
      </x:c>
      <x:c r="F186"/>
      <x:c r="G186"/>
      <x:c r="H186" t="str">
        <x:v>kein_match</x:v>
      </x:c>
      <x:c r="I186" t="str">
        <x:v>Agent-Draft: keine finale Regelentscheidung</x:v>
      </x:c>
      <x:c r="J186" t="n">
        <x:v>46111</x:v>
      </x:c>
      <x:c r="K186"/>
      <x:c r="L186"/>
      <x:c r="M186" t="n">
        <x:v>-14</x:v>
      </x:c>
      <x:c r="N186" t="str">
        <x:v>2026-03</x:v>
      </x:c>
      <x:c r="O186" t="str">
        <x:v>Ausgabe</x:v>
      </x:c>
      <x:c r="P186" t="str">
        <x:v>Ist</x:v>
      </x:c>
      <x:c r="Q186" s="59" t="b">
        <x:v>0</x:v>
      </x:c>
      <x:c r="R186" t="str">
        <x:v>kein_transfer</x:v>
      </x:c>
      <x:c r="S186"/>
      <x:c r="T186"/>
      <x:c r="U186"/>
      <x:c r="V186" s="59" t="b">
        <x:v>1</x:v>
      </x:c>
      <x:c r="W186"/>
      <x:c r="X186" t="str">
        <x:v>offen</x:v>
      </x:c>
      <x:c r="Y186" t="str">
        <x:v>Agent-Draft; Kategorie und Person pruefen</x:v>
      </x:c>
    </x:row>
    <x:row r="187">
      <x:c r="A187" t="str">
        <x:v>TXN-RAW-IMP-20260516-FULLDRAFT-000171</x:v>
      </x:c>
      <x:c r="B187" t="str">
        <x:v>RAW-IMP-20260516-FULLDRAFT-000171</x:v>
      </x:c>
      <x:c r="C187" t="str">
        <x:v>KTO001</x:v>
      </x:c>
      <x:c r="D187"/>
      <x:c r="E187" t="str">
        <x:v>KAT013</x:v>
      </x:c>
      <x:c r="F187"/>
      <x:c r="G187"/>
      <x:c r="H187" t="str">
        <x:v>kein_match</x:v>
      </x:c>
      <x:c r="I187" t="str">
        <x:v>Agent-Draft: keine finale Regelentscheidung</x:v>
      </x:c>
      <x:c r="J187" t="n">
        <x:v>46111</x:v>
      </x:c>
      <x:c r="K187"/>
      <x:c r="L187"/>
      <x:c r="M187" t="n">
        <x:v>-7.2</x:v>
      </x:c>
      <x:c r="N187" t="str">
        <x:v>2026-03</x:v>
      </x:c>
      <x:c r="O187" t="str">
        <x:v>Ausgabe</x:v>
      </x:c>
      <x:c r="P187" t="str">
        <x:v>Ist</x:v>
      </x:c>
      <x:c r="Q187" s="59" t="b">
        <x:v>0</x:v>
      </x:c>
      <x:c r="R187" t="str">
        <x:v>kein_transfer</x:v>
      </x:c>
      <x:c r="S187"/>
      <x:c r="T187"/>
      <x:c r="U187"/>
      <x:c r="V187" s="59" t="b">
        <x:v>1</x:v>
      </x:c>
      <x:c r="W187"/>
      <x:c r="X187" t="str">
        <x:v>offen</x:v>
      </x:c>
      <x:c r="Y187" t="str">
        <x:v>Agent-Draft; Kategorie und Person pruefen</x:v>
      </x:c>
    </x:row>
    <x:row r="188">
      <x:c r="A188" t="str">
        <x:v>TXN-RAW-IMP-20260516-FULLDRAFT-000172</x:v>
      </x:c>
      <x:c r="B188" t="str">
        <x:v>RAW-IMP-20260516-FULLDRAFT-000172</x:v>
      </x:c>
      <x:c r="C188" t="str">
        <x:v>KTO001</x:v>
      </x:c>
      <x:c r="D188"/>
      <x:c r="E188" t="str">
        <x:v>KAT013</x:v>
      </x:c>
      <x:c r="F188"/>
      <x:c r="G188"/>
      <x:c r="H188" t="str">
        <x:v>kein_match</x:v>
      </x:c>
      <x:c r="I188" t="str">
        <x:v>Agent-Draft: keine finale Regelentscheidung</x:v>
      </x:c>
      <x:c r="J188" t="n">
        <x:v>46111</x:v>
      </x:c>
      <x:c r="K188"/>
      <x:c r="L188"/>
      <x:c r="M188" t="n">
        <x:v>-12.45</x:v>
      </x:c>
      <x:c r="N188" t="str">
        <x:v>2026-03</x:v>
      </x:c>
      <x:c r="O188" t="str">
        <x:v>Ausgabe</x:v>
      </x:c>
      <x:c r="P188" t="str">
        <x:v>Ist</x:v>
      </x:c>
      <x:c r="Q188" s="59" t="b">
        <x:v>0</x:v>
      </x:c>
      <x:c r="R188" t="str">
        <x:v>kein_transfer</x:v>
      </x:c>
      <x:c r="S188"/>
      <x:c r="T188"/>
      <x:c r="U188"/>
      <x:c r="V188" s="59" t="b">
        <x:v>1</x:v>
      </x:c>
      <x:c r="W188"/>
      <x:c r="X188" t="str">
        <x:v>offen</x:v>
      </x:c>
      <x:c r="Y188" t="str">
        <x:v>Agent-Draft; Kategorie und Person pruefen</x:v>
      </x:c>
    </x:row>
    <x:row r="189">
      <x:c r="A189" t="str">
        <x:v>TXN-RAW-IMP-20260516-FULLDRAFT-000173</x:v>
      </x:c>
      <x:c r="B189" t="str">
        <x:v>RAW-IMP-20260516-FULLDRAFT-000173</x:v>
      </x:c>
      <x:c r="C189" t="str">
        <x:v>KTO001</x:v>
      </x:c>
      <x:c r="D189"/>
      <x:c r="E189" t="str">
        <x:v>KAT013</x:v>
      </x:c>
      <x:c r="F189"/>
      <x:c r="G189"/>
      <x:c r="H189" t="str">
        <x:v>kein_match</x:v>
      </x:c>
      <x:c r="I189" t="str">
        <x:v>Agent-Draft: keine finale Regelentscheidung</x:v>
      </x:c>
      <x:c r="J189" t="n">
        <x:v>46111</x:v>
      </x:c>
      <x:c r="K189"/>
      <x:c r="L189"/>
      <x:c r="M189" t="n">
        <x:v>-1153.94</x:v>
      </x:c>
      <x:c r="N189" t="str">
        <x:v>2026-03</x:v>
      </x:c>
      <x:c r="O189" t="str">
        <x:v>Ausgabe</x:v>
      </x:c>
      <x:c r="P189" t="str">
        <x:v>Ist</x:v>
      </x:c>
      <x:c r="Q189" s="59" t="b">
        <x:v>0</x:v>
      </x:c>
      <x:c r="R189" t="str">
        <x:v>kein_transfer</x:v>
      </x:c>
      <x:c r="S189"/>
      <x:c r="T189"/>
      <x:c r="U189"/>
      <x:c r="V189" s="59" t="b">
        <x:v>1</x:v>
      </x:c>
      <x:c r="W189"/>
      <x:c r="X189" t="str">
        <x:v>offen</x:v>
      </x:c>
      <x:c r="Y189" t="str">
        <x:v>Agent-Draft; Kategorie und Person pruefen</x:v>
      </x:c>
    </x:row>
    <x:row r="190">
      <x:c r="A190" t="str">
        <x:v>TXN-RAW-IMP-20260516-FULLDRAFT-000174</x:v>
      </x:c>
      <x:c r="B190" t="str">
        <x:v>RAW-IMP-20260516-FULLDRAFT-000174</x:v>
      </x:c>
      <x:c r="C190" t="str">
        <x:v>KTO001</x:v>
      </x:c>
      <x:c r="D190"/>
      <x:c r="E190" t="str">
        <x:v>KAT013</x:v>
      </x:c>
      <x:c r="F190"/>
      <x:c r="G190"/>
      <x:c r="H190" t="str">
        <x:v>kein_match</x:v>
      </x:c>
      <x:c r="I190" t="str">
        <x:v>Agent-Draft: keine finale Regelentscheidung</x:v>
      </x:c>
      <x:c r="J190" t="n">
        <x:v>46111</x:v>
      </x:c>
      <x:c r="K190"/>
      <x:c r="L190"/>
      <x:c r="M190" t="n">
        <x:v>-758</x:v>
      </x:c>
      <x:c r="N190" t="str">
        <x:v>2026-03</x:v>
      </x:c>
      <x:c r="O190" t="str">
        <x:v>Ausgabe</x:v>
      </x:c>
      <x:c r="P190" t="str">
        <x:v>Ist</x:v>
      </x:c>
      <x:c r="Q190" s="59" t="b">
        <x:v>0</x:v>
      </x:c>
      <x:c r="R190" t="str">
        <x:v>kein_transfer</x:v>
      </x:c>
      <x:c r="S190"/>
      <x:c r="T190"/>
      <x:c r="U190"/>
      <x:c r="V190" s="59" t="b">
        <x:v>1</x:v>
      </x:c>
      <x:c r="W190"/>
      <x:c r="X190" t="str">
        <x:v>offen</x:v>
      </x:c>
      <x:c r="Y190" t="str">
        <x:v>Agent-Draft; Kategorie und Person pruefen</x:v>
      </x:c>
    </x:row>
    <x:row r="191">
      <x:c r="A191" t="str">
        <x:v>TXN-RAW-IMP-20260516-FULLDRAFT-000175</x:v>
      </x:c>
      <x:c r="B191" t="str">
        <x:v>RAW-IMP-20260516-FULLDRAFT-000175</x:v>
      </x:c>
      <x:c r="C191" t="str">
        <x:v>KTO001</x:v>
      </x:c>
      <x:c r="D191"/>
      <x:c r="E191" t="str">
        <x:v>KAT013</x:v>
      </x:c>
      <x:c r="F191"/>
      <x:c r="G191"/>
      <x:c r="H191" t="str">
        <x:v>kein_match</x:v>
      </x:c>
      <x:c r="I191" t="str">
        <x:v>Agent-Draft: keine finale Regelentscheidung</x:v>
      </x:c>
      <x:c r="J191" t="n">
        <x:v>46108</x:v>
      </x:c>
      <x:c r="K191"/>
      <x:c r="L191"/>
      <x:c r="M191" t="n">
        <x:v>-12.45</x:v>
      </x:c>
      <x:c r="N191" t="str">
        <x:v>2026-03</x:v>
      </x:c>
      <x:c r="O191" t="str">
        <x:v>Ausgabe</x:v>
      </x:c>
      <x:c r="P191" t="str">
        <x:v>Ist</x:v>
      </x:c>
      <x:c r="Q191" s="59" t="b">
        <x:v>0</x:v>
      </x:c>
      <x:c r="R191" t="str">
        <x:v>kein_transfer</x:v>
      </x:c>
      <x:c r="S191"/>
      <x:c r="T191"/>
      <x:c r="U191"/>
      <x:c r="V191" s="59" t="b">
        <x:v>1</x:v>
      </x:c>
      <x:c r="W191"/>
      <x:c r="X191" t="str">
        <x:v>offen</x:v>
      </x:c>
      <x:c r="Y191" t="str">
        <x:v>Agent-Draft; Kategorie und Person pruefen</x:v>
      </x:c>
    </x:row>
    <x:row r="192">
      <x:c r="A192" t="str">
        <x:v>TXN-RAW-IMP-20260516-FULLDRAFT-000176</x:v>
      </x:c>
      <x:c r="B192" t="str">
        <x:v>RAW-IMP-20260516-FULLDRAFT-000176</x:v>
      </x:c>
      <x:c r="C192" t="str">
        <x:v>KTO001</x:v>
      </x:c>
      <x:c r="D192"/>
      <x:c r="E192" t="str">
        <x:v>KAT013</x:v>
      </x:c>
      <x:c r="F192"/>
      <x:c r="G192"/>
      <x:c r="H192" t="str">
        <x:v>kein_match</x:v>
      </x:c>
      <x:c r="I192" t="str">
        <x:v>Agent-Draft: keine finale Regelentscheidung</x:v>
      </x:c>
      <x:c r="J192" t="n">
        <x:v>46108</x:v>
      </x:c>
      <x:c r="K192"/>
      <x:c r="L192"/>
      <x:c r="M192" t="n">
        <x:v>-2.1</x:v>
      </x:c>
      <x:c r="N192" t="str">
        <x:v>2026-03</x:v>
      </x:c>
      <x:c r="O192" t="str">
        <x:v>Ausgabe</x:v>
      </x:c>
      <x:c r="P192" t="str">
        <x:v>Ist</x:v>
      </x:c>
      <x:c r="Q192" s="59" t="b">
        <x:v>0</x:v>
      </x:c>
      <x:c r="R192" t="str">
        <x:v>kein_transfer</x:v>
      </x:c>
      <x:c r="S192"/>
      <x:c r="T192"/>
      <x:c r="U192"/>
      <x:c r="V192" s="59" t="b">
        <x:v>1</x:v>
      </x:c>
      <x:c r="W192"/>
      <x:c r="X192" t="str">
        <x:v>offen</x:v>
      </x:c>
      <x:c r="Y192" t="str">
        <x:v>Agent-Draft; Kategorie und Person pruefen</x:v>
      </x:c>
    </x:row>
    <x:row r="193">
      <x:c r="A193" t="str">
        <x:v>TXN-RAW-IMP-20260516-FULLDRAFT-000177</x:v>
      </x:c>
      <x:c r="B193" t="str">
        <x:v>RAW-IMP-20260516-FULLDRAFT-000177</x:v>
      </x:c>
      <x:c r="C193" t="str">
        <x:v>KTO001</x:v>
      </x:c>
      <x:c r="D193"/>
      <x:c r="E193" t="str">
        <x:v>KAT013</x:v>
      </x:c>
      <x:c r="F193"/>
      <x:c r="G193"/>
      <x:c r="H193" t="str">
        <x:v>kein_match</x:v>
      </x:c>
      <x:c r="I193" t="str">
        <x:v>Agent-Draft: keine finale Regelentscheidung</x:v>
      </x:c>
      <x:c r="J193" t="n">
        <x:v>46108</x:v>
      </x:c>
      <x:c r="K193"/>
      <x:c r="L193"/>
      <x:c r="M193" t="n">
        <x:v>-185.9</x:v>
      </x:c>
      <x:c r="N193" t="str">
        <x:v>2026-03</x:v>
      </x:c>
      <x:c r="O193" t="str">
        <x:v>Ausgabe</x:v>
      </x:c>
      <x:c r="P193" t="str">
        <x:v>Ist</x:v>
      </x:c>
      <x:c r="Q193" s="59" t="b">
        <x:v>0</x:v>
      </x:c>
      <x:c r="R193" t="str">
        <x:v>kein_transfer</x:v>
      </x:c>
      <x:c r="S193"/>
      <x:c r="T193"/>
      <x:c r="U193"/>
      <x:c r="V193" s="59" t="b">
        <x:v>1</x:v>
      </x:c>
      <x:c r="W193"/>
      <x:c r="X193" t="str">
        <x:v>offen</x:v>
      </x:c>
      <x:c r="Y193" t="str">
        <x:v>Agent-Draft; Kategorie und Person pruefen</x:v>
      </x:c>
    </x:row>
    <x:row r="194">
      <x:c r="A194" t="str">
        <x:v>TXN-RAW-IMP-20260516-FULLDRAFT-000178</x:v>
      </x:c>
      <x:c r="B194" t="str">
        <x:v>RAW-IMP-20260516-FULLDRAFT-000178</x:v>
      </x:c>
      <x:c r="C194" t="str">
        <x:v>KTO001</x:v>
      </x:c>
      <x:c r="D194"/>
      <x:c r="E194" t="str">
        <x:v>KAT013</x:v>
      </x:c>
      <x:c r="F194"/>
      <x:c r="G194"/>
      <x:c r="H194" t="str">
        <x:v>kein_match</x:v>
      </x:c>
      <x:c r="I194" t="str">
        <x:v>Agent-Draft: keine finale Regelentscheidung</x:v>
      </x:c>
      <x:c r="J194" t="n">
        <x:v>46107</x:v>
      </x:c>
      <x:c r="K194"/>
      <x:c r="L194"/>
      <x:c r="M194" t="n">
        <x:v>7951.03</x:v>
      </x:c>
      <x:c r="N194" t="str">
        <x:v>2026-03</x:v>
      </x:c>
      <x:c r="O194" t="str">
        <x:v>Einnahme</x:v>
      </x:c>
      <x:c r="P194" t="str">
        <x:v>Ist</x:v>
      </x:c>
      <x:c r="Q194" s="59" t="b">
        <x:v>0</x:v>
      </x:c>
      <x:c r="R194" t="str">
        <x:v>kein_transfer</x:v>
      </x:c>
      <x:c r="S194"/>
      <x:c r="T194"/>
      <x:c r="U194"/>
      <x:c r="V194" s="59" t="b">
        <x:v>1</x:v>
      </x:c>
      <x:c r="W194"/>
      <x:c r="X194" t="str">
        <x:v>offen</x:v>
      </x:c>
      <x:c r="Y194" t="str">
        <x:v>Agent-Draft; Kategorie und Person pruefen</x:v>
      </x:c>
    </x:row>
    <x:row r="195">
      <x:c r="A195" t="str">
        <x:v>TXN-RAW-IMP-20260516-FULLDRAFT-000179</x:v>
      </x:c>
      <x:c r="B195" t="str">
        <x:v>RAW-IMP-20260516-FULLDRAFT-000179</x:v>
      </x:c>
      <x:c r="C195" t="str">
        <x:v>KTO001</x:v>
      </x:c>
      <x:c r="D195"/>
      <x:c r="E195" t="str">
        <x:v>KAT013</x:v>
      </x:c>
      <x:c r="F195"/>
      <x:c r="G195"/>
      <x:c r="H195" t="str">
        <x:v>kein_match</x:v>
      </x:c>
      <x:c r="I195" t="str">
        <x:v>Agent-Draft: keine finale Regelentscheidung</x:v>
      </x:c>
      <x:c r="J195" t="n">
        <x:v>46107</x:v>
      </x:c>
      <x:c r="K195"/>
      <x:c r="L195"/>
      <x:c r="M195" t="n">
        <x:v>-9.22</x:v>
      </x:c>
      <x:c r="N195" t="str">
        <x:v>2026-03</x:v>
      </x:c>
      <x:c r="O195" t="str">
        <x:v>Ausgabe</x:v>
      </x:c>
      <x:c r="P195" t="str">
        <x:v>Ist</x:v>
      </x:c>
      <x:c r="Q195" s="59" t="b">
        <x:v>0</x:v>
      </x:c>
      <x:c r="R195" t="str">
        <x:v>kein_transfer</x:v>
      </x:c>
      <x:c r="S195"/>
      <x:c r="T195"/>
      <x:c r="U195"/>
      <x:c r="V195" s="59" t="b">
        <x:v>1</x:v>
      </x:c>
      <x:c r="W195"/>
      <x:c r="X195" t="str">
        <x:v>offen</x:v>
      </x:c>
      <x:c r="Y195" t="str">
        <x:v>Agent-Draft; Kategorie und Person pruefen</x:v>
      </x:c>
    </x:row>
    <x:row r="196">
      <x:c r="A196" t="str">
        <x:v>TXN-RAW-IMP-20260516-FULLDRAFT-000180</x:v>
      </x:c>
      <x:c r="B196" t="str">
        <x:v>RAW-IMP-20260516-FULLDRAFT-000180</x:v>
      </x:c>
      <x:c r="C196" t="str">
        <x:v>KTO001</x:v>
      </x:c>
      <x:c r="D196"/>
      <x:c r="E196" t="str">
        <x:v>KAT013</x:v>
      </x:c>
      <x:c r="F196"/>
      <x:c r="G196"/>
      <x:c r="H196" t="str">
        <x:v>kein_match</x:v>
      </x:c>
      <x:c r="I196" t="str">
        <x:v>Agent-Draft: keine finale Regelentscheidung</x:v>
      </x:c>
      <x:c r="J196" t="n">
        <x:v>46107</x:v>
      </x:c>
      <x:c r="K196"/>
      <x:c r="L196"/>
      <x:c r="M196" t="n">
        <x:v>-15</x:v>
      </x:c>
      <x:c r="N196" t="str">
        <x:v>2026-03</x:v>
      </x:c>
      <x:c r="O196" t="str">
        <x:v>Ausgabe</x:v>
      </x:c>
      <x:c r="P196" t="str">
        <x:v>Ist</x:v>
      </x:c>
      <x:c r="Q196" s="59" t="b">
        <x:v>0</x:v>
      </x:c>
      <x:c r="R196" t="str">
        <x:v>kein_transfer</x:v>
      </x:c>
      <x:c r="S196"/>
      <x:c r="T196"/>
      <x:c r="U196"/>
      <x:c r="V196" s="59" t="b">
        <x:v>1</x:v>
      </x:c>
      <x:c r="W196"/>
      <x:c r="X196" t="str">
        <x:v>offen</x:v>
      </x:c>
      <x:c r="Y196" t="str">
        <x:v>Agent-Draft; Kategorie und Person pruefen</x:v>
      </x:c>
    </x:row>
    <x:row r="197">
      <x:c r="A197" t="str">
        <x:v>TXN-RAW-IMP-20260516-FULLDRAFT-000181</x:v>
      </x:c>
      <x:c r="B197" t="str">
        <x:v>RAW-IMP-20260516-FULLDRAFT-000181</x:v>
      </x:c>
      <x:c r="C197" t="str">
        <x:v>KTO001</x:v>
      </x:c>
      <x:c r="D197"/>
      <x:c r="E197" t="str">
        <x:v>KAT013</x:v>
      </x:c>
      <x:c r="F197"/>
      <x:c r="G197"/>
      <x:c r="H197" t="str">
        <x:v>kein_match</x:v>
      </x:c>
      <x:c r="I197" t="str">
        <x:v>Agent-Draft: keine finale Regelentscheidung</x:v>
      </x:c>
      <x:c r="J197" t="n">
        <x:v>46106</x:v>
      </x:c>
      <x:c r="K197"/>
      <x:c r="L197"/>
      <x:c r="M197" t="n">
        <x:v>-40.97</x:v>
      </x:c>
      <x:c r="N197" t="str">
        <x:v>2026-03</x:v>
      </x:c>
      <x:c r="O197" t="str">
        <x:v>Ausgabe</x:v>
      </x:c>
      <x:c r="P197" t="str">
        <x:v>Ist</x:v>
      </x:c>
      <x:c r="Q197" s="59" t="b">
        <x:v>0</x:v>
      </x:c>
      <x:c r="R197" t="str">
        <x:v>kein_transfer</x:v>
      </x:c>
      <x:c r="S197"/>
      <x:c r="T197"/>
      <x:c r="U197"/>
      <x:c r="V197" s="59" t="b">
        <x:v>1</x:v>
      </x:c>
      <x:c r="W197"/>
      <x:c r="X197" t="str">
        <x:v>offen</x:v>
      </x:c>
      <x:c r="Y197" t="str">
        <x:v>Agent-Draft; Kategorie und Person pruefen</x:v>
      </x:c>
    </x:row>
    <x:row r="198">
      <x:c r="A198" t="str">
        <x:v>TXN-RAW-IMP-20260516-FULLDRAFT-000182</x:v>
      </x:c>
      <x:c r="B198" t="str">
        <x:v>RAW-IMP-20260516-FULLDRAFT-000182</x:v>
      </x:c>
      <x:c r="C198" t="str">
        <x:v>KTO001</x:v>
      </x:c>
      <x:c r="D198"/>
      <x:c r="E198" t="str">
        <x:v>KAT013</x:v>
      </x:c>
      <x:c r="F198"/>
      <x:c r="G198"/>
      <x:c r="H198" t="str">
        <x:v>kein_match</x:v>
      </x:c>
      <x:c r="I198" t="str">
        <x:v>Agent-Draft: keine finale Regelentscheidung</x:v>
      </x:c>
      <x:c r="J198" t="n">
        <x:v>46106</x:v>
      </x:c>
      <x:c r="K198"/>
      <x:c r="L198"/>
      <x:c r="M198" t="n">
        <x:v>-13.69</x:v>
      </x:c>
      <x:c r="N198" t="str">
        <x:v>2026-03</x:v>
      </x:c>
      <x:c r="O198" t="str">
        <x:v>Ausgabe</x:v>
      </x:c>
      <x:c r="P198" t="str">
        <x:v>Ist</x:v>
      </x:c>
      <x:c r="Q198" s="59" t="b">
        <x:v>0</x:v>
      </x:c>
      <x:c r="R198" t="str">
        <x:v>kein_transfer</x:v>
      </x:c>
      <x:c r="S198"/>
      <x:c r="T198"/>
      <x:c r="U198"/>
      <x:c r="V198" s="59" t="b">
        <x:v>1</x:v>
      </x:c>
      <x:c r="W198"/>
      <x:c r="X198" t="str">
        <x:v>offen</x:v>
      </x:c>
      <x:c r="Y198" t="str">
        <x:v>Agent-Draft; Kategorie und Person pruefen</x:v>
      </x:c>
    </x:row>
    <x:row r="199">
      <x:c r="A199" t="str">
        <x:v>TXN-RAW-IMP-20260516-FULLDRAFT-000183</x:v>
      </x:c>
      <x:c r="B199" t="str">
        <x:v>RAW-IMP-20260516-FULLDRAFT-000183</x:v>
      </x:c>
      <x:c r="C199" t="str">
        <x:v>KTO001</x:v>
      </x:c>
      <x:c r="D199"/>
      <x:c r="E199" t="str">
        <x:v>KAT013</x:v>
      </x:c>
      <x:c r="F199"/>
      <x:c r="G199"/>
      <x:c r="H199" t="str">
        <x:v>kein_match</x:v>
      </x:c>
      <x:c r="I199" t="str">
        <x:v>Agent-Draft: keine finale Regelentscheidung</x:v>
      </x:c>
      <x:c r="J199" t="n">
        <x:v>46106</x:v>
      </x:c>
      <x:c r="K199"/>
      <x:c r="L199"/>
      <x:c r="M199" t="n">
        <x:v>-4.5</x:v>
      </x:c>
      <x:c r="N199" t="str">
        <x:v>2026-03</x:v>
      </x:c>
      <x:c r="O199" t="str">
        <x:v>Ausgabe</x:v>
      </x:c>
      <x:c r="P199" t="str">
        <x:v>Ist</x:v>
      </x:c>
      <x:c r="Q199" s="59" t="b">
        <x:v>0</x:v>
      </x:c>
      <x:c r="R199" t="str">
        <x:v>kein_transfer</x:v>
      </x:c>
      <x:c r="S199"/>
      <x:c r="T199"/>
      <x:c r="U199"/>
      <x:c r="V199" s="59" t="b">
        <x:v>1</x:v>
      </x:c>
      <x:c r="W199"/>
      <x:c r="X199" t="str">
        <x:v>offen</x:v>
      </x:c>
      <x:c r="Y199" t="str">
        <x:v>Agent-Draft; Kategorie und Person pruefen</x:v>
      </x:c>
    </x:row>
    <x:row r="200">
      <x:c r="A200" t="str">
        <x:v>TXN-RAW-IMP-20260516-FULLDRAFT-000184</x:v>
      </x:c>
      <x:c r="B200" t="str">
        <x:v>RAW-IMP-20260516-FULLDRAFT-000184</x:v>
      </x:c>
      <x:c r="C200" t="str">
        <x:v>KTO001</x:v>
      </x:c>
      <x:c r="D200"/>
      <x:c r="E200" t="str">
        <x:v>KAT013</x:v>
      </x:c>
      <x:c r="F200"/>
      <x:c r="G200"/>
      <x:c r="H200" t="str">
        <x:v>kein_match</x:v>
      </x:c>
      <x:c r="I200" t="str">
        <x:v>Agent-Draft: keine finale Regelentscheidung</x:v>
      </x:c>
      <x:c r="J200" t="n">
        <x:v>46106</x:v>
      </x:c>
      <x:c r="K200"/>
      <x:c r="L200"/>
      <x:c r="M200" t="n">
        <x:v>-20.37</x:v>
      </x:c>
      <x:c r="N200" t="str">
        <x:v>2026-03</x:v>
      </x:c>
      <x:c r="O200" t="str">
        <x:v>Ausgabe</x:v>
      </x:c>
      <x:c r="P200" t="str">
        <x:v>Ist</x:v>
      </x:c>
      <x:c r="Q200" s="59" t="b">
        <x:v>0</x:v>
      </x:c>
      <x:c r="R200" t="str">
        <x:v>kein_transfer</x:v>
      </x:c>
      <x:c r="S200"/>
      <x:c r="T200"/>
      <x:c r="U200"/>
      <x:c r="V200" s="59" t="b">
        <x:v>1</x:v>
      </x:c>
      <x:c r="W200"/>
      <x:c r="X200" t="str">
        <x:v>offen</x:v>
      </x:c>
      <x:c r="Y200" t="str">
        <x:v>Agent-Draft; Kategorie und Person pruefen</x:v>
      </x:c>
    </x:row>
    <x:row r="201">
      <x:c r="A201" t="str">
        <x:v>TXN-RAW-IMP-20260516-FULLDRAFT-000185</x:v>
      </x:c>
      <x:c r="B201" t="str">
        <x:v>RAW-IMP-20260516-FULLDRAFT-000185</x:v>
      </x:c>
      <x:c r="C201" t="str">
        <x:v>KTO001</x:v>
      </x:c>
      <x:c r="D201"/>
      <x:c r="E201" t="str">
        <x:v>KAT013</x:v>
      </x:c>
      <x:c r="F201"/>
      <x:c r="G201"/>
      <x:c r="H201" t="str">
        <x:v>kein_match</x:v>
      </x:c>
      <x:c r="I201" t="str">
        <x:v>Agent-Draft: keine finale Regelentscheidung</x:v>
      </x:c>
      <x:c r="J201" t="n">
        <x:v>46106</x:v>
      </x:c>
      <x:c r="K201"/>
      <x:c r="L201"/>
      <x:c r="M201" t="n">
        <x:v>-73</x:v>
      </x:c>
      <x:c r="N201" t="str">
        <x:v>2026-03</x:v>
      </x:c>
      <x:c r="O201" t="str">
        <x:v>Ausgabe</x:v>
      </x:c>
      <x:c r="P201" t="str">
        <x:v>Ist</x:v>
      </x:c>
      <x:c r="Q201" s="59" t="b">
        <x:v>0</x:v>
      </x:c>
      <x:c r="R201" t="str">
        <x:v>kein_transfer</x:v>
      </x:c>
      <x:c r="S201"/>
      <x:c r="T201"/>
      <x:c r="U201"/>
      <x:c r="V201" s="59" t="b">
        <x:v>1</x:v>
      </x:c>
      <x:c r="W201"/>
      <x:c r="X201" t="str">
        <x:v>offen</x:v>
      </x:c>
      <x:c r="Y201" t="str">
        <x:v>Agent-Draft; Kategorie und Person pruefen</x:v>
      </x:c>
    </x:row>
    <x:row r="202">
      <x:c r="A202" t="str">
        <x:v>TXN-RAW-IMP-20260516-FULLDRAFT-000186</x:v>
      </x:c>
      <x:c r="B202" t="str">
        <x:v>RAW-IMP-20260516-FULLDRAFT-000186</x:v>
      </x:c>
      <x:c r="C202" t="str">
        <x:v>KTO001</x:v>
      </x:c>
      <x:c r="D202"/>
      <x:c r="E202" t="str">
        <x:v>KAT013</x:v>
      </x:c>
      <x:c r="F202"/>
      <x:c r="G202"/>
      <x:c r="H202" t="str">
        <x:v>kein_match</x:v>
      </x:c>
      <x:c r="I202" t="str">
        <x:v>Agent-Draft: keine finale Regelentscheidung</x:v>
      </x:c>
      <x:c r="J202" t="n">
        <x:v>46106</x:v>
      </x:c>
      <x:c r="K202"/>
      <x:c r="L202"/>
      <x:c r="M202" t="n">
        <x:v>200</x:v>
      </x:c>
      <x:c r="N202" t="str">
        <x:v>2026-03</x:v>
      </x:c>
      <x:c r="O202" t="str">
        <x:v>Einnahme</x:v>
      </x:c>
      <x:c r="P202" t="str">
        <x:v>Ist</x:v>
      </x:c>
      <x:c r="Q202" s="59" t="b">
        <x:v>0</x:v>
      </x:c>
      <x:c r="R202" t="str">
        <x:v>unklar</x:v>
      </x:c>
      <x:c r="S202"/>
      <x:c r="T202"/>
      <x:c r="U202"/>
      <x:c r="V202" s="59" t="b">
        <x:v>1</x:v>
      </x:c>
      <x:c r="W202" t="str">
        <x:v>Transferkandidat im Draft</x:v>
      </x:c>
      <x:c r="X202" t="str">
        <x:v>offen</x:v>
      </x:c>
      <x:c r="Y202" t="str">
        <x:v>Agent-Draft; Kategorie und Person pruefen</x:v>
      </x:c>
    </x:row>
    <x:row r="203">
      <x:c r="A203" t="str">
        <x:v>TXN-RAW-IMP-20260516-FULLDRAFT-000187</x:v>
      </x:c>
      <x:c r="B203" t="str">
        <x:v>RAW-IMP-20260516-FULLDRAFT-000187</x:v>
      </x:c>
      <x:c r="C203" t="str">
        <x:v>KTO001</x:v>
      </x:c>
      <x:c r="D203"/>
      <x:c r="E203" t="str">
        <x:v>KAT013</x:v>
      </x:c>
      <x:c r="F203"/>
      <x:c r="G203"/>
      <x:c r="H203" t="str">
        <x:v>kein_match</x:v>
      </x:c>
      <x:c r="I203" t="str">
        <x:v>Agent-Draft: keine finale Regelentscheidung</x:v>
      </x:c>
      <x:c r="J203" t="n">
        <x:v>46105</x:v>
      </x:c>
      <x:c r="K203"/>
      <x:c r="L203"/>
      <x:c r="M203" t="n">
        <x:v>-5.99</x:v>
      </x:c>
      <x:c r="N203" t="str">
        <x:v>2026-03</x:v>
      </x:c>
      <x:c r="O203" t="str">
        <x:v>Ausgabe</x:v>
      </x:c>
      <x:c r="P203" t="str">
        <x:v>Ist</x:v>
      </x:c>
      <x:c r="Q203" s="59" t="b">
        <x:v>0</x:v>
      </x:c>
      <x:c r="R203" t="str">
        <x:v>kein_transfer</x:v>
      </x:c>
      <x:c r="S203"/>
      <x:c r="T203"/>
      <x:c r="U203"/>
      <x:c r="V203" s="59" t="b">
        <x:v>1</x:v>
      </x:c>
      <x:c r="W203"/>
      <x:c r="X203" t="str">
        <x:v>offen</x:v>
      </x:c>
      <x:c r="Y203" t="str">
        <x:v>Agent-Draft; Kategorie und Person pruefen</x:v>
      </x:c>
    </x:row>
    <x:row r="204">
      <x:c r="A204" t="str">
        <x:v>TXN-RAW-IMP-20260516-FULLDRAFT-000188</x:v>
      </x:c>
      <x:c r="B204" t="str">
        <x:v>RAW-IMP-20260516-FULLDRAFT-000188</x:v>
      </x:c>
      <x:c r="C204" t="str">
        <x:v>KTO001</x:v>
      </x:c>
      <x:c r="D204"/>
      <x:c r="E204" t="str">
        <x:v>KAT013</x:v>
      </x:c>
      <x:c r="F204"/>
      <x:c r="G204"/>
      <x:c r="H204" t="str">
        <x:v>kein_match</x:v>
      </x:c>
      <x:c r="I204" t="str">
        <x:v>Agent-Draft: keine finale Regelentscheidung</x:v>
      </x:c>
      <x:c r="J204" t="n">
        <x:v>46105</x:v>
      </x:c>
      <x:c r="K204"/>
      <x:c r="L204"/>
      <x:c r="M204" t="n">
        <x:v>-16.49</x:v>
      </x:c>
      <x:c r="N204" t="str">
        <x:v>2026-03</x:v>
      </x:c>
      <x:c r="O204" t="str">
        <x:v>Ausgabe</x:v>
      </x:c>
      <x:c r="P204" t="str">
        <x:v>Ist</x:v>
      </x:c>
      <x:c r="Q204" s="59" t="b">
        <x:v>0</x:v>
      </x:c>
      <x:c r="R204" t="str">
        <x:v>kein_transfer</x:v>
      </x:c>
      <x:c r="S204"/>
      <x:c r="T204"/>
      <x:c r="U204"/>
      <x:c r="V204" s="59" t="b">
        <x:v>1</x:v>
      </x:c>
      <x:c r="W204"/>
      <x:c r="X204" t="str">
        <x:v>offen</x:v>
      </x:c>
      <x:c r="Y204" t="str">
        <x:v>Agent-Draft; Kategorie und Person pruefen</x:v>
      </x:c>
    </x:row>
    <x:row r="205">
      <x:c r="A205" t="str">
        <x:v>TXN-RAW-IMP-20260516-FULLDRAFT-000189</x:v>
      </x:c>
      <x:c r="B205" t="str">
        <x:v>RAW-IMP-20260516-FULLDRAFT-000189</x:v>
      </x:c>
      <x:c r="C205" t="str">
        <x:v>KTO001</x:v>
      </x:c>
      <x:c r="D205"/>
      <x:c r="E205" t="str">
        <x:v>KAT013</x:v>
      </x:c>
      <x:c r="F205"/>
      <x:c r="G205"/>
      <x:c r="H205" t="str">
        <x:v>kein_match</x:v>
      </x:c>
      <x:c r="I205" t="str">
        <x:v>Agent-Draft: keine finale Regelentscheidung</x:v>
      </x:c>
      <x:c r="J205" t="n">
        <x:v>46105</x:v>
      </x:c>
      <x:c r="K205"/>
      <x:c r="L205"/>
      <x:c r="M205" t="n">
        <x:v>-11.99</x:v>
      </x:c>
      <x:c r="N205" t="str">
        <x:v>2026-03</x:v>
      </x:c>
      <x:c r="O205" t="str">
        <x:v>Ausgabe</x:v>
      </x:c>
      <x:c r="P205" t="str">
        <x:v>Ist</x:v>
      </x:c>
      <x:c r="Q205" s="59" t="b">
        <x:v>0</x:v>
      </x:c>
      <x:c r="R205" t="str">
        <x:v>kein_transfer</x:v>
      </x:c>
      <x:c r="S205"/>
      <x:c r="T205"/>
      <x:c r="U205"/>
      <x:c r="V205" s="59" t="b">
        <x:v>1</x:v>
      </x:c>
      <x:c r="W205"/>
      <x:c r="X205" t="str">
        <x:v>offen</x:v>
      </x:c>
      <x:c r="Y205" t="str">
        <x:v>Agent-Draft; Kategorie und Person pruefen</x:v>
      </x:c>
    </x:row>
    <x:row r="206">
      <x:c r="A206" t="str">
        <x:v>TXN-RAW-IMP-20260516-FULLDRAFT-000190</x:v>
      </x:c>
      <x:c r="B206" t="str">
        <x:v>RAW-IMP-20260516-FULLDRAFT-000190</x:v>
      </x:c>
      <x:c r="C206" t="str">
        <x:v>KTO001</x:v>
      </x:c>
      <x:c r="D206"/>
      <x:c r="E206" t="str">
        <x:v>KAT013</x:v>
      </x:c>
      <x:c r="F206"/>
      <x:c r="G206"/>
      <x:c r="H206" t="str">
        <x:v>kein_match</x:v>
      </x:c>
      <x:c r="I206" t="str">
        <x:v>Agent-Draft: keine finale Regelentscheidung</x:v>
      </x:c>
      <x:c r="J206" t="n">
        <x:v>46105</x:v>
      </x:c>
      <x:c r="K206"/>
      <x:c r="L206"/>
      <x:c r="M206" t="n">
        <x:v>-10.18</x:v>
      </x:c>
      <x:c r="N206" t="str">
        <x:v>2026-03</x:v>
      </x:c>
      <x:c r="O206" t="str">
        <x:v>Ausgabe</x:v>
      </x:c>
      <x:c r="P206" t="str">
        <x:v>Ist</x:v>
      </x:c>
      <x:c r="Q206" s="59" t="b">
        <x:v>0</x:v>
      </x:c>
      <x:c r="R206" t="str">
        <x:v>kein_transfer</x:v>
      </x:c>
      <x:c r="S206"/>
      <x:c r="T206"/>
      <x:c r="U206"/>
      <x:c r="V206" s="59" t="b">
        <x:v>1</x:v>
      </x:c>
      <x:c r="W206"/>
      <x:c r="X206" t="str">
        <x:v>offen</x:v>
      </x:c>
      <x:c r="Y206" t="str">
        <x:v>Agent-Draft; Kategorie und Person pruefen</x:v>
      </x:c>
    </x:row>
    <x:row r="207">
      <x:c r="A207" t="str">
        <x:v>TXN-RAW-IMP-20260516-FULLDRAFT-000191</x:v>
      </x:c>
      <x:c r="B207" t="str">
        <x:v>RAW-IMP-20260516-FULLDRAFT-000191</x:v>
      </x:c>
      <x:c r="C207" t="str">
        <x:v>KTO001</x:v>
      </x:c>
      <x:c r="D207"/>
      <x:c r="E207" t="str">
        <x:v>KAT013</x:v>
      </x:c>
      <x:c r="F207"/>
      <x:c r="G207"/>
      <x:c r="H207" t="str">
        <x:v>kein_match</x:v>
      </x:c>
      <x:c r="I207" t="str">
        <x:v>Agent-Draft: keine finale Regelentscheidung</x:v>
      </x:c>
      <x:c r="J207" t="n">
        <x:v>46105</x:v>
      </x:c>
      <x:c r="K207"/>
      <x:c r="L207"/>
      <x:c r="M207" t="n">
        <x:v>-20.27</x:v>
      </x:c>
      <x:c r="N207" t="str">
        <x:v>2026-03</x:v>
      </x:c>
      <x:c r="O207" t="str">
        <x:v>Ausgabe</x:v>
      </x:c>
      <x:c r="P207" t="str">
        <x:v>Ist</x:v>
      </x:c>
      <x:c r="Q207" s="59" t="b">
        <x:v>0</x:v>
      </x:c>
      <x:c r="R207" t="str">
        <x:v>kein_transfer</x:v>
      </x:c>
      <x:c r="S207"/>
      <x:c r="T207"/>
      <x:c r="U207"/>
      <x:c r="V207" s="59" t="b">
        <x:v>1</x:v>
      </x:c>
      <x:c r="W207"/>
      <x:c r="X207" t="str">
        <x:v>offen</x:v>
      </x:c>
      <x:c r="Y207" t="str">
        <x:v>Agent-Draft; Kategorie und Person pruefen</x:v>
      </x:c>
    </x:row>
    <x:row r="208">
      <x:c r="A208" t="str">
        <x:v>TXN-RAW-IMP-20260516-FULLDRAFT-000192</x:v>
      </x:c>
      <x:c r="B208" t="str">
        <x:v>RAW-IMP-20260516-FULLDRAFT-000192</x:v>
      </x:c>
      <x:c r="C208" t="str">
        <x:v>KTO001</x:v>
      </x:c>
      <x:c r="D208"/>
      <x:c r="E208" t="str">
        <x:v>KAT013</x:v>
      </x:c>
      <x:c r="F208"/>
      <x:c r="G208"/>
      <x:c r="H208" t="str">
        <x:v>kein_match</x:v>
      </x:c>
      <x:c r="I208" t="str">
        <x:v>Agent-Draft: keine finale Regelentscheidung</x:v>
      </x:c>
      <x:c r="J208" t="n">
        <x:v>46105</x:v>
      </x:c>
      <x:c r="K208"/>
      <x:c r="L208"/>
      <x:c r="M208" t="n">
        <x:v>-2.99</x:v>
      </x:c>
      <x:c r="N208" t="str">
        <x:v>2026-03</x:v>
      </x:c>
      <x:c r="O208" t="str">
        <x:v>Ausgabe</x:v>
      </x:c>
      <x:c r="P208" t="str">
        <x:v>Ist</x:v>
      </x:c>
      <x:c r="Q208" s="59" t="b">
        <x:v>0</x:v>
      </x:c>
      <x:c r="R208" t="str">
        <x:v>kein_transfer</x:v>
      </x:c>
      <x:c r="S208"/>
      <x:c r="T208"/>
      <x:c r="U208"/>
      <x:c r="V208" s="59" t="b">
        <x:v>1</x:v>
      </x:c>
      <x:c r="W208"/>
      <x:c r="X208" t="str">
        <x:v>offen</x:v>
      </x:c>
      <x:c r="Y208" t="str">
        <x:v>Agent-Draft; Kategorie und Person pruefen</x:v>
      </x:c>
    </x:row>
    <x:row r="209">
      <x:c r="A209" t="str">
        <x:v>TXN-RAW-IMP-20260516-FULLDRAFT-000193</x:v>
      </x:c>
      <x:c r="B209" t="str">
        <x:v>RAW-IMP-20260516-FULLDRAFT-000193</x:v>
      </x:c>
      <x:c r="C209" t="str">
        <x:v>KTO001</x:v>
      </x:c>
      <x:c r="D209"/>
      <x:c r="E209" t="str">
        <x:v>KAT013</x:v>
      </x:c>
      <x:c r="F209"/>
      <x:c r="G209"/>
      <x:c r="H209" t="str">
        <x:v>kein_match</x:v>
      </x:c>
      <x:c r="I209" t="str">
        <x:v>Agent-Draft: keine finale Regelentscheidung</x:v>
      </x:c>
      <x:c r="J209" t="n">
        <x:v>46104</x:v>
      </x:c>
      <x:c r="K209"/>
      <x:c r="L209"/>
      <x:c r="M209" t="n">
        <x:v>-12.87</x:v>
      </x:c>
      <x:c r="N209" t="str">
        <x:v>2026-03</x:v>
      </x:c>
      <x:c r="O209" t="str">
        <x:v>Ausgabe</x:v>
      </x:c>
      <x:c r="P209" t="str">
        <x:v>Ist</x:v>
      </x:c>
      <x:c r="Q209" s="59" t="b">
        <x:v>0</x:v>
      </x:c>
      <x:c r="R209" t="str">
        <x:v>kein_transfer</x:v>
      </x:c>
      <x:c r="S209"/>
      <x:c r="T209"/>
      <x:c r="U209"/>
      <x:c r="V209" s="59" t="b">
        <x:v>1</x:v>
      </x:c>
      <x:c r="W209"/>
      <x:c r="X209" t="str">
        <x:v>offen</x:v>
      </x:c>
      <x:c r="Y209" t="str">
        <x:v>Agent-Draft; Kategorie und Person pruefen</x:v>
      </x:c>
    </x:row>
    <x:row r="210">
      <x:c r="A210" t="str">
        <x:v>TXN-RAW-IMP-20260516-FULLDRAFT-000194</x:v>
      </x:c>
      <x:c r="B210" t="str">
        <x:v>RAW-IMP-20260516-FULLDRAFT-000194</x:v>
      </x:c>
      <x:c r="C210" t="str">
        <x:v>KTO001</x:v>
      </x:c>
      <x:c r="D210"/>
      <x:c r="E210" t="str">
        <x:v>KAT013</x:v>
      </x:c>
      <x:c r="F210"/>
      <x:c r="G210"/>
      <x:c r="H210" t="str">
        <x:v>kein_match</x:v>
      </x:c>
      <x:c r="I210" t="str">
        <x:v>Agent-Draft: keine finale Regelentscheidung</x:v>
      </x:c>
      <x:c r="J210" t="n">
        <x:v>46104</x:v>
      </x:c>
      <x:c r="K210"/>
      <x:c r="L210"/>
      <x:c r="M210" t="n">
        <x:v>-100</x:v>
      </x:c>
      <x:c r="N210" t="str">
        <x:v>2026-03</x:v>
      </x:c>
      <x:c r="O210" t="str">
        <x:v>Ausgabe</x:v>
      </x:c>
      <x:c r="P210" t="str">
        <x:v>Ist</x:v>
      </x:c>
      <x:c r="Q210" s="59" t="b">
        <x:v>0</x:v>
      </x:c>
      <x:c r="R210" t="str">
        <x:v>kein_transfer</x:v>
      </x:c>
      <x:c r="S210"/>
      <x:c r="T210"/>
      <x:c r="U210"/>
      <x:c r="V210" s="59" t="b">
        <x:v>1</x:v>
      </x:c>
      <x:c r="W210"/>
      <x:c r="X210" t="str">
        <x:v>offen</x:v>
      </x:c>
      <x:c r="Y210" t="str">
        <x:v>Agent-Draft; Kategorie und Person pruefen</x:v>
      </x:c>
    </x:row>
    <x:row r="211">
      <x:c r="A211" t="str">
        <x:v>TXN-RAW-IMP-20260516-FULLDRAFT-000195</x:v>
      </x:c>
      <x:c r="B211" t="str">
        <x:v>RAW-IMP-20260516-FULLDRAFT-000195</x:v>
      </x:c>
      <x:c r="C211" t="str">
        <x:v>KTO001</x:v>
      </x:c>
      <x:c r="D211"/>
      <x:c r="E211" t="str">
        <x:v>KAT013</x:v>
      </x:c>
      <x:c r="F211"/>
      <x:c r="G211"/>
      <x:c r="H211" t="str">
        <x:v>kein_match</x:v>
      </x:c>
      <x:c r="I211" t="str">
        <x:v>Agent-Draft: keine finale Regelentscheidung</x:v>
      </x:c>
      <x:c r="J211" t="n">
        <x:v>46104</x:v>
      </x:c>
      <x:c r="K211"/>
      <x:c r="L211"/>
      <x:c r="M211" t="n">
        <x:v>-134.01</x:v>
      </x:c>
      <x:c r="N211" t="str">
        <x:v>2026-03</x:v>
      </x:c>
      <x:c r="O211" t="str">
        <x:v>Ausgabe</x:v>
      </x:c>
      <x:c r="P211" t="str">
        <x:v>Ist</x:v>
      </x:c>
      <x:c r="Q211" s="59" t="b">
        <x:v>0</x:v>
      </x:c>
      <x:c r="R211" t="str">
        <x:v>kein_transfer</x:v>
      </x:c>
      <x:c r="S211"/>
      <x:c r="T211"/>
      <x:c r="U211"/>
      <x:c r="V211" s="59" t="b">
        <x:v>1</x:v>
      </x:c>
      <x:c r="W211"/>
      <x:c r="X211" t="str">
        <x:v>offen</x:v>
      </x:c>
      <x:c r="Y211" t="str">
        <x:v>Agent-Draft; Kategorie und Person pruefen</x:v>
      </x:c>
    </x:row>
    <x:row r="212">
      <x:c r="A212" t="str">
        <x:v>TXN-RAW-IMP-20260516-FULLDRAFT-000196</x:v>
      </x:c>
      <x:c r="B212" t="str">
        <x:v>RAW-IMP-20260516-FULLDRAFT-000196</x:v>
      </x:c>
      <x:c r="C212" t="str">
        <x:v>KTO001</x:v>
      </x:c>
      <x:c r="D212"/>
      <x:c r="E212" t="str">
        <x:v>KAT013</x:v>
      </x:c>
      <x:c r="F212"/>
      <x:c r="G212"/>
      <x:c r="H212" t="str">
        <x:v>kein_match</x:v>
      </x:c>
      <x:c r="I212" t="str">
        <x:v>Agent-Draft: keine finale Regelentscheidung</x:v>
      </x:c>
      <x:c r="J212" t="n">
        <x:v>46104</x:v>
      </x:c>
      <x:c r="K212"/>
      <x:c r="L212"/>
      <x:c r="M212" t="n">
        <x:v>-2.7</x:v>
      </x:c>
      <x:c r="N212" t="str">
        <x:v>2026-03</x:v>
      </x:c>
      <x:c r="O212" t="str">
        <x:v>Ausgabe</x:v>
      </x:c>
      <x:c r="P212" t="str">
        <x:v>Ist</x:v>
      </x:c>
      <x:c r="Q212" s="59" t="b">
        <x:v>0</x:v>
      </x:c>
      <x:c r="R212" t="str">
        <x:v>kein_transfer</x:v>
      </x:c>
      <x:c r="S212"/>
      <x:c r="T212"/>
      <x:c r="U212"/>
      <x:c r="V212" s="59" t="b">
        <x:v>1</x:v>
      </x:c>
      <x:c r="W212"/>
      <x:c r="X212" t="str">
        <x:v>offen</x:v>
      </x:c>
      <x:c r="Y212" t="str">
        <x:v>Agent-Draft; Kategorie und Person pruefen</x:v>
      </x:c>
    </x:row>
    <x:row r="213">
      <x:c r="A213" t="str">
        <x:v>TXN-RAW-IMP-20260516-FULLDRAFT-000197</x:v>
      </x:c>
      <x:c r="B213" t="str">
        <x:v>RAW-IMP-20260516-FULLDRAFT-000197</x:v>
      </x:c>
      <x:c r="C213" t="str">
        <x:v>KTO001</x:v>
      </x:c>
      <x:c r="D213"/>
      <x:c r="E213" t="str">
        <x:v>KAT013</x:v>
      </x:c>
      <x:c r="F213"/>
      <x:c r="G213"/>
      <x:c r="H213" t="str">
        <x:v>kein_match</x:v>
      </x:c>
      <x:c r="I213" t="str">
        <x:v>Agent-Draft: keine finale Regelentscheidung</x:v>
      </x:c>
      <x:c r="J213" t="n">
        <x:v>46104</x:v>
      </x:c>
      <x:c r="K213"/>
      <x:c r="L213"/>
      <x:c r="M213" t="n">
        <x:v>-200</x:v>
      </x:c>
      <x:c r="N213" t="str">
        <x:v>2026-03</x:v>
      </x:c>
      <x:c r="O213" t="str">
        <x:v>Ausgabe</x:v>
      </x:c>
      <x:c r="P213" t="str">
        <x:v>Ist</x:v>
      </x:c>
      <x:c r="Q213" s="59" t="b">
        <x:v>0</x:v>
      </x:c>
      <x:c r="R213" t="str">
        <x:v>kein_transfer</x:v>
      </x:c>
      <x:c r="S213"/>
      <x:c r="T213"/>
      <x:c r="U213"/>
      <x:c r="V213" s="59" t="b">
        <x:v>1</x:v>
      </x:c>
      <x:c r="W213"/>
      <x:c r="X213" t="str">
        <x:v>offen</x:v>
      </x:c>
      <x:c r="Y213" t="str">
        <x:v>Agent-Draft; Kategorie und Person pruefen</x:v>
      </x:c>
    </x:row>
    <x:row r="214">
      <x:c r="A214" t="str">
        <x:v>TXN-RAW-IMP-20260516-FULLDRAFT-000198</x:v>
      </x:c>
      <x:c r="B214" t="str">
        <x:v>RAW-IMP-20260516-FULLDRAFT-000198</x:v>
      </x:c>
      <x:c r="C214" t="str">
        <x:v>KTO001</x:v>
      </x:c>
      <x:c r="D214"/>
      <x:c r="E214" t="str">
        <x:v>KAT013</x:v>
      </x:c>
      <x:c r="F214"/>
      <x:c r="G214"/>
      <x:c r="H214" t="str">
        <x:v>kein_match</x:v>
      </x:c>
      <x:c r="I214" t="str">
        <x:v>Agent-Draft: keine finale Regelentscheidung</x:v>
      </x:c>
      <x:c r="J214" t="n">
        <x:v>46104</x:v>
      </x:c>
      <x:c r="K214"/>
      <x:c r="L214"/>
      <x:c r="M214" t="n">
        <x:v>-70.46</x:v>
      </x:c>
      <x:c r="N214" t="str">
        <x:v>2026-03</x:v>
      </x:c>
      <x:c r="O214" t="str">
        <x:v>Ausgabe</x:v>
      </x:c>
      <x:c r="P214" t="str">
        <x:v>Ist</x:v>
      </x:c>
      <x:c r="Q214" s="59" t="b">
        <x:v>0</x:v>
      </x:c>
      <x:c r="R214" t="str">
        <x:v>kein_transfer</x:v>
      </x:c>
      <x:c r="S214"/>
      <x:c r="T214"/>
      <x:c r="U214"/>
      <x:c r="V214" s="59" t="b">
        <x:v>1</x:v>
      </x:c>
      <x:c r="W214"/>
      <x:c r="X214" t="str">
        <x:v>offen</x:v>
      </x:c>
      <x:c r="Y214" t="str">
        <x:v>Agent-Draft; Kategorie und Person pruefen</x:v>
      </x:c>
    </x:row>
    <x:row r="215">
      <x:c r="A215" t="str">
        <x:v>TXN-RAW-IMP-20260516-FULLDRAFT-000199</x:v>
      </x:c>
      <x:c r="B215" t="str">
        <x:v>RAW-IMP-20260516-FULLDRAFT-000199</x:v>
      </x:c>
      <x:c r="C215" t="str">
        <x:v>KTO001</x:v>
      </x:c>
      <x:c r="D215"/>
      <x:c r="E215" t="str">
        <x:v>KAT013</x:v>
      </x:c>
      <x:c r="F215"/>
      <x:c r="G215"/>
      <x:c r="H215" t="str">
        <x:v>kein_match</x:v>
      </x:c>
      <x:c r="I215" t="str">
        <x:v>Agent-Draft: keine finale Regelentscheidung</x:v>
      </x:c>
      <x:c r="J215" t="n">
        <x:v>46104</x:v>
      </x:c>
      <x:c r="K215"/>
      <x:c r="L215"/>
      <x:c r="M215" t="n">
        <x:v>-6.99</x:v>
      </x:c>
      <x:c r="N215" t="str">
        <x:v>2026-03</x:v>
      </x:c>
      <x:c r="O215" t="str">
        <x:v>Ausgabe</x:v>
      </x:c>
      <x:c r="P215" t="str">
        <x:v>Ist</x:v>
      </x:c>
      <x:c r="Q215" s="59" t="b">
        <x:v>0</x:v>
      </x:c>
      <x:c r="R215" t="str">
        <x:v>kein_transfer</x:v>
      </x:c>
      <x:c r="S215"/>
      <x:c r="T215"/>
      <x:c r="U215"/>
      <x:c r="V215" s="59" t="b">
        <x:v>1</x:v>
      </x:c>
      <x:c r="W215"/>
      <x:c r="X215" t="str">
        <x:v>offen</x:v>
      </x:c>
      <x:c r="Y215" t="str">
        <x:v>Agent-Draft; Kategorie und Person pruefen</x:v>
      </x:c>
    </x:row>
    <x:row r="216">
      <x:c r="A216" t="str">
        <x:v>TXN-RAW-IMP-20260516-FULLDRAFT-000200</x:v>
      </x:c>
      <x:c r="B216" t="str">
        <x:v>RAW-IMP-20260516-FULLDRAFT-000200</x:v>
      </x:c>
      <x:c r="C216" t="str">
        <x:v>KTO001</x:v>
      </x:c>
      <x:c r="D216"/>
      <x:c r="E216" t="str">
        <x:v>KAT013</x:v>
      </x:c>
      <x:c r="F216"/>
      <x:c r="G216"/>
      <x:c r="H216" t="str">
        <x:v>kein_match</x:v>
      </x:c>
      <x:c r="I216" t="str">
        <x:v>Agent-Draft: keine finale Regelentscheidung</x:v>
      </x:c>
      <x:c r="J216" t="n">
        <x:v>46101</x:v>
      </x:c>
      <x:c r="K216"/>
      <x:c r="L216"/>
      <x:c r="M216" t="n">
        <x:v>-4.99</x:v>
      </x:c>
      <x:c r="N216" t="str">
        <x:v>2026-03</x:v>
      </x:c>
      <x:c r="O216" t="str">
        <x:v>Ausgabe</x:v>
      </x:c>
      <x:c r="P216" t="str">
        <x:v>Ist</x:v>
      </x:c>
      <x:c r="Q216" s="59" t="b">
        <x:v>0</x:v>
      </x:c>
      <x:c r="R216" t="str">
        <x:v>kein_transfer</x:v>
      </x:c>
      <x:c r="S216"/>
      <x:c r="T216"/>
      <x:c r="U216"/>
      <x:c r="V216" s="59" t="b">
        <x:v>1</x:v>
      </x:c>
      <x:c r="W216"/>
      <x:c r="X216" t="str">
        <x:v>offen</x:v>
      </x:c>
      <x:c r="Y216" t="str">
        <x:v>Agent-Draft; Kategorie und Person pruefen</x:v>
      </x:c>
    </x:row>
    <x:row r="217">
      <x:c r="A217" t="str">
        <x:v>TXN-RAW-IMP-20260516-FULLDRAFT-000201</x:v>
      </x:c>
      <x:c r="B217" t="str">
        <x:v>RAW-IMP-20260516-FULLDRAFT-000201</x:v>
      </x:c>
      <x:c r="C217" t="str">
        <x:v>KTO001</x:v>
      </x:c>
      <x:c r="D217"/>
      <x:c r="E217" t="str">
        <x:v>KAT013</x:v>
      </x:c>
      <x:c r="F217"/>
      <x:c r="G217"/>
      <x:c r="H217" t="str">
        <x:v>kein_match</x:v>
      </x:c>
      <x:c r="I217" t="str">
        <x:v>Agent-Draft: keine finale Regelentscheidung</x:v>
      </x:c>
      <x:c r="J217" t="n">
        <x:v>46101</x:v>
      </x:c>
      <x:c r="K217"/>
      <x:c r="L217"/>
      <x:c r="M217" t="n">
        <x:v>38.35</x:v>
      </x:c>
      <x:c r="N217" t="str">
        <x:v>2026-03</x:v>
      </x:c>
      <x:c r="O217" t="str">
        <x:v>Einnahme</x:v>
      </x:c>
      <x:c r="P217" t="str">
        <x:v>Ist</x:v>
      </x:c>
      <x:c r="Q217" s="59" t="b">
        <x:v>0</x:v>
      </x:c>
      <x:c r="R217" t="str">
        <x:v>kein_transfer</x:v>
      </x:c>
      <x:c r="S217"/>
      <x:c r="T217"/>
      <x:c r="U217"/>
      <x:c r="V217" s="59" t="b">
        <x:v>1</x:v>
      </x:c>
      <x:c r="W217"/>
      <x:c r="X217" t="str">
        <x:v>offen</x:v>
      </x:c>
      <x:c r="Y217" t="str">
        <x:v>Agent-Draft; Kategorie und Person pruefen</x:v>
      </x:c>
    </x:row>
    <x:row r="218">
      <x:c r="A218" t="str">
        <x:v>TXN-RAW-IMP-20260516-FULLDRAFT-000202</x:v>
      </x:c>
      <x:c r="B218" t="str">
        <x:v>RAW-IMP-20260516-FULLDRAFT-000202</x:v>
      </x:c>
      <x:c r="C218" t="str">
        <x:v>KTO001</x:v>
      </x:c>
      <x:c r="D218"/>
      <x:c r="E218" t="str">
        <x:v>KAT013</x:v>
      </x:c>
      <x:c r="F218"/>
      <x:c r="G218"/>
      <x:c r="H218" t="str">
        <x:v>kein_match</x:v>
      </x:c>
      <x:c r="I218" t="str">
        <x:v>Agent-Draft: keine finale Regelentscheidung</x:v>
      </x:c>
      <x:c r="J218" t="n">
        <x:v>46101</x:v>
      </x:c>
      <x:c r="K218"/>
      <x:c r="L218"/>
      <x:c r="M218" t="n">
        <x:v>-21.65</x:v>
      </x:c>
      <x:c r="N218" t="str">
        <x:v>2026-03</x:v>
      </x:c>
      <x:c r="O218" t="str">
        <x:v>Ausgabe</x:v>
      </x:c>
      <x:c r="P218" t="str">
        <x:v>Ist</x:v>
      </x:c>
      <x:c r="Q218" s="59" t="b">
        <x:v>0</x:v>
      </x:c>
      <x:c r="R218" t="str">
        <x:v>kein_transfer</x:v>
      </x:c>
      <x:c r="S218"/>
      <x:c r="T218"/>
      <x:c r="U218"/>
      <x:c r="V218" s="59" t="b">
        <x:v>1</x:v>
      </x:c>
      <x:c r="W218"/>
      <x:c r="X218" t="str">
        <x:v>offen</x:v>
      </x:c>
      <x:c r="Y218" t="str">
        <x:v>Agent-Draft; Kategorie und Person pruefen</x:v>
      </x:c>
    </x:row>
    <x:row r="219">
      <x:c r="A219" t="str">
        <x:v>TXN-RAW-IMP-20260516-FULLDRAFT-000203</x:v>
      </x:c>
      <x:c r="B219" t="str">
        <x:v>RAW-IMP-20260516-FULLDRAFT-000203</x:v>
      </x:c>
      <x:c r="C219" t="str">
        <x:v>KTO001</x:v>
      </x:c>
      <x:c r="D219"/>
      <x:c r="E219" t="str">
        <x:v>KAT013</x:v>
      </x:c>
      <x:c r="F219"/>
      <x:c r="G219"/>
      <x:c r="H219" t="str">
        <x:v>kein_match</x:v>
      </x:c>
      <x:c r="I219" t="str">
        <x:v>Agent-Draft: keine finale Regelentscheidung</x:v>
      </x:c>
      <x:c r="J219" t="n">
        <x:v>46101</x:v>
      </x:c>
      <x:c r="K219"/>
      <x:c r="L219"/>
      <x:c r="M219" t="n">
        <x:v>-21.86</x:v>
      </x:c>
      <x:c r="N219" t="str">
        <x:v>2026-03</x:v>
      </x:c>
      <x:c r="O219" t="str">
        <x:v>Ausgabe</x:v>
      </x:c>
      <x:c r="P219" t="str">
        <x:v>Ist</x:v>
      </x:c>
      <x:c r="Q219" s="59" t="b">
        <x:v>0</x:v>
      </x:c>
      <x:c r="R219" t="str">
        <x:v>kein_transfer</x:v>
      </x:c>
      <x:c r="S219"/>
      <x:c r="T219"/>
      <x:c r="U219"/>
      <x:c r="V219" s="59" t="b">
        <x:v>1</x:v>
      </x:c>
      <x:c r="W219"/>
      <x:c r="X219" t="str">
        <x:v>offen</x:v>
      </x:c>
      <x:c r="Y219" t="str">
        <x:v>Agent-Draft; Kategorie und Person pruefen</x:v>
      </x:c>
    </x:row>
    <x:row r="220">
      <x:c r="A220" t="str">
        <x:v>TXN-RAW-IMP-20260516-FULLDRAFT-000204</x:v>
      </x:c>
      <x:c r="B220" t="str">
        <x:v>RAW-IMP-20260516-FULLDRAFT-000204</x:v>
      </x:c>
      <x:c r="C220" t="str">
        <x:v>KTO001</x:v>
      </x:c>
      <x:c r="D220"/>
      <x:c r="E220" t="str">
        <x:v>KAT013</x:v>
      </x:c>
      <x:c r="F220"/>
      <x:c r="G220"/>
      <x:c r="H220" t="str">
        <x:v>kein_match</x:v>
      </x:c>
      <x:c r="I220" t="str">
        <x:v>Agent-Draft: keine finale Regelentscheidung</x:v>
      </x:c>
      <x:c r="J220" t="n">
        <x:v>46101</x:v>
      </x:c>
      <x:c r="K220"/>
      <x:c r="L220"/>
      <x:c r="M220" t="n">
        <x:v>-6.99</x:v>
      </x:c>
      <x:c r="N220" t="str">
        <x:v>2026-03</x:v>
      </x:c>
      <x:c r="O220" t="str">
        <x:v>Ausgabe</x:v>
      </x:c>
      <x:c r="P220" t="str">
        <x:v>Ist</x:v>
      </x:c>
      <x:c r="Q220" s="59" t="b">
        <x:v>0</x:v>
      </x:c>
      <x:c r="R220" t="str">
        <x:v>kein_transfer</x:v>
      </x:c>
      <x:c r="S220"/>
      <x:c r="T220"/>
      <x:c r="U220"/>
      <x:c r="V220" s="59" t="b">
        <x:v>1</x:v>
      </x:c>
      <x:c r="W220"/>
      <x:c r="X220" t="str">
        <x:v>offen</x:v>
      </x:c>
      <x:c r="Y220" t="str">
        <x:v>Agent-Draft; Kategorie und Person pruefen</x:v>
      </x:c>
    </x:row>
    <x:row r="221">
      <x:c r="A221" t="str">
        <x:v>TXN-RAW-IMP-20260516-FULLDRAFT-000205</x:v>
      </x:c>
      <x:c r="B221" t="str">
        <x:v>RAW-IMP-20260516-FULLDRAFT-000205</x:v>
      </x:c>
      <x:c r="C221" t="str">
        <x:v>KTO001</x:v>
      </x:c>
      <x:c r="D221"/>
      <x:c r="E221" t="str">
        <x:v>KAT013</x:v>
      </x:c>
      <x:c r="F221"/>
      <x:c r="G221"/>
      <x:c r="H221" t="str">
        <x:v>kein_match</x:v>
      </x:c>
      <x:c r="I221" t="str">
        <x:v>Agent-Draft: keine finale Regelentscheidung</x:v>
      </x:c>
      <x:c r="J221" t="n">
        <x:v>46100</x:v>
      </x:c>
      <x:c r="K221"/>
      <x:c r="L221"/>
      <x:c r="M221" t="n">
        <x:v>-30.14</x:v>
      </x:c>
      <x:c r="N221" t="str">
        <x:v>2026-03</x:v>
      </x:c>
      <x:c r="O221" t="str">
        <x:v>Ausgabe</x:v>
      </x:c>
      <x:c r="P221" t="str">
        <x:v>Ist</x:v>
      </x:c>
      <x:c r="Q221" s="59" t="b">
        <x:v>0</x:v>
      </x:c>
      <x:c r="R221" t="str">
        <x:v>kein_transfer</x:v>
      </x:c>
      <x:c r="S221"/>
      <x:c r="T221"/>
      <x:c r="U221"/>
      <x:c r="V221" s="59" t="b">
        <x:v>1</x:v>
      </x:c>
      <x:c r="W221"/>
      <x:c r="X221" t="str">
        <x:v>offen</x:v>
      </x:c>
      <x:c r="Y221" t="str">
        <x:v>Agent-Draft; Kategorie und Person pruefen</x:v>
      </x:c>
    </x:row>
    <x:row r="222">
      <x:c r="A222" t="str">
        <x:v>TXN-RAW-IMP-20260516-FULLDRAFT-000206</x:v>
      </x:c>
      <x:c r="B222" t="str">
        <x:v>RAW-IMP-20260516-FULLDRAFT-000206</x:v>
      </x:c>
      <x:c r="C222" t="str">
        <x:v>KTO001</x:v>
      </x:c>
      <x:c r="D222"/>
      <x:c r="E222" t="str">
        <x:v>KAT013</x:v>
      </x:c>
      <x:c r="F222"/>
      <x:c r="G222"/>
      <x:c r="H222" t="str">
        <x:v>kein_match</x:v>
      </x:c>
      <x:c r="I222" t="str">
        <x:v>Agent-Draft: keine finale Regelentscheidung</x:v>
      </x:c>
      <x:c r="J222" t="n">
        <x:v>46100</x:v>
      </x:c>
      <x:c r="K222"/>
      <x:c r="L222"/>
      <x:c r="M222" t="n">
        <x:v>-7.77</x:v>
      </x:c>
      <x:c r="N222" t="str">
        <x:v>2026-03</x:v>
      </x:c>
      <x:c r="O222" t="str">
        <x:v>Ausgabe</x:v>
      </x:c>
      <x:c r="P222" t="str">
        <x:v>Ist</x:v>
      </x:c>
      <x:c r="Q222" s="59" t="b">
        <x:v>0</x:v>
      </x:c>
      <x:c r="R222" t="str">
        <x:v>kein_transfer</x:v>
      </x:c>
      <x:c r="S222"/>
      <x:c r="T222"/>
      <x:c r="U222"/>
      <x:c r="V222" s="59" t="b">
        <x:v>1</x:v>
      </x:c>
      <x:c r="W222"/>
      <x:c r="X222" t="str">
        <x:v>offen</x:v>
      </x:c>
      <x:c r="Y222" t="str">
        <x:v>Agent-Draft; Kategorie und Person pruefen</x:v>
      </x:c>
    </x:row>
    <x:row r="223">
      <x:c r="A223" t="str">
        <x:v>TXN-RAW-IMP-20260516-FULLDRAFT-000207</x:v>
      </x:c>
      <x:c r="B223" t="str">
        <x:v>RAW-IMP-20260516-FULLDRAFT-000207</x:v>
      </x:c>
      <x:c r="C223" t="str">
        <x:v>KTO001</x:v>
      </x:c>
      <x:c r="D223"/>
      <x:c r="E223" t="str">
        <x:v>KAT013</x:v>
      </x:c>
      <x:c r="F223"/>
      <x:c r="G223"/>
      <x:c r="H223" t="str">
        <x:v>kein_match</x:v>
      </x:c>
      <x:c r="I223" t="str">
        <x:v>Agent-Draft: keine finale Regelentscheidung</x:v>
      </x:c>
      <x:c r="J223" t="n">
        <x:v>46100</x:v>
      </x:c>
      <x:c r="K223"/>
      <x:c r="L223"/>
      <x:c r="M223" t="n">
        <x:v>-6.99</x:v>
      </x:c>
      <x:c r="N223" t="str">
        <x:v>2026-03</x:v>
      </x:c>
      <x:c r="O223" t="str">
        <x:v>Ausgabe</x:v>
      </x:c>
      <x:c r="P223" t="str">
        <x:v>Ist</x:v>
      </x:c>
      <x:c r="Q223" s="59" t="b">
        <x:v>0</x:v>
      </x:c>
      <x:c r="R223" t="str">
        <x:v>kein_transfer</x:v>
      </x:c>
      <x:c r="S223"/>
      <x:c r="T223"/>
      <x:c r="U223"/>
      <x:c r="V223" s="59" t="b">
        <x:v>1</x:v>
      </x:c>
      <x:c r="W223"/>
      <x:c r="X223" t="str">
        <x:v>offen</x:v>
      </x:c>
      <x:c r="Y223" t="str">
        <x:v>Agent-Draft; Kategorie und Person pruefen</x:v>
      </x:c>
    </x:row>
    <x:row r="224">
      <x:c r="A224" t="str">
        <x:v>TXN-RAW-IMP-20260516-FULLDRAFT-000208</x:v>
      </x:c>
      <x:c r="B224" t="str">
        <x:v>RAW-IMP-20260516-FULLDRAFT-000208</x:v>
      </x:c>
      <x:c r="C224" t="str">
        <x:v>KTO001</x:v>
      </x:c>
      <x:c r="D224"/>
      <x:c r="E224" t="str">
        <x:v>KAT013</x:v>
      </x:c>
      <x:c r="F224"/>
      <x:c r="G224"/>
      <x:c r="H224" t="str">
        <x:v>kein_match</x:v>
      </x:c>
      <x:c r="I224" t="str">
        <x:v>Agent-Draft: keine finale Regelentscheidung</x:v>
      </x:c>
      <x:c r="J224" t="n">
        <x:v>46099</x:v>
      </x:c>
      <x:c r="K224"/>
      <x:c r="L224"/>
      <x:c r="M224" t="n">
        <x:v>-2.5</x:v>
      </x:c>
      <x:c r="N224" t="str">
        <x:v>2026-03</x:v>
      </x:c>
      <x:c r="O224" t="str">
        <x:v>Ausgabe</x:v>
      </x:c>
      <x:c r="P224" t="str">
        <x:v>Ist</x:v>
      </x:c>
      <x:c r="Q224" s="59" t="b">
        <x:v>0</x:v>
      </x:c>
      <x:c r="R224" t="str">
        <x:v>kein_transfer</x:v>
      </x:c>
      <x:c r="S224"/>
      <x:c r="T224"/>
      <x:c r="U224"/>
      <x:c r="V224" s="59" t="b">
        <x:v>1</x:v>
      </x:c>
      <x:c r="W224"/>
      <x:c r="X224" t="str">
        <x:v>offen</x:v>
      </x:c>
      <x:c r="Y224" t="str">
        <x:v>Agent-Draft; Kategorie und Person pruefen</x:v>
      </x:c>
    </x:row>
    <x:row r="225">
      <x:c r="A225" t="str">
        <x:v>TXN-RAW-IMP-20260516-FULLDRAFT-000209</x:v>
      </x:c>
      <x:c r="B225" t="str">
        <x:v>RAW-IMP-20260516-FULLDRAFT-000209</x:v>
      </x:c>
      <x:c r="C225" t="str">
        <x:v>KTO001</x:v>
      </x:c>
      <x:c r="D225"/>
      <x:c r="E225" t="str">
        <x:v>KAT013</x:v>
      </x:c>
      <x:c r="F225"/>
      <x:c r="G225"/>
      <x:c r="H225" t="str">
        <x:v>kein_match</x:v>
      </x:c>
      <x:c r="I225" t="str">
        <x:v>Agent-Draft: keine finale Regelentscheidung</x:v>
      </x:c>
      <x:c r="J225" t="n">
        <x:v>46099</x:v>
      </x:c>
      <x:c r="K225"/>
      <x:c r="L225"/>
      <x:c r="M225" t="n">
        <x:v>-3.69</x:v>
      </x:c>
      <x:c r="N225" t="str">
        <x:v>2026-03</x:v>
      </x:c>
      <x:c r="O225" t="str">
        <x:v>Ausgabe</x:v>
      </x:c>
      <x:c r="P225" t="str">
        <x:v>Ist</x:v>
      </x:c>
      <x:c r="Q225" s="59" t="b">
        <x:v>0</x:v>
      </x:c>
      <x:c r="R225" t="str">
        <x:v>kein_transfer</x:v>
      </x:c>
      <x:c r="S225"/>
      <x:c r="T225"/>
      <x:c r="U225"/>
      <x:c r="V225" s="59" t="b">
        <x:v>1</x:v>
      </x:c>
      <x:c r="W225"/>
      <x:c r="X225" t="str">
        <x:v>offen</x:v>
      </x:c>
      <x:c r="Y225" t="str">
        <x:v>Agent-Draft; Kategorie und Person pruefen</x:v>
      </x:c>
    </x:row>
    <x:row r="226">
      <x:c r="A226" t="str">
        <x:v>TXN-RAW-IMP-20260516-FULLDRAFT-000210</x:v>
      </x:c>
      <x:c r="B226" t="str">
        <x:v>RAW-IMP-20260516-FULLDRAFT-000210</x:v>
      </x:c>
      <x:c r="C226" t="str">
        <x:v>KTO001</x:v>
      </x:c>
      <x:c r="D226"/>
      <x:c r="E226" t="str">
        <x:v>KAT013</x:v>
      </x:c>
      <x:c r="F226"/>
      <x:c r="G226"/>
      <x:c r="H226" t="str">
        <x:v>kein_match</x:v>
      </x:c>
      <x:c r="I226" t="str">
        <x:v>Agent-Draft: keine finale Regelentscheidung</x:v>
      </x:c>
      <x:c r="J226" t="n">
        <x:v>46099</x:v>
      </x:c>
      <x:c r="K226"/>
      <x:c r="L226"/>
      <x:c r="M226" t="n">
        <x:v>-4.36</x:v>
      </x:c>
      <x:c r="N226" t="str">
        <x:v>2026-03</x:v>
      </x:c>
      <x:c r="O226" t="str">
        <x:v>Ausgabe</x:v>
      </x:c>
      <x:c r="P226" t="str">
        <x:v>Ist</x:v>
      </x:c>
      <x:c r="Q226" s="59" t="b">
        <x:v>0</x:v>
      </x:c>
      <x:c r="R226" t="str">
        <x:v>kein_transfer</x:v>
      </x:c>
      <x:c r="S226"/>
      <x:c r="T226"/>
      <x:c r="U226"/>
      <x:c r="V226" s="59" t="b">
        <x:v>1</x:v>
      </x:c>
      <x:c r="W226"/>
      <x:c r="X226" t="str">
        <x:v>offen</x:v>
      </x:c>
      <x:c r="Y226" t="str">
        <x:v>Agent-Draft; Kategorie und Person pruefen</x:v>
      </x:c>
    </x:row>
    <x:row r="227">
      <x:c r="A227" t="str">
        <x:v>TXN-RAW-IMP-20260516-FULLDRAFT-000211</x:v>
      </x:c>
      <x:c r="B227" t="str">
        <x:v>RAW-IMP-20260516-FULLDRAFT-000211</x:v>
      </x:c>
      <x:c r="C227" t="str">
        <x:v>KTO001</x:v>
      </x:c>
      <x:c r="D227"/>
      <x:c r="E227" t="str">
        <x:v>KAT013</x:v>
      </x:c>
      <x:c r="F227"/>
      <x:c r="G227"/>
      <x:c r="H227" t="str">
        <x:v>kein_match</x:v>
      </x:c>
      <x:c r="I227" t="str">
        <x:v>Agent-Draft: keine finale Regelentscheidung</x:v>
      </x:c>
      <x:c r="J227" t="n">
        <x:v>46098</x:v>
      </x:c>
      <x:c r="K227"/>
      <x:c r="L227"/>
      <x:c r="M227" t="n">
        <x:v>-21.42</x:v>
      </x:c>
      <x:c r="N227" t="str">
        <x:v>2026-03</x:v>
      </x:c>
      <x:c r="O227" t="str">
        <x:v>Ausgabe</x:v>
      </x:c>
      <x:c r="P227" t="str">
        <x:v>Ist</x:v>
      </x:c>
      <x:c r="Q227" s="59" t="b">
        <x:v>0</x:v>
      </x:c>
      <x:c r="R227" t="str">
        <x:v>kein_transfer</x:v>
      </x:c>
      <x:c r="S227"/>
      <x:c r="T227"/>
      <x:c r="U227"/>
      <x:c r="V227" s="59" t="b">
        <x:v>1</x:v>
      </x:c>
      <x:c r="W227"/>
      <x:c r="X227" t="str">
        <x:v>offen</x:v>
      </x:c>
      <x:c r="Y227" t="str">
        <x:v>Agent-Draft; Kategorie und Person pruefen</x:v>
      </x:c>
    </x:row>
    <x:row r="228">
      <x:c r="A228" t="str">
        <x:v>TXN-RAW-IMP-20260516-FULLDRAFT-000212</x:v>
      </x:c>
      <x:c r="B228" t="str">
        <x:v>RAW-IMP-20260516-FULLDRAFT-000212</x:v>
      </x:c>
      <x:c r="C228" t="str">
        <x:v>KTO001</x:v>
      </x:c>
      <x:c r="D228"/>
      <x:c r="E228" t="str">
        <x:v>KAT013</x:v>
      </x:c>
      <x:c r="F228"/>
      <x:c r="G228"/>
      <x:c r="H228" t="str">
        <x:v>kein_match</x:v>
      </x:c>
      <x:c r="I228" t="str">
        <x:v>Agent-Draft: keine finale Regelentscheidung</x:v>
      </x:c>
      <x:c r="J228" t="n">
        <x:v>46097</x:v>
      </x:c>
      <x:c r="K228"/>
      <x:c r="L228"/>
      <x:c r="M228" t="n">
        <x:v>-109.49</x:v>
      </x:c>
      <x:c r="N228" t="str">
        <x:v>2026-03</x:v>
      </x:c>
      <x:c r="O228" t="str">
        <x:v>Ausgabe</x:v>
      </x:c>
      <x:c r="P228" t="str">
        <x:v>Ist</x:v>
      </x:c>
      <x:c r="Q228" s="59" t="b">
        <x:v>0</x:v>
      </x:c>
      <x:c r="R228" t="str">
        <x:v>kein_transfer</x:v>
      </x:c>
      <x:c r="S228"/>
      <x:c r="T228"/>
      <x:c r="U228"/>
      <x:c r="V228" s="59" t="b">
        <x:v>1</x:v>
      </x:c>
      <x:c r="W228"/>
      <x:c r="X228" t="str">
        <x:v>offen</x:v>
      </x:c>
      <x:c r="Y228" t="str">
        <x:v>Agent-Draft; Kategorie und Person pruefen</x:v>
      </x:c>
    </x:row>
    <x:row r="229">
      <x:c r="A229" t="str">
        <x:v>TXN-RAW-IMP-20260516-FULLDRAFT-000213</x:v>
      </x:c>
      <x:c r="B229" t="str">
        <x:v>RAW-IMP-20260516-FULLDRAFT-000213</x:v>
      </x:c>
      <x:c r="C229" t="str">
        <x:v>KTO001</x:v>
      </x:c>
      <x:c r="D229"/>
      <x:c r="E229" t="str">
        <x:v>KAT013</x:v>
      </x:c>
      <x:c r="F229"/>
      <x:c r="G229"/>
      <x:c r="H229" t="str">
        <x:v>kein_match</x:v>
      </x:c>
      <x:c r="I229" t="str">
        <x:v>Agent-Draft: keine finale Regelentscheidung</x:v>
      </x:c>
      <x:c r="J229" t="n">
        <x:v>46097</x:v>
      </x:c>
      <x:c r="K229"/>
      <x:c r="L229"/>
      <x:c r="M229" t="n">
        <x:v>-66.57</x:v>
      </x:c>
      <x:c r="N229" t="str">
        <x:v>2026-03</x:v>
      </x:c>
      <x:c r="O229" t="str">
        <x:v>Ausgabe</x:v>
      </x:c>
      <x:c r="P229" t="str">
        <x:v>Ist</x:v>
      </x:c>
      <x:c r="Q229" s="59" t="b">
        <x:v>0</x:v>
      </x:c>
      <x:c r="R229" t="str">
        <x:v>kein_transfer</x:v>
      </x:c>
      <x:c r="S229"/>
      <x:c r="T229"/>
      <x:c r="U229"/>
      <x:c r="V229" s="59" t="b">
        <x:v>1</x:v>
      </x:c>
      <x:c r="W229"/>
      <x:c r="X229" t="str">
        <x:v>offen</x:v>
      </x:c>
      <x:c r="Y229" t="str">
        <x:v>Agent-Draft; Kategorie und Person pruefen</x:v>
      </x:c>
    </x:row>
    <x:row r="230">
      <x:c r="A230" t="str">
        <x:v>TXN-RAW-IMP-20260516-FULLDRAFT-000214</x:v>
      </x:c>
      <x:c r="B230" t="str">
        <x:v>RAW-IMP-20260516-FULLDRAFT-000214</x:v>
      </x:c>
      <x:c r="C230" t="str">
        <x:v>KTO001</x:v>
      </x:c>
      <x:c r="D230"/>
      <x:c r="E230" t="str">
        <x:v>KAT013</x:v>
      </x:c>
      <x:c r="F230"/>
      <x:c r="G230"/>
      <x:c r="H230" t="str">
        <x:v>kein_match</x:v>
      </x:c>
      <x:c r="I230" t="str">
        <x:v>Agent-Draft: keine finale Regelentscheidung</x:v>
      </x:c>
      <x:c r="J230" t="n">
        <x:v>46097</x:v>
      </x:c>
      <x:c r="K230"/>
      <x:c r="L230"/>
      <x:c r="M230" t="n">
        <x:v>-81.68</x:v>
      </x:c>
      <x:c r="N230" t="str">
        <x:v>2026-03</x:v>
      </x:c>
      <x:c r="O230" t="str">
        <x:v>Ausgabe</x:v>
      </x:c>
      <x:c r="P230" t="str">
        <x:v>Ist</x:v>
      </x:c>
      <x:c r="Q230" s="59" t="b">
        <x:v>0</x:v>
      </x:c>
      <x:c r="R230" t="str">
        <x:v>kein_transfer</x:v>
      </x:c>
      <x:c r="S230"/>
      <x:c r="T230"/>
      <x:c r="U230"/>
      <x:c r="V230" s="59" t="b">
        <x:v>1</x:v>
      </x:c>
      <x:c r="W230"/>
      <x:c r="X230" t="str">
        <x:v>offen</x:v>
      </x:c>
      <x:c r="Y230" t="str">
        <x:v>Agent-Draft; Kategorie und Person pruefen</x:v>
      </x:c>
    </x:row>
    <x:row r="231">
      <x:c r="A231" t="str">
        <x:v>TXN-RAW-IMP-20260516-FULLDRAFT-000215</x:v>
      </x:c>
      <x:c r="B231" t="str">
        <x:v>RAW-IMP-20260516-FULLDRAFT-000215</x:v>
      </x:c>
      <x:c r="C231" t="str">
        <x:v>KTO001</x:v>
      </x:c>
      <x:c r="D231"/>
      <x:c r="E231" t="str">
        <x:v>KAT013</x:v>
      </x:c>
      <x:c r="F231"/>
      <x:c r="G231"/>
      <x:c r="H231" t="str">
        <x:v>kein_match</x:v>
      </x:c>
      <x:c r="I231" t="str">
        <x:v>Agent-Draft: keine finale Regelentscheidung</x:v>
      </x:c>
      <x:c r="J231" t="n">
        <x:v>46097</x:v>
      </x:c>
      <x:c r="K231"/>
      <x:c r="L231"/>
      <x:c r="M231" t="n">
        <x:v>-12</x:v>
      </x:c>
      <x:c r="N231" t="str">
        <x:v>2026-03</x:v>
      </x:c>
      <x:c r="O231" t="str">
        <x:v>Ausgabe</x:v>
      </x:c>
      <x:c r="P231" t="str">
        <x:v>Ist</x:v>
      </x:c>
      <x:c r="Q231" s="59" t="b">
        <x:v>0</x:v>
      </x:c>
      <x:c r="R231" t="str">
        <x:v>kein_transfer</x:v>
      </x:c>
      <x:c r="S231"/>
      <x:c r="T231"/>
      <x:c r="U231"/>
      <x:c r="V231" s="59" t="b">
        <x:v>1</x:v>
      </x:c>
      <x:c r="W231"/>
      <x:c r="X231" t="str">
        <x:v>offen</x:v>
      </x:c>
      <x:c r="Y231" t="str">
        <x:v>Agent-Draft; Kategorie und Person pruefen</x:v>
      </x:c>
    </x:row>
    <x:row r="232">
      <x:c r="A232" t="str">
        <x:v>TXN-RAW-IMP-20260516-FULLDRAFT-000216</x:v>
      </x:c>
      <x:c r="B232" t="str">
        <x:v>RAW-IMP-20260516-FULLDRAFT-000216</x:v>
      </x:c>
      <x:c r="C232" t="str">
        <x:v>KTO001</x:v>
      </x:c>
      <x:c r="D232"/>
      <x:c r="E232" t="str">
        <x:v>KAT013</x:v>
      </x:c>
      <x:c r="F232"/>
      <x:c r="G232"/>
      <x:c r="H232" t="str">
        <x:v>kein_match</x:v>
      </x:c>
      <x:c r="I232" t="str">
        <x:v>Agent-Draft: keine finale Regelentscheidung</x:v>
      </x:c>
      <x:c r="J232" t="n">
        <x:v>46097</x:v>
      </x:c>
      <x:c r="K232"/>
      <x:c r="L232"/>
      <x:c r="M232" t="n">
        <x:v>-98</x:v>
      </x:c>
      <x:c r="N232" t="str">
        <x:v>2026-03</x:v>
      </x:c>
      <x:c r="O232" t="str">
        <x:v>Ausgabe</x:v>
      </x:c>
      <x:c r="P232" t="str">
        <x:v>Ist</x:v>
      </x:c>
      <x:c r="Q232" s="59" t="b">
        <x:v>0</x:v>
      </x:c>
      <x:c r="R232" t="str">
        <x:v>kein_transfer</x:v>
      </x:c>
      <x:c r="S232"/>
      <x:c r="T232"/>
      <x:c r="U232"/>
      <x:c r="V232" s="59" t="b">
        <x:v>1</x:v>
      </x:c>
      <x:c r="W232"/>
      <x:c r="X232" t="str">
        <x:v>offen</x:v>
      </x:c>
      <x:c r="Y232" t="str">
        <x:v>Agent-Draft; Kategorie und Person pruefen</x:v>
      </x:c>
    </x:row>
    <x:row r="233">
      <x:c r="A233" t="str">
        <x:v>TXN-RAW-IMP-20260516-FULLDRAFT-000217</x:v>
      </x:c>
      <x:c r="B233" t="str">
        <x:v>RAW-IMP-20260516-FULLDRAFT-000217</x:v>
      </x:c>
      <x:c r="C233" t="str">
        <x:v>KTO001</x:v>
      </x:c>
      <x:c r="D233"/>
      <x:c r="E233" t="str">
        <x:v>KAT013</x:v>
      </x:c>
      <x:c r="F233"/>
      <x:c r="G233"/>
      <x:c r="H233" t="str">
        <x:v>kein_match</x:v>
      </x:c>
      <x:c r="I233" t="str">
        <x:v>Agent-Draft: keine finale Regelentscheidung</x:v>
      </x:c>
      <x:c r="J233" t="n">
        <x:v>46094</x:v>
      </x:c>
      <x:c r="K233"/>
      <x:c r="L233"/>
      <x:c r="M233" t="n">
        <x:v>-3.3</x:v>
      </x:c>
      <x:c r="N233" t="str">
        <x:v>2026-03</x:v>
      </x:c>
      <x:c r="O233" t="str">
        <x:v>Ausgabe</x:v>
      </x:c>
      <x:c r="P233" t="str">
        <x:v>Ist</x:v>
      </x:c>
      <x:c r="Q233" s="59" t="b">
        <x:v>0</x:v>
      </x:c>
      <x:c r="R233" t="str">
        <x:v>kein_transfer</x:v>
      </x:c>
      <x:c r="S233"/>
      <x:c r="T233"/>
      <x:c r="U233"/>
      <x:c r="V233" s="59" t="b">
        <x:v>1</x:v>
      </x:c>
      <x:c r="W233"/>
      <x:c r="X233" t="str">
        <x:v>offen</x:v>
      </x:c>
      <x:c r="Y233" t="str">
        <x:v>Agent-Draft; Kategorie und Person pruefen</x:v>
      </x:c>
    </x:row>
    <x:row r="234">
      <x:c r="A234" t="str">
        <x:v>TXN-RAW-IMP-20260516-FULLDRAFT-000218</x:v>
      </x:c>
      <x:c r="B234" t="str">
        <x:v>RAW-IMP-20260516-FULLDRAFT-000218</x:v>
      </x:c>
      <x:c r="C234" t="str">
        <x:v>KTO001</x:v>
      </x:c>
      <x:c r="D234"/>
      <x:c r="E234" t="str">
        <x:v>KAT013</x:v>
      </x:c>
      <x:c r="F234"/>
      <x:c r="G234"/>
      <x:c r="H234" t="str">
        <x:v>kein_match</x:v>
      </x:c>
      <x:c r="I234" t="str">
        <x:v>Agent-Draft: keine finale Regelentscheidung</x:v>
      </x:c>
      <x:c r="J234" t="n">
        <x:v>46094</x:v>
      </x:c>
      <x:c r="K234"/>
      <x:c r="L234"/>
      <x:c r="M234" t="n">
        <x:v>-20.43</x:v>
      </x:c>
      <x:c r="N234" t="str">
        <x:v>2026-03</x:v>
      </x:c>
      <x:c r="O234" t="str">
        <x:v>Ausgabe</x:v>
      </x:c>
      <x:c r="P234" t="str">
        <x:v>Ist</x:v>
      </x:c>
      <x:c r="Q234" s="59" t="b">
        <x:v>0</x:v>
      </x:c>
      <x:c r="R234" t="str">
        <x:v>kein_transfer</x:v>
      </x:c>
      <x:c r="S234"/>
      <x:c r="T234"/>
      <x:c r="U234"/>
      <x:c r="V234" s="59" t="b">
        <x:v>1</x:v>
      </x:c>
      <x:c r="W234"/>
      <x:c r="X234" t="str">
        <x:v>offen</x:v>
      </x:c>
      <x:c r="Y234" t="str">
        <x:v>Agent-Draft; Kategorie und Person pruefen</x:v>
      </x:c>
    </x:row>
    <x:row r="235">
      <x:c r="A235" t="str">
        <x:v>TXN-RAW-IMP-20260516-FULLDRAFT-000219</x:v>
      </x:c>
      <x:c r="B235" t="str">
        <x:v>RAW-IMP-20260516-FULLDRAFT-000219</x:v>
      </x:c>
      <x:c r="C235" t="str">
        <x:v>KTO001</x:v>
      </x:c>
      <x:c r="D235"/>
      <x:c r="E235" t="str">
        <x:v>KAT013</x:v>
      </x:c>
      <x:c r="F235"/>
      <x:c r="G235"/>
      <x:c r="H235" t="str">
        <x:v>kein_match</x:v>
      </x:c>
      <x:c r="I235" t="str">
        <x:v>Agent-Draft: keine finale Regelentscheidung</x:v>
      </x:c>
      <x:c r="J235" t="n">
        <x:v>46093</x:v>
      </x:c>
      <x:c r="K235"/>
      <x:c r="L235"/>
      <x:c r="M235" t="n">
        <x:v>-9.71</x:v>
      </x:c>
      <x:c r="N235" t="str">
        <x:v>2026-03</x:v>
      </x:c>
      <x:c r="O235" t="str">
        <x:v>Ausgabe</x:v>
      </x:c>
      <x:c r="P235" t="str">
        <x:v>Ist</x:v>
      </x:c>
      <x:c r="Q235" s="59" t="b">
        <x:v>0</x:v>
      </x:c>
      <x:c r="R235" t="str">
        <x:v>kein_transfer</x:v>
      </x:c>
      <x:c r="S235"/>
      <x:c r="T235"/>
      <x:c r="U235"/>
      <x:c r="V235" s="59" t="b">
        <x:v>1</x:v>
      </x:c>
      <x:c r="W235"/>
      <x:c r="X235" t="str">
        <x:v>offen</x:v>
      </x:c>
      <x:c r="Y235" t="str">
        <x:v>Agent-Draft; Kategorie und Person pruefen</x:v>
      </x:c>
    </x:row>
    <x:row r="236">
      <x:c r="A236" t="str">
        <x:v>TXN-RAW-IMP-20260516-FULLDRAFT-000220</x:v>
      </x:c>
      <x:c r="B236" t="str">
        <x:v>RAW-IMP-20260516-FULLDRAFT-000220</x:v>
      </x:c>
      <x:c r="C236" t="str">
        <x:v>KTO001</x:v>
      </x:c>
      <x:c r="D236"/>
      <x:c r="E236" t="str">
        <x:v>KAT013</x:v>
      </x:c>
      <x:c r="F236"/>
      <x:c r="G236"/>
      <x:c r="H236" t="str">
        <x:v>kein_match</x:v>
      </x:c>
      <x:c r="I236" t="str">
        <x:v>Agent-Draft: keine finale Regelentscheidung</x:v>
      </x:c>
      <x:c r="J236" t="n">
        <x:v>46092</x:v>
      </x:c>
      <x:c r="K236"/>
      <x:c r="L236"/>
      <x:c r="M236" t="n">
        <x:v>-0.86</x:v>
      </x:c>
      <x:c r="N236" t="str">
        <x:v>2026-03</x:v>
      </x:c>
      <x:c r="O236" t="str">
        <x:v>Ausgabe</x:v>
      </x:c>
      <x:c r="P236" t="str">
        <x:v>Ist</x:v>
      </x:c>
      <x:c r="Q236" s="59" t="b">
        <x:v>0</x:v>
      </x:c>
      <x:c r="R236" t="str">
        <x:v>kein_transfer</x:v>
      </x:c>
      <x:c r="S236"/>
      <x:c r="T236"/>
      <x:c r="U236"/>
      <x:c r="V236" s="59" t="b">
        <x:v>1</x:v>
      </x:c>
      <x:c r="W236"/>
      <x:c r="X236" t="str">
        <x:v>offen</x:v>
      </x:c>
      <x:c r="Y236" t="str">
        <x:v>Agent-Draft; Kategorie und Person pruefen</x:v>
      </x:c>
    </x:row>
    <x:row r="237">
      <x:c r="A237" t="str">
        <x:v>TXN-RAW-IMP-20260516-FULLDRAFT-000221</x:v>
      </x:c>
      <x:c r="B237" t="str">
        <x:v>RAW-IMP-20260516-FULLDRAFT-000221</x:v>
      </x:c>
      <x:c r="C237" t="str">
        <x:v>KTO001</x:v>
      </x:c>
      <x:c r="D237"/>
      <x:c r="E237" t="str">
        <x:v>KAT013</x:v>
      </x:c>
      <x:c r="F237"/>
      <x:c r="G237"/>
      <x:c r="H237" t="str">
        <x:v>kein_match</x:v>
      </x:c>
      <x:c r="I237" t="str">
        <x:v>Agent-Draft: keine finale Regelentscheidung</x:v>
      </x:c>
      <x:c r="J237" t="n">
        <x:v>46092</x:v>
      </x:c>
      <x:c r="K237"/>
      <x:c r="L237"/>
      <x:c r="M237" t="n">
        <x:v>-5.9</x:v>
      </x:c>
      <x:c r="N237" t="str">
        <x:v>2026-03</x:v>
      </x:c>
      <x:c r="O237" t="str">
        <x:v>Ausgabe</x:v>
      </x:c>
      <x:c r="P237" t="str">
        <x:v>Ist</x:v>
      </x:c>
      <x:c r="Q237" s="59" t="b">
        <x:v>0</x:v>
      </x:c>
      <x:c r="R237" t="str">
        <x:v>kein_transfer</x:v>
      </x:c>
      <x:c r="S237"/>
      <x:c r="T237"/>
      <x:c r="U237"/>
      <x:c r="V237" s="59" t="b">
        <x:v>1</x:v>
      </x:c>
      <x:c r="W237"/>
      <x:c r="X237" t="str">
        <x:v>offen</x:v>
      </x:c>
      <x:c r="Y237" t="str">
        <x:v>Agent-Draft; Kategorie und Person pruefen</x:v>
      </x:c>
    </x:row>
    <x:row r="238">
      <x:c r="A238" t="str">
        <x:v>TXN-RAW-IMP-20260516-FULLDRAFT-000222</x:v>
      </x:c>
      <x:c r="B238" t="str">
        <x:v>RAW-IMP-20260516-FULLDRAFT-000222</x:v>
      </x:c>
      <x:c r="C238" t="str">
        <x:v>KTO001</x:v>
      </x:c>
      <x:c r="D238"/>
      <x:c r="E238" t="str">
        <x:v>KAT013</x:v>
      </x:c>
      <x:c r="F238"/>
      <x:c r="G238"/>
      <x:c r="H238" t="str">
        <x:v>kein_match</x:v>
      </x:c>
      <x:c r="I238" t="str">
        <x:v>Agent-Draft: keine finale Regelentscheidung</x:v>
      </x:c>
      <x:c r="J238" t="n">
        <x:v>46090</x:v>
      </x:c>
      <x:c r="K238"/>
      <x:c r="L238"/>
      <x:c r="M238" t="n">
        <x:v>-24</x:v>
      </x:c>
      <x:c r="N238" t="str">
        <x:v>2026-03</x:v>
      </x:c>
      <x:c r="O238" t="str">
        <x:v>Ausgabe</x:v>
      </x:c>
      <x:c r="P238" t="str">
        <x:v>Ist</x:v>
      </x:c>
      <x:c r="Q238" s="59" t="b">
        <x:v>0</x:v>
      </x:c>
      <x:c r="R238" t="str">
        <x:v>kein_transfer</x:v>
      </x:c>
      <x:c r="S238"/>
      <x:c r="T238"/>
      <x:c r="U238"/>
      <x:c r="V238" s="59" t="b">
        <x:v>1</x:v>
      </x:c>
      <x:c r="W238"/>
      <x:c r="X238" t="str">
        <x:v>offen</x:v>
      </x:c>
      <x:c r="Y238" t="str">
        <x:v>Agent-Draft; Kategorie und Person pruefen</x:v>
      </x:c>
    </x:row>
    <x:row r="239">
      <x:c r="A239" t="str">
        <x:v>TXN-RAW-IMP-20260516-FULLDRAFT-000223</x:v>
      </x:c>
      <x:c r="B239" t="str">
        <x:v>RAW-IMP-20260516-FULLDRAFT-000223</x:v>
      </x:c>
      <x:c r="C239" t="str">
        <x:v>KTO001</x:v>
      </x:c>
      <x:c r="D239"/>
      <x:c r="E239" t="str">
        <x:v>KAT013</x:v>
      </x:c>
      <x:c r="F239"/>
      <x:c r="G239"/>
      <x:c r="H239" t="str">
        <x:v>kein_match</x:v>
      </x:c>
      <x:c r="I239" t="str">
        <x:v>Agent-Draft: keine finale Regelentscheidung</x:v>
      </x:c>
      <x:c r="J239" t="n">
        <x:v>46090</x:v>
      </x:c>
      <x:c r="K239"/>
      <x:c r="L239"/>
      <x:c r="M239" t="n">
        <x:v>-15.27</x:v>
      </x:c>
      <x:c r="N239" t="str">
        <x:v>2026-03</x:v>
      </x:c>
      <x:c r="O239" t="str">
        <x:v>Ausgabe</x:v>
      </x:c>
      <x:c r="P239" t="str">
        <x:v>Ist</x:v>
      </x:c>
      <x:c r="Q239" s="59" t="b">
        <x:v>0</x:v>
      </x:c>
      <x:c r="R239" t="str">
        <x:v>kein_transfer</x:v>
      </x:c>
      <x:c r="S239"/>
      <x:c r="T239"/>
      <x:c r="U239"/>
      <x:c r="V239" s="59" t="b">
        <x:v>1</x:v>
      </x:c>
      <x:c r="W239"/>
      <x:c r="X239" t="str">
        <x:v>offen</x:v>
      </x:c>
      <x:c r="Y239" t="str">
        <x:v>Agent-Draft; Kategorie und Person pruefen</x:v>
      </x:c>
    </x:row>
    <x:row r="240">
      <x:c r="A240" t="str">
        <x:v>TXN-RAW-IMP-20260516-FULLDRAFT-000224</x:v>
      </x:c>
      <x:c r="B240" t="str">
        <x:v>RAW-IMP-20260516-FULLDRAFT-000224</x:v>
      </x:c>
      <x:c r="C240" t="str">
        <x:v>KTO001</x:v>
      </x:c>
      <x:c r="D240"/>
      <x:c r="E240" t="str">
        <x:v>KAT013</x:v>
      </x:c>
      <x:c r="F240"/>
      <x:c r="G240"/>
      <x:c r="H240" t="str">
        <x:v>kein_match</x:v>
      </x:c>
      <x:c r="I240" t="str">
        <x:v>Agent-Draft: keine finale Regelentscheidung</x:v>
      </x:c>
      <x:c r="J240" t="n">
        <x:v>46090</x:v>
      </x:c>
      <x:c r="K240"/>
      <x:c r="L240"/>
      <x:c r="M240" t="n">
        <x:v>-5.4</x:v>
      </x:c>
      <x:c r="N240" t="str">
        <x:v>2026-03</x:v>
      </x:c>
      <x:c r="O240" t="str">
        <x:v>Ausgabe</x:v>
      </x:c>
      <x:c r="P240" t="str">
        <x:v>Ist</x:v>
      </x:c>
      <x:c r="Q240" s="59" t="b">
        <x:v>0</x:v>
      </x:c>
      <x:c r="R240" t="str">
        <x:v>kein_transfer</x:v>
      </x:c>
      <x:c r="S240"/>
      <x:c r="T240"/>
      <x:c r="U240"/>
      <x:c r="V240" s="59" t="b">
        <x:v>1</x:v>
      </x:c>
      <x:c r="W240"/>
      <x:c r="X240" t="str">
        <x:v>offen</x:v>
      </x:c>
      <x:c r="Y240" t="str">
        <x:v>Agent-Draft; Kategorie und Person pruefen</x:v>
      </x:c>
    </x:row>
    <x:row r="241">
      <x:c r="A241" t="str">
        <x:v>TXN-RAW-IMP-20260516-FULLDRAFT-000225</x:v>
      </x:c>
      <x:c r="B241" t="str">
        <x:v>RAW-IMP-20260516-FULLDRAFT-000225</x:v>
      </x:c>
      <x:c r="C241" t="str">
        <x:v>KTO001</x:v>
      </x:c>
      <x:c r="D241"/>
      <x:c r="E241" t="str">
        <x:v>KAT013</x:v>
      </x:c>
      <x:c r="F241"/>
      <x:c r="G241"/>
      <x:c r="H241" t="str">
        <x:v>kein_match</x:v>
      </x:c>
      <x:c r="I241" t="str">
        <x:v>Agent-Draft: keine finale Regelentscheidung</x:v>
      </x:c>
      <x:c r="J241" t="n">
        <x:v>46090</x:v>
      </x:c>
      <x:c r="K241"/>
      <x:c r="L241"/>
      <x:c r="M241" t="n">
        <x:v>-30</x:v>
      </x:c>
      <x:c r="N241" t="str">
        <x:v>2026-03</x:v>
      </x:c>
      <x:c r="O241" t="str">
        <x:v>Ausgabe</x:v>
      </x:c>
      <x:c r="P241" t="str">
        <x:v>Ist</x:v>
      </x:c>
      <x:c r="Q241" s="59" t="b">
        <x:v>0</x:v>
      </x:c>
      <x:c r="R241" t="str">
        <x:v>kein_transfer</x:v>
      </x:c>
      <x:c r="S241"/>
      <x:c r="T241"/>
      <x:c r="U241"/>
      <x:c r="V241" s="59" t="b">
        <x:v>1</x:v>
      </x:c>
      <x:c r="W241"/>
      <x:c r="X241" t="str">
        <x:v>offen</x:v>
      </x:c>
      <x:c r="Y241" t="str">
        <x:v>Agent-Draft; Kategorie und Person pruefen</x:v>
      </x:c>
    </x:row>
    <x:row r="242">
      <x:c r="A242" t="str">
        <x:v>TXN-RAW-IMP-20260516-FULLDRAFT-000226</x:v>
      </x:c>
      <x:c r="B242" t="str">
        <x:v>RAW-IMP-20260516-FULLDRAFT-000226</x:v>
      </x:c>
      <x:c r="C242" t="str">
        <x:v>KTO001</x:v>
      </x:c>
      <x:c r="D242"/>
      <x:c r="E242" t="str">
        <x:v>KAT013</x:v>
      </x:c>
      <x:c r="F242"/>
      <x:c r="G242"/>
      <x:c r="H242" t="str">
        <x:v>kein_match</x:v>
      </x:c>
      <x:c r="I242" t="str">
        <x:v>Agent-Draft: keine finale Regelentscheidung</x:v>
      </x:c>
      <x:c r="J242" t="n">
        <x:v>46090</x:v>
      </x:c>
      <x:c r="K242"/>
      <x:c r="L242"/>
      <x:c r="M242" t="n">
        <x:v>-17.79</x:v>
      </x:c>
      <x:c r="N242" t="str">
        <x:v>2026-03</x:v>
      </x:c>
      <x:c r="O242" t="str">
        <x:v>Ausgabe</x:v>
      </x:c>
      <x:c r="P242" t="str">
        <x:v>Ist</x:v>
      </x:c>
      <x:c r="Q242" s="59" t="b">
        <x:v>0</x:v>
      </x:c>
      <x:c r="R242" t="str">
        <x:v>kein_transfer</x:v>
      </x:c>
      <x:c r="S242"/>
      <x:c r="T242"/>
      <x:c r="U242"/>
      <x:c r="V242" s="59" t="b">
        <x:v>1</x:v>
      </x:c>
      <x:c r="W242"/>
      <x:c r="X242" t="str">
        <x:v>offen</x:v>
      </x:c>
      <x:c r="Y242" t="str">
        <x:v>Agent-Draft; Kategorie und Person pruefen</x:v>
      </x:c>
    </x:row>
    <x:row r="243">
      <x:c r="A243" t="str">
        <x:v>TXN-RAW-IMP-20260516-FULLDRAFT-000227</x:v>
      </x:c>
      <x:c r="B243" t="str">
        <x:v>RAW-IMP-20260516-FULLDRAFT-000227</x:v>
      </x:c>
      <x:c r="C243" t="str">
        <x:v>KTO001</x:v>
      </x:c>
      <x:c r="D243"/>
      <x:c r="E243" t="str">
        <x:v>KAT013</x:v>
      </x:c>
      <x:c r="F243"/>
      <x:c r="G243"/>
      <x:c r="H243" t="str">
        <x:v>kein_match</x:v>
      </x:c>
      <x:c r="I243" t="str">
        <x:v>Agent-Draft: keine finale Regelentscheidung</x:v>
      </x:c>
      <x:c r="J243" t="n">
        <x:v>46090</x:v>
      </x:c>
      <x:c r="K243"/>
      <x:c r="L243"/>
      <x:c r="M243" t="n">
        <x:v>-92.36</x:v>
      </x:c>
      <x:c r="N243" t="str">
        <x:v>2026-03</x:v>
      </x:c>
      <x:c r="O243" t="str">
        <x:v>Ausgabe</x:v>
      </x:c>
      <x:c r="P243" t="str">
        <x:v>Ist</x:v>
      </x:c>
      <x:c r="Q243" s="59" t="b">
        <x:v>0</x:v>
      </x:c>
      <x:c r="R243" t="str">
        <x:v>kein_transfer</x:v>
      </x:c>
      <x:c r="S243"/>
      <x:c r="T243"/>
      <x:c r="U243"/>
      <x:c r="V243" s="59" t="b">
        <x:v>1</x:v>
      </x:c>
      <x:c r="W243"/>
      <x:c r="X243" t="str">
        <x:v>offen</x:v>
      </x:c>
      <x:c r="Y243" t="str">
        <x:v>Agent-Draft; Kategorie und Person pruefen</x:v>
      </x:c>
    </x:row>
    <x:row r="244">
      <x:c r="A244" t="str">
        <x:v>TXN-RAW-IMP-20260516-FULLDRAFT-000228</x:v>
      </x:c>
      <x:c r="B244" t="str">
        <x:v>RAW-IMP-20260516-FULLDRAFT-000228</x:v>
      </x:c>
      <x:c r="C244" t="str">
        <x:v>KTO001</x:v>
      </x:c>
      <x:c r="D244"/>
      <x:c r="E244" t="str">
        <x:v>KAT013</x:v>
      </x:c>
      <x:c r="F244"/>
      <x:c r="G244"/>
      <x:c r="H244" t="str">
        <x:v>kein_match</x:v>
      </x:c>
      <x:c r="I244" t="str">
        <x:v>Agent-Draft: keine finale Regelentscheidung</x:v>
      </x:c>
      <x:c r="J244" t="n">
        <x:v>46090</x:v>
      </x:c>
      <x:c r="K244"/>
      <x:c r="L244"/>
      <x:c r="M244" t="n">
        <x:v>-7.5</x:v>
      </x:c>
      <x:c r="N244" t="str">
        <x:v>2026-03</x:v>
      </x:c>
      <x:c r="O244" t="str">
        <x:v>Ausgabe</x:v>
      </x:c>
      <x:c r="P244" t="str">
        <x:v>Ist</x:v>
      </x:c>
      <x:c r="Q244" s="59" t="b">
        <x:v>0</x:v>
      </x:c>
      <x:c r="R244" t="str">
        <x:v>kein_transfer</x:v>
      </x:c>
      <x:c r="S244"/>
      <x:c r="T244"/>
      <x:c r="U244"/>
      <x:c r="V244" s="59" t="b">
        <x:v>1</x:v>
      </x:c>
      <x:c r="W244"/>
      <x:c r="X244" t="str">
        <x:v>offen</x:v>
      </x:c>
      <x:c r="Y244" t="str">
        <x:v>Agent-Draft; Kategorie und Person pruefen</x:v>
      </x:c>
    </x:row>
    <x:row r="245">
      <x:c r="A245" t="str">
        <x:v>TXN-RAW-IMP-20260516-FULLDRAFT-000229</x:v>
      </x:c>
      <x:c r="B245" t="str">
        <x:v>RAW-IMP-20260516-FULLDRAFT-000229</x:v>
      </x:c>
      <x:c r="C245" t="str">
        <x:v>KTO001</x:v>
      </x:c>
      <x:c r="D245"/>
      <x:c r="E245" t="str">
        <x:v>KAT013</x:v>
      </x:c>
      <x:c r="F245"/>
      <x:c r="G245"/>
      <x:c r="H245" t="str">
        <x:v>kein_match</x:v>
      </x:c>
      <x:c r="I245" t="str">
        <x:v>Agent-Draft: keine finale Regelentscheidung</x:v>
      </x:c>
      <x:c r="J245" t="n">
        <x:v>46090</x:v>
      </x:c>
      <x:c r="K245"/>
      <x:c r="L245"/>
      <x:c r="M245" t="n">
        <x:v>-1000</x:v>
      </x:c>
      <x:c r="N245" t="str">
        <x:v>2026-03</x:v>
      </x:c>
      <x:c r="O245" t="str">
        <x:v>Ausgabe</x:v>
      </x:c>
      <x:c r="P245" t="str">
        <x:v>Ist</x:v>
      </x:c>
      <x:c r="Q245" s="59" t="b">
        <x:v>0</x:v>
      </x:c>
      <x:c r="R245" t="str">
        <x:v>unklar</x:v>
      </x:c>
      <x:c r="S245"/>
      <x:c r="T245"/>
      <x:c r="U245"/>
      <x:c r="V245" s="59" t="b">
        <x:v>1</x:v>
      </x:c>
      <x:c r="W245" t="str">
        <x:v>Transferkandidat im Draft</x:v>
      </x:c>
      <x:c r="X245" t="str">
        <x:v>offen</x:v>
      </x:c>
      <x:c r="Y245" t="str">
        <x:v>Agent-Draft; Kategorie und Person pruefen</x:v>
      </x:c>
    </x:row>
    <x:row r="246">
      <x:c r="A246" t="str">
        <x:v>TXN-RAW-IMP-20260516-FULLDRAFT-000230</x:v>
      </x:c>
      <x:c r="B246" t="str">
        <x:v>RAW-IMP-20260516-FULLDRAFT-000230</x:v>
      </x:c>
      <x:c r="C246" t="str">
        <x:v>KTO001</x:v>
      </x:c>
      <x:c r="D246"/>
      <x:c r="E246" t="str">
        <x:v>KAT013</x:v>
      </x:c>
      <x:c r="F246"/>
      <x:c r="G246"/>
      <x:c r="H246" t="str">
        <x:v>kein_match</x:v>
      </x:c>
      <x:c r="I246" t="str">
        <x:v>Agent-Draft: keine finale Regelentscheidung</x:v>
      </x:c>
      <x:c r="J246" t="n">
        <x:v>46087</x:v>
      </x:c>
      <x:c r="K246"/>
      <x:c r="L246"/>
      <x:c r="M246" t="n">
        <x:v>-1.55</x:v>
      </x:c>
      <x:c r="N246" t="str">
        <x:v>2026-03</x:v>
      </x:c>
      <x:c r="O246" t="str">
        <x:v>Ausgabe</x:v>
      </x:c>
      <x:c r="P246" t="str">
        <x:v>Ist</x:v>
      </x:c>
      <x:c r="Q246" s="59" t="b">
        <x:v>0</x:v>
      </x:c>
      <x:c r="R246" t="str">
        <x:v>kein_transfer</x:v>
      </x:c>
      <x:c r="S246"/>
      <x:c r="T246"/>
      <x:c r="U246"/>
      <x:c r="V246" s="59" t="b">
        <x:v>1</x:v>
      </x:c>
      <x:c r="W246"/>
      <x:c r="X246" t="str">
        <x:v>offen</x:v>
      </x:c>
      <x:c r="Y246" t="str">
        <x:v>Agent-Draft; Kategorie und Person pruefen</x:v>
      </x:c>
    </x:row>
    <x:row r="247">
      <x:c r="A247" t="str">
        <x:v>TXN-RAW-IMP-20260516-FULLDRAFT-000231</x:v>
      </x:c>
      <x:c r="B247" t="str">
        <x:v>RAW-IMP-20260516-FULLDRAFT-000231</x:v>
      </x:c>
      <x:c r="C247" t="str">
        <x:v>KTO001</x:v>
      </x:c>
      <x:c r="D247"/>
      <x:c r="E247" t="str">
        <x:v>KAT013</x:v>
      </x:c>
      <x:c r="F247"/>
      <x:c r="G247"/>
      <x:c r="H247" t="str">
        <x:v>kein_match</x:v>
      </x:c>
      <x:c r="I247" t="str">
        <x:v>Agent-Draft: keine finale Regelentscheidung</x:v>
      </x:c>
      <x:c r="J247" t="n">
        <x:v>46087</x:v>
      </x:c>
      <x:c r="K247"/>
      <x:c r="L247"/>
      <x:c r="M247" t="n">
        <x:v>-3.79</x:v>
      </x:c>
      <x:c r="N247" t="str">
        <x:v>2026-03</x:v>
      </x:c>
      <x:c r="O247" t="str">
        <x:v>Ausgabe</x:v>
      </x:c>
      <x:c r="P247" t="str">
        <x:v>Ist</x:v>
      </x:c>
      <x:c r="Q247" s="59" t="b">
        <x:v>0</x:v>
      </x:c>
      <x:c r="R247" t="str">
        <x:v>kein_transfer</x:v>
      </x:c>
      <x:c r="S247"/>
      <x:c r="T247"/>
      <x:c r="U247"/>
      <x:c r="V247" s="59" t="b">
        <x:v>1</x:v>
      </x:c>
      <x:c r="W247"/>
      <x:c r="X247" t="str">
        <x:v>offen</x:v>
      </x:c>
      <x:c r="Y247" t="str">
        <x:v>Agent-Draft; Kategorie und Person pruefen</x:v>
      </x:c>
    </x:row>
    <x:row r="248">
      <x:c r="A248" t="str">
        <x:v>TXN-RAW-IMP-20260516-FULLDRAFT-000232</x:v>
      </x:c>
      <x:c r="B248" t="str">
        <x:v>RAW-IMP-20260516-FULLDRAFT-000232</x:v>
      </x:c>
      <x:c r="C248" t="str">
        <x:v>KTO001</x:v>
      </x:c>
      <x:c r="D248"/>
      <x:c r="E248" t="str">
        <x:v>KAT013</x:v>
      </x:c>
      <x:c r="F248"/>
      <x:c r="G248"/>
      <x:c r="H248" t="str">
        <x:v>kein_match</x:v>
      </x:c>
      <x:c r="I248" t="str">
        <x:v>Agent-Draft: keine finale Regelentscheidung</x:v>
      </x:c>
      <x:c r="J248" t="n">
        <x:v>46086</x:v>
      </x:c>
      <x:c r="K248"/>
      <x:c r="L248"/>
      <x:c r="M248" t="n">
        <x:v>166.92</x:v>
      </x:c>
      <x:c r="N248" t="str">
        <x:v>2026-03</x:v>
      </x:c>
      <x:c r="O248" t="str">
        <x:v>Einnahme</x:v>
      </x:c>
      <x:c r="P248" t="str">
        <x:v>Ist</x:v>
      </x:c>
      <x:c r="Q248" s="59" t="b">
        <x:v>0</x:v>
      </x:c>
      <x:c r="R248" t="str">
        <x:v>kein_transfer</x:v>
      </x:c>
      <x:c r="S248"/>
      <x:c r="T248"/>
      <x:c r="U248"/>
      <x:c r="V248" s="59" t="b">
        <x:v>1</x:v>
      </x:c>
      <x:c r="W248"/>
      <x:c r="X248" t="str">
        <x:v>offen</x:v>
      </x:c>
      <x:c r="Y248" t="str">
        <x:v>Agent-Draft; Kategorie und Person pruefen</x:v>
      </x:c>
    </x:row>
    <x:row r="249">
      <x:c r="A249" t="str">
        <x:v>TXN-RAW-IMP-20260516-FULLDRAFT-000233</x:v>
      </x:c>
      <x:c r="B249" t="str">
        <x:v>RAW-IMP-20260516-FULLDRAFT-000233</x:v>
      </x:c>
      <x:c r="C249" t="str">
        <x:v>KTO001</x:v>
      </x:c>
      <x:c r="D249"/>
      <x:c r="E249" t="str">
        <x:v>KAT013</x:v>
      </x:c>
      <x:c r="F249"/>
      <x:c r="G249"/>
      <x:c r="H249" t="str">
        <x:v>kein_match</x:v>
      </x:c>
      <x:c r="I249" t="str">
        <x:v>Agent-Draft: keine finale Regelentscheidung</x:v>
      </x:c>
      <x:c r="J249" t="n">
        <x:v>46086</x:v>
      </x:c>
      <x:c r="K249"/>
      <x:c r="L249"/>
      <x:c r="M249" t="n">
        <x:v>-12.99</x:v>
      </x:c>
      <x:c r="N249" t="str">
        <x:v>2026-03</x:v>
      </x:c>
      <x:c r="O249" t="str">
        <x:v>Ausgabe</x:v>
      </x:c>
      <x:c r="P249" t="str">
        <x:v>Ist</x:v>
      </x:c>
      <x:c r="Q249" s="59" t="b">
        <x:v>0</x:v>
      </x:c>
      <x:c r="R249" t="str">
        <x:v>kein_transfer</x:v>
      </x:c>
      <x:c r="S249"/>
      <x:c r="T249"/>
      <x:c r="U249"/>
      <x:c r="V249" s="59" t="b">
        <x:v>1</x:v>
      </x:c>
      <x:c r="W249"/>
      <x:c r="X249" t="str">
        <x:v>offen</x:v>
      </x:c>
      <x:c r="Y249" t="str">
        <x:v>Agent-Draft; Kategorie und Person pruefen</x:v>
      </x:c>
    </x:row>
    <x:row r="250">
      <x:c r="A250" t="str">
        <x:v>TXN-RAW-IMP-20260516-FULLDRAFT-000234</x:v>
      </x:c>
      <x:c r="B250" t="str">
        <x:v>RAW-IMP-20260516-FULLDRAFT-000234</x:v>
      </x:c>
      <x:c r="C250" t="str">
        <x:v>KTO001</x:v>
      </x:c>
      <x:c r="D250"/>
      <x:c r="E250" t="str">
        <x:v>KAT013</x:v>
      </x:c>
      <x:c r="F250"/>
      <x:c r="G250"/>
      <x:c r="H250" t="str">
        <x:v>kein_match</x:v>
      </x:c>
      <x:c r="I250" t="str">
        <x:v>Agent-Draft: keine finale Regelentscheidung</x:v>
      </x:c>
      <x:c r="J250" t="n">
        <x:v>46086</x:v>
      </x:c>
      <x:c r="K250"/>
      <x:c r="L250"/>
      <x:c r="M250" t="n">
        <x:v>-65.93</x:v>
      </x:c>
      <x:c r="N250" t="str">
        <x:v>2026-03</x:v>
      </x:c>
      <x:c r="O250" t="str">
        <x:v>Ausgabe</x:v>
      </x:c>
      <x:c r="P250" t="str">
        <x:v>Ist</x:v>
      </x:c>
      <x:c r="Q250" s="59" t="b">
        <x:v>0</x:v>
      </x:c>
      <x:c r="R250" t="str">
        <x:v>kein_transfer</x:v>
      </x:c>
      <x:c r="S250"/>
      <x:c r="T250"/>
      <x:c r="U250"/>
      <x:c r="V250" s="59" t="b">
        <x:v>1</x:v>
      </x:c>
      <x:c r="W250"/>
      <x:c r="X250" t="str">
        <x:v>offen</x:v>
      </x:c>
      <x:c r="Y250" t="str">
        <x:v>Agent-Draft; Kategorie und Person pruefen</x:v>
      </x:c>
    </x:row>
    <x:row r="251">
      <x:c r="A251" t="str">
        <x:v>TXN-RAW-IMP-20260516-FULLDRAFT-000235</x:v>
      </x:c>
      <x:c r="B251" t="str">
        <x:v>RAW-IMP-20260516-FULLDRAFT-000235</x:v>
      </x:c>
      <x:c r="C251" t="str">
        <x:v>KTO001</x:v>
      </x:c>
      <x:c r="D251"/>
      <x:c r="E251" t="str">
        <x:v>KAT013</x:v>
      </x:c>
      <x:c r="F251"/>
      <x:c r="G251"/>
      <x:c r="H251" t="str">
        <x:v>kein_match</x:v>
      </x:c>
      <x:c r="I251" t="str">
        <x:v>Agent-Draft: keine finale Regelentscheidung</x:v>
      </x:c>
      <x:c r="J251" t="n">
        <x:v>46085</x:v>
      </x:c>
      <x:c r="K251"/>
      <x:c r="L251"/>
      <x:c r="M251" t="n">
        <x:v>-5</x:v>
      </x:c>
      <x:c r="N251" t="str">
        <x:v>2026-03</x:v>
      </x:c>
      <x:c r="O251" t="str">
        <x:v>Ausgabe</x:v>
      </x:c>
      <x:c r="P251" t="str">
        <x:v>Ist</x:v>
      </x:c>
      <x:c r="Q251" s="59" t="b">
        <x:v>0</x:v>
      </x:c>
      <x:c r="R251" t="str">
        <x:v>kein_transfer</x:v>
      </x:c>
      <x:c r="S251"/>
      <x:c r="T251"/>
      <x:c r="U251"/>
      <x:c r="V251" s="59" t="b">
        <x:v>1</x:v>
      </x:c>
      <x:c r="W251"/>
      <x:c r="X251" t="str">
        <x:v>offen</x:v>
      </x:c>
      <x:c r="Y251" t="str">
        <x:v>Agent-Draft; Kategorie und Person pruefen</x:v>
      </x:c>
    </x:row>
    <x:row r="252">
      <x:c r="A252" t="str">
        <x:v>TXN-RAW-IMP-20260516-FULLDRAFT-000236</x:v>
      </x:c>
      <x:c r="B252" t="str">
        <x:v>RAW-IMP-20260516-FULLDRAFT-000236</x:v>
      </x:c>
      <x:c r="C252" t="str">
        <x:v>KTO001</x:v>
      </x:c>
      <x:c r="D252"/>
      <x:c r="E252" t="str">
        <x:v>KAT013</x:v>
      </x:c>
      <x:c r="F252"/>
      <x:c r="G252"/>
      <x:c r="H252" t="str">
        <x:v>kein_match</x:v>
      </x:c>
      <x:c r="I252" t="str">
        <x:v>Agent-Draft: keine finale Regelentscheidung</x:v>
      </x:c>
      <x:c r="J252" t="n">
        <x:v>46084</x:v>
      </x:c>
      <x:c r="K252"/>
      <x:c r="L252"/>
      <x:c r="M252" t="n">
        <x:v>-1.1</x:v>
      </x:c>
      <x:c r="N252" t="str">
        <x:v>2026-03</x:v>
      </x:c>
      <x:c r="O252" t="str">
        <x:v>Ausgabe</x:v>
      </x:c>
      <x:c r="P252" t="str">
        <x:v>Ist</x:v>
      </x:c>
      <x:c r="Q252" s="59" t="b">
        <x:v>0</x:v>
      </x:c>
      <x:c r="R252" t="str">
        <x:v>kein_transfer</x:v>
      </x:c>
      <x:c r="S252"/>
      <x:c r="T252"/>
      <x:c r="U252"/>
      <x:c r="V252" s="59" t="b">
        <x:v>1</x:v>
      </x:c>
      <x:c r="W252"/>
      <x:c r="X252" t="str">
        <x:v>offen</x:v>
      </x:c>
      <x:c r="Y252" t="str">
        <x:v>Agent-Draft; Kategorie und Person pruefen</x:v>
      </x:c>
    </x:row>
    <x:row r="253">
      <x:c r="A253" t="str">
        <x:v>TXN-RAW-IMP-20260516-FULLDRAFT-000237</x:v>
      </x:c>
      <x:c r="B253" t="str">
        <x:v>RAW-IMP-20260516-FULLDRAFT-000237</x:v>
      </x:c>
      <x:c r="C253" t="str">
        <x:v>KTO001</x:v>
      </x:c>
      <x:c r="D253"/>
      <x:c r="E253" t="str">
        <x:v>KAT013</x:v>
      </x:c>
      <x:c r="F253"/>
      <x:c r="G253"/>
      <x:c r="H253" t="str">
        <x:v>kein_match</x:v>
      </x:c>
      <x:c r="I253" t="str">
        <x:v>Agent-Draft: keine finale Regelentscheidung</x:v>
      </x:c>
      <x:c r="J253" t="n">
        <x:v>46084</x:v>
      </x:c>
      <x:c r="K253"/>
      <x:c r="L253"/>
      <x:c r="M253" t="n">
        <x:v>-35.68</x:v>
      </x:c>
      <x:c r="N253" t="str">
        <x:v>2026-03</x:v>
      </x:c>
      <x:c r="O253" t="str">
        <x:v>Ausgabe</x:v>
      </x:c>
      <x:c r="P253" t="str">
        <x:v>Ist</x:v>
      </x:c>
      <x:c r="Q253" s="59" t="b">
        <x:v>0</x:v>
      </x:c>
      <x:c r="R253" t="str">
        <x:v>kein_transfer</x:v>
      </x:c>
      <x:c r="S253"/>
      <x:c r="T253"/>
      <x:c r="U253"/>
      <x:c r="V253" s="59" t="b">
        <x:v>1</x:v>
      </x:c>
      <x:c r="W253"/>
      <x:c r="X253" t="str">
        <x:v>offen</x:v>
      </x:c>
      <x:c r="Y253" t="str">
        <x:v>Agent-Draft; Kategorie und Person pruefen</x:v>
      </x:c>
    </x:row>
    <x:row r="254">
      <x:c r="A254" t="str">
        <x:v>TXN-RAW-IMP-20260516-FULLDRAFT-000238</x:v>
      </x:c>
      <x:c r="B254" t="str">
        <x:v>RAW-IMP-20260516-FULLDRAFT-000238</x:v>
      </x:c>
      <x:c r="C254" t="str">
        <x:v>KTO001</x:v>
      </x:c>
      <x:c r="D254"/>
      <x:c r="E254" t="str">
        <x:v>KAT013</x:v>
      </x:c>
      <x:c r="F254"/>
      <x:c r="G254"/>
      <x:c r="H254" t="str">
        <x:v>kein_match</x:v>
      </x:c>
      <x:c r="I254" t="str">
        <x:v>Agent-Draft: keine finale Regelentscheidung</x:v>
      </x:c>
      <x:c r="J254" t="n">
        <x:v>46084</x:v>
      </x:c>
      <x:c r="K254"/>
      <x:c r="L254"/>
      <x:c r="M254" t="n">
        <x:v>-11.96</x:v>
      </x:c>
      <x:c r="N254" t="str">
        <x:v>2026-03</x:v>
      </x:c>
      <x:c r="O254" t="str">
        <x:v>Ausgabe</x:v>
      </x:c>
      <x:c r="P254" t="str">
        <x:v>Ist</x:v>
      </x:c>
      <x:c r="Q254" s="59" t="b">
        <x:v>0</x:v>
      </x:c>
      <x:c r="R254" t="str">
        <x:v>kein_transfer</x:v>
      </x:c>
      <x:c r="S254"/>
      <x:c r="T254"/>
      <x:c r="U254"/>
      <x:c r="V254" s="59" t="b">
        <x:v>1</x:v>
      </x:c>
      <x:c r="W254"/>
      <x:c r="X254" t="str">
        <x:v>offen</x:v>
      </x:c>
      <x:c r="Y254" t="str">
        <x:v>Agent-Draft; Kategorie und Person pruefen</x:v>
      </x:c>
    </x:row>
    <x:row r="255">
      <x:c r="A255" t="str">
        <x:v>TXN-RAW-IMP-20260516-FULLDRAFT-000239</x:v>
      </x:c>
      <x:c r="B255" t="str">
        <x:v>RAW-IMP-20260516-FULLDRAFT-000239</x:v>
      </x:c>
      <x:c r="C255" t="str">
        <x:v>KTO001</x:v>
      </x:c>
      <x:c r="D255"/>
      <x:c r="E255" t="str">
        <x:v>KAT013</x:v>
      </x:c>
      <x:c r="F255"/>
      <x:c r="G255"/>
      <x:c r="H255" t="str">
        <x:v>kein_match</x:v>
      </x:c>
      <x:c r="I255" t="str">
        <x:v>Agent-Draft: keine finale Regelentscheidung</x:v>
      </x:c>
      <x:c r="J255" t="n">
        <x:v>46084</x:v>
      </x:c>
      <x:c r="K255"/>
      <x:c r="L255"/>
      <x:c r="M255" t="n">
        <x:v>-56.83</x:v>
      </x:c>
      <x:c r="N255" t="str">
        <x:v>2026-03</x:v>
      </x:c>
      <x:c r="O255" t="str">
        <x:v>Ausgabe</x:v>
      </x:c>
      <x:c r="P255" t="str">
        <x:v>Ist</x:v>
      </x:c>
      <x:c r="Q255" s="59" t="b">
        <x:v>0</x:v>
      </x:c>
      <x:c r="R255" t="str">
        <x:v>kein_transfer</x:v>
      </x:c>
      <x:c r="S255"/>
      <x:c r="T255"/>
      <x:c r="U255"/>
      <x:c r="V255" s="59" t="b">
        <x:v>1</x:v>
      </x:c>
      <x:c r="W255"/>
      <x:c r="X255" t="str">
        <x:v>offen</x:v>
      </x:c>
      <x:c r="Y255" t="str">
        <x:v>Agent-Draft; Kategorie und Person pruefen</x:v>
      </x:c>
    </x:row>
    <x:row r="256">
      <x:c r="A256" t="str">
        <x:v>TXN-RAW-IMP-20260516-FULLDRAFT-000240</x:v>
      </x:c>
      <x:c r="B256" t="str">
        <x:v>RAW-IMP-20260516-FULLDRAFT-000240</x:v>
      </x:c>
      <x:c r="C256" t="str">
        <x:v>KTO001</x:v>
      </x:c>
      <x:c r="D256"/>
      <x:c r="E256" t="str">
        <x:v>KAT013</x:v>
      </x:c>
      <x:c r="F256"/>
      <x:c r="G256"/>
      <x:c r="H256" t="str">
        <x:v>kein_match</x:v>
      </x:c>
      <x:c r="I256" t="str">
        <x:v>Agent-Draft: keine finale Regelentscheidung</x:v>
      </x:c>
      <x:c r="J256" t="n">
        <x:v>46084</x:v>
      </x:c>
      <x:c r="K256"/>
      <x:c r="L256"/>
      <x:c r="M256" t="n">
        <x:v>-8.99</x:v>
      </x:c>
      <x:c r="N256" t="str">
        <x:v>2026-03</x:v>
      </x:c>
      <x:c r="O256" t="str">
        <x:v>Ausgabe</x:v>
      </x:c>
      <x:c r="P256" t="str">
        <x:v>Ist</x:v>
      </x:c>
      <x:c r="Q256" s="59" t="b">
        <x:v>0</x:v>
      </x:c>
      <x:c r="R256" t="str">
        <x:v>kein_transfer</x:v>
      </x:c>
      <x:c r="S256"/>
      <x:c r="T256"/>
      <x:c r="U256"/>
      <x:c r="V256" s="59" t="b">
        <x:v>1</x:v>
      </x:c>
      <x:c r="W256"/>
      <x:c r="X256" t="str">
        <x:v>offen</x:v>
      </x:c>
      <x:c r="Y256" t="str">
        <x:v>Agent-Draft; Kategorie und Person pruefen</x:v>
      </x:c>
    </x:row>
    <x:row r="257">
      <x:c r="A257" t="str">
        <x:v>TXN-RAW-IMP-20260516-FULLDRAFT-000241</x:v>
      </x:c>
      <x:c r="B257" t="str">
        <x:v>RAW-IMP-20260516-FULLDRAFT-000241</x:v>
      </x:c>
      <x:c r="C257" t="str">
        <x:v>KTO001</x:v>
      </x:c>
      <x:c r="D257"/>
      <x:c r="E257" t="str">
        <x:v>KAT013</x:v>
      </x:c>
      <x:c r="F257"/>
      <x:c r="G257"/>
      <x:c r="H257" t="str">
        <x:v>kein_match</x:v>
      </x:c>
      <x:c r="I257" t="str">
        <x:v>Agent-Draft: keine finale Regelentscheidung</x:v>
      </x:c>
      <x:c r="J257" t="n">
        <x:v>46084</x:v>
      </x:c>
      <x:c r="K257"/>
      <x:c r="L257"/>
      <x:c r="M257" t="n">
        <x:v>-60.5</x:v>
      </x:c>
      <x:c r="N257" t="str">
        <x:v>2026-03</x:v>
      </x:c>
      <x:c r="O257" t="str">
        <x:v>Ausgabe</x:v>
      </x:c>
      <x:c r="P257" t="str">
        <x:v>Ist</x:v>
      </x:c>
      <x:c r="Q257" s="59" t="b">
        <x:v>0</x:v>
      </x:c>
      <x:c r="R257" t="str">
        <x:v>kein_transfer</x:v>
      </x:c>
      <x:c r="S257"/>
      <x:c r="T257"/>
      <x:c r="U257"/>
      <x:c r="V257" s="59" t="b">
        <x:v>1</x:v>
      </x:c>
      <x:c r="W257"/>
      <x:c r="X257" t="str">
        <x:v>offen</x:v>
      </x:c>
      <x:c r="Y257" t="str">
        <x:v>Agent-Draft; Kategorie und Person pruefen</x:v>
      </x:c>
    </x:row>
    <x:row r="258">
      <x:c r="A258" t="str">
        <x:v>TXN-RAW-IMP-20260516-FULLDRAFT-000242</x:v>
      </x:c>
      <x:c r="B258" t="str">
        <x:v>RAW-IMP-20260516-FULLDRAFT-000242</x:v>
      </x:c>
      <x:c r="C258" t="str">
        <x:v>KTO001</x:v>
      </x:c>
      <x:c r="D258"/>
      <x:c r="E258" t="str">
        <x:v>KAT013</x:v>
      </x:c>
      <x:c r="F258"/>
      <x:c r="G258"/>
      <x:c r="H258" t="str">
        <x:v>kein_match</x:v>
      </x:c>
      <x:c r="I258" t="str">
        <x:v>Agent-Draft: keine finale Regelentscheidung</x:v>
      </x:c>
      <x:c r="J258" t="n">
        <x:v>46083</x:v>
      </x:c>
      <x:c r="K258"/>
      <x:c r="L258"/>
      <x:c r="M258" t="n">
        <x:v>750</x:v>
      </x:c>
      <x:c r="N258" t="str">
        <x:v>2026-03</x:v>
      </x:c>
      <x:c r="O258" t="str">
        <x:v>Einnahme</x:v>
      </x:c>
      <x:c r="P258" t="str">
        <x:v>Ist</x:v>
      </x:c>
      <x:c r="Q258" s="59" t="b">
        <x:v>0</x:v>
      </x:c>
      <x:c r="R258" t="str">
        <x:v>kein_transfer</x:v>
      </x:c>
      <x:c r="S258"/>
      <x:c r="T258"/>
      <x:c r="U258"/>
      <x:c r="V258" s="59" t="b">
        <x:v>1</x:v>
      </x:c>
      <x:c r="W258"/>
      <x:c r="X258" t="str">
        <x:v>offen</x:v>
      </x:c>
      <x:c r="Y258" t="str">
        <x:v>Agent-Draft; Kategorie und Person pruefen</x:v>
      </x:c>
    </x:row>
    <x:row r="259">
      <x:c r="A259" t="str">
        <x:v>TXN-RAW-IMP-20260516-FULLDRAFT-000243</x:v>
      </x:c>
      <x:c r="B259" t="str">
        <x:v>RAW-IMP-20260516-FULLDRAFT-000243</x:v>
      </x:c>
      <x:c r="C259" t="str">
        <x:v>KTO001</x:v>
      </x:c>
      <x:c r="D259"/>
      <x:c r="E259" t="str">
        <x:v>KAT013</x:v>
      </x:c>
      <x:c r="F259"/>
      <x:c r="G259"/>
      <x:c r="H259" t="str">
        <x:v>kein_match</x:v>
      </x:c>
      <x:c r="I259" t="str">
        <x:v>Agent-Draft: keine finale Regelentscheidung</x:v>
      </x:c>
      <x:c r="J259" t="n">
        <x:v>46083</x:v>
      </x:c>
      <x:c r="K259"/>
      <x:c r="L259"/>
      <x:c r="M259" t="n">
        <x:v>-4.7</x:v>
      </x:c>
      <x:c r="N259" t="str">
        <x:v>2026-03</x:v>
      </x:c>
      <x:c r="O259" t="str">
        <x:v>Ausgabe</x:v>
      </x:c>
      <x:c r="P259" t="str">
        <x:v>Ist</x:v>
      </x:c>
      <x:c r="Q259" s="59" t="b">
        <x:v>0</x:v>
      </x:c>
      <x:c r="R259" t="str">
        <x:v>kein_transfer</x:v>
      </x:c>
      <x:c r="S259"/>
      <x:c r="T259"/>
      <x:c r="U259"/>
      <x:c r="V259" s="59" t="b">
        <x:v>1</x:v>
      </x:c>
      <x:c r="W259"/>
      <x:c r="X259" t="str">
        <x:v>offen</x:v>
      </x:c>
      <x:c r="Y259" t="str">
        <x:v>Agent-Draft; Kategorie und Person pruefen</x:v>
      </x:c>
    </x:row>
    <x:row r="260">
      <x:c r="A260" t="str">
        <x:v>TXN-RAW-IMP-20260516-FULLDRAFT-000244</x:v>
      </x:c>
      <x:c r="B260" t="str">
        <x:v>RAW-IMP-20260516-FULLDRAFT-000244</x:v>
      </x:c>
      <x:c r="C260" t="str">
        <x:v>KTO001</x:v>
      </x:c>
      <x:c r="D260"/>
      <x:c r="E260" t="str">
        <x:v>KAT013</x:v>
      </x:c>
      <x:c r="F260"/>
      <x:c r="G260"/>
      <x:c r="H260" t="str">
        <x:v>kein_match</x:v>
      </x:c>
      <x:c r="I260" t="str">
        <x:v>Agent-Draft: keine finale Regelentscheidung</x:v>
      </x:c>
      <x:c r="J260" t="n">
        <x:v>46083</x:v>
      </x:c>
      <x:c r="K260"/>
      <x:c r="L260"/>
      <x:c r="M260" t="n">
        <x:v>-500</x:v>
      </x:c>
      <x:c r="N260" t="str">
        <x:v>2026-03</x:v>
      </x:c>
      <x:c r="O260" t="str">
        <x:v>Ausgabe</x:v>
      </x:c>
      <x:c r="P260" t="str">
        <x:v>Ist</x:v>
      </x:c>
      <x:c r="Q260" s="59" t="b">
        <x:v>0</x:v>
      </x:c>
      <x:c r="R260" t="str">
        <x:v>kein_transfer</x:v>
      </x:c>
      <x:c r="S260"/>
      <x:c r="T260"/>
      <x:c r="U260"/>
      <x:c r="V260" s="59" t="b">
        <x:v>1</x:v>
      </x:c>
      <x:c r="W260"/>
      <x:c r="X260" t="str">
        <x:v>offen</x:v>
      </x:c>
      <x:c r="Y260" t="str">
        <x:v>Agent-Draft; Kategorie und Person pruefen</x:v>
      </x:c>
    </x:row>
    <x:row r="261">
      <x:c r="A261" t="str">
        <x:v>TXN-RAW-IMP-20260516-FULLDRAFT-000245</x:v>
      </x:c>
      <x:c r="B261" t="str">
        <x:v>RAW-IMP-20260516-FULLDRAFT-000245</x:v>
      </x:c>
      <x:c r="C261" t="str">
        <x:v>KTO001</x:v>
      </x:c>
      <x:c r="D261"/>
      <x:c r="E261" t="str">
        <x:v>KAT013</x:v>
      </x:c>
      <x:c r="F261"/>
      <x:c r="G261"/>
      <x:c r="H261" t="str">
        <x:v>kein_match</x:v>
      </x:c>
      <x:c r="I261" t="str">
        <x:v>Agent-Draft: keine finale Regelentscheidung</x:v>
      </x:c>
      <x:c r="J261" t="n">
        <x:v>46083</x:v>
      </x:c>
      <x:c r="K261"/>
      <x:c r="L261"/>
      <x:c r="M261" t="n">
        <x:v>-62</x:v>
      </x:c>
      <x:c r="N261" t="str">
        <x:v>2026-03</x:v>
      </x:c>
      <x:c r="O261" t="str">
        <x:v>Ausgabe</x:v>
      </x:c>
      <x:c r="P261" t="str">
        <x:v>Ist</x:v>
      </x:c>
      <x:c r="Q261" s="59" t="b">
        <x:v>0</x:v>
      </x:c>
      <x:c r="R261" t="str">
        <x:v>kein_transfer</x:v>
      </x:c>
      <x:c r="S261"/>
      <x:c r="T261"/>
      <x:c r="U261"/>
      <x:c r="V261" s="59" t="b">
        <x:v>1</x:v>
      </x:c>
      <x:c r="W261"/>
      <x:c r="X261" t="str">
        <x:v>offen</x:v>
      </x:c>
      <x:c r="Y261" t="str">
        <x:v>Agent-Draft; Kategorie und Person pruefen</x:v>
      </x:c>
    </x:row>
    <x:row r="262">
      <x:c r="A262" t="str">
        <x:v>TXN-RAW-IMP-20260516-FULLDRAFT-000246</x:v>
      </x:c>
      <x:c r="B262" t="str">
        <x:v>RAW-IMP-20260516-FULLDRAFT-000246</x:v>
      </x:c>
      <x:c r="C262" t="str">
        <x:v>KTO001</x:v>
      </x:c>
      <x:c r="D262"/>
      <x:c r="E262" t="str">
        <x:v>KAT013</x:v>
      </x:c>
      <x:c r="F262"/>
      <x:c r="G262"/>
      <x:c r="H262" t="str">
        <x:v>kein_match</x:v>
      </x:c>
      <x:c r="I262" t="str">
        <x:v>Agent-Draft: keine finale Regelentscheidung</x:v>
      </x:c>
      <x:c r="J262" t="n">
        <x:v>46083</x:v>
      </x:c>
      <x:c r="K262"/>
      <x:c r="L262"/>
      <x:c r="M262" t="n">
        <x:v>-2.99</x:v>
      </x:c>
      <x:c r="N262" t="str">
        <x:v>2026-03</x:v>
      </x:c>
      <x:c r="O262" t="str">
        <x:v>Ausgabe</x:v>
      </x:c>
      <x:c r="P262" t="str">
        <x:v>Ist</x:v>
      </x:c>
      <x:c r="Q262" s="59" t="b">
        <x:v>0</x:v>
      </x:c>
      <x:c r="R262" t="str">
        <x:v>kein_transfer</x:v>
      </x:c>
      <x:c r="S262"/>
      <x:c r="T262"/>
      <x:c r="U262"/>
      <x:c r="V262" s="59" t="b">
        <x:v>1</x:v>
      </x:c>
      <x:c r="W262"/>
      <x:c r="X262" t="str">
        <x:v>offen</x:v>
      </x:c>
      <x:c r="Y262" t="str">
        <x:v>Agent-Draft; Kategorie und Person pruefen</x:v>
      </x:c>
    </x:row>
    <x:row r="263">
      <x:c r="A263" t="str">
        <x:v>TXN-RAW-IMP-20260516-FULLDRAFT-000247</x:v>
      </x:c>
      <x:c r="B263" t="str">
        <x:v>RAW-IMP-20260516-FULLDRAFT-000247</x:v>
      </x:c>
      <x:c r="C263" t="str">
        <x:v>KTO001</x:v>
      </x:c>
      <x:c r="D263"/>
      <x:c r="E263" t="str">
        <x:v>KAT013</x:v>
      </x:c>
      <x:c r="F263"/>
      <x:c r="G263"/>
      <x:c r="H263" t="str">
        <x:v>kein_match</x:v>
      </x:c>
      <x:c r="I263" t="str">
        <x:v>Agent-Draft: keine finale Regelentscheidung</x:v>
      </x:c>
      <x:c r="J263" t="n">
        <x:v>46083</x:v>
      </x:c>
      <x:c r="K263"/>
      <x:c r="L263"/>
      <x:c r="M263" t="n">
        <x:v>-4.2</x:v>
      </x:c>
      <x:c r="N263" t="str">
        <x:v>2026-03</x:v>
      </x:c>
      <x:c r="O263" t="str">
        <x:v>Ausgabe</x:v>
      </x:c>
      <x:c r="P263" t="str">
        <x:v>Ist</x:v>
      </x:c>
      <x:c r="Q263" s="59" t="b">
        <x:v>0</x:v>
      </x:c>
      <x:c r="R263" t="str">
        <x:v>kein_transfer</x:v>
      </x:c>
      <x:c r="S263"/>
      <x:c r="T263"/>
      <x:c r="U263"/>
      <x:c r="V263" s="59" t="b">
        <x:v>1</x:v>
      </x:c>
      <x:c r="W263"/>
      <x:c r="X263" t="str">
        <x:v>offen</x:v>
      </x:c>
      <x:c r="Y263" t="str">
        <x:v>Agent-Draft; Kategorie und Person pruefen</x:v>
      </x:c>
    </x:row>
    <x:row r="264">
      <x:c r="A264" t="str">
        <x:v>TXN-RAW-IMP-20260516-FULLDRAFT-000248</x:v>
      </x:c>
      <x:c r="B264" t="str">
        <x:v>RAW-IMP-20260516-FULLDRAFT-000248</x:v>
      </x:c>
      <x:c r="C264" t="str">
        <x:v>KTO001</x:v>
      </x:c>
      <x:c r="D264"/>
      <x:c r="E264" t="str">
        <x:v>KAT013</x:v>
      </x:c>
      <x:c r="F264"/>
      <x:c r="G264"/>
      <x:c r="H264" t="str">
        <x:v>kein_match</x:v>
      </x:c>
      <x:c r="I264" t="str">
        <x:v>Agent-Draft: keine finale Regelentscheidung</x:v>
      </x:c>
      <x:c r="J264" t="n">
        <x:v>46083</x:v>
      </x:c>
      <x:c r="K264"/>
      <x:c r="L264"/>
      <x:c r="M264" t="n">
        <x:v>-2.7</x:v>
      </x:c>
      <x:c r="N264" t="str">
        <x:v>2026-03</x:v>
      </x:c>
      <x:c r="O264" t="str">
        <x:v>Ausgabe</x:v>
      </x:c>
      <x:c r="P264" t="str">
        <x:v>Ist</x:v>
      </x:c>
      <x:c r="Q264" s="59" t="b">
        <x:v>0</x:v>
      </x:c>
      <x:c r="R264" t="str">
        <x:v>kein_transfer</x:v>
      </x:c>
      <x:c r="S264"/>
      <x:c r="T264"/>
      <x:c r="U264"/>
      <x:c r="V264" s="59" t="b">
        <x:v>1</x:v>
      </x:c>
      <x:c r="W264"/>
      <x:c r="X264" t="str">
        <x:v>offen</x:v>
      </x:c>
      <x:c r="Y264" t="str">
        <x:v>Agent-Draft; Kategorie und Person pruefen</x:v>
      </x:c>
    </x:row>
    <x:row r="265">
      <x:c r="A265" t="str">
        <x:v>TXN-RAW-IMP-20260516-FULLDRAFT-000249</x:v>
      </x:c>
      <x:c r="B265" t="str">
        <x:v>RAW-IMP-20260516-FULLDRAFT-000249</x:v>
      </x:c>
      <x:c r="C265" t="str">
        <x:v>KTO001</x:v>
      </x:c>
      <x:c r="D265"/>
      <x:c r="E265" t="str">
        <x:v>KAT013</x:v>
      </x:c>
      <x:c r="F265"/>
      <x:c r="G265"/>
      <x:c r="H265" t="str">
        <x:v>kein_match</x:v>
      </x:c>
      <x:c r="I265" t="str">
        <x:v>Agent-Draft: keine finale Regelentscheidung</x:v>
      </x:c>
      <x:c r="J265" t="n">
        <x:v>46083</x:v>
      </x:c>
      <x:c r="K265"/>
      <x:c r="L265"/>
      <x:c r="M265" t="n">
        <x:v>-6.17</x:v>
      </x:c>
      <x:c r="N265" t="str">
        <x:v>2026-03</x:v>
      </x:c>
      <x:c r="O265" t="str">
        <x:v>Ausgabe</x:v>
      </x:c>
      <x:c r="P265" t="str">
        <x:v>Ist</x:v>
      </x:c>
      <x:c r="Q265" s="59" t="b">
        <x:v>0</x:v>
      </x:c>
      <x:c r="R265" t="str">
        <x:v>kein_transfer</x:v>
      </x:c>
      <x:c r="S265"/>
      <x:c r="T265"/>
      <x:c r="U265"/>
      <x:c r="V265" s="59" t="b">
        <x:v>1</x:v>
      </x:c>
      <x:c r="W265"/>
      <x:c r="X265" t="str">
        <x:v>offen</x:v>
      </x:c>
      <x:c r="Y265" t="str">
        <x:v>Agent-Draft; Kategorie und Person pruefen</x:v>
      </x:c>
    </x:row>
    <x:row r="266">
      <x:c r="A266" t="str">
        <x:v>TXN-RAW-IMP-20260516-FULLDRAFT-000250</x:v>
      </x:c>
      <x:c r="B266" t="str">
        <x:v>RAW-IMP-20260516-FULLDRAFT-000250</x:v>
      </x:c>
      <x:c r="C266" t="str">
        <x:v>KTO001</x:v>
      </x:c>
      <x:c r="D266"/>
      <x:c r="E266" t="str">
        <x:v>KAT013</x:v>
      </x:c>
      <x:c r="F266"/>
      <x:c r="G266"/>
      <x:c r="H266" t="str">
        <x:v>kein_match</x:v>
      </x:c>
      <x:c r="I266" t="str">
        <x:v>Agent-Draft: keine finale Regelentscheidung</x:v>
      </x:c>
      <x:c r="J266" t="n">
        <x:v>46083</x:v>
      </x:c>
      <x:c r="K266"/>
      <x:c r="L266"/>
      <x:c r="M266" t="n">
        <x:v>-58.25</x:v>
      </x:c>
      <x:c r="N266" t="str">
        <x:v>2026-03</x:v>
      </x:c>
      <x:c r="O266" t="str">
        <x:v>Ausgabe</x:v>
      </x:c>
      <x:c r="P266" t="str">
        <x:v>Ist</x:v>
      </x:c>
      <x:c r="Q266" s="59" t="b">
        <x:v>0</x:v>
      </x:c>
      <x:c r="R266" t="str">
        <x:v>kein_transfer</x:v>
      </x:c>
      <x:c r="S266"/>
      <x:c r="T266"/>
      <x:c r="U266"/>
      <x:c r="V266" s="59" t="b">
        <x:v>1</x:v>
      </x:c>
      <x:c r="W266"/>
      <x:c r="X266" t="str">
        <x:v>offen</x:v>
      </x:c>
      <x:c r="Y266" t="str">
        <x:v>Agent-Draft; Kategorie und Person pruefen</x:v>
      </x:c>
    </x:row>
    <x:row r="267">
      <x:c r="A267" t="str">
        <x:v>TXN-RAW-IMP-20260516-FULLDRAFT-000251</x:v>
      </x:c>
      <x:c r="B267" t="str">
        <x:v>RAW-IMP-20260516-FULLDRAFT-000251</x:v>
      </x:c>
      <x:c r="C267" t="str">
        <x:v>KTO001</x:v>
      </x:c>
      <x:c r="D267"/>
      <x:c r="E267" t="str">
        <x:v>KAT013</x:v>
      </x:c>
      <x:c r="F267"/>
      <x:c r="G267"/>
      <x:c r="H267" t="str">
        <x:v>kein_match</x:v>
      </x:c>
      <x:c r="I267" t="str">
        <x:v>Agent-Draft: keine finale Regelentscheidung</x:v>
      </x:c>
      <x:c r="J267" t="n">
        <x:v>46083</x:v>
      </x:c>
      <x:c r="K267"/>
      <x:c r="L267"/>
      <x:c r="M267" t="n">
        <x:v>-600</x:v>
      </x:c>
      <x:c r="N267" t="str">
        <x:v>2026-03</x:v>
      </x:c>
      <x:c r="O267" t="str">
        <x:v>Ausgabe</x:v>
      </x:c>
      <x:c r="P267" t="str">
        <x:v>Ist</x:v>
      </x:c>
      <x:c r="Q267" s="59" t="b">
        <x:v>0</x:v>
      </x:c>
      <x:c r="R267" t="str">
        <x:v>kein_transfer</x:v>
      </x:c>
      <x:c r="S267"/>
      <x:c r="T267"/>
      <x:c r="U267"/>
      <x:c r="V267" s="59" t="b">
        <x:v>1</x:v>
      </x:c>
      <x:c r="W267"/>
      <x:c r="X267" t="str">
        <x:v>offen</x:v>
      </x:c>
      <x:c r="Y267" t="str">
        <x:v>Agent-Draft; Kategorie und Person pruefen</x:v>
      </x:c>
    </x:row>
    <x:row r="268">
      <x:c r="A268" t="str">
        <x:v>TXN-RAW-IMP-20260516-FULLDRAFT-000252</x:v>
      </x:c>
      <x:c r="B268" t="str">
        <x:v>RAW-IMP-20260516-FULLDRAFT-000252</x:v>
      </x:c>
      <x:c r="C268" t="str">
        <x:v>KTO001</x:v>
      </x:c>
      <x:c r="D268"/>
      <x:c r="E268" t="str">
        <x:v>KAT013</x:v>
      </x:c>
      <x:c r="F268"/>
      <x:c r="G268"/>
      <x:c r="H268" t="str">
        <x:v>kein_match</x:v>
      </x:c>
      <x:c r="I268" t="str">
        <x:v>Agent-Draft: keine finale Regelentscheidung</x:v>
      </x:c>
      <x:c r="J268" t="n">
        <x:v>46083</x:v>
      </x:c>
      <x:c r="K268"/>
      <x:c r="L268"/>
      <x:c r="M268" t="n">
        <x:v>-452.71</x:v>
      </x:c>
      <x:c r="N268" t="str">
        <x:v>2026-03</x:v>
      </x:c>
      <x:c r="O268" t="str">
        <x:v>Ausgabe</x:v>
      </x:c>
      <x:c r="P268" t="str">
        <x:v>Ist</x:v>
      </x:c>
      <x:c r="Q268" s="59" t="b">
        <x:v>0</x:v>
      </x:c>
      <x:c r="R268" t="str">
        <x:v>kein_transfer</x:v>
      </x:c>
      <x:c r="S268"/>
      <x:c r="T268"/>
      <x:c r="U268"/>
      <x:c r="V268" s="59" t="b">
        <x:v>1</x:v>
      </x:c>
      <x:c r="W268"/>
      <x:c r="X268" t="str">
        <x:v>offen</x:v>
      </x:c>
      <x:c r="Y268" t="str">
        <x:v>Agent-Draft; Kategorie und Person pruefen</x:v>
      </x:c>
    </x:row>
    <x:row r="269">
      <x:c r="A269" t="str">
        <x:v>TXN-RAW-IMP-20260516-FULLDRAFT-000253</x:v>
      </x:c>
      <x:c r="B269" t="str">
        <x:v>RAW-IMP-20260516-FULLDRAFT-000253</x:v>
      </x:c>
      <x:c r="C269" t="str">
        <x:v>KTO001</x:v>
      </x:c>
      <x:c r="D269"/>
      <x:c r="E269" t="str">
        <x:v>KAT013</x:v>
      </x:c>
      <x:c r="F269"/>
      <x:c r="G269"/>
      <x:c r="H269" t="str">
        <x:v>kein_match</x:v>
      </x:c>
      <x:c r="I269" t="str">
        <x:v>Agent-Draft: keine finale Regelentscheidung</x:v>
      </x:c>
      <x:c r="J269" t="n">
        <x:v>46083</x:v>
      </x:c>
      <x:c r="K269"/>
      <x:c r="L269"/>
      <x:c r="M269" t="n">
        <x:v>-100.52</x:v>
      </x:c>
      <x:c r="N269" t="str">
        <x:v>2026-03</x:v>
      </x:c>
      <x:c r="O269" t="str">
        <x:v>Ausgabe</x:v>
      </x:c>
      <x:c r="P269" t="str">
        <x:v>Ist</x:v>
      </x:c>
      <x:c r="Q269" s="59" t="b">
        <x:v>0</x:v>
      </x:c>
      <x:c r="R269" t="str">
        <x:v>kein_transfer</x:v>
      </x:c>
      <x:c r="S269"/>
      <x:c r="T269"/>
      <x:c r="U269"/>
      <x:c r="V269" s="59" t="b">
        <x:v>1</x:v>
      </x:c>
      <x:c r="W269"/>
      <x:c r="X269" t="str">
        <x:v>offen</x:v>
      </x:c>
      <x:c r="Y269" t="str">
        <x:v>Agent-Draft; Kategorie und Person pruefen</x:v>
      </x:c>
    </x:row>
    <x:row r="270">
      <x:c r="A270" t="str">
        <x:v>TXN-RAW-IMP-20260516-FULLDRAFT-000254</x:v>
      </x:c>
      <x:c r="B270" t="str">
        <x:v>RAW-IMP-20260516-FULLDRAFT-000254</x:v>
      </x:c>
      <x:c r="C270" t="str">
        <x:v>KTO001</x:v>
      </x:c>
      <x:c r="D270"/>
      <x:c r="E270" t="str">
        <x:v>KAT013</x:v>
      </x:c>
      <x:c r="F270"/>
      <x:c r="G270"/>
      <x:c r="H270" t="str">
        <x:v>kein_match</x:v>
      </x:c>
      <x:c r="I270" t="str">
        <x:v>Agent-Draft: keine finale Regelentscheidung</x:v>
      </x:c>
      <x:c r="J270" t="n">
        <x:v>46083</x:v>
      </x:c>
      <x:c r="K270"/>
      <x:c r="L270"/>
      <x:c r="M270" t="n">
        <x:v>-49</x:v>
      </x:c>
      <x:c r="N270" t="str">
        <x:v>2026-03</x:v>
      </x:c>
      <x:c r="O270" t="str">
        <x:v>Ausgabe</x:v>
      </x:c>
      <x:c r="P270" t="str">
        <x:v>Ist</x:v>
      </x:c>
      <x:c r="Q270" s="59" t="b">
        <x:v>0</x:v>
      </x:c>
      <x:c r="R270" t="str">
        <x:v>kein_transfer</x:v>
      </x:c>
      <x:c r="S270"/>
      <x:c r="T270"/>
      <x:c r="U270"/>
      <x:c r="V270" s="59" t="b">
        <x:v>1</x:v>
      </x:c>
      <x:c r="W270"/>
      <x:c r="X270" t="str">
        <x:v>offen</x:v>
      </x:c>
      <x:c r="Y270" t="str">
        <x:v>Agent-Draft; Kategorie und Person pruefen</x:v>
      </x:c>
    </x:row>
    <x:row r="271">
      <x:c r="A271" t="str">
        <x:v>TXN-RAW-IMP-20260516-FULLDRAFT-000255</x:v>
      </x:c>
      <x:c r="B271" t="str">
        <x:v>RAW-IMP-20260516-FULLDRAFT-000255</x:v>
      </x:c>
      <x:c r="C271" t="str">
        <x:v>KTO001</x:v>
      </x:c>
      <x:c r="D271"/>
      <x:c r="E271" t="str">
        <x:v>KAT013</x:v>
      </x:c>
      <x:c r="F271"/>
      <x:c r="G271"/>
      <x:c r="H271" t="str">
        <x:v>kein_match</x:v>
      </x:c>
      <x:c r="I271" t="str">
        <x:v>Agent-Draft: keine finale Regelentscheidung</x:v>
      </x:c>
      <x:c r="J271" t="n">
        <x:v>46083</x:v>
      </x:c>
      <x:c r="K271"/>
      <x:c r="L271"/>
      <x:c r="M271" t="n">
        <x:v>-79</x:v>
      </x:c>
      <x:c r="N271" t="str">
        <x:v>2026-03</x:v>
      </x:c>
      <x:c r="O271" t="str">
        <x:v>Ausgabe</x:v>
      </x:c>
      <x:c r="P271" t="str">
        <x:v>Ist</x:v>
      </x:c>
      <x:c r="Q271" s="59" t="b">
        <x:v>0</x:v>
      </x:c>
      <x:c r="R271" t="str">
        <x:v>kein_transfer</x:v>
      </x:c>
      <x:c r="S271"/>
      <x:c r="T271"/>
      <x:c r="U271"/>
      <x:c r="V271" s="59" t="b">
        <x:v>1</x:v>
      </x:c>
      <x:c r="W271"/>
      <x:c r="X271" t="str">
        <x:v>offen</x:v>
      </x:c>
      <x:c r="Y271" t="str">
        <x:v>Agent-Draft; Kategorie und Person pruefen</x:v>
      </x:c>
    </x:row>
    <x:row r="272">
      <x:c r="A272" t="str">
        <x:v>TXN-RAW-IMP-20260516-FULLDRAFT-000256</x:v>
      </x:c>
      <x:c r="B272" t="str">
        <x:v>RAW-IMP-20260516-FULLDRAFT-000256</x:v>
      </x:c>
      <x:c r="C272" t="str">
        <x:v>KTO001</x:v>
      </x:c>
      <x:c r="D272"/>
      <x:c r="E272" t="str">
        <x:v>KAT013</x:v>
      </x:c>
      <x:c r="F272"/>
      <x:c r="G272"/>
      <x:c r="H272" t="str">
        <x:v>kein_match</x:v>
      </x:c>
      <x:c r="I272" t="str">
        <x:v>Agent-Draft: keine finale Regelentscheidung</x:v>
      </x:c>
      <x:c r="J272" t="n">
        <x:v>46083</x:v>
      </x:c>
      <x:c r="K272"/>
      <x:c r="L272"/>
      <x:c r="M272" t="n">
        <x:v>-73.09</x:v>
      </x:c>
      <x:c r="N272" t="str">
        <x:v>2026-03</x:v>
      </x:c>
      <x:c r="O272" t="str">
        <x:v>Ausgabe</x:v>
      </x:c>
      <x:c r="P272" t="str">
        <x:v>Ist</x:v>
      </x:c>
      <x:c r="Q272" s="59" t="b">
        <x:v>0</x:v>
      </x:c>
      <x:c r="R272" t="str">
        <x:v>kein_transfer</x:v>
      </x:c>
      <x:c r="S272"/>
      <x:c r="T272"/>
      <x:c r="U272"/>
      <x:c r="V272" s="59" t="b">
        <x:v>1</x:v>
      </x:c>
      <x:c r="W272"/>
      <x:c r="X272" t="str">
        <x:v>offen</x:v>
      </x:c>
      <x:c r="Y272" t="str">
        <x:v>Agent-Draft; Kategorie und Person pruefen</x:v>
      </x:c>
    </x:row>
    <x:row r="273">
      <x:c r="A273" t="str">
        <x:v>TXN-RAW-IMP-20260516-FULLDRAFT-000257</x:v>
      </x:c>
      <x:c r="B273" t="str">
        <x:v>RAW-IMP-20260516-FULLDRAFT-000257</x:v>
      </x:c>
      <x:c r="C273" t="str">
        <x:v>KTO001</x:v>
      </x:c>
      <x:c r="D273"/>
      <x:c r="E273" t="str">
        <x:v>KAT013</x:v>
      </x:c>
      <x:c r="F273"/>
      <x:c r="G273"/>
      <x:c r="H273" t="str">
        <x:v>kein_match</x:v>
      </x:c>
      <x:c r="I273" t="str">
        <x:v>Agent-Draft: keine finale Regelentscheidung</x:v>
      </x:c>
      <x:c r="J273" t="n">
        <x:v>46083</x:v>
      </x:c>
      <x:c r="K273"/>
      <x:c r="L273"/>
      <x:c r="M273" t="n">
        <x:v>-162.17</x:v>
      </x:c>
      <x:c r="N273" t="str">
        <x:v>2026-03</x:v>
      </x:c>
      <x:c r="O273" t="str">
        <x:v>Ausgabe</x:v>
      </x:c>
      <x:c r="P273" t="str">
        <x:v>Ist</x:v>
      </x:c>
      <x:c r="Q273" s="59" t="b">
        <x:v>0</x:v>
      </x:c>
      <x:c r="R273" t="str">
        <x:v>kein_transfer</x:v>
      </x:c>
      <x:c r="S273"/>
      <x:c r="T273"/>
      <x:c r="U273"/>
      <x:c r="V273" s="59" t="b">
        <x:v>1</x:v>
      </x:c>
      <x:c r="W273"/>
      <x:c r="X273" t="str">
        <x:v>offen</x:v>
      </x:c>
      <x:c r="Y273" t="str">
        <x:v>Agent-Draft; Kategorie und Person pruefen</x:v>
      </x:c>
    </x:row>
    <x:row r="274">
      <x:c r="A274" t="str">
        <x:v>TXN-RAW-IMP-20260516-FULLDRAFT-000258</x:v>
      </x:c>
      <x:c r="B274" t="str">
        <x:v>RAW-IMP-20260516-FULLDRAFT-000258</x:v>
      </x:c>
      <x:c r="C274" t="str">
        <x:v>KTO001</x:v>
      </x:c>
      <x:c r="D274"/>
      <x:c r="E274" t="str">
        <x:v>KAT013</x:v>
      </x:c>
      <x:c r="F274"/>
      <x:c r="G274"/>
      <x:c r="H274" t="str">
        <x:v>kein_match</x:v>
      </x:c>
      <x:c r="I274" t="str">
        <x:v>Agent-Draft: keine finale Regelentscheidung</x:v>
      </x:c>
      <x:c r="J274" t="n">
        <x:v>46083</x:v>
      </x:c>
      <x:c r="K274"/>
      <x:c r="L274"/>
      <x:c r="M274" t="n">
        <x:v>-1800</x:v>
      </x:c>
      <x:c r="N274" t="str">
        <x:v>2026-03</x:v>
      </x:c>
      <x:c r="O274" t="str">
        <x:v>Ausgabe</x:v>
      </x:c>
      <x:c r="P274" t="str">
        <x:v>Ist</x:v>
      </x:c>
      <x:c r="Q274" s="59" t="b">
        <x:v>0</x:v>
      </x:c>
      <x:c r="R274" t="str">
        <x:v>kein_transfer</x:v>
      </x:c>
      <x:c r="S274"/>
      <x:c r="T274"/>
      <x:c r="U274"/>
      <x:c r="V274" s="59" t="b">
        <x:v>1</x:v>
      </x:c>
      <x:c r="W274"/>
      <x:c r="X274" t="str">
        <x:v>offen</x:v>
      </x:c>
      <x:c r="Y274" t="str">
        <x:v>Agent-Draft; Kategorie und Person pruefen</x:v>
      </x:c>
    </x:row>
    <x:row r="275">
      <x:c r="A275" t="str">
        <x:v>TXN-RAW-IMP-20260516-FULLDRAFT-000259</x:v>
      </x:c>
      <x:c r="B275" t="str">
        <x:v>RAW-IMP-20260516-FULLDRAFT-000259</x:v>
      </x:c>
      <x:c r="C275" t="str">
        <x:v>KTO001</x:v>
      </x:c>
      <x:c r="D275"/>
      <x:c r="E275" t="str">
        <x:v>KAT013</x:v>
      </x:c>
      <x:c r="F275"/>
      <x:c r="G275"/>
      <x:c r="H275" t="str">
        <x:v>kein_match</x:v>
      </x:c>
      <x:c r="I275" t="str">
        <x:v>Agent-Draft: keine finale Regelentscheidung</x:v>
      </x:c>
      <x:c r="J275" t="n">
        <x:v>46083</x:v>
      </x:c>
      <x:c r="K275"/>
      <x:c r="L275"/>
      <x:c r="M275" t="n">
        <x:v>-1400</x:v>
      </x:c>
      <x:c r="N275" t="str">
        <x:v>2026-03</x:v>
      </x:c>
      <x:c r="O275" t="str">
        <x:v>Ausgabe</x:v>
      </x:c>
      <x:c r="P275" t="str">
        <x:v>Ist</x:v>
      </x:c>
      <x:c r="Q275" s="59" t="b">
        <x:v>0</x:v>
      </x:c>
      <x:c r="R275" t="str">
        <x:v>kein_transfer</x:v>
      </x:c>
      <x:c r="S275"/>
      <x:c r="T275"/>
      <x:c r="U275"/>
      <x:c r="V275" s="59" t="b">
        <x:v>1</x:v>
      </x:c>
      <x:c r="W275"/>
      <x:c r="X275" t="str">
        <x:v>offen</x:v>
      </x:c>
      <x:c r="Y275" t="str">
        <x:v>Agent-Draft; Kategorie und Person pruefen</x:v>
      </x:c>
    </x:row>
    <x:row r="276">
      <x:c r="A276" t="str">
        <x:v>TXN-RAW-IMP-20260516-FULLDRAFT-000260</x:v>
      </x:c>
      <x:c r="B276" t="str">
        <x:v>RAW-IMP-20260516-FULLDRAFT-000260</x:v>
      </x:c>
      <x:c r="C276" t="str">
        <x:v>KTO001</x:v>
      </x:c>
      <x:c r="D276"/>
      <x:c r="E276" t="str">
        <x:v>KAT013</x:v>
      </x:c>
      <x:c r="F276"/>
      <x:c r="G276"/>
      <x:c r="H276" t="str">
        <x:v>kein_match</x:v>
      </x:c>
      <x:c r="I276" t="str">
        <x:v>Agent-Draft: keine finale Regelentscheidung</x:v>
      </x:c>
      <x:c r="J276" t="n">
        <x:v>46083</x:v>
      </x:c>
      <x:c r="K276"/>
      <x:c r="L276"/>
      <x:c r="M276" t="n">
        <x:v>-20</x:v>
      </x:c>
      <x:c r="N276" t="str">
        <x:v>2026-03</x:v>
      </x:c>
      <x:c r="O276" t="str">
        <x:v>Ausgabe</x:v>
      </x:c>
      <x:c r="P276" t="str">
        <x:v>Ist</x:v>
      </x:c>
      <x:c r="Q276" s="59" t="b">
        <x:v>0</x:v>
      </x:c>
      <x:c r="R276" t="str">
        <x:v>kein_transfer</x:v>
      </x:c>
      <x:c r="S276"/>
      <x:c r="T276"/>
      <x:c r="U276"/>
      <x:c r="V276" s="59" t="b">
        <x:v>1</x:v>
      </x:c>
      <x:c r="W276"/>
      <x:c r="X276" t="str">
        <x:v>offen</x:v>
      </x:c>
      <x:c r="Y276" t="str">
        <x:v>Agent-Draft; Kategorie und Person pruefen</x:v>
      </x:c>
    </x:row>
    <x:row r="277">
      <x:c r="A277" t="str">
        <x:v>TXN-RAW-IMP-20260516-FULLDRAFT-000261</x:v>
      </x:c>
      <x:c r="B277" t="str">
        <x:v>RAW-IMP-20260516-FULLDRAFT-000261</x:v>
      </x:c>
      <x:c r="C277" t="str">
        <x:v>KTO001</x:v>
      </x:c>
      <x:c r="D277"/>
      <x:c r="E277" t="str">
        <x:v>KAT013</x:v>
      </x:c>
      <x:c r="F277"/>
      <x:c r="G277"/>
      <x:c r="H277" t="str">
        <x:v>kein_match</x:v>
      </x:c>
      <x:c r="I277" t="str">
        <x:v>Agent-Draft: keine finale Regelentscheidung</x:v>
      </x:c>
      <x:c r="J277" t="n">
        <x:v>46083</x:v>
      </x:c>
      <x:c r="K277"/>
      <x:c r="L277"/>
      <x:c r="M277" t="n">
        <x:v>-10</x:v>
      </x:c>
      <x:c r="N277" t="str">
        <x:v>2026-03</x:v>
      </x:c>
      <x:c r="O277" t="str">
        <x:v>Ausgabe</x:v>
      </x:c>
      <x:c r="P277" t="str">
        <x:v>Ist</x:v>
      </x:c>
      <x:c r="Q277" s="59" t="b">
        <x:v>0</x:v>
      </x:c>
      <x:c r="R277" t="str">
        <x:v>kein_transfer</x:v>
      </x:c>
      <x:c r="S277"/>
      <x:c r="T277"/>
      <x:c r="U277"/>
      <x:c r="V277" s="59" t="b">
        <x:v>1</x:v>
      </x:c>
      <x:c r="W277"/>
      <x:c r="X277" t="str">
        <x:v>offen</x:v>
      </x:c>
      <x:c r="Y277" t="str">
        <x:v>Agent-Draft; Kategorie und Person pruefen</x:v>
      </x:c>
    </x:row>
    <x:row r="278">
      <x:c r="A278" t="str">
        <x:v>TXN-RAW-IMP-20260516-FULLDRAFT-000262</x:v>
      </x:c>
      <x:c r="B278" t="str">
        <x:v>RAW-IMP-20260516-FULLDRAFT-000262</x:v>
      </x:c>
      <x:c r="C278" t="str">
        <x:v>KTO001</x:v>
      </x:c>
      <x:c r="D278"/>
      <x:c r="E278" t="str">
        <x:v>KAT013</x:v>
      </x:c>
      <x:c r="F278"/>
      <x:c r="G278"/>
      <x:c r="H278" t="str">
        <x:v>kein_match</x:v>
      </x:c>
      <x:c r="I278" t="str">
        <x:v>Agent-Draft: keine finale Regelentscheidung</x:v>
      </x:c>
      <x:c r="J278" t="n">
        <x:v>46083</x:v>
      </x:c>
      <x:c r="K278"/>
      <x:c r="L278"/>
      <x:c r="M278" t="n">
        <x:v>-1153.94</x:v>
      </x:c>
      <x:c r="N278" t="str">
        <x:v>2026-03</x:v>
      </x:c>
      <x:c r="O278" t="str">
        <x:v>Ausgabe</x:v>
      </x:c>
      <x:c r="P278" t="str">
        <x:v>Ist</x:v>
      </x:c>
      <x:c r="Q278" s="59" t="b">
        <x:v>0</x:v>
      </x:c>
      <x:c r="R278" t="str">
        <x:v>kein_transfer</x:v>
      </x:c>
      <x:c r="S278"/>
      <x:c r="T278"/>
      <x:c r="U278"/>
      <x:c r="V278" s="59" t="b">
        <x:v>1</x:v>
      </x:c>
      <x:c r="W278"/>
      <x:c r="X278" t="str">
        <x:v>offen</x:v>
      </x:c>
      <x:c r="Y278" t="str">
        <x:v>Agent-Draft; Kategorie und Person pruefen</x:v>
      </x:c>
    </x:row>
    <x:row r="279">
      <x:c r="A279" t="str">
        <x:v>TXN-RAW-IMP-20260516-FULLDRAFT-000263</x:v>
      </x:c>
      <x:c r="B279" t="str">
        <x:v>RAW-IMP-20260516-FULLDRAFT-000263</x:v>
      </x:c>
      <x:c r="C279" t="str">
        <x:v>KTO001</x:v>
      </x:c>
      <x:c r="D279"/>
      <x:c r="E279" t="str">
        <x:v>KAT013</x:v>
      </x:c>
      <x:c r="F279"/>
      <x:c r="G279"/>
      <x:c r="H279" t="str">
        <x:v>kein_match</x:v>
      </x:c>
      <x:c r="I279" t="str">
        <x:v>Agent-Draft: keine finale Regelentscheidung</x:v>
      </x:c>
      <x:c r="J279" t="n">
        <x:v>46080</x:v>
      </x:c>
      <x:c r="K279"/>
      <x:c r="L279"/>
      <x:c r="M279" t="n">
        <x:v>89.6</x:v>
      </x:c>
      <x:c r="N279" t="str">
        <x:v>2026-02</x:v>
      </x:c>
      <x:c r="O279" t="str">
        <x:v>Einnahme</x:v>
      </x:c>
      <x:c r="P279" t="str">
        <x:v>Ist</x:v>
      </x:c>
      <x:c r="Q279" s="59" t="b">
        <x:v>0</x:v>
      </x:c>
      <x:c r="R279" t="str">
        <x:v>kein_transfer</x:v>
      </x:c>
      <x:c r="S279"/>
      <x:c r="T279"/>
      <x:c r="U279"/>
      <x:c r="V279" s="59" t="b">
        <x:v>1</x:v>
      </x:c>
      <x:c r="W279"/>
      <x:c r="X279" t="str">
        <x:v>offen</x:v>
      </x:c>
      <x:c r="Y279" t="str">
        <x:v>Agent-Draft; Kategorie und Person pruefen</x:v>
      </x:c>
    </x:row>
    <x:row r="280">
      <x:c r="A280" t="str">
        <x:v>TXN-RAW-IMP-20260516-FULLDRAFT-000264</x:v>
      </x:c>
      <x:c r="B280" t="str">
        <x:v>RAW-IMP-20260516-FULLDRAFT-000264</x:v>
      </x:c>
      <x:c r="C280" t="str">
        <x:v>KTO001</x:v>
      </x:c>
      <x:c r="D280"/>
      <x:c r="E280" t="str">
        <x:v>KAT013</x:v>
      </x:c>
      <x:c r="F280"/>
      <x:c r="G280"/>
      <x:c r="H280" t="str">
        <x:v>kein_match</x:v>
      </x:c>
      <x:c r="I280" t="str">
        <x:v>Agent-Draft: keine finale Regelentscheidung</x:v>
      </x:c>
      <x:c r="J280" t="n">
        <x:v>46080</x:v>
      </x:c>
      <x:c r="K280"/>
      <x:c r="L280"/>
      <x:c r="M280" t="n">
        <x:v>-10.67</x:v>
      </x:c>
      <x:c r="N280" t="str">
        <x:v>2026-02</x:v>
      </x:c>
      <x:c r="O280" t="str">
        <x:v>Ausgabe</x:v>
      </x:c>
      <x:c r="P280" t="str">
        <x:v>Ist</x:v>
      </x:c>
      <x:c r="Q280" s="59" t="b">
        <x:v>0</x:v>
      </x:c>
      <x:c r="R280" t="str">
        <x:v>kein_transfer</x:v>
      </x:c>
      <x:c r="S280"/>
      <x:c r="T280"/>
      <x:c r="U280"/>
      <x:c r="V280" s="59" t="b">
        <x:v>1</x:v>
      </x:c>
      <x:c r="W280"/>
      <x:c r="X280" t="str">
        <x:v>offen</x:v>
      </x:c>
      <x:c r="Y280" t="str">
        <x:v>Agent-Draft; Kategorie und Person pruefen</x:v>
      </x:c>
    </x:row>
    <x:row r="281">
      <x:c r="A281" t="str">
        <x:v>TXN-RAW-IMP-20260516-FULLDRAFT-000265</x:v>
      </x:c>
      <x:c r="B281" t="str">
        <x:v>RAW-IMP-20260516-FULLDRAFT-000265</x:v>
      </x:c>
      <x:c r="C281" t="str">
        <x:v>KTO001</x:v>
      </x:c>
      <x:c r="D281"/>
      <x:c r="E281" t="str">
        <x:v>KAT013</x:v>
      </x:c>
      <x:c r="F281"/>
      <x:c r="G281"/>
      <x:c r="H281" t="str">
        <x:v>kein_match</x:v>
      </x:c>
      <x:c r="I281" t="str">
        <x:v>Agent-Draft: keine finale Regelentscheidung</x:v>
      </x:c>
      <x:c r="J281" t="n">
        <x:v>46079</x:v>
      </x:c>
      <x:c r="K281"/>
      <x:c r="L281"/>
      <x:c r="M281" t="n">
        <x:v>-10</x:v>
      </x:c>
      <x:c r="N281" t="str">
        <x:v>2026-02</x:v>
      </x:c>
      <x:c r="O281" t="str">
        <x:v>Ausgabe</x:v>
      </x:c>
      <x:c r="P281" t="str">
        <x:v>Ist</x:v>
      </x:c>
      <x:c r="Q281" s="59" t="b">
        <x:v>0</x:v>
      </x:c>
      <x:c r="R281" t="str">
        <x:v>kein_transfer</x:v>
      </x:c>
      <x:c r="S281"/>
      <x:c r="T281"/>
      <x:c r="U281"/>
      <x:c r="V281" s="59" t="b">
        <x:v>1</x:v>
      </x:c>
      <x:c r="W281"/>
      <x:c r="X281" t="str">
        <x:v>offen</x:v>
      </x:c>
      <x:c r="Y281" t="str">
        <x:v>Agent-Draft; Kategorie und Person pruefen</x:v>
      </x:c>
    </x:row>
    <x:row r="282">
      <x:c r="A282" t="str">
        <x:v>TXN-RAW-IMP-20260516-FULLDRAFT-000266</x:v>
      </x:c>
      <x:c r="B282" t="str">
        <x:v>RAW-IMP-20260516-FULLDRAFT-000266</x:v>
      </x:c>
      <x:c r="C282" t="str">
        <x:v>KTO001</x:v>
      </x:c>
      <x:c r="D282"/>
      <x:c r="E282" t="str">
        <x:v>KAT013</x:v>
      </x:c>
      <x:c r="F282"/>
      <x:c r="G282"/>
      <x:c r="H282" t="str">
        <x:v>kein_match</x:v>
      </x:c>
      <x:c r="I282" t="str">
        <x:v>Agent-Draft: keine finale Regelentscheidung</x:v>
      </x:c>
      <x:c r="J282" t="n">
        <x:v>46078</x:v>
      </x:c>
      <x:c r="K282"/>
      <x:c r="L282"/>
      <x:c r="M282" t="n">
        <x:v>7818.53</x:v>
      </x:c>
      <x:c r="N282" t="str">
        <x:v>2026-02</x:v>
      </x:c>
      <x:c r="O282" t="str">
        <x:v>Einnahme</x:v>
      </x:c>
      <x:c r="P282" t="str">
        <x:v>Ist</x:v>
      </x:c>
      <x:c r="Q282" s="59" t="b">
        <x:v>0</x:v>
      </x:c>
      <x:c r="R282" t="str">
        <x:v>kein_transfer</x:v>
      </x:c>
      <x:c r="S282"/>
      <x:c r="T282"/>
      <x:c r="U282"/>
      <x:c r="V282" s="59" t="b">
        <x:v>1</x:v>
      </x:c>
      <x:c r="W282"/>
      <x:c r="X282" t="str">
        <x:v>offen</x:v>
      </x:c>
      <x:c r="Y282" t="str">
        <x:v>Agent-Draft; Kategorie und Person pruefen</x:v>
      </x:c>
    </x:row>
    <x:row r="283">
      <x:c r="A283" t="str">
        <x:v>TXN-RAW-IMP-20260516-FULLDRAFT-000267</x:v>
      </x:c>
      <x:c r="B283" t="str">
        <x:v>RAW-IMP-20260516-FULLDRAFT-000267</x:v>
      </x:c>
      <x:c r="C283" t="str">
        <x:v>KTO001</x:v>
      </x:c>
      <x:c r="D283"/>
      <x:c r="E283" t="str">
        <x:v>KAT013</x:v>
      </x:c>
      <x:c r="F283"/>
      <x:c r="G283"/>
      <x:c r="H283" t="str">
        <x:v>kein_match</x:v>
      </x:c>
      <x:c r="I283" t="str">
        <x:v>Agent-Draft: keine finale Regelentscheidung</x:v>
      </x:c>
      <x:c r="J283" t="n">
        <x:v>46078</x:v>
      </x:c>
      <x:c r="K283"/>
      <x:c r="L283"/>
      <x:c r="M283" t="n">
        <x:v>1</x:v>
      </x:c>
      <x:c r="N283" t="str">
        <x:v>2026-02</x:v>
      </x:c>
      <x:c r="O283" t="str">
        <x:v>Einnahme</x:v>
      </x:c>
      <x:c r="P283" t="str">
        <x:v>Ist</x:v>
      </x:c>
      <x:c r="Q283" s="59" t="b">
        <x:v>0</x:v>
      </x:c>
      <x:c r="R283" t="str">
        <x:v>kein_transfer</x:v>
      </x:c>
      <x:c r="S283"/>
      <x:c r="T283"/>
      <x:c r="U283"/>
      <x:c r="V283" s="59" t="b">
        <x:v>1</x:v>
      </x:c>
      <x:c r="W283"/>
      <x:c r="X283" t="str">
        <x:v>offen</x:v>
      </x:c>
      <x:c r="Y283" t="str">
        <x:v>Agent-Draft; Kategorie und Person pruefen</x:v>
      </x:c>
    </x:row>
    <x:row r="284">
      <x:c r="A284" t="str">
        <x:v>TXN-RAW-IMP-20260516-FULLDRAFT-000268</x:v>
      </x:c>
      <x:c r="B284" t="str">
        <x:v>RAW-IMP-20260516-FULLDRAFT-000268</x:v>
      </x:c>
      <x:c r="C284" t="str">
        <x:v>KTO001</x:v>
      </x:c>
      <x:c r="D284"/>
      <x:c r="E284" t="str">
        <x:v>KAT013</x:v>
      </x:c>
      <x:c r="F284"/>
      <x:c r="G284"/>
      <x:c r="H284" t="str">
        <x:v>kein_match</x:v>
      </x:c>
      <x:c r="I284" t="str">
        <x:v>Agent-Draft: keine finale Regelentscheidung</x:v>
      </x:c>
      <x:c r="J284" t="n">
        <x:v>46078</x:v>
      </x:c>
      <x:c r="K284"/>
      <x:c r="L284"/>
      <x:c r="M284" t="n">
        <x:v>-6</x:v>
      </x:c>
      <x:c r="N284" t="str">
        <x:v>2026-02</x:v>
      </x:c>
      <x:c r="O284" t="str">
        <x:v>Ausgabe</x:v>
      </x:c>
      <x:c r="P284" t="str">
        <x:v>Ist</x:v>
      </x:c>
      <x:c r="Q284" s="59" t="b">
        <x:v>0</x:v>
      </x:c>
      <x:c r="R284" t="str">
        <x:v>kein_transfer</x:v>
      </x:c>
      <x:c r="S284"/>
      <x:c r="T284"/>
      <x:c r="U284"/>
      <x:c r="V284" s="59" t="b">
        <x:v>1</x:v>
      </x:c>
      <x:c r="W284"/>
      <x:c r="X284" t="str">
        <x:v>offen</x:v>
      </x:c>
      <x:c r="Y284" t="str">
        <x:v>Agent-Draft; Kategorie und Person pruefen</x:v>
      </x:c>
    </x:row>
    <x:row r="285">
      <x:c r="A285" t="str">
        <x:v>TXN-RAW-IMP-20260516-FULLDRAFT-000269</x:v>
      </x:c>
      <x:c r="B285" t="str">
        <x:v>RAW-IMP-20260516-FULLDRAFT-000269</x:v>
      </x:c>
      <x:c r="C285" t="str">
        <x:v>KTO001</x:v>
      </x:c>
      <x:c r="D285"/>
      <x:c r="E285" t="str">
        <x:v>KAT013</x:v>
      </x:c>
      <x:c r="F285"/>
      <x:c r="G285"/>
      <x:c r="H285" t="str">
        <x:v>kein_match</x:v>
      </x:c>
      <x:c r="I285" t="str">
        <x:v>Agent-Draft: keine finale Regelentscheidung</x:v>
      </x:c>
      <x:c r="J285" t="n">
        <x:v>46078</x:v>
      </x:c>
      <x:c r="K285"/>
      <x:c r="L285"/>
      <x:c r="M285" t="n">
        <x:v>-1</x:v>
      </x:c>
      <x:c r="N285" t="str">
        <x:v>2026-02</x:v>
      </x:c>
      <x:c r="O285" t="str">
        <x:v>Ausgabe</x:v>
      </x:c>
      <x:c r="P285" t="str">
        <x:v>Ist</x:v>
      </x:c>
      <x:c r="Q285" s="59" t="b">
        <x:v>0</x:v>
      </x:c>
      <x:c r="R285" t="str">
        <x:v>kein_transfer</x:v>
      </x:c>
      <x:c r="S285"/>
      <x:c r="T285"/>
      <x:c r="U285"/>
      <x:c r="V285" s="59" t="b">
        <x:v>1</x:v>
      </x:c>
      <x:c r="W285"/>
      <x:c r="X285" t="str">
        <x:v>offen</x:v>
      </x:c>
      <x:c r="Y285" t="str">
        <x:v>Agent-Draft; Kategorie und Person pruefen</x:v>
      </x:c>
    </x:row>
    <x:row r="286">
      <x:c r="A286" t="str">
        <x:v>TXN-RAW-IMP-20260516-FULLDRAFT-000270</x:v>
      </x:c>
      <x:c r="B286" t="str">
        <x:v>RAW-IMP-20260516-FULLDRAFT-000270</x:v>
      </x:c>
      <x:c r="C286" t="str">
        <x:v>KTO001</x:v>
      </x:c>
      <x:c r="D286"/>
      <x:c r="E286" t="str">
        <x:v>KAT013</x:v>
      </x:c>
      <x:c r="F286"/>
      <x:c r="G286"/>
      <x:c r="H286" t="str">
        <x:v>kein_match</x:v>
      </x:c>
      <x:c r="I286" t="str">
        <x:v>Agent-Draft: keine finale Regelentscheidung</x:v>
      </x:c>
      <x:c r="J286" t="n">
        <x:v>46077</x:v>
      </x:c>
      <x:c r="K286"/>
      <x:c r="L286"/>
      <x:c r="M286" t="n">
        <x:v>-2.28</x:v>
      </x:c>
      <x:c r="N286" t="str">
        <x:v>2026-02</x:v>
      </x:c>
      <x:c r="O286" t="str">
        <x:v>Ausgabe</x:v>
      </x:c>
      <x:c r="P286" t="str">
        <x:v>Ist</x:v>
      </x:c>
      <x:c r="Q286" s="59" t="b">
        <x:v>0</x:v>
      </x:c>
      <x:c r="R286" t="str">
        <x:v>kein_transfer</x:v>
      </x:c>
      <x:c r="S286"/>
      <x:c r="T286"/>
      <x:c r="U286"/>
      <x:c r="V286" s="59" t="b">
        <x:v>1</x:v>
      </x:c>
      <x:c r="W286"/>
      <x:c r="X286" t="str">
        <x:v>offen</x:v>
      </x:c>
      <x:c r="Y286" t="str">
        <x:v>Agent-Draft; Kategorie und Person pruefen</x:v>
      </x:c>
    </x:row>
    <x:row r="287">
      <x:c r="A287" t="str">
        <x:v>TXN-RAW-IMP-20260516-FULLDRAFT-000271</x:v>
      </x:c>
      <x:c r="B287" t="str">
        <x:v>RAW-IMP-20260516-FULLDRAFT-000271</x:v>
      </x:c>
      <x:c r="C287" t="str">
        <x:v>KTO001</x:v>
      </x:c>
      <x:c r="D287"/>
      <x:c r="E287" t="str">
        <x:v>KAT013</x:v>
      </x:c>
      <x:c r="F287"/>
      <x:c r="G287"/>
      <x:c r="H287" t="str">
        <x:v>kein_match</x:v>
      </x:c>
      <x:c r="I287" t="str">
        <x:v>Agent-Draft: keine finale Regelentscheidung</x:v>
      </x:c>
      <x:c r="J287" t="n">
        <x:v>46077</x:v>
      </x:c>
      <x:c r="K287"/>
      <x:c r="L287"/>
      <x:c r="M287" t="n">
        <x:v>-2.99</x:v>
      </x:c>
      <x:c r="N287" t="str">
        <x:v>2026-02</x:v>
      </x:c>
      <x:c r="O287" t="str">
        <x:v>Ausgabe</x:v>
      </x:c>
      <x:c r="P287" t="str">
        <x:v>Ist</x:v>
      </x:c>
      <x:c r="Q287" s="59" t="b">
        <x:v>0</x:v>
      </x:c>
      <x:c r="R287" t="str">
        <x:v>kein_transfer</x:v>
      </x:c>
      <x:c r="S287"/>
      <x:c r="T287"/>
      <x:c r="U287"/>
      <x:c r="V287" s="59" t="b">
        <x:v>1</x:v>
      </x:c>
      <x:c r="W287"/>
      <x:c r="X287" t="str">
        <x:v>offen</x:v>
      </x:c>
      <x:c r="Y287" t="str">
        <x:v>Agent-Draft; Kategorie und Person pruefen</x:v>
      </x:c>
    </x:row>
    <x:row r="288">
      <x:c r="A288" t="str">
        <x:v>TXN-RAW-IMP-20260516-FULLDRAFT-000272</x:v>
      </x:c>
      <x:c r="B288" t="str">
        <x:v>RAW-IMP-20260516-FULLDRAFT-000272</x:v>
      </x:c>
      <x:c r="C288" t="str">
        <x:v>KTO001</x:v>
      </x:c>
      <x:c r="D288"/>
      <x:c r="E288" t="str">
        <x:v>KAT013</x:v>
      </x:c>
      <x:c r="F288"/>
      <x:c r="G288"/>
      <x:c r="H288" t="str">
        <x:v>kein_match</x:v>
      </x:c>
      <x:c r="I288" t="str">
        <x:v>Agent-Draft: keine finale Regelentscheidung</x:v>
      </x:c>
      <x:c r="J288" t="n">
        <x:v>46077</x:v>
      </x:c>
      <x:c r="K288"/>
      <x:c r="L288"/>
      <x:c r="M288" t="n">
        <x:v>300</x:v>
      </x:c>
      <x:c r="N288" t="str">
        <x:v>2026-02</x:v>
      </x:c>
      <x:c r="O288" t="str">
        <x:v>Einnahme</x:v>
      </x:c>
      <x:c r="P288" t="str">
        <x:v>Ist</x:v>
      </x:c>
      <x:c r="Q288" s="59" t="b">
        <x:v>0</x:v>
      </x:c>
      <x:c r="R288" t="str">
        <x:v>unklar</x:v>
      </x:c>
      <x:c r="S288"/>
      <x:c r="T288"/>
      <x:c r="U288"/>
      <x:c r="V288" s="59" t="b">
        <x:v>1</x:v>
      </x:c>
      <x:c r="W288" t="str">
        <x:v>Transferkandidat im Draft</x:v>
      </x:c>
      <x:c r="X288" t="str">
        <x:v>offen</x:v>
      </x:c>
      <x:c r="Y288" t="str">
        <x:v>Agent-Draft; Kategorie und Person pruefen</x:v>
      </x:c>
    </x:row>
    <x:row r="289">
      <x:c r="A289" t="str">
        <x:v>TXN-RAW-IMP-20260516-FULLDRAFT-000273</x:v>
      </x:c>
      <x:c r="B289" t="str">
        <x:v>RAW-IMP-20260516-FULLDRAFT-000273</x:v>
      </x:c>
      <x:c r="C289" t="str">
        <x:v>KTO001</x:v>
      </x:c>
      <x:c r="D289"/>
      <x:c r="E289" t="str">
        <x:v>KAT013</x:v>
      </x:c>
      <x:c r="F289"/>
      <x:c r="G289"/>
      <x:c r="H289" t="str">
        <x:v>kein_match</x:v>
      </x:c>
      <x:c r="I289" t="str">
        <x:v>Agent-Draft: keine finale Regelentscheidung</x:v>
      </x:c>
      <x:c r="J289" t="n">
        <x:v>46076</x:v>
      </x:c>
      <x:c r="K289"/>
      <x:c r="L289"/>
      <x:c r="M289" t="n">
        <x:v>-270</x:v>
      </x:c>
      <x:c r="N289" t="str">
        <x:v>2026-02</x:v>
      </x:c>
      <x:c r="O289" t="str">
        <x:v>Ausgabe</x:v>
      </x:c>
      <x:c r="P289" t="str">
        <x:v>Ist</x:v>
      </x:c>
      <x:c r="Q289" s="59" t="b">
        <x:v>0</x:v>
      </x:c>
      <x:c r="R289" t="str">
        <x:v>kein_transfer</x:v>
      </x:c>
      <x:c r="S289"/>
      <x:c r="T289"/>
      <x:c r="U289"/>
      <x:c r="V289" s="59" t="b">
        <x:v>1</x:v>
      </x:c>
      <x:c r="W289"/>
      <x:c r="X289" t="str">
        <x:v>offen</x:v>
      </x:c>
      <x:c r="Y289" t="str">
        <x:v>Agent-Draft; Kategorie und Person pruefen</x:v>
      </x:c>
    </x:row>
    <x:row r="290">
      <x:c r="A290" t="str">
        <x:v>TXN-RAW-IMP-20260516-FULLDRAFT-000274</x:v>
      </x:c>
      <x:c r="B290" t="str">
        <x:v>RAW-IMP-20260516-FULLDRAFT-000274</x:v>
      </x:c>
      <x:c r="C290" t="str">
        <x:v>KTO001</x:v>
      </x:c>
      <x:c r="D290"/>
      <x:c r="E290" t="str">
        <x:v>KAT013</x:v>
      </x:c>
      <x:c r="F290"/>
      <x:c r="G290"/>
      <x:c r="H290" t="str">
        <x:v>kein_match</x:v>
      </x:c>
      <x:c r="I290" t="str">
        <x:v>Agent-Draft: keine finale Regelentscheidung</x:v>
      </x:c>
      <x:c r="J290" t="n">
        <x:v>46076</x:v>
      </x:c>
      <x:c r="K290"/>
      <x:c r="L290"/>
      <x:c r="M290" t="n">
        <x:v>-6.09</x:v>
      </x:c>
      <x:c r="N290" t="str">
        <x:v>2026-02</x:v>
      </x:c>
      <x:c r="O290" t="str">
        <x:v>Ausgabe</x:v>
      </x:c>
      <x:c r="P290" t="str">
        <x:v>Ist</x:v>
      </x:c>
      <x:c r="Q290" s="59" t="b">
        <x:v>0</x:v>
      </x:c>
      <x:c r="R290" t="str">
        <x:v>kein_transfer</x:v>
      </x:c>
      <x:c r="S290"/>
      <x:c r="T290"/>
      <x:c r="U290"/>
      <x:c r="V290" s="59" t="b">
        <x:v>1</x:v>
      </x:c>
      <x:c r="W290"/>
      <x:c r="X290" t="str">
        <x:v>offen</x:v>
      </x:c>
      <x:c r="Y290" t="str">
        <x:v>Agent-Draft; Kategorie und Person pruefen</x:v>
      </x:c>
    </x:row>
    <x:row r="291">
      <x:c r="A291" t="str">
        <x:v>TXN-RAW-IMP-20260516-FULLDRAFT-000275</x:v>
      </x:c>
      <x:c r="B291" t="str">
        <x:v>RAW-IMP-20260516-FULLDRAFT-000275</x:v>
      </x:c>
      <x:c r="C291" t="str">
        <x:v>KTO001</x:v>
      </x:c>
      <x:c r="D291"/>
      <x:c r="E291" t="str">
        <x:v>KAT013</x:v>
      </x:c>
      <x:c r="F291"/>
      <x:c r="G291"/>
      <x:c r="H291" t="str">
        <x:v>kein_match</x:v>
      </x:c>
      <x:c r="I291" t="str">
        <x:v>Agent-Draft: keine finale Regelentscheidung</x:v>
      </x:c>
      <x:c r="J291" t="n">
        <x:v>46076</x:v>
      </x:c>
      <x:c r="K291"/>
      <x:c r="L291"/>
      <x:c r="M291" t="n">
        <x:v>-11.83</x:v>
      </x:c>
      <x:c r="N291" t="str">
        <x:v>2026-02</x:v>
      </x:c>
      <x:c r="O291" t="str">
        <x:v>Ausgabe</x:v>
      </x:c>
      <x:c r="P291" t="str">
        <x:v>Ist</x:v>
      </x:c>
      <x:c r="Q291" s="59" t="b">
        <x:v>0</x:v>
      </x:c>
      <x:c r="R291" t="str">
        <x:v>kein_transfer</x:v>
      </x:c>
      <x:c r="S291"/>
      <x:c r="T291"/>
      <x:c r="U291"/>
      <x:c r="V291" s="59" t="b">
        <x:v>1</x:v>
      </x:c>
      <x:c r="W291"/>
      <x:c r="X291" t="str">
        <x:v>offen</x:v>
      </x:c>
      <x:c r="Y291" t="str">
        <x:v>Agent-Draft; Kategorie und Person pruefen</x:v>
      </x:c>
    </x:row>
    <x:row r="292">
      <x:c r="A292" t="str">
        <x:v>TXN-RAW-IMP-20260516-FULLDRAFT-000276</x:v>
      </x:c>
      <x:c r="B292" t="str">
        <x:v>RAW-IMP-20260516-FULLDRAFT-000276</x:v>
      </x:c>
      <x:c r="C292" t="str">
        <x:v>KTO001</x:v>
      </x:c>
      <x:c r="D292"/>
      <x:c r="E292" t="str">
        <x:v>KAT013</x:v>
      </x:c>
      <x:c r="F292"/>
      <x:c r="G292"/>
      <x:c r="H292" t="str">
        <x:v>kein_match</x:v>
      </x:c>
      <x:c r="I292" t="str">
        <x:v>Agent-Draft: keine finale Regelentscheidung</x:v>
      </x:c>
      <x:c r="J292" t="n">
        <x:v>46076</x:v>
      </x:c>
      <x:c r="K292"/>
      <x:c r="L292"/>
      <x:c r="M292" t="n">
        <x:v>-6.99</x:v>
      </x:c>
      <x:c r="N292" t="str">
        <x:v>2026-02</x:v>
      </x:c>
      <x:c r="O292" t="str">
        <x:v>Ausgabe</x:v>
      </x:c>
      <x:c r="P292" t="str">
        <x:v>Ist</x:v>
      </x:c>
      <x:c r="Q292" s="59" t="b">
        <x:v>0</x:v>
      </x:c>
      <x:c r="R292" t="str">
        <x:v>kein_transfer</x:v>
      </x:c>
      <x:c r="S292"/>
      <x:c r="T292"/>
      <x:c r="U292"/>
      <x:c r="V292" s="59" t="b">
        <x:v>1</x:v>
      </x:c>
      <x:c r="W292"/>
      <x:c r="X292" t="str">
        <x:v>offen</x:v>
      </x:c>
      <x:c r="Y292" t="str">
        <x:v>Agent-Draft; Kategorie und Person pruefen</x:v>
      </x:c>
    </x:row>
    <x:row r="293">
      <x:c r="A293" t="str">
        <x:v>TXN-RAW-IMP-20260516-FULLDRAFT-000277</x:v>
      </x:c>
      <x:c r="B293" t="str">
        <x:v>RAW-IMP-20260516-FULLDRAFT-000277</x:v>
      </x:c>
      <x:c r="C293" t="str">
        <x:v>KTO001</x:v>
      </x:c>
      <x:c r="D293"/>
      <x:c r="E293" t="str">
        <x:v>KAT013</x:v>
      </x:c>
      <x:c r="F293"/>
      <x:c r="G293"/>
      <x:c r="H293" t="str">
        <x:v>kein_match</x:v>
      </x:c>
      <x:c r="I293" t="str">
        <x:v>Agent-Draft: keine finale Regelentscheidung</x:v>
      </x:c>
      <x:c r="J293" t="n">
        <x:v>46073</x:v>
      </x:c>
      <x:c r="K293"/>
      <x:c r="L293"/>
      <x:c r="M293" t="n">
        <x:v>-4.99</x:v>
      </x:c>
      <x:c r="N293" t="str">
        <x:v>2026-02</x:v>
      </x:c>
      <x:c r="O293" t="str">
        <x:v>Ausgabe</x:v>
      </x:c>
      <x:c r="P293" t="str">
        <x:v>Ist</x:v>
      </x:c>
      <x:c r="Q293" s="59" t="b">
        <x:v>0</x:v>
      </x:c>
      <x:c r="R293" t="str">
        <x:v>kein_transfer</x:v>
      </x:c>
      <x:c r="S293"/>
      <x:c r="T293"/>
      <x:c r="U293"/>
      <x:c r="V293" s="59" t="b">
        <x:v>1</x:v>
      </x:c>
      <x:c r="W293"/>
      <x:c r="X293" t="str">
        <x:v>offen</x:v>
      </x:c>
      <x:c r="Y293" t="str">
        <x:v>Agent-Draft; Kategorie und Person pruefen</x:v>
      </x:c>
    </x:row>
    <x:row r="294">
      <x:c r="A294" t="str">
        <x:v>TXN-RAW-IMP-20260516-FULLDRAFT-000278</x:v>
      </x:c>
      <x:c r="B294" t="str">
        <x:v>RAW-IMP-20260516-FULLDRAFT-000278</x:v>
      </x:c>
      <x:c r="C294" t="str">
        <x:v>KTO001</x:v>
      </x:c>
      <x:c r="D294"/>
      <x:c r="E294" t="str">
        <x:v>KAT013</x:v>
      </x:c>
      <x:c r="F294"/>
      <x:c r="G294"/>
      <x:c r="H294" t="str">
        <x:v>kein_match</x:v>
      </x:c>
      <x:c r="I294" t="str">
        <x:v>Agent-Draft: keine finale Regelentscheidung</x:v>
      </x:c>
      <x:c r="J294" t="n">
        <x:v>46073</x:v>
      </x:c>
      <x:c r="K294"/>
      <x:c r="L294"/>
      <x:c r="M294" t="n">
        <x:v>-19.11</x:v>
      </x:c>
      <x:c r="N294" t="str">
        <x:v>2026-02</x:v>
      </x:c>
      <x:c r="O294" t="str">
        <x:v>Ausgabe</x:v>
      </x:c>
      <x:c r="P294" t="str">
        <x:v>Ist</x:v>
      </x:c>
      <x:c r="Q294" s="59" t="b">
        <x:v>0</x:v>
      </x:c>
      <x:c r="R294" t="str">
        <x:v>kein_transfer</x:v>
      </x:c>
      <x:c r="S294"/>
      <x:c r="T294"/>
      <x:c r="U294"/>
      <x:c r="V294" s="59" t="b">
        <x:v>1</x:v>
      </x:c>
      <x:c r="W294"/>
      <x:c r="X294" t="str">
        <x:v>offen</x:v>
      </x:c>
      <x:c r="Y294" t="str">
        <x:v>Agent-Draft; Kategorie und Person pruefen</x:v>
      </x:c>
    </x:row>
    <x:row r="295">
      <x:c r="A295" t="str">
        <x:v>TXN-RAW-IMP-20260516-FULLDRAFT-000279</x:v>
      </x:c>
      <x:c r="B295" t="str">
        <x:v>RAW-IMP-20260516-FULLDRAFT-000279</x:v>
      </x:c>
      <x:c r="C295" t="str">
        <x:v>KTO001</x:v>
      </x:c>
      <x:c r="D295"/>
      <x:c r="E295" t="str">
        <x:v>KAT013</x:v>
      </x:c>
      <x:c r="F295"/>
      <x:c r="G295"/>
      <x:c r="H295" t="str">
        <x:v>kein_match</x:v>
      </x:c>
      <x:c r="I295" t="str">
        <x:v>Agent-Draft: keine finale Regelentscheidung</x:v>
      </x:c>
      <x:c r="J295" t="n">
        <x:v>46073</x:v>
      </x:c>
      <x:c r="K295"/>
      <x:c r="L295"/>
      <x:c r="M295" t="n">
        <x:v>-6.99</x:v>
      </x:c>
      <x:c r="N295" t="str">
        <x:v>2026-02</x:v>
      </x:c>
      <x:c r="O295" t="str">
        <x:v>Ausgabe</x:v>
      </x:c>
      <x:c r="P295" t="str">
        <x:v>Ist</x:v>
      </x:c>
      <x:c r="Q295" s="59" t="b">
        <x:v>0</x:v>
      </x:c>
      <x:c r="R295" t="str">
        <x:v>kein_transfer</x:v>
      </x:c>
      <x:c r="S295"/>
      <x:c r="T295"/>
      <x:c r="U295"/>
      <x:c r="V295" s="59" t="b">
        <x:v>1</x:v>
      </x:c>
      <x:c r="W295"/>
      <x:c r="X295" t="str">
        <x:v>offen</x:v>
      </x:c>
      <x:c r="Y295" t="str">
        <x:v>Agent-Draft; Kategorie und Person pruefen</x:v>
      </x:c>
    </x:row>
    <x:row r="296">
      <x:c r="A296" t="str">
        <x:v>TXN-RAW-IMP-20260516-FULLDRAFT-000280</x:v>
      </x:c>
      <x:c r="B296" t="str">
        <x:v>RAW-IMP-20260516-FULLDRAFT-000280</x:v>
      </x:c>
      <x:c r="C296" t="str">
        <x:v>KTO001</x:v>
      </x:c>
      <x:c r="D296"/>
      <x:c r="E296" t="str">
        <x:v>KAT013</x:v>
      </x:c>
      <x:c r="F296"/>
      <x:c r="G296"/>
      <x:c r="H296" t="str">
        <x:v>kein_match</x:v>
      </x:c>
      <x:c r="I296" t="str">
        <x:v>Agent-Draft: keine finale Regelentscheidung</x:v>
      </x:c>
      <x:c r="J296" t="n">
        <x:v>46072</x:v>
      </x:c>
      <x:c r="K296"/>
      <x:c r="L296"/>
      <x:c r="M296" t="n">
        <x:v>400</x:v>
      </x:c>
      <x:c r="N296" t="str">
        <x:v>2026-02</x:v>
      </x:c>
      <x:c r="O296" t="str">
        <x:v>Einnahme</x:v>
      </x:c>
      <x:c r="P296" t="str">
        <x:v>Ist</x:v>
      </x:c>
      <x:c r="Q296" s="59" t="b">
        <x:v>0</x:v>
      </x:c>
      <x:c r="R296" t="str">
        <x:v>unklar</x:v>
      </x:c>
      <x:c r="S296"/>
      <x:c r="T296"/>
      <x:c r="U296"/>
      <x:c r="V296" s="59" t="b">
        <x:v>1</x:v>
      </x:c>
      <x:c r="W296" t="str">
        <x:v>Transferkandidat im Draft</x:v>
      </x:c>
      <x:c r="X296" t="str">
        <x:v>offen</x:v>
      </x:c>
      <x:c r="Y296" t="str">
        <x:v>Agent-Draft; Kategorie und Person pruefen</x:v>
      </x:c>
    </x:row>
    <x:row r="297">
      <x:c r="A297" t="str">
        <x:v>TXN-RAW-IMP-20260516-FULLDRAFT-000281</x:v>
      </x:c>
      <x:c r="B297" t="str">
        <x:v>RAW-IMP-20260516-FULLDRAFT-000281</x:v>
      </x:c>
      <x:c r="C297" t="str">
        <x:v>KTO001</x:v>
      </x:c>
      <x:c r="D297"/>
      <x:c r="E297" t="str">
        <x:v>KAT013</x:v>
      </x:c>
      <x:c r="F297"/>
      <x:c r="G297"/>
      <x:c r="H297" t="str">
        <x:v>kein_match</x:v>
      </x:c>
      <x:c r="I297" t="str">
        <x:v>Agent-Draft: keine finale Regelentscheidung</x:v>
      </x:c>
      <x:c r="J297" t="n">
        <x:v>46072</x:v>
      </x:c>
      <x:c r="K297"/>
      <x:c r="L297"/>
      <x:c r="M297" t="n">
        <x:v>-6.99</x:v>
      </x:c>
      <x:c r="N297" t="str">
        <x:v>2026-02</x:v>
      </x:c>
      <x:c r="O297" t="str">
        <x:v>Ausgabe</x:v>
      </x:c>
      <x:c r="P297" t="str">
        <x:v>Ist</x:v>
      </x:c>
      <x:c r="Q297" s="59" t="b">
        <x:v>0</x:v>
      </x:c>
      <x:c r="R297" t="str">
        <x:v>kein_transfer</x:v>
      </x:c>
      <x:c r="S297"/>
      <x:c r="T297"/>
      <x:c r="U297"/>
      <x:c r="V297" s="59" t="b">
        <x:v>1</x:v>
      </x:c>
      <x:c r="W297"/>
      <x:c r="X297" t="str">
        <x:v>offen</x:v>
      </x:c>
      <x:c r="Y297" t="str">
        <x:v>Agent-Draft; Kategorie und Person pruefen</x:v>
      </x:c>
    </x:row>
    <x:row r="298">
      <x:c r="A298" t="str">
        <x:v>TXN-RAW-IMP-20260516-FULLDRAFT-000282</x:v>
      </x:c>
      <x:c r="B298" t="str">
        <x:v>RAW-IMP-20260516-FULLDRAFT-000282</x:v>
      </x:c>
      <x:c r="C298" t="str">
        <x:v>KTO001</x:v>
      </x:c>
      <x:c r="D298"/>
      <x:c r="E298" t="str">
        <x:v>KAT013</x:v>
      </x:c>
      <x:c r="F298"/>
      <x:c r="G298"/>
      <x:c r="H298" t="str">
        <x:v>kein_match</x:v>
      </x:c>
      <x:c r="I298" t="str">
        <x:v>Agent-Draft: keine finale Regelentscheidung</x:v>
      </x:c>
      <x:c r="J298" t="n">
        <x:v>46071</x:v>
      </x:c>
      <x:c r="K298"/>
      <x:c r="L298"/>
      <x:c r="M298" t="n">
        <x:v>-13.75</x:v>
      </x:c>
      <x:c r="N298" t="str">
        <x:v>2026-02</x:v>
      </x:c>
      <x:c r="O298" t="str">
        <x:v>Ausgabe</x:v>
      </x:c>
      <x:c r="P298" t="str">
        <x:v>Ist</x:v>
      </x:c>
      <x:c r="Q298" s="59" t="b">
        <x:v>0</x:v>
      </x:c>
      <x:c r="R298" t="str">
        <x:v>kein_transfer</x:v>
      </x:c>
      <x:c r="S298"/>
      <x:c r="T298"/>
      <x:c r="U298"/>
      <x:c r="V298" s="59" t="b">
        <x:v>1</x:v>
      </x:c>
      <x:c r="W298"/>
      <x:c r="X298" t="str">
        <x:v>offen</x:v>
      </x:c>
      <x:c r="Y298" t="str">
        <x:v>Agent-Draft; Kategorie und Person pruefen</x:v>
      </x:c>
    </x:row>
    <x:row r="299">
      <x:c r="A299" t="str">
        <x:v>TXN-RAW-IMP-20260516-FULLDRAFT-000283</x:v>
      </x:c>
      <x:c r="B299" t="str">
        <x:v>RAW-IMP-20260516-FULLDRAFT-000283</x:v>
      </x:c>
      <x:c r="C299" t="str">
        <x:v>KTO001</x:v>
      </x:c>
      <x:c r="D299"/>
      <x:c r="E299" t="str">
        <x:v>KAT013</x:v>
      </x:c>
      <x:c r="F299"/>
      <x:c r="G299"/>
      <x:c r="H299" t="str">
        <x:v>kein_match</x:v>
      </x:c>
      <x:c r="I299" t="str">
        <x:v>Agent-Draft: keine finale Regelentscheidung</x:v>
      </x:c>
      <x:c r="J299" t="n">
        <x:v>46070</x:v>
      </x:c>
      <x:c r="K299"/>
      <x:c r="L299"/>
      <x:c r="M299" t="n">
        <x:v>-21.42</x:v>
      </x:c>
      <x:c r="N299" t="str">
        <x:v>2026-02</x:v>
      </x:c>
      <x:c r="O299" t="str">
        <x:v>Ausgabe</x:v>
      </x:c>
      <x:c r="P299" t="str">
        <x:v>Ist</x:v>
      </x:c>
      <x:c r="Q299" s="59" t="b">
        <x:v>0</x:v>
      </x:c>
      <x:c r="R299" t="str">
        <x:v>kein_transfer</x:v>
      </x:c>
      <x:c r="S299"/>
      <x:c r="T299"/>
      <x:c r="U299"/>
      <x:c r="V299" s="59" t="b">
        <x:v>1</x:v>
      </x:c>
      <x:c r="W299"/>
      <x:c r="X299" t="str">
        <x:v>offen</x:v>
      </x:c>
      <x:c r="Y299" t="str">
        <x:v>Agent-Draft; Kategorie und Person pruefen</x:v>
      </x:c>
    </x:row>
    <x:row r="300">
      <x:c r="A300" t="str">
        <x:v>TXN-RAW-IMP-20260516-FULLDRAFT-000284</x:v>
      </x:c>
      <x:c r="B300" t="str">
        <x:v>RAW-IMP-20260516-FULLDRAFT-000284</x:v>
      </x:c>
      <x:c r="C300" t="str">
        <x:v>KTO001</x:v>
      </x:c>
      <x:c r="D300"/>
      <x:c r="E300" t="str">
        <x:v>KAT013</x:v>
      </x:c>
      <x:c r="F300"/>
      <x:c r="G300"/>
      <x:c r="H300" t="str">
        <x:v>kein_match</x:v>
      </x:c>
      <x:c r="I300" t="str">
        <x:v>Agent-Draft: keine finale Regelentscheidung</x:v>
      </x:c>
      <x:c r="J300" t="n">
        <x:v>46070</x:v>
      </x:c>
      <x:c r="K300"/>
      <x:c r="L300"/>
      <x:c r="M300" t="n">
        <x:v>-1.5</x:v>
      </x:c>
      <x:c r="N300" t="str">
        <x:v>2026-02</x:v>
      </x:c>
      <x:c r="O300" t="str">
        <x:v>Ausgabe</x:v>
      </x:c>
      <x:c r="P300" t="str">
        <x:v>Ist</x:v>
      </x:c>
      <x:c r="Q300" s="59" t="b">
        <x:v>0</x:v>
      </x:c>
      <x:c r="R300" t="str">
        <x:v>kein_transfer</x:v>
      </x:c>
      <x:c r="S300"/>
      <x:c r="T300"/>
      <x:c r="U300"/>
      <x:c r="V300" s="59" t="b">
        <x:v>1</x:v>
      </x:c>
      <x:c r="W300"/>
      <x:c r="X300" t="str">
        <x:v>offen</x:v>
      </x:c>
      <x:c r="Y300" t="str">
        <x:v>Agent-Draft; Kategorie und Person pruefen</x:v>
      </x:c>
    </x:row>
    <x:row r="301">
      <x:c r="A301" t="str">
        <x:v>TXN-RAW-IMP-20260516-FULLDRAFT-000285</x:v>
      </x:c>
      <x:c r="B301" t="str">
        <x:v>RAW-IMP-20260516-FULLDRAFT-000285</x:v>
      </x:c>
      <x:c r="C301" t="str">
        <x:v>KTO001</x:v>
      </x:c>
      <x:c r="D301"/>
      <x:c r="E301" t="str">
        <x:v>KAT013</x:v>
      </x:c>
      <x:c r="F301"/>
      <x:c r="G301"/>
      <x:c r="H301" t="str">
        <x:v>kein_match</x:v>
      </x:c>
      <x:c r="I301" t="str">
        <x:v>Agent-Draft: keine finale Regelentscheidung</x:v>
      </x:c>
      <x:c r="J301" t="n">
        <x:v>46070</x:v>
      </x:c>
      <x:c r="K301"/>
      <x:c r="L301"/>
      <x:c r="M301" t="n">
        <x:v>300</x:v>
      </x:c>
      <x:c r="N301" t="str">
        <x:v>2026-02</x:v>
      </x:c>
      <x:c r="O301" t="str">
        <x:v>Einnahme</x:v>
      </x:c>
      <x:c r="P301" t="str">
        <x:v>Ist</x:v>
      </x:c>
      <x:c r="Q301" s="59" t="b">
        <x:v>0</x:v>
      </x:c>
      <x:c r="R301" t="str">
        <x:v>unklar</x:v>
      </x:c>
      <x:c r="S301"/>
      <x:c r="T301"/>
      <x:c r="U301"/>
      <x:c r="V301" s="59" t="b">
        <x:v>1</x:v>
      </x:c>
      <x:c r="W301" t="str">
        <x:v>Transferkandidat im Draft</x:v>
      </x:c>
      <x:c r="X301" t="str">
        <x:v>offen</x:v>
      </x:c>
      <x:c r="Y301" t="str">
        <x:v>Agent-Draft; Kategorie und Person pruefen</x:v>
      </x:c>
    </x:row>
    <x:row r="302">
      <x:c r="A302" t="str">
        <x:v>TXN-RAW-IMP-20260516-FULLDRAFT-000286</x:v>
      </x:c>
      <x:c r="B302" t="str">
        <x:v>RAW-IMP-20260516-FULLDRAFT-000286</x:v>
      </x:c>
      <x:c r="C302" t="str">
        <x:v>KTO001</x:v>
      </x:c>
      <x:c r="D302"/>
      <x:c r="E302" t="str">
        <x:v>KAT013</x:v>
      </x:c>
      <x:c r="F302"/>
      <x:c r="G302"/>
      <x:c r="H302" t="str">
        <x:v>kein_match</x:v>
      </x:c>
      <x:c r="I302" t="str">
        <x:v>Agent-Draft: keine finale Regelentscheidung</x:v>
      </x:c>
      <x:c r="J302" t="n">
        <x:v>46069</x:v>
      </x:c>
      <x:c r="K302"/>
      <x:c r="L302"/>
      <x:c r="M302" t="n">
        <x:v>-7.19</x:v>
      </x:c>
      <x:c r="N302" t="str">
        <x:v>2026-02</x:v>
      </x:c>
      <x:c r="O302" t="str">
        <x:v>Ausgabe</x:v>
      </x:c>
      <x:c r="P302" t="str">
        <x:v>Ist</x:v>
      </x:c>
      <x:c r="Q302" s="59" t="b">
        <x:v>0</x:v>
      </x:c>
      <x:c r="R302" t="str">
        <x:v>kein_transfer</x:v>
      </x:c>
      <x:c r="S302"/>
      <x:c r="T302"/>
      <x:c r="U302"/>
      <x:c r="V302" s="59" t="b">
        <x:v>1</x:v>
      </x:c>
      <x:c r="W302"/>
      <x:c r="X302" t="str">
        <x:v>offen</x:v>
      </x:c>
      <x:c r="Y302" t="str">
        <x:v>Agent-Draft; Kategorie und Person pruefen</x:v>
      </x:c>
    </x:row>
    <x:row r="303">
      <x:c r="A303" t="str">
        <x:v>TXN-RAW-IMP-20260516-FULLDRAFT-000287</x:v>
      </x:c>
      <x:c r="B303" t="str">
        <x:v>RAW-IMP-20260516-FULLDRAFT-000287</x:v>
      </x:c>
      <x:c r="C303" t="str">
        <x:v>KTO001</x:v>
      </x:c>
      <x:c r="D303"/>
      <x:c r="E303" t="str">
        <x:v>KAT013</x:v>
      </x:c>
      <x:c r="F303"/>
      <x:c r="G303"/>
      <x:c r="H303" t="str">
        <x:v>kein_match</x:v>
      </x:c>
      <x:c r="I303" t="str">
        <x:v>Agent-Draft: keine finale Regelentscheidung</x:v>
      </x:c>
      <x:c r="J303" t="n">
        <x:v>46069</x:v>
      </x:c>
      <x:c r="K303"/>
      <x:c r="L303"/>
      <x:c r="M303" t="n">
        <x:v>-340</x:v>
      </x:c>
      <x:c r="N303" t="str">
        <x:v>2026-02</x:v>
      </x:c>
      <x:c r="O303" t="str">
        <x:v>Ausgabe</x:v>
      </x:c>
      <x:c r="P303" t="str">
        <x:v>Ist</x:v>
      </x:c>
      <x:c r="Q303" s="59" t="b">
        <x:v>0</x:v>
      </x:c>
      <x:c r="R303" t="str">
        <x:v>kein_transfer</x:v>
      </x:c>
      <x:c r="S303"/>
      <x:c r="T303"/>
      <x:c r="U303"/>
      <x:c r="V303" s="59" t="b">
        <x:v>1</x:v>
      </x:c>
      <x:c r="W303"/>
      <x:c r="X303" t="str">
        <x:v>offen</x:v>
      </x:c>
      <x:c r="Y303" t="str">
        <x:v>Agent-Draft; Kategorie und Person pruefen</x:v>
      </x:c>
    </x:row>
    <x:row r="304">
      <x:c r="A304" t="str">
        <x:v>TXN-RAW-IMP-20260516-FULLDRAFT-000288</x:v>
      </x:c>
      <x:c r="B304" t="str">
        <x:v>RAW-IMP-20260516-FULLDRAFT-000288</x:v>
      </x:c>
      <x:c r="C304" t="str">
        <x:v>KTO001</x:v>
      </x:c>
      <x:c r="D304"/>
      <x:c r="E304" t="str">
        <x:v>KAT013</x:v>
      </x:c>
      <x:c r="F304"/>
      <x:c r="G304"/>
      <x:c r="H304" t="str">
        <x:v>kein_match</x:v>
      </x:c>
      <x:c r="I304" t="str">
        <x:v>Agent-Draft: keine finale Regelentscheidung</x:v>
      </x:c>
      <x:c r="J304" t="n">
        <x:v>46069</x:v>
      </x:c>
      <x:c r="K304"/>
      <x:c r="L304"/>
      <x:c r="M304" t="n">
        <x:v>-92.37</x:v>
      </x:c>
      <x:c r="N304" t="str">
        <x:v>2026-02</x:v>
      </x:c>
      <x:c r="O304" t="str">
        <x:v>Ausgabe</x:v>
      </x:c>
      <x:c r="P304" t="str">
        <x:v>Ist</x:v>
      </x:c>
      <x:c r="Q304" s="59" t="b">
        <x:v>0</x:v>
      </x:c>
      <x:c r="R304" t="str">
        <x:v>kein_transfer</x:v>
      </x:c>
      <x:c r="S304"/>
      <x:c r="T304"/>
      <x:c r="U304"/>
      <x:c r="V304" s="59" t="b">
        <x:v>1</x:v>
      </x:c>
      <x:c r="W304"/>
      <x:c r="X304" t="str">
        <x:v>offen</x:v>
      </x:c>
      <x:c r="Y304" t="str">
        <x:v>Agent-Draft; Kategorie und Person pruefen</x:v>
      </x:c>
    </x:row>
    <x:row r="305">
      <x:c r="A305" t="str">
        <x:v>TXN-RAW-IMP-20260516-FULLDRAFT-000289</x:v>
      </x:c>
      <x:c r="B305" t="str">
        <x:v>RAW-IMP-20260516-FULLDRAFT-000289</x:v>
      </x:c>
      <x:c r="C305" t="str">
        <x:v>KTO001</x:v>
      </x:c>
      <x:c r="D305"/>
      <x:c r="E305" t="str">
        <x:v>KAT013</x:v>
      </x:c>
      <x:c r="F305"/>
      <x:c r="G305"/>
      <x:c r="H305" t="str">
        <x:v>kein_match</x:v>
      </x:c>
      <x:c r="I305" t="str">
        <x:v>Agent-Draft: keine finale Regelentscheidung</x:v>
      </x:c>
      <x:c r="J305" t="n">
        <x:v>46069</x:v>
      </x:c>
      <x:c r="K305"/>
      <x:c r="L305"/>
      <x:c r="M305" t="n">
        <x:v>-144.49</x:v>
      </x:c>
      <x:c r="N305" t="str">
        <x:v>2026-02</x:v>
      </x:c>
      <x:c r="O305" t="str">
        <x:v>Ausgabe</x:v>
      </x:c>
      <x:c r="P305" t="str">
        <x:v>Ist</x:v>
      </x:c>
      <x:c r="Q305" s="59" t="b">
        <x:v>0</x:v>
      </x:c>
      <x:c r="R305" t="str">
        <x:v>kein_transfer</x:v>
      </x:c>
      <x:c r="S305"/>
      <x:c r="T305"/>
      <x:c r="U305"/>
      <x:c r="V305" s="59" t="b">
        <x:v>1</x:v>
      </x:c>
      <x:c r="W305"/>
      <x:c r="X305" t="str">
        <x:v>offen</x:v>
      </x:c>
      <x:c r="Y305" t="str">
        <x:v>Agent-Draft; Kategorie und Person pruefen</x:v>
      </x:c>
    </x:row>
    <x:row r="306">
      <x:c r="A306" t="str">
        <x:v>TXN-RAW-IMP-20260516-FULLDRAFT-000290</x:v>
      </x:c>
      <x:c r="B306" t="str">
        <x:v>RAW-IMP-20260516-FULLDRAFT-000290</x:v>
      </x:c>
      <x:c r="C306" t="str">
        <x:v>KTO001</x:v>
      </x:c>
      <x:c r="D306"/>
      <x:c r="E306" t="str">
        <x:v>KAT013</x:v>
      </x:c>
      <x:c r="F306"/>
      <x:c r="G306"/>
      <x:c r="H306" t="str">
        <x:v>kein_match</x:v>
      </x:c>
      <x:c r="I306" t="str">
        <x:v>Agent-Draft: keine finale Regelentscheidung</x:v>
      </x:c>
      <x:c r="J306" t="n">
        <x:v>46069</x:v>
      </x:c>
      <x:c r="K306"/>
      <x:c r="L306"/>
      <x:c r="M306" t="n">
        <x:v>-98</x:v>
      </x:c>
      <x:c r="N306" t="str">
        <x:v>2026-02</x:v>
      </x:c>
      <x:c r="O306" t="str">
        <x:v>Ausgabe</x:v>
      </x:c>
      <x:c r="P306" t="str">
        <x:v>Ist</x:v>
      </x:c>
      <x:c r="Q306" s="59" t="b">
        <x:v>0</x:v>
      </x:c>
      <x:c r="R306" t="str">
        <x:v>kein_transfer</x:v>
      </x:c>
      <x:c r="S306"/>
      <x:c r="T306"/>
      <x:c r="U306"/>
      <x:c r="V306" s="59" t="b">
        <x:v>1</x:v>
      </x:c>
      <x:c r="W306"/>
      <x:c r="X306" t="str">
        <x:v>offen</x:v>
      </x:c>
      <x:c r="Y306" t="str">
        <x:v>Agent-Draft; Kategorie und Person pruefen</x:v>
      </x:c>
    </x:row>
    <x:row r="307">
      <x:c r="A307" t="str">
        <x:v>TXN-RAW-IMP-20260516-FULLDRAFT-000291</x:v>
      </x:c>
      <x:c r="B307" t="str">
        <x:v>RAW-IMP-20260516-FULLDRAFT-000291</x:v>
      </x:c>
      <x:c r="C307" t="str">
        <x:v>KTO001</x:v>
      </x:c>
      <x:c r="D307"/>
      <x:c r="E307" t="str">
        <x:v>KAT013</x:v>
      </x:c>
      <x:c r="F307"/>
      <x:c r="G307"/>
      <x:c r="H307" t="str">
        <x:v>kein_match</x:v>
      </x:c>
      <x:c r="I307" t="str">
        <x:v>Agent-Draft: keine finale Regelentscheidung</x:v>
      </x:c>
      <x:c r="J307" t="n">
        <x:v>46065</x:v>
      </x:c>
      <x:c r="K307"/>
      <x:c r="L307"/>
      <x:c r="M307" t="n">
        <x:v>99.8</x:v>
      </x:c>
      <x:c r="N307" t="str">
        <x:v>2026-02</x:v>
      </x:c>
      <x:c r="O307" t="str">
        <x:v>Einnahme</x:v>
      </x:c>
      <x:c r="P307" t="str">
        <x:v>Ist</x:v>
      </x:c>
      <x:c r="Q307" s="59" t="b">
        <x:v>0</x:v>
      </x:c>
      <x:c r="R307" t="str">
        <x:v>kein_transfer</x:v>
      </x:c>
      <x:c r="S307"/>
      <x:c r="T307"/>
      <x:c r="U307"/>
      <x:c r="V307" s="59" t="b">
        <x:v>1</x:v>
      </x:c>
      <x:c r="W307"/>
      <x:c r="X307" t="str">
        <x:v>offen</x:v>
      </x:c>
      <x:c r="Y307" t="str">
        <x:v>Agent-Draft; Kategorie und Person pruefen</x:v>
      </x:c>
    </x:row>
    <x:row r="308">
      <x:c r="A308" t="str">
        <x:v>TXN-RAW-IMP-20260516-FULLDRAFT-000292</x:v>
      </x:c>
      <x:c r="B308" t="str">
        <x:v>RAW-IMP-20260516-FULLDRAFT-000292</x:v>
      </x:c>
      <x:c r="C308" t="str">
        <x:v>KTO001</x:v>
      </x:c>
      <x:c r="D308"/>
      <x:c r="E308" t="str">
        <x:v>KAT013</x:v>
      </x:c>
      <x:c r="F308"/>
      <x:c r="G308"/>
      <x:c r="H308" t="str">
        <x:v>kein_match</x:v>
      </x:c>
      <x:c r="I308" t="str">
        <x:v>Agent-Draft: keine finale Regelentscheidung</x:v>
      </x:c>
      <x:c r="J308" t="n">
        <x:v>46065</x:v>
      </x:c>
      <x:c r="K308"/>
      <x:c r="L308"/>
      <x:c r="M308" t="n">
        <x:v>-2.84</x:v>
      </x:c>
      <x:c r="N308" t="str">
        <x:v>2026-02</x:v>
      </x:c>
      <x:c r="O308" t="str">
        <x:v>Ausgabe</x:v>
      </x:c>
      <x:c r="P308" t="str">
        <x:v>Ist</x:v>
      </x:c>
      <x:c r="Q308" s="59" t="b">
        <x:v>0</x:v>
      </x:c>
      <x:c r="R308" t="str">
        <x:v>kein_transfer</x:v>
      </x:c>
      <x:c r="S308"/>
      <x:c r="T308"/>
      <x:c r="U308"/>
      <x:c r="V308" s="59" t="b">
        <x:v>1</x:v>
      </x:c>
      <x:c r="W308"/>
      <x:c r="X308" t="str">
        <x:v>offen</x:v>
      </x:c>
      <x:c r="Y308" t="str">
        <x:v>Agent-Draft; Kategorie und Person pruefen</x:v>
      </x:c>
    </x:row>
    <x:row r="309">
      <x:c r="A309" t="str">
        <x:v>TXN-RAW-IMP-20260516-FULLDRAFT-000293</x:v>
      </x:c>
      <x:c r="B309" t="str">
        <x:v>RAW-IMP-20260516-FULLDRAFT-000293</x:v>
      </x:c>
      <x:c r="C309" t="str">
        <x:v>KTO001</x:v>
      </x:c>
      <x:c r="D309"/>
      <x:c r="E309" t="str">
        <x:v>KAT013</x:v>
      </x:c>
      <x:c r="F309"/>
      <x:c r="G309"/>
      <x:c r="H309" t="str">
        <x:v>kein_match</x:v>
      </x:c>
      <x:c r="I309" t="str">
        <x:v>Agent-Draft: keine finale Regelentscheidung</x:v>
      </x:c>
      <x:c r="J309" t="n">
        <x:v>46064</x:v>
      </x:c>
      <x:c r="K309"/>
      <x:c r="L309"/>
      <x:c r="M309" t="n">
        <x:v>-0.59</x:v>
      </x:c>
      <x:c r="N309" t="str">
        <x:v>2026-02</x:v>
      </x:c>
      <x:c r="O309" t="str">
        <x:v>Ausgabe</x:v>
      </x:c>
      <x:c r="P309" t="str">
        <x:v>Ist</x:v>
      </x:c>
      <x:c r="Q309" s="59" t="b">
        <x:v>0</x:v>
      </x:c>
      <x:c r="R309" t="str">
        <x:v>kein_transfer</x:v>
      </x:c>
      <x:c r="S309"/>
      <x:c r="T309"/>
      <x:c r="U309"/>
      <x:c r="V309" s="59" t="b">
        <x:v>1</x:v>
      </x:c>
      <x:c r="W309"/>
      <x:c r="X309" t="str">
        <x:v>offen</x:v>
      </x:c>
      <x:c r="Y309" t="str">
        <x:v>Agent-Draft; Kategorie und Person pruefen</x:v>
      </x:c>
    </x:row>
    <x:row r="310">
      <x:c r="A310" t="str">
        <x:v>TXN-RAW-IMP-20260516-FULLDRAFT-000294</x:v>
      </x:c>
      <x:c r="B310" t="str">
        <x:v>RAW-IMP-20260516-FULLDRAFT-000294</x:v>
      </x:c>
      <x:c r="C310" t="str">
        <x:v>KTO001</x:v>
      </x:c>
      <x:c r="D310"/>
      <x:c r="E310" t="str">
        <x:v>KAT013</x:v>
      </x:c>
      <x:c r="F310"/>
      <x:c r="G310"/>
      <x:c r="H310" t="str">
        <x:v>kein_match</x:v>
      </x:c>
      <x:c r="I310" t="str">
        <x:v>Agent-Draft: keine finale Regelentscheidung</x:v>
      </x:c>
      <x:c r="J310" t="n">
        <x:v>46064</x:v>
      </x:c>
      <x:c r="K310"/>
      <x:c r="L310"/>
      <x:c r="M310" t="n">
        <x:v>-13.57</x:v>
      </x:c>
      <x:c r="N310" t="str">
        <x:v>2026-02</x:v>
      </x:c>
      <x:c r="O310" t="str">
        <x:v>Ausgabe</x:v>
      </x:c>
      <x:c r="P310" t="str">
        <x:v>Ist</x:v>
      </x:c>
      <x:c r="Q310" s="59" t="b">
        <x:v>0</x:v>
      </x:c>
      <x:c r="R310" t="str">
        <x:v>kein_transfer</x:v>
      </x:c>
      <x:c r="S310"/>
      <x:c r="T310"/>
      <x:c r="U310"/>
      <x:c r="V310" s="59" t="b">
        <x:v>1</x:v>
      </x:c>
      <x:c r="W310"/>
      <x:c r="X310" t="str">
        <x:v>offen</x:v>
      </x:c>
      <x:c r="Y310" t="str">
        <x:v>Agent-Draft; Kategorie und Person pruefen</x:v>
      </x:c>
    </x:row>
    <x:row r="311">
      <x:c r="A311" t="str">
        <x:v>TXN-RAW-IMP-20260516-FULLDRAFT-000295</x:v>
      </x:c>
      <x:c r="B311" t="str">
        <x:v>RAW-IMP-20260516-FULLDRAFT-000295</x:v>
      </x:c>
      <x:c r="C311" t="str">
        <x:v>KTO001</x:v>
      </x:c>
      <x:c r="D311"/>
      <x:c r="E311" t="str">
        <x:v>KAT013</x:v>
      </x:c>
      <x:c r="F311"/>
      <x:c r="G311"/>
      <x:c r="H311" t="str">
        <x:v>kein_match</x:v>
      </x:c>
      <x:c r="I311" t="str">
        <x:v>Agent-Draft: keine finale Regelentscheidung</x:v>
      </x:c>
      <x:c r="J311" t="n">
        <x:v>46064</x:v>
      </x:c>
      <x:c r="K311"/>
      <x:c r="L311"/>
      <x:c r="M311" t="n">
        <x:v>-5.96</x:v>
      </x:c>
      <x:c r="N311" t="str">
        <x:v>2026-02</x:v>
      </x:c>
      <x:c r="O311" t="str">
        <x:v>Ausgabe</x:v>
      </x:c>
      <x:c r="P311" t="str">
        <x:v>Ist</x:v>
      </x:c>
      <x:c r="Q311" s="59" t="b">
        <x:v>0</x:v>
      </x:c>
      <x:c r="R311" t="str">
        <x:v>kein_transfer</x:v>
      </x:c>
      <x:c r="S311"/>
      <x:c r="T311"/>
      <x:c r="U311"/>
      <x:c r="V311" s="59" t="b">
        <x:v>1</x:v>
      </x:c>
      <x:c r="W311"/>
      <x:c r="X311" t="str">
        <x:v>offen</x:v>
      </x:c>
      <x:c r="Y311" t="str">
        <x:v>Agent-Draft; Kategorie und Person pruefen</x:v>
      </x:c>
    </x:row>
    <x:row r="312">
      <x:c r="A312" t="str">
        <x:v>TXN-RAW-IMP-20260516-FULLDRAFT-000296</x:v>
      </x:c>
      <x:c r="B312" t="str">
        <x:v>RAW-IMP-20260516-FULLDRAFT-000296</x:v>
      </x:c>
      <x:c r="C312" t="str">
        <x:v>KTO001</x:v>
      </x:c>
      <x:c r="D312"/>
      <x:c r="E312" t="str">
        <x:v>KAT013</x:v>
      </x:c>
      <x:c r="F312"/>
      <x:c r="G312"/>
      <x:c r="H312" t="str">
        <x:v>kein_match</x:v>
      </x:c>
      <x:c r="I312" t="str">
        <x:v>Agent-Draft: keine finale Regelentscheidung</x:v>
      </x:c>
      <x:c r="J312" t="n">
        <x:v>46063</x:v>
      </x:c>
      <x:c r="K312"/>
      <x:c r="L312"/>
      <x:c r="M312" t="n">
        <x:v>-4.99</x:v>
      </x:c>
      <x:c r="N312" t="str">
        <x:v>2026-02</x:v>
      </x:c>
      <x:c r="O312" t="str">
        <x:v>Ausgabe</x:v>
      </x:c>
      <x:c r="P312" t="str">
        <x:v>Ist</x:v>
      </x:c>
      <x:c r="Q312" s="59" t="b">
        <x:v>0</x:v>
      </x:c>
      <x:c r="R312" t="str">
        <x:v>kein_transfer</x:v>
      </x:c>
      <x:c r="S312"/>
      <x:c r="T312"/>
      <x:c r="U312"/>
      <x:c r="V312" s="59" t="b">
        <x:v>1</x:v>
      </x:c>
      <x:c r="W312"/>
      <x:c r="X312" t="str">
        <x:v>offen</x:v>
      </x:c>
      <x:c r="Y312" t="str">
        <x:v>Agent-Draft; Kategorie und Person pruefen</x:v>
      </x:c>
    </x:row>
    <x:row r="313">
      <x:c r="A313" t="str">
        <x:v>TXN-RAW-IMP-20260516-FULLDRAFT-000297</x:v>
      </x:c>
      <x:c r="B313" t="str">
        <x:v>RAW-IMP-20260516-FULLDRAFT-000297</x:v>
      </x:c>
      <x:c r="C313" t="str">
        <x:v>KTO001</x:v>
      </x:c>
      <x:c r="D313"/>
      <x:c r="E313" t="str">
        <x:v>KAT013</x:v>
      </x:c>
      <x:c r="F313"/>
      <x:c r="G313"/>
      <x:c r="H313" t="str">
        <x:v>kein_match</x:v>
      </x:c>
      <x:c r="I313" t="str">
        <x:v>Agent-Draft: keine finale Regelentscheidung</x:v>
      </x:c>
      <x:c r="J313" t="n">
        <x:v>46062</x:v>
      </x:c>
      <x:c r="K313"/>
      <x:c r="L313"/>
      <x:c r="M313" t="n">
        <x:v>-51.28</x:v>
      </x:c>
      <x:c r="N313" t="str">
        <x:v>2026-02</x:v>
      </x:c>
      <x:c r="O313" t="str">
        <x:v>Ausgabe</x:v>
      </x:c>
      <x:c r="P313" t="str">
        <x:v>Ist</x:v>
      </x:c>
      <x:c r="Q313" s="59" t="b">
        <x:v>0</x:v>
      </x:c>
      <x:c r="R313" t="str">
        <x:v>kein_transfer</x:v>
      </x:c>
      <x:c r="S313"/>
      <x:c r="T313"/>
      <x:c r="U313"/>
      <x:c r="V313" s="59" t="b">
        <x:v>1</x:v>
      </x:c>
      <x:c r="W313"/>
      <x:c r="X313" t="str">
        <x:v>offen</x:v>
      </x:c>
      <x:c r="Y313" t="str">
        <x:v>Agent-Draft; Kategorie und Person pruefen</x:v>
      </x:c>
    </x:row>
    <x:row r="314">
      <x:c r="A314" t="str">
        <x:v>TXN-RAW-IMP-20260516-FULLDRAFT-000298</x:v>
      </x:c>
      <x:c r="B314" t="str">
        <x:v>RAW-IMP-20260516-FULLDRAFT-000298</x:v>
      </x:c>
      <x:c r="C314" t="str">
        <x:v>KTO001</x:v>
      </x:c>
      <x:c r="D314"/>
      <x:c r="E314" t="str">
        <x:v>KAT013</x:v>
      </x:c>
      <x:c r="F314"/>
      <x:c r="G314"/>
      <x:c r="H314" t="str">
        <x:v>kein_match</x:v>
      </x:c>
      <x:c r="I314" t="str">
        <x:v>Agent-Draft: keine finale Regelentscheidung</x:v>
      </x:c>
      <x:c r="J314" t="n">
        <x:v>46062</x:v>
      </x:c>
      <x:c r="K314"/>
      <x:c r="L314"/>
      <x:c r="M314" t="n">
        <x:v>-107.42</x:v>
      </x:c>
      <x:c r="N314" t="str">
        <x:v>2026-02</x:v>
      </x:c>
      <x:c r="O314" t="str">
        <x:v>Ausgabe</x:v>
      </x:c>
      <x:c r="P314" t="str">
        <x:v>Ist</x:v>
      </x:c>
      <x:c r="Q314" s="59" t="b">
        <x:v>0</x:v>
      </x:c>
      <x:c r="R314" t="str">
        <x:v>kein_transfer</x:v>
      </x:c>
      <x:c r="S314"/>
      <x:c r="T314"/>
      <x:c r="U314"/>
      <x:c r="V314" s="59" t="b">
        <x:v>1</x:v>
      </x:c>
      <x:c r="W314"/>
      <x:c r="X314" t="str">
        <x:v>offen</x:v>
      </x:c>
      <x:c r="Y314" t="str">
        <x:v>Agent-Draft; Kategorie und Person pruefen</x:v>
      </x:c>
    </x:row>
    <x:row r="315">
      <x:c r="A315" t="str">
        <x:v>TXN-RAW-IMP-20260516-FULLDRAFT-000299</x:v>
      </x:c>
      <x:c r="B315" t="str">
        <x:v>RAW-IMP-20260516-FULLDRAFT-000299</x:v>
      </x:c>
      <x:c r="C315" t="str">
        <x:v>KTO001</x:v>
      </x:c>
      <x:c r="D315"/>
      <x:c r="E315" t="str">
        <x:v>KAT013</x:v>
      </x:c>
      <x:c r="F315"/>
      <x:c r="G315"/>
      <x:c r="H315" t="str">
        <x:v>kein_match</x:v>
      </x:c>
      <x:c r="I315" t="str">
        <x:v>Agent-Draft: keine finale Regelentscheidung</x:v>
      </x:c>
      <x:c r="J315" t="n">
        <x:v>46062</x:v>
      </x:c>
      <x:c r="K315"/>
      <x:c r="L315"/>
      <x:c r="M315" t="n">
        <x:v>-200</x:v>
      </x:c>
      <x:c r="N315" t="str">
        <x:v>2026-02</x:v>
      </x:c>
      <x:c r="O315" t="str">
        <x:v>Ausgabe</x:v>
      </x:c>
      <x:c r="P315" t="str">
        <x:v>Ist</x:v>
      </x:c>
      <x:c r="Q315" s="59" t="b">
        <x:v>0</x:v>
      </x:c>
      <x:c r="R315" t="str">
        <x:v>kein_transfer</x:v>
      </x:c>
      <x:c r="S315"/>
      <x:c r="T315"/>
      <x:c r="U315"/>
      <x:c r="V315" s="59" t="b">
        <x:v>1</x:v>
      </x:c>
      <x:c r="W315"/>
      <x:c r="X315" t="str">
        <x:v>offen</x:v>
      </x:c>
      <x:c r="Y315" t="str">
        <x:v>Agent-Draft; Kategorie und Person pruefen</x:v>
      </x:c>
    </x:row>
    <x:row r="316">
      <x:c r="A316" t="str">
        <x:v>TXN-RAW-IMP-20260516-FULLDRAFT-000300</x:v>
      </x:c>
      <x:c r="B316" t="str">
        <x:v>RAW-IMP-20260516-FULLDRAFT-000300</x:v>
      </x:c>
      <x:c r="C316" t="str">
        <x:v>KTO001</x:v>
      </x:c>
      <x:c r="D316"/>
      <x:c r="E316" t="str">
        <x:v>KAT013</x:v>
      </x:c>
      <x:c r="F316"/>
      <x:c r="G316"/>
      <x:c r="H316" t="str">
        <x:v>kein_match</x:v>
      </x:c>
      <x:c r="I316" t="str">
        <x:v>Agent-Draft: keine finale Regelentscheidung</x:v>
      </x:c>
      <x:c r="J316" t="n">
        <x:v>46059</x:v>
      </x:c>
      <x:c r="K316"/>
      <x:c r="L316"/>
      <x:c r="M316" t="n">
        <x:v>-30</x:v>
      </x:c>
      <x:c r="N316" t="str">
        <x:v>2026-02</x:v>
      </x:c>
      <x:c r="O316" t="str">
        <x:v>Ausgabe</x:v>
      </x:c>
      <x:c r="P316" t="str">
        <x:v>Ist</x:v>
      </x:c>
      <x:c r="Q316" s="59" t="b">
        <x:v>0</x:v>
      </x:c>
      <x:c r="R316" t="str">
        <x:v>kein_transfer</x:v>
      </x:c>
      <x:c r="S316"/>
      <x:c r="T316"/>
      <x:c r="U316"/>
      <x:c r="V316" s="59" t="b">
        <x:v>1</x:v>
      </x:c>
      <x:c r="W316"/>
      <x:c r="X316" t="str">
        <x:v>offen</x:v>
      </x:c>
      <x:c r="Y316" t="str">
        <x:v>Agent-Draft; Kategorie und Person pruefen</x:v>
      </x:c>
    </x:row>
    <x:row r="317">
      <x:c r="A317" t="str">
        <x:v>TXN-RAW-IMP-20260516-FULLDRAFT-000301</x:v>
      </x:c>
      <x:c r="B317" t="str">
        <x:v>RAW-IMP-20260516-FULLDRAFT-000301</x:v>
      </x:c>
      <x:c r="C317" t="str">
        <x:v>KTO001</x:v>
      </x:c>
      <x:c r="D317"/>
      <x:c r="E317" t="str">
        <x:v>KAT013</x:v>
      </x:c>
      <x:c r="F317"/>
      <x:c r="G317"/>
      <x:c r="H317" t="str">
        <x:v>kein_match</x:v>
      </x:c>
      <x:c r="I317" t="str">
        <x:v>Agent-Draft: keine finale Regelentscheidung</x:v>
      </x:c>
      <x:c r="J317" t="n">
        <x:v>46059</x:v>
      </x:c>
      <x:c r="K317"/>
      <x:c r="L317"/>
      <x:c r="M317" t="n">
        <x:v>-4.24</x:v>
      </x:c>
      <x:c r="N317" t="str">
        <x:v>2026-02</x:v>
      </x:c>
      <x:c r="O317" t="str">
        <x:v>Ausgabe</x:v>
      </x:c>
      <x:c r="P317" t="str">
        <x:v>Ist</x:v>
      </x:c>
      <x:c r="Q317" s="59" t="b">
        <x:v>0</x:v>
      </x:c>
      <x:c r="R317" t="str">
        <x:v>kein_transfer</x:v>
      </x:c>
      <x:c r="S317"/>
      <x:c r="T317"/>
      <x:c r="U317"/>
      <x:c r="V317" s="59" t="b">
        <x:v>1</x:v>
      </x:c>
      <x:c r="W317"/>
      <x:c r="X317" t="str">
        <x:v>offen</x:v>
      </x:c>
      <x:c r="Y317" t="str">
        <x:v>Agent-Draft; Kategorie und Person pruefen</x:v>
      </x:c>
    </x:row>
    <x:row r="318">
      <x:c r="A318" t="str">
        <x:v>TXN-RAW-IMP-20260516-FULLDRAFT-000302</x:v>
      </x:c>
      <x:c r="B318" t="str">
        <x:v>RAW-IMP-20260516-FULLDRAFT-000302</x:v>
      </x:c>
      <x:c r="C318" t="str">
        <x:v>KTO001</x:v>
      </x:c>
      <x:c r="D318"/>
      <x:c r="E318" t="str">
        <x:v>KAT013</x:v>
      </x:c>
      <x:c r="F318"/>
      <x:c r="G318"/>
      <x:c r="H318" t="str">
        <x:v>kein_match</x:v>
      </x:c>
      <x:c r="I318" t="str">
        <x:v>Agent-Draft: keine finale Regelentscheidung</x:v>
      </x:c>
      <x:c r="J318" t="n">
        <x:v>46059</x:v>
      </x:c>
      <x:c r="K318"/>
      <x:c r="L318"/>
      <x:c r="M318" t="n">
        <x:v>500</x:v>
      </x:c>
      <x:c r="N318" t="str">
        <x:v>2026-02</x:v>
      </x:c>
      <x:c r="O318" t="str">
        <x:v>Einnahme</x:v>
      </x:c>
      <x:c r="P318" t="str">
        <x:v>Ist</x:v>
      </x:c>
      <x:c r="Q318" s="59" t="b">
        <x:v>0</x:v>
      </x:c>
      <x:c r="R318" t="str">
        <x:v>unklar</x:v>
      </x:c>
      <x:c r="S318"/>
      <x:c r="T318"/>
      <x:c r="U318"/>
      <x:c r="V318" s="59" t="b">
        <x:v>1</x:v>
      </x:c>
      <x:c r="W318" t="str">
        <x:v>Transferkandidat im Draft</x:v>
      </x:c>
      <x:c r="X318" t="str">
        <x:v>offen</x:v>
      </x:c>
      <x:c r="Y318" t="str">
        <x:v>Agent-Draft; Kategorie und Person pruefen</x:v>
      </x:c>
    </x:row>
    <x:row r="319">
      <x:c r="A319" t="str">
        <x:v>TXN-RAW-IMP-20260516-FULLDRAFT-000303</x:v>
      </x:c>
      <x:c r="B319" t="str">
        <x:v>RAW-IMP-20260516-FULLDRAFT-000303</x:v>
      </x:c>
      <x:c r="C319" t="str">
        <x:v>KTO001</x:v>
      </x:c>
      <x:c r="D319"/>
      <x:c r="E319" t="str">
        <x:v>KAT013</x:v>
      </x:c>
      <x:c r="F319"/>
      <x:c r="G319"/>
      <x:c r="H319" t="str">
        <x:v>kein_match</x:v>
      </x:c>
      <x:c r="I319" t="str">
        <x:v>Agent-Draft: keine finale Regelentscheidung</x:v>
      </x:c>
      <x:c r="J319" t="n">
        <x:v>46059</x:v>
      </x:c>
      <x:c r="K319"/>
      <x:c r="L319"/>
      <x:c r="M319" t="n">
        <x:v>-90</x:v>
      </x:c>
      <x:c r="N319" t="str">
        <x:v>2026-02</x:v>
      </x:c>
      <x:c r="O319" t="str">
        <x:v>Ausgabe</x:v>
      </x:c>
      <x:c r="P319" t="str">
        <x:v>Ist</x:v>
      </x:c>
      <x:c r="Q319" s="59" t="b">
        <x:v>0</x:v>
      </x:c>
      <x:c r="R319" t="str">
        <x:v>kein_transfer</x:v>
      </x:c>
      <x:c r="S319"/>
      <x:c r="T319"/>
      <x:c r="U319"/>
      <x:c r="V319" s="59" t="b">
        <x:v>1</x:v>
      </x:c>
      <x:c r="W319"/>
      <x:c r="X319" t="str">
        <x:v>offen</x:v>
      </x:c>
      <x:c r="Y319" t="str">
        <x:v>Agent-Draft; Kategorie und Person pruefen</x:v>
      </x:c>
    </x:row>
    <x:row r="320">
      <x:c r="A320" t="str">
        <x:v>TXN-RAW-IMP-20260516-FULLDRAFT-000304</x:v>
      </x:c>
      <x:c r="B320" t="str">
        <x:v>RAW-IMP-20260516-FULLDRAFT-000304</x:v>
      </x:c>
      <x:c r="C320" t="str">
        <x:v>KTO001</x:v>
      </x:c>
      <x:c r="D320"/>
      <x:c r="E320" t="str">
        <x:v>KAT013</x:v>
      </x:c>
      <x:c r="F320"/>
      <x:c r="G320"/>
      <x:c r="H320" t="str">
        <x:v>kein_match</x:v>
      </x:c>
      <x:c r="I320" t="str">
        <x:v>Agent-Draft: keine finale Regelentscheidung</x:v>
      </x:c>
      <x:c r="J320" t="n">
        <x:v>46058</x:v>
      </x:c>
      <x:c r="K320"/>
      <x:c r="L320"/>
      <x:c r="M320" t="n">
        <x:v>-700</x:v>
      </x:c>
      <x:c r="N320" t="str">
        <x:v>2026-02</x:v>
      </x:c>
      <x:c r="O320" t="str">
        <x:v>Ausgabe</x:v>
      </x:c>
      <x:c r="P320" t="str">
        <x:v>Ist</x:v>
      </x:c>
      <x:c r="Q320" s="59" t="b">
        <x:v>0</x:v>
      </x:c>
      <x:c r="R320" t="str">
        <x:v>kein_transfer</x:v>
      </x:c>
      <x:c r="S320"/>
      <x:c r="T320"/>
      <x:c r="U320"/>
      <x:c r="V320" s="59" t="b">
        <x:v>1</x:v>
      </x:c>
      <x:c r="W320"/>
      <x:c r="X320" t="str">
        <x:v>offen</x:v>
      </x:c>
      <x:c r="Y320" t="str">
        <x:v>Agent-Draft; Kategorie und Person pruefen</x:v>
      </x:c>
    </x:row>
    <x:row r="321">
      <x:c r="A321" t="str">
        <x:v>TXN-RAW-IMP-20260516-FULLDRAFT-000305</x:v>
      </x:c>
      <x:c r="B321" t="str">
        <x:v>RAW-IMP-20260516-FULLDRAFT-000305</x:v>
      </x:c>
      <x:c r="C321" t="str">
        <x:v>KTO001</x:v>
      </x:c>
      <x:c r="D321"/>
      <x:c r="E321" t="str">
        <x:v>KAT013</x:v>
      </x:c>
      <x:c r="F321"/>
      <x:c r="G321"/>
      <x:c r="H321" t="str">
        <x:v>kein_match</x:v>
      </x:c>
      <x:c r="I321" t="str">
        <x:v>Agent-Draft: keine finale Regelentscheidung</x:v>
      </x:c>
      <x:c r="J321" t="n">
        <x:v>46058</x:v>
      </x:c>
      <x:c r="K321"/>
      <x:c r="L321"/>
      <x:c r="M321" t="n">
        <x:v>-15</x:v>
      </x:c>
      <x:c r="N321" t="str">
        <x:v>2026-02</x:v>
      </x:c>
      <x:c r="O321" t="str">
        <x:v>Ausgabe</x:v>
      </x:c>
      <x:c r="P321" t="str">
        <x:v>Ist</x:v>
      </x:c>
      <x:c r="Q321" s="59" t="b">
        <x:v>0</x:v>
      </x:c>
      <x:c r="R321" t="str">
        <x:v>kein_transfer</x:v>
      </x:c>
      <x:c r="S321"/>
      <x:c r="T321"/>
      <x:c r="U321"/>
      <x:c r="V321" s="59" t="b">
        <x:v>1</x:v>
      </x:c>
      <x:c r="W321"/>
      <x:c r="X321" t="str">
        <x:v>offen</x:v>
      </x:c>
      <x:c r="Y321" t="str">
        <x:v>Agent-Draft; Kategorie und Person pruefen</x:v>
      </x:c>
    </x:row>
    <x:row r="322">
      <x:c r="A322" t="str">
        <x:v>TXN-RAW-IMP-20260516-FULLDRAFT-000306</x:v>
      </x:c>
      <x:c r="B322" t="str">
        <x:v>RAW-IMP-20260516-FULLDRAFT-000306</x:v>
      </x:c>
      <x:c r="C322" t="str">
        <x:v>KTO001</x:v>
      </x:c>
      <x:c r="D322"/>
      <x:c r="E322" t="str">
        <x:v>KAT013</x:v>
      </x:c>
      <x:c r="F322"/>
      <x:c r="G322"/>
      <x:c r="H322" t="str">
        <x:v>kein_match</x:v>
      </x:c>
      <x:c r="I322" t="str">
        <x:v>Agent-Draft: keine finale Regelentscheidung</x:v>
      </x:c>
      <x:c r="J322" t="n">
        <x:v>46058</x:v>
      </x:c>
      <x:c r="K322"/>
      <x:c r="L322"/>
      <x:c r="M322" t="n">
        <x:v>-36.99</x:v>
      </x:c>
      <x:c r="N322" t="str">
        <x:v>2026-02</x:v>
      </x:c>
      <x:c r="O322" t="str">
        <x:v>Ausgabe</x:v>
      </x:c>
      <x:c r="P322" t="str">
        <x:v>Ist</x:v>
      </x:c>
      <x:c r="Q322" s="59" t="b">
        <x:v>0</x:v>
      </x:c>
      <x:c r="R322" t="str">
        <x:v>kein_transfer</x:v>
      </x:c>
      <x:c r="S322"/>
      <x:c r="T322"/>
      <x:c r="U322"/>
      <x:c r="V322" s="59" t="b">
        <x:v>1</x:v>
      </x:c>
      <x:c r="W322"/>
      <x:c r="X322" t="str">
        <x:v>offen</x:v>
      </x:c>
      <x:c r="Y322" t="str">
        <x:v>Agent-Draft; Kategorie und Person pruefen</x:v>
      </x:c>
    </x:row>
    <x:row r="323">
      <x:c r="A323" t="str">
        <x:v>TXN-RAW-IMP-20260516-FULLDRAFT-000307</x:v>
      </x:c>
      <x:c r="B323" t="str">
        <x:v>RAW-IMP-20260516-FULLDRAFT-000307</x:v>
      </x:c>
      <x:c r="C323" t="str">
        <x:v>KTO001</x:v>
      </x:c>
      <x:c r="D323"/>
      <x:c r="E323" t="str">
        <x:v>KAT013</x:v>
      </x:c>
      <x:c r="F323"/>
      <x:c r="G323"/>
      <x:c r="H323" t="str">
        <x:v>kein_match</x:v>
      </x:c>
      <x:c r="I323" t="str">
        <x:v>Agent-Draft: keine finale Regelentscheidung</x:v>
      </x:c>
      <x:c r="J323" t="n">
        <x:v>46058</x:v>
      </x:c>
      <x:c r="K323"/>
      <x:c r="L323"/>
      <x:c r="M323" t="n">
        <x:v>-12.99</x:v>
      </x:c>
      <x:c r="N323" t="str">
        <x:v>2026-02</x:v>
      </x:c>
      <x:c r="O323" t="str">
        <x:v>Ausgabe</x:v>
      </x:c>
      <x:c r="P323" t="str">
        <x:v>Ist</x:v>
      </x:c>
      <x:c r="Q323" s="59" t="b">
        <x:v>0</x:v>
      </x:c>
      <x:c r="R323" t="str">
        <x:v>kein_transfer</x:v>
      </x:c>
      <x:c r="S323"/>
      <x:c r="T323"/>
      <x:c r="U323"/>
      <x:c r="V323" s="59" t="b">
        <x:v>1</x:v>
      </x:c>
      <x:c r="W323"/>
      <x:c r="X323" t="str">
        <x:v>offen</x:v>
      </x:c>
      <x:c r="Y323" t="str">
        <x:v>Agent-Draft; Kategorie und Person pruefen</x:v>
      </x:c>
    </x:row>
    <x:row r="324">
      <x:c r="A324" t="str">
        <x:v>TXN-RAW-IMP-20260516-FULLDRAFT-000308</x:v>
      </x:c>
      <x:c r="B324" t="str">
        <x:v>RAW-IMP-20260516-FULLDRAFT-000308</x:v>
      </x:c>
      <x:c r="C324" t="str">
        <x:v>KTO001</x:v>
      </x:c>
      <x:c r="D324"/>
      <x:c r="E324" t="str">
        <x:v>KAT013</x:v>
      </x:c>
      <x:c r="F324"/>
      <x:c r="G324"/>
      <x:c r="H324" t="str">
        <x:v>kein_match</x:v>
      </x:c>
      <x:c r="I324" t="str">
        <x:v>Agent-Draft: keine finale Regelentscheidung</x:v>
      </x:c>
      <x:c r="J324" t="n">
        <x:v>46058</x:v>
      </x:c>
      <x:c r="K324"/>
      <x:c r="L324"/>
      <x:c r="M324" t="n">
        <x:v>-65.93</x:v>
      </x:c>
      <x:c r="N324" t="str">
        <x:v>2026-02</x:v>
      </x:c>
      <x:c r="O324" t="str">
        <x:v>Ausgabe</x:v>
      </x:c>
      <x:c r="P324" t="str">
        <x:v>Ist</x:v>
      </x:c>
      <x:c r="Q324" s="59" t="b">
        <x:v>0</x:v>
      </x:c>
      <x:c r="R324" t="str">
        <x:v>kein_transfer</x:v>
      </x:c>
      <x:c r="S324"/>
      <x:c r="T324"/>
      <x:c r="U324"/>
      <x:c r="V324" s="59" t="b">
        <x:v>1</x:v>
      </x:c>
      <x:c r="W324"/>
      <x:c r="X324" t="str">
        <x:v>offen</x:v>
      </x:c>
      <x:c r="Y324" t="str">
        <x:v>Agent-Draft; Kategorie und Person pruefen</x:v>
      </x:c>
    </x:row>
    <x:row r="325">
      <x:c r="A325" t="str">
        <x:v>TXN-RAW-IMP-20260516-FULLDRAFT-000309</x:v>
      </x:c>
      <x:c r="B325" t="str">
        <x:v>RAW-IMP-20260516-FULLDRAFT-000309</x:v>
      </x:c>
      <x:c r="C325" t="str">
        <x:v>KTO001</x:v>
      </x:c>
      <x:c r="D325"/>
      <x:c r="E325" t="str">
        <x:v>KAT013</x:v>
      </x:c>
      <x:c r="F325"/>
      <x:c r="G325"/>
      <x:c r="H325" t="str">
        <x:v>kein_match</x:v>
      </x:c>
      <x:c r="I325" t="str">
        <x:v>Agent-Draft: keine finale Regelentscheidung</x:v>
      </x:c>
      <x:c r="J325" t="n">
        <x:v>46057</x:v>
      </x:c>
      <x:c r="K325"/>
      <x:c r="L325"/>
      <x:c r="M325" t="n">
        <x:v>-197.89</x:v>
      </x:c>
      <x:c r="N325" t="str">
        <x:v>2026-02</x:v>
      </x:c>
      <x:c r="O325" t="str">
        <x:v>Ausgabe</x:v>
      </x:c>
      <x:c r="P325" t="str">
        <x:v>Ist</x:v>
      </x:c>
      <x:c r="Q325" s="59" t="b">
        <x:v>0</x:v>
      </x:c>
      <x:c r="R325" t="str">
        <x:v>kein_transfer</x:v>
      </x:c>
      <x:c r="S325"/>
      <x:c r="T325"/>
      <x:c r="U325"/>
      <x:c r="V325" s="59" t="b">
        <x:v>1</x:v>
      </x:c>
      <x:c r="W325"/>
      <x:c r="X325" t="str">
        <x:v>offen</x:v>
      </x:c>
      <x:c r="Y325" t="str">
        <x:v>Agent-Draft; Kategorie und Person pruefen</x:v>
      </x:c>
    </x:row>
    <x:row r="326">
      <x:c r="A326" t="str">
        <x:v>TXN-RAW-IMP-20260516-FULLDRAFT-000310</x:v>
      </x:c>
      <x:c r="B326" t="str">
        <x:v>RAW-IMP-20260516-FULLDRAFT-000310</x:v>
      </x:c>
      <x:c r="C326" t="str">
        <x:v>KTO001</x:v>
      </x:c>
      <x:c r="D326"/>
      <x:c r="E326" t="str">
        <x:v>KAT013</x:v>
      </x:c>
      <x:c r="F326"/>
      <x:c r="G326"/>
      <x:c r="H326" t="str">
        <x:v>kein_match</x:v>
      </x:c>
      <x:c r="I326" t="str">
        <x:v>Agent-Draft: keine finale Regelentscheidung</x:v>
      </x:c>
      <x:c r="J326" t="n">
        <x:v>46057</x:v>
      </x:c>
      <x:c r="K326"/>
      <x:c r="L326"/>
      <x:c r="M326" t="n">
        <x:v>-3.49</x:v>
      </x:c>
      <x:c r="N326" t="str">
        <x:v>2026-02</x:v>
      </x:c>
      <x:c r="O326" t="str">
        <x:v>Ausgabe</x:v>
      </x:c>
      <x:c r="P326" t="str">
        <x:v>Ist</x:v>
      </x:c>
      <x:c r="Q326" s="59" t="b">
        <x:v>0</x:v>
      </x:c>
      <x:c r="R326" t="str">
        <x:v>kein_transfer</x:v>
      </x:c>
      <x:c r="S326"/>
      <x:c r="T326"/>
      <x:c r="U326"/>
      <x:c r="V326" s="59" t="b">
        <x:v>1</x:v>
      </x:c>
      <x:c r="W326"/>
      <x:c r="X326" t="str">
        <x:v>offen</x:v>
      </x:c>
      <x:c r="Y326" t="str">
        <x:v>Agent-Draft; Kategorie und Person pruefen</x:v>
      </x:c>
    </x:row>
    <x:row r="327">
      <x:c r="A327" t="str">
        <x:v>TXN-RAW-IMP-20260516-FULLDRAFT-000311</x:v>
      </x:c>
      <x:c r="B327" t="str">
        <x:v>RAW-IMP-20260516-FULLDRAFT-000311</x:v>
      </x:c>
      <x:c r="C327" t="str">
        <x:v>KTO001</x:v>
      </x:c>
      <x:c r="D327"/>
      <x:c r="E327" t="str">
        <x:v>KAT013</x:v>
      </x:c>
      <x:c r="F327"/>
      <x:c r="G327"/>
      <x:c r="H327" t="str">
        <x:v>kein_match</x:v>
      </x:c>
      <x:c r="I327" t="str">
        <x:v>Agent-Draft: keine finale Regelentscheidung</x:v>
      </x:c>
      <x:c r="J327" t="n">
        <x:v>46056</x:v>
      </x:c>
      <x:c r="K327"/>
      <x:c r="L327"/>
      <x:c r="M327" t="n">
        <x:v>-11.5</x:v>
      </x:c>
      <x:c r="N327" t="str">
        <x:v>2026-02</x:v>
      </x:c>
      <x:c r="O327" t="str">
        <x:v>Ausgabe</x:v>
      </x:c>
      <x:c r="P327" t="str">
        <x:v>Ist</x:v>
      </x:c>
      <x:c r="Q327" s="59" t="b">
        <x:v>0</x:v>
      </x:c>
      <x:c r="R327" t="str">
        <x:v>kein_transfer</x:v>
      </x:c>
      <x:c r="S327"/>
      <x:c r="T327"/>
      <x:c r="U327"/>
      <x:c r="V327" s="59" t="b">
        <x:v>1</x:v>
      </x:c>
      <x:c r="W327"/>
      <x:c r="X327" t="str">
        <x:v>offen</x:v>
      </x:c>
      <x:c r="Y327" t="str">
        <x:v>Agent-Draft; Kategorie und Person pruefen</x:v>
      </x:c>
    </x:row>
    <x:row r="328">
      <x:c r="A328" t="str">
        <x:v>TXN-RAW-IMP-20260516-FULLDRAFT-000312</x:v>
      </x:c>
      <x:c r="B328" t="str">
        <x:v>RAW-IMP-20260516-FULLDRAFT-000312</x:v>
      </x:c>
      <x:c r="C328" t="str">
        <x:v>KTO001</x:v>
      </x:c>
      <x:c r="D328"/>
      <x:c r="E328" t="str">
        <x:v>KAT013</x:v>
      </x:c>
      <x:c r="F328"/>
      <x:c r="G328"/>
      <x:c r="H328" t="str">
        <x:v>kein_match</x:v>
      </x:c>
      <x:c r="I328" t="str">
        <x:v>Agent-Draft: keine finale Regelentscheidung</x:v>
      </x:c>
      <x:c r="J328" t="n">
        <x:v>46056</x:v>
      </x:c>
      <x:c r="K328"/>
      <x:c r="L328"/>
      <x:c r="M328" t="n">
        <x:v>-32.1</x:v>
      </x:c>
      <x:c r="N328" t="str">
        <x:v>2026-02</x:v>
      </x:c>
      <x:c r="O328" t="str">
        <x:v>Ausgabe</x:v>
      </x:c>
      <x:c r="P328" t="str">
        <x:v>Ist</x:v>
      </x:c>
      <x:c r="Q328" s="59" t="b">
        <x:v>0</x:v>
      </x:c>
      <x:c r="R328" t="str">
        <x:v>kein_transfer</x:v>
      </x:c>
      <x:c r="S328"/>
      <x:c r="T328"/>
      <x:c r="U328"/>
      <x:c r="V328" s="59" t="b">
        <x:v>1</x:v>
      </x:c>
      <x:c r="W328"/>
      <x:c r="X328" t="str">
        <x:v>offen</x:v>
      </x:c>
      <x:c r="Y328" t="str">
        <x:v>Agent-Draft; Kategorie und Person pruefen</x:v>
      </x:c>
    </x:row>
    <x:row r="329">
      <x:c r="A329" t="str">
        <x:v>TXN-RAW-IMP-20260516-FULLDRAFT-000313</x:v>
      </x:c>
      <x:c r="B329" t="str">
        <x:v>RAW-IMP-20260516-FULLDRAFT-000313</x:v>
      </x:c>
      <x:c r="C329" t="str">
        <x:v>KTO001</x:v>
      </x:c>
      <x:c r="D329"/>
      <x:c r="E329" t="str">
        <x:v>KAT013</x:v>
      </x:c>
      <x:c r="F329"/>
      <x:c r="G329"/>
      <x:c r="H329" t="str">
        <x:v>kein_match</x:v>
      </x:c>
      <x:c r="I329" t="str">
        <x:v>Agent-Draft: keine finale Regelentscheidung</x:v>
      </x:c>
      <x:c r="J329" t="n">
        <x:v>46056</x:v>
      </x:c>
      <x:c r="K329"/>
      <x:c r="L329"/>
      <x:c r="M329" t="n">
        <x:v>-8.99</x:v>
      </x:c>
      <x:c r="N329" t="str">
        <x:v>2026-02</x:v>
      </x:c>
      <x:c r="O329" t="str">
        <x:v>Ausgabe</x:v>
      </x:c>
      <x:c r="P329" t="str">
        <x:v>Ist</x:v>
      </x:c>
      <x:c r="Q329" s="59" t="b">
        <x:v>0</x:v>
      </x:c>
      <x:c r="R329" t="str">
        <x:v>kein_transfer</x:v>
      </x:c>
      <x:c r="S329"/>
      <x:c r="T329"/>
      <x:c r="U329"/>
      <x:c r="V329" s="59" t="b">
        <x:v>1</x:v>
      </x:c>
      <x:c r="W329"/>
      <x:c r="X329" t="str">
        <x:v>offen</x:v>
      </x:c>
      <x:c r="Y329" t="str">
        <x:v>Agent-Draft; Kategorie und Person pruefen</x:v>
      </x:c>
    </x:row>
    <x:row r="330">
      <x:c r="A330" t="str">
        <x:v>TXN-RAW-IMP-20260516-FULLDRAFT-000314</x:v>
      </x:c>
      <x:c r="B330" t="str">
        <x:v>RAW-IMP-20260516-FULLDRAFT-000314</x:v>
      </x:c>
      <x:c r="C330" t="str">
        <x:v>KTO001</x:v>
      </x:c>
      <x:c r="D330"/>
      <x:c r="E330" t="str">
        <x:v>KAT013</x:v>
      </x:c>
      <x:c r="F330"/>
      <x:c r="G330"/>
      <x:c r="H330" t="str">
        <x:v>kein_match</x:v>
      </x:c>
      <x:c r="I330" t="str">
        <x:v>Agent-Draft: keine finale Regelentscheidung</x:v>
      </x:c>
      <x:c r="J330" t="n">
        <x:v>46056</x:v>
      </x:c>
      <x:c r="K330"/>
      <x:c r="L330"/>
      <x:c r="M330" t="n">
        <x:v>-56.83</x:v>
      </x:c>
      <x:c r="N330" t="str">
        <x:v>2026-02</x:v>
      </x:c>
      <x:c r="O330" t="str">
        <x:v>Ausgabe</x:v>
      </x:c>
      <x:c r="P330" t="str">
        <x:v>Ist</x:v>
      </x:c>
      <x:c r="Q330" s="59" t="b">
        <x:v>0</x:v>
      </x:c>
      <x:c r="R330" t="str">
        <x:v>kein_transfer</x:v>
      </x:c>
      <x:c r="S330"/>
      <x:c r="T330"/>
      <x:c r="U330"/>
      <x:c r="V330" s="59" t="b">
        <x:v>1</x:v>
      </x:c>
      <x:c r="W330"/>
      <x:c r="X330" t="str">
        <x:v>offen</x:v>
      </x:c>
      <x:c r="Y330" t="str">
        <x:v>Agent-Draft; Kategorie und Person pruefen</x:v>
      </x:c>
    </x:row>
    <x:row r="331">
      <x:c r="A331" t="str">
        <x:v>TXN-RAW-IMP-20260516-FULLDRAFT-000315</x:v>
      </x:c>
      <x:c r="B331" t="str">
        <x:v>RAW-IMP-20260516-FULLDRAFT-000315</x:v>
      </x:c>
      <x:c r="C331" t="str">
        <x:v>KTO001</x:v>
      </x:c>
      <x:c r="D331"/>
      <x:c r="E331" t="str">
        <x:v>KAT013</x:v>
      </x:c>
      <x:c r="F331"/>
      <x:c r="G331"/>
      <x:c r="H331" t="str">
        <x:v>kein_match</x:v>
      </x:c>
      <x:c r="I331" t="str">
        <x:v>Agent-Draft: keine finale Regelentscheidung</x:v>
      </x:c>
      <x:c r="J331" t="n">
        <x:v>46056</x:v>
      </x:c>
      <x:c r="K331"/>
      <x:c r="L331"/>
      <x:c r="M331" t="n">
        <x:v>-11.96</x:v>
      </x:c>
      <x:c r="N331" t="str">
        <x:v>2026-02</x:v>
      </x:c>
      <x:c r="O331" t="str">
        <x:v>Ausgabe</x:v>
      </x:c>
      <x:c r="P331" t="str">
        <x:v>Ist</x:v>
      </x:c>
      <x:c r="Q331" s="59" t="b">
        <x:v>0</x:v>
      </x:c>
      <x:c r="R331" t="str">
        <x:v>kein_transfer</x:v>
      </x:c>
      <x:c r="S331"/>
      <x:c r="T331"/>
      <x:c r="U331"/>
      <x:c r="V331" s="59" t="b">
        <x:v>1</x:v>
      </x:c>
      <x:c r="W331"/>
      <x:c r="X331" t="str">
        <x:v>offen</x:v>
      </x:c>
      <x:c r="Y331" t="str">
        <x:v>Agent-Draft; Kategorie und Person pruefen</x:v>
      </x:c>
    </x:row>
    <x:row r="332">
      <x:c r="A332" t="str">
        <x:v>TXN-RAW-IMP-20260516-FULLDRAFT-000316</x:v>
      </x:c>
      <x:c r="B332" t="str">
        <x:v>RAW-IMP-20260516-FULLDRAFT-000316</x:v>
      </x:c>
      <x:c r="C332" t="str">
        <x:v>KTO001</x:v>
      </x:c>
      <x:c r="D332"/>
      <x:c r="E332" t="str">
        <x:v>KAT013</x:v>
      </x:c>
      <x:c r="F332"/>
      <x:c r="G332"/>
      <x:c r="H332" t="str">
        <x:v>kein_match</x:v>
      </x:c>
      <x:c r="I332" t="str">
        <x:v>Agent-Draft: keine finale Regelentscheidung</x:v>
      </x:c>
      <x:c r="J332" t="n">
        <x:v>46056</x:v>
      </x:c>
      <x:c r="K332"/>
      <x:c r="L332"/>
      <x:c r="M332" t="n">
        <x:v>-60.5</x:v>
      </x:c>
      <x:c r="N332" t="str">
        <x:v>2026-02</x:v>
      </x:c>
      <x:c r="O332" t="str">
        <x:v>Ausgabe</x:v>
      </x:c>
      <x:c r="P332" t="str">
        <x:v>Ist</x:v>
      </x:c>
      <x:c r="Q332" s="59" t="b">
        <x:v>0</x:v>
      </x:c>
      <x:c r="R332" t="str">
        <x:v>kein_transfer</x:v>
      </x:c>
      <x:c r="S332"/>
      <x:c r="T332"/>
      <x:c r="U332"/>
      <x:c r="V332" s="59" t="b">
        <x:v>1</x:v>
      </x:c>
      <x:c r="W332"/>
      <x:c r="X332" t="str">
        <x:v>offen</x:v>
      </x:c>
      <x:c r="Y332" t="str">
        <x:v>Agent-Draft; Kategorie und Person pruefen</x:v>
      </x:c>
    </x:row>
    <x:row r="333">
      <x:c r="A333" t="str">
        <x:v>TXN-RAW-IMP-20260516-FULLDRAFT-000317</x:v>
      </x:c>
      <x:c r="B333" t="str">
        <x:v>RAW-IMP-20260516-FULLDRAFT-000317</x:v>
      </x:c>
      <x:c r="C333" t="str">
        <x:v>KTO001</x:v>
      </x:c>
      <x:c r="D333"/>
      <x:c r="E333" t="str">
        <x:v>KAT013</x:v>
      </x:c>
      <x:c r="F333"/>
      <x:c r="G333"/>
      <x:c r="H333" t="str">
        <x:v>kein_match</x:v>
      </x:c>
      <x:c r="I333" t="str">
        <x:v>Agent-Draft: keine finale Regelentscheidung</x:v>
      </x:c>
      <x:c r="J333" t="n">
        <x:v>46055</x:v>
      </x:c>
      <x:c r="K333"/>
      <x:c r="L333"/>
      <x:c r="M333" t="n">
        <x:v>750</x:v>
      </x:c>
      <x:c r="N333" t="str">
        <x:v>2026-02</x:v>
      </x:c>
      <x:c r="O333" t="str">
        <x:v>Einnahme</x:v>
      </x:c>
      <x:c r="P333" t="str">
        <x:v>Ist</x:v>
      </x:c>
      <x:c r="Q333" s="59" t="b">
        <x:v>0</x:v>
      </x:c>
      <x:c r="R333" t="str">
        <x:v>kein_transfer</x:v>
      </x:c>
      <x:c r="S333"/>
      <x:c r="T333"/>
      <x:c r="U333"/>
      <x:c r="V333" s="59" t="b">
        <x:v>1</x:v>
      </x:c>
      <x:c r="W333"/>
      <x:c r="X333" t="str">
        <x:v>offen</x:v>
      </x:c>
      <x:c r="Y333" t="str">
        <x:v>Agent-Draft; Kategorie und Person pruefen</x:v>
      </x:c>
    </x:row>
    <x:row r="334">
      <x:c r="A334" t="str">
        <x:v>TXN-RAW-IMP-20260516-FULLDRAFT-000318</x:v>
      </x:c>
      <x:c r="B334" t="str">
        <x:v>RAW-IMP-20260516-FULLDRAFT-000318</x:v>
      </x:c>
      <x:c r="C334" t="str">
        <x:v>KTO001</x:v>
      </x:c>
      <x:c r="D334"/>
      <x:c r="E334" t="str">
        <x:v>KAT013</x:v>
      </x:c>
      <x:c r="F334"/>
      <x:c r="G334"/>
      <x:c r="H334" t="str">
        <x:v>kein_match</x:v>
      </x:c>
      <x:c r="I334" t="str">
        <x:v>Agent-Draft: keine finale Regelentscheidung</x:v>
      </x:c>
      <x:c r="J334" t="n">
        <x:v>46055</x:v>
      </x:c>
      <x:c r="K334"/>
      <x:c r="L334"/>
      <x:c r="M334" t="n">
        <x:v>-111.96</x:v>
      </x:c>
      <x:c r="N334" t="str">
        <x:v>2026-02</x:v>
      </x:c>
      <x:c r="O334" t="str">
        <x:v>Ausgabe</x:v>
      </x:c>
      <x:c r="P334" t="str">
        <x:v>Ist</x:v>
      </x:c>
      <x:c r="Q334" s="59" t="b">
        <x:v>0</x:v>
      </x:c>
      <x:c r="R334" t="str">
        <x:v>kein_transfer</x:v>
      </x:c>
      <x:c r="S334"/>
      <x:c r="T334"/>
      <x:c r="U334"/>
      <x:c r="V334" s="59" t="b">
        <x:v>1</x:v>
      </x:c>
      <x:c r="W334"/>
      <x:c r="X334" t="str">
        <x:v>offen</x:v>
      </x:c>
      <x:c r="Y334" t="str">
        <x:v>Agent-Draft; Kategorie und Person pruefen</x:v>
      </x:c>
    </x:row>
    <x:row r="335">
      <x:c r="A335" t="str">
        <x:v>TXN-RAW-IMP-20260516-FULLDRAFT-000319</x:v>
      </x:c>
      <x:c r="B335" t="str">
        <x:v>RAW-IMP-20260516-FULLDRAFT-000319</x:v>
      </x:c>
      <x:c r="C335" t="str">
        <x:v>KTO001</x:v>
      </x:c>
      <x:c r="D335"/>
      <x:c r="E335" t="str">
        <x:v>KAT013</x:v>
      </x:c>
      <x:c r="F335"/>
      <x:c r="G335"/>
      <x:c r="H335" t="str">
        <x:v>kein_match</x:v>
      </x:c>
      <x:c r="I335" t="str">
        <x:v>Agent-Draft: keine finale Regelentscheidung</x:v>
      </x:c>
      <x:c r="J335" t="n">
        <x:v>46055</x:v>
      </x:c>
      <x:c r="K335"/>
      <x:c r="L335"/>
      <x:c r="M335" t="n">
        <x:v>-35</x:v>
      </x:c>
      <x:c r="N335" t="str">
        <x:v>2026-02</x:v>
      </x:c>
      <x:c r="O335" t="str">
        <x:v>Ausgabe</x:v>
      </x:c>
      <x:c r="P335" t="str">
        <x:v>Ist</x:v>
      </x:c>
      <x:c r="Q335" s="59" t="b">
        <x:v>0</x:v>
      </x:c>
      <x:c r="R335" t="str">
        <x:v>kein_transfer</x:v>
      </x:c>
      <x:c r="S335"/>
      <x:c r="T335"/>
      <x:c r="U335"/>
      <x:c r="V335" s="59" t="b">
        <x:v>1</x:v>
      </x:c>
      <x:c r="W335"/>
      <x:c r="X335" t="str">
        <x:v>offen</x:v>
      </x:c>
      <x:c r="Y335" t="str">
        <x:v>Agent-Draft; Kategorie und Person pruefen</x:v>
      </x:c>
    </x:row>
    <x:row r="336">
      <x:c r="A336" t="str">
        <x:v>TXN-RAW-IMP-20260516-FULLDRAFT-000320</x:v>
      </x:c>
      <x:c r="B336" t="str">
        <x:v>RAW-IMP-20260516-FULLDRAFT-000320</x:v>
      </x:c>
      <x:c r="C336" t="str">
        <x:v>KTO001</x:v>
      </x:c>
      <x:c r="D336"/>
      <x:c r="E336" t="str">
        <x:v>KAT013</x:v>
      </x:c>
      <x:c r="F336"/>
      <x:c r="G336"/>
      <x:c r="H336" t="str">
        <x:v>kein_match</x:v>
      </x:c>
      <x:c r="I336" t="str">
        <x:v>Agent-Draft: keine finale Regelentscheidung</x:v>
      </x:c>
      <x:c r="J336" t="n">
        <x:v>46055</x:v>
      </x:c>
      <x:c r="K336"/>
      <x:c r="L336"/>
      <x:c r="M336" t="n">
        <x:v>-47.67</x:v>
      </x:c>
      <x:c r="N336" t="str">
        <x:v>2026-02</x:v>
      </x:c>
      <x:c r="O336" t="str">
        <x:v>Ausgabe</x:v>
      </x:c>
      <x:c r="P336" t="str">
        <x:v>Ist</x:v>
      </x:c>
      <x:c r="Q336" s="59" t="b">
        <x:v>0</x:v>
      </x:c>
      <x:c r="R336" t="str">
        <x:v>kein_transfer</x:v>
      </x:c>
      <x:c r="S336"/>
      <x:c r="T336"/>
      <x:c r="U336"/>
      <x:c r="V336" s="59" t="b">
        <x:v>1</x:v>
      </x:c>
      <x:c r="W336"/>
      <x:c r="X336" t="str">
        <x:v>offen</x:v>
      </x:c>
      <x:c r="Y336" t="str">
        <x:v>Agent-Draft; Kategorie und Person pruefen</x:v>
      </x:c>
    </x:row>
    <x:row r="337">
      <x:c r="A337" t="str">
        <x:v>TXN-RAW-IMP-20260516-FULLDRAFT-000321</x:v>
      </x:c>
      <x:c r="B337" t="str">
        <x:v>RAW-IMP-20260516-FULLDRAFT-000321</x:v>
      </x:c>
      <x:c r="C337" t="str">
        <x:v>KTO001</x:v>
      </x:c>
      <x:c r="D337"/>
      <x:c r="E337" t="str">
        <x:v>KAT013</x:v>
      </x:c>
      <x:c r="F337"/>
      <x:c r="G337"/>
      <x:c r="H337" t="str">
        <x:v>kein_match</x:v>
      </x:c>
      <x:c r="I337" t="str">
        <x:v>Agent-Draft: keine finale Regelentscheidung</x:v>
      </x:c>
      <x:c r="J337" t="n">
        <x:v>46055</x:v>
      </x:c>
      <x:c r="K337"/>
      <x:c r="L337"/>
      <x:c r="M337" t="n">
        <x:v>-100.4</x:v>
      </x:c>
      <x:c r="N337" t="str">
        <x:v>2026-02</x:v>
      </x:c>
      <x:c r="O337" t="str">
        <x:v>Ausgabe</x:v>
      </x:c>
      <x:c r="P337" t="str">
        <x:v>Ist</x:v>
      </x:c>
      <x:c r="Q337" s="59" t="b">
        <x:v>0</x:v>
      </x:c>
      <x:c r="R337" t="str">
        <x:v>kein_transfer</x:v>
      </x:c>
      <x:c r="S337"/>
      <x:c r="T337"/>
      <x:c r="U337"/>
      <x:c r="V337" s="59" t="b">
        <x:v>1</x:v>
      </x:c>
      <x:c r="W337"/>
      <x:c r="X337" t="str">
        <x:v>offen</x:v>
      </x:c>
      <x:c r="Y337" t="str">
        <x:v>Agent-Draft; Kategorie und Person pruefen</x:v>
      </x:c>
    </x:row>
    <x:row r="338">
      <x:c r="A338" t="str">
        <x:v>TXN-RAW-IMP-20260516-FULLDRAFT-000322</x:v>
      </x:c>
      <x:c r="B338" t="str">
        <x:v>RAW-IMP-20260516-FULLDRAFT-000322</x:v>
      </x:c>
      <x:c r="C338" t="str">
        <x:v>KTO001</x:v>
      </x:c>
      <x:c r="D338"/>
      <x:c r="E338" t="str">
        <x:v>KAT013</x:v>
      </x:c>
      <x:c r="F338"/>
      <x:c r="G338"/>
      <x:c r="H338" t="str">
        <x:v>kein_match</x:v>
      </x:c>
      <x:c r="I338" t="str">
        <x:v>Agent-Draft: keine finale Regelentscheidung</x:v>
      </x:c>
      <x:c r="J338" t="n">
        <x:v>46055</x:v>
      </x:c>
      <x:c r="K338"/>
      <x:c r="L338"/>
      <x:c r="M338" t="n">
        <x:v>-5.17</x:v>
      </x:c>
      <x:c r="N338" t="str">
        <x:v>2026-02</x:v>
      </x:c>
      <x:c r="O338" t="str">
        <x:v>Ausgabe</x:v>
      </x:c>
      <x:c r="P338" t="str">
        <x:v>Ist</x:v>
      </x:c>
      <x:c r="Q338" s="59" t="b">
        <x:v>0</x:v>
      </x:c>
      <x:c r="R338" t="str">
        <x:v>kein_transfer</x:v>
      </x:c>
      <x:c r="S338"/>
      <x:c r="T338"/>
      <x:c r="U338"/>
      <x:c r="V338" s="59" t="b">
        <x:v>1</x:v>
      </x:c>
      <x:c r="W338"/>
      <x:c r="X338" t="str">
        <x:v>offen</x:v>
      </x:c>
      <x:c r="Y338" t="str">
        <x:v>Agent-Draft; Kategorie und Person pruefen</x:v>
      </x:c>
    </x:row>
    <x:row r="339">
      <x:c r="A339" t="str">
        <x:v>TXN-RAW-IMP-20260516-FULLDRAFT-000323</x:v>
      </x:c>
      <x:c r="B339" t="str">
        <x:v>RAW-IMP-20260516-FULLDRAFT-000323</x:v>
      </x:c>
      <x:c r="C339" t="str">
        <x:v>KTO001</x:v>
      </x:c>
      <x:c r="D339"/>
      <x:c r="E339" t="str">
        <x:v>KAT013</x:v>
      </x:c>
      <x:c r="F339"/>
      <x:c r="G339"/>
      <x:c r="H339" t="str">
        <x:v>kein_match</x:v>
      </x:c>
      <x:c r="I339" t="str">
        <x:v>Agent-Draft: keine finale Regelentscheidung</x:v>
      </x:c>
      <x:c r="J339" t="n">
        <x:v>46055</x:v>
      </x:c>
      <x:c r="K339"/>
      <x:c r="L339"/>
      <x:c r="M339" t="n">
        <x:v>-29.99</x:v>
      </x:c>
      <x:c r="N339" t="str">
        <x:v>2026-02</x:v>
      </x:c>
      <x:c r="O339" t="str">
        <x:v>Ausgabe</x:v>
      </x:c>
      <x:c r="P339" t="str">
        <x:v>Ist</x:v>
      </x:c>
      <x:c r="Q339" s="59" t="b">
        <x:v>0</x:v>
      </x:c>
      <x:c r="R339" t="str">
        <x:v>kein_transfer</x:v>
      </x:c>
      <x:c r="S339"/>
      <x:c r="T339"/>
      <x:c r="U339"/>
      <x:c r="V339" s="59" t="b">
        <x:v>1</x:v>
      </x:c>
      <x:c r="W339"/>
      <x:c r="X339" t="str">
        <x:v>offen</x:v>
      </x:c>
      <x:c r="Y339" t="str">
        <x:v>Agent-Draft; Kategorie und Person pruefen</x:v>
      </x:c>
    </x:row>
    <x:row r="340">
      <x:c r="A340" t="str">
        <x:v>TXN-RAW-IMP-20260516-FULLDRAFT-000324</x:v>
      </x:c>
      <x:c r="B340" t="str">
        <x:v>RAW-IMP-20260516-FULLDRAFT-000324</x:v>
      </x:c>
      <x:c r="C340" t="str">
        <x:v>KTO001</x:v>
      </x:c>
      <x:c r="D340"/>
      <x:c r="E340" t="str">
        <x:v>KAT013</x:v>
      </x:c>
      <x:c r="F340"/>
      <x:c r="G340"/>
      <x:c r="H340" t="str">
        <x:v>kein_match</x:v>
      </x:c>
      <x:c r="I340" t="str">
        <x:v>Agent-Draft: keine finale Regelentscheidung</x:v>
      </x:c>
      <x:c r="J340" t="n">
        <x:v>46055</x:v>
      </x:c>
      <x:c r="K340"/>
      <x:c r="L340"/>
      <x:c r="M340" t="n">
        <x:v>-10.76</x:v>
      </x:c>
      <x:c r="N340" t="str">
        <x:v>2026-02</x:v>
      </x:c>
      <x:c r="O340" t="str">
        <x:v>Ausgabe</x:v>
      </x:c>
      <x:c r="P340" t="str">
        <x:v>Ist</x:v>
      </x:c>
      <x:c r="Q340" s="59" t="b">
        <x:v>0</x:v>
      </x:c>
      <x:c r="R340" t="str">
        <x:v>kein_transfer</x:v>
      </x:c>
      <x:c r="S340"/>
      <x:c r="T340"/>
      <x:c r="U340"/>
      <x:c r="V340" s="59" t="b">
        <x:v>1</x:v>
      </x:c>
      <x:c r="W340"/>
      <x:c r="X340" t="str">
        <x:v>offen</x:v>
      </x:c>
      <x:c r="Y340" t="str">
        <x:v>Agent-Draft; Kategorie und Person pruefen</x:v>
      </x:c>
    </x:row>
    <x:row r="341">
      <x:c r="A341" t="str">
        <x:v>TXN-RAW-IMP-20260516-FULLDRAFT-000325</x:v>
      </x:c>
      <x:c r="B341" t="str">
        <x:v>RAW-IMP-20260516-FULLDRAFT-000325</x:v>
      </x:c>
      <x:c r="C341" t="str">
        <x:v>KTO001</x:v>
      </x:c>
      <x:c r="D341"/>
      <x:c r="E341" t="str">
        <x:v>KAT013</x:v>
      </x:c>
      <x:c r="F341"/>
      <x:c r="G341"/>
      <x:c r="H341" t="str">
        <x:v>kein_match</x:v>
      </x:c>
      <x:c r="I341" t="str">
        <x:v>Agent-Draft: keine finale Regelentscheidung</x:v>
      </x:c>
      <x:c r="J341" t="n">
        <x:v>46055</x:v>
      </x:c>
      <x:c r="K341"/>
      <x:c r="L341"/>
      <x:c r="M341" t="n">
        <x:v>-11</x:v>
      </x:c>
      <x:c r="N341" t="str">
        <x:v>2026-02</x:v>
      </x:c>
      <x:c r="O341" t="str">
        <x:v>Ausgabe</x:v>
      </x:c>
      <x:c r="P341" t="str">
        <x:v>Ist</x:v>
      </x:c>
      <x:c r="Q341" s="59" t="b">
        <x:v>0</x:v>
      </x:c>
      <x:c r="R341" t="str">
        <x:v>kein_transfer</x:v>
      </x:c>
      <x:c r="S341"/>
      <x:c r="T341"/>
      <x:c r="U341"/>
      <x:c r="V341" s="59" t="b">
        <x:v>1</x:v>
      </x:c>
      <x:c r="W341"/>
      <x:c r="X341" t="str">
        <x:v>offen</x:v>
      </x:c>
      <x:c r="Y341" t="str">
        <x:v>Agent-Draft; Kategorie und Person pruefen</x:v>
      </x:c>
    </x:row>
    <x:row r="342">
      <x:c r="A342" t="str">
        <x:v>TXN-RAW-IMP-20260516-FULLDRAFT-000326</x:v>
      </x:c>
      <x:c r="B342" t="str">
        <x:v>RAW-IMP-20260516-FULLDRAFT-000326</x:v>
      </x:c>
      <x:c r="C342" t="str">
        <x:v>KTO001</x:v>
      </x:c>
      <x:c r="D342"/>
      <x:c r="E342" t="str">
        <x:v>KAT013</x:v>
      </x:c>
      <x:c r="F342"/>
      <x:c r="G342"/>
      <x:c r="H342" t="str">
        <x:v>kein_match</x:v>
      </x:c>
      <x:c r="I342" t="str">
        <x:v>Agent-Draft: keine finale Regelentscheidung</x:v>
      </x:c>
      <x:c r="J342" t="n">
        <x:v>46055</x:v>
      </x:c>
      <x:c r="K342"/>
      <x:c r="L342"/>
      <x:c r="M342" t="n">
        <x:v>-97.26</x:v>
      </x:c>
      <x:c r="N342" t="str">
        <x:v>2026-02</x:v>
      </x:c>
      <x:c r="O342" t="str">
        <x:v>Ausgabe</x:v>
      </x:c>
      <x:c r="P342" t="str">
        <x:v>Ist</x:v>
      </x:c>
      <x:c r="Q342" s="59" t="b">
        <x:v>0</x:v>
      </x:c>
      <x:c r="R342" t="str">
        <x:v>kein_transfer</x:v>
      </x:c>
      <x:c r="S342"/>
      <x:c r="T342"/>
      <x:c r="U342"/>
      <x:c r="V342" s="59" t="b">
        <x:v>1</x:v>
      </x:c>
      <x:c r="W342"/>
      <x:c r="X342" t="str">
        <x:v>offen</x:v>
      </x:c>
      <x:c r="Y342" t="str">
        <x:v>Agent-Draft; Kategorie und Person pruefen</x:v>
      </x:c>
    </x:row>
    <x:row r="343">
      <x:c r="A343" t="str">
        <x:v>TXN-RAW-IMP-20260516-FULLDRAFT-000327</x:v>
      </x:c>
      <x:c r="B343" t="str">
        <x:v>RAW-IMP-20260516-FULLDRAFT-000327</x:v>
      </x:c>
      <x:c r="C343" t="str">
        <x:v>KTO001</x:v>
      </x:c>
      <x:c r="D343"/>
      <x:c r="E343" t="str">
        <x:v>KAT013</x:v>
      </x:c>
      <x:c r="F343"/>
      <x:c r="G343"/>
      <x:c r="H343" t="str">
        <x:v>kein_match</x:v>
      </x:c>
      <x:c r="I343" t="str">
        <x:v>Agent-Draft: keine finale Regelentscheidung</x:v>
      </x:c>
      <x:c r="J343" t="n">
        <x:v>46055</x:v>
      </x:c>
      <x:c r="K343"/>
      <x:c r="L343"/>
      <x:c r="M343" t="n">
        <x:v>-9.15</x:v>
      </x:c>
      <x:c r="N343" t="str">
        <x:v>2026-02</x:v>
      </x:c>
      <x:c r="O343" t="str">
        <x:v>Ausgabe</x:v>
      </x:c>
      <x:c r="P343" t="str">
        <x:v>Ist</x:v>
      </x:c>
      <x:c r="Q343" s="59" t="b">
        <x:v>0</x:v>
      </x:c>
      <x:c r="R343" t="str">
        <x:v>kein_transfer</x:v>
      </x:c>
      <x:c r="S343"/>
      <x:c r="T343"/>
      <x:c r="U343"/>
      <x:c r="V343" s="59" t="b">
        <x:v>1</x:v>
      </x:c>
      <x:c r="W343"/>
      <x:c r="X343" t="str">
        <x:v>offen</x:v>
      </x:c>
      <x:c r="Y343" t="str">
        <x:v>Agent-Draft; Kategorie und Person pruefen</x:v>
      </x:c>
    </x:row>
    <x:row r="344">
      <x:c r="A344" t="str">
        <x:v>TXN-RAW-IMP-20260516-FULLDRAFT-000328</x:v>
      </x:c>
      <x:c r="B344" t="str">
        <x:v>RAW-IMP-20260516-FULLDRAFT-000328</x:v>
      </x:c>
      <x:c r="C344" t="str">
        <x:v>KTO001</x:v>
      </x:c>
      <x:c r="D344"/>
      <x:c r="E344" t="str">
        <x:v>KAT013</x:v>
      </x:c>
      <x:c r="F344"/>
      <x:c r="G344"/>
      <x:c r="H344" t="str">
        <x:v>kein_match</x:v>
      </x:c>
      <x:c r="I344" t="str">
        <x:v>Agent-Draft: keine finale Regelentscheidung</x:v>
      </x:c>
      <x:c r="J344" t="n">
        <x:v>46055</x:v>
      </x:c>
      <x:c r="K344"/>
      <x:c r="L344"/>
      <x:c r="M344" t="n">
        <x:v>-1329.98</x:v>
      </x:c>
      <x:c r="N344" t="str">
        <x:v>2026-02</x:v>
      </x:c>
      <x:c r="O344" t="str">
        <x:v>Ausgabe</x:v>
      </x:c>
      <x:c r="P344" t="str">
        <x:v>Ist</x:v>
      </x:c>
      <x:c r="Q344" s="59" t="b">
        <x:v>0</x:v>
      </x:c>
      <x:c r="R344" t="str">
        <x:v>kein_transfer</x:v>
      </x:c>
      <x:c r="S344"/>
      <x:c r="T344"/>
      <x:c r="U344"/>
      <x:c r="V344" s="59" t="b">
        <x:v>1</x:v>
      </x:c>
      <x:c r="W344"/>
      <x:c r="X344" t="str">
        <x:v>offen</x:v>
      </x:c>
      <x:c r="Y344" t="str">
        <x:v>Agent-Draft; Kategorie und Person pruefen</x:v>
      </x:c>
    </x:row>
    <x:row r="345">
      <x:c r="A345" t="str">
        <x:v>TXN-RAW-IMP-20260516-FULLDRAFT-000329</x:v>
      </x:c>
      <x:c r="B345" t="str">
        <x:v>RAW-IMP-20260516-FULLDRAFT-000329</x:v>
      </x:c>
      <x:c r="C345" t="str">
        <x:v>KTO001</x:v>
      </x:c>
      <x:c r="D345"/>
      <x:c r="E345" t="str">
        <x:v>KAT013</x:v>
      </x:c>
      <x:c r="F345"/>
      <x:c r="G345"/>
      <x:c r="H345" t="str">
        <x:v>kein_match</x:v>
      </x:c>
      <x:c r="I345" t="str">
        <x:v>Agent-Draft: keine finale Regelentscheidung</x:v>
      </x:c>
      <x:c r="J345" t="n">
        <x:v>46055</x:v>
      </x:c>
      <x:c r="K345"/>
      <x:c r="L345"/>
      <x:c r="M345" t="n">
        <x:v>-5.99</x:v>
      </x:c>
      <x:c r="N345" t="str">
        <x:v>2026-02</x:v>
      </x:c>
      <x:c r="O345" t="str">
        <x:v>Ausgabe</x:v>
      </x:c>
      <x:c r="P345" t="str">
        <x:v>Ist</x:v>
      </x:c>
      <x:c r="Q345" s="59" t="b">
        <x:v>0</x:v>
      </x:c>
      <x:c r="R345" t="str">
        <x:v>kein_transfer</x:v>
      </x:c>
      <x:c r="S345"/>
      <x:c r="T345"/>
      <x:c r="U345"/>
      <x:c r="V345" s="59" t="b">
        <x:v>1</x:v>
      </x:c>
      <x:c r="W345"/>
      <x:c r="X345" t="str">
        <x:v>offen</x:v>
      </x:c>
      <x:c r="Y345" t="str">
        <x:v>Agent-Draft; Kategorie und Person pruefen</x:v>
      </x:c>
    </x:row>
    <x:row r="346">
      <x:c r="A346" t="str">
        <x:v>TXN-RAW-IMP-20260516-FULLDRAFT-000330</x:v>
      </x:c>
      <x:c r="B346" t="str">
        <x:v>RAW-IMP-20260516-FULLDRAFT-000330</x:v>
      </x:c>
      <x:c r="C346" t="str">
        <x:v>KTO001</x:v>
      </x:c>
      <x:c r="D346"/>
      <x:c r="E346" t="str">
        <x:v>KAT013</x:v>
      </x:c>
      <x:c r="F346"/>
      <x:c r="G346"/>
      <x:c r="H346" t="str">
        <x:v>kein_match</x:v>
      </x:c>
      <x:c r="I346" t="str">
        <x:v>Agent-Draft: keine finale Regelentscheidung</x:v>
      </x:c>
      <x:c r="J346" t="n">
        <x:v>46055</x:v>
      </x:c>
      <x:c r="K346"/>
      <x:c r="L346"/>
      <x:c r="M346" t="n">
        <x:v>-452.71</x:v>
      </x:c>
      <x:c r="N346" t="str">
        <x:v>2026-02</x:v>
      </x:c>
      <x:c r="O346" t="str">
        <x:v>Ausgabe</x:v>
      </x:c>
      <x:c r="P346" t="str">
        <x:v>Ist</x:v>
      </x:c>
      <x:c r="Q346" s="59" t="b">
        <x:v>0</x:v>
      </x:c>
      <x:c r="R346" t="str">
        <x:v>kein_transfer</x:v>
      </x:c>
      <x:c r="S346"/>
      <x:c r="T346"/>
      <x:c r="U346"/>
      <x:c r="V346" s="59" t="b">
        <x:v>1</x:v>
      </x:c>
      <x:c r="W346"/>
      <x:c r="X346" t="str">
        <x:v>offen</x:v>
      </x:c>
      <x:c r="Y346" t="str">
        <x:v>Agent-Draft; Kategorie und Person pruefen</x:v>
      </x:c>
    </x:row>
    <x:row r="347">
      <x:c r="A347" t="str">
        <x:v>TXN-RAW-IMP-20260516-FULLDRAFT-000331</x:v>
      </x:c>
      <x:c r="B347" t="str">
        <x:v>RAW-IMP-20260516-FULLDRAFT-000331</x:v>
      </x:c>
      <x:c r="C347" t="str">
        <x:v>KTO001</x:v>
      </x:c>
      <x:c r="D347"/>
      <x:c r="E347" t="str">
        <x:v>KAT013</x:v>
      </x:c>
      <x:c r="F347"/>
      <x:c r="G347"/>
      <x:c r="H347" t="str">
        <x:v>kein_match</x:v>
      </x:c>
      <x:c r="I347" t="str">
        <x:v>Agent-Draft: keine finale Regelentscheidung</x:v>
      </x:c>
      <x:c r="J347" t="n">
        <x:v>46055</x:v>
      </x:c>
      <x:c r="K347"/>
      <x:c r="L347"/>
      <x:c r="M347" t="n">
        <x:v>-73.09</x:v>
      </x:c>
      <x:c r="N347" t="str">
        <x:v>2026-02</x:v>
      </x:c>
      <x:c r="O347" t="str">
        <x:v>Ausgabe</x:v>
      </x:c>
      <x:c r="P347" t="str">
        <x:v>Ist</x:v>
      </x:c>
      <x:c r="Q347" s="59" t="b">
        <x:v>0</x:v>
      </x:c>
      <x:c r="R347" t="str">
        <x:v>kein_transfer</x:v>
      </x:c>
      <x:c r="S347"/>
      <x:c r="T347"/>
      <x:c r="U347"/>
      <x:c r="V347" s="59" t="b">
        <x:v>1</x:v>
      </x:c>
      <x:c r="W347"/>
      <x:c r="X347" t="str">
        <x:v>offen</x:v>
      </x:c>
      <x:c r="Y347" t="str">
        <x:v>Agent-Draft; Kategorie und Person pruefen</x:v>
      </x:c>
    </x:row>
    <x:row r="348">
      <x:c r="A348" t="str">
        <x:v>TXN-RAW-IMP-20260516-FULLDRAFT-000332</x:v>
      </x:c>
      <x:c r="B348" t="str">
        <x:v>RAW-IMP-20260516-FULLDRAFT-000332</x:v>
      </x:c>
      <x:c r="C348" t="str">
        <x:v>KTO001</x:v>
      </x:c>
      <x:c r="D348"/>
      <x:c r="E348" t="str">
        <x:v>KAT013</x:v>
      </x:c>
      <x:c r="F348"/>
      <x:c r="G348"/>
      <x:c r="H348" t="str">
        <x:v>kein_match</x:v>
      </x:c>
      <x:c r="I348" t="str">
        <x:v>Agent-Draft: keine finale Regelentscheidung</x:v>
      </x:c>
      <x:c r="J348" t="n">
        <x:v>46055</x:v>
      </x:c>
      <x:c r="K348"/>
      <x:c r="L348"/>
      <x:c r="M348" t="n">
        <x:v>-600</x:v>
      </x:c>
      <x:c r="N348" t="str">
        <x:v>2026-02</x:v>
      </x:c>
      <x:c r="O348" t="str">
        <x:v>Ausgabe</x:v>
      </x:c>
      <x:c r="P348" t="str">
        <x:v>Ist</x:v>
      </x:c>
      <x:c r="Q348" s="59" t="b">
        <x:v>0</x:v>
      </x:c>
      <x:c r="R348" t="str">
        <x:v>kein_transfer</x:v>
      </x:c>
      <x:c r="S348"/>
      <x:c r="T348"/>
      <x:c r="U348"/>
      <x:c r="V348" s="59" t="b">
        <x:v>1</x:v>
      </x:c>
      <x:c r="W348"/>
      <x:c r="X348" t="str">
        <x:v>offen</x:v>
      </x:c>
      <x:c r="Y348" t="str">
        <x:v>Agent-Draft; Kategorie und Person pruefen</x:v>
      </x:c>
    </x:row>
    <x:row r="349">
      <x:c r="A349" t="str">
        <x:v>TXN-RAW-IMP-20260516-FULLDRAFT-000333</x:v>
      </x:c>
      <x:c r="B349" t="str">
        <x:v>RAW-IMP-20260516-FULLDRAFT-000333</x:v>
      </x:c>
      <x:c r="C349" t="str">
        <x:v>KTO001</x:v>
      </x:c>
      <x:c r="D349"/>
      <x:c r="E349" t="str">
        <x:v>KAT013</x:v>
      </x:c>
      <x:c r="F349"/>
      <x:c r="G349"/>
      <x:c r="H349" t="str">
        <x:v>kein_match</x:v>
      </x:c>
      <x:c r="I349" t="str">
        <x:v>Agent-Draft: keine finale Regelentscheidung</x:v>
      </x:c>
      <x:c r="J349" t="n">
        <x:v>46055</x:v>
      </x:c>
      <x:c r="K349"/>
      <x:c r="L349"/>
      <x:c r="M349" t="n">
        <x:v>-162.17</x:v>
      </x:c>
      <x:c r="N349" t="str">
        <x:v>2026-02</x:v>
      </x:c>
      <x:c r="O349" t="str">
        <x:v>Ausgabe</x:v>
      </x:c>
      <x:c r="P349" t="str">
        <x:v>Ist</x:v>
      </x:c>
      <x:c r="Q349" s="59" t="b">
        <x:v>0</x:v>
      </x:c>
      <x:c r="R349" t="str">
        <x:v>kein_transfer</x:v>
      </x:c>
      <x:c r="S349"/>
      <x:c r="T349"/>
      <x:c r="U349"/>
      <x:c r="V349" s="59" t="b">
        <x:v>1</x:v>
      </x:c>
      <x:c r="W349"/>
      <x:c r="X349" t="str">
        <x:v>offen</x:v>
      </x:c>
      <x:c r="Y349" t="str">
        <x:v>Agent-Draft; Kategorie und Person pruefen</x:v>
      </x:c>
    </x:row>
    <x:row r="350">
      <x:c r="A350" t="str">
        <x:v>TXN-RAW-IMP-20260516-FULLDRAFT-000334</x:v>
      </x:c>
      <x:c r="B350" t="str">
        <x:v>RAW-IMP-20260516-FULLDRAFT-000334</x:v>
      </x:c>
      <x:c r="C350" t="str">
        <x:v>KTO001</x:v>
      </x:c>
      <x:c r="D350"/>
      <x:c r="E350" t="str">
        <x:v>KAT013</x:v>
      </x:c>
      <x:c r="F350"/>
      <x:c r="G350"/>
      <x:c r="H350" t="str">
        <x:v>kein_match</x:v>
      </x:c>
      <x:c r="I350" t="str">
        <x:v>Agent-Draft: keine finale Regelentscheidung</x:v>
      </x:c>
      <x:c r="J350" t="n">
        <x:v>46055</x:v>
      </x:c>
      <x:c r="K350"/>
      <x:c r="L350"/>
      <x:c r="M350" t="n">
        <x:v>-49</x:v>
      </x:c>
      <x:c r="N350" t="str">
        <x:v>2026-02</x:v>
      </x:c>
      <x:c r="O350" t="str">
        <x:v>Ausgabe</x:v>
      </x:c>
      <x:c r="P350" t="str">
        <x:v>Ist</x:v>
      </x:c>
      <x:c r="Q350" s="59" t="b">
        <x:v>0</x:v>
      </x:c>
      <x:c r="R350" t="str">
        <x:v>kein_transfer</x:v>
      </x:c>
      <x:c r="S350"/>
      <x:c r="T350"/>
      <x:c r="U350"/>
      <x:c r="V350" s="59" t="b">
        <x:v>1</x:v>
      </x:c>
      <x:c r="W350"/>
      <x:c r="X350" t="str">
        <x:v>offen</x:v>
      </x:c>
      <x:c r="Y350" t="str">
        <x:v>Agent-Draft; Kategorie und Person pruefen</x:v>
      </x:c>
    </x:row>
    <x:row r="351">
      <x:c r="A351" t="str">
        <x:v>TXN-RAW-IMP-20260516-FULLDRAFT-000335</x:v>
      </x:c>
      <x:c r="B351" t="str">
        <x:v>RAW-IMP-20260516-FULLDRAFT-000335</x:v>
      </x:c>
      <x:c r="C351" t="str">
        <x:v>KTO001</x:v>
      </x:c>
      <x:c r="D351"/>
      <x:c r="E351" t="str">
        <x:v>KAT013</x:v>
      </x:c>
      <x:c r="F351"/>
      <x:c r="G351"/>
      <x:c r="H351" t="str">
        <x:v>kein_match</x:v>
      </x:c>
      <x:c r="I351" t="str">
        <x:v>Agent-Draft: keine finale Regelentscheidung</x:v>
      </x:c>
      <x:c r="J351" t="n">
        <x:v>46055</x:v>
      </x:c>
      <x:c r="K351"/>
      <x:c r="L351"/>
      <x:c r="M351" t="n">
        <x:v>-100.52</x:v>
      </x:c>
      <x:c r="N351" t="str">
        <x:v>2026-02</x:v>
      </x:c>
      <x:c r="O351" t="str">
        <x:v>Ausgabe</x:v>
      </x:c>
      <x:c r="P351" t="str">
        <x:v>Ist</x:v>
      </x:c>
      <x:c r="Q351" s="59" t="b">
        <x:v>0</x:v>
      </x:c>
      <x:c r="R351" t="str">
        <x:v>kein_transfer</x:v>
      </x:c>
      <x:c r="S351"/>
      <x:c r="T351"/>
      <x:c r="U351"/>
      <x:c r="V351" s="59" t="b">
        <x:v>1</x:v>
      </x:c>
      <x:c r="W351"/>
      <x:c r="X351" t="str">
        <x:v>offen</x:v>
      </x:c>
      <x:c r="Y351" t="str">
        <x:v>Agent-Draft; Kategorie und Person pruefen</x:v>
      </x:c>
    </x:row>
    <x:row r="352">
      <x:c r="A352" t="str">
        <x:v>TXN-RAW-IMP-20260516-FULLDRAFT-000336</x:v>
      </x:c>
      <x:c r="B352" t="str">
        <x:v>RAW-IMP-20260516-FULLDRAFT-000336</x:v>
      </x:c>
      <x:c r="C352" t="str">
        <x:v>KTO001</x:v>
      </x:c>
      <x:c r="D352"/>
      <x:c r="E352" t="str">
        <x:v>KAT013</x:v>
      </x:c>
      <x:c r="F352"/>
      <x:c r="G352"/>
      <x:c r="H352" t="str">
        <x:v>kein_match</x:v>
      </x:c>
      <x:c r="I352" t="str">
        <x:v>Agent-Draft: keine finale Regelentscheidung</x:v>
      </x:c>
      <x:c r="J352" t="n">
        <x:v>46055</x:v>
      </x:c>
      <x:c r="K352"/>
      <x:c r="L352"/>
      <x:c r="M352" t="n">
        <x:v>-110.91</x:v>
      </x:c>
      <x:c r="N352" t="str">
        <x:v>2026-02</x:v>
      </x:c>
      <x:c r="O352" t="str">
        <x:v>Ausgabe</x:v>
      </x:c>
      <x:c r="P352" t="str">
        <x:v>Ist</x:v>
      </x:c>
      <x:c r="Q352" s="59" t="b">
        <x:v>0</x:v>
      </x:c>
      <x:c r="R352" t="str">
        <x:v>kein_transfer</x:v>
      </x:c>
      <x:c r="S352"/>
      <x:c r="T352"/>
      <x:c r="U352"/>
      <x:c r="V352" s="59" t="b">
        <x:v>1</x:v>
      </x:c>
      <x:c r="W352"/>
      <x:c r="X352" t="str">
        <x:v>offen</x:v>
      </x:c>
      <x:c r="Y352" t="str">
        <x:v>Agent-Draft; Kategorie und Person pruefen</x:v>
      </x:c>
    </x:row>
    <x:row r="353">
      <x:c r="A353" t="str">
        <x:v>TXN-RAW-IMP-20260516-FULLDRAFT-000337</x:v>
      </x:c>
      <x:c r="B353" t="str">
        <x:v>RAW-IMP-20260516-FULLDRAFT-000337</x:v>
      </x:c>
      <x:c r="C353" t="str">
        <x:v>KTO001</x:v>
      </x:c>
      <x:c r="D353"/>
      <x:c r="E353" t="str">
        <x:v>KAT013</x:v>
      </x:c>
      <x:c r="F353"/>
      <x:c r="G353"/>
      <x:c r="H353" t="str">
        <x:v>kein_match</x:v>
      </x:c>
      <x:c r="I353" t="str">
        <x:v>Agent-Draft: keine finale Regelentscheidung</x:v>
      </x:c>
      <x:c r="J353" t="n">
        <x:v>46055</x:v>
      </x:c>
      <x:c r="K353"/>
      <x:c r="L353"/>
      <x:c r="M353" t="n">
        <x:v>-1800</x:v>
      </x:c>
      <x:c r="N353" t="str">
        <x:v>2026-02</x:v>
      </x:c>
      <x:c r="O353" t="str">
        <x:v>Ausgabe</x:v>
      </x:c>
      <x:c r="P353" t="str">
        <x:v>Ist</x:v>
      </x:c>
      <x:c r="Q353" s="59" t="b">
        <x:v>0</x:v>
      </x:c>
      <x:c r="R353" t="str">
        <x:v>kein_transfer</x:v>
      </x:c>
      <x:c r="S353"/>
      <x:c r="T353"/>
      <x:c r="U353"/>
      <x:c r="V353" s="59" t="b">
        <x:v>1</x:v>
      </x:c>
      <x:c r="W353"/>
      <x:c r="X353" t="str">
        <x:v>offen</x:v>
      </x:c>
      <x:c r="Y353" t="str">
        <x:v>Agent-Draft; Kategorie und Person pruefen</x:v>
      </x:c>
    </x:row>
    <x:row r="354">
      <x:c r="A354" t="str">
        <x:v>TXN-RAW-IMP-20260516-FULLDRAFT-000338</x:v>
      </x:c>
      <x:c r="B354" t="str">
        <x:v>RAW-IMP-20260516-FULLDRAFT-000338</x:v>
      </x:c>
      <x:c r="C354" t="str">
        <x:v>KTO001</x:v>
      </x:c>
      <x:c r="D354"/>
      <x:c r="E354" t="str">
        <x:v>KAT013</x:v>
      </x:c>
      <x:c r="F354"/>
      <x:c r="G354"/>
      <x:c r="H354" t="str">
        <x:v>kein_match</x:v>
      </x:c>
      <x:c r="I354" t="str">
        <x:v>Agent-Draft: keine finale Regelentscheidung</x:v>
      </x:c>
      <x:c r="J354" t="n">
        <x:v>46055</x:v>
      </x:c>
      <x:c r="K354"/>
      <x:c r="L354"/>
      <x:c r="M354" t="n">
        <x:v>-1400</x:v>
      </x:c>
      <x:c r="N354" t="str">
        <x:v>2026-02</x:v>
      </x:c>
      <x:c r="O354" t="str">
        <x:v>Ausgabe</x:v>
      </x:c>
      <x:c r="P354" t="str">
        <x:v>Ist</x:v>
      </x:c>
      <x:c r="Q354" s="59" t="b">
        <x:v>0</x:v>
      </x:c>
      <x:c r="R354" t="str">
        <x:v>kein_transfer</x:v>
      </x:c>
      <x:c r="S354"/>
      <x:c r="T354"/>
      <x:c r="U354"/>
      <x:c r="V354" s="59" t="b">
        <x:v>1</x:v>
      </x:c>
      <x:c r="W354"/>
      <x:c r="X354" t="str">
        <x:v>offen</x:v>
      </x:c>
      <x:c r="Y354" t="str">
        <x:v>Agent-Draft; Kategorie und Person pruefen</x:v>
      </x:c>
    </x:row>
    <x:row r="355">
      <x:c r="A355" t="str">
        <x:v>TXN-RAW-IMP-20260516-FULLDRAFT-000339</x:v>
      </x:c>
      <x:c r="B355" t="str">
        <x:v>RAW-IMP-20260516-FULLDRAFT-000339</x:v>
      </x:c>
      <x:c r="C355" t="str">
        <x:v>KTO001</x:v>
      </x:c>
      <x:c r="D355"/>
      <x:c r="E355" t="str">
        <x:v>KAT013</x:v>
      </x:c>
      <x:c r="F355"/>
      <x:c r="G355"/>
      <x:c r="H355" t="str">
        <x:v>kein_match</x:v>
      </x:c>
      <x:c r="I355" t="str">
        <x:v>Agent-Draft: keine finale Regelentscheidung</x:v>
      </x:c>
      <x:c r="J355" t="n">
        <x:v>46052</x:v>
      </x:c>
      <x:c r="K355"/>
      <x:c r="L355"/>
      <x:c r="M355" t="n">
        <x:v>-105</x:v>
      </x:c>
      <x:c r="N355" t="str">
        <x:v>2026-01</x:v>
      </x:c>
      <x:c r="O355" t="str">
        <x:v>Ausgabe</x:v>
      </x:c>
      <x:c r="P355" t="str">
        <x:v>Ist</x:v>
      </x:c>
      <x:c r="Q355" s="59" t="b">
        <x:v>0</x:v>
      </x:c>
      <x:c r="R355" t="str">
        <x:v>kein_transfer</x:v>
      </x:c>
      <x:c r="S355"/>
      <x:c r="T355"/>
      <x:c r="U355"/>
      <x:c r="V355" s="59" t="b">
        <x:v>1</x:v>
      </x:c>
      <x:c r="W355"/>
      <x:c r="X355" t="str">
        <x:v>offen</x:v>
      </x:c>
      <x:c r="Y355" t="str">
        <x:v>Agent-Draft; Kategorie und Person pruefen</x:v>
      </x:c>
    </x:row>
    <x:row r="356">
      <x:c r="A356" t="str">
        <x:v>TXN-RAW-IMP-20260516-FULLDRAFT-000340</x:v>
      </x:c>
      <x:c r="B356" t="str">
        <x:v>RAW-IMP-20260516-FULLDRAFT-000340</x:v>
      </x:c>
      <x:c r="C356" t="str">
        <x:v>KTO001</x:v>
      </x:c>
      <x:c r="D356"/>
      <x:c r="E356" t="str">
        <x:v>KAT013</x:v>
      </x:c>
      <x:c r="F356"/>
      <x:c r="G356"/>
      <x:c r="H356" t="str">
        <x:v>kein_match</x:v>
      </x:c>
      <x:c r="I356" t="str">
        <x:v>Agent-Draft: keine finale Regelentscheidung</x:v>
      </x:c>
      <x:c r="J356" t="n">
        <x:v>46052</x:v>
      </x:c>
      <x:c r="K356"/>
      <x:c r="L356"/>
      <x:c r="M356" t="n">
        <x:v>-2.99</x:v>
      </x:c>
      <x:c r="N356" t="str">
        <x:v>2026-01</x:v>
      </x:c>
      <x:c r="O356" t="str">
        <x:v>Ausgabe</x:v>
      </x:c>
      <x:c r="P356" t="str">
        <x:v>Ist</x:v>
      </x:c>
      <x:c r="Q356" s="59" t="b">
        <x:v>0</x:v>
      </x:c>
      <x:c r="R356" t="str">
        <x:v>kein_transfer</x:v>
      </x:c>
      <x:c r="S356"/>
      <x:c r="T356"/>
      <x:c r="U356"/>
      <x:c r="V356" s="59" t="b">
        <x:v>1</x:v>
      </x:c>
      <x:c r="W356"/>
      <x:c r="X356" t="str">
        <x:v>offen</x:v>
      </x:c>
      <x:c r="Y356" t="str">
        <x:v>Agent-Draft; Kategorie und Person pruefen</x:v>
      </x:c>
    </x:row>
    <x:row r="357">
      <x:c r="A357" t="str">
        <x:v>TXN-RAW-IMP-20260516-FULLDRAFT-000341</x:v>
      </x:c>
      <x:c r="B357" t="str">
        <x:v>RAW-IMP-20260516-FULLDRAFT-000341</x:v>
      </x:c>
      <x:c r="C357" t="str">
        <x:v>KTO001</x:v>
      </x:c>
      <x:c r="D357"/>
      <x:c r="E357" t="str">
        <x:v>KAT013</x:v>
      </x:c>
      <x:c r="F357"/>
      <x:c r="G357"/>
      <x:c r="H357" t="str">
        <x:v>kein_match</x:v>
      </x:c>
      <x:c r="I357" t="str">
        <x:v>Agent-Draft: keine finale Regelentscheidung</x:v>
      </x:c>
      <x:c r="J357" t="n">
        <x:v>46052</x:v>
      </x:c>
      <x:c r="K357"/>
      <x:c r="L357"/>
      <x:c r="M357" t="n">
        <x:v>-4.9</x:v>
      </x:c>
      <x:c r="N357" t="str">
        <x:v>2026-01</x:v>
      </x:c>
      <x:c r="O357" t="str">
        <x:v>Ausgabe</x:v>
      </x:c>
      <x:c r="P357" t="str">
        <x:v>Ist</x:v>
      </x:c>
      <x:c r="Q357" s="59" t="b">
        <x:v>0</x:v>
      </x:c>
      <x:c r="R357" t="str">
        <x:v>kein_transfer</x:v>
      </x:c>
      <x:c r="S357"/>
      <x:c r="T357"/>
      <x:c r="U357"/>
      <x:c r="V357" s="59" t="b">
        <x:v>1</x:v>
      </x:c>
      <x:c r="W357"/>
      <x:c r="X357" t="str">
        <x:v>offen</x:v>
      </x:c>
      <x:c r="Y357" t="str">
        <x:v>Agent-Draft; Kategorie und Person pruefen</x:v>
      </x:c>
    </x:row>
    <x:row r="358">
      <x:c r="A358" t="str">
        <x:v>TXN-RAW-IMP-20260516-FULLDRAFT-000342</x:v>
      </x:c>
      <x:c r="B358" t="str">
        <x:v>RAW-IMP-20260516-FULLDRAFT-000342</x:v>
      </x:c>
      <x:c r="C358" t="str">
        <x:v>KTO001</x:v>
      </x:c>
      <x:c r="D358"/>
      <x:c r="E358" t="str">
        <x:v>KAT013</x:v>
      </x:c>
      <x:c r="F358"/>
      <x:c r="G358"/>
      <x:c r="H358" t="str">
        <x:v>kein_match</x:v>
      </x:c>
      <x:c r="I358" t="str">
        <x:v>Agent-Draft: keine finale Regelentscheidung</x:v>
      </x:c>
      <x:c r="J358" t="n">
        <x:v>46052</x:v>
      </x:c>
      <x:c r="K358"/>
      <x:c r="L358"/>
      <x:c r="M358" t="n">
        <x:v>-37.21</x:v>
      </x:c>
      <x:c r="N358" t="str">
        <x:v>2026-01</x:v>
      </x:c>
      <x:c r="O358" t="str">
        <x:v>Ausgabe</x:v>
      </x:c>
      <x:c r="P358" t="str">
        <x:v>Ist</x:v>
      </x:c>
      <x:c r="Q358" s="59" t="b">
        <x:v>0</x:v>
      </x:c>
      <x:c r="R358" t="str">
        <x:v>kein_transfer</x:v>
      </x:c>
      <x:c r="S358"/>
      <x:c r="T358"/>
      <x:c r="U358"/>
      <x:c r="V358" s="59" t="b">
        <x:v>1</x:v>
      </x:c>
      <x:c r="W358"/>
      <x:c r="X358" t="str">
        <x:v>offen</x:v>
      </x:c>
      <x:c r="Y358" t="str">
        <x:v>Agent-Draft; Kategorie und Person pruefen</x:v>
      </x:c>
    </x:row>
    <x:row r="359">
      <x:c r="A359" t="str">
        <x:v>TXN-RAW-IMP-20260516-FULLDRAFT-000343</x:v>
      </x:c>
      <x:c r="B359" t="str">
        <x:v>RAW-IMP-20260516-FULLDRAFT-000343</x:v>
      </x:c>
      <x:c r="C359" t="str">
        <x:v>KTO001</x:v>
      </x:c>
      <x:c r="D359"/>
      <x:c r="E359" t="str">
        <x:v>KAT013</x:v>
      </x:c>
      <x:c r="F359"/>
      <x:c r="G359"/>
      <x:c r="H359" t="str">
        <x:v>kein_match</x:v>
      </x:c>
      <x:c r="I359" t="str">
        <x:v>Agent-Draft: keine finale Regelentscheidung</x:v>
      </x:c>
      <x:c r="J359" t="n">
        <x:v>46052</x:v>
      </x:c>
      <x:c r="K359"/>
      <x:c r="L359"/>
      <x:c r="M359" t="n">
        <x:v>-10</x:v>
      </x:c>
      <x:c r="N359" t="str">
        <x:v>2026-01</x:v>
      </x:c>
      <x:c r="O359" t="str">
        <x:v>Ausgabe</x:v>
      </x:c>
      <x:c r="P359" t="str">
        <x:v>Ist</x:v>
      </x:c>
      <x:c r="Q359" s="59" t="b">
        <x:v>0</x:v>
      </x:c>
      <x:c r="R359" t="str">
        <x:v>kein_transfer</x:v>
      </x:c>
      <x:c r="S359"/>
      <x:c r="T359"/>
      <x:c r="U359"/>
      <x:c r="V359" s="59" t="b">
        <x:v>1</x:v>
      </x:c>
      <x:c r="W359"/>
      <x:c r="X359" t="str">
        <x:v>offen</x:v>
      </x:c>
      <x:c r="Y359" t="str">
        <x:v>Agent-Draft; Kategorie und Person pruefen</x:v>
      </x:c>
    </x:row>
    <x:row r="360">
      <x:c r="A360" t="str">
        <x:v>TXN-RAW-IMP-20260516-FULLDRAFT-000344</x:v>
      </x:c>
      <x:c r="B360" t="str">
        <x:v>RAW-IMP-20260516-FULLDRAFT-000344</x:v>
      </x:c>
      <x:c r="C360" t="str">
        <x:v>KTO001</x:v>
      </x:c>
      <x:c r="D360"/>
      <x:c r="E360" t="str">
        <x:v>KAT013</x:v>
      </x:c>
      <x:c r="F360"/>
      <x:c r="G360"/>
      <x:c r="H360" t="str">
        <x:v>kein_match</x:v>
      </x:c>
      <x:c r="I360" t="str">
        <x:v>Agent-Draft: keine finale Regelentscheidung</x:v>
      </x:c>
      <x:c r="J360" t="n">
        <x:v>46052</x:v>
      </x:c>
      <x:c r="K360"/>
      <x:c r="L360"/>
      <x:c r="M360" t="n">
        <x:v>-1153.94</x:v>
      </x:c>
      <x:c r="N360" t="str">
        <x:v>2026-01</x:v>
      </x:c>
      <x:c r="O360" t="str">
        <x:v>Ausgabe</x:v>
      </x:c>
      <x:c r="P360" t="str">
        <x:v>Ist</x:v>
      </x:c>
      <x:c r="Q360" s="59" t="b">
        <x:v>0</x:v>
      </x:c>
      <x:c r="R360" t="str">
        <x:v>kein_transfer</x:v>
      </x:c>
      <x:c r="S360"/>
      <x:c r="T360"/>
      <x:c r="U360"/>
      <x:c r="V360" s="59" t="b">
        <x:v>1</x:v>
      </x:c>
      <x:c r="W360"/>
      <x:c r="X360" t="str">
        <x:v>offen</x:v>
      </x:c>
      <x:c r="Y360" t="str">
        <x:v>Agent-Draft; Kategorie und Person pruefen</x:v>
      </x:c>
    </x:row>
    <x:row r="361">
      <x:c r="A361" t="str">
        <x:v>TXN-RAW-IMP-20260516-FULLDRAFT-000345</x:v>
      </x:c>
      <x:c r="B361" t="str">
        <x:v>RAW-IMP-20260516-FULLDRAFT-000345</x:v>
      </x:c>
      <x:c r="C361" t="str">
        <x:v>KTO001</x:v>
      </x:c>
      <x:c r="D361"/>
      <x:c r="E361" t="str">
        <x:v>KAT013</x:v>
      </x:c>
      <x:c r="F361"/>
      <x:c r="G361"/>
      <x:c r="H361" t="str">
        <x:v>kein_match</x:v>
      </x:c>
      <x:c r="I361" t="str">
        <x:v>Agent-Draft: keine finale Regelentscheidung</x:v>
      </x:c>
      <x:c r="J361" t="n">
        <x:v>46052</x:v>
      </x:c>
      <x:c r="K361"/>
      <x:c r="L361"/>
      <x:c r="M361" t="n">
        <x:v>-8.99</x:v>
      </x:c>
      <x:c r="N361" t="str">
        <x:v>2026-01</x:v>
      </x:c>
      <x:c r="O361" t="str">
        <x:v>Ausgabe</x:v>
      </x:c>
      <x:c r="P361" t="str">
        <x:v>Ist</x:v>
      </x:c>
      <x:c r="Q361" s="59" t="b">
        <x:v>0</x:v>
      </x:c>
      <x:c r="R361" t="str">
        <x:v>kein_transfer</x:v>
      </x:c>
      <x:c r="S361"/>
      <x:c r="T361"/>
      <x:c r="U361"/>
      <x:c r="V361" s="59" t="b">
        <x:v>1</x:v>
      </x:c>
      <x:c r="W361"/>
      <x:c r="X361" t="str">
        <x:v>offen</x:v>
      </x:c>
      <x:c r="Y361" t="str">
        <x:v>Agent-Draft; Kategorie und Person pruefen</x:v>
      </x:c>
    </x:row>
    <x:row r="362">
      <x:c r="A362" t="str">
        <x:v>TXN-RAW-IMP-20260516-FULLDRAFT-000346</x:v>
      </x:c>
      <x:c r="B362" t="str">
        <x:v>RAW-IMP-20260516-FULLDRAFT-000346</x:v>
      </x:c>
      <x:c r="C362" t="str">
        <x:v>KTO001</x:v>
      </x:c>
      <x:c r="D362"/>
      <x:c r="E362" t="str">
        <x:v>KAT013</x:v>
      </x:c>
      <x:c r="F362"/>
      <x:c r="G362"/>
      <x:c r="H362" t="str">
        <x:v>kein_match</x:v>
      </x:c>
      <x:c r="I362" t="str">
        <x:v>Agent-Draft: keine finale Regelentscheidung</x:v>
      </x:c>
      <x:c r="J362" t="n">
        <x:v>46051</x:v>
      </x:c>
      <x:c r="K362"/>
      <x:c r="L362"/>
      <x:c r="M362" t="n">
        <x:v>-609.56</x:v>
      </x:c>
      <x:c r="N362" t="str">
        <x:v>2026-01</x:v>
      </x:c>
      <x:c r="O362" t="str">
        <x:v>Ausgabe</x:v>
      </x:c>
      <x:c r="P362" t="str">
        <x:v>Ist</x:v>
      </x:c>
      <x:c r="Q362" s="59" t="b">
        <x:v>0</x:v>
      </x:c>
      <x:c r="R362" t="str">
        <x:v>kein_transfer</x:v>
      </x:c>
      <x:c r="S362"/>
      <x:c r="T362"/>
      <x:c r="U362"/>
      <x:c r="V362" s="59" t="b">
        <x:v>1</x:v>
      </x:c>
      <x:c r="W362"/>
      <x:c r="X362" t="str">
        <x:v>offen</x:v>
      </x:c>
      <x:c r="Y362" t="str">
        <x:v>Agent-Draft; Kategorie und Person pruefen</x:v>
      </x:c>
    </x:row>
    <x:row r="363">
      <x:c r="A363" t="str">
        <x:v>TXN-RAW-IMP-20260516-FULLDRAFT-000347</x:v>
      </x:c>
      <x:c r="B363" t="str">
        <x:v>RAW-IMP-20260516-FULLDRAFT-000347</x:v>
      </x:c>
      <x:c r="C363" t="str">
        <x:v>KTO001</x:v>
      </x:c>
      <x:c r="D363"/>
      <x:c r="E363" t="str">
        <x:v>KAT013</x:v>
      </x:c>
      <x:c r="F363"/>
      <x:c r="G363"/>
      <x:c r="H363" t="str">
        <x:v>kein_match</x:v>
      </x:c>
      <x:c r="I363" t="str">
        <x:v>Agent-Draft: keine finale Regelentscheidung</x:v>
      </x:c>
      <x:c r="J363" t="n">
        <x:v>46050</x:v>
      </x:c>
      <x:c r="K363"/>
      <x:c r="L363"/>
      <x:c r="M363" t="n">
        <x:v>7818.53</x:v>
      </x:c>
      <x:c r="N363" t="str">
        <x:v>2026-01</x:v>
      </x:c>
      <x:c r="O363" t="str">
        <x:v>Einnahme</x:v>
      </x:c>
      <x:c r="P363" t="str">
        <x:v>Ist</x:v>
      </x:c>
      <x:c r="Q363" s="59" t="b">
        <x:v>0</x:v>
      </x:c>
      <x:c r="R363" t="str">
        <x:v>kein_transfer</x:v>
      </x:c>
      <x:c r="S363"/>
      <x:c r="T363"/>
      <x:c r="U363"/>
      <x:c r="V363" s="59" t="b">
        <x:v>1</x:v>
      </x:c>
      <x:c r="W363"/>
      <x:c r="X363" t="str">
        <x:v>offen</x:v>
      </x:c>
      <x:c r="Y363" t="str">
        <x:v>Agent-Draft; Kategorie und Person pruefen</x:v>
      </x:c>
    </x:row>
    <x:row r="364">
      <x:c r="A364" t="str">
        <x:v>TXN-RAW-IMP-20260516-FULLDRAFT-000348</x:v>
      </x:c>
      <x:c r="B364" t="str">
        <x:v>RAW-IMP-20260516-FULLDRAFT-000348</x:v>
      </x:c>
      <x:c r="C364" t="str">
        <x:v>KTO001</x:v>
      </x:c>
      <x:c r="D364"/>
      <x:c r="E364" t="str">
        <x:v>KAT013</x:v>
      </x:c>
      <x:c r="F364"/>
      <x:c r="G364"/>
      <x:c r="H364" t="str">
        <x:v>kein_match</x:v>
      </x:c>
      <x:c r="I364" t="str">
        <x:v>Agent-Draft: keine finale Regelentscheidung</x:v>
      </x:c>
      <x:c r="J364" t="n">
        <x:v>46050</x:v>
      </x:c>
      <x:c r="K364"/>
      <x:c r="L364"/>
      <x:c r="M364" t="n">
        <x:v>-5.99</x:v>
      </x:c>
      <x:c r="N364" t="str">
        <x:v>2026-01</x:v>
      </x:c>
      <x:c r="O364" t="str">
        <x:v>Ausgabe</x:v>
      </x:c>
      <x:c r="P364" t="str">
        <x:v>Ist</x:v>
      </x:c>
      <x:c r="Q364" s="59" t="b">
        <x:v>0</x:v>
      </x:c>
      <x:c r="R364" t="str">
        <x:v>kein_transfer</x:v>
      </x:c>
      <x:c r="S364"/>
      <x:c r="T364"/>
      <x:c r="U364"/>
      <x:c r="V364" s="59" t="b">
        <x:v>1</x:v>
      </x:c>
      <x:c r="W364"/>
      <x:c r="X364" t="str">
        <x:v>offen</x:v>
      </x:c>
      <x:c r="Y364" t="str">
        <x:v>Agent-Draft; Kategorie und Person pruefen</x:v>
      </x:c>
    </x:row>
    <x:row r="365">
      <x:c r="A365" t="str">
        <x:v>TXN-RAW-IMP-20260516-FULLDRAFT-000349</x:v>
      </x:c>
      <x:c r="B365" t="str">
        <x:v>RAW-IMP-20260516-FULLDRAFT-000349</x:v>
      </x:c>
      <x:c r="C365" t="str">
        <x:v>KTO001</x:v>
      </x:c>
      <x:c r="D365"/>
      <x:c r="E365" t="str">
        <x:v>KAT013</x:v>
      </x:c>
      <x:c r="F365"/>
      <x:c r="G365"/>
      <x:c r="H365" t="str">
        <x:v>kein_match</x:v>
      </x:c>
      <x:c r="I365" t="str">
        <x:v>Agent-Draft: keine finale Regelentscheidung</x:v>
      </x:c>
      <x:c r="J365" t="n">
        <x:v>46050</x:v>
      </x:c>
      <x:c r="K365"/>
      <x:c r="L365"/>
      <x:c r="M365" t="n">
        <x:v>-5.41</x:v>
      </x:c>
      <x:c r="N365" t="str">
        <x:v>2026-01</x:v>
      </x:c>
      <x:c r="O365" t="str">
        <x:v>Ausgabe</x:v>
      </x:c>
      <x:c r="P365" t="str">
        <x:v>Ist</x:v>
      </x:c>
      <x:c r="Q365" s="59" t="b">
        <x:v>0</x:v>
      </x:c>
      <x:c r="R365" t="str">
        <x:v>kein_transfer</x:v>
      </x:c>
      <x:c r="S365"/>
      <x:c r="T365"/>
      <x:c r="U365"/>
      <x:c r="V365" s="59" t="b">
        <x:v>1</x:v>
      </x:c>
      <x:c r="W365"/>
      <x:c r="X365" t="str">
        <x:v>offen</x:v>
      </x:c>
      <x:c r="Y365" t="str">
        <x:v>Agent-Draft; Kategorie und Person pruefen</x:v>
      </x:c>
    </x:row>
    <x:row r="366">
      <x:c r="A366" t="str">
        <x:v>TXN-RAW-IMP-20260516-FULLDRAFT-000350</x:v>
      </x:c>
      <x:c r="B366" t="str">
        <x:v>RAW-IMP-20260516-FULLDRAFT-000350</x:v>
      </x:c>
      <x:c r="C366" t="str">
        <x:v>KTO001</x:v>
      </x:c>
      <x:c r="D366"/>
      <x:c r="E366" t="str">
        <x:v>KAT013</x:v>
      </x:c>
      <x:c r="F366"/>
      <x:c r="G366"/>
      <x:c r="H366" t="str">
        <x:v>kein_match</x:v>
      </x:c>
      <x:c r="I366" t="str">
        <x:v>Agent-Draft: keine finale Regelentscheidung</x:v>
      </x:c>
      <x:c r="J366" t="n">
        <x:v>46050</x:v>
      </x:c>
      <x:c r="K366"/>
      <x:c r="L366"/>
      <x:c r="M366" t="n">
        <x:v>-22</x:v>
      </x:c>
      <x:c r="N366" t="str">
        <x:v>2026-01</x:v>
      </x:c>
      <x:c r="O366" t="str">
        <x:v>Ausgabe</x:v>
      </x:c>
      <x:c r="P366" t="str">
        <x:v>Ist</x:v>
      </x:c>
      <x:c r="Q366" s="59" t="b">
        <x:v>0</x:v>
      </x:c>
      <x:c r="R366" t="str">
        <x:v>kein_transfer</x:v>
      </x:c>
      <x:c r="S366"/>
      <x:c r="T366"/>
      <x:c r="U366"/>
      <x:c r="V366" s="59" t="b">
        <x:v>1</x:v>
      </x:c>
      <x:c r="W366"/>
      <x:c r="X366" t="str">
        <x:v>offen</x:v>
      </x:c>
      <x:c r="Y366" t="str">
        <x:v>Agent-Draft; Kategorie und Person pruefen</x:v>
      </x:c>
    </x:row>
    <x:row r="367">
      <x:c r="A367" t="str">
        <x:v>TXN-RAW-IMP-20260516-FULLDRAFT-000351</x:v>
      </x:c>
      <x:c r="B367" t="str">
        <x:v>RAW-IMP-20260516-FULLDRAFT-000351</x:v>
      </x:c>
      <x:c r="C367" t="str">
        <x:v>KTO001</x:v>
      </x:c>
      <x:c r="D367"/>
      <x:c r="E367" t="str">
        <x:v>KAT013</x:v>
      </x:c>
      <x:c r="F367"/>
      <x:c r="G367"/>
      <x:c r="H367" t="str">
        <x:v>kein_match</x:v>
      </x:c>
      <x:c r="I367" t="str">
        <x:v>Agent-Draft: keine finale Regelentscheidung</x:v>
      </x:c>
      <x:c r="J367" t="n">
        <x:v>46050</x:v>
      </x:c>
      <x:c r="K367"/>
      <x:c r="L367"/>
      <x:c r="M367" t="n">
        <x:v>-0.65</x:v>
      </x:c>
      <x:c r="N367" t="str">
        <x:v>2026-01</x:v>
      </x:c>
      <x:c r="O367" t="str">
        <x:v>Ausgabe</x:v>
      </x:c>
      <x:c r="P367" t="str">
        <x:v>Ist</x:v>
      </x:c>
      <x:c r="Q367" s="59" t="b">
        <x:v>0</x:v>
      </x:c>
      <x:c r="R367" t="str">
        <x:v>kein_transfer</x:v>
      </x:c>
      <x:c r="S367"/>
      <x:c r="T367"/>
      <x:c r="U367"/>
      <x:c r="V367" s="59" t="b">
        <x:v>1</x:v>
      </x:c>
      <x:c r="W367"/>
      <x:c r="X367" t="str">
        <x:v>offen</x:v>
      </x:c>
      <x:c r="Y367" t="str">
        <x:v>Agent-Draft; Kategorie und Person pruefen</x:v>
      </x:c>
    </x:row>
    <x:row r="368">
      <x:c r="A368" t="str">
        <x:v>TXN-RAW-IMP-20260516-FULLDRAFT-000352</x:v>
      </x:c>
      <x:c r="B368" t="str">
        <x:v>RAW-IMP-20260516-FULLDRAFT-000352</x:v>
      </x:c>
      <x:c r="C368" t="str">
        <x:v>KTO001</x:v>
      </x:c>
      <x:c r="D368"/>
      <x:c r="E368" t="str">
        <x:v>KAT013</x:v>
      </x:c>
      <x:c r="F368"/>
      <x:c r="G368"/>
      <x:c r="H368" t="str">
        <x:v>kein_match</x:v>
      </x:c>
      <x:c r="I368" t="str">
        <x:v>Agent-Draft: keine finale Regelentscheidung</x:v>
      </x:c>
      <x:c r="J368" t="n">
        <x:v>46049</x:v>
      </x:c>
      <x:c r="K368"/>
      <x:c r="L368"/>
      <x:c r="M368" t="n">
        <x:v>-1.5</x:v>
      </x:c>
      <x:c r="N368" t="str">
        <x:v>2026-01</x:v>
      </x:c>
      <x:c r="O368" t="str">
        <x:v>Ausgabe</x:v>
      </x:c>
      <x:c r="P368" t="str">
        <x:v>Ist</x:v>
      </x:c>
      <x:c r="Q368" s="59" t="b">
        <x:v>0</x:v>
      </x:c>
      <x:c r="R368" t="str">
        <x:v>kein_transfer</x:v>
      </x:c>
      <x:c r="S368"/>
      <x:c r="T368"/>
      <x:c r="U368"/>
      <x:c r="V368" s="59" t="b">
        <x:v>1</x:v>
      </x:c>
      <x:c r="W368"/>
      <x:c r="X368" t="str">
        <x:v>offen</x:v>
      </x:c>
      <x:c r="Y368" t="str">
        <x:v>Agent-Draft; Kategorie und Person pruefen</x:v>
      </x:c>
    </x:row>
    <x:row r="369">
      <x:c r="A369" t="str">
        <x:v>TXN-RAW-IMP-20260516-FULLDRAFT-000353</x:v>
      </x:c>
      <x:c r="B369" t="str">
        <x:v>RAW-IMP-20260516-FULLDRAFT-000353</x:v>
      </x:c>
      <x:c r="C369" t="str">
        <x:v>KTO001</x:v>
      </x:c>
      <x:c r="D369"/>
      <x:c r="E369" t="str">
        <x:v>KAT013</x:v>
      </x:c>
      <x:c r="F369"/>
      <x:c r="G369"/>
      <x:c r="H369" t="str">
        <x:v>kein_match</x:v>
      </x:c>
      <x:c r="I369" t="str">
        <x:v>Agent-Draft: keine finale Regelentscheidung</x:v>
      </x:c>
      <x:c r="J369" t="n">
        <x:v>46049</x:v>
      </x:c>
      <x:c r="K369"/>
      <x:c r="L369"/>
      <x:c r="M369" t="n">
        <x:v>-504.44</x:v>
      </x:c>
      <x:c r="N369" t="str">
        <x:v>2026-01</x:v>
      </x:c>
      <x:c r="O369" t="str">
        <x:v>Ausgabe</x:v>
      </x:c>
      <x:c r="P369" t="str">
        <x:v>Ist</x:v>
      </x:c>
      <x:c r="Q369" s="59" t="b">
        <x:v>0</x:v>
      </x:c>
      <x:c r="R369" t="str">
        <x:v>kein_transfer</x:v>
      </x:c>
      <x:c r="S369"/>
      <x:c r="T369"/>
      <x:c r="U369"/>
      <x:c r="V369" s="59" t="b">
        <x:v>1</x:v>
      </x:c>
      <x:c r="W369"/>
      <x:c r="X369" t="str">
        <x:v>offen</x:v>
      </x:c>
      <x:c r="Y369" t="str">
        <x:v>Agent-Draft; Kategorie und Person pruefen</x:v>
      </x:c>
    </x:row>
    <x:row r="370">
      <x:c r="A370" t="str">
        <x:v>TXN-RAW-IMP-20260516-FULLDRAFT-000354</x:v>
      </x:c>
      <x:c r="B370" t="str">
        <x:v>RAW-IMP-20260516-FULLDRAFT-000354</x:v>
      </x:c>
      <x:c r="C370" t="str">
        <x:v>KTO001</x:v>
      </x:c>
      <x:c r="D370"/>
      <x:c r="E370" t="str">
        <x:v>KAT013</x:v>
      </x:c>
      <x:c r="F370"/>
      <x:c r="G370"/>
      <x:c r="H370" t="str">
        <x:v>kein_match</x:v>
      </x:c>
      <x:c r="I370" t="str">
        <x:v>Agent-Draft: keine finale Regelentscheidung</x:v>
      </x:c>
      <x:c r="J370" t="n">
        <x:v>46049</x:v>
      </x:c>
      <x:c r="K370"/>
      <x:c r="L370"/>
      <x:c r="M370" t="n">
        <x:v>-7.64</x:v>
      </x:c>
      <x:c r="N370" t="str">
        <x:v>2026-01</x:v>
      </x:c>
      <x:c r="O370" t="str">
        <x:v>Ausgabe</x:v>
      </x:c>
      <x:c r="P370" t="str">
        <x:v>Ist</x:v>
      </x:c>
      <x:c r="Q370" s="59" t="b">
        <x:v>0</x:v>
      </x:c>
      <x:c r="R370" t="str">
        <x:v>kein_transfer</x:v>
      </x:c>
      <x:c r="S370"/>
      <x:c r="T370"/>
      <x:c r="U370"/>
      <x:c r="V370" s="59" t="b">
        <x:v>1</x:v>
      </x:c>
      <x:c r="W370"/>
      <x:c r="X370" t="str">
        <x:v>offen</x:v>
      </x:c>
      <x:c r="Y370" t="str">
        <x:v>Agent-Draft; Kategorie und Person pruefen</x:v>
      </x:c>
    </x:row>
    <x:row r="371">
      <x:c r="A371" t="str">
        <x:v>TXN-RAW-IMP-20260516-FULLDRAFT-000355</x:v>
      </x:c>
      <x:c r="B371" t="str">
        <x:v>RAW-IMP-20260516-FULLDRAFT-000355</x:v>
      </x:c>
      <x:c r="C371" t="str">
        <x:v>KTO001</x:v>
      </x:c>
      <x:c r="D371"/>
      <x:c r="E371" t="str">
        <x:v>KAT013</x:v>
      </x:c>
      <x:c r="F371"/>
      <x:c r="G371"/>
      <x:c r="H371" t="str">
        <x:v>kein_match</x:v>
      </x:c>
      <x:c r="I371" t="str">
        <x:v>Agent-Draft: keine finale Regelentscheidung</x:v>
      </x:c>
      <x:c r="J371" t="n">
        <x:v>46049</x:v>
      </x:c>
      <x:c r="K371"/>
      <x:c r="L371"/>
      <x:c r="M371" t="n">
        <x:v>-14.51</x:v>
      </x:c>
      <x:c r="N371" t="str">
        <x:v>2026-01</x:v>
      </x:c>
      <x:c r="O371" t="str">
        <x:v>Ausgabe</x:v>
      </x:c>
      <x:c r="P371" t="str">
        <x:v>Ist</x:v>
      </x:c>
      <x:c r="Q371" s="59" t="b">
        <x:v>0</x:v>
      </x:c>
      <x:c r="R371" t="str">
        <x:v>kein_transfer</x:v>
      </x:c>
      <x:c r="S371"/>
      <x:c r="T371"/>
      <x:c r="U371"/>
      <x:c r="V371" s="59" t="b">
        <x:v>1</x:v>
      </x:c>
      <x:c r="W371"/>
      <x:c r="X371" t="str">
        <x:v>offen</x:v>
      </x:c>
      <x:c r="Y371" t="str">
        <x:v>Agent-Draft; Kategorie und Person pruefen</x:v>
      </x:c>
    </x:row>
    <x:row r="372">
      <x:c r="A372" t="str">
        <x:v>TXN-RAW-IMP-20260516-FULLDRAFT-000356</x:v>
      </x:c>
      <x:c r="B372" t="str">
        <x:v>RAW-IMP-20260516-FULLDRAFT-000356</x:v>
      </x:c>
      <x:c r="C372" t="str">
        <x:v>KTO001</x:v>
      </x:c>
      <x:c r="D372"/>
      <x:c r="E372" t="str">
        <x:v>KAT013</x:v>
      </x:c>
      <x:c r="F372"/>
      <x:c r="G372"/>
      <x:c r="H372" t="str">
        <x:v>kein_match</x:v>
      </x:c>
      <x:c r="I372" t="str">
        <x:v>Agent-Draft: keine finale Regelentscheidung</x:v>
      </x:c>
      <x:c r="J372" t="n">
        <x:v>46049</x:v>
      </x:c>
      <x:c r="K372"/>
      <x:c r="L372"/>
      <x:c r="M372" t="n">
        <x:v>-1210</x:v>
      </x:c>
      <x:c r="N372" t="str">
        <x:v>2026-01</x:v>
      </x:c>
      <x:c r="O372" t="str">
        <x:v>Ausgabe</x:v>
      </x:c>
      <x:c r="P372" t="str">
        <x:v>Ist</x:v>
      </x:c>
      <x:c r="Q372" s="59" t="b">
        <x:v>0</x:v>
      </x:c>
      <x:c r="R372" t="str">
        <x:v>kein_transfer</x:v>
      </x:c>
      <x:c r="S372"/>
      <x:c r="T372"/>
      <x:c r="U372"/>
      <x:c r="V372" s="59" t="b">
        <x:v>1</x:v>
      </x:c>
      <x:c r="W372"/>
      <x:c r="X372" t="str">
        <x:v>offen</x:v>
      </x:c>
      <x:c r="Y372" t="str">
        <x:v>Agent-Draft; Kategorie und Person pruefen</x:v>
      </x:c>
    </x:row>
    <x:row r="373">
      <x:c r="A373" t="str">
        <x:v>TXN-RAW-IMP-20260516-FULLDRAFT-000357</x:v>
      </x:c>
      <x:c r="B373" t="str">
        <x:v>RAW-IMP-20260516-FULLDRAFT-000357</x:v>
      </x:c>
      <x:c r="C373" t="str">
        <x:v>KTO001</x:v>
      </x:c>
      <x:c r="D373"/>
      <x:c r="E373" t="str">
        <x:v>KAT013</x:v>
      </x:c>
      <x:c r="F373"/>
      <x:c r="G373"/>
      <x:c r="H373" t="str">
        <x:v>kein_match</x:v>
      </x:c>
      <x:c r="I373" t="str">
        <x:v>Agent-Draft: keine finale Regelentscheidung</x:v>
      </x:c>
      <x:c r="J373" t="n">
        <x:v>46049</x:v>
      </x:c>
      <x:c r="K373"/>
      <x:c r="L373"/>
      <x:c r="M373" t="n">
        <x:v>3000</x:v>
      </x:c>
      <x:c r="N373" t="str">
        <x:v>2026-01</x:v>
      </x:c>
      <x:c r="O373" t="str">
        <x:v>Einnahme</x:v>
      </x:c>
      <x:c r="P373" t="str">
        <x:v>Ist</x:v>
      </x:c>
      <x:c r="Q373" s="59" t="b">
        <x:v>0</x:v>
      </x:c>
      <x:c r="R373" t="str">
        <x:v>unklar</x:v>
      </x:c>
      <x:c r="S373"/>
      <x:c r="T373"/>
      <x:c r="U373"/>
      <x:c r="V373" s="59" t="b">
        <x:v>1</x:v>
      </x:c>
      <x:c r="W373" t="str">
        <x:v>Transferkandidat im Draft</x:v>
      </x:c>
      <x:c r="X373" t="str">
        <x:v>offen</x:v>
      </x:c>
      <x:c r="Y373" t="str">
        <x:v>Agent-Draft; Kategorie und Person pruefen</x:v>
      </x:c>
    </x:row>
    <x:row r="374">
      <x:c r="A374" t="str">
        <x:v>TXN-RAW-IMP-20260516-FULLDRAFT-000358</x:v>
      </x:c>
      <x:c r="B374" t="str">
        <x:v>RAW-IMP-20260516-FULLDRAFT-000358</x:v>
      </x:c>
      <x:c r="C374" t="str">
        <x:v>KTO001</x:v>
      </x:c>
      <x:c r="D374"/>
      <x:c r="E374" t="str">
        <x:v>KAT013</x:v>
      </x:c>
      <x:c r="F374"/>
      <x:c r="G374"/>
      <x:c r="H374" t="str">
        <x:v>kein_match</x:v>
      </x:c>
      <x:c r="I374" t="str">
        <x:v>Agent-Draft: keine finale Regelentscheidung</x:v>
      </x:c>
      <x:c r="J374" t="n">
        <x:v>46048</x:v>
      </x:c>
      <x:c r="K374"/>
      <x:c r="L374"/>
      <x:c r="M374" t="n">
        <x:v>-90</x:v>
      </x:c>
      <x:c r="N374" t="str">
        <x:v>2026-01</x:v>
      </x:c>
      <x:c r="O374" t="str">
        <x:v>Ausgabe</x:v>
      </x:c>
      <x:c r="P374" t="str">
        <x:v>Ist</x:v>
      </x:c>
      <x:c r="Q374" s="59" t="b">
        <x:v>0</x:v>
      </x:c>
      <x:c r="R374" t="str">
        <x:v>kein_transfer</x:v>
      </x:c>
      <x:c r="S374"/>
      <x:c r="T374"/>
      <x:c r="U374"/>
      <x:c r="V374" s="59" t="b">
        <x:v>1</x:v>
      </x:c>
      <x:c r="W374"/>
      <x:c r="X374" t="str">
        <x:v>offen</x:v>
      </x:c>
      <x:c r="Y374" t="str">
        <x:v>Agent-Draft; Kategorie und Person pruefen</x:v>
      </x:c>
    </x:row>
    <x:row r="375">
      <x:c r="A375" t="str">
        <x:v>TXN-RAW-IMP-20260516-FULLDRAFT-000359</x:v>
      </x:c>
      <x:c r="B375" t="str">
        <x:v>RAW-IMP-20260516-FULLDRAFT-000359</x:v>
      </x:c>
      <x:c r="C375" t="str">
        <x:v>KTO001</x:v>
      </x:c>
      <x:c r="D375"/>
      <x:c r="E375" t="str">
        <x:v>KAT013</x:v>
      </x:c>
      <x:c r="F375"/>
      <x:c r="G375"/>
      <x:c r="H375" t="str">
        <x:v>kein_match</x:v>
      </x:c>
      <x:c r="I375" t="str">
        <x:v>Agent-Draft: keine finale Regelentscheidung</x:v>
      </x:c>
      <x:c r="J375" t="n">
        <x:v>46048</x:v>
      </x:c>
      <x:c r="K375"/>
      <x:c r="L375"/>
      <x:c r="M375" t="n">
        <x:v>-40.1</x:v>
      </x:c>
      <x:c r="N375" t="str">
        <x:v>2026-01</x:v>
      </x:c>
      <x:c r="O375" t="str">
        <x:v>Ausgabe</x:v>
      </x:c>
      <x:c r="P375" t="str">
        <x:v>Ist</x:v>
      </x:c>
      <x:c r="Q375" s="59" t="b">
        <x:v>0</x:v>
      </x:c>
      <x:c r="R375" t="str">
        <x:v>kein_transfer</x:v>
      </x:c>
      <x:c r="S375"/>
      <x:c r="T375"/>
      <x:c r="U375"/>
      <x:c r="V375" s="59" t="b">
        <x:v>1</x:v>
      </x:c>
      <x:c r="W375"/>
      <x:c r="X375" t="str">
        <x:v>offen</x:v>
      </x:c>
      <x:c r="Y375" t="str">
        <x:v>Agent-Draft; Kategorie und Person pruefen</x:v>
      </x:c>
    </x:row>
    <x:row r="376">
      <x:c r="A376" t="str">
        <x:v>TXN-RAW-IMP-20260516-FULLDRAFT-000360</x:v>
      </x:c>
      <x:c r="B376" t="str">
        <x:v>RAW-IMP-20260516-FULLDRAFT-000360</x:v>
      </x:c>
      <x:c r="C376" t="str">
        <x:v>KTO001</x:v>
      </x:c>
      <x:c r="D376"/>
      <x:c r="E376" t="str">
        <x:v>KAT013</x:v>
      </x:c>
      <x:c r="F376"/>
      <x:c r="G376"/>
      <x:c r="H376" t="str">
        <x:v>kein_match</x:v>
      </x:c>
      <x:c r="I376" t="str">
        <x:v>Agent-Draft: keine finale Regelentscheidung</x:v>
      </x:c>
      <x:c r="J376" t="n">
        <x:v>46048</x:v>
      </x:c>
      <x:c r="K376"/>
      <x:c r="L376"/>
      <x:c r="M376" t="n">
        <x:v>-2.99</x:v>
      </x:c>
      <x:c r="N376" t="str">
        <x:v>2026-01</x:v>
      </x:c>
      <x:c r="O376" t="str">
        <x:v>Ausgabe</x:v>
      </x:c>
      <x:c r="P376" t="str">
        <x:v>Ist</x:v>
      </x:c>
      <x:c r="Q376" s="59" t="b">
        <x:v>0</x:v>
      </x:c>
      <x:c r="R376" t="str">
        <x:v>kein_transfer</x:v>
      </x:c>
      <x:c r="S376"/>
      <x:c r="T376"/>
      <x:c r="U376"/>
      <x:c r="V376" s="59" t="b">
        <x:v>1</x:v>
      </x:c>
      <x:c r="W376"/>
      <x:c r="X376" t="str">
        <x:v>offen</x:v>
      </x:c>
      <x:c r="Y376" t="str">
        <x:v>Agent-Draft; Kategorie und Person pruefen</x:v>
      </x:c>
    </x:row>
    <x:row r="377">
      <x:c r="A377" t="str">
        <x:v>TXN-RAW-IMP-20260516-FULLDRAFT-000361</x:v>
      </x:c>
      <x:c r="B377" t="str">
        <x:v>RAW-IMP-20260516-FULLDRAFT-000361</x:v>
      </x:c>
      <x:c r="C377" t="str">
        <x:v>KTO001</x:v>
      </x:c>
      <x:c r="D377"/>
      <x:c r="E377" t="str">
        <x:v>KAT013</x:v>
      </x:c>
      <x:c r="F377"/>
      <x:c r="G377"/>
      <x:c r="H377" t="str">
        <x:v>kein_match</x:v>
      </x:c>
      <x:c r="I377" t="str">
        <x:v>Agent-Draft: keine finale Regelentscheidung</x:v>
      </x:c>
      <x:c r="J377" t="n">
        <x:v>46048</x:v>
      </x:c>
      <x:c r="K377"/>
      <x:c r="L377"/>
      <x:c r="M377" t="n">
        <x:v>-24</x:v>
      </x:c>
      <x:c r="N377" t="str">
        <x:v>2026-01</x:v>
      </x:c>
      <x:c r="O377" t="str">
        <x:v>Ausgabe</x:v>
      </x:c>
      <x:c r="P377" t="str">
        <x:v>Ist</x:v>
      </x:c>
      <x:c r="Q377" s="59" t="b">
        <x:v>0</x:v>
      </x:c>
      <x:c r="R377" t="str">
        <x:v>kein_transfer</x:v>
      </x:c>
      <x:c r="S377"/>
      <x:c r="T377"/>
      <x:c r="U377"/>
      <x:c r="V377" s="59" t="b">
        <x:v>1</x:v>
      </x:c>
      <x:c r="W377"/>
      <x:c r="X377" t="str">
        <x:v>offen</x:v>
      </x:c>
      <x:c r="Y377" t="str">
        <x:v>Agent-Draft; Kategorie und Person pruefen</x:v>
      </x:c>
    </x:row>
    <x:row r="378">
      <x:c r="A378" t="str">
        <x:v>TXN-RAW-IMP-20260516-FULLDRAFT-000362</x:v>
      </x:c>
      <x:c r="B378" t="str">
        <x:v>RAW-IMP-20260516-FULLDRAFT-000362</x:v>
      </x:c>
      <x:c r="C378" t="str">
        <x:v>KTO001</x:v>
      </x:c>
      <x:c r="D378"/>
      <x:c r="E378" t="str">
        <x:v>KAT013</x:v>
      </x:c>
      <x:c r="F378"/>
      <x:c r="G378"/>
      <x:c r="H378" t="str">
        <x:v>kein_match</x:v>
      </x:c>
      <x:c r="I378" t="str">
        <x:v>Agent-Draft: keine finale Regelentscheidung</x:v>
      </x:c>
      <x:c r="J378" t="n">
        <x:v>46048</x:v>
      </x:c>
      <x:c r="K378"/>
      <x:c r="L378"/>
      <x:c r="M378" t="n">
        <x:v>-52.8</x:v>
      </x:c>
      <x:c r="N378" t="str">
        <x:v>2026-01</x:v>
      </x:c>
      <x:c r="O378" t="str">
        <x:v>Ausgabe</x:v>
      </x:c>
      <x:c r="P378" t="str">
        <x:v>Ist</x:v>
      </x:c>
      <x:c r="Q378" s="59" t="b">
        <x:v>0</x:v>
      </x:c>
      <x:c r="R378" t="str">
        <x:v>kein_transfer</x:v>
      </x:c>
      <x:c r="S378"/>
      <x:c r="T378"/>
      <x:c r="U378"/>
      <x:c r="V378" s="59" t="b">
        <x:v>1</x:v>
      </x:c>
      <x:c r="W378"/>
      <x:c r="X378" t="str">
        <x:v>offen</x:v>
      </x:c>
      <x:c r="Y378" t="str">
        <x:v>Agent-Draft; Kategorie und Person pruefen</x:v>
      </x:c>
    </x:row>
    <x:row r="379">
      <x:c r="A379" t="str">
        <x:v>TXN-RAW-IMP-20260516-FULLDRAFT-000363</x:v>
      </x:c>
      <x:c r="B379" t="str">
        <x:v>RAW-IMP-20260516-FULLDRAFT-000363</x:v>
      </x:c>
      <x:c r="C379" t="str">
        <x:v>KTO001</x:v>
      </x:c>
      <x:c r="D379"/>
      <x:c r="E379" t="str">
        <x:v>KAT013</x:v>
      </x:c>
      <x:c r="F379"/>
      <x:c r="G379"/>
      <x:c r="H379" t="str">
        <x:v>kein_match</x:v>
      </x:c>
      <x:c r="I379" t="str">
        <x:v>Agent-Draft: keine finale Regelentscheidung</x:v>
      </x:c>
      <x:c r="J379" t="n">
        <x:v>46048</x:v>
      </x:c>
      <x:c r="K379"/>
      <x:c r="L379"/>
      <x:c r="M379" t="n">
        <x:v>-9.99</x:v>
      </x:c>
      <x:c r="N379" t="str">
        <x:v>2026-01</x:v>
      </x:c>
      <x:c r="O379" t="str">
        <x:v>Ausgabe</x:v>
      </x:c>
      <x:c r="P379" t="str">
        <x:v>Ist</x:v>
      </x:c>
      <x:c r="Q379" s="59" t="b">
        <x:v>0</x:v>
      </x:c>
      <x:c r="R379" t="str">
        <x:v>kein_transfer</x:v>
      </x:c>
      <x:c r="S379"/>
      <x:c r="T379"/>
      <x:c r="U379"/>
      <x:c r="V379" s="59" t="b">
        <x:v>1</x:v>
      </x:c>
      <x:c r="W379"/>
      <x:c r="X379" t="str">
        <x:v>offen</x:v>
      </x:c>
      <x:c r="Y379" t="str">
        <x:v>Agent-Draft; Kategorie und Person pruefen</x:v>
      </x:c>
    </x:row>
    <x:row r="380">
      <x:c r="A380" t="str">
        <x:v>TXN-RAW-IMP-20260516-FULLDRAFT-000364</x:v>
      </x:c>
      <x:c r="B380" t="str">
        <x:v>RAW-IMP-20260516-FULLDRAFT-000364</x:v>
      </x:c>
      <x:c r="C380" t="str">
        <x:v>KTO001</x:v>
      </x:c>
      <x:c r="D380"/>
      <x:c r="E380" t="str">
        <x:v>KAT013</x:v>
      </x:c>
      <x:c r="F380"/>
      <x:c r="G380"/>
      <x:c r="H380" t="str">
        <x:v>kein_match</x:v>
      </x:c>
      <x:c r="I380" t="str">
        <x:v>Agent-Draft: keine finale Regelentscheidung</x:v>
      </x:c>
      <x:c r="J380" t="n">
        <x:v>46045</x:v>
      </x:c>
      <x:c r="K380"/>
      <x:c r="L380"/>
      <x:c r="M380" t="n">
        <x:v>-8.99</x:v>
      </x:c>
      <x:c r="N380" t="str">
        <x:v>2026-01</x:v>
      </x:c>
      <x:c r="O380" t="str">
        <x:v>Ausgabe</x:v>
      </x:c>
      <x:c r="P380" t="str">
        <x:v>Ist</x:v>
      </x:c>
      <x:c r="Q380" s="59" t="b">
        <x:v>0</x:v>
      </x:c>
      <x:c r="R380" t="str">
        <x:v>kein_transfer</x:v>
      </x:c>
      <x:c r="S380"/>
      <x:c r="T380"/>
      <x:c r="U380"/>
      <x:c r="V380" s="59" t="b">
        <x:v>1</x:v>
      </x:c>
      <x:c r="W380"/>
      <x:c r="X380" t="str">
        <x:v>offen</x:v>
      </x:c>
      <x:c r="Y380" t="str">
        <x:v>Agent-Draft; Kategorie und Person pruefen</x:v>
      </x:c>
    </x:row>
    <x:row r="381">
      <x:c r="A381" t="str">
        <x:v>TXN-RAW-IMP-20260516-FULLDRAFT-000365</x:v>
      </x:c>
      <x:c r="B381" t="str">
        <x:v>RAW-IMP-20260516-FULLDRAFT-000365</x:v>
      </x:c>
      <x:c r="C381" t="str">
        <x:v>KTO001</x:v>
      </x:c>
      <x:c r="D381"/>
      <x:c r="E381" t="str">
        <x:v>KAT013</x:v>
      </x:c>
      <x:c r="F381"/>
      <x:c r="G381"/>
      <x:c r="H381" t="str">
        <x:v>kein_match</x:v>
      </x:c>
      <x:c r="I381" t="str">
        <x:v>Agent-Draft: keine finale Regelentscheidung</x:v>
      </x:c>
      <x:c r="J381" t="n">
        <x:v>46045</x:v>
      </x:c>
      <x:c r="K381"/>
      <x:c r="L381"/>
      <x:c r="M381" t="n">
        <x:v>-2.99</x:v>
      </x:c>
      <x:c r="N381" t="str">
        <x:v>2026-01</x:v>
      </x:c>
      <x:c r="O381" t="str">
        <x:v>Ausgabe</x:v>
      </x:c>
      <x:c r="P381" t="str">
        <x:v>Ist</x:v>
      </x:c>
      <x:c r="Q381" s="59" t="b">
        <x:v>0</x:v>
      </x:c>
      <x:c r="R381" t="str">
        <x:v>kein_transfer</x:v>
      </x:c>
      <x:c r="S381"/>
      <x:c r="T381"/>
      <x:c r="U381"/>
      <x:c r="V381" s="59" t="b">
        <x:v>1</x:v>
      </x:c>
      <x:c r="W381"/>
      <x:c r="X381" t="str">
        <x:v>offen</x:v>
      </x:c>
      <x:c r="Y381" t="str">
        <x:v>Agent-Draft; Kategorie und Person pruefen</x:v>
      </x:c>
    </x:row>
    <x:row r="382">
      <x:c r="A382" t="str">
        <x:v>TXN-RAW-IMP-20260516-FULLDRAFT-000366</x:v>
      </x:c>
      <x:c r="B382" t="str">
        <x:v>RAW-IMP-20260516-FULLDRAFT-000366</x:v>
      </x:c>
      <x:c r="C382" t="str">
        <x:v>KTO001</x:v>
      </x:c>
      <x:c r="D382"/>
      <x:c r="E382" t="str">
        <x:v>KAT013</x:v>
      </x:c>
      <x:c r="F382"/>
      <x:c r="G382"/>
      <x:c r="H382" t="str">
        <x:v>kein_match</x:v>
      </x:c>
      <x:c r="I382" t="str">
        <x:v>Agent-Draft: keine finale Regelentscheidung</x:v>
      </x:c>
      <x:c r="J382" t="n">
        <x:v>46044</x:v>
      </x:c>
      <x:c r="K382"/>
      <x:c r="L382"/>
      <x:c r="M382" t="n">
        <x:v>-2.64</x:v>
      </x:c>
      <x:c r="N382" t="str">
        <x:v>2026-01</x:v>
      </x:c>
      <x:c r="O382" t="str">
        <x:v>Ausgabe</x:v>
      </x:c>
      <x:c r="P382" t="str">
        <x:v>Ist</x:v>
      </x:c>
      <x:c r="Q382" s="59" t="b">
        <x:v>0</x:v>
      </x:c>
      <x:c r="R382" t="str">
        <x:v>kein_transfer</x:v>
      </x:c>
      <x:c r="S382"/>
      <x:c r="T382"/>
      <x:c r="U382"/>
      <x:c r="V382" s="59" t="b">
        <x:v>1</x:v>
      </x:c>
      <x:c r="W382"/>
      <x:c r="X382" t="str">
        <x:v>offen</x:v>
      </x:c>
      <x:c r="Y382" t="str">
        <x:v>Agent-Draft; Kategorie und Person pruefen</x:v>
      </x:c>
    </x:row>
    <x:row r="383">
      <x:c r="A383" t="str">
        <x:v>TXN-RAW-IMP-20260516-FULLDRAFT-000367</x:v>
      </x:c>
      <x:c r="B383" t="str">
        <x:v>RAW-IMP-20260516-FULLDRAFT-000367</x:v>
      </x:c>
      <x:c r="C383" t="str">
        <x:v>KTO001</x:v>
      </x:c>
      <x:c r="D383"/>
      <x:c r="E383" t="str">
        <x:v>KAT013</x:v>
      </x:c>
      <x:c r="F383"/>
      <x:c r="G383"/>
      <x:c r="H383" t="str">
        <x:v>kein_match</x:v>
      </x:c>
      <x:c r="I383" t="str">
        <x:v>Agent-Draft: keine finale Regelentscheidung</x:v>
      </x:c>
      <x:c r="J383" t="n">
        <x:v>46043</x:v>
      </x:c>
      <x:c r="K383"/>
      <x:c r="L383"/>
      <x:c r="M383" t="n">
        <x:v>-44.27</x:v>
      </x:c>
      <x:c r="N383" t="str">
        <x:v>2026-01</x:v>
      </x:c>
      <x:c r="O383" t="str">
        <x:v>Ausgabe</x:v>
      </x:c>
      <x:c r="P383" t="str">
        <x:v>Ist</x:v>
      </x:c>
      <x:c r="Q383" s="59" t="b">
        <x:v>0</x:v>
      </x:c>
      <x:c r="R383" t="str">
        <x:v>kein_transfer</x:v>
      </x:c>
      <x:c r="S383"/>
      <x:c r="T383"/>
      <x:c r="U383"/>
      <x:c r="V383" s="59" t="b">
        <x:v>1</x:v>
      </x:c>
      <x:c r="W383"/>
      <x:c r="X383" t="str">
        <x:v>offen</x:v>
      </x:c>
      <x:c r="Y383" t="str">
        <x:v>Agent-Draft; Kategorie und Person pruefen</x:v>
      </x:c>
    </x:row>
    <x:row r="384">
      <x:c r="A384" t="str">
        <x:v>TXN-RAW-IMP-20260516-FULLDRAFT-000368</x:v>
      </x:c>
      <x:c r="B384" t="str">
        <x:v>RAW-IMP-20260516-FULLDRAFT-000368</x:v>
      </x:c>
      <x:c r="C384" t="str">
        <x:v>KTO001</x:v>
      </x:c>
      <x:c r="D384"/>
      <x:c r="E384" t="str">
        <x:v>KAT013</x:v>
      </x:c>
      <x:c r="F384"/>
      <x:c r="G384"/>
      <x:c r="H384" t="str">
        <x:v>kein_match</x:v>
      </x:c>
      <x:c r="I384" t="str">
        <x:v>Agent-Draft: keine finale Regelentscheidung</x:v>
      </x:c>
      <x:c r="J384" t="n">
        <x:v>46043</x:v>
      </x:c>
      <x:c r="K384"/>
      <x:c r="L384"/>
      <x:c r="M384" t="n">
        <x:v>300</x:v>
      </x:c>
      <x:c r="N384" t="str">
        <x:v>2026-01</x:v>
      </x:c>
      <x:c r="O384" t="str">
        <x:v>Einnahme</x:v>
      </x:c>
      <x:c r="P384" t="str">
        <x:v>Ist</x:v>
      </x:c>
      <x:c r="Q384" s="59" t="b">
        <x:v>0</x:v>
      </x:c>
      <x:c r="R384" t="str">
        <x:v>unklar</x:v>
      </x:c>
      <x:c r="S384"/>
      <x:c r="T384"/>
      <x:c r="U384"/>
      <x:c r="V384" s="59" t="b">
        <x:v>1</x:v>
      </x:c>
      <x:c r="W384" t="str">
        <x:v>Transferkandidat im Draft</x:v>
      </x:c>
      <x:c r="X384" t="str">
        <x:v>offen</x:v>
      </x:c>
      <x:c r="Y384" t="str">
        <x:v>Agent-Draft; Kategorie und Person pruefen</x:v>
      </x:c>
    </x:row>
    <x:row r="385">
      <x:c r="A385" t="str">
        <x:v>TXN-RAW-IMP-20260516-FULLDRAFT-000369</x:v>
      </x:c>
      <x:c r="B385" t="str">
        <x:v>RAW-IMP-20260516-FULLDRAFT-000369</x:v>
      </x:c>
      <x:c r="C385" t="str">
        <x:v>KTO001</x:v>
      </x:c>
      <x:c r="D385"/>
      <x:c r="E385" t="str">
        <x:v>KAT013</x:v>
      </x:c>
      <x:c r="F385"/>
      <x:c r="G385"/>
      <x:c r="H385" t="str">
        <x:v>kein_match</x:v>
      </x:c>
      <x:c r="I385" t="str">
        <x:v>Agent-Draft: keine finale Regelentscheidung</x:v>
      </x:c>
      <x:c r="J385" t="n">
        <x:v>46043</x:v>
      </x:c>
      <x:c r="K385"/>
      <x:c r="L385"/>
      <x:c r="M385" t="n">
        <x:v>-6.99</x:v>
      </x:c>
      <x:c r="N385" t="str">
        <x:v>2026-01</x:v>
      </x:c>
      <x:c r="O385" t="str">
        <x:v>Ausgabe</x:v>
      </x:c>
      <x:c r="P385" t="str">
        <x:v>Ist</x:v>
      </x:c>
      <x:c r="Q385" s="59" t="b">
        <x:v>0</x:v>
      </x:c>
      <x:c r="R385" t="str">
        <x:v>kein_transfer</x:v>
      </x:c>
      <x:c r="S385"/>
      <x:c r="T385"/>
      <x:c r="U385"/>
      <x:c r="V385" s="59" t="b">
        <x:v>1</x:v>
      </x:c>
      <x:c r="W385"/>
      <x:c r="X385" t="str">
        <x:v>offen</x:v>
      </x:c>
      <x:c r="Y385" t="str">
        <x:v>Agent-Draft; Kategorie und Person pruefen</x:v>
      </x:c>
    </x:row>
    <x:row r="386">
      <x:c r="A386" t="str">
        <x:v>TXN-RAW-IMP-20260516-FULLDRAFT-000370</x:v>
      </x:c>
      <x:c r="B386" t="str">
        <x:v>RAW-IMP-20260516-FULLDRAFT-000370</x:v>
      </x:c>
      <x:c r="C386" t="str">
        <x:v>KTO001</x:v>
      </x:c>
      <x:c r="D386"/>
      <x:c r="E386" t="str">
        <x:v>KAT013</x:v>
      </x:c>
      <x:c r="F386"/>
      <x:c r="G386"/>
      <x:c r="H386" t="str">
        <x:v>kein_match</x:v>
      </x:c>
      <x:c r="I386" t="str">
        <x:v>Agent-Draft: keine finale Regelentscheidung</x:v>
      </x:c>
      <x:c r="J386" t="n">
        <x:v>46042</x:v>
      </x:c>
      <x:c r="K386"/>
      <x:c r="L386"/>
      <x:c r="M386" t="n">
        <x:v>-4.99</x:v>
      </x:c>
      <x:c r="N386" t="str">
        <x:v>2026-01</x:v>
      </x:c>
      <x:c r="O386" t="str">
        <x:v>Ausgabe</x:v>
      </x:c>
      <x:c r="P386" t="str">
        <x:v>Ist</x:v>
      </x:c>
      <x:c r="Q386" s="59" t="b">
        <x:v>0</x:v>
      </x:c>
      <x:c r="R386" t="str">
        <x:v>kein_transfer</x:v>
      </x:c>
      <x:c r="S386"/>
      <x:c r="T386"/>
      <x:c r="U386"/>
      <x:c r="V386" s="59" t="b">
        <x:v>1</x:v>
      </x:c>
      <x:c r="W386"/>
      <x:c r="X386" t="str">
        <x:v>offen</x:v>
      </x:c>
      <x:c r="Y386" t="str">
        <x:v>Agent-Draft; Kategorie und Person pruefen</x:v>
      </x:c>
    </x:row>
    <x:row r="387">
      <x:c r="A387" t="str">
        <x:v>TXN-RAW-IMP-20260516-FULLDRAFT-000371</x:v>
      </x:c>
      <x:c r="B387" t="str">
        <x:v>RAW-IMP-20260516-FULLDRAFT-000371</x:v>
      </x:c>
      <x:c r="C387" t="str">
        <x:v>KTO001</x:v>
      </x:c>
      <x:c r="D387"/>
      <x:c r="E387" t="str">
        <x:v>KAT013</x:v>
      </x:c>
      <x:c r="F387"/>
      <x:c r="G387"/>
      <x:c r="H387" t="str">
        <x:v>kein_match</x:v>
      </x:c>
      <x:c r="I387" t="str">
        <x:v>Agent-Draft: keine finale Regelentscheidung</x:v>
      </x:c>
      <x:c r="J387" t="n">
        <x:v>46042</x:v>
      </x:c>
      <x:c r="K387"/>
      <x:c r="L387"/>
      <x:c r="M387" t="n">
        <x:v>-11.44</x:v>
      </x:c>
      <x:c r="N387" t="str">
        <x:v>2026-01</x:v>
      </x:c>
      <x:c r="O387" t="str">
        <x:v>Ausgabe</x:v>
      </x:c>
      <x:c r="P387" t="str">
        <x:v>Ist</x:v>
      </x:c>
      <x:c r="Q387" s="59" t="b">
        <x:v>0</x:v>
      </x:c>
      <x:c r="R387" t="str">
        <x:v>kein_transfer</x:v>
      </x:c>
      <x:c r="S387"/>
      <x:c r="T387"/>
      <x:c r="U387"/>
      <x:c r="V387" s="59" t="b">
        <x:v>1</x:v>
      </x:c>
      <x:c r="W387"/>
      <x:c r="X387" t="str">
        <x:v>offen</x:v>
      </x:c>
      <x:c r="Y387" t="str">
        <x:v>Agent-Draft; Kategorie und Person pruefen</x:v>
      </x:c>
    </x:row>
    <x:row r="388">
      <x:c r="A388" t="str">
        <x:v>TXN-RAW-IMP-20260516-FULLDRAFT-000372</x:v>
      </x:c>
      <x:c r="B388" t="str">
        <x:v>RAW-IMP-20260516-FULLDRAFT-000372</x:v>
      </x:c>
      <x:c r="C388" t="str">
        <x:v>KTO001</x:v>
      </x:c>
      <x:c r="D388"/>
      <x:c r="E388" t="str">
        <x:v>KAT013</x:v>
      </x:c>
      <x:c r="F388"/>
      <x:c r="G388"/>
      <x:c r="H388" t="str">
        <x:v>kein_match</x:v>
      </x:c>
      <x:c r="I388" t="str">
        <x:v>Agent-Draft: keine finale Regelentscheidung</x:v>
      </x:c>
      <x:c r="J388" t="n">
        <x:v>46042</x:v>
      </x:c>
      <x:c r="K388"/>
      <x:c r="L388"/>
      <x:c r="M388" t="n">
        <x:v>600</x:v>
      </x:c>
      <x:c r="N388" t="str">
        <x:v>2026-01</x:v>
      </x:c>
      <x:c r="O388" t="str">
        <x:v>Einnahme</x:v>
      </x:c>
      <x:c r="P388" t="str">
        <x:v>Ist</x:v>
      </x:c>
      <x:c r="Q388" s="59" t="b">
        <x:v>0</x:v>
      </x:c>
      <x:c r="R388" t="str">
        <x:v>unklar</x:v>
      </x:c>
      <x:c r="S388"/>
      <x:c r="T388"/>
      <x:c r="U388"/>
      <x:c r="V388" s="59" t="b">
        <x:v>1</x:v>
      </x:c>
      <x:c r="W388" t="str">
        <x:v>Transferkandidat im Draft</x:v>
      </x:c>
      <x:c r="X388" t="str">
        <x:v>offen</x:v>
      </x:c>
      <x:c r="Y388" t="str">
        <x:v>Agent-Draft; Kategorie und Person pruefen</x:v>
      </x:c>
    </x:row>
    <x:row r="389">
      <x:c r="A389" t="str">
        <x:v>TXN-RAW-IMP-20260516-FULLDRAFT-000373</x:v>
      </x:c>
      <x:c r="B389" t="str">
        <x:v>RAW-IMP-20260516-FULLDRAFT-000373</x:v>
      </x:c>
      <x:c r="C389" t="str">
        <x:v>KTO001</x:v>
      </x:c>
      <x:c r="D389"/>
      <x:c r="E389" t="str">
        <x:v>KAT013</x:v>
      </x:c>
      <x:c r="F389"/>
      <x:c r="G389"/>
      <x:c r="H389" t="str">
        <x:v>kein_match</x:v>
      </x:c>
      <x:c r="I389" t="str">
        <x:v>Agent-Draft: keine finale Regelentscheidung</x:v>
      </x:c>
      <x:c r="J389" t="n">
        <x:v>46042</x:v>
      </x:c>
      <x:c r="K389"/>
      <x:c r="L389"/>
      <x:c r="M389" t="n">
        <x:v>-6.99</x:v>
      </x:c>
      <x:c r="N389" t="str">
        <x:v>2026-01</x:v>
      </x:c>
      <x:c r="O389" t="str">
        <x:v>Ausgabe</x:v>
      </x:c>
      <x:c r="P389" t="str">
        <x:v>Ist</x:v>
      </x:c>
      <x:c r="Q389" s="59" t="b">
        <x:v>0</x:v>
      </x:c>
      <x:c r="R389" t="str">
        <x:v>kein_transfer</x:v>
      </x:c>
      <x:c r="S389"/>
      <x:c r="T389"/>
      <x:c r="U389"/>
      <x:c r="V389" s="59" t="b">
        <x:v>1</x:v>
      </x:c>
      <x:c r="W389"/>
      <x:c r="X389" t="str">
        <x:v>offen</x:v>
      </x:c>
      <x:c r="Y389" t="str">
        <x:v>Agent-Draft; Kategorie und Person pruefen</x:v>
      </x:c>
    </x:row>
    <x:row r="390">
      <x:c r="A390" t="str">
        <x:v>TXN-RAW-IMP-20260516-FULLDRAFT-000374</x:v>
      </x:c>
      <x:c r="B390" t="str">
        <x:v>RAW-IMP-20260516-FULLDRAFT-000374</x:v>
      </x:c>
      <x:c r="C390" t="str">
        <x:v>KTO001</x:v>
      </x:c>
      <x:c r="D390"/>
      <x:c r="E390" t="str">
        <x:v>KAT013</x:v>
      </x:c>
      <x:c r="F390"/>
      <x:c r="G390"/>
      <x:c r="H390" t="str">
        <x:v>kein_match</x:v>
      </x:c>
      <x:c r="I390" t="str">
        <x:v>Agent-Draft: keine finale Regelentscheidung</x:v>
      </x:c>
      <x:c r="J390" t="n">
        <x:v>46041</x:v>
      </x:c>
      <x:c r="K390"/>
      <x:c r="L390"/>
      <x:c r="M390" t="n">
        <x:v>-14.75</x:v>
      </x:c>
      <x:c r="N390" t="str">
        <x:v>2026-01</x:v>
      </x:c>
      <x:c r="O390" t="str">
        <x:v>Ausgabe</x:v>
      </x:c>
      <x:c r="P390" t="str">
        <x:v>Ist</x:v>
      </x:c>
      <x:c r="Q390" s="59" t="b">
        <x:v>0</x:v>
      </x:c>
      <x:c r="R390" t="str">
        <x:v>kein_transfer</x:v>
      </x:c>
      <x:c r="S390"/>
      <x:c r="T390"/>
      <x:c r="U390"/>
      <x:c r="V390" s="59" t="b">
        <x:v>1</x:v>
      </x:c>
      <x:c r="W390"/>
      <x:c r="X390" t="str">
        <x:v>offen</x:v>
      </x:c>
      <x:c r="Y390" t="str">
        <x:v>Agent-Draft; Kategorie und Person pruefen</x:v>
      </x:c>
    </x:row>
    <x:row r="391">
      <x:c r="A391" t="str">
        <x:v>TXN-RAW-IMP-20260516-FULLDRAFT-000375</x:v>
      </x:c>
      <x:c r="B391" t="str">
        <x:v>RAW-IMP-20260516-FULLDRAFT-000375</x:v>
      </x:c>
      <x:c r="C391" t="str">
        <x:v>KTO001</x:v>
      </x:c>
      <x:c r="D391"/>
      <x:c r="E391" t="str">
        <x:v>KAT013</x:v>
      </x:c>
      <x:c r="F391"/>
      <x:c r="G391"/>
      <x:c r="H391" t="str">
        <x:v>kein_match</x:v>
      </x:c>
      <x:c r="I391" t="str">
        <x:v>Agent-Draft: keine finale Regelentscheidung</x:v>
      </x:c>
      <x:c r="J391" t="n">
        <x:v>46041</x:v>
      </x:c>
      <x:c r="K391"/>
      <x:c r="L391"/>
      <x:c r="M391" t="n">
        <x:v>-4</x:v>
      </x:c>
      <x:c r="N391" t="str">
        <x:v>2026-01</x:v>
      </x:c>
      <x:c r="O391" t="str">
        <x:v>Ausgabe</x:v>
      </x:c>
      <x:c r="P391" t="str">
        <x:v>Ist</x:v>
      </x:c>
      <x:c r="Q391" s="59" t="b">
        <x:v>0</x:v>
      </x:c>
      <x:c r="R391" t="str">
        <x:v>kein_transfer</x:v>
      </x:c>
      <x:c r="S391"/>
      <x:c r="T391"/>
      <x:c r="U391"/>
      <x:c r="V391" s="59" t="b">
        <x:v>1</x:v>
      </x:c>
      <x:c r="W391"/>
      <x:c r="X391" t="str">
        <x:v>offen</x:v>
      </x:c>
      <x:c r="Y391" t="str">
        <x:v>Agent-Draft; Kategorie und Person pruefen</x:v>
      </x:c>
    </x:row>
    <x:row r="392">
      <x:c r="A392" t="str">
        <x:v>TXN-RAW-IMP-20260516-FULLDRAFT-000376</x:v>
      </x:c>
      <x:c r="B392" t="str">
        <x:v>RAW-IMP-20260516-FULLDRAFT-000376</x:v>
      </x:c>
      <x:c r="C392" t="str">
        <x:v>KTO001</x:v>
      </x:c>
      <x:c r="D392"/>
      <x:c r="E392" t="str">
        <x:v>KAT013</x:v>
      </x:c>
      <x:c r="F392"/>
      <x:c r="G392"/>
      <x:c r="H392" t="str">
        <x:v>kein_match</x:v>
      </x:c>
      <x:c r="I392" t="str">
        <x:v>Agent-Draft: keine finale Regelentscheidung</x:v>
      </x:c>
      <x:c r="J392" t="n">
        <x:v>46041</x:v>
      </x:c>
      <x:c r="K392"/>
      <x:c r="L392"/>
      <x:c r="M392" t="n">
        <x:v>-8.3</x:v>
      </x:c>
      <x:c r="N392" t="str">
        <x:v>2026-01</x:v>
      </x:c>
      <x:c r="O392" t="str">
        <x:v>Ausgabe</x:v>
      </x:c>
      <x:c r="P392" t="str">
        <x:v>Ist</x:v>
      </x:c>
      <x:c r="Q392" s="59" t="b">
        <x:v>0</x:v>
      </x:c>
      <x:c r="R392" t="str">
        <x:v>kein_transfer</x:v>
      </x:c>
      <x:c r="S392"/>
      <x:c r="T392"/>
      <x:c r="U392"/>
      <x:c r="V392" s="59" t="b">
        <x:v>1</x:v>
      </x:c>
      <x:c r="W392"/>
      <x:c r="X392" t="str">
        <x:v>offen</x:v>
      </x:c>
      <x:c r="Y392" t="str">
        <x:v>Agent-Draft; Kategorie und Person pruefen</x:v>
      </x:c>
    </x:row>
    <x:row r="393">
      <x:c r="A393" t="str">
        <x:v>TXN-RAW-IMP-20260516-FULLDRAFT-000377</x:v>
      </x:c>
      <x:c r="B393" t="str">
        <x:v>RAW-IMP-20260516-FULLDRAFT-000377</x:v>
      </x:c>
      <x:c r="C393" t="str">
        <x:v>KTO001</x:v>
      </x:c>
      <x:c r="D393"/>
      <x:c r="E393" t="str">
        <x:v>KAT013</x:v>
      </x:c>
      <x:c r="F393"/>
      <x:c r="G393"/>
      <x:c r="H393" t="str">
        <x:v>kein_match</x:v>
      </x:c>
      <x:c r="I393" t="str">
        <x:v>Agent-Draft: keine finale Regelentscheidung</x:v>
      </x:c>
      <x:c r="J393" t="n">
        <x:v>46041</x:v>
      </x:c>
      <x:c r="K393"/>
      <x:c r="L393"/>
      <x:c r="M393" t="n">
        <x:v>-60.02</x:v>
      </x:c>
      <x:c r="N393" t="str">
        <x:v>2026-01</x:v>
      </x:c>
      <x:c r="O393" t="str">
        <x:v>Ausgabe</x:v>
      </x:c>
      <x:c r="P393" t="str">
        <x:v>Ist</x:v>
      </x:c>
      <x:c r="Q393" s="59" t="b">
        <x:v>0</x:v>
      </x:c>
      <x:c r="R393" t="str">
        <x:v>kein_transfer</x:v>
      </x:c>
      <x:c r="S393"/>
      <x:c r="T393"/>
      <x:c r="U393"/>
      <x:c r="V393" s="59" t="b">
        <x:v>1</x:v>
      </x:c>
      <x:c r="W393"/>
      <x:c r="X393" t="str">
        <x:v>offen</x:v>
      </x:c>
      <x:c r="Y393" t="str">
        <x:v>Agent-Draft; Kategorie und Person pruefen</x:v>
      </x:c>
    </x:row>
    <x:row r="394">
      <x:c r="A394" t="str">
        <x:v>TXN-RAW-IMP-20260516-FULLDRAFT-000378</x:v>
      </x:c>
      <x:c r="B394" t="str">
        <x:v>RAW-IMP-20260516-FULLDRAFT-000378</x:v>
      </x:c>
      <x:c r="C394" t="str">
        <x:v>KTO001</x:v>
      </x:c>
      <x:c r="D394"/>
      <x:c r="E394" t="str">
        <x:v>KAT013</x:v>
      </x:c>
      <x:c r="F394"/>
      <x:c r="G394"/>
      <x:c r="H394" t="str">
        <x:v>kein_match</x:v>
      </x:c>
      <x:c r="I394" t="str">
        <x:v>Agent-Draft: keine finale Regelentscheidung</x:v>
      </x:c>
      <x:c r="J394" t="n">
        <x:v>46041</x:v>
      </x:c>
      <x:c r="K394"/>
      <x:c r="L394"/>
      <x:c r="M394" t="n">
        <x:v>-35.76</x:v>
      </x:c>
      <x:c r="N394" t="str">
        <x:v>2026-01</x:v>
      </x:c>
      <x:c r="O394" t="str">
        <x:v>Ausgabe</x:v>
      </x:c>
      <x:c r="P394" t="str">
        <x:v>Ist</x:v>
      </x:c>
      <x:c r="Q394" s="59" t="b">
        <x:v>0</x:v>
      </x:c>
      <x:c r="R394" t="str">
        <x:v>kein_transfer</x:v>
      </x:c>
      <x:c r="S394"/>
      <x:c r="T394"/>
      <x:c r="U394"/>
      <x:c r="V394" s="59" t="b">
        <x:v>1</x:v>
      </x:c>
      <x:c r="W394"/>
      <x:c r="X394" t="str">
        <x:v>offen</x:v>
      </x:c>
      <x:c r="Y394" t="str">
        <x:v>Agent-Draft; Kategorie und Person pruefen</x:v>
      </x:c>
    </x:row>
    <x:row r="395">
      <x:c r="A395" t="str">
        <x:v>TXN-RAW-IMP-20260516-FULLDRAFT-000379</x:v>
      </x:c>
      <x:c r="B395" t="str">
        <x:v>RAW-IMP-20260516-FULLDRAFT-000379</x:v>
      </x:c>
      <x:c r="C395" t="str">
        <x:v>KTO001</x:v>
      </x:c>
      <x:c r="D395"/>
      <x:c r="E395" t="str">
        <x:v>KAT013</x:v>
      </x:c>
      <x:c r="F395"/>
      <x:c r="G395"/>
      <x:c r="H395" t="str">
        <x:v>kein_match</x:v>
      </x:c>
      <x:c r="I395" t="str">
        <x:v>Agent-Draft: keine finale Regelentscheidung</x:v>
      </x:c>
      <x:c r="J395" t="n">
        <x:v>46041</x:v>
      </x:c>
      <x:c r="K395"/>
      <x:c r="L395"/>
      <x:c r="M395" t="n">
        <x:v>-67.32</x:v>
      </x:c>
      <x:c r="N395" t="str">
        <x:v>2026-01</x:v>
      </x:c>
      <x:c r="O395" t="str">
        <x:v>Ausgabe</x:v>
      </x:c>
      <x:c r="P395" t="str">
        <x:v>Ist</x:v>
      </x:c>
      <x:c r="Q395" s="59" t="b">
        <x:v>0</x:v>
      </x:c>
      <x:c r="R395" t="str">
        <x:v>kein_transfer</x:v>
      </x:c>
      <x:c r="S395"/>
      <x:c r="T395"/>
      <x:c r="U395"/>
      <x:c r="V395" s="59" t="b">
        <x:v>1</x:v>
      </x:c>
      <x:c r="W395"/>
      <x:c r="X395" t="str">
        <x:v>offen</x:v>
      </x:c>
      <x:c r="Y395" t="str">
        <x:v>Agent-Draft; Kategorie und Person pruefen</x:v>
      </x:c>
    </x:row>
    <x:row r="396">
      <x:c r="A396" t="str">
        <x:v>TXN-RAW-IMP-20260516-FULLDRAFT-000380</x:v>
      </x:c>
      <x:c r="B396" t="str">
        <x:v>RAW-IMP-20260516-FULLDRAFT-000380</x:v>
      </x:c>
      <x:c r="C396" t="str">
        <x:v>KTO001</x:v>
      </x:c>
      <x:c r="D396"/>
      <x:c r="E396" t="str">
        <x:v>KAT013</x:v>
      </x:c>
      <x:c r="F396"/>
      <x:c r="G396"/>
      <x:c r="H396" t="str">
        <x:v>kein_match</x:v>
      </x:c>
      <x:c r="I396" t="str">
        <x:v>Agent-Draft: keine finale Regelentscheidung</x:v>
      </x:c>
      <x:c r="J396" t="n">
        <x:v>46041</x:v>
      </x:c>
      <x:c r="K396"/>
      <x:c r="L396"/>
      <x:c r="M396" t="n">
        <x:v>-6.99</x:v>
      </x:c>
      <x:c r="N396" t="str">
        <x:v>2026-01</x:v>
      </x:c>
      <x:c r="O396" t="str">
        <x:v>Ausgabe</x:v>
      </x:c>
      <x:c r="P396" t="str">
        <x:v>Ist</x:v>
      </x:c>
      <x:c r="Q396" s="59" t="b">
        <x:v>0</x:v>
      </x:c>
      <x:c r="R396" t="str">
        <x:v>kein_transfer</x:v>
      </x:c>
      <x:c r="S396"/>
      <x:c r="T396"/>
      <x:c r="U396"/>
      <x:c r="V396" s="59" t="b">
        <x:v>1</x:v>
      </x:c>
      <x:c r="W396"/>
      <x:c r="X396" t="str">
        <x:v>offen</x:v>
      </x:c>
      <x:c r="Y396" t="str">
        <x:v>Agent-Draft; Kategorie und Person pruefen</x:v>
      </x:c>
    </x:row>
    <x:row r="397">
      <x:c r="A397" t="str">
        <x:v>TXN-RAW-IMP-20260516-FULLDRAFT-000381</x:v>
      </x:c>
      <x:c r="B397" t="str">
        <x:v>RAW-IMP-20260516-FULLDRAFT-000381</x:v>
      </x:c>
      <x:c r="C397" t="str">
        <x:v>KTO001</x:v>
      </x:c>
      <x:c r="D397"/>
      <x:c r="E397" t="str">
        <x:v>KAT013</x:v>
      </x:c>
      <x:c r="F397"/>
      <x:c r="G397"/>
      <x:c r="H397" t="str">
        <x:v>kein_match</x:v>
      </x:c>
      <x:c r="I397" t="str">
        <x:v>Agent-Draft: keine finale Regelentscheidung</x:v>
      </x:c>
      <x:c r="J397" t="n">
        <x:v>46041</x:v>
      </x:c>
      <x:c r="K397"/>
      <x:c r="L397"/>
      <x:c r="M397" t="n">
        <x:v>-11.88</x:v>
      </x:c>
      <x:c r="N397" t="str">
        <x:v>2026-01</x:v>
      </x:c>
      <x:c r="O397" t="str">
        <x:v>Ausgabe</x:v>
      </x:c>
      <x:c r="P397" t="str">
        <x:v>Ist</x:v>
      </x:c>
      <x:c r="Q397" s="59" t="b">
        <x:v>0</x:v>
      </x:c>
      <x:c r="R397" t="str">
        <x:v>kein_transfer</x:v>
      </x:c>
      <x:c r="S397"/>
      <x:c r="T397"/>
      <x:c r="U397"/>
      <x:c r="V397" s="59" t="b">
        <x:v>1</x:v>
      </x:c>
      <x:c r="W397"/>
      <x:c r="X397" t="str">
        <x:v>offen</x:v>
      </x:c>
      <x:c r="Y397" t="str">
        <x:v>Agent-Draft; Kategorie und Person pruefen</x:v>
      </x:c>
    </x:row>
    <x:row r="398">
      <x:c r="A398" t="str">
        <x:v>TXN-RAW-IMP-20260516-FULLDRAFT-000382</x:v>
      </x:c>
      <x:c r="B398" t="str">
        <x:v>RAW-IMP-20260516-FULLDRAFT-000382</x:v>
      </x:c>
      <x:c r="C398" t="str">
        <x:v>KTO001</x:v>
      </x:c>
      <x:c r="D398"/>
      <x:c r="E398" t="str">
        <x:v>KAT013</x:v>
      </x:c>
      <x:c r="F398"/>
      <x:c r="G398"/>
      <x:c r="H398" t="str">
        <x:v>kein_match</x:v>
      </x:c>
      <x:c r="I398" t="str">
        <x:v>Agent-Draft: keine finale Regelentscheidung</x:v>
      </x:c>
      <x:c r="J398" t="n">
        <x:v>46038</x:v>
      </x:c>
      <x:c r="K398"/>
      <x:c r="L398"/>
      <x:c r="M398" t="n">
        <x:v>-6.16</x:v>
      </x:c>
      <x:c r="N398" t="str">
        <x:v>2026-01</x:v>
      </x:c>
      <x:c r="O398" t="str">
        <x:v>Ausgabe</x:v>
      </x:c>
      <x:c r="P398" t="str">
        <x:v>Ist</x:v>
      </x:c>
      <x:c r="Q398" s="59" t="b">
        <x:v>0</x:v>
      </x:c>
      <x:c r="R398" t="str">
        <x:v>kein_transfer</x:v>
      </x:c>
      <x:c r="S398"/>
      <x:c r="T398"/>
      <x:c r="U398"/>
      <x:c r="V398" s="59" t="b">
        <x:v>1</x:v>
      </x:c>
      <x:c r="W398"/>
      <x:c r="X398" t="str">
        <x:v>offen</x:v>
      </x:c>
      <x:c r="Y398" t="str">
        <x:v>Agent-Draft; Kategorie und Person pruefen</x:v>
      </x:c>
    </x:row>
    <x:row r="399">
      <x:c r="A399" t="str">
        <x:v>TXN-RAW-IMP-20260516-FULLDRAFT-000383</x:v>
      </x:c>
      <x:c r="B399" t="str">
        <x:v>RAW-IMP-20260516-FULLDRAFT-000383</x:v>
      </x:c>
      <x:c r="C399" t="str">
        <x:v>KTO001</x:v>
      </x:c>
      <x:c r="D399"/>
      <x:c r="E399" t="str">
        <x:v>KAT013</x:v>
      </x:c>
      <x:c r="F399"/>
      <x:c r="G399"/>
      <x:c r="H399" t="str">
        <x:v>kein_match</x:v>
      </x:c>
      <x:c r="I399" t="str">
        <x:v>Agent-Draft: keine finale Regelentscheidung</x:v>
      </x:c>
      <x:c r="J399" t="n">
        <x:v>46038</x:v>
      </x:c>
      <x:c r="K399"/>
      <x:c r="L399"/>
      <x:c r="M399" t="n">
        <x:v>-8.64</x:v>
      </x:c>
      <x:c r="N399" t="str">
        <x:v>2026-01</x:v>
      </x:c>
      <x:c r="O399" t="str">
        <x:v>Ausgabe</x:v>
      </x:c>
      <x:c r="P399" t="str">
        <x:v>Ist</x:v>
      </x:c>
      <x:c r="Q399" s="59" t="b">
        <x:v>0</x:v>
      </x:c>
      <x:c r="R399" t="str">
        <x:v>kein_transfer</x:v>
      </x:c>
      <x:c r="S399"/>
      <x:c r="T399"/>
      <x:c r="U399"/>
      <x:c r="V399" s="59" t="b">
        <x:v>1</x:v>
      </x:c>
      <x:c r="W399"/>
      <x:c r="X399" t="str">
        <x:v>offen</x:v>
      </x:c>
      <x:c r="Y399" t="str">
        <x:v>Agent-Draft; Kategorie und Person pruefen</x:v>
      </x:c>
    </x:row>
    <x:row r="400">
      <x:c r="A400" t="str">
        <x:v>TXN-RAW-IMP-20260516-FULLDRAFT-000384</x:v>
      </x:c>
      <x:c r="B400" t="str">
        <x:v>RAW-IMP-20260516-FULLDRAFT-000384</x:v>
      </x:c>
      <x:c r="C400" t="str">
        <x:v>KTO001</x:v>
      </x:c>
      <x:c r="D400"/>
      <x:c r="E400" t="str">
        <x:v>KAT013</x:v>
      </x:c>
      <x:c r="F400"/>
      <x:c r="G400"/>
      <x:c r="H400" t="str">
        <x:v>kein_match</x:v>
      </x:c>
      <x:c r="I400" t="str">
        <x:v>Agent-Draft: keine finale Regelentscheidung</x:v>
      </x:c>
      <x:c r="J400" t="n">
        <x:v>46036</x:v>
      </x:c>
      <x:c r="K400"/>
      <x:c r="L400"/>
      <x:c r="M400" t="n">
        <x:v>-10.25</x:v>
      </x:c>
      <x:c r="N400" t="str">
        <x:v>2026-01</x:v>
      </x:c>
      <x:c r="O400" t="str">
        <x:v>Ausgabe</x:v>
      </x:c>
      <x:c r="P400" t="str">
        <x:v>Ist</x:v>
      </x:c>
      <x:c r="Q400" s="59" t="b">
        <x:v>0</x:v>
      </x:c>
      <x:c r="R400" t="str">
        <x:v>kein_transfer</x:v>
      </x:c>
      <x:c r="S400"/>
      <x:c r="T400"/>
      <x:c r="U400"/>
      <x:c r="V400" s="59" t="b">
        <x:v>1</x:v>
      </x:c>
      <x:c r="W400"/>
      <x:c r="X400" t="str">
        <x:v>offen</x:v>
      </x:c>
      <x:c r="Y400" t="str">
        <x:v>Agent-Draft; Kategorie und Person pruefen</x:v>
      </x:c>
    </x:row>
    <x:row r="401">
      <x:c r="A401" t="str">
        <x:v>TXN-RAW-IMP-20260516-FULLDRAFT-000385</x:v>
      </x:c>
      <x:c r="B401" t="str">
        <x:v>RAW-IMP-20260516-FULLDRAFT-000385</x:v>
      </x:c>
      <x:c r="C401" t="str">
        <x:v>KTO001</x:v>
      </x:c>
      <x:c r="D401"/>
      <x:c r="E401" t="str">
        <x:v>KAT013</x:v>
      </x:c>
      <x:c r="F401"/>
      <x:c r="G401"/>
      <x:c r="H401" t="str">
        <x:v>kein_match</x:v>
      </x:c>
      <x:c r="I401" t="str">
        <x:v>Agent-Draft: keine finale Regelentscheidung</x:v>
      </x:c>
      <x:c r="J401" t="n">
        <x:v>46036</x:v>
      </x:c>
      <x:c r="K401"/>
      <x:c r="L401"/>
      <x:c r="M401" t="n">
        <x:v>-23.63</x:v>
      </x:c>
      <x:c r="N401" t="str">
        <x:v>2026-01</x:v>
      </x:c>
      <x:c r="O401" t="str">
        <x:v>Ausgabe</x:v>
      </x:c>
      <x:c r="P401" t="str">
        <x:v>Ist</x:v>
      </x:c>
      <x:c r="Q401" s="59" t="b">
        <x:v>0</x:v>
      </x:c>
      <x:c r="R401" t="str">
        <x:v>kein_transfer</x:v>
      </x:c>
      <x:c r="S401"/>
      <x:c r="T401"/>
      <x:c r="U401"/>
      <x:c r="V401" s="59" t="b">
        <x:v>1</x:v>
      </x:c>
      <x:c r="W401"/>
      <x:c r="X401" t="str">
        <x:v>offen</x:v>
      </x:c>
      <x:c r="Y401" t="str">
        <x:v>Agent-Draft; Kategorie und Person pruefen</x:v>
      </x:c>
    </x:row>
    <x:row r="402">
      <x:c r="A402" t="str">
        <x:v>TXN-RAW-IMP-20260516-FULLDRAFT-000386</x:v>
      </x:c>
      <x:c r="B402" t="str">
        <x:v>RAW-IMP-20260516-FULLDRAFT-000386</x:v>
      </x:c>
      <x:c r="C402" t="str">
        <x:v>KTO001</x:v>
      </x:c>
      <x:c r="D402"/>
      <x:c r="E402" t="str">
        <x:v>KAT013</x:v>
      </x:c>
      <x:c r="F402"/>
      <x:c r="G402"/>
      <x:c r="H402" t="str">
        <x:v>kein_match</x:v>
      </x:c>
      <x:c r="I402" t="str">
        <x:v>Agent-Draft: keine finale Regelentscheidung</x:v>
      </x:c>
      <x:c r="J402" t="n">
        <x:v>46036</x:v>
      </x:c>
      <x:c r="K402"/>
      <x:c r="L402"/>
      <x:c r="M402" t="n">
        <x:v>-438.68</x:v>
      </x:c>
      <x:c r="N402" t="str">
        <x:v>2026-01</x:v>
      </x:c>
      <x:c r="O402" t="str">
        <x:v>Ausgabe</x:v>
      </x:c>
      <x:c r="P402" t="str">
        <x:v>Ist</x:v>
      </x:c>
      <x:c r="Q402" s="59" t="b">
        <x:v>0</x:v>
      </x:c>
      <x:c r="R402" t="str">
        <x:v>kein_transfer</x:v>
      </x:c>
      <x:c r="S402"/>
      <x:c r="T402"/>
      <x:c r="U402"/>
      <x:c r="V402" s="59" t="b">
        <x:v>1</x:v>
      </x:c>
      <x:c r="W402"/>
      <x:c r="X402" t="str">
        <x:v>offen</x:v>
      </x:c>
      <x:c r="Y402" t="str">
        <x:v>Agent-Draft; Kategorie und Person pruefen</x:v>
      </x:c>
    </x:row>
    <x:row r="403">
      <x:c r="A403" t="str">
        <x:v>TXN-RAW-IMP-20260516-FULLDRAFT-000387</x:v>
      </x:c>
      <x:c r="B403" t="str">
        <x:v>RAW-IMP-20260516-FULLDRAFT-000387</x:v>
      </x:c>
      <x:c r="C403" t="str">
        <x:v>KTO001</x:v>
      </x:c>
      <x:c r="D403"/>
      <x:c r="E403" t="str">
        <x:v>KAT013</x:v>
      </x:c>
      <x:c r="F403"/>
      <x:c r="G403"/>
      <x:c r="H403" t="str">
        <x:v>kein_match</x:v>
      </x:c>
      <x:c r="I403" t="str">
        <x:v>Agent-Draft: keine finale Regelentscheidung</x:v>
      </x:c>
      <x:c r="J403" t="n">
        <x:v>46036</x:v>
      </x:c>
      <x:c r="K403"/>
      <x:c r="L403"/>
      <x:c r="M403" t="n">
        <x:v>-11.96</x:v>
      </x:c>
      <x:c r="N403" t="str">
        <x:v>2026-01</x:v>
      </x:c>
      <x:c r="O403" t="str">
        <x:v>Ausgabe</x:v>
      </x:c>
      <x:c r="P403" t="str">
        <x:v>Ist</x:v>
      </x:c>
      <x:c r="Q403" s="59" t="b">
        <x:v>0</x:v>
      </x:c>
      <x:c r="R403" t="str">
        <x:v>kein_transfer</x:v>
      </x:c>
      <x:c r="S403"/>
      <x:c r="T403"/>
      <x:c r="U403"/>
      <x:c r="V403" s="59" t="b">
        <x:v>1</x:v>
      </x:c>
      <x:c r="W403"/>
      <x:c r="X403" t="str">
        <x:v>offen</x:v>
      </x:c>
      <x:c r="Y403" t="str">
        <x:v>Agent-Draft; Kategorie und Person pruefen</x:v>
      </x:c>
    </x:row>
    <x:row r="404">
      <x:c r="A404" t="str">
        <x:v>TXN-RAW-IMP-20260516-FULLDRAFT-000388</x:v>
      </x:c>
      <x:c r="B404" t="str">
        <x:v>RAW-IMP-20260516-FULLDRAFT-000388</x:v>
      </x:c>
      <x:c r="C404" t="str">
        <x:v>KTO001</x:v>
      </x:c>
      <x:c r="D404"/>
      <x:c r="E404" t="str">
        <x:v>KAT013</x:v>
      </x:c>
      <x:c r="F404"/>
      <x:c r="G404"/>
      <x:c r="H404" t="str">
        <x:v>kein_match</x:v>
      </x:c>
      <x:c r="I404" t="str">
        <x:v>Agent-Draft: keine finale Regelentscheidung</x:v>
      </x:c>
      <x:c r="J404" t="n">
        <x:v>46034</x:v>
      </x:c>
      <x:c r="K404"/>
      <x:c r="L404"/>
      <x:c r="M404" t="n">
        <x:v>-1</x:v>
      </x:c>
      <x:c r="N404" t="str">
        <x:v>2026-01</x:v>
      </x:c>
      <x:c r="O404" t="str">
        <x:v>Ausgabe</x:v>
      </x:c>
      <x:c r="P404" t="str">
        <x:v>Ist</x:v>
      </x:c>
      <x:c r="Q404" s="59" t="b">
        <x:v>0</x:v>
      </x:c>
      <x:c r="R404" t="str">
        <x:v>kein_transfer</x:v>
      </x:c>
      <x:c r="S404"/>
      <x:c r="T404"/>
      <x:c r="U404"/>
      <x:c r="V404" s="59" t="b">
        <x:v>1</x:v>
      </x:c>
      <x:c r="W404"/>
      <x:c r="X404" t="str">
        <x:v>offen</x:v>
      </x:c>
      <x:c r="Y404" t="str">
        <x:v>Agent-Draft; Kategorie und Person pruefen</x:v>
      </x:c>
    </x:row>
    <x:row r="405">
      <x:c r="A405" t="str">
        <x:v>TXN-RAW-IMP-20260516-FULLDRAFT-000389</x:v>
      </x:c>
      <x:c r="B405" t="str">
        <x:v>RAW-IMP-20260516-FULLDRAFT-000389</x:v>
      </x:c>
      <x:c r="C405" t="str">
        <x:v>KTO001</x:v>
      </x:c>
      <x:c r="D405"/>
      <x:c r="E405" t="str">
        <x:v>KAT013</x:v>
      </x:c>
      <x:c r="F405"/>
      <x:c r="G405"/>
      <x:c r="H405" t="str">
        <x:v>kein_match</x:v>
      </x:c>
      <x:c r="I405" t="str">
        <x:v>Agent-Draft: keine finale Regelentscheidung</x:v>
      </x:c>
      <x:c r="J405" t="n">
        <x:v>46034</x:v>
      </x:c>
      <x:c r="K405"/>
      <x:c r="L405"/>
      <x:c r="M405" t="n">
        <x:v>-62.82</x:v>
      </x:c>
      <x:c r="N405" t="str">
        <x:v>2026-01</x:v>
      </x:c>
      <x:c r="O405" t="str">
        <x:v>Ausgabe</x:v>
      </x:c>
      <x:c r="P405" t="str">
        <x:v>Ist</x:v>
      </x:c>
      <x:c r="Q405" s="59" t="b">
        <x:v>0</x:v>
      </x:c>
      <x:c r="R405" t="str">
        <x:v>kein_transfer</x:v>
      </x:c>
      <x:c r="S405"/>
      <x:c r="T405"/>
      <x:c r="U405"/>
      <x:c r="V405" s="59" t="b">
        <x:v>1</x:v>
      </x:c>
      <x:c r="W405"/>
      <x:c r="X405" t="str">
        <x:v>offen</x:v>
      </x:c>
      <x:c r="Y405" t="str">
        <x:v>Agent-Draft; Kategorie und Person pruefen</x:v>
      </x:c>
    </x:row>
    <x:row r="406">
      <x:c r="A406" t="str">
        <x:v>TXN-RAW-IMP-20260516-FULLDRAFT-000390</x:v>
      </x:c>
      <x:c r="B406" t="str">
        <x:v>RAW-IMP-20260516-FULLDRAFT-000390</x:v>
      </x:c>
      <x:c r="C406" t="str">
        <x:v>KTO001</x:v>
      </x:c>
      <x:c r="D406"/>
      <x:c r="E406" t="str">
        <x:v>KAT013</x:v>
      </x:c>
      <x:c r="F406"/>
      <x:c r="G406"/>
      <x:c r="H406" t="str">
        <x:v>kein_match</x:v>
      </x:c>
      <x:c r="I406" t="str">
        <x:v>Agent-Draft: keine finale Regelentscheidung</x:v>
      </x:c>
      <x:c r="J406" t="n">
        <x:v>46031</x:v>
      </x:c>
      <x:c r="K406"/>
      <x:c r="L406"/>
      <x:c r="M406" t="n">
        <x:v>-4</x:v>
      </x:c>
      <x:c r="N406" t="str">
        <x:v>2026-01</x:v>
      </x:c>
      <x:c r="O406" t="str">
        <x:v>Ausgabe</x:v>
      </x:c>
      <x:c r="P406" t="str">
        <x:v>Ist</x:v>
      </x:c>
      <x:c r="Q406" s="59" t="b">
        <x:v>0</x:v>
      </x:c>
      <x:c r="R406" t="str">
        <x:v>kein_transfer</x:v>
      </x:c>
      <x:c r="S406"/>
      <x:c r="T406"/>
      <x:c r="U406"/>
      <x:c r="V406" s="59" t="b">
        <x:v>1</x:v>
      </x:c>
      <x:c r="W406"/>
      <x:c r="X406" t="str">
        <x:v>offen</x:v>
      </x:c>
      <x:c r="Y406" t="str">
        <x:v>Agent-Draft; Kategorie und Person pruefen</x:v>
      </x:c>
    </x:row>
    <x:row r="407">
      <x:c r="A407" t="str">
        <x:v>TXN-RAW-IMP-20260516-FULLDRAFT-000391</x:v>
      </x:c>
      <x:c r="B407" t="str">
        <x:v>RAW-IMP-20260516-FULLDRAFT-000391</x:v>
      </x:c>
      <x:c r="C407" t="str">
        <x:v>KTO001</x:v>
      </x:c>
      <x:c r="D407"/>
      <x:c r="E407" t="str">
        <x:v>KAT013</x:v>
      </x:c>
      <x:c r="F407"/>
      <x:c r="G407"/>
      <x:c r="H407" t="str">
        <x:v>kein_match</x:v>
      </x:c>
      <x:c r="I407" t="str">
        <x:v>Agent-Draft: keine finale Regelentscheidung</x:v>
      </x:c>
      <x:c r="J407" t="n">
        <x:v>46030</x:v>
      </x:c>
      <x:c r="K407"/>
      <x:c r="L407"/>
      <x:c r="M407" t="n">
        <x:v>-12.98</x:v>
      </x:c>
      <x:c r="N407" t="str">
        <x:v>2026-01</x:v>
      </x:c>
      <x:c r="O407" t="str">
        <x:v>Ausgabe</x:v>
      </x:c>
      <x:c r="P407" t="str">
        <x:v>Ist</x:v>
      </x:c>
      <x:c r="Q407" s="59" t="b">
        <x:v>0</x:v>
      </x:c>
      <x:c r="R407" t="str">
        <x:v>kein_transfer</x:v>
      </x:c>
      <x:c r="S407"/>
      <x:c r="T407"/>
      <x:c r="U407"/>
      <x:c r="V407" s="59" t="b">
        <x:v>1</x:v>
      </x:c>
      <x:c r="W407"/>
      <x:c r="X407" t="str">
        <x:v>offen</x:v>
      </x:c>
      <x:c r="Y407" t="str">
        <x:v>Agent-Draft; Kategorie und Person pruefen</x:v>
      </x:c>
    </x:row>
    <x:row r="408">
      <x:c r="A408" t="str">
        <x:v>TXN-RAW-IMP-20260516-FULLDRAFT-000392</x:v>
      </x:c>
      <x:c r="B408" t="str">
        <x:v>RAW-IMP-20260516-FULLDRAFT-000392</x:v>
      </x:c>
      <x:c r="C408" t="str">
        <x:v>KTO001</x:v>
      </x:c>
      <x:c r="D408"/>
      <x:c r="E408" t="str">
        <x:v>KAT013</x:v>
      </x:c>
      <x:c r="F408"/>
      <x:c r="G408"/>
      <x:c r="H408" t="str">
        <x:v>kein_match</x:v>
      </x:c>
      <x:c r="I408" t="str">
        <x:v>Agent-Draft: keine finale Regelentscheidung</x:v>
      </x:c>
      <x:c r="J408" t="n">
        <x:v>46030</x:v>
      </x:c>
      <x:c r="K408"/>
      <x:c r="L408"/>
      <x:c r="M408" t="n">
        <x:v>-17</x:v>
      </x:c>
      <x:c r="N408" t="str">
        <x:v>2026-01</x:v>
      </x:c>
      <x:c r="O408" t="str">
        <x:v>Ausgabe</x:v>
      </x:c>
      <x:c r="P408" t="str">
        <x:v>Ist</x:v>
      </x:c>
      <x:c r="Q408" s="59" t="b">
        <x:v>0</x:v>
      </x:c>
      <x:c r="R408" t="str">
        <x:v>kein_transfer</x:v>
      </x:c>
      <x:c r="S408"/>
      <x:c r="T408"/>
      <x:c r="U408"/>
      <x:c r="V408" s="59" t="b">
        <x:v>1</x:v>
      </x:c>
      <x:c r="W408"/>
      <x:c r="X408" t="str">
        <x:v>offen</x:v>
      </x:c>
      <x:c r="Y408" t="str">
        <x:v>Agent-Draft; Kategorie und Person pruefen</x:v>
      </x:c>
    </x:row>
    <x:row r="409">
      <x:c r="A409" t="str">
        <x:v>TXN-RAW-IMP-20260516-FULLDRAFT-000393</x:v>
      </x:c>
      <x:c r="B409" t="str">
        <x:v>RAW-IMP-20260516-FULLDRAFT-000393</x:v>
      </x:c>
      <x:c r="C409" t="str">
        <x:v>KTO001</x:v>
      </x:c>
      <x:c r="D409"/>
      <x:c r="E409" t="str">
        <x:v>KAT013</x:v>
      </x:c>
      <x:c r="F409"/>
      <x:c r="G409"/>
      <x:c r="H409" t="str">
        <x:v>kein_match</x:v>
      </x:c>
      <x:c r="I409" t="str">
        <x:v>Agent-Draft: keine finale Regelentscheidung</x:v>
      </x:c>
      <x:c r="J409" t="n">
        <x:v>46029</x:v>
      </x:c>
      <x:c r="K409"/>
      <x:c r="L409"/>
      <x:c r="M409" t="n">
        <x:v>-30</x:v>
      </x:c>
      <x:c r="N409" t="str">
        <x:v>2026-01</x:v>
      </x:c>
      <x:c r="O409" t="str">
        <x:v>Ausgabe</x:v>
      </x:c>
      <x:c r="P409" t="str">
        <x:v>Ist</x:v>
      </x:c>
      <x:c r="Q409" s="59" t="b">
        <x:v>0</x:v>
      </x:c>
      <x:c r="R409" t="str">
        <x:v>kein_transfer</x:v>
      </x:c>
      <x:c r="S409"/>
      <x:c r="T409"/>
      <x:c r="U409"/>
      <x:c r="V409" s="59" t="b">
        <x:v>1</x:v>
      </x:c>
      <x:c r="W409"/>
      <x:c r="X409" t="str">
        <x:v>offen</x:v>
      </x:c>
      <x:c r="Y409" t="str">
        <x:v>Agent-Draft; Kategorie und Person pruefen</x:v>
      </x:c>
    </x:row>
    <x:row r="410">
      <x:c r="A410" t="str">
        <x:v>TXN-RAW-IMP-20260516-FULLDRAFT-000394</x:v>
      </x:c>
      <x:c r="B410" t="str">
        <x:v>RAW-IMP-20260516-FULLDRAFT-000394</x:v>
      </x:c>
      <x:c r="C410" t="str">
        <x:v>KTO001</x:v>
      </x:c>
      <x:c r="D410"/>
      <x:c r="E410" t="str">
        <x:v>KAT013</x:v>
      </x:c>
      <x:c r="F410"/>
      <x:c r="G410"/>
      <x:c r="H410" t="str">
        <x:v>kein_match</x:v>
      </x:c>
      <x:c r="I410" t="str">
        <x:v>Agent-Draft: keine finale Regelentscheidung</x:v>
      </x:c>
      <x:c r="J410" t="n">
        <x:v>46029</x:v>
      </x:c>
      <x:c r="K410"/>
      <x:c r="L410"/>
      <x:c r="M410" t="n">
        <x:v>-65.93</x:v>
      </x:c>
      <x:c r="N410" t="str">
        <x:v>2026-01</x:v>
      </x:c>
      <x:c r="O410" t="str">
        <x:v>Ausgabe</x:v>
      </x:c>
      <x:c r="P410" t="str">
        <x:v>Ist</x:v>
      </x:c>
      <x:c r="Q410" s="59" t="b">
        <x:v>0</x:v>
      </x:c>
      <x:c r="R410" t="str">
        <x:v>kein_transfer</x:v>
      </x:c>
      <x:c r="S410"/>
      <x:c r="T410"/>
      <x:c r="U410"/>
      <x:c r="V410" s="59" t="b">
        <x:v>1</x:v>
      </x:c>
      <x:c r="W410"/>
      <x:c r="X410" t="str">
        <x:v>offen</x:v>
      </x:c>
      <x:c r="Y410" t="str">
        <x:v>Agent-Draft; Kategorie und Person pruefen</x:v>
      </x:c>
    </x:row>
    <x:row r="411">
      <x:c r="A411" t="str">
        <x:v>TXN-RAW-IMP-20260516-FULLDRAFT-000395</x:v>
      </x:c>
      <x:c r="B411" t="str">
        <x:v>RAW-IMP-20260516-FULLDRAFT-000395</x:v>
      </x:c>
      <x:c r="C411" t="str">
        <x:v>KTO001</x:v>
      </x:c>
      <x:c r="D411"/>
      <x:c r="E411" t="str">
        <x:v>KAT013</x:v>
      </x:c>
      <x:c r="F411"/>
      <x:c r="G411"/>
      <x:c r="H411" t="str">
        <x:v>kein_match</x:v>
      </x:c>
      <x:c r="I411" t="str">
        <x:v>Agent-Draft: keine finale Regelentscheidung</x:v>
      </x:c>
      <x:c r="J411" t="n">
        <x:v>46028</x:v>
      </x:c>
      <x:c r="K411"/>
      <x:c r="L411"/>
      <x:c r="M411" t="n">
        <x:v>-49.9</x:v>
      </x:c>
      <x:c r="N411" t="str">
        <x:v>2026-01</x:v>
      </x:c>
      <x:c r="O411" t="str">
        <x:v>Ausgabe</x:v>
      </x:c>
      <x:c r="P411" t="str">
        <x:v>Ist</x:v>
      </x:c>
      <x:c r="Q411" s="59" t="b">
        <x:v>0</x:v>
      </x:c>
      <x:c r="R411" t="str">
        <x:v>kein_transfer</x:v>
      </x:c>
      <x:c r="S411"/>
      <x:c r="T411"/>
      <x:c r="U411"/>
      <x:c r="V411" s="59" t="b">
        <x:v>1</x:v>
      </x:c>
      <x:c r="W411"/>
      <x:c r="X411" t="str">
        <x:v>offen</x:v>
      </x:c>
      <x:c r="Y411" t="str">
        <x:v>Agent-Draft; Kategorie und Person pruefen</x:v>
      </x:c>
    </x:row>
    <x:row r="412">
      <x:c r="A412" t="str">
        <x:v>TXN-RAW-IMP-20260516-FULLDRAFT-000396</x:v>
      </x:c>
      <x:c r="B412" t="str">
        <x:v>RAW-IMP-20260516-FULLDRAFT-000396</x:v>
      </x:c>
      <x:c r="C412" t="str">
        <x:v>KTO001</x:v>
      </x:c>
      <x:c r="D412"/>
      <x:c r="E412" t="str">
        <x:v>KAT013</x:v>
      </x:c>
      <x:c r="F412"/>
      <x:c r="G412"/>
      <x:c r="H412" t="str">
        <x:v>kein_match</x:v>
      </x:c>
      <x:c r="I412" t="str">
        <x:v>Agent-Draft: keine finale Regelentscheidung</x:v>
      </x:c>
      <x:c r="J412" t="n">
        <x:v>46027</x:v>
      </x:c>
      <x:c r="K412"/>
      <x:c r="L412"/>
      <x:c r="M412" t="n">
        <x:v>-121</x:v>
      </x:c>
      <x:c r="N412" t="str">
        <x:v>2026-01</x:v>
      </x:c>
      <x:c r="O412" t="str">
        <x:v>Ausgabe</x:v>
      </x:c>
      <x:c r="P412" t="str">
        <x:v>Ist</x:v>
      </x:c>
      <x:c r="Q412" s="59" t="b">
        <x:v>0</x:v>
      </x:c>
      <x:c r="R412" t="str">
        <x:v>kein_transfer</x:v>
      </x:c>
      <x:c r="S412"/>
      <x:c r="T412"/>
      <x:c r="U412"/>
      <x:c r="V412" s="59" t="b">
        <x:v>1</x:v>
      </x:c>
      <x:c r="W412"/>
      <x:c r="X412" t="str">
        <x:v>offen</x:v>
      </x:c>
      <x:c r="Y412" t="str">
        <x:v>Agent-Draft; Kategorie und Person pruefen</x:v>
      </x:c>
    </x:row>
    <x:row r="413">
      <x:c r="A413" t="str">
        <x:v>TXN-RAW-IMP-20260516-FULLDRAFT-000397</x:v>
      </x:c>
      <x:c r="B413" t="str">
        <x:v>RAW-IMP-20260516-FULLDRAFT-000397</x:v>
      </x:c>
      <x:c r="C413" t="str">
        <x:v>KTO001</x:v>
      </x:c>
      <x:c r="D413"/>
      <x:c r="E413" t="str">
        <x:v>KAT013</x:v>
      </x:c>
      <x:c r="F413"/>
      <x:c r="G413"/>
      <x:c r="H413" t="str">
        <x:v>kein_match</x:v>
      </x:c>
      <x:c r="I413" t="str">
        <x:v>Agent-Draft: keine finale Regelentscheidung</x:v>
      </x:c>
      <x:c r="J413" t="n">
        <x:v>46027</x:v>
      </x:c>
      <x:c r="K413"/>
      <x:c r="L413"/>
      <x:c r="M413" t="n">
        <x:v>-19.43</x:v>
      </x:c>
      <x:c r="N413" t="str">
        <x:v>2026-01</x:v>
      </x:c>
      <x:c r="O413" t="str">
        <x:v>Ausgabe</x:v>
      </x:c>
      <x:c r="P413" t="str">
        <x:v>Ist</x:v>
      </x:c>
      <x:c r="Q413" s="59" t="b">
        <x:v>0</x:v>
      </x:c>
      <x:c r="R413" t="str">
        <x:v>kein_transfer</x:v>
      </x:c>
      <x:c r="S413"/>
      <x:c r="T413"/>
      <x:c r="U413"/>
      <x:c r="V413" s="59" t="b">
        <x:v>1</x:v>
      </x:c>
      <x:c r="W413"/>
      <x:c r="X413" t="str">
        <x:v>offen</x:v>
      </x:c>
      <x:c r="Y413" t="str">
        <x:v>Agent-Draft; Kategorie und Person pruefen</x:v>
      </x:c>
    </x:row>
    <x:row r="414">
      <x:c r="A414" t="str">
        <x:v>TXN-RAW-IMP-20260516-FULLDRAFT-000398</x:v>
      </x:c>
      <x:c r="B414" t="str">
        <x:v>RAW-IMP-20260516-FULLDRAFT-000398</x:v>
      </x:c>
      <x:c r="C414" t="str">
        <x:v>KTO001</x:v>
      </x:c>
      <x:c r="D414"/>
      <x:c r="E414" t="str">
        <x:v>KAT013</x:v>
      </x:c>
      <x:c r="F414"/>
      <x:c r="G414"/>
      <x:c r="H414" t="str">
        <x:v>kein_match</x:v>
      </x:c>
      <x:c r="I414" t="str">
        <x:v>Agent-Draft: keine finale Regelentscheidung</x:v>
      </x:c>
      <x:c r="J414" t="n">
        <x:v>46027</x:v>
      </x:c>
      <x:c r="K414"/>
      <x:c r="L414"/>
      <x:c r="M414" t="n">
        <x:v>-12.99</x:v>
      </x:c>
      <x:c r="N414" t="str">
        <x:v>2026-01</x:v>
      </x:c>
      <x:c r="O414" t="str">
        <x:v>Ausgabe</x:v>
      </x:c>
      <x:c r="P414" t="str">
        <x:v>Ist</x:v>
      </x:c>
      <x:c r="Q414" s="59" t="b">
        <x:v>0</x:v>
      </x:c>
      <x:c r="R414" t="str">
        <x:v>kein_transfer</x:v>
      </x:c>
      <x:c r="S414"/>
      <x:c r="T414"/>
      <x:c r="U414"/>
      <x:c r="V414" s="59" t="b">
        <x:v>1</x:v>
      </x:c>
      <x:c r="W414"/>
      <x:c r="X414" t="str">
        <x:v>offen</x:v>
      </x:c>
      <x:c r="Y414" t="str">
        <x:v>Agent-Draft; Kategorie und Person pruefen</x:v>
      </x:c>
    </x:row>
    <x:row r="415">
      <x:c r="A415" t="str">
        <x:v>TXN-RAW-IMP-20260516-FULLDRAFT-000399</x:v>
      </x:c>
      <x:c r="B415" t="str">
        <x:v>RAW-IMP-20260516-FULLDRAFT-000399</x:v>
      </x:c>
      <x:c r="C415" t="str">
        <x:v>KTO001</x:v>
      </x:c>
      <x:c r="D415"/>
      <x:c r="E415" t="str">
        <x:v>KAT013</x:v>
      </x:c>
      <x:c r="F415"/>
      <x:c r="G415"/>
      <x:c r="H415" t="str">
        <x:v>kein_match</x:v>
      </x:c>
      <x:c r="I415" t="str">
        <x:v>Agent-Draft: keine finale Regelentscheidung</x:v>
      </x:c>
      <x:c r="J415" t="n">
        <x:v>46027</x:v>
      </x:c>
      <x:c r="K415"/>
      <x:c r="L415"/>
      <x:c r="M415" t="n">
        <x:v>-145</x:v>
      </x:c>
      <x:c r="N415" t="str">
        <x:v>2026-01</x:v>
      </x:c>
      <x:c r="O415" t="str">
        <x:v>Ausgabe</x:v>
      </x:c>
      <x:c r="P415" t="str">
        <x:v>Ist</x:v>
      </x:c>
      <x:c r="Q415" s="59" t="b">
        <x:v>0</x:v>
      </x:c>
      <x:c r="R415" t="str">
        <x:v>kein_transfer</x:v>
      </x:c>
      <x:c r="S415"/>
      <x:c r="T415"/>
      <x:c r="U415"/>
      <x:c r="V415" s="59" t="b">
        <x:v>1</x:v>
      </x:c>
      <x:c r="W415"/>
      <x:c r="X415" t="str">
        <x:v>offen</x:v>
      </x:c>
      <x:c r="Y415" t="str">
        <x:v>Agent-Draft; Kategorie und Person pruefen</x:v>
      </x:c>
    </x:row>
    <x:row r="416">
      <x:c r="A416" t="str">
        <x:v>TXN-RAW-IMP-20260516-FULLDRAFT-000400</x:v>
      </x:c>
      <x:c r="B416" t="str">
        <x:v>RAW-IMP-20260516-FULLDRAFT-000400</x:v>
      </x:c>
      <x:c r="C416" t="str">
        <x:v>KTO001</x:v>
      </x:c>
      <x:c r="D416"/>
      <x:c r="E416" t="str">
        <x:v>KAT013</x:v>
      </x:c>
      <x:c r="F416"/>
      <x:c r="G416"/>
      <x:c r="H416" t="str">
        <x:v>kein_match</x:v>
      </x:c>
      <x:c r="I416" t="str">
        <x:v>Agent-Draft: keine finale Regelentscheidung</x:v>
      </x:c>
      <x:c r="J416" t="n">
        <x:v>46027</x:v>
      </x:c>
      <x:c r="K416"/>
      <x:c r="L416"/>
      <x:c r="M416" t="n">
        <x:v>-60.5</x:v>
      </x:c>
      <x:c r="N416" t="str">
        <x:v>2026-01</x:v>
      </x:c>
      <x:c r="O416" t="str">
        <x:v>Ausgabe</x:v>
      </x:c>
      <x:c r="P416" t="str">
        <x:v>Ist</x:v>
      </x:c>
      <x:c r="Q416" s="59" t="b">
        <x:v>0</x:v>
      </x:c>
      <x:c r="R416" t="str">
        <x:v>kein_transfer</x:v>
      </x:c>
      <x:c r="S416"/>
      <x:c r="T416"/>
      <x:c r="U416"/>
      <x:c r="V416" s="59" t="b">
        <x:v>1</x:v>
      </x:c>
      <x:c r="W416"/>
      <x:c r="X416" t="str">
        <x:v>offen</x:v>
      </x:c>
      <x:c r="Y416" t="str">
        <x:v>Agent-Draft; Kategorie und Person pruefen</x:v>
      </x:c>
    </x:row>
    <x:row r="417">
      <x:c r="A417" t="str">
        <x:v>TXN-RAW-IMP-20260516-FULLDRAFT-000401</x:v>
      </x:c>
      <x:c r="B417" t="str">
        <x:v>RAW-IMP-20260516-FULLDRAFT-000401</x:v>
      </x:c>
      <x:c r="C417" t="str">
        <x:v>KTO001</x:v>
      </x:c>
      <x:c r="D417"/>
      <x:c r="E417" t="str">
        <x:v>KAT013</x:v>
      </x:c>
      <x:c r="F417"/>
      <x:c r="G417"/>
      <x:c r="H417" t="str">
        <x:v>kein_match</x:v>
      </x:c>
      <x:c r="I417" t="str">
        <x:v>Agent-Draft: keine finale Regelentscheidung</x:v>
      </x:c>
      <x:c r="J417" t="n">
        <x:v>46027</x:v>
      </x:c>
      <x:c r="K417"/>
      <x:c r="L417"/>
      <x:c r="M417" t="n">
        <x:v>-56.83</x:v>
      </x:c>
      <x:c r="N417" t="str">
        <x:v>2026-01</x:v>
      </x:c>
      <x:c r="O417" t="str">
        <x:v>Ausgabe</x:v>
      </x:c>
      <x:c r="P417" t="str">
        <x:v>Ist</x:v>
      </x:c>
      <x:c r="Q417" s="59" t="b">
        <x:v>0</x:v>
      </x:c>
      <x:c r="R417" t="str">
        <x:v>kein_transfer</x:v>
      </x:c>
      <x:c r="S417"/>
      <x:c r="T417"/>
      <x:c r="U417"/>
      <x:c r="V417" s="59" t="b">
        <x:v>1</x:v>
      </x:c>
      <x:c r="W417"/>
      <x:c r="X417" t="str">
        <x:v>offen</x:v>
      </x:c>
      <x:c r="Y417" t="str">
        <x:v>Agent-Draft; Kategorie und Person pruefen</x:v>
      </x:c>
    </x:row>
    <x:row r="418">
      <x:c r="A418" t="str">
        <x:v>TXN-RAW-IMP-20260516-FULLDRAFT-000402</x:v>
      </x:c>
      <x:c r="B418" t="str">
        <x:v>RAW-IMP-20260516-FULLDRAFT-000402</x:v>
      </x:c>
      <x:c r="C418" t="str">
        <x:v>KTO001</x:v>
      </x:c>
      <x:c r="D418"/>
      <x:c r="E418" t="str">
        <x:v>KAT013</x:v>
      </x:c>
      <x:c r="F418"/>
      <x:c r="G418"/>
      <x:c r="H418" t="str">
        <x:v>kein_match</x:v>
      </x:c>
      <x:c r="I418" t="str">
        <x:v>Agent-Draft: keine finale Regelentscheidung</x:v>
      </x:c>
      <x:c r="J418" t="n">
        <x:v>46027</x:v>
      </x:c>
      <x:c r="K418"/>
      <x:c r="L418"/>
      <x:c r="M418" t="n">
        <x:v>-600</x:v>
      </x:c>
      <x:c r="N418" t="str">
        <x:v>2026-01</x:v>
      </x:c>
      <x:c r="O418" t="str">
        <x:v>Ausgabe</x:v>
      </x:c>
      <x:c r="P418" t="str">
        <x:v>Ist</x:v>
      </x:c>
      <x:c r="Q418" s="59" t="b">
        <x:v>0</x:v>
      </x:c>
      <x:c r="R418" t="str">
        <x:v>kein_transfer</x:v>
      </x:c>
      <x:c r="S418"/>
      <x:c r="T418"/>
      <x:c r="U418"/>
      <x:c r="V418" s="59" t="b">
        <x:v>1</x:v>
      </x:c>
      <x:c r="W418"/>
      <x:c r="X418" t="str">
        <x:v>offen</x:v>
      </x:c>
      <x:c r="Y418" t="str">
        <x:v>Agent-Draft; Kategorie und Person pruefen</x:v>
      </x:c>
    </x:row>
    <x:row r="419">
      <x:c r="A419" t="str">
        <x:v>TXN-RAW-IMP-20260516-FULLDRAFT-000403</x:v>
      </x:c>
      <x:c r="B419" t="str">
        <x:v>RAW-IMP-20260516-FULLDRAFT-000403</x:v>
      </x:c>
      <x:c r="C419" t="str">
        <x:v>KTO001</x:v>
      </x:c>
      <x:c r="D419"/>
      <x:c r="E419" t="str">
        <x:v>KAT013</x:v>
      </x:c>
      <x:c r="F419"/>
      <x:c r="G419"/>
      <x:c r="H419" t="str">
        <x:v>kein_match</x:v>
      </x:c>
      <x:c r="I419" t="str">
        <x:v>Agent-Draft: keine finale Regelentscheidung</x:v>
      </x:c>
      <x:c r="J419" t="n">
        <x:v>46024</x:v>
      </x:c>
      <x:c r="K419"/>
      <x:c r="L419"/>
      <x:c r="M419" t="n">
        <x:v>750</x:v>
      </x:c>
      <x:c r="N419" t="str">
        <x:v>2026-01</x:v>
      </x:c>
      <x:c r="O419" t="str">
        <x:v>Einnahme</x:v>
      </x:c>
      <x:c r="P419" t="str">
        <x:v>Ist</x:v>
      </x:c>
      <x:c r="Q419" s="59" t="b">
        <x:v>0</x:v>
      </x:c>
      <x:c r="R419" t="str">
        <x:v>kein_transfer</x:v>
      </x:c>
      <x:c r="S419"/>
      <x:c r="T419"/>
      <x:c r="U419"/>
      <x:c r="V419" s="59" t="b">
        <x:v>1</x:v>
      </x:c>
      <x:c r="W419"/>
      <x:c r="X419" t="str">
        <x:v>offen</x:v>
      </x:c>
      <x:c r="Y419" t="str">
        <x:v>Agent-Draft; Kategorie und Person pruefen</x:v>
      </x:c>
    </x:row>
    <x:row r="420">
      <x:c r="A420" t="str">
        <x:v>TXN-RAW-IMP-20260516-FULLDRAFT-000404</x:v>
      </x:c>
      <x:c r="B420" t="str">
        <x:v>RAW-IMP-20260516-FULLDRAFT-000404</x:v>
      </x:c>
      <x:c r="C420" t="str">
        <x:v>KTO001</x:v>
      </x:c>
      <x:c r="D420"/>
      <x:c r="E420" t="str">
        <x:v>KAT013</x:v>
      </x:c>
      <x:c r="F420"/>
      <x:c r="G420"/>
      <x:c r="H420" t="str">
        <x:v>kein_match</x:v>
      </x:c>
      <x:c r="I420" t="str">
        <x:v>Agent-Draft: keine finale Regelentscheidung</x:v>
      </x:c>
      <x:c r="J420" t="n">
        <x:v>46024</x:v>
      </x:c>
      <x:c r="K420"/>
      <x:c r="L420"/>
      <x:c r="M420" t="n">
        <x:v>-31.1</x:v>
      </x:c>
      <x:c r="N420" t="str">
        <x:v>2026-01</x:v>
      </x:c>
      <x:c r="O420" t="str">
        <x:v>Ausgabe</x:v>
      </x:c>
      <x:c r="P420" t="str">
        <x:v>Ist</x:v>
      </x:c>
      <x:c r="Q420" s="59" t="b">
        <x:v>0</x:v>
      </x:c>
      <x:c r="R420" t="str">
        <x:v>kein_transfer</x:v>
      </x:c>
      <x:c r="S420"/>
      <x:c r="T420"/>
      <x:c r="U420"/>
      <x:c r="V420" s="59" t="b">
        <x:v>1</x:v>
      </x:c>
      <x:c r="W420"/>
      <x:c r="X420" t="str">
        <x:v>offen</x:v>
      </x:c>
      <x:c r="Y420" t="str">
        <x:v>Agent-Draft; Kategorie und Person pruefen</x:v>
      </x:c>
    </x:row>
    <x:row r="421">
      <x:c r="A421" t="str">
        <x:v>TXN-RAW-IMP-20260516-FULLDRAFT-000405</x:v>
      </x:c>
      <x:c r="B421" t="str">
        <x:v>RAW-IMP-20260516-FULLDRAFT-000405</x:v>
      </x:c>
      <x:c r="C421" t="str">
        <x:v>KTO001</x:v>
      </x:c>
      <x:c r="D421"/>
      <x:c r="E421" t="str">
        <x:v>KAT013</x:v>
      </x:c>
      <x:c r="F421"/>
      <x:c r="G421"/>
      <x:c r="H421" t="str">
        <x:v>kein_match</x:v>
      </x:c>
      <x:c r="I421" t="str">
        <x:v>Agent-Draft: keine finale Regelentscheidung</x:v>
      </x:c>
      <x:c r="J421" t="n">
        <x:v>46024</x:v>
      </x:c>
      <x:c r="K421"/>
      <x:c r="L421"/>
      <x:c r="M421" t="n">
        <x:v>-170.96</x:v>
      </x:c>
      <x:c r="N421" t="str">
        <x:v>2026-01</x:v>
      </x:c>
      <x:c r="O421" t="str">
        <x:v>Ausgabe</x:v>
      </x:c>
      <x:c r="P421" t="str">
        <x:v>Ist</x:v>
      </x:c>
      <x:c r="Q421" s="59" t="b">
        <x:v>0</x:v>
      </x:c>
      <x:c r="R421" t="str">
        <x:v>kein_transfer</x:v>
      </x:c>
      <x:c r="S421"/>
      <x:c r="T421"/>
      <x:c r="U421"/>
      <x:c r="V421" s="59" t="b">
        <x:v>1</x:v>
      </x:c>
      <x:c r="W421"/>
      <x:c r="X421" t="str">
        <x:v>offen</x:v>
      </x:c>
      <x:c r="Y421" t="str">
        <x:v>Agent-Draft; Kategorie und Person pruefen</x:v>
      </x:c>
    </x:row>
    <x:row r="422">
      <x:c r="A422" t="str">
        <x:v>TXN-RAW-IMP-20260516-FULLDRAFT-000406</x:v>
      </x:c>
      <x:c r="B422" t="str">
        <x:v>RAW-IMP-20260516-FULLDRAFT-000406</x:v>
      </x:c>
      <x:c r="C422" t="str">
        <x:v>KTO001</x:v>
      </x:c>
      <x:c r="D422"/>
      <x:c r="E422" t="str">
        <x:v>KAT013</x:v>
      </x:c>
      <x:c r="F422"/>
      <x:c r="G422"/>
      <x:c r="H422" t="str">
        <x:v>kein_match</x:v>
      </x:c>
      <x:c r="I422" t="str">
        <x:v>Agent-Draft: keine finale Regelentscheidung</x:v>
      </x:c>
      <x:c r="J422" t="n">
        <x:v>46024</x:v>
      </x:c>
      <x:c r="K422"/>
      <x:c r="L422"/>
      <x:c r="M422" t="n">
        <x:v>-49.84</x:v>
      </x:c>
      <x:c r="N422" t="str">
        <x:v>2026-01</x:v>
      </x:c>
      <x:c r="O422" t="str">
        <x:v>Ausgabe</x:v>
      </x:c>
      <x:c r="P422" t="str">
        <x:v>Ist</x:v>
      </x:c>
      <x:c r="Q422" s="59" t="b">
        <x:v>0</x:v>
      </x:c>
      <x:c r="R422" t="str">
        <x:v>kein_transfer</x:v>
      </x:c>
      <x:c r="S422"/>
      <x:c r="T422"/>
      <x:c r="U422"/>
      <x:c r="V422" s="59" t="b">
        <x:v>1</x:v>
      </x:c>
      <x:c r="W422"/>
      <x:c r="X422" t="str">
        <x:v>offen</x:v>
      </x:c>
      <x:c r="Y422" t="str">
        <x:v>Agent-Draft; Kategorie und Person pruefen</x:v>
      </x:c>
    </x:row>
    <x:row r="423">
      <x:c r="A423" t="str">
        <x:v>TXN-RAW-IMP-20260516-FULLDRAFT-000407</x:v>
      </x:c>
      <x:c r="B423" t="str">
        <x:v>RAW-IMP-20260516-FULLDRAFT-000407</x:v>
      </x:c>
      <x:c r="C423" t="str">
        <x:v>KTO001</x:v>
      </x:c>
      <x:c r="D423"/>
      <x:c r="E423" t="str">
        <x:v>KAT013</x:v>
      </x:c>
      <x:c r="F423"/>
      <x:c r="G423"/>
      <x:c r="H423" t="str">
        <x:v>kein_match</x:v>
      </x:c>
      <x:c r="I423" t="str">
        <x:v>Agent-Draft: keine finale Regelentscheidung</x:v>
      </x:c>
      <x:c r="J423" t="n">
        <x:v>46024</x:v>
      </x:c>
      <x:c r="K423"/>
      <x:c r="L423"/>
      <x:c r="M423" t="n">
        <x:v>-100.52</x:v>
      </x:c>
      <x:c r="N423" t="str">
        <x:v>2026-01</x:v>
      </x:c>
      <x:c r="O423" t="str">
        <x:v>Ausgabe</x:v>
      </x:c>
      <x:c r="P423" t="str">
        <x:v>Ist</x:v>
      </x:c>
      <x:c r="Q423" s="59" t="b">
        <x:v>0</x:v>
      </x:c>
      <x:c r="R423" t="str">
        <x:v>kein_transfer</x:v>
      </x:c>
      <x:c r="S423"/>
      <x:c r="T423"/>
      <x:c r="U423"/>
      <x:c r="V423" s="59" t="b">
        <x:v>1</x:v>
      </x:c>
      <x:c r="W423"/>
      <x:c r="X423" t="str">
        <x:v>offen</x:v>
      </x:c>
      <x:c r="Y423" t="str">
        <x:v>Agent-Draft; Kategorie und Person pruefen</x:v>
      </x:c>
    </x:row>
    <x:row r="424">
      <x:c r="A424" t="str">
        <x:v>TXN-RAW-IMP-20260516-FULLDRAFT-000408</x:v>
      </x:c>
      <x:c r="B424" t="str">
        <x:v>RAW-IMP-20260516-FULLDRAFT-000408</x:v>
      </x:c>
      <x:c r="C424" t="str">
        <x:v>KTO001</x:v>
      </x:c>
      <x:c r="D424"/>
      <x:c r="E424" t="str">
        <x:v>KAT013</x:v>
      </x:c>
      <x:c r="F424"/>
      <x:c r="G424"/>
      <x:c r="H424" t="str">
        <x:v>kein_match</x:v>
      </x:c>
      <x:c r="I424" t="str">
        <x:v>Agent-Draft: keine finale Regelentscheidung</x:v>
      </x:c>
      <x:c r="J424" t="n">
        <x:v>46024</x:v>
      </x:c>
      <x:c r="K424"/>
      <x:c r="L424"/>
      <x:c r="M424" t="n">
        <x:v>-49</x:v>
      </x:c>
      <x:c r="N424" t="str">
        <x:v>2026-01</x:v>
      </x:c>
      <x:c r="O424" t="str">
        <x:v>Ausgabe</x:v>
      </x:c>
      <x:c r="P424" t="str">
        <x:v>Ist</x:v>
      </x:c>
      <x:c r="Q424" s="59" t="b">
        <x:v>0</x:v>
      </x:c>
      <x:c r="R424" t="str">
        <x:v>kein_transfer</x:v>
      </x:c>
      <x:c r="S424"/>
      <x:c r="T424"/>
      <x:c r="U424"/>
      <x:c r="V424" s="59" t="b">
        <x:v>1</x:v>
      </x:c>
      <x:c r="W424"/>
      <x:c r="X424" t="str">
        <x:v>offen</x:v>
      </x:c>
      <x:c r="Y424" t="str">
        <x:v>Agent-Draft; Kategorie und Person pruefen</x:v>
      </x:c>
    </x:row>
    <x:row r="425">
      <x:c r="A425" t="str">
        <x:v>TXN-RAW-IMP-20260516-FULLDRAFT-000409</x:v>
      </x:c>
      <x:c r="B425" t="str">
        <x:v>RAW-IMP-20260516-FULLDRAFT-000409</x:v>
      </x:c>
      <x:c r="C425" t="str">
        <x:v>KTO001</x:v>
      </x:c>
      <x:c r="D425"/>
      <x:c r="E425" t="str">
        <x:v>KAT013</x:v>
      </x:c>
      <x:c r="F425"/>
      <x:c r="G425"/>
      <x:c r="H425" t="str">
        <x:v>kein_match</x:v>
      </x:c>
      <x:c r="I425" t="str">
        <x:v>Agent-Draft: keine finale Regelentscheidung</x:v>
      </x:c>
      <x:c r="J425" t="n">
        <x:v>46024</x:v>
      </x:c>
      <x:c r="K425"/>
      <x:c r="L425"/>
      <x:c r="M425" t="n">
        <x:v>-207.82</x:v>
      </x:c>
      <x:c r="N425" t="str">
        <x:v>2026-01</x:v>
      </x:c>
      <x:c r="O425" t="str">
        <x:v>Ausgabe</x:v>
      </x:c>
      <x:c r="P425" t="str">
        <x:v>Ist</x:v>
      </x:c>
      <x:c r="Q425" s="59" t="b">
        <x:v>0</x:v>
      </x:c>
      <x:c r="R425" t="str">
        <x:v>kein_transfer</x:v>
      </x:c>
      <x:c r="S425"/>
      <x:c r="T425"/>
      <x:c r="U425"/>
      <x:c r="V425" s="59" t="b">
        <x:v>1</x:v>
      </x:c>
      <x:c r="W425"/>
      <x:c r="X425" t="str">
        <x:v>offen</x:v>
      </x:c>
      <x:c r="Y425" t="str">
        <x:v>Agent-Draft; Kategorie und Person pruefen</x:v>
      </x:c>
    </x:row>
    <x:row r="426">
      <x:c r="A426" t="str">
        <x:v>TXN-RAW-IMP-20260516-FULLDRAFT-000410</x:v>
      </x:c>
      <x:c r="B426" t="str">
        <x:v>RAW-IMP-20260516-FULLDRAFT-000410</x:v>
      </x:c>
      <x:c r="C426" t="str">
        <x:v>KTO001</x:v>
      </x:c>
      <x:c r="D426"/>
      <x:c r="E426" t="str">
        <x:v>KAT013</x:v>
      </x:c>
      <x:c r="F426"/>
      <x:c r="G426"/>
      <x:c r="H426" t="str">
        <x:v>kein_match</x:v>
      </x:c>
      <x:c r="I426" t="str">
        <x:v>Agent-Draft: keine finale Regelentscheidung</x:v>
      </x:c>
      <x:c r="J426" t="n">
        <x:v>46024</x:v>
      </x:c>
      <x:c r="K426"/>
      <x:c r="L426"/>
      <x:c r="M426" t="n">
        <x:v>-73.09</x:v>
      </x:c>
      <x:c r="N426" t="str">
        <x:v>2026-01</x:v>
      </x:c>
      <x:c r="O426" t="str">
        <x:v>Ausgabe</x:v>
      </x:c>
      <x:c r="P426" t="str">
        <x:v>Ist</x:v>
      </x:c>
      <x:c r="Q426" s="59" t="b">
        <x:v>0</x:v>
      </x:c>
      <x:c r="R426" t="str">
        <x:v>kein_transfer</x:v>
      </x:c>
      <x:c r="S426"/>
      <x:c r="T426"/>
      <x:c r="U426"/>
      <x:c r="V426" s="59" t="b">
        <x:v>1</x:v>
      </x:c>
      <x:c r="W426"/>
      <x:c r="X426" t="str">
        <x:v>offen</x:v>
      </x:c>
      <x:c r="Y426" t="str">
        <x:v>Agent-Draft; Kategorie und Person pruefen</x:v>
      </x:c>
    </x:row>
    <x:row r="427">
      <x:c r="A427" t="str">
        <x:v>TXN-RAW-IMP-20260516-FULLDRAFT-000411</x:v>
      </x:c>
      <x:c r="B427" t="str">
        <x:v>RAW-IMP-20260516-FULLDRAFT-000411</x:v>
      </x:c>
      <x:c r="C427" t="str">
        <x:v>KTO001</x:v>
      </x:c>
      <x:c r="D427"/>
      <x:c r="E427" t="str">
        <x:v>KAT013</x:v>
      </x:c>
      <x:c r="F427"/>
      <x:c r="G427"/>
      <x:c r="H427" t="str">
        <x:v>kein_match</x:v>
      </x:c>
      <x:c r="I427" t="str">
        <x:v>Agent-Draft: keine finale Regelentscheidung</x:v>
      </x:c>
      <x:c r="J427" t="n">
        <x:v>46024</x:v>
      </x:c>
      <x:c r="K427"/>
      <x:c r="L427"/>
      <x:c r="M427" t="n">
        <x:v>-452.71</x:v>
      </x:c>
      <x:c r="N427" t="str">
        <x:v>2026-01</x:v>
      </x:c>
      <x:c r="O427" t="str">
        <x:v>Ausgabe</x:v>
      </x:c>
      <x:c r="P427" t="str">
        <x:v>Ist</x:v>
      </x:c>
      <x:c r="Q427" s="59" t="b">
        <x:v>0</x:v>
      </x:c>
      <x:c r="R427" t="str">
        <x:v>kein_transfer</x:v>
      </x:c>
      <x:c r="S427"/>
      <x:c r="T427"/>
      <x:c r="U427"/>
      <x:c r="V427" s="59" t="b">
        <x:v>1</x:v>
      </x:c>
      <x:c r="W427"/>
      <x:c r="X427" t="str">
        <x:v>offen</x:v>
      </x:c>
      <x:c r="Y427" t="str">
        <x:v>Agent-Draft; Kategorie und Person pruefen</x:v>
      </x:c>
    </x:row>
    <x:row r="428">
      <x:c r="A428" t="str">
        <x:v>TXN-RAW-IMP-20260516-FULLDRAFT-000412</x:v>
      </x:c>
      <x:c r="B428" t="str">
        <x:v>RAW-IMP-20260516-FULLDRAFT-000412</x:v>
      </x:c>
      <x:c r="C428" t="str">
        <x:v>KTO001</x:v>
      </x:c>
      <x:c r="D428"/>
      <x:c r="E428" t="str">
        <x:v>KAT013</x:v>
      </x:c>
      <x:c r="F428"/>
      <x:c r="G428"/>
      <x:c r="H428" t="str">
        <x:v>kein_match</x:v>
      </x:c>
      <x:c r="I428" t="str">
        <x:v>Agent-Draft: keine finale Regelentscheidung</x:v>
      </x:c>
      <x:c r="J428" t="n">
        <x:v>46024</x:v>
      </x:c>
      <x:c r="K428"/>
      <x:c r="L428"/>
      <x:c r="M428" t="n">
        <x:v>-162.17</x:v>
      </x:c>
      <x:c r="N428" t="str">
        <x:v>2026-01</x:v>
      </x:c>
      <x:c r="O428" t="str">
        <x:v>Ausgabe</x:v>
      </x:c>
      <x:c r="P428" t="str">
        <x:v>Ist</x:v>
      </x:c>
      <x:c r="Q428" s="59" t="b">
        <x:v>0</x:v>
      </x:c>
      <x:c r="R428" t="str">
        <x:v>kein_transfer</x:v>
      </x:c>
      <x:c r="S428"/>
      <x:c r="T428"/>
      <x:c r="U428"/>
      <x:c r="V428" s="59" t="b">
        <x:v>1</x:v>
      </x:c>
      <x:c r="W428"/>
      <x:c r="X428" t="str">
        <x:v>offen</x:v>
      </x:c>
      <x:c r="Y428" t="str">
        <x:v>Agent-Draft; Kategorie und Person pruefen</x:v>
      </x:c>
    </x:row>
    <x:row r="429">
      <x:c r="A429" t="str">
        <x:v>TXN-RAW-IMP-20260516-FULLDRAFT-000413</x:v>
      </x:c>
      <x:c r="B429" t="str">
        <x:v>RAW-IMP-20260516-FULLDRAFT-000413</x:v>
      </x:c>
      <x:c r="C429" t="str">
        <x:v>KTO001</x:v>
      </x:c>
      <x:c r="D429"/>
      <x:c r="E429" t="str">
        <x:v>KAT013</x:v>
      </x:c>
      <x:c r="F429"/>
      <x:c r="G429"/>
      <x:c r="H429" t="str">
        <x:v>kein_match</x:v>
      </x:c>
      <x:c r="I429" t="str">
        <x:v>Agent-Draft: keine finale Regelentscheidung</x:v>
      </x:c>
      <x:c r="J429" t="n">
        <x:v>46024</x:v>
      </x:c>
      <x:c r="K429"/>
      <x:c r="L429"/>
      <x:c r="M429" t="n">
        <x:v>-1400</x:v>
      </x:c>
      <x:c r="N429" t="str">
        <x:v>2026-01</x:v>
      </x:c>
      <x:c r="O429" t="str">
        <x:v>Ausgabe</x:v>
      </x:c>
      <x:c r="P429" t="str">
        <x:v>Ist</x:v>
      </x:c>
      <x:c r="Q429" s="59" t="b">
        <x:v>0</x:v>
      </x:c>
      <x:c r="R429" t="str">
        <x:v>kein_transfer</x:v>
      </x:c>
      <x:c r="S429"/>
      <x:c r="T429"/>
      <x:c r="U429"/>
      <x:c r="V429" s="59" t="b">
        <x:v>1</x:v>
      </x:c>
      <x:c r="W429"/>
      <x:c r="X429" t="str">
        <x:v>offen</x:v>
      </x:c>
      <x:c r="Y429" t="str">
        <x:v>Agent-Draft; Kategorie und Person pruefen</x:v>
      </x:c>
    </x:row>
    <x:row r="430">
      <x:c r="A430" t="str">
        <x:v>TXN-RAW-IMP-20260516-FULLDRAFT-000414</x:v>
      </x:c>
      <x:c r="B430" t="str">
        <x:v>RAW-IMP-20260516-FULLDRAFT-000414</x:v>
      </x:c>
      <x:c r="C430" t="str">
        <x:v>KTO001</x:v>
      </x:c>
      <x:c r="D430"/>
      <x:c r="E430" t="str">
        <x:v>KAT013</x:v>
      </x:c>
      <x:c r="F430"/>
      <x:c r="G430"/>
      <x:c r="H430" t="str">
        <x:v>kein_match</x:v>
      </x:c>
      <x:c r="I430" t="str">
        <x:v>Agent-Draft: keine finale Regelentscheidung</x:v>
      </x:c>
      <x:c r="J430" t="n">
        <x:v>46024</x:v>
      </x:c>
      <x:c r="K430"/>
      <x:c r="L430"/>
      <x:c r="M430" t="n">
        <x:v>-1800</x:v>
      </x:c>
      <x:c r="N430" t="str">
        <x:v>2026-01</x:v>
      </x:c>
      <x:c r="O430" t="str">
        <x:v>Ausgabe</x:v>
      </x:c>
      <x:c r="P430" t="str">
        <x:v>Ist</x:v>
      </x:c>
      <x:c r="Q430" s="59" t="b">
        <x:v>0</x:v>
      </x:c>
      <x:c r="R430" t="str">
        <x:v>kein_transfer</x:v>
      </x:c>
      <x:c r="S430"/>
      <x:c r="T430"/>
      <x:c r="U430"/>
      <x:c r="V430" s="59" t="b">
        <x:v>1</x:v>
      </x:c>
      <x:c r="W430"/>
      <x:c r="X430" t="str">
        <x:v>offen</x:v>
      </x:c>
      <x:c r="Y430" t="str">
        <x:v>Agent-Draft; Kategorie und Person pruefen</x:v>
      </x:c>
    </x:row>
    <x:row r="431">
      <x:c r="A431" t="str">
        <x:v>TXN-RAW-IMP-20260516-FULLDRAFT-000415</x:v>
      </x:c>
      <x:c r="B431" t="str">
        <x:v>RAW-IMP-20260516-FULLDRAFT-000415</x:v>
      </x:c>
      <x:c r="C431" t="str">
        <x:v>KTO001</x:v>
      </x:c>
      <x:c r="D431"/>
      <x:c r="E431" t="str">
        <x:v>KAT013</x:v>
      </x:c>
      <x:c r="F431"/>
      <x:c r="G431"/>
      <x:c r="H431" t="str">
        <x:v>kein_match</x:v>
      </x:c>
      <x:c r="I431" t="str">
        <x:v>Agent-Draft: keine finale Regelentscheidung</x:v>
      </x:c>
      <x:c r="J431" t="n">
        <x:v>46021</x:v>
      </x:c>
      <x:c r="K431"/>
      <x:c r="L431"/>
      <x:c r="M431" t="n">
        <x:v>-0.07</x:v>
      </x:c>
      <x:c r="N431" t="str">
        <x:v>2025-12</x:v>
      </x:c>
      <x:c r="O431" t="str">
        <x:v>Ausgabe</x:v>
      </x:c>
      <x:c r="P431" t="str">
        <x:v>Ist</x:v>
      </x:c>
      <x:c r="Q431" s="59" t="b">
        <x:v>0</x:v>
      </x:c>
      <x:c r="R431" t="str">
        <x:v>kein_transfer</x:v>
      </x:c>
      <x:c r="S431"/>
      <x:c r="T431"/>
      <x:c r="U431"/>
      <x:c r="V431" s="59" t="b">
        <x:v>1</x:v>
      </x:c>
      <x:c r="W431"/>
      <x:c r="X431" t="str">
        <x:v>offen</x:v>
      </x:c>
      <x:c r="Y431" t="str">
        <x:v>Agent-Draft; Kategorie und Person pruefen</x:v>
      </x:c>
    </x:row>
    <x:row r="432">
      <x:c r="A432" t="str">
        <x:v>TXN-RAW-IMP-20260516-FULLDRAFT-000416</x:v>
      </x:c>
      <x:c r="B432" t="str">
        <x:v>RAW-IMP-20260516-FULLDRAFT-000416</x:v>
      </x:c>
      <x:c r="C432" t="str">
        <x:v>KTO001</x:v>
      </x:c>
      <x:c r="D432"/>
      <x:c r="E432" t="str">
        <x:v>KAT013</x:v>
      </x:c>
      <x:c r="F432"/>
      <x:c r="G432"/>
      <x:c r="H432" t="str">
        <x:v>kein_match</x:v>
      </x:c>
      <x:c r="I432" t="str">
        <x:v>Agent-Draft: keine finale Regelentscheidung</x:v>
      </x:c>
      <x:c r="J432" t="n">
        <x:v>46021</x:v>
      </x:c>
      <x:c r="K432"/>
      <x:c r="L432"/>
      <x:c r="M432" t="n">
        <x:v>-6.54</x:v>
      </x:c>
      <x:c r="N432" t="str">
        <x:v>2025-12</x:v>
      </x:c>
      <x:c r="O432" t="str">
        <x:v>Ausgabe</x:v>
      </x:c>
      <x:c r="P432" t="str">
        <x:v>Ist</x:v>
      </x:c>
      <x:c r="Q432" s="59" t="b">
        <x:v>0</x:v>
      </x:c>
      <x:c r="R432" t="str">
        <x:v>kein_transfer</x:v>
      </x:c>
      <x:c r="S432"/>
      <x:c r="T432"/>
      <x:c r="U432"/>
      <x:c r="V432" s="59" t="b">
        <x:v>1</x:v>
      </x:c>
      <x:c r="W432"/>
      <x:c r="X432" t="str">
        <x:v>offen</x:v>
      </x:c>
      <x:c r="Y432" t="str">
        <x:v>Agent-Draft; Kategorie und Person pruefen</x:v>
      </x:c>
    </x:row>
    <x:row r="433">
      <x:c r="A433" t="str">
        <x:v>TXN-RAW-IMP-20260516-FULLDRAFT-000417</x:v>
      </x:c>
      <x:c r="B433" t="str">
        <x:v>RAW-IMP-20260516-FULLDRAFT-000417</x:v>
      </x:c>
      <x:c r="C433" t="str">
        <x:v>KTO001</x:v>
      </x:c>
      <x:c r="D433"/>
      <x:c r="E433" t="str">
        <x:v>KAT013</x:v>
      </x:c>
      <x:c r="F433"/>
      <x:c r="G433"/>
      <x:c r="H433" t="str">
        <x:v>kein_match</x:v>
      </x:c>
      <x:c r="I433" t="str">
        <x:v>Agent-Draft: keine finale Regelentscheidung</x:v>
      </x:c>
      <x:c r="J433" t="n">
        <x:v>46021</x:v>
      </x:c>
      <x:c r="K433"/>
      <x:c r="L433"/>
      <x:c r="M433" t="n">
        <x:v>-10</x:v>
      </x:c>
      <x:c r="N433" t="str">
        <x:v>2025-12</x:v>
      </x:c>
      <x:c r="O433" t="str">
        <x:v>Ausgabe</x:v>
      </x:c>
      <x:c r="P433" t="str">
        <x:v>Ist</x:v>
      </x:c>
      <x:c r="Q433" s="59" t="b">
        <x:v>0</x:v>
      </x:c>
      <x:c r="R433" t="str">
        <x:v>kein_transfer</x:v>
      </x:c>
      <x:c r="S433"/>
      <x:c r="T433"/>
      <x:c r="U433"/>
      <x:c r="V433" s="59" t="b">
        <x:v>1</x:v>
      </x:c>
      <x:c r="W433"/>
      <x:c r="X433" t="str">
        <x:v>offen</x:v>
      </x:c>
      <x:c r="Y433" t="str">
        <x:v>Agent-Draft; Kategorie und Person pruefen</x:v>
      </x:c>
    </x:row>
    <x:row r="434">
      <x:c r="A434" t="str">
        <x:v>TXN-RAW-IMP-20260516-FULLDRAFT-000418</x:v>
      </x:c>
      <x:c r="B434" t="str">
        <x:v>RAW-IMP-20260516-FULLDRAFT-000418</x:v>
      </x:c>
      <x:c r="C434" t="str">
        <x:v>KTO001</x:v>
      </x:c>
      <x:c r="D434"/>
      <x:c r="E434" t="str">
        <x:v>KAT013</x:v>
      </x:c>
      <x:c r="F434"/>
      <x:c r="G434"/>
      <x:c r="H434" t="str">
        <x:v>kein_match</x:v>
      </x:c>
      <x:c r="I434" t="str">
        <x:v>Agent-Draft: keine finale Regelentscheidung</x:v>
      </x:c>
      <x:c r="J434" t="n">
        <x:v>46021</x:v>
      </x:c>
      <x:c r="K434"/>
      <x:c r="L434"/>
      <x:c r="M434" t="n">
        <x:v>-1153.94</x:v>
      </x:c>
      <x:c r="N434" t="str">
        <x:v>2025-12</x:v>
      </x:c>
      <x:c r="O434" t="str">
        <x:v>Ausgabe</x:v>
      </x:c>
      <x:c r="P434" t="str">
        <x:v>Ist</x:v>
      </x:c>
      <x:c r="Q434" s="59" t="b">
        <x:v>0</x:v>
      </x:c>
      <x:c r="R434" t="str">
        <x:v>kein_transfer</x:v>
      </x:c>
      <x:c r="S434"/>
      <x:c r="T434"/>
      <x:c r="U434"/>
      <x:c r="V434" s="59" t="b">
        <x:v>1</x:v>
      </x:c>
      <x:c r="W434"/>
      <x:c r="X434" t="str">
        <x:v>offen</x:v>
      </x:c>
      <x:c r="Y434" t="str">
        <x:v>Agent-Draft; Kategorie und Person pruefen</x:v>
      </x:c>
    </x:row>
    <x:row r="435">
      <x:c r="A435" t="str">
        <x:v>TXN-RAW-IMP-20260516-FULLDRAFT-000419</x:v>
      </x:c>
      <x:c r="B435" t="str">
        <x:v>RAW-IMP-20260516-FULLDRAFT-000419</x:v>
      </x:c>
      <x:c r="C435" t="str">
        <x:v>KTO001</x:v>
      </x:c>
      <x:c r="D435"/>
      <x:c r="E435" t="str">
        <x:v>KAT013</x:v>
      </x:c>
      <x:c r="F435"/>
      <x:c r="G435"/>
      <x:c r="H435" t="str">
        <x:v>kein_match</x:v>
      </x:c>
      <x:c r="I435" t="str">
        <x:v>Agent-Draft: keine finale Regelentscheidung</x:v>
      </x:c>
      <x:c r="J435" t="n">
        <x:v>46021</x:v>
      </x:c>
      <x:c r="K435"/>
      <x:c r="L435"/>
      <x:c r="M435" t="n">
        <x:v>-8.99</x:v>
      </x:c>
      <x:c r="N435" t="str">
        <x:v>2025-12</x:v>
      </x:c>
      <x:c r="O435" t="str">
        <x:v>Ausgabe</x:v>
      </x:c>
      <x:c r="P435" t="str">
        <x:v>Ist</x:v>
      </x:c>
      <x:c r="Q435" s="59" t="b">
        <x:v>0</x:v>
      </x:c>
      <x:c r="R435" t="str">
        <x:v>kein_transfer</x:v>
      </x:c>
      <x:c r="S435"/>
      <x:c r="T435"/>
      <x:c r="U435"/>
      <x:c r="V435" s="59" t="b">
        <x:v>1</x:v>
      </x:c>
      <x:c r="W435"/>
      <x:c r="X435" t="str">
        <x:v>offen</x:v>
      </x:c>
      <x:c r="Y435" t="str">
        <x:v>Agent-Draft; Kategorie und Person pruefen</x:v>
      </x:c>
    </x:row>
    <x:row r="436">
      <x:c r="A436" t="str">
        <x:v>TXN-RAW-IMP-20260516-FULLDRAFT-000420</x:v>
      </x:c>
      <x:c r="B436" t="str">
        <x:v>RAW-IMP-20260516-FULLDRAFT-000420</x:v>
      </x:c>
      <x:c r="C436" t="str">
        <x:v>KTO001</x:v>
      </x:c>
      <x:c r="D436"/>
      <x:c r="E436" t="str">
        <x:v>KAT013</x:v>
      </x:c>
      <x:c r="F436"/>
      <x:c r="G436"/>
      <x:c r="H436" t="str">
        <x:v>kein_match</x:v>
      </x:c>
      <x:c r="I436" t="str">
        <x:v>Agent-Draft: keine finale Regelentscheidung</x:v>
      </x:c>
      <x:c r="J436" t="n">
        <x:v>46021</x:v>
      </x:c>
      <x:c r="K436"/>
      <x:c r="L436"/>
      <x:c r="M436" t="n">
        <x:v>-213</x:v>
      </x:c>
      <x:c r="N436" t="str">
        <x:v>2025-12</x:v>
      </x:c>
      <x:c r="O436" t="str">
        <x:v>Ausgabe</x:v>
      </x:c>
      <x:c r="P436" t="str">
        <x:v>Ist</x:v>
      </x:c>
      <x:c r="Q436" s="59" t="b">
        <x:v>0</x:v>
      </x:c>
      <x:c r="R436" t="str">
        <x:v>kein_transfer</x:v>
      </x:c>
      <x:c r="S436"/>
      <x:c r="T436"/>
      <x:c r="U436"/>
      <x:c r="V436" s="59" t="b">
        <x:v>1</x:v>
      </x:c>
      <x:c r="W436"/>
      <x:c r="X436" t="str">
        <x:v>offen</x:v>
      </x:c>
      <x:c r="Y436" t="str">
        <x:v>Agent-Draft; Kategorie und Person pruefen</x:v>
      </x:c>
    </x:row>
    <x:row r="437">
      <x:c r="A437" t="str">
        <x:v>TXN-RAW-IMP-20260516-FULLDRAFT-000421</x:v>
      </x:c>
      <x:c r="B437" t="str">
        <x:v>RAW-IMP-20260516-FULLDRAFT-000421</x:v>
      </x:c>
      <x:c r="C437" t="str">
        <x:v>KTO001</x:v>
      </x:c>
      <x:c r="D437"/>
      <x:c r="E437" t="str">
        <x:v>KAT013</x:v>
      </x:c>
      <x:c r="F437"/>
      <x:c r="G437"/>
      <x:c r="H437" t="str">
        <x:v>kein_match</x:v>
      </x:c>
      <x:c r="I437" t="str">
        <x:v>Agent-Draft: keine finale Regelentscheidung</x:v>
      </x:c>
      <x:c r="J437" t="n">
        <x:v>46020</x:v>
      </x:c>
      <x:c r="K437"/>
      <x:c r="L437"/>
      <x:c r="M437" t="n">
        <x:v>-4.99</x:v>
      </x:c>
      <x:c r="N437" t="str">
        <x:v>2025-12</x:v>
      </x:c>
      <x:c r="O437" t="str">
        <x:v>Ausgabe</x:v>
      </x:c>
      <x:c r="P437" t="str">
        <x:v>Ist</x:v>
      </x:c>
      <x:c r="Q437" s="59" t="b">
        <x:v>0</x:v>
      </x:c>
      <x:c r="R437" t="str">
        <x:v>kein_transfer</x:v>
      </x:c>
      <x:c r="S437"/>
      <x:c r="T437"/>
      <x:c r="U437"/>
      <x:c r="V437" s="59" t="b">
        <x:v>1</x:v>
      </x:c>
      <x:c r="W437"/>
      <x:c r="X437" t="str">
        <x:v>offen</x:v>
      </x:c>
      <x:c r="Y437" t="str">
        <x:v>Agent-Draft; Kategorie und Person pruefen</x:v>
      </x:c>
    </x:row>
    <x:row r="438">
      <x:c r="A438" t="str">
        <x:v>TXN-RAW-IMP-20260516-FULLDRAFT-000422</x:v>
      </x:c>
      <x:c r="B438" t="str">
        <x:v>RAW-IMP-20260516-FULLDRAFT-000422</x:v>
      </x:c>
      <x:c r="C438" t="str">
        <x:v>KTO001</x:v>
      </x:c>
      <x:c r="D438"/>
      <x:c r="E438" t="str">
        <x:v>KAT013</x:v>
      </x:c>
      <x:c r="F438"/>
      <x:c r="G438"/>
      <x:c r="H438" t="str">
        <x:v>kein_match</x:v>
      </x:c>
      <x:c r="I438" t="str">
        <x:v>Agent-Draft: keine finale Regelentscheidung</x:v>
      </x:c>
      <x:c r="J438" t="n">
        <x:v>46020</x:v>
      </x:c>
      <x:c r="K438"/>
      <x:c r="L438"/>
      <x:c r="M438" t="n">
        <x:v>-40.44</x:v>
      </x:c>
      <x:c r="N438" t="str">
        <x:v>2025-12</x:v>
      </x:c>
      <x:c r="O438" t="str">
        <x:v>Ausgabe</x:v>
      </x:c>
      <x:c r="P438" t="str">
        <x:v>Ist</x:v>
      </x:c>
      <x:c r="Q438" s="59" t="b">
        <x:v>0</x:v>
      </x:c>
      <x:c r="R438" t="str">
        <x:v>kein_transfer</x:v>
      </x:c>
      <x:c r="S438"/>
      <x:c r="T438"/>
      <x:c r="U438"/>
      <x:c r="V438" s="59" t="b">
        <x:v>1</x:v>
      </x:c>
      <x:c r="W438"/>
      <x:c r="X438" t="str">
        <x:v>offen</x:v>
      </x:c>
      <x:c r="Y438" t="str">
        <x:v>Agent-Draft; Kategorie und Person pruefen</x:v>
      </x:c>
    </x:row>
    <x:row r="439">
      <x:c r="A439" t="str">
        <x:v>TXN-RAW-IMP-20260516-FULLDRAFT-000423</x:v>
      </x:c>
      <x:c r="B439" t="str">
        <x:v>RAW-IMP-20260516-FULLDRAFT-000423</x:v>
      </x:c>
      <x:c r="C439" t="str">
        <x:v>KTO001</x:v>
      </x:c>
      <x:c r="D439"/>
      <x:c r="E439" t="str">
        <x:v>KAT013</x:v>
      </x:c>
      <x:c r="F439"/>
      <x:c r="G439"/>
      <x:c r="H439" t="str">
        <x:v>kein_match</x:v>
      </x:c>
      <x:c r="I439" t="str">
        <x:v>Agent-Draft: keine finale Regelentscheidung</x:v>
      </x:c>
      <x:c r="J439" t="n">
        <x:v>46020</x:v>
      </x:c>
      <x:c r="K439"/>
      <x:c r="L439"/>
      <x:c r="M439" t="n">
        <x:v>-21</x:v>
      </x:c>
      <x:c r="N439" t="str">
        <x:v>2025-12</x:v>
      </x:c>
      <x:c r="O439" t="str">
        <x:v>Ausgabe</x:v>
      </x:c>
      <x:c r="P439" t="str">
        <x:v>Ist</x:v>
      </x:c>
      <x:c r="Q439" s="59" t="b">
        <x:v>0</x:v>
      </x:c>
      <x:c r="R439" t="str">
        <x:v>kein_transfer</x:v>
      </x:c>
      <x:c r="S439"/>
      <x:c r="T439"/>
      <x:c r="U439"/>
      <x:c r="V439" s="59" t="b">
        <x:v>1</x:v>
      </x:c>
      <x:c r="W439"/>
      <x:c r="X439" t="str">
        <x:v>offen</x:v>
      </x:c>
      <x:c r="Y439" t="str">
        <x:v>Agent-Draft; Kategorie und Person pruefen</x:v>
      </x:c>
    </x:row>
    <x:row r="440">
      <x:c r="A440" t="str">
        <x:v>TXN-RAW-IMP-20260516-FULLDRAFT-000424</x:v>
      </x:c>
      <x:c r="B440" t="str">
        <x:v>RAW-IMP-20260516-FULLDRAFT-000424</x:v>
      </x:c>
      <x:c r="C440" t="str">
        <x:v>KTO001</x:v>
      </x:c>
      <x:c r="D440"/>
      <x:c r="E440" t="str">
        <x:v>KAT013</x:v>
      </x:c>
      <x:c r="F440"/>
      <x:c r="G440"/>
      <x:c r="H440" t="str">
        <x:v>kein_match</x:v>
      </x:c>
      <x:c r="I440" t="str">
        <x:v>Agent-Draft: keine finale Regelentscheidung</x:v>
      </x:c>
      <x:c r="J440" t="n">
        <x:v>46020</x:v>
      </x:c>
      <x:c r="K440"/>
      <x:c r="L440"/>
      <x:c r="M440" t="n">
        <x:v>-2.99</x:v>
      </x:c>
      <x:c r="N440" t="str">
        <x:v>2025-12</x:v>
      </x:c>
      <x:c r="O440" t="str">
        <x:v>Ausgabe</x:v>
      </x:c>
      <x:c r="P440" t="str">
        <x:v>Ist</x:v>
      </x:c>
      <x:c r="Q440" s="59" t="b">
        <x:v>0</x:v>
      </x:c>
      <x:c r="R440" t="str">
        <x:v>kein_transfer</x:v>
      </x:c>
      <x:c r="S440"/>
      <x:c r="T440"/>
      <x:c r="U440"/>
      <x:c r="V440" s="59" t="b">
        <x:v>1</x:v>
      </x:c>
      <x:c r="W440"/>
      <x:c r="X440" t="str">
        <x:v>offen</x:v>
      </x:c>
      <x:c r="Y440" t="str">
        <x:v>Agent-Draft; Kategorie und Person pruefen</x:v>
      </x:c>
    </x:row>
    <x:row r="441">
      <x:c r="A441" t="str">
        <x:v>TXN-RAW-IMP-20260516-FULLDRAFT-000425</x:v>
      </x:c>
      <x:c r="B441" t="str">
        <x:v>RAW-IMP-20260516-FULLDRAFT-000425</x:v>
      </x:c>
      <x:c r="C441" t="str">
        <x:v>KTO001</x:v>
      </x:c>
      <x:c r="D441"/>
      <x:c r="E441" t="str">
        <x:v>KAT013</x:v>
      </x:c>
      <x:c r="F441"/>
      <x:c r="G441"/>
      <x:c r="H441" t="str">
        <x:v>kein_match</x:v>
      </x:c>
      <x:c r="I441" t="str">
        <x:v>Agent-Draft: keine finale Regelentscheidung</x:v>
      </x:c>
      <x:c r="J441" t="n">
        <x:v>46020</x:v>
      </x:c>
      <x:c r="K441"/>
      <x:c r="L441"/>
      <x:c r="M441" t="n">
        <x:v>-17.47</x:v>
      </x:c>
      <x:c r="N441" t="str">
        <x:v>2025-12</x:v>
      </x:c>
      <x:c r="O441" t="str">
        <x:v>Ausgabe</x:v>
      </x:c>
      <x:c r="P441" t="str">
        <x:v>Ist</x:v>
      </x:c>
      <x:c r="Q441" s="59" t="b">
        <x:v>0</x:v>
      </x:c>
      <x:c r="R441" t="str">
        <x:v>kein_transfer</x:v>
      </x:c>
      <x:c r="S441"/>
      <x:c r="T441"/>
      <x:c r="U441"/>
      <x:c r="V441" s="59" t="b">
        <x:v>1</x:v>
      </x:c>
      <x:c r="W441"/>
      <x:c r="X441" t="str">
        <x:v>offen</x:v>
      </x:c>
      <x:c r="Y441" t="str">
        <x:v>Agent-Draft; Kategorie und Person pruefen</x:v>
      </x:c>
    </x:row>
    <x:row r="442">
      <x:c r="A442" t="str">
        <x:v>TXN-RAW-IMP-20260516-FULLDRAFT-000426</x:v>
      </x:c>
      <x:c r="B442" t="str">
        <x:v>RAW-IMP-20260516-FULLDRAFT-000426</x:v>
      </x:c>
      <x:c r="C442" t="str">
        <x:v>KTO001</x:v>
      </x:c>
      <x:c r="D442"/>
      <x:c r="E442" t="str">
        <x:v>KAT013</x:v>
      </x:c>
      <x:c r="F442"/>
      <x:c r="G442"/>
      <x:c r="H442" t="str">
        <x:v>kein_match</x:v>
      </x:c>
      <x:c r="I442" t="str">
        <x:v>Agent-Draft: keine finale Regelentscheidung</x:v>
      </x:c>
      <x:c r="J442" t="n">
        <x:v>46020</x:v>
      </x:c>
      <x:c r="K442"/>
      <x:c r="L442"/>
      <x:c r="M442" t="n">
        <x:v>-20.36</x:v>
      </x:c>
      <x:c r="N442" t="str">
        <x:v>2025-12</x:v>
      </x:c>
      <x:c r="O442" t="str">
        <x:v>Ausgabe</x:v>
      </x:c>
      <x:c r="P442" t="str">
        <x:v>Ist</x:v>
      </x:c>
      <x:c r="Q442" s="59" t="b">
        <x:v>0</x:v>
      </x:c>
      <x:c r="R442" t="str">
        <x:v>kein_transfer</x:v>
      </x:c>
      <x:c r="S442"/>
      <x:c r="T442"/>
      <x:c r="U442"/>
      <x:c r="V442" s="59" t="b">
        <x:v>1</x:v>
      </x:c>
      <x:c r="W442"/>
      <x:c r="X442" t="str">
        <x:v>offen</x:v>
      </x:c>
      <x:c r="Y442" t="str">
        <x:v>Agent-Draft; Kategorie und Person pruefen</x:v>
      </x:c>
    </x:row>
    <x:row r="443">
      <x:c r="A443" t="str">
        <x:v>TXN-RAW-IMP-20260516-FULLDRAFT-000427</x:v>
      </x:c>
      <x:c r="B443" t="str">
        <x:v>RAW-IMP-20260516-FULLDRAFT-000427</x:v>
      </x:c>
      <x:c r="C443" t="str">
        <x:v>KTO001</x:v>
      </x:c>
      <x:c r="D443"/>
      <x:c r="E443" t="str">
        <x:v>KAT013</x:v>
      </x:c>
      <x:c r="F443"/>
      <x:c r="G443"/>
      <x:c r="H443" t="str">
        <x:v>kein_match</x:v>
      </x:c>
      <x:c r="I443" t="str">
        <x:v>Agent-Draft: keine finale Regelentscheidung</x:v>
      </x:c>
      <x:c r="J443" t="n">
        <x:v>46020</x:v>
      </x:c>
      <x:c r="K443"/>
      <x:c r="L443"/>
      <x:c r="M443" t="n">
        <x:v>-419</x:v>
      </x:c>
      <x:c r="N443" t="str">
        <x:v>2025-12</x:v>
      </x:c>
      <x:c r="O443" t="str">
        <x:v>Ausgabe</x:v>
      </x:c>
      <x:c r="P443" t="str">
        <x:v>Ist</x:v>
      </x:c>
      <x:c r="Q443" s="59" t="b">
        <x:v>0</x:v>
      </x:c>
      <x:c r="R443" t="str">
        <x:v>kein_transfer</x:v>
      </x:c>
      <x:c r="S443"/>
      <x:c r="T443"/>
      <x:c r="U443"/>
      <x:c r="V443" s="59" t="b">
        <x:v>1</x:v>
      </x:c>
      <x:c r="W443"/>
      <x:c r="X443" t="str">
        <x:v>offen</x:v>
      </x:c>
      <x:c r="Y443" t="str">
        <x:v>Agent-Draft; Kategorie und Person pruefen</x:v>
      </x:c>
    </x:row>
    <x:row r="444">
      <x:c r="A444" t="str">
        <x:v>TXN-RAW-IMP-20260516-FULLDRAFT-000428</x:v>
      </x:c>
      <x:c r="B444" t="str">
        <x:v>RAW-IMP-20260516-FULLDRAFT-000428</x:v>
      </x:c>
      <x:c r="C444" t="str">
        <x:v>KTO001</x:v>
      </x:c>
      <x:c r="D444"/>
      <x:c r="E444" t="str">
        <x:v>KAT013</x:v>
      </x:c>
      <x:c r="F444"/>
      <x:c r="G444"/>
      <x:c r="H444" t="str">
        <x:v>kein_match</x:v>
      </x:c>
      <x:c r="I444" t="str">
        <x:v>Agent-Draft: keine finale Regelentscheidung</x:v>
      </x:c>
      <x:c r="J444" t="n">
        <x:v>46020</x:v>
      </x:c>
      <x:c r="K444"/>
      <x:c r="L444"/>
      <x:c r="M444" t="n">
        <x:v>-96.75</x:v>
      </x:c>
      <x:c r="N444" t="str">
        <x:v>2025-12</x:v>
      </x:c>
      <x:c r="O444" t="str">
        <x:v>Ausgabe</x:v>
      </x:c>
      <x:c r="P444" t="str">
        <x:v>Ist</x:v>
      </x:c>
      <x:c r="Q444" s="59" t="b">
        <x:v>0</x:v>
      </x:c>
      <x:c r="R444" t="str">
        <x:v>kein_transfer</x:v>
      </x:c>
      <x:c r="S444"/>
      <x:c r="T444"/>
      <x:c r="U444"/>
      <x:c r="V444" s="59" t="b">
        <x:v>1</x:v>
      </x:c>
      <x:c r="W444"/>
      <x:c r="X444" t="str">
        <x:v>offen</x:v>
      </x:c>
      <x:c r="Y444" t="str">
        <x:v>Agent-Draft; Kategorie und Person pruefen</x:v>
      </x:c>
    </x:row>
    <x:row r="445">
      <x:c r="A445" t="str">
        <x:v>TXN-RAW-IMP-20260516-FULLDRAFT-000429</x:v>
      </x:c>
      <x:c r="B445" t="str">
        <x:v>RAW-IMP-20260516-FULLDRAFT-000429</x:v>
      </x:c>
      <x:c r="C445" t="str">
        <x:v>KTO001</x:v>
      </x:c>
      <x:c r="D445"/>
      <x:c r="E445" t="str">
        <x:v>KAT013</x:v>
      </x:c>
      <x:c r="F445"/>
      <x:c r="G445"/>
      <x:c r="H445" t="str">
        <x:v>kein_match</x:v>
      </x:c>
      <x:c r="I445" t="str">
        <x:v>Agent-Draft: keine finale Regelentscheidung</x:v>
      </x:c>
      <x:c r="J445" t="n">
        <x:v>46020</x:v>
      </x:c>
      <x:c r="K445"/>
      <x:c r="L445"/>
      <x:c r="M445" t="n">
        <x:v>-90.73</x:v>
      </x:c>
      <x:c r="N445" t="str">
        <x:v>2025-12</x:v>
      </x:c>
      <x:c r="O445" t="str">
        <x:v>Ausgabe</x:v>
      </x:c>
      <x:c r="P445" t="str">
        <x:v>Ist</x:v>
      </x:c>
      <x:c r="Q445" s="59" t="b">
        <x:v>0</x:v>
      </x:c>
      <x:c r="R445" t="str">
        <x:v>kein_transfer</x:v>
      </x:c>
      <x:c r="S445"/>
      <x:c r="T445"/>
      <x:c r="U445"/>
      <x:c r="V445" s="59" t="b">
        <x:v>1</x:v>
      </x:c>
      <x:c r="W445"/>
      <x:c r="X445" t="str">
        <x:v>offen</x:v>
      </x:c>
      <x:c r="Y445" t="str">
        <x:v>Agent-Draft; Kategorie und Person pruefen</x:v>
      </x:c>
    </x:row>
    <x:row r="446">
      <x:c r="A446" t="str">
        <x:v>TXN-RAW-IMP-20260516-FULLDRAFT-000430</x:v>
      </x:c>
      <x:c r="B446" t="str">
        <x:v>RAW-IMP-20260516-FULLDRAFT-000430</x:v>
      </x:c>
      <x:c r="C446" t="str">
        <x:v>KTO001</x:v>
      </x:c>
      <x:c r="D446"/>
      <x:c r="E446" t="str">
        <x:v>KAT013</x:v>
      </x:c>
      <x:c r="F446"/>
      <x:c r="G446"/>
      <x:c r="H446" t="str">
        <x:v>kein_match</x:v>
      </x:c>
      <x:c r="I446" t="str">
        <x:v>Agent-Draft: keine finale Regelentscheidung</x:v>
      </x:c>
      <x:c r="J446" t="n">
        <x:v>46020</x:v>
      </x:c>
      <x:c r="K446"/>
      <x:c r="L446"/>
      <x:c r="M446" t="n">
        <x:v>-1.5</x:v>
      </x:c>
      <x:c r="N446" t="str">
        <x:v>2025-12</x:v>
      </x:c>
      <x:c r="O446" t="str">
        <x:v>Ausgabe</x:v>
      </x:c>
      <x:c r="P446" t="str">
        <x:v>Ist</x:v>
      </x:c>
      <x:c r="Q446" s="59" t="b">
        <x:v>0</x:v>
      </x:c>
      <x:c r="R446" t="str">
        <x:v>kein_transfer</x:v>
      </x:c>
      <x:c r="S446"/>
      <x:c r="T446"/>
      <x:c r="U446"/>
      <x:c r="V446" s="59" t="b">
        <x:v>1</x:v>
      </x:c>
      <x:c r="W446"/>
      <x:c r="X446" t="str">
        <x:v>offen</x:v>
      </x:c>
      <x:c r="Y446" t="str">
        <x:v>Agent-Draft; Kategorie und Person pruefen</x:v>
      </x:c>
    </x:row>
    <x:row r="447">
      <x:c r="A447" t="str">
        <x:v>TXN-RAW-IMP-20260516-FULLDRAFT-000431</x:v>
      </x:c>
      <x:c r="B447" t="str">
        <x:v>RAW-IMP-20260516-FULLDRAFT-000431</x:v>
      </x:c>
      <x:c r="C447" t="str">
        <x:v>KTO001</x:v>
      </x:c>
      <x:c r="D447"/>
      <x:c r="E447" t="str">
        <x:v>KAT013</x:v>
      </x:c>
      <x:c r="F447"/>
      <x:c r="G447"/>
      <x:c r="H447" t="str">
        <x:v>kein_match</x:v>
      </x:c>
      <x:c r="I447" t="str">
        <x:v>Agent-Draft: keine finale Regelentscheidung</x:v>
      </x:c>
      <x:c r="J447" t="n">
        <x:v>46020</x:v>
      </x:c>
      <x:c r="K447"/>
      <x:c r="L447"/>
      <x:c r="M447" t="n">
        <x:v>-143</x:v>
      </x:c>
      <x:c r="N447" t="str">
        <x:v>2025-12</x:v>
      </x:c>
      <x:c r="O447" t="str">
        <x:v>Ausgabe</x:v>
      </x:c>
      <x:c r="P447" t="str">
        <x:v>Ist</x:v>
      </x:c>
      <x:c r="Q447" s="59" t="b">
        <x:v>0</x:v>
      </x:c>
      <x:c r="R447" t="str">
        <x:v>kein_transfer</x:v>
      </x:c>
      <x:c r="S447"/>
      <x:c r="T447"/>
      <x:c r="U447"/>
      <x:c r="V447" s="59" t="b">
        <x:v>1</x:v>
      </x:c>
      <x:c r="W447"/>
      <x:c r="X447" t="str">
        <x:v>offen</x:v>
      </x:c>
      <x:c r="Y447" t="str">
        <x:v>Agent-Draft; Kategorie und Person pruefen</x:v>
      </x:c>
    </x:row>
    <x:row r="448">
      <x:c r="A448" t="str">
        <x:v>TXN-RAW-IMP-20260516-FULLDRAFT-000432</x:v>
      </x:c>
      <x:c r="B448" t="str">
        <x:v>RAW-IMP-20260516-FULLDRAFT-000432</x:v>
      </x:c>
      <x:c r="C448" t="str">
        <x:v>KTO001</x:v>
      </x:c>
      <x:c r="D448"/>
      <x:c r="E448" t="str">
        <x:v>KAT013</x:v>
      </x:c>
      <x:c r="F448"/>
      <x:c r="G448"/>
      <x:c r="H448" t="str">
        <x:v>kein_match</x:v>
      </x:c>
      <x:c r="I448" t="str">
        <x:v>Agent-Draft: keine finale Regelentscheidung</x:v>
      </x:c>
      <x:c r="J448" t="n">
        <x:v>46014</x:v>
      </x:c>
      <x:c r="K448"/>
      <x:c r="L448"/>
      <x:c r="M448" t="n">
        <x:v>-40.45</x:v>
      </x:c>
      <x:c r="N448" t="str">
        <x:v>2025-12</x:v>
      </x:c>
      <x:c r="O448" t="str">
        <x:v>Ausgabe</x:v>
      </x:c>
      <x:c r="P448" t="str">
        <x:v>Ist</x:v>
      </x:c>
      <x:c r="Q448" s="59" t="b">
        <x:v>0</x:v>
      </x:c>
      <x:c r="R448" t="str">
        <x:v>kein_transfer</x:v>
      </x:c>
      <x:c r="S448"/>
      <x:c r="T448"/>
      <x:c r="U448"/>
      <x:c r="V448" s="59" t="b">
        <x:v>1</x:v>
      </x:c>
      <x:c r="W448"/>
      <x:c r="X448" t="str">
        <x:v>offen</x:v>
      </x:c>
      <x:c r="Y448" t="str">
        <x:v>Agent-Draft; Kategorie und Person pruefen</x:v>
      </x:c>
    </x:row>
    <x:row r="449">
      <x:c r="A449" t="str">
        <x:v>TXN-RAW-IMP-20260516-FULLDRAFT-000433</x:v>
      </x:c>
      <x:c r="B449" t="str">
        <x:v>RAW-IMP-20260516-FULLDRAFT-000433</x:v>
      </x:c>
      <x:c r="C449" t="str">
        <x:v>KTO001</x:v>
      </x:c>
      <x:c r="D449"/>
      <x:c r="E449" t="str">
        <x:v>KAT013</x:v>
      </x:c>
      <x:c r="F449"/>
      <x:c r="G449"/>
      <x:c r="H449" t="str">
        <x:v>kein_match</x:v>
      </x:c>
      <x:c r="I449" t="str">
        <x:v>Agent-Draft: keine finale Regelentscheidung</x:v>
      </x:c>
      <x:c r="J449" t="n">
        <x:v>46014</x:v>
      </x:c>
      <x:c r="K449"/>
      <x:c r="L449"/>
      <x:c r="M449" t="n">
        <x:v>7830.4</x:v>
      </x:c>
      <x:c r="N449" t="str">
        <x:v>2025-12</x:v>
      </x:c>
      <x:c r="O449" t="str">
        <x:v>Einnahme</x:v>
      </x:c>
      <x:c r="P449" t="str">
        <x:v>Ist</x:v>
      </x:c>
      <x:c r="Q449" s="59" t="b">
        <x:v>0</x:v>
      </x:c>
      <x:c r="R449" t="str">
        <x:v>kein_transfer</x:v>
      </x:c>
      <x:c r="S449"/>
      <x:c r="T449"/>
      <x:c r="U449"/>
      <x:c r="V449" s="59" t="b">
        <x:v>1</x:v>
      </x:c>
      <x:c r="W449"/>
      <x:c r="X449" t="str">
        <x:v>offen</x:v>
      </x:c>
      <x:c r="Y449" t="str">
        <x:v>Agent-Draft; Kategorie und Person pruefen</x:v>
      </x:c>
    </x:row>
    <x:row r="450">
      <x:c r="A450" t="str">
        <x:v>TXN-RAW-IMP-20260516-FULLDRAFT-000434</x:v>
      </x:c>
      <x:c r="B450" t="str">
        <x:v>RAW-IMP-20260516-FULLDRAFT-000434</x:v>
      </x:c>
      <x:c r="C450" t="str">
        <x:v>KTO001</x:v>
      </x:c>
      <x:c r="D450"/>
      <x:c r="E450" t="str">
        <x:v>KAT013</x:v>
      </x:c>
      <x:c r="F450"/>
      <x:c r="G450"/>
      <x:c r="H450" t="str">
        <x:v>kein_match</x:v>
      </x:c>
      <x:c r="I450" t="str">
        <x:v>Agent-Draft: keine finale Regelentscheidung</x:v>
      </x:c>
      <x:c r="J450" t="n">
        <x:v>46014</x:v>
      </x:c>
      <x:c r="K450"/>
      <x:c r="L450"/>
      <x:c r="M450" t="n">
        <x:v>-4.53</x:v>
      </x:c>
      <x:c r="N450" t="str">
        <x:v>2025-12</x:v>
      </x:c>
      <x:c r="O450" t="str">
        <x:v>Ausgabe</x:v>
      </x:c>
      <x:c r="P450" t="str">
        <x:v>Ist</x:v>
      </x:c>
      <x:c r="Q450" s="59" t="b">
        <x:v>0</x:v>
      </x:c>
      <x:c r="R450" t="str">
        <x:v>kein_transfer</x:v>
      </x:c>
      <x:c r="S450"/>
      <x:c r="T450"/>
      <x:c r="U450"/>
      <x:c r="V450" s="59" t="b">
        <x:v>1</x:v>
      </x:c>
      <x:c r="W450"/>
      <x:c r="X450" t="str">
        <x:v>offen</x:v>
      </x:c>
      <x:c r="Y450" t="str">
        <x:v>Agent-Draft; Kategorie und Person pruefen</x:v>
      </x:c>
    </x:row>
    <x:row r="451">
      <x:c r="A451" t="str">
        <x:v>TXN-RAW-IMP-20260516-FULLDRAFT-000435</x:v>
      </x:c>
      <x:c r="B451" t="str">
        <x:v>RAW-IMP-20260516-FULLDRAFT-000435</x:v>
      </x:c>
      <x:c r="C451" t="str">
        <x:v>KTO001</x:v>
      </x:c>
      <x:c r="D451"/>
      <x:c r="E451" t="str">
        <x:v>KAT013</x:v>
      </x:c>
      <x:c r="F451"/>
      <x:c r="G451"/>
      <x:c r="H451" t="str">
        <x:v>kein_match</x:v>
      </x:c>
      <x:c r="I451" t="str">
        <x:v>Agent-Draft: keine finale Regelentscheidung</x:v>
      </x:c>
      <x:c r="J451" t="n">
        <x:v>46014</x:v>
      </x:c>
      <x:c r="K451"/>
      <x:c r="L451"/>
      <x:c r="M451" t="n">
        <x:v>-33.62</x:v>
      </x:c>
      <x:c r="N451" t="str">
        <x:v>2025-12</x:v>
      </x:c>
      <x:c r="O451" t="str">
        <x:v>Ausgabe</x:v>
      </x:c>
      <x:c r="P451" t="str">
        <x:v>Ist</x:v>
      </x:c>
      <x:c r="Q451" s="59" t="b">
        <x:v>0</x:v>
      </x:c>
      <x:c r="R451" t="str">
        <x:v>kein_transfer</x:v>
      </x:c>
      <x:c r="S451"/>
      <x:c r="T451"/>
      <x:c r="U451"/>
      <x:c r="V451" s="59" t="b">
        <x:v>1</x:v>
      </x:c>
      <x:c r="W451"/>
      <x:c r="X451" t="str">
        <x:v>offen</x:v>
      </x:c>
      <x:c r="Y451" t="str">
        <x:v>Agent-Draft; Kategorie und Person pruefen</x:v>
      </x:c>
    </x:row>
    <x:row r="452">
      <x:c r="A452" t="str">
        <x:v>TXN-RAW-IMP-20260516-FULLDRAFT-000436</x:v>
      </x:c>
      <x:c r="B452" t="str">
        <x:v>RAW-IMP-20260516-FULLDRAFT-000436</x:v>
      </x:c>
      <x:c r="C452" t="str">
        <x:v>KTO001</x:v>
      </x:c>
      <x:c r="D452"/>
      <x:c r="E452" t="str">
        <x:v>KAT013</x:v>
      </x:c>
      <x:c r="F452"/>
      <x:c r="G452"/>
      <x:c r="H452" t="str">
        <x:v>kein_match</x:v>
      </x:c>
      <x:c r="I452" t="str">
        <x:v>Agent-Draft: keine finale Regelentscheidung</x:v>
      </x:c>
      <x:c r="J452" t="n">
        <x:v>46014</x:v>
      </x:c>
      <x:c r="K452"/>
      <x:c r="L452"/>
      <x:c r="M452" t="n">
        <x:v>-100</x:v>
      </x:c>
      <x:c r="N452" t="str">
        <x:v>2025-12</x:v>
      </x:c>
      <x:c r="O452" t="str">
        <x:v>Ausgabe</x:v>
      </x:c>
      <x:c r="P452" t="str">
        <x:v>Ist</x:v>
      </x:c>
      <x:c r="Q452" s="59" t="b">
        <x:v>0</x:v>
      </x:c>
      <x:c r="R452" t="str">
        <x:v>kein_transfer</x:v>
      </x:c>
      <x:c r="S452"/>
      <x:c r="T452"/>
      <x:c r="U452"/>
      <x:c r="V452" s="59" t="b">
        <x:v>1</x:v>
      </x:c>
      <x:c r="W452"/>
      <x:c r="X452" t="str">
        <x:v>offen</x:v>
      </x:c>
      <x:c r="Y452" t="str">
        <x:v>Agent-Draft; Kategorie und Person pruefen</x:v>
      </x:c>
    </x:row>
    <x:row r="453">
      <x:c r="A453" t="str">
        <x:v>TXN-RAW-IMP-20260516-FULLDRAFT-000437</x:v>
      </x:c>
      <x:c r="B453" t="str">
        <x:v>RAW-IMP-20260516-FULLDRAFT-000437</x:v>
      </x:c>
      <x:c r="C453" t="str">
        <x:v>KTO001</x:v>
      </x:c>
      <x:c r="D453"/>
      <x:c r="E453" t="str">
        <x:v>KAT013</x:v>
      </x:c>
      <x:c r="F453"/>
      <x:c r="G453"/>
      <x:c r="H453" t="str">
        <x:v>kein_match</x:v>
      </x:c>
      <x:c r="I453" t="str">
        <x:v>Agent-Draft: keine finale Regelentscheidung</x:v>
      </x:c>
      <x:c r="J453" t="n">
        <x:v>46014</x:v>
      </x:c>
      <x:c r="K453"/>
      <x:c r="L453"/>
      <x:c r="M453" t="n">
        <x:v>-6.99</x:v>
      </x:c>
      <x:c r="N453" t="str">
        <x:v>2025-12</x:v>
      </x:c>
      <x:c r="O453" t="str">
        <x:v>Ausgabe</x:v>
      </x:c>
      <x:c r="P453" t="str">
        <x:v>Ist</x:v>
      </x:c>
      <x:c r="Q453" s="59" t="b">
        <x:v>0</x:v>
      </x:c>
      <x:c r="R453" t="str">
        <x:v>kein_transfer</x:v>
      </x:c>
      <x:c r="S453"/>
      <x:c r="T453"/>
      <x:c r="U453"/>
      <x:c r="V453" s="59" t="b">
        <x:v>1</x:v>
      </x:c>
      <x:c r="W453"/>
      <x:c r="X453" t="str">
        <x:v>offen</x:v>
      </x:c>
      <x:c r="Y453" t="str">
        <x:v>Agent-Draft; Kategorie und Person pruefen</x:v>
      </x:c>
    </x:row>
    <x:row r="454">
      <x:c r="A454" t="str">
        <x:v>TXN-RAW-IMP-20260516-FULLDRAFT-000438</x:v>
      </x:c>
      <x:c r="B454" t="str">
        <x:v>RAW-IMP-20260516-FULLDRAFT-000438</x:v>
      </x:c>
      <x:c r="C454" t="str">
        <x:v>KTO001</x:v>
      </x:c>
      <x:c r="D454"/>
      <x:c r="E454" t="str">
        <x:v>KAT013</x:v>
      </x:c>
      <x:c r="F454"/>
      <x:c r="G454"/>
      <x:c r="H454" t="str">
        <x:v>kein_match</x:v>
      </x:c>
      <x:c r="I454" t="str">
        <x:v>Agent-Draft: keine finale Regelentscheidung</x:v>
      </x:c>
      <x:c r="J454" t="n">
        <x:v>46013</x:v>
      </x:c>
      <x:c r="K454"/>
      <x:c r="L454"/>
      <x:c r="M454" t="n">
        <x:v>-36</x:v>
      </x:c>
      <x:c r="N454" t="str">
        <x:v>2025-12</x:v>
      </x:c>
      <x:c r="O454" t="str">
        <x:v>Ausgabe</x:v>
      </x:c>
      <x:c r="P454" t="str">
        <x:v>Ist</x:v>
      </x:c>
      <x:c r="Q454" s="59" t="b">
        <x:v>0</x:v>
      </x:c>
      <x:c r="R454" t="str">
        <x:v>kein_transfer</x:v>
      </x:c>
      <x:c r="S454"/>
      <x:c r="T454"/>
      <x:c r="U454"/>
      <x:c r="V454" s="59" t="b">
        <x:v>1</x:v>
      </x:c>
      <x:c r="W454"/>
      <x:c r="X454" t="str">
        <x:v>offen</x:v>
      </x:c>
      <x:c r="Y454" t="str">
        <x:v>Agent-Draft; Kategorie und Person pruefen</x:v>
      </x:c>
    </x:row>
    <x:row r="455">
      <x:c r="A455" t="str">
        <x:v>TXN-RAW-IMP-20260516-FULLDRAFT-000439</x:v>
      </x:c>
      <x:c r="B455" t="str">
        <x:v>RAW-IMP-20260516-FULLDRAFT-000439</x:v>
      </x:c>
      <x:c r="C455" t="str">
        <x:v>KTO001</x:v>
      </x:c>
      <x:c r="D455"/>
      <x:c r="E455" t="str">
        <x:v>KAT013</x:v>
      </x:c>
      <x:c r="F455"/>
      <x:c r="G455"/>
      <x:c r="H455" t="str">
        <x:v>kein_match</x:v>
      </x:c>
      <x:c r="I455" t="str">
        <x:v>Agent-Draft: keine finale Regelentscheidung</x:v>
      </x:c>
      <x:c r="J455" t="n">
        <x:v>46013</x:v>
      </x:c>
      <x:c r="K455"/>
      <x:c r="L455"/>
      <x:c r="M455" t="n">
        <x:v>-44.91</x:v>
      </x:c>
      <x:c r="N455" t="str">
        <x:v>2025-12</x:v>
      </x:c>
      <x:c r="O455" t="str">
        <x:v>Ausgabe</x:v>
      </x:c>
      <x:c r="P455" t="str">
        <x:v>Ist</x:v>
      </x:c>
      <x:c r="Q455" s="59" t="b">
        <x:v>0</x:v>
      </x:c>
      <x:c r="R455" t="str">
        <x:v>kein_transfer</x:v>
      </x:c>
      <x:c r="S455"/>
      <x:c r="T455"/>
      <x:c r="U455"/>
      <x:c r="V455" s="59" t="b">
        <x:v>1</x:v>
      </x:c>
      <x:c r="W455"/>
      <x:c r="X455" t="str">
        <x:v>offen</x:v>
      </x:c>
      <x:c r="Y455" t="str">
        <x:v>Agent-Draft; Kategorie und Person pruefen</x:v>
      </x:c>
    </x:row>
    <x:row r="456">
      <x:c r="A456" t="str">
        <x:v>TXN-RAW-IMP-20260516-FULLDRAFT-000440</x:v>
      </x:c>
      <x:c r="B456" t="str">
        <x:v>RAW-IMP-20260516-FULLDRAFT-000440</x:v>
      </x:c>
      <x:c r="C456" t="str">
        <x:v>KTO001</x:v>
      </x:c>
      <x:c r="D456"/>
      <x:c r="E456" t="str">
        <x:v>KAT013</x:v>
      </x:c>
      <x:c r="F456"/>
      <x:c r="G456"/>
      <x:c r="H456" t="str">
        <x:v>kein_match</x:v>
      </x:c>
      <x:c r="I456" t="str">
        <x:v>Agent-Draft: keine finale Regelentscheidung</x:v>
      </x:c>
      <x:c r="J456" t="n">
        <x:v>46013</x:v>
      </x:c>
      <x:c r="K456"/>
      <x:c r="L456"/>
      <x:c r="M456" t="n">
        <x:v>-27.56</x:v>
      </x:c>
      <x:c r="N456" t="str">
        <x:v>2025-12</x:v>
      </x:c>
      <x:c r="O456" t="str">
        <x:v>Ausgabe</x:v>
      </x:c>
      <x:c r="P456" t="str">
        <x:v>Ist</x:v>
      </x:c>
      <x:c r="Q456" s="59" t="b">
        <x:v>0</x:v>
      </x:c>
      <x:c r="R456" t="str">
        <x:v>kein_transfer</x:v>
      </x:c>
      <x:c r="S456"/>
      <x:c r="T456"/>
      <x:c r="U456"/>
      <x:c r="V456" s="59" t="b">
        <x:v>1</x:v>
      </x:c>
      <x:c r="W456"/>
      <x:c r="X456" t="str">
        <x:v>offen</x:v>
      </x:c>
      <x:c r="Y456" t="str">
        <x:v>Agent-Draft; Kategorie und Person pruefen</x:v>
      </x:c>
    </x:row>
    <x:row r="457">
      <x:c r="A457" t="str">
        <x:v>TXN-RAW-IMP-20260516-FULLDRAFT-000441</x:v>
      </x:c>
      <x:c r="B457" t="str">
        <x:v>RAW-IMP-20260516-FULLDRAFT-000441</x:v>
      </x:c>
      <x:c r="C457" t="str">
        <x:v>KTO001</x:v>
      </x:c>
      <x:c r="D457"/>
      <x:c r="E457" t="str">
        <x:v>KAT013</x:v>
      </x:c>
      <x:c r="F457"/>
      <x:c r="G457"/>
      <x:c r="H457" t="str">
        <x:v>kein_match</x:v>
      </x:c>
      <x:c r="I457" t="str">
        <x:v>Agent-Draft: keine finale Regelentscheidung</x:v>
      </x:c>
      <x:c r="J457" t="n">
        <x:v>46013</x:v>
      </x:c>
      <x:c r="K457"/>
      <x:c r="L457"/>
      <x:c r="M457" t="n">
        <x:v>-38.6</x:v>
      </x:c>
      <x:c r="N457" t="str">
        <x:v>2025-12</x:v>
      </x:c>
      <x:c r="O457" t="str">
        <x:v>Ausgabe</x:v>
      </x:c>
      <x:c r="P457" t="str">
        <x:v>Ist</x:v>
      </x:c>
      <x:c r="Q457" s="59" t="b">
        <x:v>0</x:v>
      </x:c>
      <x:c r="R457" t="str">
        <x:v>kein_transfer</x:v>
      </x:c>
      <x:c r="S457"/>
      <x:c r="T457"/>
      <x:c r="U457"/>
      <x:c r="V457" s="59" t="b">
        <x:v>1</x:v>
      </x:c>
      <x:c r="W457"/>
      <x:c r="X457" t="str">
        <x:v>offen</x:v>
      </x:c>
      <x:c r="Y457" t="str">
        <x:v>Agent-Draft; Kategorie und Person pruefen</x:v>
      </x:c>
    </x:row>
    <x:row r="458">
      <x:c r="A458" t="str">
        <x:v>TXN-RAW-IMP-20260516-FULLDRAFT-000442</x:v>
      </x:c>
      <x:c r="B458" t="str">
        <x:v>RAW-IMP-20260516-FULLDRAFT-000442</x:v>
      </x:c>
      <x:c r="C458" t="str">
        <x:v>KTO001</x:v>
      </x:c>
      <x:c r="D458"/>
      <x:c r="E458" t="str">
        <x:v>KAT013</x:v>
      </x:c>
      <x:c r="F458"/>
      <x:c r="G458"/>
      <x:c r="H458" t="str">
        <x:v>kein_match</x:v>
      </x:c>
      <x:c r="I458" t="str">
        <x:v>Agent-Draft: keine finale Regelentscheidung</x:v>
      </x:c>
      <x:c r="J458" t="n">
        <x:v>46013</x:v>
      </x:c>
      <x:c r="K458"/>
      <x:c r="L458"/>
      <x:c r="M458" t="n">
        <x:v>-50</x:v>
      </x:c>
      <x:c r="N458" t="str">
        <x:v>2025-12</x:v>
      </x:c>
      <x:c r="O458" t="str">
        <x:v>Ausgabe</x:v>
      </x:c>
      <x:c r="P458" t="str">
        <x:v>Ist</x:v>
      </x:c>
      <x:c r="Q458" s="59" t="b">
        <x:v>0</x:v>
      </x:c>
      <x:c r="R458" t="str">
        <x:v>kein_transfer</x:v>
      </x:c>
      <x:c r="S458"/>
      <x:c r="T458"/>
      <x:c r="U458"/>
      <x:c r="V458" s="59" t="b">
        <x:v>1</x:v>
      </x:c>
      <x:c r="W458"/>
      <x:c r="X458" t="str">
        <x:v>offen</x:v>
      </x:c>
      <x:c r="Y458" t="str">
        <x:v>Agent-Draft; Kategorie und Person pruefen</x:v>
      </x:c>
    </x:row>
    <x:row r="459">
      <x:c r="A459" t="str">
        <x:v>TXN-RAW-IMP-20260516-FULLDRAFT-000443</x:v>
      </x:c>
      <x:c r="B459" t="str">
        <x:v>RAW-IMP-20260516-FULLDRAFT-000443</x:v>
      </x:c>
      <x:c r="C459" t="str">
        <x:v>KTO001</x:v>
      </x:c>
      <x:c r="D459"/>
      <x:c r="E459" t="str">
        <x:v>KAT013</x:v>
      </x:c>
      <x:c r="F459"/>
      <x:c r="G459"/>
      <x:c r="H459" t="str">
        <x:v>kein_match</x:v>
      </x:c>
      <x:c r="I459" t="str">
        <x:v>Agent-Draft: keine finale Regelentscheidung</x:v>
      </x:c>
      <x:c r="J459" t="n">
        <x:v>46013</x:v>
      </x:c>
      <x:c r="K459"/>
      <x:c r="L459"/>
      <x:c r="M459" t="n">
        <x:v>-3.99</x:v>
      </x:c>
      <x:c r="N459" t="str">
        <x:v>2025-12</x:v>
      </x:c>
      <x:c r="O459" t="str">
        <x:v>Ausgabe</x:v>
      </x:c>
      <x:c r="P459" t="str">
        <x:v>Ist</x:v>
      </x:c>
      <x:c r="Q459" s="59" t="b">
        <x:v>0</x:v>
      </x:c>
      <x:c r="R459" t="str">
        <x:v>kein_transfer</x:v>
      </x:c>
      <x:c r="S459"/>
      <x:c r="T459"/>
      <x:c r="U459"/>
      <x:c r="V459" s="59" t="b">
        <x:v>1</x:v>
      </x:c>
      <x:c r="W459"/>
      <x:c r="X459" t="str">
        <x:v>offen</x:v>
      </x:c>
      <x:c r="Y459" t="str">
        <x:v>Agent-Draft; Kategorie und Person pruefen</x:v>
      </x:c>
    </x:row>
    <x:row r="460">
      <x:c r="A460" t="str">
        <x:v>TXN-RAW-IMP-20260516-FULLDRAFT-000444</x:v>
      </x:c>
      <x:c r="B460" t="str">
        <x:v>RAW-IMP-20260516-FULLDRAFT-000444</x:v>
      </x:c>
      <x:c r="C460" t="str">
        <x:v>KTO001</x:v>
      </x:c>
      <x:c r="D460"/>
      <x:c r="E460" t="str">
        <x:v>KAT013</x:v>
      </x:c>
      <x:c r="F460"/>
      <x:c r="G460"/>
      <x:c r="H460" t="str">
        <x:v>kein_match</x:v>
      </x:c>
      <x:c r="I460" t="str">
        <x:v>Agent-Draft: keine finale Regelentscheidung</x:v>
      </x:c>
      <x:c r="J460" t="n">
        <x:v>46013</x:v>
      </x:c>
      <x:c r="K460"/>
      <x:c r="L460"/>
      <x:c r="M460" t="n">
        <x:v>-4.99</x:v>
      </x:c>
      <x:c r="N460" t="str">
        <x:v>2025-12</x:v>
      </x:c>
      <x:c r="O460" t="str">
        <x:v>Ausgabe</x:v>
      </x:c>
      <x:c r="P460" t="str">
        <x:v>Ist</x:v>
      </x:c>
      <x:c r="Q460" s="59" t="b">
        <x:v>0</x:v>
      </x:c>
      <x:c r="R460" t="str">
        <x:v>kein_transfer</x:v>
      </x:c>
      <x:c r="S460"/>
      <x:c r="T460"/>
      <x:c r="U460"/>
      <x:c r="V460" s="59" t="b">
        <x:v>1</x:v>
      </x:c>
      <x:c r="W460"/>
      <x:c r="X460" t="str">
        <x:v>offen</x:v>
      </x:c>
      <x:c r="Y460" t="str">
        <x:v>Agent-Draft; Kategorie und Person pruefen</x:v>
      </x:c>
    </x:row>
    <x:row r="461">
      <x:c r="A461" t="str">
        <x:v>TXN-RAW-IMP-20260516-FULLDRAFT-000445</x:v>
      </x:c>
      <x:c r="B461" t="str">
        <x:v>RAW-IMP-20260516-FULLDRAFT-000445</x:v>
      </x:c>
      <x:c r="C461" t="str">
        <x:v>KTO001</x:v>
      </x:c>
      <x:c r="D461"/>
      <x:c r="E461" t="str">
        <x:v>KAT013</x:v>
      </x:c>
      <x:c r="F461"/>
      <x:c r="G461"/>
      <x:c r="H461" t="str">
        <x:v>kein_match</x:v>
      </x:c>
      <x:c r="I461" t="str">
        <x:v>Agent-Draft: keine finale Regelentscheidung</x:v>
      </x:c>
      <x:c r="J461" t="n">
        <x:v>46013</x:v>
      </x:c>
      <x:c r="K461"/>
      <x:c r="L461"/>
      <x:c r="M461" t="n">
        <x:v>-19.49</x:v>
      </x:c>
      <x:c r="N461" t="str">
        <x:v>2025-12</x:v>
      </x:c>
      <x:c r="O461" t="str">
        <x:v>Ausgabe</x:v>
      </x:c>
      <x:c r="P461" t="str">
        <x:v>Ist</x:v>
      </x:c>
      <x:c r="Q461" s="59" t="b">
        <x:v>0</x:v>
      </x:c>
      <x:c r="R461" t="str">
        <x:v>kein_transfer</x:v>
      </x:c>
      <x:c r="S461"/>
      <x:c r="T461"/>
      <x:c r="U461"/>
      <x:c r="V461" s="59" t="b">
        <x:v>1</x:v>
      </x:c>
      <x:c r="W461"/>
      <x:c r="X461" t="str">
        <x:v>offen</x:v>
      </x:c>
      <x:c r="Y461" t="str">
        <x:v>Agent-Draft; Kategorie und Person pruefen</x:v>
      </x:c>
    </x:row>
    <x:row r="462">
      <x:c r="A462" t="str">
        <x:v>TXN-RAW-IMP-20260516-FULLDRAFT-000446</x:v>
      </x:c>
      <x:c r="B462" t="str">
        <x:v>RAW-IMP-20260516-FULLDRAFT-000446</x:v>
      </x:c>
      <x:c r="C462" t="str">
        <x:v>KTO001</x:v>
      </x:c>
      <x:c r="D462"/>
      <x:c r="E462" t="str">
        <x:v>KAT013</x:v>
      </x:c>
      <x:c r="F462"/>
      <x:c r="G462"/>
      <x:c r="H462" t="str">
        <x:v>kein_match</x:v>
      </x:c>
      <x:c r="I462" t="str">
        <x:v>Agent-Draft: keine finale Regelentscheidung</x:v>
      </x:c>
      <x:c r="J462" t="n">
        <x:v>46013</x:v>
      </x:c>
      <x:c r="K462"/>
      <x:c r="L462"/>
      <x:c r="M462" t="n">
        <x:v>-6.99</x:v>
      </x:c>
      <x:c r="N462" t="str">
        <x:v>2025-12</x:v>
      </x:c>
      <x:c r="O462" t="str">
        <x:v>Ausgabe</x:v>
      </x:c>
      <x:c r="P462" t="str">
        <x:v>Ist</x:v>
      </x:c>
      <x:c r="Q462" s="59" t="b">
        <x:v>0</x:v>
      </x:c>
      <x:c r="R462" t="str">
        <x:v>kein_transfer</x:v>
      </x:c>
      <x:c r="S462"/>
      <x:c r="T462"/>
      <x:c r="U462"/>
      <x:c r="V462" s="59" t="b">
        <x:v>1</x:v>
      </x:c>
      <x:c r="W462"/>
      <x:c r="X462" t="str">
        <x:v>offen</x:v>
      </x:c>
      <x:c r="Y462" t="str">
        <x:v>Agent-Draft; Kategorie und Person pruefen</x:v>
      </x:c>
    </x:row>
    <x:row r="463">
      <x:c r="A463" t="str">
        <x:v>TXN-RAW-IMP-20260516-FULLDRAFT-000447</x:v>
      </x:c>
      <x:c r="B463" t="str">
        <x:v>RAW-IMP-20260516-FULLDRAFT-000447</x:v>
      </x:c>
      <x:c r="C463" t="str">
        <x:v>KTO001</x:v>
      </x:c>
      <x:c r="D463"/>
      <x:c r="E463" t="str">
        <x:v>KAT013</x:v>
      </x:c>
      <x:c r="F463"/>
      <x:c r="G463"/>
      <x:c r="H463" t="str">
        <x:v>kein_match</x:v>
      </x:c>
      <x:c r="I463" t="str">
        <x:v>Agent-Draft: keine finale Regelentscheidung</x:v>
      </x:c>
      <x:c r="J463" t="n">
        <x:v>46010</x:v>
      </x:c>
      <x:c r="K463"/>
      <x:c r="L463"/>
      <x:c r="M463" t="n">
        <x:v>-6.99</x:v>
      </x:c>
      <x:c r="N463" t="str">
        <x:v>2025-12</x:v>
      </x:c>
      <x:c r="O463" t="str">
        <x:v>Ausgabe</x:v>
      </x:c>
      <x:c r="P463" t="str">
        <x:v>Ist</x:v>
      </x:c>
      <x:c r="Q463" s="59" t="b">
        <x:v>0</x:v>
      </x:c>
      <x:c r="R463" t="str">
        <x:v>kein_transfer</x:v>
      </x:c>
      <x:c r="S463"/>
      <x:c r="T463"/>
      <x:c r="U463"/>
      <x:c r="V463" s="59" t="b">
        <x:v>1</x:v>
      </x:c>
      <x:c r="W463"/>
      <x:c r="X463" t="str">
        <x:v>offen</x:v>
      </x:c>
      <x:c r="Y463" t="str">
        <x:v>Agent-Draft; Kategorie und Person pruefen</x:v>
      </x:c>
    </x:row>
    <x:row r="464">
      <x:c r="A464" t="str">
        <x:v>TXN-RAW-IMP-20260516-FULLDRAFT-000448</x:v>
      </x:c>
      <x:c r="B464" t="str">
        <x:v>RAW-IMP-20260516-FULLDRAFT-000448</x:v>
      </x:c>
      <x:c r="C464" t="str">
        <x:v>KTO001</x:v>
      </x:c>
      <x:c r="D464"/>
      <x:c r="E464" t="str">
        <x:v>KAT013</x:v>
      </x:c>
      <x:c r="F464"/>
      <x:c r="G464"/>
      <x:c r="H464" t="str">
        <x:v>kein_match</x:v>
      </x:c>
      <x:c r="I464" t="str">
        <x:v>Agent-Draft: keine finale Regelentscheidung</x:v>
      </x:c>
      <x:c r="J464" t="n">
        <x:v>46007</x:v>
      </x:c>
      <x:c r="K464"/>
      <x:c r="L464"/>
      <x:c r="M464" t="n">
        <x:v>-15.99</x:v>
      </x:c>
      <x:c r="N464" t="str">
        <x:v>2025-12</x:v>
      </x:c>
      <x:c r="O464" t="str">
        <x:v>Ausgabe</x:v>
      </x:c>
      <x:c r="P464" t="str">
        <x:v>Ist</x:v>
      </x:c>
      <x:c r="Q464" s="59" t="b">
        <x:v>0</x:v>
      </x:c>
      <x:c r="R464" t="str">
        <x:v>kein_transfer</x:v>
      </x:c>
      <x:c r="S464"/>
      <x:c r="T464"/>
      <x:c r="U464"/>
      <x:c r="V464" s="59" t="b">
        <x:v>1</x:v>
      </x:c>
      <x:c r="W464"/>
      <x:c r="X464" t="str">
        <x:v>offen</x:v>
      </x:c>
      <x:c r="Y464" t="str">
        <x:v>Agent-Draft; Kategorie und Person pruefen</x:v>
      </x:c>
    </x:row>
    <x:row r="465">
      <x:c r="A465" t="str">
        <x:v>TXN-RAW-IMP-20260516-FULLDRAFT-000449</x:v>
      </x:c>
      <x:c r="B465" t="str">
        <x:v>RAW-IMP-20260516-FULLDRAFT-000449</x:v>
      </x:c>
      <x:c r="C465" t="str">
        <x:v>KTO001</x:v>
      </x:c>
      <x:c r="D465"/>
      <x:c r="E465" t="str">
        <x:v>KAT013</x:v>
      </x:c>
      <x:c r="F465"/>
      <x:c r="G465"/>
      <x:c r="H465" t="str">
        <x:v>kein_match</x:v>
      </x:c>
      <x:c r="I465" t="str">
        <x:v>Agent-Draft: keine finale Regelentscheidung</x:v>
      </x:c>
      <x:c r="J465" t="n">
        <x:v>46007</x:v>
      </x:c>
      <x:c r="K465"/>
      <x:c r="L465"/>
      <x:c r="M465" t="n">
        <x:v>-4</x:v>
      </x:c>
      <x:c r="N465" t="str">
        <x:v>2025-12</x:v>
      </x:c>
      <x:c r="O465" t="str">
        <x:v>Ausgabe</x:v>
      </x:c>
      <x:c r="P465" t="str">
        <x:v>Ist</x:v>
      </x:c>
      <x:c r="Q465" s="59" t="b">
        <x:v>0</x:v>
      </x:c>
      <x:c r="R465" t="str">
        <x:v>kein_transfer</x:v>
      </x:c>
      <x:c r="S465"/>
      <x:c r="T465"/>
      <x:c r="U465"/>
      <x:c r="V465" s="59" t="b">
        <x:v>1</x:v>
      </x:c>
      <x:c r="W465"/>
      <x:c r="X465" t="str">
        <x:v>offen</x:v>
      </x:c>
      <x:c r="Y465" t="str">
        <x:v>Agent-Draft; Kategorie und Person pruefen</x:v>
      </x:c>
    </x:row>
    <x:row r="466">
      <x:c r="A466" t="str">
        <x:v>TXN-RAW-IMP-20260516-FULLDRAFT-000450</x:v>
      </x:c>
      <x:c r="B466" t="str">
        <x:v>RAW-IMP-20260516-FULLDRAFT-000450</x:v>
      </x:c>
      <x:c r="C466" t="str">
        <x:v>KTO001</x:v>
      </x:c>
      <x:c r="D466"/>
      <x:c r="E466" t="str">
        <x:v>KAT013</x:v>
      </x:c>
      <x:c r="F466"/>
      <x:c r="G466"/>
      <x:c r="H466" t="str">
        <x:v>kein_match</x:v>
      </x:c>
      <x:c r="I466" t="str">
        <x:v>Agent-Draft: keine finale Regelentscheidung</x:v>
      </x:c>
      <x:c r="J466" t="n">
        <x:v>46006</x:v>
      </x:c>
      <x:c r="K466"/>
      <x:c r="L466"/>
      <x:c r="M466" t="n">
        <x:v>-13.41</x:v>
      </x:c>
      <x:c r="N466" t="str">
        <x:v>2025-12</x:v>
      </x:c>
      <x:c r="O466" t="str">
        <x:v>Ausgabe</x:v>
      </x:c>
      <x:c r="P466" t="str">
        <x:v>Ist</x:v>
      </x:c>
      <x:c r="Q466" s="59" t="b">
        <x:v>0</x:v>
      </x:c>
      <x:c r="R466" t="str">
        <x:v>kein_transfer</x:v>
      </x:c>
      <x:c r="S466"/>
      <x:c r="T466"/>
      <x:c r="U466"/>
      <x:c r="V466" s="59" t="b">
        <x:v>1</x:v>
      </x:c>
      <x:c r="W466"/>
      <x:c r="X466" t="str">
        <x:v>offen</x:v>
      </x:c>
      <x:c r="Y466" t="str">
        <x:v>Agent-Draft; Kategorie und Person pruefen</x:v>
      </x:c>
    </x:row>
    <x:row r="467">
      <x:c r="A467" t="str">
        <x:v>TXN-RAW-IMP-20260516-FULLDRAFT-000451</x:v>
      </x:c>
      <x:c r="B467" t="str">
        <x:v>RAW-IMP-20260516-FULLDRAFT-000451</x:v>
      </x:c>
      <x:c r="C467" t="str">
        <x:v>KTO001</x:v>
      </x:c>
      <x:c r="D467"/>
      <x:c r="E467" t="str">
        <x:v>KAT013</x:v>
      </x:c>
      <x:c r="F467"/>
      <x:c r="G467"/>
      <x:c r="H467" t="str">
        <x:v>kein_match</x:v>
      </x:c>
      <x:c r="I467" t="str">
        <x:v>Agent-Draft: keine finale Regelentscheidung</x:v>
      </x:c>
      <x:c r="J467" t="n">
        <x:v>46006</x:v>
      </x:c>
      <x:c r="K467"/>
      <x:c r="L467"/>
      <x:c r="M467" t="n">
        <x:v>-3.6</x:v>
      </x:c>
      <x:c r="N467" t="str">
        <x:v>2025-12</x:v>
      </x:c>
      <x:c r="O467" t="str">
        <x:v>Ausgabe</x:v>
      </x:c>
      <x:c r="P467" t="str">
        <x:v>Ist</x:v>
      </x:c>
      <x:c r="Q467" s="59" t="b">
        <x:v>0</x:v>
      </x:c>
      <x:c r="R467" t="str">
        <x:v>kein_transfer</x:v>
      </x:c>
      <x:c r="S467"/>
      <x:c r="T467"/>
      <x:c r="U467"/>
      <x:c r="V467" s="59" t="b">
        <x:v>1</x:v>
      </x:c>
      <x:c r="W467"/>
      <x:c r="X467" t="str">
        <x:v>offen</x:v>
      </x:c>
      <x:c r="Y467" t="str">
        <x:v>Agent-Draft; Kategorie und Person pruefen</x:v>
      </x:c>
    </x:row>
    <x:row r="468">
      <x:c r="A468" t="str">
        <x:v>TXN-RAW-IMP-20260516-FULLDRAFT-000452</x:v>
      </x:c>
      <x:c r="B468" t="str">
        <x:v>RAW-IMP-20260516-FULLDRAFT-000452</x:v>
      </x:c>
      <x:c r="C468" t="str">
        <x:v>KTO001</x:v>
      </x:c>
      <x:c r="D468"/>
      <x:c r="E468" t="str">
        <x:v>KAT013</x:v>
      </x:c>
      <x:c r="F468"/>
      <x:c r="G468"/>
      <x:c r="H468" t="str">
        <x:v>kein_match</x:v>
      </x:c>
      <x:c r="I468" t="str">
        <x:v>Agent-Draft: keine finale Regelentscheidung</x:v>
      </x:c>
      <x:c r="J468" t="n">
        <x:v>46006</x:v>
      </x:c>
      <x:c r="K468"/>
      <x:c r="L468"/>
      <x:c r="M468" t="n">
        <x:v>-18.14</x:v>
      </x:c>
      <x:c r="N468" t="str">
        <x:v>2025-12</x:v>
      </x:c>
      <x:c r="O468" t="str">
        <x:v>Ausgabe</x:v>
      </x:c>
      <x:c r="P468" t="str">
        <x:v>Ist</x:v>
      </x:c>
      <x:c r="Q468" s="59" t="b">
        <x:v>0</x:v>
      </x:c>
      <x:c r="R468" t="str">
        <x:v>kein_transfer</x:v>
      </x:c>
      <x:c r="S468"/>
      <x:c r="T468"/>
      <x:c r="U468"/>
      <x:c r="V468" s="59" t="b">
        <x:v>1</x:v>
      </x:c>
      <x:c r="W468"/>
      <x:c r="X468" t="str">
        <x:v>offen</x:v>
      </x:c>
      <x:c r="Y468" t="str">
        <x:v>Agent-Draft; Kategorie und Person pruefen</x:v>
      </x:c>
    </x:row>
    <x:row r="469">
      <x:c r="A469" t="str">
        <x:v>TXN-RAW-IMP-20260516-FULLDRAFT-000453</x:v>
      </x:c>
      <x:c r="B469" t="str">
        <x:v>RAW-IMP-20260516-FULLDRAFT-000453</x:v>
      </x:c>
      <x:c r="C469" t="str">
        <x:v>KTO001</x:v>
      </x:c>
      <x:c r="D469"/>
      <x:c r="E469" t="str">
        <x:v>KAT013</x:v>
      </x:c>
      <x:c r="F469"/>
      <x:c r="G469"/>
      <x:c r="H469" t="str">
        <x:v>kein_match</x:v>
      </x:c>
      <x:c r="I469" t="str">
        <x:v>Agent-Draft: keine finale Regelentscheidung</x:v>
      </x:c>
      <x:c r="J469" t="n">
        <x:v>46003</x:v>
      </x:c>
      <x:c r="K469"/>
      <x:c r="L469"/>
      <x:c r="M469" t="n">
        <x:v>-4.5</x:v>
      </x:c>
      <x:c r="N469" t="str">
        <x:v>2025-12</x:v>
      </x:c>
      <x:c r="O469" t="str">
        <x:v>Ausgabe</x:v>
      </x:c>
      <x:c r="P469" t="str">
        <x:v>Ist</x:v>
      </x:c>
      <x:c r="Q469" s="59" t="b">
        <x:v>0</x:v>
      </x:c>
      <x:c r="R469" t="str">
        <x:v>kein_transfer</x:v>
      </x:c>
      <x:c r="S469"/>
      <x:c r="T469"/>
      <x:c r="U469"/>
      <x:c r="V469" s="59" t="b">
        <x:v>1</x:v>
      </x:c>
      <x:c r="W469"/>
      <x:c r="X469" t="str">
        <x:v>offen</x:v>
      </x:c>
      <x:c r="Y469" t="str">
        <x:v>Agent-Draft; Kategorie und Person pruefen</x:v>
      </x:c>
    </x:row>
    <x:row r="470">
      <x:c r="A470" t="str">
        <x:v>TXN-RAW-IMP-20260516-FULLDRAFT-000454</x:v>
      </x:c>
      <x:c r="B470" t="str">
        <x:v>RAW-IMP-20260516-FULLDRAFT-000454</x:v>
      </x:c>
      <x:c r="C470" t="str">
        <x:v>KTO001</x:v>
      </x:c>
      <x:c r="D470"/>
      <x:c r="E470" t="str">
        <x:v>KAT013</x:v>
      </x:c>
      <x:c r="F470"/>
      <x:c r="G470"/>
      <x:c r="H470" t="str">
        <x:v>kein_match</x:v>
      </x:c>
      <x:c r="I470" t="str">
        <x:v>Agent-Draft: keine finale Regelentscheidung</x:v>
      </x:c>
      <x:c r="J470" t="n">
        <x:v>46002</x:v>
      </x:c>
      <x:c r="K470"/>
      <x:c r="L470"/>
      <x:c r="M470" t="n">
        <x:v>-6.3</x:v>
      </x:c>
      <x:c r="N470" t="str">
        <x:v>2025-12</x:v>
      </x:c>
      <x:c r="O470" t="str">
        <x:v>Ausgabe</x:v>
      </x:c>
      <x:c r="P470" t="str">
        <x:v>Ist</x:v>
      </x:c>
      <x:c r="Q470" s="59" t="b">
        <x:v>0</x:v>
      </x:c>
      <x:c r="R470" t="str">
        <x:v>kein_transfer</x:v>
      </x:c>
      <x:c r="S470"/>
      <x:c r="T470"/>
      <x:c r="U470"/>
      <x:c r="V470" s="59" t="b">
        <x:v>1</x:v>
      </x:c>
      <x:c r="W470"/>
      <x:c r="X470" t="str">
        <x:v>offen</x:v>
      </x:c>
      <x:c r="Y470" t="str">
        <x:v>Agent-Draft; Kategorie und Person pruefen</x:v>
      </x:c>
    </x:row>
    <x:row r="471">
      <x:c r="A471" t="str">
        <x:v>TXN-RAW-IMP-20260516-FULLDRAFT-000455</x:v>
      </x:c>
      <x:c r="B471" t="str">
        <x:v>RAW-IMP-20260516-FULLDRAFT-000455</x:v>
      </x:c>
      <x:c r="C471" t="str">
        <x:v>KTO001</x:v>
      </x:c>
      <x:c r="D471"/>
      <x:c r="E471" t="str">
        <x:v>KAT013</x:v>
      </x:c>
      <x:c r="F471"/>
      <x:c r="G471"/>
      <x:c r="H471" t="str">
        <x:v>kein_match</x:v>
      </x:c>
      <x:c r="I471" t="str">
        <x:v>Agent-Draft: keine finale Regelentscheidung</x:v>
      </x:c>
      <x:c r="J471" t="n">
        <x:v>46001</x:v>
      </x:c>
      <x:c r="K471"/>
      <x:c r="L471"/>
      <x:c r="M471" t="n">
        <x:v>7.57</x:v>
      </x:c>
      <x:c r="N471" t="str">
        <x:v>2025-12</x:v>
      </x:c>
      <x:c r="O471" t="str">
        <x:v>Einnahme</x:v>
      </x:c>
      <x:c r="P471" t="str">
        <x:v>Ist</x:v>
      </x:c>
      <x:c r="Q471" s="59" t="b">
        <x:v>0</x:v>
      </x:c>
      <x:c r="R471" t="str">
        <x:v>kein_transfer</x:v>
      </x:c>
      <x:c r="S471"/>
      <x:c r="T471"/>
      <x:c r="U471"/>
      <x:c r="V471" s="59" t="b">
        <x:v>1</x:v>
      </x:c>
      <x:c r="W471"/>
      <x:c r="X471" t="str">
        <x:v>offen</x:v>
      </x:c>
      <x:c r="Y471" t="str">
        <x:v>Agent-Draft; Kategorie und Person pruefen</x:v>
      </x:c>
    </x:row>
    <x:row r="472">
      <x:c r="A472" t="str">
        <x:v>TXN-RAW-IMP-20260516-FULLDRAFT-000456</x:v>
      </x:c>
      <x:c r="B472" t="str">
        <x:v>RAW-IMP-20260516-FULLDRAFT-000456</x:v>
      </x:c>
      <x:c r="C472" t="str">
        <x:v>KTO001</x:v>
      </x:c>
      <x:c r="D472"/>
      <x:c r="E472" t="str">
        <x:v>KAT013</x:v>
      </x:c>
      <x:c r="F472"/>
      <x:c r="G472"/>
      <x:c r="H472" t="str">
        <x:v>kein_match</x:v>
      </x:c>
      <x:c r="I472" t="str">
        <x:v>Agent-Draft: keine finale Regelentscheidung</x:v>
      </x:c>
      <x:c r="J472" t="n">
        <x:v>45999</x:v>
      </x:c>
      <x:c r="K472"/>
      <x:c r="L472"/>
      <x:c r="M472" t="n">
        <x:v>-21</x:v>
      </x:c>
      <x:c r="N472" t="str">
        <x:v>2025-12</x:v>
      </x:c>
      <x:c r="O472" t="str">
        <x:v>Ausgabe</x:v>
      </x:c>
      <x:c r="P472" t="str">
        <x:v>Ist</x:v>
      </x:c>
      <x:c r="Q472" s="59" t="b">
        <x:v>0</x:v>
      </x:c>
      <x:c r="R472" t="str">
        <x:v>kein_transfer</x:v>
      </x:c>
      <x:c r="S472"/>
      <x:c r="T472"/>
      <x:c r="U472"/>
      <x:c r="V472" s="59" t="b">
        <x:v>1</x:v>
      </x:c>
      <x:c r="W472"/>
      <x:c r="X472" t="str">
        <x:v>offen</x:v>
      </x:c>
      <x:c r="Y472" t="str">
        <x:v>Agent-Draft; Kategorie und Person pruefen</x:v>
      </x:c>
    </x:row>
    <x:row r="473">
      <x:c r="A473" t="str">
        <x:v>TXN-RAW-IMP-20260516-FULLDRAFT-000457</x:v>
      </x:c>
      <x:c r="B473" t="str">
        <x:v>RAW-IMP-20260516-FULLDRAFT-000457</x:v>
      </x:c>
      <x:c r="C473" t="str">
        <x:v>KTO001</x:v>
      </x:c>
      <x:c r="D473"/>
      <x:c r="E473" t="str">
        <x:v>KAT013</x:v>
      </x:c>
      <x:c r="F473"/>
      <x:c r="G473"/>
      <x:c r="H473" t="str">
        <x:v>kein_match</x:v>
      </x:c>
      <x:c r="I473" t="str">
        <x:v>Agent-Draft: keine finale Regelentscheidung</x:v>
      </x:c>
      <x:c r="J473" t="n">
        <x:v>45999</x:v>
      </x:c>
      <x:c r="K473"/>
      <x:c r="L473"/>
      <x:c r="M473" t="n">
        <x:v>-0.99</x:v>
      </x:c>
      <x:c r="N473" t="str">
        <x:v>2025-12</x:v>
      </x:c>
      <x:c r="O473" t="str">
        <x:v>Ausgabe</x:v>
      </x:c>
      <x:c r="P473" t="str">
        <x:v>Ist</x:v>
      </x:c>
      <x:c r="Q473" s="59" t="b">
        <x:v>0</x:v>
      </x:c>
      <x:c r="R473" t="str">
        <x:v>kein_transfer</x:v>
      </x:c>
      <x:c r="S473"/>
      <x:c r="T473"/>
      <x:c r="U473"/>
      <x:c r="V473" s="59" t="b">
        <x:v>1</x:v>
      </x:c>
      <x:c r="W473"/>
      <x:c r="X473" t="str">
        <x:v>offen</x:v>
      </x:c>
      <x:c r="Y473" t="str">
        <x:v>Agent-Draft; Kategorie und Person pruefen</x:v>
      </x:c>
    </x:row>
    <x:row r="474">
      <x:c r="A474" t="str">
        <x:v>TXN-RAW-IMP-20260516-FULLDRAFT-000458</x:v>
      </x:c>
      <x:c r="B474" t="str">
        <x:v>RAW-IMP-20260516-FULLDRAFT-000458</x:v>
      </x:c>
      <x:c r="C474" t="str">
        <x:v>KTO001</x:v>
      </x:c>
      <x:c r="D474"/>
      <x:c r="E474" t="str">
        <x:v>KAT013</x:v>
      </x:c>
      <x:c r="F474"/>
      <x:c r="G474"/>
      <x:c r="H474" t="str">
        <x:v>kein_match</x:v>
      </x:c>
      <x:c r="I474" t="str">
        <x:v>Agent-Draft: keine finale Regelentscheidung</x:v>
      </x:c>
      <x:c r="J474" t="n">
        <x:v>45999</x:v>
      </x:c>
      <x:c r="K474"/>
      <x:c r="L474"/>
      <x:c r="M474" t="n">
        <x:v>-50</x:v>
      </x:c>
      <x:c r="N474" t="str">
        <x:v>2025-12</x:v>
      </x:c>
      <x:c r="O474" t="str">
        <x:v>Ausgabe</x:v>
      </x:c>
      <x:c r="P474" t="str">
        <x:v>Ist</x:v>
      </x:c>
      <x:c r="Q474" s="59" t="b">
        <x:v>0</x:v>
      </x:c>
      <x:c r="R474" t="str">
        <x:v>kein_transfer</x:v>
      </x:c>
      <x:c r="S474"/>
      <x:c r="T474"/>
      <x:c r="U474"/>
      <x:c r="V474" s="59" t="b">
        <x:v>1</x:v>
      </x:c>
      <x:c r="W474"/>
      <x:c r="X474" t="str">
        <x:v>offen</x:v>
      </x:c>
      <x:c r="Y474" t="str">
        <x:v>Agent-Draft; Kategorie und Person pruefen</x:v>
      </x:c>
    </x:row>
    <x:row r="475">
      <x:c r="A475" t="str">
        <x:v>TXN-RAW-IMP-20260516-FULLDRAFT-000459</x:v>
      </x:c>
      <x:c r="B475" t="str">
        <x:v>RAW-IMP-20260516-FULLDRAFT-000459</x:v>
      </x:c>
      <x:c r="C475" t="str">
        <x:v>KTO001</x:v>
      </x:c>
      <x:c r="D475"/>
      <x:c r="E475" t="str">
        <x:v>KAT013</x:v>
      </x:c>
      <x:c r="F475"/>
      <x:c r="G475"/>
      <x:c r="H475" t="str">
        <x:v>kein_match</x:v>
      </x:c>
      <x:c r="I475" t="str">
        <x:v>Agent-Draft: keine finale Regelentscheidung</x:v>
      </x:c>
      <x:c r="J475" t="n">
        <x:v>45999</x:v>
      </x:c>
      <x:c r="K475"/>
      <x:c r="L475"/>
      <x:c r="M475" t="n">
        <x:v>-4.96</x:v>
      </x:c>
      <x:c r="N475" t="str">
        <x:v>2025-12</x:v>
      </x:c>
      <x:c r="O475" t="str">
        <x:v>Ausgabe</x:v>
      </x:c>
      <x:c r="P475" t="str">
        <x:v>Ist</x:v>
      </x:c>
      <x:c r="Q475" s="59" t="b">
        <x:v>0</x:v>
      </x:c>
      <x:c r="R475" t="str">
        <x:v>kein_transfer</x:v>
      </x:c>
      <x:c r="S475"/>
      <x:c r="T475"/>
      <x:c r="U475"/>
      <x:c r="V475" s="59" t="b">
        <x:v>1</x:v>
      </x:c>
      <x:c r="W475"/>
      <x:c r="X475" t="str">
        <x:v>offen</x:v>
      </x:c>
      <x:c r="Y475" t="str">
        <x:v>Agent-Draft; Kategorie und Person pruefen</x:v>
      </x:c>
    </x:row>
    <x:row r="476">
      <x:c r="A476" t="str">
        <x:v>TXN-RAW-IMP-20260516-FULLDRAFT-000460</x:v>
      </x:c>
      <x:c r="B476" t="str">
        <x:v>RAW-IMP-20260516-FULLDRAFT-000460</x:v>
      </x:c>
      <x:c r="C476" t="str">
        <x:v>KTO001</x:v>
      </x:c>
      <x:c r="D476"/>
      <x:c r="E476" t="str">
        <x:v>KAT013</x:v>
      </x:c>
      <x:c r="F476"/>
      <x:c r="G476"/>
      <x:c r="H476" t="str">
        <x:v>kein_match</x:v>
      </x:c>
      <x:c r="I476" t="str">
        <x:v>Agent-Draft: keine finale Regelentscheidung</x:v>
      </x:c>
      <x:c r="J476" t="n">
        <x:v>45999</x:v>
      </x:c>
      <x:c r="K476"/>
      <x:c r="L476"/>
      <x:c r="M476" t="n">
        <x:v>-5.68</x:v>
      </x:c>
      <x:c r="N476" t="str">
        <x:v>2025-12</x:v>
      </x:c>
      <x:c r="O476" t="str">
        <x:v>Ausgabe</x:v>
      </x:c>
      <x:c r="P476" t="str">
        <x:v>Ist</x:v>
      </x:c>
      <x:c r="Q476" s="59" t="b">
        <x:v>0</x:v>
      </x:c>
      <x:c r="R476" t="str">
        <x:v>kein_transfer</x:v>
      </x:c>
      <x:c r="S476"/>
      <x:c r="T476"/>
      <x:c r="U476"/>
      <x:c r="V476" s="59" t="b">
        <x:v>1</x:v>
      </x:c>
      <x:c r="W476"/>
      <x:c r="X476" t="str">
        <x:v>offen</x:v>
      </x:c>
      <x:c r="Y476" t="str">
        <x:v>Agent-Draft; Kategorie und Person pruefen</x:v>
      </x:c>
    </x:row>
    <x:row r="477">
      <x:c r="A477" t="str">
        <x:v>TXN-RAW-IMP-20260516-FULLDRAFT-000461</x:v>
      </x:c>
      <x:c r="B477" t="str">
        <x:v>RAW-IMP-20260516-FULLDRAFT-000461</x:v>
      </x:c>
      <x:c r="C477" t="str">
        <x:v>KTO001</x:v>
      </x:c>
      <x:c r="D477"/>
      <x:c r="E477" t="str">
        <x:v>KAT013</x:v>
      </x:c>
      <x:c r="F477"/>
      <x:c r="G477"/>
      <x:c r="H477" t="str">
        <x:v>kein_match</x:v>
      </x:c>
      <x:c r="I477" t="str">
        <x:v>Agent-Draft: keine finale Regelentscheidung</x:v>
      </x:c>
      <x:c r="J477" t="n">
        <x:v>45999</x:v>
      </x:c>
      <x:c r="K477"/>
      <x:c r="L477"/>
      <x:c r="M477" t="n">
        <x:v>-1.86</x:v>
      </x:c>
      <x:c r="N477" t="str">
        <x:v>2025-12</x:v>
      </x:c>
      <x:c r="O477" t="str">
        <x:v>Ausgabe</x:v>
      </x:c>
      <x:c r="P477" t="str">
        <x:v>Ist</x:v>
      </x:c>
      <x:c r="Q477" s="59" t="b">
        <x:v>0</x:v>
      </x:c>
      <x:c r="R477" t="str">
        <x:v>kein_transfer</x:v>
      </x:c>
      <x:c r="S477"/>
      <x:c r="T477"/>
      <x:c r="U477"/>
      <x:c r="V477" s="59" t="b">
        <x:v>1</x:v>
      </x:c>
      <x:c r="W477"/>
      <x:c r="X477" t="str">
        <x:v>offen</x:v>
      </x:c>
      <x:c r="Y477" t="str">
        <x:v>Agent-Draft; Kategorie und Person pruefen</x:v>
      </x:c>
    </x:row>
    <x:row r="478">
      <x:c r="A478" t="str">
        <x:v>TXN-RAW-IMP-20260516-FULLDRAFT-000462</x:v>
      </x:c>
      <x:c r="B478" t="str">
        <x:v>RAW-IMP-20260516-FULLDRAFT-000462</x:v>
      </x:c>
      <x:c r="C478" t="str">
        <x:v>KTO001</x:v>
      </x:c>
      <x:c r="D478"/>
      <x:c r="E478" t="str">
        <x:v>KAT013</x:v>
      </x:c>
      <x:c r="F478"/>
      <x:c r="G478"/>
      <x:c r="H478" t="str">
        <x:v>kein_match</x:v>
      </x:c>
      <x:c r="I478" t="str">
        <x:v>Agent-Draft: keine finale Regelentscheidung</x:v>
      </x:c>
      <x:c r="J478" t="n">
        <x:v>45999</x:v>
      </x:c>
      <x:c r="K478"/>
      <x:c r="L478"/>
      <x:c r="M478" t="n">
        <x:v>-87.05</x:v>
      </x:c>
      <x:c r="N478" t="str">
        <x:v>2025-12</x:v>
      </x:c>
      <x:c r="O478" t="str">
        <x:v>Ausgabe</x:v>
      </x:c>
      <x:c r="P478" t="str">
        <x:v>Ist</x:v>
      </x:c>
      <x:c r="Q478" s="59" t="b">
        <x:v>0</x:v>
      </x:c>
      <x:c r="R478" t="str">
        <x:v>kein_transfer</x:v>
      </x:c>
      <x:c r="S478"/>
      <x:c r="T478"/>
      <x:c r="U478"/>
      <x:c r="V478" s="59" t="b">
        <x:v>1</x:v>
      </x:c>
      <x:c r="W478"/>
      <x:c r="X478" t="str">
        <x:v>offen</x:v>
      </x:c>
      <x:c r="Y478" t="str">
        <x:v>Agent-Draft; Kategorie und Person pruefen</x:v>
      </x:c>
    </x:row>
    <x:row r="479">
      <x:c r="A479" t="str">
        <x:v>TXN-RAW-IMP-20260516-FULLDRAFT-000463</x:v>
      </x:c>
      <x:c r="B479" t="str">
        <x:v>RAW-IMP-20260516-FULLDRAFT-000463</x:v>
      </x:c>
      <x:c r="C479" t="str">
        <x:v>KTO001</x:v>
      </x:c>
      <x:c r="D479"/>
      <x:c r="E479" t="str">
        <x:v>KAT013</x:v>
      </x:c>
      <x:c r="F479"/>
      <x:c r="G479"/>
      <x:c r="H479" t="str">
        <x:v>kein_match</x:v>
      </x:c>
      <x:c r="I479" t="str">
        <x:v>Agent-Draft: keine finale Regelentscheidung</x:v>
      </x:c>
      <x:c r="J479" t="n">
        <x:v>45999</x:v>
      </x:c>
      <x:c r="K479"/>
      <x:c r="L479"/>
      <x:c r="M479" t="n">
        <x:v>-0.99</x:v>
      </x:c>
      <x:c r="N479" t="str">
        <x:v>2025-12</x:v>
      </x:c>
      <x:c r="O479" t="str">
        <x:v>Ausgabe</x:v>
      </x:c>
      <x:c r="P479" t="str">
        <x:v>Ist</x:v>
      </x:c>
      <x:c r="Q479" s="59" t="b">
        <x:v>0</x:v>
      </x:c>
      <x:c r="R479" t="str">
        <x:v>kein_transfer</x:v>
      </x:c>
      <x:c r="S479"/>
      <x:c r="T479"/>
      <x:c r="U479"/>
      <x:c r="V479" s="59" t="b">
        <x:v>1</x:v>
      </x:c>
      <x:c r="W479"/>
      <x:c r="X479" t="str">
        <x:v>offen</x:v>
      </x:c>
      <x:c r="Y479" t="str">
        <x:v>Agent-Draft; Kategorie und Person pruefen</x:v>
      </x:c>
    </x:row>
    <x:row r="480">
      <x:c r="A480" t="str">
        <x:v>TXN-RAW-IMP-20260516-FULLDRAFT-000464</x:v>
      </x:c>
      <x:c r="B480" t="str">
        <x:v>RAW-IMP-20260516-FULLDRAFT-000464</x:v>
      </x:c>
      <x:c r="C480" t="str">
        <x:v>KTO001</x:v>
      </x:c>
      <x:c r="D480"/>
      <x:c r="E480" t="str">
        <x:v>KAT013</x:v>
      </x:c>
      <x:c r="F480"/>
      <x:c r="G480"/>
      <x:c r="H480" t="str">
        <x:v>kein_match</x:v>
      </x:c>
      <x:c r="I480" t="str">
        <x:v>Agent-Draft: keine finale Regelentscheidung</x:v>
      </x:c>
      <x:c r="J480" t="n">
        <x:v>45999</x:v>
      </x:c>
      <x:c r="K480"/>
      <x:c r="L480"/>
      <x:c r="M480" t="n">
        <x:v>-49.9</x:v>
      </x:c>
      <x:c r="N480" t="str">
        <x:v>2025-12</x:v>
      </x:c>
      <x:c r="O480" t="str">
        <x:v>Ausgabe</x:v>
      </x:c>
      <x:c r="P480" t="str">
        <x:v>Ist</x:v>
      </x:c>
      <x:c r="Q480" s="59" t="b">
        <x:v>0</x:v>
      </x:c>
      <x:c r="R480" t="str">
        <x:v>kein_transfer</x:v>
      </x:c>
      <x:c r="S480"/>
      <x:c r="T480"/>
      <x:c r="U480"/>
      <x:c r="V480" s="59" t="b">
        <x:v>1</x:v>
      </x:c>
      <x:c r="W480"/>
      <x:c r="X480" t="str">
        <x:v>offen</x:v>
      </x:c>
      <x:c r="Y480" t="str">
        <x:v>Agent-Draft; Kategorie und Person pruefen</x:v>
      </x:c>
    </x:row>
    <x:row r="481">
      <x:c r="A481" t="str">
        <x:v>TXN-RAW-IMP-20260516-FULLDRAFT-000465</x:v>
      </x:c>
      <x:c r="B481" t="str">
        <x:v>RAW-IMP-20260516-FULLDRAFT-000465</x:v>
      </x:c>
      <x:c r="C481" t="str">
        <x:v>KTO001</x:v>
      </x:c>
      <x:c r="D481"/>
      <x:c r="E481" t="str">
        <x:v>KAT013</x:v>
      </x:c>
      <x:c r="F481"/>
      <x:c r="G481"/>
      <x:c r="H481" t="str">
        <x:v>kein_match</x:v>
      </x:c>
      <x:c r="I481" t="str">
        <x:v>Agent-Draft: keine finale Regelentscheidung</x:v>
      </x:c>
      <x:c r="J481" t="n">
        <x:v>45996</x:v>
      </x:c>
      <x:c r="K481"/>
      <x:c r="L481"/>
      <x:c r="M481" t="n">
        <x:v>-12.99</x:v>
      </x:c>
      <x:c r="N481" t="str">
        <x:v>2025-12</x:v>
      </x:c>
      <x:c r="O481" t="str">
        <x:v>Ausgabe</x:v>
      </x:c>
      <x:c r="P481" t="str">
        <x:v>Ist</x:v>
      </x:c>
      <x:c r="Q481" s="59" t="b">
        <x:v>0</x:v>
      </x:c>
      <x:c r="R481" t="str">
        <x:v>kein_transfer</x:v>
      </x:c>
      <x:c r="S481"/>
      <x:c r="T481"/>
      <x:c r="U481"/>
      <x:c r="V481" s="59" t="b">
        <x:v>1</x:v>
      </x:c>
      <x:c r="W481"/>
      <x:c r="X481" t="str">
        <x:v>offen</x:v>
      </x:c>
      <x:c r="Y481" t="str">
        <x:v>Agent-Draft; Kategorie und Person pruefen</x:v>
      </x:c>
    </x:row>
    <x:row r="482">
      <x:c r="A482" t="str">
        <x:v>TXN-RAW-IMP-20260516-FULLDRAFT-000466</x:v>
      </x:c>
      <x:c r="B482" t="str">
        <x:v>RAW-IMP-20260516-FULLDRAFT-000466</x:v>
      </x:c>
      <x:c r="C482" t="str">
        <x:v>KTO001</x:v>
      </x:c>
      <x:c r="D482"/>
      <x:c r="E482" t="str">
        <x:v>KAT013</x:v>
      </x:c>
      <x:c r="F482"/>
      <x:c r="G482"/>
      <x:c r="H482" t="str">
        <x:v>kein_match</x:v>
      </x:c>
      <x:c r="I482" t="str">
        <x:v>Agent-Draft: keine finale Regelentscheidung</x:v>
      </x:c>
      <x:c r="J482" t="n">
        <x:v>45995</x:v>
      </x:c>
      <x:c r="K482"/>
      <x:c r="L482"/>
      <x:c r="M482" t="n">
        <x:v>-9.3</x:v>
      </x:c>
      <x:c r="N482" t="str">
        <x:v>2025-12</x:v>
      </x:c>
      <x:c r="O482" t="str">
        <x:v>Ausgabe</x:v>
      </x:c>
      <x:c r="P482" t="str">
        <x:v>Ist</x:v>
      </x:c>
      <x:c r="Q482" s="59" t="b">
        <x:v>0</x:v>
      </x:c>
      <x:c r="R482" t="str">
        <x:v>kein_transfer</x:v>
      </x:c>
      <x:c r="S482"/>
      <x:c r="T482"/>
      <x:c r="U482"/>
      <x:c r="V482" s="59" t="b">
        <x:v>1</x:v>
      </x:c>
      <x:c r="W482"/>
      <x:c r="X482" t="str">
        <x:v>offen</x:v>
      </x:c>
      <x:c r="Y482" t="str">
        <x:v>Agent-Draft; Kategorie und Person pruefen</x:v>
      </x:c>
    </x:row>
    <x:row r="483">
      <x:c r="A483" t="str">
        <x:v>TXN-RAW-IMP-20260516-FULLDRAFT-000467</x:v>
      </x:c>
      <x:c r="B483" t="str">
        <x:v>RAW-IMP-20260516-FULLDRAFT-000467</x:v>
      </x:c>
      <x:c r="C483" t="str">
        <x:v>KTO001</x:v>
      </x:c>
      <x:c r="D483"/>
      <x:c r="E483" t="str">
        <x:v>KAT013</x:v>
      </x:c>
      <x:c r="F483"/>
      <x:c r="G483"/>
      <x:c r="H483" t="str">
        <x:v>kein_match</x:v>
      </x:c>
      <x:c r="I483" t="str">
        <x:v>Agent-Draft: keine finale Regelentscheidung</x:v>
      </x:c>
      <x:c r="J483" t="n">
        <x:v>45994</x:v>
      </x:c>
      <x:c r="K483"/>
      <x:c r="L483"/>
      <x:c r="M483" t="n">
        <x:v>-26.49</x:v>
      </x:c>
      <x:c r="N483" t="str">
        <x:v>2025-12</x:v>
      </x:c>
      <x:c r="O483" t="str">
        <x:v>Ausgabe</x:v>
      </x:c>
      <x:c r="P483" t="str">
        <x:v>Ist</x:v>
      </x:c>
      <x:c r="Q483" s="59" t="b">
        <x:v>0</x:v>
      </x:c>
      <x:c r="R483" t="str">
        <x:v>kein_transfer</x:v>
      </x:c>
      <x:c r="S483"/>
      <x:c r="T483"/>
      <x:c r="U483"/>
      <x:c r="V483" s="59" t="b">
        <x:v>1</x:v>
      </x:c>
      <x:c r="W483"/>
      <x:c r="X483" t="str">
        <x:v>offen</x:v>
      </x:c>
      <x:c r="Y483" t="str">
        <x:v>Agent-Draft; Kategorie und Person pruefen</x:v>
      </x:c>
    </x:row>
    <x:row r="484">
      <x:c r="A484" t="str">
        <x:v>TXN-RAW-IMP-20260516-FULLDRAFT-000468</x:v>
      </x:c>
      <x:c r="B484" t="str">
        <x:v>RAW-IMP-20260516-FULLDRAFT-000468</x:v>
      </x:c>
      <x:c r="C484" t="str">
        <x:v>KTO001</x:v>
      </x:c>
      <x:c r="D484"/>
      <x:c r="E484" t="str">
        <x:v>KAT013</x:v>
      </x:c>
      <x:c r="F484"/>
      <x:c r="G484"/>
      <x:c r="H484" t="str">
        <x:v>kein_match</x:v>
      </x:c>
      <x:c r="I484" t="str">
        <x:v>Agent-Draft: keine finale Regelentscheidung</x:v>
      </x:c>
      <x:c r="J484" t="n">
        <x:v>45994</x:v>
      </x:c>
      <x:c r="K484"/>
      <x:c r="L484"/>
      <x:c r="M484" t="n">
        <x:v>-37.39</x:v>
      </x:c>
      <x:c r="N484" t="str">
        <x:v>2025-12</x:v>
      </x:c>
      <x:c r="O484" t="str">
        <x:v>Ausgabe</x:v>
      </x:c>
      <x:c r="P484" t="str">
        <x:v>Ist</x:v>
      </x:c>
      <x:c r="Q484" s="59" t="b">
        <x:v>0</x:v>
      </x:c>
      <x:c r="R484" t="str">
        <x:v>kein_transfer</x:v>
      </x:c>
      <x:c r="S484"/>
      <x:c r="T484"/>
      <x:c r="U484"/>
      <x:c r="V484" s="59" t="b">
        <x:v>1</x:v>
      </x:c>
      <x:c r="W484"/>
      <x:c r="X484" t="str">
        <x:v>offen</x:v>
      </x:c>
      <x:c r="Y484" t="str">
        <x:v>Agent-Draft; Kategorie und Person pruefen</x:v>
      </x:c>
    </x:row>
    <x:row r="485">
      <x:c r="A485" t="str">
        <x:v>TXN-RAW-IMP-20260516-FULLDRAFT-000469</x:v>
      </x:c>
      <x:c r="B485" t="str">
        <x:v>RAW-IMP-20260516-FULLDRAFT-000469</x:v>
      </x:c>
      <x:c r="C485" t="str">
        <x:v>KTO001</x:v>
      </x:c>
      <x:c r="D485"/>
      <x:c r="E485" t="str">
        <x:v>KAT013</x:v>
      </x:c>
      <x:c r="F485"/>
      <x:c r="G485"/>
      <x:c r="H485" t="str">
        <x:v>kein_match</x:v>
      </x:c>
      <x:c r="I485" t="str">
        <x:v>Agent-Draft: keine finale Regelentscheidung</x:v>
      </x:c>
      <x:c r="J485" t="n">
        <x:v>45994</x:v>
      </x:c>
      <x:c r="K485"/>
      <x:c r="L485"/>
      <x:c r="M485" t="n">
        <x:v>-2.55</x:v>
      </x:c>
      <x:c r="N485" t="str">
        <x:v>2025-12</x:v>
      </x:c>
      <x:c r="O485" t="str">
        <x:v>Ausgabe</x:v>
      </x:c>
      <x:c r="P485" t="str">
        <x:v>Ist</x:v>
      </x:c>
      <x:c r="Q485" s="59" t="b">
        <x:v>0</x:v>
      </x:c>
      <x:c r="R485" t="str">
        <x:v>kein_transfer</x:v>
      </x:c>
      <x:c r="S485"/>
      <x:c r="T485"/>
      <x:c r="U485"/>
      <x:c r="V485" s="59" t="b">
        <x:v>1</x:v>
      </x:c>
      <x:c r="W485"/>
      <x:c r="X485" t="str">
        <x:v>offen</x:v>
      </x:c>
      <x:c r="Y485" t="str">
        <x:v>Agent-Draft; Kategorie und Person pruefen</x:v>
      </x:c>
    </x:row>
    <x:row r="486">
      <x:c r="A486" t="str">
        <x:v>TXN-RAW-IMP-20260516-FULLDRAFT-000470</x:v>
      </x:c>
      <x:c r="B486" t="str">
        <x:v>RAW-IMP-20260516-FULLDRAFT-000470</x:v>
      </x:c>
      <x:c r="C486" t="str">
        <x:v>KTO001</x:v>
      </x:c>
      <x:c r="D486"/>
      <x:c r="E486" t="str">
        <x:v>KAT013</x:v>
      </x:c>
      <x:c r="F486"/>
      <x:c r="G486"/>
      <x:c r="H486" t="str">
        <x:v>kein_match</x:v>
      </x:c>
      <x:c r="I486" t="str">
        <x:v>Agent-Draft: keine finale Regelentscheidung</x:v>
      </x:c>
      <x:c r="J486" t="n">
        <x:v>45994</x:v>
      </x:c>
      <x:c r="K486"/>
      <x:c r="L486"/>
      <x:c r="M486" t="n">
        <x:v>-61.93</x:v>
      </x:c>
      <x:c r="N486" t="str">
        <x:v>2025-12</x:v>
      </x:c>
      <x:c r="O486" t="str">
        <x:v>Ausgabe</x:v>
      </x:c>
      <x:c r="P486" t="str">
        <x:v>Ist</x:v>
      </x:c>
      <x:c r="Q486" s="59" t="b">
        <x:v>0</x:v>
      </x:c>
      <x:c r="R486" t="str">
        <x:v>kein_transfer</x:v>
      </x:c>
      <x:c r="S486"/>
      <x:c r="T486"/>
      <x:c r="U486"/>
      <x:c r="V486" s="59" t="b">
        <x:v>1</x:v>
      </x:c>
      <x:c r="W486"/>
      <x:c r="X486" t="str">
        <x:v>offen</x:v>
      </x:c>
      <x:c r="Y486" t="str">
        <x:v>Agent-Draft; Kategorie und Person pruefen</x:v>
      </x:c>
    </x:row>
    <x:row r="487">
      <x:c r="A487" t="str">
        <x:v>TXN-RAW-IMP-20260516-FULLDRAFT-000471</x:v>
      </x:c>
      <x:c r="B487" t="str">
        <x:v>RAW-IMP-20260516-FULLDRAFT-000471</x:v>
      </x:c>
      <x:c r="C487" t="str">
        <x:v>KTO001</x:v>
      </x:c>
      <x:c r="D487"/>
      <x:c r="E487" t="str">
        <x:v>KAT013</x:v>
      </x:c>
      <x:c r="F487"/>
      <x:c r="G487"/>
      <x:c r="H487" t="str">
        <x:v>kein_match</x:v>
      </x:c>
      <x:c r="I487" t="str">
        <x:v>Agent-Draft: keine finale Regelentscheidung</x:v>
      </x:c>
      <x:c r="J487" t="n">
        <x:v>45993</x:v>
      </x:c>
      <x:c r="K487"/>
      <x:c r="L487"/>
      <x:c r="M487" t="n">
        <x:v>-5.33</x:v>
      </x:c>
      <x:c r="N487" t="str">
        <x:v>2025-12</x:v>
      </x:c>
      <x:c r="O487" t="str">
        <x:v>Ausgabe</x:v>
      </x:c>
      <x:c r="P487" t="str">
        <x:v>Ist</x:v>
      </x:c>
      <x:c r="Q487" s="59" t="b">
        <x:v>0</x:v>
      </x:c>
      <x:c r="R487" t="str">
        <x:v>kein_transfer</x:v>
      </x:c>
      <x:c r="S487"/>
      <x:c r="T487"/>
      <x:c r="U487"/>
      <x:c r="V487" s="59" t="b">
        <x:v>1</x:v>
      </x:c>
      <x:c r="W487"/>
      <x:c r="X487" t="str">
        <x:v>offen</x:v>
      </x:c>
      <x:c r="Y487" t="str">
        <x:v>Agent-Draft; Kategorie und Person pruefen</x:v>
      </x:c>
    </x:row>
    <x:row r="488">
      <x:c r="A488" t="str">
        <x:v>TXN-RAW-IMP-20260516-FULLDRAFT-000472</x:v>
      </x:c>
      <x:c r="B488" t="str">
        <x:v>RAW-IMP-20260516-FULLDRAFT-000472</x:v>
      </x:c>
      <x:c r="C488" t="str">
        <x:v>KTO001</x:v>
      </x:c>
      <x:c r="D488"/>
      <x:c r="E488" t="str">
        <x:v>KAT013</x:v>
      </x:c>
      <x:c r="F488"/>
      <x:c r="G488"/>
      <x:c r="H488" t="str">
        <x:v>kein_match</x:v>
      </x:c>
      <x:c r="I488" t="str">
        <x:v>Agent-Draft: keine finale Regelentscheidung</x:v>
      </x:c>
      <x:c r="J488" t="n">
        <x:v>45993</x:v>
      </x:c>
      <x:c r="K488"/>
      <x:c r="L488"/>
      <x:c r="M488" t="n">
        <x:v>-41.73</x:v>
      </x:c>
      <x:c r="N488" t="str">
        <x:v>2025-12</x:v>
      </x:c>
      <x:c r="O488" t="str">
        <x:v>Ausgabe</x:v>
      </x:c>
      <x:c r="P488" t="str">
        <x:v>Ist</x:v>
      </x:c>
      <x:c r="Q488" s="59" t="b">
        <x:v>0</x:v>
      </x:c>
      <x:c r="R488" t="str">
        <x:v>kein_transfer</x:v>
      </x:c>
      <x:c r="S488"/>
      <x:c r="T488"/>
      <x:c r="U488"/>
      <x:c r="V488" s="59" t="b">
        <x:v>1</x:v>
      </x:c>
      <x:c r="W488"/>
      <x:c r="X488" t="str">
        <x:v>offen</x:v>
      </x:c>
      <x:c r="Y488" t="str">
        <x:v>Agent-Draft; Kategorie und Person pruefen</x:v>
      </x:c>
    </x:row>
    <x:row r="489">
      <x:c r="A489" t="str">
        <x:v>TXN-RAW-IMP-20260516-FULLDRAFT-000473</x:v>
      </x:c>
      <x:c r="B489" t="str">
        <x:v>RAW-IMP-20260516-FULLDRAFT-000473</x:v>
      </x:c>
      <x:c r="C489" t="str">
        <x:v>KTO001</x:v>
      </x:c>
      <x:c r="D489"/>
      <x:c r="E489" t="str">
        <x:v>KAT013</x:v>
      </x:c>
      <x:c r="F489"/>
      <x:c r="G489"/>
      <x:c r="H489" t="str">
        <x:v>kein_match</x:v>
      </x:c>
      <x:c r="I489" t="str">
        <x:v>Agent-Draft: keine finale Regelentscheidung</x:v>
      </x:c>
      <x:c r="J489" t="n">
        <x:v>45993</x:v>
      </x:c>
      <x:c r="K489"/>
      <x:c r="L489"/>
      <x:c r="M489" t="n">
        <x:v>-29</x:v>
      </x:c>
      <x:c r="N489" t="str">
        <x:v>2025-12</x:v>
      </x:c>
      <x:c r="O489" t="str">
        <x:v>Ausgabe</x:v>
      </x:c>
      <x:c r="P489" t="str">
        <x:v>Ist</x:v>
      </x:c>
      <x:c r="Q489" s="59" t="b">
        <x:v>0</x:v>
      </x:c>
      <x:c r="R489" t="str">
        <x:v>kein_transfer</x:v>
      </x:c>
      <x:c r="S489"/>
      <x:c r="T489"/>
      <x:c r="U489"/>
      <x:c r="V489" s="59" t="b">
        <x:v>1</x:v>
      </x:c>
      <x:c r="W489"/>
      <x:c r="X489" t="str">
        <x:v>offen</x:v>
      </x:c>
      <x:c r="Y489" t="str">
        <x:v>Agent-Draft; Kategorie und Person pruefen</x:v>
      </x:c>
    </x:row>
    <x:row r="490">
      <x:c r="A490" t="str">
        <x:v>TXN-RAW-IMP-20260516-FULLDRAFT-000474</x:v>
      </x:c>
      <x:c r="B490" t="str">
        <x:v>RAW-IMP-20260516-FULLDRAFT-000474</x:v>
      </x:c>
      <x:c r="C490" t="str">
        <x:v>KTO001</x:v>
      </x:c>
      <x:c r="D490"/>
      <x:c r="E490" t="str">
        <x:v>KAT013</x:v>
      </x:c>
      <x:c r="F490"/>
      <x:c r="G490"/>
      <x:c r="H490" t="str">
        <x:v>kein_match</x:v>
      </x:c>
      <x:c r="I490" t="str">
        <x:v>Agent-Draft: keine finale Regelentscheidung</x:v>
      </x:c>
      <x:c r="J490" t="n">
        <x:v>45993</x:v>
      </x:c>
      <x:c r="K490"/>
      <x:c r="L490"/>
      <x:c r="M490" t="n">
        <x:v>-44.98</x:v>
      </x:c>
      <x:c r="N490" t="str">
        <x:v>2025-12</x:v>
      </x:c>
      <x:c r="O490" t="str">
        <x:v>Ausgabe</x:v>
      </x:c>
      <x:c r="P490" t="str">
        <x:v>Ist</x:v>
      </x:c>
      <x:c r="Q490" s="59" t="b">
        <x:v>0</x:v>
      </x:c>
      <x:c r="R490" t="str">
        <x:v>kein_transfer</x:v>
      </x:c>
      <x:c r="S490"/>
      <x:c r="T490"/>
      <x:c r="U490"/>
      <x:c r="V490" s="59" t="b">
        <x:v>1</x:v>
      </x:c>
      <x:c r="W490"/>
      <x:c r="X490" t="str">
        <x:v>offen</x:v>
      </x:c>
      <x:c r="Y490" t="str">
        <x:v>Agent-Draft; Kategorie und Person pruefen</x:v>
      </x:c>
    </x:row>
    <x:row r="491">
      <x:c r="A491" t="str">
        <x:v>TXN-RAW-IMP-20260516-FULLDRAFT-000475</x:v>
      </x:c>
      <x:c r="B491" t="str">
        <x:v>RAW-IMP-20260516-FULLDRAFT-000475</x:v>
      </x:c>
      <x:c r="C491" t="str">
        <x:v>KTO001</x:v>
      </x:c>
      <x:c r="D491"/>
      <x:c r="E491" t="str">
        <x:v>KAT013</x:v>
      </x:c>
      <x:c r="F491"/>
      <x:c r="G491"/>
      <x:c r="H491" t="str">
        <x:v>kein_match</x:v>
      </x:c>
      <x:c r="I491" t="str">
        <x:v>Agent-Draft: keine finale Regelentscheidung</x:v>
      </x:c>
      <x:c r="J491" t="n">
        <x:v>45993</x:v>
      </x:c>
      <x:c r="K491"/>
      <x:c r="L491"/>
      <x:c r="M491" t="n">
        <x:v>-500</x:v>
      </x:c>
      <x:c r="N491" t="str">
        <x:v>2025-12</x:v>
      </x:c>
      <x:c r="O491" t="str">
        <x:v>Ausgabe</x:v>
      </x:c>
      <x:c r="P491" t="str">
        <x:v>Ist</x:v>
      </x:c>
      <x:c r="Q491" s="59" t="b">
        <x:v>0</x:v>
      </x:c>
      <x:c r="R491" t="str">
        <x:v>kein_transfer</x:v>
      </x:c>
      <x:c r="S491"/>
      <x:c r="T491"/>
      <x:c r="U491"/>
      <x:c r="V491" s="59" t="b">
        <x:v>1</x:v>
      </x:c>
      <x:c r="W491"/>
      <x:c r="X491" t="str">
        <x:v>offen</x:v>
      </x:c>
      <x:c r="Y491" t="str">
        <x:v>Agent-Draft; Kategorie und Person pruefen</x:v>
      </x:c>
    </x:row>
    <x:row r="492">
      <x:c r="A492" t="str">
        <x:v>TXN-RAW-IMP-20260516-FULLDRAFT-000476</x:v>
      </x:c>
      <x:c r="B492" t="str">
        <x:v>RAW-IMP-20260516-FULLDRAFT-000476</x:v>
      </x:c>
      <x:c r="C492" t="str">
        <x:v>KTO001</x:v>
      </x:c>
      <x:c r="D492"/>
      <x:c r="E492" t="str">
        <x:v>KAT013</x:v>
      </x:c>
      <x:c r="F492"/>
      <x:c r="G492"/>
      <x:c r="H492" t="str">
        <x:v>kein_match</x:v>
      </x:c>
      <x:c r="I492" t="str">
        <x:v>Agent-Draft: keine finale Regelentscheidung</x:v>
      </x:c>
      <x:c r="J492" t="n">
        <x:v>45993</x:v>
      </x:c>
      <x:c r="K492"/>
      <x:c r="L492"/>
      <x:c r="M492" t="n">
        <x:v>-11.96</x:v>
      </x:c>
      <x:c r="N492" t="str">
        <x:v>2025-12</x:v>
      </x:c>
      <x:c r="O492" t="str">
        <x:v>Ausgabe</x:v>
      </x:c>
      <x:c r="P492" t="str">
        <x:v>Ist</x:v>
      </x:c>
      <x:c r="Q492" s="59" t="b">
        <x:v>0</x:v>
      </x:c>
      <x:c r="R492" t="str">
        <x:v>kein_transfer</x:v>
      </x:c>
      <x:c r="S492"/>
      <x:c r="T492"/>
      <x:c r="U492"/>
      <x:c r="V492" s="59" t="b">
        <x:v>1</x:v>
      </x:c>
      <x:c r="W492"/>
      <x:c r="X492" t="str">
        <x:v>offen</x:v>
      </x:c>
      <x:c r="Y492" t="str">
        <x:v>Agent-Draft; Kategorie und Person pruefen</x:v>
      </x:c>
    </x:row>
    <x:row r="493">
      <x:c r="A493" t="str">
        <x:v>TXN-RAW-IMP-20260516-FULLDRAFT-000477</x:v>
      </x:c>
      <x:c r="B493" t="str">
        <x:v>RAW-IMP-20260516-FULLDRAFT-000477</x:v>
      </x:c>
      <x:c r="C493" t="str">
        <x:v>KTO001</x:v>
      </x:c>
      <x:c r="D493"/>
      <x:c r="E493" t="str">
        <x:v>KAT013</x:v>
      </x:c>
      <x:c r="F493"/>
      <x:c r="G493"/>
      <x:c r="H493" t="str">
        <x:v>kein_match</x:v>
      </x:c>
      <x:c r="I493" t="str">
        <x:v>Agent-Draft: keine finale Regelentscheidung</x:v>
      </x:c>
      <x:c r="J493" t="n">
        <x:v>45993</x:v>
      </x:c>
      <x:c r="K493"/>
      <x:c r="L493"/>
      <x:c r="M493" t="n">
        <x:v>-60.5</x:v>
      </x:c>
      <x:c r="N493" t="str">
        <x:v>2025-12</x:v>
      </x:c>
      <x:c r="O493" t="str">
        <x:v>Ausgabe</x:v>
      </x:c>
      <x:c r="P493" t="str">
        <x:v>Ist</x:v>
      </x:c>
      <x:c r="Q493" s="59" t="b">
        <x:v>0</x:v>
      </x:c>
      <x:c r="R493" t="str">
        <x:v>kein_transfer</x:v>
      </x:c>
      <x:c r="S493"/>
      <x:c r="T493"/>
      <x:c r="U493"/>
      <x:c r="V493" s="59" t="b">
        <x:v>1</x:v>
      </x:c>
      <x:c r="W493"/>
      <x:c r="X493" t="str">
        <x:v>offen</x:v>
      </x:c>
      <x:c r="Y493" t="str">
        <x:v>Agent-Draft; Kategorie und Person pruefen</x:v>
      </x:c>
    </x:row>
    <x:row r="494">
      <x:c r="A494" t="str">
        <x:v>TXN-RAW-IMP-20260516-FULLDRAFT-000478</x:v>
      </x:c>
      <x:c r="B494" t="str">
        <x:v>RAW-IMP-20260516-FULLDRAFT-000478</x:v>
      </x:c>
      <x:c r="C494" t="str">
        <x:v>KTO001</x:v>
      </x:c>
      <x:c r="D494"/>
      <x:c r="E494" t="str">
        <x:v>KAT013</x:v>
      </x:c>
      <x:c r="F494"/>
      <x:c r="G494"/>
      <x:c r="H494" t="str">
        <x:v>kein_match</x:v>
      </x:c>
      <x:c r="I494" t="str">
        <x:v>Agent-Draft: keine finale Regelentscheidung</x:v>
      </x:c>
      <x:c r="J494" t="n">
        <x:v>45993</x:v>
      </x:c>
      <x:c r="K494"/>
      <x:c r="L494"/>
      <x:c r="M494" t="n">
        <x:v>-8.99</x:v>
      </x:c>
      <x:c r="N494" t="str">
        <x:v>2025-12</x:v>
      </x:c>
      <x:c r="O494" t="str">
        <x:v>Ausgabe</x:v>
      </x:c>
      <x:c r="P494" t="str">
        <x:v>Ist</x:v>
      </x:c>
      <x:c r="Q494" s="59" t="b">
        <x:v>0</x:v>
      </x:c>
      <x:c r="R494" t="str">
        <x:v>kein_transfer</x:v>
      </x:c>
      <x:c r="S494"/>
      <x:c r="T494"/>
      <x:c r="U494"/>
      <x:c r="V494" s="59" t="b">
        <x:v>1</x:v>
      </x:c>
      <x:c r="W494"/>
      <x:c r="X494" t="str">
        <x:v>offen</x:v>
      </x:c>
      <x:c r="Y494" t="str">
        <x:v>Agent-Draft; Kategorie und Person pruefen</x:v>
      </x:c>
    </x:row>
    <x:row r="495">
      <x:c r="A495" t="str">
        <x:v>TXN-RAW-IMP-20260516-FULLDRAFT-000479</x:v>
      </x:c>
      <x:c r="B495" t="str">
        <x:v>RAW-IMP-20260516-FULLDRAFT-000479</x:v>
      </x:c>
      <x:c r="C495" t="str">
        <x:v>KTO001</x:v>
      </x:c>
      <x:c r="D495"/>
      <x:c r="E495" t="str">
        <x:v>KAT013</x:v>
      </x:c>
      <x:c r="F495"/>
      <x:c r="G495"/>
      <x:c r="H495" t="str">
        <x:v>kein_match</x:v>
      </x:c>
      <x:c r="I495" t="str">
        <x:v>Agent-Draft: keine finale Regelentscheidung</x:v>
      </x:c>
      <x:c r="J495" t="n">
        <x:v>45993</x:v>
      </x:c>
      <x:c r="K495"/>
      <x:c r="L495"/>
      <x:c r="M495" t="n">
        <x:v>-56.83</x:v>
      </x:c>
      <x:c r="N495" t="str">
        <x:v>2025-12</x:v>
      </x:c>
      <x:c r="O495" t="str">
        <x:v>Ausgabe</x:v>
      </x:c>
      <x:c r="P495" t="str">
        <x:v>Ist</x:v>
      </x:c>
      <x:c r="Q495" s="59" t="b">
        <x:v>0</x:v>
      </x:c>
      <x:c r="R495" t="str">
        <x:v>kein_transfer</x:v>
      </x:c>
      <x:c r="S495"/>
      <x:c r="T495"/>
      <x:c r="U495"/>
      <x:c r="V495" s="59" t="b">
        <x:v>1</x:v>
      </x:c>
      <x:c r="W495"/>
      <x:c r="X495" t="str">
        <x:v>offen</x:v>
      </x:c>
      <x:c r="Y495" t="str">
        <x:v>Agent-Draft; Kategorie und Person pruefen</x:v>
      </x:c>
    </x:row>
    <x:row r="496">
      <x:c r="A496" t="str">
        <x:v>TXN-RAW-IMP-20260516-FULLDRAFT-000480</x:v>
      </x:c>
      <x:c r="B496" t="str">
        <x:v>RAW-IMP-20260516-FULLDRAFT-000480</x:v>
      </x:c>
      <x:c r="C496" t="str">
        <x:v>KTO001</x:v>
      </x:c>
      <x:c r="D496"/>
      <x:c r="E496" t="str">
        <x:v>KAT013</x:v>
      </x:c>
      <x:c r="F496"/>
      <x:c r="G496"/>
      <x:c r="H496" t="str">
        <x:v>kein_match</x:v>
      </x:c>
      <x:c r="I496" t="str">
        <x:v>Agent-Draft: keine finale Regelentscheidung</x:v>
      </x:c>
      <x:c r="J496" t="n">
        <x:v>45993</x:v>
      </x:c>
      <x:c r="K496"/>
      <x:c r="L496"/>
      <x:c r="M496" t="n">
        <x:v>-141.13</x:v>
      </x:c>
      <x:c r="N496" t="str">
        <x:v>2025-12</x:v>
      </x:c>
      <x:c r="O496" t="str">
        <x:v>Ausgabe</x:v>
      </x:c>
      <x:c r="P496" t="str">
        <x:v>Ist</x:v>
      </x:c>
      <x:c r="Q496" s="59" t="b">
        <x:v>0</x:v>
      </x:c>
      <x:c r="R496" t="str">
        <x:v>kein_transfer</x:v>
      </x:c>
      <x:c r="S496"/>
      <x:c r="T496"/>
      <x:c r="U496"/>
      <x:c r="V496" s="59" t="b">
        <x:v>1</x:v>
      </x:c>
      <x:c r="W496"/>
      <x:c r="X496" t="str">
        <x:v>offen</x:v>
      </x:c>
      <x:c r="Y496" t="str">
        <x:v>Agent-Draft; Kategorie und Person pruefen</x:v>
      </x:c>
    </x:row>
    <x:row r="497">
      <x:c r="A497" t="str">
        <x:v>TXN-RAW-IMP-20260516-FULLDRAFT-000481</x:v>
      </x:c>
      <x:c r="B497" t="str">
        <x:v>RAW-IMP-20260516-FULLDRAFT-000481</x:v>
      </x:c>
      <x:c r="C497" t="str">
        <x:v>KTO001</x:v>
      </x:c>
      <x:c r="D497"/>
      <x:c r="E497" t="str">
        <x:v>KAT013</x:v>
      </x:c>
      <x:c r="F497"/>
      <x:c r="G497"/>
      <x:c r="H497" t="str">
        <x:v>kein_match</x:v>
      </x:c>
      <x:c r="I497" t="str">
        <x:v>Agent-Draft: keine finale Regelentscheidung</x:v>
      </x:c>
      <x:c r="J497" t="n">
        <x:v>45992</x:v>
      </x:c>
      <x:c r="K497"/>
      <x:c r="L497"/>
      <x:c r="M497" t="n">
        <x:v>750</x:v>
      </x:c>
      <x:c r="N497" t="str">
        <x:v>2025-12</x:v>
      </x:c>
      <x:c r="O497" t="str">
        <x:v>Einnahme</x:v>
      </x:c>
      <x:c r="P497" t="str">
        <x:v>Ist</x:v>
      </x:c>
      <x:c r="Q497" s="59" t="b">
        <x:v>0</x:v>
      </x:c>
      <x:c r="R497" t="str">
        <x:v>kein_transfer</x:v>
      </x:c>
      <x:c r="S497"/>
      <x:c r="T497"/>
      <x:c r="U497"/>
      <x:c r="V497" s="59" t="b">
        <x:v>1</x:v>
      </x:c>
      <x:c r="W497"/>
      <x:c r="X497" t="str">
        <x:v>offen</x:v>
      </x:c>
      <x:c r="Y497" t="str">
        <x:v>Agent-Draft; Kategorie und Person pruefen</x:v>
      </x:c>
    </x:row>
    <x:row r="498">
      <x:c r="A498" t="str">
        <x:v>TXN-RAW-IMP-20260516-FULLDRAFT-000482</x:v>
      </x:c>
      <x:c r="B498" t="str">
        <x:v>RAW-IMP-20260516-FULLDRAFT-000482</x:v>
      </x:c>
      <x:c r="C498" t="str">
        <x:v>KTO001</x:v>
      </x:c>
      <x:c r="D498"/>
      <x:c r="E498" t="str">
        <x:v>KAT013</x:v>
      </x:c>
      <x:c r="F498"/>
      <x:c r="G498"/>
      <x:c r="H498" t="str">
        <x:v>kein_match</x:v>
      </x:c>
      <x:c r="I498" t="str">
        <x:v>Agent-Draft: keine finale Regelentscheidung</x:v>
      </x:c>
      <x:c r="J498" t="n">
        <x:v>45992</x:v>
      </x:c>
      <x:c r="K498"/>
      <x:c r="L498"/>
      <x:c r="M498" t="n">
        <x:v>-20.89</x:v>
      </x:c>
      <x:c r="N498" t="str">
        <x:v>2025-12</x:v>
      </x:c>
      <x:c r="O498" t="str">
        <x:v>Ausgabe</x:v>
      </x:c>
      <x:c r="P498" t="str">
        <x:v>Ist</x:v>
      </x:c>
      <x:c r="Q498" s="59" t="b">
        <x:v>0</x:v>
      </x:c>
      <x:c r="R498" t="str">
        <x:v>kein_transfer</x:v>
      </x:c>
      <x:c r="S498"/>
      <x:c r="T498"/>
      <x:c r="U498"/>
      <x:c r="V498" s="59" t="b">
        <x:v>1</x:v>
      </x:c>
      <x:c r="W498"/>
      <x:c r="X498" t="str">
        <x:v>offen</x:v>
      </x:c>
      <x:c r="Y498" t="str">
        <x:v>Agent-Draft; Kategorie und Person pruefen</x:v>
      </x:c>
    </x:row>
    <x:row r="499">
      <x:c r="A499" t="str">
        <x:v>TXN-RAW-IMP-20260516-FULLDRAFT-000483</x:v>
      </x:c>
      <x:c r="B499" t="str">
        <x:v>RAW-IMP-20260516-FULLDRAFT-000483</x:v>
      </x:c>
      <x:c r="C499" t="str">
        <x:v>KTO001</x:v>
      </x:c>
      <x:c r="D499"/>
      <x:c r="E499" t="str">
        <x:v>KAT013</x:v>
      </x:c>
      <x:c r="F499"/>
      <x:c r="G499"/>
      <x:c r="H499" t="str">
        <x:v>kein_match</x:v>
      </x:c>
      <x:c r="I499" t="str">
        <x:v>Agent-Draft: keine finale Regelentscheidung</x:v>
      </x:c>
      <x:c r="J499" t="n">
        <x:v>45992</x:v>
      </x:c>
      <x:c r="K499"/>
      <x:c r="L499"/>
      <x:c r="M499" t="n">
        <x:v>-100</x:v>
      </x:c>
      <x:c r="N499" t="str">
        <x:v>2025-12</x:v>
      </x:c>
      <x:c r="O499" t="str">
        <x:v>Ausgabe</x:v>
      </x:c>
      <x:c r="P499" t="str">
        <x:v>Ist</x:v>
      </x:c>
      <x:c r="Q499" s="59" t="b">
        <x:v>0</x:v>
      </x:c>
      <x:c r="R499" t="str">
        <x:v>kein_transfer</x:v>
      </x:c>
      <x:c r="S499"/>
      <x:c r="T499"/>
      <x:c r="U499"/>
      <x:c r="V499" s="59" t="b">
        <x:v>1</x:v>
      </x:c>
      <x:c r="W499"/>
      <x:c r="X499" t="str">
        <x:v>offen</x:v>
      </x:c>
      <x:c r="Y499" t="str">
        <x:v>Agent-Draft; Kategorie und Person pruefen</x:v>
      </x:c>
    </x:row>
    <x:row r="500">
      <x:c r="A500" t="str">
        <x:v>TXN-RAW-IMP-20260516-FULLDRAFT-000484</x:v>
      </x:c>
      <x:c r="B500" t="str">
        <x:v>RAW-IMP-20260516-FULLDRAFT-000484</x:v>
      </x:c>
      <x:c r="C500" t="str">
        <x:v>KTO001</x:v>
      </x:c>
      <x:c r="D500"/>
      <x:c r="E500" t="str">
        <x:v>KAT013</x:v>
      </x:c>
      <x:c r="F500"/>
      <x:c r="G500"/>
      <x:c r="H500" t="str">
        <x:v>kein_match</x:v>
      </x:c>
      <x:c r="I500" t="str">
        <x:v>Agent-Draft: keine finale Regelentscheidung</x:v>
      </x:c>
      <x:c r="J500" t="n">
        <x:v>45992</x:v>
      </x:c>
      <x:c r="K500"/>
      <x:c r="L500"/>
      <x:c r="M500" t="n">
        <x:v>-159</x:v>
      </x:c>
      <x:c r="N500" t="str">
        <x:v>2025-12</x:v>
      </x:c>
      <x:c r="O500" t="str">
        <x:v>Ausgabe</x:v>
      </x:c>
      <x:c r="P500" t="str">
        <x:v>Ist</x:v>
      </x:c>
      <x:c r="Q500" s="59" t="b">
        <x:v>0</x:v>
      </x:c>
      <x:c r="R500" t="str">
        <x:v>kein_transfer</x:v>
      </x:c>
      <x:c r="S500"/>
      <x:c r="T500"/>
      <x:c r="U500"/>
      <x:c r="V500" s="59" t="b">
        <x:v>1</x:v>
      </x:c>
      <x:c r="W500"/>
      <x:c r="X500" t="str">
        <x:v>offen</x:v>
      </x:c>
      <x:c r="Y500" t="str">
        <x:v>Agent-Draft; Kategorie und Person pruefen</x:v>
      </x:c>
    </x:row>
    <x:row r="501">
      <x:c r="A501" t="str">
        <x:v>TXN-RAW-IMP-20260516-FULLDRAFT-000485</x:v>
      </x:c>
      <x:c r="B501" t="str">
        <x:v>RAW-IMP-20260516-FULLDRAFT-000485</x:v>
      </x:c>
      <x:c r="C501" t="str">
        <x:v>KTO001</x:v>
      </x:c>
      <x:c r="D501"/>
      <x:c r="E501" t="str">
        <x:v>KAT013</x:v>
      </x:c>
      <x:c r="F501"/>
      <x:c r="G501"/>
      <x:c r="H501" t="str">
        <x:v>kein_match</x:v>
      </x:c>
      <x:c r="I501" t="str">
        <x:v>Agent-Draft: keine finale Regelentscheidung</x:v>
      </x:c>
      <x:c r="J501" t="n">
        <x:v>45992</x:v>
      </x:c>
      <x:c r="K501"/>
      <x:c r="L501"/>
      <x:c r="M501" t="n">
        <x:v>-4.58</x:v>
      </x:c>
      <x:c r="N501" t="str">
        <x:v>2025-12</x:v>
      </x:c>
      <x:c r="O501" t="str">
        <x:v>Ausgabe</x:v>
      </x:c>
      <x:c r="P501" t="str">
        <x:v>Ist</x:v>
      </x:c>
      <x:c r="Q501" s="59" t="b">
        <x:v>0</x:v>
      </x:c>
      <x:c r="R501" t="str">
        <x:v>kein_transfer</x:v>
      </x:c>
      <x:c r="S501"/>
      <x:c r="T501"/>
      <x:c r="U501"/>
      <x:c r="V501" s="59" t="b">
        <x:v>1</x:v>
      </x:c>
      <x:c r="W501"/>
      <x:c r="X501" t="str">
        <x:v>offen</x:v>
      </x:c>
      <x:c r="Y501" t="str">
        <x:v>Agent-Draft; Kategorie und Person pruefen</x:v>
      </x:c>
    </x:row>
    <x:row r="502">
      <x:c r="A502" t="str">
        <x:v>TXN-RAW-IMP-20260516-FULLDRAFT-000486</x:v>
      </x:c>
      <x:c r="B502" t="str">
        <x:v>RAW-IMP-20260516-FULLDRAFT-000486</x:v>
      </x:c>
      <x:c r="C502" t="str">
        <x:v>KTO001</x:v>
      </x:c>
      <x:c r="D502"/>
      <x:c r="E502" t="str">
        <x:v>KAT013</x:v>
      </x:c>
      <x:c r="F502"/>
      <x:c r="G502"/>
      <x:c r="H502" t="str">
        <x:v>kein_match</x:v>
      </x:c>
      <x:c r="I502" t="str">
        <x:v>Agent-Draft: keine finale Regelentscheidung</x:v>
      </x:c>
      <x:c r="J502" t="n">
        <x:v>45992</x:v>
      </x:c>
      <x:c r="K502"/>
      <x:c r="L502"/>
      <x:c r="M502" t="n">
        <x:v>-11.69</x:v>
      </x:c>
      <x:c r="N502" t="str">
        <x:v>2025-12</x:v>
      </x:c>
      <x:c r="O502" t="str">
        <x:v>Ausgabe</x:v>
      </x:c>
      <x:c r="P502" t="str">
        <x:v>Ist</x:v>
      </x:c>
      <x:c r="Q502" s="59" t="b">
        <x:v>0</x:v>
      </x:c>
      <x:c r="R502" t="str">
        <x:v>kein_transfer</x:v>
      </x:c>
      <x:c r="S502"/>
      <x:c r="T502"/>
      <x:c r="U502"/>
      <x:c r="V502" s="59" t="b">
        <x:v>1</x:v>
      </x:c>
      <x:c r="W502"/>
      <x:c r="X502" t="str">
        <x:v>offen</x:v>
      </x:c>
      <x:c r="Y502" t="str">
        <x:v>Agent-Draft; Kategorie und Person pruefen</x:v>
      </x:c>
    </x:row>
    <x:row r="503">
      <x:c r="A503" t="str">
        <x:v>TXN-RAW-IMP-20260516-FULLDRAFT-000487</x:v>
      </x:c>
      <x:c r="B503" t="str">
        <x:v>RAW-IMP-20260516-FULLDRAFT-000487</x:v>
      </x:c>
      <x:c r="C503" t="str">
        <x:v>KTO001</x:v>
      </x:c>
      <x:c r="D503"/>
      <x:c r="E503" t="str">
        <x:v>KAT013</x:v>
      </x:c>
      <x:c r="F503"/>
      <x:c r="G503"/>
      <x:c r="H503" t="str">
        <x:v>kein_match</x:v>
      </x:c>
      <x:c r="I503" t="str">
        <x:v>Agent-Draft: keine finale Regelentscheidung</x:v>
      </x:c>
      <x:c r="J503" t="n">
        <x:v>45992</x:v>
      </x:c>
      <x:c r="K503"/>
      <x:c r="L503"/>
      <x:c r="M503" t="n">
        <x:v>-143.91</x:v>
      </x:c>
      <x:c r="N503" t="str">
        <x:v>2025-12</x:v>
      </x:c>
      <x:c r="O503" t="str">
        <x:v>Ausgabe</x:v>
      </x:c>
      <x:c r="P503" t="str">
        <x:v>Ist</x:v>
      </x:c>
      <x:c r="Q503" s="59" t="b">
        <x:v>0</x:v>
      </x:c>
      <x:c r="R503" t="str">
        <x:v>kein_transfer</x:v>
      </x:c>
      <x:c r="S503"/>
      <x:c r="T503"/>
      <x:c r="U503"/>
      <x:c r="V503" s="59" t="b">
        <x:v>1</x:v>
      </x:c>
      <x:c r="W503"/>
      <x:c r="X503" t="str">
        <x:v>offen</x:v>
      </x:c>
      <x:c r="Y503" t="str">
        <x:v>Agent-Draft; Kategorie und Person pruefen</x:v>
      </x:c>
    </x:row>
    <x:row r="504">
      <x:c r="A504" t="str">
        <x:v>TXN-RAW-IMP-20260516-FULLDRAFT-000488</x:v>
      </x:c>
      <x:c r="B504" t="str">
        <x:v>RAW-IMP-20260516-FULLDRAFT-000488</x:v>
      </x:c>
      <x:c r="C504" t="str">
        <x:v>KTO001</x:v>
      </x:c>
      <x:c r="D504"/>
      <x:c r="E504" t="str">
        <x:v>KAT013</x:v>
      </x:c>
      <x:c r="F504"/>
      <x:c r="G504"/>
      <x:c r="H504" t="str">
        <x:v>kein_match</x:v>
      </x:c>
      <x:c r="I504" t="str">
        <x:v>Agent-Draft: keine finale Regelentscheidung</x:v>
      </x:c>
      <x:c r="J504" t="n">
        <x:v>45992</x:v>
      </x:c>
      <x:c r="K504"/>
      <x:c r="L504"/>
      <x:c r="M504" t="n">
        <x:v>-7.95</x:v>
      </x:c>
      <x:c r="N504" t="str">
        <x:v>2025-12</x:v>
      </x:c>
      <x:c r="O504" t="str">
        <x:v>Ausgabe</x:v>
      </x:c>
      <x:c r="P504" t="str">
        <x:v>Ist</x:v>
      </x:c>
      <x:c r="Q504" s="59" t="b">
        <x:v>0</x:v>
      </x:c>
      <x:c r="R504" t="str">
        <x:v>kein_transfer</x:v>
      </x:c>
      <x:c r="S504"/>
      <x:c r="T504"/>
      <x:c r="U504"/>
      <x:c r="V504" s="59" t="b">
        <x:v>1</x:v>
      </x:c>
      <x:c r="W504"/>
      <x:c r="X504" t="str">
        <x:v>offen</x:v>
      </x:c>
      <x:c r="Y504" t="str">
        <x:v>Agent-Draft; Kategorie und Person pruefen</x:v>
      </x:c>
    </x:row>
    <x:row r="505">
      <x:c r="A505" t="str">
        <x:v>TXN-RAW-IMP-20260516-FULLDRAFT-000489</x:v>
      </x:c>
      <x:c r="B505" t="str">
        <x:v>RAW-IMP-20260516-FULLDRAFT-000489</x:v>
      </x:c>
      <x:c r="C505" t="str">
        <x:v>KTO001</x:v>
      </x:c>
      <x:c r="D505"/>
      <x:c r="E505" t="str">
        <x:v>KAT013</x:v>
      </x:c>
      <x:c r="F505"/>
      <x:c r="G505"/>
      <x:c r="H505" t="str">
        <x:v>kein_match</x:v>
      </x:c>
      <x:c r="I505" t="str">
        <x:v>Agent-Draft: keine finale Regelentscheidung</x:v>
      </x:c>
      <x:c r="J505" t="n">
        <x:v>45992</x:v>
      </x:c>
      <x:c r="K505"/>
      <x:c r="L505"/>
      <x:c r="M505" t="n">
        <x:v>-4.99</x:v>
      </x:c>
      <x:c r="N505" t="str">
        <x:v>2025-12</x:v>
      </x:c>
      <x:c r="O505" t="str">
        <x:v>Ausgabe</x:v>
      </x:c>
      <x:c r="P505" t="str">
        <x:v>Ist</x:v>
      </x:c>
      <x:c r="Q505" s="59" t="b">
        <x:v>0</x:v>
      </x:c>
      <x:c r="R505" t="str">
        <x:v>kein_transfer</x:v>
      </x:c>
      <x:c r="S505"/>
      <x:c r="T505"/>
      <x:c r="U505"/>
      <x:c r="V505" s="59" t="b">
        <x:v>1</x:v>
      </x:c>
      <x:c r="W505"/>
      <x:c r="X505" t="str">
        <x:v>offen</x:v>
      </x:c>
      <x:c r="Y505" t="str">
        <x:v>Agent-Draft; Kategorie und Person pruefen</x:v>
      </x:c>
    </x:row>
    <x:row r="506">
      <x:c r="A506" t="str">
        <x:v>TXN-RAW-IMP-20260516-FULLDRAFT-000490</x:v>
      </x:c>
      <x:c r="B506" t="str">
        <x:v>RAW-IMP-20260516-FULLDRAFT-000490</x:v>
      </x:c>
      <x:c r="C506" t="str">
        <x:v>KTO001</x:v>
      </x:c>
      <x:c r="D506"/>
      <x:c r="E506" t="str">
        <x:v>KAT013</x:v>
      </x:c>
      <x:c r="F506"/>
      <x:c r="G506"/>
      <x:c r="H506" t="str">
        <x:v>kein_match</x:v>
      </x:c>
      <x:c r="I506" t="str">
        <x:v>Agent-Draft: keine finale Regelentscheidung</x:v>
      </x:c>
      <x:c r="J506" t="n">
        <x:v>45992</x:v>
      </x:c>
      <x:c r="K506"/>
      <x:c r="L506"/>
      <x:c r="M506" t="n">
        <x:v>-45.36</x:v>
      </x:c>
      <x:c r="N506" t="str">
        <x:v>2025-12</x:v>
      </x:c>
      <x:c r="O506" t="str">
        <x:v>Ausgabe</x:v>
      </x:c>
      <x:c r="P506" t="str">
        <x:v>Ist</x:v>
      </x:c>
      <x:c r="Q506" s="59" t="b">
        <x:v>0</x:v>
      </x:c>
      <x:c r="R506" t="str">
        <x:v>kein_transfer</x:v>
      </x:c>
      <x:c r="S506"/>
      <x:c r="T506"/>
      <x:c r="U506"/>
      <x:c r="V506" s="59" t="b">
        <x:v>1</x:v>
      </x:c>
      <x:c r="W506"/>
      <x:c r="X506" t="str">
        <x:v>offen</x:v>
      </x:c>
      <x:c r="Y506" t="str">
        <x:v>Agent-Draft; Kategorie und Person pruefen</x:v>
      </x:c>
    </x:row>
    <x:row r="507">
      <x:c r="A507" t="str">
        <x:v>TXN-RAW-IMP-20260516-FULLDRAFT-000491</x:v>
      </x:c>
      <x:c r="B507" t="str">
        <x:v>RAW-IMP-20260516-FULLDRAFT-000491</x:v>
      </x:c>
      <x:c r="C507" t="str">
        <x:v>KTO001</x:v>
      </x:c>
      <x:c r="D507"/>
      <x:c r="E507" t="str">
        <x:v>KAT013</x:v>
      </x:c>
      <x:c r="F507"/>
      <x:c r="G507"/>
      <x:c r="H507" t="str">
        <x:v>kein_match</x:v>
      </x:c>
      <x:c r="I507" t="str">
        <x:v>Agent-Draft: keine finale Regelentscheidung</x:v>
      </x:c>
      <x:c r="J507" t="n">
        <x:v>45992</x:v>
      </x:c>
      <x:c r="K507"/>
      <x:c r="L507"/>
      <x:c r="M507" t="n">
        <x:v>-40</x:v>
      </x:c>
      <x:c r="N507" t="str">
        <x:v>2025-12</x:v>
      </x:c>
      <x:c r="O507" t="str">
        <x:v>Ausgabe</x:v>
      </x:c>
      <x:c r="P507" t="str">
        <x:v>Ist</x:v>
      </x:c>
      <x:c r="Q507" s="59" t="b">
        <x:v>0</x:v>
      </x:c>
      <x:c r="R507" t="str">
        <x:v>kein_transfer</x:v>
      </x:c>
      <x:c r="S507"/>
      <x:c r="T507"/>
      <x:c r="U507"/>
      <x:c r="V507" s="59" t="b">
        <x:v>1</x:v>
      </x:c>
      <x:c r="W507"/>
      <x:c r="X507" t="str">
        <x:v>offen</x:v>
      </x:c>
      <x:c r="Y507" t="str">
        <x:v>Agent-Draft; Kategorie und Person pruefen</x:v>
      </x:c>
    </x:row>
    <x:row r="508">
      <x:c r="A508" t="str">
        <x:v>TXN-RAW-IMP-20260516-FULLDRAFT-000492</x:v>
      </x:c>
      <x:c r="B508" t="str">
        <x:v>RAW-IMP-20260516-FULLDRAFT-000492</x:v>
      </x:c>
      <x:c r="C508" t="str">
        <x:v>KTO001</x:v>
      </x:c>
      <x:c r="D508"/>
      <x:c r="E508" t="str">
        <x:v>KAT013</x:v>
      </x:c>
      <x:c r="F508"/>
      <x:c r="G508"/>
      <x:c r="H508" t="str">
        <x:v>kein_match</x:v>
      </x:c>
      <x:c r="I508" t="str">
        <x:v>Agent-Draft: keine finale Regelentscheidung</x:v>
      </x:c>
      <x:c r="J508" t="n">
        <x:v>45992</x:v>
      </x:c>
      <x:c r="K508"/>
      <x:c r="L508"/>
      <x:c r="M508" t="n">
        <x:v>-28.99</x:v>
      </x:c>
      <x:c r="N508" t="str">
        <x:v>2025-12</x:v>
      </x:c>
      <x:c r="O508" t="str">
        <x:v>Ausgabe</x:v>
      </x:c>
      <x:c r="P508" t="str">
        <x:v>Ist</x:v>
      </x:c>
      <x:c r="Q508" s="59" t="b">
        <x:v>0</x:v>
      </x:c>
      <x:c r="R508" t="str">
        <x:v>kein_transfer</x:v>
      </x:c>
      <x:c r="S508"/>
      <x:c r="T508"/>
      <x:c r="U508"/>
      <x:c r="V508" s="59" t="b">
        <x:v>1</x:v>
      </x:c>
      <x:c r="W508"/>
      <x:c r="X508" t="str">
        <x:v>offen</x:v>
      </x:c>
      <x:c r="Y508" t="str">
        <x:v>Agent-Draft; Kategorie und Person pruefen</x:v>
      </x:c>
    </x:row>
    <x:row r="509">
      <x:c r="A509" t="str">
        <x:v>TXN-RAW-IMP-20260516-FULLDRAFT-000493</x:v>
      </x:c>
      <x:c r="B509" t="str">
        <x:v>RAW-IMP-20260516-FULLDRAFT-000493</x:v>
      </x:c>
      <x:c r="C509" t="str">
        <x:v>KTO001</x:v>
      </x:c>
      <x:c r="D509"/>
      <x:c r="E509" t="str">
        <x:v>KAT013</x:v>
      </x:c>
      <x:c r="F509"/>
      <x:c r="G509"/>
      <x:c r="H509" t="str">
        <x:v>kein_match</x:v>
      </x:c>
      <x:c r="I509" t="str">
        <x:v>Agent-Draft: keine finale Regelentscheidung</x:v>
      </x:c>
      <x:c r="J509" t="n">
        <x:v>45992</x:v>
      </x:c>
      <x:c r="K509"/>
      <x:c r="L509"/>
      <x:c r="M509" t="n">
        <x:v>-356.26</x:v>
      </x:c>
      <x:c r="N509" t="str">
        <x:v>2025-12</x:v>
      </x:c>
      <x:c r="O509" t="str">
        <x:v>Ausgabe</x:v>
      </x:c>
      <x:c r="P509" t="str">
        <x:v>Ist</x:v>
      </x:c>
      <x:c r="Q509" s="59" t="b">
        <x:v>0</x:v>
      </x:c>
      <x:c r="R509" t="str">
        <x:v>kein_transfer</x:v>
      </x:c>
      <x:c r="S509"/>
      <x:c r="T509"/>
      <x:c r="U509"/>
      <x:c r="V509" s="59" t="b">
        <x:v>1</x:v>
      </x:c>
      <x:c r="W509"/>
      <x:c r="X509" t="str">
        <x:v>offen</x:v>
      </x:c>
      <x:c r="Y509" t="str">
        <x:v>Agent-Draft; Kategorie und Person pruefen</x:v>
      </x:c>
    </x:row>
    <x:row r="510">
      <x:c r="A510" t="str">
        <x:v>TXN-RAW-IMP-20260516-FULLDRAFT-000494</x:v>
      </x:c>
      <x:c r="B510" t="str">
        <x:v>RAW-IMP-20260516-FULLDRAFT-000494</x:v>
      </x:c>
      <x:c r="C510" t="str">
        <x:v>KTO001</x:v>
      </x:c>
      <x:c r="D510"/>
      <x:c r="E510" t="str">
        <x:v>KAT013</x:v>
      </x:c>
      <x:c r="F510"/>
      <x:c r="G510"/>
      <x:c r="H510" t="str">
        <x:v>kein_match</x:v>
      </x:c>
      <x:c r="I510" t="str">
        <x:v>Agent-Draft: keine finale Regelentscheidung</x:v>
      </x:c>
      <x:c r="J510" t="n">
        <x:v>45992</x:v>
      </x:c>
      <x:c r="K510"/>
      <x:c r="L510"/>
      <x:c r="M510" t="n">
        <x:v>-8.71</x:v>
      </x:c>
      <x:c r="N510" t="str">
        <x:v>2025-12</x:v>
      </x:c>
      <x:c r="O510" t="str">
        <x:v>Ausgabe</x:v>
      </x:c>
      <x:c r="P510" t="str">
        <x:v>Ist</x:v>
      </x:c>
      <x:c r="Q510" s="59" t="b">
        <x:v>0</x:v>
      </x:c>
      <x:c r="R510" t="str">
        <x:v>kein_transfer</x:v>
      </x:c>
      <x:c r="S510"/>
      <x:c r="T510"/>
      <x:c r="U510"/>
      <x:c r="V510" s="59" t="b">
        <x:v>1</x:v>
      </x:c>
      <x:c r="W510"/>
      <x:c r="X510" t="str">
        <x:v>offen</x:v>
      </x:c>
      <x:c r="Y510" t="str">
        <x:v>Agent-Draft; Kategorie und Person pruefen</x:v>
      </x:c>
    </x:row>
    <x:row r="511">
      <x:c r="A511" t="str">
        <x:v>TXN-RAW-IMP-20260516-FULLDRAFT-000495</x:v>
      </x:c>
      <x:c r="B511" t="str">
        <x:v>RAW-IMP-20260516-FULLDRAFT-000495</x:v>
      </x:c>
      <x:c r="C511" t="str">
        <x:v>KTO001</x:v>
      </x:c>
      <x:c r="D511"/>
      <x:c r="E511" t="str">
        <x:v>KAT013</x:v>
      </x:c>
      <x:c r="F511"/>
      <x:c r="G511"/>
      <x:c r="H511" t="str">
        <x:v>kein_match</x:v>
      </x:c>
      <x:c r="I511" t="str">
        <x:v>Agent-Draft: keine finale Regelentscheidung</x:v>
      </x:c>
      <x:c r="J511" t="n">
        <x:v>45992</x:v>
      </x:c>
      <x:c r="K511"/>
      <x:c r="L511"/>
      <x:c r="M511" t="n">
        <x:v>-5.29</x:v>
      </x:c>
      <x:c r="N511" t="str">
        <x:v>2025-12</x:v>
      </x:c>
      <x:c r="O511" t="str">
        <x:v>Ausgabe</x:v>
      </x:c>
      <x:c r="P511" t="str">
        <x:v>Ist</x:v>
      </x:c>
      <x:c r="Q511" s="59" t="b">
        <x:v>0</x:v>
      </x:c>
      <x:c r="R511" t="str">
        <x:v>kein_transfer</x:v>
      </x:c>
      <x:c r="S511"/>
      <x:c r="T511"/>
      <x:c r="U511"/>
      <x:c r="V511" s="59" t="b">
        <x:v>1</x:v>
      </x:c>
      <x:c r="W511"/>
      <x:c r="X511" t="str">
        <x:v>offen</x:v>
      </x:c>
      <x:c r="Y511" t="str">
        <x:v>Agent-Draft; Kategorie und Person pruefen</x:v>
      </x:c>
    </x:row>
    <x:row r="512">
      <x:c r="A512" t="str">
        <x:v>TXN-RAW-IMP-20260516-FULLDRAFT-000496</x:v>
      </x:c>
      <x:c r="B512" t="str">
        <x:v>RAW-IMP-20260516-FULLDRAFT-000496</x:v>
      </x:c>
      <x:c r="C512" t="str">
        <x:v>KTO001</x:v>
      </x:c>
      <x:c r="D512"/>
      <x:c r="E512" t="str">
        <x:v>KAT013</x:v>
      </x:c>
      <x:c r="F512"/>
      <x:c r="G512"/>
      <x:c r="H512" t="str">
        <x:v>kein_match</x:v>
      </x:c>
      <x:c r="I512" t="str">
        <x:v>Agent-Draft: keine finale Regelentscheidung</x:v>
      </x:c>
      <x:c r="J512" t="n">
        <x:v>45992</x:v>
      </x:c>
      <x:c r="K512"/>
      <x:c r="L512"/>
      <x:c r="M512" t="n">
        <x:v>-9</x:v>
      </x:c>
      <x:c r="N512" t="str">
        <x:v>2025-12</x:v>
      </x:c>
      <x:c r="O512" t="str">
        <x:v>Ausgabe</x:v>
      </x:c>
      <x:c r="P512" t="str">
        <x:v>Ist</x:v>
      </x:c>
      <x:c r="Q512" s="59" t="b">
        <x:v>0</x:v>
      </x:c>
      <x:c r="R512" t="str">
        <x:v>kein_transfer</x:v>
      </x:c>
      <x:c r="S512"/>
      <x:c r="T512"/>
      <x:c r="U512"/>
      <x:c r="V512" s="59" t="b">
        <x:v>1</x:v>
      </x:c>
      <x:c r="W512"/>
      <x:c r="X512" t="str">
        <x:v>offen</x:v>
      </x:c>
      <x:c r="Y512" t="str">
        <x:v>Agent-Draft; Kategorie und Person pruefen</x:v>
      </x:c>
    </x:row>
    <x:row r="513">
      <x:c r="A513" t="str">
        <x:v>TXN-RAW-IMP-20260516-FULLDRAFT-000497</x:v>
      </x:c>
      <x:c r="B513" t="str">
        <x:v>RAW-IMP-20260516-FULLDRAFT-000497</x:v>
      </x:c>
      <x:c r="C513" t="str">
        <x:v>KTO001</x:v>
      </x:c>
      <x:c r="D513"/>
      <x:c r="E513" t="str">
        <x:v>KAT013</x:v>
      </x:c>
      <x:c r="F513"/>
      <x:c r="G513"/>
      <x:c r="H513" t="str">
        <x:v>kein_match</x:v>
      </x:c>
      <x:c r="I513" t="str">
        <x:v>Agent-Draft: keine finale Regelentscheidung</x:v>
      </x:c>
      <x:c r="J513" t="n">
        <x:v>45992</x:v>
      </x:c>
      <x:c r="K513"/>
      <x:c r="L513"/>
      <x:c r="M513" t="n">
        <x:v>-1400</x:v>
      </x:c>
      <x:c r="N513" t="str">
        <x:v>2025-12</x:v>
      </x:c>
      <x:c r="O513" t="str">
        <x:v>Ausgabe</x:v>
      </x:c>
      <x:c r="P513" t="str">
        <x:v>Ist</x:v>
      </x:c>
      <x:c r="Q513" s="59" t="b">
        <x:v>0</x:v>
      </x:c>
      <x:c r="R513" t="str">
        <x:v>kein_transfer</x:v>
      </x:c>
      <x:c r="S513"/>
      <x:c r="T513"/>
      <x:c r="U513"/>
      <x:c r="V513" s="59" t="b">
        <x:v>1</x:v>
      </x:c>
      <x:c r="W513"/>
      <x:c r="X513" t="str">
        <x:v>offen</x:v>
      </x:c>
      <x:c r="Y513" t="str">
        <x:v>Agent-Draft; Kategorie und Person pruefen</x:v>
      </x:c>
    </x:row>
    <x:row r="514">
      <x:c r="A514" t="str">
        <x:v>TXN-RAW-IMP-20260516-FULLDRAFT-000498</x:v>
      </x:c>
      <x:c r="B514" t="str">
        <x:v>RAW-IMP-20260516-FULLDRAFT-000498</x:v>
      </x:c>
      <x:c r="C514" t="str">
        <x:v>KTO001</x:v>
      </x:c>
      <x:c r="D514"/>
      <x:c r="E514" t="str">
        <x:v>KAT013</x:v>
      </x:c>
      <x:c r="F514"/>
      <x:c r="G514"/>
      <x:c r="H514" t="str">
        <x:v>kein_match</x:v>
      </x:c>
      <x:c r="I514" t="str">
        <x:v>Agent-Draft: keine finale Regelentscheidung</x:v>
      </x:c>
      <x:c r="J514" t="n">
        <x:v>45992</x:v>
      </x:c>
      <x:c r="K514"/>
      <x:c r="L514"/>
      <x:c r="M514" t="n">
        <x:v>-1800</x:v>
      </x:c>
      <x:c r="N514" t="str">
        <x:v>2025-12</x:v>
      </x:c>
      <x:c r="O514" t="str">
        <x:v>Ausgabe</x:v>
      </x:c>
      <x:c r="P514" t="str">
        <x:v>Ist</x:v>
      </x:c>
      <x:c r="Q514" s="59" t="b">
        <x:v>0</x:v>
      </x:c>
      <x:c r="R514" t="str">
        <x:v>kein_transfer</x:v>
      </x:c>
      <x:c r="S514"/>
      <x:c r="T514"/>
      <x:c r="U514"/>
      <x:c r="V514" s="59" t="b">
        <x:v>1</x:v>
      </x:c>
      <x:c r="W514"/>
      <x:c r="X514" t="str">
        <x:v>offen</x:v>
      </x:c>
      <x:c r="Y514" t="str">
        <x:v>Agent-Draft; Kategorie und Person pruefen</x:v>
      </x:c>
    </x:row>
    <x:row r="515">
      <x:c r="A515" t="str">
        <x:v>TXN-RAW-IMP-20260516-FULLDRAFT-000499</x:v>
      </x:c>
      <x:c r="B515" t="str">
        <x:v>RAW-IMP-20260516-FULLDRAFT-000499</x:v>
      </x:c>
      <x:c r="C515" t="str">
        <x:v>KTO001</x:v>
      </x:c>
      <x:c r="D515"/>
      <x:c r="E515" t="str">
        <x:v>KAT013</x:v>
      </x:c>
      <x:c r="F515"/>
      <x:c r="G515"/>
      <x:c r="H515" t="str">
        <x:v>kein_match</x:v>
      </x:c>
      <x:c r="I515" t="str">
        <x:v>Agent-Draft: keine finale Regelentscheidung</x:v>
      </x:c>
      <x:c r="J515" t="n">
        <x:v>45992</x:v>
      </x:c>
      <x:c r="K515"/>
      <x:c r="L515"/>
      <x:c r="M515" t="n">
        <x:v>-73.09</x:v>
      </x:c>
      <x:c r="N515" t="str">
        <x:v>2025-12</x:v>
      </x:c>
      <x:c r="O515" t="str">
        <x:v>Ausgabe</x:v>
      </x:c>
      <x:c r="P515" t="str">
        <x:v>Ist</x:v>
      </x:c>
      <x:c r="Q515" s="59" t="b">
        <x:v>0</x:v>
      </x:c>
      <x:c r="R515" t="str">
        <x:v>kein_transfer</x:v>
      </x:c>
      <x:c r="S515"/>
      <x:c r="T515"/>
      <x:c r="U515"/>
      <x:c r="V515" s="59" t="b">
        <x:v>1</x:v>
      </x:c>
      <x:c r="W515"/>
      <x:c r="X515" t="str">
        <x:v>offen</x:v>
      </x:c>
      <x:c r="Y515" t="str">
        <x:v>Agent-Draft; Kategorie und Person pruefen</x:v>
      </x:c>
    </x:row>
    <x:row r="516">
      <x:c r="A516" t="str">
        <x:v>TXN-RAW-IMP-20260516-FULLDRAFT-000500</x:v>
      </x:c>
      <x:c r="B516" t="str">
        <x:v>RAW-IMP-20260516-FULLDRAFT-000500</x:v>
      </x:c>
      <x:c r="C516" t="str">
        <x:v>KTO001</x:v>
      </x:c>
      <x:c r="D516"/>
      <x:c r="E516" t="str">
        <x:v>KAT013</x:v>
      </x:c>
      <x:c r="F516"/>
      <x:c r="G516"/>
      <x:c r="H516" t="str">
        <x:v>kein_match</x:v>
      </x:c>
      <x:c r="I516" t="str">
        <x:v>Agent-Draft: keine finale Regelentscheidung</x:v>
      </x:c>
      <x:c r="J516" t="n">
        <x:v>45992</x:v>
      </x:c>
      <x:c r="K516"/>
      <x:c r="L516"/>
      <x:c r="M516" t="n">
        <x:v>-600</x:v>
      </x:c>
      <x:c r="N516" t="str">
        <x:v>2025-12</x:v>
      </x:c>
      <x:c r="O516" t="str">
        <x:v>Ausgabe</x:v>
      </x:c>
      <x:c r="P516" t="str">
        <x:v>Ist</x:v>
      </x:c>
      <x:c r="Q516" s="59" t="b">
        <x:v>0</x:v>
      </x:c>
      <x:c r="R516" t="str">
        <x:v>kein_transfer</x:v>
      </x:c>
      <x:c r="S516"/>
      <x:c r="T516"/>
      <x:c r="U516"/>
      <x:c r="V516" s="59" t="b">
        <x:v>1</x:v>
      </x:c>
      <x:c r="W516"/>
      <x:c r="X516" t="str">
        <x:v>offen</x:v>
      </x:c>
      <x:c r="Y516" t="str">
        <x:v>Agent-Draft; Kategorie und Person pruefen</x:v>
      </x:c>
    </x:row>
    <x:row r="517">
      <x:c r="A517" t="str">
        <x:v>TXN-RAW-IMP-20260516-FULLDRAFT-000501</x:v>
      </x:c>
      <x:c r="B517" t="str">
        <x:v>RAW-IMP-20260516-FULLDRAFT-000501</x:v>
      </x:c>
      <x:c r="C517" t="str">
        <x:v>KTO001</x:v>
      </x:c>
      <x:c r="D517"/>
      <x:c r="E517" t="str">
        <x:v>KAT013</x:v>
      </x:c>
      <x:c r="F517"/>
      <x:c r="G517"/>
      <x:c r="H517" t="str">
        <x:v>kein_match</x:v>
      </x:c>
      <x:c r="I517" t="str">
        <x:v>Agent-Draft: keine finale Regelentscheidung</x:v>
      </x:c>
      <x:c r="J517" t="n">
        <x:v>45992</x:v>
      </x:c>
      <x:c r="K517"/>
      <x:c r="L517"/>
      <x:c r="M517" t="n">
        <x:v>-452.71</x:v>
      </x:c>
      <x:c r="N517" t="str">
        <x:v>2025-12</x:v>
      </x:c>
      <x:c r="O517" t="str">
        <x:v>Ausgabe</x:v>
      </x:c>
      <x:c r="P517" t="str">
        <x:v>Ist</x:v>
      </x:c>
      <x:c r="Q517" s="59" t="b">
        <x:v>0</x:v>
      </x:c>
      <x:c r="R517" t="str">
        <x:v>kein_transfer</x:v>
      </x:c>
      <x:c r="S517"/>
      <x:c r="T517"/>
      <x:c r="U517"/>
      <x:c r="V517" s="59" t="b">
        <x:v>1</x:v>
      </x:c>
      <x:c r="W517"/>
      <x:c r="X517" t="str">
        <x:v>offen</x:v>
      </x:c>
      <x:c r="Y517" t="str">
        <x:v>Agent-Draft; Kategorie und Person pruefen</x:v>
      </x:c>
    </x:row>
    <x:row r="518">
      <x:c r="A518" t="str">
        <x:v>TXN-RAW-IMP-20260516-FULLDRAFT-000502</x:v>
      </x:c>
      <x:c r="B518" t="str">
        <x:v>RAW-IMP-20260516-FULLDRAFT-000502</x:v>
      </x:c>
      <x:c r="C518" t="str">
        <x:v>KTO001</x:v>
      </x:c>
      <x:c r="D518"/>
      <x:c r="E518" t="str">
        <x:v>KAT013</x:v>
      </x:c>
      <x:c r="F518"/>
      <x:c r="G518"/>
      <x:c r="H518" t="str">
        <x:v>kein_match</x:v>
      </x:c>
      <x:c r="I518" t="str">
        <x:v>Agent-Draft: keine finale Regelentscheidung</x:v>
      </x:c>
      <x:c r="J518" t="n">
        <x:v>45992</x:v>
      </x:c>
      <x:c r="K518"/>
      <x:c r="L518"/>
      <x:c r="M518" t="n">
        <x:v>-393</x:v>
      </x:c>
      <x:c r="N518" t="str">
        <x:v>2025-12</x:v>
      </x:c>
      <x:c r="O518" t="str">
        <x:v>Ausgabe</x:v>
      </x:c>
      <x:c r="P518" t="str">
        <x:v>Ist</x:v>
      </x:c>
      <x:c r="Q518" s="59" t="b">
        <x:v>0</x:v>
      </x:c>
      <x:c r="R518" t="str">
        <x:v>kein_transfer</x:v>
      </x:c>
      <x:c r="S518"/>
      <x:c r="T518"/>
      <x:c r="U518"/>
      <x:c r="V518" s="59" t="b">
        <x:v>1</x:v>
      </x:c>
      <x:c r="W518"/>
      <x:c r="X518" t="str">
        <x:v>offen</x:v>
      </x:c>
      <x:c r="Y518" t="str">
        <x:v>Agent-Draft; Kategorie und Person pruefen</x:v>
      </x:c>
    </x:row>
    <x:row r="519">
      <x:c r="A519" t="str">
        <x:v>TXN-RAW-IMP-20260516-FULLDRAFT-000503</x:v>
      </x:c>
      <x:c r="B519" t="str">
        <x:v>RAW-IMP-20260516-FULLDRAFT-000503</x:v>
      </x:c>
      <x:c r="C519" t="str">
        <x:v>KTO001</x:v>
      </x:c>
      <x:c r="D519"/>
      <x:c r="E519" t="str">
        <x:v>KAT013</x:v>
      </x:c>
      <x:c r="F519"/>
      <x:c r="G519"/>
      <x:c r="H519" t="str">
        <x:v>kein_match</x:v>
      </x:c>
      <x:c r="I519" t="str">
        <x:v>Agent-Draft: keine finale Regelentscheidung</x:v>
      </x:c>
      <x:c r="J519" t="n">
        <x:v>45992</x:v>
      </x:c>
      <x:c r="K519"/>
      <x:c r="L519"/>
      <x:c r="M519" t="n">
        <x:v>-49</x:v>
      </x:c>
      <x:c r="N519" t="str">
        <x:v>2025-12</x:v>
      </x:c>
      <x:c r="O519" t="str">
        <x:v>Ausgabe</x:v>
      </x:c>
      <x:c r="P519" t="str">
        <x:v>Ist</x:v>
      </x:c>
      <x:c r="Q519" s="59" t="b">
        <x:v>0</x:v>
      </x:c>
      <x:c r="R519" t="str">
        <x:v>kein_transfer</x:v>
      </x:c>
      <x:c r="S519"/>
      <x:c r="T519"/>
      <x:c r="U519"/>
      <x:c r="V519" s="59" t="b">
        <x:v>1</x:v>
      </x:c>
      <x:c r="W519"/>
      <x:c r="X519" t="str">
        <x:v>offen</x:v>
      </x:c>
      <x:c r="Y519" t="str">
        <x:v>Agent-Draft; Kategorie und Person pruefen</x:v>
      </x:c>
    </x:row>
    <x:row r="520">
      <x:c r="A520" t="str">
        <x:v>TXN-RAW-IMP-20260516-FULLDRAFT-000504</x:v>
      </x:c>
      <x:c r="B520" t="str">
        <x:v>RAW-IMP-20260516-FULLDRAFT-000504</x:v>
      </x:c>
      <x:c r="C520" t="str">
        <x:v>KTO001</x:v>
      </x:c>
      <x:c r="D520"/>
      <x:c r="E520" t="str">
        <x:v>KAT013</x:v>
      </x:c>
      <x:c r="F520"/>
      <x:c r="G520"/>
      <x:c r="H520" t="str">
        <x:v>kein_match</x:v>
      </x:c>
      <x:c r="I520" t="str">
        <x:v>Agent-Draft: keine finale Regelentscheidung</x:v>
      </x:c>
      <x:c r="J520" t="n">
        <x:v>45992</x:v>
      </x:c>
      <x:c r="K520"/>
      <x:c r="L520"/>
      <x:c r="M520" t="n">
        <x:v>-100.52</x:v>
      </x:c>
      <x:c r="N520" t="str">
        <x:v>2025-12</x:v>
      </x:c>
      <x:c r="O520" t="str">
        <x:v>Ausgabe</x:v>
      </x:c>
      <x:c r="P520" t="str">
        <x:v>Ist</x:v>
      </x:c>
      <x:c r="Q520" s="59" t="b">
        <x:v>0</x:v>
      </x:c>
      <x:c r="R520" t="str">
        <x:v>kein_transfer</x:v>
      </x:c>
      <x:c r="S520"/>
      <x:c r="T520"/>
      <x:c r="U520"/>
      <x:c r="V520" s="59" t="b">
        <x:v>1</x:v>
      </x:c>
      <x:c r="W520"/>
      <x:c r="X520" t="str">
        <x:v>offen</x:v>
      </x:c>
      <x:c r="Y520" t="str">
        <x:v>Agent-Draft; Kategorie und Person pruefen</x:v>
      </x:c>
    </x:row>
    <x:row r="521">
      <x:c r="A521" t="str">
        <x:v>TXN-RAW-IMP-20260516-FULLDRAFT-000505</x:v>
      </x:c>
      <x:c r="B521" t="str">
        <x:v>RAW-IMP-20260516-FULLDRAFT-000505</x:v>
      </x:c>
      <x:c r="C521" t="str">
        <x:v>KTO001</x:v>
      </x:c>
      <x:c r="D521"/>
      <x:c r="E521" t="str">
        <x:v>KAT013</x:v>
      </x:c>
      <x:c r="F521"/>
      <x:c r="G521"/>
      <x:c r="H521" t="str">
        <x:v>kein_match</x:v>
      </x:c>
      <x:c r="I521" t="str">
        <x:v>Agent-Draft: keine finale Regelentscheidung</x:v>
      </x:c>
      <x:c r="J521" t="n">
        <x:v>45992</x:v>
      </x:c>
      <x:c r="K521"/>
      <x:c r="L521"/>
      <x:c r="M521" t="n">
        <x:v>-136.17</x:v>
      </x:c>
      <x:c r="N521" t="str">
        <x:v>2025-12</x:v>
      </x:c>
      <x:c r="O521" t="str">
        <x:v>Ausgabe</x:v>
      </x:c>
      <x:c r="P521" t="str">
        <x:v>Ist</x:v>
      </x:c>
      <x:c r="Q521" s="59" t="b">
        <x:v>0</x:v>
      </x:c>
      <x:c r="R521" t="str">
        <x:v>kein_transfer</x:v>
      </x:c>
      <x:c r="S521"/>
      <x:c r="T521"/>
      <x:c r="U521"/>
      <x:c r="V521" s="59" t="b">
        <x:v>1</x:v>
      </x:c>
      <x:c r="W521"/>
      <x:c r="X521" t="str">
        <x:v>offen</x:v>
      </x:c>
      <x:c r="Y521" t="str">
        <x:v>Agent-Draft; Kategorie und Person pruefen</x:v>
      </x:c>
    </x:row>
    <x:row r="522">
      <x:c r="A522" t="str">
        <x:v>TXN-RAW-IMP-20260516-FULLDRAFT-000506</x:v>
      </x:c>
      <x:c r="B522" t="str">
        <x:v>RAW-IMP-20260516-FULLDRAFT-000506</x:v>
      </x:c>
      <x:c r="C522" t="str">
        <x:v>KTO001</x:v>
      </x:c>
      <x:c r="D522"/>
      <x:c r="E522" t="str">
        <x:v>KAT013</x:v>
      </x:c>
      <x:c r="F522"/>
      <x:c r="G522"/>
      <x:c r="H522" t="str">
        <x:v>kein_match</x:v>
      </x:c>
      <x:c r="I522" t="str">
        <x:v>Agent-Draft: keine finale Regelentscheidung</x:v>
      </x:c>
      <x:c r="J522" t="n">
        <x:v>45992</x:v>
      </x:c>
      <x:c r="K522"/>
      <x:c r="L522"/>
      <x:c r="M522" t="n">
        <x:v>-10</x:v>
      </x:c>
      <x:c r="N522" t="str">
        <x:v>2025-12</x:v>
      </x:c>
      <x:c r="O522" t="str">
        <x:v>Ausgabe</x:v>
      </x:c>
      <x:c r="P522" t="str">
        <x:v>Ist</x:v>
      </x:c>
      <x:c r="Q522" s="59" t="b">
        <x:v>0</x:v>
      </x:c>
      <x:c r="R522" t="str">
        <x:v>kein_transfer</x:v>
      </x:c>
      <x:c r="S522"/>
      <x:c r="T522"/>
      <x:c r="U522"/>
      <x:c r="V522" s="59" t="b">
        <x:v>1</x:v>
      </x:c>
      <x:c r="W522"/>
      <x:c r="X522" t="str">
        <x:v>offen</x:v>
      </x:c>
      <x:c r="Y522" t="str">
        <x:v>Agent-Draft; Kategorie und Person pruefen</x:v>
      </x:c>
    </x:row>
    <x:row r="523">
      <x:c r="A523" t="str">
        <x:v>TXN-RAW-IMP-20260516-FULLDRAFT-000507</x:v>
      </x:c>
      <x:c r="B523" t="str">
        <x:v>RAW-IMP-20260516-FULLDRAFT-000507</x:v>
      </x:c>
      <x:c r="C523" t="str">
        <x:v>KTO001</x:v>
      </x:c>
      <x:c r="D523"/>
      <x:c r="E523" t="str">
        <x:v>KAT013</x:v>
      </x:c>
      <x:c r="F523"/>
      <x:c r="G523"/>
      <x:c r="H523" t="str">
        <x:v>kein_match</x:v>
      </x:c>
      <x:c r="I523" t="str">
        <x:v>Agent-Draft: keine finale Regelentscheidung</x:v>
      </x:c>
      <x:c r="J523" t="n">
        <x:v>45992</x:v>
      </x:c>
      <x:c r="K523"/>
      <x:c r="L523"/>
      <x:c r="M523" t="n">
        <x:v>-1153.94</x:v>
      </x:c>
      <x:c r="N523" t="str">
        <x:v>2025-12</x:v>
      </x:c>
      <x:c r="O523" t="str">
        <x:v>Ausgabe</x:v>
      </x:c>
      <x:c r="P523" t="str">
        <x:v>Ist</x:v>
      </x:c>
      <x:c r="Q523" s="59" t="b">
        <x:v>0</x:v>
      </x:c>
      <x:c r="R523" t="str">
        <x:v>kein_transfer</x:v>
      </x:c>
      <x:c r="S523"/>
      <x:c r="T523"/>
      <x:c r="U523"/>
      <x:c r="V523" s="59" t="b">
        <x:v>1</x:v>
      </x:c>
      <x:c r="W523"/>
      <x:c r="X523" t="str">
        <x:v>offen</x:v>
      </x:c>
      <x:c r="Y523" t="str">
        <x:v>Agent-Draft; Kategorie und Person pruefen</x:v>
      </x:c>
    </x:row>
    <x:row r="524">
      <x:c r="A524" t="str">
        <x:v>TXN-RAW-IMP-20260516-FULLDRAFT-000508</x:v>
      </x:c>
      <x:c r="B524" t="str">
        <x:v>RAW-IMP-20260516-FULLDRAFT-000508</x:v>
      </x:c>
      <x:c r="C524" t="str">
        <x:v>KTO001</x:v>
      </x:c>
      <x:c r="D524"/>
      <x:c r="E524" t="str">
        <x:v>KAT013</x:v>
      </x:c>
      <x:c r="F524"/>
      <x:c r="G524"/>
      <x:c r="H524" t="str">
        <x:v>kein_match</x:v>
      </x:c>
      <x:c r="I524" t="str">
        <x:v>Agent-Draft: keine finale Regelentscheidung</x:v>
      </x:c>
      <x:c r="J524" t="n">
        <x:v>45989</x:v>
      </x:c>
      <x:c r="K524"/>
      <x:c r="L524"/>
      <x:c r="M524" t="n">
        <x:v>-2.59</x:v>
      </x:c>
      <x:c r="N524" t="str">
        <x:v>2025-11</x:v>
      </x:c>
      <x:c r="O524" t="str">
        <x:v>Ausgabe</x:v>
      </x:c>
      <x:c r="P524" t="str">
        <x:v>Ist</x:v>
      </x:c>
      <x:c r="Q524" s="59" t="b">
        <x:v>0</x:v>
      </x:c>
      <x:c r="R524" t="str">
        <x:v>kein_transfer</x:v>
      </x:c>
      <x:c r="S524"/>
      <x:c r="T524"/>
      <x:c r="U524"/>
      <x:c r="V524" s="59" t="b">
        <x:v>1</x:v>
      </x:c>
      <x:c r="W524"/>
      <x:c r="X524" t="str">
        <x:v>offen</x:v>
      </x:c>
      <x:c r="Y524" t="str">
        <x:v>Agent-Draft; Kategorie und Person pruefen</x:v>
      </x:c>
    </x:row>
    <x:row r="525">
      <x:c r="A525" t="str">
        <x:v>TXN-RAW-IMP-20260516-FULLDRAFT-000509</x:v>
      </x:c>
      <x:c r="B525" t="str">
        <x:v>RAW-IMP-20260516-FULLDRAFT-000509</x:v>
      </x:c>
      <x:c r="C525" t="str">
        <x:v>KTO001</x:v>
      </x:c>
      <x:c r="D525"/>
      <x:c r="E525" t="str">
        <x:v>KAT013</x:v>
      </x:c>
      <x:c r="F525"/>
      <x:c r="G525"/>
      <x:c r="H525" t="str">
        <x:v>kein_match</x:v>
      </x:c>
      <x:c r="I525" t="str">
        <x:v>Agent-Draft: keine finale Regelentscheidung</x:v>
      </x:c>
      <x:c r="J525" t="n">
        <x:v>45988</x:v>
      </x:c>
      <x:c r="K525"/>
      <x:c r="L525"/>
      <x:c r="M525" t="n">
        <x:v>7830.4</x:v>
      </x:c>
      <x:c r="N525" t="str">
        <x:v>2025-11</x:v>
      </x:c>
      <x:c r="O525" t="str">
        <x:v>Einnahme</x:v>
      </x:c>
      <x:c r="P525" t="str">
        <x:v>Ist</x:v>
      </x:c>
      <x:c r="Q525" s="59" t="b">
        <x:v>0</x:v>
      </x:c>
      <x:c r="R525" t="str">
        <x:v>kein_transfer</x:v>
      </x:c>
      <x:c r="S525"/>
      <x:c r="T525"/>
      <x:c r="U525"/>
      <x:c r="V525" s="59" t="b">
        <x:v>1</x:v>
      </x:c>
      <x:c r="W525"/>
      <x:c r="X525" t="str">
        <x:v>offen</x:v>
      </x:c>
      <x:c r="Y525" t="str">
        <x:v>Agent-Draft; Kategorie und Person pruefen</x:v>
      </x:c>
    </x:row>
    <x:row r="526">
      <x:c r="A526" t="str">
        <x:v>TXN-RAW-IMP-20260516-FULLDRAFT-000510</x:v>
      </x:c>
      <x:c r="B526" t="str">
        <x:v>RAW-IMP-20260516-FULLDRAFT-000510</x:v>
      </x:c>
      <x:c r="C526" t="str">
        <x:v>KTO001</x:v>
      </x:c>
      <x:c r="D526"/>
      <x:c r="E526" t="str">
        <x:v>KAT013</x:v>
      </x:c>
      <x:c r="F526"/>
      <x:c r="G526"/>
      <x:c r="H526" t="str">
        <x:v>kein_match</x:v>
      </x:c>
      <x:c r="I526" t="str">
        <x:v>Agent-Draft: keine finale Regelentscheidung</x:v>
      </x:c>
      <x:c r="J526" t="n">
        <x:v>45988</x:v>
      </x:c>
      <x:c r="K526"/>
      <x:c r="L526"/>
      <x:c r="M526" t="n">
        <x:v>-36.02</x:v>
      </x:c>
      <x:c r="N526" t="str">
        <x:v>2025-11</x:v>
      </x:c>
      <x:c r="O526" t="str">
        <x:v>Ausgabe</x:v>
      </x:c>
      <x:c r="P526" t="str">
        <x:v>Ist</x:v>
      </x:c>
      <x:c r="Q526" s="59" t="b">
        <x:v>0</x:v>
      </x:c>
      <x:c r="R526" t="str">
        <x:v>kein_transfer</x:v>
      </x:c>
      <x:c r="S526"/>
      <x:c r="T526"/>
      <x:c r="U526"/>
      <x:c r="V526" s="59" t="b">
        <x:v>1</x:v>
      </x:c>
      <x:c r="W526"/>
      <x:c r="X526" t="str">
        <x:v>offen</x:v>
      </x:c>
      <x:c r="Y526" t="str">
        <x:v>Agent-Draft; Kategorie und Person pruefen</x:v>
      </x:c>
    </x:row>
    <x:row r="527">
      <x:c r="A527" t="str">
        <x:v>TXN-RAW-IMP-20260516-FULLDRAFT-000511</x:v>
      </x:c>
      <x:c r="B527" t="str">
        <x:v>RAW-IMP-20260516-FULLDRAFT-000511</x:v>
      </x:c>
      <x:c r="C527" t="str">
        <x:v>KTO001</x:v>
      </x:c>
      <x:c r="D527"/>
      <x:c r="E527" t="str">
        <x:v>KAT013</x:v>
      </x:c>
      <x:c r="F527"/>
      <x:c r="G527"/>
      <x:c r="H527" t="str">
        <x:v>kein_match</x:v>
      </x:c>
      <x:c r="I527" t="str">
        <x:v>Agent-Draft: keine finale Regelentscheidung</x:v>
      </x:c>
      <x:c r="J527" t="n">
        <x:v>45987</x:v>
      </x:c>
      <x:c r="K527"/>
      <x:c r="L527"/>
      <x:c r="M527" t="n">
        <x:v>-30</x:v>
      </x:c>
      <x:c r="N527" t="str">
        <x:v>2025-11</x:v>
      </x:c>
      <x:c r="O527" t="str">
        <x:v>Ausgabe</x:v>
      </x:c>
      <x:c r="P527" t="str">
        <x:v>Ist</x:v>
      </x:c>
      <x:c r="Q527" s="59" t="b">
        <x:v>0</x:v>
      </x:c>
      <x:c r="R527" t="str">
        <x:v>kein_transfer</x:v>
      </x:c>
      <x:c r="S527"/>
      <x:c r="T527"/>
      <x:c r="U527"/>
      <x:c r="V527" s="59" t="b">
        <x:v>1</x:v>
      </x:c>
      <x:c r="W527"/>
      <x:c r="X527" t="str">
        <x:v>offen</x:v>
      </x:c>
      <x:c r="Y527" t="str">
        <x:v>Agent-Draft; Kategorie und Person pruefen</x:v>
      </x:c>
    </x:row>
    <x:row r="528">
      <x:c r="A528" t="str">
        <x:v>TXN-RAW-IMP-20260516-FULLDRAFT-000512</x:v>
      </x:c>
      <x:c r="B528" t="str">
        <x:v>RAW-IMP-20260516-FULLDRAFT-000512</x:v>
      </x:c>
      <x:c r="C528" t="str">
        <x:v>KTO001</x:v>
      </x:c>
      <x:c r="D528"/>
      <x:c r="E528" t="str">
        <x:v>KAT013</x:v>
      </x:c>
      <x:c r="F528"/>
      <x:c r="G528"/>
      <x:c r="H528" t="str">
        <x:v>kein_match</x:v>
      </x:c>
      <x:c r="I528" t="str">
        <x:v>Agent-Draft: keine finale Regelentscheidung</x:v>
      </x:c>
      <x:c r="J528" t="n">
        <x:v>45986</x:v>
      </x:c>
      <x:c r="K528"/>
      <x:c r="L528"/>
      <x:c r="M528" t="n">
        <x:v>-31.44</x:v>
      </x:c>
      <x:c r="N528" t="str">
        <x:v>2025-11</x:v>
      </x:c>
      <x:c r="O528" t="str">
        <x:v>Ausgabe</x:v>
      </x:c>
      <x:c r="P528" t="str">
        <x:v>Ist</x:v>
      </x:c>
      <x:c r="Q528" s="59" t="b">
        <x:v>0</x:v>
      </x:c>
      <x:c r="R528" t="str">
        <x:v>kein_transfer</x:v>
      </x:c>
      <x:c r="S528"/>
      <x:c r="T528"/>
      <x:c r="U528"/>
      <x:c r="V528" s="59" t="b">
        <x:v>1</x:v>
      </x:c>
      <x:c r="W528"/>
      <x:c r="X528" t="str">
        <x:v>offen</x:v>
      </x:c>
      <x:c r="Y528" t="str">
        <x:v>Agent-Draft; Kategorie und Person pruefen</x:v>
      </x:c>
    </x:row>
    <x:row r="529">
      <x:c r="A529" t="str">
        <x:v>TXN-RAW-IMP-20260516-FULLDRAFT-000513</x:v>
      </x:c>
      <x:c r="B529" t="str">
        <x:v>RAW-IMP-20260516-FULLDRAFT-000513</x:v>
      </x:c>
      <x:c r="C529" t="str">
        <x:v>KTO001</x:v>
      </x:c>
      <x:c r="D529"/>
      <x:c r="E529" t="str">
        <x:v>KAT013</x:v>
      </x:c>
      <x:c r="F529"/>
      <x:c r="G529"/>
      <x:c r="H529" t="str">
        <x:v>kein_match</x:v>
      </x:c>
      <x:c r="I529" t="str">
        <x:v>Agent-Draft: keine finale Regelentscheidung</x:v>
      </x:c>
      <x:c r="J529" t="n">
        <x:v>45985</x:v>
      </x:c>
      <x:c r="K529"/>
      <x:c r="L529"/>
      <x:c r="M529" t="n">
        <x:v>-7.55</x:v>
      </x:c>
      <x:c r="N529" t="str">
        <x:v>2025-11</x:v>
      </x:c>
      <x:c r="O529" t="str">
        <x:v>Ausgabe</x:v>
      </x:c>
      <x:c r="P529" t="str">
        <x:v>Ist</x:v>
      </x:c>
      <x:c r="Q529" s="59" t="b">
        <x:v>0</x:v>
      </x:c>
      <x:c r="R529" t="str">
        <x:v>kein_transfer</x:v>
      </x:c>
      <x:c r="S529"/>
      <x:c r="T529"/>
      <x:c r="U529"/>
      <x:c r="V529" s="59" t="b">
        <x:v>1</x:v>
      </x:c>
      <x:c r="W529"/>
      <x:c r="X529" t="str">
        <x:v>offen</x:v>
      </x:c>
      <x:c r="Y529" t="str">
        <x:v>Agent-Draft; Kategorie und Person pruefen</x:v>
      </x:c>
    </x:row>
    <x:row r="530">
      <x:c r="A530" t="str">
        <x:v>TXN-RAW-IMP-20260516-FULLDRAFT-000514</x:v>
      </x:c>
      <x:c r="B530" t="str">
        <x:v>RAW-IMP-20260516-FULLDRAFT-000514</x:v>
      </x:c>
      <x:c r="C530" t="str">
        <x:v>KTO001</x:v>
      </x:c>
      <x:c r="D530"/>
      <x:c r="E530" t="str">
        <x:v>KAT013</x:v>
      </x:c>
      <x:c r="F530"/>
      <x:c r="G530"/>
      <x:c r="H530" t="str">
        <x:v>kein_match</x:v>
      </x:c>
      <x:c r="I530" t="str">
        <x:v>Agent-Draft: keine finale Regelentscheidung</x:v>
      </x:c>
      <x:c r="J530" t="n">
        <x:v>45985</x:v>
      </x:c>
      <x:c r="K530"/>
      <x:c r="L530"/>
      <x:c r="M530" t="n">
        <x:v>-21.39</x:v>
      </x:c>
      <x:c r="N530" t="str">
        <x:v>2025-11</x:v>
      </x:c>
      <x:c r="O530" t="str">
        <x:v>Ausgabe</x:v>
      </x:c>
      <x:c r="P530" t="str">
        <x:v>Ist</x:v>
      </x:c>
      <x:c r="Q530" s="59" t="b">
        <x:v>0</x:v>
      </x:c>
      <x:c r="R530" t="str">
        <x:v>kein_transfer</x:v>
      </x:c>
      <x:c r="S530"/>
      <x:c r="T530"/>
      <x:c r="U530"/>
      <x:c r="V530" s="59" t="b">
        <x:v>1</x:v>
      </x:c>
      <x:c r="W530"/>
      <x:c r="X530" t="str">
        <x:v>offen</x:v>
      </x:c>
      <x:c r="Y530" t="str">
        <x:v>Agent-Draft; Kategorie und Person pruefen</x:v>
      </x:c>
    </x:row>
    <x:row r="531">
      <x:c r="A531" t="str">
        <x:v>TXN-RAW-IMP-20260516-FULLDRAFT-000515</x:v>
      </x:c>
      <x:c r="B531" t="str">
        <x:v>RAW-IMP-20260516-FULLDRAFT-000515</x:v>
      </x:c>
      <x:c r="C531" t="str">
        <x:v>KTO001</x:v>
      </x:c>
      <x:c r="D531"/>
      <x:c r="E531" t="str">
        <x:v>KAT013</x:v>
      </x:c>
      <x:c r="F531"/>
      <x:c r="G531"/>
      <x:c r="H531" t="str">
        <x:v>kein_match</x:v>
      </x:c>
      <x:c r="I531" t="str">
        <x:v>Agent-Draft: keine finale Regelentscheidung</x:v>
      </x:c>
      <x:c r="J531" t="n">
        <x:v>45985</x:v>
      </x:c>
      <x:c r="K531"/>
      <x:c r="L531"/>
      <x:c r="M531" t="n">
        <x:v>-9.99</x:v>
      </x:c>
      <x:c r="N531" t="str">
        <x:v>2025-11</x:v>
      </x:c>
      <x:c r="O531" t="str">
        <x:v>Ausgabe</x:v>
      </x:c>
      <x:c r="P531" t="str">
        <x:v>Ist</x:v>
      </x:c>
      <x:c r="Q531" s="59" t="b">
        <x:v>0</x:v>
      </x:c>
      <x:c r="R531" t="str">
        <x:v>kein_transfer</x:v>
      </x:c>
      <x:c r="S531"/>
      <x:c r="T531"/>
      <x:c r="U531"/>
      <x:c r="V531" s="59" t="b">
        <x:v>1</x:v>
      </x:c>
      <x:c r="W531"/>
      <x:c r="X531" t="str">
        <x:v>offen</x:v>
      </x:c>
      <x:c r="Y531" t="str">
        <x:v>Agent-Draft; Kategorie und Person pruefen</x:v>
      </x:c>
    </x:row>
    <x:row r="532">
      <x:c r="A532" t="str">
        <x:v>TXN-RAW-IMP-20260516-FULLDRAFT-000516</x:v>
      </x:c>
      <x:c r="B532" t="str">
        <x:v>RAW-IMP-20260516-FULLDRAFT-000516</x:v>
      </x:c>
      <x:c r="C532" t="str">
        <x:v>KTO001</x:v>
      </x:c>
      <x:c r="D532"/>
      <x:c r="E532" t="str">
        <x:v>KAT013</x:v>
      </x:c>
      <x:c r="F532"/>
      <x:c r="G532"/>
      <x:c r="H532" t="str">
        <x:v>kein_match</x:v>
      </x:c>
      <x:c r="I532" t="str">
        <x:v>Agent-Draft: keine finale Regelentscheidung</x:v>
      </x:c>
      <x:c r="J532" t="n">
        <x:v>45985</x:v>
      </x:c>
      <x:c r="K532"/>
      <x:c r="L532"/>
      <x:c r="M532" t="n">
        <x:v>-4.92</x:v>
      </x:c>
      <x:c r="N532" t="str">
        <x:v>2025-11</x:v>
      </x:c>
      <x:c r="O532" t="str">
        <x:v>Ausgabe</x:v>
      </x:c>
      <x:c r="P532" t="str">
        <x:v>Ist</x:v>
      </x:c>
      <x:c r="Q532" s="59" t="b">
        <x:v>0</x:v>
      </x:c>
      <x:c r="R532" t="str">
        <x:v>kein_transfer</x:v>
      </x:c>
      <x:c r="S532"/>
      <x:c r="T532"/>
      <x:c r="U532"/>
      <x:c r="V532" s="59" t="b">
        <x:v>1</x:v>
      </x:c>
      <x:c r="W532"/>
      <x:c r="X532" t="str">
        <x:v>offen</x:v>
      </x:c>
      <x:c r="Y532" t="str">
        <x:v>Agent-Draft; Kategorie und Person pruefen</x:v>
      </x:c>
    </x:row>
    <x:row r="533">
      <x:c r="A533" t="str">
        <x:v>TXN-RAW-IMP-20260516-FULLDRAFT-000517</x:v>
      </x:c>
      <x:c r="B533" t="str">
        <x:v>RAW-IMP-20260516-FULLDRAFT-000517</x:v>
      </x:c>
      <x:c r="C533" t="str">
        <x:v>KTO001</x:v>
      </x:c>
      <x:c r="D533"/>
      <x:c r="E533" t="str">
        <x:v>KAT013</x:v>
      </x:c>
      <x:c r="F533"/>
      <x:c r="G533"/>
      <x:c r="H533" t="str">
        <x:v>kein_match</x:v>
      </x:c>
      <x:c r="I533" t="str">
        <x:v>Agent-Draft: keine finale Regelentscheidung</x:v>
      </x:c>
      <x:c r="J533" t="n">
        <x:v>45985</x:v>
      </x:c>
      <x:c r="K533"/>
      <x:c r="L533"/>
      <x:c r="M533" t="n">
        <x:v>-1.49</x:v>
      </x:c>
      <x:c r="N533" t="str">
        <x:v>2025-11</x:v>
      </x:c>
      <x:c r="O533" t="str">
        <x:v>Ausgabe</x:v>
      </x:c>
      <x:c r="P533" t="str">
        <x:v>Ist</x:v>
      </x:c>
      <x:c r="Q533" s="59" t="b">
        <x:v>0</x:v>
      </x:c>
      <x:c r="R533" t="str">
        <x:v>kein_transfer</x:v>
      </x:c>
      <x:c r="S533"/>
      <x:c r="T533"/>
      <x:c r="U533"/>
      <x:c r="V533" s="59" t="b">
        <x:v>1</x:v>
      </x:c>
      <x:c r="W533"/>
      <x:c r="X533" t="str">
        <x:v>offen</x:v>
      </x:c>
      <x:c r="Y533" t="str">
        <x:v>Agent-Draft; Kategorie und Person pruefen</x:v>
      </x:c>
    </x:row>
    <x:row r="534">
      <x:c r="A534" t="str">
        <x:v>TXN-RAW-IMP-20260516-FULLDRAFT-000518</x:v>
      </x:c>
      <x:c r="B534" t="str">
        <x:v>RAW-IMP-20260516-FULLDRAFT-000518</x:v>
      </x:c>
      <x:c r="C534" t="str">
        <x:v>KTO001</x:v>
      </x:c>
      <x:c r="D534"/>
      <x:c r="E534" t="str">
        <x:v>KAT013</x:v>
      </x:c>
      <x:c r="F534"/>
      <x:c r="G534"/>
      <x:c r="H534" t="str">
        <x:v>kein_match</x:v>
      </x:c>
      <x:c r="I534" t="str">
        <x:v>Agent-Draft: keine finale Regelentscheidung</x:v>
      </x:c>
      <x:c r="J534" t="n">
        <x:v>45985</x:v>
      </x:c>
      <x:c r="K534"/>
      <x:c r="L534"/>
      <x:c r="M534" t="n">
        <x:v>-6.8</x:v>
      </x:c>
      <x:c r="N534" t="str">
        <x:v>2025-11</x:v>
      </x:c>
      <x:c r="O534" t="str">
        <x:v>Ausgabe</x:v>
      </x:c>
      <x:c r="P534" t="str">
        <x:v>Ist</x:v>
      </x:c>
      <x:c r="Q534" s="59" t="b">
        <x:v>0</x:v>
      </x:c>
      <x:c r="R534" t="str">
        <x:v>kein_transfer</x:v>
      </x:c>
      <x:c r="S534"/>
      <x:c r="T534"/>
      <x:c r="U534"/>
      <x:c r="V534" s="59" t="b">
        <x:v>1</x:v>
      </x:c>
      <x:c r="W534"/>
      <x:c r="X534" t="str">
        <x:v>offen</x:v>
      </x:c>
      <x:c r="Y534" t="str">
        <x:v>Agent-Draft; Kategorie und Person pruefen</x:v>
      </x:c>
    </x:row>
    <x:row r="535">
      <x:c r="A535" t="str">
        <x:v>TXN-RAW-IMP-20260516-FULLDRAFT-000519</x:v>
      </x:c>
      <x:c r="B535" t="str">
        <x:v>RAW-IMP-20260516-FULLDRAFT-000519</x:v>
      </x:c>
      <x:c r="C535" t="str">
        <x:v>KTO001</x:v>
      </x:c>
      <x:c r="D535"/>
      <x:c r="E535" t="str">
        <x:v>KAT013</x:v>
      </x:c>
      <x:c r="F535"/>
      <x:c r="G535"/>
      <x:c r="H535" t="str">
        <x:v>kein_match</x:v>
      </x:c>
      <x:c r="I535" t="str">
        <x:v>Agent-Draft: keine finale Regelentscheidung</x:v>
      </x:c>
      <x:c r="J535" t="n">
        <x:v>45985</x:v>
      </x:c>
      <x:c r="K535"/>
      <x:c r="L535"/>
      <x:c r="M535" t="n">
        <x:v>-2.99</x:v>
      </x:c>
      <x:c r="N535" t="str">
        <x:v>2025-11</x:v>
      </x:c>
      <x:c r="O535" t="str">
        <x:v>Ausgabe</x:v>
      </x:c>
      <x:c r="P535" t="str">
        <x:v>Ist</x:v>
      </x:c>
      <x:c r="Q535" s="59" t="b">
        <x:v>0</x:v>
      </x:c>
      <x:c r="R535" t="str">
        <x:v>kein_transfer</x:v>
      </x:c>
      <x:c r="S535"/>
      <x:c r="T535"/>
      <x:c r="U535"/>
      <x:c r="V535" s="59" t="b">
        <x:v>1</x:v>
      </x:c>
      <x:c r="W535"/>
      <x:c r="X535" t="str">
        <x:v>offen</x:v>
      </x:c>
      <x:c r="Y535" t="str">
        <x:v>Agent-Draft; Kategorie und Person pruefen</x:v>
      </x:c>
    </x:row>
    <x:row r="536">
      <x:c r="A536" t="str">
        <x:v>TXN-RAW-IMP-20260516-FULLDRAFT-000520</x:v>
      </x:c>
      <x:c r="B536" t="str">
        <x:v>RAW-IMP-20260516-FULLDRAFT-000520</x:v>
      </x:c>
      <x:c r="C536" t="str">
        <x:v>KTO001</x:v>
      </x:c>
      <x:c r="D536"/>
      <x:c r="E536" t="str">
        <x:v>KAT013</x:v>
      </x:c>
      <x:c r="F536"/>
      <x:c r="G536"/>
      <x:c r="H536" t="str">
        <x:v>kein_match</x:v>
      </x:c>
      <x:c r="I536" t="str">
        <x:v>Agent-Draft: keine finale Regelentscheidung</x:v>
      </x:c>
      <x:c r="J536" t="n">
        <x:v>45985</x:v>
      </x:c>
      <x:c r="K536"/>
      <x:c r="L536"/>
      <x:c r="M536" t="n">
        <x:v>-2.99</x:v>
      </x:c>
      <x:c r="N536" t="str">
        <x:v>2025-11</x:v>
      </x:c>
      <x:c r="O536" t="str">
        <x:v>Ausgabe</x:v>
      </x:c>
      <x:c r="P536" t="str">
        <x:v>Ist</x:v>
      </x:c>
      <x:c r="Q536" s="59" t="b">
        <x:v>0</x:v>
      </x:c>
      <x:c r="R536" t="str">
        <x:v>kein_transfer</x:v>
      </x:c>
      <x:c r="S536"/>
      <x:c r="T536"/>
      <x:c r="U536"/>
      <x:c r="V536" s="59" t="b">
        <x:v>1</x:v>
      </x:c>
      <x:c r="W536"/>
      <x:c r="X536" t="str">
        <x:v>offen</x:v>
      </x:c>
      <x:c r="Y536" t="str">
        <x:v>Agent-Draft; Kategorie und Person pruefen</x:v>
      </x:c>
    </x:row>
    <x:row r="537">
      <x:c r="A537" t="str">
        <x:v>TXN-RAW-IMP-20260516-FULLDRAFT-000521</x:v>
      </x:c>
      <x:c r="B537" t="str">
        <x:v>RAW-IMP-20260516-FULLDRAFT-000521</x:v>
      </x:c>
      <x:c r="C537" t="str">
        <x:v>KTO001</x:v>
      </x:c>
      <x:c r="D537"/>
      <x:c r="E537" t="str">
        <x:v>KAT013</x:v>
      </x:c>
      <x:c r="F537"/>
      <x:c r="G537"/>
      <x:c r="H537" t="str">
        <x:v>kein_match</x:v>
      </x:c>
      <x:c r="I537" t="str">
        <x:v>Agent-Draft: keine finale Regelentscheidung</x:v>
      </x:c>
      <x:c r="J537" t="n">
        <x:v>45985</x:v>
      </x:c>
      <x:c r="K537"/>
      <x:c r="L537"/>
      <x:c r="M537" t="n">
        <x:v>-77.68</x:v>
      </x:c>
      <x:c r="N537" t="str">
        <x:v>2025-11</x:v>
      </x:c>
      <x:c r="O537" t="str">
        <x:v>Ausgabe</x:v>
      </x:c>
      <x:c r="P537" t="str">
        <x:v>Ist</x:v>
      </x:c>
      <x:c r="Q537" s="59" t="b">
        <x:v>0</x:v>
      </x:c>
      <x:c r="R537" t="str">
        <x:v>kein_transfer</x:v>
      </x:c>
      <x:c r="S537"/>
      <x:c r="T537"/>
      <x:c r="U537"/>
      <x:c r="V537" s="59" t="b">
        <x:v>1</x:v>
      </x:c>
      <x:c r="W537"/>
      <x:c r="X537" t="str">
        <x:v>offen</x:v>
      </x:c>
      <x:c r="Y537" t="str">
        <x:v>Agent-Draft; Kategorie und Person pruefen</x:v>
      </x:c>
    </x:row>
    <x:row r="538">
      <x:c r="A538" t="str">
        <x:v>TXN-RAW-IMP-20260516-FULLDRAFT-000522</x:v>
      </x:c>
      <x:c r="B538" t="str">
        <x:v>RAW-IMP-20260516-FULLDRAFT-000522</x:v>
      </x:c>
      <x:c r="C538" t="str">
        <x:v>KTO001</x:v>
      </x:c>
      <x:c r="D538"/>
      <x:c r="E538" t="str">
        <x:v>KAT013</x:v>
      </x:c>
      <x:c r="F538"/>
      <x:c r="G538"/>
      <x:c r="H538" t="str">
        <x:v>kein_match</x:v>
      </x:c>
      <x:c r="I538" t="str">
        <x:v>Agent-Draft: keine finale Regelentscheidung</x:v>
      </x:c>
      <x:c r="J538" t="n">
        <x:v>45985</x:v>
      </x:c>
      <x:c r="K538"/>
      <x:c r="L538"/>
      <x:c r="M538" t="n">
        <x:v>-150</x:v>
      </x:c>
      <x:c r="N538" t="str">
        <x:v>2025-11</x:v>
      </x:c>
      <x:c r="O538" t="str">
        <x:v>Ausgabe</x:v>
      </x:c>
      <x:c r="P538" t="str">
        <x:v>Ist</x:v>
      </x:c>
      <x:c r="Q538" s="59" t="b">
        <x:v>0</x:v>
      </x:c>
      <x:c r="R538" t="str">
        <x:v>kein_transfer</x:v>
      </x:c>
      <x:c r="S538"/>
      <x:c r="T538"/>
      <x:c r="U538"/>
      <x:c r="V538" s="59" t="b">
        <x:v>1</x:v>
      </x:c>
      <x:c r="W538"/>
      <x:c r="X538" t="str">
        <x:v>offen</x:v>
      </x:c>
      <x:c r="Y538" t="str">
        <x:v>Agent-Draft; Kategorie und Person pruefen</x:v>
      </x:c>
    </x:row>
    <x:row r="539">
      <x:c r="A539" t="str">
        <x:v>TXN-RAW-IMP-20260516-FULLDRAFT-000523</x:v>
      </x:c>
      <x:c r="B539" t="str">
        <x:v>RAW-IMP-20260516-FULLDRAFT-000523</x:v>
      </x:c>
      <x:c r="C539" t="str">
        <x:v>KTO001</x:v>
      </x:c>
      <x:c r="D539"/>
      <x:c r="E539" t="str">
        <x:v>KAT013</x:v>
      </x:c>
      <x:c r="F539"/>
      <x:c r="G539"/>
      <x:c r="H539" t="str">
        <x:v>kein_match</x:v>
      </x:c>
      <x:c r="I539" t="str">
        <x:v>Agent-Draft: keine finale Regelentscheidung</x:v>
      </x:c>
      <x:c r="J539" t="n">
        <x:v>45985</x:v>
      </x:c>
      <x:c r="K539"/>
      <x:c r="L539"/>
      <x:c r="M539" t="n">
        <x:v>-4.99</x:v>
      </x:c>
      <x:c r="N539" t="str">
        <x:v>2025-11</x:v>
      </x:c>
      <x:c r="O539" t="str">
        <x:v>Ausgabe</x:v>
      </x:c>
      <x:c r="P539" t="str">
        <x:v>Ist</x:v>
      </x:c>
      <x:c r="Q539" s="59" t="b">
        <x:v>0</x:v>
      </x:c>
      <x:c r="R539" t="str">
        <x:v>kein_transfer</x:v>
      </x:c>
      <x:c r="S539"/>
      <x:c r="T539"/>
      <x:c r="U539"/>
      <x:c r="V539" s="59" t="b">
        <x:v>1</x:v>
      </x:c>
      <x:c r="W539"/>
      <x:c r="X539" t="str">
        <x:v>offen</x:v>
      </x:c>
      <x:c r="Y539" t="str">
        <x:v>Agent-Draft; Kategorie und Person pruefen</x:v>
      </x:c>
    </x:row>
    <x:row r="540">
      <x:c r="A540" t="str">
        <x:v>TXN-RAW-IMP-20260516-FULLDRAFT-000524</x:v>
      </x:c>
      <x:c r="B540" t="str">
        <x:v>RAW-IMP-20260516-FULLDRAFT-000524</x:v>
      </x:c>
      <x:c r="C540" t="str">
        <x:v>KTO001</x:v>
      </x:c>
      <x:c r="D540"/>
      <x:c r="E540" t="str">
        <x:v>KAT013</x:v>
      </x:c>
      <x:c r="F540"/>
      <x:c r="G540"/>
      <x:c r="H540" t="str">
        <x:v>kein_match</x:v>
      </x:c>
      <x:c r="I540" t="str">
        <x:v>Agent-Draft: keine finale Regelentscheidung</x:v>
      </x:c>
      <x:c r="J540" t="n">
        <x:v>45982</x:v>
      </x:c>
      <x:c r="K540"/>
      <x:c r="L540"/>
      <x:c r="M540" t="n">
        <x:v>23.22</x:v>
      </x:c>
      <x:c r="N540" t="str">
        <x:v>2025-11</x:v>
      </x:c>
      <x:c r="O540" t="str">
        <x:v>Einnahme</x:v>
      </x:c>
      <x:c r="P540" t="str">
        <x:v>Ist</x:v>
      </x:c>
      <x:c r="Q540" s="59" t="b">
        <x:v>0</x:v>
      </x:c>
      <x:c r="R540" t="str">
        <x:v>kein_transfer</x:v>
      </x:c>
      <x:c r="S540"/>
      <x:c r="T540"/>
      <x:c r="U540"/>
      <x:c r="V540" s="59" t="b">
        <x:v>1</x:v>
      </x:c>
      <x:c r="W540"/>
      <x:c r="X540" t="str">
        <x:v>offen</x:v>
      </x:c>
      <x:c r="Y540" t="str">
        <x:v>Agent-Draft; Kategorie und Person pruefen</x:v>
      </x:c>
    </x:row>
    <x:row r="541">
      <x:c r="A541" t="str">
        <x:v>TXN-RAW-IMP-20260516-FULLDRAFT-000525</x:v>
      </x:c>
      <x:c r="B541" t="str">
        <x:v>RAW-IMP-20260516-FULLDRAFT-000525</x:v>
      </x:c>
      <x:c r="C541" t="str">
        <x:v>KTO001</x:v>
      </x:c>
      <x:c r="D541"/>
      <x:c r="E541" t="str">
        <x:v>KAT013</x:v>
      </x:c>
      <x:c r="F541"/>
      <x:c r="G541"/>
      <x:c r="H541" t="str">
        <x:v>kein_match</x:v>
      </x:c>
      <x:c r="I541" t="str">
        <x:v>Agent-Draft: keine finale Regelentscheidung</x:v>
      </x:c>
      <x:c r="J541" t="n">
        <x:v>45982</x:v>
      </x:c>
      <x:c r="K541"/>
      <x:c r="L541"/>
      <x:c r="M541" t="n">
        <x:v>-35</x:v>
      </x:c>
      <x:c r="N541" t="str">
        <x:v>2025-11</x:v>
      </x:c>
      <x:c r="O541" t="str">
        <x:v>Ausgabe</x:v>
      </x:c>
      <x:c r="P541" t="str">
        <x:v>Ist</x:v>
      </x:c>
      <x:c r="Q541" s="59" t="b">
        <x:v>0</x:v>
      </x:c>
      <x:c r="R541" t="str">
        <x:v>kein_transfer</x:v>
      </x:c>
      <x:c r="S541"/>
      <x:c r="T541"/>
      <x:c r="U541"/>
      <x:c r="V541" s="59" t="b">
        <x:v>1</x:v>
      </x:c>
      <x:c r="W541"/>
      <x:c r="X541" t="str">
        <x:v>offen</x:v>
      </x:c>
      <x:c r="Y541" t="str">
        <x:v>Agent-Draft; Kategorie und Person pruefen</x:v>
      </x:c>
    </x:row>
    <x:row r="542">
      <x:c r="A542" t="str">
        <x:v>TXN-RAW-IMP-20260516-FULLDRAFT-000526</x:v>
      </x:c>
      <x:c r="B542" t="str">
        <x:v>RAW-IMP-20260516-FULLDRAFT-000526</x:v>
      </x:c>
      <x:c r="C542" t="str">
        <x:v>KTO001</x:v>
      </x:c>
      <x:c r="D542"/>
      <x:c r="E542" t="str">
        <x:v>KAT013</x:v>
      </x:c>
      <x:c r="F542"/>
      <x:c r="G542"/>
      <x:c r="H542" t="str">
        <x:v>kein_match</x:v>
      </x:c>
      <x:c r="I542" t="str">
        <x:v>Agent-Draft: keine finale Regelentscheidung</x:v>
      </x:c>
      <x:c r="J542" t="n">
        <x:v>45982</x:v>
      </x:c>
      <x:c r="K542"/>
      <x:c r="L542"/>
      <x:c r="M542" t="n">
        <x:v>-6.99</x:v>
      </x:c>
      <x:c r="N542" t="str">
        <x:v>2025-11</x:v>
      </x:c>
      <x:c r="O542" t="str">
        <x:v>Ausgabe</x:v>
      </x:c>
      <x:c r="P542" t="str">
        <x:v>Ist</x:v>
      </x:c>
      <x:c r="Q542" s="59" t="b">
        <x:v>0</x:v>
      </x:c>
      <x:c r="R542" t="str">
        <x:v>kein_transfer</x:v>
      </x:c>
      <x:c r="S542"/>
      <x:c r="T542"/>
      <x:c r="U542"/>
      <x:c r="V542" s="59" t="b">
        <x:v>1</x:v>
      </x:c>
      <x:c r="W542"/>
      <x:c r="X542" t="str">
        <x:v>offen</x:v>
      </x:c>
      <x:c r="Y542" t="str">
        <x:v>Agent-Draft; Kategorie und Person pruefen</x:v>
      </x:c>
    </x:row>
    <x:row r="543">
      <x:c r="A543" t="str">
        <x:v>TXN-RAW-IMP-20260516-FULLDRAFT-000527</x:v>
      </x:c>
      <x:c r="B543" t="str">
        <x:v>RAW-IMP-20260516-FULLDRAFT-000527</x:v>
      </x:c>
      <x:c r="C543" t="str">
        <x:v>KTO001</x:v>
      </x:c>
      <x:c r="D543"/>
      <x:c r="E543" t="str">
        <x:v>KAT013</x:v>
      </x:c>
      <x:c r="F543"/>
      <x:c r="G543"/>
      <x:c r="H543" t="str">
        <x:v>kein_match</x:v>
      </x:c>
      <x:c r="I543" t="str">
        <x:v>Agent-Draft: keine finale Regelentscheidung</x:v>
      </x:c>
      <x:c r="J543" t="n">
        <x:v>45981</x:v>
      </x:c>
      <x:c r="K543"/>
      <x:c r="L543"/>
      <x:c r="M543" t="n">
        <x:v>-4.99</x:v>
      </x:c>
      <x:c r="N543" t="str">
        <x:v>2025-11</x:v>
      </x:c>
      <x:c r="O543" t="str">
        <x:v>Ausgabe</x:v>
      </x:c>
      <x:c r="P543" t="str">
        <x:v>Ist</x:v>
      </x:c>
      <x:c r="Q543" s="59" t="b">
        <x:v>0</x:v>
      </x:c>
      <x:c r="R543" t="str">
        <x:v>kein_transfer</x:v>
      </x:c>
      <x:c r="S543"/>
      <x:c r="T543"/>
      <x:c r="U543"/>
      <x:c r="V543" s="59" t="b">
        <x:v>1</x:v>
      </x:c>
      <x:c r="W543"/>
      <x:c r="X543" t="str">
        <x:v>offen</x:v>
      </x:c>
      <x:c r="Y543" t="str">
        <x:v>Agent-Draft; Kategorie und Person pruefen</x:v>
      </x:c>
    </x:row>
    <x:row r="544">
      <x:c r="A544" t="str">
        <x:v>TXN-RAW-IMP-20260516-FULLDRAFT-000528</x:v>
      </x:c>
      <x:c r="B544" t="str">
        <x:v>RAW-IMP-20260516-FULLDRAFT-000528</x:v>
      </x:c>
      <x:c r="C544" t="str">
        <x:v>KTO001</x:v>
      </x:c>
      <x:c r="D544"/>
      <x:c r="E544" t="str">
        <x:v>KAT013</x:v>
      </x:c>
      <x:c r="F544"/>
      <x:c r="G544"/>
      <x:c r="H544" t="str">
        <x:v>kein_match</x:v>
      </x:c>
      <x:c r="I544" t="str">
        <x:v>Agent-Draft: keine finale Regelentscheidung</x:v>
      </x:c>
      <x:c r="J544" t="n">
        <x:v>45981</x:v>
      </x:c>
      <x:c r="K544"/>
      <x:c r="L544"/>
      <x:c r="M544" t="n">
        <x:v>-3.95</x:v>
      </x:c>
      <x:c r="N544" t="str">
        <x:v>2025-11</x:v>
      </x:c>
      <x:c r="O544" t="str">
        <x:v>Ausgabe</x:v>
      </x:c>
      <x:c r="P544" t="str">
        <x:v>Ist</x:v>
      </x:c>
      <x:c r="Q544" s="59" t="b">
        <x:v>0</x:v>
      </x:c>
      <x:c r="R544" t="str">
        <x:v>kein_transfer</x:v>
      </x:c>
      <x:c r="S544"/>
      <x:c r="T544"/>
      <x:c r="U544"/>
      <x:c r="V544" s="59" t="b">
        <x:v>1</x:v>
      </x:c>
      <x:c r="W544"/>
      <x:c r="X544" t="str">
        <x:v>offen</x:v>
      </x:c>
      <x:c r="Y544" t="str">
        <x:v>Agent-Draft; Kategorie und Person pruefen</x:v>
      </x:c>
    </x:row>
    <x:row r="545">
      <x:c r="A545" t="str">
        <x:v>TXN-RAW-IMP-20260516-FULLDRAFT-000529</x:v>
      </x:c>
      <x:c r="B545" t="str">
        <x:v>RAW-IMP-20260516-FULLDRAFT-000529</x:v>
      </x:c>
      <x:c r="C545" t="str">
        <x:v>KTO001</x:v>
      </x:c>
      <x:c r="D545"/>
      <x:c r="E545" t="str">
        <x:v>KAT013</x:v>
      </x:c>
      <x:c r="F545"/>
      <x:c r="G545"/>
      <x:c r="H545" t="str">
        <x:v>kein_match</x:v>
      </x:c>
      <x:c r="I545" t="str">
        <x:v>Agent-Draft: keine finale Regelentscheidung</x:v>
      </x:c>
      <x:c r="J545" t="n">
        <x:v>45981</x:v>
      </x:c>
      <x:c r="K545"/>
      <x:c r="L545"/>
      <x:c r="M545" t="n">
        <x:v>-6.2</x:v>
      </x:c>
      <x:c r="N545" t="str">
        <x:v>2025-11</x:v>
      </x:c>
      <x:c r="O545" t="str">
        <x:v>Ausgabe</x:v>
      </x:c>
      <x:c r="P545" t="str">
        <x:v>Ist</x:v>
      </x:c>
      <x:c r="Q545" s="59" t="b">
        <x:v>0</x:v>
      </x:c>
      <x:c r="R545" t="str">
        <x:v>kein_transfer</x:v>
      </x:c>
      <x:c r="S545"/>
      <x:c r="T545"/>
      <x:c r="U545"/>
      <x:c r="V545" s="59" t="b">
        <x:v>1</x:v>
      </x:c>
      <x:c r="W545"/>
      <x:c r="X545" t="str">
        <x:v>offen</x:v>
      </x:c>
      <x:c r="Y545" t="str">
        <x:v>Agent-Draft; Kategorie und Person pruefen</x:v>
      </x:c>
    </x:row>
    <x:row r="546">
      <x:c r="A546" t="str">
        <x:v>TXN-RAW-IMP-20260516-FULLDRAFT-000530</x:v>
      </x:c>
      <x:c r="B546" t="str">
        <x:v>RAW-IMP-20260516-FULLDRAFT-000530</x:v>
      </x:c>
      <x:c r="C546" t="str">
        <x:v>KTO001</x:v>
      </x:c>
      <x:c r="D546"/>
      <x:c r="E546" t="str">
        <x:v>KAT013</x:v>
      </x:c>
      <x:c r="F546"/>
      <x:c r="G546"/>
      <x:c r="H546" t="str">
        <x:v>kein_match</x:v>
      </x:c>
      <x:c r="I546" t="str">
        <x:v>Agent-Draft: keine finale Regelentscheidung</x:v>
      </x:c>
      <x:c r="J546" t="n">
        <x:v>45981</x:v>
      </x:c>
      <x:c r="K546"/>
      <x:c r="L546"/>
      <x:c r="M546" t="n">
        <x:v>500</x:v>
      </x:c>
      <x:c r="N546" t="str">
        <x:v>2025-11</x:v>
      </x:c>
      <x:c r="O546" t="str">
        <x:v>Einnahme</x:v>
      </x:c>
      <x:c r="P546" t="str">
        <x:v>Ist</x:v>
      </x:c>
      <x:c r="Q546" s="59" t="b">
        <x:v>0</x:v>
      </x:c>
      <x:c r="R546" t="str">
        <x:v>unklar</x:v>
      </x:c>
      <x:c r="S546"/>
      <x:c r="T546"/>
      <x:c r="U546"/>
      <x:c r="V546" s="59" t="b">
        <x:v>1</x:v>
      </x:c>
      <x:c r="W546" t="str">
        <x:v>Transferkandidat im Draft</x:v>
      </x:c>
      <x:c r="X546" t="str">
        <x:v>offen</x:v>
      </x:c>
      <x:c r="Y546" t="str">
        <x:v>Agent-Draft; Kategorie und Person pruefen</x:v>
      </x:c>
    </x:row>
    <x:row r="547">
      <x:c r="A547" t="str">
        <x:v>TXN-RAW-IMP-20260516-FULLDRAFT-000531</x:v>
      </x:c>
      <x:c r="B547" t="str">
        <x:v>RAW-IMP-20260516-FULLDRAFT-000531</x:v>
      </x:c>
      <x:c r="C547" t="str">
        <x:v>KTO001</x:v>
      </x:c>
      <x:c r="D547"/>
      <x:c r="E547" t="str">
        <x:v>KAT013</x:v>
      </x:c>
      <x:c r="F547"/>
      <x:c r="G547"/>
      <x:c r="H547" t="str">
        <x:v>kein_match</x:v>
      </x:c>
      <x:c r="I547" t="str">
        <x:v>Agent-Draft: keine finale Regelentscheidung</x:v>
      </x:c>
      <x:c r="J547" t="n">
        <x:v>45981</x:v>
      </x:c>
      <x:c r="K547"/>
      <x:c r="L547"/>
      <x:c r="M547" t="n">
        <x:v>-6.99</x:v>
      </x:c>
      <x:c r="N547" t="str">
        <x:v>2025-11</x:v>
      </x:c>
      <x:c r="O547" t="str">
        <x:v>Ausgabe</x:v>
      </x:c>
      <x:c r="P547" t="str">
        <x:v>Ist</x:v>
      </x:c>
      <x:c r="Q547" s="59" t="b">
        <x:v>0</x:v>
      </x:c>
      <x:c r="R547" t="str">
        <x:v>kein_transfer</x:v>
      </x:c>
      <x:c r="S547"/>
      <x:c r="T547"/>
      <x:c r="U547"/>
      <x:c r="V547" s="59" t="b">
        <x:v>1</x:v>
      </x:c>
      <x:c r="W547"/>
      <x:c r="X547" t="str">
        <x:v>offen</x:v>
      </x:c>
      <x:c r="Y547" t="str">
        <x:v>Agent-Draft; Kategorie und Person pruefen</x:v>
      </x:c>
    </x:row>
    <x:row r="548">
      <x:c r="A548" t="str">
        <x:v>TXN-RAW-IMP-20260516-FULLDRAFT-000532</x:v>
      </x:c>
      <x:c r="B548" t="str">
        <x:v>RAW-IMP-20260516-FULLDRAFT-000532</x:v>
      </x:c>
      <x:c r="C548" t="str">
        <x:v>KTO001</x:v>
      </x:c>
      <x:c r="D548"/>
      <x:c r="E548" t="str">
        <x:v>KAT013</x:v>
      </x:c>
      <x:c r="F548"/>
      <x:c r="G548"/>
      <x:c r="H548" t="str">
        <x:v>kein_match</x:v>
      </x:c>
      <x:c r="I548" t="str">
        <x:v>Agent-Draft: keine finale Regelentscheidung</x:v>
      </x:c>
      <x:c r="J548" t="n">
        <x:v>45980</x:v>
      </x:c>
      <x:c r="K548"/>
      <x:c r="L548"/>
      <x:c r="M548" t="n">
        <x:v>-12</x:v>
      </x:c>
      <x:c r="N548" t="str">
        <x:v>2025-11</x:v>
      </x:c>
      <x:c r="O548" t="str">
        <x:v>Ausgabe</x:v>
      </x:c>
      <x:c r="P548" t="str">
        <x:v>Ist</x:v>
      </x:c>
      <x:c r="Q548" s="59" t="b">
        <x:v>0</x:v>
      </x:c>
      <x:c r="R548" t="str">
        <x:v>kein_transfer</x:v>
      </x:c>
      <x:c r="S548"/>
      <x:c r="T548"/>
      <x:c r="U548"/>
      <x:c r="V548" s="59" t="b">
        <x:v>1</x:v>
      </x:c>
      <x:c r="W548"/>
      <x:c r="X548" t="str">
        <x:v>offen</x:v>
      </x:c>
      <x:c r="Y548" t="str">
        <x:v>Agent-Draft; Kategorie und Person pruefen</x:v>
      </x:c>
    </x:row>
    <x:row r="549">
      <x:c r="A549" t="str">
        <x:v>TXN-RAW-IMP-20260516-FULLDRAFT-000533</x:v>
      </x:c>
      <x:c r="B549" t="str">
        <x:v>RAW-IMP-20260516-FULLDRAFT-000533</x:v>
      </x:c>
      <x:c r="C549" t="str">
        <x:v>KTO001</x:v>
      </x:c>
      <x:c r="D549"/>
      <x:c r="E549" t="str">
        <x:v>KAT013</x:v>
      </x:c>
      <x:c r="F549"/>
      <x:c r="G549"/>
      <x:c r="H549" t="str">
        <x:v>kein_match</x:v>
      </x:c>
      <x:c r="I549" t="str">
        <x:v>Agent-Draft: keine finale Regelentscheidung</x:v>
      </x:c>
      <x:c r="J549" t="n">
        <x:v>45980</x:v>
      </x:c>
      <x:c r="K549"/>
      <x:c r="L549"/>
      <x:c r="M549" t="n">
        <x:v>-23.94</x:v>
      </x:c>
      <x:c r="N549" t="str">
        <x:v>2025-11</x:v>
      </x:c>
      <x:c r="O549" t="str">
        <x:v>Ausgabe</x:v>
      </x:c>
      <x:c r="P549" t="str">
        <x:v>Ist</x:v>
      </x:c>
      <x:c r="Q549" s="59" t="b">
        <x:v>0</x:v>
      </x:c>
      <x:c r="R549" t="str">
        <x:v>kein_transfer</x:v>
      </x:c>
      <x:c r="S549"/>
      <x:c r="T549"/>
      <x:c r="U549"/>
      <x:c r="V549" s="59" t="b">
        <x:v>1</x:v>
      </x:c>
      <x:c r="W549"/>
      <x:c r="X549" t="str">
        <x:v>offen</x:v>
      </x:c>
      <x:c r="Y549" t="str">
        <x:v>Agent-Draft; Kategorie und Person pruefen</x:v>
      </x:c>
    </x:row>
    <x:row r="550">
      <x:c r="A550" t="str">
        <x:v>TXN-RAW-IMP-20260516-FULLDRAFT-000534</x:v>
      </x:c>
      <x:c r="B550" t="str">
        <x:v>RAW-IMP-20260516-FULLDRAFT-000534</x:v>
      </x:c>
      <x:c r="C550" t="str">
        <x:v>KTO001</x:v>
      </x:c>
      <x:c r="D550"/>
      <x:c r="E550" t="str">
        <x:v>KAT013</x:v>
      </x:c>
      <x:c r="F550"/>
      <x:c r="G550"/>
      <x:c r="H550" t="str">
        <x:v>kein_match</x:v>
      </x:c>
      <x:c r="I550" t="str">
        <x:v>Agent-Draft: keine finale Regelentscheidung</x:v>
      </x:c>
      <x:c r="J550" t="n">
        <x:v>45980</x:v>
      </x:c>
      <x:c r="K550"/>
      <x:c r="L550"/>
      <x:c r="M550" t="n">
        <x:v>-6.99</x:v>
      </x:c>
      <x:c r="N550" t="str">
        <x:v>2025-11</x:v>
      </x:c>
      <x:c r="O550" t="str">
        <x:v>Ausgabe</x:v>
      </x:c>
      <x:c r="P550" t="str">
        <x:v>Ist</x:v>
      </x:c>
      <x:c r="Q550" s="59" t="b">
        <x:v>0</x:v>
      </x:c>
      <x:c r="R550" t="str">
        <x:v>kein_transfer</x:v>
      </x:c>
      <x:c r="S550"/>
      <x:c r="T550"/>
      <x:c r="U550"/>
      <x:c r="V550" s="59" t="b">
        <x:v>1</x:v>
      </x:c>
      <x:c r="W550"/>
      <x:c r="X550" t="str">
        <x:v>offen</x:v>
      </x:c>
      <x:c r="Y550" t="str">
        <x:v>Agent-Draft; Kategorie und Person pruefen</x:v>
      </x:c>
    </x:row>
    <x:row r="551">
      <x:c r="A551" t="str">
        <x:v>TXN-RAW-IMP-20260516-FULLDRAFT-000535</x:v>
      </x:c>
      <x:c r="B551" t="str">
        <x:v>RAW-IMP-20260516-FULLDRAFT-000535</x:v>
      </x:c>
      <x:c r="C551" t="str">
        <x:v>KTO001</x:v>
      </x:c>
      <x:c r="D551"/>
      <x:c r="E551" t="str">
        <x:v>KAT013</x:v>
      </x:c>
      <x:c r="F551"/>
      <x:c r="G551"/>
      <x:c r="H551" t="str">
        <x:v>kein_match</x:v>
      </x:c>
      <x:c r="I551" t="str">
        <x:v>Agent-Draft: keine finale Regelentscheidung</x:v>
      </x:c>
      <x:c r="J551" t="n">
        <x:v>45979</x:v>
      </x:c>
      <x:c r="K551"/>
      <x:c r="L551"/>
      <x:c r="M551" t="n">
        <x:v>-14.99</x:v>
      </x:c>
      <x:c r="N551" t="str">
        <x:v>2025-11</x:v>
      </x:c>
      <x:c r="O551" t="str">
        <x:v>Ausgabe</x:v>
      </x:c>
      <x:c r="P551" t="str">
        <x:v>Ist</x:v>
      </x:c>
      <x:c r="Q551" s="59" t="b">
        <x:v>0</x:v>
      </x:c>
      <x:c r="R551" t="str">
        <x:v>kein_transfer</x:v>
      </x:c>
      <x:c r="S551"/>
      <x:c r="T551"/>
      <x:c r="U551"/>
      <x:c r="V551" s="59" t="b">
        <x:v>1</x:v>
      </x:c>
      <x:c r="W551"/>
      <x:c r="X551" t="str">
        <x:v>offen</x:v>
      </x:c>
      <x:c r="Y551" t="str">
        <x:v>Agent-Draft; Kategorie und Person pruefen</x:v>
      </x:c>
    </x:row>
    <x:row r="552">
      <x:c r="A552" t="str">
        <x:v>TXN-RAW-IMP-20260516-FULLDRAFT-000536</x:v>
      </x:c>
      <x:c r="B552" t="str">
        <x:v>RAW-IMP-20260516-FULLDRAFT-000536</x:v>
      </x:c>
      <x:c r="C552" t="str">
        <x:v>KTO001</x:v>
      </x:c>
      <x:c r="D552"/>
      <x:c r="E552" t="str">
        <x:v>KAT013</x:v>
      </x:c>
      <x:c r="F552"/>
      <x:c r="G552"/>
      <x:c r="H552" t="str">
        <x:v>kein_match</x:v>
      </x:c>
      <x:c r="I552" t="str">
        <x:v>Agent-Draft: keine finale Regelentscheidung</x:v>
      </x:c>
      <x:c r="J552" t="n">
        <x:v>45978</x:v>
      </x:c>
      <x:c r="K552"/>
      <x:c r="L552"/>
      <x:c r="M552" t="n">
        <x:v>-11</x:v>
      </x:c>
      <x:c r="N552" t="str">
        <x:v>2025-11</x:v>
      </x:c>
      <x:c r="O552" t="str">
        <x:v>Ausgabe</x:v>
      </x:c>
      <x:c r="P552" t="str">
        <x:v>Ist</x:v>
      </x:c>
      <x:c r="Q552" s="59" t="b">
        <x:v>0</x:v>
      </x:c>
      <x:c r="R552" t="str">
        <x:v>kein_transfer</x:v>
      </x:c>
      <x:c r="S552"/>
      <x:c r="T552"/>
      <x:c r="U552"/>
      <x:c r="V552" s="59" t="b">
        <x:v>1</x:v>
      </x:c>
      <x:c r="W552"/>
      <x:c r="X552" t="str">
        <x:v>offen</x:v>
      </x:c>
      <x:c r="Y552" t="str">
        <x:v>Agent-Draft; Kategorie und Person pruefen</x:v>
      </x:c>
    </x:row>
    <x:row r="553">
      <x:c r="A553" t="str">
        <x:v>TXN-RAW-IMP-20260516-FULLDRAFT-000537</x:v>
      </x:c>
      <x:c r="B553" t="str">
        <x:v>RAW-IMP-20260516-FULLDRAFT-000537</x:v>
      </x:c>
      <x:c r="C553" t="str">
        <x:v>KTO001</x:v>
      </x:c>
      <x:c r="D553"/>
      <x:c r="E553" t="str">
        <x:v>KAT013</x:v>
      </x:c>
      <x:c r="F553"/>
      <x:c r="G553"/>
      <x:c r="H553" t="str">
        <x:v>kein_match</x:v>
      </x:c>
      <x:c r="I553" t="str">
        <x:v>Agent-Draft: keine finale Regelentscheidung</x:v>
      </x:c>
      <x:c r="J553" t="n">
        <x:v>45978</x:v>
      </x:c>
      <x:c r="K553"/>
      <x:c r="L553"/>
      <x:c r="M553" t="n">
        <x:v>-124.97</x:v>
      </x:c>
      <x:c r="N553" t="str">
        <x:v>2025-11</x:v>
      </x:c>
      <x:c r="O553" t="str">
        <x:v>Ausgabe</x:v>
      </x:c>
      <x:c r="P553" t="str">
        <x:v>Ist</x:v>
      </x:c>
      <x:c r="Q553" s="59" t="b">
        <x:v>0</x:v>
      </x:c>
      <x:c r="R553" t="str">
        <x:v>kein_transfer</x:v>
      </x:c>
      <x:c r="S553"/>
      <x:c r="T553"/>
      <x:c r="U553"/>
      <x:c r="V553" s="59" t="b">
        <x:v>1</x:v>
      </x:c>
      <x:c r="W553"/>
      <x:c r="X553" t="str">
        <x:v>offen</x:v>
      </x:c>
      <x:c r="Y553" t="str">
        <x:v>Agent-Draft; Kategorie und Person pruefen</x:v>
      </x:c>
    </x:row>
    <x:row r="554">
      <x:c r="A554" t="str">
        <x:v>TXN-RAW-IMP-20260516-FULLDRAFT-000538</x:v>
      </x:c>
      <x:c r="B554" t="str">
        <x:v>RAW-IMP-20260516-FULLDRAFT-000538</x:v>
      </x:c>
      <x:c r="C554" t="str">
        <x:v>KTO001</x:v>
      </x:c>
      <x:c r="D554"/>
      <x:c r="E554" t="str">
        <x:v>KAT013</x:v>
      </x:c>
      <x:c r="F554"/>
      <x:c r="G554"/>
      <x:c r="H554" t="str">
        <x:v>kein_match</x:v>
      </x:c>
      <x:c r="I554" t="str">
        <x:v>Agent-Draft: keine finale Regelentscheidung</x:v>
      </x:c>
      <x:c r="J554" t="n">
        <x:v>45978</x:v>
      </x:c>
      <x:c r="K554"/>
      <x:c r="L554"/>
      <x:c r="M554" t="n">
        <x:v>-26</x:v>
      </x:c>
      <x:c r="N554" t="str">
        <x:v>2025-11</x:v>
      </x:c>
      <x:c r="O554" t="str">
        <x:v>Ausgabe</x:v>
      </x:c>
      <x:c r="P554" t="str">
        <x:v>Ist</x:v>
      </x:c>
      <x:c r="Q554" s="59" t="b">
        <x:v>0</x:v>
      </x:c>
      <x:c r="R554" t="str">
        <x:v>kein_transfer</x:v>
      </x:c>
      <x:c r="S554"/>
      <x:c r="T554"/>
      <x:c r="U554"/>
      <x:c r="V554" s="59" t="b">
        <x:v>1</x:v>
      </x:c>
      <x:c r="W554"/>
      <x:c r="X554" t="str">
        <x:v>offen</x:v>
      </x:c>
      <x:c r="Y554" t="str">
        <x:v>Agent-Draft; Kategorie und Person pruefen</x:v>
      </x:c>
    </x:row>
    <x:row r="555">
      <x:c r="A555" t="str">
        <x:v>TXN-RAW-IMP-20260516-FULLDRAFT-000539</x:v>
      </x:c>
      <x:c r="B555" t="str">
        <x:v>RAW-IMP-20260516-FULLDRAFT-000539</x:v>
      </x:c>
      <x:c r="C555" t="str">
        <x:v>KTO001</x:v>
      </x:c>
      <x:c r="D555"/>
      <x:c r="E555" t="str">
        <x:v>KAT013</x:v>
      </x:c>
      <x:c r="F555"/>
      <x:c r="G555"/>
      <x:c r="H555" t="str">
        <x:v>kein_match</x:v>
      </x:c>
      <x:c r="I555" t="str">
        <x:v>Agent-Draft: keine finale Regelentscheidung</x:v>
      </x:c>
      <x:c r="J555" t="n">
        <x:v>45978</x:v>
      </x:c>
      <x:c r="K555"/>
      <x:c r="L555"/>
      <x:c r="M555" t="n">
        <x:v>-37.51</x:v>
      </x:c>
      <x:c r="N555" t="str">
        <x:v>2025-11</x:v>
      </x:c>
      <x:c r="O555" t="str">
        <x:v>Ausgabe</x:v>
      </x:c>
      <x:c r="P555" t="str">
        <x:v>Ist</x:v>
      </x:c>
      <x:c r="Q555" s="59" t="b">
        <x:v>0</x:v>
      </x:c>
      <x:c r="R555" t="str">
        <x:v>kein_transfer</x:v>
      </x:c>
      <x:c r="S555"/>
      <x:c r="T555"/>
      <x:c r="U555"/>
      <x:c r="V555" s="59" t="b">
        <x:v>1</x:v>
      </x:c>
      <x:c r="W555"/>
      <x:c r="X555" t="str">
        <x:v>offen</x:v>
      </x:c>
      <x:c r="Y555" t="str">
        <x:v>Agent-Draft; Kategorie und Person pruefen</x:v>
      </x:c>
    </x:row>
    <x:row r="556">
      <x:c r="A556" t="str">
        <x:v>TXN-RAW-IMP-20260516-FULLDRAFT-000540</x:v>
      </x:c>
      <x:c r="B556" t="str">
        <x:v>RAW-IMP-20260516-FULLDRAFT-000540</x:v>
      </x:c>
      <x:c r="C556" t="str">
        <x:v>KTO001</x:v>
      </x:c>
      <x:c r="D556"/>
      <x:c r="E556" t="str">
        <x:v>KAT013</x:v>
      </x:c>
      <x:c r="F556"/>
      <x:c r="G556"/>
      <x:c r="H556" t="str">
        <x:v>kein_match</x:v>
      </x:c>
      <x:c r="I556" t="str">
        <x:v>Agent-Draft: keine finale Regelentscheidung</x:v>
      </x:c>
      <x:c r="J556" t="n">
        <x:v>45978</x:v>
      </x:c>
      <x:c r="K556"/>
      <x:c r="L556"/>
      <x:c r="M556" t="n">
        <x:v>-2.4</x:v>
      </x:c>
      <x:c r="N556" t="str">
        <x:v>2025-11</x:v>
      </x:c>
      <x:c r="O556" t="str">
        <x:v>Ausgabe</x:v>
      </x:c>
      <x:c r="P556" t="str">
        <x:v>Ist</x:v>
      </x:c>
      <x:c r="Q556" s="59" t="b">
        <x:v>0</x:v>
      </x:c>
      <x:c r="R556" t="str">
        <x:v>kein_transfer</x:v>
      </x:c>
      <x:c r="S556"/>
      <x:c r="T556"/>
      <x:c r="U556"/>
      <x:c r="V556" s="59" t="b">
        <x:v>1</x:v>
      </x:c>
      <x:c r="W556"/>
      <x:c r="X556" t="str">
        <x:v>offen</x:v>
      </x:c>
      <x:c r="Y556" t="str">
        <x:v>Agent-Draft; Kategorie und Person pruefen</x:v>
      </x:c>
    </x:row>
    <x:row r="557">
      <x:c r="A557" t="str">
        <x:v>TXN-RAW-IMP-20260516-FULLDRAFT-000541</x:v>
      </x:c>
      <x:c r="B557" t="str">
        <x:v>RAW-IMP-20260516-FULLDRAFT-000541</x:v>
      </x:c>
      <x:c r="C557" t="str">
        <x:v>KTO001</x:v>
      </x:c>
      <x:c r="D557"/>
      <x:c r="E557" t="str">
        <x:v>KAT013</x:v>
      </x:c>
      <x:c r="F557"/>
      <x:c r="G557"/>
      <x:c r="H557" t="str">
        <x:v>kein_match</x:v>
      </x:c>
      <x:c r="I557" t="str">
        <x:v>Agent-Draft: keine finale Regelentscheidung</x:v>
      </x:c>
      <x:c r="J557" t="n">
        <x:v>45978</x:v>
      </x:c>
      <x:c r="K557"/>
      <x:c r="L557"/>
      <x:c r="M557" t="n">
        <x:v>-61.99</x:v>
      </x:c>
      <x:c r="N557" t="str">
        <x:v>2025-11</x:v>
      </x:c>
      <x:c r="O557" t="str">
        <x:v>Ausgabe</x:v>
      </x:c>
      <x:c r="P557" t="str">
        <x:v>Ist</x:v>
      </x:c>
      <x:c r="Q557" s="59" t="b">
        <x:v>0</x:v>
      </x:c>
      <x:c r="R557" t="str">
        <x:v>kein_transfer</x:v>
      </x:c>
      <x:c r="S557"/>
      <x:c r="T557"/>
      <x:c r="U557"/>
      <x:c r="V557" s="59" t="b">
        <x:v>1</x:v>
      </x:c>
      <x:c r="W557"/>
      <x:c r="X557" t="str">
        <x:v>offen</x:v>
      </x:c>
      <x:c r="Y557" t="str">
        <x:v>Agent-Draft; Kategorie und Person pruefen</x:v>
      </x:c>
    </x:row>
    <x:row r="558">
      <x:c r="A558" t="str">
        <x:v>TXN-RAW-IMP-20260516-FULLDRAFT-000542</x:v>
      </x:c>
      <x:c r="B558" t="str">
        <x:v>RAW-IMP-20260516-FULLDRAFT-000542</x:v>
      </x:c>
      <x:c r="C558" t="str">
        <x:v>KTO001</x:v>
      </x:c>
      <x:c r="D558"/>
      <x:c r="E558" t="str">
        <x:v>KAT013</x:v>
      </x:c>
      <x:c r="F558"/>
      <x:c r="G558"/>
      <x:c r="H558" t="str">
        <x:v>kein_match</x:v>
      </x:c>
      <x:c r="I558" t="str">
        <x:v>Agent-Draft: keine finale Regelentscheidung</x:v>
      </x:c>
      <x:c r="J558" t="n">
        <x:v>45978</x:v>
      </x:c>
      <x:c r="K558"/>
      <x:c r="L558"/>
      <x:c r="M558" t="n">
        <x:v>-60.1</x:v>
      </x:c>
      <x:c r="N558" t="str">
        <x:v>2025-11</x:v>
      </x:c>
      <x:c r="O558" t="str">
        <x:v>Ausgabe</x:v>
      </x:c>
      <x:c r="P558" t="str">
        <x:v>Ist</x:v>
      </x:c>
      <x:c r="Q558" s="59" t="b">
        <x:v>0</x:v>
      </x:c>
      <x:c r="R558" t="str">
        <x:v>kein_transfer</x:v>
      </x:c>
      <x:c r="S558"/>
      <x:c r="T558"/>
      <x:c r="U558"/>
      <x:c r="V558" s="59" t="b">
        <x:v>1</x:v>
      </x:c>
      <x:c r="W558"/>
      <x:c r="X558" t="str">
        <x:v>offen</x:v>
      </x:c>
      <x:c r="Y558" t="str">
        <x:v>Agent-Draft; Kategorie und Person pruefen</x:v>
      </x:c>
    </x:row>
    <x:row r="559">
      <x:c r="A559" t="str">
        <x:v>TXN-RAW-IMP-20260516-FULLDRAFT-000543</x:v>
      </x:c>
      <x:c r="B559" t="str">
        <x:v>RAW-IMP-20260516-FULLDRAFT-000543</x:v>
      </x:c>
      <x:c r="C559" t="str">
        <x:v>KTO001</x:v>
      </x:c>
      <x:c r="D559"/>
      <x:c r="E559" t="str">
        <x:v>KAT013</x:v>
      </x:c>
      <x:c r="F559"/>
      <x:c r="G559"/>
      <x:c r="H559" t="str">
        <x:v>kein_match</x:v>
      </x:c>
      <x:c r="I559" t="str">
        <x:v>Agent-Draft: keine finale Regelentscheidung</x:v>
      </x:c>
      <x:c r="J559" t="n">
        <x:v>45974</x:v>
      </x:c>
      <x:c r="K559"/>
      <x:c r="L559"/>
      <x:c r="M559" t="n">
        <x:v>-405.55</x:v>
      </x:c>
      <x:c r="N559" t="str">
        <x:v>2025-11</x:v>
      </x:c>
      <x:c r="O559" t="str">
        <x:v>Ausgabe</x:v>
      </x:c>
      <x:c r="P559" t="str">
        <x:v>Ist</x:v>
      </x:c>
      <x:c r="Q559" s="59" t="b">
        <x:v>0</x:v>
      </x:c>
      <x:c r="R559" t="str">
        <x:v>kein_transfer</x:v>
      </x:c>
      <x:c r="S559"/>
      <x:c r="T559"/>
      <x:c r="U559"/>
      <x:c r="V559" s="59" t="b">
        <x:v>1</x:v>
      </x:c>
      <x:c r="W559"/>
      <x:c r="X559" t="str">
        <x:v>offen</x:v>
      </x:c>
      <x:c r="Y559" t="str">
        <x:v>Agent-Draft; Kategorie und Person pruefen</x:v>
      </x:c>
    </x:row>
    <x:row r="560">
      <x:c r="A560" t="str">
        <x:v>TXN-RAW-IMP-20260516-FULLDRAFT-000544</x:v>
      </x:c>
      <x:c r="B560" t="str">
        <x:v>RAW-IMP-20260516-FULLDRAFT-000544</x:v>
      </x:c>
      <x:c r="C560" t="str">
        <x:v>KTO001</x:v>
      </x:c>
      <x:c r="D560"/>
      <x:c r="E560" t="str">
        <x:v>KAT013</x:v>
      </x:c>
      <x:c r="F560"/>
      <x:c r="G560"/>
      <x:c r="H560" t="str">
        <x:v>kein_match</x:v>
      </x:c>
      <x:c r="I560" t="str">
        <x:v>Agent-Draft: keine finale Regelentscheidung</x:v>
      </x:c>
      <x:c r="J560" t="n">
        <x:v>45974</x:v>
      </x:c>
      <x:c r="K560"/>
      <x:c r="L560"/>
      <x:c r="M560" t="n">
        <x:v>-34.65</x:v>
      </x:c>
      <x:c r="N560" t="str">
        <x:v>2025-11</x:v>
      </x:c>
      <x:c r="O560" t="str">
        <x:v>Ausgabe</x:v>
      </x:c>
      <x:c r="P560" t="str">
        <x:v>Ist</x:v>
      </x:c>
      <x:c r="Q560" s="59" t="b">
        <x:v>0</x:v>
      </x:c>
      <x:c r="R560" t="str">
        <x:v>kein_transfer</x:v>
      </x:c>
      <x:c r="S560"/>
      <x:c r="T560"/>
      <x:c r="U560"/>
      <x:c r="V560" s="59" t="b">
        <x:v>1</x:v>
      </x:c>
      <x:c r="W560"/>
      <x:c r="X560" t="str">
        <x:v>offen</x:v>
      </x:c>
      <x:c r="Y560" t="str">
        <x:v>Agent-Draft; Kategorie und Person pruefen</x:v>
      </x:c>
    </x:row>
    <x:row r="561">
      <x:c r="A561" t="str">
        <x:v>TXN-RAW-IMP-20260516-FULLDRAFT-000545</x:v>
      </x:c>
      <x:c r="B561" t="str">
        <x:v>RAW-IMP-20260516-FULLDRAFT-000545</x:v>
      </x:c>
      <x:c r="C561" t="str">
        <x:v>KTO001</x:v>
      </x:c>
      <x:c r="D561"/>
      <x:c r="E561" t="str">
        <x:v>KAT013</x:v>
      </x:c>
      <x:c r="F561"/>
      <x:c r="G561"/>
      <x:c r="H561" t="str">
        <x:v>kein_match</x:v>
      </x:c>
      <x:c r="I561" t="str">
        <x:v>Agent-Draft: keine finale Regelentscheidung</x:v>
      </x:c>
      <x:c r="J561" t="n">
        <x:v>45974</x:v>
      </x:c>
      <x:c r="K561"/>
      <x:c r="L561"/>
      <x:c r="M561" t="n">
        <x:v>-22.55</x:v>
      </x:c>
      <x:c r="N561" t="str">
        <x:v>2025-11</x:v>
      </x:c>
      <x:c r="O561" t="str">
        <x:v>Ausgabe</x:v>
      </x:c>
      <x:c r="P561" t="str">
        <x:v>Ist</x:v>
      </x:c>
      <x:c r="Q561" s="59" t="b">
        <x:v>0</x:v>
      </x:c>
      <x:c r="R561" t="str">
        <x:v>kein_transfer</x:v>
      </x:c>
      <x:c r="S561"/>
      <x:c r="T561"/>
      <x:c r="U561"/>
      <x:c r="V561" s="59" t="b">
        <x:v>1</x:v>
      </x:c>
      <x:c r="W561"/>
      <x:c r="X561" t="str">
        <x:v>offen</x:v>
      </x:c>
      <x:c r="Y561" t="str">
        <x:v>Agent-Draft; Kategorie und Person pruefen</x:v>
      </x:c>
    </x:row>
    <x:row r="562">
      <x:c r="A562" t="str">
        <x:v>TXN-RAW-IMP-20260516-FULLDRAFT-000546</x:v>
      </x:c>
      <x:c r="B562" t="str">
        <x:v>RAW-IMP-20260516-FULLDRAFT-000546</x:v>
      </x:c>
      <x:c r="C562" t="str">
        <x:v>KTO001</x:v>
      </x:c>
      <x:c r="D562"/>
      <x:c r="E562" t="str">
        <x:v>KAT013</x:v>
      </x:c>
      <x:c r="F562"/>
      <x:c r="G562"/>
      <x:c r="H562" t="str">
        <x:v>kein_match</x:v>
      </x:c>
      <x:c r="I562" t="str">
        <x:v>Agent-Draft: keine finale Regelentscheidung</x:v>
      </x:c>
      <x:c r="J562" t="n">
        <x:v>45972</x:v>
      </x:c>
      <x:c r="K562"/>
      <x:c r="L562"/>
      <x:c r="M562" t="n">
        <x:v>-220.8</x:v>
      </x:c>
      <x:c r="N562" t="str">
        <x:v>2025-11</x:v>
      </x:c>
      <x:c r="O562" t="str">
        <x:v>Ausgabe</x:v>
      </x:c>
      <x:c r="P562" t="str">
        <x:v>Ist</x:v>
      </x:c>
      <x:c r="Q562" s="59" t="b">
        <x:v>0</x:v>
      </x:c>
      <x:c r="R562" t="str">
        <x:v>kein_transfer</x:v>
      </x:c>
      <x:c r="S562"/>
      <x:c r="T562"/>
      <x:c r="U562"/>
      <x:c r="V562" s="59" t="b">
        <x:v>1</x:v>
      </x:c>
      <x:c r="W562"/>
      <x:c r="X562" t="str">
        <x:v>offen</x:v>
      </x:c>
      <x:c r="Y562" t="str">
        <x:v>Agent-Draft; Kategorie und Person pruefen</x:v>
      </x:c>
    </x:row>
    <x:row r="563">
      <x:c r="A563" t="str">
        <x:v>TXN-RAW-IMP-20260516-FULLDRAFT-000547</x:v>
      </x:c>
      <x:c r="B563" t="str">
        <x:v>RAW-IMP-20260516-FULLDRAFT-000547</x:v>
      </x:c>
      <x:c r="C563" t="str">
        <x:v>KTO001</x:v>
      </x:c>
      <x:c r="D563"/>
      <x:c r="E563" t="str">
        <x:v>KAT013</x:v>
      </x:c>
      <x:c r="F563"/>
      <x:c r="G563"/>
      <x:c r="H563" t="str">
        <x:v>kein_match</x:v>
      </x:c>
      <x:c r="I563" t="str">
        <x:v>Agent-Draft: keine finale Regelentscheidung</x:v>
      </x:c>
      <x:c r="J563" t="n">
        <x:v>45972</x:v>
      </x:c>
      <x:c r="K563"/>
      <x:c r="L563"/>
      <x:c r="M563" t="n">
        <x:v>-66.25</x:v>
      </x:c>
      <x:c r="N563" t="str">
        <x:v>2025-11</x:v>
      </x:c>
      <x:c r="O563" t="str">
        <x:v>Ausgabe</x:v>
      </x:c>
      <x:c r="P563" t="str">
        <x:v>Ist</x:v>
      </x:c>
      <x:c r="Q563" s="59" t="b">
        <x:v>0</x:v>
      </x:c>
      <x:c r="R563" t="str">
        <x:v>kein_transfer</x:v>
      </x:c>
      <x:c r="S563"/>
      <x:c r="T563"/>
      <x:c r="U563"/>
      <x:c r="V563" s="59" t="b">
        <x:v>1</x:v>
      </x:c>
      <x:c r="W563"/>
      <x:c r="X563" t="str">
        <x:v>offen</x:v>
      </x:c>
      <x:c r="Y563" t="str">
        <x:v>Agent-Draft; Kategorie und Person pruefen</x:v>
      </x:c>
    </x:row>
    <x:row r="564">
      <x:c r="A564" t="str">
        <x:v>TXN-RAW-IMP-20260516-FULLDRAFT-000548</x:v>
      </x:c>
      <x:c r="B564" t="str">
        <x:v>RAW-IMP-20260516-FULLDRAFT-000548</x:v>
      </x:c>
      <x:c r="C564" t="str">
        <x:v>KTO001</x:v>
      </x:c>
      <x:c r="D564"/>
      <x:c r="E564" t="str">
        <x:v>KAT013</x:v>
      </x:c>
      <x:c r="F564"/>
      <x:c r="G564"/>
      <x:c r="H564" t="str">
        <x:v>kein_match</x:v>
      </x:c>
      <x:c r="I564" t="str">
        <x:v>Agent-Draft: keine finale Regelentscheidung</x:v>
      </x:c>
      <x:c r="J564" t="n">
        <x:v>45971</x:v>
      </x:c>
      <x:c r="K564"/>
      <x:c r="L564"/>
      <x:c r="M564" t="n">
        <x:v>-3.55</x:v>
      </x:c>
      <x:c r="N564" t="str">
        <x:v>2025-11</x:v>
      </x:c>
      <x:c r="O564" t="str">
        <x:v>Ausgabe</x:v>
      </x:c>
      <x:c r="P564" t="str">
        <x:v>Ist</x:v>
      </x:c>
      <x:c r="Q564" s="59" t="b">
        <x:v>0</x:v>
      </x:c>
      <x:c r="R564" t="str">
        <x:v>kein_transfer</x:v>
      </x:c>
      <x:c r="S564"/>
      <x:c r="T564"/>
      <x:c r="U564"/>
      <x:c r="V564" s="59" t="b">
        <x:v>1</x:v>
      </x:c>
      <x:c r="W564"/>
      <x:c r="X564" t="str">
        <x:v>offen</x:v>
      </x:c>
      <x:c r="Y564" t="str">
        <x:v>Agent-Draft; Kategorie und Person pruefen</x:v>
      </x:c>
    </x:row>
    <x:row r="565">
      <x:c r="A565" t="str">
        <x:v>TXN-RAW-IMP-20260516-FULLDRAFT-000549</x:v>
      </x:c>
      <x:c r="B565" t="str">
        <x:v>RAW-IMP-20260516-FULLDRAFT-000549</x:v>
      </x:c>
      <x:c r="C565" t="str">
        <x:v>KTO001</x:v>
      </x:c>
      <x:c r="D565"/>
      <x:c r="E565" t="str">
        <x:v>KAT013</x:v>
      </x:c>
      <x:c r="F565"/>
      <x:c r="G565"/>
      <x:c r="H565" t="str">
        <x:v>kein_match</x:v>
      </x:c>
      <x:c r="I565" t="str">
        <x:v>Agent-Draft: keine finale Regelentscheidung</x:v>
      </x:c>
      <x:c r="J565" t="n">
        <x:v>45971</x:v>
      </x:c>
      <x:c r="K565"/>
      <x:c r="L565"/>
      <x:c r="M565" t="n">
        <x:v>-40</x:v>
      </x:c>
      <x:c r="N565" t="str">
        <x:v>2025-11</x:v>
      </x:c>
      <x:c r="O565" t="str">
        <x:v>Ausgabe</x:v>
      </x:c>
      <x:c r="P565" t="str">
        <x:v>Ist</x:v>
      </x:c>
      <x:c r="Q565" s="59" t="b">
        <x:v>0</x:v>
      </x:c>
      <x:c r="R565" t="str">
        <x:v>kein_transfer</x:v>
      </x:c>
      <x:c r="S565"/>
      <x:c r="T565"/>
      <x:c r="U565"/>
      <x:c r="V565" s="59" t="b">
        <x:v>1</x:v>
      </x:c>
      <x:c r="W565"/>
      <x:c r="X565" t="str">
        <x:v>offen</x:v>
      </x:c>
      <x:c r="Y565" t="str">
        <x:v>Agent-Draft; Kategorie und Person pruefen</x:v>
      </x:c>
    </x:row>
    <x:row r="566">
      <x:c r="A566" t="str">
        <x:v>TXN-RAW-IMP-20260516-FULLDRAFT-000550</x:v>
      </x:c>
      <x:c r="B566" t="str">
        <x:v>RAW-IMP-20260516-FULLDRAFT-000550</x:v>
      </x:c>
      <x:c r="C566" t="str">
        <x:v>KTO001</x:v>
      </x:c>
      <x:c r="D566"/>
      <x:c r="E566" t="str">
        <x:v>KAT013</x:v>
      </x:c>
      <x:c r="F566"/>
      <x:c r="G566"/>
      <x:c r="H566" t="str">
        <x:v>kein_match</x:v>
      </x:c>
      <x:c r="I566" t="str">
        <x:v>Agent-Draft: keine finale Regelentscheidung</x:v>
      </x:c>
      <x:c r="J566" t="n">
        <x:v>45971</x:v>
      </x:c>
      <x:c r="K566"/>
      <x:c r="L566"/>
      <x:c r="M566" t="n">
        <x:v>-5.9</x:v>
      </x:c>
      <x:c r="N566" t="str">
        <x:v>2025-11</x:v>
      </x:c>
      <x:c r="O566" t="str">
        <x:v>Ausgabe</x:v>
      </x:c>
      <x:c r="P566" t="str">
        <x:v>Ist</x:v>
      </x:c>
      <x:c r="Q566" s="59" t="b">
        <x:v>0</x:v>
      </x:c>
      <x:c r="R566" t="str">
        <x:v>kein_transfer</x:v>
      </x:c>
      <x:c r="S566"/>
      <x:c r="T566"/>
      <x:c r="U566"/>
      <x:c r="V566" s="59" t="b">
        <x:v>1</x:v>
      </x:c>
      <x:c r="W566"/>
      <x:c r="X566" t="str">
        <x:v>offen</x:v>
      </x:c>
      <x:c r="Y566" t="str">
        <x:v>Agent-Draft; Kategorie und Person pruefen</x:v>
      </x:c>
    </x:row>
    <x:row r="567">
      <x:c r="A567" t="str">
        <x:v>TXN-RAW-IMP-20260516-FULLDRAFT-000551</x:v>
      </x:c>
      <x:c r="B567" t="str">
        <x:v>RAW-IMP-20260516-FULLDRAFT-000551</x:v>
      </x:c>
      <x:c r="C567" t="str">
        <x:v>KTO001</x:v>
      </x:c>
      <x:c r="D567"/>
      <x:c r="E567" t="str">
        <x:v>KAT013</x:v>
      </x:c>
      <x:c r="F567"/>
      <x:c r="G567"/>
      <x:c r="H567" t="str">
        <x:v>kein_match</x:v>
      </x:c>
      <x:c r="I567" t="str">
        <x:v>Agent-Draft: keine finale Regelentscheidung</x:v>
      </x:c>
      <x:c r="J567" t="n">
        <x:v>45971</x:v>
      </x:c>
      <x:c r="K567"/>
      <x:c r="L567"/>
      <x:c r="M567" t="n">
        <x:v>-9.66</x:v>
      </x:c>
      <x:c r="N567" t="str">
        <x:v>2025-11</x:v>
      </x:c>
      <x:c r="O567" t="str">
        <x:v>Ausgabe</x:v>
      </x:c>
      <x:c r="P567" t="str">
        <x:v>Ist</x:v>
      </x:c>
      <x:c r="Q567" s="59" t="b">
        <x:v>0</x:v>
      </x:c>
      <x:c r="R567" t="str">
        <x:v>kein_transfer</x:v>
      </x:c>
      <x:c r="S567"/>
      <x:c r="T567"/>
      <x:c r="U567"/>
      <x:c r="V567" s="59" t="b">
        <x:v>1</x:v>
      </x:c>
      <x:c r="W567"/>
      <x:c r="X567" t="str">
        <x:v>offen</x:v>
      </x:c>
      <x:c r="Y567" t="str">
        <x:v>Agent-Draft; Kategorie und Person pruefen</x:v>
      </x:c>
    </x:row>
    <x:row r="568">
      <x:c r="A568" t="str">
        <x:v>TXN-RAW-IMP-20260516-FULLDRAFT-000552</x:v>
      </x:c>
      <x:c r="B568" t="str">
        <x:v>RAW-IMP-20260516-FULLDRAFT-000552</x:v>
      </x:c>
      <x:c r="C568" t="str">
        <x:v>KTO001</x:v>
      </x:c>
      <x:c r="D568"/>
      <x:c r="E568" t="str">
        <x:v>KAT013</x:v>
      </x:c>
      <x:c r="F568"/>
      <x:c r="G568"/>
      <x:c r="H568" t="str">
        <x:v>kein_match</x:v>
      </x:c>
      <x:c r="I568" t="str">
        <x:v>Agent-Draft: keine finale Regelentscheidung</x:v>
      </x:c>
      <x:c r="J568" t="n">
        <x:v>45971</x:v>
      </x:c>
      <x:c r="K568"/>
      <x:c r="L568"/>
      <x:c r="M568" t="n">
        <x:v>-96.18</x:v>
      </x:c>
      <x:c r="N568" t="str">
        <x:v>2025-11</x:v>
      </x:c>
      <x:c r="O568" t="str">
        <x:v>Ausgabe</x:v>
      </x:c>
      <x:c r="P568" t="str">
        <x:v>Ist</x:v>
      </x:c>
      <x:c r="Q568" s="59" t="b">
        <x:v>0</x:v>
      </x:c>
      <x:c r="R568" t="str">
        <x:v>kein_transfer</x:v>
      </x:c>
      <x:c r="S568"/>
      <x:c r="T568"/>
      <x:c r="U568"/>
      <x:c r="V568" s="59" t="b">
        <x:v>1</x:v>
      </x:c>
      <x:c r="W568"/>
      <x:c r="X568" t="str">
        <x:v>offen</x:v>
      </x:c>
      <x:c r="Y568" t="str">
        <x:v>Agent-Draft; Kategorie und Person pruefen</x:v>
      </x:c>
    </x:row>
    <x:row r="569">
      <x:c r="A569" t="str">
        <x:v>TXN-RAW-IMP-20260516-FULLDRAFT-000553</x:v>
      </x:c>
      <x:c r="B569" t="str">
        <x:v>RAW-IMP-20260516-FULLDRAFT-000553</x:v>
      </x:c>
      <x:c r="C569" t="str">
        <x:v>KTO001</x:v>
      </x:c>
      <x:c r="D569"/>
      <x:c r="E569" t="str">
        <x:v>KAT013</x:v>
      </x:c>
      <x:c r="F569"/>
      <x:c r="G569"/>
      <x:c r="H569" t="str">
        <x:v>kein_match</x:v>
      </x:c>
      <x:c r="I569" t="str">
        <x:v>Agent-Draft: keine finale Regelentscheidung</x:v>
      </x:c>
      <x:c r="J569" t="n">
        <x:v>45968</x:v>
      </x:c>
      <x:c r="K569"/>
      <x:c r="L569"/>
      <x:c r="M569" t="n">
        <x:v>-16.13</x:v>
      </x:c>
      <x:c r="N569" t="str">
        <x:v>2025-11</x:v>
      </x:c>
      <x:c r="O569" t="str">
        <x:v>Ausgabe</x:v>
      </x:c>
      <x:c r="P569" t="str">
        <x:v>Ist</x:v>
      </x:c>
      <x:c r="Q569" s="59" t="b">
        <x:v>0</x:v>
      </x:c>
      <x:c r="R569" t="str">
        <x:v>kein_transfer</x:v>
      </x:c>
      <x:c r="S569"/>
      <x:c r="T569"/>
      <x:c r="U569"/>
      <x:c r="V569" s="59" t="b">
        <x:v>1</x:v>
      </x:c>
      <x:c r="W569"/>
      <x:c r="X569" t="str">
        <x:v>offen</x:v>
      </x:c>
      <x:c r="Y569" t="str">
        <x:v>Agent-Draft; Kategorie und Person pruefen</x:v>
      </x:c>
    </x:row>
    <x:row r="570">
      <x:c r="A570" t="str">
        <x:v>TXN-RAW-IMP-20260516-FULLDRAFT-000554</x:v>
      </x:c>
      <x:c r="B570" t="str">
        <x:v>RAW-IMP-20260516-FULLDRAFT-000554</x:v>
      </x:c>
      <x:c r="C570" t="str">
        <x:v>KTO001</x:v>
      </x:c>
      <x:c r="D570"/>
      <x:c r="E570" t="str">
        <x:v>KAT013</x:v>
      </x:c>
      <x:c r="F570"/>
      <x:c r="G570"/>
      <x:c r="H570" t="str">
        <x:v>kein_match</x:v>
      </x:c>
      <x:c r="I570" t="str">
        <x:v>Agent-Draft: keine finale Regelentscheidung</x:v>
      </x:c>
      <x:c r="J570" t="n">
        <x:v>45967</x:v>
      </x:c>
      <x:c r="K570"/>
      <x:c r="L570"/>
      <x:c r="M570" t="n">
        <x:v>-68.08</x:v>
      </x:c>
      <x:c r="N570" t="str">
        <x:v>2025-11</x:v>
      </x:c>
      <x:c r="O570" t="str">
        <x:v>Ausgabe</x:v>
      </x:c>
      <x:c r="P570" t="str">
        <x:v>Ist</x:v>
      </x:c>
      <x:c r="Q570" s="59" t="b">
        <x:v>0</x:v>
      </x:c>
      <x:c r="R570" t="str">
        <x:v>kein_transfer</x:v>
      </x:c>
      <x:c r="S570"/>
      <x:c r="T570"/>
      <x:c r="U570"/>
      <x:c r="V570" s="59" t="b">
        <x:v>1</x:v>
      </x:c>
      <x:c r="W570"/>
      <x:c r="X570" t="str">
        <x:v>offen</x:v>
      </x:c>
      <x:c r="Y570" t="str">
        <x:v>Agent-Draft; Kategorie und Person pruefen</x:v>
      </x:c>
    </x:row>
    <x:row r="571">
      <x:c r="A571" t="str">
        <x:v>TXN-RAW-IMP-20260516-FULLDRAFT-000555</x:v>
      </x:c>
      <x:c r="B571" t="str">
        <x:v>RAW-IMP-20260516-FULLDRAFT-000555</x:v>
      </x:c>
      <x:c r="C571" t="str">
        <x:v>KTO001</x:v>
      </x:c>
      <x:c r="D571"/>
      <x:c r="E571" t="str">
        <x:v>KAT013</x:v>
      </x:c>
      <x:c r="F571"/>
      <x:c r="G571"/>
      <x:c r="H571" t="str">
        <x:v>kein_match</x:v>
      </x:c>
      <x:c r="I571" t="str">
        <x:v>Agent-Draft: keine finale Regelentscheidung</x:v>
      </x:c>
      <x:c r="J571" t="n">
        <x:v>45967</x:v>
      </x:c>
      <x:c r="K571"/>
      <x:c r="L571"/>
      <x:c r="M571" t="n">
        <x:v>-49.9</x:v>
      </x:c>
      <x:c r="N571" t="str">
        <x:v>2025-11</x:v>
      </x:c>
      <x:c r="O571" t="str">
        <x:v>Ausgabe</x:v>
      </x:c>
      <x:c r="P571" t="str">
        <x:v>Ist</x:v>
      </x:c>
      <x:c r="Q571" s="59" t="b">
        <x:v>0</x:v>
      </x:c>
      <x:c r="R571" t="str">
        <x:v>kein_transfer</x:v>
      </x:c>
      <x:c r="S571"/>
      <x:c r="T571"/>
      <x:c r="U571"/>
      <x:c r="V571" s="59" t="b">
        <x:v>1</x:v>
      </x:c>
      <x:c r="W571"/>
      <x:c r="X571" t="str">
        <x:v>offen</x:v>
      </x:c>
      <x:c r="Y571" t="str">
        <x:v>Agent-Draft; Kategorie und Person pruefen</x:v>
      </x:c>
    </x:row>
    <x:row r="572">
      <x:c r="A572" t="str">
        <x:v>TXN-RAW-IMP-20260516-FULLDRAFT-000556</x:v>
      </x:c>
      <x:c r="B572" t="str">
        <x:v>RAW-IMP-20260516-FULLDRAFT-000556</x:v>
      </x:c>
      <x:c r="C572" t="str">
        <x:v>KTO001</x:v>
      </x:c>
      <x:c r="D572"/>
      <x:c r="E572" t="str">
        <x:v>KAT013</x:v>
      </x:c>
      <x:c r="F572"/>
      <x:c r="G572"/>
      <x:c r="H572" t="str">
        <x:v>kein_match</x:v>
      </x:c>
      <x:c r="I572" t="str">
        <x:v>Agent-Draft: keine finale Regelentscheidung</x:v>
      </x:c>
      <x:c r="J572" t="n">
        <x:v>45966</x:v>
      </x:c>
      <x:c r="K572"/>
      <x:c r="L572"/>
      <x:c r="M572" t="n">
        <x:v>-1.39</x:v>
      </x:c>
      <x:c r="N572" t="str">
        <x:v>2025-11</x:v>
      </x:c>
      <x:c r="O572" t="str">
        <x:v>Ausgabe</x:v>
      </x:c>
      <x:c r="P572" t="str">
        <x:v>Ist</x:v>
      </x:c>
      <x:c r="Q572" s="59" t="b">
        <x:v>0</x:v>
      </x:c>
      <x:c r="R572" t="str">
        <x:v>kein_transfer</x:v>
      </x:c>
      <x:c r="S572"/>
      <x:c r="T572"/>
      <x:c r="U572"/>
      <x:c r="V572" s="59" t="b">
        <x:v>1</x:v>
      </x:c>
      <x:c r="W572"/>
      <x:c r="X572" t="str">
        <x:v>offen</x:v>
      </x:c>
      <x:c r="Y572" t="str">
        <x:v>Agent-Draft; Kategorie und Person pruefen</x:v>
      </x:c>
    </x:row>
    <x:row r="573">
      <x:c r="A573" t="str">
        <x:v>TXN-RAW-IMP-20260516-FULLDRAFT-000557</x:v>
      </x:c>
      <x:c r="B573" t="str">
        <x:v>RAW-IMP-20260516-FULLDRAFT-000557</x:v>
      </x:c>
      <x:c r="C573" t="str">
        <x:v>KTO001</x:v>
      </x:c>
      <x:c r="D573"/>
      <x:c r="E573" t="str">
        <x:v>KAT013</x:v>
      </x:c>
      <x:c r="F573"/>
      <x:c r="G573"/>
      <x:c r="H573" t="str">
        <x:v>kein_match</x:v>
      </x:c>
      <x:c r="I573" t="str">
        <x:v>Agent-Draft: keine finale Regelentscheidung</x:v>
      </x:c>
      <x:c r="J573" t="n">
        <x:v>45966</x:v>
      </x:c>
      <x:c r="K573"/>
      <x:c r="L573"/>
      <x:c r="M573" t="n">
        <x:v>-61.93</x:v>
      </x:c>
      <x:c r="N573" t="str">
        <x:v>2025-11</x:v>
      </x:c>
      <x:c r="O573" t="str">
        <x:v>Ausgabe</x:v>
      </x:c>
      <x:c r="P573" t="str">
        <x:v>Ist</x:v>
      </x:c>
      <x:c r="Q573" s="59" t="b">
        <x:v>0</x:v>
      </x:c>
      <x:c r="R573" t="str">
        <x:v>kein_transfer</x:v>
      </x:c>
      <x:c r="S573"/>
      <x:c r="T573"/>
      <x:c r="U573"/>
      <x:c r="V573" s="59" t="b">
        <x:v>1</x:v>
      </x:c>
      <x:c r="W573"/>
      <x:c r="X573" t="str">
        <x:v>offen</x:v>
      </x:c>
      <x:c r="Y573" t="str">
        <x:v>Agent-Draft; Kategorie und Person pruefen</x:v>
      </x:c>
    </x:row>
    <x:row r="574">
      <x:c r="A574" t="str">
        <x:v>TXN-RAW-IMP-20260516-FULLDRAFT-000558</x:v>
      </x:c>
      <x:c r="B574" t="str">
        <x:v>RAW-IMP-20260516-FULLDRAFT-000558</x:v>
      </x:c>
      <x:c r="C574" t="str">
        <x:v>KTO001</x:v>
      </x:c>
      <x:c r="D574"/>
      <x:c r="E574" t="str">
        <x:v>KAT013</x:v>
      </x:c>
      <x:c r="F574"/>
      <x:c r="G574"/>
      <x:c r="H574" t="str">
        <x:v>kein_match</x:v>
      </x:c>
      <x:c r="I574" t="str">
        <x:v>Agent-Draft: keine finale Regelentscheidung</x:v>
      </x:c>
      <x:c r="J574" t="n">
        <x:v>45965</x:v>
      </x:c>
      <x:c r="K574"/>
      <x:c r="L574"/>
      <x:c r="M574" t="n">
        <x:v>-3.5</x:v>
      </x:c>
      <x:c r="N574" t="str">
        <x:v>2025-11</x:v>
      </x:c>
      <x:c r="O574" t="str">
        <x:v>Ausgabe</x:v>
      </x:c>
      <x:c r="P574" t="str">
        <x:v>Ist</x:v>
      </x:c>
      <x:c r="Q574" s="59" t="b">
        <x:v>0</x:v>
      </x:c>
      <x:c r="R574" t="str">
        <x:v>kein_transfer</x:v>
      </x:c>
      <x:c r="S574"/>
      <x:c r="T574"/>
      <x:c r="U574"/>
      <x:c r="V574" s="59" t="b">
        <x:v>1</x:v>
      </x:c>
      <x:c r="W574"/>
      <x:c r="X574" t="str">
        <x:v>offen</x:v>
      </x:c>
      <x:c r="Y574" t="str">
        <x:v>Agent-Draft; Kategorie und Person pruefen</x:v>
      </x:c>
    </x:row>
    <x:row r="575">
      <x:c r="A575" t="str">
        <x:v>TXN-RAW-IMP-20260516-FULLDRAFT-000559</x:v>
      </x:c>
      <x:c r="B575" t="str">
        <x:v>RAW-IMP-20260516-FULLDRAFT-000559</x:v>
      </x:c>
      <x:c r="C575" t="str">
        <x:v>KTO001</x:v>
      </x:c>
      <x:c r="D575"/>
      <x:c r="E575" t="str">
        <x:v>KAT013</x:v>
      </x:c>
      <x:c r="F575"/>
      <x:c r="G575"/>
      <x:c r="H575" t="str">
        <x:v>kein_match</x:v>
      </x:c>
      <x:c r="I575" t="str">
        <x:v>Agent-Draft: keine finale Regelentscheidung</x:v>
      </x:c>
      <x:c r="J575" t="n">
        <x:v>45965</x:v>
      </x:c>
      <x:c r="K575"/>
      <x:c r="L575"/>
      <x:c r="M575" t="n">
        <x:v>-11.2</x:v>
      </x:c>
      <x:c r="N575" t="str">
        <x:v>2025-11</x:v>
      </x:c>
      <x:c r="O575" t="str">
        <x:v>Ausgabe</x:v>
      </x:c>
      <x:c r="P575" t="str">
        <x:v>Ist</x:v>
      </x:c>
      <x:c r="Q575" s="59" t="b">
        <x:v>0</x:v>
      </x:c>
      <x:c r="R575" t="str">
        <x:v>kein_transfer</x:v>
      </x:c>
      <x:c r="S575"/>
      <x:c r="T575"/>
      <x:c r="U575"/>
      <x:c r="V575" s="59" t="b">
        <x:v>1</x:v>
      </x:c>
      <x:c r="W575"/>
      <x:c r="X575" t="str">
        <x:v>offen</x:v>
      </x:c>
      <x:c r="Y575" t="str">
        <x:v>Agent-Draft; Kategorie und Person pruefen</x:v>
      </x:c>
    </x:row>
    <x:row r="576">
      <x:c r="A576" t="str">
        <x:v>TXN-RAW-IMP-20260516-FULLDRAFT-000560</x:v>
      </x:c>
      <x:c r="B576" t="str">
        <x:v>RAW-IMP-20260516-FULLDRAFT-000560</x:v>
      </x:c>
      <x:c r="C576" t="str">
        <x:v>KTO001</x:v>
      </x:c>
      <x:c r="D576"/>
      <x:c r="E576" t="str">
        <x:v>KAT013</x:v>
      </x:c>
      <x:c r="F576"/>
      <x:c r="G576"/>
      <x:c r="H576" t="str">
        <x:v>kein_match</x:v>
      </x:c>
      <x:c r="I576" t="str">
        <x:v>Agent-Draft: keine finale Regelentscheidung</x:v>
      </x:c>
      <x:c r="J576" t="n">
        <x:v>45965</x:v>
      </x:c>
      <x:c r="K576"/>
      <x:c r="L576"/>
      <x:c r="M576" t="n">
        <x:v>-500</x:v>
      </x:c>
      <x:c r="N576" t="str">
        <x:v>2025-11</x:v>
      </x:c>
      <x:c r="O576" t="str">
        <x:v>Ausgabe</x:v>
      </x:c>
      <x:c r="P576" t="str">
        <x:v>Ist</x:v>
      </x:c>
      <x:c r="Q576" s="59" t="b">
        <x:v>0</x:v>
      </x:c>
      <x:c r="R576" t="str">
        <x:v>kein_transfer</x:v>
      </x:c>
      <x:c r="S576"/>
      <x:c r="T576"/>
      <x:c r="U576"/>
      <x:c r="V576" s="59" t="b">
        <x:v>1</x:v>
      </x:c>
      <x:c r="W576"/>
      <x:c r="X576" t="str">
        <x:v>offen</x:v>
      </x:c>
      <x:c r="Y576" t="str">
        <x:v>Agent-Draft; Kategorie und Person pruefen</x:v>
      </x:c>
    </x:row>
    <x:row r="577">
      <x:c r="A577" t="str">
        <x:v>TXN-RAW-IMP-20260516-FULLDRAFT-000561</x:v>
      </x:c>
      <x:c r="B577" t="str">
        <x:v>RAW-IMP-20260516-FULLDRAFT-000561</x:v>
      </x:c>
      <x:c r="C577" t="str">
        <x:v>KTO001</x:v>
      </x:c>
      <x:c r="D577"/>
      <x:c r="E577" t="str">
        <x:v>KAT013</x:v>
      </x:c>
      <x:c r="F577"/>
      <x:c r="G577"/>
      <x:c r="H577" t="str">
        <x:v>kein_match</x:v>
      </x:c>
      <x:c r="I577" t="str">
        <x:v>Agent-Draft: keine finale Regelentscheidung</x:v>
      </x:c>
      <x:c r="J577" t="n">
        <x:v>45965</x:v>
      </x:c>
      <x:c r="K577"/>
      <x:c r="L577"/>
      <x:c r="M577" t="n">
        <x:v>-60.5</x:v>
      </x:c>
      <x:c r="N577" t="str">
        <x:v>2025-11</x:v>
      </x:c>
      <x:c r="O577" t="str">
        <x:v>Ausgabe</x:v>
      </x:c>
      <x:c r="P577" t="str">
        <x:v>Ist</x:v>
      </x:c>
      <x:c r="Q577" s="59" t="b">
        <x:v>0</x:v>
      </x:c>
      <x:c r="R577" t="str">
        <x:v>kein_transfer</x:v>
      </x:c>
      <x:c r="S577"/>
      <x:c r="T577"/>
      <x:c r="U577"/>
      <x:c r="V577" s="59" t="b">
        <x:v>1</x:v>
      </x:c>
      <x:c r="W577"/>
      <x:c r="X577" t="str">
        <x:v>offen</x:v>
      </x:c>
      <x:c r="Y577" t="str">
        <x:v>Agent-Draft; Kategorie und Person pruefen</x:v>
      </x:c>
    </x:row>
    <x:row r="578">
      <x:c r="A578" t="str">
        <x:v>TXN-RAW-IMP-20260516-FULLDRAFT-000562</x:v>
      </x:c>
      <x:c r="B578" t="str">
        <x:v>RAW-IMP-20260516-FULLDRAFT-000562</x:v>
      </x:c>
      <x:c r="C578" t="str">
        <x:v>KTO001</x:v>
      </x:c>
      <x:c r="D578"/>
      <x:c r="E578" t="str">
        <x:v>KAT013</x:v>
      </x:c>
      <x:c r="F578"/>
      <x:c r="G578"/>
      <x:c r="H578" t="str">
        <x:v>kein_match</x:v>
      </x:c>
      <x:c r="I578" t="str">
        <x:v>Agent-Draft: keine finale Regelentscheidung</x:v>
      </x:c>
      <x:c r="J578" t="n">
        <x:v>45965</x:v>
      </x:c>
      <x:c r="K578"/>
      <x:c r="L578"/>
      <x:c r="M578" t="n">
        <x:v>-11.96</x:v>
      </x:c>
      <x:c r="N578" t="str">
        <x:v>2025-11</x:v>
      </x:c>
      <x:c r="O578" t="str">
        <x:v>Ausgabe</x:v>
      </x:c>
      <x:c r="P578" t="str">
        <x:v>Ist</x:v>
      </x:c>
      <x:c r="Q578" s="59" t="b">
        <x:v>0</x:v>
      </x:c>
      <x:c r="R578" t="str">
        <x:v>kein_transfer</x:v>
      </x:c>
      <x:c r="S578"/>
      <x:c r="T578"/>
      <x:c r="U578"/>
      <x:c r="V578" s="59" t="b">
        <x:v>1</x:v>
      </x:c>
      <x:c r="W578"/>
      <x:c r="X578" t="str">
        <x:v>offen</x:v>
      </x:c>
      <x:c r="Y578" t="str">
        <x:v>Agent-Draft; Kategorie und Person pruefen</x:v>
      </x:c>
    </x:row>
    <x:row r="579">
      <x:c r="A579" t="str">
        <x:v>TXN-RAW-IMP-20260516-FULLDRAFT-000563</x:v>
      </x:c>
      <x:c r="B579" t="str">
        <x:v>RAW-IMP-20260516-FULLDRAFT-000563</x:v>
      </x:c>
      <x:c r="C579" t="str">
        <x:v>KTO001</x:v>
      </x:c>
      <x:c r="D579"/>
      <x:c r="E579" t="str">
        <x:v>KAT013</x:v>
      </x:c>
      <x:c r="F579"/>
      <x:c r="G579"/>
      <x:c r="H579" t="str">
        <x:v>kein_match</x:v>
      </x:c>
      <x:c r="I579" t="str">
        <x:v>Agent-Draft: keine finale Regelentscheidung</x:v>
      </x:c>
      <x:c r="J579" t="n">
        <x:v>45965</x:v>
      </x:c>
      <x:c r="K579"/>
      <x:c r="L579"/>
      <x:c r="M579" t="n">
        <x:v>-56.83</x:v>
      </x:c>
      <x:c r="N579" t="str">
        <x:v>2025-11</x:v>
      </x:c>
      <x:c r="O579" t="str">
        <x:v>Ausgabe</x:v>
      </x:c>
      <x:c r="P579" t="str">
        <x:v>Ist</x:v>
      </x:c>
      <x:c r="Q579" s="59" t="b">
        <x:v>0</x:v>
      </x:c>
      <x:c r="R579" t="str">
        <x:v>kein_transfer</x:v>
      </x:c>
      <x:c r="S579"/>
      <x:c r="T579"/>
      <x:c r="U579"/>
      <x:c r="V579" s="59" t="b">
        <x:v>1</x:v>
      </x:c>
      <x:c r="W579"/>
      <x:c r="X579" t="str">
        <x:v>offen</x:v>
      </x:c>
      <x:c r="Y579" t="str">
        <x:v>Agent-Draft; Kategorie und Person pruefen</x:v>
      </x:c>
    </x:row>
    <x:row r="580">
      <x:c r="A580" t="str">
        <x:v>TXN-RAW-IMP-20260516-FULLDRAFT-000564</x:v>
      </x:c>
      <x:c r="B580" t="str">
        <x:v>RAW-IMP-20260516-FULLDRAFT-000564</x:v>
      </x:c>
      <x:c r="C580" t="str">
        <x:v>KTO001</x:v>
      </x:c>
      <x:c r="D580"/>
      <x:c r="E580" t="str">
        <x:v>KAT013</x:v>
      </x:c>
      <x:c r="F580"/>
      <x:c r="G580"/>
      <x:c r="H580" t="str">
        <x:v>kein_match</x:v>
      </x:c>
      <x:c r="I580" t="str">
        <x:v>Agent-Draft: keine finale Regelentscheidung</x:v>
      </x:c>
      <x:c r="J580" t="n">
        <x:v>45964</x:v>
      </x:c>
      <x:c r="K580"/>
      <x:c r="L580"/>
      <x:c r="M580" t="n">
        <x:v>750</x:v>
      </x:c>
      <x:c r="N580" t="str">
        <x:v>2025-11</x:v>
      </x:c>
      <x:c r="O580" t="str">
        <x:v>Einnahme</x:v>
      </x:c>
      <x:c r="P580" t="str">
        <x:v>Ist</x:v>
      </x:c>
      <x:c r="Q580" s="59" t="b">
        <x:v>0</x:v>
      </x:c>
      <x:c r="R580" t="str">
        <x:v>kein_transfer</x:v>
      </x:c>
      <x:c r="S580"/>
      <x:c r="T580"/>
      <x:c r="U580"/>
      <x:c r="V580" s="59" t="b">
        <x:v>1</x:v>
      </x:c>
      <x:c r="W580"/>
      <x:c r="X580" t="str">
        <x:v>offen</x:v>
      </x:c>
      <x:c r="Y580" t="str">
        <x:v>Agent-Draft; Kategorie und Person pruefen</x:v>
      </x:c>
    </x:row>
    <x:row r="581">
      <x:c r="A581" t="str">
        <x:v>TXN-RAW-IMP-20260516-FULLDRAFT-000565</x:v>
      </x:c>
      <x:c r="B581" t="str">
        <x:v>RAW-IMP-20260516-FULLDRAFT-000565</x:v>
      </x:c>
      <x:c r="C581" t="str">
        <x:v>KTO001</x:v>
      </x:c>
      <x:c r="D581"/>
      <x:c r="E581" t="str">
        <x:v>KAT013</x:v>
      </x:c>
      <x:c r="F581"/>
      <x:c r="G581"/>
      <x:c r="H581" t="str">
        <x:v>kein_match</x:v>
      </x:c>
      <x:c r="I581" t="str">
        <x:v>Agent-Draft: keine finale Regelentscheidung</x:v>
      </x:c>
      <x:c r="J581" t="n">
        <x:v>45964</x:v>
      </x:c>
      <x:c r="K581"/>
      <x:c r="L581"/>
      <x:c r="M581" t="n">
        <x:v>-4.5</x:v>
      </x:c>
      <x:c r="N581" t="str">
        <x:v>2025-11</x:v>
      </x:c>
      <x:c r="O581" t="str">
        <x:v>Ausgabe</x:v>
      </x:c>
      <x:c r="P581" t="str">
        <x:v>Ist</x:v>
      </x:c>
      <x:c r="Q581" s="59" t="b">
        <x:v>0</x:v>
      </x:c>
      <x:c r="R581" t="str">
        <x:v>kein_transfer</x:v>
      </x:c>
      <x:c r="S581"/>
      <x:c r="T581"/>
      <x:c r="U581"/>
      <x:c r="V581" s="59" t="b">
        <x:v>1</x:v>
      </x:c>
      <x:c r="W581"/>
      <x:c r="X581" t="str">
        <x:v>offen</x:v>
      </x:c>
      <x:c r="Y581" t="str">
        <x:v>Agent-Draft; Kategorie und Person pruefen</x:v>
      </x:c>
    </x:row>
    <x:row r="582">
      <x:c r="A582" t="str">
        <x:v>TXN-RAW-IMP-20260516-FULLDRAFT-000566</x:v>
      </x:c>
      <x:c r="B582" t="str">
        <x:v>RAW-IMP-20260516-FULLDRAFT-000566</x:v>
      </x:c>
      <x:c r="C582" t="str">
        <x:v>KTO001</x:v>
      </x:c>
      <x:c r="D582"/>
      <x:c r="E582" t="str">
        <x:v>KAT013</x:v>
      </x:c>
      <x:c r="F582"/>
      <x:c r="G582"/>
      <x:c r="H582" t="str">
        <x:v>kein_match</x:v>
      </x:c>
      <x:c r="I582" t="str">
        <x:v>Agent-Draft: keine finale Regelentscheidung</x:v>
      </x:c>
      <x:c r="J582" t="n">
        <x:v>45964</x:v>
      </x:c>
      <x:c r="K582"/>
      <x:c r="L582"/>
      <x:c r="M582" t="n">
        <x:v>-16.2</x:v>
      </x:c>
      <x:c r="N582" t="str">
        <x:v>2025-11</x:v>
      </x:c>
      <x:c r="O582" t="str">
        <x:v>Ausgabe</x:v>
      </x:c>
      <x:c r="P582" t="str">
        <x:v>Ist</x:v>
      </x:c>
      <x:c r="Q582" s="59" t="b">
        <x:v>0</x:v>
      </x:c>
      <x:c r="R582" t="str">
        <x:v>kein_transfer</x:v>
      </x:c>
      <x:c r="S582"/>
      <x:c r="T582"/>
      <x:c r="U582"/>
      <x:c r="V582" s="59" t="b">
        <x:v>1</x:v>
      </x:c>
      <x:c r="W582"/>
      <x:c r="X582" t="str">
        <x:v>offen</x:v>
      </x:c>
      <x:c r="Y582" t="str">
        <x:v>Agent-Draft; Kategorie und Person pruefen</x:v>
      </x:c>
    </x:row>
    <x:row r="583">
      <x:c r="A583" t="str">
        <x:v>TXN-RAW-IMP-20260516-FULLDRAFT-000567</x:v>
      </x:c>
      <x:c r="B583" t="str">
        <x:v>RAW-IMP-20260516-FULLDRAFT-000567</x:v>
      </x:c>
      <x:c r="C583" t="str">
        <x:v>KTO001</x:v>
      </x:c>
      <x:c r="D583"/>
      <x:c r="E583" t="str">
        <x:v>KAT013</x:v>
      </x:c>
      <x:c r="F583"/>
      <x:c r="G583"/>
      <x:c r="H583" t="str">
        <x:v>kein_match</x:v>
      </x:c>
      <x:c r="I583" t="str">
        <x:v>Agent-Draft: keine finale Regelentscheidung</x:v>
      </x:c>
      <x:c r="J583" t="n">
        <x:v>45964</x:v>
      </x:c>
      <x:c r="K583"/>
      <x:c r="L583"/>
      <x:c r="M583" t="n">
        <x:v>-15.66</x:v>
      </x:c>
      <x:c r="N583" t="str">
        <x:v>2025-11</x:v>
      </x:c>
      <x:c r="O583" t="str">
        <x:v>Ausgabe</x:v>
      </x:c>
      <x:c r="P583" t="str">
        <x:v>Ist</x:v>
      </x:c>
      <x:c r="Q583" s="59" t="b">
        <x:v>0</x:v>
      </x:c>
      <x:c r="R583" t="str">
        <x:v>kein_transfer</x:v>
      </x:c>
      <x:c r="S583"/>
      <x:c r="T583"/>
      <x:c r="U583"/>
      <x:c r="V583" s="59" t="b">
        <x:v>1</x:v>
      </x:c>
      <x:c r="W583"/>
      <x:c r="X583" t="str">
        <x:v>offen</x:v>
      </x:c>
      <x:c r="Y583" t="str">
        <x:v>Agent-Draft; Kategorie und Person pruefen</x:v>
      </x:c>
    </x:row>
    <x:row r="584">
      <x:c r="A584" t="str">
        <x:v>TXN-RAW-IMP-20260516-FULLDRAFT-000568</x:v>
      </x:c>
      <x:c r="B584" t="str">
        <x:v>RAW-IMP-20260516-FULLDRAFT-000568</x:v>
      </x:c>
      <x:c r="C584" t="str">
        <x:v>KTO001</x:v>
      </x:c>
      <x:c r="D584"/>
      <x:c r="E584" t="str">
        <x:v>KAT013</x:v>
      </x:c>
      <x:c r="F584"/>
      <x:c r="G584"/>
      <x:c r="H584" t="str">
        <x:v>kein_match</x:v>
      </x:c>
      <x:c r="I584" t="str">
        <x:v>Agent-Draft: keine finale Regelentscheidung</x:v>
      </x:c>
      <x:c r="J584" t="n">
        <x:v>45964</x:v>
      </x:c>
      <x:c r="K584"/>
      <x:c r="L584"/>
      <x:c r="M584" t="n">
        <x:v>-51.23</x:v>
      </x:c>
      <x:c r="N584" t="str">
        <x:v>2025-11</x:v>
      </x:c>
      <x:c r="O584" t="str">
        <x:v>Ausgabe</x:v>
      </x:c>
      <x:c r="P584" t="str">
        <x:v>Ist</x:v>
      </x:c>
      <x:c r="Q584" s="59" t="b">
        <x:v>0</x:v>
      </x:c>
      <x:c r="R584" t="str">
        <x:v>kein_transfer</x:v>
      </x:c>
      <x:c r="S584"/>
      <x:c r="T584"/>
      <x:c r="U584"/>
      <x:c r="V584" s="59" t="b">
        <x:v>1</x:v>
      </x:c>
      <x:c r="W584"/>
      <x:c r="X584" t="str">
        <x:v>offen</x:v>
      </x:c>
      <x:c r="Y584" t="str">
        <x:v>Agent-Draft; Kategorie und Person pruefen</x:v>
      </x:c>
    </x:row>
    <x:row r="585">
      <x:c r="A585" t="str">
        <x:v>TXN-RAW-IMP-20260516-FULLDRAFT-000569</x:v>
      </x:c>
      <x:c r="B585" t="str">
        <x:v>RAW-IMP-20260516-FULLDRAFT-000569</x:v>
      </x:c>
      <x:c r="C585" t="str">
        <x:v>KTO001</x:v>
      </x:c>
      <x:c r="D585"/>
      <x:c r="E585" t="str">
        <x:v>KAT013</x:v>
      </x:c>
      <x:c r="F585"/>
      <x:c r="G585"/>
      <x:c r="H585" t="str">
        <x:v>kein_match</x:v>
      </x:c>
      <x:c r="I585" t="str">
        <x:v>Agent-Draft: keine finale Regelentscheidung</x:v>
      </x:c>
      <x:c r="J585" t="n">
        <x:v>45964</x:v>
      </x:c>
      <x:c r="K585"/>
      <x:c r="L585"/>
      <x:c r="M585" t="n">
        <x:v>34.8</x:v>
      </x:c>
      <x:c r="N585" t="str">
        <x:v>2025-11</x:v>
      </x:c>
      <x:c r="O585" t="str">
        <x:v>Einnahme</x:v>
      </x:c>
      <x:c r="P585" t="str">
        <x:v>Ist</x:v>
      </x:c>
      <x:c r="Q585" s="59" t="b">
        <x:v>0</x:v>
      </x:c>
      <x:c r="R585" t="str">
        <x:v>kein_transfer</x:v>
      </x:c>
      <x:c r="S585"/>
      <x:c r="T585"/>
      <x:c r="U585"/>
      <x:c r="V585" s="59" t="b">
        <x:v>1</x:v>
      </x:c>
      <x:c r="W585"/>
      <x:c r="X585" t="str">
        <x:v>offen</x:v>
      </x:c>
      <x:c r="Y585" t="str">
        <x:v>Agent-Draft; Kategorie und Person pruefen</x:v>
      </x:c>
    </x:row>
    <x:row r="586">
      <x:c r="A586" t="str">
        <x:v>TXN-RAW-IMP-20260516-FULLDRAFT-000570</x:v>
      </x:c>
      <x:c r="B586" t="str">
        <x:v>RAW-IMP-20260516-FULLDRAFT-000570</x:v>
      </x:c>
      <x:c r="C586" t="str">
        <x:v>KTO001</x:v>
      </x:c>
      <x:c r="D586"/>
      <x:c r="E586" t="str">
        <x:v>KAT013</x:v>
      </x:c>
      <x:c r="F586"/>
      <x:c r="G586"/>
      <x:c r="H586" t="str">
        <x:v>kein_match</x:v>
      </x:c>
      <x:c r="I586" t="str">
        <x:v>Agent-Draft: keine finale Regelentscheidung</x:v>
      </x:c>
      <x:c r="J586" t="n">
        <x:v>45964</x:v>
      </x:c>
      <x:c r="K586"/>
      <x:c r="L586"/>
      <x:c r="M586" t="n">
        <x:v>-73.09</x:v>
      </x:c>
      <x:c r="N586" t="str">
        <x:v>2025-11</x:v>
      </x:c>
      <x:c r="O586" t="str">
        <x:v>Ausgabe</x:v>
      </x:c>
      <x:c r="P586" t="str">
        <x:v>Ist</x:v>
      </x:c>
      <x:c r="Q586" s="59" t="b">
        <x:v>0</x:v>
      </x:c>
      <x:c r="R586" t="str">
        <x:v>kein_transfer</x:v>
      </x:c>
      <x:c r="S586"/>
      <x:c r="T586"/>
      <x:c r="U586"/>
      <x:c r="V586" s="59" t="b">
        <x:v>1</x:v>
      </x:c>
      <x:c r="W586"/>
      <x:c r="X586" t="str">
        <x:v>offen</x:v>
      </x:c>
      <x:c r="Y586" t="str">
        <x:v>Agent-Draft; Kategorie und Person pruefen</x:v>
      </x:c>
    </x:row>
    <x:row r="587">
      <x:c r="A587" t="str">
        <x:v>TXN-RAW-IMP-20260516-FULLDRAFT-000571</x:v>
      </x:c>
      <x:c r="B587" t="str">
        <x:v>RAW-IMP-20260516-FULLDRAFT-000571</x:v>
      </x:c>
      <x:c r="C587" t="str">
        <x:v>KTO001</x:v>
      </x:c>
      <x:c r="D587"/>
      <x:c r="E587" t="str">
        <x:v>KAT013</x:v>
      </x:c>
      <x:c r="F587"/>
      <x:c r="G587"/>
      <x:c r="H587" t="str">
        <x:v>kein_match</x:v>
      </x:c>
      <x:c r="I587" t="str">
        <x:v>Agent-Draft: keine finale Regelentscheidung</x:v>
      </x:c>
      <x:c r="J587" t="n">
        <x:v>45964</x:v>
      </x:c>
      <x:c r="K587"/>
      <x:c r="L587"/>
      <x:c r="M587" t="n">
        <x:v>-15</x:v>
      </x:c>
      <x:c r="N587" t="str">
        <x:v>2025-11</x:v>
      </x:c>
      <x:c r="O587" t="str">
        <x:v>Ausgabe</x:v>
      </x:c>
      <x:c r="P587" t="str">
        <x:v>Ist</x:v>
      </x:c>
      <x:c r="Q587" s="59" t="b">
        <x:v>0</x:v>
      </x:c>
      <x:c r="R587" t="str">
        <x:v>kein_transfer</x:v>
      </x:c>
      <x:c r="S587"/>
      <x:c r="T587"/>
      <x:c r="U587"/>
      <x:c r="V587" s="59" t="b">
        <x:v>1</x:v>
      </x:c>
      <x:c r="W587"/>
      <x:c r="X587" t="str">
        <x:v>offen</x:v>
      </x:c>
      <x:c r="Y587" t="str">
        <x:v>Agent-Draft; Kategorie und Person pruefen</x:v>
      </x:c>
    </x:row>
    <x:row r="588">
      <x:c r="A588" t="str">
        <x:v>TXN-RAW-IMP-20260516-FULLDRAFT-000572</x:v>
      </x:c>
      <x:c r="B588" t="str">
        <x:v>RAW-IMP-20260516-FULLDRAFT-000572</x:v>
      </x:c>
      <x:c r="C588" t="str">
        <x:v>KTO001</x:v>
      </x:c>
      <x:c r="D588"/>
      <x:c r="E588" t="str">
        <x:v>KAT013</x:v>
      </x:c>
      <x:c r="F588"/>
      <x:c r="G588"/>
      <x:c r="H588" t="str">
        <x:v>kein_match</x:v>
      </x:c>
      <x:c r="I588" t="str">
        <x:v>Agent-Draft: keine finale Regelentscheidung</x:v>
      </x:c>
      <x:c r="J588" t="n">
        <x:v>45964</x:v>
      </x:c>
      <x:c r="K588"/>
      <x:c r="L588"/>
      <x:c r="M588" t="n">
        <x:v>-97.12</x:v>
      </x:c>
      <x:c r="N588" t="str">
        <x:v>2025-11</x:v>
      </x:c>
      <x:c r="O588" t="str">
        <x:v>Ausgabe</x:v>
      </x:c>
      <x:c r="P588" t="str">
        <x:v>Ist</x:v>
      </x:c>
      <x:c r="Q588" s="59" t="b">
        <x:v>0</x:v>
      </x:c>
      <x:c r="R588" t="str">
        <x:v>kein_transfer</x:v>
      </x:c>
      <x:c r="S588"/>
      <x:c r="T588"/>
      <x:c r="U588"/>
      <x:c r="V588" s="59" t="b">
        <x:v>1</x:v>
      </x:c>
      <x:c r="W588"/>
      <x:c r="X588" t="str">
        <x:v>offen</x:v>
      </x:c>
      <x:c r="Y588" t="str">
        <x:v>Agent-Draft; Kategorie und Person pruefen</x:v>
      </x:c>
    </x:row>
    <x:row r="589">
      <x:c r="A589" t="str">
        <x:v>TXN-RAW-IMP-20260516-FULLDRAFT-000573</x:v>
      </x:c>
      <x:c r="B589" t="str">
        <x:v>RAW-IMP-20260516-FULLDRAFT-000573</x:v>
      </x:c>
      <x:c r="C589" t="str">
        <x:v>KTO001</x:v>
      </x:c>
      <x:c r="D589"/>
      <x:c r="E589" t="str">
        <x:v>KAT013</x:v>
      </x:c>
      <x:c r="F589"/>
      <x:c r="G589"/>
      <x:c r="H589" t="str">
        <x:v>kein_match</x:v>
      </x:c>
      <x:c r="I589" t="str">
        <x:v>Agent-Draft: keine finale Regelentscheidung</x:v>
      </x:c>
      <x:c r="J589" t="n">
        <x:v>45964</x:v>
      </x:c>
      <x:c r="K589"/>
      <x:c r="L589"/>
      <x:c r="M589" t="n">
        <x:v>-98.9</x:v>
      </x:c>
      <x:c r="N589" t="str">
        <x:v>2025-11</x:v>
      </x:c>
      <x:c r="O589" t="str">
        <x:v>Ausgabe</x:v>
      </x:c>
      <x:c r="P589" t="str">
        <x:v>Ist</x:v>
      </x:c>
      <x:c r="Q589" s="59" t="b">
        <x:v>0</x:v>
      </x:c>
      <x:c r="R589" t="str">
        <x:v>kein_transfer</x:v>
      </x:c>
      <x:c r="S589"/>
      <x:c r="T589"/>
      <x:c r="U589"/>
      <x:c r="V589" s="59" t="b">
        <x:v>1</x:v>
      </x:c>
      <x:c r="W589"/>
      <x:c r="X589" t="str">
        <x:v>offen</x:v>
      </x:c>
      <x:c r="Y589" t="str">
        <x:v>Agent-Draft; Kategorie und Person pruefen</x:v>
      </x:c>
    </x:row>
    <x:row r="590">
      <x:c r="A590" t="str">
        <x:v>TXN-RAW-IMP-20260516-FULLDRAFT-000574</x:v>
      </x:c>
      <x:c r="B590" t="str">
        <x:v>RAW-IMP-20260516-FULLDRAFT-000574</x:v>
      </x:c>
      <x:c r="C590" t="str">
        <x:v>KTO001</x:v>
      </x:c>
      <x:c r="D590"/>
      <x:c r="E590" t="str">
        <x:v>KAT013</x:v>
      </x:c>
      <x:c r="F590"/>
      <x:c r="G590"/>
      <x:c r="H590" t="str">
        <x:v>kein_match</x:v>
      </x:c>
      <x:c r="I590" t="str">
        <x:v>Agent-Draft: keine finale Regelentscheidung</x:v>
      </x:c>
      <x:c r="J590" t="n">
        <x:v>45964</x:v>
      </x:c>
      <x:c r="K590"/>
      <x:c r="L590"/>
      <x:c r="M590" t="n">
        <x:v>-162.17</x:v>
      </x:c>
      <x:c r="N590" t="str">
        <x:v>2025-11</x:v>
      </x:c>
      <x:c r="O590" t="str">
        <x:v>Ausgabe</x:v>
      </x:c>
      <x:c r="P590" t="str">
        <x:v>Ist</x:v>
      </x:c>
      <x:c r="Q590" s="59" t="b">
        <x:v>0</x:v>
      </x:c>
      <x:c r="R590" t="str">
        <x:v>kein_transfer</x:v>
      </x:c>
      <x:c r="S590"/>
      <x:c r="T590"/>
      <x:c r="U590"/>
      <x:c r="V590" s="59" t="b">
        <x:v>1</x:v>
      </x:c>
      <x:c r="W590"/>
      <x:c r="X590" t="str">
        <x:v>offen</x:v>
      </x:c>
      <x:c r="Y590" t="str">
        <x:v>Agent-Draft; Kategorie und Person pruefen</x:v>
      </x:c>
    </x:row>
    <x:row r="591">
      <x:c r="A591" t="str">
        <x:v>TXN-RAW-IMP-20260516-FULLDRAFT-000575</x:v>
      </x:c>
      <x:c r="B591" t="str">
        <x:v>RAW-IMP-20260516-FULLDRAFT-000575</x:v>
      </x:c>
      <x:c r="C591" t="str">
        <x:v>KTO001</x:v>
      </x:c>
      <x:c r="D591"/>
      <x:c r="E591" t="str">
        <x:v>KAT013</x:v>
      </x:c>
      <x:c r="F591"/>
      <x:c r="G591"/>
      <x:c r="H591" t="str">
        <x:v>kein_match</x:v>
      </x:c>
      <x:c r="I591" t="str">
        <x:v>Agent-Draft: keine finale Regelentscheidung</x:v>
      </x:c>
      <x:c r="J591" t="n">
        <x:v>45964</x:v>
      </x:c>
      <x:c r="K591"/>
      <x:c r="L591"/>
      <x:c r="M591" t="n">
        <x:v>-600</x:v>
      </x:c>
      <x:c r="N591" t="str">
        <x:v>2025-11</x:v>
      </x:c>
      <x:c r="O591" t="str">
        <x:v>Ausgabe</x:v>
      </x:c>
      <x:c r="P591" t="str">
        <x:v>Ist</x:v>
      </x:c>
      <x:c r="Q591" s="59" t="b">
        <x:v>0</x:v>
      </x:c>
      <x:c r="R591" t="str">
        <x:v>kein_transfer</x:v>
      </x:c>
      <x:c r="S591"/>
      <x:c r="T591"/>
      <x:c r="U591"/>
      <x:c r="V591" s="59" t="b">
        <x:v>1</x:v>
      </x:c>
      <x:c r="W591"/>
      <x:c r="X591" t="str">
        <x:v>offen</x:v>
      </x:c>
      <x:c r="Y591" t="str">
        <x:v>Agent-Draft; Kategorie und Person pruefen</x:v>
      </x:c>
    </x:row>
    <x:row r="592">
      <x:c r="A592" t="str">
        <x:v>TXN-RAW-IMP-20260516-FULLDRAFT-000576</x:v>
      </x:c>
      <x:c r="B592" t="str">
        <x:v>RAW-IMP-20260516-FULLDRAFT-000576</x:v>
      </x:c>
      <x:c r="C592" t="str">
        <x:v>KTO001</x:v>
      </x:c>
      <x:c r="D592"/>
      <x:c r="E592" t="str">
        <x:v>KAT013</x:v>
      </x:c>
      <x:c r="F592"/>
      <x:c r="G592"/>
      <x:c r="H592" t="str">
        <x:v>kein_match</x:v>
      </x:c>
      <x:c r="I592" t="str">
        <x:v>Agent-Draft: keine finale Regelentscheidung</x:v>
      </x:c>
      <x:c r="J592" t="n">
        <x:v>45964</x:v>
      </x:c>
      <x:c r="K592"/>
      <x:c r="L592"/>
      <x:c r="M592" t="n">
        <x:v>-452.71</x:v>
      </x:c>
      <x:c r="N592" t="str">
        <x:v>2025-11</x:v>
      </x:c>
      <x:c r="O592" t="str">
        <x:v>Ausgabe</x:v>
      </x:c>
      <x:c r="P592" t="str">
        <x:v>Ist</x:v>
      </x:c>
      <x:c r="Q592" s="59" t="b">
        <x:v>0</x:v>
      </x:c>
      <x:c r="R592" t="str">
        <x:v>kein_transfer</x:v>
      </x:c>
      <x:c r="S592"/>
      <x:c r="T592"/>
      <x:c r="U592"/>
      <x:c r="V592" s="59" t="b">
        <x:v>1</x:v>
      </x:c>
      <x:c r="W592"/>
      <x:c r="X592" t="str">
        <x:v>offen</x:v>
      </x:c>
      <x:c r="Y592" t="str">
        <x:v>Agent-Draft; Kategorie und Person pruefen</x:v>
      </x:c>
    </x:row>
    <x:row r="593">
      <x:c r="A593" t="str">
        <x:v>TXN-RAW-IMP-20260516-FULLDRAFT-000577</x:v>
      </x:c>
      <x:c r="B593" t="str">
        <x:v>RAW-IMP-20260516-FULLDRAFT-000577</x:v>
      </x:c>
      <x:c r="C593" t="str">
        <x:v>KTO001</x:v>
      </x:c>
      <x:c r="D593"/>
      <x:c r="E593" t="str">
        <x:v>KAT013</x:v>
      </x:c>
      <x:c r="F593"/>
      <x:c r="G593"/>
      <x:c r="H593" t="str">
        <x:v>kein_match</x:v>
      </x:c>
      <x:c r="I593" t="str">
        <x:v>Agent-Draft: keine finale Regelentscheidung</x:v>
      </x:c>
      <x:c r="J593" t="n">
        <x:v>45964</x:v>
      </x:c>
      <x:c r="K593"/>
      <x:c r="L593"/>
      <x:c r="M593" t="n">
        <x:v>-1400</x:v>
      </x:c>
      <x:c r="N593" t="str">
        <x:v>2025-11</x:v>
      </x:c>
      <x:c r="O593" t="str">
        <x:v>Ausgabe</x:v>
      </x:c>
      <x:c r="P593" t="str">
        <x:v>Ist</x:v>
      </x:c>
      <x:c r="Q593" s="59" t="b">
        <x:v>0</x:v>
      </x:c>
      <x:c r="R593" t="str">
        <x:v>kein_transfer</x:v>
      </x:c>
      <x:c r="S593"/>
      <x:c r="T593"/>
      <x:c r="U593"/>
      <x:c r="V593" s="59" t="b">
        <x:v>1</x:v>
      </x:c>
      <x:c r="W593"/>
      <x:c r="X593" t="str">
        <x:v>offen</x:v>
      </x:c>
      <x:c r="Y593" t="str">
        <x:v>Agent-Draft; Kategorie und Person pruefen</x:v>
      </x:c>
    </x:row>
    <x:row r="594">
      <x:c r="A594" t="str">
        <x:v>TXN-RAW-IMP-20260516-FULLDRAFT-000578</x:v>
      </x:c>
      <x:c r="B594" t="str">
        <x:v>RAW-IMP-20260516-FULLDRAFT-000578</x:v>
      </x:c>
      <x:c r="C594" t="str">
        <x:v>KTO001</x:v>
      </x:c>
      <x:c r="D594"/>
      <x:c r="E594" t="str">
        <x:v>KAT013</x:v>
      </x:c>
      <x:c r="F594"/>
      <x:c r="G594"/>
      <x:c r="H594" t="str">
        <x:v>kein_match</x:v>
      </x:c>
      <x:c r="I594" t="str">
        <x:v>Agent-Draft: keine finale Regelentscheidung</x:v>
      </x:c>
      <x:c r="J594" t="n">
        <x:v>45964</x:v>
      </x:c>
      <x:c r="K594"/>
      <x:c r="L594"/>
      <x:c r="M594" t="n">
        <x:v>-1800</x:v>
      </x:c>
      <x:c r="N594" t="str">
        <x:v>2025-11</x:v>
      </x:c>
      <x:c r="O594" t="str">
        <x:v>Ausgabe</x:v>
      </x:c>
      <x:c r="P594" t="str">
        <x:v>Ist</x:v>
      </x:c>
      <x:c r="Q594" s="59" t="b">
        <x:v>0</x:v>
      </x:c>
      <x:c r="R594" t="str">
        <x:v>kein_transfer</x:v>
      </x:c>
      <x:c r="S594"/>
      <x:c r="T594"/>
      <x:c r="U594"/>
      <x:c r="V594" s="59" t="b">
        <x:v>1</x:v>
      </x:c>
      <x:c r="W594"/>
      <x:c r="X594" t="str">
        <x:v>offen</x:v>
      </x:c>
      <x:c r="Y594" t="str">
        <x:v>Agent-Draft; Kategorie und Person pruefen</x:v>
      </x:c>
    </x:row>
    <x:row r="595">
      <x:c r="A595" t="str">
        <x:v>TXN-RAW-IMP-20260516-FULLDRAFT-000579</x:v>
      </x:c>
      <x:c r="B595" t="str">
        <x:v>RAW-IMP-20260516-FULLDRAFT-000579</x:v>
      </x:c>
      <x:c r="C595" t="str">
        <x:v>KTO001</x:v>
      </x:c>
      <x:c r="D595"/>
      <x:c r="E595" t="str">
        <x:v>KAT013</x:v>
      </x:c>
      <x:c r="F595"/>
      <x:c r="G595"/>
      <x:c r="H595" t="str">
        <x:v>kein_match</x:v>
      </x:c>
      <x:c r="I595" t="str">
        <x:v>Agent-Draft: keine finale Regelentscheidung</x:v>
      </x:c>
      <x:c r="J595" t="n">
        <x:v>45961</x:v>
      </x:c>
      <x:c r="K595"/>
      <x:c r="L595"/>
      <x:c r="M595" t="n">
        <x:v>-129.58</x:v>
      </x:c>
      <x:c r="N595" t="str">
        <x:v>2025-10</x:v>
      </x:c>
      <x:c r="O595" t="str">
        <x:v>Ausgabe</x:v>
      </x:c>
      <x:c r="P595" t="str">
        <x:v>Ist</x:v>
      </x:c>
      <x:c r="Q595" s="59" t="b">
        <x:v>0</x:v>
      </x:c>
      <x:c r="R595" t="str">
        <x:v>kein_transfer</x:v>
      </x:c>
      <x:c r="S595"/>
      <x:c r="T595"/>
      <x:c r="U595"/>
      <x:c r="V595" s="59" t="b">
        <x:v>1</x:v>
      </x:c>
      <x:c r="W595"/>
      <x:c r="X595" t="str">
        <x:v>offen</x:v>
      </x:c>
      <x:c r="Y595" t="str">
        <x:v>Agent-Draft; Kategorie und Person pruefen</x:v>
      </x:c>
    </x:row>
    <x:row r="596">
      <x:c r="A596" t="str">
        <x:v>TXN-RAW-IMP-20260516-FULLDRAFT-000580</x:v>
      </x:c>
      <x:c r="B596" t="str">
        <x:v>RAW-IMP-20260516-FULLDRAFT-000580</x:v>
      </x:c>
      <x:c r="C596" t="str">
        <x:v>KTO001</x:v>
      </x:c>
      <x:c r="D596"/>
      <x:c r="E596" t="str">
        <x:v>KAT013</x:v>
      </x:c>
      <x:c r="F596"/>
      <x:c r="G596"/>
      <x:c r="H596" t="str">
        <x:v>kein_match</x:v>
      </x:c>
      <x:c r="I596" t="str">
        <x:v>Agent-Draft: keine finale Regelentscheidung</x:v>
      </x:c>
      <x:c r="J596" t="n">
        <x:v>45961</x:v>
      </x:c>
      <x:c r="K596"/>
      <x:c r="L596"/>
      <x:c r="M596" t="n">
        <x:v>-393</x:v>
      </x:c>
      <x:c r="N596" t="str">
        <x:v>2025-10</x:v>
      </x:c>
      <x:c r="O596" t="str">
        <x:v>Ausgabe</x:v>
      </x:c>
      <x:c r="P596" t="str">
        <x:v>Ist</x:v>
      </x:c>
      <x:c r="Q596" s="59" t="b">
        <x:v>0</x:v>
      </x:c>
      <x:c r="R596" t="str">
        <x:v>kein_transfer</x:v>
      </x:c>
      <x:c r="S596"/>
      <x:c r="T596"/>
      <x:c r="U596"/>
      <x:c r="V596" s="59" t="b">
        <x:v>1</x:v>
      </x:c>
      <x:c r="W596"/>
      <x:c r="X596" t="str">
        <x:v>offen</x:v>
      </x:c>
      <x:c r="Y596" t="str">
        <x:v>Agent-Draft; Kategorie und Person pruefen</x:v>
      </x:c>
    </x:row>
    <x:row r="597">
      <x:c r="A597" t="str">
        <x:v>TXN-RAW-IMP-20260516-FULLDRAFT-000581</x:v>
      </x:c>
      <x:c r="B597" t="str">
        <x:v>RAW-IMP-20260516-FULLDRAFT-000581</x:v>
      </x:c>
      <x:c r="C597" t="str">
        <x:v>KTO001</x:v>
      </x:c>
      <x:c r="D597"/>
      <x:c r="E597" t="str">
        <x:v>KAT013</x:v>
      </x:c>
      <x:c r="F597"/>
      <x:c r="G597"/>
      <x:c r="H597" t="str">
        <x:v>kein_match</x:v>
      </x:c>
      <x:c r="I597" t="str">
        <x:v>Agent-Draft: keine finale Regelentscheidung</x:v>
      </x:c>
      <x:c r="J597" t="n">
        <x:v>45961</x:v>
      </x:c>
      <x:c r="K597"/>
      <x:c r="L597"/>
      <x:c r="M597" t="n">
        <x:v>-49</x:v>
      </x:c>
      <x:c r="N597" t="str">
        <x:v>2025-10</x:v>
      </x:c>
      <x:c r="O597" t="str">
        <x:v>Ausgabe</x:v>
      </x:c>
      <x:c r="P597" t="str">
        <x:v>Ist</x:v>
      </x:c>
      <x:c r="Q597" s="59" t="b">
        <x:v>0</x:v>
      </x:c>
      <x:c r="R597" t="str">
        <x:v>kein_transfer</x:v>
      </x:c>
      <x:c r="S597"/>
      <x:c r="T597"/>
      <x:c r="U597"/>
      <x:c r="V597" s="59" t="b">
        <x:v>1</x:v>
      </x:c>
      <x:c r="W597"/>
      <x:c r="X597" t="str">
        <x:v>offen</x:v>
      </x:c>
      <x:c r="Y597" t="str">
        <x:v>Agent-Draft; Kategorie und Person pruefen</x:v>
      </x:c>
    </x:row>
    <x:row r="598">
      <x:c r="A598" t="str">
        <x:v>TXN-RAW-IMP-20260516-FULLDRAFT-000582</x:v>
      </x:c>
      <x:c r="B598" t="str">
        <x:v>RAW-IMP-20260516-FULLDRAFT-000582</x:v>
      </x:c>
      <x:c r="C598" t="str">
        <x:v>KTO001</x:v>
      </x:c>
      <x:c r="D598"/>
      <x:c r="E598" t="str">
        <x:v>KAT013</x:v>
      </x:c>
      <x:c r="F598"/>
      <x:c r="G598"/>
      <x:c r="H598" t="str">
        <x:v>kein_match</x:v>
      </x:c>
      <x:c r="I598" t="str">
        <x:v>Agent-Draft: keine finale Regelentscheidung</x:v>
      </x:c>
      <x:c r="J598" t="n">
        <x:v>45960</x:v>
      </x:c>
      <x:c r="K598"/>
      <x:c r="L598"/>
      <x:c r="M598" t="n">
        <x:v>-10</x:v>
      </x:c>
      <x:c r="N598" t="str">
        <x:v>2025-10</x:v>
      </x:c>
      <x:c r="O598" t="str">
        <x:v>Ausgabe</x:v>
      </x:c>
      <x:c r="P598" t="str">
        <x:v>Ist</x:v>
      </x:c>
      <x:c r="Q598" s="59" t="b">
        <x:v>0</x:v>
      </x:c>
      <x:c r="R598" t="str">
        <x:v>kein_transfer</x:v>
      </x:c>
      <x:c r="S598"/>
      <x:c r="T598"/>
      <x:c r="U598"/>
      <x:c r="V598" s="59" t="b">
        <x:v>1</x:v>
      </x:c>
      <x:c r="W598"/>
      <x:c r="X598" t="str">
        <x:v>offen</x:v>
      </x:c>
      <x:c r="Y598" t="str">
        <x:v>Agent-Draft; Kategorie und Person pruefen</x:v>
      </x:c>
    </x:row>
    <x:row r="599">
      <x:c r="A599" t="str">
        <x:v>TXN-RAW-IMP-20260516-FULLDRAFT-000583</x:v>
      </x:c>
      <x:c r="B599" t="str">
        <x:v>RAW-IMP-20260516-FULLDRAFT-000583</x:v>
      </x:c>
      <x:c r="C599" t="str">
        <x:v>KTO001</x:v>
      </x:c>
      <x:c r="D599"/>
      <x:c r="E599" t="str">
        <x:v>KAT013</x:v>
      </x:c>
      <x:c r="F599"/>
      <x:c r="G599"/>
      <x:c r="H599" t="str">
        <x:v>kein_match</x:v>
      </x:c>
      <x:c r="I599" t="str">
        <x:v>Agent-Draft: keine finale Regelentscheidung</x:v>
      </x:c>
      <x:c r="J599" t="n">
        <x:v>45960</x:v>
      </x:c>
      <x:c r="K599"/>
      <x:c r="L599"/>
      <x:c r="M599" t="n">
        <x:v>-6.2</x:v>
      </x:c>
      <x:c r="N599" t="str">
        <x:v>2025-10</x:v>
      </x:c>
      <x:c r="O599" t="str">
        <x:v>Ausgabe</x:v>
      </x:c>
      <x:c r="P599" t="str">
        <x:v>Ist</x:v>
      </x:c>
      <x:c r="Q599" s="59" t="b">
        <x:v>0</x:v>
      </x:c>
      <x:c r="R599" t="str">
        <x:v>kein_transfer</x:v>
      </x:c>
      <x:c r="S599"/>
      <x:c r="T599"/>
      <x:c r="U599"/>
      <x:c r="V599" s="59" t="b">
        <x:v>1</x:v>
      </x:c>
      <x:c r="W599"/>
      <x:c r="X599" t="str">
        <x:v>offen</x:v>
      </x:c>
      <x:c r="Y599" t="str">
        <x:v>Agent-Draft; Kategorie und Person pruefen</x:v>
      </x:c>
    </x:row>
    <x:row r="600">
      <x:c r="A600" t="str">
        <x:v>TXN-RAW-IMP-20260516-FULLDRAFT-000584</x:v>
      </x:c>
      <x:c r="B600" t="str">
        <x:v>RAW-IMP-20260516-FULLDRAFT-000584</x:v>
      </x:c>
      <x:c r="C600" t="str">
        <x:v>KTO001</x:v>
      </x:c>
      <x:c r="D600"/>
      <x:c r="E600" t="str">
        <x:v>KAT013</x:v>
      </x:c>
      <x:c r="F600"/>
      <x:c r="G600"/>
      <x:c r="H600" t="str">
        <x:v>kein_match</x:v>
      </x:c>
      <x:c r="I600" t="str">
        <x:v>Agent-Draft: keine finale Regelentscheidung</x:v>
      </x:c>
      <x:c r="J600" t="n">
        <x:v>45960</x:v>
      </x:c>
      <x:c r="K600"/>
      <x:c r="L600"/>
      <x:c r="M600" t="n">
        <x:v>-10</x:v>
      </x:c>
      <x:c r="N600" t="str">
        <x:v>2025-10</x:v>
      </x:c>
      <x:c r="O600" t="str">
        <x:v>Ausgabe</x:v>
      </x:c>
      <x:c r="P600" t="str">
        <x:v>Ist</x:v>
      </x:c>
      <x:c r="Q600" s="59" t="b">
        <x:v>0</x:v>
      </x:c>
      <x:c r="R600" t="str">
        <x:v>kein_transfer</x:v>
      </x:c>
      <x:c r="S600"/>
      <x:c r="T600"/>
      <x:c r="U600"/>
      <x:c r="V600" s="59" t="b">
        <x:v>1</x:v>
      </x:c>
      <x:c r="W600"/>
      <x:c r="X600" t="str">
        <x:v>offen</x:v>
      </x:c>
      <x:c r="Y600" t="str">
        <x:v>Agent-Draft; Kategorie und Person pruefen</x:v>
      </x:c>
    </x:row>
    <x:row r="601">
      <x:c r="A601" t="str">
        <x:v>TXN-RAW-IMP-20260516-FULLDRAFT-000585</x:v>
      </x:c>
      <x:c r="B601" t="str">
        <x:v>RAW-IMP-20260516-FULLDRAFT-000585</x:v>
      </x:c>
      <x:c r="C601" t="str">
        <x:v>KTO001</x:v>
      </x:c>
      <x:c r="D601"/>
      <x:c r="E601" t="str">
        <x:v>KAT013</x:v>
      </x:c>
      <x:c r="F601"/>
      <x:c r="G601"/>
      <x:c r="H601" t="str">
        <x:v>kein_match</x:v>
      </x:c>
      <x:c r="I601" t="str">
        <x:v>Agent-Draft: keine finale Regelentscheidung</x:v>
      </x:c>
      <x:c r="J601" t="n">
        <x:v>45960</x:v>
      </x:c>
      <x:c r="K601"/>
      <x:c r="L601"/>
      <x:c r="M601" t="n">
        <x:v>-1153.94</x:v>
      </x:c>
      <x:c r="N601" t="str">
        <x:v>2025-10</x:v>
      </x:c>
      <x:c r="O601" t="str">
        <x:v>Ausgabe</x:v>
      </x:c>
      <x:c r="P601" t="str">
        <x:v>Ist</x:v>
      </x:c>
      <x:c r="Q601" s="59" t="b">
        <x:v>0</x:v>
      </x:c>
      <x:c r="R601" t="str">
        <x:v>kein_transfer</x:v>
      </x:c>
      <x:c r="S601"/>
      <x:c r="T601"/>
      <x:c r="U601"/>
      <x:c r="V601" s="59" t="b">
        <x:v>1</x:v>
      </x:c>
      <x:c r="W601"/>
      <x:c r="X601" t="str">
        <x:v>offen</x:v>
      </x:c>
      <x:c r="Y601" t="str">
        <x:v>Agent-Draft; Kategorie und Person pruefen</x:v>
      </x:c>
    </x:row>
    <x:row r="602">
      <x:c r="A602" t="str">
        <x:v>TXN-RAW-IMP-20260516-FULLDRAFT-000586</x:v>
      </x:c>
      <x:c r="B602" t="str">
        <x:v>RAW-IMP-20260516-FULLDRAFT-000586</x:v>
      </x:c>
      <x:c r="C602" t="str">
        <x:v>KTO001</x:v>
      </x:c>
      <x:c r="D602"/>
      <x:c r="E602" t="str">
        <x:v>KAT013</x:v>
      </x:c>
      <x:c r="F602"/>
      <x:c r="G602"/>
      <x:c r="H602" t="str">
        <x:v>kein_match</x:v>
      </x:c>
      <x:c r="I602" t="str">
        <x:v>Agent-Draft: keine finale Regelentscheidung</x:v>
      </x:c>
      <x:c r="J602" t="n">
        <x:v>45960</x:v>
      </x:c>
      <x:c r="K602"/>
      <x:c r="L602"/>
      <x:c r="M602" t="n">
        <x:v>-8.99</x:v>
      </x:c>
      <x:c r="N602" t="str">
        <x:v>2025-10</x:v>
      </x:c>
      <x:c r="O602" t="str">
        <x:v>Ausgabe</x:v>
      </x:c>
      <x:c r="P602" t="str">
        <x:v>Ist</x:v>
      </x:c>
      <x:c r="Q602" s="59" t="b">
        <x:v>0</x:v>
      </x:c>
      <x:c r="R602" t="str">
        <x:v>kein_transfer</x:v>
      </x:c>
      <x:c r="S602"/>
      <x:c r="T602"/>
      <x:c r="U602"/>
      <x:c r="V602" s="59" t="b">
        <x:v>1</x:v>
      </x:c>
      <x:c r="W602"/>
      <x:c r="X602" t="str">
        <x:v>offen</x:v>
      </x:c>
      <x:c r="Y602" t="str">
        <x:v>Agent-Draft; Kategorie und Person pruefen</x:v>
      </x:c>
    </x:row>
    <x:row r="603">
      <x:c r="A603" t="str">
        <x:v>TXN-RAW-IMP-20260516-FULLDRAFT-000587</x:v>
      </x:c>
      <x:c r="B603" t="str">
        <x:v>RAW-IMP-20260516-FULLDRAFT-000587</x:v>
      </x:c>
      <x:c r="C603" t="str">
        <x:v>KTO001</x:v>
      </x:c>
      <x:c r="D603"/>
      <x:c r="E603" t="str">
        <x:v>KAT013</x:v>
      </x:c>
      <x:c r="F603"/>
      <x:c r="G603"/>
      <x:c r="H603" t="str">
        <x:v>kein_match</x:v>
      </x:c>
      <x:c r="I603" t="str">
        <x:v>Agent-Draft: keine finale Regelentscheidung</x:v>
      </x:c>
      <x:c r="J603" t="n">
        <x:v>45959</x:v>
      </x:c>
      <x:c r="K603"/>
      <x:c r="L603"/>
      <x:c r="M603" t="n">
        <x:v>6955.12</x:v>
      </x:c>
      <x:c r="N603" t="str">
        <x:v>2025-10</x:v>
      </x:c>
      <x:c r="O603" t="str">
        <x:v>Einnahme</x:v>
      </x:c>
      <x:c r="P603" t="str">
        <x:v>Ist</x:v>
      </x:c>
      <x:c r="Q603" s="59" t="b">
        <x:v>0</x:v>
      </x:c>
      <x:c r="R603" t="str">
        <x:v>kein_transfer</x:v>
      </x:c>
      <x:c r="S603"/>
      <x:c r="T603"/>
      <x:c r="U603"/>
      <x:c r="V603" s="59" t="b">
        <x:v>1</x:v>
      </x:c>
      <x:c r="W603"/>
      <x:c r="X603" t="str">
        <x:v>offen</x:v>
      </x:c>
      <x:c r="Y603" t="str">
        <x:v>Agent-Draft; Kategorie und Person pruefen</x:v>
      </x:c>
    </x:row>
    <x:row r="604">
      <x:c r="A604" t="str">
        <x:v>TXN-RAW-IMP-20260516-FULLDRAFT-000588</x:v>
      </x:c>
      <x:c r="B604" t="str">
        <x:v>RAW-IMP-20260516-FULLDRAFT-000588</x:v>
      </x:c>
      <x:c r="C604" t="str">
        <x:v>KTO001</x:v>
      </x:c>
      <x:c r="D604"/>
      <x:c r="E604" t="str">
        <x:v>KAT013</x:v>
      </x:c>
      <x:c r="F604"/>
      <x:c r="G604"/>
      <x:c r="H604" t="str">
        <x:v>kein_match</x:v>
      </x:c>
      <x:c r="I604" t="str">
        <x:v>Agent-Draft: keine finale Regelentscheidung</x:v>
      </x:c>
      <x:c r="J604" t="n">
        <x:v>45959</x:v>
      </x:c>
      <x:c r="K604"/>
      <x:c r="L604"/>
      <x:c r="M604" t="n">
        <x:v>-1.7</x:v>
      </x:c>
      <x:c r="N604" t="str">
        <x:v>2025-10</x:v>
      </x:c>
      <x:c r="O604" t="str">
        <x:v>Ausgabe</x:v>
      </x:c>
      <x:c r="P604" t="str">
        <x:v>Ist</x:v>
      </x:c>
      <x:c r="Q604" s="59" t="b">
        <x:v>0</x:v>
      </x:c>
      <x:c r="R604" t="str">
        <x:v>kein_transfer</x:v>
      </x:c>
      <x:c r="S604"/>
      <x:c r="T604"/>
      <x:c r="U604"/>
      <x:c r="V604" s="59" t="b">
        <x:v>1</x:v>
      </x:c>
      <x:c r="W604"/>
      <x:c r="X604" t="str">
        <x:v>offen</x:v>
      </x:c>
      <x:c r="Y604" t="str">
        <x:v>Agent-Draft; Kategorie und Person pruefen</x:v>
      </x:c>
    </x:row>
    <x:row r="605">
      <x:c r="A605" t="str">
        <x:v>TXN-RAW-IMP-20260516-FULLDRAFT-000589</x:v>
      </x:c>
      <x:c r="B605" t="str">
        <x:v>RAW-IMP-20260516-FULLDRAFT-000589</x:v>
      </x:c>
      <x:c r="C605" t="str">
        <x:v>KTO001</x:v>
      </x:c>
      <x:c r="D605"/>
      <x:c r="E605" t="str">
        <x:v>KAT013</x:v>
      </x:c>
      <x:c r="F605"/>
      <x:c r="G605"/>
      <x:c r="H605" t="str">
        <x:v>kein_match</x:v>
      </x:c>
      <x:c r="I605" t="str">
        <x:v>Agent-Draft: keine finale Regelentscheidung</x:v>
      </x:c>
      <x:c r="J605" t="n">
        <x:v>45958</x:v>
      </x:c>
      <x:c r="K605"/>
      <x:c r="L605"/>
      <x:c r="M605" t="n">
        <x:v>-6.12</x:v>
      </x:c>
      <x:c r="N605" t="str">
        <x:v>2025-10</x:v>
      </x:c>
      <x:c r="O605" t="str">
        <x:v>Ausgabe</x:v>
      </x:c>
      <x:c r="P605" t="str">
        <x:v>Ist</x:v>
      </x:c>
      <x:c r="Q605" s="59" t="b">
        <x:v>0</x:v>
      </x:c>
      <x:c r="R605" t="str">
        <x:v>kein_transfer</x:v>
      </x:c>
      <x:c r="S605"/>
      <x:c r="T605"/>
      <x:c r="U605"/>
      <x:c r="V605" s="59" t="b">
        <x:v>1</x:v>
      </x:c>
      <x:c r="W605"/>
      <x:c r="X605" t="str">
        <x:v>offen</x:v>
      </x:c>
      <x:c r="Y605" t="str">
        <x:v>Agent-Draft; Kategorie und Person pruefen</x:v>
      </x:c>
    </x:row>
    <x:row r="606">
      <x:c r="A606" t="str">
        <x:v>TXN-RAW-IMP-20260516-FULLDRAFT-000590</x:v>
      </x:c>
      <x:c r="B606" t="str">
        <x:v>RAW-IMP-20260516-FULLDRAFT-000590</x:v>
      </x:c>
      <x:c r="C606" t="str">
        <x:v>KTO001</x:v>
      </x:c>
      <x:c r="D606"/>
      <x:c r="E606" t="str">
        <x:v>KAT013</x:v>
      </x:c>
      <x:c r="F606"/>
      <x:c r="G606"/>
      <x:c r="H606" t="str">
        <x:v>kein_match</x:v>
      </x:c>
      <x:c r="I606" t="str">
        <x:v>Agent-Draft: keine finale Regelentscheidung</x:v>
      </x:c>
      <x:c r="J606" t="n">
        <x:v>45957</x:v>
      </x:c>
      <x:c r="K606"/>
      <x:c r="L606"/>
      <x:c r="M606" t="n">
        <x:v>-30</x:v>
      </x:c>
      <x:c r="N606" t="str">
        <x:v>2025-10</x:v>
      </x:c>
      <x:c r="O606" t="str">
        <x:v>Ausgabe</x:v>
      </x:c>
      <x:c r="P606" t="str">
        <x:v>Ist</x:v>
      </x:c>
      <x:c r="Q606" s="59" t="b">
        <x:v>0</x:v>
      </x:c>
      <x:c r="R606" t="str">
        <x:v>kein_transfer</x:v>
      </x:c>
      <x:c r="S606"/>
      <x:c r="T606"/>
      <x:c r="U606"/>
      <x:c r="V606" s="59" t="b">
        <x:v>1</x:v>
      </x:c>
      <x:c r="W606"/>
      <x:c r="X606" t="str">
        <x:v>offen</x:v>
      </x:c>
      <x:c r="Y606" t="str">
        <x:v>Agent-Draft; Kategorie und Person pruefen</x:v>
      </x:c>
    </x:row>
    <x:row r="607">
      <x:c r="A607" t="str">
        <x:v>TXN-RAW-IMP-20260516-FULLDRAFT-000591</x:v>
      </x:c>
      <x:c r="B607" t="str">
        <x:v>RAW-IMP-20260516-FULLDRAFT-000591</x:v>
      </x:c>
      <x:c r="C607" t="str">
        <x:v>KTO001</x:v>
      </x:c>
      <x:c r="D607"/>
      <x:c r="E607" t="str">
        <x:v>KAT013</x:v>
      </x:c>
      <x:c r="F607"/>
      <x:c r="G607"/>
      <x:c r="H607" t="str">
        <x:v>kein_match</x:v>
      </x:c>
      <x:c r="I607" t="str">
        <x:v>Agent-Draft: keine finale Regelentscheidung</x:v>
      </x:c>
      <x:c r="J607" t="n">
        <x:v>45957</x:v>
      </x:c>
      <x:c r="K607"/>
      <x:c r="L607"/>
      <x:c r="M607" t="n">
        <x:v>-27</x:v>
      </x:c>
      <x:c r="N607" t="str">
        <x:v>2025-10</x:v>
      </x:c>
      <x:c r="O607" t="str">
        <x:v>Ausgabe</x:v>
      </x:c>
      <x:c r="P607" t="str">
        <x:v>Ist</x:v>
      </x:c>
      <x:c r="Q607" s="59" t="b">
        <x:v>0</x:v>
      </x:c>
      <x:c r="R607" t="str">
        <x:v>kein_transfer</x:v>
      </x:c>
      <x:c r="S607"/>
      <x:c r="T607"/>
      <x:c r="U607"/>
      <x:c r="V607" s="59" t="b">
        <x:v>1</x:v>
      </x:c>
      <x:c r="W607"/>
      <x:c r="X607" t="str">
        <x:v>offen</x:v>
      </x:c>
      <x:c r="Y607" t="str">
        <x:v>Agent-Draft; Kategorie und Person pruefen</x:v>
      </x:c>
    </x:row>
    <x:row r="608">
      <x:c r="A608" t="str">
        <x:v>TXN-RAW-IMP-20260516-FULLDRAFT-000592</x:v>
      </x:c>
      <x:c r="B608" t="str">
        <x:v>RAW-IMP-20260516-FULLDRAFT-000592</x:v>
      </x:c>
      <x:c r="C608" t="str">
        <x:v>KTO001</x:v>
      </x:c>
      <x:c r="D608"/>
      <x:c r="E608" t="str">
        <x:v>KAT013</x:v>
      </x:c>
      <x:c r="F608"/>
      <x:c r="G608"/>
      <x:c r="H608" t="str">
        <x:v>kein_match</x:v>
      </x:c>
      <x:c r="I608" t="str">
        <x:v>Agent-Draft: keine finale Regelentscheidung</x:v>
      </x:c>
      <x:c r="J608" t="n">
        <x:v>45957</x:v>
      </x:c>
      <x:c r="K608"/>
      <x:c r="L608"/>
      <x:c r="M608" t="n">
        <x:v>-691.6</x:v>
      </x:c>
      <x:c r="N608" t="str">
        <x:v>2025-10</x:v>
      </x:c>
      <x:c r="O608" t="str">
        <x:v>Ausgabe</x:v>
      </x:c>
      <x:c r="P608" t="str">
        <x:v>Ist</x:v>
      </x:c>
      <x:c r="Q608" s="59" t="b">
        <x:v>0</x:v>
      </x:c>
      <x:c r="R608" t="str">
        <x:v>kein_transfer</x:v>
      </x:c>
      <x:c r="S608"/>
      <x:c r="T608"/>
      <x:c r="U608"/>
      <x:c r="V608" s="59" t="b">
        <x:v>1</x:v>
      </x:c>
      <x:c r="W608"/>
      <x:c r="X608" t="str">
        <x:v>offen</x:v>
      </x:c>
      <x:c r="Y608" t="str">
        <x:v>Agent-Draft; Kategorie und Person pruefen</x:v>
      </x:c>
    </x:row>
    <x:row r="609">
      <x:c r="A609" t="str">
        <x:v>TXN-RAW-IMP-20260516-FULLDRAFT-000593</x:v>
      </x:c>
      <x:c r="B609" t="str">
        <x:v>RAW-IMP-20260516-FULLDRAFT-000593</x:v>
      </x:c>
      <x:c r="C609" t="str">
        <x:v>KTO001</x:v>
      </x:c>
      <x:c r="D609"/>
      <x:c r="E609" t="str">
        <x:v>KAT013</x:v>
      </x:c>
      <x:c r="F609"/>
      <x:c r="G609"/>
      <x:c r="H609" t="str">
        <x:v>kein_match</x:v>
      </x:c>
      <x:c r="I609" t="str">
        <x:v>Agent-Draft: keine finale Regelentscheidung</x:v>
      </x:c>
      <x:c r="J609" t="n">
        <x:v>45957</x:v>
      </x:c>
      <x:c r="K609"/>
      <x:c r="L609"/>
      <x:c r="M609" t="n">
        <x:v>-163.5</x:v>
      </x:c>
      <x:c r="N609" t="str">
        <x:v>2025-10</x:v>
      </x:c>
      <x:c r="O609" t="str">
        <x:v>Ausgabe</x:v>
      </x:c>
      <x:c r="P609" t="str">
        <x:v>Ist</x:v>
      </x:c>
      <x:c r="Q609" s="59" t="b">
        <x:v>0</x:v>
      </x:c>
      <x:c r="R609" t="str">
        <x:v>kein_transfer</x:v>
      </x:c>
      <x:c r="S609"/>
      <x:c r="T609"/>
      <x:c r="U609"/>
      <x:c r="V609" s="59" t="b">
        <x:v>1</x:v>
      </x:c>
      <x:c r="W609"/>
      <x:c r="X609" t="str">
        <x:v>offen</x:v>
      </x:c>
      <x:c r="Y609" t="str">
        <x:v>Agent-Draft; Kategorie und Person pruefen</x:v>
      </x:c>
    </x:row>
    <x:row r="610">
      <x:c r="A610" t="str">
        <x:v>TXN-RAW-IMP-20260516-FULLDRAFT-000594</x:v>
      </x:c>
      <x:c r="B610" t="str">
        <x:v>RAW-IMP-20260516-FULLDRAFT-000594</x:v>
      </x:c>
      <x:c r="C610" t="str">
        <x:v>KTO001</x:v>
      </x:c>
      <x:c r="D610"/>
      <x:c r="E610" t="str">
        <x:v>KAT013</x:v>
      </x:c>
      <x:c r="F610"/>
      <x:c r="G610"/>
      <x:c r="H610" t="str">
        <x:v>kein_match</x:v>
      </x:c>
      <x:c r="I610" t="str">
        <x:v>Agent-Draft: keine finale Regelentscheidung</x:v>
      </x:c>
      <x:c r="J610" t="n">
        <x:v>45957</x:v>
      </x:c>
      <x:c r="K610"/>
      <x:c r="L610"/>
      <x:c r="M610" t="n">
        <x:v>-1</x:v>
      </x:c>
      <x:c r="N610" t="str">
        <x:v>2025-10</x:v>
      </x:c>
      <x:c r="O610" t="str">
        <x:v>Ausgabe</x:v>
      </x:c>
      <x:c r="P610" t="str">
        <x:v>Ist</x:v>
      </x:c>
      <x:c r="Q610" s="59" t="b">
        <x:v>0</x:v>
      </x:c>
      <x:c r="R610" t="str">
        <x:v>kein_transfer</x:v>
      </x:c>
      <x:c r="S610"/>
      <x:c r="T610"/>
      <x:c r="U610"/>
      <x:c r="V610" s="59" t="b">
        <x:v>1</x:v>
      </x:c>
      <x:c r="W610"/>
      <x:c r="X610" t="str">
        <x:v>offen</x:v>
      </x:c>
      <x:c r="Y610" t="str">
        <x:v>Agent-Draft; Kategorie und Person pruefen</x:v>
      </x:c>
    </x:row>
    <x:row r="611">
      <x:c r="A611" t="str">
        <x:v>TXN-RAW-IMP-20260516-FULLDRAFT-000595</x:v>
      </x:c>
      <x:c r="B611" t="str">
        <x:v>RAW-IMP-20260516-FULLDRAFT-000595</x:v>
      </x:c>
      <x:c r="C611" t="str">
        <x:v>KTO001</x:v>
      </x:c>
      <x:c r="D611"/>
      <x:c r="E611" t="str">
        <x:v>KAT013</x:v>
      </x:c>
      <x:c r="F611"/>
      <x:c r="G611"/>
      <x:c r="H611" t="str">
        <x:v>kein_match</x:v>
      </x:c>
      <x:c r="I611" t="str">
        <x:v>Agent-Draft: keine finale Regelentscheidung</x:v>
      </x:c>
      <x:c r="J611" t="n">
        <x:v>45957</x:v>
      </x:c>
      <x:c r="K611"/>
      <x:c r="L611"/>
      <x:c r="M611" t="n">
        <x:v>-11.88</x:v>
      </x:c>
      <x:c r="N611" t="str">
        <x:v>2025-10</x:v>
      </x:c>
      <x:c r="O611" t="str">
        <x:v>Ausgabe</x:v>
      </x:c>
      <x:c r="P611" t="str">
        <x:v>Ist</x:v>
      </x:c>
      <x:c r="Q611" s="59" t="b">
        <x:v>0</x:v>
      </x:c>
      <x:c r="R611" t="str">
        <x:v>kein_transfer</x:v>
      </x:c>
      <x:c r="S611"/>
      <x:c r="T611"/>
      <x:c r="U611"/>
      <x:c r="V611" s="59" t="b">
        <x:v>1</x:v>
      </x:c>
      <x:c r="W611"/>
      <x:c r="X611" t="str">
        <x:v>offen</x:v>
      </x:c>
      <x:c r="Y611" t="str">
        <x:v>Agent-Draft; Kategorie und Person pruefen</x:v>
      </x:c>
    </x:row>
    <x:row r="612">
      <x:c r="A612" t="str">
        <x:v>TXN-RAW-IMP-20260516-FULLDRAFT-000596</x:v>
      </x:c>
      <x:c r="B612" t="str">
        <x:v>RAW-IMP-20260516-FULLDRAFT-000596</x:v>
      </x:c>
      <x:c r="C612" t="str">
        <x:v>KTO001</x:v>
      </x:c>
      <x:c r="D612"/>
      <x:c r="E612" t="str">
        <x:v>KAT013</x:v>
      </x:c>
      <x:c r="F612"/>
      <x:c r="G612"/>
      <x:c r="H612" t="str">
        <x:v>kein_match</x:v>
      </x:c>
      <x:c r="I612" t="str">
        <x:v>Agent-Draft: keine finale Regelentscheidung</x:v>
      </x:c>
      <x:c r="J612" t="n">
        <x:v>45957</x:v>
      </x:c>
      <x:c r="K612"/>
      <x:c r="L612"/>
      <x:c r="M612" t="n">
        <x:v>-34.34</x:v>
      </x:c>
      <x:c r="N612" t="str">
        <x:v>2025-10</x:v>
      </x:c>
      <x:c r="O612" t="str">
        <x:v>Ausgabe</x:v>
      </x:c>
      <x:c r="P612" t="str">
        <x:v>Ist</x:v>
      </x:c>
      <x:c r="Q612" s="59" t="b">
        <x:v>0</x:v>
      </x:c>
      <x:c r="R612" t="str">
        <x:v>kein_transfer</x:v>
      </x:c>
      <x:c r="S612"/>
      <x:c r="T612"/>
      <x:c r="U612"/>
      <x:c r="V612" s="59" t="b">
        <x:v>1</x:v>
      </x:c>
      <x:c r="W612"/>
      <x:c r="X612" t="str">
        <x:v>offen</x:v>
      </x:c>
      <x:c r="Y612" t="str">
        <x:v>Agent-Draft; Kategorie und Person pruefen</x:v>
      </x:c>
    </x:row>
    <x:row r="613">
      <x:c r="A613" t="str">
        <x:v>TXN-RAW-IMP-20260516-FULLDRAFT-000597</x:v>
      </x:c>
      <x:c r="B613" t="str">
        <x:v>RAW-IMP-20260516-FULLDRAFT-000597</x:v>
      </x:c>
      <x:c r="C613" t="str">
        <x:v>KTO001</x:v>
      </x:c>
      <x:c r="D613"/>
      <x:c r="E613" t="str">
        <x:v>KAT013</x:v>
      </x:c>
      <x:c r="F613"/>
      <x:c r="G613"/>
      <x:c r="H613" t="str">
        <x:v>kein_match</x:v>
      </x:c>
      <x:c r="I613" t="str">
        <x:v>Agent-Draft: keine finale Regelentscheidung</x:v>
      </x:c>
      <x:c r="J613" t="n">
        <x:v>45957</x:v>
      </x:c>
      <x:c r="K613"/>
      <x:c r="L613"/>
      <x:c r="M613" t="n">
        <x:v>-25.73</x:v>
      </x:c>
      <x:c r="N613" t="str">
        <x:v>2025-10</x:v>
      </x:c>
      <x:c r="O613" t="str">
        <x:v>Ausgabe</x:v>
      </x:c>
      <x:c r="P613" t="str">
        <x:v>Ist</x:v>
      </x:c>
      <x:c r="Q613" s="59" t="b">
        <x:v>0</x:v>
      </x:c>
      <x:c r="R613" t="str">
        <x:v>kein_transfer</x:v>
      </x:c>
      <x:c r="S613"/>
      <x:c r="T613"/>
      <x:c r="U613"/>
      <x:c r="V613" s="59" t="b">
        <x:v>1</x:v>
      </x:c>
      <x:c r="W613"/>
      <x:c r="X613" t="str">
        <x:v>offen</x:v>
      </x:c>
      <x:c r="Y613" t="str">
        <x:v>Agent-Draft; Kategorie und Person pruefen</x:v>
      </x:c>
    </x:row>
    <x:row r="614">
      <x:c r="A614" t="str">
        <x:v>TXN-RAW-IMP-20260516-FULLDRAFT-000598</x:v>
      </x:c>
      <x:c r="B614" t="str">
        <x:v>RAW-IMP-20260516-FULLDRAFT-000598</x:v>
      </x:c>
      <x:c r="C614" t="str">
        <x:v>KTO001</x:v>
      </x:c>
      <x:c r="D614"/>
      <x:c r="E614" t="str">
        <x:v>KAT013</x:v>
      </x:c>
      <x:c r="F614"/>
      <x:c r="G614"/>
      <x:c r="H614" t="str">
        <x:v>kein_match</x:v>
      </x:c>
      <x:c r="I614" t="str">
        <x:v>Agent-Draft: keine finale Regelentscheidung</x:v>
      </x:c>
      <x:c r="J614" t="n">
        <x:v>45957</x:v>
      </x:c>
      <x:c r="K614"/>
      <x:c r="L614"/>
      <x:c r="M614" t="n">
        <x:v>-3.7</x:v>
      </x:c>
      <x:c r="N614" t="str">
        <x:v>2025-10</x:v>
      </x:c>
      <x:c r="O614" t="str">
        <x:v>Ausgabe</x:v>
      </x:c>
      <x:c r="P614" t="str">
        <x:v>Ist</x:v>
      </x:c>
      <x:c r="Q614" s="59" t="b">
        <x:v>0</x:v>
      </x:c>
      <x:c r="R614" t="str">
        <x:v>kein_transfer</x:v>
      </x:c>
      <x:c r="S614"/>
      <x:c r="T614"/>
      <x:c r="U614"/>
      <x:c r="V614" s="59" t="b">
        <x:v>1</x:v>
      </x:c>
      <x:c r="W614"/>
      <x:c r="X614" t="str">
        <x:v>offen</x:v>
      </x:c>
      <x:c r="Y614" t="str">
        <x:v>Agent-Draft; Kategorie und Person pruefen</x:v>
      </x:c>
    </x:row>
    <x:row r="615">
      <x:c r="A615" t="str">
        <x:v>TXN-RAW-IMP-20260516-FULLDRAFT-000599</x:v>
      </x:c>
      <x:c r="B615" t="str">
        <x:v>RAW-IMP-20260516-FULLDRAFT-000599</x:v>
      </x:c>
      <x:c r="C615" t="str">
        <x:v>KTO001</x:v>
      </x:c>
      <x:c r="D615"/>
      <x:c r="E615" t="str">
        <x:v>KAT013</x:v>
      </x:c>
      <x:c r="F615"/>
      <x:c r="G615"/>
      <x:c r="H615" t="str">
        <x:v>kein_match</x:v>
      </x:c>
      <x:c r="I615" t="str">
        <x:v>Agent-Draft: keine finale Regelentscheidung</x:v>
      </x:c>
      <x:c r="J615" t="n">
        <x:v>45957</x:v>
      </x:c>
      <x:c r="K615"/>
      <x:c r="L615"/>
      <x:c r="M615" t="n">
        <x:v>-35</x:v>
      </x:c>
      <x:c r="N615" t="str">
        <x:v>2025-10</x:v>
      </x:c>
      <x:c r="O615" t="str">
        <x:v>Ausgabe</x:v>
      </x:c>
      <x:c r="P615" t="str">
        <x:v>Ist</x:v>
      </x:c>
      <x:c r="Q615" s="59" t="b">
        <x:v>0</x:v>
      </x:c>
      <x:c r="R615" t="str">
        <x:v>kein_transfer</x:v>
      </x:c>
      <x:c r="S615"/>
      <x:c r="T615"/>
      <x:c r="U615"/>
      <x:c r="V615" s="59" t="b">
        <x:v>1</x:v>
      </x:c>
      <x:c r="W615"/>
      <x:c r="X615" t="str">
        <x:v>offen</x:v>
      </x:c>
      <x:c r="Y615" t="str">
        <x:v>Agent-Draft; Kategorie und Person pruefen</x:v>
      </x:c>
    </x:row>
    <x:row r="616">
      <x:c r="A616" t="str">
        <x:v>TXN-RAW-IMP-20260516-FULLDRAFT-000600</x:v>
      </x:c>
      <x:c r="B616" t="str">
        <x:v>RAW-IMP-20260516-FULLDRAFT-000600</x:v>
      </x:c>
      <x:c r="C616" t="str">
        <x:v>KTO001</x:v>
      </x:c>
      <x:c r="D616"/>
      <x:c r="E616" t="str">
        <x:v>KAT013</x:v>
      </x:c>
      <x:c r="F616"/>
      <x:c r="G616"/>
      <x:c r="H616" t="str">
        <x:v>kein_match</x:v>
      </x:c>
      <x:c r="I616" t="str">
        <x:v>Agent-Draft: keine finale Regelentscheidung</x:v>
      </x:c>
      <x:c r="J616" t="n">
        <x:v>45954</x:v>
      </x:c>
      <x:c r="K616"/>
      <x:c r="L616"/>
      <x:c r="M616" t="n">
        <x:v>-6.01</x:v>
      </x:c>
      <x:c r="N616" t="str">
        <x:v>2025-10</x:v>
      </x:c>
      <x:c r="O616" t="str">
        <x:v>Ausgabe</x:v>
      </x:c>
      <x:c r="P616" t="str">
        <x:v>Ist</x:v>
      </x:c>
      <x:c r="Q616" s="59" t="b">
        <x:v>0</x:v>
      </x:c>
      <x:c r="R616" t="str">
        <x:v>kein_transfer</x:v>
      </x:c>
      <x:c r="S616"/>
      <x:c r="T616"/>
      <x:c r="U616"/>
      <x:c r="V616" s="59" t="b">
        <x:v>1</x:v>
      </x:c>
      <x:c r="W616"/>
      <x:c r="X616" t="str">
        <x:v>offen</x:v>
      </x:c>
      <x:c r="Y616" t="str">
        <x:v>Agent-Draft; Kategorie und Person pruefen</x:v>
      </x:c>
    </x:row>
    <x:row r="617">
      <x:c r="A617" t="str">
        <x:v>TXN-RAW-IMP-20260516-FULLDRAFT-000601</x:v>
      </x:c>
      <x:c r="B617" t="str">
        <x:v>RAW-IMP-20260516-FULLDRAFT-000601</x:v>
      </x:c>
      <x:c r="C617" t="str">
        <x:v>KTO001</x:v>
      </x:c>
      <x:c r="D617"/>
      <x:c r="E617" t="str">
        <x:v>KAT013</x:v>
      </x:c>
      <x:c r="F617"/>
      <x:c r="G617"/>
      <x:c r="H617" t="str">
        <x:v>kein_match</x:v>
      </x:c>
      <x:c r="I617" t="str">
        <x:v>Agent-Draft: keine finale Regelentscheidung</x:v>
      </x:c>
      <x:c r="J617" t="n">
        <x:v>45954</x:v>
      </x:c>
      <x:c r="K617"/>
      <x:c r="L617"/>
      <x:c r="M617" t="n">
        <x:v>-21.13</x:v>
      </x:c>
      <x:c r="N617" t="str">
        <x:v>2025-10</x:v>
      </x:c>
      <x:c r="O617" t="str">
        <x:v>Ausgabe</x:v>
      </x:c>
      <x:c r="P617" t="str">
        <x:v>Ist</x:v>
      </x:c>
      <x:c r="Q617" s="59" t="b">
        <x:v>0</x:v>
      </x:c>
      <x:c r="R617" t="str">
        <x:v>kein_transfer</x:v>
      </x:c>
      <x:c r="S617"/>
      <x:c r="T617"/>
      <x:c r="U617"/>
      <x:c r="V617" s="59" t="b">
        <x:v>1</x:v>
      </x:c>
      <x:c r="W617"/>
      <x:c r="X617" t="str">
        <x:v>offen</x:v>
      </x:c>
      <x:c r="Y617" t="str">
        <x:v>Agent-Draft; Kategorie und Person pruefen</x:v>
      </x:c>
    </x:row>
    <x:row r="618">
      <x:c r="A618" t="str">
        <x:v>TXN-RAW-IMP-20260516-FULLDRAFT-000602</x:v>
      </x:c>
      <x:c r="B618" t="str">
        <x:v>RAW-IMP-20260516-FULLDRAFT-000602</x:v>
      </x:c>
      <x:c r="C618" t="str">
        <x:v>KTO001</x:v>
      </x:c>
      <x:c r="D618"/>
      <x:c r="E618" t="str">
        <x:v>KAT013</x:v>
      </x:c>
      <x:c r="F618"/>
      <x:c r="G618"/>
      <x:c r="H618" t="str">
        <x:v>kein_match</x:v>
      </x:c>
      <x:c r="I618" t="str">
        <x:v>Agent-Draft: keine finale Regelentscheidung</x:v>
      </x:c>
      <x:c r="J618" t="n">
        <x:v>45954</x:v>
      </x:c>
      <x:c r="K618"/>
      <x:c r="L618"/>
      <x:c r="M618" t="n">
        <x:v>-16.32</x:v>
      </x:c>
      <x:c r="N618" t="str">
        <x:v>2025-10</x:v>
      </x:c>
      <x:c r="O618" t="str">
        <x:v>Ausgabe</x:v>
      </x:c>
      <x:c r="P618" t="str">
        <x:v>Ist</x:v>
      </x:c>
      <x:c r="Q618" s="59" t="b">
        <x:v>0</x:v>
      </x:c>
      <x:c r="R618" t="str">
        <x:v>kein_transfer</x:v>
      </x:c>
      <x:c r="S618"/>
      <x:c r="T618"/>
      <x:c r="U618"/>
      <x:c r="V618" s="59" t="b">
        <x:v>1</x:v>
      </x:c>
      <x:c r="W618"/>
      <x:c r="X618" t="str">
        <x:v>offen</x:v>
      </x:c>
      <x:c r="Y618" t="str">
        <x:v>Agent-Draft; Kategorie und Person pruefen</x:v>
      </x:c>
    </x:row>
    <x:row r="619">
      <x:c r="A619" t="str">
        <x:v>TXN-RAW-IMP-20260516-FULLDRAFT-000603</x:v>
      </x:c>
      <x:c r="B619" t="str">
        <x:v>RAW-IMP-20260516-FULLDRAFT-000603</x:v>
      </x:c>
      <x:c r="C619" t="str">
        <x:v>KTO001</x:v>
      </x:c>
      <x:c r="D619"/>
      <x:c r="E619" t="str">
        <x:v>KAT013</x:v>
      </x:c>
      <x:c r="F619"/>
      <x:c r="G619"/>
      <x:c r="H619" t="str">
        <x:v>kein_match</x:v>
      </x:c>
      <x:c r="I619" t="str">
        <x:v>Agent-Draft: keine finale Regelentscheidung</x:v>
      </x:c>
      <x:c r="J619" t="n">
        <x:v>45954</x:v>
      </x:c>
      <x:c r="K619"/>
      <x:c r="L619"/>
      <x:c r="M619" t="n">
        <x:v>-12.8</x:v>
      </x:c>
      <x:c r="N619" t="str">
        <x:v>2025-10</x:v>
      </x:c>
      <x:c r="O619" t="str">
        <x:v>Ausgabe</x:v>
      </x:c>
      <x:c r="P619" t="str">
        <x:v>Ist</x:v>
      </x:c>
      <x:c r="Q619" s="59" t="b">
        <x:v>0</x:v>
      </x:c>
      <x:c r="R619" t="str">
        <x:v>kein_transfer</x:v>
      </x:c>
      <x:c r="S619"/>
      <x:c r="T619"/>
      <x:c r="U619"/>
      <x:c r="V619" s="59" t="b">
        <x:v>1</x:v>
      </x:c>
      <x:c r="W619"/>
      <x:c r="X619" t="str">
        <x:v>offen</x:v>
      </x:c>
      <x:c r="Y619" t="str">
        <x:v>Agent-Draft; Kategorie und Person pruefen</x:v>
      </x:c>
    </x:row>
    <x:row r="620">
      <x:c r="A620" t="str">
        <x:v>TXN-RAW-IMP-20260516-FULLDRAFT-000604</x:v>
      </x:c>
      <x:c r="B620" t="str">
        <x:v>RAW-IMP-20260516-FULLDRAFT-000604</x:v>
      </x:c>
      <x:c r="C620" t="str">
        <x:v>KTO001</x:v>
      </x:c>
      <x:c r="D620"/>
      <x:c r="E620" t="str">
        <x:v>KAT013</x:v>
      </x:c>
      <x:c r="F620"/>
      <x:c r="G620"/>
      <x:c r="H620" t="str">
        <x:v>kein_match</x:v>
      </x:c>
      <x:c r="I620" t="str">
        <x:v>Agent-Draft: keine finale Regelentscheidung</x:v>
      </x:c>
      <x:c r="J620" t="n">
        <x:v>45954</x:v>
      </x:c>
      <x:c r="K620"/>
      <x:c r="L620"/>
      <x:c r="M620" t="n">
        <x:v>-134.79</x:v>
      </x:c>
      <x:c r="N620" t="str">
        <x:v>2025-10</x:v>
      </x:c>
      <x:c r="O620" t="str">
        <x:v>Ausgabe</x:v>
      </x:c>
      <x:c r="P620" t="str">
        <x:v>Ist</x:v>
      </x:c>
      <x:c r="Q620" s="59" t="b">
        <x:v>0</x:v>
      </x:c>
      <x:c r="R620" t="str">
        <x:v>kein_transfer</x:v>
      </x:c>
      <x:c r="S620"/>
      <x:c r="T620"/>
      <x:c r="U620"/>
      <x:c r="V620" s="59" t="b">
        <x:v>1</x:v>
      </x:c>
      <x:c r="W620"/>
      <x:c r="X620" t="str">
        <x:v>offen</x:v>
      </x:c>
      <x:c r="Y620" t="str">
        <x:v>Agent-Draft; Kategorie und Person pruefen</x:v>
      </x:c>
    </x:row>
    <x:row r="621">
      <x:c r="A621" t="str">
        <x:v>TXN-RAW-IMP-20260516-FULLDRAFT-000605</x:v>
      </x:c>
      <x:c r="B621" t="str">
        <x:v>RAW-IMP-20260516-FULLDRAFT-000605</x:v>
      </x:c>
      <x:c r="C621" t="str">
        <x:v>KTO001</x:v>
      </x:c>
      <x:c r="D621"/>
      <x:c r="E621" t="str">
        <x:v>KAT013</x:v>
      </x:c>
      <x:c r="F621"/>
      <x:c r="G621"/>
      <x:c r="H621" t="str">
        <x:v>kein_match</x:v>
      </x:c>
      <x:c r="I621" t="str">
        <x:v>Agent-Draft: keine finale Regelentscheidung</x:v>
      </x:c>
      <x:c r="J621" t="n">
        <x:v>45953</x:v>
      </x:c>
      <x:c r="K621"/>
      <x:c r="L621"/>
      <x:c r="M621" t="n">
        <x:v>-49.79</x:v>
      </x:c>
      <x:c r="N621" t="str">
        <x:v>2025-10</x:v>
      </x:c>
      <x:c r="O621" t="str">
        <x:v>Ausgabe</x:v>
      </x:c>
      <x:c r="P621" t="str">
        <x:v>Ist</x:v>
      </x:c>
      <x:c r="Q621" s="59" t="b">
        <x:v>0</x:v>
      </x:c>
      <x:c r="R621" t="str">
        <x:v>kein_transfer</x:v>
      </x:c>
      <x:c r="S621"/>
      <x:c r="T621"/>
      <x:c r="U621"/>
      <x:c r="V621" s="59" t="b">
        <x:v>1</x:v>
      </x:c>
      <x:c r="W621"/>
      <x:c r="X621" t="str">
        <x:v>offen</x:v>
      </x:c>
      <x:c r="Y621" t="str">
        <x:v>Agent-Draft; Kategorie und Person pruefen</x:v>
      </x:c>
    </x:row>
    <x:row r="622">
      <x:c r="A622" t="str">
        <x:v>TXN-RAW-IMP-20260516-FULLDRAFT-000606</x:v>
      </x:c>
      <x:c r="B622" t="str">
        <x:v>RAW-IMP-20260516-FULLDRAFT-000606</x:v>
      </x:c>
      <x:c r="C622" t="str">
        <x:v>KTO001</x:v>
      </x:c>
      <x:c r="D622"/>
      <x:c r="E622" t="str">
        <x:v>KAT013</x:v>
      </x:c>
      <x:c r="F622"/>
      <x:c r="G622"/>
      <x:c r="H622" t="str">
        <x:v>kein_match</x:v>
      </x:c>
      <x:c r="I622" t="str">
        <x:v>Agent-Draft: keine finale Regelentscheidung</x:v>
      </x:c>
      <x:c r="J622" t="n">
        <x:v>45953</x:v>
      </x:c>
      <x:c r="K622"/>
      <x:c r="L622"/>
      <x:c r="M622" t="n">
        <x:v>-94.01</x:v>
      </x:c>
      <x:c r="N622" t="str">
        <x:v>2025-10</x:v>
      </x:c>
      <x:c r="O622" t="str">
        <x:v>Ausgabe</x:v>
      </x:c>
      <x:c r="P622" t="str">
        <x:v>Ist</x:v>
      </x:c>
      <x:c r="Q622" s="59" t="b">
        <x:v>0</x:v>
      </x:c>
      <x:c r="R622" t="str">
        <x:v>kein_transfer</x:v>
      </x:c>
      <x:c r="S622"/>
      <x:c r="T622"/>
      <x:c r="U622"/>
      <x:c r="V622" s="59" t="b">
        <x:v>1</x:v>
      </x:c>
      <x:c r="W622"/>
      <x:c r="X622" t="str">
        <x:v>offen</x:v>
      </x:c>
      <x:c r="Y622" t="str">
        <x:v>Agent-Draft; Kategorie und Person pruefen</x:v>
      </x:c>
    </x:row>
    <x:row r="623">
      <x:c r="A623" t="str">
        <x:v>TXN-RAW-IMP-20260516-FULLDRAFT-000607</x:v>
      </x:c>
      <x:c r="B623" t="str">
        <x:v>RAW-IMP-20260516-FULLDRAFT-000607</x:v>
      </x:c>
      <x:c r="C623" t="str">
        <x:v>KTO001</x:v>
      </x:c>
      <x:c r="D623"/>
      <x:c r="E623" t="str">
        <x:v>KAT013</x:v>
      </x:c>
      <x:c r="F623"/>
      <x:c r="G623"/>
      <x:c r="H623" t="str">
        <x:v>kein_match</x:v>
      </x:c>
      <x:c r="I623" t="str">
        <x:v>Agent-Draft: keine finale Regelentscheidung</x:v>
      </x:c>
      <x:c r="J623" t="n">
        <x:v>45952</x:v>
      </x:c>
      <x:c r="K623"/>
      <x:c r="L623"/>
      <x:c r="M623" t="n">
        <x:v>-448.9</x:v>
      </x:c>
      <x:c r="N623" t="str">
        <x:v>2025-10</x:v>
      </x:c>
      <x:c r="O623" t="str">
        <x:v>Ausgabe</x:v>
      </x:c>
      <x:c r="P623" t="str">
        <x:v>Ist</x:v>
      </x:c>
      <x:c r="Q623" s="59" t="b">
        <x:v>0</x:v>
      </x:c>
      <x:c r="R623" t="str">
        <x:v>kein_transfer</x:v>
      </x:c>
      <x:c r="S623"/>
      <x:c r="T623"/>
      <x:c r="U623"/>
      <x:c r="V623" s="59" t="b">
        <x:v>1</x:v>
      </x:c>
      <x:c r="W623"/>
      <x:c r="X623" t="str">
        <x:v>offen</x:v>
      </x:c>
      <x:c r="Y623" t="str">
        <x:v>Agent-Draft; Kategorie und Person pruefen</x:v>
      </x:c>
    </x:row>
    <x:row r="624">
      <x:c r="A624" t="str">
        <x:v>TXN-RAW-IMP-20260516-FULLDRAFT-000608</x:v>
      </x:c>
      <x:c r="B624" t="str">
        <x:v>RAW-IMP-20260516-FULLDRAFT-000608</x:v>
      </x:c>
      <x:c r="C624" t="str">
        <x:v>KTO001</x:v>
      </x:c>
      <x:c r="D624"/>
      <x:c r="E624" t="str">
        <x:v>KAT013</x:v>
      </x:c>
      <x:c r="F624"/>
      <x:c r="G624"/>
      <x:c r="H624" t="str">
        <x:v>kein_match</x:v>
      </x:c>
      <x:c r="I624" t="str">
        <x:v>Agent-Draft: keine finale Regelentscheidung</x:v>
      </x:c>
      <x:c r="J624" t="n">
        <x:v>45952</x:v>
      </x:c>
      <x:c r="K624"/>
      <x:c r="L624"/>
      <x:c r="M624" t="n">
        <x:v>-25.81</x:v>
      </x:c>
      <x:c r="N624" t="str">
        <x:v>2025-10</x:v>
      </x:c>
      <x:c r="O624" t="str">
        <x:v>Ausgabe</x:v>
      </x:c>
      <x:c r="P624" t="str">
        <x:v>Ist</x:v>
      </x:c>
      <x:c r="Q624" s="59" t="b">
        <x:v>0</x:v>
      </x:c>
      <x:c r="R624" t="str">
        <x:v>kein_transfer</x:v>
      </x:c>
      <x:c r="S624"/>
      <x:c r="T624"/>
      <x:c r="U624"/>
      <x:c r="V624" s="59" t="b">
        <x:v>1</x:v>
      </x:c>
      <x:c r="W624"/>
      <x:c r="X624" t="str">
        <x:v>offen</x:v>
      </x:c>
      <x:c r="Y624" t="str">
        <x:v>Agent-Draft; Kategorie und Person pruefen</x:v>
      </x:c>
    </x:row>
    <x:row r="625">
      <x:c r="A625" t="str">
        <x:v>TXN-RAW-IMP-20260516-FULLDRAFT-000609</x:v>
      </x:c>
      <x:c r="B625" t="str">
        <x:v>RAW-IMP-20260516-FULLDRAFT-000609</x:v>
      </x:c>
      <x:c r="C625" t="str">
        <x:v>KTO001</x:v>
      </x:c>
      <x:c r="D625"/>
      <x:c r="E625" t="str">
        <x:v>KAT013</x:v>
      </x:c>
      <x:c r="F625"/>
      <x:c r="G625"/>
      <x:c r="H625" t="str">
        <x:v>kein_match</x:v>
      </x:c>
      <x:c r="I625" t="str">
        <x:v>Agent-Draft: keine finale Regelentscheidung</x:v>
      </x:c>
      <x:c r="J625" t="n">
        <x:v>45952</x:v>
      </x:c>
      <x:c r="K625"/>
      <x:c r="L625"/>
      <x:c r="M625" t="n">
        <x:v>-10.9</x:v>
      </x:c>
      <x:c r="N625" t="str">
        <x:v>2025-10</x:v>
      </x:c>
      <x:c r="O625" t="str">
        <x:v>Ausgabe</x:v>
      </x:c>
      <x:c r="P625" t="str">
        <x:v>Ist</x:v>
      </x:c>
      <x:c r="Q625" s="59" t="b">
        <x:v>0</x:v>
      </x:c>
      <x:c r="R625" t="str">
        <x:v>kein_transfer</x:v>
      </x:c>
      <x:c r="S625"/>
      <x:c r="T625"/>
      <x:c r="U625"/>
      <x:c r="V625" s="59" t="b">
        <x:v>1</x:v>
      </x:c>
      <x:c r="W625"/>
      <x:c r="X625" t="str">
        <x:v>offen</x:v>
      </x:c>
      <x:c r="Y625" t="str">
        <x:v>Agent-Draft; Kategorie und Person pruefen</x:v>
      </x:c>
    </x:row>
    <x:row r="626">
      <x:c r="A626" t="str">
        <x:v>TXN-RAW-IMP-20260516-FULLDRAFT-000610</x:v>
      </x:c>
      <x:c r="B626" t="str">
        <x:v>RAW-IMP-20260516-FULLDRAFT-000610</x:v>
      </x:c>
      <x:c r="C626" t="str">
        <x:v>KTO001</x:v>
      </x:c>
      <x:c r="D626"/>
      <x:c r="E626" t="str">
        <x:v>KAT013</x:v>
      </x:c>
      <x:c r="F626"/>
      <x:c r="G626"/>
      <x:c r="H626" t="str">
        <x:v>kein_match</x:v>
      </x:c>
      <x:c r="I626" t="str">
        <x:v>Agent-Draft: keine finale Regelentscheidung</x:v>
      </x:c>
      <x:c r="J626" t="n">
        <x:v>45952</x:v>
      </x:c>
      <x:c r="K626"/>
      <x:c r="L626"/>
      <x:c r="M626" t="n">
        <x:v>-2.99</x:v>
      </x:c>
      <x:c r="N626" t="str">
        <x:v>2025-10</x:v>
      </x:c>
      <x:c r="O626" t="str">
        <x:v>Ausgabe</x:v>
      </x:c>
      <x:c r="P626" t="str">
        <x:v>Ist</x:v>
      </x:c>
      <x:c r="Q626" s="59" t="b">
        <x:v>0</x:v>
      </x:c>
      <x:c r="R626" t="str">
        <x:v>kein_transfer</x:v>
      </x:c>
      <x:c r="S626"/>
      <x:c r="T626"/>
      <x:c r="U626"/>
      <x:c r="V626" s="59" t="b">
        <x:v>1</x:v>
      </x:c>
      <x:c r="W626"/>
      <x:c r="X626" t="str">
        <x:v>offen</x:v>
      </x:c>
      <x:c r="Y626" t="str">
        <x:v>Agent-Draft; Kategorie und Person pruefen</x:v>
      </x:c>
    </x:row>
    <x:row r="627">
      <x:c r="A627" t="str">
        <x:v>TXN-RAW-IMP-20260516-FULLDRAFT-000611</x:v>
      </x:c>
      <x:c r="B627" t="str">
        <x:v>RAW-IMP-20260516-FULLDRAFT-000611</x:v>
      </x:c>
      <x:c r="C627" t="str">
        <x:v>KTO001</x:v>
      </x:c>
      <x:c r="D627"/>
      <x:c r="E627" t="str">
        <x:v>KAT013</x:v>
      </x:c>
      <x:c r="F627"/>
      <x:c r="G627"/>
      <x:c r="H627" t="str">
        <x:v>kein_match</x:v>
      </x:c>
      <x:c r="I627" t="str">
        <x:v>Agent-Draft: keine finale Regelentscheidung</x:v>
      </x:c>
      <x:c r="J627" t="n">
        <x:v>45952</x:v>
      </x:c>
      <x:c r="K627"/>
      <x:c r="L627"/>
      <x:c r="M627" t="n">
        <x:v>-6.99</x:v>
      </x:c>
      <x:c r="N627" t="str">
        <x:v>2025-10</x:v>
      </x:c>
      <x:c r="O627" t="str">
        <x:v>Ausgabe</x:v>
      </x:c>
      <x:c r="P627" t="str">
        <x:v>Ist</x:v>
      </x:c>
      <x:c r="Q627" s="59" t="b">
        <x:v>0</x:v>
      </x:c>
      <x:c r="R627" t="str">
        <x:v>kein_transfer</x:v>
      </x:c>
      <x:c r="S627"/>
      <x:c r="T627"/>
      <x:c r="U627"/>
      <x:c r="V627" s="59" t="b">
        <x:v>1</x:v>
      </x:c>
      <x:c r="W627"/>
      <x:c r="X627" t="str">
        <x:v>offen</x:v>
      </x:c>
      <x:c r="Y627" t="str">
        <x:v>Agent-Draft; Kategorie und Person pruefen</x:v>
      </x:c>
    </x:row>
    <x:row r="628">
      <x:c r="A628" t="str">
        <x:v>TXN-RAW-IMP-20260516-FULLDRAFT-000612</x:v>
      </x:c>
      <x:c r="B628" t="str">
        <x:v>RAW-IMP-20260516-FULLDRAFT-000612</x:v>
      </x:c>
      <x:c r="C628" t="str">
        <x:v>KTO001</x:v>
      </x:c>
      <x:c r="D628"/>
      <x:c r="E628" t="str">
        <x:v>KAT013</x:v>
      </x:c>
      <x:c r="F628"/>
      <x:c r="G628"/>
      <x:c r="H628" t="str">
        <x:v>kein_match</x:v>
      </x:c>
      <x:c r="I628" t="str">
        <x:v>Agent-Draft: keine finale Regelentscheidung</x:v>
      </x:c>
      <x:c r="J628" t="n">
        <x:v>45952</x:v>
      </x:c>
      <x:c r="K628"/>
      <x:c r="L628"/>
      <x:c r="M628" t="n">
        <x:v>-6.99</x:v>
      </x:c>
      <x:c r="N628" t="str">
        <x:v>2025-10</x:v>
      </x:c>
      <x:c r="O628" t="str">
        <x:v>Ausgabe</x:v>
      </x:c>
      <x:c r="P628" t="str">
        <x:v>Ist</x:v>
      </x:c>
      <x:c r="Q628" s="59" t="b">
        <x:v>0</x:v>
      </x:c>
      <x:c r="R628" t="str">
        <x:v>kein_transfer</x:v>
      </x:c>
      <x:c r="S628"/>
      <x:c r="T628"/>
      <x:c r="U628"/>
      <x:c r="V628" s="59" t="b">
        <x:v>1</x:v>
      </x:c>
      <x:c r="W628"/>
      <x:c r="X628" t="str">
        <x:v>offen</x:v>
      </x:c>
      <x:c r="Y628" t="str">
        <x:v>Agent-Draft; Kategorie und Person pruefen</x:v>
      </x:c>
    </x:row>
    <x:row r="629">
      <x:c r="A629" t="str">
        <x:v>TXN-RAW-IMP-20260516-FULLDRAFT-000613</x:v>
      </x:c>
      <x:c r="B629" t="str">
        <x:v>RAW-IMP-20260516-FULLDRAFT-000613</x:v>
      </x:c>
      <x:c r="C629" t="str">
        <x:v>KTO001</x:v>
      </x:c>
      <x:c r="D629"/>
      <x:c r="E629" t="str">
        <x:v>KAT013</x:v>
      </x:c>
      <x:c r="F629"/>
      <x:c r="G629"/>
      <x:c r="H629" t="str">
        <x:v>kein_match</x:v>
      </x:c>
      <x:c r="I629" t="str">
        <x:v>Agent-Draft: keine finale Regelentscheidung</x:v>
      </x:c>
      <x:c r="J629" t="n">
        <x:v>45951</x:v>
      </x:c>
      <x:c r="K629"/>
      <x:c r="L629"/>
      <x:c r="M629" t="n">
        <x:v>-4.99</x:v>
      </x:c>
      <x:c r="N629" t="str">
        <x:v>2025-10</x:v>
      </x:c>
      <x:c r="O629" t="str">
        <x:v>Ausgabe</x:v>
      </x:c>
      <x:c r="P629" t="str">
        <x:v>Ist</x:v>
      </x:c>
      <x:c r="Q629" s="59" t="b">
        <x:v>0</x:v>
      </x:c>
      <x:c r="R629" t="str">
        <x:v>kein_transfer</x:v>
      </x:c>
      <x:c r="S629"/>
      <x:c r="T629"/>
      <x:c r="U629"/>
      <x:c r="V629" s="59" t="b">
        <x:v>1</x:v>
      </x:c>
      <x:c r="W629"/>
      <x:c r="X629" t="str">
        <x:v>offen</x:v>
      </x:c>
      <x:c r="Y629" t="str">
        <x:v>Agent-Draft; Kategorie und Person pruefen</x:v>
      </x:c>
    </x:row>
    <x:row r="630">
      <x:c r="A630" t="str">
        <x:v>TXN-RAW-IMP-20260516-FULLDRAFT-000614</x:v>
      </x:c>
      <x:c r="B630" t="str">
        <x:v>RAW-IMP-20260516-FULLDRAFT-000614</x:v>
      </x:c>
      <x:c r="C630" t="str">
        <x:v>KTO001</x:v>
      </x:c>
      <x:c r="D630"/>
      <x:c r="E630" t="str">
        <x:v>KAT013</x:v>
      </x:c>
      <x:c r="F630"/>
      <x:c r="G630"/>
      <x:c r="H630" t="str">
        <x:v>kein_match</x:v>
      </x:c>
      <x:c r="I630" t="str">
        <x:v>Agent-Draft: keine finale Regelentscheidung</x:v>
      </x:c>
      <x:c r="J630" t="n">
        <x:v>45951</x:v>
      </x:c>
      <x:c r="K630"/>
      <x:c r="L630"/>
      <x:c r="M630" t="n">
        <x:v>-6.99</x:v>
      </x:c>
      <x:c r="N630" t="str">
        <x:v>2025-10</x:v>
      </x:c>
      <x:c r="O630" t="str">
        <x:v>Ausgabe</x:v>
      </x:c>
      <x:c r="P630" t="str">
        <x:v>Ist</x:v>
      </x:c>
      <x:c r="Q630" s="59" t="b">
        <x:v>0</x:v>
      </x:c>
      <x:c r="R630" t="str">
        <x:v>kein_transfer</x:v>
      </x:c>
      <x:c r="S630"/>
      <x:c r="T630"/>
      <x:c r="U630"/>
      <x:c r="V630" s="59" t="b">
        <x:v>1</x:v>
      </x:c>
      <x:c r="W630"/>
      <x:c r="X630" t="str">
        <x:v>offen</x:v>
      </x:c>
      <x:c r="Y630" t="str">
        <x:v>Agent-Draft; Kategorie und Person pruefen</x:v>
      </x:c>
    </x:row>
    <x:row r="631">
      <x:c r="A631" t="str">
        <x:v>TXN-RAW-IMP-20260516-FULLDRAFT-000615</x:v>
      </x:c>
      <x:c r="B631" t="str">
        <x:v>RAW-IMP-20260516-FULLDRAFT-000615</x:v>
      </x:c>
      <x:c r="C631" t="str">
        <x:v>KTO001</x:v>
      </x:c>
      <x:c r="D631"/>
      <x:c r="E631" t="str">
        <x:v>KAT013</x:v>
      </x:c>
      <x:c r="F631"/>
      <x:c r="G631"/>
      <x:c r="H631" t="str">
        <x:v>kein_match</x:v>
      </x:c>
      <x:c r="I631" t="str">
        <x:v>Agent-Draft: keine finale Regelentscheidung</x:v>
      </x:c>
      <x:c r="J631" t="n">
        <x:v>45950</x:v>
      </x:c>
      <x:c r="K631"/>
      <x:c r="L631"/>
      <x:c r="M631" t="n">
        <x:v>-8.63</x:v>
      </x:c>
      <x:c r="N631" t="str">
        <x:v>2025-10</x:v>
      </x:c>
      <x:c r="O631" t="str">
        <x:v>Ausgabe</x:v>
      </x:c>
      <x:c r="P631" t="str">
        <x:v>Ist</x:v>
      </x:c>
      <x:c r="Q631" s="59" t="b">
        <x:v>0</x:v>
      </x:c>
      <x:c r="R631" t="str">
        <x:v>kein_transfer</x:v>
      </x:c>
      <x:c r="S631"/>
      <x:c r="T631"/>
      <x:c r="U631"/>
      <x:c r="V631" s="59" t="b">
        <x:v>1</x:v>
      </x:c>
      <x:c r="W631"/>
      <x:c r="X631" t="str">
        <x:v>offen</x:v>
      </x:c>
      <x:c r="Y631" t="str">
        <x:v>Agent-Draft; Kategorie und Person pruefen</x:v>
      </x:c>
    </x:row>
    <x:row r="632">
      <x:c r="A632" t="str">
        <x:v>TXN-RAW-IMP-20260516-FULLDRAFT-000616</x:v>
      </x:c>
      <x:c r="B632" t="str">
        <x:v>RAW-IMP-20260516-FULLDRAFT-000616</x:v>
      </x:c>
      <x:c r="C632" t="str">
        <x:v>KTO001</x:v>
      </x:c>
      <x:c r="D632"/>
      <x:c r="E632" t="str">
        <x:v>KAT013</x:v>
      </x:c>
      <x:c r="F632"/>
      <x:c r="G632"/>
      <x:c r="H632" t="str">
        <x:v>kein_match</x:v>
      </x:c>
      <x:c r="I632" t="str">
        <x:v>Agent-Draft: keine finale Regelentscheidung</x:v>
      </x:c>
      <x:c r="J632" t="n">
        <x:v>45950</x:v>
      </x:c>
      <x:c r="K632"/>
      <x:c r="L632"/>
      <x:c r="M632" t="n">
        <x:v>-17.25</x:v>
      </x:c>
      <x:c r="N632" t="str">
        <x:v>2025-10</x:v>
      </x:c>
      <x:c r="O632" t="str">
        <x:v>Ausgabe</x:v>
      </x:c>
      <x:c r="P632" t="str">
        <x:v>Ist</x:v>
      </x:c>
      <x:c r="Q632" s="59" t="b">
        <x:v>0</x:v>
      </x:c>
      <x:c r="R632" t="str">
        <x:v>kein_transfer</x:v>
      </x:c>
      <x:c r="S632"/>
      <x:c r="T632"/>
      <x:c r="U632"/>
      <x:c r="V632" s="59" t="b">
        <x:v>1</x:v>
      </x:c>
      <x:c r="W632"/>
      <x:c r="X632" t="str">
        <x:v>offen</x:v>
      </x:c>
      <x:c r="Y632" t="str">
        <x:v>Agent-Draft; Kategorie und Person pruefen</x:v>
      </x:c>
    </x:row>
    <x:row r="633">
      <x:c r="A633" t="str">
        <x:v>TXN-RAW-IMP-20260516-FULLDRAFT-000617</x:v>
      </x:c>
      <x:c r="B633" t="str">
        <x:v>RAW-IMP-20260516-FULLDRAFT-000617</x:v>
      </x:c>
      <x:c r="C633" t="str">
        <x:v>KTO001</x:v>
      </x:c>
      <x:c r="D633"/>
      <x:c r="E633" t="str">
        <x:v>KAT013</x:v>
      </x:c>
      <x:c r="F633"/>
      <x:c r="G633"/>
      <x:c r="H633" t="str">
        <x:v>kein_match</x:v>
      </x:c>
      <x:c r="I633" t="str">
        <x:v>Agent-Draft: keine finale Regelentscheidung</x:v>
      </x:c>
      <x:c r="J633" t="n">
        <x:v>45950</x:v>
      </x:c>
      <x:c r="K633"/>
      <x:c r="L633"/>
      <x:c r="M633" t="n">
        <x:v>-13.8</x:v>
      </x:c>
      <x:c r="N633" t="str">
        <x:v>2025-10</x:v>
      </x:c>
      <x:c r="O633" t="str">
        <x:v>Ausgabe</x:v>
      </x:c>
      <x:c r="P633" t="str">
        <x:v>Ist</x:v>
      </x:c>
      <x:c r="Q633" s="59" t="b">
        <x:v>0</x:v>
      </x:c>
      <x:c r="R633" t="str">
        <x:v>kein_transfer</x:v>
      </x:c>
      <x:c r="S633"/>
      <x:c r="T633"/>
      <x:c r="U633"/>
      <x:c r="V633" s="59" t="b">
        <x:v>1</x:v>
      </x:c>
      <x:c r="W633"/>
      <x:c r="X633" t="str">
        <x:v>offen</x:v>
      </x:c>
      <x:c r="Y633" t="str">
        <x:v>Agent-Draft; Kategorie und Person pruefen</x:v>
      </x:c>
    </x:row>
    <x:row r="634">
      <x:c r="A634" t="str">
        <x:v>TXN-RAW-IMP-20260516-FULLDRAFT-000618</x:v>
      </x:c>
      <x:c r="B634" t="str">
        <x:v>RAW-IMP-20260516-FULLDRAFT-000618</x:v>
      </x:c>
      <x:c r="C634" t="str">
        <x:v>KTO001</x:v>
      </x:c>
      <x:c r="D634"/>
      <x:c r="E634" t="str">
        <x:v>KAT013</x:v>
      </x:c>
      <x:c r="F634"/>
      <x:c r="G634"/>
      <x:c r="H634" t="str">
        <x:v>kein_match</x:v>
      </x:c>
      <x:c r="I634" t="str">
        <x:v>Agent-Draft: keine finale Regelentscheidung</x:v>
      </x:c>
      <x:c r="J634" t="n">
        <x:v>45950</x:v>
      </x:c>
      <x:c r="K634"/>
      <x:c r="L634"/>
      <x:c r="M634" t="n">
        <x:v>-37.32</x:v>
      </x:c>
      <x:c r="N634" t="str">
        <x:v>2025-10</x:v>
      </x:c>
      <x:c r="O634" t="str">
        <x:v>Ausgabe</x:v>
      </x:c>
      <x:c r="P634" t="str">
        <x:v>Ist</x:v>
      </x:c>
      <x:c r="Q634" s="59" t="b">
        <x:v>0</x:v>
      </x:c>
      <x:c r="R634" t="str">
        <x:v>kein_transfer</x:v>
      </x:c>
      <x:c r="S634"/>
      <x:c r="T634"/>
      <x:c r="U634"/>
      <x:c r="V634" s="59" t="b">
        <x:v>1</x:v>
      </x:c>
      <x:c r="W634"/>
      <x:c r="X634" t="str">
        <x:v>offen</x:v>
      </x:c>
      <x:c r="Y634" t="str">
        <x:v>Agent-Draft; Kategorie und Person pruefen</x:v>
      </x:c>
    </x:row>
    <x:row r="635">
      <x:c r="A635" t="str">
        <x:v>TXN-RAW-IMP-20260516-FULLDRAFT-000619</x:v>
      </x:c>
      <x:c r="B635" t="str">
        <x:v>RAW-IMP-20260516-FULLDRAFT-000619</x:v>
      </x:c>
      <x:c r="C635" t="str">
        <x:v>KTO001</x:v>
      </x:c>
      <x:c r="D635"/>
      <x:c r="E635" t="str">
        <x:v>KAT013</x:v>
      </x:c>
      <x:c r="F635"/>
      <x:c r="G635"/>
      <x:c r="H635" t="str">
        <x:v>kein_match</x:v>
      </x:c>
      <x:c r="I635" t="str">
        <x:v>Agent-Draft: keine finale Regelentscheidung</x:v>
      </x:c>
      <x:c r="J635" t="n">
        <x:v>45950</x:v>
      </x:c>
      <x:c r="K635"/>
      <x:c r="L635"/>
      <x:c r="M635" t="n">
        <x:v>-8.63</x:v>
      </x:c>
      <x:c r="N635" t="str">
        <x:v>2025-10</x:v>
      </x:c>
      <x:c r="O635" t="str">
        <x:v>Ausgabe</x:v>
      </x:c>
      <x:c r="P635" t="str">
        <x:v>Ist</x:v>
      </x:c>
      <x:c r="Q635" s="59" t="b">
        <x:v>0</x:v>
      </x:c>
      <x:c r="R635" t="str">
        <x:v>kein_transfer</x:v>
      </x:c>
      <x:c r="S635"/>
      <x:c r="T635"/>
      <x:c r="U635"/>
      <x:c r="V635" s="59" t="b">
        <x:v>1</x:v>
      </x:c>
      <x:c r="W635"/>
      <x:c r="X635" t="str">
        <x:v>offen</x:v>
      </x:c>
      <x:c r="Y635" t="str">
        <x:v>Agent-Draft; Kategorie und Person pruefen</x:v>
      </x:c>
    </x:row>
    <x:row r="636">
      <x:c r="A636" t="str">
        <x:v>TXN-RAW-IMP-20260516-FULLDRAFT-000620</x:v>
      </x:c>
      <x:c r="B636" t="str">
        <x:v>RAW-IMP-20260516-FULLDRAFT-000620</x:v>
      </x:c>
      <x:c r="C636" t="str">
        <x:v>KTO001</x:v>
      </x:c>
      <x:c r="D636"/>
      <x:c r="E636" t="str">
        <x:v>KAT013</x:v>
      </x:c>
      <x:c r="F636"/>
      <x:c r="G636"/>
      <x:c r="H636" t="str">
        <x:v>kein_match</x:v>
      </x:c>
      <x:c r="I636" t="str">
        <x:v>Agent-Draft: keine finale Regelentscheidung</x:v>
      </x:c>
      <x:c r="J636" t="n">
        <x:v>45950</x:v>
      </x:c>
      <x:c r="K636"/>
      <x:c r="L636"/>
      <x:c r="M636" t="n">
        <x:v>-13.23</x:v>
      </x:c>
      <x:c r="N636" t="str">
        <x:v>2025-10</x:v>
      </x:c>
      <x:c r="O636" t="str">
        <x:v>Ausgabe</x:v>
      </x:c>
      <x:c r="P636" t="str">
        <x:v>Ist</x:v>
      </x:c>
      <x:c r="Q636" s="59" t="b">
        <x:v>0</x:v>
      </x:c>
      <x:c r="R636" t="str">
        <x:v>kein_transfer</x:v>
      </x:c>
      <x:c r="S636"/>
      <x:c r="T636"/>
      <x:c r="U636"/>
      <x:c r="V636" s="59" t="b">
        <x:v>1</x:v>
      </x:c>
      <x:c r="W636"/>
      <x:c r="X636" t="str">
        <x:v>offen</x:v>
      </x:c>
      <x:c r="Y636" t="str">
        <x:v>Agent-Draft; Kategorie und Person pruefen</x:v>
      </x:c>
    </x:row>
    <x:row r="637">
      <x:c r="A637" t="str">
        <x:v>TXN-RAW-IMP-20260516-FULLDRAFT-000621</x:v>
      </x:c>
      <x:c r="B637" t="str">
        <x:v>RAW-IMP-20260516-FULLDRAFT-000621</x:v>
      </x:c>
      <x:c r="C637" t="str">
        <x:v>KTO001</x:v>
      </x:c>
      <x:c r="D637"/>
      <x:c r="E637" t="str">
        <x:v>KAT013</x:v>
      </x:c>
      <x:c r="F637"/>
      <x:c r="G637"/>
      <x:c r="H637" t="str">
        <x:v>kein_match</x:v>
      </x:c>
      <x:c r="I637" t="str">
        <x:v>Agent-Draft: keine finale Regelentscheidung</x:v>
      </x:c>
      <x:c r="J637" t="n">
        <x:v>45950</x:v>
      </x:c>
      <x:c r="K637"/>
      <x:c r="L637"/>
      <x:c r="M637" t="n">
        <x:v>-22.36</x:v>
      </x:c>
      <x:c r="N637" t="str">
        <x:v>2025-10</x:v>
      </x:c>
      <x:c r="O637" t="str">
        <x:v>Ausgabe</x:v>
      </x:c>
      <x:c r="P637" t="str">
        <x:v>Ist</x:v>
      </x:c>
      <x:c r="Q637" s="59" t="b">
        <x:v>0</x:v>
      </x:c>
      <x:c r="R637" t="str">
        <x:v>kein_transfer</x:v>
      </x:c>
      <x:c r="S637"/>
      <x:c r="T637"/>
      <x:c r="U637"/>
      <x:c r="V637" s="59" t="b">
        <x:v>1</x:v>
      </x:c>
      <x:c r="W637"/>
      <x:c r="X637" t="str">
        <x:v>offen</x:v>
      </x:c>
      <x:c r="Y637" t="str">
        <x:v>Agent-Draft; Kategorie und Person pruefen</x:v>
      </x:c>
    </x:row>
    <x:row r="638">
      <x:c r="A638" t="str">
        <x:v>TXN-RAW-IMP-20260516-FULLDRAFT-000622</x:v>
      </x:c>
      <x:c r="B638" t="str">
        <x:v>RAW-IMP-20260516-FULLDRAFT-000622</x:v>
      </x:c>
      <x:c r="C638" t="str">
        <x:v>KTO001</x:v>
      </x:c>
      <x:c r="D638"/>
      <x:c r="E638" t="str">
        <x:v>KAT013</x:v>
      </x:c>
      <x:c r="F638"/>
      <x:c r="G638"/>
      <x:c r="H638" t="str">
        <x:v>kein_match</x:v>
      </x:c>
      <x:c r="I638" t="str">
        <x:v>Agent-Draft: keine finale Regelentscheidung</x:v>
      </x:c>
      <x:c r="J638" t="n">
        <x:v>45950</x:v>
      </x:c>
      <x:c r="K638"/>
      <x:c r="L638"/>
      <x:c r="M638" t="n">
        <x:v>-0.98</x:v>
      </x:c>
      <x:c r="N638" t="str">
        <x:v>2025-10</x:v>
      </x:c>
      <x:c r="O638" t="str">
        <x:v>Ausgabe</x:v>
      </x:c>
      <x:c r="P638" t="str">
        <x:v>Ist</x:v>
      </x:c>
      <x:c r="Q638" s="59" t="b">
        <x:v>0</x:v>
      </x:c>
      <x:c r="R638" t="str">
        <x:v>kein_transfer</x:v>
      </x:c>
      <x:c r="S638"/>
      <x:c r="T638"/>
      <x:c r="U638"/>
      <x:c r="V638" s="59" t="b">
        <x:v>1</x:v>
      </x:c>
      <x:c r="W638"/>
      <x:c r="X638" t="str">
        <x:v>offen</x:v>
      </x:c>
      <x:c r="Y638" t="str">
        <x:v>Agent-Draft; Kategorie und Person pruefen</x:v>
      </x:c>
    </x:row>
    <x:row r="639">
      <x:c r="A639" t="str">
        <x:v>TXN-RAW-IMP-20260516-FULLDRAFT-000623</x:v>
      </x:c>
      <x:c r="B639" t="str">
        <x:v>RAW-IMP-20260516-FULLDRAFT-000623</x:v>
      </x:c>
      <x:c r="C639" t="str">
        <x:v>KTO001</x:v>
      </x:c>
      <x:c r="D639"/>
      <x:c r="E639" t="str">
        <x:v>KAT013</x:v>
      </x:c>
      <x:c r="F639"/>
      <x:c r="G639"/>
      <x:c r="H639" t="str">
        <x:v>kein_match</x:v>
      </x:c>
      <x:c r="I639" t="str">
        <x:v>Agent-Draft: keine finale Regelentscheidung</x:v>
      </x:c>
      <x:c r="J639" t="n">
        <x:v>45950</x:v>
      </x:c>
      <x:c r="K639"/>
      <x:c r="L639"/>
      <x:c r="M639" t="n">
        <x:v>-15.47</x:v>
      </x:c>
      <x:c r="N639" t="str">
        <x:v>2025-10</x:v>
      </x:c>
      <x:c r="O639" t="str">
        <x:v>Ausgabe</x:v>
      </x:c>
      <x:c r="P639" t="str">
        <x:v>Ist</x:v>
      </x:c>
      <x:c r="Q639" s="59" t="b">
        <x:v>0</x:v>
      </x:c>
      <x:c r="R639" t="str">
        <x:v>kein_transfer</x:v>
      </x:c>
      <x:c r="S639"/>
      <x:c r="T639"/>
      <x:c r="U639"/>
      <x:c r="V639" s="59" t="b">
        <x:v>1</x:v>
      </x:c>
      <x:c r="W639"/>
      <x:c r="X639" t="str">
        <x:v>offen</x:v>
      </x:c>
      <x:c r="Y639" t="str">
        <x:v>Agent-Draft; Kategorie und Person pruefen</x:v>
      </x:c>
    </x:row>
    <x:row r="640">
      <x:c r="A640" t="str">
        <x:v>TXN-RAW-IMP-20260516-FULLDRAFT-000624</x:v>
      </x:c>
      <x:c r="B640" t="str">
        <x:v>RAW-IMP-20260516-FULLDRAFT-000624</x:v>
      </x:c>
      <x:c r="C640" t="str">
        <x:v>KTO001</x:v>
      </x:c>
      <x:c r="D640"/>
      <x:c r="E640" t="str">
        <x:v>KAT013</x:v>
      </x:c>
      <x:c r="F640"/>
      <x:c r="G640"/>
      <x:c r="H640" t="str">
        <x:v>kein_match</x:v>
      </x:c>
      <x:c r="I640" t="str">
        <x:v>Agent-Draft: keine finale Regelentscheidung</x:v>
      </x:c>
      <x:c r="J640" t="n">
        <x:v>45947</x:v>
      </x:c>
      <x:c r="K640"/>
      <x:c r="L640"/>
      <x:c r="M640" t="n">
        <x:v>-9.59</x:v>
      </x:c>
      <x:c r="N640" t="str">
        <x:v>2025-10</x:v>
      </x:c>
      <x:c r="O640" t="str">
        <x:v>Ausgabe</x:v>
      </x:c>
      <x:c r="P640" t="str">
        <x:v>Ist</x:v>
      </x:c>
      <x:c r="Q640" s="59" t="b">
        <x:v>0</x:v>
      </x:c>
      <x:c r="R640" t="str">
        <x:v>kein_transfer</x:v>
      </x:c>
      <x:c r="S640"/>
      <x:c r="T640"/>
      <x:c r="U640"/>
      <x:c r="V640" s="59" t="b">
        <x:v>1</x:v>
      </x:c>
      <x:c r="W640"/>
      <x:c r="X640" t="str">
        <x:v>offen</x:v>
      </x:c>
      <x:c r="Y640" t="str">
        <x:v>Agent-Draft; Kategorie und Person pruefen</x:v>
      </x:c>
    </x:row>
    <x:row r="641">
      <x:c r="A641" t="str">
        <x:v>TXN-RAW-IMP-20260516-FULLDRAFT-000625</x:v>
      </x:c>
      <x:c r="B641" t="str">
        <x:v>RAW-IMP-20260516-FULLDRAFT-000625</x:v>
      </x:c>
      <x:c r="C641" t="str">
        <x:v>KTO001</x:v>
      </x:c>
      <x:c r="D641"/>
      <x:c r="E641" t="str">
        <x:v>KAT013</x:v>
      </x:c>
      <x:c r="F641"/>
      <x:c r="G641"/>
      <x:c r="H641" t="str">
        <x:v>kein_match</x:v>
      </x:c>
      <x:c r="I641" t="str">
        <x:v>Agent-Draft: keine finale Regelentscheidung</x:v>
      </x:c>
      <x:c r="J641" t="n">
        <x:v>45947</x:v>
      </x:c>
      <x:c r="K641"/>
      <x:c r="L641"/>
      <x:c r="M641" t="n">
        <x:v>-15.85</x:v>
      </x:c>
      <x:c r="N641" t="str">
        <x:v>2025-10</x:v>
      </x:c>
      <x:c r="O641" t="str">
        <x:v>Ausgabe</x:v>
      </x:c>
      <x:c r="P641" t="str">
        <x:v>Ist</x:v>
      </x:c>
      <x:c r="Q641" s="59" t="b">
        <x:v>0</x:v>
      </x:c>
      <x:c r="R641" t="str">
        <x:v>kein_transfer</x:v>
      </x:c>
      <x:c r="S641"/>
      <x:c r="T641"/>
      <x:c r="U641"/>
      <x:c r="V641" s="59" t="b">
        <x:v>1</x:v>
      </x:c>
      <x:c r="W641"/>
      <x:c r="X641" t="str">
        <x:v>offen</x:v>
      </x:c>
      <x:c r="Y641" t="str">
        <x:v>Agent-Draft; Kategorie und Person pruefen</x:v>
      </x:c>
    </x:row>
    <x:row r="642">
      <x:c r="A642" t="str">
        <x:v>TXN-RAW-IMP-20260516-FULLDRAFT-000626</x:v>
      </x:c>
      <x:c r="B642" t="str">
        <x:v>RAW-IMP-20260516-FULLDRAFT-000626</x:v>
      </x:c>
      <x:c r="C642" t="str">
        <x:v>KTO001</x:v>
      </x:c>
      <x:c r="D642"/>
      <x:c r="E642" t="str">
        <x:v>KAT013</x:v>
      </x:c>
      <x:c r="F642"/>
      <x:c r="G642"/>
      <x:c r="H642" t="str">
        <x:v>kein_match</x:v>
      </x:c>
      <x:c r="I642" t="str">
        <x:v>Agent-Draft: keine finale Regelentscheidung</x:v>
      </x:c>
      <x:c r="J642" t="n">
        <x:v>45947</x:v>
      </x:c>
      <x:c r="K642"/>
      <x:c r="L642"/>
      <x:c r="M642" t="n">
        <x:v>-15.11</x:v>
      </x:c>
      <x:c r="N642" t="str">
        <x:v>2025-10</x:v>
      </x:c>
      <x:c r="O642" t="str">
        <x:v>Ausgabe</x:v>
      </x:c>
      <x:c r="P642" t="str">
        <x:v>Ist</x:v>
      </x:c>
      <x:c r="Q642" s="59" t="b">
        <x:v>0</x:v>
      </x:c>
      <x:c r="R642" t="str">
        <x:v>kein_transfer</x:v>
      </x:c>
      <x:c r="S642"/>
      <x:c r="T642"/>
      <x:c r="U642"/>
      <x:c r="V642" s="59" t="b">
        <x:v>1</x:v>
      </x:c>
      <x:c r="W642"/>
      <x:c r="X642" t="str">
        <x:v>offen</x:v>
      </x:c>
      <x:c r="Y642" t="str">
        <x:v>Agent-Draft; Kategorie und Person pruefen</x:v>
      </x:c>
    </x:row>
    <x:row r="643">
      <x:c r="A643" t="str">
        <x:v>TXN-RAW-IMP-20260516-FULLDRAFT-000627</x:v>
      </x:c>
      <x:c r="B643" t="str">
        <x:v>RAW-IMP-20260516-FULLDRAFT-000627</x:v>
      </x:c>
      <x:c r="C643" t="str">
        <x:v>KTO001</x:v>
      </x:c>
      <x:c r="D643"/>
      <x:c r="E643" t="str">
        <x:v>KAT013</x:v>
      </x:c>
      <x:c r="F643"/>
      <x:c r="G643"/>
      <x:c r="H643" t="str">
        <x:v>kein_match</x:v>
      </x:c>
      <x:c r="I643" t="str">
        <x:v>Agent-Draft: keine finale Regelentscheidung</x:v>
      </x:c>
      <x:c r="J643" t="n">
        <x:v>45946</x:v>
      </x:c>
      <x:c r="K643"/>
      <x:c r="L643"/>
      <x:c r="M643" t="n">
        <x:v>-967.81</x:v>
      </x:c>
      <x:c r="N643" t="str">
        <x:v>2025-10</x:v>
      </x:c>
      <x:c r="O643" t="str">
        <x:v>Ausgabe</x:v>
      </x:c>
      <x:c r="P643" t="str">
        <x:v>Ist</x:v>
      </x:c>
      <x:c r="Q643" s="59" t="b">
        <x:v>0</x:v>
      </x:c>
      <x:c r="R643" t="str">
        <x:v>kein_transfer</x:v>
      </x:c>
      <x:c r="S643"/>
      <x:c r="T643"/>
      <x:c r="U643"/>
      <x:c r="V643" s="59" t="b">
        <x:v>1</x:v>
      </x:c>
      <x:c r="W643"/>
      <x:c r="X643" t="str">
        <x:v>offen</x:v>
      </x:c>
      <x:c r="Y643" t="str">
        <x:v>Agent-Draft; Kategorie und Person pruefen</x:v>
      </x:c>
    </x:row>
    <x:row r="644">
      <x:c r="A644" t="str">
        <x:v>TXN-RAW-IMP-20260516-FULLDRAFT-000628</x:v>
      </x:c>
      <x:c r="B644" t="str">
        <x:v>RAW-IMP-20260516-FULLDRAFT-000628</x:v>
      </x:c>
      <x:c r="C644" t="str">
        <x:v>KTO001</x:v>
      </x:c>
      <x:c r="D644"/>
      <x:c r="E644" t="str">
        <x:v>KAT013</x:v>
      </x:c>
      <x:c r="F644"/>
      <x:c r="G644"/>
      <x:c r="H644" t="str">
        <x:v>kein_match</x:v>
      </x:c>
      <x:c r="I644" t="str">
        <x:v>Agent-Draft: keine finale Regelentscheidung</x:v>
      </x:c>
      <x:c r="J644" t="n">
        <x:v>45945</x:v>
      </x:c>
      <x:c r="K644"/>
      <x:c r="L644"/>
      <x:c r="M644" t="n">
        <x:v>-26.07</x:v>
      </x:c>
      <x:c r="N644" t="str">
        <x:v>2025-10</x:v>
      </x:c>
      <x:c r="O644" t="str">
        <x:v>Ausgabe</x:v>
      </x:c>
      <x:c r="P644" t="str">
        <x:v>Ist</x:v>
      </x:c>
      <x:c r="Q644" s="59" t="b">
        <x:v>0</x:v>
      </x:c>
      <x:c r="R644" t="str">
        <x:v>kein_transfer</x:v>
      </x:c>
      <x:c r="S644"/>
      <x:c r="T644"/>
      <x:c r="U644"/>
      <x:c r="V644" s="59" t="b">
        <x:v>1</x:v>
      </x:c>
      <x:c r="W644"/>
      <x:c r="X644" t="str">
        <x:v>offen</x:v>
      </x:c>
      <x:c r="Y644" t="str">
        <x:v>Agent-Draft; Kategorie und Person pruefen</x:v>
      </x:c>
    </x:row>
    <x:row r="645">
      <x:c r="A645" t="str">
        <x:v>TXN-RAW-IMP-20260516-FULLDRAFT-000629</x:v>
      </x:c>
      <x:c r="B645" t="str">
        <x:v>RAW-IMP-20260516-FULLDRAFT-000629</x:v>
      </x:c>
      <x:c r="C645" t="str">
        <x:v>KTO001</x:v>
      </x:c>
      <x:c r="D645"/>
      <x:c r="E645" t="str">
        <x:v>KAT013</x:v>
      </x:c>
      <x:c r="F645"/>
      <x:c r="G645"/>
      <x:c r="H645" t="str">
        <x:v>kein_match</x:v>
      </x:c>
      <x:c r="I645" t="str">
        <x:v>Agent-Draft: keine finale Regelentscheidung</x:v>
      </x:c>
      <x:c r="J645" t="n">
        <x:v>45943</x:v>
      </x:c>
      <x:c r="K645"/>
      <x:c r="L645"/>
      <x:c r="M645" t="n">
        <x:v>60</x:v>
      </x:c>
      <x:c r="N645" t="str">
        <x:v>2025-10</x:v>
      </x:c>
      <x:c r="O645" t="str">
        <x:v>Einnahme</x:v>
      </x:c>
      <x:c r="P645" t="str">
        <x:v>Ist</x:v>
      </x:c>
      <x:c r="Q645" s="59" t="b">
        <x:v>0</x:v>
      </x:c>
      <x:c r="R645" t="str">
        <x:v>kein_transfer</x:v>
      </x:c>
      <x:c r="S645"/>
      <x:c r="T645"/>
      <x:c r="U645"/>
      <x:c r="V645" s="59" t="b">
        <x:v>1</x:v>
      </x:c>
      <x:c r="W645"/>
      <x:c r="X645" t="str">
        <x:v>offen</x:v>
      </x:c>
      <x:c r="Y645" t="str">
        <x:v>Agent-Draft; Kategorie und Person pruefen</x:v>
      </x:c>
    </x:row>
    <x:row r="646">
      <x:c r="A646" t="str">
        <x:v>TXN-RAW-IMP-20260516-FULLDRAFT-000630</x:v>
      </x:c>
      <x:c r="B646" t="str">
        <x:v>RAW-IMP-20260516-FULLDRAFT-000630</x:v>
      </x:c>
      <x:c r="C646" t="str">
        <x:v>KTO001</x:v>
      </x:c>
      <x:c r="D646"/>
      <x:c r="E646" t="str">
        <x:v>KAT013</x:v>
      </x:c>
      <x:c r="F646"/>
      <x:c r="G646"/>
      <x:c r="H646" t="str">
        <x:v>kein_match</x:v>
      </x:c>
      <x:c r="I646" t="str">
        <x:v>Agent-Draft: keine finale Regelentscheidung</x:v>
      </x:c>
      <x:c r="J646" t="n">
        <x:v>45943</x:v>
      </x:c>
      <x:c r="K646"/>
      <x:c r="L646"/>
      <x:c r="M646" t="n">
        <x:v>-209.96</x:v>
      </x:c>
      <x:c r="N646" t="str">
        <x:v>2025-10</x:v>
      </x:c>
      <x:c r="O646" t="str">
        <x:v>Ausgabe</x:v>
      </x:c>
      <x:c r="P646" t="str">
        <x:v>Ist</x:v>
      </x:c>
      <x:c r="Q646" s="59" t="b">
        <x:v>0</x:v>
      </x:c>
      <x:c r="R646" t="str">
        <x:v>kein_transfer</x:v>
      </x:c>
      <x:c r="S646"/>
      <x:c r="T646"/>
      <x:c r="U646"/>
      <x:c r="V646" s="59" t="b">
        <x:v>1</x:v>
      </x:c>
      <x:c r="W646"/>
      <x:c r="X646" t="str">
        <x:v>offen</x:v>
      </x:c>
      <x:c r="Y646" t="str">
        <x:v>Agent-Draft; Kategorie und Person pruefen</x:v>
      </x:c>
    </x:row>
    <x:row r="647">
      <x:c r="A647" t="str">
        <x:v>TXN-RAW-IMP-20260516-FULLDRAFT-000631</x:v>
      </x:c>
      <x:c r="B647" t="str">
        <x:v>RAW-IMP-20260516-FULLDRAFT-000631</x:v>
      </x:c>
      <x:c r="C647" t="str">
        <x:v>KTO001</x:v>
      </x:c>
      <x:c r="D647"/>
      <x:c r="E647" t="str">
        <x:v>KAT013</x:v>
      </x:c>
      <x:c r="F647"/>
      <x:c r="G647"/>
      <x:c r="H647" t="str">
        <x:v>kein_match</x:v>
      </x:c>
      <x:c r="I647" t="str">
        <x:v>Agent-Draft: keine finale Regelentscheidung</x:v>
      </x:c>
      <x:c r="J647" t="n">
        <x:v>45943</x:v>
      </x:c>
      <x:c r="K647"/>
      <x:c r="L647"/>
      <x:c r="M647" t="n">
        <x:v>-11.41</x:v>
      </x:c>
      <x:c r="N647" t="str">
        <x:v>2025-10</x:v>
      </x:c>
      <x:c r="O647" t="str">
        <x:v>Ausgabe</x:v>
      </x:c>
      <x:c r="P647" t="str">
        <x:v>Ist</x:v>
      </x:c>
      <x:c r="Q647" s="59" t="b">
        <x:v>0</x:v>
      </x:c>
      <x:c r="R647" t="str">
        <x:v>kein_transfer</x:v>
      </x:c>
      <x:c r="S647"/>
      <x:c r="T647"/>
      <x:c r="U647"/>
      <x:c r="V647" s="59" t="b">
        <x:v>1</x:v>
      </x:c>
      <x:c r="W647"/>
      <x:c r="X647" t="str">
        <x:v>offen</x:v>
      </x:c>
      <x:c r="Y647" t="str">
        <x:v>Agent-Draft; Kategorie und Person pruefen</x:v>
      </x:c>
    </x:row>
    <x:row r="648">
      <x:c r="A648" t="str">
        <x:v>TXN-RAW-IMP-20260516-FULLDRAFT-000632</x:v>
      </x:c>
      <x:c r="B648" t="str">
        <x:v>RAW-IMP-20260516-FULLDRAFT-000632</x:v>
      </x:c>
      <x:c r="C648" t="str">
        <x:v>KTO001</x:v>
      </x:c>
      <x:c r="D648"/>
      <x:c r="E648" t="str">
        <x:v>KAT013</x:v>
      </x:c>
      <x:c r="F648"/>
      <x:c r="G648"/>
      <x:c r="H648" t="str">
        <x:v>kein_match</x:v>
      </x:c>
      <x:c r="I648" t="str">
        <x:v>Agent-Draft: keine finale Regelentscheidung</x:v>
      </x:c>
      <x:c r="J648" t="n">
        <x:v>45943</x:v>
      </x:c>
      <x:c r="K648"/>
      <x:c r="L648"/>
      <x:c r="M648" t="n">
        <x:v>-179.95</x:v>
      </x:c>
      <x:c r="N648" t="str">
        <x:v>2025-10</x:v>
      </x:c>
      <x:c r="O648" t="str">
        <x:v>Ausgabe</x:v>
      </x:c>
      <x:c r="P648" t="str">
        <x:v>Ist</x:v>
      </x:c>
      <x:c r="Q648" s="59" t="b">
        <x:v>0</x:v>
      </x:c>
      <x:c r="R648" t="str">
        <x:v>kein_transfer</x:v>
      </x:c>
      <x:c r="S648"/>
      <x:c r="T648"/>
      <x:c r="U648"/>
      <x:c r="V648" s="59" t="b">
        <x:v>1</x:v>
      </x:c>
      <x:c r="W648"/>
      <x:c r="X648" t="str">
        <x:v>offen</x:v>
      </x:c>
      <x:c r="Y648" t="str">
        <x:v>Agent-Draft; Kategorie und Person pruefen</x:v>
      </x:c>
    </x:row>
    <x:row r="649">
      <x:c r="A649" t="str">
        <x:v>TXN-RAW-IMP-20260516-FULLDRAFT-000633</x:v>
      </x:c>
      <x:c r="B649" t="str">
        <x:v>RAW-IMP-20260516-FULLDRAFT-000633</x:v>
      </x:c>
      <x:c r="C649" t="str">
        <x:v>KTO001</x:v>
      </x:c>
      <x:c r="D649"/>
      <x:c r="E649" t="str">
        <x:v>KAT013</x:v>
      </x:c>
      <x:c r="F649"/>
      <x:c r="G649"/>
      <x:c r="H649" t="str">
        <x:v>kein_match</x:v>
      </x:c>
      <x:c r="I649" t="str">
        <x:v>Agent-Draft: keine finale Regelentscheidung</x:v>
      </x:c>
      <x:c r="J649" t="n">
        <x:v>45943</x:v>
      </x:c>
      <x:c r="K649"/>
      <x:c r="L649"/>
      <x:c r="M649" t="n">
        <x:v>-69.97</x:v>
      </x:c>
      <x:c r="N649" t="str">
        <x:v>2025-10</x:v>
      </x:c>
      <x:c r="O649" t="str">
        <x:v>Ausgabe</x:v>
      </x:c>
      <x:c r="P649" t="str">
        <x:v>Ist</x:v>
      </x:c>
      <x:c r="Q649" s="59" t="b">
        <x:v>0</x:v>
      </x:c>
      <x:c r="R649" t="str">
        <x:v>kein_transfer</x:v>
      </x:c>
      <x:c r="S649"/>
      <x:c r="T649"/>
      <x:c r="U649"/>
      <x:c r="V649" s="59" t="b">
        <x:v>1</x:v>
      </x:c>
      <x:c r="W649"/>
      <x:c r="X649" t="str">
        <x:v>offen</x:v>
      </x:c>
      <x:c r="Y649" t="str">
        <x:v>Agent-Draft; Kategorie und Person pruefen</x:v>
      </x:c>
    </x:row>
    <x:row r="650">
      <x:c r="A650" t="str">
        <x:v>TXN-RAW-IMP-20260516-FULLDRAFT-000634</x:v>
      </x:c>
      <x:c r="B650" t="str">
        <x:v>RAW-IMP-20260516-FULLDRAFT-000634</x:v>
      </x:c>
      <x:c r="C650" t="str">
        <x:v>KTO001</x:v>
      </x:c>
      <x:c r="D650"/>
      <x:c r="E650" t="str">
        <x:v>KAT013</x:v>
      </x:c>
      <x:c r="F650"/>
      <x:c r="G650"/>
      <x:c r="H650" t="str">
        <x:v>kein_match</x:v>
      </x:c>
      <x:c r="I650" t="str">
        <x:v>Agent-Draft: keine finale Regelentscheidung</x:v>
      </x:c>
      <x:c r="J650" t="n">
        <x:v>45943</x:v>
      </x:c>
      <x:c r="K650"/>
      <x:c r="L650"/>
      <x:c r="M650" t="n">
        <x:v>-179.9</x:v>
      </x:c>
      <x:c r="N650" t="str">
        <x:v>2025-10</x:v>
      </x:c>
      <x:c r="O650" t="str">
        <x:v>Ausgabe</x:v>
      </x:c>
      <x:c r="P650" t="str">
        <x:v>Ist</x:v>
      </x:c>
      <x:c r="Q650" s="59" t="b">
        <x:v>0</x:v>
      </x:c>
      <x:c r="R650" t="str">
        <x:v>kein_transfer</x:v>
      </x:c>
      <x:c r="S650"/>
      <x:c r="T650"/>
      <x:c r="U650"/>
      <x:c r="V650" s="59" t="b">
        <x:v>1</x:v>
      </x:c>
      <x:c r="W650"/>
      <x:c r="X650" t="str">
        <x:v>offen</x:v>
      </x:c>
      <x:c r="Y650" t="str">
        <x:v>Agent-Draft; Kategorie und Person pruefen</x:v>
      </x:c>
    </x:row>
    <x:row r="651">
      <x:c r="A651" t="str">
        <x:v>TXN-RAW-IMP-20260516-FULLDRAFT-000635</x:v>
      </x:c>
      <x:c r="B651" t="str">
        <x:v>RAW-IMP-20260516-FULLDRAFT-000635</x:v>
      </x:c>
      <x:c r="C651" t="str">
        <x:v>KTO001</x:v>
      </x:c>
      <x:c r="D651"/>
      <x:c r="E651" t="str">
        <x:v>KAT013</x:v>
      </x:c>
      <x:c r="F651"/>
      <x:c r="G651"/>
      <x:c r="H651" t="str">
        <x:v>kein_match</x:v>
      </x:c>
      <x:c r="I651" t="str">
        <x:v>Agent-Draft: keine finale Regelentscheidung</x:v>
      </x:c>
      <x:c r="J651" t="n">
        <x:v>45943</x:v>
      </x:c>
      <x:c r="K651"/>
      <x:c r="L651"/>
      <x:c r="M651" t="n">
        <x:v>-171.3</x:v>
      </x:c>
      <x:c r="N651" t="str">
        <x:v>2025-10</x:v>
      </x:c>
      <x:c r="O651" t="str">
        <x:v>Ausgabe</x:v>
      </x:c>
      <x:c r="P651" t="str">
        <x:v>Ist</x:v>
      </x:c>
      <x:c r="Q651" s="59" t="b">
        <x:v>0</x:v>
      </x:c>
      <x:c r="R651" t="str">
        <x:v>kein_transfer</x:v>
      </x:c>
      <x:c r="S651"/>
      <x:c r="T651"/>
      <x:c r="U651"/>
      <x:c r="V651" s="59" t="b">
        <x:v>1</x:v>
      </x:c>
      <x:c r="W651"/>
      <x:c r="X651" t="str">
        <x:v>offen</x:v>
      </x:c>
      <x:c r="Y651" t="str">
        <x:v>Agent-Draft; Kategorie und Person pruefen</x:v>
      </x:c>
    </x:row>
    <x:row r="652">
      <x:c r="A652" t="str">
        <x:v>TXN-RAW-IMP-20260516-FULLDRAFT-000636</x:v>
      </x:c>
      <x:c r="B652" t="str">
        <x:v>RAW-IMP-20260516-FULLDRAFT-000636</x:v>
      </x:c>
      <x:c r="C652" t="str">
        <x:v>KTO001</x:v>
      </x:c>
      <x:c r="D652"/>
      <x:c r="E652" t="str">
        <x:v>KAT013</x:v>
      </x:c>
      <x:c r="F652"/>
      <x:c r="G652"/>
      <x:c r="H652" t="str">
        <x:v>kein_match</x:v>
      </x:c>
      <x:c r="I652" t="str">
        <x:v>Agent-Draft: keine finale Regelentscheidung</x:v>
      </x:c>
      <x:c r="J652" t="n">
        <x:v>45943</x:v>
      </x:c>
      <x:c r="K652"/>
      <x:c r="L652"/>
      <x:c r="M652" t="n">
        <x:v>-4</x:v>
      </x:c>
      <x:c r="N652" t="str">
        <x:v>2025-10</x:v>
      </x:c>
      <x:c r="O652" t="str">
        <x:v>Ausgabe</x:v>
      </x:c>
      <x:c r="P652" t="str">
        <x:v>Ist</x:v>
      </x:c>
      <x:c r="Q652" s="59" t="b">
        <x:v>0</x:v>
      </x:c>
      <x:c r="R652" t="str">
        <x:v>kein_transfer</x:v>
      </x:c>
      <x:c r="S652"/>
      <x:c r="T652"/>
      <x:c r="U652"/>
      <x:c r="V652" s="59" t="b">
        <x:v>1</x:v>
      </x:c>
      <x:c r="W652"/>
      <x:c r="X652" t="str">
        <x:v>offen</x:v>
      </x:c>
      <x:c r="Y652" t="str">
        <x:v>Agent-Draft; Kategorie und Person pruefen</x:v>
      </x:c>
    </x:row>
    <x:row r="653">
      <x:c r="A653" t="str">
        <x:v>TXN-RAW-IMP-20260516-FULLDRAFT-000637</x:v>
      </x:c>
      <x:c r="B653" t="str">
        <x:v>RAW-IMP-20260516-FULLDRAFT-000637</x:v>
      </x:c>
      <x:c r="C653" t="str">
        <x:v>KTO001</x:v>
      </x:c>
      <x:c r="D653"/>
      <x:c r="E653" t="str">
        <x:v>KAT013</x:v>
      </x:c>
      <x:c r="F653"/>
      <x:c r="G653"/>
      <x:c r="H653" t="str">
        <x:v>kein_match</x:v>
      </x:c>
      <x:c r="I653" t="str">
        <x:v>Agent-Draft: keine finale Regelentscheidung</x:v>
      </x:c>
      <x:c r="J653" t="n">
        <x:v>45943</x:v>
      </x:c>
      <x:c r="K653"/>
      <x:c r="L653"/>
      <x:c r="M653" t="n">
        <x:v>-91.8</x:v>
      </x:c>
      <x:c r="N653" t="str">
        <x:v>2025-10</x:v>
      </x:c>
      <x:c r="O653" t="str">
        <x:v>Ausgabe</x:v>
      </x:c>
      <x:c r="P653" t="str">
        <x:v>Ist</x:v>
      </x:c>
      <x:c r="Q653" s="59" t="b">
        <x:v>0</x:v>
      </x:c>
      <x:c r="R653" t="str">
        <x:v>kein_transfer</x:v>
      </x:c>
      <x:c r="S653"/>
      <x:c r="T653"/>
      <x:c r="U653"/>
      <x:c r="V653" s="59" t="b">
        <x:v>1</x:v>
      </x:c>
      <x:c r="W653"/>
      <x:c r="X653" t="str">
        <x:v>offen</x:v>
      </x:c>
      <x:c r="Y653" t="str">
        <x:v>Agent-Draft; Kategorie und Person pruefen</x:v>
      </x:c>
    </x:row>
    <x:row r="654">
      <x:c r="A654" t="str">
        <x:v>TXN-RAW-IMP-20260516-FULLDRAFT-000638</x:v>
      </x:c>
      <x:c r="B654" t="str">
        <x:v>RAW-IMP-20260516-FULLDRAFT-000638</x:v>
      </x:c>
      <x:c r="C654" t="str">
        <x:v>KTO001</x:v>
      </x:c>
      <x:c r="D654"/>
      <x:c r="E654" t="str">
        <x:v>KAT013</x:v>
      </x:c>
      <x:c r="F654"/>
      <x:c r="G654"/>
      <x:c r="H654" t="str">
        <x:v>kein_match</x:v>
      </x:c>
      <x:c r="I654" t="str">
        <x:v>Agent-Draft: keine finale Regelentscheidung</x:v>
      </x:c>
      <x:c r="J654" t="n">
        <x:v>45943</x:v>
      </x:c>
      <x:c r="K654"/>
      <x:c r="L654"/>
      <x:c r="M654" t="n">
        <x:v>-66.96</x:v>
      </x:c>
      <x:c r="N654" t="str">
        <x:v>2025-10</x:v>
      </x:c>
      <x:c r="O654" t="str">
        <x:v>Ausgabe</x:v>
      </x:c>
      <x:c r="P654" t="str">
        <x:v>Ist</x:v>
      </x:c>
      <x:c r="Q654" s="59" t="b">
        <x:v>0</x:v>
      </x:c>
      <x:c r="R654" t="str">
        <x:v>kein_transfer</x:v>
      </x:c>
      <x:c r="S654"/>
      <x:c r="T654"/>
      <x:c r="U654"/>
      <x:c r="V654" s="59" t="b">
        <x:v>1</x:v>
      </x:c>
      <x:c r="W654"/>
      <x:c r="X654" t="str">
        <x:v>offen</x:v>
      </x:c>
      <x:c r="Y654" t="str">
        <x:v>Agent-Draft; Kategorie und Person pruefen</x:v>
      </x:c>
    </x:row>
    <x:row r="655">
      <x:c r="A655" t="str">
        <x:v>TXN-RAW-IMP-20260516-FULLDRAFT-000639</x:v>
      </x:c>
      <x:c r="B655" t="str">
        <x:v>RAW-IMP-20260516-FULLDRAFT-000639</x:v>
      </x:c>
      <x:c r="C655" t="str">
        <x:v>KTO001</x:v>
      </x:c>
      <x:c r="D655"/>
      <x:c r="E655" t="str">
        <x:v>KAT013</x:v>
      </x:c>
      <x:c r="F655"/>
      <x:c r="G655"/>
      <x:c r="H655" t="str">
        <x:v>kein_match</x:v>
      </x:c>
      <x:c r="I655" t="str">
        <x:v>Agent-Draft: keine finale Regelentscheidung</x:v>
      </x:c>
      <x:c r="J655" t="n">
        <x:v>45943</x:v>
      </x:c>
      <x:c r="K655"/>
      <x:c r="L655"/>
      <x:c r="M655" t="n">
        <x:v>-2.4</x:v>
      </x:c>
      <x:c r="N655" t="str">
        <x:v>2025-10</x:v>
      </x:c>
      <x:c r="O655" t="str">
        <x:v>Ausgabe</x:v>
      </x:c>
      <x:c r="P655" t="str">
        <x:v>Ist</x:v>
      </x:c>
      <x:c r="Q655" s="59" t="b">
        <x:v>0</x:v>
      </x:c>
      <x:c r="R655" t="str">
        <x:v>kein_transfer</x:v>
      </x:c>
      <x:c r="S655"/>
      <x:c r="T655"/>
      <x:c r="U655"/>
      <x:c r="V655" s="59" t="b">
        <x:v>1</x:v>
      </x:c>
      <x:c r="W655"/>
      <x:c r="X655" t="str">
        <x:v>offen</x:v>
      </x:c>
      <x:c r="Y655" t="str">
        <x:v>Agent-Draft; Kategorie und Person pruefen</x:v>
      </x:c>
    </x:row>
    <x:row r="656">
      <x:c r="A656" t="str">
        <x:v>TXN-RAW-IMP-20260516-FULLDRAFT-000640</x:v>
      </x:c>
      <x:c r="B656" t="str">
        <x:v>RAW-IMP-20260516-FULLDRAFT-000640</x:v>
      </x:c>
      <x:c r="C656" t="str">
        <x:v>KTO001</x:v>
      </x:c>
      <x:c r="D656"/>
      <x:c r="E656" t="str">
        <x:v>KAT013</x:v>
      </x:c>
      <x:c r="F656"/>
      <x:c r="G656"/>
      <x:c r="H656" t="str">
        <x:v>kein_match</x:v>
      </x:c>
      <x:c r="I656" t="str">
        <x:v>Agent-Draft: keine finale Regelentscheidung</x:v>
      </x:c>
      <x:c r="J656" t="n">
        <x:v>45943</x:v>
      </x:c>
      <x:c r="K656"/>
      <x:c r="L656"/>
      <x:c r="M656" t="n">
        <x:v>-14</x:v>
      </x:c>
      <x:c r="N656" t="str">
        <x:v>2025-10</x:v>
      </x:c>
      <x:c r="O656" t="str">
        <x:v>Ausgabe</x:v>
      </x:c>
      <x:c r="P656" t="str">
        <x:v>Ist</x:v>
      </x:c>
      <x:c r="Q656" s="59" t="b">
        <x:v>0</x:v>
      </x:c>
      <x:c r="R656" t="str">
        <x:v>kein_transfer</x:v>
      </x:c>
      <x:c r="S656"/>
      <x:c r="T656"/>
      <x:c r="U656"/>
      <x:c r="V656" s="59" t="b">
        <x:v>1</x:v>
      </x:c>
      <x:c r="W656"/>
      <x:c r="X656" t="str">
        <x:v>offen</x:v>
      </x:c>
      <x:c r="Y656" t="str">
        <x:v>Agent-Draft; Kategorie und Person pruefen</x:v>
      </x:c>
    </x:row>
    <x:row r="657">
      <x:c r="A657" t="str">
        <x:v>TXN-RAW-IMP-20260516-FULLDRAFT-000641</x:v>
      </x:c>
      <x:c r="B657" t="str">
        <x:v>RAW-IMP-20260516-FULLDRAFT-000641</x:v>
      </x:c>
      <x:c r="C657" t="str">
        <x:v>KTO001</x:v>
      </x:c>
      <x:c r="D657"/>
      <x:c r="E657" t="str">
        <x:v>KAT013</x:v>
      </x:c>
      <x:c r="F657"/>
      <x:c r="G657"/>
      <x:c r="H657" t="str">
        <x:v>kein_match</x:v>
      </x:c>
      <x:c r="I657" t="str">
        <x:v>Agent-Draft: keine finale Regelentscheidung</x:v>
      </x:c>
      <x:c r="J657" t="n">
        <x:v>45943</x:v>
      </x:c>
      <x:c r="K657"/>
      <x:c r="L657"/>
      <x:c r="M657" t="n">
        <x:v>30</x:v>
      </x:c>
      <x:c r="N657" t="str">
        <x:v>2025-10</x:v>
      </x:c>
      <x:c r="O657" t="str">
        <x:v>Einnahme</x:v>
      </x:c>
      <x:c r="P657" t="str">
        <x:v>Ist</x:v>
      </x:c>
      <x:c r="Q657" s="59" t="b">
        <x:v>0</x:v>
      </x:c>
      <x:c r="R657" t="str">
        <x:v>kein_transfer</x:v>
      </x:c>
      <x:c r="S657"/>
      <x:c r="T657"/>
      <x:c r="U657"/>
      <x:c r="V657" s="59" t="b">
        <x:v>1</x:v>
      </x:c>
      <x:c r="W657"/>
      <x:c r="X657" t="str">
        <x:v>offen</x:v>
      </x:c>
      <x:c r="Y657" t="str">
        <x:v>Agent-Draft; Kategorie und Person pruefen</x:v>
      </x:c>
    </x:row>
    <x:row r="658">
      <x:c r="A658" t="str">
        <x:v>TXN-RAW-IMP-20260516-FULLDRAFT-000642</x:v>
      </x:c>
      <x:c r="B658" t="str">
        <x:v>RAW-IMP-20260516-FULLDRAFT-000642</x:v>
      </x:c>
      <x:c r="C658" t="str">
        <x:v>KTO001</x:v>
      </x:c>
      <x:c r="D658"/>
      <x:c r="E658" t="str">
        <x:v>KAT013</x:v>
      </x:c>
      <x:c r="F658"/>
      <x:c r="G658"/>
      <x:c r="H658" t="str">
        <x:v>kein_match</x:v>
      </x:c>
      <x:c r="I658" t="str">
        <x:v>Agent-Draft: keine finale Regelentscheidung</x:v>
      </x:c>
      <x:c r="J658" t="n">
        <x:v>45940</x:v>
      </x:c>
      <x:c r="K658"/>
      <x:c r="L658"/>
      <x:c r="M658" t="n">
        <x:v>-12</x:v>
      </x:c>
      <x:c r="N658" t="str">
        <x:v>2025-10</x:v>
      </x:c>
      <x:c r="O658" t="str">
        <x:v>Ausgabe</x:v>
      </x:c>
      <x:c r="P658" t="str">
        <x:v>Ist</x:v>
      </x:c>
      <x:c r="Q658" s="59" t="b">
        <x:v>0</x:v>
      </x:c>
      <x:c r="R658" t="str">
        <x:v>kein_transfer</x:v>
      </x:c>
      <x:c r="S658"/>
      <x:c r="T658"/>
      <x:c r="U658"/>
      <x:c r="V658" s="59" t="b">
        <x:v>1</x:v>
      </x:c>
      <x:c r="W658"/>
      <x:c r="X658" t="str">
        <x:v>offen</x:v>
      </x:c>
      <x:c r="Y658" t="str">
        <x:v>Agent-Draft; Kategorie und Person pruefen</x:v>
      </x:c>
    </x:row>
    <x:row r="659">
      <x:c r="A659" t="str">
        <x:v>TXN-RAW-IMP-20260516-FULLDRAFT-000643</x:v>
      </x:c>
      <x:c r="B659" t="str">
        <x:v>RAW-IMP-20260516-FULLDRAFT-000643</x:v>
      </x:c>
      <x:c r="C659" t="str">
        <x:v>KTO001</x:v>
      </x:c>
      <x:c r="D659"/>
      <x:c r="E659" t="str">
        <x:v>KAT013</x:v>
      </x:c>
      <x:c r="F659"/>
      <x:c r="G659"/>
      <x:c r="H659" t="str">
        <x:v>kein_match</x:v>
      </x:c>
      <x:c r="I659" t="str">
        <x:v>Agent-Draft: keine finale Regelentscheidung</x:v>
      </x:c>
      <x:c r="J659" t="n">
        <x:v>45940</x:v>
      </x:c>
      <x:c r="K659"/>
      <x:c r="L659"/>
      <x:c r="M659" t="n">
        <x:v>-5.98</x:v>
      </x:c>
      <x:c r="N659" t="str">
        <x:v>2025-10</x:v>
      </x:c>
      <x:c r="O659" t="str">
        <x:v>Ausgabe</x:v>
      </x:c>
      <x:c r="P659" t="str">
        <x:v>Ist</x:v>
      </x:c>
      <x:c r="Q659" s="59" t="b">
        <x:v>0</x:v>
      </x:c>
      <x:c r="R659" t="str">
        <x:v>kein_transfer</x:v>
      </x:c>
      <x:c r="S659"/>
      <x:c r="T659"/>
      <x:c r="U659"/>
      <x:c r="V659" s="59" t="b">
        <x:v>1</x:v>
      </x:c>
      <x:c r="W659"/>
      <x:c r="X659" t="str">
        <x:v>offen</x:v>
      </x:c>
      <x:c r="Y659" t="str">
        <x:v>Agent-Draft; Kategorie und Person pruefen</x:v>
      </x:c>
    </x:row>
    <x:row r="660">
      <x:c r="A660" t="str">
        <x:v>TXN-RAW-IMP-20260516-FULLDRAFT-000644</x:v>
      </x:c>
      <x:c r="B660" t="str">
        <x:v>RAW-IMP-20260516-FULLDRAFT-000644</x:v>
      </x:c>
      <x:c r="C660" t="str">
        <x:v>KTO001</x:v>
      </x:c>
      <x:c r="D660"/>
      <x:c r="E660" t="str">
        <x:v>KAT013</x:v>
      </x:c>
      <x:c r="F660"/>
      <x:c r="G660"/>
      <x:c r="H660" t="str">
        <x:v>kein_match</x:v>
      </x:c>
      <x:c r="I660" t="str">
        <x:v>Agent-Draft: keine finale Regelentscheidung</x:v>
      </x:c>
      <x:c r="J660" t="n">
        <x:v>45939</x:v>
      </x:c>
      <x:c r="K660"/>
      <x:c r="L660"/>
      <x:c r="M660" t="n">
        <x:v>-10.5</x:v>
      </x:c>
      <x:c r="N660" t="str">
        <x:v>2025-10</x:v>
      </x:c>
      <x:c r="O660" t="str">
        <x:v>Ausgabe</x:v>
      </x:c>
      <x:c r="P660" t="str">
        <x:v>Ist</x:v>
      </x:c>
      <x:c r="Q660" s="59" t="b">
        <x:v>0</x:v>
      </x:c>
      <x:c r="R660" t="str">
        <x:v>kein_transfer</x:v>
      </x:c>
      <x:c r="S660"/>
      <x:c r="T660"/>
      <x:c r="U660"/>
      <x:c r="V660" s="59" t="b">
        <x:v>1</x:v>
      </x:c>
      <x:c r="W660"/>
      <x:c r="X660" t="str">
        <x:v>offen</x:v>
      </x:c>
      <x:c r="Y660" t="str">
        <x:v>Agent-Draft; Kategorie und Person pruefen</x:v>
      </x:c>
    </x:row>
    <x:row r="661">
      <x:c r="A661" t="str">
        <x:v>TXN-RAW-IMP-20260516-FULLDRAFT-000645</x:v>
      </x:c>
      <x:c r="B661" t="str">
        <x:v>RAW-IMP-20260516-FULLDRAFT-000645</x:v>
      </x:c>
      <x:c r="C661" t="str">
        <x:v>KTO001</x:v>
      </x:c>
      <x:c r="D661"/>
      <x:c r="E661" t="str">
        <x:v>KAT013</x:v>
      </x:c>
      <x:c r="F661"/>
      <x:c r="G661"/>
      <x:c r="H661" t="str">
        <x:v>kein_match</x:v>
      </x:c>
      <x:c r="I661" t="str">
        <x:v>Agent-Draft: keine finale Regelentscheidung</x:v>
      </x:c>
      <x:c r="J661" t="n">
        <x:v>45939</x:v>
      </x:c>
      <x:c r="K661"/>
      <x:c r="L661"/>
      <x:c r="M661" t="n">
        <x:v>-8.3</x:v>
      </x:c>
      <x:c r="N661" t="str">
        <x:v>2025-10</x:v>
      </x:c>
      <x:c r="O661" t="str">
        <x:v>Ausgabe</x:v>
      </x:c>
      <x:c r="P661" t="str">
        <x:v>Ist</x:v>
      </x:c>
      <x:c r="Q661" s="59" t="b">
        <x:v>0</x:v>
      </x:c>
      <x:c r="R661" t="str">
        <x:v>kein_transfer</x:v>
      </x:c>
      <x:c r="S661"/>
      <x:c r="T661"/>
      <x:c r="U661"/>
      <x:c r="V661" s="59" t="b">
        <x:v>1</x:v>
      </x:c>
      <x:c r="W661"/>
      <x:c r="X661" t="str">
        <x:v>offen</x:v>
      </x:c>
      <x:c r="Y661" t="str">
        <x:v>Agent-Draft; Kategorie und Person pruefen</x:v>
      </x:c>
    </x:row>
    <x:row r="662">
      <x:c r="A662" t="str">
        <x:v>TXN-RAW-IMP-20260516-FULLDRAFT-000646</x:v>
      </x:c>
      <x:c r="B662" t="str">
        <x:v>RAW-IMP-20260516-FULLDRAFT-000646</x:v>
      </x:c>
      <x:c r="C662" t="str">
        <x:v>KTO001</x:v>
      </x:c>
      <x:c r="D662"/>
      <x:c r="E662" t="str">
        <x:v>KAT013</x:v>
      </x:c>
      <x:c r="F662"/>
      <x:c r="G662"/>
      <x:c r="H662" t="str">
        <x:v>kein_match</x:v>
      </x:c>
      <x:c r="I662" t="str">
        <x:v>Agent-Draft: keine finale Regelentscheidung</x:v>
      </x:c>
      <x:c r="J662" t="n">
        <x:v>45939</x:v>
      </x:c>
      <x:c r="K662"/>
      <x:c r="L662"/>
      <x:c r="M662" t="n">
        <x:v>-5000</x:v>
      </x:c>
      <x:c r="N662" t="str">
        <x:v>2025-10</x:v>
      </x:c>
      <x:c r="O662" t="str">
        <x:v>Ausgabe</x:v>
      </x:c>
      <x:c r="P662" t="str">
        <x:v>Ist</x:v>
      </x:c>
      <x:c r="Q662" s="59" t="b">
        <x:v>0</x:v>
      </x:c>
      <x:c r="R662" t="str">
        <x:v>unklar</x:v>
      </x:c>
      <x:c r="S662"/>
      <x:c r="T662"/>
      <x:c r="U662"/>
      <x:c r="V662" s="59" t="b">
        <x:v>1</x:v>
      </x:c>
      <x:c r="W662" t="str">
        <x:v>Transferkandidat im Draft</x:v>
      </x:c>
      <x:c r="X662" t="str">
        <x:v>offen</x:v>
      </x:c>
      <x:c r="Y662" t="str">
        <x:v>Agent-Draft; Kategorie und Person pruefen</x:v>
      </x:c>
    </x:row>
    <x:row r="663">
      <x:c r="A663" t="str">
        <x:v>TXN-RAW-IMP-20260516-FULLDRAFT-000647</x:v>
      </x:c>
      <x:c r="B663" t="str">
        <x:v>RAW-IMP-20260516-FULLDRAFT-000647</x:v>
      </x:c>
      <x:c r="C663" t="str">
        <x:v>KTO001</x:v>
      </x:c>
      <x:c r="D663"/>
      <x:c r="E663" t="str">
        <x:v>KAT013</x:v>
      </x:c>
      <x:c r="F663"/>
      <x:c r="G663"/>
      <x:c r="H663" t="str">
        <x:v>kein_match</x:v>
      </x:c>
      <x:c r="I663" t="str">
        <x:v>Agent-Draft: keine finale Regelentscheidung</x:v>
      </x:c>
      <x:c r="J663" t="n">
        <x:v>45939</x:v>
      </x:c>
      <x:c r="K663"/>
      <x:c r="L663"/>
      <x:c r="M663" t="n">
        <x:v>-7500</x:v>
      </x:c>
      <x:c r="N663" t="str">
        <x:v>2025-10</x:v>
      </x:c>
      <x:c r="O663" t="str">
        <x:v>Ausgabe</x:v>
      </x:c>
      <x:c r="P663" t="str">
        <x:v>Ist</x:v>
      </x:c>
      <x:c r="Q663" s="59" t="b">
        <x:v>0</x:v>
      </x:c>
      <x:c r="R663" t="str">
        <x:v>kein_transfer</x:v>
      </x:c>
      <x:c r="S663"/>
      <x:c r="T663"/>
      <x:c r="U663"/>
      <x:c r="V663" s="59" t="b">
        <x:v>1</x:v>
      </x:c>
      <x:c r="W663"/>
      <x:c r="X663" t="str">
        <x:v>offen</x:v>
      </x:c>
      <x:c r="Y663" t="str">
        <x:v>Agent-Draft; Kategorie und Person pruefen</x:v>
      </x:c>
    </x:row>
    <x:row r="664">
      <x:c r="A664" t="str">
        <x:v>TXN-RAW-IMP-20260516-FULLDRAFT-000648</x:v>
      </x:c>
      <x:c r="B664" t="str">
        <x:v>RAW-IMP-20260516-FULLDRAFT-000648</x:v>
      </x:c>
      <x:c r="C664" t="str">
        <x:v>KTO001</x:v>
      </x:c>
      <x:c r="D664"/>
      <x:c r="E664" t="str">
        <x:v>KAT013</x:v>
      </x:c>
      <x:c r="F664"/>
      <x:c r="G664"/>
      <x:c r="H664" t="str">
        <x:v>kein_match</x:v>
      </x:c>
      <x:c r="I664" t="str">
        <x:v>Agent-Draft: keine finale Regelentscheidung</x:v>
      </x:c>
      <x:c r="J664" t="n">
        <x:v>45938</x:v>
      </x:c>
      <x:c r="K664"/>
      <x:c r="L664"/>
      <x:c r="M664" t="n">
        <x:v>15331.44</x:v>
      </x:c>
      <x:c r="N664" t="str">
        <x:v>2025-10</x:v>
      </x:c>
      <x:c r="O664" t="str">
        <x:v>Einnahme</x:v>
      </x:c>
      <x:c r="P664" t="str">
        <x:v>Ist</x:v>
      </x:c>
      <x:c r="Q664" s="59" t="b">
        <x:v>0</x:v>
      </x:c>
      <x:c r="R664" t="str">
        <x:v>kein_transfer</x:v>
      </x:c>
      <x:c r="S664"/>
      <x:c r="T664"/>
      <x:c r="U664"/>
      <x:c r="V664" s="59" t="b">
        <x:v>1</x:v>
      </x:c>
      <x:c r="W664"/>
      <x:c r="X664" t="str">
        <x:v>offen</x:v>
      </x:c>
      <x:c r="Y664" t="str">
        <x:v>Agent-Draft; Kategorie und Person pruefen</x:v>
      </x:c>
    </x:row>
    <x:row r="665">
      <x:c r="A665" t="str">
        <x:v>TXN-RAW-IMP-20260516-FULLDRAFT-000649</x:v>
      </x:c>
      <x:c r="B665" t="str">
        <x:v>RAW-IMP-20260516-FULLDRAFT-000649</x:v>
      </x:c>
      <x:c r="C665" t="str">
        <x:v>KTO001</x:v>
      </x:c>
      <x:c r="D665"/>
      <x:c r="E665" t="str">
        <x:v>KAT013</x:v>
      </x:c>
      <x:c r="F665"/>
      <x:c r="G665"/>
      <x:c r="H665" t="str">
        <x:v>kein_match</x:v>
      </x:c>
      <x:c r="I665" t="str">
        <x:v>Agent-Draft: keine finale Regelentscheidung</x:v>
      </x:c>
      <x:c r="J665" t="n">
        <x:v>45938</x:v>
      </x:c>
      <x:c r="K665"/>
      <x:c r="L665"/>
      <x:c r="M665" t="n">
        <x:v>-173.95</x:v>
      </x:c>
      <x:c r="N665" t="str">
        <x:v>2025-10</x:v>
      </x:c>
      <x:c r="O665" t="str">
        <x:v>Ausgabe</x:v>
      </x:c>
      <x:c r="P665" t="str">
        <x:v>Ist</x:v>
      </x:c>
      <x:c r="Q665" s="59" t="b">
        <x:v>0</x:v>
      </x:c>
      <x:c r="R665" t="str">
        <x:v>kein_transfer</x:v>
      </x:c>
      <x:c r="S665"/>
      <x:c r="T665"/>
      <x:c r="U665"/>
      <x:c r="V665" s="59" t="b">
        <x:v>1</x:v>
      </x:c>
      <x:c r="W665"/>
      <x:c r="X665" t="str">
        <x:v>offen</x:v>
      </x:c>
      <x:c r="Y665" t="str">
        <x:v>Agent-Draft; Kategorie und Person pruefen</x:v>
      </x:c>
    </x:row>
    <x:row r="666">
      <x:c r="A666" t="str">
        <x:v>TXN-RAW-IMP-20260516-FULLDRAFT-000650</x:v>
      </x:c>
      <x:c r="B666" t="str">
        <x:v>RAW-IMP-20260516-FULLDRAFT-000650</x:v>
      </x:c>
      <x:c r="C666" t="str">
        <x:v>KTO001</x:v>
      </x:c>
      <x:c r="D666"/>
      <x:c r="E666" t="str">
        <x:v>KAT013</x:v>
      </x:c>
      <x:c r="F666"/>
      <x:c r="G666"/>
      <x:c r="H666" t="str">
        <x:v>kein_match</x:v>
      </x:c>
      <x:c r="I666" t="str">
        <x:v>Agent-Draft: keine finale Regelentscheidung</x:v>
      </x:c>
      <x:c r="J666" t="n">
        <x:v>45937</x:v>
      </x:c>
      <x:c r="K666"/>
      <x:c r="L666"/>
      <x:c r="M666" t="n">
        <x:v>-2.99</x:v>
      </x:c>
      <x:c r="N666" t="str">
        <x:v>2025-10</x:v>
      </x:c>
      <x:c r="O666" t="str">
        <x:v>Ausgabe</x:v>
      </x:c>
      <x:c r="P666" t="str">
        <x:v>Ist</x:v>
      </x:c>
      <x:c r="Q666" s="59" t="b">
        <x:v>0</x:v>
      </x:c>
      <x:c r="R666" t="str">
        <x:v>kein_transfer</x:v>
      </x:c>
      <x:c r="S666"/>
      <x:c r="T666"/>
      <x:c r="U666"/>
      <x:c r="V666" s="59" t="b">
        <x:v>1</x:v>
      </x:c>
      <x:c r="W666"/>
      <x:c r="X666" t="str">
        <x:v>offen</x:v>
      </x:c>
      <x:c r="Y666" t="str">
        <x:v>Agent-Draft; Kategorie und Person pruefen</x:v>
      </x:c>
    </x:row>
    <x:row r="667">
      <x:c r="A667" t="str">
        <x:v>TXN-RAW-IMP-20260516-FULLDRAFT-000651</x:v>
      </x:c>
      <x:c r="B667" t="str">
        <x:v>RAW-IMP-20260516-FULLDRAFT-000651</x:v>
      </x:c>
      <x:c r="C667" t="str">
        <x:v>KTO001</x:v>
      </x:c>
      <x:c r="D667"/>
      <x:c r="E667" t="str">
        <x:v>KAT013</x:v>
      </x:c>
      <x:c r="F667"/>
      <x:c r="G667"/>
      <x:c r="H667" t="str">
        <x:v>kein_match</x:v>
      </x:c>
      <x:c r="I667" t="str">
        <x:v>Agent-Draft: keine finale Regelentscheidung</x:v>
      </x:c>
      <x:c r="J667" t="n">
        <x:v>45937</x:v>
      </x:c>
      <x:c r="K667"/>
      <x:c r="L667"/>
      <x:c r="M667" t="n">
        <x:v>-63.38</x:v>
      </x:c>
      <x:c r="N667" t="str">
        <x:v>2025-10</x:v>
      </x:c>
      <x:c r="O667" t="str">
        <x:v>Ausgabe</x:v>
      </x:c>
      <x:c r="P667" t="str">
        <x:v>Ist</x:v>
      </x:c>
      <x:c r="Q667" s="59" t="b">
        <x:v>0</x:v>
      </x:c>
      <x:c r="R667" t="str">
        <x:v>kein_transfer</x:v>
      </x:c>
      <x:c r="S667"/>
      <x:c r="T667"/>
      <x:c r="U667"/>
      <x:c r="V667" s="59" t="b">
        <x:v>1</x:v>
      </x:c>
      <x:c r="W667"/>
      <x:c r="X667" t="str">
        <x:v>offen</x:v>
      </x:c>
      <x:c r="Y667" t="str">
        <x:v>Agent-Draft; Kategorie und Person pruefen</x:v>
      </x:c>
    </x:row>
    <x:row r="668">
      <x:c r="A668" t="str">
        <x:v>TXN-RAW-IMP-20260516-FULLDRAFT-000652</x:v>
      </x:c>
      <x:c r="B668" t="str">
        <x:v>RAW-IMP-20260516-FULLDRAFT-000652</x:v>
      </x:c>
      <x:c r="C668" t="str">
        <x:v>KTO001</x:v>
      </x:c>
      <x:c r="D668"/>
      <x:c r="E668" t="str">
        <x:v>KAT013</x:v>
      </x:c>
      <x:c r="F668"/>
      <x:c r="G668"/>
      <x:c r="H668" t="str">
        <x:v>kein_match</x:v>
      </x:c>
      <x:c r="I668" t="str">
        <x:v>Agent-Draft: keine finale Regelentscheidung</x:v>
      </x:c>
      <x:c r="J668" t="n">
        <x:v>45937</x:v>
      </x:c>
      <x:c r="K668"/>
      <x:c r="L668"/>
      <x:c r="M668" t="n">
        <x:v>-61.93</x:v>
      </x:c>
      <x:c r="N668" t="str">
        <x:v>2025-10</x:v>
      </x:c>
      <x:c r="O668" t="str">
        <x:v>Ausgabe</x:v>
      </x:c>
      <x:c r="P668" t="str">
        <x:v>Ist</x:v>
      </x:c>
      <x:c r="Q668" s="59" t="b">
        <x:v>0</x:v>
      </x:c>
      <x:c r="R668" t="str">
        <x:v>kein_transfer</x:v>
      </x:c>
      <x:c r="S668"/>
      <x:c r="T668"/>
      <x:c r="U668"/>
      <x:c r="V668" s="59" t="b">
        <x:v>1</x:v>
      </x:c>
      <x:c r="W668"/>
      <x:c r="X668" t="str">
        <x:v>offen</x:v>
      </x:c>
      <x:c r="Y668" t="str">
        <x:v>Agent-Draft; Kategorie und Person pruefen</x:v>
      </x:c>
    </x:row>
    <x:row r="669">
      <x:c r="A669" t="str">
        <x:v>TXN-RAW-IMP-20260516-FULLDRAFT-000653</x:v>
      </x:c>
      <x:c r="B669" t="str">
        <x:v>RAW-IMP-20260516-FULLDRAFT-000653</x:v>
      </x:c>
      <x:c r="C669" t="str">
        <x:v>KTO001</x:v>
      </x:c>
      <x:c r="D669"/>
      <x:c r="E669" t="str">
        <x:v>KAT013</x:v>
      </x:c>
      <x:c r="F669"/>
      <x:c r="G669"/>
      <x:c r="H669" t="str">
        <x:v>kein_match</x:v>
      </x:c>
      <x:c r="I669" t="str">
        <x:v>Agent-Draft: keine finale Regelentscheidung</x:v>
      </x:c>
      <x:c r="J669" t="n">
        <x:v>45936</x:v>
      </x:c>
      <x:c r="K669"/>
      <x:c r="L669"/>
      <x:c r="M669" t="n">
        <x:v>-5.79</x:v>
      </x:c>
      <x:c r="N669" t="str">
        <x:v>2025-10</x:v>
      </x:c>
      <x:c r="O669" t="str">
        <x:v>Ausgabe</x:v>
      </x:c>
      <x:c r="P669" t="str">
        <x:v>Ist</x:v>
      </x:c>
      <x:c r="Q669" s="59" t="b">
        <x:v>0</x:v>
      </x:c>
      <x:c r="R669" t="str">
        <x:v>kein_transfer</x:v>
      </x:c>
      <x:c r="S669"/>
      <x:c r="T669"/>
      <x:c r="U669"/>
      <x:c r="V669" s="59" t="b">
        <x:v>1</x:v>
      </x:c>
      <x:c r="W669"/>
      <x:c r="X669" t="str">
        <x:v>offen</x:v>
      </x:c>
      <x:c r="Y669" t="str">
        <x:v>Agent-Draft; Kategorie und Person pruefen</x:v>
      </x:c>
    </x:row>
    <x:row r="670">
      <x:c r="A670" t="str">
        <x:v>TXN-RAW-IMP-20260516-FULLDRAFT-000654</x:v>
      </x:c>
      <x:c r="B670" t="str">
        <x:v>RAW-IMP-20260516-FULLDRAFT-000654</x:v>
      </x:c>
      <x:c r="C670" t="str">
        <x:v>KTO001</x:v>
      </x:c>
      <x:c r="D670"/>
      <x:c r="E670" t="str">
        <x:v>KAT013</x:v>
      </x:c>
      <x:c r="F670"/>
      <x:c r="G670"/>
      <x:c r="H670" t="str">
        <x:v>kein_match</x:v>
      </x:c>
      <x:c r="I670" t="str">
        <x:v>Agent-Draft: keine finale Regelentscheidung</x:v>
      </x:c>
      <x:c r="J670" t="n">
        <x:v>45936</x:v>
      </x:c>
      <x:c r="K670"/>
      <x:c r="L670"/>
      <x:c r="M670" t="n">
        <x:v>-13.8</x:v>
      </x:c>
      <x:c r="N670" t="str">
        <x:v>2025-10</x:v>
      </x:c>
      <x:c r="O670" t="str">
        <x:v>Ausgabe</x:v>
      </x:c>
      <x:c r="P670" t="str">
        <x:v>Ist</x:v>
      </x:c>
      <x:c r="Q670" s="59" t="b">
        <x:v>0</x:v>
      </x:c>
      <x:c r="R670" t="str">
        <x:v>kein_transfer</x:v>
      </x:c>
      <x:c r="S670"/>
      <x:c r="T670"/>
      <x:c r="U670"/>
      <x:c r="V670" s="59" t="b">
        <x:v>1</x:v>
      </x:c>
      <x:c r="W670"/>
      <x:c r="X670" t="str">
        <x:v>offen</x:v>
      </x:c>
      <x:c r="Y670" t="str">
        <x:v>Agent-Draft; Kategorie und Person pruefen</x:v>
      </x:c>
    </x:row>
    <x:row r="671">
      <x:c r="A671" t="str">
        <x:v>TXN-RAW-IMP-20260516-FULLDRAFT-000655</x:v>
      </x:c>
      <x:c r="B671" t="str">
        <x:v>RAW-IMP-20260516-FULLDRAFT-000655</x:v>
      </x:c>
      <x:c r="C671" t="str">
        <x:v>KTO001</x:v>
      </x:c>
      <x:c r="D671"/>
      <x:c r="E671" t="str">
        <x:v>KAT013</x:v>
      </x:c>
      <x:c r="F671"/>
      <x:c r="G671"/>
      <x:c r="H671" t="str">
        <x:v>kein_match</x:v>
      </x:c>
      <x:c r="I671" t="str">
        <x:v>Agent-Draft: keine finale Regelentscheidung</x:v>
      </x:c>
      <x:c r="J671" t="n">
        <x:v>45936</x:v>
      </x:c>
      <x:c r="K671"/>
      <x:c r="L671"/>
      <x:c r="M671" t="n">
        <x:v>-36.03</x:v>
      </x:c>
      <x:c r="N671" t="str">
        <x:v>2025-10</x:v>
      </x:c>
      <x:c r="O671" t="str">
        <x:v>Ausgabe</x:v>
      </x:c>
      <x:c r="P671" t="str">
        <x:v>Ist</x:v>
      </x:c>
      <x:c r="Q671" s="59" t="b">
        <x:v>0</x:v>
      </x:c>
      <x:c r="R671" t="str">
        <x:v>kein_transfer</x:v>
      </x:c>
      <x:c r="S671"/>
      <x:c r="T671"/>
      <x:c r="U671"/>
      <x:c r="V671" s="59" t="b">
        <x:v>1</x:v>
      </x:c>
      <x:c r="W671"/>
      <x:c r="X671" t="str">
        <x:v>offen</x:v>
      </x:c>
      <x:c r="Y671" t="str">
        <x:v>Agent-Draft; Kategorie und Person pruefen</x:v>
      </x:c>
    </x:row>
    <x:row r="672">
      <x:c r="A672" t="str">
        <x:v>TXN-RAW-IMP-20260516-FULLDRAFT-000656</x:v>
      </x:c>
      <x:c r="B672" t="str">
        <x:v>RAW-IMP-20260516-FULLDRAFT-000656</x:v>
      </x:c>
      <x:c r="C672" t="str">
        <x:v>KTO001</x:v>
      </x:c>
      <x:c r="D672"/>
      <x:c r="E672" t="str">
        <x:v>KAT013</x:v>
      </x:c>
      <x:c r="F672"/>
      <x:c r="G672"/>
      <x:c r="H672" t="str">
        <x:v>kein_match</x:v>
      </x:c>
      <x:c r="I672" t="str">
        <x:v>Agent-Draft: keine finale Regelentscheidung</x:v>
      </x:c>
      <x:c r="J672" t="n">
        <x:v>45936</x:v>
      </x:c>
      <x:c r="K672"/>
      <x:c r="L672"/>
      <x:c r="M672" t="n">
        <x:v>-15</x:v>
      </x:c>
      <x:c r="N672" t="str">
        <x:v>2025-10</x:v>
      </x:c>
      <x:c r="O672" t="str">
        <x:v>Ausgabe</x:v>
      </x:c>
      <x:c r="P672" t="str">
        <x:v>Ist</x:v>
      </x:c>
      <x:c r="Q672" s="59" t="b">
        <x:v>0</x:v>
      </x:c>
      <x:c r="R672" t="str">
        <x:v>kein_transfer</x:v>
      </x:c>
      <x:c r="S672"/>
      <x:c r="T672"/>
      <x:c r="U672"/>
      <x:c r="V672" s="59" t="b">
        <x:v>1</x:v>
      </x:c>
      <x:c r="W672"/>
      <x:c r="X672" t="str">
        <x:v>offen</x:v>
      </x:c>
      <x:c r="Y672" t="str">
        <x:v>Agent-Draft; Kategorie und Person pruefen</x:v>
      </x:c>
    </x:row>
    <x:row r="673">
      <x:c r="A673" t="str">
        <x:v>TXN-RAW-IMP-20260516-FULLDRAFT-000657</x:v>
      </x:c>
      <x:c r="B673" t="str">
        <x:v>RAW-IMP-20260516-FULLDRAFT-000657</x:v>
      </x:c>
      <x:c r="C673" t="str">
        <x:v>KTO001</x:v>
      </x:c>
      <x:c r="D673"/>
      <x:c r="E673" t="str">
        <x:v>KAT013</x:v>
      </x:c>
      <x:c r="F673"/>
      <x:c r="G673"/>
      <x:c r="H673" t="str">
        <x:v>kein_match</x:v>
      </x:c>
      <x:c r="I673" t="str">
        <x:v>Agent-Draft: keine finale Regelentscheidung</x:v>
      </x:c>
      <x:c r="J673" t="n">
        <x:v>45936</x:v>
      </x:c>
      <x:c r="K673"/>
      <x:c r="L673"/>
      <x:c r="M673" t="n">
        <x:v>-12.99</x:v>
      </x:c>
      <x:c r="N673" t="str">
        <x:v>2025-10</x:v>
      </x:c>
      <x:c r="O673" t="str">
        <x:v>Ausgabe</x:v>
      </x:c>
      <x:c r="P673" t="str">
        <x:v>Ist</x:v>
      </x:c>
      <x:c r="Q673" s="59" t="b">
        <x:v>0</x:v>
      </x:c>
      <x:c r="R673" t="str">
        <x:v>kein_transfer</x:v>
      </x:c>
      <x:c r="S673"/>
      <x:c r="T673"/>
      <x:c r="U673"/>
      <x:c r="V673" s="59" t="b">
        <x:v>1</x:v>
      </x:c>
      <x:c r="W673"/>
      <x:c r="X673" t="str">
        <x:v>offen</x:v>
      </x:c>
      <x:c r="Y673" t="str">
        <x:v>Agent-Draft; Kategorie und Person pruefen</x:v>
      </x:c>
    </x:row>
    <x:row r="674">
      <x:c r="A674" t="str">
        <x:v>TXN-RAW-IMP-20260516-FULLDRAFT-000658</x:v>
      </x:c>
      <x:c r="B674" t="str">
        <x:v>RAW-IMP-20260516-FULLDRAFT-000658</x:v>
      </x:c>
      <x:c r="C674" t="str">
        <x:v>KTO001</x:v>
      </x:c>
      <x:c r="D674"/>
      <x:c r="E674" t="str">
        <x:v>KAT013</x:v>
      </x:c>
      <x:c r="F674"/>
      <x:c r="G674"/>
      <x:c r="H674" t="str">
        <x:v>kein_match</x:v>
      </x:c>
      <x:c r="I674" t="str">
        <x:v>Agent-Draft: keine finale Regelentscheidung</x:v>
      </x:c>
      <x:c r="J674" t="n">
        <x:v>45936</x:v>
      </x:c>
      <x:c r="K674"/>
      <x:c r="L674"/>
      <x:c r="M674" t="n">
        <x:v>-4.8</x:v>
      </x:c>
      <x:c r="N674" t="str">
        <x:v>2025-10</x:v>
      </x:c>
      <x:c r="O674" t="str">
        <x:v>Ausgabe</x:v>
      </x:c>
      <x:c r="P674" t="str">
        <x:v>Ist</x:v>
      </x:c>
      <x:c r="Q674" s="59" t="b">
        <x:v>0</x:v>
      </x:c>
      <x:c r="R674" t="str">
        <x:v>kein_transfer</x:v>
      </x:c>
      <x:c r="S674"/>
      <x:c r="T674"/>
      <x:c r="U674"/>
      <x:c r="V674" s="59" t="b">
        <x:v>1</x:v>
      </x:c>
      <x:c r="W674"/>
      <x:c r="X674" t="str">
        <x:v>offen</x:v>
      </x:c>
      <x:c r="Y674" t="str">
        <x:v>Agent-Draft; Kategorie und Person pruefen</x:v>
      </x:c>
    </x:row>
    <x:row r="675">
      <x:c r="A675" t="str">
        <x:v>TXN-RAW-IMP-20260516-FULLDRAFT-000659</x:v>
      </x:c>
      <x:c r="B675" t="str">
        <x:v>RAW-IMP-20260516-FULLDRAFT-000659</x:v>
      </x:c>
      <x:c r="C675" t="str">
        <x:v>KTO001</x:v>
      </x:c>
      <x:c r="D675"/>
      <x:c r="E675" t="str">
        <x:v>KAT013</x:v>
      </x:c>
      <x:c r="F675"/>
      <x:c r="G675"/>
      <x:c r="H675" t="str">
        <x:v>kein_match</x:v>
      </x:c>
      <x:c r="I675" t="str">
        <x:v>Agent-Draft: keine finale Regelentscheidung</x:v>
      </x:c>
      <x:c r="J675" t="n">
        <x:v>45936</x:v>
      </x:c>
      <x:c r="K675"/>
      <x:c r="L675"/>
      <x:c r="M675" t="n">
        <x:v>-35.42</x:v>
      </x:c>
      <x:c r="N675" t="str">
        <x:v>2025-10</x:v>
      </x:c>
      <x:c r="O675" t="str">
        <x:v>Ausgabe</x:v>
      </x:c>
      <x:c r="P675" t="str">
        <x:v>Ist</x:v>
      </x:c>
      <x:c r="Q675" s="59" t="b">
        <x:v>0</x:v>
      </x:c>
      <x:c r="R675" t="str">
        <x:v>kein_transfer</x:v>
      </x:c>
      <x:c r="S675"/>
      <x:c r="T675"/>
      <x:c r="U675"/>
      <x:c r="V675" s="59" t="b">
        <x:v>1</x:v>
      </x:c>
      <x:c r="W675"/>
      <x:c r="X675" t="str">
        <x:v>offen</x:v>
      </x:c>
      <x:c r="Y675" t="str">
        <x:v>Agent-Draft; Kategorie und Person pruefen</x:v>
      </x:c>
    </x:row>
    <x:row r="676">
      <x:c r="A676" t="str">
        <x:v>TXN-RAW-IMP-20260516-FULLDRAFT-000660</x:v>
      </x:c>
      <x:c r="B676" t="str">
        <x:v>RAW-IMP-20260516-FULLDRAFT-000660</x:v>
      </x:c>
      <x:c r="C676" t="str">
        <x:v>KTO001</x:v>
      </x:c>
      <x:c r="D676"/>
      <x:c r="E676" t="str">
        <x:v>KAT013</x:v>
      </x:c>
      <x:c r="F676"/>
      <x:c r="G676"/>
      <x:c r="H676" t="str">
        <x:v>kein_match</x:v>
      </x:c>
      <x:c r="I676" t="str">
        <x:v>Agent-Draft: keine finale Regelentscheidung</x:v>
      </x:c>
      <x:c r="J676" t="n">
        <x:v>45936</x:v>
      </x:c>
      <x:c r="K676"/>
      <x:c r="L676"/>
      <x:c r="M676" t="n">
        <x:v>-3.99</x:v>
      </x:c>
      <x:c r="N676" t="str">
        <x:v>2025-10</x:v>
      </x:c>
      <x:c r="O676" t="str">
        <x:v>Ausgabe</x:v>
      </x:c>
      <x:c r="P676" t="str">
        <x:v>Ist</x:v>
      </x:c>
      <x:c r="Q676" s="59" t="b">
        <x:v>0</x:v>
      </x:c>
      <x:c r="R676" t="str">
        <x:v>kein_transfer</x:v>
      </x:c>
      <x:c r="S676"/>
      <x:c r="T676"/>
      <x:c r="U676"/>
      <x:c r="V676" s="59" t="b">
        <x:v>1</x:v>
      </x:c>
      <x:c r="W676"/>
      <x:c r="X676" t="str">
        <x:v>offen</x:v>
      </x:c>
      <x:c r="Y676" t="str">
        <x:v>Agent-Draft; Kategorie und Person pruefen</x:v>
      </x:c>
    </x:row>
    <x:row r="677">
      <x:c r="A677" t="str">
        <x:v>TXN-RAW-IMP-20260516-FULLDRAFT-000661</x:v>
      </x:c>
      <x:c r="B677" t="str">
        <x:v>RAW-IMP-20260516-FULLDRAFT-000661</x:v>
      </x:c>
      <x:c r="C677" t="str">
        <x:v>KTO001</x:v>
      </x:c>
      <x:c r="D677"/>
      <x:c r="E677" t="str">
        <x:v>KAT013</x:v>
      </x:c>
      <x:c r="F677"/>
      <x:c r="G677"/>
      <x:c r="H677" t="str">
        <x:v>kein_match</x:v>
      </x:c>
      <x:c r="I677" t="str">
        <x:v>Agent-Draft: keine finale Regelentscheidung</x:v>
      </x:c>
      <x:c r="J677" t="n">
        <x:v>45936</x:v>
      </x:c>
      <x:c r="K677"/>
      <x:c r="L677"/>
      <x:c r="M677" t="n">
        <x:v>-64.08</x:v>
      </x:c>
      <x:c r="N677" t="str">
        <x:v>2025-10</x:v>
      </x:c>
      <x:c r="O677" t="str">
        <x:v>Ausgabe</x:v>
      </x:c>
      <x:c r="P677" t="str">
        <x:v>Ist</x:v>
      </x:c>
      <x:c r="Q677" s="59" t="b">
        <x:v>0</x:v>
      </x:c>
      <x:c r="R677" t="str">
        <x:v>kein_transfer</x:v>
      </x:c>
      <x:c r="S677"/>
      <x:c r="T677"/>
      <x:c r="U677"/>
      <x:c r="V677" s="59" t="b">
        <x:v>1</x:v>
      </x:c>
      <x:c r="W677"/>
      <x:c r="X677" t="str">
        <x:v>offen</x:v>
      </x:c>
      <x:c r="Y677" t="str">
        <x:v>Agent-Draft; Kategorie und Person pruefen</x:v>
      </x:c>
    </x:row>
    <x:row r="678">
      <x:c r="A678" t="str">
        <x:v>TXN-RAW-IMP-20260516-FULLDRAFT-000662</x:v>
      </x:c>
      <x:c r="B678" t="str">
        <x:v>RAW-IMP-20260516-FULLDRAFT-000662</x:v>
      </x:c>
      <x:c r="C678" t="str">
        <x:v>KTO001</x:v>
      </x:c>
      <x:c r="D678"/>
      <x:c r="E678" t="str">
        <x:v>KAT013</x:v>
      </x:c>
      <x:c r="F678"/>
      <x:c r="G678"/>
      <x:c r="H678" t="str">
        <x:v>kein_match</x:v>
      </x:c>
      <x:c r="I678" t="str">
        <x:v>Agent-Draft: keine finale Regelentscheidung</x:v>
      </x:c>
      <x:c r="J678" t="n">
        <x:v>45936</x:v>
      </x:c>
      <x:c r="K678"/>
      <x:c r="L678"/>
      <x:c r="M678" t="n">
        <x:v>-32.15</x:v>
      </x:c>
      <x:c r="N678" t="str">
        <x:v>2025-10</x:v>
      </x:c>
      <x:c r="O678" t="str">
        <x:v>Ausgabe</x:v>
      </x:c>
      <x:c r="P678" t="str">
        <x:v>Ist</x:v>
      </x:c>
      <x:c r="Q678" s="59" t="b">
        <x:v>0</x:v>
      </x:c>
      <x:c r="R678" t="str">
        <x:v>kein_transfer</x:v>
      </x:c>
      <x:c r="S678"/>
      <x:c r="T678"/>
      <x:c r="U678"/>
      <x:c r="V678" s="59" t="b">
        <x:v>1</x:v>
      </x:c>
      <x:c r="W678"/>
      <x:c r="X678" t="str">
        <x:v>offen</x:v>
      </x:c>
      <x:c r="Y678" t="str">
        <x:v>Agent-Draft; Kategorie und Person pruefen</x:v>
      </x:c>
    </x:row>
    <x:row r="679">
      <x:c r="A679" t="str">
        <x:v>TXN-RAW-IMP-20260516-FULLDRAFT-000663</x:v>
      </x:c>
      <x:c r="B679" t="str">
        <x:v>RAW-IMP-20260516-FULLDRAFT-000663</x:v>
      </x:c>
      <x:c r="C679" t="str">
        <x:v>KTO001</x:v>
      </x:c>
      <x:c r="D679"/>
      <x:c r="E679" t="str">
        <x:v>KAT013</x:v>
      </x:c>
      <x:c r="F679"/>
      <x:c r="G679"/>
      <x:c r="H679" t="str">
        <x:v>kein_match</x:v>
      </x:c>
      <x:c r="I679" t="str">
        <x:v>Agent-Draft: keine finale Regelentscheidung</x:v>
      </x:c>
      <x:c r="J679" t="n">
        <x:v>45936</x:v>
      </x:c>
      <x:c r="K679"/>
      <x:c r="L679"/>
      <x:c r="M679" t="n">
        <x:v>-19.06</x:v>
      </x:c>
      <x:c r="N679" t="str">
        <x:v>2025-10</x:v>
      </x:c>
      <x:c r="O679" t="str">
        <x:v>Ausgabe</x:v>
      </x:c>
      <x:c r="P679" t="str">
        <x:v>Ist</x:v>
      </x:c>
      <x:c r="Q679" s="59" t="b">
        <x:v>0</x:v>
      </x:c>
      <x:c r="R679" t="str">
        <x:v>kein_transfer</x:v>
      </x:c>
      <x:c r="S679"/>
      <x:c r="T679"/>
      <x:c r="U679"/>
      <x:c r="V679" s="59" t="b">
        <x:v>1</x:v>
      </x:c>
      <x:c r="W679"/>
      <x:c r="X679" t="str">
        <x:v>offen</x:v>
      </x:c>
      <x:c r="Y679" t="str">
        <x:v>Agent-Draft; Kategorie und Person pruefen</x:v>
      </x:c>
    </x:row>
    <x:row r="680">
      <x:c r="A680" t="str">
        <x:v>TXN-RAW-IMP-20260516-FULLDRAFT-000664</x:v>
      </x:c>
      <x:c r="B680" t="str">
        <x:v>RAW-IMP-20260516-FULLDRAFT-000664</x:v>
      </x:c>
      <x:c r="C680" t="str">
        <x:v>KTO001</x:v>
      </x:c>
      <x:c r="D680"/>
      <x:c r="E680" t="str">
        <x:v>KAT013</x:v>
      </x:c>
      <x:c r="F680"/>
      <x:c r="G680"/>
      <x:c r="H680" t="str">
        <x:v>kein_match</x:v>
      </x:c>
      <x:c r="I680" t="str">
        <x:v>Agent-Draft: keine finale Regelentscheidung</x:v>
      </x:c>
      <x:c r="J680" t="n">
        <x:v>45936</x:v>
      </x:c>
      <x:c r="K680"/>
      <x:c r="L680"/>
      <x:c r="M680" t="n">
        <x:v>-19.06</x:v>
      </x:c>
      <x:c r="N680" t="str">
        <x:v>2025-10</x:v>
      </x:c>
      <x:c r="O680" t="str">
        <x:v>Ausgabe</x:v>
      </x:c>
      <x:c r="P680" t="str">
        <x:v>Ist</x:v>
      </x:c>
      <x:c r="Q680" s="59" t="b">
        <x:v>0</x:v>
      </x:c>
      <x:c r="R680" t="str">
        <x:v>kein_transfer</x:v>
      </x:c>
      <x:c r="S680"/>
      <x:c r="T680"/>
      <x:c r="U680"/>
      <x:c r="V680" s="59" t="b">
        <x:v>1</x:v>
      </x:c>
      <x:c r="W680"/>
      <x:c r="X680" t="str">
        <x:v>offen</x:v>
      </x:c>
      <x:c r="Y680" t="str">
        <x:v>Agent-Draft; Kategorie und Person pruefen</x:v>
      </x:c>
    </x:row>
    <x:row r="681">
      <x:c r="A681" t="str">
        <x:v>TXN-RAW-IMP-20260516-FULLDRAFT-000665</x:v>
      </x:c>
      <x:c r="B681" t="str">
        <x:v>RAW-IMP-20260516-FULLDRAFT-000665</x:v>
      </x:c>
      <x:c r="C681" t="str">
        <x:v>KTO001</x:v>
      </x:c>
      <x:c r="D681"/>
      <x:c r="E681" t="str">
        <x:v>KAT013</x:v>
      </x:c>
      <x:c r="F681"/>
      <x:c r="G681"/>
      <x:c r="H681" t="str">
        <x:v>kein_match</x:v>
      </x:c>
      <x:c r="I681" t="str">
        <x:v>Agent-Draft: keine finale Regelentscheidung</x:v>
      </x:c>
      <x:c r="J681" t="n">
        <x:v>45936</x:v>
      </x:c>
      <x:c r="K681"/>
      <x:c r="L681"/>
      <x:c r="M681" t="n">
        <x:v>-19.06</x:v>
      </x:c>
      <x:c r="N681" t="str">
        <x:v>2025-10</x:v>
      </x:c>
      <x:c r="O681" t="str">
        <x:v>Ausgabe</x:v>
      </x:c>
      <x:c r="P681" t="str">
        <x:v>Ist</x:v>
      </x:c>
      <x:c r="Q681" s="59" t="b">
        <x:v>0</x:v>
      </x:c>
      <x:c r="R681" t="str">
        <x:v>kein_transfer</x:v>
      </x:c>
      <x:c r="S681"/>
      <x:c r="T681"/>
      <x:c r="U681"/>
      <x:c r="V681" s="59" t="b">
        <x:v>1</x:v>
      </x:c>
      <x:c r="W681"/>
      <x:c r="X681" t="str">
        <x:v>offen</x:v>
      </x:c>
      <x:c r="Y681" t="str">
        <x:v>Agent-Draft; Kategorie und Person pruefen</x:v>
      </x:c>
    </x:row>
    <x:row r="682">
      <x:c r="A682" t="str">
        <x:v>TXN-RAW-IMP-20260516-FULLDRAFT-000666</x:v>
      </x:c>
      <x:c r="B682" t="str">
        <x:v>RAW-IMP-20260516-FULLDRAFT-000666</x:v>
      </x:c>
      <x:c r="C682" t="str">
        <x:v>KTO001</x:v>
      </x:c>
      <x:c r="D682"/>
      <x:c r="E682" t="str">
        <x:v>KAT013</x:v>
      </x:c>
      <x:c r="F682"/>
      <x:c r="G682"/>
      <x:c r="H682" t="str">
        <x:v>kein_match</x:v>
      </x:c>
      <x:c r="I682" t="str">
        <x:v>Agent-Draft: keine finale Regelentscheidung</x:v>
      </x:c>
      <x:c r="J682" t="n">
        <x:v>45936</x:v>
      </x:c>
      <x:c r="K682"/>
      <x:c r="L682"/>
      <x:c r="M682" t="n">
        <x:v>-49.9</x:v>
      </x:c>
      <x:c r="N682" t="str">
        <x:v>2025-10</x:v>
      </x:c>
      <x:c r="O682" t="str">
        <x:v>Ausgabe</x:v>
      </x:c>
      <x:c r="P682" t="str">
        <x:v>Ist</x:v>
      </x:c>
      <x:c r="Q682" s="59" t="b">
        <x:v>0</x:v>
      </x:c>
      <x:c r="R682" t="str">
        <x:v>kein_transfer</x:v>
      </x:c>
      <x:c r="S682"/>
      <x:c r="T682"/>
      <x:c r="U682"/>
      <x:c r="V682" s="59" t="b">
        <x:v>1</x:v>
      </x:c>
      <x:c r="W682"/>
      <x:c r="X682" t="str">
        <x:v>offen</x:v>
      </x:c>
      <x:c r="Y682" t="str">
        <x:v>Agent-Draft; Kategorie und Person pruefen</x:v>
      </x:c>
    </x:row>
    <x:row r="683">
      <x:c r="A683" t="str">
        <x:v>TXN-RAW-IMP-20260516-FULLDRAFT-000667</x:v>
      </x:c>
      <x:c r="B683" t="str">
        <x:v>RAW-IMP-20260516-FULLDRAFT-000667</x:v>
      </x:c>
      <x:c r="C683" t="str">
        <x:v>KTO001</x:v>
      </x:c>
      <x:c r="D683"/>
      <x:c r="E683" t="str">
        <x:v>KAT013</x:v>
      </x:c>
      <x:c r="F683"/>
      <x:c r="G683"/>
      <x:c r="H683" t="str">
        <x:v>kein_match</x:v>
      </x:c>
      <x:c r="I683" t="str">
        <x:v>Agent-Draft: keine finale Regelentscheidung</x:v>
      </x:c>
      <x:c r="J683" t="n">
        <x:v>45932</x:v>
      </x:c>
      <x:c r="K683"/>
      <x:c r="L683"/>
      <x:c r="M683" t="n">
        <x:v>-43</x:v>
      </x:c>
      <x:c r="N683" t="str">
        <x:v>2025-10</x:v>
      </x:c>
      <x:c r="O683" t="str">
        <x:v>Ausgabe</x:v>
      </x:c>
      <x:c r="P683" t="str">
        <x:v>Ist</x:v>
      </x:c>
      <x:c r="Q683" s="59" t="b">
        <x:v>0</x:v>
      </x:c>
      <x:c r="R683" t="str">
        <x:v>kein_transfer</x:v>
      </x:c>
      <x:c r="S683"/>
      <x:c r="T683"/>
      <x:c r="U683"/>
      <x:c r="V683" s="59" t="b">
        <x:v>1</x:v>
      </x:c>
      <x:c r="W683"/>
      <x:c r="X683" t="str">
        <x:v>offen</x:v>
      </x:c>
      <x:c r="Y683" t="str">
        <x:v>Agent-Draft; Kategorie und Person pruefen</x:v>
      </x:c>
    </x:row>
    <x:row r="684">
      <x:c r="A684" t="str">
        <x:v>TXN-RAW-IMP-20260516-FULLDRAFT-000668</x:v>
      </x:c>
      <x:c r="B684" t="str">
        <x:v>RAW-IMP-20260516-FULLDRAFT-000668</x:v>
      </x:c>
      <x:c r="C684" t="str">
        <x:v>KTO001</x:v>
      </x:c>
      <x:c r="D684"/>
      <x:c r="E684" t="str">
        <x:v>KAT013</x:v>
      </x:c>
      <x:c r="F684"/>
      <x:c r="G684"/>
      <x:c r="H684" t="str">
        <x:v>kein_match</x:v>
      </x:c>
      <x:c r="I684" t="str">
        <x:v>Agent-Draft: keine finale Regelentscheidung</x:v>
      </x:c>
      <x:c r="J684" t="n">
        <x:v>45932</x:v>
      </x:c>
      <x:c r="K684"/>
      <x:c r="L684"/>
      <x:c r="M684" t="n">
        <x:v>-40</x:v>
      </x:c>
      <x:c r="N684" t="str">
        <x:v>2025-10</x:v>
      </x:c>
      <x:c r="O684" t="str">
        <x:v>Ausgabe</x:v>
      </x:c>
      <x:c r="P684" t="str">
        <x:v>Ist</x:v>
      </x:c>
      <x:c r="Q684" s="59" t="b">
        <x:v>0</x:v>
      </x:c>
      <x:c r="R684" t="str">
        <x:v>kein_transfer</x:v>
      </x:c>
      <x:c r="S684"/>
      <x:c r="T684"/>
      <x:c r="U684"/>
      <x:c r="V684" s="59" t="b">
        <x:v>1</x:v>
      </x:c>
      <x:c r="W684"/>
      <x:c r="X684" t="str">
        <x:v>offen</x:v>
      </x:c>
      <x:c r="Y684" t="str">
        <x:v>Agent-Draft; Kategorie und Person pruefen</x:v>
      </x:c>
    </x:row>
    <x:row r="685">
      <x:c r="A685" t="str">
        <x:v>TXN-RAW-IMP-20260516-FULLDRAFT-000669</x:v>
      </x:c>
      <x:c r="B685" t="str">
        <x:v>RAW-IMP-20260516-FULLDRAFT-000669</x:v>
      </x:c>
      <x:c r="C685" t="str">
        <x:v>KTO001</x:v>
      </x:c>
      <x:c r="D685"/>
      <x:c r="E685" t="str">
        <x:v>KAT013</x:v>
      </x:c>
      <x:c r="F685"/>
      <x:c r="G685"/>
      <x:c r="H685" t="str">
        <x:v>kein_match</x:v>
      </x:c>
      <x:c r="I685" t="str">
        <x:v>Agent-Draft: keine finale Regelentscheidung</x:v>
      </x:c>
      <x:c r="J685" t="n">
        <x:v>45932</x:v>
      </x:c>
      <x:c r="K685"/>
      <x:c r="L685"/>
      <x:c r="M685" t="n">
        <x:v>-60.5</x:v>
      </x:c>
      <x:c r="N685" t="str">
        <x:v>2025-10</x:v>
      </x:c>
      <x:c r="O685" t="str">
        <x:v>Ausgabe</x:v>
      </x:c>
      <x:c r="P685" t="str">
        <x:v>Ist</x:v>
      </x:c>
      <x:c r="Q685" s="59" t="b">
        <x:v>0</x:v>
      </x:c>
      <x:c r="R685" t="str">
        <x:v>kein_transfer</x:v>
      </x:c>
      <x:c r="S685"/>
      <x:c r="T685"/>
      <x:c r="U685"/>
      <x:c r="V685" s="59" t="b">
        <x:v>1</x:v>
      </x:c>
      <x:c r="W685"/>
      <x:c r="X685" t="str">
        <x:v>offen</x:v>
      </x:c>
      <x:c r="Y685" t="str">
        <x:v>Agent-Draft; Kategorie und Person pruefen</x:v>
      </x:c>
    </x:row>
    <x:row r="686">
      <x:c r="A686" t="str">
        <x:v>TXN-RAW-IMP-20260516-FULLDRAFT-000670</x:v>
      </x:c>
      <x:c r="B686" t="str">
        <x:v>RAW-IMP-20260516-FULLDRAFT-000670</x:v>
      </x:c>
      <x:c r="C686" t="str">
        <x:v>KTO001</x:v>
      </x:c>
      <x:c r="D686"/>
      <x:c r="E686" t="str">
        <x:v>KAT013</x:v>
      </x:c>
      <x:c r="F686"/>
      <x:c r="G686"/>
      <x:c r="H686" t="str">
        <x:v>kein_match</x:v>
      </x:c>
      <x:c r="I686" t="str">
        <x:v>Agent-Draft: keine finale Regelentscheidung</x:v>
      </x:c>
      <x:c r="J686" t="n">
        <x:v>45932</x:v>
      </x:c>
      <x:c r="K686"/>
      <x:c r="L686"/>
      <x:c r="M686" t="n">
        <x:v>-23.63</x:v>
      </x:c>
      <x:c r="N686" t="str">
        <x:v>2025-10</x:v>
      </x:c>
      <x:c r="O686" t="str">
        <x:v>Ausgabe</x:v>
      </x:c>
      <x:c r="P686" t="str">
        <x:v>Ist</x:v>
      </x:c>
      <x:c r="Q686" s="59" t="b">
        <x:v>0</x:v>
      </x:c>
      <x:c r="R686" t="str">
        <x:v>kein_transfer</x:v>
      </x:c>
      <x:c r="S686"/>
      <x:c r="T686"/>
      <x:c r="U686"/>
      <x:c r="V686" s="59" t="b">
        <x:v>1</x:v>
      </x:c>
      <x:c r="W686"/>
      <x:c r="X686" t="str">
        <x:v>offen</x:v>
      </x:c>
      <x:c r="Y686" t="str">
        <x:v>Agent-Draft; Kategorie und Person pruefen</x:v>
      </x:c>
    </x:row>
    <x:row r="687">
      <x:c r="A687" t="str">
        <x:v>TXN-RAW-IMP-20260516-FULLDRAFT-000671</x:v>
      </x:c>
      <x:c r="B687" t="str">
        <x:v>RAW-IMP-20260516-FULLDRAFT-000671</x:v>
      </x:c>
      <x:c r="C687" t="str">
        <x:v>KTO001</x:v>
      </x:c>
      <x:c r="D687"/>
      <x:c r="E687" t="str">
        <x:v>KAT013</x:v>
      </x:c>
      <x:c r="F687"/>
      <x:c r="G687"/>
      <x:c r="H687" t="str">
        <x:v>kein_match</x:v>
      </x:c>
      <x:c r="I687" t="str">
        <x:v>Agent-Draft: keine finale Regelentscheidung</x:v>
      </x:c>
      <x:c r="J687" t="n">
        <x:v>45932</x:v>
      </x:c>
      <x:c r="K687"/>
      <x:c r="L687"/>
      <x:c r="M687" t="n">
        <x:v>-11.96</x:v>
      </x:c>
      <x:c r="N687" t="str">
        <x:v>2025-10</x:v>
      </x:c>
      <x:c r="O687" t="str">
        <x:v>Ausgabe</x:v>
      </x:c>
      <x:c r="P687" t="str">
        <x:v>Ist</x:v>
      </x:c>
      <x:c r="Q687" s="59" t="b">
        <x:v>0</x:v>
      </x:c>
      <x:c r="R687" t="str">
        <x:v>kein_transfer</x:v>
      </x:c>
      <x:c r="S687"/>
      <x:c r="T687"/>
      <x:c r="U687"/>
      <x:c r="V687" s="59" t="b">
        <x:v>1</x:v>
      </x:c>
      <x:c r="W687"/>
      <x:c r="X687" t="str">
        <x:v>offen</x:v>
      </x:c>
      <x:c r="Y687" t="str">
        <x:v>Agent-Draft; Kategorie und Person pruefen</x:v>
      </x:c>
    </x:row>
    <x:row r="688">
      <x:c r="A688" t="str">
        <x:v>TXN-RAW-IMP-20260516-FULLDRAFT-000672</x:v>
      </x:c>
      <x:c r="B688" t="str">
        <x:v>RAW-IMP-20260516-FULLDRAFT-000672</x:v>
      </x:c>
      <x:c r="C688" t="str">
        <x:v>KTO001</x:v>
      </x:c>
      <x:c r="D688"/>
      <x:c r="E688" t="str">
        <x:v>KAT013</x:v>
      </x:c>
      <x:c r="F688"/>
      <x:c r="G688"/>
      <x:c r="H688" t="str">
        <x:v>kein_match</x:v>
      </x:c>
      <x:c r="I688" t="str">
        <x:v>Agent-Draft: keine finale Regelentscheidung</x:v>
      </x:c>
      <x:c r="J688" t="n">
        <x:v>45931</x:v>
      </x:c>
      <x:c r="K688"/>
      <x:c r="L688"/>
      <x:c r="M688" t="n">
        <x:v>750</x:v>
      </x:c>
      <x:c r="N688" t="str">
        <x:v>2025-10</x:v>
      </x:c>
      <x:c r="O688" t="str">
        <x:v>Einnahme</x:v>
      </x:c>
      <x:c r="P688" t="str">
        <x:v>Ist</x:v>
      </x:c>
      <x:c r="Q688" s="59" t="b">
        <x:v>0</x:v>
      </x:c>
      <x:c r="R688" t="str">
        <x:v>kein_transfer</x:v>
      </x:c>
      <x:c r="S688"/>
      <x:c r="T688"/>
      <x:c r="U688"/>
      <x:c r="V688" s="59" t="b">
        <x:v>1</x:v>
      </x:c>
      <x:c r="W688"/>
      <x:c r="X688" t="str">
        <x:v>offen</x:v>
      </x:c>
      <x:c r="Y688" t="str">
        <x:v>Agent-Draft; Kategorie und Person pruefen</x:v>
      </x:c>
    </x:row>
    <x:row r="689">
      <x:c r="A689" t="str">
        <x:v>TXN-RAW-IMP-20260516-FULLDRAFT-000673</x:v>
      </x:c>
      <x:c r="B689" t="str">
        <x:v>RAW-IMP-20260516-FULLDRAFT-000673</x:v>
      </x:c>
      <x:c r="C689" t="str">
        <x:v>KTO001</x:v>
      </x:c>
      <x:c r="D689"/>
      <x:c r="E689" t="str">
        <x:v>KAT013</x:v>
      </x:c>
      <x:c r="F689"/>
      <x:c r="G689"/>
      <x:c r="H689" t="str">
        <x:v>kein_match</x:v>
      </x:c>
      <x:c r="I689" t="str">
        <x:v>Agent-Draft: keine finale Regelentscheidung</x:v>
      </x:c>
      <x:c r="J689" t="n">
        <x:v>45931</x:v>
      </x:c>
      <x:c r="K689"/>
      <x:c r="L689"/>
      <x:c r="M689" t="n">
        <x:v>-32.5</x:v>
      </x:c>
      <x:c r="N689" t="str">
        <x:v>2025-10</x:v>
      </x:c>
      <x:c r="O689" t="str">
        <x:v>Ausgabe</x:v>
      </x:c>
      <x:c r="P689" t="str">
        <x:v>Ist</x:v>
      </x:c>
      <x:c r="Q689" s="59" t="b">
        <x:v>0</x:v>
      </x:c>
      <x:c r="R689" t="str">
        <x:v>kein_transfer</x:v>
      </x:c>
      <x:c r="S689"/>
      <x:c r="T689"/>
      <x:c r="U689"/>
      <x:c r="V689" s="59" t="b">
        <x:v>1</x:v>
      </x:c>
      <x:c r="W689"/>
      <x:c r="X689" t="str">
        <x:v>offen</x:v>
      </x:c>
      <x:c r="Y689" t="str">
        <x:v>Agent-Draft; Kategorie und Person pruefen</x:v>
      </x:c>
    </x:row>
    <x:row r="690">
      <x:c r="A690" t="str">
        <x:v>TXN-RAW-IMP-20260516-FULLDRAFT-000674</x:v>
      </x:c>
      <x:c r="B690" t="str">
        <x:v>RAW-IMP-20260516-FULLDRAFT-000674</x:v>
      </x:c>
      <x:c r="C690" t="str">
        <x:v>KTO001</x:v>
      </x:c>
      <x:c r="D690"/>
      <x:c r="E690" t="str">
        <x:v>KAT013</x:v>
      </x:c>
      <x:c r="F690"/>
      <x:c r="G690"/>
      <x:c r="H690" t="str">
        <x:v>kein_match</x:v>
      </x:c>
      <x:c r="I690" t="str">
        <x:v>Agent-Draft: keine finale Regelentscheidung</x:v>
      </x:c>
      <x:c r="J690" t="n">
        <x:v>45931</x:v>
      </x:c>
      <x:c r="K690"/>
      <x:c r="L690"/>
      <x:c r="M690" t="n">
        <x:v>-27</x:v>
      </x:c>
      <x:c r="N690" t="str">
        <x:v>2025-10</x:v>
      </x:c>
      <x:c r="O690" t="str">
        <x:v>Ausgabe</x:v>
      </x:c>
      <x:c r="P690" t="str">
        <x:v>Ist</x:v>
      </x:c>
      <x:c r="Q690" s="59" t="b">
        <x:v>0</x:v>
      </x:c>
      <x:c r="R690" t="str">
        <x:v>kein_transfer</x:v>
      </x:c>
      <x:c r="S690"/>
      <x:c r="T690"/>
      <x:c r="U690"/>
      <x:c r="V690" s="59" t="b">
        <x:v>1</x:v>
      </x:c>
      <x:c r="W690"/>
      <x:c r="X690" t="str">
        <x:v>offen</x:v>
      </x:c>
      <x:c r="Y690" t="str">
        <x:v>Agent-Draft; Kategorie und Person pruefen</x:v>
      </x:c>
    </x:row>
    <x:row r="691">
      <x:c r="A691" t="str">
        <x:v>TXN-RAW-IMP-20260516-FULLDRAFT-000675</x:v>
      </x:c>
      <x:c r="B691" t="str">
        <x:v>RAW-IMP-20260516-FULLDRAFT-000675</x:v>
      </x:c>
      <x:c r="C691" t="str">
        <x:v>KTO001</x:v>
      </x:c>
      <x:c r="D691"/>
      <x:c r="E691" t="str">
        <x:v>KAT013</x:v>
      </x:c>
      <x:c r="F691"/>
      <x:c r="G691"/>
      <x:c r="H691" t="str">
        <x:v>kein_match</x:v>
      </x:c>
      <x:c r="I691" t="str">
        <x:v>Agent-Draft: keine finale Regelentscheidung</x:v>
      </x:c>
      <x:c r="J691" t="n">
        <x:v>45931</x:v>
      </x:c>
      <x:c r="K691"/>
      <x:c r="L691"/>
      <x:c r="M691" t="n">
        <x:v>-19.98</x:v>
      </x:c>
      <x:c r="N691" t="str">
        <x:v>2025-10</x:v>
      </x:c>
      <x:c r="O691" t="str">
        <x:v>Ausgabe</x:v>
      </x:c>
      <x:c r="P691" t="str">
        <x:v>Ist</x:v>
      </x:c>
      <x:c r="Q691" s="59" t="b">
        <x:v>0</x:v>
      </x:c>
      <x:c r="R691" t="str">
        <x:v>kein_transfer</x:v>
      </x:c>
      <x:c r="S691"/>
      <x:c r="T691"/>
      <x:c r="U691"/>
      <x:c r="V691" s="59" t="b">
        <x:v>1</x:v>
      </x:c>
      <x:c r="W691"/>
      <x:c r="X691" t="str">
        <x:v>offen</x:v>
      </x:c>
      <x:c r="Y691" t="str">
        <x:v>Agent-Draft; Kategorie und Person pruefen</x:v>
      </x:c>
    </x:row>
    <x:row r="692">
      <x:c r="A692" t="str">
        <x:v>TXN-RAW-IMP-20260516-FULLDRAFT-000676</x:v>
      </x:c>
      <x:c r="B692" t="str">
        <x:v>RAW-IMP-20260516-FULLDRAFT-000676</x:v>
      </x:c>
      <x:c r="C692" t="str">
        <x:v>KTO001</x:v>
      </x:c>
      <x:c r="D692"/>
      <x:c r="E692" t="str">
        <x:v>KAT013</x:v>
      </x:c>
      <x:c r="F692"/>
      <x:c r="G692"/>
      <x:c r="H692" t="str">
        <x:v>kein_match</x:v>
      </x:c>
      <x:c r="I692" t="str">
        <x:v>Agent-Draft: keine finale Regelentscheidung</x:v>
      </x:c>
      <x:c r="J692" t="n">
        <x:v>45931</x:v>
      </x:c>
      <x:c r="K692"/>
      <x:c r="L692"/>
      <x:c r="M692" t="n">
        <x:v>-1800</x:v>
      </x:c>
      <x:c r="N692" t="str">
        <x:v>2025-10</x:v>
      </x:c>
      <x:c r="O692" t="str">
        <x:v>Ausgabe</x:v>
      </x:c>
      <x:c r="P692" t="str">
        <x:v>Ist</x:v>
      </x:c>
      <x:c r="Q692" s="59" t="b">
        <x:v>0</x:v>
      </x:c>
      <x:c r="R692" t="str">
        <x:v>kein_transfer</x:v>
      </x:c>
      <x:c r="S692"/>
      <x:c r="T692"/>
      <x:c r="U692"/>
      <x:c r="V692" s="59" t="b">
        <x:v>1</x:v>
      </x:c>
      <x:c r="W692"/>
      <x:c r="X692" t="str">
        <x:v>offen</x:v>
      </x:c>
      <x:c r="Y692" t="str">
        <x:v>Agent-Draft; Kategorie und Person pruefen</x:v>
      </x:c>
    </x:row>
    <x:row r="693">
      <x:c r="A693" t="str">
        <x:v>TXN-RAW-IMP-20260516-FULLDRAFT-000677</x:v>
      </x:c>
      <x:c r="B693" t="str">
        <x:v>RAW-IMP-20260516-FULLDRAFT-000677</x:v>
      </x:c>
      <x:c r="C693" t="str">
        <x:v>KTO001</x:v>
      </x:c>
      <x:c r="D693"/>
      <x:c r="E693" t="str">
        <x:v>KAT013</x:v>
      </x:c>
      <x:c r="F693"/>
      <x:c r="G693"/>
      <x:c r="H693" t="str">
        <x:v>kein_match</x:v>
      </x:c>
      <x:c r="I693" t="str">
        <x:v>Agent-Draft: keine finale Regelentscheidung</x:v>
      </x:c>
      <x:c r="J693" t="n">
        <x:v>45931</x:v>
      </x:c>
      <x:c r="K693"/>
      <x:c r="L693"/>
      <x:c r="M693" t="n">
        <x:v>-1400</x:v>
      </x:c>
      <x:c r="N693" t="str">
        <x:v>2025-10</x:v>
      </x:c>
      <x:c r="O693" t="str">
        <x:v>Ausgabe</x:v>
      </x:c>
      <x:c r="P693" t="str">
        <x:v>Ist</x:v>
      </x:c>
      <x:c r="Q693" s="59" t="b">
        <x:v>0</x:v>
      </x:c>
      <x:c r="R693" t="str">
        <x:v>kein_transfer</x:v>
      </x:c>
      <x:c r="S693"/>
      <x:c r="T693"/>
      <x:c r="U693"/>
      <x:c r="V693" s="59" t="b">
        <x:v>1</x:v>
      </x:c>
      <x:c r="W693"/>
      <x:c r="X693" t="str">
        <x:v>offen</x:v>
      </x:c>
      <x:c r="Y693" t="str">
        <x:v>Agent-Draft; Kategorie und Person pruefen</x:v>
      </x:c>
    </x:row>
    <x:row r="694">
      <x:c r="A694" t="str">
        <x:v>TXN-RAW-IMP-20260516-FULLDRAFT-000678</x:v>
      </x:c>
      <x:c r="B694" t="str">
        <x:v>RAW-IMP-20260516-FULLDRAFT-000678</x:v>
      </x:c>
      <x:c r="C694" t="str">
        <x:v>KTO001</x:v>
      </x:c>
      <x:c r="D694"/>
      <x:c r="E694" t="str">
        <x:v>KAT013</x:v>
      </x:c>
      <x:c r="F694"/>
      <x:c r="G694"/>
      <x:c r="H694" t="str">
        <x:v>kein_match</x:v>
      </x:c>
      <x:c r="I694" t="str">
        <x:v>Agent-Draft: keine finale Regelentscheidung</x:v>
      </x:c>
      <x:c r="J694" t="n">
        <x:v>45931</x:v>
      </x:c>
      <x:c r="K694"/>
      <x:c r="L694"/>
      <x:c r="M694" t="n">
        <x:v>-49</x:v>
      </x:c>
      <x:c r="N694" t="str">
        <x:v>2025-10</x:v>
      </x:c>
      <x:c r="O694" t="str">
        <x:v>Ausgabe</x:v>
      </x:c>
      <x:c r="P694" t="str">
        <x:v>Ist</x:v>
      </x:c>
      <x:c r="Q694" s="59" t="b">
        <x:v>0</x:v>
      </x:c>
      <x:c r="R694" t="str">
        <x:v>kein_transfer</x:v>
      </x:c>
      <x:c r="S694"/>
      <x:c r="T694"/>
      <x:c r="U694"/>
      <x:c r="V694" s="59" t="b">
        <x:v>1</x:v>
      </x:c>
      <x:c r="W694"/>
      <x:c r="X694" t="str">
        <x:v>offen</x:v>
      </x:c>
      <x:c r="Y694" t="str">
        <x:v>Agent-Draft; Kategorie und Person pruefen</x:v>
      </x:c>
    </x:row>
    <x:row r="695">
      <x:c r="A695" t="str">
        <x:v>TXN-RAW-IMP-20260516-FULLDRAFT-000679</x:v>
      </x:c>
      <x:c r="B695" t="str">
        <x:v>RAW-IMP-20260516-FULLDRAFT-000679</x:v>
      </x:c>
      <x:c r="C695" t="str">
        <x:v>KTO001</x:v>
      </x:c>
      <x:c r="D695"/>
      <x:c r="E695" t="str">
        <x:v>KAT013</x:v>
      </x:c>
      <x:c r="F695"/>
      <x:c r="G695"/>
      <x:c r="H695" t="str">
        <x:v>kein_match</x:v>
      </x:c>
      <x:c r="I695" t="str">
        <x:v>Agent-Draft: keine finale Regelentscheidung</x:v>
      </x:c>
      <x:c r="J695" t="n">
        <x:v>45931</x:v>
      </x:c>
      <x:c r="K695"/>
      <x:c r="L695"/>
      <x:c r="M695" t="n">
        <x:v>-49</x:v>
      </x:c>
      <x:c r="N695" t="str">
        <x:v>2025-10</x:v>
      </x:c>
      <x:c r="O695" t="str">
        <x:v>Ausgabe</x:v>
      </x:c>
      <x:c r="P695" t="str">
        <x:v>Ist</x:v>
      </x:c>
      <x:c r="Q695" s="59" t="b">
        <x:v>0</x:v>
      </x:c>
      <x:c r="R695" t="str">
        <x:v>kein_transfer</x:v>
      </x:c>
      <x:c r="S695"/>
      <x:c r="T695"/>
      <x:c r="U695"/>
      <x:c r="V695" s="59" t="b">
        <x:v>1</x:v>
      </x:c>
      <x:c r="W695"/>
      <x:c r="X695" t="str">
        <x:v>offen</x:v>
      </x:c>
      <x:c r="Y695" t="str">
        <x:v>Agent-Draft; Kategorie und Person pruefen</x:v>
      </x:c>
    </x:row>
    <x:row r="696">
      <x:c r="A696" t="str">
        <x:v>TXN-RAW-IMP-20260516-FULLDRAFT-000680</x:v>
      </x:c>
      <x:c r="B696" t="str">
        <x:v>RAW-IMP-20260516-FULLDRAFT-000680</x:v>
      </x:c>
      <x:c r="C696" t="str">
        <x:v>KTO001</x:v>
      </x:c>
      <x:c r="D696"/>
      <x:c r="E696" t="str">
        <x:v>KAT013</x:v>
      </x:c>
      <x:c r="F696"/>
      <x:c r="G696"/>
      <x:c r="H696" t="str">
        <x:v>kein_match</x:v>
      </x:c>
      <x:c r="I696" t="str">
        <x:v>Agent-Draft: keine finale Regelentscheidung</x:v>
      </x:c>
      <x:c r="J696" t="n">
        <x:v>45931</x:v>
      </x:c>
      <x:c r="K696"/>
      <x:c r="L696"/>
      <x:c r="M696" t="n">
        <x:v>-600</x:v>
      </x:c>
      <x:c r="N696" t="str">
        <x:v>2025-10</x:v>
      </x:c>
      <x:c r="O696" t="str">
        <x:v>Ausgabe</x:v>
      </x:c>
      <x:c r="P696" t="str">
        <x:v>Ist</x:v>
      </x:c>
      <x:c r="Q696" s="59" t="b">
        <x:v>0</x:v>
      </x:c>
      <x:c r="R696" t="str">
        <x:v>kein_transfer</x:v>
      </x:c>
      <x:c r="S696"/>
      <x:c r="T696"/>
      <x:c r="U696"/>
      <x:c r="V696" s="59" t="b">
        <x:v>1</x:v>
      </x:c>
      <x:c r="W696"/>
      <x:c r="X696" t="str">
        <x:v>offen</x:v>
      </x:c>
      <x:c r="Y696" t="str">
        <x:v>Agent-Draft; Kategorie und Person pruefen</x:v>
      </x:c>
    </x:row>
    <x:row r="697">
      <x:c r="A697" t="str">
        <x:v>TXN-RAW-IMP-20260516-FULLDRAFT-000681</x:v>
      </x:c>
      <x:c r="B697" t="str">
        <x:v>RAW-IMP-20260516-FULLDRAFT-000681</x:v>
      </x:c>
      <x:c r="C697" t="str">
        <x:v>KTO001</x:v>
      </x:c>
      <x:c r="D697"/>
      <x:c r="E697" t="str">
        <x:v>KAT013</x:v>
      </x:c>
      <x:c r="F697"/>
      <x:c r="G697"/>
      <x:c r="H697" t="str">
        <x:v>kein_match</x:v>
      </x:c>
      <x:c r="I697" t="str">
        <x:v>Agent-Draft: keine finale Regelentscheidung</x:v>
      </x:c>
      <x:c r="J697" t="n">
        <x:v>45931</x:v>
      </x:c>
      <x:c r="K697"/>
      <x:c r="L697"/>
      <x:c r="M697" t="n">
        <x:v>-162.17</x:v>
      </x:c>
      <x:c r="N697" t="str">
        <x:v>2025-10</x:v>
      </x:c>
      <x:c r="O697" t="str">
        <x:v>Ausgabe</x:v>
      </x:c>
      <x:c r="P697" t="str">
        <x:v>Ist</x:v>
      </x:c>
      <x:c r="Q697" s="59" t="b">
        <x:v>0</x:v>
      </x:c>
      <x:c r="R697" t="str">
        <x:v>kein_transfer</x:v>
      </x:c>
      <x:c r="S697"/>
      <x:c r="T697"/>
      <x:c r="U697"/>
      <x:c r="V697" s="59" t="b">
        <x:v>1</x:v>
      </x:c>
      <x:c r="W697"/>
      <x:c r="X697" t="str">
        <x:v>offen</x:v>
      </x:c>
      <x:c r="Y697" t="str">
        <x:v>Agent-Draft; Kategorie und Person pruefen</x:v>
      </x:c>
    </x:row>
    <x:row r="698">
      <x:c r="A698" t="str">
        <x:v>TXN-RAW-IMP-20260516-FULLDRAFT-000682</x:v>
      </x:c>
      <x:c r="B698" t="str">
        <x:v>RAW-IMP-20260516-FULLDRAFT-000682</x:v>
      </x:c>
      <x:c r="C698" t="str">
        <x:v>KTO001</x:v>
      </x:c>
      <x:c r="D698"/>
      <x:c r="E698" t="str">
        <x:v>KAT013</x:v>
      </x:c>
      <x:c r="F698"/>
      <x:c r="G698"/>
      <x:c r="H698" t="str">
        <x:v>kein_match</x:v>
      </x:c>
      <x:c r="I698" t="str">
        <x:v>Agent-Draft: keine finale Regelentscheidung</x:v>
      </x:c>
      <x:c r="J698" t="n">
        <x:v>45931</x:v>
      </x:c>
      <x:c r="K698"/>
      <x:c r="L698"/>
      <x:c r="M698" t="n">
        <x:v>-68.46</x:v>
      </x:c>
      <x:c r="N698" t="str">
        <x:v>2025-10</x:v>
      </x:c>
      <x:c r="O698" t="str">
        <x:v>Ausgabe</x:v>
      </x:c>
      <x:c r="P698" t="str">
        <x:v>Ist</x:v>
      </x:c>
      <x:c r="Q698" s="59" t="b">
        <x:v>0</x:v>
      </x:c>
      <x:c r="R698" t="str">
        <x:v>kein_transfer</x:v>
      </x:c>
      <x:c r="S698"/>
      <x:c r="T698"/>
      <x:c r="U698"/>
      <x:c r="V698" s="59" t="b">
        <x:v>1</x:v>
      </x:c>
      <x:c r="W698"/>
      <x:c r="X698" t="str">
        <x:v>offen</x:v>
      </x:c>
      <x:c r="Y698" t="str">
        <x:v>Agent-Draft; Kategorie und Person pruefen</x:v>
      </x:c>
    </x:row>
    <x:row r="699">
      <x:c r="A699" t="str">
        <x:v>TXN-RAW-IMP-20260516-FULLDRAFT-000683</x:v>
      </x:c>
      <x:c r="B699" t="str">
        <x:v>RAW-IMP-20260516-FULLDRAFT-000683</x:v>
      </x:c>
      <x:c r="C699" t="str">
        <x:v>KTO001</x:v>
      </x:c>
      <x:c r="D699"/>
      <x:c r="E699" t="str">
        <x:v>KAT013</x:v>
      </x:c>
      <x:c r="F699"/>
      <x:c r="G699"/>
      <x:c r="H699" t="str">
        <x:v>kein_match</x:v>
      </x:c>
      <x:c r="I699" t="str">
        <x:v>Agent-Draft: keine finale Regelentscheidung</x:v>
      </x:c>
      <x:c r="J699" t="n">
        <x:v>45931</x:v>
      </x:c>
      <x:c r="K699"/>
      <x:c r="L699"/>
      <x:c r="M699" t="n">
        <x:v>-97.12</x:v>
      </x:c>
      <x:c r="N699" t="str">
        <x:v>2025-10</x:v>
      </x:c>
      <x:c r="O699" t="str">
        <x:v>Ausgabe</x:v>
      </x:c>
      <x:c r="P699" t="str">
        <x:v>Ist</x:v>
      </x:c>
      <x:c r="Q699" s="59" t="b">
        <x:v>0</x:v>
      </x:c>
      <x:c r="R699" t="str">
        <x:v>kein_transfer</x:v>
      </x:c>
      <x:c r="S699"/>
      <x:c r="T699"/>
      <x:c r="U699"/>
      <x:c r="V699" s="59" t="b">
        <x:v>1</x:v>
      </x:c>
      <x:c r="W699"/>
      <x:c r="X699" t="str">
        <x:v>offen</x:v>
      </x:c>
      <x:c r="Y699" t="str">
        <x:v>Agent-Draft; Kategorie und Person pruefen</x:v>
      </x:c>
    </x:row>
    <x:row r="700">
      <x:c r="A700" t="str">
        <x:v>TXN-RAW-IMP-20260516-FULLDRAFT-000684</x:v>
      </x:c>
      <x:c r="B700" t="str">
        <x:v>RAW-IMP-20260516-FULLDRAFT-000684</x:v>
      </x:c>
      <x:c r="C700" t="str">
        <x:v>KTO001</x:v>
      </x:c>
      <x:c r="D700"/>
      <x:c r="E700" t="str">
        <x:v>KAT013</x:v>
      </x:c>
      <x:c r="F700"/>
      <x:c r="G700"/>
      <x:c r="H700" t="str">
        <x:v>kein_match</x:v>
      </x:c>
      <x:c r="I700" t="str">
        <x:v>Agent-Draft: keine finale Regelentscheidung</x:v>
      </x:c>
      <x:c r="J700" t="n">
        <x:v>45931</x:v>
      </x:c>
      <x:c r="K700"/>
      <x:c r="L700"/>
      <x:c r="M700" t="n">
        <x:v>-452.71</x:v>
      </x:c>
      <x:c r="N700" t="str">
        <x:v>2025-10</x:v>
      </x:c>
      <x:c r="O700" t="str">
        <x:v>Ausgabe</x:v>
      </x:c>
      <x:c r="P700" t="str">
        <x:v>Ist</x:v>
      </x:c>
      <x:c r="Q700" s="59" t="b">
        <x:v>0</x:v>
      </x:c>
      <x:c r="R700" t="str">
        <x:v>kein_transfer</x:v>
      </x:c>
      <x:c r="S700"/>
      <x:c r="T700"/>
      <x:c r="U700"/>
      <x:c r="V700" s="59" t="b">
        <x:v>1</x:v>
      </x:c>
      <x:c r="W700"/>
      <x:c r="X700" t="str">
        <x:v>offen</x:v>
      </x:c>
      <x:c r="Y700" t="str">
        <x:v>Agent-Draft; Kategorie und Person pruefen</x:v>
      </x:c>
    </x:row>
    <x:row r="701">
      <x:c r="A701" t="str">
        <x:v>TXN-RAW-IMP-20260516-FULLDRAFT-000685</x:v>
      </x:c>
      <x:c r="B701" t="str">
        <x:v>RAW-IMP-20260516-FULLDRAFT-000685</x:v>
      </x:c>
      <x:c r="C701" t="str">
        <x:v>KTO001</x:v>
      </x:c>
      <x:c r="D701"/>
      <x:c r="E701" t="str">
        <x:v>KAT013</x:v>
      </x:c>
      <x:c r="F701"/>
      <x:c r="G701"/>
      <x:c r="H701" t="str">
        <x:v>kein_match</x:v>
      </x:c>
      <x:c r="I701" t="str">
        <x:v>Agent-Draft: keine finale Regelentscheidung</x:v>
      </x:c>
      <x:c r="J701" t="n">
        <x:v>45931</x:v>
      </x:c>
      <x:c r="K701"/>
      <x:c r="L701"/>
      <x:c r="M701" t="n">
        <x:v>-56.83</x:v>
      </x:c>
      <x:c r="N701" t="str">
        <x:v>2025-10</x:v>
      </x:c>
      <x:c r="O701" t="str">
        <x:v>Ausgabe</x:v>
      </x:c>
      <x:c r="P701" t="str">
        <x:v>Ist</x:v>
      </x:c>
      <x:c r="Q701" s="59" t="b">
        <x:v>0</x:v>
      </x:c>
      <x:c r="R701" t="str">
        <x:v>kein_transfer</x:v>
      </x:c>
      <x:c r="S701"/>
      <x:c r="T701"/>
      <x:c r="U701"/>
      <x:c r="V701" s="59" t="b">
        <x:v>1</x:v>
      </x:c>
      <x:c r="W701"/>
      <x:c r="X701" t="str">
        <x:v>offen</x:v>
      </x:c>
      <x:c r="Y701" t="str">
        <x:v>Agent-Draft; Kategorie und Person pruefen</x:v>
      </x:c>
    </x:row>
    <x:row r="702">
      <x:c r="A702" t="str">
        <x:v>TXN-RAW-IMP-20260516-FULLDRAFT-000686</x:v>
      </x:c>
      <x:c r="B702" t="str">
        <x:v>RAW-IMP-20260516-FULLDRAFT-000686</x:v>
      </x:c>
      <x:c r="C702" t="str">
        <x:v>KTO001</x:v>
      </x:c>
      <x:c r="D702"/>
      <x:c r="E702" t="str">
        <x:v>KAT013</x:v>
      </x:c>
      <x:c r="F702"/>
      <x:c r="G702"/>
      <x:c r="H702" t="str">
        <x:v>kein_match</x:v>
      </x:c>
      <x:c r="I702" t="str">
        <x:v>Agent-Draft: keine finale Regelentscheidung</x:v>
      </x:c>
      <x:c r="J702" t="n">
        <x:v>45931</x:v>
      </x:c>
      <x:c r="K702"/>
      <x:c r="L702"/>
      <x:c r="M702" t="n">
        <x:v>-1.14</x:v>
      </x:c>
      <x:c r="N702" t="str">
        <x:v>2025-10</x:v>
      </x:c>
      <x:c r="O702" t="str">
        <x:v>Ausgabe</x:v>
      </x:c>
      <x:c r="P702" t="str">
        <x:v>Ist</x:v>
      </x:c>
      <x:c r="Q702" s="59" t="b">
        <x:v>0</x:v>
      </x:c>
      <x:c r="R702" t="str">
        <x:v>kein_transfer</x:v>
      </x:c>
      <x:c r="S702"/>
      <x:c r="T702"/>
      <x:c r="U702"/>
      <x:c r="V702" s="59" t="b">
        <x:v>1</x:v>
      </x:c>
      <x:c r="W702"/>
      <x:c r="X702" t="str">
        <x:v>offen</x:v>
      </x:c>
      <x:c r="Y702" t="str">
        <x:v>Agent-Draft; Kategorie und Person pruefen</x:v>
      </x:c>
    </x:row>
    <x:row r="703">
      <x:c r="A703" t="str">
        <x:v>TXN-RAW-IMP-20260516-FULLDRAFT-000687</x:v>
      </x:c>
      <x:c r="B703" t="str">
        <x:v>RAW-IMP-20260516-FULLDRAFT-000687</x:v>
      </x:c>
      <x:c r="C703" t="str">
        <x:v>KTO001</x:v>
      </x:c>
      <x:c r="D703"/>
      <x:c r="E703" t="str">
        <x:v>KAT013</x:v>
      </x:c>
      <x:c r="F703"/>
      <x:c r="G703"/>
      <x:c r="H703" t="str">
        <x:v>kein_match</x:v>
      </x:c>
      <x:c r="I703" t="str">
        <x:v>Agent-Draft: keine finale Regelentscheidung</x:v>
      </x:c>
      <x:c r="J703" t="n">
        <x:v>45930</x:v>
      </x:c>
      <x:c r="K703"/>
      <x:c r="L703"/>
      <x:c r="M703" t="n">
        <x:v>-0.89</x:v>
      </x:c>
      <x:c r="N703" t="str">
        <x:v>2025-09</x:v>
      </x:c>
      <x:c r="O703" t="str">
        <x:v>Ausgabe</x:v>
      </x:c>
      <x:c r="P703" t="str">
        <x:v>Ist</x:v>
      </x:c>
      <x:c r="Q703" s="59" t="b">
        <x:v>0</x:v>
      </x:c>
      <x:c r="R703" t="str">
        <x:v>kein_transfer</x:v>
      </x:c>
      <x:c r="S703"/>
      <x:c r="T703"/>
      <x:c r="U703"/>
      <x:c r="V703" s="59" t="b">
        <x:v>1</x:v>
      </x:c>
      <x:c r="W703"/>
      <x:c r="X703" t="str">
        <x:v>offen</x:v>
      </x:c>
      <x:c r="Y703" t="str">
        <x:v>Agent-Draft; Kategorie und Person pruefen</x:v>
      </x:c>
    </x:row>
    <x:row r="704">
      <x:c r="A704" t="str">
        <x:v>TXN-RAW-IMP-20260516-FULLDRAFT-000688</x:v>
      </x:c>
      <x:c r="B704" t="str">
        <x:v>RAW-IMP-20260516-FULLDRAFT-000688</x:v>
      </x:c>
      <x:c r="C704" t="str">
        <x:v>KTO001</x:v>
      </x:c>
      <x:c r="D704"/>
      <x:c r="E704" t="str">
        <x:v>KAT013</x:v>
      </x:c>
      <x:c r="F704"/>
      <x:c r="G704"/>
      <x:c r="H704" t="str">
        <x:v>kein_match</x:v>
      </x:c>
      <x:c r="I704" t="str">
        <x:v>Agent-Draft: keine finale Regelentscheidung</x:v>
      </x:c>
      <x:c r="J704" t="n">
        <x:v>45930</x:v>
      </x:c>
      <x:c r="K704"/>
      <x:c r="L704"/>
      <x:c r="M704" t="n">
        <x:v>-393</x:v>
      </x:c>
      <x:c r="N704" t="str">
        <x:v>2025-09</x:v>
      </x:c>
      <x:c r="O704" t="str">
        <x:v>Ausgabe</x:v>
      </x:c>
      <x:c r="P704" t="str">
        <x:v>Ist</x:v>
      </x:c>
      <x:c r="Q704" s="59" t="b">
        <x:v>0</x:v>
      </x:c>
      <x:c r="R704" t="str">
        <x:v>kein_transfer</x:v>
      </x:c>
      <x:c r="S704"/>
      <x:c r="T704"/>
      <x:c r="U704"/>
      <x:c r="V704" s="59" t="b">
        <x:v>1</x:v>
      </x:c>
      <x:c r="W704"/>
      <x:c r="X704" t="str">
        <x:v>offen</x:v>
      </x:c>
      <x:c r="Y704" t="str">
        <x:v>Agent-Draft; Kategorie und Person pruefen</x:v>
      </x:c>
    </x:row>
    <x:row r="705">
      <x:c r="A705" t="str">
        <x:v>TXN-RAW-IMP-20260516-FULLDRAFT-000689</x:v>
      </x:c>
      <x:c r="B705" t="str">
        <x:v>RAW-IMP-20260516-FULLDRAFT-000689</x:v>
      </x:c>
      <x:c r="C705" t="str">
        <x:v>KTO001</x:v>
      </x:c>
      <x:c r="D705"/>
      <x:c r="E705" t="str">
        <x:v>KAT013</x:v>
      </x:c>
      <x:c r="F705"/>
      <x:c r="G705"/>
      <x:c r="H705" t="str">
        <x:v>kein_match</x:v>
      </x:c>
      <x:c r="I705" t="str">
        <x:v>Agent-Draft: keine finale Regelentscheidung</x:v>
      </x:c>
      <x:c r="J705" t="n">
        <x:v>45930</x:v>
      </x:c>
      <x:c r="K705"/>
      <x:c r="L705"/>
      <x:c r="M705" t="n">
        <x:v>-1153.94</x:v>
      </x:c>
      <x:c r="N705" t="str">
        <x:v>2025-09</x:v>
      </x:c>
      <x:c r="O705" t="str">
        <x:v>Ausgabe</x:v>
      </x:c>
      <x:c r="P705" t="str">
        <x:v>Ist</x:v>
      </x:c>
      <x:c r="Q705" s="59" t="b">
        <x:v>0</x:v>
      </x:c>
      <x:c r="R705" t="str">
        <x:v>kein_transfer</x:v>
      </x:c>
      <x:c r="S705"/>
      <x:c r="T705"/>
      <x:c r="U705"/>
      <x:c r="V705" s="59" t="b">
        <x:v>1</x:v>
      </x:c>
      <x:c r="W705"/>
      <x:c r="X705" t="str">
        <x:v>offen</x:v>
      </x:c>
      <x:c r="Y705" t="str">
        <x:v>Agent-Draft; Kategorie und Person pruefen</x:v>
      </x:c>
    </x:row>
    <x:row r="706">
      <x:c r="A706" t="str">
        <x:v>TXN-RAW-IMP-20260516-FULLDRAFT-000690</x:v>
      </x:c>
      <x:c r="B706" t="str">
        <x:v>RAW-IMP-20260516-FULLDRAFT-000690</x:v>
      </x:c>
      <x:c r="C706" t="str">
        <x:v>KTO001</x:v>
      </x:c>
      <x:c r="D706"/>
      <x:c r="E706" t="str">
        <x:v>KAT013</x:v>
      </x:c>
      <x:c r="F706"/>
      <x:c r="G706"/>
      <x:c r="H706" t="str">
        <x:v>kein_match</x:v>
      </x:c>
      <x:c r="I706" t="str">
        <x:v>Agent-Draft: keine finale Regelentscheidung</x:v>
      </x:c>
      <x:c r="J706" t="n">
        <x:v>45930</x:v>
      </x:c>
      <x:c r="K706"/>
      <x:c r="L706"/>
      <x:c r="M706" t="n">
        <x:v>-8.99</x:v>
      </x:c>
      <x:c r="N706" t="str">
        <x:v>2025-09</x:v>
      </x:c>
      <x:c r="O706" t="str">
        <x:v>Ausgabe</x:v>
      </x:c>
      <x:c r="P706" t="str">
        <x:v>Ist</x:v>
      </x:c>
      <x:c r="Q706" s="59" t="b">
        <x:v>0</x:v>
      </x:c>
      <x:c r="R706" t="str">
        <x:v>kein_transfer</x:v>
      </x:c>
      <x:c r="S706"/>
      <x:c r="T706"/>
      <x:c r="U706"/>
      <x:c r="V706" s="59" t="b">
        <x:v>1</x:v>
      </x:c>
      <x:c r="W706"/>
      <x:c r="X706" t="str">
        <x:v>offen</x:v>
      </x:c>
      <x:c r="Y706" t="str">
        <x:v>Agent-Draft; Kategorie und Person pruefen</x:v>
      </x:c>
    </x:row>
    <x:row r="707">
      <x:c r="A707" t="str">
        <x:v>TXN-RAW-IMP-20260516-FULLDRAFT-000691</x:v>
      </x:c>
      <x:c r="B707" t="str">
        <x:v>RAW-IMP-20260516-FULLDRAFT-000691</x:v>
      </x:c>
      <x:c r="C707" t="str">
        <x:v>KTO001</x:v>
      </x:c>
      <x:c r="D707"/>
      <x:c r="E707" t="str">
        <x:v>KAT013</x:v>
      </x:c>
      <x:c r="F707"/>
      <x:c r="G707"/>
      <x:c r="H707" t="str">
        <x:v>kein_match</x:v>
      </x:c>
      <x:c r="I707" t="str">
        <x:v>Agent-Draft: keine finale Regelentscheidung</x:v>
      </x:c>
      <x:c r="J707" t="n">
        <x:v>45930</x:v>
      </x:c>
      <x:c r="K707"/>
      <x:c r="L707"/>
      <x:c r="M707" t="n">
        <x:v>-10</x:v>
      </x:c>
      <x:c r="N707" t="str">
        <x:v>2025-09</x:v>
      </x:c>
      <x:c r="O707" t="str">
        <x:v>Ausgabe</x:v>
      </x:c>
      <x:c r="P707" t="str">
        <x:v>Ist</x:v>
      </x:c>
      <x:c r="Q707" s="59" t="b">
        <x:v>0</x:v>
      </x:c>
      <x:c r="R707" t="str">
        <x:v>kein_transfer</x:v>
      </x:c>
      <x:c r="S707"/>
      <x:c r="T707"/>
      <x:c r="U707"/>
      <x:c r="V707" s="59" t="b">
        <x:v>1</x:v>
      </x:c>
      <x:c r="W707"/>
      <x:c r="X707" t="str">
        <x:v>offen</x:v>
      </x:c>
      <x:c r="Y707" t="str">
        <x:v>Agent-Draft; Kategorie und Person pruefen</x:v>
      </x:c>
    </x:row>
    <x:row r="708">
      <x:c r="A708" t="str">
        <x:v>TXN-RAW-IMP-20260516-FULLDRAFT-000692</x:v>
      </x:c>
      <x:c r="B708" t="str">
        <x:v>RAW-IMP-20260516-FULLDRAFT-000692</x:v>
      </x:c>
      <x:c r="C708" t="str">
        <x:v>KTO001</x:v>
      </x:c>
      <x:c r="D708"/>
      <x:c r="E708" t="str">
        <x:v>KAT013</x:v>
      </x:c>
      <x:c r="F708"/>
      <x:c r="G708"/>
      <x:c r="H708" t="str">
        <x:v>kein_match</x:v>
      </x:c>
      <x:c r="I708" t="str">
        <x:v>Agent-Draft: keine finale Regelentscheidung</x:v>
      </x:c>
      <x:c r="J708" t="n">
        <x:v>45930</x:v>
      </x:c>
      <x:c r="K708"/>
      <x:c r="L708"/>
      <x:c r="M708" t="n">
        <x:v>-100</x:v>
      </x:c>
      <x:c r="N708" t="str">
        <x:v>2025-09</x:v>
      </x:c>
      <x:c r="O708" t="str">
        <x:v>Ausgabe</x:v>
      </x:c>
      <x:c r="P708" t="str">
        <x:v>Ist</x:v>
      </x:c>
      <x:c r="Q708" s="59" t="b">
        <x:v>0</x:v>
      </x:c>
      <x:c r="R708" t="str">
        <x:v>kein_transfer</x:v>
      </x:c>
      <x:c r="S708"/>
      <x:c r="T708"/>
      <x:c r="U708"/>
      <x:c r="V708" s="59" t="b">
        <x:v>1</x:v>
      </x:c>
      <x:c r="W708"/>
      <x:c r="X708" t="str">
        <x:v>offen</x:v>
      </x:c>
      <x:c r="Y708" t="str">
        <x:v>Agent-Draft; Kategorie und Person pruefen</x:v>
      </x:c>
    </x:row>
    <x:row r="709">
      <x:c r="A709" t="str">
        <x:v>TXN-RAW-IMP-20260516-FULLDRAFT-000693</x:v>
      </x:c>
      <x:c r="B709" t="str">
        <x:v>RAW-IMP-20260516-FULLDRAFT-000693</x:v>
      </x:c>
      <x:c r="C709" t="str">
        <x:v>KTO001</x:v>
      </x:c>
      <x:c r="D709"/>
      <x:c r="E709" t="str">
        <x:v>KAT013</x:v>
      </x:c>
      <x:c r="F709"/>
      <x:c r="G709"/>
      <x:c r="H709" t="str">
        <x:v>kein_match</x:v>
      </x:c>
      <x:c r="I709" t="str">
        <x:v>Agent-Draft: keine finale Regelentscheidung</x:v>
      </x:c>
      <x:c r="J709" t="n">
        <x:v>45929</x:v>
      </x:c>
      <x:c r="K709"/>
      <x:c r="L709"/>
      <x:c r="M709" t="n">
        <x:v>7939.81</x:v>
      </x:c>
      <x:c r="N709" t="str">
        <x:v>2025-09</x:v>
      </x:c>
      <x:c r="O709" t="str">
        <x:v>Einnahme</x:v>
      </x:c>
      <x:c r="P709" t="str">
        <x:v>Ist</x:v>
      </x:c>
      <x:c r="Q709" s="59" t="b">
        <x:v>0</x:v>
      </x:c>
      <x:c r="R709" t="str">
        <x:v>kein_transfer</x:v>
      </x:c>
      <x:c r="S709"/>
      <x:c r="T709"/>
      <x:c r="U709"/>
      <x:c r="V709" s="59" t="b">
        <x:v>1</x:v>
      </x:c>
      <x:c r="W709"/>
      <x:c r="X709" t="str">
        <x:v>offen</x:v>
      </x:c>
      <x:c r="Y709" t="str">
        <x:v>Agent-Draft; Kategorie und Person pruefen</x:v>
      </x:c>
    </x:row>
    <x:row r="710">
      <x:c r="A710" t="str">
        <x:v>TXN-RAW-IMP-20260516-FULLDRAFT-000694</x:v>
      </x:c>
      <x:c r="B710" t="str">
        <x:v>RAW-IMP-20260516-FULLDRAFT-000694</x:v>
      </x:c>
      <x:c r="C710" t="str">
        <x:v>KTO001</x:v>
      </x:c>
      <x:c r="D710"/>
      <x:c r="E710" t="str">
        <x:v>KAT013</x:v>
      </x:c>
      <x:c r="F710"/>
      <x:c r="G710"/>
      <x:c r="H710" t="str">
        <x:v>kein_match</x:v>
      </x:c>
      <x:c r="I710" t="str">
        <x:v>Agent-Draft: keine finale Regelentscheidung</x:v>
      </x:c>
      <x:c r="J710" t="n">
        <x:v>45929</x:v>
      </x:c>
      <x:c r="K710"/>
      <x:c r="L710"/>
      <x:c r="M710" t="n">
        <x:v>-7.95</x:v>
      </x:c>
      <x:c r="N710" t="str">
        <x:v>2025-09</x:v>
      </x:c>
      <x:c r="O710" t="str">
        <x:v>Ausgabe</x:v>
      </x:c>
      <x:c r="P710" t="str">
        <x:v>Ist</x:v>
      </x:c>
      <x:c r="Q710" s="59" t="b">
        <x:v>0</x:v>
      </x:c>
      <x:c r="R710" t="str">
        <x:v>kein_transfer</x:v>
      </x:c>
      <x:c r="S710"/>
      <x:c r="T710"/>
      <x:c r="U710"/>
      <x:c r="V710" s="59" t="b">
        <x:v>1</x:v>
      </x:c>
      <x:c r="W710"/>
      <x:c r="X710" t="str">
        <x:v>offen</x:v>
      </x:c>
      <x:c r="Y710" t="str">
        <x:v>Agent-Draft; Kategorie und Person pruefen</x:v>
      </x:c>
    </x:row>
    <x:row r="711">
      <x:c r="A711" t="str">
        <x:v>TXN-RAW-IMP-20260516-FULLDRAFT-000695</x:v>
      </x:c>
      <x:c r="B711" t="str">
        <x:v>RAW-IMP-20260516-FULLDRAFT-000695</x:v>
      </x:c>
      <x:c r="C711" t="str">
        <x:v>KTO001</x:v>
      </x:c>
      <x:c r="D711"/>
      <x:c r="E711" t="str">
        <x:v>KAT013</x:v>
      </x:c>
      <x:c r="F711"/>
      <x:c r="G711"/>
      <x:c r="H711" t="str">
        <x:v>kein_match</x:v>
      </x:c>
      <x:c r="I711" t="str">
        <x:v>Agent-Draft: keine finale Regelentscheidung</x:v>
      </x:c>
      <x:c r="J711" t="n">
        <x:v>45929</x:v>
      </x:c>
      <x:c r="K711"/>
      <x:c r="L711"/>
      <x:c r="M711" t="n">
        <x:v>-19.94</x:v>
      </x:c>
      <x:c r="N711" t="str">
        <x:v>2025-09</x:v>
      </x:c>
      <x:c r="O711" t="str">
        <x:v>Ausgabe</x:v>
      </x:c>
      <x:c r="P711" t="str">
        <x:v>Ist</x:v>
      </x:c>
      <x:c r="Q711" s="59" t="b">
        <x:v>0</x:v>
      </x:c>
      <x:c r="R711" t="str">
        <x:v>kein_transfer</x:v>
      </x:c>
      <x:c r="S711"/>
      <x:c r="T711"/>
      <x:c r="U711"/>
      <x:c r="V711" s="59" t="b">
        <x:v>1</x:v>
      </x:c>
      <x:c r="W711"/>
      <x:c r="X711" t="str">
        <x:v>offen</x:v>
      </x:c>
      <x:c r="Y711" t="str">
        <x:v>Agent-Draft; Kategorie und Person pruefen</x:v>
      </x:c>
    </x:row>
    <x:row r="712">
      <x:c r="A712" t="str">
        <x:v>TXN-RAW-IMP-20260516-FULLDRAFT-000696</x:v>
      </x:c>
      <x:c r="B712" t="str">
        <x:v>RAW-IMP-20260516-FULLDRAFT-000696</x:v>
      </x:c>
      <x:c r="C712" t="str">
        <x:v>KTO001</x:v>
      </x:c>
      <x:c r="D712"/>
      <x:c r="E712" t="str">
        <x:v>KAT013</x:v>
      </x:c>
      <x:c r="F712"/>
      <x:c r="G712"/>
      <x:c r="H712" t="str">
        <x:v>kein_match</x:v>
      </x:c>
      <x:c r="I712" t="str">
        <x:v>Agent-Draft: keine finale Regelentscheidung</x:v>
      </x:c>
      <x:c r="J712" t="n">
        <x:v>45929</x:v>
      </x:c>
      <x:c r="K712"/>
      <x:c r="L712"/>
      <x:c r="M712" t="n">
        <x:v>-223.8</x:v>
      </x:c>
      <x:c r="N712" t="str">
        <x:v>2025-09</x:v>
      </x:c>
      <x:c r="O712" t="str">
        <x:v>Ausgabe</x:v>
      </x:c>
      <x:c r="P712" t="str">
        <x:v>Ist</x:v>
      </x:c>
      <x:c r="Q712" s="59" t="b">
        <x:v>0</x:v>
      </x:c>
      <x:c r="R712" t="str">
        <x:v>kein_transfer</x:v>
      </x:c>
      <x:c r="S712"/>
      <x:c r="T712"/>
      <x:c r="U712"/>
      <x:c r="V712" s="59" t="b">
        <x:v>1</x:v>
      </x:c>
      <x:c r="W712"/>
      <x:c r="X712" t="str">
        <x:v>offen</x:v>
      </x:c>
      <x:c r="Y712" t="str">
        <x:v>Agent-Draft; Kategorie und Person pruefen</x:v>
      </x:c>
    </x:row>
    <x:row r="713">
      <x:c r="A713" t="str">
        <x:v>TXN-RAW-IMP-20260516-FULLDRAFT-000697</x:v>
      </x:c>
      <x:c r="B713" t="str">
        <x:v>RAW-IMP-20260516-FULLDRAFT-000697</x:v>
      </x:c>
      <x:c r="C713" t="str">
        <x:v>KTO001</x:v>
      </x:c>
      <x:c r="D713"/>
      <x:c r="E713" t="str">
        <x:v>KAT013</x:v>
      </x:c>
      <x:c r="F713"/>
      <x:c r="G713"/>
      <x:c r="H713" t="str">
        <x:v>kein_match</x:v>
      </x:c>
      <x:c r="I713" t="str">
        <x:v>Agent-Draft: keine finale Regelentscheidung</x:v>
      </x:c>
      <x:c r="J713" t="n">
        <x:v>45929</x:v>
      </x:c>
      <x:c r="K713"/>
      <x:c r="L713"/>
      <x:c r="M713" t="n">
        <x:v>-79.04</x:v>
      </x:c>
      <x:c r="N713" t="str">
        <x:v>2025-09</x:v>
      </x:c>
      <x:c r="O713" t="str">
        <x:v>Ausgabe</x:v>
      </x:c>
      <x:c r="P713" t="str">
        <x:v>Ist</x:v>
      </x:c>
      <x:c r="Q713" s="59" t="b">
        <x:v>0</x:v>
      </x:c>
      <x:c r="R713" t="str">
        <x:v>kein_transfer</x:v>
      </x:c>
      <x:c r="S713"/>
      <x:c r="T713"/>
      <x:c r="U713"/>
      <x:c r="V713" s="59" t="b">
        <x:v>1</x:v>
      </x:c>
      <x:c r="W713"/>
      <x:c r="X713" t="str">
        <x:v>offen</x:v>
      </x:c>
      <x:c r="Y713" t="str">
        <x:v>Agent-Draft; Kategorie und Person pruefen</x:v>
      </x:c>
    </x:row>
    <x:row r="714">
      <x:c r="A714" t="str">
        <x:v>TXN-RAW-IMP-20260516-FULLDRAFT-000698</x:v>
      </x:c>
      <x:c r="B714" t="str">
        <x:v>RAW-IMP-20260516-FULLDRAFT-000698</x:v>
      </x:c>
      <x:c r="C714" t="str">
        <x:v>KTO001</x:v>
      </x:c>
      <x:c r="D714"/>
      <x:c r="E714" t="str">
        <x:v>KAT013</x:v>
      </x:c>
      <x:c r="F714"/>
      <x:c r="G714"/>
      <x:c r="H714" t="str">
        <x:v>kein_match</x:v>
      </x:c>
      <x:c r="I714" t="str">
        <x:v>Agent-Draft: keine finale Regelentscheidung</x:v>
      </x:c>
      <x:c r="J714" t="n">
        <x:v>45929</x:v>
      </x:c>
      <x:c r="K714"/>
      <x:c r="L714"/>
      <x:c r="M714" t="n">
        <x:v>-106</x:v>
      </x:c>
      <x:c r="N714" t="str">
        <x:v>2025-09</x:v>
      </x:c>
      <x:c r="O714" t="str">
        <x:v>Ausgabe</x:v>
      </x:c>
      <x:c r="P714" t="str">
        <x:v>Ist</x:v>
      </x:c>
      <x:c r="Q714" s="59" t="b">
        <x:v>0</x:v>
      </x:c>
      <x:c r="R714" t="str">
        <x:v>kein_transfer</x:v>
      </x:c>
      <x:c r="S714"/>
      <x:c r="T714"/>
      <x:c r="U714"/>
      <x:c r="V714" s="59" t="b">
        <x:v>1</x:v>
      </x:c>
      <x:c r="W714"/>
      <x:c r="X714" t="str">
        <x:v>offen</x:v>
      </x:c>
      <x:c r="Y714" t="str">
        <x:v>Agent-Draft; Kategorie und Person pruefen</x:v>
      </x:c>
    </x:row>
    <x:row r="715">
      <x:c r="A715" t="str">
        <x:v>TXN-RAW-IMP-20260516-FULLDRAFT-000699</x:v>
      </x:c>
      <x:c r="B715" t="str">
        <x:v>RAW-IMP-20260516-FULLDRAFT-000699</x:v>
      </x:c>
      <x:c r="C715" t="str">
        <x:v>KTO001</x:v>
      </x:c>
      <x:c r="D715"/>
      <x:c r="E715" t="str">
        <x:v>KAT013</x:v>
      </x:c>
      <x:c r="F715"/>
      <x:c r="G715"/>
      <x:c r="H715" t="str">
        <x:v>kein_match</x:v>
      </x:c>
      <x:c r="I715" t="str">
        <x:v>Agent-Draft: keine finale Regelentscheidung</x:v>
      </x:c>
      <x:c r="J715" t="n">
        <x:v>45929</x:v>
      </x:c>
      <x:c r="K715"/>
      <x:c r="L715"/>
      <x:c r="M715" t="n">
        <x:v>-90</x:v>
      </x:c>
      <x:c r="N715" t="str">
        <x:v>2025-09</x:v>
      </x:c>
      <x:c r="O715" t="str">
        <x:v>Ausgabe</x:v>
      </x:c>
      <x:c r="P715" t="str">
        <x:v>Ist</x:v>
      </x:c>
      <x:c r="Q715" s="59" t="b">
        <x:v>0</x:v>
      </x:c>
      <x:c r="R715" t="str">
        <x:v>kein_transfer</x:v>
      </x:c>
      <x:c r="S715"/>
      <x:c r="T715"/>
      <x:c r="U715"/>
      <x:c r="V715" s="59" t="b">
        <x:v>1</x:v>
      </x:c>
      <x:c r="W715"/>
      <x:c r="X715" t="str">
        <x:v>offen</x:v>
      </x:c>
      <x:c r="Y715" t="str">
        <x:v>Agent-Draft; Kategorie und Person pruefen</x:v>
      </x:c>
    </x:row>
    <x:row r="716">
      <x:c r="A716" t="str">
        <x:v>TXN-RAW-IMP-20260516-FULLDRAFT-000700</x:v>
      </x:c>
      <x:c r="B716" t="str">
        <x:v>RAW-IMP-20260516-FULLDRAFT-000700</x:v>
      </x:c>
      <x:c r="C716" t="str">
        <x:v>KTO001</x:v>
      </x:c>
      <x:c r="D716"/>
      <x:c r="E716" t="str">
        <x:v>KAT013</x:v>
      </x:c>
      <x:c r="F716"/>
      <x:c r="G716"/>
      <x:c r="H716" t="str">
        <x:v>kein_match</x:v>
      </x:c>
      <x:c r="I716" t="str">
        <x:v>Agent-Draft: keine finale Regelentscheidung</x:v>
      </x:c>
      <x:c r="J716" t="n">
        <x:v>45926</x:v>
      </x:c>
      <x:c r="K716"/>
      <x:c r="L716"/>
      <x:c r="M716" t="n">
        <x:v>-10.25</x:v>
      </x:c>
      <x:c r="N716" t="str">
        <x:v>2025-09</x:v>
      </x:c>
      <x:c r="O716" t="str">
        <x:v>Ausgabe</x:v>
      </x:c>
      <x:c r="P716" t="str">
        <x:v>Ist</x:v>
      </x:c>
      <x:c r="Q716" s="59" t="b">
        <x:v>0</x:v>
      </x:c>
      <x:c r="R716" t="str">
        <x:v>kein_transfer</x:v>
      </x:c>
      <x:c r="S716"/>
      <x:c r="T716"/>
      <x:c r="U716"/>
      <x:c r="V716" s="59" t="b">
        <x:v>1</x:v>
      </x:c>
      <x:c r="W716"/>
      <x:c r="X716" t="str">
        <x:v>offen</x:v>
      </x:c>
      <x:c r="Y716" t="str">
        <x:v>Agent-Draft; Kategorie und Person pruefen</x:v>
      </x:c>
    </x:row>
    <x:row r="717">
      <x:c r="A717" t="str">
        <x:v>TXN-RAW-IMP-20260516-FULLDRAFT-000701</x:v>
      </x:c>
      <x:c r="B717" t="str">
        <x:v>RAW-IMP-20260516-FULLDRAFT-000701</x:v>
      </x:c>
      <x:c r="C717" t="str">
        <x:v>KTO001</x:v>
      </x:c>
      <x:c r="D717"/>
      <x:c r="E717" t="str">
        <x:v>KAT013</x:v>
      </x:c>
      <x:c r="F717"/>
      <x:c r="G717"/>
      <x:c r="H717" t="str">
        <x:v>kein_match</x:v>
      </x:c>
      <x:c r="I717" t="str">
        <x:v>Agent-Draft: keine finale Regelentscheidung</x:v>
      </x:c>
      <x:c r="J717" t="n">
        <x:v>45926</x:v>
      </x:c>
      <x:c r="K717"/>
      <x:c r="L717"/>
      <x:c r="M717" t="n">
        <x:v>-273.5</x:v>
      </x:c>
      <x:c r="N717" t="str">
        <x:v>2025-09</x:v>
      </x:c>
      <x:c r="O717" t="str">
        <x:v>Ausgabe</x:v>
      </x:c>
      <x:c r="P717" t="str">
        <x:v>Ist</x:v>
      </x:c>
      <x:c r="Q717" s="59" t="b">
        <x:v>0</x:v>
      </x:c>
      <x:c r="R717" t="str">
        <x:v>kein_transfer</x:v>
      </x:c>
      <x:c r="S717"/>
      <x:c r="T717"/>
      <x:c r="U717"/>
      <x:c r="V717" s="59" t="b">
        <x:v>1</x:v>
      </x:c>
      <x:c r="W717"/>
      <x:c r="X717" t="str">
        <x:v>offen</x:v>
      </x:c>
      <x:c r="Y717" t="str">
        <x:v>Agent-Draft; Kategorie und Person pruefen</x:v>
      </x:c>
    </x:row>
    <x:row r="718">
      <x:c r="A718" t="str">
        <x:v>TXN-RAW-IMP-20260516-FULLDRAFT-000702</x:v>
      </x:c>
      <x:c r="B718" t="str">
        <x:v>RAW-IMP-20260516-FULLDRAFT-000702</x:v>
      </x:c>
      <x:c r="C718" t="str">
        <x:v>KTO001</x:v>
      </x:c>
      <x:c r="D718"/>
      <x:c r="E718" t="str">
        <x:v>KAT013</x:v>
      </x:c>
      <x:c r="F718"/>
      <x:c r="G718"/>
      <x:c r="H718" t="str">
        <x:v>kein_match</x:v>
      </x:c>
      <x:c r="I718" t="str">
        <x:v>Agent-Draft: keine finale Regelentscheidung</x:v>
      </x:c>
      <x:c r="J718" t="n">
        <x:v>45926</x:v>
      </x:c>
      <x:c r="K718"/>
      <x:c r="L718"/>
      <x:c r="M718" t="n">
        <x:v>-200</x:v>
      </x:c>
      <x:c r="N718" t="str">
        <x:v>2025-09</x:v>
      </x:c>
      <x:c r="O718" t="str">
        <x:v>Ausgabe</x:v>
      </x:c>
      <x:c r="P718" t="str">
        <x:v>Ist</x:v>
      </x:c>
      <x:c r="Q718" s="59" t="b">
        <x:v>0</x:v>
      </x:c>
      <x:c r="R718" t="str">
        <x:v>kein_transfer</x:v>
      </x:c>
      <x:c r="S718"/>
      <x:c r="T718"/>
      <x:c r="U718"/>
      <x:c r="V718" s="59" t="b">
        <x:v>1</x:v>
      </x:c>
      <x:c r="W718"/>
      <x:c r="X718" t="str">
        <x:v>offen</x:v>
      </x:c>
      <x:c r="Y718" t="str">
        <x:v>Agent-Draft; Kategorie und Person pruefen</x:v>
      </x:c>
    </x:row>
    <x:row r="719">
      <x:c r="A719" t="str">
        <x:v>TXN-RAW-IMP-20260516-FULLDRAFT-000703</x:v>
      </x:c>
      <x:c r="B719" t="str">
        <x:v>RAW-IMP-20260516-FULLDRAFT-000703</x:v>
      </x:c>
      <x:c r="C719" t="str">
        <x:v>KTO001</x:v>
      </x:c>
      <x:c r="D719"/>
      <x:c r="E719" t="str">
        <x:v>KAT013</x:v>
      </x:c>
      <x:c r="F719"/>
      <x:c r="G719"/>
      <x:c r="H719" t="str">
        <x:v>kein_match</x:v>
      </x:c>
      <x:c r="I719" t="str">
        <x:v>Agent-Draft: keine finale Regelentscheidung</x:v>
      </x:c>
      <x:c r="J719" t="n">
        <x:v>45925</x:v>
      </x:c>
      <x:c r="K719"/>
      <x:c r="L719"/>
      <x:c r="M719" t="n">
        <x:v>-2.11</x:v>
      </x:c>
      <x:c r="N719" t="str">
        <x:v>2025-09</x:v>
      </x:c>
      <x:c r="O719" t="str">
        <x:v>Ausgabe</x:v>
      </x:c>
      <x:c r="P719" t="str">
        <x:v>Ist</x:v>
      </x:c>
      <x:c r="Q719" s="59" t="b">
        <x:v>0</x:v>
      </x:c>
      <x:c r="R719" t="str">
        <x:v>kein_transfer</x:v>
      </x:c>
      <x:c r="S719"/>
      <x:c r="T719"/>
      <x:c r="U719"/>
      <x:c r="V719" s="59" t="b">
        <x:v>1</x:v>
      </x:c>
      <x:c r="W719"/>
      <x:c r="X719" t="str">
        <x:v>offen</x:v>
      </x:c>
      <x:c r="Y719" t="str">
        <x:v>Agent-Draft; Kategorie und Person pruefen</x:v>
      </x:c>
    </x:row>
    <x:row r="720">
      <x:c r="A720" t="str">
        <x:v>TXN-RAW-IMP-20260516-FULLDRAFT-000704</x:v>
      </x:c>
      <x:c r="B720" t="str">
        <x:v>RAW-IMP-20260516-FULLDRAFT-000704</x:v>
      </x:c>
      <x:c r="C720" t="str">
        <x:v>KTO001</x:v>
      </x:c>
      <x:c r="D720"/>
      <x:c r="E720" t="str">
        <x:v>KAT013</x:v>
      </x:c>
      <x:c r="F720"/>
      <x:c r="G720"/>
      <x:c r="H720" t="str">
        <x:v>kein_match</x:v>
      </x:c>
      <x:c r="I720" t="str">
        <x:v>Agent-Draft: keine finale Regelentscheidung</x:v>
      </x:c>
      <x:c r="J720" t="n">
        <x:v>45925</x:v>
      </x:c>
      <x:c r="K720"/>
      <x:c r="L720"/>
      <x:c r="M720" t="n">
        <x:v>-32.19</x:v>
      </x:c>
      <x:c r="N720" t="str">
        <x:v>2025-09</x:v>
      </x:c>
      <x:c r="O720" t="str">
        <x:v>Ausgabe</x:v>
      </x:c>
      <x:c r="P720" t="str">
        <x:v>Ist</x:v>
      </x:c>
      <x:c r="Q720" s="59" t="b">
        <x:v>0</x:v>
      </x:c>
      <x:c r="R720" t="str">
        <x:v>kein_transfer</x:v>
      </x:c>
      <x:c r="S720"/>
      <x:c r="T720"/>
      <x:c r="U720"/>
      <x:c r="V720" s="59" t="b">
        <x:v>1</x:v>
      </x:c>
      <x:c r="W720"/>
      <x:c r="X720" t="str">
        <x:v>offen</x:v>
      </x:c>
      <x:c r="Y720" t="str">
        <x:v>Agent-Draft; Kategorie und Person pruefen</x:v>
      </x:c>
    </x:row>
    <x:row r="721">
      <x:c r="A721" t="str">
        <x:v>TXN-RAW-IMP-20260516-FULLDRAFT-000705</x:v>
      </x:c>
      <x:c r="B721" t="str">
        <x:v>RAW-IMP-20260516-FULLDRAFT-000705</x:v>
      </x:c>
      <x:c r="C721" t="str">
        <x:v>KTO001</x:v>
      </x:c>
      <x:c r="D721"/>
      <x:c r="E721" t="str">
        <x:v>KAT013</x:v>
      </x:c>
      <x:c r="F721"/>
      <x:c r="G721"/>
      <x:c r="H721" t="str">
        <x:v>kein_match</x:v>
      </x:c>
      <x:c r="I721" t="str">
        <x:v>Agent-Draft: keine finale Regelentscheidung</x:v>
      </x:c>
      <x:c r="J721" t="n">
        <x:v>45924</x:v>
      </x:c>
      <x:c r="K721"/>
      <x:c r="L721"/>
      <x:c r="M721" t="n">
        <x:v>-30070.43</x:v>
      </x:c>
      <x:c r="N721" t="str">
        <x:v>2025-09</x:v>
      </x:c>
      <x:c r="O721" t="str">
        <x:v>Ausgabe</x:v>
      </x:c>
      <x:c r="P721" t="str">
        <x:v>Ist</x:v>
      </x:c>
      <x:c r="Q721" s="59" t="b">
        <x:v>0</x:v>
      </x:c>
      <x:c r="R721" t="str">
        <x:v>kein_transfer</x:v>
      </x:c>
      <x:c r="S721"/>
      <x:c r="T721"/>
      <x:c r="U721"/>
      <x:c r="V721" s="59" t="b">
        <x:v>1</x:v>
      </x:c>
      <x:c r="W721"/>
      <x:c r="X721" t="str">
        <x:v>offen</x:v>
      </x:c>
      <x:c r="Y721" t="str">
        <x:v>Agent-Draft; Kategorie und Person pruefen</x:v>
      </x:c>
    </x:row>
    <x:row r="722">
      <x:c r="A722" t="str">
        <x:v>TXN-RAW-IMP-20260516-FULLDRAFT-000706</x:v>
      </x:c>
      <x:c r="B722" t="str">
        <x:v>RAW-IMP-20260516-FULLDRAFT-000706</x:v>
      </x:c>
      <x:c r="C722" t="str">
        <x:v>KTO001</x:v>
      </x:c>
      <x:c r="D722"/>
      <x:c r="E722" t="str">
        <x:v>KAT013</x:v>
      </x:c>
      <x:c r="F722"/>
      <x:c r="G722"/>
      <x:c r="H722" t="str">
        <x:v>kein_match</x:v>
      </x:c>
      <x:c r="I722" t="str">
        <x:v>Agent-Draft: keine finale Regelentscheidung</x:v>
      </x:c>
      <x:c r="J722" t="n">
        <x:v>45924</x:v>
      </x:c>
      <x:c r="K722"/>
      <x:c r="L722"/>
      <x:c r="M722" t="n">
        <x:v>-8.3</x:v>
      </x:c>
      <x:c r="N722" t="str">
        <x:v>2025-09</x:v>
      </x:c>
      <x:c r="O722" t="str">
        <x:v>Ausgabe</x:v>
      </x:c>
      <x:c r="P722" t="str">
        <x:v>Ist</x:v>
      </x:c>
      <x:c r="Q722" s="59" t="b">
        <x:v>0</x:v>
      </x:c>
      <x:c r="R722" t="str">
        <x:v>kein_transfer</x:v>
      </x:c>
      <x:c r="S722"/>
      <x:c r="T722"/>
      <x:c r="U722"/>
      <x:c r="V722" s="59" t="b">
        <x:v>1</x:v>
      </x:c>
      <x:c r="W722"/>
      <x:c r="X722" t="str">
        <x:v>offen</x:v>
      </x:c>
      <x:c r="Y722" t="str">
        <x:v>Agent-Draft; Kategorie und Person pruefen</x:v>
      </x:c>
    </x:row>
    <x:row r="723">
      <x:c r="A723" t="str">
        <x:v>TXN-RAW-IMP-20260516-FULLDRAFT-000707</x:v>
      </x:c>
      <x:c r="B723" t="str">
        <x:v>RAW-IMP-20260516-FULLDRAFT-000707</x:v>
      </x:c>
      <x:c r="C723" t="str">
        <x:v>KTO001</x:v>
      </x:c>
      <x:c r="D723"/>
      <x:c r="E723" t="str">
        <x:v>KAT013</x:v>
      </x:c>
      <x:c r="F723"/>
      <x:c r="G723"/>
      <x:c r="H723" t="str">
        <x:v>kein_match</x:v>
      </x:c>
      <x:c r="I723" t="str">
        <x:v>Agent-Draft: keine finale Regelentscheidung</x:v>
      </x:c>
      <x:c r="J723" t="n">
        <x:v>45924</x:v>
      </x:c>
      <x:c r="K723"/>
      <x:c r="L723"/>
      <x:c r="M723" t="n">
        <x:v>20000</x:v>
      </x:c>
      <x:c r="N723" t="str">
        <x:v>2025-09</x:v>
      </x:c>
      <x:c r="O723" t="str">
        <x:v>Einnahme</x:v>
      </x:c>
      <x:c r="P723" t="str">
        <x:v>Ist</x:v>
      </x:c>
      <x:c r="Q723" s="59" t="b">
        <x:v>0</x:v>
      </x:c>
      <x:c r="R723" t="str">
        <x:v>kein_transfer</x:v>
      </x:c>
      <x:c r="S723"/>
      <x:c r="T723"/>
      <x:c r="U723"/>
      <x:c r="V723" s="59" t="b">
        <x:v>1</x:v>
      </x:c>
      <x:c r="W723"/>
      <x:c r="X723" t="str">
        <x:v>offen</x:v>
      </x:c>
      <x:c r="Y723" t="str">
        <x:v>Agent-Draft; Kategorie und Person pruefen</x:v>
      </x:c>
    </x:row>
    <x:row r="724">
      <x:c r="A724" t="str">
        <x:v>TXN-RAW-IMP-20260516-FULLDRAFT-000708</x:v>
      </x:c>
      <x:c r="B724" t="str">
        <x:v>RAW-IMP-20260516-FULLDRAFT-000708</x:v>
      </x:c>
      <x:c r="C724" t="str">
        <x:v>KTO001</x:v>
      </x:c>
      <x:c r="D724"/>
      <x:c r="E724" t="str">
        <x:v>KAT013</x:v>
      </x:c>
      <x:c r="F724"/>
      <x:c r="G724"/>
      <x:c r="H724" t="str">
        <x:v>kein_match</x:v>
      </x:c>
      <x:c r="I724" t="str">
        <x:v>Agent-Draft: keine finale Regelentscheidung</x:v>
      </x:c>
      <x:c r="J724" t="n">
        <x:v>45924</x:v>
      </x:c>
      <x:c r="K724"/>
      <x:c r="L724"/>
      <x:c r="M724" t="n">
        <x:v>-10.73</x:v>
      </x:c>
      <x:c r="N724" t="str">
        <x:v>2025-09</x:v>
      </x:c>
      <x:c r="O724" t="str">
        <x:v>Ausgabe</x:v>
      </x:c>
      <x:c r="P724" t="str">
        <x:v>Ist</x:v>
      </x:c>
      <x:c r="Q724" s="59" t="b">
        <x:v>0</x:v>
      </x:c>
      <x:c r="R724" t="str">
        <x:v>kein_transfer</x:v>
      </x:c>
      <x:c r="S724"/>
      <x:c r="T724"/>
      <x:c r="U724"/>
      <x:c r="V724" s="59" t="b">
        <x:v>1</x:v>
      </x:c>
      <x:c r="W724"/>
      <x:c r="X724" t="str">
        <x:v>offen</x:v>
      </x:c>
      <x:c r="Y724" t="str">
        <x:v>Agent-Draft; Kategorie und Person pruefen</x:v>
      </x:c>
    </x:row>
    <x:row r="725">
      <x:c r="A725" t="str">
        <x:v>TXN-RAW-IMP-20260516-FULLDRAFT-000709</x:v>
      </x:c>
      <x:c r="B725" t="str">
        <x:v>RAW-IMP-20260516-FULLDRAFT-000709</x:v>
      </x:c>
      <x:c r="C725" t="str">
        <x:v>KTO001</x:v>
      </x:c>
      <x:c r="D725"/>
      <x:c r="E725" t="str">
        <x:v>KAT013</x:v>
      </x:c>
      <x:c r="F725"/>
      <x:c r="G725"/>
      <x:c r="H725" t="str">
        <x:v>kein_match</x:v>
      </x:c>
      <x:c r="I725" t="str">
        <x:v>Agent-Draft: keine finale Regelentscheidung</x:v>
      </x:c>
      <x:c r="J725" t="n">
        <x:v>45923</x:v>
      </x:c>
      <x:c r="K725"/>
      <x:c r="L725"/>
      <x:c r="M725" t="n">
        <x:v>-5.98</x:v>
      </x:c>
      <x:c r="N725" t="str">
        <x:v>2025-09</x:v>
      </x:c>
      <x:c r="O725" t="str">
        <x:v>Ausgabe</x:v>
      </x:c>
      <x:c r="P725" t="str">
        <x:v>Ist</x:v>
      </x:c>
      <x:c r="Q725" s="59" t="b">
        <x:v>0</x:v>
      </x:c>
      <x:c r="R725" t="str">
        <x:v>kein_transfer</x:v>
      </x:c>
      <x:c r="S725"/>
      <x:c r="T725"/>
      <x:c r="U725"/>
      <x:c r="V725" s="59" t="b">
        <x:v>1</x:v>
      </x:c>
      <x:c r="W725"/>
      <x:c r="X725" t="str">
        <x:v>offen</x:v>
      </x:c>
      <x:c r="Y725" t="str">
        <x:v>Agent-Draft; Kategorie und Person pruefen</x:v>
      </x:c>
    </x:row>
    <x:row r="726">
      <x:c r="A726" t="str">
        <x:v>TXN-RAW-IMP-20260516-FULLDRAFT-000710</x:v>
      </x:c>
      <x:c r="B726" t="str">
        <x:v>RAW-IMP-20260516-FULLDRAFT-000710</x:v>
      </x:c>
      <x:c r="C726" t="str">
        <x:v>KTO001</x:v>
      </x:c>
      <x:c r="D726"/>
      <x:c r="E726" t="str">
        <x:v>KAT013</x:v>
      </x:c>
      <x:c r="F726"/>
      <x:c r="G726"/>
      <x:c r="H726" t="str">
        <x:v>kein_match</x:v>
      </x:c>
      <x:c r="I726" t="str">
        <x:v>Agent-Draft: keine finale Regelentscheidung</x:v>
      </x:c>
      <x:c r="J726" t="n">
        <x:v>45923</x:v>
      </x:c>
      <x:c r="K726"/>
      <x:c r="L726"/>
      <x:c r="M726" t="n">
        <x:v>-6</x:v>
      </x:c>
      <x:c r="N726" t="str">
        <x:v>2025-09</x:v>
      </x:c>
      <x:c r="O726" t="str">
        <x:v>Ausgabe</x:v>
      </x:c>
      <x:c r="P726" t="str">
        <x:v>Ist</x:v>
      </x:c>
      <x:c r="Q726" s="59" t="b">
        <x:v>0</x:v>
      </x:c>
      <x:c r="R726" t="str">
        <x:v>kein_transfer</x:v>
      </x:c>
      <x:c r="S726"/>
      <x:c r="T726"/>
      <x:c r="U726"/>
      <x:c r="V726" s="59" t="b">
        <x:v>1</x:v>
      </x:c>
      <x:c r="W726"/>
      <x:c r="X726" t="str">
        <x:v>offen</x:v>
      </x:c>
      <x:c r="Y726" t="str">
        <x:v>Agent-Draft; Kategorie und Person pruefen</x:v>
      </x:c>
    </x:row>
    <x:row r="727">
      <x:c r="A727" t="str">
        <x:v>TXN-RAW-IMP-20260516-FULLDRAFT-000711</x:v>
      </x:c>
      <x:c r="B727" t="str">
        <x:v>RAW-IMP-20260516-FULLDRAFT-000711</x:v>
      </x:c>
      <x:c r="C727" t="str">
        <x:v>KTO001</x:v>
      </x:c>
      <x:c r="D727"/>
      <x:c r="E727" t="str">
        <x:v>KAT013</x:v>
      </x:c>
      <x:c r="F727"/>
      <x:c r="G727"/>
      <x:c r="H727" t="str">
        <x:v>kein_match</x:v>
      </x:c>
      <x:c r="I727" t="str">
        <x:v>Agent-Draft: keine finale Regelentscheidung</x:v>
      </x:c>
      <x:c r="J727" t="n">
        <x:v>45923</x:v>
      </x:c>
      <x:c r="K727"/>
      <x:c r="L727"/>
      <x:c r="M727" t="n">
        <x:v>-199.3</x:v>
      </x:c>
      <x:c r="N727" t="str">
        <x:v>2025-09</x:v>
      </x:c>
      <x:c r="O727" t="str">
        <x:v>Ausgabe</x:v>
      </x:c>
      <x:c r="P727" t="str">
        <x:v>Ist</x:v>
      </x:c>
      <x:c r="Q727" s="59" t="b">
        <x:v>0</x:v>
      </x:c>
      <x:c r="R727" t="str">
        <x:v>kein_transfer</x:v>
      </x:c>
      <x:c r="S727"/>
      <x:c r="T727"/>
      <x:c r="U727"/>
      <x:c r="V727" s="59" t="b">
        <x:v>1</x:v>
      </x:c>
      <x:c r="W727"/>
      <x:c r="X727" t="str">
        <x:v>offen</x:v>
      </x:c>
      <x:c r="Y727" t="str">
        <x:v>Agent-Draft; Kategorie und Person pruefen</x:v>
      </x:c>
    </x:row>
    <x:row r="728">
      <x:c r="A728" t="str">
        <x:v>TXN-RAW-IMP-20260516-FULLDRAFT-000712</x:v>
      </x:c>
      <x:c r="B728" t="str">
        <x:v>RAW-IMP-20260516-FULLDRAFT-000712</x:v>
      </x:c>
      <x:c r="C728" t="str">
        <x:v>KTO001</x:v>
      </x:c>
      <x:c r="D728"/>
      <x:c r="E728" t="str">
        <x:v>KAT013</x:v>
      </x:c>
      <x:c r="F728"/>
      <x:c r="G728"/>
      <x:c r="H728" t="str">
        <x:v>kein_match</x:v>
      </x:c>
      <x:c r="I728" t="str">
        <x:v>Agent-Draft: keine finale Regelentscheidung</x:v>
      </x:c>
      <x:c r="J728" t="n">
        <x:v>45923</x:v>
      </x:c>
      <x:c r="K728"/>
      <x:c r="L728"/>
      <x:c r="M728" t="n">
        <x:v>-6.99</x:v>
      </x:c>
      <x:c r="N728" t="str">
        <x:v>2025-09</x:v>
      </x:c>
      <x:c r="O728" t="str">
        <x:v>Ausgabe</x:v>
      </x:c>
      <x:c r="P728" t="str">
        <x:v>Ist</x:v>
      </x:c>
      <x:c r="Q728" s="59" t="b">
        <x:v>0</x:v>
      </x:c>
      <x:c r="R728" t="str">
        <x:v>kein_transfer</x:v>
      </x:c>
      <x:c r="S728"/>
      <x:c r="T728"/>
      <x:c r="U728"/>
      <x:c r="V728" s="59" t="b">
        <x:v>1</x:v>
      </x:c>
      <x:c r="W728"/>
      <x:c r="X728" t="str">
        <x:v>offen</x:v>
      </x:c>
      <x:c r="Y728" t="str">
        <x:v>Agent-Draft; Kategorie und Person pruefen</x:v>
      </x:c>
    </x:row>
    <x:row r="729">
      <x:c r="A729" t="str">
        <x:v>TXN-RAW-IMP-20260516-FULLDRAFT-000713</x:v>
      </x:c>
      <x:c r="B729" t="str">
        <x:v>RAW-IMP-20260516-FULLDRAFT-000713</x:v>
      </x:c>
      <x:c r="C729" t="str">
        <x:v>KTO001</x:v>
      </x:c>
      <x:c r="D729"/>
      <x:c r="E729" t="str">
        <x:v>KAT013</x:v>
      </x:c>
      <x:c r="F729"/>
      <x:c r="G729"/>
      <x:c r="H729" t="str">
        <x:v>kein_match</x:v>
      </x:c>
      <x:c r="I729" t="str">
        <x:v>Agent-Draft: keine finale Regelentscheidung</x:v>
      </x:c>
      <x:c r="J729" t="n">
        <x:v>45923</x:v>
      </x:c>
      <x:c r="K729"/>
      <x:c r="L729"/>
      <x:c r="M729" t="n">
        <x:v>-6.99</x:v>
      </x:c>
      <x:c r="N729" t="str">
        <x:v>2025-09</x:v>
      </x:c>
      <x:c r="O729" t="str">
        <x:v>Ausgabe</x:v>
      </x:c>
      <x:c r="P729" t="str">
        <x:v>Ist</x:v>
      </x:c>
      <x:c r="Q729" s="59" t="b">
        <x:v>0</x:v>
      </x:c>
      <x:c r="R729" t="str">
        <x:v>kein_transfer</x:v>
      </x:c>
      <x:c r="S729"/>
      <x:c r="T729"/>
      <x:c r="U729"/>
      <x:c r="V729" s="59" t="b">
        <x:v>1</x:v>
      </x:c>
      <x:c r="W729"/>
      <x:c r="X729" t="str">
        <x:v>offen</x:v>
      </x:c>
      <x:c r="Y729" t="str">
        <x:v>Agent-Draft; Kategorie und Person pruefen</x:v>
      </x:c>
    </x:row>
    <x:row r="730">
      <x:c r="A730" t="str">
        <x:v>TXN-RAW-IMP-20260516-FULLDRAFT-000714</x:v>
      </x:c>
      <x:c r="B730" t="str">
        <x:v>RAW-IMP-20260516-FULLDRAFT-000714</x:v>
      </x:c>
      <x:c r="C730" t="str">
        <x:v>KTO001</x:v>
      </x:c>
      <x:c r="D730"/>
      <x:c r="E730" t="str">
        <x:v>KAT013</x:v>
      </x:c>
      <x:c r="F730"/>
      <x:c r="G730"/>
      <x:c r="H730" t="str">
        <x:v>kein_match</x:v>
      </x:c>
      <x:c r="I730" t="str">
        <x:v>Agent-Draft: keine finale Regelentscheidung</x:v>
      </x:c>
      <x:c r="J730" t="n">
        <x:v>45922</x:v>
      </x:c>
      <x:c r="K730"/>
      <x:c r="L730"/>
      <x:c r="M730" t="n">
        <x:v>-4.99</x:v>
      </x:c>
      <x:c r="N730" t="str">
        <x:v>2025-09</x:v>
      </x:c>
      <x:c r="O730" t="str">
        <x:v>Ausgabe</x:v>
      </x:c>
      <x:c r="P730" t="str">
        <x:v>Ist</x:v>
      </x:c>
      <x:c r="Q730" s="59" t="b">
        <x:v>0</x:v>
      </x:c>
      <x:c r="R730" t="str">
        <x:v>kein_transfer</x:v>
      </x:c>
      <x:c r="S730"/>
      <x:c r="T730"/>
      <x:c r="U730"/>
      <x:c r="V730" s="59" t="b">
        <x:v>1</x:v>
      </x:c>
      <x:c r="W730"/>
      <x:c r="X730" t="str">
        <x:v>offen</x:v>
      </x:c>
      <x:c r="Y730" t="str">
        <x:v>Agent-Draft; Kategorie und Person pruefen</x:v>
      </x:c>
    </x:row>
    <x:row r="731">
      <x:c r="A731" t="str">
        <x:v>TXN-RAW-IMP-20260516-FULLDRAFT-000715</x:v>
      </x:c>
      <x:c r="B731" t="str">
        <x:v>RAW-IMP-20260516-FULLDRAFT-000715</x:v>
      </x:c>
      <x:c r="C731" t="str">
        <x:v>KTO001</x:v>
      </x:c>
      <x:c r="D731"/>
      <x:c r="E731" t="str">
        <x:v>KAT013</x:v>
      </x:c>
      <x:c r="F731"/>
      <x:c r="G731"/>
      <x:c r="H731" t="str">
        <x:v>kein_match</x:v>
      </x:c>
      <x:c r="I731" t="str">
        <x:v>Agent-Draft: keine finale Regelentscheidung</x:v>
      </x:c>
      <x:c r="J731" t="n">
        <x:v>45922</x:v>
      </x:c>
      <x:c r="K731"/>
      <x:c r="L731"/>
      <x:c r="M731" t="n">
        <x:v>-2.99</x:v>
      </x:c>
      <x:c r="N731" t="str">
        <x:v>2025-09</x:v>
      </x:c>
      <x:c r="O731" t="str">
        <x:v>Ausgabe</x:v>
      </x:c>
      <x:c r="P731" t="str">
        <x:v>Ist</x:v>
      </x:c>
      <x:c r="Q731" s="59" t="b">
        <x:v>0</x:v>
      </x:c>
      <x:c r="R731" t="str">
        <x:v>kein_transfer</x:v>
      </x:c>
      <x:c r="S731"/>
      <x:c r="T731"/>
      <x:c r="U731"/>
      <x:c r="V731" s="59" t="b">
        <x:v>1</x:v>
      </x:c>
      <x:c r="W731"/>
      <x:c r="X731" t="str">
        <x:v>offen</x:v>
      </x:c>
      <x:c r="Y731" t="str">
        <x:v>Agent-Draft; Kategorie und Person pruefen</x:v>
      </x:c>
    </x:row>
    <x:row r="732">
      <x:c r="A732" t="str">
        <x:v>TXN-RAW-IMP-20260516-FULLDRAFT-000716</x:v>
      </x:c>
      <x:c r="B732" t="str">
        <x:v>RAW-IMP-20260516-FULLDRAFT-000716</x:v>
      </x:c>
      <x:c r="C732" t="str">
        <x:v>KTO001</x:v>
      </x:c>
      <x:c r="D732"/>
      <x:c r="E732" t="str">
        <x:v>KAT013</x:v>
      </x:c>
      <x:c r="F732"/>
      <x:c r="G732"/>
      <x:c r="H732" t="str">
        <x:v>kein_match</x:v>
      </x:c>
      <x:c r="I732" t="str">
        <x:v>Agent-Draft: keine finale Regelentscheidung</x:v>
      </x:c>
      <x:c r="J732" t="n">
        <x:v>45922</x:v>
      </x:c>
      <x:c r="K732"/>
      <x:c r="L732"/>
      <x:c r="M732" t="n">
        <x:v>-8.3</x:v>
      </x:c>
      <x:c r="N732" t="str">
        <x:v>2025-09</x:v>
      </x:c>
      <x:c r="O732" t="str">
        <x:v>Ausgabe</x:v>
      </x:c>
      <x:c r="P732" t="str">
        <x:v>Ist</x:v>
      </x:c>
      <x:c r="Q732" s="59" t="b">
        <x:v>0</x:v>
      </x:c>
      <x:c r="R732" t="str">
        <x:v>kein_transfer</x:v>
      </x:c>
      <x:c r="S732"/>
      <x:c r="T732"/>
      <x:c r="U732"/>
      <x:c r="V732" s="59" t="b">
        <x:v>1</x:v>
      </x:c>
      <x:c r="W732"/>
      <x:c r="X732" t="str">
        <x:v>offen</x:v>
      </x:c>
      <x:c r="Y732" t="str">
        <x:v>Agent-Draft; Kategorie und Person pruefen</x:v>
      </x:c>
    </x:row>
    <x:row r="733">
      <x:c r="A733" t="str">
        <x:v>TXN-RAW-IMP-20260516-FULLDRAFT-000717</x:v>
      </x:c>
      <x:c r="B733" t="str">
        <x:v>RAW-IMP-20260516-FULLDRAFT-000717</x:v>
      </x:c>
      <x:c r="C733" t="str">
        <x:v>KTO001</x:v>
      </x:c>
      <x:c r="D733"/>
      <x:c r="E733" t="str">
        <x:v>KAT013</x:v>
      </x:c>
      <x:c r="F733"/>
      <x:c r="G733"/>
      <x:c r="H733" t="str">
        <x:v>kein_match</x:v>
      </x:c>
      <x:c r="I733" t="str">
        <x:v>Agent-Draft: keine finale Regelentscheidung</x:v>
      </x:c>
      <x:c r="J733" t="n">
        <x:v>45922</x:v>
      </x:c>
      <x:c r="K733"/>
      <x:c r="L733"/>
      <x:c r="M733" t="n">
        <x:v>-28.43</x:v>
      </x:c>
      <x:c r="N733" t="str">
        <x:v>2025-09</x:v>
      </x:c>
      <x:c r="O733" t="str">
        <x:v>Ausgabe</x:v>
      </x:c>
      <x:c r="P733" t="str">
        <x:v>Ist</x:v>
      </x:c>
      <x:c r="Q733" s="59" t="b">
        <x:v>0</x:v>
      </x:c>
      <x:c r="R733" t="str">
        <x:v>kein_transfer</x:v>
      </x:c>
      <x:c r="S733"/>
      <x:c r="T733"/>
      <x:c r="U733"/>
      <x:c r="V733" s="59" t="b">
        <x:v>1</x:v>
      </x:c>
      <x:c r="W733"/>
      <x:c r="X733" t="str">
        <x:v>offen</x:v>
      </x:c>
      <x:c r="Y733" t="str">
        <x:v>Agent-Draft; Kategorie und Person pruefen</x:v>
      </x:c>
    </x:row>
    <x:row r="734">
      <x:c r="A734" t="str">
        <x:v>TXN-RAW-IMP-20260516-FULLDRAFT-000718</x:v>
      </x:c>
      <x:c r="B734" t="str">
        <x:v>RAW-IMP-20260516-FULLDRAFT-000718</x:v>
      </x:c>
      <x:c r="C734" t="str">
        <x:v>KTO001</x:v>
      </x:c>
      <x:c r="D734"/>
      <x:c r="E734" t="str">
        <x:v>KAT013</x:v>
      </x:c>
      <x:c r="F734"/>
      <x:c r="G734"/>
      <x:c r="H734" t="str">
        <x:v>kein_match</x:v>
      </x:c>
      <x:c r="I734" t="str">
        <x:v>Agent-Draft: keine finale Regelentscheidung</x:v>
      </x:c>
      <x:c r="J734" t="n">
        <x:v>45922</x:v>
      </x:c>
      <x:c r="K734"/>
      <x:c r="L734"/>
      <x:c r="M734" t="n">
        <x:v>-6.99</x:v>
      </x:c>
      <x:c r="N734" t="str">
        <x:v>2025-09</x:v>
      </x:c>
      <x:c r="O734" t="str">
        <x:v>Ausgabe</x:v>
      </x:c>
      <x:c r="P734" t="str">
        <x:v>Ist</x:v>
      </x:c>
      <x:c r="Q734" s="59" t="b">
        <x:v>0</x:v>
      </x:c>
      <x:c r="R734" t="str">
        <x:v>kein_transfer</x:v>
      </x:c>
      <x:c r="S734"/>
      <x:c r="T734"/>
      <x:c r="U734"/>
      <x:c r="V734" s="59" t="b">
        <x:v>1</x:v>
      </x:c>
      <x:c r="W734"/>
      <x:c r="X734" t="str">
        <x:v>offen</x:v>
      </x:c>
      <x:c r="Y734" t="str">
        <x:v>Agent-Draft; Kategorie und Person pruefen</x:v>
      </x:c>
    </x:row>
    <x:row r="735">
      <x:c r="A735" t="str">
        <x:v>TXN-RAW-IMP-20260516-FULLDRAFT-000719</x:v>
      </x:c>
      <x:c r="B735" t="str">
        <x:v>RAW-IMP-20260516-FULLDRAFT-000719</x:v>
      </x:c>
      <x:c r="C735" t="str">
        <x:v>KTO001</x:v>
      </x:c>
      <x:c r="D735"/>
      <x:c r="E735" t="str">
        <x:v>KAT013</x:v>
      </x:c>
      <x:c r="F735"/>
      <x:c r="G735"/>
      <x:c r="H735" t="str">
        <x:v>kein_match</x:v>
      </x:c>
      <x:c r="I735" t="str">
        <x:v>Agent-Draft: keine finale Regelentscheidung</x:v>
      </x:c>
      <x:c r="J735" t="n">
        <x:v>45922</x:v>
      </x:c>
      <x:c r="K735"/>
      <x:c r="L735"/>
      <x:c r="M735" t="n">
        <x:v>10000</x:v>
      </x:c>
      <x:c r="N735" t="str">
        <x:v>2025-09</x:v>
      </x:c>
      <x:c r="O735" t="str">
        <x:v>Einnahme</x:v>
      </x:c>
      <x:c r="P735" t="str">
        <x:v>Ist</x:v>
      </x:c>
      <x:c r="Q735" s="59" t="b">
        <x:v>0</x:v>
      </x:c>
      <x:c r="R735" t="str">
        <x:v>kein_transfer</x:v>
      </x:c>
      <x:c r="S735"/>
      <x:c r="T735"/>
      <x:c r="U735"/>
      <x:c r="V735" s="59" t="b">
        <x:v>1</x:v>
      </x:c>
      <x:c r="W735"/>
      <x:c r="X735" t="str">
        <x:v>offen</x:v>
      </x:c>
      <x:c r="Y735" t="str">
        <x:v>Agent-Draft; Kategorie und Person pruefen</x:v>
      </x:c>
    </x:row>
    <x:row r="736">
      <x:c r="A736" t="str">
        <x:v>TXN-RAW-IMP-20260516-FULLDRAFT-000720</x:v>
      </x:c>
      <x:c r="B736" t="str">
        <x:v>RAW-IMP-20260516-FULLDRAFT-000720</x:v>
      </x:c>
      <x:c r="C736" t="str">
        <x:v>KTO001</x:v>
      </x:c>
      <x:c r="D736"/>
      <x:c r="E736" t="str">
        <x:v>KAT013</x:v>
      </x:c>
      <x:c r="F736"/>
      <x:c r="G736"/>
      <x:c r="H736" t="str">
        <x:v>kein_match</x:v>
      </x:c>
      <x:c r="I736" t="str">
        <x:v>Agent-Draft: keine finale Regelentscheidung</x:v>
      </x:c>
      <x:c r="J736" t="n">
        <x:v>45917</x:v>
      </x:c>
      <x:c r="K736"/>
      <x:c r="L736"/>
      <x:c r="M736" t="n">
        <x:v>-18.14</x:v>
      </x:c>
      <x:c r="N736" t="str">
        <x:v>2025-09</x:v>
      </x:c>
      <x:c r="O736" t="str">
        <x:v>Ausgabe</x:v>
      </x:c>
      <x:c r="P736" t="str">
        <x:v>Ist</x:v>
      </x:c>
      <x:c r="Q736" s="59" t="b">
        <x:v>0</x:v>
      </x:c>
      <x:c r="R736" t="str">
        <x:v>kein_transfer</x:v>
      </x:c>
      <x:c r="S736"/>
      <x:c r="T736"/>
      <x:c r="U736"/>
      <x:c r="V736" s="59" t="b">
        <x:v>1</x:v>
      </x:c>
      <x:c r="W736"/>
      <x:c r="X736" t="str">
        <x:v>offen</x:v>
      </x:c>
      <x:c r="Y736" t="str">
        <x:v>Agent-Draft; Kategorie und Person pruefen</x:v>
      </x:c>
    </x:row>
    <x:row r="737">
      <x:c r="A737" t="str">
        <x:v>TXN-RAW-IMP-20260516-FULLDRAFT-000721</x:v>
      </x:c>
      <x:c r="B737" t="str">
        <x:v>RAW-IMP-20260516-FULLDRAFT-000721</x:v>
      </x:c>
      <x:c r="C737" t="str">
        <x:v>KTO001</x:v>
      </x:c>
      <x:c r="D737"/>
      <x:c r="E737" t="str">
        <x:v>KAT013</x:v>
      </x:c>
      <x:c r="F737"/>
      <x:c r="G737"/>
      <x:c r="H737" t="str">
        <x:v>kein_match</x:v>
      </x:c>
      <x:c r="I737" t="str">
        <x:v>Agent-Draft: keine finale Regelentscheidung</x:v>
      </x:c>
      <x:c r="J737" t="n">
        <x:v>45915</x:v>
      </x:c>
      <x:c r="K737"/>
      <x:c r="L737"/>
      <x:c r="M737" t="n">
        <x:v>-7.94</x:v>
      </x:c>
      <x:c r="N737" t="str">
        <x:v>2025-09</x:v>
      </x:c>
      <x:c r="O737" t="str">
        <x:v>Ausgabe</x:v>
      </x:c>
      <x:c r="P737" t="str">
        <x:v>Ist</x:v>
      </x:c>
      <x:c r="Q737" s="59" t="b">
        <x:v>0</x:v>
      </x:c>
      <x:c r="R737" t="str">
        <x:v>kein_transfer</x:v>
      </x:c>
      <x:c r="S737"/>
      <x:c r="T737"/>
      <x:c r="U737"/>
      <x:c r="V737" s="59" t="b">
        <x:v>1</x:v>
      </x:c>
      <x:c r="W737"/>
      <x:c r="X737" t="str">
        <x:v>offen</x:v>
      </x:c>
      <x:c r="Y737" t="str">
        <x:v>Agent-Draft; Kategorie und Person pruefen</x:v>
      </x:c>
    </x:row>
    <x:row r="738">
      <x:c r="A738" t="str">
        <x:v>TXN-RAW-IMP-20260516-FULLDRAFT-000722</x:v>
      </x:c>
      <x:c r="B738" t="str">
        <x:v>RAW-IMP-20260516-FULLDRAFT-000722</x:v>
      </x:c>
      <x:c r="C738" t="str">
        <x:v>KTO001</x:v>
      </x:c>
      <x:c r="D738"/>
      <x:c r="E738" t="str">
        <x:v>KAT013</x:v>
      </x:c>
      <x:c r="F738"/>
      <x:c r="G738"/>
      <x:c r="H738" t="str">
        <x:v>kein_match</x:v>
      </x:c>
      <x:c r="I738" t="str">
        <x:v>Agent-Draft: keine finale Regelentscheidung</x:v>
      </x:c>
      <x:c r="J738" t="n">
        <x:v>45915</x:v>
      </x:c>
      <x:c r="K738"/>
      <x:c r="L738"/>
      <x:c r="M738" t="n">
        <x:v>-1.5</x:v>
      </x:c>
      <x:c r="N738" t="str">
        <x:v>2025-09</x:v>
      </x:c>
      <x:c r="O738" t="str">
        <x:v>Ausgabe</x:v>
      </x:c>
      <x:c r="P738" t="str">
        <x:v>Ist</x:v>
      </x:c>
      <x:c r="Q738" s="59" t="b">
        <x:v>0</x:v>
      </x:c>
      <x:c r="R738" t="str">
        <x:v>kein_transfer</x:v>
      </x:c>
      <x:c r="S738"/>
      <x:c r="T738"/>
      <x:c r="U738"/>
      <x:c r="V738" s="59" t="b">
        <x:v>1</x:v>
      </x:c>
      <x:c r="W738"/>
      <x:c r="X738" t="str">
        <x:v>offen</x:v>
      </x:c>
      <x:c r="Y738" t="str">
        <x:v>Agent-Draft; Kategorie und Person pruefen</x:v>
      </x:c>
    </x:row>
    <x:row r="739">
      <x:c r="A739" t="str">
        <x:v>TXN-RAW-IMP-20260516-FULLDRAFT-000723</x:v>
      </x:c>
      <x:c r="B739" t="str">
        <x:v>RAW-IMP-20260516-FULLDRAFT-000723</x:v>
      </x:c>
      <x:c r="C739" t="str">
        <x:v>KTO001</x:v>
      </x:c>
      <x:c r="D739"/>
      <x:c r="E739" t="str">
        <x:v>KAT013</x:v>
      </x:c>
      <x:c r="F739"/>
      <x:c r="G739"/>
      <x:c r="H739" t="str">
        <x:v>kein_match</x:v>
      </x:c>
      <x:c r="I739" t="str">
        <x:v>Agent-Draft: keine finale Regelentscheidung</x:v>
      </x:c>
      <x:c r="J739" t="n">
        <x:v>45915</x:v>
      </x:c>
      <x:c r="K739"/>
      <x:c r="L739"/>
      <x:c r="M739" t="n">
        <x:v>-10.99</x:v>
      </x:c>
      <x:c r="N739" t="str">
        <x:v>2025-09</x:v>
      </x:c>
      <x:c r="O739" t="str">
        <x:v>Ausgabe</x:v>
      </x:c>
      <x:c r="P739" t="str">
        <x:v>Ist</x:v>
      </x:c>
      <x:c r="Q739" s="59" t="b">
        <x:v>0</x:v>
      </x:c>
      <x:c r="R739" t="str">
        <x:v>kein_transfer</x:v>
      </x:c>
      <x:c r="S739"/>
      <x:c r="T739"/>
      <x:c r="U739"/>
      <x:c r="V739" s="59" t="b">
        <x:v>1</x:v>
      </x:c>
      <x:c r="W739"/>
      <x:c r="X739" t="str">
        <x:v>offen</x:v>
      </x:c>
      <x:c r="Y739" t="str">
        <x:v>Agent-Draft; Kategorie und Person pruefen</x:v>
      </x:c>
    </x:row>
    <x:row r="740">
      <x:c r="A740" t="str">
        <x:v>TXN-RAW-IMP-20260516-FULLDRAFT-000724</x:v>
      </x:c>
      <x:c r="B740" t="str">
        <x:v>RAW-IMP-20260516-FULLDRAFT-000724</x:v>
      </x:c>
      <x:c r="C740" t="str">
        <x:v>KTO001</x:v>
      </x:c>
      <x:c r="D740"/>
      <x:c r="E740" t="str">
        <x:v>KAT013</x:v>
      </x:c>
      <x:c r="F740"/>
      <x:c r="G740"/>
      <x:c r="H740" t="str">
        <x:v>kein_match</x:v>
      </x:c>
      <x:c r="I740" t="str">
        <x:v>Agent-Draft: keine finale Regelentscheidung</x:v>
      </x:c>
      <x:c r="J740" t="n">
        <x:v>45915</x:v>
      </x:c>
      <x:c r="K740"/>
      <x:c r="L740"/>
      <x:c r="M740" t="n">
        <x:v>-78.51</x:v>
      </x:c>
      <x:c r="N740" t="str">
        <x:v>2025-09</x:v>
      </x:c>
      <x:c r="O740" t="str">
        <x:v>Ausgabe</x:v>
      </x:c>
      <x:c r="P740" t="str">
        <x:v>Ist</x:v>
      </x:c>
      <x:c r="Q740" s="59" t="b">
        <x:v>0</x:v>
      </x:c>
      <x:c r="R740" t="str">
        <x:v>kein_transfer</x:v>
      </x:c>
      <x:c r="S740"/>
      <x:c r="T740"/>
      <x:c r="U740"/>
      <x:c r="V740" s="59" t="b">
        <x:v>1</x:v>
      </x:c>
      <x:c r="W740"/>
      <x:c r="X740" t="str">
        <x:v>offen</x:v>
      </x:c>
      <x:c r="Y740" t="str">
        <x:v>Agent-Draft; Kategorie und Person pruefen</x:v>
      </x:c>
    </x:row>
    <x:row r="741">
      <x:c r="A741" t="str">
        <x:v>TXN-RAW-IMP-20260516-FULLDRAFT-000725</x:v>
      </x:c>
      <x:c r="B741" t="str">
        <x:v>RAW-IMP-20260516-FULLDRAFT-000725</x:v>
      </x:c>
      <x:c r="C741" t="str">
        <x:v>KTO001</x:v>
      </x:c>
      <x:c r="D741"/>
      <x:c r="E741" t="str">
        <x:v>KAT013</x:v>
      </x:c>
      <x:c r="F741"/>
      <x:c r="G741"/>
      <x:c r="H741" t="str">
        <x:v>kein_match</x:v>
      </x:c>
      <x:c r="I741" t="str">
        <x:v>Agent-Draft: keine finale Regelentscheidung</x:v>
      </x:c>
      <x:c r="J741" t="n">
        <x:v>45915</x:v>
      </x:c>
      <x:c r="K741"/>
      <x:c r="L741"/>
      <x:c r="M741" t="n">
        <x:v>-62.62</x:v>
      </x:c>
      <x:c r="N741" t="str">
        <x:v>2025-09</x:v>
      </x:c>
      <x:c r="O741" t="str">
        <x:v>Ausgabe</x:v>
      </x:c>
      <x:c r="P741" t="str">
        <x:v>Ist</x:v>
      </x:c>
      <x:c r="Q741" s="59" t="b">
        <x:v>0</x:v>
      </x:c>
      <x:c r="R741" t="str">
        <x:v>kein_transfer</x:v>
      </x:c>
      <x:c r="S741"/>
      <x:c r="T741"/>
      <x:c r="U741"/>
      <x:c r="V741" s="59" t="b">
        <x:v>1</x:v>
      </x:c>
      <x:c r="W741"/>
      <x:c r="X741" t="str">
        <x:v>offen</x:v>
      </x:c>
      <x:c r="Y741" t="str">
        <x:v>Agent-Draft; Kategorie und Person pruefen</x:v>
      </x:c>
    </x:row>
    <x:row r="742">
      <x:c r="A742" t="str">
        <x:v>TXN-RAW-IMP-20260516-FULLDRAFT-000726</x:v>
      </x:c>
      <x:c r="B742" t="str">
        <x:v>RAW-IMP-20260516-FULLDRAFT-000726</x:v>
      </x:c>
      <x:c r="C742" t="str">
        <x:v>KTO001</x:v>
      </x:c>
      <x:c r="D742"/>
      <x:c r="E742" t="str">
        <x:v>KAT013</x:v>
      </x:c>
      <x:c r="F742"/>
      <x:c r="G742"/>
      <x:c r="H742" t="str">
        <x:v>kein_match</x:v>
      </x:c>
      <x:c r="I742" t="str">
        <x:v>Agent-Draft: keine finale Regelentscheidung</x:v>
      </x:c>
      <x:c r="J742" t="n">
        <x:v>45915</x:v>
      </x:c>
      <x:c r="K742"/>
      <x:c r="L742"/>
      <x:c r="M742" t="n">
        <x:v>-200</x:v>
      </x:c>
      <x:c r="N742" t="str">
        <x:v>2025-09</x:v>
      </x:c>
      <x:c r="O742" t="str">
        <x:v>Ausgabe</x:v>
      </x:c>
      <x:c r="P742" t="str">
        <x:v>Ist</x:v>
      </x:c>
      <x:c r="Q742" s="59" t="b">
        <x:v>0</x:v>
      </x:c>
      <x:c r="R742" t="str">
        <x:v>kein_transfer</x:v>
      </x:c>
      <x:c r="S742"/>
      <x:c r="T742"/>
      <x:c r="U742"/>
      <x:c r="V742" s="59" t="b">
        <x:v>1</x:v>
      </x:c>
      <x:c r="W742"/>
      <x:c r="X742" t="str">
        <x:v>offen</x:v>
      </x:c>
      <x:c r="Y742" t="str">
        <x:v>Agent-Draft; Kategorie und Person pruefen</x:v>
      </x:c>
    </x:row>
    <x:row r="743">
      <x:c r="A743" t="str">
        <x:v>TXN-RAW-IMP-20260516-FULLDRAFT-000727</x:v>
      </x:c>
      <x:c r="B743" t="str">
        <x:v>RAW-IMP-20260516-FULLDRAFT-000727</x:v>
      </x:c>
      <x:c r="C743" t="str">
        <x:v>KTO001</x:v>
      </x:c>
      <x:c r="D743"/>
      <x:c r="E743" t="str">
        <x:v>KAT013</x:v>
      </x:c>
      <x:c r="F743"/>
      <x:c r="G743"/>
      <x:c r="H743" t="str">
        <x:v>kein_match</x:v>
      </x:c>
      <x:c r="I743" t="str">
        <x:v>Agent-Draft: keine finale Regelentscheidung</x:v>
      </x:c>
      <x:c r="J743" t="n">
        <x:v>45915</x:v>
      </x:c>
      <x:c r="K743"/>
      <x:c r="L743"/>
      <x:c r="M743" t="n">
        <x:v>-18.59</x:v>
      </x:c>
      <x:c r="N743" t="str">
        <x:v>2025-09</x:v>
      </x:c>
      <x:c r="O743" t="str">
        <x:v>Ausgabe</x:v>
      </x:c>
      <x:c r="P743" t="str">
        <x:v>Ist</x:v>
      </x:c>
      <x:c r="Q743" s="59" t="b">
        <x:v>0</x:v>
      </x:c>
      <x:c r="R743" t="str">
        <x:v>kein_transfer</x:v>
      </x:c>
      <x:c r="S743"/>
      <x:c r="T743"/>
      <x:c r="U743"/>
      <x:c r="V743" s="59" t="b">
        <x:v>1</x:v>
      </x:c>
      <x:c r="W743"/>
      <x:c r="X743" t="str">
        <x:v>offen</x:v>
      </x:c>
      <x:c r="Y743" t="str">
        <x:v>Agent-Draft; Kategorie und Person pruefen</x:v>
      </x:c>
    </x:row>
    <x:row r="744">
      <x:c r="A744" t="str">
        <x:v>TXN-RAW-IMP-20260516-FULLDRAFT-000728</x:v>
      </x:c>
      <x:c r="B744" t="str">
        <x:v>RAW-IMP-20260516-FULLDRAFT-000728</x:v>
      </x:c>
      <x:c r="C744" t="str">
        <x:v>KTO001</x:v>
      </x:c>
      <x:c r="D744"/>
      <x:c r="E744" t="str">
        <x:v>KAT013</x:v>
      </x:c>
      <x:c r="F744"/>
      <x:c r="G744"/>
      <x:c r="H744" t="str">
        <x:v>kein_match</x:v>
      </x:c>
      <x:c r="I744" t="str">
        <x:v>Agent-Draft: keine finale Regelentscheidung</x:v>
      </x:c>
      <x:c r="J744" t="n">
        <x:v>45915</x:v>
      </x:c>
      <x:c r="K744"/>
      <x:c r="L744"/>
      <x:c r="M744" t="n">
        <x:v>-16.3</x:v>
      </x:c>
      <x:c r="N744" t="str">
        <x:v>2025-09</x:v>
      </x:c>
      <x:c r="O744" t="str">
        <x:v>Ausgabe</x:v>
      </x:c>
      <x:c r="P744" t="str">
        <x:v>Ist</x:v>
      </x:c>
      <x:c r="Q744" s="59" t="b">
        <x:v>0</x:v>
      </x:c>
      <x:c r="R744" t="str">
        <x:v>kein_transfer</x:v>
      </x:c>
      <x:c r="S744"/>
      <x:c r="T744"/>
      <x:c r="U744"/>
      <x:c r="V744" s="59" t="b">
        <x:v>1</x:v>
      </x:c>
      <x:c r="W744"/>
      <x:c r="X744" t="str">
        <x:v>offen</x:v>
      </x:c>
      <x:c r="Y744" t="str">
        <x:v>Agent-Draft; Kategorie und Person pruefen</x:v>
      </x:c>
    </x:row>
    <x:row r="745">
      <x:c r="A745" t="str">
        <x:v>TXN-RAW-IMP-20260516-FULLDRAFT-000729</x:v>
      </x:c>
      <x:c r="B745" t="str">
        <x:v>RAW-IMP-20260516-FULLDRAFT-000729</x:v>
      </x:c>
      <x:c r="C745" t="str">
        <x:v>KTO001</x:v>
      </x:c>
      <x:c r="D745"/>
      <x:c r="E745" t="str">
        <x:v>KAT013</x:v>
      </x:c>
      <x:c r="F745"/>
      <x:c r="G745"/>
      <x:c r="H745" t="str">
        <x:v>kein_match</x:v>
      </x:c>
      <x:c r="I745" t="str">
        <x:v>Agent-Draft: keine finale Regelentscheidung</x:v>
      </x:c>
      <x:c r="J745" t="n">
        <x:v>45915</x:v>
      </x:c>
      <x:c r="K745"/>
      <x:c r="L745"/>
      <x:c r="M745" t="n">
        <x:v>-6</x:v>
      </x:c>
      <x:c r="N745" t="str">
        <x:v>2025-09</x:v>
      </x:c>
      <x:c r="O745" t="str">
        <x:v>Ausgabe</x:v>
      </x:c>
      <x:c r="P745" t="str">
        <x:v>Ist</x:v>
      </x:c>
      <x:c r="Q745" s="59" t="b">
        <x:v>0</x:v>
      </x:c>
      <x:c r="R745" t="str">
        <x:v>kein_transfer</x:v>
      </x:c>
      <x:c r="S745"/>
      <x:c r="T745"/>
      <x:c r="U745"/>
      <x:c r="V745" s="59" t="b">
        <x:v>1</x:v>
      </x:c>
      <x:c r="W745"/>
      <x:c r="X745" t="str">
        <x:v>offen</x:v>
      </x:c>
      <x:c r="Y745" t="str">
        <x:v>Agent-Draft; Kategorie und Person pruefen</x:v>
      </x:c>
    </x:row>
    <x:row r="746">
      <x:c r="A746" t="str">
        <x:v>TXN-RAW-IMP-20260516-FULLDRAFT-000730</x:v>
      </x:c>
      <x:c r="B746" t="str">
        <x:v>RAW-IMP-20260516-FULLDRAFT-000730</x:v>
      </x:c>
      <x:c r="C746" t="str">
        <x:v>KTO001</x:v>
      </x:c>
      <x:c r="D746"/>
      <x:c r="E746" t="str">
        <x:v>KAT013</x:v>
      </x:c>
      <x:c r="F746"/>
      <x:c r="G746"/>
      <x:c r="H746" t="str">
        <x:v>kein_match</x:v>
      </x:c>
      <x:c r="I746" t="str">
        <x:v>Agent-Draft: keine finale Regelentscheidung</x:v>
      </x:c>
      <x:c r="J746" t="n">
        <x:v>45915</x:v>
      </x:c>
      <x:c r="K746"/>
      <x:c r="L746"/>
      <x:c r="M746" t="n">
        <x:v>-23.45</x:v>
      </x:c>
      <x:c r="N746" t="str">
        <x:v>2025-09</x:v>
      </x:c>
      <x:c r="O746" t="str">
        <x:v>Ausgabe</x:v>
      </x:c>
      <x:c r="P746" t="str">
        <x:v>Ist</x:v>
      </x:c>
      <x:c r="Q746" s="59" t="b">
        <x:v>0</x:v>
      </x:c>
      <x:c r="R746" t="str">
        <x:v>kein_transfer</x:v>
      </x:c>
      <x:c r="S746"/>
      <x:c r="T746"/>
      <x:c r="U746"/>
      <x:c r="V746" s="59" t="b">
        <x:v>1</x:v>
      </x:c>
      <x:c r="W746"/>
      <x:c r="X746" t="str">
        <x:v>offen</x:v>
      </x:c>
      <x:c r="Y746" t="str">
        <x:v>Agent-Draft; Kategorie und Person pruefen</x:v>
      </x:c>
    </x:row>
    <x:row r="747">
      <x:c r="A747" t="str">
        <x:v>TXN-RAW-IMP-20260516-FULLDRAFT-000731</x:v>
      </x:c>
      <x:c r="B747" t="str">
        <x:v>RAW-IMP-20260516-FULLDRAFT-000731</x:v>
      </x:c>
      <x:c r="C747" t="str">
        <x:v>KTO001</x:v>
      </x:c>
      <x:c r="D747"/>
      <x:c r="E747" t="str">
        <x:v>KAT013</x:v>
      </x:c>
      <x:c r="F747"/>
      <x:c r="G747"/>
      <x:c r="H747" t="str">
        <x:v>kein_match</x:v>
      </x:c>
      <x:c r="I747" t="str">
        <x:v>Agent-Draft: keine finale Regelentscheidung</x:v>
      </x:c>
      <x:c r="J747" t="n">
        <x:v>45915</x:v>
      </x:c>
      <x:c r="K747"/>
      <x:c r="L747"/>
      <x:c r="M747" t="n">
        <x:v>-500</x:v>
      </x:c>
      <x:c r="N747" t="str">
        <x:v>2025-09</x:v>
      </x:c>
      <x:c r="O747" t="str">
        <x:v>Ausgabe</x:v>
      </x:c>
      <x:c r="P747" t="str">
        <x:v>Ist</x:v>
      </x:c>
      <x:c r="Q747" s="59" t="b">
        <x:v>0</x:v>
      </x:c>
      <x:c r="R747" t="str">
        <x:v>kein_transfer</x:v>
      </x:c>
      <x:c r="S747"/>
      <x:c r="T747"/>
      <x:c r="U747"/>
      <x:c r="V747" s="59" t="b">
        <x:v>1</x:v>
      </x:c>
      <x:c r="W747"/>
      <x:c r="X747" t="str">
        <x:v>offen</x:v>
      </x:c>
      <x:c r="Y747" t="str">
        <x:v>Agent-Draft; Kategorie und Person pruefen</x:v>
      </x:c>
    </x:row>
    <x:row r="748">
      <x:c r="A748" t="str">
        <x:v>TXN-RAW-IMP-20260516-FULLDRAFT-000732</x:v>
      </x:c>
      <x:c r="B748" t="str">
        <x:v>RAW-IMP-20260516-FULLDRAFT-000732</x:v>
      </x:c>
      <x:c r="C748" t="str">
        <x:v>KTO001</x:v>
      </x:c>
      <x:c r="D748"/>
      <x:c r="E748" t="str">
        <x:v>KAT013</x:v>
      </x:c>
      <x:c r="F748"/>
      <x:c r="G748"/>
      <x:c r="H748" t="str">
        <x:v>kein_match</x:v>
      </x:c>
      <x:c r="I748" t="str">
        <x:v>Agent-Draft: keine finale Regelentscheidung</x:v>
      </x:c>
      <x:c r="J748" t="n">
        <x:v>45912</x:v>
      </x:c>
      <x:c r="K748"/>
      <x:c r="L748"/>
      <x:c r="M748" t="n">
        <x:v>-5.24</x:v>
      </x:c>
      <x:c r="N748" t="str">
        <x:v>2025-09</x:v>
      </x:c>
      <x:c r="O748" t="str">
        <x:v>Ausgabe</x:v>
      </x:c>
      <x:c r="P748" t="str">
        <x:v>Ist</x:v>
      </x:c>
      <x:c r="Q748" s="59" t="b">
        <x:v>0</x:v>
      </x:c>
      <x:c r="R748" t="str">
        <x:v>kein_transfer</x:v>
      </x:c>
      <x:c r="S748"/>
      <x:c r="T748"/>
      <x:c r="U748"/>
      <x:c r="V748" s="59" t="b">
        <x:v>1</x:v>
      </x:c>
      <x:c r="W748"/>
      <x:c r="X748" t="str">
        <x:v>offen</x:v>
      </x:c>
      <x:c r="Y748" t="str">
        <x:v>Agent-Draft; Kategorie und Person pruefen</x:v>
      </x:c>
    </x:row>
    <x:row r="749">
      <x:c r="A749" t="str">
        <x:v>TXN-RAW-IMP-20260516-FULLDRAFT-000733</x:v>
      </x:c>
      <x:c r="B749" t="str">
        <x:v>RAW-IMP-20260516-FULLDRAFT-000733</x:v>
      </x:c>
      <x:c r="C749" t="str">
        <x:v>KTO001</x:v>
      </x:c>
      <x:c r="D749"/>
      <x:c r="E749" t="str">
        <x:v>KAT013</x:v>
      </x:c>
      <x:c r="F749"/>
      <x:c r="G749"/>
      <x:c r="H749" t="str">
        <x:v>kein_match</x:v>
      </x:c>
      <x:c r="I749" t="str">
        <x:v>Agent-Draft: keine finale Regelentscheidung</x:v>
      </x:c>
      <x:c r="J749" t="n">
        <x:v>45911</x:v>
      </x:c>
      <x:c r="K749"/>
      <x:c r="L749"/>
      <x:c r="M749" t="n">
        <x:v>-30</x:v>
      </x:c>
      <x:c r="N749" t="str">
        <x:v>2025-09</x:v>
      </x:c>
      <x:c r="O749" t="str">
        <x:v>Ausgabe</x:v>
      </x:c>
      <x:c r="P749" t="str">
        <x:v>Ist</x:v>
      </x:c>
      <x:c r="Q749" s="59" t="b">
        <x:v>0</x:v>
      </x:c>
      <x:c r="R749" t="str">
        <x:v>kein_transfer</x:v>
      </x:c>
      <x:c r="S749"/>
      <x:c r="T749"/>
      <x:c r="U749"/>
      <x:c r="V749" s="59" t="b">
        <x:v>1</x:v>
      </x:c>
      <x:c r="W749"/>
      <x:c r="X749" t="str">
        <x:v>offen</x:v>
      </x:c>
      <x:c r="Y749" t="str">
        <x:v>Agent-Draft; Kategorie und Person pruefen</x:v>
      </x:c>
    </x:row>
    <x:row r="750">
      <x:c r="A750" t="str">
        <x:v>TXN-RAW-IMP-20260516-FULLDRAFT-000734</x:v>
      </x:c>
      <x:c r="B750" t="str">
        <x:v>RAW-IMP-20260516-FULLDRAFT-000734</x:v>
      </x:c>
      <x:c r="C750" t="str">
        <x:v>KTO001</x:v>
      </x:c>
      <x:c r="D750"/>
      <x:c r="E750" t="str">
        <x:v>KAT013</x:v>
      </x:c>
      <x:c r="F750"/>
      <x:c r="G750"/>
      <x:c r="H750" t="str">
        <x:v>kein_match</x:v>
      </x:c>
      <x:c r="I750" t="str">
        <x:v>Agent-Draft: keine finale Regelentscheidung</x:v>
      </x:c>
      <x:c r="J750" t="n">
        <x:v>45911</x:v>
      </x:c>
      <x:c r="K750"/>
      <x:c r="L750"/>
      <x:c r="M750" t="n">
        <x:v>-0.98</x:v>
      </x:c>
      <x:c r="N750" t="str">
        <x:v>2025-09</x:v>
      </x:c>
      <x:c r="O750" t="str">
        <x:v>Ausgabe</x:v>
      </x:c>
      <x:c r="P750" t="str">
        <x:v>Ist</x:v>
      </x:c>
      <x:c r="Q750" s="59" t="b">
        <x:v>0</x:v>
      </x:c>
      <x:c r="R750" t="str">
        <x:v>kein_transfer</x:v>
      </x:c>
      <x:c r="S750"/>
      <x:c r="T750"/>
      <x:c r="U750"/>
      <x:c r="V750" s="59" t="b">
        <x:v>1</x:v>
      </x:c>
      <x:c r="W750"/>
      <x:c r="X750" t="str">
        <x:v>offen</x:v>
      </x:c>
      <x:c r="Y750" t="str">
        <x:v>Agent-Draft; Kategorie und Person pruefen</x:v>
      </x:c>
    </x:row>
    <x:row r="751">
      <x:c r="A751" t="str">
        <x:v>TXN-RAW-IMP-20260516-FULLDRAFT-000735</x:v>
      </x:c>
      <x:c r="B751" t="str">
        <x:v>RAW-IMP-20260516-FULLDRAFT-000735</x:v>
      </x:c>
      <x:c r="C751" t="str">
        <x:v>KTO001</x:v>
      </x:c>
      <x:c r="D751"/>
      <x:c r="E751" t="str">
        <x:v>KAT013</x:v>
      </x:c>
      <x:c r="F751"/>
      <x:c r="G751"/>
      <x:c r="H751" t="str">
        <x:v>kein_match</x:v>
      </x:c>
      <x:c r="I751" t="str">
        <x:v>Agent-Draft: keine finale Regelentscheidung</x:v>
      </x:c>
      <x:c r="J751" t="n">
        <x:v>45911</x:v>
      </x:c>
      <x:c r="K751"/>
      <x:c r="L751"/>
      <x:c r="M751" t="n">
        <x:v>-18.14</x:v>
      </x:c>
      <x:c r="N751" t="str">
        <x:v>2025-09</x:v>
      </x:c>
      <x:c r="O751" t="str">
        <x:v>Ausgabe</x:v>
      </x:c>
      <x:c r="P751" t="str">
        <x:v>Ist</x:v>
      </x:c>
      <x:c r="Q751" s="59" t="b">
        <x:v>0</x:v>
      </x:c>
      <x:c r="R751" t="str">
        <x:v>kein_transfer</x:v>
      </x:c>
      <x:c r="S751"/>
      <x:c r="T751"/>
      <x:c r="U751"/>
      <x:c r="V751" s="59" t="b">
        <x:v>1</x:v>
      </x:c>
      <x:c r="W751"/>
      <x:c r="X751" t="str">
        <x:v>offen</x:v>
      </x:c>
      <x:c r="Y751" t="str">
        <x:v>Agent-Draft; Kategorie und Person pruefen</x:v>
      </x:c>
    </x:row>
    <x:row r="752">
      <x:c r="A752" t="str">
        <x:v>TXN-RAW-IMP-20260516-FULLDRAFT-000736</x:v>
      </x:c>
      <x:c r="B752" t="str">
        <x:v>RAW-IMP-20260516-FULLDRAFT-000736</x:v>
      </x:c>
      <x:c r="C752" t="str">
        <x:v>KTO001</x:v>
      </x:c>
      <x:c r="D752"/>
      <x:c r="E752" t="str">
        <x:v>KAT013</x:v>
      </x:c>
      <x:c r="F752"/>
      <x:c r="G752"/>
      <x:c r="H752" t="str">
        <x:v>kein_match</x:v>
      </x:c>
      <x:c r="I752" t="str">
        <x:v>Agent-Draft: keine finale Regelentscheidung</x:v>
      </x:c>
      <x:c r="J752" t="n">
        <x:v>45910</x:v>
      </x:c>
      <x:c r="K752"/>
      <x:c r="L752"/>
      <x:c r="M752" t="n">
        <x:v>-71.2</x:v>
      </x:c>
      <x:c r="N752" t="str">
        <x:v>2025-09</x:v>
      </x:c>
      <x:c r="O752" t="str">
        <x:v>Ausgabe</x:v>
      </x:c>
      <x:c r="P752" t="str">
        <x:v>Ist</x:v>
      </x:c>
      <x:c r="Q752" s="59" t="b">
        <x:v>0</x:v>
      </x:c>
      <x:c r="R752" t="str">
        <x:v>kein_transfer</x:v>
      </x:c>
      <x:c r="S752"/>
      <x:c r="T752"/>
      <x:c r="U752"/>
      <x:c r="V752" s="59" t="b">
        <x:v>1</x:v>
      </x:c>
      <x:c r="W752"/>
      <x:c r="X752" t="str">
        <x:v>offen</x:v>
      </x:c>
      <x:c r="Y752" t="str">
        <x:v>Agent-Draft; Kategorie und Person pruefen</x:v>
      </x:c>
    </x:row>
    <x:row r="753">
      <x:c r="A753" t="str">
        <x:v>TXN-RAW-IMP-20260516-FULLDRAFT-000737</x:v>
      </x:c>
      <x:c r="B753" t="str">
        <x:v>RAW-IMP-20260516-FULLDRAFT-000737</x:v>
      </x:c>
      <x:c r="C753" t="str">
        <x:v>KTO001</x:v>
      </x:c>
      <x:c r="D753"/>
      <x:c r="E753" t="str">
        <x:v>KAT013</x:v>
      </x:c>
      <x:c r="F753"/>
      <x:c r="G753"/>
      <x:c r="H753" t="str">
        <x:v>kein_match</x:v>
      </x:c>
      <x:c r="I753" t="str">
        <x:v>Agent-Draft: keine finale Regelentscheidung</x:v>
      </x:c>
      <x:c r="J753" t="n">
        <x:v>45910</x:v>
      </x:c>
      <x:c r="K753"/>
      <x:c r="L753"/>
      <x:c r="M753" t="n">
        <x:v>-6.99</x:v>
      </x:c>
      <x:c r="N753" t="str">
        <x:v>2025-09</x:v>
      </x:c>
      <x:c r="O753" t="str">
        <x:v>Ausgabe</x:v>
      </x:c>
      <x:c r="P753" t="str">
        <x:v>Ist</x:v>
      </x:c>
      <x:c r="Q753" s="59" t="b">
        <x:v>0</x:v>
      </x:c>
      <x:c r="R753" t="str">
        <x:v>kein_transfer</x:v>
      </x:c>
      <x:c r="S753"/>
      <x:c r="T753"/>
      <x:c r="U753"/>
      <x:c r="V753" s="59" t="b">
        <x:v>1</x:v>
      </x:c>
      <x:c r="W753"/>
      <x:c r="X753" t="str">
        <x:v>offen</x:v>
      </x:c>
      <x:c r="Y753" t="str">
        <x:v>Agent-Draft; Kategorie und Person pruefen</x:v>
      </x:c>
    </x:row>
    <x:row r="754">
      <x:c r="A754" t="str">
        <x:v>TXN-RAW-IMP-20260516-FULLDRAFT-000738</x:v>
      </x:c>
      <x:c r="B754" t="str">
        <x:v>RAW-IMP-20260516-FULLDRAFT-000738</x:v>
      </x:c>
      <x:c r="C754" t="str">
        <x:v>KTO001</x:v>
      </x:c>
      <x:c r="D754"/>
      <x:c r="E754" t="str">
        <x:v>KAT013</x:v>
      </x:c>
      <x:c r="F754"/>
      <x:c r="G754"/>
      <x:c r="H754" t="str">
        <x:v>kein_match</x:v>
      </x:c>
      <x:c r="I754" t="str">
        <x:v>Agent-Draft: keine finale Regelentscheidung</x:v>
      </x:c>
      <x:c r="J754" t="n">
        <x:v>45910</x:v>
      </x:c>
      <x:c r="K754"/>
      <x:c r="L754"/>
      <x:c r="M754" t="n">
        <x:v>12.49</x:v>
      </x:c>
      <x:c r="N754" t="str">
        <x:v>2025-09</x:v>
      </x:c>
      <x:c r="O754" t="str">
        <x:v>Einnahme</x:v>
      </x:c>
      <x:c r="P754" t="str">
        <x:v>Ist</x:v>
      </x:c>
      <x:c r="Q754" s="59" t="b">
        <x:v>0</x:v>
      </x:c>
      <x:c r="R754" t="str">
        <x:v>kein_transfer</x:v>
      </x:c>
      <x:c r="S754"/>
      <x:c r="T754"/>
      <x:c r="U754"/>
      <x:c r="V754" s="59" t="b">
        <x:v>1</x:v>
      </x:c>
      <x:c r="W754"/>
      <x:c r="X754" t="str">
        <x:v>offen</x:v>
      </x:c>
      <x:c r="Y754" t="str">
        <x:v>Agent-Draft; Kategorie und Person pruefen</x:v>
      </x:c>
    </x:row>
    <x:row r="755">
      <x:c r="A755" t="str">
        <x:v>TXN-RAW-IMP-20260516-FULLDRAFT-000739</x:v>
      </x:c>
      <x:c r="B755" t="str">
        <x:v>RAW-IMP-20260516-FULLDRAFT-000739</x:v>
      </x:c>
      <x:c r="C755" t="str">
        <x:v>KTO001</x:v>
      </x:c>
      <x:c r="D755"/>
      <x:c r="E755" t="str">
        <x:v>KAT013</x:v>
      </x:c>
      <x:c r="F755"/>
      <x:c r="G755"/>
      <x:c r="H755" t="str">
        <x:v>kein_match</x:v>
      </x:c>
      <x:c r="I755" t="str">
        <x:v>Agent-Draft: keine finale Regelentscheidung</x:v>
      </x:c>
      <x:c r="J755" t="n">
        <x:v>45909</x:v>
      </x:c>
      <x:c r="K755"/>
      <x:c r="L755"/>
      <x:c r="M755" t="n">
        <x:v>-3.7</x:v>
      </x:c>
      <x:c r="N755" t="str">
        <x:v>2025-09</x:v>
      </x:c>
      <x:c r="O755" t="str">
        <x:v>Ausgabe</x:v>
      </x:c>
      <x:c r="P755" t="str">
        <x:v>Ist</x:v>
      </x:c>
      <x:c r="Q755" s="59" t="b">
        <x:v>0</x:v>
      </x:c>
      <x:c r="R755" t="str">
        <x:v>kein_transfer</x:v>
      </x:c>
      <x:c r="S755"/>
      <x:c r="T755"/>
      <x:c r="U755"/>
      <x:c r="V755" s="59" t="b">
        <x:v>1</x:v>
      </x:c>
      <x:c r="W755"/>
      <x:c r="X755" t="str">
        <x:v>offen</x:v>
      </x:c>
      <x:c r="Y755" t="str">
        <x:v>Agent-Draft; Kategorie und Person pruefen</x:v>
      </x:c>
    </x:row>
    <x:row r="756">
      <x:c r="A756" t="str">
        <x:v>TXN-RAW-IMP-20260516-FULLDRAFT-000740</x:v>
      </x:c>
      <x:c r="B756" t="str">
        <x:v>RAW-IMP-20260516-FULLDRAFT-000740</x:v>
      </x:c>
      <x:c r="C756" t="str">
        <x:v>KTO001</x:v>
      </x:c>
      <x:c r="D756"/>
      <x:c r="E756" t="str">
        <x:v>KAT013</x:v>
      </x:c>
      <x:c r="F756"/>
      <x:c r="G756"/>
      <x:c r="H756" t="str">
        <x:v>kein_match</x:v>
      </x:c>
      <x:c r="I756" t="str">
        <x:v>Agent-Draft: keine finale Regelentscheidung</x:v>
      </x:c>
      <x:c r="J756" t="n">
        <x:v>45909</x:v>
      </x:c>
      <x:c r="K756"/>
      <x:c r="L756"/>
      <x:c r="M756" t="n">
        <x:v>-7</x:v>
      </x:c>
      <x:c r="N756" t="str">
        <x:v>2025-09</x:v>
      </x:c>
      <x:c r="O756" t="str">
        <x:v>Ausgabe</x:v>
      </x:c>
      <x:c r="P756" t="str">
        <x:v>Ist</x:v>
      </x:c>
      <x:c r="Q756" s="59" t="b">
        <x:v>0</x:v>
      </x:c>
      <x:c r="R756" t="str">
        <x:v>kein_transfer</x:v>
      </x:c>
      <x:c r="S756"/>
      <x:c r="T756"/>
      <x:c r="U756"/>
      <x:c r="V756" s="59" t="b">
        <x:v>1</x:v>
      </x:c>
      <x:c r="W756"/>
      <x:c r="X756" t="str">
        <x:v>offen</x:v>
      </x:c>
      <x:c r="Y756" t="str">
        <x:v>Agent-Draft; Kategorie und Person pruefen</x:v>
      </x:c>
    </x:row>
    <x:row r="757">
      <x:c r="A757" t="str">
        <x:v>TXN-RAW-IMP-20260516-FULLDRAFT-000741</x:v>
      </x:c>
      <x:c r="B757" t="str">
        <x:v>RAW-IMP-20260516-FULLDRAFT-000741</x:v>
      </x:c>
      <x:c r="C757" t="str">
        <x:v>KTO001</x:v>
      </x:c>
      <x:c r="D757"/>
      <x:c r="E757" t="str">
        <x:v>KAT013</x:v>
      </x:c>
      <x:c r="F757"/>
      <x:c r="G757"/>
      <x:c r="H757" t="str">
        <x:v>kein_match</x:v>
      </x:c>
      <x:c r="I757" t="str">
        <x:v>Agent-Draft: keine finale Regelentscheidung</x:v>
      </x:c>
      <x:c r="J757" t="n">
        <x:v>45909</x:v>
      </x:c>
      <x:c r="K757"/>
      <x:c r="L757"/>
      <x:c r="M757" t="n">
        <x:v>-24.72</x:v>
      </x:c>
      <x:c r="N757" t="str">
        <x:v>2025-09</x:v>
      </x:c>
      <x:c r="O757" t="str">
        <x:v>Ausgabe</x:v>
      </x:c>
      <x:c r="P757" t="str">
        <x:v>Ist</x:v>
      </x:c>
      <x:c r="Q757" s="59" t="b">
        <x:v>0</x:v>
      </x:c>
      <x:c r="R757" t="str">
        <x:v>kein_transfer</x:v>
      </x:c>
      <x:c r="S757"/>
      <x:c r="T757"/>
      <x:c r="U757"/>
      <x:c r="V757" s="59" t="b">
        <x:v>1</x:v>
      </x:c>
      <x:c r="W757"/>
      <x:c r="X757" t="str">
        <x:v>offen</x:v>
      </x:c>
      <x:c r="Y757" t="str">
        <x:v>Agent-Draft; Kategorie und Person pruefen</x:v>
      </x:c>
    </x:row>
    <x:row r="758">
      <x:c r="A758" t="str">
        <x:v>TXN-RAW-IMP-20260516-FULLDRAFT-000742</x:v>
      </x:c>
      <x:c r="B758" t="str">
        <x:v>RAW-IMP-20260516-FULLDRAFT-000742</x:v>
      </x:c>
      <x:c r="C758" t="str">
        <x:v>KTO001</x:v>
      </x:c>
      <x:c r="D758"/>
      <x:c r="E758" t="str">
        <x:v>KAT013</x:v>
      </x:c>
      <x:c r="F758"/>
      <x:c r="G758"/>
      <x:c r="H758" t="str">
        <x:v>kein_match</x:v>
      </x:c>
      <x:c r="I758" t="str">
        <x:v>Agent-Draft: keine finale Regelentscheidung</x:v>
      </x:c>
      <x:c r="J758" t="n">
        <x:v>45909</x:v>
      </x:c>
      <x:c r="K758"/>
      <x:c r="L758"/>
      <x:c r="M758" t="n">
        <x:v>-19.8</x:v>
      </x:c>
      <x:c r="N758" t="str">
        <x:v>2025-09</x:v>
      </x:c>
      <x:c r="O758" t="str">
        <x:v>Ausgabe</x:v>
      </x:c>
      <x:c r="P758" t="str">
        <x:v>Ist</x:v>
      </x:c>
      <x:c r="Q758" s="59" t="b">
        <x:v>0</x:v>
      </x:c>
      <x:c r="R758" t="str">
        <x:v>kein_transfer</x:v>
      </x:c>
      <x:c r="S758"/>
      <x:c r="T758"/>
      <x:c r="U758"/>
      <x:c r="V758" s="59" t="b">
        <x:v>1</x:v>
      </x:c>
      <x:c r="W758"/>
      <x:c r="X758" t="str">
        <x:v>offen</x:v>
      </x:c>
      <x:c r="Y758" t="str">
        <x:v>Agent-Draft; Kategorie und Person pruefen</x:v>
      </x:c>
    </x:row>
    <x:row r="759">
      <x:c r="A759" t="str">
        <x:v>TXN-RAW-IMP-20260516-FULLDRAFT-000743</x:v>
      </x:c>
      <x:c r="B759" t="str">
        <x:v>RAW-IMP-20260516-FULLDRAFT-000743</x:v>
      </x:c>
      <x:c r="C759" t="str">
        <x:v>KTO001</x:v>
      </x:c>
      <x:c r="D759"/>
      <x:c r="E759" t="str">
        <x:v>KAT013</x:v>
      </x:c>
      <x:c r="F759"/>
      <x:c r="G759"/>
      <x:c r="H759" t="str">
        <x:v>kein_match</x:v>
      </x:c>
      <x:c r="I759" t="str">
        <x:v>Agent-Draft: keine finale Regelentscheidung</x:v>
      </x:c>
      <x:c r="J759" t="n">
        <x:v>45909</x:v>
      </x:c>
      <x:c r="K759"/>
      <x:c r="L759"/>
      <x:c r="M759" t="n">
        <x:v>-500</x:v>
      </x:c>
      <x:c r="N759" t="str">
        <x:v>2025-09</x:v>
      </x:c>
      <x:c r="O759" t="str">
        <x:v>Ausgabe</x:v>
      </x:c>
      <x:c r="P759" t="str">
        <x:v>Ist</x:v>
      </x:c>
      <x:c r="Q759" s="59" t="b">
        <x:v>0</x:v>
      </x:c>
      <x:c r="R759" t="str">
        <x:v>kein_transfer</x:v>
      </x:c>
      <x:c r="S759"/>
      <x:c r="T759"/>
      <x:c r="U759"/>
      <x:c r="V759" s="59" t="b">
        <x:v>1</x:v>
      </x:c>
      <x:c r="W759"/>
      <x:c r="X759" t="str">
        <x:v>offen</x:v>
      </x:c>
      <x:c r="Y759" t="str">
        <x:v>Agent-Draft; Kategorie und Person pruefen</x:v>
      </x:c>
    </x:row>
    <x:row r="760">
      <x:c r="A760" t="str">
        <x:v>TXN-RAW-IMP-20260516-FULLDRAFT-000744</x:v>
      </x:c>
      <x:c r="B760" t="str">
        <x:v>RAW-IMP-20260516-FULLDRAFT-000744</x:v>
      </x:c>
      <x:c r="C760" t="str">
        <x:v>KTO001</x:v>
      </x:c>
      <x:c r="D760"/>
      <x:c r="E760" t="str">
        <x:v>KAT013</x:v>
      </x:c>
      <x:c r="F760"/>
      <x:c r="G760"/>
      <x:c r="H760" t="str">
        <x:v>kein_match</x:v>
      </x:c>
      <x:c r="I760" t="str">
        <x:v>Agent-Draft: keine finale Regelentscheidung</x:v>
      </x:c>
      <x:c r="J760" t="n">
        <x:v>45908</x:v>
      </x:c>
      <x:c r="K760"/>
      <x:c r="L760"/>
      <x:c r="M760" t="n">
        <x:v>-40</x:v>
      </x:c>
      <x:c r="N760" t="str">
        <x:v>2025-09</x:v>
      </x:c>
      <x:c r="O760" t="str">
        <x:v>Ausgabe</x:v>
      </x:c>
      <x:c r="P760" t="str">
        <x:v>Ist</x:v>
      </x:c>
      <x:c r="Q760" s="59" t="b">
        <x:v>0</x:v>
      </x:c>
      <x:c r="R760" t="str">
        <x:v>kein_transfer</x:v>
      </x:c>
      <x:c r="S760"/>
      <x:c r="T760"/>
      <x:c r="U760"/>
      <x:c r="V760" s="59" t="b">
        <x:v>1</x:v>
      </x:c>
      <x:c r="W760"/>
      <x:c r="X760" t="str">
        <x:v>offen</x:v>
      </x:c>
      <x:c r="Y760" t="str">
        <x:v>Agent-Draft; Kategorie und Person pruefen</x:v>
      </x:c>
    </x:row>
    <x:row r="761">
      <x:c r="A761" t="str">
        <x:v>TXN-RAW-IMP-20260516-FULLDRAFT-000745</x:v>
      </x:c>
      <x:c r="B761" t="str">
        <x:v>RAW-IMP-20260516-FULLDRAFT-000745</x:v>
      </x:c>
      <x:c r="C761" t="str">
        <x:v>KTO001</x:v>
      </x:c>
      <x:c r="D761"/>
      <x:c r="E761" t="str">
        <x:v>KAT013</x:v>
      </x:c>
      <x:c r="F761"/>
      <x:c r="G761"/>
      <x:c r="H761" t="str">
        <x:v>kein_match</x:v>
      </x:c>
      <x:c r="I761" t="str">
        <x:v>Agent-Draft: keine finale Regelentscheidung</x:v>
      </x:c>
      <x:c r="J761" t="n">
        <x:v>45908</x:v>
      </x:c>
      <x:c r="K761"/>
      <x:c r="L761"/>
      <x:c r="M761" t="n">
        <x:v>-1.5</x:v>
      </x:c>
      <x:c r="N761" t="str">
        <x:v>2025-09</x:v>
      </x:c>
      <x:c r="O761" t="str">
        <x:v>Ausgabe</x:v>
      </x:c>
      <x:c r="P761" t="str">
        <x:v>Ist</x:v>
      </x:c>
      <x:c r="Q761" s="59" t="b">
        <x:v>0</x:v>
      </x:c>
      <x:c r="R761" t="str">
        <x:v>kein_transfer</x:v>
      </x:c>
      <x:c r="S761"/>
      <x:c r="T761"/>
      <x:c r="U761"/>
      <x:c r="V761" s="59" t="b">
        <x:v>1</x:v>
      </x:c>
      <x:c r="W761"/>
      <x:c r="X761" t="str">
        <x:v>offen</x:v>
      </x:c>
      <x:c r="Y761" t="str">
        <x:v>Agent-Draft; Kategorie und Person pruefen</x:v>
      </x:c>
    </x:row>
    <x:row r="762">
      <x:c r="A762" t="str">
        <x:v>TXN-RAW-IMP-20260516-FULLDRAFT-000746</x:v>
      </x:c>
      <x:c r="B762" t="str">
        <x:v>RAW-IMP-20260516-FULLDRAFT-000746</x:v>
      </x:c>
      <x:c r="C762" t="str">
        <x:v>KTO001</x:v>
      </x:c>
      <x:c r="D762"/>
      <x:c r="E762" t="str">
        <x:v>KAT013</x:v>
      </x:c>
      <x:c r="F762"/>
      <x:c r="G762"/>
      <x:c r="H762" t="str">
        <x:v>kein_match</x:v>
      </x:c>
      <x:c r="I762" t="str">
        <x:v>Agent-Draft: keine finale Regelentscheidung</x:v>
      </x:c>
      <x:c r="J762" t="n">
        <x:v>45908</x:v>
      </x:c>
      <x:c r="K762"/>
      <x:c r="L762"/>
      <x:c r="M762" t="n">
        <x:v>-3.6</x:v>
      </x:c>
      <x:c r="N762" t="str">
        <x:v>2025-09</x:v>
      </x:c>
      <x:c r="O762" t="str">
        <x:v>Ausgabe</x:v>
      </x:c>
      <x:c r="P762" t="str">
        <x:v>Ist</x:v>
      </x:c>
      <x:c r="Q762" s="59" t="b">
        <x:v>0</x:v>
      </x:c>
      <x:c r="R762" t="str">
        <x:v>kein_transfer</x:v>
      </x:c>
      <x:c r="S762"/>
      <x:c r="T762"/>
      <x:c r="U762"/>
      <x:c r="V762" s="59" t="b">
        <x:v>1</x:v>
      </x:c>
      <x:c r="W762"/>
      <x:c r="X762" t="str">
        <x:v>offen</x:v>
      </x:c>
      <x:c r="Y762" t="str">
        <x:v>Agent-Draft; Kategorie und Person pruefen</x:v>
      </x:c>
    </x:row>
    <x:row r="763">
      <x:c r="A763" t="str">
        <x:v>TXN-RAW-IMP-20260516-FULLDRAFT-000747</x:v>
      </x:c>
      <x:c r="B763" t="str">
        <x:v>RAW-IMP-20260516-FULLDRAFT-000747</x:v>
      </x:c>
      <x:c r="C763" t="str">
        <x:v>KTO001</x:v>
      </x:c>
      <x:c r="D763"/>
      <x:c r="E763" t="str">
        <x:v>KAT013</x:v>
      </x:c>
      <x:c r="F763"/>
      <x:c r="G763"/>
      <x:c r="H763" t="str">
        <x:v>kein_match</x:v>
      </x:c>
      <x:c r="I763" t="str">
        <x:v>Agent-Draft: keine finale Regelentscheidung</x:v>
      </x:c>
      <x:c r="J763" t="n">
        <x:v>45908</x:v>
      </x:c>
      <x:c r="K763"/>
      <x:c r="L763"/>
      <x:c r="M763" t="n">
        <x:v>-114.75</x:v>
      </x:c>
      <x:c r="N763" t="str">
        <x:v>2025-09</x:v>
      </x:c>
      <x:c r="O763" t="str">
        <x:v>Ausgabe</x:v>
      </x:c>
      <x:c r="P763" t="str">
        <x:v>Ist</x:v>
      </x:c>
      <x:c r="Q763" s="59" t="b">
        <x:v>0</x:v>
      </x:c>
      <x:c r="R763" t="str">
        <x:v>kein_transfer</x:v>
      </x:c>
      <x:c r="S763"/>
      <x:c r="T763"/>
      <x:c r="U763"/>
      <x:c r="V763" s="59" t="b">
        <x:v>1</x:v>
      </x:c>
      <x:c r="W763"/>
      <x:c r="X763" t="str">
        <x:v>offen</x:v>
      </x:c>
      <x:c r="Y763" t="str">
        <x:v>Agent-Draft; Kategorie und Person pruefen</x:v>
      </x:c>
    </x:row>
    <x:row r="764">
      <x:c r="A764" t="str">
        <x:v>TXN-RAW-IMP-20260516-FULLDRAFT-000748</x:v>
      </x:c>
      <x:c r="B764" t="str">
        <x:v>RAW-IMP-20260516-FULLDRAFT-000748</x:v>
      </x:c>
      <x:c r="C764" t="str">
        <x:v>KTO001</x:v>
      </x:c>
      <x:c r="D764"/>
      <x:c r="E764" t="str">
        <x:v>KAT013</x:v>
      </x:c>
      <x:c r="F764"/>
      <x:c r="G764"/>
      <x:c r="H764" t="str">
        <x:v>kein_match</x:v>
      </x:c>
      <x:c r="I764" t="str">
        <x:v>Agent-Draft: keine finale Regelentscheidung</x:v>
      </x:c>
      <x:c r="J764" t="n">
        <x:v>45908</x:v>
      </x:c>
      <x:c r="K764"/>
      <x:c r="L764"/>
      <x:c r="M764" t="n">
        <x:v>-1.49</x:v>
      </x:c>
      <x:c r="N764" t="str">
        <x:v>2025-09</x:v>
      </x:c>
      <x:c r="O764" t="str">
        <x:v>Ausgabe</x:v>
      </x:c>
      <x:c r="P764" t="str">
        <x:v>Ist</x:v>
      </x:c>
      <x:c r="Q764" s="59" t="b">
        <x:v>0</x:v>
      </x:c>
      <x:c r="R764" t="str">
        <x:v>kein_transfer</x:v>
      </x:c>
      <x:c r="S764"/>
      <x:c r="T764"/>
      <x:c r="U764"/>
      <x:c r="V764" s="59" t="b">
        <x:v>1</x:v>
      </x:c>
      <x:c r="W764"/>
      <x:c r="X764" t="str">
        <x:v>offen</x:v>
      </x:c>
      <x:c r="Y764" t="str">
        <x:v>Agent-Draft; Kategorie und Person pruefen</x:v>
      </x:c>
    </x:row>
    <x:row r="765">
      <x:c r="A765" t="str">
        <x:v>TXN-RAW-IMP-20260516-FULLDRAFT-000749</x:v>
      </x:c>
      <x:c r="B765" t="str">
        <x:v>RAW-IMP-20260516-FULLDRAFT-000749</x:v>
      </x:c>
      <x:c r="C765" t="str">
        <x:v>KTO001</x:v>
      </x:c>
      <x:c r="D765"/>
      <x:c r="E765" t="str">
        <x:v>KAT013</x:v>
      </x:c>
      <x:c r="F765"/>
      <x:c r="G765"/>
      <x:c r="H765" t="str">
        <x:v>kein_match</x:v>
      </x:c>
      <x:c r="I765" t="str">
        <x:v>Agent-Draft: keine finale Regelentscheidung</x:v>
      </x:c>
      <x:c r="J765" t="n">
        <x:v>45908</x:v>
      </x:c>
      <x:c r="K765"/>
      <x:c r="L765"/>
      <x:c r="M765" t="n">
        <x:v>-49.9</x:v>
      </x:c>
      <x:c r="N765" t="str">
        <x:v>2025-09</x:v>
      </x:c>
      <x:c r="O765" t="str">
        <x:v>Ausgabe</x:v>
      </x:c>
      <x:c r="P765" t="str">
        <x:v>Ist</x:v>
      </x:c>
      <x:c r="Q765" s="59" t="b">
        <x:v>0</x:v>
      </x:c>
      <x:c r="R765" t="str">
        <x:v>kein_transfer</x:v>
      </x:c>
      <x:c r="S765"/>
      <x:c r="T765"/>
      <x:c r="U765"/>
      <x:c r="V765" s="59" t="b">
        <x:v>1</x:v>
      </x:c>
      <x:c r="W765"/>
      <x:c r="X765" t="str">
        <x:v>offen</x:v>
      </x:c>
      <x:c r="Y765" t="str">
        <x:v>Agent-Draft; Kategorie und Person pruefen</x:v>
      </x:c>
    </x:row>
    <x:row r="766">
      <x:c r="A766" t="str">
        <x:v>TXN-RAW-IMP-20260516-FULLDRAFT-000750</x:v>
      </x:c>
      <x:c r="B766" t="str">
        <x:v>RAW-IMP-20260516-FULLDRAFT-000750</x:v>
      </x:c>
      <x:c r="C766" t="str">
        <x:v>KTO001</x:v>
      </x:c>
      <x:c r="D766"/>
      <x:c r="E766" t="str">
        <x:v>KAT013</x:v>
      </x:c>
      <x:c r="F766"/>
      <x:c r="G766"/>
      <x:c r="H766" t="str">
        <x:v>kein_match</x:v>
      </x:c>
      <x:c r="I766" t="str">
        <x:v>Agent-Draft: keine finale Regelentscheidung</x:v>
      </x:c>
      <x:c r="J766" t="n">
        <x:v>45904</x:v>
      </x:c>
      <x:c r="K766"/>
      <x:c r="L766"/>
      <x:c r="M766" t="n">
        <x:v>-10.99</x:v>
      </x:c>
      <x:c r="N766" t="str">
        <x:v>2025-09</x:v>
      </x:c>
      <x:c r="O766" t="str">
        <x:v>Ausgabe</x:v>
      </x:c>
      <x:c r="P766" t="str">
        <x:v>Ist</x:v>
      </x:c>
      <x:c r="Q766" s="59" t="b">
        <x:v>0</x:v>
      </x:c>
      <x:c r="R766" t="str">
        <x:v>kein_transfer</x:v>
      </x:c>
      <x:c r="S766"/>
      <x:c r="T766"/>
      <x:c r="U766"/>
      <x:c r="V766" s="59" t="b">
        <x:v>1</x:v>
      </x:c>
      <x:c r="W766"/>
      <x:c r="X766" t="str">
        <x:v>offen</x:v>
      </x:c>
      <x:c r="Y766" t="str">
        <x:v>Agent-Draft; Kategorie und Person pruefen</x:v>
      </x:c>
    </x:row>
    <x:row r="767">
      <x:c r="A767" t="str">
        <x:v>TXN-RAW-IMP-20260516-FULLDRAFT-000751</x:v>
      </x:c>
      <x:c r="B767" t="str">
        <x:v>RAW-IMP-20260516-FULLDRAFT-000751</x:v>
      </x:c>
      <x:c r="C767" t="str">
        <x:v>KTO001</x:v>
      </x:c>
      <x:c r="D767"/>
      <x:c r="E767" t="str">
        <x:v>KAT013</x:v>
      </x:c>
      <x:c r="F767"/>
      <x:c r="G767"/>
      <x:c r="H767" t="str">
        <x:v>kein_match</x:v>
      </x:c>
      <x:c r="I767" t="str">
        <x:v>Agent-Draft: keine finale Regelentscheidung</x:v>
      </x:c>
      <x:c r="J767" t="n">
        <x:v>45904</x:v>
      </x:c>
      <x:c r="K767"/>
      <x:c r="L767"/>
      <x:c r="M767" t="n">
        <x:v>-61.93</x:v>
      </x:c>
      <x:c r="N767" t="str">
        <x:v>2025-09</x:v>
      </x:c>
      <x:c r="O767" t="str">
        <x:v>Ausgabe</x:v>
      </x:c>
      <x:c r="P767" t="str">
        <x:v>Ist</x:v>
      </x:c>
      <x:c r="Q767" s="59" t="b">
        <x:v>0</x:v>
      </x:c>
      <x:c r="R767" t="str">
        <x:v>kein_transfer</x:v>
      </x:c>
      <x:c r="S767"/>
      <x:c r="T767"/>
      <x:c r="U767"/>
      <x:c r="V767" s="59" t="b">
        <x:v>1</x:v>
      </x:c>
      <x:c r="W767"/>
      <x:c r="X767" t="str">
        <x:v>offen</x:v>
      </x:c>
      <x:c r="Y767" t="str">
        <x:v>Agent-Draft; Kategorie und Person pruefen</x:v>
      </x:c>
    </x:row>
    <x:row r="768">
      <x:c r="A768" t="str">
        <x:v>TXN-RAW-IMP-20260516-FULLDRAFT-000752</x:v>
      </x:c>
      <x:c r="B768" t="str">
        <x:v>RAW-IMP-20260516-FULLDRAFT-000752</x:v>
      </x:c>
      <x:c r="C768" t="str">
        <x:v>KTO001</x:v>
      </x:c>
      <x:c r="D768"/>
      <x:c r="E768" t="str">
        <x:v>KAT013</x:v>
      </x:c>
      <x:c r="F768"/>
      <x:c r="G768"/>
      <x:c r="H768" t="str">
        <x:v>kein_match</x:v>
      </x:c>
      <x:c r="I768" t="str">
        <x:v>Agent-Draft: keine finale Regelentscheidung</x:v>
      </x:c>
      <x:c r="J768" t="n">
        <x:v>45903</x:v>
      </x:c>
      <x:c r="K768"/>
      <x:c r="L768"/>
      <x:c r="M768" t="n">
        <x:v>750</x:v>
      </x:c>
      <x:c r="N768" t="str">
        <x:v>2025-09</x:v>
      </x:c>
      <x:c r="O768" t="str">
        <x:v>Einnahme</x:v>
      </x:c>
      <x:c r="P768" t="str">
        <x:v>Ist</x:v>
      </x:c>
      <x:c r="Q768" s="59" t="b">
        <x:v>0</x:v>
      </x:c>
      <x:c r="R768" t="str">
        <x:v>kein_transfer</x:v>
      </x:c>
      <x:c r="S768"/>
      <x:c r="T768"/>
      <x:c r="U768"/>
      <x:c r="V768" s="59" t="b">
        <x:v>1</x:v>
      </x:c>
      <x:c r="W768"/>
      <x:c r="X768" t="str">
        <x:v>offen</x:v>
      </x:c>
      <x:c r="Y768" t="str">
        <x:v>Agent-Draft; Kategorie und Person pruefen</x:v>
      </x:c>
    </x:row>
    <x:row r="769">
      <x:c r="A769" t="str">
        <x:v>TXN-RAW-IMP-20260516-FULLDRAFT-000753</x:v>
      </x:c>
      <x:c r="B769" t="str">
        <x:v>RAW-IMP-20260516-FULLDRAFT-000753</x:v>
      </x:c>
      <x:c r="C769" t="str">
        <x:v>KTO001</x:v>
      </x:c>
      <x:c r="D769"/>
      <x:c r="E769" t="str">
        <x:v>KAT013</x:v>
      </x:c>
      <x:c r="F769"/>
      <x:c r="G769"/>
      <x:c r="H769" t="str">
        <x:v>kein_match</x:v>
      </x:c>
      <x:c r="I769" t="str">
        <x:v>Agent-Draft: keine finale Regelentscheidung</x:v>
      </x:c>
      <x:c r="J769" t="n">
        <x:v>45903</x:v>
      </x:c>
      <x:c r="K769"/>
      <x:c r="L769"/>
      <x:c r="M769" t="n">
        <x:v>-4.38</x:v>
      </x:c>
      <x:c r="N769" t="str">
        <x:v>2025-09</x:v>
      </x:c>
      <x:c r="O769" t="str">
        <x:v>Ausgabe</x:v>
      </x:c>
      <x:c r="P769" t="str">
        <x:v>Ist</x:v>
      </x:c>
      <x:c r="Q769" s="59" t="b">
        <x:v>0</x:v>
      </x:c>
      <x:c r="R769" t="str">
        <x:v>kein_transfer</x:v>
      </x:c>
      <x:c r="S769"/>
      <x:c r="T769"/>
      <x:c r="U769"/>
      <x:c r="V769" s="59" t="b">
        <x:v>1</x:v>
      </x:c>
      <x:c r="W769"/>
      <x:c r="X769" t="str">
        <x:v>offen</x:v>
      </x:c>
      <x:c r="Y769" t="str">
        <x:v>Agent-Draft; Kategorie und Person pruefen</x:v>
      </x:c>
    </x:row>
    <x:row r="770">
      <x:c r="A770" t="str">
        <x:v>TXN-RAW-IMP-20260516-FULLDRAFT-000754</x:v>
      </x:c>
      <x:c r="B770" t="str">
        <x:v>RAW-IMP-20260516-FULLDRAFT-000754</x:v>
      </x:c>
      <x:c r="C770" t="str">
        <x:v>KTO001</x:v>
      </x:c>
      <x:c r="D770"/>
      <x:c r="E770" t="str">
        <x:v>KAT013</x:v>
      </x:c>
      <x:c r="F770"/>
      <x:c r="G770"/>
      <x:c r="H770" t="str">
        <x:v>kein_match</x:v>
      </x:c>
      <x:c r="I770" t="str">
        <x:v>Agent-Draft: keine finale Regelentscheidung</x:v>
      </x:c>
      <x:c r="J770" t="n">
        <x:v>45903</x:v>
      </x:c>
      <x:c r="K770"/>
      <x:c r="L770"/>
      <x:c r="M770" t="n">
        <x:v>-11.02</x:v>
      </x:c>
      <x:c r="N770" t="str">
        <x:v>2025-09</x:v>
      </x:c>
      <x:c r="O770" t="str">
        <x:v>Ausgabe</x:v>
      </x:c>
      <x:c r="P770" t="str">
        <x:v>Ist</x:v>
      </x:c>
      <x:c r="Q770" s="59" t="b">
        <x:v>0</x:v>
      </x:c>
      <x:c r="R770" t="str">
        <x:v>kein_transfer</x:v>
      </x:c>
      <x:c r="S770"/>
      <x:c r="T770"/>
      <x:c r="U770"/>
      <x:c r="V770" s="59" t="b">
        <x:v>1</x:v>
      </x:c>
      <x:c r="W770"/>
      <x:c r="X770" t="str">
        <x:v>offen</x:v>
      </x:c>
      <x:c r="Y770" t="str">
        <x:v>Agent-Draft; Kategorie und Person pruefen</x:v>
      </x:c>
    </x:row>
    <x:row r="771">
      <x:c r="A771" t="str">
        <x:v>TXN-RAW-IMP-20260516-FULLDRAFT-000755</x:v>
      </x:c>
      <x:c r="B771" t="str">
        <x:v>RAW-IMP-20260516-FULLDRAFT-000755</x:v>
      </x:c>
      <x:c r="C771" t="str">
        <x:v>KTO001</x:v>
      </x:c>
      <x:c r="D771"/>
      <x:c r="E771" t="str">
        <x:v>KAT013</x:v>
      </x:c>
      <x:c r="F771"/>
      <x:c r="G771"/>
      <x:c r="H771" t="str">
        <x:v>kein_match</x:v>
      </x:c>
      <x:c r="I771" t="str">
        <x:v>Agent-Draft: keine finale Regelentscheidung</x:v>
      </x:c>
      <x:c r="J771" t="n">
        <x:v>45903</x:v>
      </x:c>
      <x:c r="K771"/>
      <x:c r="L771"/>
      <x:c r="M771" t="n">
        <x:v>-11.48</x:v>
      </x:c>
      <x:c r="N771" t="str">
        <x:v>2025-09</x:v>
      </x:c>
      <x:c r="O771" t="str">
        <x:v>Ausgabe</x:v>
      </x:c>
      <x:c r="P771" t="str">
        <x:v>Ist</x:v>
      </x:c>
      <x:c r="Q771" s="59" t="b">
        <x:v>0</x:v>
      </x:c>
      <x:c r="R771" t="str">
        <x:v>kein_transfer</x:v>
      </x:c>
      <x:c r="S771"/>
      <x:c r="T771"/>
      <x:c r="U771"/>
      <x:c r="V771" s="59" t="b">
        <x:v>1</x:v>
      </x:c>
      <x:c r="W771"/>
      <x:c r="X771" t="str">
        <x:v>offen</x:v>
      </x:c>
      <x:c r="Y771" t="str">
        <x:v>Agent-Draft; Kategorie und Person pruefen</x:v>
      </x:c>
    </x:row>
    <x:row r="772">
      <x:c r="A772" t="str">
        <x:v>TXN-RAW-IMP-20260516-FULLDRAFT-000756</x:v>
      </x:c>
      <x:c r="B772" t="str">
        <x:v>RAW-IMP-20260516-FULLDRAFT-000756</x:v>
      </x:c>
      <x:c r="C772" t="str">
        <x:v>KTO001</x:v>
      </x:c>
      <x:c r="D772"/>
      <x:c r="E772" t="str">
        <x:v>KAT013</x:v>
      </x:c>
      <x:c r="F772"/>
      <x:c r="G772"/>
      <x:c r="H772" t="str">
        <x:v>kein_match</x:v>
      </x:c>
      <x:c r="I772" t="str">
        <x:v>Agent-Draft: keine finale Regelentscheidung</x:v>
      </x:c>
      <x:c r="J772" t="n">
        <x:v>45903</x:v>
      </x:c>
      <x:c r="K772"/>
      <x:c r="L772"/>
      <x:c r="M772" t="n">
        <x:v>-14.95</x:v>
      </x:c>
      <x:c r="N772" t="str">
        <x:v>2025-09</x:v>
      </x:c>
      <x:c r="O772" t="str">
        <x:v>Ausgabe</x:v>
      </x:c>
      <x:c r="P772" t="str">
        <x:v>Ist</x:v>
      </x:c>
      <x:c r="Q772" s="59" t="b">
        <x:v>0</x:v>
      </x:c>
      <x:c r="R772" t="str">
        <x:v>kein_transfer</x:v>
      </x:c>
      <x:c r="S772"/>
      <x:c r="T772"/>
      <x:c r="U772"/>
      <x:c r="V772" s="59" t="b">
        <x:v>1</x:v>
      </x:c>
      <x:c r="W772"/>
      <x:c r="X772" t="str">
        <x:v>offen</x:v>
      </x:c>
      <x:c r="Y772" t="str">
        <x:v>Agent-Draft; Kategorie und Person pruefen</x:v>
      </x:c>
    </x:row>
    <x:row r="773">
      <x:c r="A773" t="str">
        <x:v>TXN-RAW-IMP-20260516-FULLDRAFT-000757</x:v>
      </x:c>
      <x:c r="B773" t="str">
        <x:v>RAW-IMP-20260516-FULLDRAFT-000757</x:v>
      </x:c>
      <x:c r="C773" t="str">
        <x:v>KTO001</x:v>
      </x:c>
      <x:c r="D773"/>
      <x:c r="E773" t="str">
        <x:v>KAT013</x:v>
      </x:c>
      <x:c r="F773"/>
      <x:c r="G773"/>
      <x:c r="H773" t="str">
        <x:v>kein_match</x:v>
      </x:c>
      <x:c r="I773" t="str">
        <x:v>Agent-Draft: keine finale Regelentscheidung</x:v>
      </x:c>
      <x:c r="J773" t="n">
        <x:v>45903</x:v>
      </x:c>
      <x:c r="K773"/>
      <x:c r="L773"/>
      <x:c r="M773" t="n">
        <x:v>-18.14</x:v>
      </x:c>
      <x:c r="N773" t="str">
        <x:v>2025-09</x:v>
      </x:c>
      <x:c r="O773" t="str">
        <x:v>Ausgabe</x:v>
      </x:c>
      <x:c r="P773" t="str">
        <x:v>Ist</x:v>
      </x:c>
      <x:c r="Q773" s="59" t="b">
        <x:v>0</x:v>
      </x:c>
      <x:c r="R773" t="str">
        <x:v>kein_transfer</x:v>
      </x:c>
      <x:c r="S773"/>
      <x:c r="T773"/>
      <x:c r="U773"/>
      <x:c r="V773" s="59" t="b">
        <x:v>1</x:v>
      </x:c>
      <x:c r="W773"/>
      <x:c r="X773" t="str">
        <x:v>offen</x:v>
      </x:c>
      <x:c r="Y773" t="str">
        <x:v>Agent-Draft; Kategorie und Person pruefen</x:v>
      </x:c>
    </x:row>
    <x:row r="774">
      <x:c r="A774" t="str">
        <x:v>TXN-RAW-IMP-20260516-FULLDRAFT-000758</x:v>
      </x:c>
      <x:c r="B774" t="str">
        <x:v>RAW-IMP-20260516-FULLDRAFT-000758</x:v>
      </x:c>
      <x:c r="C774" t="str">
        <x:v>KTO001</x:v>
      </x:c>
      <x:c r="D774"/>
      <x:c r="E774" t="str">
        <x:v>KAT013</x:v>
      </x:c>
      <x:c r="F774"/>
      <x:c r="G774"/>
      <x:c r="H774" t="str">
        <x:v>kein_match</x:v>
      </x:c>
      <x:c r="I774" t="str">
        <x:v>Agent-Draft: keine finale Regelentscheidung</x:v>
      </x:c>
      <x:c r="J774" t="n">
        <x:v>45902</x:v>
      </x:c>
      <x:c r="K774"/>
      <x:c r="L774"/>
      <x:c r="M774" t="n">
        <x:v>-1238.91</x:v>
      </x:c>
      <x:c r="N774" t="str">
        <x:v>2025-09</x:v>
      </x:c>
      <x:c r="O774" t="str">
        <x:v>Ausgabe</x:v>
      </x:c>
      <x:c r="P774" t="str">
        <x:v>Ist</x:v>
      </x:c>
      <x:c r="Q774" s="59" t="b">
        <x:v>0</x:v>
      </x:c>
      <x:c r="R774" t="str">
        <x:v>kein_transfer</x:v>
      </x:c>
      <x:c r="S774"/>
      <x:c r="T774"/>
      <x:c r="U774"/>
      <x:c r="V774" s="59" t="b">
        <x:v>1</x:v>
      </x:c>
      <x:c r="W774"/>
      <x:c r="X774" t="str">
        <x:v>offen</x:v>
      </x:c>
      <x:c r="Y774" t="str">
        <x:v>Agent-Draft; Kategorie und Person pruefen</x:v>
      </x:c>
    </x:row>
    <x:row r="775">
      <x:c r="A775" t="str">
        <x:v>TXN-RAW-IMP-20260516-FULLDRAFT-000759</x:v>
      </x:c>
      <x:c r="B775" t="str">
        <x:v>RAW-IMP-20260516-FULLDRAFT-000759</x:v>
      </x:c>
      <x:c r="C775" t="str">
        <x:v>KTO001</x:v>
      </x:c>
      <x:c r="D775"/>
      <x:c r="E775" t="str">
        <x:v>KAT013</x:v>
      </x:c>
      <x:c r="F775"/>
      <x:c r="G775"/>
      <x:c r="H775" t="str">
        <x:v>kein_match</x:v>
      </x:c>
      <x:c r="I775" t="str">
        <x:v>Agent-Draft: keine finale Regelentscheidung</x:v>
      </x:c>
      <x:c r="J775" t="n">
        <x:v>45902</x:v>
      </x:c>
      <x:c r="K775"/>
      <x:c r="L775"/>
      <x:c r="M775" t="n">
        <x:v>-6821.46</x:v>
      </x:c>
      <x:c r="N775" t="str">
        <x:v>2025-09</x:v>
      </x:c>
      <x:c r="O775" t="str">
        <x:v>Ausgabe</x:v>
      </x:c>
      <x:c r="P775" t="str">
        <x:v>Ist</x:v>
      </x:c>
      <x:c r="Q775" s="59" t="b">
        <x:v>0</x:v>
      </x:c>
      <x:c r="R775" t="str">
        <x:v>kein_transfer</x:v>
      </x:c>
      <x:c r="S775"/>
      <x:c r="T775"/>
      <x:c r="U775"/>
      <x:c r="V775" s="59" t="b">
        <x:v>1</x:v>
      </x:c>
      <x:c r="W775"/>
      <x:c r="X775" t="str">
        <x:v>offen</x:v>
      </x:c>
      <x:c r="Y775" t="str">
        <x:v>Agent-Draft; Kategorie und Person pruefen</x:v>
      </x:c>
    </x:row>
    <x:row r="776">
      <x:c r="A776" t="str">
        <x:v>TXN-RAW-IMP-20260516-FULLDRAFT-000760</x:v>
      </x:c>
      <x:c r="B776" t="str">
        <x:v>RAW-IMP-20260516-FULLDRAFT-000760</x:v>
      </x:c>
      <x:c r="C776" t="str">
        <x:v>KTO001</x:v>
      </x:c>
      <x:c r="D776"/>
      <x:c r="E776" t="str">
        <x:v>KAT013</x:v>
      </x:c>
      <x:c r="F776"/>
      <x:c r="G776"/>
      <x:c r="H776" t="str">
        <x:v>kein_match</x:v>
      </x:c>
      <x:c r="I776" t="str">
        <x:v>Agent-Draft: keine finale Regelentscheidung</x:v>
      </x:c>
      <x:c r="J776" t="n">
        <x:v>45902</x:v>
      </x:c>
      <x:c r="K776"/>
      <x:c r="L776"/>
      <x:c r="M776" t="n">
        <x:v>-16.41</x:v>
      </x:c>
      <x:c r="N776" t="str">
        <x:v>2025-09</x:v>
      </x:c>
      <x:c r="O776" t="str">
        <x:v>Ausgabe</x:v>
      </x:c>
      <x:c r="P776" t="str">
        <x:v>Ist</x:v>
      </x:c>
      <x:c r="Q776" s="59" t="b">
        <x:v>0</x:v>
      </x:c>
      <x:c r="R776" t="str">
        <x:v>kein_transfer</x:v>
      </x:c>
      <x:c r="S776"/>
      <x:c r="T776"/>
      <x:c r="U776"/>
      <x:c r="V776" s="59" t="b">
        <x:v>1</x:v>
      </x:c>
      <x:c r="W776"/>
      <x:c r="X776" t="str">
        <x:v>offen</x:v>
      </x:c>
      <x:c r="Y776" t="str">
        <x:v>Agent-Draft; Kategorie und Person pruefen</x:v>
      </x:c>
    </x:row>
    <x:row r="777">
      <x:c r="A777" t="str">
        <x:v>TXN-RAW-IMP-20260516-FULLDRAFT-000761</x:v>
      </x:c>
      <x:c r="B777" t="str">
        <x:v>RAW-IMP-20260516-FULLDRAFT-000761</x:v>
      </x:c>
      <x:c r="C777" t="str">
        <x:v>KTO001</x:v>
      </x:c>
      <x:c r="D777"/>
      <x:c r="E777" t="str">
        <x:v>KAT013</x:v>
      </x:c>
      <x:c r="F777"/>
      <x:c r="G777"/>
      <x:c r="H777" t="str">
        <x:v>kein_match</x:v>
      </x:c>
      <x:c r="I777" t="str">
        <x:v>Agent-Draft: keine finale Regelentscheidung</x:v>
      </x:c>
      <x:c r="J777" t="n">
        <x:v>45902</x:v>
      </x:c>
      <x:c r="K777"/>
      <x:c r="L777"/>
      <x:c r="M777" t="n">
        <x:v>-181.98</x:v>
      </x:c>
      <x:c r="N777" t="str">
        <x:v>2025-09</x:v>
      </x:c>
      <x:c r="O777" t="str">
        <x:v>Ausgabe</x:v>
      </x:c>
      <x:c r="P777" t="str">
        <x:v>Ist</x:v>
      </x:c>
      <x:c r="Q777" s="59" t="b">
        <x:v>0</x:v>
      </x:c>
      <x:c r="R777" t="str">
        <x:v>kein_transfer</x:v>
      </x:c>
      <x:c r="S777"/>
      <x:c r="T777"/>
      <x:c r="U777"/>
      <x:c r="V777" s="59" t="b">
        <x:v>1</x:v>
      </x:c>
      <x:c r="W777"/>
      <x:c r="X777" t="str">
        <x:v>offen</x:v>
      </x:c>
      <x:c r="Y777" t="str">
        <x:v>Agent-Draft; Kategorie und Person pruefen</x:v>
      </x:c>
    </x:row>
    <x:row r="778">
      <x:c r="A778" t="str">
        <x:v>TXN-RAW-IMP-20260516-FULLDRAFT-000762</x:v>
      </x:c>
      <x:c r="B778" t="str">
        <x:v>RAW-IMP-20260516-FULLDRAFT-000762</x:v>
      </x:c>
      <x:c r="C778" t="str">
        <x:v>KTO001</x:v>
      </x:c>
      <x:c r="D778"/>
      <x:c r="E778" t="str">
        <x:v>KAT013</x:v>
      </x:c>
      <x:c r="F778"/>
      <x:c r="G778"/>
      <x:c r="H778" t="str">
        <x:v>kein_match</x:v>
      </x:c>
      <x:c r="I778" t="str">
        <x:v>Agent-Draft: keine finale Regelentscheidung</x:v>
      </x:c>
      <x:c r="J778" t="n">
        <x:v>45902</x:v>
      </x:c>
      <x:c r="K778"/>
      <x:c r="L778"/>
      <x:c r="M778" t="n">
        <x:v>9000</x:v>
      </x:c>
      <x:c r="N778" t="str">
        <x:v>2025-09</x:v>
      </x:c>
      <x:c r="O778" t="str">
        <x:v>Einnahme</x:v>
      </x:c>
      <x:c r="P778" t="str">
        <x:v>Ist</x:v>
      </x:c>
      <x:c r="Q778" s="59" t="b">
        <x:v>0</x:v>
      </x:c>
      <x:c r="R778" t="str">
        <x:v>kein_transfer</x:v>
      </x:c>
      <x:c r="S778"/>
      <x:c r="T778"/>
      <x:c r="U778"/>
      <x:c r="V778" s="59" t="b">
        <x:v>1</x:v>
      </x:c>
      <x:c r="W778"/>
      <x:c r="X778" t="str">
        <x:v>offen</x:v>
      </x:c>
      <x:c r="Y778" t="str">
        <x:v>Agent-Draft; Kategorie und Person pruefen</x:v>
      </x:c>
    </x:row>
    <x:row r="779">
      <x:c r="A779" t="str">
        <x:v>TXN-RAW-IMP-20260516-FULLDRAFT-000763</x:v>
      </x:c>
      <x:c r="B779" t="str">
        <x:v>RAW-IMP-20260516-FULLDRAFT-000763</x:v>
      </x:c>
      <x:c r="C779" t="str">
        <x:v>KTO001</x:v>
      </x:c>
      <x:c r="D779"/>
      <x:c r="E779" t="str">
        <x:v>KAT013</x:v>
      </x:c>
      <x:c r="F779"/>
      <x:c r="G779"/>
      <x:c r="H779" t="str">
        <x:v>kein_match</x:v>
      </x:c>
      <x:c r="I779" t="str">
        <x:v>Agent-Draft: keine finale Regelentscheidung</x:v>
      </x:c>
      <x:c r="J779" t="n">
        <x:v>45902</x:v>
      </x:c>
      <x:c r="K779"/>
      <x:c r="L779"/>
      <x:c r="M779" t="n">
        <x:v>-56.83</x:v>
      </x:c>
      <x:c r="N779" t="str">
        <x:v>2025-09</x:v>
      </x:c>
      <x:c r="O779" t="str">
        <x:v>Ausgabe</x:v>
      </x:c>
      <x:c r="P779" t="str">
        <x:v>Ist</x:v>
      </x:c>
      <x:c r="Q779" s="59" t="b">
        <x:v>0</x:v>
      </x:c>
      <x:c r="R779" t="str">
        <x:v>kein_transfer</x:v>
      </x:c>
      <x:c r="S779"/>
      <x:c r="T779"/>
      <x:c r="U779"/>
      <x:c r="V779" s="59" t="b">
        <x:v>1</x:v>
      </x:c>
      <x:c r="W779"/>
      <x:c r="X779" t="str">
        <x:v>offen</x:v>
      </x:c>
      <x:c r="Y779" t="str">
        <x:v>Agent-Draft; Kategorie und Person pruefen</x:v>
      </x:c>
    </x:row>
    <x:row r="780">
      <x:c r="A780" t="str">
        <x:v>TXN-RAW-IMP-20260516-FULLDRAFT-000764</x:v>
      </x:c>
      <x:c r="B780" t="str">
        <x:v>RAW-IMP-20260516-FULLDRAFT-000764</x:v>
      </x:c>
      <x:c r="C780" t="str">
        <x:v>KTO001</x:v>
      </x:c>
      <x:c r="D780"/>
      <x:c r="E780" t="str">
        <x:v>KAT013</x:v>
      </x:c>
      <x:c r="F780"/>
      <x:c r="G780"/>
      <x:c r="H780" t="str">
        <x:v>kein_match</x:v>
      </x:c>
      <x:c r="I780" t="str">
        <x:v>Agent-Draft: keine finale Regelentscheidung</x:v>
      </x:c>
      <x:c r="J780" t="n">
        <x:v>45902</x:v>
      </x:c>
      <x:c r="K780"/>
      <x:c r="L780"/>
      <x:c r="M780" t="n">
        <x:v>-11.96</x:v>
      </x:c>
      <x:c r="N780" t="str">
        <x:v>2025-09</x:v>
      </x:c>
      <x:c r="O780" t="str">
        <x:v>Ausgabe</x:v>
      </x:c>
      <x:c r="P780" t="str">
        <x:v>Ist</x:v>
      </x:c>
      <x:c r="Q780" s="59" t="b">
        <x:v>0</x:v>
      </x:c>
      <x:c r="R780" t="str">
        <x:v>kein_transfer</x:v>
      </x:c>
      <x:c r="S780"/>
      <x:c r="T780"/>
      <x:c r="U780"/>
      <x:c r="V780" s="59" t="b">
        <x:v>1</x:v>
      </x:c>
      <x:c r="W780"/>
      <x:c r="X780" t="str">
        <x:v>offen</x:v>
      </x:c>
      <x:c r="Y780" t="str">
        <x:v>Agent-Draft; Kategorie und Person pruefen</x:v>
      </x:c>
    </x:row>
    <x:row r="781">
      <x:c r="A781" t="str">
        <x:v>TXN-RAW-IMP-20260516-FULLDRAFT-000765</x:v>
      </x:c>
      <x:c r="B781" t="str">
        <x:v>RAW-IMP-20260516-FULLDRAFT-000765</x:v>
      </x:c>
      <x:c r="C781" t="str">
        <x:v>KTO001</x:v>
      </x:c>
      <x:c r="D781"/>
      <x:c r="E781" t="str">
        <x:v>KAT013</x:v>
      </x:c>
      <x:c r="F781"/>
      <x:c r="G781"/>
      <x:c r="H781" t="str">
        <x:v>kein_match</x:v>
      </x:c>
      <x:c r="I781" t="str">
        <x:v>Agent-Draft: keine finale Regelentscheidung</x:v>
      </x:c>
      <x:c r="J781" t="n">
        <x:v>45902</x:v>
      </x:c>
      <x:c r="K781"/>
      <x:c r="L781"/>
      <x:c r="M781" t="n">
        <x:v>-60.5</x:v>
      </x:c>
      <x:c r="N781" t="str">
        <x:v>2025-09</x:v>
      </x:c>
      <x:c r="O781" t="str">
        <x:v>Ausgabe</x:v>
      </x:c>
      <x:c r="P781" t="str">
        <x:v>Ist</x:v>
      </x:c>
      <x:c r="Q781" s="59" t="b">
        <x:v>0</x:v>
      </x:c>
      <x:c r="R781" t="str">
        <x:v>kein_transfer</x:v>
      </x:c>
      <x:c r="S781"/>
      <x:c r="T781"/>
      <x:c r="U781"/>
      <x:c r="V781" s="59" t="b">
        <x:v>1</x:v>
      </x:c>
      <x:c r="W781"/>
      <x:c r="X781" t="str">
        <x:v>offen</x:v>
      </x:c>
      <x:c r="Y781" t="str">
        <x:v>Agent-Draft; Kategorie und Person pruefen</x:v>
      </x:c>
    </x:row>
    <x:row r="782">
      <x:c r="A782" t="str">
        <x:v>TXN-RAW-IMP-20260516-FULLDRAFT-000766</x:v>
      </x:c>
      <x:c r="B782" t="str">
        <x:v>RAW-IMP-20260516-FULLDRAFT-000766</x:v>
      </x:c>
      <x:c r="C782" t="str">
        <x:v>KTO001</x:v>
      </x:c>
      <x:c r="D782"/>
      <x:c r="E782" t="str">
        <x:v>KAT013</x:v>
      </x:c>
      <x:c r="F782"/>
      <x:c r="G782"/>
      <x:c r="H782" t="str">
        <x:v>kein_match</x:v>
      </x:c>
      <x:c r="I782" t="str">
        <x:v>Agent-Draft: keine finale Regelentscheidung</x:v>
      </x:c>
      <x:c r="J782" t="n">
        <x:v>45901</x:v>
      </x:c>
      <x:c r="K782"/>
      <x:c r="L782"/>
      <x:c r="M782" t="n">
        <x:v>-7.1</x:v>
      </x:c>
      <x:c r="N782" t="str">
        <x:v>2025-09</x:v>
      </x:c>
      <x:c r="O782" t="str">
        <x:v>Ausgabe</x:v>
      </x:c>
      <x:c r="P782" t="str">
        <x:v>Ist</x:v>
      </x:c>
      <x:c r="Q782" s="59" t="b">
        <x:v>0</x:v>
      </x:c>
      <x:c r="R782" t="str">
        <x:v>kein_transfer</x:v>
      </x:c>
      <x:c r="S782"/>
      <x:c r="T782"/>
      <x:c r="U782"/>
      <x:c r="V782" s="59" t="b">
        <x:v>1</x:v>
      </x:c>
      <x:c r="W782"/>
      <x:c r="X782" t="str">
        <x:v>offen</x:v>
      </x:c>
      <x:c r="Y782" t="str">
        <x:v>Agent-Draft; Kategorie und Person pruefen</x:v>
      </x:c>
    </x:row>
    <x:row r="783">
      <x:c r="A783" t="str">
        <x:v>TXN-RAW-IMP-20260516-FULLDRAFT-000767</x:v>
      </x:c>
      <x:c r="B783" t="str">
        <x:v>RAW-IMP-20260516-FULLDRAFT-000767</x:v>
      </x:c>
      <x:c r="C783" t="str">
        <x:v>KTO001</x:v>
      </x:c>
      <x:c r="D783"/>
      <x:c r="E783" t="str">
        <x:v>KAT013</x:v>
      </x:c>
      <x:c r="F783"/>
      <x:c r="G783"/>
      <x:c r="H783" t="str">
        <x:v>kein_match</x:v>
      </x:c>
      <x:c r="I783" t="str">
        <x:v>Agent-Draft: keine finale Regelentscheidung</x:v>
      </x:c>
      <x:c r="J783" t="n">
        <x:v>45901</x:v>
      </x:c>
      <x:c r="K783"/>
      <x:c r="L783"/>
      <x:c r="M783" t="n">
        <x:v>-5.16</x:v>
      </x:c>
      <x:c r="N783" t="str">
        <x:v>2025-09</x:v>
      </x:c>
      <x:c r="O783" t="str">
        <x:v>Ausgabe</x:v>
      </x:c>
      <x:c r="P783" t="str">
        <x:v>Ist</x:v>
      </x:c>
      <x:c r="Q783" s="59" t="b">
        <x:v>0</x:v>
      </x:c>
      <x:c r="R783" t="str">
        <x:v>kein_transfer</x:v>
      </x:c>
      <x:c r="S783"/>
      <x:c r="T783"/>
      <x:c r="U783"/>
      <x:c r="V783" s="59" t="b">
        <x:v>1</x:v>
      </x:c>
      <x:c r="W783"/>
      <x:c r="X783" t="str">
        <x:v>offen</x:v>
      </x:c>
      <x:c r="Y783" t="str">
        <x:v>Agent-Draft; Kategorie und Person pruefen</x:v>
      </x:c>
    </x:row>
    <x:row r="784">
      <x:c r="A784" t="str">
        <x:v>TXN-RAW-IMP-20260516-FULLDRAFT-000768</x:v>
      </x:c>
      <x:c r="B784" t="str">
        <x:v>RAW-IMP-20260516-FULLDRAFT-000768</x:v>
      </x:c>
      <x:c r="C784" t="str">
        <x:v>KTO001</x:v>
      </x:c>
      <x:c r="D784"/>
      <x:c r="E784" t="str">
        <x:v>KAT013</x:v>
      </x:c>
      <x:c r="F784"/>
      <x:c r="G784"/>
      <x:c r="H784" t="str">
        <x:v>kein_match</x:v>
      </x:c>
      <x:c r="I784" t="str">
        <x:v>Agent-Draft: keine finale Regelentscheidung</x:v>
      </x:c>
      <x:c r="J784" t="n">
        <x:v>45901</x:v>
      </x:c>
      <x:c r="K784"/>
      <x:c r="L784"/>
      <x:c r="M784" t="n">
        <x:v>-76.01</x:v>
      </x:c>
      <x:c r="N784" t="str">
        <x:v>2025-09</x:v>
      </x:c>
      <x:c r="O784" t="str">
        <x:v>Ausgabe</x:v>
      </x:c>
      <x:c r="P784" t="str">
        <x:v>Ist</x:v>
      </x:c>
      <x:c r="Q784" s="59" t="b">
        <x:v>0</x:v>
      </x:c>
      <x:c r="R784" t="str">
        <x:v>kein_transfer</x:v>
      </x:c>
      <x:c r="S784"/>
      <x:c r="T784"/>
      <x:c r="U784"/>
      <x:c r="V784" s="59" t="b">
        <x:v>1</x:v>
      </x:c>
      <x:c r="W784"/>
      <x:c r="X784" t="str">
        <x:v>offen</x:v>
      </x:c>
      <x:c r="Y784" t="str">
        <x:v>Agent-Draft; Kategorie und Person pruefen</x:v>
      </x:c>
    </x:row>
    <x:row r="785">
      <x:c r="A785" t="str">
        <x:v>TXN-RAW-IMP-20260516-FULLDRAFT-000769</x:v>
      </x:c>
      <x:c r="B785" t="str">
        <x:v>RAW-IMP-20260516-FULLDRAFT-000769</x:v>
      </x:c>
      <x:c r="C785" t="str">
        <x:v>KTO001</x:v>
      </x:c>
      <x:c r="D785"/>
      <x:c r="E785" t="str">
        <x:v>KAT013</x:v>
      </x:c>
      <x:c r="F785"/>
      <x:c r="G785"/>
      <x:c r="H785" t="str">
        <x:v>kein_match</x:v>
      </x:c>
      <x:c r="I785" t="str">
        <x:v>Agent-Draft: keine finale Regelentscheidung</x:v>
      </x:c>
      <x:c r="J785" t="n">
        <x:v>45901</x:v>
      </x:c>
      <x:c r="K785"/>
      <x:c r="L785"/>
      <x:c r="M785" t="n">
        <x:v>-23.68</x:v>
      </x:c>
      <x:c r="N785" t="str">
        <x:v>2025-09</x:v>
      </x:c>
      <x:c r="O785" t="str">
        <x:v>Ausgabe</x:v>
      </x:c>
      <x:c r="P785" t="str">
        <x:v>Ist</x:v>
      </x:c>
      <x:c r="Q785" s="59" t="b">
        <x:v>0</x:v>
      </x:c>
      <x:c r="R785" t="str">
        <x:v>kein_transfer</x:v>
      </x:c>
      <x:c r="S785"/>
      <x:c r="T785"/>
      <x:c r="U785"/>
      <x:c r="V785" s="59" t="b">
        <x:v>1</x:v>
      </x:c>
      <x:c r="W785"/>
      <x:c r="X785" t="str">
        <x:v>offen</x:v>
      </x:c>
      <x:c r="Y785" t="str">
        <x:v>Agent-Draft; Kategorie und Person pruefen</x:v>
      </x:c>
    </x:row>
    <x:row r="786">
      <x:c r="A786" t="str">
        <x:v>TXN-RAW-IMP-20260516-FULLDRAFT-000770</x:v>
      </x:c>
      <x:c r="B786" t="str">
        <x:v>RAW-IMP-20260516-FULLDRAFT-000770</x:v>
      </x:c>
      <x:c r="C786" t="str">
        <x:v>KTO001</x:v>
      </x:c>
      <x:c r="D786"/>
      <x:c r="E786" t="str">
        <x:v>KAT013</x:v>
      </x:c>
      <x:c r="F786"/>
      <x:c r="G786"/>
      <x:c r="H786" t="str">
        <x:v>kein_match</x:v>
      </x:c>
      <x:c r="I786" t="str">
        <x:v>Agent-Draft: keine finale Regelentscheidung</x:v>
      </x:c>
      <x:c r="J786" t="n">
        <x:v>45901</x:v>
      </x:c>
      <x:c r="K786"/>
      <x:c r="L786"/>
      <x:c r="M786" t="n">
        <x:v>-1400</x:v>
      </x:c>
      <x:c r="N786" t="str">
        <x:v>2025-09</x:v>
      </x:c>
      <x:c r="O786" t="str">
        <x:v>Ausgabe</x:v>
      </x:c>
      <x:c r="P786" t="str">
        <x:v>Ist</x:v>
      </x:c>
      <x:c r="Q786" s="59" t="b">
        <x:v>0</x:v>
      </x:c>
      <x:c r="R786" t="str">
        <x:v>kein_transfer</x:v>
      </x:c>
      <x:c r="S786"/>
      <x:c r="T786"/>
      <x:c r="U786"/>
      <x:c r="V786" s="59" t="b">
        <x:v>1</x:v>
      </x:c>
      <x:c r="W786"/>
      <x:c r="X786" t="str">
        <x:v>offen</x:v>
      </x:c>
      <x:c r="Y786" t="str">
        <x:v>Agent-Draft; Kategorie und Person pruefen</x:v>
      </x:c>
    </x:row>
    <x:row r="787">
      <x:c r="A787" t="str">
        <x:v>TXN-RAW-IMP-20260516-FULLDRAFT-000771</x:v>
      </x:c>
      <x:c r="B787" t="str">
        <x:v>RAW-IMP-20260516-FULLDRAFT-000771</x:v>
      </x:c>
      <x:c r="C787" t="str">
        <x:v>KTO001</x:v>
      </x:c>
      <x:c r="D787"/>
      <x:c r="E787" t="str">
        <x:v>KAT013</x:v>
      </x:c>
      <x:c r="F787"/>
      <x:c r="G787"/>
      <x:c r="H787" t="str">
        <x:v>kein_match</x:v>
      </x:c>
      <x:c r="I787" t="str">
        <x:v>Agent-Draft: keine finale Regelentscheidung</x:v>
      </x:c>
      <x:c r="J787" t="n">
        <x:v>45901</x:v>
      </x:c>
      <x:c r="K787"/>
      <x:c r="L787"/>
      <x:c r="M787" t="n">
        <x:v>-1800</x:v>
      </x:c>
      <x:c r="N787" t="str">
        <x:v>2025-09</x:v>
      </x:c>
      <x:c r="O787" t="str">
        <x:v>Ausgabe</x:v>
      </x:c>
      <x:c r="P787" t="str">
        <x:v>Ist</x:v>
      </x:c>
      <x:c r="Q787" s="59" t="b">
        <x:v>0</x:v>
      </x:c>
      <x:c r="R787" t="str">
        <x:v>kein_transfer</x:v>
      </x:c>
      <x:c r="S787"/>
      <x:c r="T787"/>
      <x:c r="U787"/>
      <x:c r="V787" s="59" t="b">
        <x:v>1</x:v>
      </x:c>
      <x:c r="W787"/>
      <x:c r="X787" t="str">
        <x:v>offen</x:v>
      </x:c>
      <x:c r="Y787" t="str">
        <x:v>Agent-Draft; Kategorie und Person pruefen</x:v>
      </x:c>
    </x:row>
    <x:row r="788">
      <x:c r="A788" t="str">
        <x:v>TXN-RAW-IMP-20260516-FULLDRAFT-000772</x:v>
      </x:c>
      <x:c r="B788" t="str">
        <x:v>RAW-IMP-20260516-FULLDRAFT-000772</x:v>
      </x:c>
      <x:c r="C788" t="str">
        <x:v>KTO001</x:v>
      </x:c>
      <x:c r="D788"/>
      <x:c r="E788" t="str">
        <x:v>KAT013</x:v>
      </x:c>
      <x:c r="F788"/>
      <x:c r="G788"/>
      <x:c r="H788" t="str">
        <x:v>kein_match</x:v>
      </x:c>
      <x:c r="I788" t="str">
        <x:v>Agent-Draft: keine finale Regelentscheidung</x:v>
      </x:c>
      <x:c r="J788" t="n">
        <x:v>45901</x:v>
      </x:c>
      <x:c r="K788"/>
      <x:c r="L788"/>
      <x:c r="M788" t="n">
        <x:v>-8.99</x:v>
      </x:c>
      <x:c r="N788" t="str">
        <x:v>2025-09</x:v>
      </x:c>
      <x:c r="O788" t="str">
        <x:v>Ausgabe</x:v>
      </x:c>
      <x:c r="P788" t="str">
        <x:v>Ist</x:v>
      </x:c>
      <x:c r="Q788" s="59" t="b">
        <x:v>0</x:v>
      </x:c>
      <x:c r="R788" t="str">
        <x:v>kein_transfer</x:v>
      </x:c>
      <x:c r="S788"/>
      <x:c r="T788"/>
      <x:c r="U788"/>
      <x:c r="V788" s="59" t="b">
        <x:v>1</x:v>
      </x:c>
      <x:c r="W788"/>
      <x:c r="X788" t="str">
        <x:v>offen</x:v>
      </x:c>
      <x:c r="Y788" t="str">
        <x:v>Agent-Draft; Kategorie und Person pruefen</x:v>
      </x:c>
    </x:row>
    <x:row r="789">
      <x:c r="A789" t="str">
        <x:v>TXN-RAW-IMP-20260516-FULLDRAFT-000773</x:v>
      </x:c>
      <x:c r="B789" t="str">
        <x:v>RAW-IMP-20260516-FULLDRAFT-000773</x:v>
      </x:c>
      <x:c r="C789" t="str">
        <x:v>KTO001</x:v>
      </x:c>
      <x:c r="D789"/>
      <x:c r="E789" t="str">
        <x:v>KAT013</x:v>
      </x:c>
      <x:c r="F789"/>
      <x:c r="G789"/>
      <x:c r="H789" t="str">
        <x:v>kein_match</x:v>
      </x:c>
      <x:c r="I789" t="str">
        <x:v>Agent-Draft: keine finale Regelentscheidung</x:v>
      </x:c>
      <x:c r="J789" t="n">
        <x:v>45901</x:v>
      </x:c>
      <x:c r="K789"/>
      <x:c r="L789"/>
      <x:c r="M789" t="n">
        <x:v>-393</x:v>
      </x:c>
      <x:c r="N789" t="str">
        <x:v>2025-09</x:v>
      </x:c>
      <x:c r="O789" t="str">
        <x:v>Ausgabe</x:v>
      </x:c>
      <x:c r="P789" t="str">
        <x:v>Ist</x:v>
      </x:c>
      <x:c r="Q789" s="59" t="b">
        <x:v>0</x:v>
      </x:c>
      <x:c r="R789" t="str">
        <x:v>kein_transfer</x:v>
      </x:c>
      <x:c r="S789"/>
      <x:c r="T789"/>
      <x:c r="U789"/>
      <x:c r="V789" s="59" t="b">
        <x:v>1</x:v>
      </x:c>
      <x:c r="W789"/>
      <x:c r="X789" t="str">
        <x:v>offen</x:v>
      </x:c>
      <x:c r="Y789" t="str">
        <x:v>Agent-Draft; Kategorie und Person pruefen</x:v>
      </x:c>
    </x:row>
    <x:row r="790">
      <x:c r="A790" t="str">
        <x:v>TXN-RAW-IMP-20260516-FULLDRAFT-000774</x:v>
      </x:c>
      <x:c r="B790" t="str">
        <x:v>RAW-IMP-20260516-FULLDRAFT-000774</x:v>
      </x:c>
      <x:c r="C790" t="str">
        <x:v>KTO001</x:v>
      </x:c>
      <x:c r="D790"/>
      <x:c r="E790" t="str">
        <x:v>KAT013</x:v>
      </x:c>
      <x:c r="F790"/>
      <x:c r="G790"/>
      <x:c r="H790" t="str">
        <x:v>kein_match</x:v>
      </x:c>
      <x:c r="I790" t="str">
        <x:v>Agent-Draft: keine finale Regelentscheidung</x:v>
      </x:c>
      <x:c r="J790" t="n">
        <x:v>45901</x:v>
      </x:c>
      <x:c r="K790"/>
      <x:c r="L790"/>
      <x:c r="M790" t="n">
        <x:v>-68.46</x:v>
      </x:c>
      <x:c r="N790" t="str">
        <x:v>2025-09</x:v>
      </x:c>
      <x:c r="O790" t="str">
        <x:v>Ausgabe</x:v>
      </x:c>
      <x:c r="P790" t="str">
        <x:v>Ist</x:v>
      </x:c>
      <x:c r="Q790" s="59" t="b">
        <x:v>0</x:v>
      </x:c>
      <x:c r="R790" t="str">
        <x:v>kein_transfer</x:v>
      </x:c>
      <x:c r="S790"/>
      <x:c r="T790"/>
      <x:c r="U790"/>
      <x:c r="V790" s="59" t="b">
        <x:v>1</x:v>
      </x:c>
      <x:c r="W790"/>
      <x:c r="X790" t="str">
        <x:v>offen</x:v>
      </x:c>
      <x:c r="Y790" t="str">
        <x:v>Agent-Draft; Kategorie und Person pruefen</x:v>
      </x:c>
    </x:row>
    <x:row r="791">
      <x:c r="A791" t="str">
        <x:v>TXN-RAW-IMP-20260516-FULLDRAFT-000775</x:v>
      </x:c>
      <x:c r="B791" t="str">
        <x:v>RAW-IMP-20260516-FULLDRAFT-000775</x:v>
      </x:c>
      <x:c r="C791" t="str">
        <x:v>KTO001</x:v>
      </x:c>
      <x:c r="D791"/>
      <x:c r="E791" t="str">
        <x:v>KAT013</x:v>
      </x:c>
      <x:c r="F791"/>
      <x:c r="G791"/>
      <x:c r="H791" t="str">
        <x:v>kein_match</x:v>
      </x:c>
      <x:c r="I791" t="str">
        <x:v>Agent-Draft: keine finale Regelentscheidung</x:v>
      </x:c>
      <x:c r="J791" t="n">
        <x:v>45901</x:v>
      </x:c>
      <x:c r="K791"/>
      <x:c r="L791"/>
      <x:c r="M791" t="n">
        <x:v>-162.17</x:v>
      </x:c>
      <x:c r="N791" t="str">
        <x:v>2025-09</x:v>
      </x:c>
      <x:c r="O791" t="str">
        <x:v>Ausgabe</x:v>
      </x:c>
      <x:c r="P791" t="str">
        <x:v>Ist</x:v>
      </x:c>
      <x:c r="Q791" s="59" t="b">
        <x:v>0</x:v>
      </x:c>
      <x:c r="R791" t="str">
        <x:v>kein_transfer</x:v>
      </x:c>
      <x:c r="S791"/>
      <x:c r="T791"/>
      <x:c r="U791"/>
      <x:c r="V791" s="59" t="b">
        <x:v>1</x:v>
      </x:c>
      <x:c r="W791"/>
      <x:c r="X791" t="str">
        <x:v>offen</x:v>
      </x:c>
      <x:c r="Y791" t="str">
        <x:v>Agent-Draft; Kategorie und Person pruefen</x:v>
      </x:c>
    </x:row>
    <x:row r="792">
      <x:c r="A792" t="str">
        <x:v>TXN-RAW-IMP-20260516-FULLDRAFT-000776</x:v>
      </x:c>
      <x:c r="B792" t="str">
        <x:v>RAW-IMP-20260516-FULLDRAFT-000776</x:v>
      </x:c>
      <x:c r="C792" t="str">
        <x:v>KTO001</x:v>
      </x:c>
      <x:c r="D792"/>
      <x:c r="E792" t="str">
        <x:v>KAT013</x:v>
      </x:c>
      <x:c r="F792"/>
      <x:c r="G792"/>
      <x:c r="H792" t="str">
        <x:v>kein_match</x:v>
      </x:c>
      <x:c r="I792" t="str">
        <x:v>Agent-Draft: keine finale Regelentscheidung</x:v>
      </x:c>
      <x:c r="J792" t="n">
        <x:v>45901</x:v>
      </x:c>
      <x:c r="K792"/>
      <x:c r="L792"/>
      <x:c r="M792" t="n">
        <x:v>-600</x:v>
      </x:c>
      <x:c r="N792" t="str">
        <x:v>2025-09</x:v>
      </x:c>
      <x:c r="O792" t="str">
        <x:v>Ausgabe</x:v>
      </x:c>
      <x:c r="P792" t="str">
        <x:v>Ist</x:v>
      </x:c>
      <x:c r="Q792" s="59" t="b">
        <x:v>0</x:v>
      </x:c>
      <x:c r="R792" t="str">
        <x:v>kein_transfer</x:v>
      </x:c>
      <x:c r="S792"/>
      <x:c r="T792"/>
      <x:c r="U792"/>
      <x:c r="V792" s="59" t="b">
        <x:v>1</x:v>
      </x:c>
      <x:c r="W792"/>
      <x:c r="X792" t="str">
        <x:v>offen</x:v>
      </x:c>
      <x:c r="Y792" t="str">
        <x:v>Agent-Draft; Kategorie und Person pruefen</x:v>
      </x:c>
    </x:row>
    <x:row r="793">
      <x:c r="A793" t="str">
        <x:v>TXN-RAW-IMP-20260516-FULLDRAFT-000777</x:v>
      </x:c>
      <x:c r="B793" t="str">
        <x:v>RAW-IMP-20260516-FULLDRAFT-000777</x:v>
      </x:c>
      <x:c r="C793" t="str">
        <x:v>KTO001</x:v>
      </x:c>
      <x:c r="D793"/>
      <x:c r="E793" t="str">
        <x:v>KAT013</x:v>
      </x:c>
      <x:c r="F793"/>
      <x:c r="G793"/>
      <x:c r="H793" t="str">
        <x:v>kein_match</x:v>
      </x:c>
      <x:c r="I793" t="str">
        <x:v>Agent-Draft: keine finale Regelentscheidung</x:v>
      </x:c>
      <x:c r="J793" t="n">
        <x:v>45901</x:v>
      </x:c>
      <x:c r="K793"/>
      <x:c r="L793"/>
      <x:c r="M793" t="n">
        <x:v>-452.71</x:v>
      </x:c>
      <x:c r="N793" t="str">
        <x:v>2025-09</x:v>
      </x:c>
      <x:c r="O793" t="str">
        <x:v>Ausgabe</x:v>
      </x:c>
      <x:c r="P793" t="str">
        <x:v>Ist</x:v>
      </x:c>
      <x:c r="Q793" s="59" t="b">
        <x:v>0</x:v>
      </x:c>
      <x:c r="R793" t="str">
        <x:v>kein_transfer</x:v>
      </x:c>
      <x:c r="S793"/>
      <x:c r="T793"/>
      <x:c r="U793"/>
      <x:c r="V793" s="59" t="b">
        <x:v>1</x:v>
      </x:c>
      <x:c r="W793"/>
      <x:c r="X793" t="str">
        <x:v>offen</x:v>
      </x:c>
      <x:c r="Y793" t="str">
        <x:v>Agent-Draft; Kategorie und Person pruefen</x:v>
      </x:c>
    </x:row>
    <x:row r="794">
      <x:c r="A794" t="str">
        <x:v>TXN-RAW-IMP-20260516-FULLDRAFT-000778</x:v>
      </x:c>
      <x:c r="B794" t="str">
        <x:v>RAW-IMP-20260516-FULLDRAFT-000778</x:v>
      </x:c>
      <x:c r="C794" t="str">
        <x:v>KTO001</x:v>
      </x:c>
      <x:c r="D794"/>
      <x:c r="E794" t="str">
        <x:v>KAT013</x:v>
      </x:c>
      <x:c r="F794"/>
      <x:c r="G794"/>
      <x:c r="H794" t="str">
        <x:v>kein_match</x:v>
      </x:c>
      <x:c r="I794" t="str">
        <x:v>Agent-Draft: keine finale Regelentscheidung</x:v>
      </x:c>
      <x:c r="J794" t="n">
        <x:v>45901</x:v>
      </x:c>
      <x:c r="K794"/>
      <x:c r="L794"/>
      <x:c r="M794" t="n">
        <x:v>-97.12</x:v>
      </x:c>
      <x:c r="N794" t="str">
        <x:v>2025-09</x:v>
      </x:c>
      <x:c r="O794" t="str">
        <x:v>Ausgabe</x:v>
      </x:c>
      <x:c r="P794" t="str">
        <x:v>Ist</x:v>
      </x:c>
      <x:c r="Q794" s="59" t="b">
        <x:v>0</x:v>
      </x:c>
      <x:c r="R794" t="str">
        <x:v>kein_transfer</x:v>
      </x:c>
      <x:c r="S794"/>
      <x:c r="T794"/>
      <x:c r="U794"/>
      <x:c r="V794" s="59" t="b">
        <x:v>1</x:v>
      </x:c>
      <x:c r="W794"/>
      <x:c r="X794" t="str">
        <x:v>offen</x:v>
      </x:c>
      <x:c r="Y794" t="str">
        <x:v>Agent-Draft; Kategorie und Person pruefen</x:v>
      </x:c>
    </x:row>
    <x:row r="795">
      <x:c r="A795" t="str">
        <x:v>TXN-RAW-IMP-20260516-FULLDRAFT-000779</x:v>
      </x:c>
      <x:c r="B795" t="str">
        <x:v>RAW-IMP-20260516-FULLDRAFT-000779</x:v>
      </x:c>
      <x:c r="C795" t="str">
        <x:v>KTO001</x:v>
      </x:c>
      <x:c r="D795"/>
      <x:c r="E795" t="str">
        <x:v>KAT013</x:v>
      </x:c>
      <x:c r="F795"/>
      <x:c r="G795"/>
      <x:c r="H795" t="str">
        <x:v>kein_match</x:v>
      </x:c>
      <x:c r="I795" t="str">
        <x:v>Agent-Draft: keine finale Regelentscheidung</x:v>
      </x:c>
      <x:c r="J795" t="n">
        <x:v>45901</x:v>
      </x:c>
      <x:c r="K795"/>
      <x:c r="L795"/>
      <x:c r="M795" t="n">
        <x:v>-1153.94</x:v>
      </x:c>
      <x:c r="N795" t="str">
        <x:v>2025-09</x:v>
      </x:c>
      <x:c r="O795" t="str">
        <x:v>Ausgabe</x:v>
      </x:c>
      <x:c r="P795" t="str">
        <x:v>Ist</x:v>
      </x:c>
      <x:c r="Q795" s="59" t="b">
        <x:v>0</x:v>
      </x:c>
      <x:c r="R795" t="str">
        <x:v>kein_transfer</x:v>
      </x:c>
      <x:c r="S795"/>
      <x:c r="T795"/>
      <x:c r="U795"/>
      <x:c r="V795" s="59" t="b">
        <x:v>1</x:v>
      </x:c>
      <x:c r="W795"/>
      <x:c r="X795" t="str">
        <x:v>offen</x:v>
      </x:c>
      <x:c r="Y795" t="str">
        <x:v>Agent-Draft; Kategorie und Person pruefen</x:v>
      </x:c>
    </x:row>
    <x:row r="796">
      <x:c r="A796" t="str">
        <x:v>TXN-RAW-IMP-20260516-FULLDRAFT-000780</x:v>
      </x:c>
      <x:c r="B796" t="str">
        <x:v>RAW-IMP-20260516-FULLDRAFT-000780</x:v>
      </x:c>
      <x:c r="C796" t="str">
        <x:v>KTO001</x:v>
      </x:c>
      <x:c r="D796"/>
      <x:c r="E796" t="str">
        <x:v>KAT013</x:v>
      </x:c>
      <x:c r="F796"/>
      <x:c r="G796"/>
      <x:c r="H796" t="str">
        <x:v>kein_match</x:v>
      </x:c>
      <x:c r="I796" t="str">
        <x:v>Agent-Draft: keine finale Regelentscheidung</x:v>
      </x:c>
      <x:c r="J796" t="n">
        <x:v>45901</x:v>
      </x:c>
      <x:c r="K796"/>
      <x:c r="L796"/>
      <x:c r="M796" t="n">
        <x:v>-10</x:v>
      </x:c>
      <x:c r="N796" t="str">
        <x:v>2025-09</x:v>
      </x:c>
      <x:c r="O796" t="str">
        <x:v>Ausgabe</x:v>
      </x:c>
      <x:c r="P796" t="str">
        <x:v>Ist</x:v>
      </x:c>
      <x:c r="Q796" s="59" t="b">
        <x:v>0</x:v>
      </x:c>
      <x:c r="R796" t="str">
        <x:v>kein_transfer</x:v>
      </x:c>
      <x:c r="S796"/>
      <x:c r="T796"/>
      <x:c r="U796"/>
      <x:c r="V796" s="59" t="b">
        <x:v>1</x:v>
      </x:c>
      <x:c r="W796"/>
      <x:c r="X796" t="str">
        <x:v>offen</x:v>
      </x:c>
      <x:c r="Y796" t="str">
        <x:v>Agent-Draft; Kategorie und Person pruefen</x:v>
      </x:c>
    </x:row>
    <x:row r="797">
      <x:c r="A797" t="str">
        <x:v>TXN-RAW-IMP-20260516-FULLDRAFT-000781</x:v>
      </x:c>
      <x:c r="B797" t="str">
        <x:v>RAW-IMP-20260516-FULLDRAFT-000781</x:v>
      </x:c>
      <x:c r="C797" t="str">
        <x:v>KTO001</x:v>
      </x:c>
      <x:c r="D797"/>
      <x:c r="E797" t="str">
        <x:v>KAT013</x:v>
      </x:c>
      <x:c r="F797"/>
      <x:c r="G797"/>
      <x:c r="H797" t="str">
        <x:v>kein_match</x:v>
      </x:c>
      <x:c r="I797" t="str">
        <x:v>Agent-Draft: keine finale Regelentscheidung</x:v>
      </x:c>
      <x:c r="J797" t="n">
        <x:v>45898</x:v>
      </x:c>
      <x:c r="K797"/>
      <x:c r="L797"/>
      <x:c r="M797" t="n">
        <x:v>7939.81</x:v>
      </x:c>
      <x:c r="N797" t="str">
        <x:v>2025-08</x:v>
      </x:c>
      <x:c r="O797" t="str">
        <x:v>Einnahme</x:v>
      </x:c>
      <x:c r="P797" t="str">
        <x:v>Ist</x:v>
      </x:c>
      <x:c r="Q797" s="59" t="b">
        <x:v>0</x:v>
      </x:c>
      <x:c r="R797" t="str">
        <x:v>kein_transfer</x:v>
      </x:c>
      <x:c r="S797"/>
      <x:c r="T797"/>
      <x:c r="U797"/>
      <x:c r="V797" s="59" t="b">
        <x:v>1</x:v>
      </x:c>
      <x:c r="W797"/>
      <x:c r="X797" t="str">
        <x:v>offen</x:v>
      </x:c>
      <x:c r="Y797" t="str">
        <x:v>Agent-Draft; Kategorie und Person pruefen</x:v>
      </x:c>
    </x:row>
    <x:row r="798">
      <x:c r="A798" t="str">
        <x:v>TXN-RAW-IMP-20260516-FULLDRAFT-000782</x:v>
      </x:c>
      <x:c r="B798" t="str">
        <x:v>RAW-IMP-20260516-FULLDRAFT-000782</x:v>
      </x:c>
      <x:c r="C798" t="str">
        <x:v>KTO001</x:v>
      </x:c>
      <x:c r="D798"/>
      <x:c r="E798" t="str">
        <x:v>KAT013</x:v>
      </x:c>
      <x:c r="F798"/>
      <x:c r="G798"/>
      <x:c r="H798" t="str">
        <x:v>kein_match</x:v>
      </x:c>
      <x:c r="I798" t="str">
        <x:v>Agent-Draft: keine finale Regelentscheidung</x:v>
      </x:c>
      <x:c r="J798" t="n">
        <x:v>45897</x:v>
      </x:c>
      <x:c r="K798"/>
      <x:c r="L798"/>
      <x:c r="M798" t="n">
        <x:v>85.8</x:v>
      </x:c>
      <x:c r="N798" t="str">
        <x:v>2025-08</x:v>
      </x:c>
      <x:c r="O798" t="str">
        <x:v>Einnahme</x:v>
      </x:c>
      <x:c r="P798" t="str">
        <x:v>Ist</x:v>
      </x:c>
      <x:c r="Q798" s="59" t="b">
        <x:v>0</x:v>
      </x:c>
      <x:c r="R798" t="str">
        <x:v>kein_transfer</x:v>
      </x:c>
      <x:c r="S798"/>
      <x:c r="T798"/>
      <x:c r="U798"/>
      <x:c r="V798" s="59" t="b">
        <x:v>1</x:v>
      </x:c>
      <x:c r="W798"/>
      <x:c r="X798" t="str">
        <x:v>offen</x:v>
      </x:c>
      <x:c r="Y798" t="str">
        <x:v>Agent-Draft; Kategorie und Person pruefen</x:v>
      </x:c>
    </x:row>
    <x:row r="799">
      <x:c r="A799" t="str">
        <x:v>TXN-RAW-IMP-20260516-FULLDRAFT-000783</x:v>
      </x:c>
      <x:c r="B799" t="str">
        <x:v>RAW-IMP-20260516-FULLDRAFT-000783</x:v>
      </x:c>
      <x:c r="C799" t="str">
        <x:v>KTO001</x:v>
      </x:c>
      <x:c r="D799"/>
      <x:c r="E799" t="str">
        <x:v>KAT013</x:v>
      </x:c>
      <x:c r="F799"/>
      <x:c r="G799"/>
      <x:c r="H799" t="str">
        <x:v>kein_match</x:v>
      </x:c>
      <x:c r="I799" t="str">
        <x:v>Agent-Draft: keine finale Regelentscheidung</x:v>
      </x:c>
      <x:c r="J799" t="n">
        <x:v>45896</x:v>
      </x:c>
      <x:c r="K799"/>
      <x:c r="L799"/>
      <x:c r="M799" t="n">
        <x:v>-18.04</x:v>
      </x:c>
      <x:c r="N799" t="str">
        <x:v>2025-08</x:v>
      </x:c>
      <x:c r="O799" t="str">
        <x:v>Ausgabe</x:v>
      </x:c>
      <x:c r="P799" t="str">
        <x:v>Ist</x:v>
      </x:c>
      <x:c r="Q799" s="59" t="b">
        <x:v>0</x:v>
      </x:c>
      <x:c r="R799" t="str">
        <x:v>kein_transfer</x:v>
      </x:c>
      <x:c r="S799"/>
      <x:c r="T799"/>
      <x:c r="U799"/>
      <x:c r="V799" s="59" t="b">
        <x:v>1</x:v>
      </x:c>
      <x:c r="W799"/>
      <x:c r="X799" t="str">
        <x:v>offen</x:v>
      </x:c>
      <x:c r="Y799" t="str">
        <x:v>Agent-Draft; Kategorie und Person pruefen</x:v>
      </x:c>
    </x:row>
    <x:row r="800">
      <x:c r="A800" t="str">
        <x:v>TXN-RAW-IMP-20260516-FULLDRAFT-000784</x:v>
      </x:c>
      <x:c r="B800" t="str">
        <x:v>RAW-IMP-20260516-FULLDRAFT-000784</x:v>
      </x:c>
      <x:c r="C800" t="str">
        <x:v>KTO001</x:v>
      </x:c>
      <x:c r="D800"/>
      <x:c r="E800" t="str">
        <x:v>KAT013</x:v>
      </x:c>
      <x:c r="F800"/>
      <x:c r="G800"/>
      <x:c r="H800" t="str">
        <x:v>kein_match</x:v>
      </x:c>
      <x:c r="I800" t="str">
        <x:v>Agent-Draft: keine finale Regelentscheidung</x:v>
      </x:c>
      <x:c r="J800" t="n">
        <x:v>45894</x:v>
      </x:c>
      <x:c r="K800"/>
      <x:c r="L800"/>
      <x:c r="M800" t="n">
        <x:v>-6.99</x:v>
      </x:c>
      <x:c r="N800" t="str">
        <x:v>2025-08</x:v>
      </x:c>
      <x:c r="O800" t="str">
        <x:v>Ausgabe</x:v>
      </x:c>
      <x:c r="P800" t="str">
        <x:v>Ist</x:v>
      </x:c>
      <x:c r="Q800" s="59" t="b">
        <x:v>0</x:v>
      </x:c>
      <x:c r="R800" t="str">
        <x:v>kein_transfer</x:v>
      </x:c>
      <x:c r="S800"/>
      <x:c r="T800"/>
      <x:c r="U800"/>
      <x:c r="V800" s="59" t="b">
        <x:v>1</x:v>
      </x:c>
      <x:c r="W800"/>
      <x:c r="X800" t="str">
        <x:v>offen</x:v>
      </x:c>
      <x:c r="Y800" t="str">
        <x:v>Agent-Draft; Kategorie und Person pruefen</x:v>
      </x:c>
    </x:row>
    <x:row r="801">
      <x:c r="A801" t="str">
        <x:v>TXN-RAW-IMP-20260516-FULLDRAFT-000785</x:v>
      </x:c>
      <x:c r="B801" t="str">
        <x:v>RAW-IMP-20260516-FULLDRAFT-000785</x:v>
      </x:c>
      <x:c r="C801" t="str">
        <x:v>KTO001</x:v>
      </x:c>
      <x:c r="D801"/>
      <x:c r="E801" t="str">
        <x:v>KAT013</x:v>
      </x:c>
      <x:c r="F801"/>
      <x:c r="G801"/>
      <x:c r="H801" t="str">
        <x:v>kein_match</x:v>
      </x:c>
      <x:c r="I801" t="str">
        <x:v>Agent-Draft: keine finale Regelentscheidung</x:v>
      </x:c>
      <x:c r="J801" t="n">
        <x:v>45894</x:v>
      </x:c>
      <x:c r="K801"/>
      <x:c r="L801"/>
      <x:c r="M801" t="n">
        <x:v>-125.8</x:v>
      </x:c>
      <x:c r="N801" t="str">
        <x:v>2025-08</x:v>
      </x:c>
      <x:c r="O801" t="str">
        <x:v>Ausgabe</x:v>
      </x:c>
      <x:c r="P801" t="str">
        <x:v>Ist</x:v>
      </x:c>
      <x:c r="Q801" s="59" t="b">
        <x:v>0</x:v>
      </x:c>
      <x:c r="R801" t="str">
        <x:v>kein_transfer</x:v>
      </x:c>
      <x:c r="S801"/>
      <x:c r="T801"/>
      <x:c r="U801"/>
      <x:c r="V801" s="59" t="b">
        <x:v>1</x:v>
      </x:c>
      <x:c r="W801"/>
      <x:c r="X801" t="str">
        <x:v>offen</x:v>
      </x:c>
      <x:c r="Y801" t="str">
        <x:v>Agent-Draft; Kategorie und Person pruefen</x:v>
      </x:c>
    </x:row>
    <x:row r="802">
      <x:c r="A802" t="str">
        <x:v>TXN-RAW-IMP-20260516-FULLDRAFT-000786</x:v>
      </x:c>
      <x:c r="B802" t="str">
        <x:v>RAW-IMP-20260516-FULLDRAFT-000786</x:v>
      </x:c>
      <x:c r="C802" t="str">
        <x:v>KTO001</x:v>
      </x:c>
      <x:c r="D802"/>
      <x:c r="E802" t="str">
        <x:v>KAT013</x:v>
      </x:c>
      <x:c r="F802"/>
      <x:c r="G802"/>
      <x:c r="H802" t="str">
        <x:v>kein_match</x:v>
      </x:c>
      <x:c r="I802" t="str">
        <x:v>Agent-Draft: keine finale Regelentscheidung</x:v>
      </x:c>
      <x:c r="J802" t="n">
        <x:v>45891</x:v>
      </x:c>
      <x:c r="K802"/>
      <x:c r="L802"/>
      <x:c r="M802" t="n">
        <x:v>-2.99</x:v>
      </x:c>
      <x:c r="N802" t="str">
        <x:v>2025-08</x:v>
      </x:c>
      <x:c r="O802" t="str">
        <x:v>Ausgabe</x:v>
      </x:c>
      <x:c r="P802" t="str">
        <x:v>Ist</x:v>
      </x:c>
      <x:c r="Q802" s="59" t="b">
        <x:v>0</x:v>
      </x:c>
      <x:c r="R802" t="str">
        <x:v>kein_transfer</x:v>
      </x:c>
      <x:c r="S802"/>
      <x:c r="T802"/>
      <x:c r="U802"/>
      <x:c r="V802" s="59" t="b">
        <x:v>1</x:v>
      </x:c>
      <x:c r="W802"/>
      <x:c r="X802" t="str">
        <x:v>offen</x:v>
      </x:c>
      <x:c r="Y802" t="str">
        <x:v>Agent-Draft; Kategorie und Person pruefen</x:v>
      </x:c>
    </x:row>
    <x:row r="803">
      <x:c r="A803" t="str">
        <x:v>TXN-RAW-IMP-20260516-FULLDRAFT-000787</x:v>
      </x:c>
      <x:c r="B803" t="str">
        <x:v>RAW-IMP-20260516-FULLDRAFT-000787</x:v>
      </x:c>
      <x:c r="C803" t="str">
        <x:v>KTO001</x:v>
      </x:c>
      <x:c r="D803"/>
      <x:c r="E803" t="str">
        <x:v>KAT013</x:v>
      </x:c>
      <x:c r="F803"/>
      <x:c r="G803"/>
      <x:c r="H803" t="str">
        <x:v>kein_match</x:v>
      </x:c>
      <x:c r="I803" t="str">
        <x:v>Agent-Draft: keine finale Regelentscheidung</x:v>
      </x:c>
      <x:c r="J803" t="n">
        <x:v>45891</x:v>
      </x:c>
      <x:c r="K803"/>
      <x:c r="L803"/>
      <x:c r="M803" t="n">
        <x:v>-6.99</x:v>
      </x:c>
      <x:c r="N803" t="str">
        <x:v>2025-08</x:v>
      </x:c>
      <x:c r="O803" t="str">
        <x:v>Ausgabe</x:v>
      </x:c>
      <x:c r="P803" t="str">
        <x:v>Ist</x:v>
      </x:c>
      <x:c r="Q803" s="59" t="b">
        <x:v>0</x:v>
      </x:c>
      <x:c r="R803" t="str">
        <x:v>kein_transfer</x:v>
      </x:c>
      <x:c r="S803"/>
      <x:c r="T803"/>
      <x:c r="U803"/>
      <x:c r="V803" s="59" t="b">
        <x:v>1</x:v>
      </x:c>
      <x:c r="W803"/>
      <x:c r="X803" t="str">
        <x:v>offen</x:v>
      </x:c>
      <x:c r="Y803" t="str">
        <x:v>Agent-Draft; Kategorie und Person pruefen</x:v>
      </x:c>
    </x:row>
    <x:row r="804">
      <x:c r="A804" t="str">
        <x:v>TXN-RAW-IMP-20260516-FULLDRAFT-000788</x:v>
      </x:c>
      <x:c r="B804" t="str">
        <x:v>RAW-IMP-20260516-FULLDRAFT-000788</x:v>
      </x:c>
      <x:c r="C804" t="str">
        <x:v>KTO001</x:v>
      </x:c>
      <x:c r="D804"/>
      <x:c r="E804" t="str">
        <x:v>KAT013</x:v>
      </x:c>
      <x:c r="F804"/>
      <x:c r="G804"/>
      <x:c r="H804" t="str">
        <x:v>kein_match</x:v>
      </x:c>
      <x:c r="I804" t="str">
        <x:v>Agent-Draft: keine finale Regelentscheidung</x:v>
      </x:c>
      <x:c r="J804" t="n">
        <x:v>45890</x:v>
      </x:c>
      <x:c r="K804"/>
      <x:c r="L804"/>
      <x:c r="M804" t="n">
        <x:v>-6.36</x:v>
      </x:c>
      <x:c r="N804" t="str">
        <x:v>2025-08</x:v>
      </x:c>
      <x:c r="O804" t="str">
        <x:v>Ausgabe</x:v>
      </x:c>
      <x:c r="P804" t="str">
        <x:v>Ist</x:v>
      </x:c>
      <x:c r="Q804" s="59" t="b">
        <x:v>0</x:v>
      </x:c>
      <x:c r="R804" t="str">
        <x:v>kein_transfer</x:v>
      </x:c>
      <x:c r="S804"/>
      <x:c r="T804"/>
      <x:c r="U804"/>
      <x:c r="V804" s="59" t="b">
        <x:v>1</x:v>
      </x:c>
      <x:c r="W804"/>
      <x:c r="X804" t="str">
        <x:v>offen</x:v>
      </x:c>
      <x:c r="Y804" t="str">
        <x:v>Agent-Draft; Kategorie und Person pruefen</x:v>
      </x:c>
    </x:row>
    <x:row r="805">
      <x:c r="A805" t="str">
        <x:v>TXN-RAW-IMP-20260516-FULLDRAFT-000789</x:v>
      </x:c>
      <x:c r="B805" t="str">
        <x:v>RAW-IMP-20260516-FULLDRAFT-000789</x:v>
      </x:c>
      <x:c r="C805" t="str">
        <x:v>KTO001</x:v>
      </x:c>
      <x:c r="D805"/>
      <x:c r="E805" t="str">
        <x:v>KAT013</x:v>
      </x:c>
      <x:c r="F805"/>
      <x:c r="G805"/>
      <x:c r="H805" t="str">
        <x:v>kein_match</x:v>
      </x:c>
      <x:c r="I805" t="str">
        <x:v>Agent-Draft: keine finale Regelentscheidung</x:v>
      </x:c>
      <x:c r="J805" t="n">
        <x:v>45890</x:v>
      </x:c>
      <x:c r="K805"/>
      <x:c r="L805"/>
      <x:c r="M805" t="n">
        <x:v>-11.6</x:v>
      </x:c>
      <x:c r="N805" t="str">
        <x:v>2025-08</x:v>
      </x:c>
      <x:c r="O805" t="str">
        <x:v>Ausgabe</x:v>
      </x:c>
      <x:c r="P805" t="str">
        <x:v>Ist</x:v>
      </x:c>
      <x:c r="Q805" s="59" t="b">
        <x:v>0</x:v>
      </x:c>
      <x:c r="R805" t="str">
        <x:v>kein_transfer</x:v>
      </x:c>
      <x:c r="S805"/>
      <x:c r="T805"/>
      <x:c r="U805"/>
      <x:c r="V805" s="59" t="b">
        <x:v>1</x:v>
      </x:c>
      <x:c r="W805"/>
      <x:c r="X805" t="str">
        <x:v>offen</x:v>
      </x:c>
      <x:c r="Y805" t="str">
        <x:v>Agent-Draft; Kategorie und Person pruefen</x:v>
      </x:c>
    </x:row>
    <x:row r="806">
      <x:c r="A806" t="str">
        <x:v>TXN-RAW-IMP-20260516-FULLDRAFT-000790</x:v>
      </x:c>
      <x:c r="B806" t="str">
        <x:v>RAW-IMP-20260516-FULLDRAFT-000790</x:v>
      </x:c>
      <x:c r="C806" t="str">
        <x:v>KTO001</x:v>
      </x:c>
      <x:c r="D806"/>
      <x:c r="E806" t="str">
        <x:v>KAT013</x:v>
      </x:c>
      <x:c r="F806"/>
      <x:c r="G806"/>
      <x:c r="H806" t="str">
        <x:v>kein_match</x:v>
      </x:c>
      <x:c r="I806" t="str">
        <x:v>Agent-Draft: keine finale Regelentscheidung</x:v>
      </x:c>
      <x:c r="J806" t="n">
        <x:v>45890</x:v>
      </x:c>
      <x:c r="K806"/>
      <x:c r="L806"/>
      <x:c r="M806" t="n">
        <x:v>-69</x:v>
      </x:c>
      <x:c r="N806" t="str">
        <x:v>2025-08</x:v>
      </x:c>
      <x:c r="O806" t="str">
        <x:v>Ausgabe</x:v>
      </x:c>
      <x:c r="P806" t="str">
        <x:v>Ist</x:v>
      </x:c>
      <x:c r="Q806" s="59" t="b">
        <x:v>0</x:v>
      </x:c>
      <x:c r="R806" t="str">
        <x:v>kein_transfer</x:v>
      </x:c>
      <x:c r="S806"/>
      <x:c r="T806"/>
      <x:c r="U806"/>
      <x:c r="V806" s="59" t="b">
        <x:v>1</x:v>
      </x:c>
      <x:c r="W806"/>
      <x:c r="X806" t="str">
        <x:v>offen</x:v>
      </x:c>
      <x:c r="Y806" t="str">
        <x:v>Agent-Draft; Kategorie und Person pruefen</x:v>
      </x:c>
    </x:row>
    <x:row r="807">
      <x:c r="A807" t="str">
        <x:v>TXN-RAW-IMP-20260516-FULLDRAFT-000791</x:v>
      </x:c>
      <x:c r="B807" t="str">
        <x:v>RAW-IMP-20260516-FULLDRAFT-000791</x:v>
      </x:c>
      <x:c r="C807" t="str">
        <x:v>KTO001</x:v>
      </x:c>
      <x:c r="D807"/>
      <x:c r="E807" t="str">
        <x:v>KAT013</x:v>
      </x:c>
      <x:c r="F807"/>
      <x:c r="G807"/>
      <x:c r="H807" t="str">
        <x:v>kein_match</x:v>
      </x:c>
      <x:c r="I807" t="str">
        <x:v>Agent-Draft: keine finale Regelentscheidung</x:v>
      </x:c>
      <x:c r="J807" t="n">
        <x:v>45890</x:v>
      </x:c>
      <x:c r="K807"/>
      <x:c r="L807"/>
      <x:c r="M807" t="n">
        <x:v>-48</x:v>
      </x:c>
      <x:c r="N807" t="str">
        <x:v>2025-08</x:v>
      </x:c>
      <x:c r="O807" t="str">
        <x:v>Ausgabe</x:v>
      </x:c>
      <x:c r="P807" t="str">
        <x:v>Ist</x:v>
      </x:c>
      <x:c r="Q807" s="59" t="b">
        <x:v>0</x:v>
      </x:c>
      <x:c r="R807" t="str">
        <x:v>kein_transfer</x:v>
      </x:c>
      <x:c r="S807"/>
      <x:c r="T807"/>
      <x:c r="U807"/>
      <x:c r="V807" s="59" t="b">
        <x:v>1</x:v>
      </x:c>
      <x:c r="W807"/>
      <x:c r="X807" t="str">
        <x:v>offen</x:v>
      </x:c>
      <x:c r="Y807" t="str">
        <x:v>Agent-Draft; Kategorie und Person pruefen</x:v>
      </x:c>
    </x:row>
    <x:row r="808">
      <x:c r="A808" t="str">
        <x:v>TXN-RAW-IMP-20260516-FULLDRAFT-000792</x:v>
      </x:c>
      <x:c r="B808" t="str">
        <x:v>RAW-IMP-20260516-FULLDRAFT-000792</x:v>
      </x:c>
      <x:c r="C808" t="str">
        <x:v>KTO001</x:v>
      </x:c>
      <x:c r="D808"/>
      <x:c r="E808" t="str">
        <x:v>KAT013</x:v>
      </x:c>
      <x:c r="F808"/>
      <x:c r="G808"/>
      <x:c r="H808" t="str">
        <x:v>kein_match</x:v>
      </x:c>
      <x:c r="I808" t="str">
        <x:v>Agent-Draft: keine finale Regelentscheidung</x:v>
      </x:c>
      <x:c r="J808" t="n">
        <x:v>45890</x:v>
      </x:c>
      <x:c r="K808"/>
      <x:c r="L808"/>
      <x:c r="M808" t="n">
        <x:v>-6.99</x:v>
      </x:c>
      <x:c r="N808" t="str">
        <x:v>2025-08</x:v>
      </x:c>
      <x:c r="O808" t="str">
        <x:v>Ausgabe</x:v>
      </x:c>
      <x:c r="P808" t="str">
        <x:v>Ist</x:v>
      </x:c>
      <x:c r="Q808" s="59" t="b">
        <x:v>0</x:v>
      </x:c>
      <x:c r="R808" t="str">
        <x:v>kein_transfer</x:v>
      </x:c>
      <x:c r="S808"/>
      <x:c r="T808"/>
      <x:c r="U808"/>
      <x:c r="V808" s="59" t="b">
        <x:v>1</x:v>
      </x:c>
      <x:c r="W808"/>
      <x:c r="X808" t="str">
        <x:v>offen</x:v>
      </x:c>
      <x:c r="Y808" t="str">
        <x:v>Agent-Draft; Kategorie und Person pruefen</x:v>
      </x:c>
    </x:row>
    <x:row r="809">
      <x:c r="A809" t="str">
        <x:v>TXN-RAW-IMP-20260516-FULLDRAFT-000793</x:v>
      </x:c>
      <x:c r="B809" t="str">
        <x:v>RAW-IMP-20260516-FULLDRAFT-000793</x:v>
      </x:c>
      <x:c r="C809" t="str">
        <x:v>KTO001</x:v>
      </x:c>
      <x:c r="D809"/>
      <x:c r="E809" t="str">
        <x:v>KAT013</x:v>
      </x:c>
      <x:c r="F809"/>
      <x:c r="G809"/>
      <x:c r="H809" t="str">
        <x:v>kein_match</x:v>
      </x:c>
      <x:c r="I809" t="str">
        <x:v>Agent-Draft: keine finale Regelentscheidung</x:v>
      </x:c>
      <x:c r="J809" t="n">
        <x:v>45890</x:v>
      </x:c>
      <x:c r="K809"/>
      <x:c r="L809"/>
      <x:c r="M809" t="n">
        <x:v>-15</x:v>
      </x:c>
      <x:c r="N809" t="str">
        <x:v>2025-08</x:v>
      </x:c>
      <x:c r="O809" t="str">
        <x:v>Ausgabe</x:v>
      </x:c>
      <x:c r="P809" t="str">
        <x:v>Ist</x:v>
      </x:c>
      <x:c r="Q809" s="59" t="b">
        <x:v>0</x:v>
      </x:c>
      <x:c r="R809" t="str">
        <x:v>kein_transfer</x:v>
      </x:c>
      <x:c r="S809"/>
      <x:c r="T809"/>
      <x:c r="U809"/>
      <x:c r="V809" s="59" t="b">
        <x:v>1</x:v>
      </x:c>
      <x:c r="W809"/>
      <x:c r="X809" t="str">
        <x:v>offen</x:v>
      </x:c>
      <x:c r="Y809" t="str">
        <x:v>Agent-Draft; Kategorie und Person pruefen</x:v>
      </x:c>
    </x:row>
    <x:row r="810">
      <x:c r="A810" t="str">
        <x:v>TXN-RAW-IMP-20260516-FULLDRAFT-000794</x:v>
      </x:c>
      <x:c r="B810" t="str">
        <x:v>RAW-IMP-20260516-FULLDRAFT-000794</x:v>
      </x:c>
      <x:c r="C810" t="str">
        <x:v>KTO001</x:v>
      </x:c>
      <x:c r="D810"/>
      <x:c r="E810" t="str">
        <x:v>KAT013</x:v>
      </x:c>
      <x:c r="F810"/>
      <x:c r="G810"/>
      <x:c r="H810" t="str">
        <x:v>kein_match</x:v>
      </x:c>
      <x:c r="I810" t="str">
        <x:v>Agent-Draft: keine finale Regelentscheidung</x:v>
      </x:c>
      <x:c r="J810" t="n">
        <x:v>45890</x:v>
      </x:c>
      <x:c r="K810"/>
      <x:c r="L810"/>
      <x:c r="M810" t="n">
        <x:v>-15</x:v>
      </x:c>
      <x:c r="N810" t="str">
        <x:v>2025-08</x:v>
      </x:c>
      <x:c r="O810" t="str">
        <x:v>Ausgabe</x:v>
      </x:c>
      <x:c r="P810" t="str">
        <x:v>Ist</x:v>
      </x:c>
      <x:c r="Q810" s="59" t="b">
        <x:v>0</x:v>
      </x:c>
      <x:c r="R810" t="str">
        <x:v>kein_transfer</x:v>
      </x:c>
      <x:c r="S810"/>
      <x:c r="T810"/>
      <x:c r="U810"/>
      <x:c r="V810" s="59" t="b">
        <x:v>1</x:v>
      </x:c>
      <x:c r="W810"/>
      <x:c r="X810" t="str">
        <x:v>offen</x:v>
      </x:c>
      <x:c r="Y810" t="str">
        <x:v>Agent-Draft; Kategorie und Person pruefen</x:v>
      </x:c>
    </x:row>
    <x:row r="811">
      <x:c r="A811" t="str">
        <x:v>TXN-RAW-IMP-20260516-FULLDRAFT-000795</x:v>
      </x:c>
      <x:c r="B811" t="str">
        <x:v>RAW-IMP-20260516-FULLDRAFT-000795</x:v>
      </x:c>
      <x:c r="C811" t="str">
        <x:v>KTO001</x:v>
      </x:c>
      <x:c r="D811"/>
      <x:c r="E811" t="str">
        <x:v>KAT013</x:v>
      </x:c>
      <x:c r="F811"/>
      <x:c r="G811"/>
      <x:c r="H811" t="str">
        <x:v>kein_match</x:v>
      </x:c>
      <x:c r="I811" t="str">
        <x:v>Agent-Draft: keine finale Regelentscheidung</x:v>
      </x:c>
      <x:c r="J811" t="n">
        <x:v>45890</x:v>
      </x:c>
      <x:c r="K811"/>
      <x:c r="L811"/>
      <x:c r="M811" t="n">
        <x:v>-77.58</x:v>
      </x:c>
      <x:c r="N811" t="str">
        <x:v>2025-08</x:v>
      </x:c>
      <x:c r="O811" t="str">
        <x:v>Ausgabe</x:v>
      </x:c>
      <x:c r="P811" t="str">
        <x:v>Ist</x:v>
      </x:c>
      <x:c r="Q811" s="59" t="b">
        <x:v>0</x:v>
      </x:c>
      <x:c r="R811" t="str">
        <x:v>kein_transfer</x:v>
      </x:c>
      <x:c r="S811"/>
      <x:c r="T811"/>
      <x:c r="U811"/>
      <x:c r="V811" s="59" t="b">
        <x:v>1</x:v>
      </x:c>
      <x:c r="W811"/>
      <x:c r="X811" t="str">
        <x:v>offen</x:v>
      </x:c>
      <x:c r="Y811" t="str">
        <x:v>Agent-Draft; Kategorie und Person pruefen</x:v>
      </x:c>
    </x:row>
    <x:row r="812">
      <x:c r="A812" t="str">
        <x:v>TXN-RAW-IMP-20260516-FULLDRAFT-000796</x:v>
      </x:c>
      <x:c r="B812" t="str">
        <x:v>RAW-IMP-20260516-FULLDRAFT-000796</x:v>
      </x:c>
      <x:c r="C812" t="str">
        <x:v>KTO001</x:v>
      </x:c>
      <x:c r="D812"/>
      <x:c r="E812" t="str">
        <x:v>KAT013</x:v>
      </x:c>
      <x:c r="F812"/>
      <x:c r="G812"/>
      <x:c r="H812" t="str">
        <x:v>kein_match</x:v>
      </x:c>
      <x:c r="I812" t="str">
        <x:v>Agent-Draft: keine finale Regelentscheidung</x:v>
      </x:c>
      <x:c r="J812" t="n">
        <x:v>45889</x:v>
      </x:c>
      <x:c r="K812"/>
      <x:c r="L812"/>
      <x:c r="M812" t="n">
        <x:v>-4.99</x:v>
      </x:c>
      <x:c r="N812" t="str">
        <x:v>2025-08</x:v>
      </x:c>
      <x:c r="O812" t="str">
        <x:v>Ausgabe</x:v>
      </x:c>
      <x:c r="P812" t="str">
        <x:v>Ist</x:v>
      </x:c>
      <x:c r="Q812" s="59" t="b">
        <x:v>0</x:v>
      </x:c>
      <x:c r="R812" t="str">
        <x:v>kein_transfer</x:v>
      </x:c>
      <x:c r="S812"/>
      <x:c r="T812"/>
      <x:c r="U812"/>
      <x:c r="V812" s="59" t="b">
        <x:v>1</x:v>
      </x:c>
      <x:c r="W812"/>
      <x:c r="X812" t="str">
        <x:v>offen</x:v>
      </x:c>
      <x:c r="Y812" t="str">
        <x:v>Agent-Draft; Kategorie und Person pruefen</x:v>
      </x:c>
    </x:row>
    <x:row r="813">
      <x:c r="A813" t="str">
        <x:v>TXN-RAW-IMP-20260516-FULLDRAFT-000797</x:v>
      </x:c>
      <x:c r="B813" t="str">
        <x:v>RAW-IMP-20260516-FULLDRAFT-000797</x:v>
      </x:c>
      <x:c r="C813" t="str">
        <x:v>KTO001</x:v>
      </x:c>
      <x:c r="D813"/>
      <x:c r="E813" t="str">
        <x:v>KAT013</x:v>
      </x:c>
      <x:c r="F813"/>
      <x:c r="G813"/>
      <x:c r="H813" t="str">
        <x:v>kein_match</x:v>
      </x:c>
      <x:c r="I813" t="str">
        <x:v>Agent-Draft: keine finale Regelentscheidung</x:v>
      </x:c>
      <x:c r="J813" t="n">
        <x:v>45887</x:v>
      </x:c>
      <x:c r="K813"/>
      <x:c r="L813"/>
      <x:c r="M813" t="n">
        <x:v>-7</x:v>
      </x:c>
      <x:c r="N813" t="str">
        <x:v>2025-08</x:v>
      </x:c>
      <x:c r="O813" t="str">
        <x:v>Ausgabe</x:v>
      </x:c>
      <x:c r="P813" t="str">
        <x:v>Ist</x:v>
      </x:c>
      <x:c r="Q813" s="59" t="b">
        <x:v>0</x:v>
      </x:c>
      <x:c r="R813" t="str">
        <x:v>kein_transfer</x:v>
      </x:c>
      <x:c r="S813"/>
      <x:c r="T813"/>
      <x:c r="U813"/>
      <x:c r="V813" s="59" t="b">
        <x:v>1</x:v>
      </x:c>
      <x:c r="W813"/>
      <x:c r="X813" t="str">
        <x:v>offen</x:v>
      </x:c>
      <x:c r="Y813" t="str">
        <x:v>Agent-Draft; Kategorie und Person pruefen</x:v>
      </x:c>
    </x:row>
    <x:row r="814">
      <x:c r="A814" t="str">
        <x:v>TXN-RAW-IMP-20260516-FULLDRAFT-000798</x:v>
      </x:c>
      <x:c r="B814" t="str">
        <x:v>RAW-IMP-20260516-FULLDRAFT-000798</x:v>
      </x:c>
      <x:c r="C814" t="str">
        <x:v>KTO001</x:v>
      </x:c>
      <x:c r="D814"/>
      <x:c r="E814" t="str">
        <x:v>KAT013</x:v>
      </x:c>
      <x:c r="F814"/>
      <x:c r="G814"/>
      <x:c r="H814" t="str">
        <x:v>kein_match</x:v>
      </x:c>
      <x:c r="I814" t="str">
        <x:v>Agent-Draft: keine finale Regelentscheidung</x:v>
      </x:c>
      <x:c r="J814" t="n">
        <x:v>45887</x:v>
      </x:c>
      <x:c r="K814"/>
      <x:c r="L814"/>
      <x:c r="M814" t="n">
        <x:v>-7.68</x:v>
      </x:c>
      <x:c r="N814" t="str">
        <x:v>2025-08</x:v>
      </x:c>
      <x:c r="O814" t="str">
        <x:v>Ausgabe</x:v>
      </x:c>
      <x:c r="P814" t="str">
        <x:v>Ist</x:v>
      </x:c>
      <x:c r="Q814" s="59" t="b">
        <x:v>0</x:v>
      </x:c>
      <x:c r="R814" t="str">
        <x:v>kein_transfer</x:v>
      </x:c>
      <x:c r="S814"/>
      <x:c r="T814"/>
      <x:c r="U814"/>
      <x:c r="V814" s="59" t="b">
        <x:v>1</x:v>
      </x:c>
      <x:c r="W814"/>
      <x:c r="X814" t="str">
        <x:v>offen</x:v>
      </x:c>
      <x:c r="Y814" t="str">
        <x:v>Agent-Draft; Kategorie und Person pruefen</x:v>
      </x:c>
    </x:row>
    <x:row r="815">
      <x:c r="A815" t="str">
        <x:v>TXN-RAW-IMP-20260516-FULLDRAFT-000799</x:v>
      </x:c>
      <x:c r="B815" t="str">
        <x:v>RAW-IMP-20260516-FULLDRAFT-000799</x:v>
      </x:c>
      <x:c r="C815" t="str">
        <x:v>KTO001</x:v>
      </x:c>
      <x:c r="D815"/>
      <x:c r="E815" t="str">
        <x:v>KAT013</x:v>
      </x:c>
      <x:c r="F815"/>
      <x:c r="G815"/>
      <x:c r="H815" t="str">
        <x:v>kein_match</x:v>
      </x:c>
      <x:c r="I815" t="str">
        <x:v>Agent-Draft: keine finale Regelentscheidung</x:v>
      </x:c>
      <x:c r="J815" t="n">
        <x:v>45887</x:v>
      </x:c>
      <x:c r="K815"/>
      <x:c r="L815"/>
      <x:c r="M815" t="n">
        <x:v>-13.64</x:v>
      </x:c>
      <x:c r="N815" t="str">
        <x:v>2025-08</x:v>
      </x:c>
      <x:c r="O815" t="str">
        <x:v>Ausgabe</x:v>
      </x:c>
      <x:c r="P815" t="str">
        <x:v>Ist</x:v>
      </x:c>
      <x:c r="Q815" s="59" t="b">
        <x:v>0</x:v>
      </x:c>
      <x:c r="R815" t="str">
        <x:v>kein_transfer</x:v>
      </x:c>
      <x:c r="S815"/>
      <x:c r="T815"/>
      <x:c r="U815"/>
      <x:c r="V815" s="59" t="b">
        <x:v>1</x:v>
      </x:c>
      <x:c r="W815"/>
      <x:c r="X815" t="str">
        <x:v>offen</x:v>
      </x:c>
      <x:c r="Y815" t="str">
        <x:v>Agent-Draft; Kategorie und Person pruefen</x:v>
      </x:c>
    </x:row>
    <x:row r="816">
      <x:c r="A816" t="str">
        <x:v>TXN-RAW-IMP-20260516-FULLDRAFT-000800</x:v>
      </x:c>
      <x:c r="B816" t="str">
        <x:v>RAW-IMP-20260516-FULLDRAFT-000800</x:v>
      </x:c>
      <x:c r="C816" t="str">
        <x:v>KTO001</x:v>
      </x:c>
      <x:c r="D816"/>
      <x:c r="E816" t="str">
        <x:v>KAT013</x:v>
      </x:c>
      <x:c r="F816"/>
      <x:c r="G816"/>
      <x:c r="H816" t="str">
        <x:v>kein_match</x:v>
      </x:c>
      <x:c r="I816" t="str">
        <x:v>Agent-Draft: keine finale Regelentscheidung</x:v>
      </x:c>
      <x:c r="J816" t="n">
        <x:v>45887</x:v>
      </x:c>
      <x:c r="K816"/>
      <x:c r="L816"/>
      <x:c r="M816" t="n">
        <x:v>-115.74</x:v>
      </x:c>
      <x:c r="N816" t="str">
        <x:v>2025-08</x:v>
      </x:c>
      <x:c r="O816" t="str">
        <x:v>Ausgabe</x:v>
      </x:c>
      <x:c r="P816" t="str">
        <x:v>Ist</x:v>
      </x:c>
      <x:c r="Q816" s="59" t="b">
        <x:v>0</x:v>
      </x:c>
      <x:c r="R816" t="str">
        <x:v>kein_transfer</x:v>
      </x:c>
      <x:c r="S816"/>
      <x:c r="T816"/>
      <x:c r="U816"/>
      <x:c r="V816" s="59" t="b">
        <x:v>1</x:v>
      </x:c>
      <x:c r="W816"/>
      <x:c r="X816" t="str">
        <x:v>offen</x:v>
      </x:c>
      <x:c r="Y816" t="str">
        <x:v>Agent-Draft; Kategorie und Person pruefen</x:v>
      </x:c>
    </x:row>
    <x:row r="817">
      <x:c r="A817" t="str">
        <x:v>TXN-RAW-IMP-20260516-FULLDRAFT-000801</x:v>
      </x:c>
      <x:c r="B817" t="str">
        <x:v>RAW-IMP-20260516-FULLDRAFT-000801</x:v>
      </x:c>
      <x:c r="C817" t="str">
        <x:v>KTO001</x:v>
      </x:c>
      <x:c r="D817"/>
      <x:c r="E817" t="str">
        <x:v>KAT013</x:v>
      </x:c>
      <x:c r="F817"/>
      <x:c r="G817"/>
      <x:c r="H817" t="str">
        <x:v>kein_match</x:v>
      </x:c>
      <x:c r="I817" t="str">
        <x:v>Agent-Draft: keine finale Regelentscheidung</x:v>
      </x:c>
      <x:c r="J817" t="n">
        <x:v>45887</x:v>
      </x:c>
      <x:c r="K817"/>
      <x:c r="L817"/>
      <x:c r="M817" t="n">
        <x:v>-3.95</x:v>
      </x:c>
      <x:c r="N817" t="str">
        <x:v>2025-08</x:v>
      </x:c>
      <x:c r="O817" t="str">
        <x:v>Ausgabe</x:v>
      </x:c>
      <x:c r="P817" t="str">
        <x:v>Ist</x:v>
      </x:c>
      <x:c r="Q817" s="59" t="b">
        <x:v>0</x:v>
      </x:c>
      <x:c r="R817" t="str">
        <x:v>kein_transfer</x:v>
      </x:c>
      <x:c r="S817"/>
      <x:c r="T817"/>
      <x:c r="U817"/>
      <x:c r="V817" s="59" t="b">
        <x:v>1</x:v>
      </x:c>
      <x:c r="W817"/>
      <x:c r="X817" t="str">
        <x:v>offen</x:v>
      </x:c>
      <x:c r="Y817" t="str">
        <x:v>Agent-Draft; Kategorie und Person pruefen</x:v>
      </x:c>
    </x:row>
    <x:row r="818">
      <x:c r="A818" t="str">
        <x:v>TXN-RAW-IMP-20260516-FULLDRAFT-000802</x:v>
      </x:c>
      <x:c r="B818" t="str">
        <x:v>RAW-IMP-20260516-FULLDRAFT-000802</x:v>
      </x:c>
      <x:c r="C818" t="str">
        <x:v>KTO001</x:v>
      </x:c>
      <x:c r="D818"/>
      <x:c r="E818" t="str">
        <x:v>KAT013</x:v>
      </x:c>
      <x:c r="F818"/>
      <x:c r="G818"/>
      <x:c r="H818" t="str">
        <x:v>kein_match</x:v>
      </x:c>
      <x:c r="I818" t="str">
        <x:v>Agent-Draft: keine finale Regelentscheidung</x:v>
      </x:c>
      <x:c r="J818" t="n">
        <x:v>45887</x:v>
      </x:c>
      <x:c r="K818"/>
      <x:c r="L818"/>
      <x:c r="M818" t="n">
        <x:v>-11.42</x:v>
      </x:c>
      <x:c r="N818" t="str">
        <x:v>2025-08</x:v>
      </x:c>
      <x:c r="O818" t="str">
        <x:v>Ausgabe</x:v>
      </x:c>
      <x:c r="P818" t="str">
        <x:v>Ist</x:v>
      </x:c>
      <x:c r="Q818" s="59" t="b">
        <x:v>0</x:v>
      </x:c>
      <x:c r="R818" t="str">
        <x:v>kein_transfer</x:v>
      </x:c>
      <x:c r="S818"/>
      <x:c r="T818"/>
      <x:c r="U818"/>
      <x:c r="V818" s="59" t="b">
        <x:v>1</x:v>
      </x:c>
      <x:c r="W818"/>
      <x:c r="X818" t="str">
        <x:v>offen</x:v>
      </x:c>
      <x:c r="Y818" t="str">
        <x:v>Agent-Draft; Kategorie und Person pruefen</x:v>
      </x:c>
    </x:row>
    <x:row r="819">
      <x:c r="A819" t="str">
        <x:v>TXN-RAW-IMP-20260516-FULLDRAFT-000803</x:v>
      </x:c>
      <x:c r="B819" t="str">
        <x:v>RAW-IMP-20260516-FULLDRAFT-000803</x:v>
      </x:c>
      <x:c r="C819" t="str">
        <x:v>KTO001</x:v>
      </x:c>
      <x:c r="D819"/>
      <x:c r="E819" t="str">
        <x:v>KAT013</x:v>
      </x:c>
      <x:c r="F819"/>
      <x:c r="G819"/>
      <x:c r="H819" t="str">
        <x:v>kein_match</x:v>
      </x:c>
      <x:c r="I819" t="str">
        <x:v>Agent-Draft: keine finale Regelentscheidung</x:v>
      </x:c>
      <x:c r="J819" t="n">
        <x:v>45884</x:v>
      </x:c>
      <x:c r="K819"/>
      <x:c r="L819"/>
      <x:c r="M819" t="n">
        <x:v>-18.18</x:v>
      </x:c>
      <x:c r="N819" t="str">
        <x:v>2025-08</x:v>
      </x:c>
      <x:c r="O819" t="str">
        <x:v>Ausgabe</x:v>
      </x:c>
      <x:c r="P819" t="str">
        <x:v>Ist</x:v>
      </x:c>
      <x:c r="Q819" s="59" t="b">
        <x:v>0</x:v>
      </x:c>
      <x:c r="R819" t="str">
        <x:v>kein_transfer</x:v>
      </x:c>
      <x:c r="S819"/>
      <x:c r="T819"/>
      <x:c r="U819"/>
      <x:c r="V819" s="59" t="b">
        <x:v>1</x:v>
      </x:c>
      <x:c r="W819"/>
      <x:c r="X819" t="str">
        <x:v>offen</x:v>
      </x:c>
      <x:c r="Y819" t="str">
        <x:v>Agent-Draft; Kategorie und Person pruefen</x:v>
      </x:c>
    </x:row>
    <x:row r="820">
      <x:c r="A820" t="str">
        <x:v>TXN-RAW-IMP-20260516-FULLDRAFT-000804</x:v>
      </x:c>
      <x:c r="B820" t="str">
        <x:v>RAW-IMP-20260516-FULLDRAFT-000804</x:v>
      </x:c>
      <x:c r="C820" t="str">
        <x:v>KTO001</x:v>
      </x:c>
      <x:c r="D820"/>
      <x:c r="E820" t="str">
        <x:v>KAT013</x:v>
      </x:c>
      <x:c r="F820"/>
      <x:c r="G820"/>
      <x:c r="H820" t="str">
        <x:v>kein_match</x:v>
      </x:c>
      <x:c r="I820" t="str">
        <x:v>Agent-Draft: keine finale Regelentscheidung</x:v>
      </x:c>
      <x:c r="J820" t="n">
        <x:v>45884</x:v>
      </x:c>
      <x:c r="K820"/>
      <x:c r="L820"/>
      <x:c r="M820" t="n">
        <x:v>-10.3</x:v>
      </x:c>
      <x:c r="N820" t="str">
        <x:v>2025-08</x:v>
      </x:c>
      <x:c r="O820" t="str">
        <x:v>Ausgabe</x:v>
      </x:c>
      <x:c r="P820" t="str">
        <x:v>Ist</x:v>
      </x:c>
      <x:c r="Q820" s="59" t="b">
        <x:v>0</x:v>
      </x:c>
      <x:c r="R820" t="str">
        <x:v>kein_transfer</x:v>
      </x:c>
      <x:c r="S820"/>
      <x:c r="T820"/>
      <x:c r="U820"/>
      <x:c r="V820" s="59" t="b">
        <x:v>1</x:v>
      </x:c>
      <x:c r="W820"/>
      <x:c r="X820" t="str">
        <x:v>offen</x:v>
      </x:c>
      <x:c r="Y820" t="str">
        <x:v>Agent-Draft; Kategorie und Person pruefen</x:v>
      </x:c>
    </x:row>
    <x:row r="821">
      <x:c r="A821" t="str">
        <x:v>TXN-RAW-IMP-20260516-FULLDRAFT-000805</x:v>
      </x:c>
      <x:c r="B821" t="str">
        <x:v>RAW-IMP-20260516-FULLDRAFT-000805</x:v>
      </x:c>
      <x:c r="C821" t="str">
        <x:v>KTO001</x:v>
      </x:c>
      <x:c r="D821"/>
      <x:c r="E821" t="str">
        <x:v>KAT013</x:v>
      </x:c>
      <x:c r="F821"/>
      <x:c r="G821"/>
      <x:c r="H821" t="str">
        <x:v>kein_match</x:v>
      </x:c>
      <x:c r="I821" t="str">
        <x:v>Agent-Draft: keine finale Regelentscheidung</x:v>
      </x:c>
      <x:c r="J821" t="n">
        <x:v>45883</x:v>
      </x:c>
      <x:c r="K821"/>
      <x:c r="L821"/>
      <x:c r="M821" t="n">
        <x:v>-8.7</x:v>
      </x:c>
      <x:c r="N821" t="str">
        <x:v>2025-08</x:v>
      </x:c>
      <x:c r="O821" t="str">
        <x:v>Ausgabe</x:v>
      </x:c>
      <x:c r="P821" t="str">
        <x:v>Ist</x:v>
      </x:c>
      <x:c r="Q821" s="59" t="b">
        <x:v>0</x:v>
      </x:c>
      <x:c r="R821" t="str">
        <x:v>kein_transfer</x:v>
      </x:c>
      <x:c r="S821"/>
      <x:c r="T821"/>
      <x:c r="U821"/>
      <x:c r="V821" s="59" t="b">
        <x:v>1</x:v>
      </x:c>
      <x:c r="W821"/>
      <x:c r="X821" t="str">
        <x:v>offen</x:v>
      </x:c>
      <x:c r="Y821" t="str">
        <x:v>Agent-Draft; Kategorie und Person pruefen</x:v>
      </x:c>
    </x:row>
    <x:row r="822">
      <x:c r="A822" t="str">
        <x:v>TXN-RAW-IMP-20260516-FULLDRAFT-000806</x:v>
      </x:c>
      <x:c r="B822" t="str">
        <x:v>RAW-IMP-20260516-FULLDRAFT-000806</x:v>
      </x:c>
      <x:c r="C822" t="str">
        <x:v>KTO001</x:v>
      </x:c>
      <x:c r="D822"/>
      <x:c r="E822" t="str">
        <x:v>KAT013</x:v>
      </x:c>
      <x:c r="F822"/>
      <x:c r="G822"/>
      <x:c r="H822" t="str">
        <x:v>kein_match</x:v>
      </x:c>
      <x:c r="I822" t="str">
        <x:v>Agent-Draft: keine finale Regelentscheidung</x:v>
      </x:c>
      <x:c r="J822" t="n">
        <x:v>45883</x:v>
      </x:c>
      <x:c r="K822"/>
      <x:c r="L822"/>
      <x:c r="M822" t="n">
        <x:v>-25.21</x:v>
      </x:c>
      <x:c r="N822" t="str">
        <x:v>2025-08</x:v>
      </x:c>
      <x:c r="O822" t="str">
        <x:v>Ausgabe</x:v>
      </x:c>
      <x:c r="P822" t="str">
        <x:v>Ist</x:v>
      </x:c>
      <x:c r="Q822" s="59" t="b">
        <x:v>0</x:v>
      </x:c>
      <x:c r="R822" t="str">
        <x:v>kein_transfer</x:v>
      </x:c>
      <x:c r="S822"/>
      <x:c r="T822"/>
      <x:c r="U822"/>
      <x:c r="V822" s="59" t="b">
        <x:v>1</x:v>
      </x:c>
      <x:c r="W822"/>
      <x:c r="X822" t="str">
        <x:v>offen</x:v>
      </x:c>
      <x:c r="Y822" t="str">
        <x:v>Agent-Draft; Kategorie und Person pruefen</x:v>
      </x:c>
    </x:row>
    <x:row r="823">
      <x:c r="A823" t="str">
        <x:v>TXN-RAW-IMP-20260516-FULLDRAFT-000807</x:v>
      </x:c>
      <x:c r="B823" t="str">
        <x:v>RAW-IMP-20260516-FULLDRAFT-000807</x:v>
      </x:c>
      <x:c r="C823" t="str">
        <x:v>KTO001</x:v>
      </x:c>
      <x:c r="D823"/>
      <x:c r="E823" t="str">
        <x:v>KAT013</x:v>
      </x:c>
      <x:c r="F823"/>
      <x:c r="G823"/>
      <x:c r="H823" t="str">
        <x:v>kein_match</x:v>
      </x:c>
      <x:c r="I823" t="str">
        <x:v>Agent-Draft: keine finale Regelentscheidung</x:v>
      </x:c>
      <x:c r="J823" t="n">
        <x:v>45882</x:v>
      </x:c>
      <x:c r="K823"/>
      <x:c r="L823"/>
      <x:c r="M823" t="n">
        <x:v>-9.99</x:v>
      </x:c>
      <x:c r="N823" t="str">
        <x:v>2025-08</x:v>
      </x:c>
      <x:c r="O823" t="str">
        <x:v>Ausgabe</x:v>
      </x:c>
      <x:c r="P823" t="str">
        <x:v>Ist</x:v>
      </x:c>
      <x:c r="Q823" s="59" t="b">
        <x:v>0</x:v>
      </x:c>
      <x:c r="R823" t="str">
        <x:v>kein_transfer</x:v>
      </x:c>
      <x:c r="S823"/>
      <x:c r="T823"/>
      <x:c r="U823"/>
      <x:c r="V823" s="59" t="b">
        <x:v>1</x:v>
      </x:c>
      <x:c r="W823"/>
      <x:c r="X823" t="str">
        <x:v>offen</x:v>
      </x:c>
      <x:c r="Y823" t="str">
        <x:v>Agent-Draft; Kategorie und Person pruefen</x:v>
      </x:c>
    </x:row>
    <x:row r="824">
      <x:c r="A824" t="str">
        <x:v>TXN-RAW-IMP-20260516-FULLDRAFT-000808</x:v>
      </x:c>
      <x:c r="B824" t="str">
        <x:v>RAW-IMP-20260516-FULLDRAFT-000808</x:v>
      </x:c>
      <x:c r="C824" t="str">
        <x:v>KTO001</x:v>
      </x:c>
      <x:c r="D824"/>
      <x:c r="E824" t="str">
        <x:v>KAT013</x:v>
      </x:c>
      <x:c r="F824"/>
      <x:c r="G824"/>
      <x:c r="H824" t="str">
        <x:v>kein_match</x:v>
      </x:c>
      <x:c r="I824" t="str">
        <x:v>Agent-Draft: keine finale Regelentscheidung</x:v>
      </x:c>
      <x:c r="J824" t="n">
        <x:v>45882</x:v>
      </x:c>
      <x:c r="K824"/>
      <x:c r="L824"/>
      <x:c r="M824" t="n">
        <x:v>-13.33</x:v>
      </x:c>
      <x:c r="N824" t="str">
        <x:v>2025-08</x:v>
      </x:c>
      <x:c r="O824" t="str">
        <x:v>Ausgabe</x:v>
      </x:c>
      <x:c r="P824" t="str">
        <x:v>Ist</x:v>
      </x:c>
      <x:c r="Q824" s="59" t="b">
        <x:v>0</x:v>
      </x:c>
      <x:c r="R824" t="str">
        <x:v>kein_transfer</x:v>
      </x:c>
      <x:c r="S824"/>
      <x:c r="T824"/>
      <x:c r="U824"/>
      <x:c r="V824" s="59" t="b">
        <x:v>1</x:v>
      </x:c>
      <x:c r="W824"/>
      <x:c r="X824" t="str">
        <x:v>offen</x:v>
      </x:c>
      <x:c r="Y824" t="str">
        <x:v>Agent-Draft; Kategorie und Person pruefen</x:v>
      </x:c>
    </x:row>
    <x:row r="825">
      <x:c r="A825" t="str">
        <x:v>TXN-RAW-IMP-20260516-FULLDRAFT-000809</x:v>
      </x:c>
      <x:c r="B825" t="str">
        <x:v>RAW-IMP-20260516-FULLDRAFT-000809</x:v>
      </x:c>
      <x:c r="C825" t="str">
        <x:v>KTO001</x:v>
      </x:c>
      <x:c r="D825"/>
      <x:c r="E825" t="str">
        <x:v>KAT013</x:v>
      </x:c>
      <x:c r="F825"/>
      <x:c r="G825"/>
      <x:c r="H825" t="str">
        <x:v>kein_match</x:v>
      </x:c>
      <x:c r="I825" t="str">
        <x:v>Agent-Draft: keine finale Regelentscheidung</x:v>
      </x:c>
      <x:c r="J825" t="n">
        <x:v>45882</x:v>
      </x:c>
      <x:c r="K825"/>
      <x:c r="L825"/>
      <x:c r="M825" t="n">
        <x:v>-100</x:v>
      </x:c>
      <x:c r="N825" t="str">
        <x:v>2025-08</x:v>
      </x:c>
      <x:c r="O825" t="str">
        <x:v>Ausgabe</x:v>
      </x:c>
      <x:c r="P825" t="str">
        <x:v>Ist</x:v>
      </x:c>
      <x:c r="Q825" s="59" t="b">
        <x:v>0</x:v>
      </x:c>
      <x:c r="R825" t="str">
        <x:v>kein_transfer</x:v>
      </x:c>
      <x:c r="S825"/>
      <x:c r="T825"/>
      <x:c r="U825"/>
      <x:c r="V825" s="59" t="b">
        <x:v>1</x:v>
      </x:c>
      <x:c r="W825"/>
      <x:c r="X825" t="str">
        <x:v>offen</x:v>
      </x:c>
      <x:c r="Y825" t="str">
        <x:v>Agent-Draft; Kategorie und Person pruefen</x:v>
      </x:c>
    </x:row>
    <x:row r="826">
      <x:c r="A826" t="str">
        <x:v>TXN-RAW-IMP-20260516-FULLDRAFT-000810</x:v>
      </x:c>
      <x:c r="B826" t="str">
        <x:v>RAW-IMP-20260516-FULLDRAFT-000810</x:v>
      </x:c>
      <x:c r="C826" t="str">
        <x:v>KTO001</x:v>
      </x:c>
      <x:c r="D826"/>
      <x:c r="E826" t="str">
        <x:v>KAT013</x:v>
      </x:c>
      <x:c r="F826"/>
      <x:c r="G826"/>
      <x:c r="H826" t="str">
        <x:v>kein_match</x:v>
      </x:c>
      <x:c r="I826" t="str">
        <x:v>Agent-Draft: keine finale Regelentscheidung</x:v>
      </x:c>
      <x:c r="J826" t="n">
        <x:v>45881</x:v>
      </x:c>
      <x:c r="K826"/>
      <x:c r="L826"/>
      <x:c r="M826" t="n">
        <x:v>-7.95</x:v>
      </x:c>
      <x:c r="N826" t="str">
        <x:v>2025-08</x:v>
      </x:c>
      <x:c r="O826" t="str">
        <x:v>Ausgabe</x:v>
      </x:c>
      <x:c r="P826" t="str">
        <x:v>Ist</x:v>
      </x:c>
      <x:c r="Q826" s="59" t="b">
        <x:v>0</x:v>
      </x:c>
      <x:c r="R826" t="str">
        <x:v>kein_transfer</x:v>
      </x:c>
      <x:c r="S826"/>
      <x:c r="T826"/>
      <x:c r="U826"/>
      <x:c r="V826" s="59" t="b">
        <x:v>1</x:v>
      </x:c>
      <x:c r="W826"/>
      <x:c r="X826" t="str">
        <x:v>offen</x:v>
      </x:c>
      <x:c r="Y826" t="str">
        <x:v>Agent-Draft; Kategorie und Person pruefen</x:v>
      </x:c>
    </x:row>
    <x:row r="827">
      <x:c r="A827" t="str">
        <x:v>TXN-RAW-IMP-20260516-FULLDRAFT-000811</x:v>
      </x:c>
      <x:c r="B827" t="str">
        <x:v>RAW-IMP-20260516-FULLDRAFT-000811</x:v>
      </x:c>
      <x:c r="C827" t="str">
        <x:v>KTO001</x:v>
      </x:c>
      <x:c r="D827"/>
      <x:c r="E827" t="str">
        <x:v>KAT013</x:v>
      </x:c>
      <x:c r="F827"/>
      <x:c r="G827"/>
      <x:c r="H827" t="str">
        <x:v>kein_match</x:v>
      </x:c>
      <x:c r="I827" t="str">
        <x:v>Agent-Draft: keine finale Regelentscheidung</x:v>
      </x:c>
      <x:c r="J827" t="n">
        <x:v>45881</x:v>
      </x:c>
      <x:c r="K827"/>
      <x:c r="L827"/>
      <x:c r="M827" t="n">
        <x:v>-30</x:v>
      </x:c>
      <x:c r="N827" t="str">
        <x:v>2025-08</x:v>
      </x:c>
      <x:c r="O827" t="str">
        <x:v>Ausgabe</x:v>
      </x:c>
      <x:c r="P827" t="str">
        <x:v>Ist</x:v>
      </x:c>
      <x:c r="Q827" s="59" t="b">
        <x:v>0</x:v>
      </x:c>
      <x:c r="R827" t="str">
        <x:v>kein_transfer</x:v>
      </x:c>
      <x:c r="S827"/>
      <x:c r="T827"/>
      <x:c r="U827"/>
      <x:c r="V827" s="59" t="b">
        <x:v>1</x:v>
      </x:c>
      <x:c r="W827"/>
      <x:c r="X827" t="str">
        <x:v>offen</x:v>
      </x:c>
      <x:c r="Y827" t="str">
        <x:v>Agent-Draft; Kategorie und Person pruefen</x:v>
      </x:c>
    </x:row>
    <x:row r="828">
      <x:c r="A828" t="str">
        <x:v>TXN-RAW-IMP-20260516-FULLDRAFT-000812</x:v>
      </x:c>
      <x:c r="B828" t="str">
        <x:v>RAW-IMP-20260516-FULLDRAFT-000812</x:v>
      </x:c>
      <x:c r="C828" t="str">
        <x:v>KTO001</x:v>
      </x:c>
      <x:c r="D828"/>
      <x:c r="E828" t="str">
        <x:v>KAT013</x:v>
      </x:c>
      <x:c r="F828"/>
      <x:c r="G828"/>
      <x:c r="H828" t="str">
        <x:v>kein_match</x:v>
      </x:c>
      <x:c r="I828" t="str">
        <x:v>Agent-Draft: keine finale Regelentscheidung</x:v>
      </x:c>
      <x:c r="J828" t="n">
        <x:v>45881</x:v>
      </x:c>
      <x:c r="K828"/>
      <x:c r="L828"/>
      <x:c r="M828" t="n">
        <x:v>-10</x:v>
      </x:c>
      <x:c r="N828" t="str">
        <x:v>2025-08</x:v>
      </x:c>
      <x:c r="O828" t="str">
        <x:v>Ausgabe</x:v>
      </x:c>
      <x:c r="P828" t="str">
        <x:v>Ist</x:v>
      </x:c>
      <x:c r="Q828" s="59" t="b">
        <x:v>0</x:v>
      </x:c>
      <x:c r="R828" t="str">
        <x:v>kein_transfer</x:v>
      </x:c>
      <x:c r="S828"/>
      <x:c r="T828"/>
      <x:c r="U828"/>
      <x:c r="V828" s="59" t="b">
        <x:v>1</x:v>
      </x:c>
      <x:c r="W828"/>
      <x:c r="X828" t="str">
        <x:v>offen</x:v>
      </x:c>
      <x:c r="Y828" t="str">
        <x:v>Agent-Draft; Kategorie und Person pruefen</x:v>
      </x:c>
    </x:row>
    <x:row r="829">
      <x:c r="A829" t="str">
        <x:v>TXN-RAW-IMP-20260516-FULLDRAFT-000813</x:v>
      </x:c>
      <x:c r="B829" t="str">
        <x:v>RAW-IMP-20260516-FULLDRAFT-000813</x:v>
      </x:c>
      <x:c r="C829" t="str">
        <x:v>KTO001</x:v>
      </x:c>
      <x:c r="D829"/>
      <x:c r="E829" t="str">
        <x:v>KAT013</x:v>
      </x:c>
      <x:c r="F829"/>
      <x:c r="G829"/>
      <x:c r="H829" t="str">
        <x:v>kein_match</x:v>
      </x:c>
      <x:c r="I829" t="str">
        <x:v>Agent-Draft: keine finale Regelentscheidung</x:v>
      </x:c>
      <x:c r="J829" t="n">
        <x:v>45881</x:v>
      </x:c>
      <x:c r="K829"/>
      <x:c r="L829"/>
      <x:c r="M829" t="n">
        <x:v>-9.99</x:v>
      </x:c>
      <x:c r="N829" t="str">
        <x:v>2025-08</x:v>
      </x:c>
      <x:c r="O829" t="str">
        <x:v>Ausgabe</x:v>
      </x:c>
      <x:c r="P829" t="str">
        <x:v>Ist</x:v>
      </x:c>
      <x:c r="Q829" s="59" t="b">
        <x:v>0</x:v>
      </x:c>
      <x:c r="R829" t="str">
        <x:v>kein_transfer</x:v>
      </x:c>
      <x:c r="S829"/>
      <x:c r="T829"/>
      <x:c r="U829"/>
      <x:c r="V829" s="59" t="b">
        <x:v>1</x:v>
      </x:c>
      <x:c r="W829"/>
      <x:c r="X829" t="str">
        <x:v>offen</x:v>
      </x:c>
      <x:c r="Y829" t="str">
        <x:v>Agent-Draft; Kategorie und Person pruefen</x:v>
      </x:c>
    </x:row>
    <x:row r="830">
      <x:c r="A830" t="str">
        <x:v>TXN-RAW-IMP-20260516-FULLDRAFT-000814</x:v>
      </x:c>
      <x:c r="B830" t="str">
        <x:v>RAW-IMP-20260516-FULLDRAFT-000814</x:v>
      </x:c>
      <x:c r="C830" t="str">
        <x:v>KTO001</x:v>
      </x:c>
      <x:c r="D830"/>
      <x:c r="E830" t="str">
        <x:v>KAT013</x:v>
      </x:c>
      <x:c r="F830"/>
      <x:c r="G830"/>
      <x:c r="H830" t="str">
        <x:v>kein_match</x:v>
      </x:c>
      <x:c r="I830" t="str">
        <x:v>Agent-Draft: keine finale Regelentscheidung</x:v>
      </x:c>
      <x:c r="J830" t="n">
        <x:v>45880</x:v>
      </x:c>
      <x:c r="K830"/>
      <x:c r="L830"/>
      <x:c r="M830" t="n">
        <x:v>-6</x:v>
      </x:c>
      <x:c r="N830" t="str">
        <x:v>2025-08</x:v>
      </x:c>
      <x:c r="O830" t="str">
        <x:v>Ausgabe</x:v>
      </x:c>
      <x:c r="P830" t="str">
        <x:v>Ist</x:v>
      </x:c>
      <x:c r="Q830" s="59" t="b">
        <x:v>0</x:v>
      </x:c>
      <x:c r="R830" t="str">
        <x:v>kein_transfer</x:v>
      </x:c>
      <x:c r="S830"/>
      <x:c r="T830"/>
      <x:c r="U830"/>
      <x:c r="V830" s="59" t="b">
        <x:v>1</x:v>
      </x:c>
      <x:c r="W830"/>
      <x:c r="X830" t="str">
        <x:v>offen</x:v>
      </x:c>
      <x:c r="Y830" t="str">
        <x:v>Agent-Draft; Kategorie und Person pruefen</x:v>
      </x:c>
    </x:row>
    <x:row r="831">
      <x:c r="A831" t="str">
        <x:v>TXN-RAW-IMP-20260516-FULLDRAFT-000815</x:v>
      </x:c>
      <x:c r="B831" t="str">
        <x:v>RAW-IMP-20260516-FULLDRAFT-000815</x:v>
      </x:c>
      <x:c r="C831" t="str">
        <x:v>KTO001</x:v>
      </x:c>
      <x:c r="D831"/>
      <x:c r="E831" t="str">
        <x:v>KAT013</x:v>
      </x:c>
      <x:c r="F831"/>
      <x:c r="G831"/>
      <x:c r="H831" t="str">
        <x:v>kein_match</x:v>
      </x:c>
      <x:c r="I831" t="str">
        <x:v>Agent-Draft: keine finale Regelentscheidung</x:v>
      </x:c>
      <x:c r="J831" t="n">
        <x:v>45880</x:v>
      </x:c>
      <x:c r="K831"/>
      <x:c r="L831"/>
      <x:c r="M831" t="n">
        <x:v>-105.6</x:v>
      </x:c>
      <x:c r="N831" t="str">
        <x:v>2025-08</x:v>
      </x:c>
      <x:c r="O831" t="str">
        <x:v>Ausgabe</x:v>
      </x:c>
      <x:c r="P831" t="str">
        <x:v>Ist</x:v>
      </x:c>
      <x:c r="Q831" s="59" t="b">
        <x:v>0</x:v>
      </x:c>
      <x:c r="R831" t="str">
        <x:v>kein_transfer</x:v>
      </x:c>
      <x:c r="S831"/>
      <x:c r="T831"/>
      <x:c r="U831"/>
      <x:c r="V831" s="59" t="b">
        <x:v>1</x:v>
      </x:c>
      <x:c r="W831"/>
      <x:c r="X831" t="str">
        <x:v>offen</x:v>
      </x:c>
      <x:c r="Y831" t="str">
        <x:v>Agent-Draft; Kategorie und Person pruefen</x:v>
      </x:c>
    </x:row>
    <x:row r="832">
      <x:c r="A832" t="str">
        <x:v>TXN-RAW-IMP-20260516-FULLDRAFT-000816</x:v>
      </x:c>
      <x:c r="B832" t="str">
        <x:v>RAW-IMP-20260516-FULLDRAFT-000816</x:v>
      </x:c>
      <x:c r="C832" t="str">
        <x:v>KTO001</x:v>
      </x:c>
      <x:c r="D832"/>
      <x:c r="E832" t="str">
        <x:v>KAT013</x:v>
      </x:c>
      <x:c r="F832"/>
      <x:c r="G832"/>
      <x:c r="H832" t="str">
        <x:v>kein_match</x:v>
      </x:c>
      <x:c r="I832" t="str">
        <x:v>Agent-Draft: keine finale Regelentscheidung</x:v>
      </x:c>
      <x:c r="J832" t="n">
        <x:v>45880</x:v>
      </x:c>
      <x:c r="K832"/>
      <x:c r="L832"/>
      <x:c r="M832" t="n">
        <x:v>-6</x:v>
      </x:c>
      <x:c r="N832" t="str">
        <x:v>2025-08</x:v>
      </x:c>
      <x:c r="O832" t="str">
        <x:v>Ausgabe</x:v>
      </x:c>
      <x:c r="P832" t="str">
        <x:v>Ist</x:v>
      </x:c>
      <x:c r="Q832" s="59" t="b">
        <x:v>0</x:v>
      </x:c>
      <x:c r="R832" t="str">
        <x:v>kein_transfer</x:v>
      </x:c>
      <x:c r="S832"/>
      <x:c r="T832"/>
      <x:c r="U832"/>
      <x:c r="V832" s="59" t="b">
        <x:v>1</x:v>
      </x:c>
      <x:c r="W832"/>
      <x:c r="X832" t="str">
        <x:v>offen</x:v>
      </x:c>
      <x:c r="Y832" t="str">
        <x:v>Agent-Draft; Kategorie und Person pruefen</x:v>
      </x:c>
    </x:row>
    <x:row r="833">
      <x:c r="A833" t="str">
        <x:v>TXN-RAW-IMP-20260516-FULLDRAFT-000817</x:v>
      </x:c>
      <x:c r="B833" t="str">
        <x:v>RAW-IMP-20260516-FULLDRAFT-000817</x:v>
      </x:c>
      <x:c r="C833" t="str">
        <x:v>KTO001</x:v>
      </x:c>
      <x:c r="D833"/>
      <x:c r="E833" t="str">
        <x:v>KAT013</x:v>
      </x:c>
      <x:c r="F833"/>
      <x:c r="G833"/>
      <x:c r="H833" t="str">
        <x:v>kein_match</x:v>
      </x:c>
      <x:c r="I833" t="str">
        <x:v>Agent-Draft: keine finale Regelentscheidung</x:v>
      </x:c>
      <x:c r="J833" t="n">
        <x:v>45880</x:v>
      </x:c>
      <x:c r="K833"/>
      <x:c r="L833"/>
      <x:c r="M833" t="n">
        <x:v>-16.5</x:v>
      </x:c>
      <x:c r="N833" t="str">
        <x:v>2025-08</x:v>
      </x:c>
      <x:c r="O833" t="str">
        <x:v>Ausgabe</x:v>
      </x:c>
      <x:c r="P833" t="str">
        <x:v>Ist</x:v>
      </x:c>
      <x:c r="Q833" s="59" t="b">
        <x:v>0</x:v>
      </x:c>
      <x:c r="R833" t="str">
        <x:v>kein_transfer</x:v>
      </x:c>
      <x:c r="S833"/>
      <x:c r="T833"/>
      <x:c r="U833"/>
      <x:c r="V833" s="59" t="b">
        <x:v>1</x:v>
      </x:c>
      <x:c r="W833"/>
      <x:c r="X833" t="str">
        <x:v>offen</x:v>
      </x:c>
      <x:c r="Y833" t="str">
        <x:v>Agent-Draft; Kategorie und Person pruefen</x:v>
      </x:c>
    </x:row>
    <x:row r="834">
      <x:c r="A834" t="str">
        <x:v>TXN-RAW-IMP-20260516-FULLDRAFT-000818</x:v>
      </x:c>
      <x:c r="B834" t="str">
        <x:v>RAW-IMP-20260516-FULLDRAFT-000818</x:v>
      </x:c>
      <x:c r="C834" t="str">
        <x:v>KTO001</x:v>
      </x:c>
      <x:c r="D834"/>
      <x:c r="E834" t="str">
        <x:v>KAT013</x:v>
      </x:c>
      <x:c r="F834"/>
      <x:c r="G834"/>
      <x:c r="H834" t="str">
        <x:v>kein_match</x:v>
      </x:c>
      <x:c r="I834" t="str">
        <x:v>Agent-Draft: keine finale Regelentscheidung</x:v>
      </x:c>
      <x:c r="J834" t="n">
        <x:v>45880</x:v>
      </x:c>
      <x:c r="K834"/>
      <x:c r="L834"/>
      <x:c r="M834" t="n">
        <x:v>-9.6</x:v>
      </x:c>
      <x:c r="N834" t="str">
        <x:v>2025-08</x:v>
      </x:c>
      <x:c r="O834" t="str">
        <x:v>Ausgabe</x:v>
      </x:c>
      <x:c r="P834" t="str">
        <x:v>Ist</x:v>
      </x:c>
      <x:c r="Q834" s="59" t="b">
        <x:v>0</x:v>
      </x:c>
      <x:c r="R834" t="str">
        <x:v>kein_transfer</x:v>
      </x:c>
      <x:c r="S834"/>
      <x:c r="T834"/>
      <x:c r="U834"/>
      <x:c r="V834" s="59" t="b">
        <x:v>1</x:v>
      </x:c>
      <x:c r="W834"/>
      <x:c r="X834" t="str">
        <x:v>offen</x:v>
      </x:c>
      <x:c r="Y834" t="str">
        <x:v>Agent-Draft; Kategorie und Person pruefen</x:v>
      </x:c>
    </x:row>
    <x:row r="835">
      <x:c r="A835" t="str">
        <x:v>TXN-RAW-IMP-20260516-FULLDRAFT-000819</x:v>
      </x:c>
      <x:c r="B835" t="str">
        <x:v>RAW-IMP-20260516-FULLDRAFT-000819</x:v>
      </x:c>
      <x:c r="C835" t="str">
        <x:v>KTO001</x:v>
      </x:c>
      <x:c r="D835"/>
      <x:c r="E835" t="str">
        <x:v>KAT013</x:v>
      </x:c>
      <x:c r="F835"/>
      <x:c r="G835"/>
      <x:c r="H835" t="str">
        <x:v>kein_match</x:v>
      </x:c>
      <x:c r="I835" t="str">
        <x:v>Agent-Draft: keine finale Regelentscheidung</x:v>
      </x:c>
      <x:c r="J835" t="n">
        <x:v>45880</x:v>
      </x:c>
      <x:c r="K835"/>
      <x:c r="L835"/>
      <x:c r="M835" t="n">
        <x:v>-10.28</x:v>
      </x:c>
      <x:c r="N835" t="str">
        <x:v>2025-08</x:v>
      </x:c>
      <x:c r="O835" t="str">
        <x:v>Ausgabe</x:v>
      </x:c>
      <x:c r="P835" t="str">
        <x:v>Ist</x:v>
      </x:c>
      <x:c r="Q835" s="59" t="b">
        <x:v>0</x:v>
      </x:c>
      <x:c r="R835" t="str">
        <x:v>kein_transfer</x:v>
      </x:c>
      <x:c r="S835"/>
      <x:c r="T835"/>
      <x:c r="U835"/>
      <x:c r="V835" s="59" t="b">
        <x:v>1</x:v>
      </x:c>
      <x:c r="W835"/>
      <x:c r="X835" t="str">
        <x:v>offen</x:v>
      </x:c>
      <x:c r="Y835" t="str">
        <x:v>Agent-Draft; Kategorie und Person pruefen</x:v>
      </x:c>
    </x:row>
    <x:row r="836">
      <x:c r="A836" t="str">
        <x:v>TXN-RAW-IMP-20260516-FULLDRAFT-000820</x:v>
      </x:c>
      <x:c r="B836" t="str">
        <x:v>RAW-IMP-20260516-FULLDRAFT-000820</x:v>
      </x:c>
      <x:c r="C836" t="str">
        <x:v>KTO001</x:v>
      </x:c>
      <x:c r="D836"/>
      <x:c r="E836" t="str">
        <x:v>KAT013</x:v>
      </x:c>
      <x:c r="F836"/>
      <x:c r="G836"/>
      <x:c r="H836" t="str">
        <x:v>kein_match</x:v>
      </x:c>
      <x:c r="I836" t="str">
        <x:v>Agent-Draft: keine finale Regelentscheidung</x:v>
      </x:c>
      <x:c r="J836" t="n">
        <x:v>45880</x:v>
      </x:c>
      <x:c r="K836"/>
      <x:c r="L836"/>
      <x:c r="M836" t="n">
        <x:v>-4.44</x:v>
      </x:c>
      <x:c r="N836" t="str">
        <x:v>2025-08</x:v>
      </x:c>
      <x:c r="O836" t="str">
        <x:v>Ausgabe</x:v>
      </x:c>
      <x:c r="P836" t="str">
        <x:v>Ist</x:v>
      </x:c>
      <x:c r="Q836" s="59" t="b">
        <x:v>0</x:v>
      </x:c>
      <x:c r="R836" t="str">
        <x:v>kein_transfer</x:v>
      </x:c>
      <x:c r="S836"/>
      <x:c r="T836"/>
      <x:c r="U836"/>
      <x:c r="V836" s="59" t="b">
        <x:v>1</x:v>
      </x:c>
      <x:c r="W836"/>
      <x:c r="X836" t="str">
        <x:v>offen</x:v>
      </x:c>
      <x:c r="Y836" t="str">
        <x:v>Agent-Draft; Kategorie und Person pruefen</x:v>
      </x:c>
    </x:row>
    <x:row r="837">
      <x:c r="A837" t="str">
        <x:v>TXN-RAW-IMP-20260516-FULLDRAFT-000821</x:v>
      </x:c>
      <x:c r="B837" t="str">
        <x:v>RAW-IMP-20260516-FULLDRAFT-000821</x:v>
      </x:c>
      <x:c r="C837" t="str">
        <x:v>KTO001</x:v>
      </x:c>
      <x:c r="D837"/>
      <x:c r="E837" t="str">
        <x:v>KAT013</x:v>
      </x:c>
      <x:c r="F837"/>
      <x:c r="G837"/>
      <x:c r="H837" t="str">
        <x:v>kein_match</x:v>
      </x:c>
      <x:c r="I837" t="str">
        <x:v>Agent-Draft: keine finale Regelentscheidung</x:v>
      </x:c>
      <x:c r="J837" t="n">
        <x:v>45880</x:v>
      </x:c>
      <x:c r="K837"/>
      <x:c r="L837"/>
      <x:c r="M837" t="n">
        <x:v>-44.3</x:v>
      </x:c>
      <x:c r="N837" t="str">
        <x:v>2025-08</x:v>
      </x:c>
      <x:c r="O837" t="str">
        <x:v>Ausgabe</x:v>
      </x:c>
      <x:c r="P837" t="str">
        <x:v>Ist</x:v>
      </x:c>
      <x:c r="Q837" s="59" t="b">
        <x:v>0</x:v>
      </x:c>
      <x:c r="R837" t="str">
        <x:v>kein_transfer</x:v>
      </x:c>
      <x:c r="S837"/>
      <x:c r="T837"/>
      <x:c r="U837"/>
      <x:c r="V837" s="59" t="b">
        <x:v>1</x:v>
      </x:c>
      <x:c r="W837"/>
      <x:c r="X837" t="str">
        <x:v>offen</x:v>
      </x:c>
      <x:c r="Y837" t="str">
        <x:v>Agent-Draft; Kategorie und Person pruefen</x:v>
      </x:c>
    </x:row>
    <x:row r="838">
      <x:c r="A838" t="str">
        <x:v>TXN-RAW-IMP-20260516-FULLDRAFT-000822</x:v>
      </x:c>
      <x:c r="B838" t="str">
        <x:v>RAW-IMP-20260516-FULLDRAFT-000822</x:v>
      </x:c>
      <x:c r="C838" t="str">
        <x:v>KTO001</x:v>
      </x:c>
      <x:c r="D838"/>
      <x:c r="E838" t="str">
        <x:v>KAT013</x:v>
      </x:c>
      <x:c r="F838"/>
      <x:c r="G838"/>
      <x:c r="H838" t="str">
        <x:v>kein_match</x:v>
      </x:c>
      <x:c r="I838" t="str">
        <x:v>Agent-Draft: keine finale Regelentscheidung</x:v>
      </x:c>
      <x:c r="J838" t="n">
        <x:v>45880</x:v>
      </x:c>
      <x:c r="K838"/>
      <x:c r="L838"/>
      <x:c r="M838" t="n">
        <x:v>-33.3</x:v>
      </x:c>
      <x:c r="N838" t="str">
        <x:v>2025-08</x:v>
      </x:c>
      <x:c r="O838" t="str">
        <x:v>Ausgabe</x:v>
      </x:c>
      <x:c r="P838" t="str">
        <x:v>Ist</x:v>
      </x:c>
      <x:c r="Q838" s="59" t="b">
        <x:v>0</x:v>
      </x:c>
      <x:c r="R838" t="str">
        <x:v>kein_transfer</x:v>
      </x:c>
      <x:c r="S838"/>
      <x:c r="T838"/>
      <x:c r="U838"/>
      <x:c r="V838" s="59" t="b">
        <x:v>1</x:v>
      </x:c>
      <x:c r="W838"/>
      <x:c r="X838" t="str">
        <x:v>offen</x:v>
      </x:c>
      <x:c r="Y838" t="str">
        <x:v>Agent-Draft; Kategorie und Person pruefen</x:v>
      </x:c>
    </x:row>
    <x:row r="839">
      <x:c r="A839" t="str">
        <x:v>TXN-RAW-IMP-20260516-FULLDRAFT-000823</x:v>
      </x:c>
      <x:c r="B839" t="str">
        <x:v>RAW-IMP-20260516-FULLDRAFT-000823</x:v>
      </x:c>
      <x:c r="C839" t="str">
        <x:v>KTO001</x:v>
      </x:c>
      <x:c r="D839"/>
      <x:c r="E839" t="str">
        <x:v>KAT013</x:v>
      </x:c>
      <x:c r="F839"/>
      <x:c r="G839"/>
      <x:c r="H839" t="str">
        <x:v>kein_match</x:v>
      </x:c>
      <x:c r="I839" t="str">
        <x:v>Agent-Draft: keine finale Regelentscheidung</x:v>
      </x:c>
      <x:c r="J839" t="n">
        <x:v>45880</x:v>
      </x:c>
      <x:c r="K839"/>
      <x:c r="L839"/>
      <x:c r="M839" t="n">
        <x:v>-23.9</x:v>
      </x:c>
      <x:c r="N839" t="str">
        <x:v>2025-08</x:v>
      </x:c>
      <x:c r="O839" t="str">
        <x:v>Ausgabe</x:v>
      </x:c>
      <x:c r="P839" t="str">
        <x:v>Ist</x:v>
      </x:c>
      <x:c r="Q839" s="59" t="b">
        <x:v>0</x:v>
      </x:c>
      <x:c r="R839" t="str">
        <x:v>kein_transfer</x:v>
      </x:c>
      <x:c r="S839"/>
      <x:c r="T839"/>
      <x:c r="U839"/>
      <x:c r="V839" s="59" t="b">
        <x:v>1</x:v>
      </x:c>
      <x:c r="W839"/>
      <x:c r="X839" t="str">
        <x:v>offen</x:v>
      </x:c>
      <x:c r="Y839" t="str">
        <x:v>Agent-Draft; Kategorie und Person pruefen</x:v>
      </x:c>
    </x:row>
    <x:row r="840">
      <x:c r="A840" t="str">
        <x:v>TXN-RAW-IMP-20260516-FULLDRAFT-000824</x:v>
      </x:c>
      <x:c r="B840" t="str">
        <x:v>RAW-IMP-20260516-FULLDRAFT-000824</x:v>
      </x:c>
      <x:c r="C840" t="str">
        <x:v>KTO001</x:v>
      </x:c>
      <x:c r="D840"/>
      <x:c r="E840" t="str">
        <x:v>KAT013</x:v>
      </x:c>
      <x:c r="F840"/>
      <x:c r="G840"/>
      <x:c r="H840" t="str">
        <x:v>kein_match</x:v>
      </x:c>
      <x:c r="I840" t="str">
        <x:v>Agent-Draft: keine finale Regelentscheidung</x:v>
      </x:c>
      <x:c r="J840" t="n">
        <x:v>45880</x:v>
      </x:c>
      <x:c r="K840"/>
      <x:c r="L840"/>
      <x:c r="M840" t="n">
        <x:v>-4.39</x:v>
      </x:c>
      <x:c r="N840" t="str">
        <x:v>2025-08</x:v>
      </x:c>
      <x:c r="O840" t="str">
        <x:v>Ausgabe</x:v>
      </x:c>
      <x:c r="P840" t="str">
        <x:v>Ist</x:v>
      </x:c>
      <x:c r="Q840" s="59" t="b">
        <x:v>0</x:v>
      </x:c>
      <x:c r="R840" t="str">
        <x:v>kein_transfer</x:v>
      </x:c>
      <x:c r="S840"/>
      <x:c r="T840"/>
      <x:c r="U840"/>
      <x:c r="V840" s="59" t="b">
        <x:v>1</x:v>
      </x:c>
      <x:c r="W840"/>
      <x:c r="X840" t="str">
        <x:v>offen</x:v>
      </x:c>
      <x:c r="Y840" t="str">
        <x:v>Agent-Draft; Kategorie und Person pruefen</x:v>
      </x:c>
    </x:row>
    <x:row r="841">
      <x:c r="A841" t="str">
        <x:v>TXN-RAW-IMP-20260516-FULLDRAFT-000825</x:v>
      </x:c>
      <x:c r="B841" t="str">
        <x:v>RAW-IMP-20260516-FULLDRAFT-000825</x:v>
      </x:c>
      <x:c r="C841" t="str">
        <x:v>KTO001</x:v>
      </x:c>
      <x:c r="D841"/>
      <x:c r="E841" t="str">
        <x:v>KAT013</x:v>
      </x:c>
      <x:c r="F841"/>
      <x:c r="G841"/>
      <x:c r="H841" t="str">
        <x:v>kein_match</x:v>
      </x:c>
      <x:c r="I841" t="str">
        <x:v>Agent-Draft: keine finale Regelentscheidung</x:v>
      </x:c>
      <x:c r="J841" t="n">
        <x:v>45880</x:v>
      </x:c>
      <x:c r="K841"/>
      <x:c r="L841"/>
      <x:c r="M841" t="n">
        <x:v>-33</x:v>
      </x:c>
      <x:c r="N841" t="str">
        <x:v>2025-08</x:v>
      </x:c>
      <x:c r="O841" t="str">
        <x:v>Ausgabe</x:v>
      </x:c>
      <x:c r="P841" t="str">
        <x:v>Ist</x:v>
      </x:c>
      <x:c r="Q841" s="59" t="b">
        <x:v>0</x:v>
      </x:c>
      <x:c r="R841" t="str">
        <x:v>kein_transfer</x:v>
      </x:c>
      <x:c r="S841"/>
      <x:c r="T841"/>
      <x:c r="U841"/>
      <x:c r="V841" s="59" t="b">
        <x:v>1</x:v>
      </x:c>
      <x:c r="W841"/>
      <x:c r="X841" t="str">
        <x:v>offen</x:v>
      </x:c>
      <x:c r="Y841" t="str">
        <x:v>Agent-Draft; Kategorie und Person pruefen</x:v>
      </x:c>
    </x:row>
    <x:row r="842">
      <x:c r="A842" t="str">
        <x:v>TXN-RAW-IMP-20260516-FULLDRAFT-000826</x:v>
      </x:c>
      <x:c r="B842" t="str">
        <x:v>RAW-IMP-20260516-FULLDRAFT-000826</x:v>
      </x:c>
      <x:c r="C842" t="str">
        <x:v>KTO001</x:v>
      </x:c>
      <x:c r="D842"/>
      <x:c r="E842" t="str">
        <x:v>KAT013</x:v>
      </x:c>
      <x:c r="F842"/>
      <x:c r="G842"/>
      <x:c r="H842" t="str">
        <x:v>kein_match</x:v>
      </x:c>
      <x:c r="I842" t="str">
        <x:v>Agent-Draft: keine finale Regelentscheidung</x:v>
      </x:c>
      <x:c r="J842" t="n">
        <x:v>45880</x:v>
      </x:c>
      <x:c r="K842"/>
      <x:c r="L842"/>
      <x:c r="M842" t="n">
        <x:v>-16.95</x:v>
      </x:c>
      <x:c r="N842" t="str">
        <x:v>2025-08</x:v>
      </x:c>
      <x:c r="O842" t="str">
        <x:v>Ausgabe</x:v>
      </x:c>
      <x:c r="P842" t="str">
        <x:v>Ist</x:v>
      </x:c>
      <x:c r="Q842" s="59" t="b">
        <x:v>0</x:v>
      </x:c>
      <x:c r="R842" t="str">
        <x:v>kein_transfer</x:v>
      </x:c>
      <x:c r="S842"/>
      <x:c r="T842"/>
      <x:c r="U842"/>
      <x:c r="V842" s="59" t="b">
        <x:v>1</x:v>
      </x:c>
      <x:c r="W842"/>
      <x:c r="X842" t="str">
        <x:v>offen</x:v>
      </x:c>
      <x:c r="Y842" t="str">
        <x:v>Agent-Draft; Kategorie und Person pruefen</x:v>
      </x:c>
    </x:row>
    <x:row r="843">
      <x:c r="A843" t="str">
        <x:v>TXN-RAW-IMP-20260516-FULLDRAFT-000827</x:v>
      </x:c>
      <x:c r="B843" t="str">
        <x:v>RAW-IMP-20260516-FULLDRAFT-000827</x:v>
      </x:c>
      <x:c r="C843" t="str">
        <x:v>KTO001</x:v>
      </x:c>
      <x:c r="D843"/>
      <x:c r="E843" t="str">
        <x:v>KAT013</x:v>
      </x:c>
      <x:c r="F843"/>
      <x:c r="G843"/>
      <x:c r="H843" t="str">
        <x:v>kein_match</x:v>
      </x:c>
      <x:c r="I843" t="str">
        <x:v>Agent-Draft: keine finale Regelentscheidung</x:v>
      </x:c>
      <x:c r="J843" t="n">
        <x:v>45877</x:v>
      </x:c>
      <x:c r="K843"/>
      <x:c r="L843"/>
      <x:c r="M843" t="n">
        <x:v>-14.97</x:v>
      </x:c>
      <x:c r="N843" t="str">
        <x:v>2025-08</x:v>
      </x:c>
      <x:c r="O843" t="str">
        <x:v>Ausgabe</x:v>
      </x:c>
      <x:c r="P843" t="str">
        <x:v>Ist</x:v>
      </x:c>
      <x:c r="Q843" s="59" t="b">
        <x:v>0</x:v>
      </x:c>
      <x:c r="R843" t="str">
        <x:v>kein_transfer</x:v>
      </x:c>
      <x:c r="S843"/>
      <x:c r="T843"/>
      <x:c r="U843"/>
      <x:c r="V843" s="59" t="b">
        <x:v>1</x:v>
      </x:c>
      <x:c r="W843"/>
      <x:c r="X843" t="str">
        <x:v>offen</x:v>
      </x:c>
      <x:c r="Y843" t="str">
        <x:v>Agent-Draft; Kategorie und Person pruefen</x:v>
      </x:c>
    </x:row>
    <x:row r="844">
      <x:c r="A844" t="str">
        <x:v>TXN-RAW-IMP-20260516-FULLDRAFT-000828</x:v>
      </x:c>
      <x:c r="B844" t="str">
        <x:v>RAW-IMP-20260516-FULLDRAFT-000828</x:v>
      </x:c>
      <x:c r="C844" t="str">
        <x:v>KTO001</x:v>
      </x:c>
      <x:c r="D844"/>
      <x:c r="E844" t="str">
        <x:v>KAT013</x:v>
      </x:c>
      <x:c r="F844"/>
      <x:c r="G844"/>
      <x:c r="H844" t="str">
        <x:v>kein_match</x:v>
      </x:c>
      <x:c r="I844" t="str">
        <x:v>Agent-Draft: keine finale Regelentscheidung</x:v>
      </x:c>
      <x:c r="J844" t="n">
        <x:v>45876</x:v>
      </x:c>
      <x:c r="K844"/>
      <x:c r="L844"/>
      <x:c r="M844" t="n">
        <x:v>-11.5</x:v>
      </x:c>
      <x:c r="N844" t="str">
        <x:v>2025-08</x:v>
      </x:c>
      <x:c r="O844" t="str">
        <x:v>Ausgabe</x:v>
      </x:c>
      <x:c r="P844" t="str">
        <x:v>Ist</x:v>
      </x:c>
      <x:c r="Q844" s="59" t="b">
        <x:v>0</x:v>
      </x:c>
      <x:c r="R844" t="str">
        <x:v>kein_transfer</x:v>
      </x:c>
      <x:c r="S844"/>
      <x:c r="T844"/>
      <x:c r="U844"/>
      <x:c r="V844" s="59" t="b">
        <x:v>1</x:v>
      </x:c>
      <x:c r="W844"/>
      <x:c r="X844" t="str">
        <x:v>offen</x:v>
      </x:c>
      <x:c r="Y844" t="str">
        <x:v>Agent-Draft; Kategorie und Person pruefen</x:v>
      </x:c>
    </x:row>
    <x:row r="845">
      <x:c r="A845" t="str">
        <x:v>TXN-RAW-IMP-20260516-FULLDRAFT-000829</x:v>
      </x:c>
      <x:c r="B845" t="str">
        <x:v>RAW-IMP-20260516-FULLDRAFT-000829</x:v>
      </x:c>
      <x:c r="C845" t="str">
        <x:v>KTO001</x:v>
      </x:c>
      <x:c r="D845"/>
      <x:c r="E845" t="str">
        <x:v>KAT013</x:v>
      </x:c>
      <x:c r="F845"/>
      <x:c r="G845"/>
      <x:c r="H845" t="str">
        <x:v>kein_match</x:v>
      </x:c>
      <x:c r="I845" t="str">
        <x:v>Agent-Draft: keine finale Regelentscheidung</x:v>
      </x:c>
      <x:c r="J845" t="n">
        <x:v>45875</x:v>
      </x:c>
      <x:c r="K845"/>
      <x:c r="L845"/>
      <x:c r="M845" t="n">
        <x:v>-61.93</x:v>
      </x:c>
      <x:c r="N845" t="str">
        <x:v>2025-08</x:v>
      </x:c>
      <x:c r="O845" t="str">
        <x:v>Ausgabe</x:v>
      </x:c>
      <x:c r="P845" t="str">
        <x:v>Ist</x:v>
      </x:c>
      <x:c r="Q845" s="59" t="b">
        <x:v>0</x:v>
      </x:c>
      <x:c r="R845" t="str">
        <x:v>kein_transfer</x:v>
      </x:c>
      <x:c r="S845"/>
      <x:c r="T845"/>
      <x:c r="U845"/>
      <x:c r="V845" s="59" t="b">
        <x:v>1</x:v>
      </x:c>
      <x:c r="W845"/>
      <x:c r="X845" t="str">
        <x:v>offen</x:v>
      </x:c>
      <x:c r="Y845" t="str">
        <x:v>Agent-Draft; Kategorie und Person pruefen</x:v>
      </x:c>
    </x:row>
    <x:row r="846">
      <x:c r="A846" t="str">
        <x:v>TXN-RAW-IMP-20260516-FULLDRAFT-000830</x:v>
      </x:c>
      <x:c r="B846" t="str">
        <x:v>RAW-IMP-20260516-FULLDRAFT-000830</x:v>
      </x:c>
      <x:c r="C846" t="str">
        <x:v>KTO001</x:v>
      </x:c>
      <x:c r="D846"/>
      <x:c r="E846" t="str">
        <x:v>KAT013</x:v>
      </x:c>
      <x:c r="F846"/>
      <x:c r="G846"/>
      <x:c r="H846" t="str">
        <x:v>kein_match</x:v>
      </x:c>
      <x:c r="I846" t="str">
        <x:v>Agent-Draft: keine finale Regelentscheidung</x:v>
      </x:c>
      <x:c r="J846" t="n">
        <x:v>45875</x:v>
      </x:c>
      <x:c r="K846"/>
      <x:c r="L846"/>
      <x:c r="M846" t="n">
        <x:v>-49.9</x:v>
      </x:c>
      <x:c r="N846" t="str">
        <x:v>2025-08</x:v>
      </x:c>
      <x:c r="O846" t="str">
        <x:v>Ausgabe</x:v>
      </x:c>
      <x:c r="P846" t="str">
        <x:v>Ist</x:v>
      </x:c>
      <x:c r="Q846" s="59" t="b">
        <x:v>0</x:v>
      </x:c>
      <x:c r="R846" t="str">
        <x:v>kein_transfer</x:v>
      </x:c>
      <x:c r="S846"/>
      <x:c r="T846"/>
      <x:c r="U846"/>
      <x:c r="V846" s="59" t="b">
        <x:v>1</x:v>
      </x:c>
      <x:c r="W846"/>
      <x:c r="X846" t="str">
        <x:v>offen</x:v>
      </x:c>
      <x:c r="Y846" t="str">
        <x:v>Agent-Draft; Kategorie und Person pruefen</x:v>
      </x:c>
    </x:row>
    <x:row r="847">
      <x:c r="A847" t="str">
        <x:v>TXN-RAW-IMP-20260516-FULLDRAFT-000831</x:v>
      </x:c>
      <x:c r="B847" t="str">
        <x:v>RAW-IMP-20260516-FULLDRAFT-000831</x:v>
      </x:c>
      <x:c r="C847" t="str">
        <x:v>KTO001</x:v>
      </x:c>
      <x:c r="D847"/>
      <x:c r="E847" t="str">
        <x:v>KAT013</x:v>
      </x:c>
      <x:c r="F847"/>
      <x:c r="G847"/>
      <x:c r="H847" t="str">
        <x:v>kein_match</x:v>
      </x:c>
      <x:c r="I847" t="str">
        <x:v>Agent-Draft: keine finale Regelentscheidung</x:v>
      </x:c>
      <x:c r="J847" t="n">
        <x:v>45874</x:v>
      </x:c>
      <x:c r="K847"/>
      <x:c r="L847"/>
      <x:c r="M847" t="n">
        <x:v>-1.5</x:v>
      </x:c>
      <x:c r="N847" t="str">
        <x:v>2025-08</x:v>
      </x:c>
      <x:c r="O847" t="str">
        <x:v>Ausgabe</x:v>
      </x:c>
      <x:c r="P847" t="str">
        <x:v>Ist</x:v>
      </x:c>
      <x:c r="Q847" s="59" t="b">
        <x:v>0</x:v>
      </x:c>
      <x:c r="R847" t="str">
        <x:v>kein_transfer</x:v>
      </x:c>
      <x:c r="S847"/>
      <x:c r="T847"/>
      <x:c r="U847"/>
      <x:c r="V847" s="59" t="b">
        <x:v>1</x:v>
      </x:c>
      <x:c r="W847"/>
      <x:c r="X847" t="str">
        <x:v>offen</x:v>
      </x:c>
      <x:c r="Y847" t="str">
        <x:v>Agent-Draft; Kategorie und Person pruefen</x:v>
      </x:c>
    </x:row>
    <x:row r="848">
      <x:c r="A848" t="str">
        <x:v>TXN-RAW-IMP-20260516-FULLDRAFT-000832</x:v>
      </x:c>
      <x:c r="B848" t="str">
        <x:v>RAW-IMP-20260516-FULLDRAFT-000832</x:v>
      </x:c>
      <x:c r="C848" t="str">
        <x:v>KTO001</x:v>
      </x:c>
      <x:c r="D848"/>
      <x:c r="E848" t="str">
        <x:v>KAT013</x:v>
      </x:c>
      <x:c r="F848"/>
      <x:c r="G848"/>
      <x:c r="H848" t="str">
        <x:v>kein_match</x:v>
      </x:c>
      <x:c r="I848" t="str">
        <x:v>Agent-Draft: keine finale Regelentscheidung</x:v>
      </x:c>
      <x:c r="J848" t="n">
        <x:v>45874</x:v>
      </x:c>
      <x:c r="K848"/>
      <x:c r="L848"/>
      <x:c r="M848" t="n">
        <x:v>-3.6</x:v>
      </x:c>
      <x:c r="N848" t="str">
        <x:v>2025-08</x:v>
      </x:c>
      <x:c r="O848" t="str">
        <x:v>Ausgabe</x:v>
      </x:c>
      <x:c r="P848" t="str">
        <x:v>Ist</x:v>
      </x:c>
      <x:c r="Q848" s="59" t="b">
        <x:v>0</x:v>
      </x:c>
      <x:c r="R848" t="str">
        <x:v>kein_transfer</x:v>
      </x:c>
      <x:c r="S848"/>
      <x:c r="T848"/>
      <x:c r="U848"/>
      <x:c r="V848" s="59" t="b">
        <x:v>1</x:v>
      </x:c>
      <x:c r="W848"/>
      <x:c r="X848" t="str">
        <x:v>offen</x:v>
      </x:c>
      <x:c r="Y848" t="str">
        <x:v>Agent-Draft; Kategorie und Person pruefen</x:v>
      </x:c>
    </x:row>
    <x:row r="849">
      <x:c r="A849" t="str">
        <x:v>TXN-RAW-IMP-20260516-FULLDRAFT-000833</x:v>
      </x:c>
      <x:c r="B849" t="str">
        <x:v>RAW-IMP-20260516-FULLDRAFT-000833</x:v>
      </x:c>
      <x:c r="C849" t="str">
        <x:v>KTO001</x:v>
      </x:c>
      <x:c r="D849"/>
      <x:c r="E849" t="str">
        <x:v>KAT013</x:v>
      </x:c>
      <x:c r="F849"/>
      <x:c r="G849"/>
      <x:c r="H849" t="str">
        <x:v>kein_match</x:v>
      </x:c>
      <x:c r="I849" t="str">
        <x:v>Agent-Draft: keine finale Regelentscheidung</x:v>
      </x:c>
      <x:c r="J849" t="n">
        <x:v>45873</x:v>
      </x:c>
      <x:c r="K849"/>
      <x:c r="L849"/>
      <x:c r="M849" t="n">
        <x:v>-3.3</x:v>
      </x:c>
      <x:c r="N849" t="str">
        <x:v>2025-08</x:v>
      </x:c>
      <x:c r="O849" t="str">
        <x:v>Ausgabe</x:v>
      </x:c>
      <x:c r="P849" t="str">
        <x:v>Ist</x:v>
      </x:c>
      <x:c r="Q849" s="59" t="b">
        <x:v>0</x:v>
      </x:c>
      <x:c r="R849" t="str">
        <x:v>kein_transfer</x:v>
      </x:c>
      <x:c r="S849"/>
      <x:c r="T849"/>
      <x:c r="U849"/>
      <x:c r="V849" s="59" t="b">
        <x:v>1</x:v>
      </x:c>
      <x:c r="W849"/>
      <x:c r="X849" t="str">
        <x:v>offen</x:v>
      </x:c>
      <x:c r="Y849" t="str">
        <x:v>Agent-Draft; Kategorie und Person pruefen</x:v>
      </x:c>
    </x:row>
    <x:row r="850">
      <x:c r="A850" t="str">
        <x:v>TXN-RAW-IMP-20260516-FULLDRAFT-000834</x:v>
      </x:c>
      <x:c r="B850" t="str">
        <x:v>RAW-IMP-20260516-FULLDRAFT-000834</x:v>
      </x:c>
      <x:c r="C850" t="str">
        <x:v>KTO001</x:v>
      </x:c>
      <x:c r="D850"/>
      <x:c r="E850" t="str">
        <x:v>KAT013</x:v>
      </x:c>
      <x:c r="F850"/>
      <x:c r="G850"/>
      <x:c r="H850" t="str">
        <x:v>kein_match</x:v>
      </x:c>
      <x:c r="I850" t="str">
        <x:v>Agent-Draft: keine finale Regelentscheidung</x:v>
      </x:c>
      <x:c r="J850" t="n">
        <x:v>45873</x:v>
      </x:c>
      <x:c r="K850"/>
      <x:c r="L850"/>
      <x:c r="M850" t="n">
        <x:v>-30.04</x:v>
      </x:c>
      <x:c r="N850" t="str">
        <x:v>2025-08</x:v>
      </x:c>
      <x:c r="O850" t="str">
        <x:v>Ausgabe</x:v>
      </x:c>
      <x:c r="P850" t="str">
        <x:v>Ist</x:v>
      </x:c>
      <x:c r="Q850" s="59" t="b">
        <x:v>0</x:v>
      </x:c>
      <x:c r="R850" t="str">
        <x:v>kein_transfer</x:v>
      </x:c>
      <x:c r="S850"/>
      <x:c r="T850"/>
      <x:c r="U850"/>
      <x:c r="V850" s="59" t="b">
        <x:v>1</x:v>
      </x:c>
      <x:c r="W850"/>
      <x:c r="X850" t="str">
        <x:v>offen</x:v>
      </x:c>
      <x:c r="Y850" t="str">
        <x:v>Agent-Draft; Kategorie und Person pruefen</x:v>
      </x:c>
    </x:row>
    <x:row r="851">
      <x:c r="A851" t="str">
        <x:v>TXN-RAW-IMP-20260516-FULLDRAFT-000835</x:v>
      </x:c>
      <x:c r="B851" t="str">
        <x:v>RAW-IMP-20260516-FULLDRAFT-000835</x:v>
      </x:c>
      <x:c r="C851" t="str">
        <x:v>KTO001</x:v>
      </x:c>
      <x:c r="D851"/>
      <x:c r="E851" t="str">
        <x:v>KAT013</x:v>
      </x:c>
      <x:c r="F851"/>
      <x:c r="G851"/>
      <x:c r="H851" t="str">
        <x:v>kein_match</x:v>
      </x:c>
      <x:c r="I851" t="str">
        <x:v>Agent-Draft: keine finale Regelentscheidung</x:v>
      </x:c>
      <x:c r="J851" t="n">
        <x:v>45873</x:v>
      </x:c>
      <x:c r="K851"/>
      <x:c r="L851"/>
      <x:c r="M851" t="n">
        <x:v>-83.08</x:v>
      </x:c>
      <x:c r="N851" t="str">
        <x:v>2025-08</x:v>
      </x:c>
      <x:c r="O851" t="str">
        <x:v>Ausgabe</x:v>
      </x:c>
      <x:c r="P851" t="str">
        <x:v>Ist</x:v>
      </x:c>
      <x:c r="Q851" s="59" t="b">
        <x:v>0</x:v>
      </x:c>
      <x:c r="R851" t="str">
        <x:v>kein_transfer</x:v>
      </x:c>
      <x:c r="S851"/>
      <x:c r="T851"/>
      <x:c r="U851"/>
      <x:c r="V851" s="59" t="b">
        <x:v>1</x:v>
      </x:c>
      <x:c r="W851"/>
      <x:c r="X851" t="str">
        <x:v>offen</x:v>
      </x:c>
      <x:c r="Y851" t="str">
        <x:v>Agent-Draft; Kategorie und Person pruefen</x:v>
      </x:c>
    </x:row>
    <x:row r="852">
      <x:c r="A852" t="str">
        <x:v>TXN-RAW-IMP-20260516-FULLDRAFT-000836</x:v>
      </x:c>
      <x:c r="B852" t="str">
        <x:v>RAW-IMP-20260516-FULLDRAFT-000836</x:v>
      </x:c>
      <x:c r="C852" t="str">
        <x:v>KTO001</x:v>
      </x:c>
      <x:c r="D852"/>
      <x:c r="E852" t="str">
        <x:v>KAT013</x:v>
      </x:c>
      <x:c r="F852"/>
      <x:c r="G852"/>
      <x:c r="H852" t="str">
        <x:v>kein_match</x:v>
      </x:c>
      <x:c r="I852" t="str">
        <x:v>Agent-Draft: keine finale Regelentscheidung</x:v>
      </x:c>
      <x:c r="J852" t="n">
        <x:v>45873</x:v>
      </x:c>
      <x:c r="K852"/>
      <x:c r="L852"/>
      <x:c r="M852" t="n">
        <x:v>-11.96</x:v>
      </x:c>
      <x:c r="N852" t="str">
        <x:v>2025-08</x:v>
      </x:c>
      <x:c r="O852" t="str">
        <x:v>Ausgabe</x:v>
      </x:c>
      <x:c r="P852" t="str">
        <x:v>Ist</x:v>
      </x:c>
      <x:c r="Q852" s="59" t="b">
        <x:v>0</x:v>
      </x:c>
      <x:c r="R852" t="str">
        <x:v>kein_transfer</x:v>
      </x:c>
      <x:c r="S852"/>
      <x:c r="T852"/>
      <x:c r="U852"/>
      <x:c r="V852" s="59" t="b">
        <x:v>1</x:v>
      </x:c>
      <x:c r="W852"/>
      <x:c r="X852" t="str">
        <x:v>offen</x:v>
      </x:c>
      <x:c r="Y852" t="str">
        <x:v>Agent-Draft; Kategorie und Person pruefen</x:v>
      </x:c>
    </x:row>
    <x:row r="853">
      <x:c r="A853" t="str">
        <x:v>TXN-RAW-IMP-20260516-FULLDRAFT-000837</x:v>
      </x:c>
      <x:c r="B853" t="str">
        <x:v>RAW-IMP-20260516-FULLDRAFT-000837</x:v>
      </x:c>
      <x:c r="C853" t="str">
        <x:v>KTO001</x:v>
      </x:c>
      <x:c r="D853"/>
      <x:c r="E853" t="str">
        <x:v>KAT013</x:v>
      </x:c>
      <x:c r="F853"/>
      <x:c r="G853"/>
      <x:c r="H853" t="str">
        <x:v>kein_match</x:v>
      </x:c>
      <x:c r="I853" t="str">
        <x:v>Agent-Draft: keine finale Regelentscheidung</x:v>
      </x:c>
      <x:c r="J853" t="n">
        <x:v>45873</x:v>
      </x:c>
      <x:c r="K853"/>
      <x:c r="L853"/>
      <x:c r="M853" t="n">
        <x:v>-60.5</x:v>
      </x:c>
      <x:c r="N853" t="str">
        <x:v>2025-08</x:v>
      </x:c>
      <x:c r="O853" t="str">
        <x:v>Ausgabe</x:v>
      </x:c>
      <x:c r="P853" t="str">
        <x:v>Ist</x:v>
      </x:c>
      <x:c r="Q853" s="59" t="b">
        <x:v>0</x:v>
      </x:c>
      <x:c r="R853" t="str">
        <x:v>kein_transfer</x:v>
      </x:c>
      <x:c r="S853"/>
      <x:c r="T853"/>
      <x:c r="U853"/>
      <x:c r="V853" s="59" t="b">
        <x:v>1</x:v>
      </x:c>
      <x:c r="W853"/>
      <x:c r="X853" t="str">
        <x:v>offen</x:v>
      </x:c>
      <x:c r="Y853" t="str">
        <x:v>Agent-Draft; Kategorie und Person pruefen</x:v>
      </x:c>
    </x:row>
    <x:row r="854">
      <x:c r="A854" t="str">
        <x:v>TXN-RAW-IMP-20260516-FULLDRAFT-000838</x:v>
      </x:c>
      <x:c r="B854" t="str">
        <x:v>RAW-IMP-20260516-FULLDRAFT-000838</x:v>
      </x:c>
      <x:c r="C854" t="str">
        <x:v>KTO001</x:v>
      </x:c>
      <x:c r="D854"/>
      <x:c r="E854" t="str">
        <x:v>KAT013</x:v>
      </x:c>
      <x:c r="F854"/>
      <x:c r="G854"/>
      <x:c r="H854" t="str">
        <x:v>kein_match</x:v>
      </x:c>
      <x:c r="I854" t="str">
        <x:v>Agent-Draft: keine finale Regelentscheidung</x:v>
      </x:c>
      <x:c r="J854" t="n">
        <x:v>45870</x:v>
      </x:c>
      <x:c r="K854"/>
      <x:c r="L854"/>
      <x:c r="M854" t="n">
        <x:v>750</x:v>
      </x:c>
      <x:c r="N854" t="str">
        <x:v>2025-08</x:v>
      </x:c>
      <x:c r="O854" t="str">
        <x:v>Einnahme</x:v>
      </x:c>
      <x:c r="P854" t="str">
        <x:v>Ist</x:v>
      </x:c>
      <x:c r="Q854" s="59" t="b">
        <x:v>0</x:v>
      </x:c>
      <x:c r="R854" t="str">
        <x:v>kein_transfer</x:v>
      </x:c>
      <x:c r="S854"/>
      <x:c r="T854"/>
      <x:c r="U854"/>
      <x:c r="V854" s="59" t="b">
        <x:v>1</x:v>
      </x:c>
      <x:c r="W854"/>
      <x:c r="X854" t="str">
        <x:v>offen</x:v>
      </x:c>
      <x:c r="Y854" t="str">
        <x:v>Agent-Draft; Kategorie und Person pruefen</x:v>
      </x:c>
    </x:row>
    <x:row r="855">
      <x:c r="A855" t="str">
        <x:v>TXN-RAW-IMP-20260516-FULLDRAFT-000839</x:v>
      </x:c>
      <x:c r="B855" t="str">
        <x:v>RAW-IMP-20260516-FULLDRAFT-000839</x:v>
      </x:c>
      <x:c r="C855" t="str">
        <x:v>KTO001</x:v>
      </x:c>
      <x:c r="D855"/>
      <x:c r="E855" t="str">
        <x:v>KAT013</x:v>
      </x:c>
      <x:c r="F855"/>
      <x:c r="G855"/>
      <x:c r="H855" t="str">
        <x:v>kein_match</x:v>
      </x:c>
      <x:c r="I855" t="str">
        <x:v>Agent-Draft: keine finale Regelentscheidung</x:v>
      </x:c>
      <x:c r="J855" t="n">
        <x:v>45870</x:v>
      </x:c>
      <x:c r="K855"/>
      <x:c r="L855"/>
      <x:c r="M855" t="n">
        <x:v>-6.33</x:v>
      </x:c>
      <x:c r="N855" t="str">
        <x:v>2025-08</x:v>
      </x:c>
      <x:c r="O855" t="str">
        <x:v>Ausgabe</x:v>
      </x:c>
      <x:c r="P855" t="str">
        <x:v>Ist</x:v>
      </x:c>
      <x:c r="Q855" s="59" t="b">
        <x:v>0</x:v>
      </x:c>
      <x:c r="R855" t="str">
        <x:v>kein_transfer</x:v>
      </x:c>
      <x:c r="S855"/>
      <x:c r="T855"/>
      <x:c r="U855"/>
      <x:c r="V855" s="59" t="b">
        <x:v>1</x:v>
      </x:c>
      <x:c r="W855"/>
      <x:c r="X855" t="str">
        <x:v>offen</x:v>
      </x:c>
      <x:c r="Y855" t="str">
        <x:v>Agent-Draft; Kategorie und Person pruefen</x:v>
      </x:c>
    </x:row>
    <x:row r="856">
      <x:c r="A856" t="str">
        <x:v>TXN-RAW-IMP-20260516-FULLDRAFT-000840</x:v>
      </x:c>
      <x:c r="B856" t="str">
        <x:v>RAW-IMP-20260516-FULLDRAFT-000840</x:v>
      </x:c>
      <x:c r="C856" t="str">
        <x:v>KTO001</x:v>
      </x:c>
      <x:c r="D856"/>
      <x:c r="E856" t="str">
        <x:v>KAT013</x:v>
      </x:c>
      <x:c r="F856"/>
      <x:c r="G856"/>
      <x:c r="H856" t="str">
        <x:v>kein_match</x:v>
      </x:c>
      <x:c r="I856" t="str">
        <x:v>Agent-Draft: keine finale Regelentscheidung</x:v>
      </x:c>
      <x:c r="J856" t="n">
        <x:v>45870</x:v>
      </x:c>
      <x:c r="K856"/>
      <x:c r="L856"/>
      <x:c r="M856" t="n">
        <x:v>-1400</x:v>
      </x:c>
      <x:c r="N856" t="str">
        <x:v>2025-08</x:v>
      </x:c>
      <x:c r="O856" t="str">
        <x:v>Ausgabe</x:v>
      </x:c>
      <x:c r="P856" t="str">
        <x:v>Ist</x:v>
      </x:c>
      <x:c r="Q856" s="59" t="b">
        <x:v>0</x:v>
      </x:c>
      <x:c r="R856" t="str">
        <x:v>kein_transfer</x:v>
      </x:c>
      <x:c r="S856"/>
      <x:c r="T856"/>
      <x:c r="U856"/>
      <x:c r="V856" s="59" t="b">
        <x:v>1</x:v>
      </x:c>
      <x:c r="W856"/>
      <x:c r="X856" t="str">
        <x:v>offen</x:v>
      </x:c>
      <x:c r="Y856" t="str">
        <x:v>Agent-Draft; Kategorie und Person pruefen</x:v>
      </x:c>
    </x:row>
    <x:row r="857">
      <x:c r="A857" t="str">
        <x:v>TXN-RAW-IMP-20260516-FULLDRAFT-000841</x:v>
      </x:c>
      <x:c r="B857" t="str">
        <x:v>RAW-IMP-20260516-FULLDRAFT-000841</x:v>
      </x:c>
      <x:c r="C857" t="str">
        <x:v>KTO001</x:v>
      </x:c>
      <x:c r="D857"/>
      <x:c r="E857" t="str">
        <x:v>KAT013</x:v>
      </x:c>
      <x:c r="F857"/>
      <x:c r="G857"/>
      <x:c r="H857" t="str">
        <x:v>kein_match</x:v>
      </x:c>
      <x:c r="I857" t="str">
        <x:v>Agent-Draft: keine finale Regelentscheidung</x:v>
      </x:c>
      <x:c r="J857" t="n">
        <x:v>45870</x:v>
      </x:c>
      <x:c r="K857"/>
      <x:c r="L857"/>
      <x:c r="M857" t="n">
        <x:v>-1800</x:v>
      </x:c>
      <x:c r="N857" t="str">
        <x:v>2025-08</x:v>
      </x:c>
      <x:c r="O857" t="str">
        <x:v>Ausgabe</x:v>
      </x:c>
      <x:c r="P857" t="str">
        <x:v>Ist</x:v>
      </x:c>
      <x:c r="Q857" s="59" t="b">
        <x:v>0</x:v>
      </x:c>
      <x:c r="R857" t="str">
        <x:v>kein_transfer</x:v>
      </x:c>
      <x:c r="S857"/>
      <x:c r="T857"/>
      <x:c r="U857"/>
      <x:c r="V857" s="59" t="b">
        <x:v>1</x:v>
      </x:c>
      <x:c r="W857"/>
      <x:c r="X857" t="str">
        <x:v>offen</x:v>
      </x:c>
      <x:c r="Y857" t="str">
        <x:v>Agent-Draft; Kategorie und Person pruefen</x:v>
      </x:c>
    </x:row>
    <x:row r="858">
      <x:c r="A858" t="str">
        <x:v>TXN-RAW-IMP-20260516-FULLDRAFT-000842</x:v>
      </x:c>
      <x:c r="B858" t="str">
        <x:v>RAW-IMP-20260516-FULLDRAFT-000842</x:v>
      </x:c>
      <x:c r="C858" t="str">
        <x:v>KTO001</x:v>
      </x:c>
      <x:c r="D858"/>
      <x:c r="E858" t="str">
        <x:v>KAT013</x:v>
      </x:c>
      <x:c r="F858"/>
      <x:c r="G858"/>
      <x:c r="H858" t="str">
        <x:v>kein_match</x:v>
      </x:c>
      <x:c r="I858" t="str">
        <x:v>Agent-Draft: keine finale Regelentscheidung</x:v>
      </x:c>
      <x:c r="J858" t="n">
        <x:v>45870</x:v>
      </x:c>
      <x:c r="K858"/>
      <x:c r="L858"/>
      <x:c r="M858" t="n">
        <x:v>-97.12</x:v>
      </x:c>
      <x:c r="N858" t="str">
        <x:v>2025-08</x:v>
      </x:c>
      <x:c r="O858" t="str">
        <x:v>Ausgabe</x:v>
      </x:c>
      <x:c r="P858" t="str">
        <x:v>Ist</x:v>
      </x:c>
      <x:c r="Q858" s="59" t="b">
        <x:v>0</x:v>
      </x:c>
      <x:c r="R858" t="str">
        <x:v>kein_transfer</x:v>
      </x:c>
      <x:c r="S858"/>
      <x:c r="T858"/>
      <x:c r="U858"/>
      <x:c r="V858" s="59" t="b">
        <x:v>1</x:v>
      </x:c>
      <x:c r="W858"/>
      <x:c r="X858" t="str">
        <x:v>offen</x:v>
      </x:c>
      <x:c r="Y858" t="str">
        <x:v>Agent-Draft; Kategorie und Person pruefen</x:v>
      </x:c>
    </x:row>
    <x:row r="859">
      <x:c r="A859" t="str">
        <x:v>TXN-RAW-IMP-20260516-FULLDRAFT-000843</x:v>
      </x:c>
      <x:c r="B859" t="str">
        <x:v>RAW-IMP-20260516-FULLDRAFT-000843</x:v>
      </x:c>
      <x:c r="C859" t="str">
        <x:v>KTO001</x:v>
      </x:c>
      <x:c r="D859"/>
      <x:c r="E859" t="str">
        <x:v>KAT013</x:v>
      </x:c>
      <x:c r="F859"/>
      <x:c r="G859"/>
      <x:c r="H859" t="str">
        <x:v>kein_match</x:v>
      </x:c>
      <x:c r="I859" t="str">
        <x:v>Agent-Draft: keine finale Regelentscheidung</x:v>
      </x:c>
      <x:c r="J859" t="n">
        <x:v>45870</x:v>
      </x:c>
      <x:c r="K859"/>
      <x:c r="L859"/>
      <x:c r="M859" t="n">
        <x:v>-56.83</x:v>
      </x:c>
      <x:c r="N859" t="str">
        <x:v>2025-08</x:v>
      </x:c>
      <x:c r="O859" t="str">
        <x:v>Ausgabe</x:v>
      </x:c>
      <x:c r="P859" t="str">
        <x:v>Ist</x:v>
      </x:c>
      <x:c r="Q859" s="59" t="b">
        <x:v>0</x:v>
      </x:c>
      <x:c r="R859" t="str">
        <x:v>kein_transfer</x:v>
      </x:c>
      <x:c r="S859"/>
      <x:c r="T859"/>
      <x:c r="U859"/>
      <x:c r="V859" s="59" t="b">
        <x:v>1</x:v>
      </x:c>
      <x:c r="W859"/>
      <x:c r="X859" t="str">
        <x:v>offen</x:v>
      </x:c>
      <x:c r="Y859" t="str">
        <x:v>Agent-Draft; Kategorie und Person pruefen</x:v>
      </x:c>
    </x:row>
    <x:row r="860">
      <x:c r="A860" t="str">
        <x:v>TXN-RAW-IMP-20260516-FULLDRAFT-000844</x:v>
      </x:c>
      <x:c r="B860" t="str">
        <x:v>RAW-IMP-20260516-FULLDRAFT-000844</x:v>
      </x:c>
      <x:c r="C860" t="str">
        <x:v>KTO001</x:v>
      </x:c>
      <x:c r="D860"/>
      <x:c r="E860" t="str">
        <x:v>KAT013</x:v>
      </x:c>
      <x:c r="F860"/>
      <x:c r="G860"/>
      <x:c r="H860" t="str">
        <x:v>kein_match</x:v>
      </x:c>
      <x:c r="I860" t="str">
        <x:v>Agent-Draft: keine finale Regelentscheidung</x:v>
      </x:c>
      <x:c r="J860" t="n">
        <x:v>45870</x:v>
      </x:c>
      <x:c r="K860"/>
      <x:c r="L860"/>
      <x:c r="M860" t="n">
        <x:v>-452.71</x:v>
      </x:c>
      <x:c r="N860" t="str">
        <x:v>2025-08</x:v>
      </x:c>
      <x:c r="O860" t="str">
        <x:v>Ausgabe</x:v>
      </x:c>
      <x:c r="P860" t="str">
        <x:v>Ist</x:v>
      </x:c>
      <x:c r="Q860" s="59" t="b">
        <x:v>0</x:v>
      </x:c>
      <x:c r="R860" t="str">
        <x:v>kein_transfer</x:v>
      </x:c>
      <x:c r="S860"/>
      <x:c r="T860"/>
      <x:c r="U860"/>
      <x:c r="V860" s="59" t="b">
        <x:v>1</x:v>
      </x:c>
      <x:c r="W860"/>
      <x:c r="X860" t="str">
        <x:v>offen</x:v>
      </x:c>
      <x:c r="Y860" t="str">
        <x:v>Agent-Draft; Kategorie und Person pruefen</x:v>
      </x:c>
    </x:row>
    <x:row r="861">
      <x:c r="A861" t="str">
        <x:v>TXN-RAW-IMP-20260516-FULLDRAFT-000845</x:v>
      </x:c>
      <x:c r="B861" t="str">
        <x:v>RAW-IMP-20260516-FULLDRAFT-000845</x:v>
      </x:c>
      <x:c r="C861" t="str">
        <x:v>KTO001</x:v>
      </x:c>
      <x:c r="D861"/>
      <x:c r="E861" t="str">
        <x:v>KAT013</x:v>
      </x:c>
      <x:c r="F861"/>
      <x:c r="G861"/>
      <x:c r="H861" t="str">
        <x:v>kein_match</x:v>
      </x:c>
      <x:c r="I861" t="str">
        <x:v>Agent-Draft: keine finale Regelentscheidung</x:v>
      </x:c>
      <x:c r="J861" t="n">
        <x:v>45870</x:v>
      </x:c>
      <x:c r="K861"/>
      <x:c r="L861"/>
      <x:c r="M861" t="n">
        <x:v>-600</x:v>
      </x:c>
      <x:c r="N861" t="str">
        <x:v>2025-08</x:v>
      </x:c>
      <x:c r="O861" t="str">
        <x:v>Ausgabe</x:v>
      </x:c>
      <x:c r="P861" t="str">
        <x:v>Ist</x:v>
      </x:c>
      <x:c r="Q861" s="59" t="b">
        <x:v>0</x:v>
      </x:c>
      <x:c r="R861" t="str">
        <x:v>kein_transfer</x:v>
      </x:c>
      <x:c r="S861"/>
      <x:c r="T861"/>
      <x:c r="U861"/>
      <x:c r="V861" s="59" t="b">
        <x:v>1</x:v>
      </x:c>
      <x:c r="W861"/>
      <x:c r="X861" t="str">
        <x:v>offen</x:v>
      </x:c>
      <x:c r="Y861" t="str">
        <x:v>Agent-Draft; Kategorie und Person pruefen</x:v>
      </x:c>
    </x:row>
    <x:row r="862">
      <x:c r="A862" t="str">
        <x:v>TXN-RAW-IMP-20260516-FULLDRAFT-000846</x:v>
      </x:c>
      <x:c r="B862" t="str">
        <x:v>RAW-IMP-20260516-FULLDRAFT-000846</x:v>
      </x:c>
      <x:c r="C862" t="str">
        <x:v>KTO001</x:v>
      </x:c>
      <x:c r="D862"/>
      <x:c r="E862" t="str">
        <x:v>KAT013</x:v>
      </x:c>
      <x:c r="F862"/>
      <x:c r="G862"/>
      <x:c r="H862" t="str">
        <x:v>kein_match</x:v>
      </x:c>
      <x:c r="I862" t="str">
        <x:v>Agent-Draft: keine finale Regelentscheidung</x:v>
      </x:c>
      <x:c r="J862" t="n">
        <x:v>45870</x:v>
      </x:c>
      <x:c r="K862"/>
      <x:c r="L862"/>
      <x:c r="M862" t="n">
        <x:v>-162.17</x:v>
      </x:c>
      <x:c r="N862" t="str">
        <x:v>2025-08</x:v>
      </x:c>
      <x:c r="O862" t="str">
        <x:v>Ausgabe</x:v>
      </x:c>
      <x:c r="P862" t="str">
        <x:v>Ist</x:v>
      </x:c>
      <x:c r="Q862" s="59" t="b">
        <x:v>0</x:v>
      </x:c>
      <x:c r="R862" t="str">
        <x:v>kein_transfer</x:v>
      </x:c>
      <x:c r="S862"/>
      <x:c r="T862"/>
      <x:c r="U862"/>
      <x:c r="V862" s="59" t="b">
        <x:v>1</x:v>
      </x:c>
      <x:c r="W862"/>
      <x:c r="X862" t="str">
        <x:v>offen</x:v>
      </x:c>
      <x:c r="Y862" t="str">
        <x:v>Agent-Draft; Kategorie und Person pruefen</x:v>
      </x:c>
    </x:row>
    <x:row r="863">
      <x:c r="A863" t="str">
        <x:v>TXN-RAW-IMP-20260516-FULLDRAFT-000847</x:v>
      </x:c>
      <x:c r="B863" t="str">
        <x:v>RAW-IMP-20260516-FULLDRAFT-000847</x:v>
      </x:c>
      <x:c r="C863" t="str">
        <x:v>KTO001</x:v>
      </x:c>
      <x:c r="D863"/>
      <x:c r="E863" t="str">
        <x:v>KAT013</x:v>
      </x:c>
      <x:c r="F863"/>
      <x:c r="G863"/>
      <x:c r="H863" t="str">
        <x:v>kein_match</x:v>
      </x:c>
      <x:c r="I863" t="str">
        <x:v>Agent-Draft: keine finale Regelentscheidung</x:v>
      </x:c>
      <x:c r="J863" t="n">
        <x:v>45870</x:v>
      </x:c>
      <x:c r="K863"/>
      <x:c r="L863"/>
      <x:c r="M863" t="n">
        <x:v>-54</x:v>
      </x:c>
      <x:c r="N863" t="str">
        <x:v>2025-08</x:v>
      </x:c>
      <x:c r="O863" t="str">
        <x:v>Ausgabe</x:v>
      </x:c>
      <x:c r="P863" t="str">
        <x:v>Ist</x:v>
      </x:c>
      <x:c r="Q863" s="59" t="b">
        <x:v>0</x:v>
      </x:c>
      <x:c r="R863" t="str">
        <x:v>kein_transfer</x:v>
      </x:c>
      <x:c r="S863"/>
      <x:c r="T863"/>
      <x:c r="U863"/>
      <x:c r="V863" s="59" t="b">
        <x:v>1</x:v>
      </x:c>
      <x:c r="W863"/>
      <x:c r="X863" t="str">
        <x:v>offen</x:v>
      </x:c>
      <x:c r="Y863" t="str">
        <x:v>Agent-Draft; Kategorie und Person pruefen</x:v>
      </x:c>
    </x:row>
    <x:row r="864">
      <x:c r="A864" t="str">
        <x:v>TXN-RAW-IMP-20260516-FULLDRAFT-000848</x:v>
      </x:c>
      <x:c r="B864" t="str">
        <x:v>RAW-IMP-20260516-FULLDRAFT-000848</x:v>
      </x:c>
      <x:c r="C864" t="str">
        <x:v>KTO001</x:v>
      </x:c>
      <x:c r="D864"/>
      <x:c r="E864" t="str">
        <x:v>KAT013</x:v>
      </x:c>
      <x:c r="F864"/>
      <x:c r="G864"/>
      <x:c r="H864" t="str">
        <x:v>kein_match</x:v>
      </x:c>
      <x:c r="I864" t="str">
        <x:v>Agent-Draft: keine finale Regelentscheidung</x:v>
      </x:c>
      <x:c r="J864" t="n">
        <x:v>45870</x:v>
      </x:c>
      <x:c r="K864"/>
      <x:c r="L864"/>
      <x:c r="M864" t="n">
        <x:v>-68.46</x:v>
      </x:c>
      <x:c r="N864" t="str">
        <x:v>2025-08</x:v>
      </x:c>
      <x:c r="O864" t="str">
        <x:v>Ausgabe</x:v>
      </x:c>
      <x:c r="P864" t="str">
        <x:v>Ist</x:v>
      </x:c>
      <x:c r="Q864" s="59" t="b">
        <x:v>0</x:v>
      </x:c>
      <x:c r="R864" t="str">
        <x:v>kein_transfer</x:v>
      </x:c>
      <x:c r="S864"/>
      <x:c r="T864"/>
      <x:c r="U864"/>
      <x:c r="V864" s="59" t="b">
        <x:v>1</x:v>
      </x:c>
      <x:c r="W864"/>
      <x:c r="X864" t="str">
        <x:v>offen</x:v>
      </x:c>
      <x:c r="Y864" t="str">
        <x:v>Agent-Draft; Kategorie und Person pruefen</x:v>
      </x:c>
    </x:row>
    <x:row r="865">
      <x:c r="A865" t="str">
        <x:v>TXN-RAW-IMP-20260516-FULLDRAFT-000849</x:v>
      </x:c>
      <x:c r="B865" t="str">
        <x:v>RAW-IMP-20260516-FULLDRAFT-000849</x:v>
      </x:c>
      <x:c r="C865" t="str">
        <x:v>KTO001</x:v>
      </x:c>
      <x:c r="D865"/>
      <x:c r="E865" t="str">
        <x:v>KAT013</x:v>
      </x:c>
      <x:c r="F865"/>
      <x:c r="G865"/>
      <x:c r="H865" t="str">
        <x:v>kein_match</x:v>
      </x:c>
      <x:c r="I865" t="str">
        <x:v>Agent-Draft: keine finale Regelentscheidung</x:v>
      </x:c>
      <x:c r="J865" t="n">
        <x:v>45869</x:v>
      </x:c>
      <x:c r="K865"/>
      <x:c r="L865"/>
      <x:c r="M865" t="n">
        <x:v>-24.34</x:v>
      </x:c>
      <x:c r="N865" t="str">
        <x:v>2025-07</x:v>
      </x:c>
      <x:c r="O865" t="str">
        <x:v>Ausgabe</x:v>
      </x:c>
      <x:c r="P865" t="str">
        <x:v>Ist</x:v>
      </x:c>
      <x:c r="Q865" s="59" t="b">
        <x:v>0</x:v>
      </x:c>
      <x:c r="R865" t="str">
        <x:v>kein_transfer</x:v>
      </x:c>
      <x:c r="S865"/>
      <x:c r="T865"/>
      <x:c r="U865"/>
      <x:c r="V865" s="59" t="b">
        <x:v>1</x:v>
      </x:c>
      <x:c r="W865"/>
      <x:c r="X865" t="str">
        <x:v>offen</x:v>
      </x:c>
      <x:c r="Y865" t="str">
        <x:v>Agent-Draft; Kategorie und Person pruefen</x:v>
      </x:c>
    </x:row>
    <x:row r="866">
      <x:c r="A866" t="str">
        <x:v>TXN-RAW-IMP-20260516-FULLDRAFT-000850</x:v>
      </x:c>
      <x:c r="B866" t="str">
        <x:v>RAW-IMP-20260516-FULLDRAFT-000850</x:v>
      </x:c>
      <x:c r="C866" t="str">
        <x:v>KTO001</x:v>
      </x:c>
      <x:c r="D866"/>
      <x:c r="E866" t="str">
        <x:v>KAT013</x:v>
      </x:c>
      <x:c r="F866"/>
      <x:c r="G866"/>
      <x:c r="H866" t="str">
        <x:v>kein_match</x:v>
      </x:c>
      <x:c r="I866" t="str">
        <x:v>Agent-Draft: keine finale Regelentscheidung</x:v>
      </x:c>
      <x:c r="J866" t="n">
        <x:v>45869</x:v>
      </x:c>
      <x:c r="K866"/>
      <x:c r="L866"/>
      <x:c r="M866" t="n">
        <x:v>-393</x:v>
      </x:c>
      <x:c r="N866" t="str">
        <x:v>2025-07</x:v>
      </x:c>
      <x:c r="O866" t="str">
        <x:v>Ausgabe</x:v>
      </x:c>
      <x:c r="P866" t="str">
        <x:v>Ist</x:v>
      </x:c>
      <x:c r="Q866" s="59" t="b">
        <x:v>0</x:v>
      </x:c>
      <x:c r="R866" t="str">
        <x:v>kein_transfer</x:v>
      </x:c>
      <x:c r="S866"/>
      <x:c r="T866"/>
      <x:c r="U866"/>
      <x:c r="V866" s="59" t="b">
        <x:v>1</x:v>
      </x:c>
      <x:c r="W866"/>
      <x:c r="X866" t="str">
        <x:v>offen</x:v>
      </x:c>
      <x:c r="Y866" t="str">
        <x:v>Agent-Draft; Kategorie und Person pruefen</x:v>
      </x:c>
    </x:row>
    <x:row r="867">
      <x:c r="A867" t="str">
        <x:v>TXN-RAW-IMP-20260516-FULLDRAFT-000851</x:v>
      </x:c>
      <x:c r="B867" t="str">
        <x:v>RAW-IMP-20260516-FULLDRAFT-000851</x:v>
      </x:c>
      <x:c r="C867" t="str">
        <x:v>KTO001</x:v>
      </x:c>
      <x:c r="D867"/>
      <x:c r="E867" t="str">
        <x:v>KAT013</x:v>
      </x:c>
      <x:c r="F867"/>
      <x:c r="G867"/>
      <x:c r="H867" t="str">
        <x:v>kein_match</x:v>
      </x:c>
      <x:c r="I867" t="str">
        <x:v>Agent-Draft: keine finale Regelentscheidung</x:v>
      </x:c>
      <x:c r="J867" t="n">
        <x:v>45869</x:v>
      </x:c>
      <x:c r="K867"/>
      <x:c r="L867"/>
      <x:c r="M867" t="n">
        <x:v>-1153.94</x:v>
      </x:c>
      <x:c r="N867" t="str">
        <x:v>2025-07</x:v>
      </x:c>
      <x:c r="O867" t="str">
        <x:v>Ausgabe</x:v>
      </x:c>
      <x:c r="P867" t="str">
        <x:v>Ist</x:v>
      </x:c>
      <x:c r="Q867" s="59" t="b">
        <x:v>0</x:v>
      </x:c>
      <x:c r="R867" t="str">
        <x:v>kein_transfer</x:v>
      </x:c>
      <x:c r="S867"/>
      <x:c r="T867"/>
      <x:c r="U867"/>
      <x:c r="V867" s="59" t="b">
        <x:v>1</x:v>
      </x:c>
      <x:c r="W867"/>
      <x:c r="X867" t="str">
        <x:v>offen</x:v>
      </x:c>
      <x:c r="Y867" t="str">
        <x:v>Agent-Draft; Kategorie und Person pruefen</x:v>
      </x:c>
    </x:row>
    <x:row r="868">
      <x:c r="A868" t="str">
        <x:v>TXN-RAW-IMP-20260516-FULLDRAFT-000852</x:v>
      </x:c>
      <x:c r="B868" t="str">
        <x:v>RAW-IMP-20260516-FULLDRAFT-000852</x:v>
      </x:c>
      <x:c r="C868" t="str">
        <x:v>KTO001</x:v>
      </x:c>
      <x:c r="D868"/>
      <x:c r="E868" t="str">
        <x:v>KAT013</x:v>
      </x:c>
      <x:c r="F868"/>
      <x:c r="G868"/>
      <x:c r="H868" t="str">
        <x:v>kein_match</x:v>
      </x:c>
      <x:c r="I868" t="str">
        <x:v>Agent-Draft: keine finale Regelentscheidung</x:v>
      </x:c>
      <x:c r="J868" t="n">
        <x:v>45868</x:v>
      </x:c>
      <x:c r="K868"/>
      <x:c r="L868"/>
      <x:c r="M868" t="n">
        <x:v>7939.81</x:v>
      </x:c>
      <x:c r="N868" t="str">
        <x:v>2025-07</x:v>
      </x:c>
      <x:c r="O868" t="str">
        <x:v>Einnahme</x:v>
      </x:c>
      <x:c r="P868" t="str">
        <x:v>Ist</x:v>
      </x:c>
      <x:c r="Q868" s="59" t="b">
        <x:v>0</x:v>
      </x:c>
      <x:c r="R868" t="str">
        <x:v>kein_transfer</x:v>
      </x:c>
      <x:c r="S868"/>
      <x:c r="T868"/>
      <x:c r="U868"/>
      <x:c r="V868" s="59" t="b">
        <x:v>1</x:v>
      </x:c>
      <x:c r="W868"/>
      <x:c r="X868" t="str">
        <x:v>offen</x:v>
      </x:c>
      <x:c r="Y868" t="str">
        <x:v>Agent-Draft; Kategorie und Person pruefen</x:v>
      </x:c>
    </x:row>
    <x:row r="869">
      <x:c r="A869" t="str">
        <x:v>TXN-RAW-IMP-20260516-FULLDRAFT-000853</x:v>
      </x:c>
      <x:c r="B869" t="str">
        <x:v>RAW-IMP-20260516-FULLDRAFT-000853</x:v>
      </x:c>
      <x:c r="C869" t="str">
        <x:v>KTO001</x:v>
      </x:c>
      <x:c r="D869"/>
      <x:c r="E869" t="str">
        <x:v>KAT013</x:v>
      </x:c>
      <x:c r="F869"/>
      <x:c r="G869"/>
      <x:c r="H869" t="str">
        <x:v>kein_match</x:v>
      </x:c>
      <x:c r="I869" t="str">
        <x:v>Agent-Draft: keine finale Regelentscheidung</x:v>
      </x:c>
      <x:c r="J869" t="n">
        <x:v>45868</x:v>
      </x:c>
      <x:c r="K869"/>
      <x:c r="L869"/>
      <x:c r="M869" t="n">
        <x:v>-8.99</x:v>
      </x:c>
      <x:c r="N869" t="str">
        <x:v>2025-07</x:v>
      </x:c>
      <x:c r="O869" t="str">
        <x:v>Ausgabe</x:v>
      </x:c>
      <x:c r="P869" t="str">
        <x:v>Ist</x:v>
      </x:c>
      <x:c r="Q869" s="59" t="b">
        <x:v>0</x:v>
      </x:c>
      <x:c r="R869" t="str">
        <x:v>kein_transfer</x:v>
      </x:c>
      <x:c r="S869"/>
      <x:c r="T869"/>
      <x:c r="U869"/>
      <x:c r="V869" s="59" t="b">
        <x:v>1</x:v>
      </x:c>
      <x:c r="W869"/>
      <x:c r="X869" t="str">
        <x:v>offen</x:v>
      </x:c>
      <x:c r="Y869" t="str">
        <x:v>Agent-Draft; Kategorie und Person pruefen</x:v>
      </x:c>
    </x:row>
    <x:row r="870">
      <x:c r="A870" t="str">
        <x:v>TXN-RAW-IMP-20260516-FULLDRAFT-000854</x:v>
      </x:c>
      <x:c r="B870" t="str">
        <x:v>RAW-IMP-20260516-FULLDRAFT-000854</x:v>
      </x:c>
      <x:c r="C870" t="str">
        <x:v>KTO001</x:v>
      </x:c>
      <x:c r="D870"/>
      <x:c r="E870" t="str">
        <x:v>KAT013</x:v>
      </x:c>
      <x:c r="F870"/>
      <x:c r="G870"/>
      <x:c r="H870" t="str">
        <x:v>kein_match</x:v>
      </x:c>
      <x:c r="I870" t="str">
        <x:v>Agent-Draft: keine finale Regelentscheidung</x:v>
      </x:c>
      <x:c r="J870" t="n">
        <x:v>45868</x:v>
      </x:c>
      <x:c r="K870"/>
      <x:c r="L870"/>
      <x:c r="M870" t="n">
        <x:v>-10</x:v>
      </x:c>
      <x:c r="N870" t="str">
        <x:v>2025-07</x:v>
      </x:c>
      <x:c r="O870" t="str">
        <x:v>Ausgabe</x:v>
      </x:c>
      <x:c r="P870" t="str">
        <x:v>Ist</x:v>
      </x:c>
      <x:c r="Q870" s="59" t="b">
        <x:v>0</x:v>
      </x:c>
      <x:c r="R870" t="str">
        <x:v>kein_transfer</x:v>
      </x:c>
      <x:c r="S870"/>
      <x:c r="T870"/>
      <x:c r="U870"/>
      <x:c r="V870" s="59" t="b">
        <x:v>1</x:v>
      </x:c>
      <x:c r="W870"/>
      <x:c r="X870" t="str">
        <x:v>offen</x:v>
      </x:c>
      <x:c r="Y870" t="str">
        <x:v>Agent-Draft; Kategorie und Person pruefen</x:v>
      </x:c>
    </x:row>
    <x:row r="871">
      <x:c r="A871" t="str">
        <x:v>TXN-RAW-IMP-20260516-FULLDRAFT-000855</x:v>
      </x:c>
      <x:c r="B871" t="str">
        <x:v>RAW-IMP-20260516-FULLDRAFT-000855</x:v>
      </x:c>
      <x:c r="C871" t="str">
        <x:v>KTO001</x:v>
      </x:c>
      <x:c r="D871"/>
      <x:c r="E871" t="str">
        <x:v>KAT013</x:v>
      </x:c>
      <x:c r="F871"/>
      <x:c r="G871"/>
      <x:c r="H871" t="str">
        <x:v>kein_match</x:v>
      </x:c>
      <x:c r="I871" t="str">
        <x:v>Agent-Draft: keine finale Regelentscheidung</x:v>
      </x:c>
      <x:c r="J871" t="n">
        <x:v>45867</x:v>
      </x:c>
      <x:c r="K871"/>
      <x:c r="L871"/>
      <x:c r="M871" t="n">
        <x:v>-2.5</x:v>
      </x:c>
      <x:c r="N871" t="str">
        <x:v>2025-07</x:v>
      </x:c>
      <x:c r="O871" t="str">
        <x:v>Ausgabe</x:v>
      </x:c>
      <x:c r="P871" t="str">
        <x:v>Ist</x:v>
      </x:c>
      <x:c r="Q871" s="59" t="b">
        <x:v>0</x:v>
      </x:c>
      <x:c r="R871" t="str">
        <x:v>kein_transfer</x:v>
      </x:c>
      <x:c r="S871"/>
      <x:c r="T871"/>
      <x:c r="U871"/>
      <x:c r="V871" s="59" t="b">
        <x:v>1</x:v>
      </x:c>
      <x:c r="W871"/>
      <x:c r="X871" t="str">
        <x:v>offen</x:v>
      </x:c>
      <x:c r="Y871" t="str">
        <x:v>Agent-Draft; Kategorie und Person pruefen</x:v>
      </x:c>
    </x:row>
    <x:row r="872">
      <x:c r="A872" t="str">
        <x:v>TXN-RAW-IMP-20260516-FULLDRAFT-000856</x:v>
      </x:c>
      <x:c r="B872" t="str">
        <x:v>RAW-IMP-20260516-FULLDRAFT-000856</x:v>
      </x:c>
      <x:c r="C872" t="str">
        <x:v>KTO001</x:v>
      </x:c>
      <x:c r="D872"/>
      <x:c r="E872" t="str">
        <x:v>KAT013</x:v>
      </x:c>
      <x:c r="F872"/>
      <x:c r="G872"/>
      <x:c r="H872" t="str">
        <x:v>kein_match</x:v>
      </x:c>
      <x:c r="I872" t="str">
        <x:v>Agent-Draft: keine finale Regelentscheidung</x:v>
      </x:c>
      <x:c r="J872" t="n">
        <x:v>45867</x:v>
      </x:c>
      <x:c r="K872"/>
      <x:c r="L872"/>
      <x:c r="M872" t="n">
        <x:v>-34.4</x:v>
      </x:c>
      <x:c r="N872" t="str">
        <x:v>2025-07</x:v>
      </x:c>
      <x:c r="O872" t="str">
        <x:v>Ausgabe</x:v>
      </x:c>
      <x:c r="P872" t="str">
        <x:v>Ist</x:v>
      </x:c>
      <x:c r="Q872" s="59" t="b">
        <x:v>0</x:v>
      </x:c>
      <x:c r="R872" t="str">
        <x:v>kein_transfer</x:v>
      </x:c>
      <x:c r="S872"/>
      <x:c r="T872"/>
      <x:c r="U872"/>
      <x:c r="V872" s="59" t="b">
        <x:v>1</x:v>
      </x:c>
      <x:c r="W872"/>
      <x:c r="X872" t="str">
        <x:v>offen</x:v>
      </x:c>
      <x:c r="Y872" t="str">
        <x:v>Agent-Draft; Kategorie und Person pruefen</x:v>
      </x:c>
    </x:row>
    <x:row r="873">
      <x:c r="A873" t="str">
        <x:v>TXN-RAW-IMP-20260516-FULLDRAFT-000857</x:v>
      </x:c>
      <x:c r="B873" t="str">
        <x:v>RAW-IMP-20260516-FULLDRAFT-000857</x:v>
      </x:c>
      <x:c r="C873" t="str">
        <x:v>KTO001</x:v>
      </x:c>
      <x:c r="D873"/>
      <x:c r="E873" t="str">
        <x:v>KAT013</x:v>
      </x:c>
      <x:c r="F873"/>
      <x:c r="G873"/>
      <x:c r="H873" t="str">
        <x:v>kein_match</x:v>
      </x:c>
      <x:c r="I873" t="str">
        <x:v>Agent-Draft: keine finale Regelentscheidung</x:v>
      </x:c>
      <x:c r="J873" t="n">
        <x:v>45867</x:v>
      </x:c>
      <x:c r="K873"/>
      <x:c r="L873"/>
      <x:c r="M873" t="n">
        <x:v>700</x:v>
      </x:c>
      <x:c r="N873" t="str">
        <x:v>2025-07</x:v>
      </x:c>
      <x:c r="O873" t="str">
        <x:v>Einnahme</x:v>
      </x:c>
      <x:c r="P873" t="str">
        <x:v>Ist</x:v>
      </x:c>
      <x:c r="Q873" s="59" t="b">
        <x:v>0</x:v>
      </x:c>
      <x:c r="R873" t="str">
        <x:v>kein_transfer</x:v>
      </x:c>
      <x:c r="S873"/>
      <x:c r="T873"/>
      <x:c r="U873"/>
      <x:c r="V873" s="59" t="b">
        <x:v>1</x:v>
      </x:c>
      <x:c r="W873"/>
      <x:c r="X873" t="str">
        <x:v>offen</x:v>
      </x:c>
      <x:c r="Y873" t="str">
        <x:v>Agent-Draft; Kategorie und Person pruefen</x:v>
      </x:c>
    </x:row>
    <x:row r="874">
      <x:c r="A874" t="str">
        <x:v>TXN-RAW-IMP-20260516-FULLDRAFT-000858</x:v>
      </x:c>
      <x:c r="B874" t="str">
        <x:v>RAW-IMP-20260516-FULLDRAFT-000858</x:v>
      </x:c>
      <x:c r="C874" t="str">
        <x:v>KTO001</x:v>
      </x:c>
      <x:c r="D874"/>
      <x:c r="E874" t="str">
        <x:v>KAT013</x:v>
      </x:c>
      <x:c r="F874"/>
      <x:c r="G874"/>
      <x:c r="H874" t="str">
        <x:v>kein_match</x:v>
      </x:c>
      <x:c r="I874" t="str">
        <x:v>Agent-Draft: keine finale Regelentscheidung</x:v>
      </x:c>
      <x:c r="J874" t="n">
        <x:v>45866</x:v>
      </x:c>
      <x:c r="K874"/>
      <x:c r="L874"/>
      <x:c r="M874" t="n">
        <x:v>-15.39</x:v>
      </x:c>
      <x:c r="N874" t="str">
        <x:v>2025-07</x:v>
      </x:c>
      <x:c r="O874" t="str">
        <x:v>Ausgabe</x:v>
      </x:c>
      <x:c r="P874" t="str">
        <x:v>Ist</x:v>
      </x:c>
      <x:c r="Q874" s="59" t="b">
        <x:v>0</x:v>
      </x:c>
      <x:c r="R874" t="str">
        <x:v>kein_transfer</x:v>
      </x:c>
      <x:c r="S874"/>
      <x:c r="T874"/>
      <x:c r="U874"/>
      <x:c r="V874" s="59" t="b">
        <x:v>1</x:v>
      </x:c>
      <x:c r="W874"/>
      <x:c r="X874" t="str">
        <x:v>offen</x:v>
      </x:c>
      <x:c r="Y874" t="str">
        <x:v>Agent-Draft; Kategorie und Person pruefen</x:v>
      </x:c>
    </x:row>
    <x:row r="875">
      <x:c r="A875" t="str">
        <x:v>TXN-RAW-IMP-20260516-FULLDRAFT-000859</x:v>
      </x:c>
      <x:c r="B875" t="str">
        <x:v>RAW-IMP-20260516-FULLDRAFT-000859</x:v>
      </x:c>
      <x:c r="C875" t="str">
        <x:v>KTO001</x:v>
      </x:c>
      <x:c r="D875"/>
      <x:c r="E875" t="str">
        <x:v>KAT013</x:v>
      </x:c>
      <x:c r="F875"/>
      <x:c r="G875"/>
      <x:c r="H875" t="str">
        <x:v>kein_match</x:v>
      </x:c>
      <x:c r="I875" t="str">
        <x:v>Agent-Draft: keine finale Regelentscheidung</x:v>
      </x:c>
      <x:c r="J875" t="n">
        <x:v>45866</x:v>
      </x:c>
      <x:c r="K875"/>
      <x:c r="L875"/>
      <x:c r="M875" t="n">
        <x:v>-12.33</x:v>
      </x:c>
      <x:c r="N875" t="str">
        <x:v>2025-07</x:v>
      </x:c>
      <x:c r="O875" t="str">
        <x:v>Ausgabe</x:v>
      </x:c>
      <x:c r="P875" t="str">
        <x:v>Ist</x:v>
      </x:c>
      <x:c r="Q875" s="59" t="b">
        <x:v>0</x:v>
      </x:c>
      <x:c r="R875" t="str">
        <x:v>kein_transfer</x:v>
      </x:c>
      <x:c r="S875"/>
      <x:c r="T875"/>
      <x:c r="U875"/>
      <x:c r="V875" s="59" t="b">
        <x:v>1</x:v>
      </x:c>
      <x:c r="W875"/>
      <x:c r="X875" t="str">
        <x:v>offen</x:v>
      </x:c>
      <x:c r="Y875" t="str">
        <x:v>Agent-Draft; Kategorie und Person pruefen</x:v>
      </x:c>
    </x:row>
    <x:row r="876">
      <x:c r="A876" t="str">
        <x:v>TXN-RAW-IMP-20260516-FULLDRAFT-000860</x:v>
      </x:c>
      <x:c r="B876" t="str">
        <x:v>RAW-IMP-20260516-FULLDRAFT-000860</x:v>
      </x:c>
      <x:c r="C876" t="str">
        <x:v>KTO001</x:v>
      </x:c>
      <x:c r="D876"/>
      <x:c r="E876" t="str">
        <x:v>KAT013</x:v>
      </x:c>
      <x:c r="F876"/>
      <x:c r="G876"/>
      <x:c r="H876" t="str">
        <x:v>kein_match</x:v>
      </x:c>
      <x:c r="I876" t="str">
        <x:v>Agent-Draft: keine finale Regelentscheidung</x:v>
      </x:c>
      <x:c r="J876" t="n">
        <x:v>45866</x:v>
      </x:c>
      <x:c r="K876"/>
      <x:c r="L876"/>
      <x:c r="M876" t="n">
        <x:v>-40</x:v>
      </x:c>
      <x:c r="N876" t="str">
        <x:v>2025-07</x:v>
      </x:c>
      <x:c r="O876" t="str">
        <x:v>Ausgabe</x:v>
      </x:c>
      <x:c r="P876" t="str">
        <x:v>Ist</x:v>
      </x:c>
      <x:c r="Q876" s="59" t="b">
        <x:v>0</x:v>
      </x:c>
      <x:c r="R876" t="str">
        <x:v>kein_transfer</x:v>
      </x:c>
      <x:c r="S876"/>
      <x:c r="T876"/>
      <x:c r="U876"/>
      <x:c r="V876" s="59" t="b">
        <x:v>1</x:v>
      </x:c>
      <x:c r="W876"/>
      <x:c r="X876" t="str">
        <x:v>offen</x:v>
      </x:c>
      <x:c r="Y876" t="str">
        <x:v>Agent-Draft; Kategorie und Person pruefen</x:v>
      </x:c>
    </x:row>
    <x:row r="877">
      <x:c r="A877" t="str">
        <x:v>TXN-RAW-IMP-20260516-FULLDRAFT-000861</x:v>
      </x:c>
      <x:c r="B877" t="str">
        <x:v>RAW-IMP-20260516-FULLDRAFT-000861</x:v>
      </x:c>
      <x:c r="C877" t="str">
        <x:v>KTO001</x:v>
      </x:c>
      <x:c r="D877"/>
      <x:c r="E877" t="str">
        <x:v>KAT013</x:v>
      </x:c>
      <x:c r="F877"/>
      <x:c r="G877"/>
      <x:c r="H877" t="str">
        <x:v>kein_match</x:v>
      </x:c>
      <x:c r="I877" t="str">
        <x:v>Agent-Draft: keine finale Regelentscheidung</x:v>
      </x:c>
      <x:c r="J877" t="n">
        <x:v>45866</x:v>
      </x:c>
      <x:c r="K877"/>
      <x:c r="L877"/>
      <x:c r="M877" t="n">
        <x:v>-10.34</x:v>
      </x:c>
      <x:c r="N877" t="str">
        <x:v>2025-07</x:v>
      </x:c>
      <x:c r="O877" t="str">
        <x:v>Ausgabe</x:v>
      </x:c>
      <x:c r="P877" t="str">
        <x:v>Ist</x:v>
      </x:c>
      <x:c r="Q877" s="59" t="b">
        <x:v>0</x:v>
      </x:c>
      <x:c r="R877" t="str">
        <x:v>kein_transfer</x:v>
      </x:c>
      <x:c r="S877"/>
      <x:c r="T877"/>
      <x:c r="U877"/>
      <x:c r="V877" s="59" t="b">
        <x:v>1</x:v>
      </x:c>
      <x:c r="W877"/>
      <x:c r="X877" t="str">
        <x:v>offen</x:v>
      </x:c>
      <x:c r="Y877" t="str">
        <x:v>Agent-Draft; Kategorie und Person pruefen</x:v>
      </x:c>
    </x:row>
    <x:row r="878">
      <x:c r="A878" t="str">
        <x:v>TXN-RAW-IMP-20260516-FULLDRAFT-000862</x:v>
      </x:c>
      <x:c r="B878" t="str">
        <x:v>RAW-IMP-20260516-FULLDRAFT-000862</x:v>
      </x:c>
      <x:c r="C878" t="str">
        <x:v>KTO001</x:v>
      </x:c>
      <x:c r="D878"/>
      <x:c r="E878" t="str">
        <x:v>KAT013</x:v>
      </x:c>
      <x:c r="F878"/>
      <x:c r="G878"/>
      <x:c r="H878" t="str">
        <x:v>kein_match</x:v>
      </x:c>
      <x:c r="I878" t="str">
        <x:v>Agent-Draft: keine finale Regelentscheidung</x:v>
      </x:c>
      <x:c r="J878" t="n">
        <x:v>45866</x:v>
      </x:c>
      <x:c r="K878"/>
      <x:c r="L878"/>
      <x:c r="M878" t="n">
        <x:v>-2.39</x:v>
      </x:c>
      <x:c r="N878" t="str">
        <x:v>2025-07</x:v>
      </x:c>
      <x:c r="O878" t="str">
        <x:v>Ausgabe</x:v>
      </x:c>
      <x:c r="P878" t="str">
        <x:v>Ist</x:v>
      </x:c>
      <x:c r="Q878" s="59" t="b">
        <x:v>0</x:v>
      </x:c>
      <x:c r="R878" t="str">
        <x:v>kein_transfer</x:v>
      </x:c>
      <x:c r="S878"/>
      <x:c r="T878"/>
      <x:c r="U878"/>
      <x:c r="V878" s="59" t="b">
        <x:v>1</x:v>
      </x:c>
      <x:c r="W878"/>
      <x:c r="X878" t="str">
        <x:v>offen</x:v>
      </x:c>
      <x:c r="Y878" t="str">
        <x:v>Agent-Draft; Kategorie und Person pruefen</x:v>
      </x:c>
    </x:row>
    <x:row r="879">
      <x:c r="A879" t="str">
        <x:v>TXN-RAW-IMP-20260516-FULLDRAFT-000863</x:v>
      </x:c>
      <x:c r="B879" t="str">
        <x:v>RAW-IMP-20260516-FULLDRAFT-000863</x:v>
      </x:c>
      <x:c r="C879" t="str">
        <x:v>KTO001</x:v>
      </x:c>
      <x:c r="D879"/>
      <x:c r="E879" t="str">
        <x:v>KAT013</x:v>
      </x:c>
      <x:c r="F879"/>
      <x:c r="G879"/>
      <x:c r="H879" t="str">
        <x:v>kein_match</x:v>
      </x:c>
      <x:c r="I879" t="str">
        <x:v>Agent-Draft: keine finale Regelentscheidung</x:v>
      </x:c>
      <x:c r="J879" t="n">
        <x:v>45866</x:v>
      </x:c>
      <x:c r="K879"/>
      <x:c r="L879"/>
      <x:c r="M879" t="n">
        <x:v>-56.24</x:v>
      </x:c>
      <x:c r="N879" t="str">
        <x:v>2025-07</x:v>
      </x:c>
      <x:c r="O879" t="str">
        <x:v>Ausgabe</x:v>
      </x:c>
      <x:c r="P879" t="str">
        <x:v>Ist</x:v>
      </x:c>
      <x:c r="Q879" s="59" t="b">
        <x:v>0</x:v>
      </x:c>
      <x:c r="R879" t="str">
        <x:v>kein_transfer</x:v>
      </x:c>
      <x:c r="S879"/>
      <x:c r="T879"/>
      <x:c r="U879"/>
      <x:c r="V879" s="59" t="b">
        <x:v>1</x:v>
      </x:c>
      <x:c r="W879"/>
      <x:c r="X879" t="str">
        <x:v>offen</x:v>
      </x:c>
      <x:c r="Y879" t="str">
        <x:v>Agent-Draft; Kategorie und Person pruefen</x:v>
      </x:c>
    </x:row>
    <x:row r="880">
      <x:c r="A880" t="str">
        <x:v>TXN-RAW-IMP-20260516-FULLDRAFT-000864</x:v>
      </x:c>
      <x:c r="B880" t="str">
        <x:v>RAW-IMP-20260516-FULLDRAFT-000864</x:v>
      </x:c>
      <x:c r="C880" t="str">
        <x:v>KTO001</x:v>
      </x:c>
      <x:c r="D880"/>
      <x:c r="E880" t="str">
        <x:v>KAT013</x:v>
      </x:c>
      <x:c r="F880"/>
      <x:c r="G880"/>
      <x:c r="H880" t="str">
        <x:v>kein_match</x:v>
      </x:c>
      <x:c r="I880" t="str">
        <x:v>Agent-Draft: keine finale Regelentscheidung</x:v>
      </x:c>
      <x:c r="J880" t="n">
        <x:v>45866</x:v>
      </x:c>
      <x:c r="K880"/>
      <x:c r="L880"/>
      <x:c r="M880" t="n">
        <x:v>-19.68</x:v>
      </x:c>
      <x:c r="N880" t="str">
        <x:v>2025-07</x:v>
      </x:c>
      <x:c r="O880" t="str">
        <x:v>Ausgabe</x:v>
      </x:c>
      <x:c r="P880" t="str">
        <x:v>Ist</x:v>
      </x:c>
      <x:c r="Q880" s="59" t="b">
        <x:v>0</x:v>
      </x:c>
      <x:c r="R880" t="str">
        <x:v>kein_transfer</x:v>
      </x:c>
      <x:c r="S880"/>
      <x:c r="T880"/>
      <x:c r="U880"/>
      <x:c r="V880" s="59" t="b">
        <x:v>1</x:v>
      </x:c>
      <x:c r="W880"/>
      <x:c r="X880" t="str">
        <x:v>offen</x:v>
      </x:c>
      <x:c r="Y880" t="str">
        <x:v>Agent-Draft; Kategorie und Person pruefen</x:v>
      </x:c>
    </x:row>
    <x:row r="881">
      <x:c r="A881" t="str">
        <x:v>TXN-RAW-IMP-20260516-FULLDRAFT-000865</x:v>
      </x:c>
      <x:c r="B881" t="str">
        <x:v>RAW-IMP-20260516-FULLDRAFT-000865</x:v>
      </x:c>
      <x:c r="C881" t="str">
        <x:v>KTO001</x:v>
      </x:c>
      <x:c r="D881"/>
      <x:c r="E881" t="str">
        <x:v>KAT013</x:v>
      </x:c>
      <x:c r="F881"/>
      <x:c r="G881"/>
      <x:c r="H881" t="str">
        <x:v>kein_match</x:v>
      </x:c>
      <x:c r="I881" t="str">
        <x:v>Agent-Draft: keine finale Regelentscheidung</x:v>
      </x:c>
      <x:c r="J881" t="n">
        <x:v>45866</x:v>
      </x:c>
      <x:c r="K881"/>
      <x:c r="L881"/>
      <x:c r="M881" t="n">
        <x:v>-36.13</x:v>
      </x:c>
      <x:c r="N881" t="str">
        <x:v>2025-07</x:v>
      </x:c>
      <x:c r="O881" t="str">
        <x:v>Ausgabe</x:v>
      </x:c>
      <x:c r="P881" t="str">
        <x:v>Ist</x:v>
      </x:c>
      <x:c r="Q881" s="59" t="b">
        <x:v>0</x:v>
      </x:c>
      <x:c r="R881" t="str">
        <x:v>kein_transfer</x:v>
      </x:c>
      <x:c r="S881"/>
      <x:c r="T881"/>
      <x:c r="U881"/>
      <x:c r="V881" s="59" t="b">
        <x:v>1</x:v>
      </x:c>
      <x:c r="W881"/>
      <x:c r="X881" t="str">
        <x:v>offen</x:v>
      </x:c>
      <x:c r="Y881" t="str">
        <x:v>Agent-Draft; Kategorie und Person pruefen</x:v>
      </x:c>
    </x:row>
    <x:row r="882">
      <x:c r="A882" t="str">
        <x:v>TXN-RAW-IMP-20260516-FULLDRAFT-000866</x:v>
      </x:c>
      <x:c r="B882" t="str">
        <x:v>RAW-IMP-20260516-FULLDRAFT-000866</x:v>
      </x:c>
      <x:c r="C882" t="str">
        <x:v>KTO001</x:v>
      </x:c>
      <x:c r="D882"/>
      <x:c r="E882" t="str">
        <x:v>KAT013</x:v>
      </x:c>
      <x:c r="F882"/>
      <x:c r="G882"/>
      <x:c r="H882" t="str">
        <x:v>kein_match</x:v>
      </x:c>
      <x:c r="I882" t="str">
        <x:v>Agent-Draft: keine finale Regelentscheidung</x:v>
      </x:c>
      <x:c r="J882" t="n">
        <x:v>45866</x:v>
      </x:c>
      <x:c r="K882"/>
      <x:c r="L882"/>
      <x:c r="M882" t="n">
        <x:v>-2.27</x:v>
      </x:c>
      <x:c r="N882" t="str">
        <x:v>2025-07</x:v>
      </x:c>
      <x:c r="O882" t="str">
        <x:v>Ausgabe</x:v>
      </x:c>
      <x:c r="P882" t="str">
        <x:v>Ist</x:v>
      </x:c>
      <x:c r="Q882" s="59" t="b">
        <x:v>0</x:v>
      </x:c>
      <x:c r="R882" t="str">
        <x:v>kein_transfer</x:v>
      </x:c>
      <x:c r="S882"/>
      <x:c r="T882"/>
      <x:c r="U882"/>
      <x:c r="V882" s="59" t="b">
        <x:v>1</x:v>
      </x:c>
      <x:c r="W882"/>
      <x:c r="X882" t="str">
        <x:v>offen</x:v>
      </x:c>
      <x:c r="Y882" t="str">
        <x:v>Agent-Draft; Kategorie und Person pruefen</x:v>
      </x:c>
    </x:row>
    <x:row r="883">
      <x:c r="A883" t="str">
        <x:v>TXN-RAW-IMP-20260516-FULLDRAFT-000867</x:v>
      </x:c>
      <x:c r="B883" t="str">
        <x:v>RAW-IMP-20260516-FULLDRAFT-000867</x:v>
      </x:c>
      <x:c r="C883" t="str">
        <x:v>KTO001</x:v>
      </x:c>
      <x:c r="D883"/>
      <x:c r="E883" t="str">
        <x:v>KAT013</x:v>
      </x:c>
      <x:c r="F883"/>
      <x:c r="G883"/>
      <x:c r="H883" t="str">
        <x:v>kein_match</x:v>
      </x:c>
      <x:c r="I883" t="str">
        <x:v>Agent-Draft: keine finale Regelentscheidung</x:v>
      </x:c>
      <x:c r="J883" t="n">
        <x:v>45866</x:v>
      </x:c>
      <x:c r="K883"/>
      <x:c r="L883"/>
      <x:c r="M883" t="n">
        <x:v>-18.14</x:v>
      </x:c>
      <x:c r="N883" t="str">
        <x:v>2025-07</x:v>
      </x:c>
      <x:c r="O883" t="str">
        <x:v>Ausgabe</x:v>
      </x:c>
      <x:c r="P883" t="str">
        <x:v>Ist</x:v>
      </x:c>
      <x:c r="Q883" s="59" t="b">
        <x:v>0</x:v>
      </x:c>
      <x:c r="R883" t="str">
        <x:v>kein_transfer</x:v>
      </x:c>
      <x:c r="S883"/>
      <x:c r="T883"/>
      <x:c r="U883"/>
      <x:c r="V883" s="59" t="b">
        <x:v>1</x:v>
      </x:c>
      <x:c r="W883"/>
      <x:c r="X883" t="str">
        <x:v>offen</x:v>
      </x:c>
      <x:c r="Y883" t="str">
        <x:v>Agent-Draft; Kategorie und Person pruefen</x:v>
      </x:c>
    </x:row>
    <x:row r="884">
      <x:c r="A884" t="str">
        <x:v>TXN-RAW-IMP-20260516-FULLDRAFT-000868</x:v>
      </x:c>
      <x:c r="B884" t="str">
        <x:v>RAW-IMP-20260516-FULLDRAFT-000868</x:v>
      </x:c>
      <x:c r="C884" t="str">
        <x:v>KTO001</x:v>
      </x:c>
      <x:c r="D884"/>
      <x:c r="E884" t="str">
        <x:v>KAT013</x:v>
      </x:c>
      <x:c r="F884"/>
      <x:c r="G884"/>
      <x:c r="H884" t="str">
        <x:v>kein_match</x:v>
      </x:c>
      <x:c r="I884" t="str">
        <x:v>Agent-Draft: keine finale Regelentscheidung</x:v>
      </x:c>
      <x:c r="J884" t="n">
        <x:v>45863</x:v>
      </x:c>
      <x:c r="K884"/>
      <x:c r="L884"/>
      <x:c r="M884" t="n">
        <x:v>-17.98</x:v>
      </x:c>
      <x:c r="N884" t="str">
        <x:v>2025-07</x:v>
      </x:c>
      <x:c r="O884" t="str">
        <x:v>Ausgabe</x:v>
      </x:c>
      <x:c r="P884" t="str">
        <x:v>Ist</x:v>
      </x:c>
      <x:c r="Q884" s="59" t="b">
        <x:v>0</x:v>
      </x:c>
      <x:c r="R884" t="str">
        <x:v>kein_transfer</x:v>
      </x:c>
      <x:c r="S884"/>
      <x:c r="T884"/>
      <x:c r="U884"/>
      <x:c r="V884" s="59" t="b">
        <x:v>1</x:v>
      </x:c>
      <x:c r="W884"/>
      <x:c r="X884" t="str">
        <x:v>offen</x:v>
      </x:c>
      <x:c r="Y884" t="str">
        <x:v>Agent-Draft; Kategorie und Person pruefen</x:v>
      </x:c>
    </x:row>
    <x:row r="885">
      <x:c r="A885" t="str">
        <x:v>TXN-RAW-IMP-20260516-FULLDRAFT-000869</x:v>
      </x:c>
      <x:c r="B885" t="str">
        <x:v>RAW-IMP-20260516-FULLDRAFT-000869</x:v>
      </x:c>
      <x:c r="C885" t="str">
        <x:v>KTO001</x:v>
      </x:c>
      <x:c r="D885"/>
      <x:c r="E885" t="str">
        <x:v>KAT013</x:v>
      </x:c>
      <x:c r="F885"/>
      <x:c r="G885"/>
      <x:c r="H885" t="str">
        <x:v>kein_match</x:v>
      </x:c>
      <x:c r="I885" t="str">
        <x:v>Agent-Draft: keine finale Regelentscheidung</x:v>
      </x:c>
      <x:c r="J885" t="n">
        <x:v>45863</x:v>
      </x:c>
      <x:c r="K885"/>
      <x:c r="L885"/>
      <x:c r="M885" t="n">
        <x:v>-18</x:v>
      </x:c>
      <x:c r="N885" t="str">
        <x:v>2025-07</x:v>
      </x:c>
      <x:c r="O885" t="str">
        <x:v>Ausgabe</x:v>
      </x:c>
      <x:c r="P885" t="str">
        <x:v>Ist</x:v>
      </x:c>
      <x:c r="Q885" s="59" t="b">
        <x:v>0</x:v>
      </x:c>
      <x:c r="R885" t="str">
        <x:v>kein_transfer</x:v>
      </x:c>
      <x:c r="S885"/>
      <x:c r="T885"/>
      <x:c r="U885"/>
      <x:c r="V885" s="59" t="b">
        <x:v>1</x:v>
      </x:c>
      <x:c r="W885"/>
      <x:c r="X885" t="str">
        <x:v>offen</x:v>
      </x:c>
      <x:c r="Y885" t="str">
        <x:v>Agent-Draft; Kategorie und Person pruefen</x:v>
      </x:c>
    </x:row>
    <x:row r="886">
      <x:c r="A886" t="str">
        <x:v>TXN-RAW-IMP-20260516-FULLDRAFT-000870</x:v>
      </x:c>
      <x:c r="B886" t="str">
        <x:v>RAW-IMP-20260516-FULLDRAFT-000870</x:v>
      </x:c>
      <x:c r="C886" t="str">
        <x:v>KTO001</x:v>
      </x:c>
      <x:c r="D886"/>
      <x:c r="E886" t="str">
        <x:v>KAT013</x:v>
      </x:c>
      <x:c r="F886"/>
      <x:c r="G886"/>
      <x:c r="H886" t="str">
        <x:v>kein_match</x:v>
      </x:c>
      <x:c r="I886" t="str">
        <x:v>Agent-Draft: keine finale Regelentscheidung</x:v>
      </x:c>
      <x:c r="J886" t="n">
        <x:v>45863</x:v>
      </x:c>
      <x:c r="K886"/>
      <x:c r="L886"/>
      <x:c r="M886" t="n">
        <x:v>-1</x:v>
      </x:c>
      <x:c r="N886" t="str">
        <x:v>2025-07</x:v>
      </x:c>
      <x:c r="O886" t="str">
        <x:v>Ausgabe</x:v>
      </x:c>
      <x:c r="P886" t="str">
        <x:v>Ist</x:v>
      </x:c>
      <x:c r="Q886" s="59" t="b">
        <x:v>0</x:v>
      </x:c>
      <x:c r="R886" t="str">
        <x:v>kein_transfer</x:v>
      </x:c>
      <x:c r="S886"/>
      <x:c r="T886"/>
      <x:c r="U886"/>
      <x:c r="V886" s="59" t="b">
        <x:v>1</x:v>
      </x:c>
      <x:c r="W886"/>
      <x:c r="X886" t="str">
        <x:v>offen</x:v>
      </x:c>
      <x:c r="Y886" t="str">
        <x:v>Agent-Draft; Kategorie und Person pruefen</x:v>
      </x:c>
    </x:row>
    <x:row r="887">
      <x:c r="A887" t="str">
        <x:v>TXN-RAW-IMP-20260516-FULLDRAFT-000871</x:v>
      </x:c>
      <x:c r="B887" t="str">
        <x:v>RAW-IMP-20260516-FULLDRAFT-000871</x:v>
      </x:c>
      <x:c r="C887" t="str">
        <x:v>KTO001</x:v>
      </x:c>
      <x:c r="D887"/>
      <x:c r="E887" t="str">
        <x:v>KAT013</x:v>
      </x:c>
      <x:c r="F887"/>
      <x:c r="G887"/>
      <x:c r="H887" t="str">
        <x:v>kein_match</x:v>
      </x:c>
      <x:c r="I887" t="str">
        <x:v>Agent-Draft: keine finale Regelentscheidung</x:v>
      </x:c>
      <x:c r="J887" t="n">
        <x:v>45863</x:v>
      </x:c>
      <x:c r="K887"/>
      <x:c r="L887"/>
      <x:c r="M887" t="n">
        <x:v>-18.87</x:v>
      </x:c>
      <x:c r="N887" t="str">
        <x:v>2025-07</x:v>
      </x:c>
      <x:c r="O887" t="str">
        <x:v>Ausgabe</x:v>
      </x:c>
      <x:c r="P887" t="str">
        <x:v>Ist</x:v>
      </x:c>
      <x:c r="Q887" s="59" t="b">
        <x:v>0</x:v>
      </x:c>
      <x:c r="R887" t="str">
        <x:v>kein_transfer</x:v>
      </x:c>
      <x:c r="S887"/>
      <x:c r="T887"/>
      <x:c r="U887"/>
      <x:c r="V887" s="59" t="b">
        <x:v>1</x:v>
      </x:c>
      <x:c r="W887"/>
      <x:c r="X887" t="str">
        <x:v>offen</x:v>
      </x:c>
      <x:c r="Y887" t="str">
        <x:v>Agent-Draft; Kategorie und Person pruefen</x:v>
      </x:c>
    </x:row>
    <x:row r="888">
      <x:c r="A888" t="str">
        <x:v>TXN-RAW-IMP-20260516-FULLDRAFT-000872</x:v>
      </x:c>
      <x:c r="B888" t="str">
        <x:v>RAW-IMP-20260516-FULLDRAFT-000872</x:v>
      </x:c>
      <x:c r="C888" t="str">
        <x:v>KTO001</x:v>
      </x:c>
      <x:c r="D888"/>
      <x:c r="E888" t="str">
        <x:v>KAT013</x:v>
      </x:c>
      <x:c r="F888"/>
      <x:c r="G888"/>
      <x:c r="H888" t="str">
        <x:v>kein_match</x:v>
      </x:c>
      <x:c r="I888" t="str">
        <x:v>Agent-Draft: keine finale Regelentscheidung</x:v>
      </x:c>
      <x:c r="J888" t="n">
        <x:v>45863</x:v>
      </x:c>
      <x:c r="K888"/>
      <x:c r="L888"/>
      <x:c r="M888" t="n">
        <x:v>-16.1</x:v>
      </x:c>
      <x:c r="N888" t="str">
        <x:v>2025-07</x:v>
      </x:c>
      <x:c r="O888" t="str">
        <x:v>Ausgabe</x:v>
      </x:c>
      <x:c r="P888" t="str">
        <x:v>Ist</x:v>
      </x:c>
      <x:c r="Q888" s="59" t="b">
        <x:v>0</x:v>
      </x:c>
      <x:c r="R888" t="str">
        <x:v>kein_transfer</x:v>
      </x:c>
      <x:c r="S888"/>
      <x:c r="T888"/>
      <x:c r="U888"/>
      <x:c r="V888" s="59" t="b">
        <x:v>1</x:v>
      </x:c>
      <x:c r="W888"/>
      <x:c r="X888" t="str">
        <x:v>offen</x:v>
      </x:c>
      <x:c r="Y888" t="str">
        <x:v>Agent-Draft; Kategorie und Person pruefen</x:v>
      </x:c>
    </x:row>
    <x:row r="889">
      <x:c r="A889" t="str">
        <x:v>TXN-RAW-IMP-20260516-FULLDRAFT-000873</x:v>
      </x:c>
      <x:c r="B889" t="str">
        <x:v>RAW-IMP-20260516-FULLDRAFT-000873</x:v>
      </x:c>
      <x:c r="C889" t="str">
        <x:v>KTO001</x:v>
      </x:c>
      <x:c r="D889"/>
      <x:c r="E889" t="str">
        <x:v>KAT013</x:v>
      </x:c>
      <x:c r="F889"/>
      <x:c r="G889"/>
      <x:c r="H889" t="str">
        <x:v>kein_match</x:v>
      </x:c>
      <x:c r="I889" t="str">
        <x:v>Agent-Draft: keine finale Regelentscheidung</x:v>
      </x:c>
      <x:c r="J889" t="n">
        <x:v>45863</x:v>
      </x:c>
      <x:c r="K889"/>
      <x:c r="L889"/>
      <x:c r="M889" t="n">
        <x:v>-1</x:v>
      </x:c>
      <x:c r="N889" t="str">
        <x:v>2025-07</x:v>
      </x:c>
      <x:c r="O889" t="str">
        <x:v>Ausgabe</x:v>
      </x:c>
      <x:c r="P889" t="str">
        <x:v>Ist</x:v>
      </x:c>
      <x:c r="Q889" s="59" t="b">
        <x:v>0</x:v>
      </x:c>
      <x:c r="R889" t="str">
        <x:v>kein_transfer</x:v>
      </x:c>
      <x:c r="S889"/>
      <x:c r="T889"/>
      <x:c r="U889"/>
      <x:c r="V889" s="59" t="b">
        <x:v>1</x:v>
      </x:c>
      <x:c r="W889"/>
      <x:c r="X889" t="str">
        <x:v>offen</x:v>
      </x:c>
      <x:c r="Y889" t="str">
        <x:v>Agent-Draft; Kategorie und Person pruefen</x:v>
      </x:c>
    </x:row>
    <x:row r="890">
      <x:c r="A890" t="str">
        <x:v>TXN-RAW-IMP-20260516-FULLDRAFT-000874</x:v>
      </x:c>
      <x:c r="B890" t="str">
        <x:v>RAW-IMP-20260516-FULLDRAFT-000874</x:v>
      </x:c>
      <x:c r="C890" t="str">
        <x:v>KTO001</x:v>
      </x:c>
      <x:c r="D890"/>
      <x:c r="E890" t="str">
        <x:v>KAT013</x:v>
      </x:c>
      <x:c r="F890"/>
      <x:c r="G890"/>
      <x:c r="H890" t="str">
        <x:v>kein_match</x:v>
      </x:c>
      <x:c r="I890" t="str">
        <x:v>Agent-Draft: keine finale Regelentscheidung</x:v>
      </x:c>
      <x:c r="J890" t="n">
        <x:v>45863</x:v>
      </x:c>
      <x:c r="K890"/>
      <x:c r="L890"/>
      <x:c r="M890" t="n">
        <x:v>-8.3</x:v>
      </x:c>
      <x:c r="N890" t="str">
        <x:v>2025-07</x:v>
      </x:c>
      <x:c r="O890" t="str">
        <x:v>Ausgabe</x:v>
      </x:c>
      <x:c r="P890" t="str">
        <x:v>Ist</x:v>
      </x:c>
      <x:c r="Q890" s="59" t="b">
        <x:v>0</x:v>
      </x:c>
      <x:c r="R890" t="str">
        <x:v>kein_transfer</x:v>
      </x:c>
      <x:c r="S890"/>
      <x:c r="T890"/>
      <x:c r="U890"/>
      <x:c r="V890" s="59" t="b">
        <x:v>1</x:v>
      </x:c>
      <x:c r="W890"/>
      <x:c r="X890" t="str">
        <x:v>offen</x:v>
      </x:c>
      <x:c r="Y890" t="str">
        <x:v>Agent-Draft; Kategorie und Person pruefen</x:v>
      </x:c>
    </x:row>
    <x:row r="891">
      <x:c r="A891" t="str">
        <x:v>TXN-RAW-IMP-20260516-FULLDRAFT-000875</x:v>
      </x:c>
      <x:c r="B891" t="str">
        <x:v>RAW-IMP-20260516-FULLDRAFT-000875</x:v>
      </x:c>
      <x:c r="C891" t="str">
        <x:v>KTO001</x:v>
      </x:c>
      <x:c r="D891"/>
      <x:c r="E891" t="str">
        <x:v>KAT013</x:v>
      </x:c>
      <x:c r="F891"/>
      <x:c r="G891"/>
      <x:c r="H891" t="str">
        <x:v>kein_match</x:v>
      </x:c>
      <x:c r="I891" t="str">
        <x:v>Agent-Draft: keine finale Regelentscheidung</x:v>
      </x:c>
      <x:c r="J891" t="n">
        <x:v>45863</x:v>
      </x:c>
      <x:c r="K891"/>
      <x:c r="L891"/>
      <x:c r="M891" t="n">
        <x:v>187</x:v>
      </x:c>
      <x:c r="N891" t="str">
        <x:v>2025-07</x:v>
      </x:c>
      <x:c r="O891" t="str">
        <x:v>Einnahme</x:v>
      </x:c>
      <x:c r="P891" t="str">
        <x:v>Ist</x:v>
      </x:c>
      <x:c r="Q891" s="59" t="b">
        <x:v>0</x:v>
      </x:c>
      <x:c r="R891" t="str">
        <x:v>kein_transfer</x:v>
      </x:c>
      <x:c r="S891"/>
      <x:c r="T891"/>
      <x:c r="U891"/>
      <x:c r="V891" s="59" t="b">
        <x:v>1</x:v>
      </x:c>
      <x:c r="W891"/>
      <x:c r="X891" t="str">
        <x:v>offen</x:v>
      </x:c>
      <x:c r="Y891" t="str">
        <x:v>Agent-Draft; Kategorie und Person pruefen</x:v>
      </x:c>
    </x:row>
    <x:row r="892">
      <x:c r="A892" t="str">
        <x:v>TXN-RAW-IMP-20260516-FULLDRAFT-000876</x:v>
      </x:c>
      <x:c r="B892" t="str">
        <x:v>RAW-IMP-20260516-FULLDRAFT-000876</x:v>
      </x:c>
      <x:c r="C892" t="str">
        <x:v>KTO001</x:v>
      </x:c>
      <x:c r="D892"/>
      <x:c r="E892" t="str">
        <x:v>KAT013</x:v>
      </x:c>
      <x:c r="F892"/>
      <x:c r="G892"/>
      <x:c r="H892" t="str">
        <x:v>kein_match</x:v>
      </x:c>
      <x:c r="I892" t="str">
        <x:v>Agent-Draft: keine finale Regelentscheidung</x:v>
      </x:c>
      <x:c r="J892" t="n">
        <x:v>45862</x:v>
      </x:c>
      <x:c r="K892"/>
      <x:c r="L892"/>
      <x:c r="M892" t="n">
        <x:v>-187</x:v>
      </x:c>
      <x:c r="N892" t="str">
        <x:v>2025-07</x:v>
      </x:c>
      <x:c r="O892" t="str">
        <x:v>Ausgabe</x:v>
      </x:c>
      <x:c r="P892" t="str">
        <x:v>Ist</x:v>
      </x:c>
      <x:c r="Q892" s="59" t="b">
        <x:v>0</x:v>
      </x:c>
      <x:c r="R892" t="str">
        <x:v>kein_transfer</x:v>
      </x:c>
      <x:c r="S892"/>
      <x:c r="T892"/>
      <x:c r="U892"/>
      <x:c r="V892" s="59" t="b">
        <x:v>1</x:v>
      </x:c>
      <x:c r="W892"/>
      <x:c r="X892" t="str">
        <x:v>offen</x:v>
      </x:c>
      <x:c r="Y892" t="str">
        <x:v>Agent-Draft; Kategorie und Person pruefen</x:v>
      </x:c>
    </x:row>
    <x:row r="893">
      <x:c r="A893" t="str">
        <x:v>TXN-RAW-IMP-20260516-FULLDRAFT-000877</x:v>
      </x:c>
      <x:c r="B893" t="str">
        <x:v>RAW-IMP-20260516-FULLDRAFT-000877</x:v>
      </x:c>
      <x:c r="C893" t="str">
        <x:v>KTO001</x:v>
      </x:c>
      <x:c r="D893"/>
      <x:c r="E893" t="str">
        <x:v>KAT013</x:v>
      </x:c>
      <x:c r="F893"/>
      <x:c r="G893"/>
      <x:c r="H893" t="str">
        <x:v>kein_match</x:v>
      </x:c>
      <x:c r="I893" t="str">
        <x:v>Agent-Draft: keine finale Regelentscheidung</x:v>
      </x:c>
      <x:c r="J893" t="n">
        <x:v>45862</x:v>
      </x:c>
      <x:c r="K893"/>
      <x:c r="L893"/>
      <x:c r="M893" t="n">
        <x:v>-6.99</x:v>
      </x:c>
      <x:c r="N893" t="str">
        <x:v>2025-07</x:v>
      </x:c>
      <x:c r="O893" t="str">
        <x:v>Ausgabe</x:v>
      </x:c>
      <x:c r="P893" t="str">
        <x:v>Ist</x:v>
      </x:c>
      <x:c r="Q893" s="59" t="b">
        <x:v>0</x:v>
      </x:c>
      <x:c r="R893" t="str">
        <x:v>kein_transfer</x:v>
      </x:c>
      <x:c r="S893"/>
      <x:c r="T893"/>
      <x:c r="U893"/>
      <x:c r="V893" s="59" t="b">
        <x:v>1</x:v>
      </x:c>
      <x:c r="W893"/>
      <x:c r="X893" t="str">
        <x:v>offen</x:v>
      </x:c>
      <x:c r="Y893" t="str">
        <x:v>Agent-Draft; Kategorie und Person pruefen</x:v>
      </x:c>
    </x:row>
    <x:row r="894">
      <x:c r="A894" t="str">
        <x:v>TXN-RAW-IMP-20260516-FULLDRAFT-000878</x:v>
      </x:c>
      <x:c r="B894" t="str">
        <x:v>RAW-IMP-20260516-FULLDRAFT-000878</x:v>
      </x:c>
      <x:c r="C894" t="str">
        <x:v>KTO001</x:v>
      </x:c>
      <x:c r="D894"/>
      <x:c r="E894" t="str">
        <x:v>KAT013</x:v>
      </x:c>
      <x:c r="F894"/>
      <x:c r="G894"/>
      <x:c r="H894" t="str">
        <x:v>kein_match</x:v>
      </x:c>
      <x:c r="I894" t="str">
        <x:v>Agent-Draft: keine finale Regelentscheidung</x:v>
      </x:c>
      <x:c r="J894" t="n">
        <x:v>45861</x:v>
      </x:c>
      <x:c r="K894"/>
      <x:c r="L894"/>
      <x:c r="M894" t="n">
        <x:v>-21.35</x:v>
      </x:c>
      <x:c r="N894" t="str">
        <x:v>2025-07</x:v>
      </x:c>
      <x:c r="O894" t="str">
        <x:v>Ausgabe</x:v>
      </x:c>
      <x:c r="P894" t="str">
        <x:v>Ist</x:v>
      </x:c>
      <x:c r="Q894" s="59" t="b">
        <x:v>0</x:v>
      </x:c>
      <x:c r="R894" t="str">
        <x:v>kein_transfer</x:v>
      </x:c>
      <x:c r="S894"/>
      <x:c r="T894"/>
      <x:c r="U894"/>
      <x:c r="V894" s="59" t="b">
        <x:v>1</x:v>
      </x:c>
      <x:c r="W894"/>
      <x:c r="X894" t="str">
        <x:v>offen</x:v>
      </x:c>
      <x:c r="Y894" t="str">
        <x:v>Agent-Draft; Kategorie und Person pruefen</x:v>
      </x:c>
    </x:row>
    <x:row r="895">
      <x:c r="A895" t="str">
        <x:v>TXN-RAW-IMP-20260516-FULLDRAFT-000879</x:v>
      </x:c>
      <x:c r="B895" t="str">
        <x:v>RAW-IMP-20260516-FULLDRAFT-000879</x:v>
      </x:c>
      <x:c r="C895" t="str">
        <x:v>KTO001</x:v>
      </x:c>
      <x:c r="D895"/>
      <x:c r="E895" t="str">
        <x:v>KAT013</x:v>
      </x:c>
      <x:c r="F895"/>
      <x:c r="G895"/>
      <x:c r="H895" t="str">
        <x:v>kein_match</x:v>
      </x:c>
      <x:c r="I895" t="str">
        <x:v>Agent-Draft: keine finale Regelentscheidung</x:v>
      </x:c>
      <x:c r="J895" t="n">
        <x:v>45861</x:v>
      </x:c>
      <x:c r="K895"/>
      <x:c r="L895"/>
      <x:c r="M895" t="n">
        <x:v>-15</x:v>
      </x:c>
      <x:c r="N895" t="str">
        <x:v>2025-07</x:v>
      </x:c>
      <x:c r="O895" t="str">
        <x:v>Ausgabe</x:v>
      </x:c>
      <x:c r="P895" t="str">
        <x:v>Ist</x:v>
      </x:c>
      <x:c r="Q895" s="59" t="b">
        <x:v>0</x:v>
      </x:c>
      <x:c r="R895" t="str">
        <x:v>kein_transfer</x:v>
      </x:c>
      <x:c r="S895"/>
      <x:c r="T895"/>
      <x:c r="U895"/>
      <x:c r="V895" s="59" t="b">
        <x:v>1</x:v>
      </x:c>
      <x:c r="W895"/>
      <x:c r="X895" t="str">
        <x:v>offen</x:v>
      </x:c>
      <x:c r="Y895" t="str">
        <x:v>Agent-Draft; Kategorie und Person pruefen</x:v>
      </x:c>
    </x:row>
    <x:row r="896">
      <x:c r="A896" t="str">
        <x:v>TXN-RAW-IMP-20260516-FULLDRAFT-000880</x:v>
      </x:c>
      <x:c r="B896" t="str">
        <x:v>RAW-IMP-20260516-FULLDRAFT-000880</x:v>
      </x:c>
      <x:c r="C896" t="str">
        <x:v>KTO001</x:v>
      </x:c>
      <x:c r="D896"/>
      <x:c r="E896" t="str">
        <x:v>KAT013</x:v>
      </x:c>
      <x:c r="F896"/>
      <x:c r="G896"/>
      <x:c r="H896" t="str">
        <x:v>kein_match</x:v>
      </x:c>
      <x:c r="I896" t="str">
        <x:v>Agent-Draft: keine finale Regelentscheidung</x:v>
      </x:c>
      <x:c r="J896" t="n">
        <x:v>45861</x:v>
      </x:c>
      <x:c r="K896"/>
      <x:c r="L896"/>
      <x:c r="M896" t="n">
        <x:v>-95</x:v>
      </x:c>
      <x:c r="N896" t="str">
        <x:v>2025-07</x:v>
      </x:c>
      <x:c r="O896" t="str">
        <x:v>Ausgabe</x:v>
      </x:c>
      <x:c r="P896" t="str">
        <x:v>Ist</x:v>
      </x:c>
      <x:c r="Q896" s="59" t="b">
        <x:v>0</x:v>
      </x:c>
      <x:c r="R896" t="str">
        <x:v>kein_transfer</x:v>
      </x:c>
      <x:c r="S896"/>
      <x:c r="T896"/>
      <x:c r="U896"/>
      <x:c r="V896" s="59" t="b">
        <x:v>1</x:v>
      </x:c>
      <x:c r="W896"/>
      <x:c r="X896" t="str">
        <x:v>offen</x:v>
      </x:c>
      <x:c r="Y896" t="str">
        <x:v>Agent-Draft; Kategorie und Person pruefen</x:v>
      </x:c>
    </x:row>
    <x:row r="897">
      <x:c r="A897" t="str">
        <x:v>TXN-RAW-IMP-20260516-FULLDRAFT-000881</x:v>
      </x:c>
      <x:c r="B897" t="str">
        <x:v>RAW-IMP-20260516-FULLDRAFT-000881</x:v>
      </x:c>
      <x:c r="C897" t="str">
        <x:v>KTO001</x:v>
      </x:c>
      <x:c r="D897"/>
      <x:c r="E897" t="str">
        <x:v>KAT013</x:v>
      </x:c>
      <x:c r="F897"/>
      <x:c r="G897"/>
      <x:c r="H897" t="str">
        <x:v>kein_match</x:v>
      </x:c>
      <x:c r="I897" t="str">
        <x:v>Agent-Draft: keine finale Regelentscheidung</x:v>
      </x:c>
      <x:c r="J897" t="n">
        <x:v>45861</x:v>
      </x:c>
      <x:c r="K897"/>
      <x:c r="L897"/>
      <x:c r="M897" t="n">
        <x:v>-41.9</x:v>
      </x:c>
      <x:c r="N897" t="str">
        <x:v>2025-07</x:v>
      </x:c>
      <x:c r="O897" t="str">
        <x:v>Ausgabe</x:v>
      </x:c>
      <x:c r="P897" t="str">
        <x:v>Ist</x:v>
      </x:c>
      <x:c r="Q897" s="59" t="b">
        <x:v>0</x:v>
      </x:c>
      <x:c r="R897" t="str">
        <x:v>kein_transfer</x:v>
      </x:c>
      <x:c r="S897"/>
      <x:c r="T897"/>
      <x:c r="U897"/>
      <x:c r="V897" s="59" t="b">
        <x:v>1</x:v>
      </x:c>
      <x:c r="W897"/>
      <x:c r="X897" t="str">
        <x:v>offen</x:v>
      </x:c>
      <x:c r="Y897" t="str">
        <x:v>Agent-Draft; Kategorie und Person pruefen</x:v>
      </x:c>
    </x:row>
    <x:row r="898">
      <x:c r="A898" t="str">
        <x:v>TXN-RAW-IMP-20260516-FULLDRAFT-000882</x:v>
      </x:c>
      <x:c r="B898" t="str">
        <x:v>RAW-IMP-20260516-FULLDRAFT-000882</x:v>
      </x:c>
      <x:c r="C898" t="str">
        <x:v>KTO001</x:v>
      </x:c>
      <x:c r="D898"/>
      <x:c r="E898" t="str">
        <x:v>KAT013</x:v>
      </x:c>
      <x:c r="F898"/>
      <x:c r="G898"/>
      <x:c r="H898" t="str">
        <x:v>kein_match</x:v>
      </x:c>
      <x:c r="I898" t="str">
        <x:v>Agent-Draft: keine finale Regelentscheidung</x:v>
      </x:c>
      <x:c r="J898" t="n">
        <x:v>45861</x:v>
      </x:c>
      <x:c r="K898"/>
      <x:c r="L898"/>
      <x:c r="M898" t="n">
        <x:v>-6.99</x:v>
      </x:c>
      <x:c r="N898" t="str">
        <x:v>2025-07</x:v>
      </x:c>
      <x:c r="O898" t="str">
        <x:v>Ausgabe</x:v>
      </x:c>
      <x:c r="P898" t="str">
        <x:v>Ist</x:v>
      </x:c>
      <x:c r="Q898" s="59" t="b">
        <x:v>0</x:v>
      </x:c>
      <x:c r="R898" t="str">
        <x:v>kein_transfer</x:v>
      </x:c>
      <x:c r="S898"/>
      <x:c r="T898"/>
      <x:c r="U898"/>
      <x:c r="V898" s="59" t="b">
        <x:v>1</x:v>
      </x:c>
      <x:c r="W898"/>
      <x:c r="X898" t="str">
        <x:v>offen</x:v>
      </x:c>
      <x:c r="Y898" t="str">
        <x:v>Agent-Draft; Kategorie und Person pruefen</x:v>
      </x:c>
    </x:row>
    <x:row r="899">
      <x:c r="A899" t="str">
        <x:v>TXN-RAW-IMP-20260516-FULLDRAFT-000883</x:v>
      </x:c>
      <x:c r="B899" t="str">
        <x:v>RAW-IMP-20260516-FULLDRAFT-000883</x:v>
      </x:c>
      <x:c r="C899" t="str">
        <x:v>KTO001</x:v>
      </x:c>
      <x:c r="D899"/>
      <x:c r="E899" t="str">
        <x:v>KAT013</x:v>
      </x:c>
      <x:c r="F899"/>
      <x:c r="G899"/>
      <x:c r="H899" t="str">
        <x:v>kein_match</x:v>
      </x:c>
      <x:c r="I899" t="str">
        <x:v>Agent-Draft: keine finale Regelentscheidung</x:v>
      </x:c>
      <x:c r="J899" t="n">
        <x:v>45861</x:v>
      </x:c>
      <x:c r="K899"/>
      <x:c r="L899"/>
      <x:c r="M899" t="n">
        <x:v>-6.99</x:v>
      </x:c>
      <x:c r="N899" t="str">
        <x:v>2025-07</x:v>
      </x:c>
      <x:c r="O899" t="str">
        <x:v>Ausgabe</x:v>
      </x:c>
      <x:c r="P899" t="str">
        <x:v>Ist</x:v>
      </x:c>
      <x:c r="Q899" s="59" t="b">
        <x:v>0</x:v>
      </x:c>
      <x:c r="R899" t="str">
        <x:v>kein_transfer</x:v>
      </x:c>
      <x:c r="S899"/>
      <x:c r="T899"/>
      <x:c r="U899"/>
      <x:c r="V899" s="59" t="b">
        <x:v>1</x:v>
      </x:c>
      <x:c r="W899"/>
      <x:c r="X899" t="str">
        <x:v>offen</x:v>
      </x:c>
      <x:c r="Y899" t="str">
        <x:v>Agent-Draft; Kategorie und Person pruefen</x:v>
      </x:c>
    </x:row>
    <x:row r="900">
      <x:c r="A900" t="str">
        <x:v>TXN-RAW-IMP-20260516-FULLDRAFT-000884</x:v>
      </x:c>
      <x:c r="B900" t="str">
        <x:v>RAW-IMP-20260516-FULLDRAFT-000884</x:v>
      </x:c>
      <x:c r="C900" t="str">
        <x:v>KTO001</x:v>
      </x:c>
      <x:c r="D900"/>
      <x:c r="E900" t="str">
        <x:v>KAT013</x:v>
      </x:c>
      <x:c r="F900"/>
      <x:c r="G900"/>
      <x:c r="H900" t="str">
        <x:v>kein_match</x:v>
      </x:c>
      <x:c r="I900" t="str">
        <x:v>Agent-Draft: keine finale Regelentscheidung</x:v>
      </x:c>
      <x:c r="J900" t="n">
        <x:v>45860</x:v>
      </x:c>
      <x:c r="K900"/>
      <x:c r="L900"/>
      <x:c r="M900" t="n">
        <x:v>-19</x:v>
      </x:c>
      <x:c r="N900" t="str">
        <x:v>2025-07</x:v>
      </x:c>
      <x:c r="O900" t="str">
        <x:v>Ausgabe</x:v>
      </x:c>
      <x:c r="P900" t="str">
        <x:v>Ist</x:v>
      </x:c>
      <x:c r="Q900" s="59" t="b">
        <x:v>0</x:v>
      </x:c>
      <x:c r="R900" t="str">
        <x:v>kein_transfer</x:v>
      </x:c>
      <x:c r="S900"/>
      <x:c r="T900"/>
      <x:c r="U900"/>
      <x:c r="V900" s="59" t="b">
        <x:v>1</x:v>
      </x:c>
      <x:c r="W900"/>
      <x:c r="X900" t="str">
        <x:v>offen</x:v>
      </x:c>
      <x:c r="Y900" t="str">
        <x:v>Agent-Draft; Kategorie und Person pruefen</x:v>
      </x:c>
    </x:row>
    <x:row r="901">
      <x:c r="A901" t="str">
        <x:v>TXN-RAW-IMP-20260516-FULLDRAFT-000885</x:v>
      </x:c>
      <x:c r="B901" t="str">
        <x:v>RAW-IMP-20260516-FULLDRAFT-000885</x:v>
      </x:c>
      <x:c r="C901" t="str">
        <x:v>KTO001</x:v>
      </x:c>
      <x:c r="D901"/>
      <x:c r="E901" t="str">
        <x:v>KAT013</x:v>
      </x:c>
      <x:c r="F901"/>
      <x:c r="G901"/>
      <x:c r="H901" t="str">
        <x:v>kein_match</x:v>
      </x:c>
      <x:c r="I901" t="str">
        <x:v>Agent-Draft: keine finale Regelentscheidung</x:v>
      </x:c>
      <x:c r="J901" t="n">
        <x:v>45860</x:v>
      </x:c>
      <x:c r="K901"/>
      <x:c r="L901"/>
      <x:c r="M901" t="n">
        <x:v>-47.9</x:v>
      </x:c>
      <x:c r="N901" t="str">
        <x:v>2025-07</x:v>
      </x:c>
      <x:c r="O901" t="str">
        <x:v>Ausgabe</x:v>
      </x:c>
      <x:c r="P901" t="str">
        <x:v>Ist</x:v>
      </x:c>
      <x:c r="Q901" s="59" t="b">
        <x:v>0</x:v>
      </x:c>
      <x:c r="R901" t="str">
        <x:v>kein_transfer</x:v>
      </x:c>
      <x:c r="S901"/>
      <x:c r="T901"/>
      <x:c r="U901"/>
      <x:c r="V901" s="59" t="b">
        <x:v>1</x:v>
      </x:c>
      <x:c r="W901"/>
      <x:c r="X901" t="str">
        <x:v>offen</x:v>
      </x:c>
      <x:c r="Y901" t="str">
        <x:v>Agent-Draft; Kategorie und Person pruefen</x:v>
      </x:c>
    </x:row>
    <x:row r="902">
      <x:c r="A902" t="str">
        <x:v>TXN-RAW-IMP-20260516-FULLDRAFT-000886</x:v>
      </x:c>
      <x:c r="B902" t="str">
        <x:v>RAW-IMP-20260516-FULLDRAFT-000886</x:v>
      </x:c>
      <x:c r="C902" t="str">
        <x:v>KTO001</x:v>
      </x:c>
      <x:c r="D902"/>
      <x:c r="E902" t="str">
        <x:v>KAT013</x:v>
      </x:c>
      <x:c r="F902"/>
      <x:c r="G902"/>
      <x:c r="H902" t="str">
        <x:v>kein_match</x:v>
      </x:c>
      <x:c r="I902" t="str">
        <x:v>Agent-Draft: keine finale Regelentscheidung</x:v>
      </x:c>
      <x:c r="J902" t="n">
        <x:v>45860</x:v>
      </x:c>
      <x:c r="K902"/>
      <x:c r="L902"/>
      <x:c r="M902" t="n">
        <x:v>-130</x:v>
      </x:c>
      <x:c r="N902" t="str">
        <x:v>2025-07</x:v>
      </x:c>
      <x:c r="O902" t="str">
        <x:v>Ausgabe</x:v>
      </x:c>
      <x:c r="P902" t="str">
        <x:v>Ist</x:v>
      </x:c>
      <x:c r="Q902" s="59" t="b">
        <x:v>0</x:v>
      </x:c>
      <x:c r="R902" t="str">
        <x:v>kein_transfer</x:v>
      </x:c>
      <x:c r="S902"/>
      <x:c r="T902"/>
      <x:c r="U902"/>
      <x:c r="V902" s="59" t="b">
        <x:v>1</x:v>
      </x:c>
      <x:c r="W902"/>
      <x:c r="X902" t="str">
        <x:v>offen</x:v>
      </x:c>
      <x:c r="Y902" t="str">
        <x:v>Agent-Draft; Kategorie und Person pruefen</x:v>
      </x:c>
    </x:row>
    <x:row r="903">
      <x:c r="A903" t="str">
        <x:v>TXN-RAW-IMP-20260516-FULLDRAFT-000887</x:v>
      </x:c>
      <x:c r="B903" t="str">
        <x:v>RAW-IMP-20260516-FULLDRAFT-000887</x:v>
      </x:c>
      <x:c r="C903" t="str">
        <x:v>KTO001</x:v>
      </x:c>
      <x:c r="D903"/>
      <x:c r="E903" t="str">
        <x:v>KAT013</x:v>
      </x:c>
      <x:c r="F903"/>
      <x:c r="G903"/>
      <x:c r="H903" t="str">
        <x:v>kein_match</x:v>
      </x:c>
      <x:c r="I903" t="str">
        <x:v>Agent-Draft: keine finale Regelentscheidung</x:v>
      </x:c>
      <x:c r="J903" t="n">
        <x:v>45860</x:v>
      </x:c>
      <x:c r="K903"/>
      <x:c r="L903"/>
      <x:c r="M903" t="n">
        <x:v>-2.99</x:v>
      </x:c>
      <x:c r="N903" t="str">
        <x:v>2025-07</x:v>
      </x:c>
      <x:c r="O903" t="str">
        <x:v>Ausgabe</x:v>
      </x:c>
      <x:c r="P903" t="str">
        <x:v>Ist</x:v>
      </x:c>
      <x:c r="Q903" s="59" t="b">
        <x:v>0</x:v>
      </x:c>
      <x:c r="R903" t="str">
        <x:v>kein_transfer</x:v>
      </x:c>
      <x:c r="S903"/>
      <x:c r="T903"/>
      <x:c r="U903"/>
      <x:c r="V903" s="59" t="b">
        <x:v>1</x:v>
      </x:c>
      <x:c r="W903"/>
      <x:c r="X903" t="str">
        <x:v>offen</x:v>
      </x:c>
      <x:c r="Y903" t="str">
        <x:v>Agent-Draft; Kategorie und Person pruefen</x:v>
      </x:c>
    </x:row>
    <x:row r="904">
      <x:c r="A904" t="str">
        <x:v>TXN-RAW-IMP-20260516-FULLDRAFT-000888</x:v>
      </x:c>
      <x:c r="B904" t="str">
        <x:v>RAW-IMP-20260516-FULLDRAFT-000888</x:v>
      </x:c>
      <x:c r="C904" t="str">
        <x:v>KTO001</x:v>
      </x:c>
      <x:c r="D904"/>
      <x:c r="E904" t="str">
        <x:v>KAT013</x:v>
      </x:c>
      <x:c r="F904"/>
      <x:c r="G904"/>
      <x:c r="H904" t="str">
        <x:v>kein_match</x:v>
      </x:c>
      <x:c r="I904" t="str">
        <x:v>Agent-Draft: keine finale Regelentscheidung</x:v>
      </x:c>
      <x:c r="J904" t="n">
        <x:v>45860</x:v>
      </x:c>
      <x:c r="K904"/>
      <x:c r="L904"/>
      <x:c r="M904" t="n">
        <x:v>-14.6</x:v>
      </x:c>
      <x:c r="N904" t="str">
        <x:v>2025-07</x:v>
      </x:c>
      <x:c r="O904" t="str">
        <x:v>Ausgabe</x:v>
      </x:c>
      <x:c r="P904" t="str">
        <x:v>Ist</x:v>
      </x:c>
      <x:c r="Q904" s="59" t="b">
        <x:v>0</x:v>
      </x:c>
      <x:c r="R904" t="str">
        <x:v>kein_transfer</x:v>
      </x:c>
      <x:c r="S904"/>
      <x:c r="T904"/>
      <x:c r="U904"/>
      <x:c r="V904" s="59" t="b">
        <x:v>1</x:v>
      </x:c>
      <x:c r="W904"/>
      <x:c r="X904" t="str">
        <x:v>offen</x:v>
      </x:c>
      <x:c r="Y904" t="str">
        <x:v>Agent-Draft; Kategorie und Person pruefen</x:v>
      </x:c>
    </x:row>
    <x:row r="905">
      <x:c r="A905" t="str">
        <x:v>TXN-RAW-IMP-20260516-FULLDRAFT-000889</x:v>
      </x:c>
      <x:c r="B905" t="str">
        <x:v>RAW-IMP-20260516-FULLDRAFT-000889</x:v>
      </x:c>
      <x:c r="C905" t="str">
        <x:v>KTO001</x:v>
      </x:c>
      <x:c r="D905"/>
      <x:c r="E905" t="str">
        <x:v>KAT013</x:v>
      </x:c>
      <x:c r="F905"/>
      <x:c r="G905"/>
      <x:c r="H905" t="str">
        <x:v>kein_match</x:v>
      </x:c>
      <x:c r="I905" t="str">
        <x:v>Agent-Draft: keine finale Regelentscheidung</x:v>
      </x:c>
      <x:c r="J905" t="n">
        <x:v>45860</x:v>
      </x:c>
      <x:c r="K905"/>
      <x:c r="L905"/>
      <x:c r="M905" t="n">
        <x:v>1000</x:v>
      </x:c>
      <x:c r="N905" t="str">
        <x:v>2025-07</x:v>
      </x:c>
      <x:c r="O905" t="str">
        <x:v>Einnahme</x:v>
      </x:c>
      <x:c r="P905" t="str">
        <x:v>Ist</x:v>
      </x:c>
      <x:c r="Q905" s="59" t="b">
        <x:v>0</x:v>
      </x:c>
      <x:c r="R905" t="str">
        <x:v>unklar</x:v>
      </x:c>
      <x:c r="S905"/>
      <x:c r="T905"/>
      <x:c r="U905"/>
      <x:c r="V905" s="59" t="b">
        <x:v>1</x:v>
      </x:c>
      <x:c r="W905" t="str">
        <x:v>Transferkandidat im Draft</x:v>
      </x:c>
      <x:c r="X905" t="str">
        <x:v>offen</x:v>
      </x:c>
      <x:c r="Y905" t="str">
        <x:v>Agent-Draft; Kategorie und Person pruefen</x:v>
      </x:c>
    </x:row>
    <x:row r="906">
      <x:c r="A906" t="str">
        <x:v>TXN-RAW-IMP-20260516-FULLDRAFT-000890</x:v>
      </x:c>
      <x:c r="B906" t="str">
        <x:v>RAW-IMP-20260516-FULLDRAFT-000890</x:v>
      </x:c>
      <x:c r="C906" t="str">
        <x:v>KTO001</x:v>
      </x:c>
      <x:c r="D906"/>
      <x:c r="E906" t="str">
        <x:v>KAT013</x:v>
      </x:c>
      <x:c r="F906"/>
      <x:c r="G906"/>
      <x:c r="H906" t="str">
        <x:v>kein_match</x:v>
      </x:c>
      <x:c r="I906" t="str">
        <x:v>Agent-Draft: keine finale Regelentscheidung</x:v>
      </x:c>
      <x:c r="J906" t="n">
        <x:v>45859</x:v>
      </x:c>
      <x:c r="K906"/>
      <x:c r="L906"/>
      <x:c r="M906" t="n">
        <x:v>-75.39</x:v>
      </x:c>
      <x:c r="N906" t="str">
        <x:v>2025-07</x:v>
      </x:c>
      <x:c r="O906" t="str">
        <x:v>Ausgabe</x:v>
      </x:c>
      <x:c r="P906" t="str">
        <x:v>Ist</x:v>
      </x:c>
      <x:c r="Q906" s="59" t="b">
        <x:v>0</x:v>
      </x:c>
      <x:c r="R906" t="str">
        <x:v>kein_transfer</x:v>
      </x:c>
      <x:c r="S906"/>
      <x:c r="T906"/>
      <x:c r="U906"/>
      <x:c r="V906" s="59" t="b">
        <x:v>1</x:v>
      </x:c>
      <x:c r="W906"/>
      <x:c r="X906" t="str">
        <x:v>offen</x:v>
      </x:c>
      <x:c r="Y906" t="str">
        <x:v>Agent-Draft; Kategorie und Person pruefen</x:v>
      </x:c>
    </x:row>
    <x:row r="907">
      <x:c r="A907" t="str">
        <x:v>TXN-RAW-IMP-20260516-FULLDRAFT-000891</x:v>
      </x:c>
      <x:c r="B907" t="str">
        <x:v>RAW-IMP-20260516-FULLDRAFT-000891</x:v>
      </x:c>
      <x:c r="C907" t="str">
        <x:v>KTO001</x:v>
      </x:c>
      <x:c r="D907"/>
      <x:c r="E907" t="str">
        <x:v>KAT013</x:v>
      </x:c>
      <x:c r="F907"/>
      <x:c r="G907"/>
      <x:c r="H907" t="str">
        <x:v>kein_match</x:v>
      </x:c>
      <x:c r="I907" t="str">
        <x:v>Agent-Draft: keine finale Regelentscheidung</x:v>
      </x:c>
      <x:c r="J907" t="n">
        <x:v>45859</x:v>
      </x:c>
      <x:c r="K907"/>
      <x:c r="L907"/>
      <x:c r="M907" t="n">
        <x:v>-1.07</x:v>
      </x:c>
      <x:c r="N907" t="str">
        <x:v>2025-07</x:v>
      </x:c>
      <x:c r="O907" t="str">
        <x:v>Ausgabe</x:v>
      </x:c>
      <x:c r="P907" t="str">
        <x:v>Ist</x:v>
      </x:c>
      <x:c r="Q907" s="59" t="b">
        <x:v>0</x:v>
      </x:c>
      <x:c r="R907" t="str">
        <x:v>kein_transfer</x:v>
      </x:c>
      <x:c r="S907"/>
      <x:c r="T907"/>
      <x:c r="U907"/>
      <x:c r="V907" s="59" t="b">
        <x:v>1</x:v>
      </x:c>
      <x:c r="W907"/>
      <x:c r="X907" t="str">
        <x:v>offen</x:v>
      </x:c>
      <x:c r="Y907" t="str">
        <x:v>Agent-Draft; Kategorie und Person pruefen</x:v>
      </x:c>
    </x:row>
    <x:row r="908">
      <x:c r="A908" t="str">
        <x:v>TXN-RAW-IMP-20260516-FULLDRAFT-000892</x:v>
      </x:c>
      <x:c r="B908" t="str">
        <x:v>RAW-IMP-20260516-FULLDRAFT-000892</x:v>
      </x:c>
      <x:c r="C908" t="str">
        <x:v>KTO001</x:v>
      </x:c>
      <x:c r="D908"/>
      <x:c r="E908" t="str">
        <x:v>KAT013</x:v>
      </x:c>
      <x:c r="F908"/>
      <x:c r="G908"/>
      <x:c r="H908" t="str">
        <x:v>kein_match</x:v>
      </x:c>
      <x:c r="I908" t="str">
        <x:v>Agent-Draft: keine finale Regelentscheidung</x:v>
      </x:c>
      <x:c r="J908" t="n">
        <x:v>45859</x:v>
      </x:c>
      <x:c r="K908"/>
      <x:c r="L908"/>
      <x:c r="M908" t="n">
        <x:v>-26.2</x:v>
      </x:c>
      <x:c r="N908" t="str">
        <x:v>2025-07</x:v>
      </x:c>
      <x:c r="O908" t="str">
        <x:v>Ausgabe</x:v>
      </x:c>
      <x:c r="P908" t="str">
        <x:v>Ist</x:v>
      </x:c>
      <x:c r="Q908" s="59" t="b">
        <x:v>0</x:v>
      </x:c>
      <x:c r="R908" t="str">
        <x:v>kein_transfer</x:v>
      </x:c>
      <x:c r="S908"/>
      <x:c r="T908"/>
      <x:c r="U908"/>
      <x:c r="V908" s="59" t="b">
        <x:v>1</x:v>
      </x:c>
      <x:c r="W908"/>
      <x:c r="X908" t="str">
        <x:v>offen</x:v>
      </x:c>
      <x:c r="Y908" t="str">
        <x:v>Agent-Draft; Kategorie und Person pruefen</x:v>
      </x:c>
    </x:row>
    <x:row r="909">
      <x:c r="A909" t="str">
        <x:v>TXN-RAW-IMP-20260516-FULLDRAFT-000893</x:v>
      </x:c>
      <x:c r="B909" t="str">
        <x:v>RAW-IMP-20260516-FULLDRAFT-000893</x:v>
      </x:c>
      <x:c r="C909" t="str">
        <x:v>KTO001</x:v>
      </x:c>
      <x:c r="D909"/>
      <x:c r="E909" t="str">
        <x:v>KAT013</x:v>
      </x:c>
      <x:c r="F909"/>
      <x:c r="G909"/>
      <x:c r="H909" t="str">
        <x:v>kein_match</x:v>
      </x:c>
      <x:c r="I909" t="str">
        <x:v>Agent-Draft: keine finale Regelentscheidung</x:v>
      </x:c>
      <x:c r="J909" t="n">
        <x:v>45859</x:v>
      </x:c>
      <x:c r="K909"/>
      <x:c r="L909"/>
      <x:c r="M909" t="n">
        <x:v>-22.3</x:v>
      </x:c>
      <x:c r="N909" t="str">
        <x:v>2025-07</x:v>
      </x:c>
      <x:c r="O909" t="str">
        <x:v>Ausgabe</x:v>
      </x:c>
      <x:c r="P909" t="str">
        <x:v>Ist</x:v>
      </x:c>
      <x:c r="Q909" s="59" t="b">
        <x:v>0</x:v>
      </x:c>
      <x:c r="R909" t="str">
        <x:v>kein_transfer</x:v>
      </x:c>
      <x:c r="S909"/>
      <x:c r="T909"/>
      <x:c r="U909"/>
      <x:c r="V909" s="59" t="b">
        <x:v>1</x:v>
      </x:c>
      <x:c r="W909"/>
      <x:c r="X909" t="str">
        <x:v>offen</x:v>
      </x:c>
      <x:c r="Y909" t="str">
        <x:v>Agent-Draft; Kategorie und Person pruefen</x:v>
      </x:c>
    </x:row>
    <x:row r="910">
      <x:c r="A910" t="str">
        <x:v>TXN-RAW-IMP-20260516-FULLDRAFT-000894</x:v>
      </x:c>
      <x:c r="B910" t="str">
        <x:v>RAW-IMP-20260516-FULLDRAFT-000894</x:v>
      </x:c>
      <x:c r="C910" t="str">
        <x:v>KTO001</x:v>
      </x:c>
      <x:c r="D910"/>
      <x:c r="E910" t="str">
        <x:v>KAT013</x:v>
      </x:c>
      <x:c r="F910"/>
      <x:c r="G910"/>
      <x:c r="H910" t="str">
        <x:v>kein_match</x:v>
      </x:c>
      <x:c r="I910" t="str">
        <x:v>Agent-Draft: keine finale Regelentscheidung</x:v>
      </x:c>
      <x:c r="J910" t="n">
        <x:v>45859</x:v>
      </x:c>
      <x:c r="K910"/>
      <x:c r="L910"/>
      <x:c r="M910" t="n">
        <x:v>-22.3</x:v>
      </x:c>
      <x:c r="N910" t="str">
        <x:v>2025-07</x:v>
      </x:c>
      <x:c r="O910" t="str">
        <x:v>Ausgabe</x:v>
      </x:c>
      <x:c r="P910" t="str">
        <x:v>Ist</x:v>
      </x:c>
      <x:c r="Q910" s="59" t="b">
        <x:v>0</x:v>
      </x:c>
      <x:c r="R910" t="str">
        <x:v>kein_transfer</x:v>
      </x:c>
      <x:c r="S910"/>
      <x:c r="T910"/>
      <x:c r="U910"/>
      <x:c r="V910" s="59" t="b">
        <x:v>1</x:v>
      </x:c>
      <x:c r="W910"/>
      <x:c r="X910" t="str">
        <x:v>offen</x:v>
      </x:c>
      <x:c r="Y910" t="str">
        <x:v>Agent-Draft; Kategorie und Person pruefen</x:v>
      </x:c>
    </x:row>
    <x:row r="911">
      <x:c r="A911" t="str">
        <x:v>TXN-RAW-IMP-20260516-FULLDRAFT-000895</x:v>
      </x:c>
      <x:c r="B911" t="str">
        <x:v>RAW-IMP-20260516-FULLDRAFT-000895</x:v>
      </x:c>
      <x:c r="C911" t="str">
        <x:v>KTO001</x:v>
      </x:c>
      <x:c r="D911"/>
      <x:c r="E911" t="str">
        <x:v>KAT013</x:v>
      </x:c>
      <x:c r="F911"/>
      <x:c r="G911"/>
      <x:c r="H911" t="str">
        <x:v>kein_match</x:v>
      </x:c>
      <x:c r="I911" t="str">
        <x:v>Agent-Draft: keine finale Regelentscheidung</x:v>
      </x:c>
      <x:c r="J911" t="n">
        <x:v>45859</x:v>
      </x:c>
      <x:c r="K911"/>
      <x:c r="L911"/>
      <x:c r="M911" t="n">
        <x:v>-1.07</x:v>
      </x:c>
      <x:c r="N911" t="str">
        <x:v>2025-07</x:v>
      </x:c>
      <x:c r="O911" t="str">
        <x:v>Ausgabe</x:v>
      </x:c>
      <x:c r="P911" t="str">
        <x:v>Ist</x:v>
      </x:c>
      <x:c r="Q911" s="59" t="b">
        <x:v>0</x:v>
      </x:c>
      <x:c r="R911" t="str">
        <x:v>kein_transfer</x:v>
      </x:c>
      <x:c r="S911"/>
      <x:c r="T911"/>
      <x:c r="U911"/>
      <x:c r="V911" s="59" t="b">
        <x:v>1</x:v>
      </x:c>
      <x:c r="W911"/>
      <x:c r="X911" t="str">
        <x:v>offen</x:v>
      </x:c>
      <x:c r="Y911" t="str">
        <x:v>Agent-Draft; Kategorie und Person pruefen</x:v>
      </x:c>
    </x:row>
    <x:row r="912">
      <x:c r="A912" t="str">
        <x:v>TXN-RAW-IMP-20260516-FULLDRAFT-000896</x:v>
      </x:c>
      <x:c r="B912" t="str">
        <x:v>RAW-IMP-20260516-FULLDRAFT-000896</x:v>
      </x:c>
      <x:c r="C912" t="str">
        <x:v>KTO001</x:v>
      </x:c>
      <x:c r="D912"/>
      <x:c r="E912" t="str">
        <x:v>KAT013</x:v>
      </x:c>
      <x:c r="F912"/>
      <x:c r="G912"/>
      <x:c r="H912" t="str">
        <x:v>kein_match</x:v>
      </x:c>
      <x:c r="I912" t="str">
        <x:v>Agent-Draft: keine finale Regelentscheidung</x:v>
      </x:c>
      <x:c r="J912" t="n">
        <x:v>45859</x:v>
      </x:c>
      <x:c r="K912"/>
      <x:c r="L912"/>
      <x:c r="M912" t="n">
        <x:v>-4.99</x:v>
      </x:c>
      <x:c r="N912" t="str">
        <x:v>2025-07</x:v>
      </x:c>
      <x:c r="O912" t="str">
        <x:v>Ausgabe</x:v>
      </x:c>
      <x:c r="P912" t="str">
        <x:v>Ist</x:v>
      </x:c>
      <x:c r="Q912" s="59" t="b">
        <x:v>0</x:v>
      </x:c>
      <x:c r="R912" t="str">
        <x:v>kein_transfer</x:v>
      </x:c>
      <x:c r="S912"/>
      <x:c r="T912"/>
      <x:c r="U912"/>
      <x:c r="V912" s="59" t="b">
        <x:v>1</x:v>
      </x:c>
      <x:c r="W912"/>
      <x:c r="X912" t="str">
        <x:v>offen</x:v>
      </x:c>
      <x:c r="Y912" t="str">
        <x:v>Agent-Draft; Kategorie und Person pruefen</x:v>
      </x:c>
    </x:row>
    <x:row r="913">
      <x:c r="A913" t="str">
        <x:v>TXN-RAW-IMP-20260516-FULLDRAFT-000897</x:v>
      </x:c>
      <x:c r="B913" t="str">
        <x:v>RAW-IMP-20260516-FULLDRAFT-000897</x:v>
      </x:c>
      <x:c r="C913" t="str">
        <x:v>KTO001</x:v>
      </x:c>
      <x:c r="D913"/>
      <x:c r="E913" t="str">
        <x:v>KAT013</x:v>
      </x:c>
      <x:c r="F913"/>
      <x:c r="G913"/>
      <x:c r="H913" t="str">
        <x:v>kein_match</x:v>
      </x:c>
      <x:c r="I913" t="str">
        <x:v>Agent-Draft: keine finale Regelentscheidung</x:v>
      </x:c>
      <x:c r="J913" t="n">
        <x:v>45859</x:v>
      </x:c>
      <x:c r="K913"/>
      <x:c r="L913"/>
      <x:c r="M913" t="n">
        <x:v>-7.2</x:v>
      </x:c>
      <x:c r="N913" t="str">
        <x:v>2025-07</x:v>
      </x:c>
      <x:c r="O913" t="str">
        <x:v>Ausgabe</x:v>
      </x:c>
      <x:c r="P913" t="str">
        <x:v>Ist</x:v>
      </x:c>
      <x:c r="Q913" s="59" t="b">
        <x:v>0</x:v>
      </x:c>
      <x:c r="R913" t="str">
        <x:v>kein_transfer</x:v>
      </x:c>
      <x:c r="S913"/>
      <x:c r="T913"/>
      <x:c r="U913"/>
      <x:c r="V913" s="59" t="b">
        <x:v>1</x:v>
      </x:c>
      <x:c r="W913"/>
      <x:c r="X913" t="str">
        <x:v>offen</x:v>
      </x:c>
      <x:c r="Y913" t="str">
        <x:v>Agent-Draft; Kategorie und Person pruefen</x:v>
      </x:c>
    </x:row>
    <x:row r="914">
      <x:c r="A914" t="str">
        <x:v>TXN-RAW-IMP-20260516-FULLDRAFT-000898</x:v>
      </x:c>
      <x:c r="B914" t="str">
        <x:v>RAW-IMP-20260516-FULLDRAFT-000898</x:v>
      </x:c>
      <x:c r="C914" t="str">
        <x:v>KTO001</x:v>
      </x:c>
      <x:c r="D914"/>
      <x:c r="E914" t="str">
        <x:v>KAT013</x:v>
      </x:c>
      <x:c r="F914"/>
      <x:c r="G914"/>
      <x:c r="H914" t="str">
        <x:v>kein_match</x:v>
      </x:c>
      <x:c r="I914" t="str">
        <x:v>Agent-Draft: keine finale Regelentscheidung</x:v>
      </x:c>
      <x:c r="J914" t="n">
        <x:v>45859</x:v>
      </x:c>
      <x:c r="K914"/>
      <x:c r="L914"/>
      <x:c r="M914" t="n">
        <x:v>-19.71</x:v>
      </x:c>
      <x:c r="N914" t="str">
        <x:v>2025-07</x:v>
      </x:c>
      <x:c r="O914" t="str">
        <x:v>Ausgabe</x:v>
      </x:c>
      <x:c r="P914" t="str">
        <x:v>Ist</x:v>
      </x:c>
      <x:c r="Q914" s="59" t="b">
        <x:v>0</x:v>
      </x:c>
      <x:c r="R914" t="str">
        <x:v>kein_transfer</x:v>
      </x:c>
      <x:c r="S914"/>
      <x:c r="T914"/>
      <x:c r="U914"/>
      <x:c r="V914" s="59" t="b">
        <x:v>1</x:v>
      </x:c>
      <x:c r="W914"/>
      <x:c r="X914" t="str">
        <x:v>offen</x:v>
      </x:c>
      <x:c r="Y914" t="str">
        <x:v>Agent-Draft; Kategorie und Person pruefen</x:v>
      </x:c>
    </x:row>
    <x:row r="915">
      <x:c r="A915" t="str">
        <x:v>TXN-RAW-IMP-20260516-FULLDRAFT-000899</x:v>
      </x:c>
      <x:c r="B915" t="str">
        <x:v>RAW-IMP-20260516-FULLDRAFT-000899</x:v>
      </x:c>
      <x:c r="C915" t="str">
        <x:v>KTO001</x:v>
      </x:c>
      <x:c r="D915"/>
      <x:c r="E915" t="str">
        <x:v>KAT013</x:v>
      </x:c>
      <x:c r="F915"/>
      <x:c r="G915"/>
      <x:c r="H915" t="str">
        <x:v>kein_match</x:v>
      </x:c>
      <x:c r="I915" t="str">
        <x:v>Agent-Draft: keine finale Regelentscheidung</x:v>
      </x:c>
      <x:c r="J915" t="n">
        <x:v>45859</x:v>
      </x:c>
      <x:c r="K915"/>
      <x:c r="L915"/>
      <x:c r="M915" t="n">
        <x:v>-692</x:v>
      </x:c>
      <x:c r="N915" t="str">
        <x:v>2025-07</x:v>
      </x:c>
      <x:c r="O915" t="str">
        <x:v>Ausgabe</x:v>
      </x:c>
      <x:c r="P915" t="str">
        <x:v>Ist</x:v>
      </x:c>
      <x:c r="Q915" s="59" t="b">
        <x:v>0</x:v>
      </x:c>
      <x:c r="R915" t="str">
        <x:v>kein_transfer</x:v>
      </x:c>
      <x:c r="S915"/>
      <x:c r="T915"/>
      <x:c r="U915"/>
      <x:c r="V915" s="59" t="b">
        <x:v>1</x:v>
      </x:c>
      <x:c r="W915"/>
      <x:c r="X915" t="str">
        <x:v>offen</x:v>
      </x:c>
      <x:c r="Y915" t="str">
        <x:v>Agent-Draft; Kategorie und Person pruefen</x:v>
      </x:c>
    </x:row>
    <x:row r="916">
      <x:c r="A916" t="str">
        <x:v>TXN-RAW-IMP-20260516-FULLDRAFT-000900</x:v>
      </x:c>
      <x:c r="B916" t="str">
        <x:v>RAW-IMP-20260516-FULLDRAFT-000900</x:v>
      </x:c>
      <x:c r="C916" t="str">
        <x:v>KTO001</x:v>
      </x:c>
      <x:c r="D916"/>
      <x:c r="E916" t="str">
        <x:v>KAT013</x:v>
      </x:c>
      <x:c r="F916"/>
      <x:c r="G916"/>
      <x:c r="H916" t="str">
        <x:v>kein_match</x:v>
      </x:c>
      <x:c r="I916" t="str">
        <x:v>Agent-Draft: keine finale Regelentscheidung</x:v>
      </x:c>
      <x:c r="J916" t="n">
        <x:v>45859</x:v>
      </x:c>
      <x:c r="K916"/>
      <x:c r="L916"/>
      <x:c r="M916" t="n">
        <x:v>-98.51</x:v>
      </x:c>
      <x:c r="N916" t="str">
        <x:v>2025-07</x:v>
      </x:c>
      <x:c r="O916" t="str">
        <x:v>Ausgabe</x:v>
      </x:c>
      <x:c r="P916" t="str">
        <x:v>Ist</x:v>
      </x:c>
      <x:c r="Q916" s="59" t="b">
        <x:v>0</x:v>
      </x:c>
      <x:c r="R916" t="str">
        <x:v>kein_transfer</x:v>
      </x:c>
      <x:c r="S916"/>
      <x:c r="T916"/>
      <x:c r="U916"/>
      <x:c r="V916" s="59" t="b">
        <x:v>1</x:v>
      </x:c>
      <x:c r="W916"/>
      <x:c r="X916" t="str">
        <x:v>offen</x:v>
      </x:c>
      <x:c r="Y916" t="str">
        <x:v>Agent-Draft; Kategorie und Person pruefen</x:v>
      </x:c>
    </x:row>
    <x:row r="917">
      <x:c r="A917" t="str">
        <x:v>TXN-RAW-IMP-20260516-FULLDRAFT-000901</x:v>
      </x:c>
      <x:c r="B917" t="str">
        <x:v>RAW-IMP-20260516-FULLDRAFT-000901</x:v>
      </x:c>
      <x:c r="C917" t="str">
        <x:v>KTO001</x:v>
      </x:c>
      <x:c r="D917"/>
      <x:c r="E917" t="str">
        <x:v>KAT013</x:v>
      </x:c>
      <x:c r="F917"/>
      <x:c r="G917"/>
      <x:c r="H917" t="str">
        <x:v>kein_match</x:v>
      </x:c>
      <x:c r="I917" t="str">
        <x:v>Agent-Draft: keine finale Regelentscheidung</x:v>
      </x:c>
      <x:c r="J917" t="n">
        <x:v>45859</x:v>
      </x:c>
      <x:c r="K917"/>
      <x:c r="L917"/>
      <x:c r="M917" t="n">
        <x:v>-11</x:v>
      </x:c>
      <x:c r="N917" t="str">
        <x:v>2025-07</x:v>
      </x:c>
      <x:c r="O917" t="str">
        <x:v>Ausgabe</x:v>
      </x:c>
      <x:c r="P917" t="str">
        <x:v>Ist</x:v>
      </x:c>
      <x:c r="Q917" s="59" t="b">
        <x:v>0</x:v>
      </x:c>
      <x:c r="R917" t="str">
        <x:v>kein_transfer</x:v>
      </x:c>
      <x:c r="S917"/>
      <x:c r="T917"/>
      <x:c r="U917"/>
      <x:c r="V917" s="59" t="b">
        <x:v>1</x:v>
      </x:c>
      <x:c r="W917"/>
      <x:c r="X917" t="str">
        <x:v>offen</x:v>
      </x:c>
      <x:c r="Y917" t="str">
        <x:v>Agent-Draft; Kategorie und Person pruefen</x:v>
      </x:c>
    </x:row>
    <x:row r="918">
      <x:c r="A918" t="str">
        <x:v>TXN-RAW-IMP-20260516-FULLDRAFT-000902</x:v>
      </x:c>
      <x:c r="B918" t="str">
        <x:v>RAW-IMP-20260516-FULLDRAFT-000902</x:v>
      </x:c>
      <x:c r="C918" t="str">
        <x:v>KTO001</x:v>
      </x:c>
      <x:c r="D918"/>
      <x:c r="E918" t="str">
        <x:v>KAT013</x:v>
      </x:c>
      <x:c r="F918"/>
      <x:c r="G918"/>
      <x:c r="H918" t="str">
        <x:v>kein_match</x:v>
      </x:c>
      <x:c r="I918" t="str">
        <x:v>Agent-Draft: keine finale Regelentscheidung</x:v>
      </x:c>
      <x:c r="J918" t="n">
        <x:v>45859</x:v>
      </x:c>
      <x:c r="K918"/>
      <x:c r="L918"/>
      <x:c r="M918" t="n">
        <x:v>-24.66</x:v>
      </x:c>
      <x:c r="N918" t="str">
        <x:v>2025-07</x:v>
      </x:c>
      <x:c r="O918" t="str">
        <x:v>Ausgabe</x:v>
      </x:c>
      <x:c r="P918" t="str">
        <x:v>Ist</x:v>
      </x:c>
      <x:c r="Q918" s="59" t="b">
        <x:v>0</x:v>
      </x:c>
      <x:c r="R918" t="str">
        <x:v>kein_transfer</x:v>
      </x:c>
      <x:c r="S918"/>
      <x:c r="T918"/>
      <x:c r="U918"/>
      <x:c r="V918" s="59" t="b">
        <x:v>1</x:v>
      </x:c>
      <x:c r="W918"/>
      <x:c r="X918" t="str">
        <x:v>offen</x:v>
      </x:c>
      <x:c r="Y918" t="str">
        <x:v>Agent-Draft; Kategorie und Person pruefen</x:v>
      </x:c>
    </x:row>
    <x:row r="919">
      <x:c r="A919" t="str">
        <x:v>TXN-RAW-IMP-20260516-FULLDRAFT-000903</x:v>
      </x:c>
      <x:c r="B919" t="str">
        <x:v>RAW-IMP-20260516-FULLDRAFT-000903</x:v>
      </x:c>
      <x:c r="C919" t="str">
        <x:v>KTO001</x:v>
      </x:c>
      <x:c r="D919"/>
      <x:c r="E919" t="str">
        <x:v>KAT013</x:v>
      </x:c>
      <x:c r="F919"/>
      <x:c r="G919"/>
      <x:c r="H919" t="str">
        <x:v>kein_match</x:v>
      </x:c>
      <x:c r="I919" t="str">
        <x:v>Agent-Draft: keine finale Regelentscheidung</x:v>
      </x:c>
      <x:c r="J919" t="n">
        <x:v>45859</x:v>
      </x:c>
      <x:c r="K919"/>
      <x:c r="L919"/>
      <x:c r="M919" t="n">
        <x:v>-10.87</x:v>
      </x:c>
      <x:c r="N919" t="str">
        <x:v>2025-07</x:v>
      </x:c>
      <x:c r="O919" t="str">
        <x:v>Ausgabe</x:v>
      </x:c>
      <x:c r="P919" t="str">
        <x:v>Ist</x:v>
      </x:c>
      <x:c r="Q919" s="59" t="b">
        <x:v>0</x:v>
      </x:c>
      <x:c r="R919" t="str">
        <x:v>kein_transfer</x:v>
      </x:c>
      <x:c r="S919"/>
      <x:c r="T919"/>
      <x:c r="U919"/>
      <x:c r="V919" s="59" t="b">
        <x:v>1</x:v>
      </x:c>
      <x:c r="W919"/>
      <x:c r="X919" t="str">
        <x:v>offen</x:v>
      </x:c>
      <x:c r="Y919" t="str">
        <x:v>Agent-Draft; Kategorie und Person pruefen</x:v>
      </x:c>
    </x:row>
    <x:row r="920">
      <x:c r="A920" t="str">
        <x:v>TXN-RAW-IMP-20260516-FULLDRAFT-000904</x:v>
      </x:c>
      <x:c r="B920" t="str">
        <x:v>RAW-IMP-20260516-FULLDRAFT-000904</x:v>
      </x:c>
      <x:c r="C920" t="str">
        <x:v>KTO001</x:v>
      </x:c>
      <x:c r="D920"/>
      <x:c r="E920" t="str">
        <x:v>KAT013</x:v>
      </x:c>
      <x:c r="F920"/>
      <x:c r="G920"/>
      <x:c r="H920" t="str">
        <x:v>kein_match</x:v>
      </x:c>
      <x:c r="I920" t="str">
        <x:v>Agent-Draft: keine finale Regelentscheidung</x:v>
      </x:c>
      <x:c r="J920" t="n">
        <x:v>45859</x:v>
      </x:c>
      <x:c r="K920"/>
      <x:c r="L920"/>
      <x:c r="M920" t="n">
        <x:v>-145</x:v>
      </x:c>
      <x:c r="N920" t="str">
        <x:v>2025-07</x:v>
      </x:c>
      <x:c r="O920" t="str">
        <x:v>Ausgabe</x:v>
      </x:c>
      <x:c r="P920" t="str">
        <x:v>Ist</x:v>
      </x:c>
      <x:c r="Q920" s="59" t="b">
        <x:v>0</x:v>
      </x:c>
      <x:c r="R920" t="str">
        <x:v>kein_transfer</x:v>
      </x:c>
      <x:c r="S920"/>
      <x:c r="T920"/>
      <x:c r="U920"/>
      <x:c r="V920" s="59" t="b">
        <x:v>1</x:v>
      </x:c>
      <x:c r="W920"/>
      <x:c r="X920" t="str">
        <x:v>offen</x:v>
      </x:c>
      <x:c r="Y920" t="str">
        <x:v>Agent-Draft; Kategorie und Person pruefen</x:v>
      </x:c>
    </x:row>
    <x:row r="921">
      <x:c r="A921" t="str">
        <x:v>TXN-RAW-IMP-20260516-FULLDRAFT-000905</x:v>
      </x:c>
      <x:c r="B921" t="str">
        <x:v>RAW-IMP-20260516-FULLDRAFT-000905</x:v>
      </x:c>
      <x:c r="C921" t="str">
        <x:v>KTO001</x:v>
      </x:c>
      <x:c r="D921"/>
      <x:c r="E921" t="str">
        <x:v>KAT013</x:v>
      </x:c>
      <x:c r="F921"/>
      <x:c r="G921"/>
      <x:c r="H921" t="str">
        <x:v>kein_match</x:v>
      </x:c>
      <x:c r="I921" t="str">
        <x:v>Agent-Draft: keine finale Regelentscheidung</x:v>
      </x:c>
      <x:c r="J921" t="n">
        <x:v>45859</x:v>
      </x:c>
      <x:c r="K921"/>
      <x:c r="L921"/>
      <x:c r="M921" t="n">
        <x:v>-43</x:v>
      </x:c>
      <x:c r="N921" t="str">
        <x:v>2025-07</x:v>
      </x:c>
      <x:c r="O921" t="str">
        <x:v>Ausgabe</x:v>
      </x:c>
      <x:c r="P921" t="str">
        <x:v>Ist</x:v>
      </x:c>
      <x:c r="Q921" s="59" t="b">
        <x:v>0</x:v>
      </x:c>
      <x:c r="R921" t="str">
        <x:v>kein_transfer</x:v>
      </x:c>
      <x:c r="S921"/>
      <x:c r="T921"/>
      <x:c r="U921"/>
      <x:c r="V921" s="59" t="b">
        <x:v>1</x:v>
      </x:c>
      <x:c r="W921"/>
      <x:c r="X921" t="str">
        <x:v>offen</x:v>
      </x:c>
      <x:c r="Y921" t="str">
        <x:v>Agent-Draft; Kategorie und Person pruefen</x:v>
      </x:c>
    </x:row>
    <x:row r="922">
      <x:c r="A922" t="str">
        <x:v>TXN-RAW-IMP-20260516-FULLDRAFT-000906</x:v>
      </x:c>
      <x:c r="B922" t="str">
        <x:v>RAW-IMP-20260516-FULLDRAFT-000906</x:v>
      </x:c>
      <x:c r="C922" t="str">
        <x:v>KTO001</x:v>
      </x:c>
      <x:c r="D922"/>
      <x:c r="E922" t="str">
        <x:v>KAT013</x:v>
      </x:c>
      <x:c r="F922"/>
      <x:c r="G922"/>
      <x:c r="H922" t="str">
        <x:v>kein_match</x:v>
      </x:c>
      <x:c r="I922" t="str">
        <x:v>Agent-Draft: keine finale Regelentscheidung</x:v>
      </x:c>
      <x:c r="J922" t="n">
        <x:v>45859</x:v>
      </x:c>
      <x:c r="K922"/>
      <x:c r="L922"/>
      <x:c r="M922" t="n">
        <x:v>-18.85</x:v>
      </x:c>
      <x:c r="N922" t="str">
        <x:v>2025-07</x:v>
      </x:c>
      <x:c r="O922" t="str">
        <x:v>Ausgabe</x:v>
      </x:c>
      <x:c r="P922" t="str">
        <x:v>Ist</x:v>
      </x:c>
      <x:c r="Q922" s="59" t="b">
        <x:v>0</x:v>
      </x:c>
      <x:c r="R922" t="str">
        <x:v>kein_transfer</x:v>
      </x:c>
      <x:c r="S922"/>
      <x:c r="T922"/>
      <x:c r="U922"/>
      <x:c r="V922" s="59" t="b">
        <x:v>1</x:v>
      </x:c>
      <x:c r="W922"/>
      <x:c r="X922" t="str">
        <x:v>offen</x:v>
      </x:c>
      <x:c r="Y922" t="str">
        <x:v>Agent-Draft; Kategorie und Person pruefen</x:v>
      </x:c>
    </x:row>
    <x:row r="923">
      <x:c r="A923" t="str">
        <x:v>TXN-RAW-IMP-20260516-FULLDRAFT-000907</x:v>
      </x:c>
      <x:c r="B923" t="str">
        <x:v>RAW-IMP-20260516-FULLDRAFT-000907</x:v>
      </x:c>
      <x:c r="C923" t="str">
        <x:v>KTO001</x:v>
      </x:c>
      <x:c r="D923"/>
      <x:c r="E923" t="str">
        <x:v>KAT013</x:v>
      </x:c>
      <x:c r="F923"/>
      <x:c r="G923"/>
      <x:c r="H923" t="str">
        <x:v>kein_match</x:v>
      </x:c>
      <x:c r="I923" t="str">
        <x:v>Agent-Draft: keine finale Regelentscheidung</x:v>
      </x:c>
      <x:c r="J923" t="n">
        <x:v>45859</x:v>
      </x:c>
      <x:c r="K923"/>
      <x:c r="L923"/>
      <x:c r="M923" t="n">
        <x:v>-22.16</x:v>
      </x:c>
      <x:c r="N923" t="str">
        <x:v>2025-07</x:v>
      </x:c>
      <x:c r="O923" t="str">
        <x:v>Ausgabe</x:v>
      </x:c>
      <x:c r="P923" t="str">
        <x:v>Ist</x:v>
      </x:c>
      <x:c r="Q923" s="59" t="b">
        <x:v>0</x:v>
      </x:c>
      <x:c r="R923" t="str">
        <x:v>kein_transfer</x:v>
      </x:c>
      <x:c r="S923"/>
      <x:c r="T923"/>
      <x:c r="U923"/>
      <x:c r="V923" s="59" t="b">
        <x:v>1</x:v>
      </x:c>
      <x:c r="W923"/>
      <x:c r="X923" t="str">
        <x:v>offen</x:v>
      </x:c>
      <x:c r="Y923" t="str">
        <x:v>Agent-Draft; Kategorie und Person pruefen</x:v>
      </x:c>
    </x:row>
    <x:row r="924">
      <x:c r="A924" t="str">
        <x:v>TXN-RAW-IMP-20260516-FULLDRAFT-000908</x:v>
      </x:c>
      <x:c r="B924" t="str">
        <x:v>RAW-IMP-20260516-FULLDRAFT-000908</x:v>
      </x:c>
      <x:c r="C924" t="str">
        <x:v>KTO001</x:v>
      </x:c>
      <x:c r="D924"/>
      <x:c r="E924" t="str">
        <x:v>KAT013</x:v>
      </x:c>
      <x:c r="F924"/>
      <x:c r="G924"/>
      <x:c r="H924" t="str">
        <x:v>kein_match</x:v>
      </x:c>
      <x:c r="I924" t="str">
        <x:v>Agent-Draft: keine finale Regelentscheidung</x:v>
      </x:c>
      <x:c r="J924" t="n">
        <x:v>45859</x:v>
      </x:c>
      <x:c r="K924"/>
      <x:c r="L924"/>
      <x:c r="M924" t="n">
        <x:v>-31</x:v>
      </x:c>
      <x:c r="N924" t="str">
        <x:v>2025-07</x:v>
      </x:c>
      <x:c r="O924" t="str">
        <x:v>Ausgabe</x:v>
      </x:c>
      <x:c r="P924" t="str">
        <x:v>Ist</x:v>
      </x:c>
      <x:c r="Q924" s="59" t="b">
        <x:v>0</x:v>
      </x:c>
      <x:c r="R924" t="str">
        <x:v>kein_transfer</x:v>
      </x:c>
      <x:c r="S924"/>
      <x:c r="T924"/>
      <x:c r="U924"/>
      <x:c r="V924" s="59" t="b">
        <x:v>1</x:v>
      </x:c>
      <x:c r="W924"/>
      <x:c r="X924" t="str">
        <x:v>offen</x:v>
      </x:c>
      <x:c r="Y924" t="str">
        <x:v>Agent-Draft; Kategorie und Person pruefen</x:v>
      </x:c>
    </x:row>
    <x:row r="925">
      <x:c r="A925" t="str">
        <x:v>TXN-RAW-IMP-20260516-FULLDRAFT-000909</x:v>
      </x:c>
      <x:c r="B925" t="str">
        <x:v>RAW-IMP-20260516-FULLDRAFT-000909</x:v>
      </x:c>
      <x:c r="C925" t="str">
        <x:v>KTO001</x:v>
      </x:c>
      <x:c r="D925"/>
      <x:c r="E925" t="str">
        <x:v>KAT013</x:v>
      </x:c>
      <x:c r="F925"/>
      <x:c r="G925"/>
      <x:c r="H925" t="str">
        <x:v>kein_match</x:v>
      </x:c>
      <x:c r="I925" t="str">
        <x:v>Agent-Draft: keine finale Regelentscheidung</x:v>
      </x:c>
      <x:c r="J925" t="n">
        <x:v>45859</x:v>
      </x:c>
      <x:c r="K925"/>
      <x:c r="L925"/>
      <x:c r="M925" t="n">
        <x:v>-21.94</x:v>
      </x:c>
      <x:c r="N925" t="str">
        <x:v>2025-07</x:v>
      </x:c>
      <x:c r="O925" t="str">
        <x:v>Ausgabe</x:v>
      </x:c>
      <x:c r="P925" t="str">
        <x:v>Ist</x:v>
      </x:c>
      <x:c r="Q925" s="59" t="b">
        <x:v>0</x:v>
      </x:c>
      <x:c r="R925" t="str">
        <x:v>kein_transfer</x:v>
      </x:c>
      <x:c r="S925"/>
      <x:c r="T925"/>
      <x:c r="U925"/>
      <x:c r="V925" s="59" t="b">
        <x:v>1</x:v>
      </x:c>
      <x:c r="W925"/>
      <x:c r="X925" t="str">
        <x:v>offen</x:v>
      </x:c>
      <x:c r="Y925" t="str">
        <x:v>Agent-Draft; Kategorie und Person pruefen</x:v>
      </x:c>
    </x:row>
    <x:row r="926">
      <x:c r="A926" t="str">
        <x:v>TXN-RAW-IMP-20260516-FULLDRAFT-000910</x:v>
      </x:c>
      <x:c r="B926" t="str">
        <x:v>RAW-IMP-20260516-FULLDRAFT-000910</x:v>
      </x:c>
      <x:c r="C926" t="str">
        <x:v>KTO001</x:v>
      </x:c>
      <x:c r="D926"/>
      <x:c r="E926" t="str">
        <x:v>KAT013</x:v>
      </x:c>
      <x:c r="F926"/>
      <x:c r="G926"/>
      <x:c r="H926" t="str">
        <x:v>kein_match</x:v>
      </x:c>
      <x:c r="I926" t="str">
        <x:v>Agent-Draft: keine finale Regelentscheidung</x:v>
      </x:c>
      <x:c r="J926" t="n">
        <x:v>45859</x:v>
      </x:c>
      <x:c r="K926"/>
      <x:c r="L926"/>
      <x:c r="M926" t="n">
        <x:v>-12.88</x:v>
      </x:c>
      <x:c r="N926" t="str">
        <x:v>2025-07</x:v>
      </x:c>
      <x:c r="O926" t="str">
        <x:v>Ausgabe</x:v>
      </x:c>
      <x:c r="P926" t="str">
        <x:v>Ist</x:v>
      </x:c>
      <x:c r="Q926" s="59" t="b">
        <x:v>0</x:v>
      </x:c>
      <x:c r="R926" t="str">
        <x:v>kein_transfer</x:v>
      </x:c>
      <x:c r="S926"/>
      <x:c r="T926"/>
      <x:c r="U926"/>
      <x:c r="V926" s="59" t="b">
        <x:v>1</x:v>
      </x:c>
      <x:c r="W926"/>
      <x:c r="X926" t="str">
        <x:v>offen</x:v>
      </x:c>
      <x:c r="Y926" t="str">
        <x:v>Agent-Draft; Kategorie und Person pruefen</x:v>
      </x:c>
    </x:row>
    <x:row r="927">
      <x:c r="A927" t="str">
        <x:v>TXN-RAW-IMP-20260516-FULLDRAFT-000911</x:v>
      </x:c>
      <x:c r="B927" t="str">
        <x:v>RAW-IMP-20260516-FULLDRAFT-000911</x:v>
      </x:c>
      <x:c r="C927" t="str">
        <x:v>KTO001</x:v>
      </x:c>
      <x:c r="D927"/>
      <x:c r="E927" t="str">
        <x:v>KAT013</x:v>
      </x:c>
      <x:c r="F927"/>
      <x:c r="G927"/>
      <x:c r="H927" t="str">
        <x:v>kein_match</x:v>
      </x:c>
      <x:c r="I927" t="str">
        <x:v>Agent-Draft: keine finale Regelentscheidung</x:v>
      </x:c>
      <x:c r="J927" t="n">
        <x:v>45859</x:v>
      </x:c>
      <x:c r="K927"/>
      <x:c r="L927"/>
      <x:c r="M927" t="n">
        <x:v>-11.2</x:v>
      </x:c>
      <x:c r="N927" t="str">
        <x:v>2025-07</x:v>
      </x:c>
      <x:c r="O927" t="str">
        <x:v>Ausgabe</x:v>
      </x:c>
      <x:c r="P927" t="str">
        <x:v>Ist</x:v>
      </x:c>
      <x:c r="Q927" s="59" t="b">
        <x:v>0</x:v>
      </x:c>
      <x:c r="R927" t="str">
        <x:v>kein_transfer</x:v>
      </x:c>
      <x:c r="S927"/>
      <x:c r="T927"/>
      <x:c r="U927"/>
      <x:c r="V927" s="59" t="b">
        <x:v>1</x:v>
      </x:c>
      <x:c r="W927"/>
      <x:c r="X927" t="str">
        <x:v>offen</x:v>
      </x:c>
      <x:c r="Y927" t="str">
        <x:v>Agent-Draft; Kategorie und Person pruefen</x:v>
      </x:c>
    </x:row>
    <x:row r="928">
      <x:c r="A928" t="str">
        <x:v>TXN-RAW-IMP-20260516-FULLDRAFT-000912</x:v>
      </x:c>
      <x:c r="B928" t="str">
        <x:v>RAW-IMP-20260516-FULLDRAFT-000912</x:v>
      </x:c>
      <x:c r="C928" t="str">
        <x:v>KTO001</x:v>
      </x:c>
      <x:c r="D928"/>
      <x:c r="E928" t="str">
        <x:v>KAT013</x:v>
      </x:c>
      <x:c r="F928"/>
      <x:c r="G928"/>
      <x:c r="H928" t="str">
        <x:v>kein_match</x:v>
      </x:c>
      <x:c r="I928" t="str">
        <x:v>Agent-Draft: keine finale Regelentscheidung</x:v>
      </x:c>
      <x:c r="J928" t="n">
        <x:v>45859</x:v>
      </x:c>
      <x:c r="K928"/>
      <x:c r="L928"/>
      <x:c r="M928" t="n">
        <x:v>-12.54</x:v>
      </x:c>
      <x:c r="N928" t="str">
        <x:v>2025-07</x:v>
      </x:c>
      <x:c r="O928" t="str">
        <x:v>Ausgabe</x:v>
      </x:c>
      <x:c r="P928" t="str">
        <x:v>Ist</x:v>
      </x:c>
      <x:c r="Q928" s="59" t="b">
        <x:v>0</x:v>
      </x:c>
      <x:c r="R928" t="str">
        <x:v>kein_transfer</x:v>
      </x:c>
      <x:c r="S928"/>
      <x:c r="T928"/>
      <x:c r="U928"/>
      <x:c r="V928" s="59" t="b">
        <x:v>1</x:v>
      </x:c>
      <x:c r="W928"/>
      <x:c r="X928" t="str">
        <x:v>offen</x:v>
      </x:c>
      <x:c r="Y928" t="str">
        <x:v>Agent-Draft; Kategorie und Person pruefen</x:v>
      </x:c>
    </x:row>
    <x:row r="929">
      <x:c r="A929" t="str">
        <x:v>TXN-RAW-IMP-20260516-FULLDRAFT-000913</x:v>
      </x:c>
      <x:c r="B929" t="str">
        <x:v>RAW-IMP-20260516-FULLDRAFT-000913</x:v>
      </x:c>
      <x:c r="C929" t="str">
        <x:v>KTO001</x:v>
      </x:c>
      <x:c r="D929"/>
      <x:c r="E929" t="str">
        <x:v>KAT013</x:v>
      </x:c>
      <x:c r="F929"/>
      <x:c r="G929"/>
      <x:c r="H929" t="str">
        <x:v>kein_match</x:v>
      </x:c>
      <x:c r="I929" t="str">
        <x:v>Agent-Draft: keine finale Regelentscheidung</x:v>
      </x:c>
      <x:c r="J929" t="n">
        <x:v>45859</x:v>
      </x:c>
      <x:c r="K929"/>
      <x:c r="L929"/>
      <x:c r="M929" t="n">
        <x:v>-16.46</x:v>
      </x:c>
      <x:c r="N929" t="str">
        <x:v>2025-07</x:v>
      </x:c>
      <x:c r="O929" t="str">
        <x:v>Ausgabe</x:v>
      </x:c>
      <x:c r="P929" t="str">
        <x:v>Ist</x:v>
      </x:c>
      <x:c r="Q929" s="59" t="b">
        <x:v>0</x:v>
      </x:c>
      <x:c r="R929" t="str">
        <x:v>kein_transfer</x:v>
      </x:c>
      <x:c r="S929"/>
      <x:c r="T929"/>
      <x:c r="U929"/>
      <x:c r="V929" s="59" t="b">
        <x:v>1</x:v>
      </x:c>
      <x:c r="W929"/>
      <x:c r="X929" t="str">
        <x:v>offen</x:v>
      </x:c>
      <x:c r="Y929" t="str">
        <x:v>Agent-Draft; Kategorie und Person pruefen</x:v>
      </x:c>
    </x:row>
    <x:row r="930">
      <x:c r="A930" t="str">
        <x:v>TXN-RAW-IMP-20260516-FULLDRAFT-000914</x:v>
      </x:c>
      <x:c r="B930" t="str">
        <x:v>RAW-IMP-20260516-FULLDRAFT-000914</x:v>
      </x:c>
      <x:c r="C930" t="str">
        <x:v>KTO001</x:v>
      </x:c>
      <x:c r="D930"/>
      <x:c r="E930" t="str">
        <x:v>KAT013</x:v>
      </x:c>
      <x:c r="F930"/>
      <x:c r="G930"/>
      <x:c r="H930" t="str">
        <x:v>kein_match</x:v>
      </x:c>
      <x:c r="I930" t="str">
        <x:v>Agent-Draft: keine finale Regelentscheidung</x:v>
      </x:c>
      <x:c r="J930" t="n">
        <x:v>45859</x:v>
      </x:c>
      <x:c r="K930"/>
      <x:c r="L930"/>
      <x:c r="M930" t="n">
        <x:v>-18.14</x:v>
      </x:c>
      <x:c r="N930" t="str">
        <x:v>2025-07</x:v>
      </x:c>
      <x:c r="O930" t="str">
        <x:v>Ausgabe</x:v>
      </x:c>
      <x:c r="P930" t="str">
        <x:v>Ist</x:v>
      </x:c>
      <x:c r="Q930" s="59" t="b">
        <x:v>0</x:v>
      </x:c>
      <x:c r="R930" t="str">
        <x:v>kein_transfer</x:v>
      </x:c>
      <x:c r="S930"/>
      <x:c r="T930"/>
      <x:c r="U930"/>
      <x:c r="V930" s="59" t="b">
        <x:v>1</x:v>
      </x:c>
      <x:c r="W930"/>
      <x:c r="X930" t="str">
        <x:v>offen</x:v>
      </x:c>
      <x:c r="Y930" t="str">
        <x:v>Agent-Draft; Kategorie und Person pruefen</x:v>
      </x:c>
    </x:row>
    <x:row r="931">
      <x:c r="A931" t="str">
        <x:v>TXN-RAW-IMP-20260516-FULLDRAFT-000915</x:v>
      </x:c>
      <x:c r="B931" t="str">
        <x:v>RAW-IMP-20260516-FULLDRAFT-000915</x:v>
      </x:c>
      <x:c r="C931" t="str">
        <x:v>KTO001</x:v>
      </x:c>
      <x:c r="D931"/>
      <x:c r="E931" t="str">
        <x:v>KAT013</x:v>
      </x:c>
      <x:c r="F931"/>
      <x:c r="G931"/>
      <x:c r="H931" t="str">
        <x:v>kein_match</x:v>
      </x:c>
      <x:c r="I931" t="str">
        <x:v>Agent-Draft: keine finale Regelentscheidung</x:v>
      </x:c>
      <x:c r="J931" t="n">
        <x:v>45856</x:v>
      </x:c>
      <x:c r="K931"/>
      <x:c r="L931"/>
      <x:c r="M931" t="n">
        <x:v>-105</x:v>
      </x:c>
      <x:c r="N931" t="str">
        <x:v>2025-07</x:v>
      </x:c>
      <x:c r="O931" t="str">
        <x:v>Ausgabe</x:v>
      </x:c>
      <x:c r="P931" t="str">
        <x:v>Ist</x:v>
      </x:c>
      <x:c r="Q931" s="59" t="b">
        <x:v>0</x:v>
      </x:c>
      <x:c r="R931" t="str">
        <x:v>kein_transfer</x:v>
      </x:c>
      <x:c r="S931"/>
      <x:c r="T931"/>
      <x:c r="U931"/>
      <x:c r="V931" s="59" t="b">
        <x:v>1</x:v>
      </x:c>
      <x:c r="W931"/>
      <x:c r="X931" t="str">
        <x:v>offen</x:v>
      </x:c>
      <x:c r="Y931" t="str">
        <x:v>Agent-Draft; Kategorie und Person pruefen</x:v>
      </x:c>
    </x:row>
    <x:row r="932">
      <x:c r="A932" t="str">
        <x:v>TXN-RAW-IMP-20260516-FULLDRAFT-000916</x:v>
      </x:c>
      <x:c r="B932" t="str">
        <x:v>RAW-IMP-20260516-FULLDRAFT-000916</x:v>
      </x:c>
      <x:c r="C932" t="str">
        <x:v>KTO001</x:v>
      </x:c>
      <x:c r="D932"/>
      <x:c r="E932" t="str">
        <x:v>KAT013</x:v>
      </x:c>
      <x:c r="F932"/>
      <x:c r="G932"/>
      <x:c r="H932" t="str">
        <x:v>kein_match</x:v>
      </x:c>
      <x:c r="I932" t="str">
        <x:v>Agent-Draft: keine finale Regelentscheidung</x:v>
      </x:c>
      <x:c r="J932" t="n">
        <x:v>45856</x:v>
      </x:c>
      <x:c r="K932"/>
      <x:c r="L932"/>
      <x:c r="M932" t="n">
        <x:v>-34.99</x:v>
      </x:c>
      <x:c r="N932" t="str">
        <x:v>2025-07</x:v>
      </x:c>
      <x:c r="O932" t="str">
        <x:v>Ausgabe</x:v>
      </x:c>
      <x:c r="P932" t="str">
        <x:v>Ist</x:v>
      </x:c>
      <x:c r="Q932" s="59" t="b">
        <x:v>0</x:v>
      </x:c>
      <x:c r="R932" t="str">
        <x:v>kein_transfer</x:v>
      </x:c>
      <x:c r="S932"/>
      <x:c r="T932"/>
      <x:c r="U932"/>
      <x:c r="V932" s="59" t="b">
        <x:v>1</x:v>
      </x:c>
      <x:c r="W932"/>
      <x:c r="X932" t="str">
        <x:v>offen</x:v>
      </x:c>
      <x:c r="Y932" t="str">
        <x:v>Agent-Draft; Kategorie und Person pruefen</x:v>
      </x:c>
    </x:row>
    <x:row r="933">
      <x:c r="A933" t="str">
        <x:v>TXN-RAW-IMP-20260516-FULLDRAFT-000917</x:v>
      </x:c>
      <x:c r="B933" t="str">
        <x:v>RAW-IMP-20260516-FULLDRAFT-000917</x:v>
      </x:c>
      <x:c r="C933" t="str">
        <x:v>KTO001</x:v>
      </x:c>
      <x:c r="D933"/>
      <x:c r="E933" t="str">
        <x:v>KAT013</x:v>
      </x:c>
      <x:c r="F933"/>
      <x:c r="G933"/>
      <x:c r="H933" t="str">
        <x:v>kein_match</x:v>
      </x:c>
      <x:c r="I933" t="str">
        <x:v>Agent-Draft: keine finale Regelentscheidung</x:v>
      </x:c>
      <x:c r="J933" t="n">
        <x:v>45856</x:v>
      </x:c>
      <x:c r="K933"/>
      <x:c r="L933"/>
      <x:c r="M933" t="n">
        <x:v>-15.32</x:v>
      </x:c>
      <x:c r="N933" t="str">
        <x:v>2025-07</x:v>
      </x:c>
      <x:c r="O933" t="str">
        <x:v>Ausgabe</x:v>
      </x:c>
      <x:c r="P933" t="str">
        <x:v>Ist</x:v>
      </x:c>
      <x:c r="Q933" s="59" t="b">
        <x:v>0</x:v>
      </x:c>
      <x:c r="R933" t="str">
        <x:v>kein_transfer</x:v>
      </x:c>
      <x:c r="S933"/>
      <x:c r="T933"/>
      <x:c r="U933"/>
      <x:c r="V933" s="59" t="b">
        <x:v>1</x:v>
      </x:c>
      <x:c r="W933"/>
      <x:c r="X933" t="str">
        <x:v>offen</x:v>
      </x:c>
      <x:c r="Y933" t="str">
        <x:v>Agent-Draft; Kategorie und Person pruefen</x:v>
      </x:c>
    </x:row>
    <x:row r="934">
      <x:c r="A934" t="str">
        <x:v>TXN-RAW-IMP-20260516-FULLDRAFT-000918</x:v>
      </x:c>
      <x:c r="B934" t="str">
        <x:v>RAW-IMP-20260516-FULLDRAFT-000918</x:v>
      </x:c>
      <x:c r="C934" t="str">
        <x:v>KTO001</x:v>
      </x:c>
      <x:c r="D934"/>
      <x:c r="E934" t="str">
        <x:v>KAT013</x:v>
      </x:c>
      <x:c r="F934"/>
      <x:c r="G934"/>
      <x:c r="H934" t="str">
        <x:v>kein_match</x:v>
      </x:c>
      <x:c r="I934" t="str">
        <x:v>Agent-Draft: keine finale Regelentscheidung</x:v>
      </x:c>
      <x:c r="J934" t="n">
        <x:v>45856</x:v>
      </x:c>
      <x:c r="K934"/>
      <x:c r="L934"/>
      <x:c r="M934" t="n">
        <x:v>-15.04</x:v>
      </x:c>
      <x:c r="N934" t="str">
        <x:v>2025-07</x:v>
      </x:c>
      <x:c r="O934" t="str">
        <x:v>Ausgabe</x:v>
      </x:c>
      <x:c r="P934" t="str">
        <x:v>Ist</x:v>
      </x:c>
      <x:c r="Q934" s="59" t="b">
        <x:v>0</x:v>
      </x:c>
      <x:c r="R934" t="str">
        <x:v>kein_transfer</x:v>
      </x:c>
      <x:c r="S934"/>
      <x:c r="T934"/>
      <x:c r="U934"/>
      <x:c r="V934" s="59" t="b">
        <x:v>1</x:v>
      </x:c>
      <x:c r="W934"/>
      <x:c r="X934" t="str">
        <x:v>offen</x:v>
      </x:c>
      <x:c r="Y934" t="str">
        <x:v>Agent-Draft; Kategorie und Person pruefen</x:v>
      </x:c>
    </x:row>
    <x:row r="935">
      <x:c r="A935" t="str">
        <x:v>TXN-RAW-IMP-20260516-FULLDRAFT-000919</x:v>
      </x:c>
      <x:c r="B935" t="str">
        <x:v>RAW-IMP-20260516-FULLDRAFT-000919</x:v>
      </x:c>
      <x:c r="C935" t="str">
        <x:v>KTO001</x:v>
      </x:c>
      <x:c r="D935"/>
      <x:c r="E935" t="str">
        <x:v>KAT013</x:v>
      </x:c>
      <x:c r="F935"/>
      <x:c r="G935"/>
      <x:c r="H935" t="str">
        <x:v>kein_match</x:v>
      </x:c>
      <x:c r="I935" t="str">
        <x:v>Agent-Draft: keine finale Regelentscheidung</x:v>
      </x:c>
      <x:c r="J935" t="n">
        <x:v>45856</x:v>
      </x:c>
      <x:c r="K935"/>
      <x:c r="L935"/>
      <x:c r="M935" t="n">
        <x:v>-5.5</x:v>
      </x:c>
      <x:c r="N935" t="str">
        <x:v>2025-07</x:v>
      </x:c>
      <x:c r="O935" t="str">
        <x:v>Ausgabe</x:v>
      </x:c>
      <x:c r="P935" t="str">
        <x:v>Ist</x:v>
      </x:c>
      <x:c r="Q935" s="59" t="b">
        <x:v>0</x:v>
      </x:c>
      <x:c r="R935" t="str">
        <x:v>kein_transfer</x:v>
      </x:c>
      <x:c r="S935"/>
      <x:c r="T935"/>
      <x:c r="U935"/>
      <x:c r="V935" s="59" t="b">
        <x:v>1</x:v>
      </x:c>
      <x:c r="W935"/>
      <x:c r="X935" t="str">
        <x:v>offen</x:v>
      </x:c>
      <x:c r="Y935" t="str">
        <x:v>Agent-Draft; Kategorie und Person pruefen</x:v>
      </x:c>
    </x:row>
    <x:row r="936">
      <x:c r="A936" t="str">
        <x:v>TXN-RAW-IMP-20260516-FULLDRAFT-000920</x:v>
      </x:c>
      <x:c r="B936" t="str">
        <x:v>RAW-IMP-20260516-FULLDRAFT-000920</x:v>
      </x:c>
      <x:c r="C936" t="str">
        <x:v>KTO001</x:v>
      </x:c>
      <x:c r="D936"/>
      <x:c r="E936" t="str">
        <x:v>KAT013</x:v>
      </x:c>
      <x:c r="F936"/>
      <x:c r="G936"/>
      <x:c r="H936" t="str">
        <x:v>kein_match</x:v>
      </x:c>
      <x:c r="I936" t="str">
        <x:v>Agent-Draft: keine finale Regelentscheidung</x:v>
      </x:c>
      <x:c r="J936" t="n">
        <x:v>45855</x:v>
      </x:c>
      <x:c r="K936"/>
      <x:c r="L936"/>
      <x:c r="M936" t="n">
        <x:v>-61.19</x:v>
      </x:c>
      <x:c r="N936" t="str">
        <x:v>2025-07</x:v>
      </x:c>
      <x:c r="O936" t="str">
        <x:v>Ausgabe</x:v>
      </x:c>
      <x:c r="P936" t="str">
        <x:v>Ist</x:v>
      </x:c>
      <x:c r="Q936" s="59" t="b">
        <x:v>0</x:v>
      </x:c>
      <x:c r="R936" t="str">
        <x:v>kein_transfer</x:v>
      </x:c>
      <x:c r="S936"/>
      <x:c r="T936"/>
      <x:c r="U936"/>
      <x:c r="V936" s="59" t="b">
        <x:v>1</x:v>
      </x:c>
      <x:c r="W936"/>
      <x:c r="X936" t="str">
        <x:v>offen</x:v>
      </x:c>
      <x:c r="Y936" t="str">
        <x:v>Agent-Draft; Kategorie und Person pruefen</x:v>
      </x:c>
    </x:row>
    <x:row r="937">
      <x:c r="A937" t="str">
        <x:v>TXN-RAW-IMP-20260516-FULLDRAFT-000921</x:v>
      </x:c>
      <x:c r="B937" t="str">
        <x:v>RAW-IMP-20260516-FULLDRAFT-000921</x:v>
      </x:c>
      <x:c r="C937" t="str">
        <x:v>KTO001</x:v>
      </x:c>
      <x:c r="D937"/>
      <x:c r="E937" t="str">
        <x:v>KAT013</x:v>
      </x:c>
      <x:c r="F937"/>
      <x:c r="G937"/>
      <x:c r="H937" t="str">
        <x:v>kein_match</x:v>
      </x:c>
      <x:c r="I937" t="str">
        <x:v>Agent-Draft: keine finale Regelentscheidung</x:v>
      </x:c>
      <x:c r="J937" t="n">
        <x:v>45855</x:v>
      </x:c>
      <x:c r="K937"/>
      <x:c r="L937"/>
      <x:c r="M937" t="n">
        <x:v>-2.15</x:v>
      </x:c>
      <x:c r="N937" t="str">
        <x:v>2025-07</x:v>
      </x:c>
      <x:c r="O937" t="str">
        <x:v>Ausgabe</x:v>
      </x:c>
      <x:c r="P937" t="str">
        <x:v>Ist</x:v>
      </x:c>
      <x:c r="Q937" s="59" t="b">
        <x:v>0</x:v>
      </x:c>
      <x:c r="R937" t="str">
        <x:v>kein_transfer</x:v>
      </x:c>
      <x:c r="S937"/>
      <x:c r="T937"/>
      <x:c r="U937"/>
      <x:c r="V937" s="59" t="b">
        <x:v>1</x:v>
      </x:c>
      <x:c r="W937"/>
      <x:c r="X937" t="str">
        <x:v>offen</x:v>
      </x:c>
      <x:c r="Y937" t="str">
        <x:v>Agent-Draft; Kategorie und Person pruefen</x:v>
      </x:c>
    </x:row>
    <x:row r="938">
      <x:c r="A938" t="str">
        <x:v>TXN-RAW-IMP-20260516-FULLDRAFT-000922</x:v>
      </x:c>
      <x:c r="B938" t="str">
        <x:v>RAW-IMP-20260516-FULLDRAFT-000922</x:v>
      </x:c>
      <x:c r="C938" t="str">
        <x:v>KTO001</x:v>
      </x:c>
      <x:c r="D938"/>
      <x:c r="E938" t="str">
        <x:v>KAT013</x:v>
      </x:c>
      <x:c r="F938"/>
      <x:c r="G938"/>
      <x:c r="H938" t="str">
        <x:v>kein_match</x:v>
      </x:c>
      <x:c r="I938" t="str">
        <x:v>Agent-Draft: keine finale Regelentscheidung</x:v>
      </x:c>
      <x:c r="J938" t="n">
        <x:v>45854</x:v>
      </x:c>
      <x:c r="K938"/>
      <x:c r="L938"/>
      <x:c r="M938" t="n">
        <x:v>-105</x:v>
      </x:c>
      <x:c r="N938" t="str">
        <x:v>2025-07</x:v>
      </x:c>
      <x:c r="O938" t="str">
        <x:v>Ausgabe</x:v>
      </x:c>
      <x:c r="P938" t="str">
        <x:v>Ist</x:v>
      </x:c>
      <x:c r="Q938" s="59" t="b">
        <x:v>0</x:v>
      </x:c>
      <x:c r="R938" t="str">
        <x:v>kein_transfer</x:v>
      </x:c>
      <x:c r="S938"/>
      <x:c r="T938"/>
      <x:c r="U938"/>
      <x:c r="V938" s="59" t="b">
        <x:v>1</x:v>
      </x:c>
      <x:c r="W938"/>
      <x:c r="X938" t="str">
        <x:v>offen</x:v>
      </x:c>
      <x:c r="Y938" t="str">
        <x:v>Agent-Draft; Kategorie und Person pruefen</x:v>
      </x:c>
    </x:row>
    <x:row r="939">
      <x:c r="A939" t="str">
        <x:v>TXN-RAW-IMP-20260516-FULLDRAFT-000923</x:v>
      </x:c>
      <x:c r="B939" t="str">
        <x:v>RAW-IMP-20260516-FULLDRAFT-000923</x:v>
      </x:c>
      <x:c r="C939" t="str">
        <x:v>KTO001</x:v>
      </x:c>
      <x:c r="D939"/>
      <x:c r="E939" t="str">
        <x:v>KAT013</x:v>
      </x:c>
      <x:c r="F939"/>
      <x:c r="G939"/>
      <x:c r="H939" t="str">
        <x:v>kein_match</x:v>
      </x:c>
      <x:c r="I939" t="str">
        <x:v>Agent-Draft: keine finale Regelentscheidung</x:v>
      </x:c>
      <x:c r="J939" t="n">
        <x:v>45854</x:v>
      </x:c>
      <x:c r="K939"/>
      <x:c r="L939"/>
      <x:c r="M939" t="n">
        <x:v>-200</x:v>
      </x:c>
      <x:c r="N939" t="str">
        <x:v>2025-07</x:v>
      </x:c>
      <x:c r="O939" t="str">
        <x:v>Ausgabe</x:v>
      </x:c>
      <x:c r="P939" t="str">
        <x:v>Ist</x:v>
      </x:c>
      <x:c r="Q939" s="59" t="b">
        <x:v>0</x:v>
      </x:c>
      <x:c r="R939" t="str">
        <x:v>kein_transfer</x:v>
      </x:c>
      <x:c r="S939"/>
      <x:c r="T939"/>
      <x:c r="U939"/>
      <x:c r="V939" s="59" t="b">
        <x:v>1</x:v>
      </x:c>
      <x:c r="W939"/>
      <x:c r="X939" t="str">
        <x:v>offen</x:v>
      </x:c>
      <x:c r="Y939" t="str">
        <x:v>Agent-Draft; Kategorie und Person pruefen</x:v>
      </x:c>
    </x:row>
    <x:row r="940">
      <x:c r="A940" t="str">
        <x:v>TXN-RAW-IMP-20260516-FULLDRAFT-000924</x:v>
      </x:c>
      <x:c r="B940" t="str">
        <x:v>RAW-IMP-20260516-FULLDRAFT-000924</x:v>
      </x:c>
      <x:c r="C940" t="str">
        <x:v>KTO001</x:v>
      </x:c>
      <x:c r="D940"/>
      <x:c r="E940" t="str">
        <x:v>KAT013</x:v>
      </x:c>
      <x:c r="F940"/>
      <x:c r="G940"/>
      <x:c r="H940" t="str">
        <x:v>kein_match</x:v>
      </x:c>
      <x:c r="I940" t="str">
        <x:v>Agent-Draft: keine finale Regelentscheidung</x:v>
      </x:c>
      <x:c r="J940" t="n">
        <x:v>45854</x:v>
      </x:c>
      <x:c r="K940"/>
      <x:c r="L940"/>
      <x:c r="M940" t="n">
        <x:v>800</x:v>
      </x:c>
      <x:c r="N940" t="str">
        <x:v>2025-07</x:v>
      </x:c>
      <x:c r="O940" t="str">
        <x:v>Einnahme</x:v>
      </x:c>
      <x:c r="P940" t="str">
        <x:v>Ist</x:v>
      </x:c>
      <x:c r="Q940" s="59" t="b">
        <x:v>0</x:v>
      </x:c>
      <x:c r="R940" t="str">
        <x:v>unklar</x:v>
      </x:c>
      <x:c r="S940"/>
      <x:c r="T940"/>
      <x:c r="U940"/>
      <x:c r="V940" s="59" t="b">
        <x:v>1</x:v>
      </x:c>
      <x:c r="W940" t="str">
        <x:v>Transferkandidat im Draft</x:v>
      </x:c>
      <x:c r="X940" t="str">
        <x:v>offen</x:v>
      </x:c>
      <x:c r="Y940" t="str">
        <x:v>Agent-Draft; Kategorie und Person pruefen</x:v>
      </x:c>
    </x:row>
    <x:row r="941">
      <x:c r="A941" t="str">
        <x:v>TXN-RAW-IMP-20260516-FULLDRAFT-000925</x:v>
      </x:c>
      <x:c r="B941" t="str">
        <x:v>RAW-IMP-20260516-FULLDRAFT-000925</x:v>
      </x:c>
      <x:c r="C941" t="str">
        <x:v>KTO001</x:v>
      </x:c>
      <x:c r="D941"/>
      <x:c r="E941" t="str">
        <x:v>KAT013</x:v>
      </x:c>
      <x:c r="F941"/>
      <x:c r="G941"/>
      <x:c r="H941" t="str">
        <x:v>kein_match</x:v>
      </x:c>
      <x:c r="I941" t="str">
        <x:v>Agent-Draft: keine finale Regelentscheidung</x:v>
      </x:c>
      <x:c r="J941" t="n">
        <x:v>45854</x:v>
      </x:c>
      <x:c r="K941"/>
      <x:c r="L941"/>
      <x:c r="M941" t="n">
        <x:v>-18.14</x:v>
      </x:c>
      <x:c r="N941" t="str">
        <x:v>2025-07</x:v>
      </x:c>
      <x:c r="O941" t="str">
        <x:v>Ausgabe</x:v>
      </x:c>
      <x:c r="P941" t="str">
        <x:v>Ist</x:v>
      </x:c>
      <x:c r="Q941" s="59" t="b">
        <x:v>0</x:v>
      </x:c>
      <x:c r="R941" t="str">
        <x:v>kein_transfer</x:v>
      </x:c>
      <x:c r="S941"/>
      <x:c r="T941"/>
      <x:c r="U941"/>
      <x:c r="V941" s="59" t="b">
        <x:v>1</x:v>
      </x:c>
      <x:c r="W941"/>
      <x:c r="X941" t="str">
        <x:v>offen</x:v>
      </x:c>
      <x:c r="Y941" t="str">
        <x:v>Agent-Draft; Kategorie und Person pruefen</x:v>
      </x:c>
    </x:row>
    <x:row r="942">
      <x:c r="A942" t="str">
        <x:v>TXN-RAW-IMP-20260516-FULLDRAFT-000926</x:v>
      </x:c>
      <x:c r="B942" t="str">
        <x:v>RAW-IMP-20260516-FULLDRAFT-000926</x:v>
      </x:c>
      <x:c r="C942" t="str">
        <x:v>KTO001</x:v>
      </x:c>
      <x:c r="D942"/>
      <x:c r="E942" t="str">
        <x:v>KAT013</x:v>
      </x:c>
      <x:c r="F942"/>
      <x:c r="G942"/>
      <x:c r="H942" t="str">
        <x:v>kein_match</x:v>
      </x:c>
      <x:c r="I942" t="str">
        <x:v>Agent-Draft: keine finale Regelentscheidung</x:v>
      </x:c>
      <x:c r="J942" t="n">
        <x:v>45853</x:v>
      </x:c>
      <x:c r="K942"/>
      <x:c r="L942"/>
      <x:c r="M942" t="n">
        <x:v>-8.47</x:v>
      </x:c>
      <x:c r="N942" t="str">
        <x:v>2025-07</x:v>
      </x:c>
      <x:c r="O942" t="str">
        <x:v>Ausgabe</x:v>
      </x:c>
      <x:c r="P942" t="str">
        <x:v>Ist</x:v>
      </x:c>
      <x:c r="Q942" s="59" t="b">
        <x:v>0</x:v>
      </x:c>
      <x:c r="R942" t="str">
        <x:v>kein_transfer</x:v>
      </x:c>
      <x:c r="S942"/>
      <x:c r="T942"/>
      <x:c r="U942"/>
      <x:c r="V942" s="59" t="b">
        <x:v>1</x:v>
      </x:c>
      <x:c r="W942"/>
      <x:c r="X942" t="str">
        <x:v>offen</x:v>
      </x:c>
      <x:c r="Y942" t="str">
        <x:v>Agent-Draft; Kategorie und Person pruefen</x:v>
      </x:c>
    </x:row>
    <x:row r="943">
      <x:c r="A943" t="str">
        <x:v>TXN-RAW-IMP-20260516-FULLDRAFT-000927</x:v>
      </x:c>
      <x:c r="B943" t="str">
        <x:v>RAW-IMP-20260516-FULLDRAFT-000927</x:v>
      </x:c>
      <x:c r="C943" t="str">
        <x:v>KTO001</x:v>
      </x:c>
      <x:c r="D943"/>
      <x:c r="E943" t="str">
        <x:v>KAT013</x:v>
      </x:c>
      <x:c r="F943"/>
      <x:c r="G943"/>
      <x:c r="H943" t="str">
        <x:v>kein_match</x:v>
      </x:c>
      <x:c r="I943" t="str">
        <x:v>Agent-Draft: keine finale Regelentscheidung</x:v>
      </x:c>
      <x:c r="J943" t="n">
        <x:v>45853</x:v>
      </x:c>
      <x:c r="K943"/>
      <x:c r="L943"/>
      <x:c r="M943" t="n">
        <x:v>-100</x:v>
      </x:c>
      <x:c r="N943" t="str">
        <x:v>2025-07</x:v>
      </x:c>
      <x:c r="O943" t="str">
        <x:v>Ausgabe</x:v>
      </x:c>
      <x:c r="P943" t="str">
        <x:v>Ist</x:v>
      </x:c>
      <x:c r="Q943" s="59" t="b">
        <x:v>0</x:v>
      </x:c>
      <x:c r="R943" t="str">
        <x:v>kein_transfer</x:v>
      </x:c>
      <x:c r="S943"/>
      <x:c r="T943"/>
      <x:c r="U943"/>
      <x:c r="V943" s="59" t="b">
        <x:v>1</x:v>
      </x:c>
      <x:c r="W943"/>
      <x:c r="X943" t="str">
        <x:v>offen</x:v>
      </x:c>
      <x:c r="Y943" t="str">
        <x:v>Agent-Draft; Kategorie und Person pruefen</x:v>
      </x:c>
    </x:row>
    <x:row r="944">
      <x:c r="A944" t="str">
        <x:v>TXN-RAW-IMP-20260516-FULLDRAFT-000928</x:v>
      </x:c>
      <x:c r="B944" t="str">
        <x:v>RAW-IMP-20260516-FULLDRAFT-000928</x:v>
      </x:c>
      <x:c r="C944" t="str">
        <x:v>KTO001</x:v>
      </x:c>
      <x:c r="D944"/>
      <x:c r="E944" t="str">
        <x:v>KAT013</x:v>
      </x:c>
      <x:c r="F944"/>
      <x:c r="G944"/>
      <x:c r="H944" t="str">
        <x:v>kein_match</x:v>
      </x:c>
      <x:c r="I944" t="str">
        <x:v>Agent-Draft: keine finale Regelentscheidung</x:v>
      </x:c>
      <x:c r="J944" t="n">
        <x:v>45853</x:v>
      </x:c>
      <x:c r="K944"/>
      <x:c r="L944"/>
      <x:c r="M944" t="n">
        <x:v>-35</x:v>
      </x:c>
      <x:c r="N944" t="str">
        <x:v>2025-07</x:v>
      </x:c>
      <x:c r="O944" t="str">
        <x:v>Ausgabe</x:v>
      </x:c>
      <x:c r="P944" t="str">
        <x:v>Ist</x:v>
      </x:c>
      <x:c r="Q944" s="59" t="b">
        <x:v>0</x:v>
      </x:c>
      <x:c r="R944" t="str">
        <x:v>kein_transfer</x:v>
      </x:c>
      <x:c r="S944"/>
      <x:c r="T944"/>
      <x:c r="U944"/>
      <x:c r="V944" s="59" t="b">
        <x:v>1</x:v>
      </x:c>
      <x:c r="W944"/>
      <x:c r="X944" t="str">
        <x:v>offen</x:v>
      </x:c>
      <x:c r="Y944" t="str">
        <x:v>Agent-Draft; Kategorie und Person pruefen</x:v>
      </x:c>
    </x:row>
    <x:row r="945">
      <x:c r="A945" t="str">
        <x:v>TXN-RAW-IMP-20260516-FULLDRAFT-000929</x:v>
      </x:c>
      <x:c r="B945" t="str">
        <x:v>RAW-IMP-20260516-FULLDRAFT-000929</x:v>
      </x:c>
      <x:c r="C945" t="str">
        <x:v>KTO001</x:v>
      </x:c>
      <x:c r="D945"/>
      <x:c r="E945" t="str">
        <x:v>KAT013</x:v>
      </x:c>
      <x:c r="F945"/>
      <x:c r="G945"/>
      <x:c r="H945" t="str">
        <x:v>kein_match</x:v>
      </x:c>
      <x:c r="I945" t="str">
        <x:v>Agent-Draft: keine finale Regelentscheidung</x:v>
      </x:c>
      <x:c r="J945" t="n">
        <x:v>45853</x:v>
      </x:c>
      <x:c r="K945"/>
      <x:c r="L945"/>
      <x:c r="M945" t="n">
        <x:v>-18.14</x:v>
      </x:c>
      <x:c r="N945" t="str">
        <x:v>2025-07</x:v>
      </x:c>
      <x:c r="O945" t="str">
        <x:v>Ausgabe</x:v>
      </x:c>
      <x:c r="P945" t="str">
        <x:v>Ist</x:v>
      </x:c>
      <x:c r="Q945" s="59" t="b">
        <x:v>0</x:v>
      </x:c>
      <x:c r="R945" t="str">
        <x:v>kein_transfer</x:v>
      </x:c>
      <x:c r="S945"/>
      <x:c r="T945"/>
      <x:c r="U945"/>
      <x:c r="V945" s="59" t="b">
        <x:v>1</x:v>
      </x:c>
      <x:c r="W945"/>
      <x:c r="X945" t="str">
        <x:v>offen</x:v>
      </x:c>
      <x:c r="Y945" t="str">
        <x:v>Agent-Draft; Kategorie und Person pruefen</x:v>
      </x:c>
    </x:row>
    <x:row r="946">
      <x:c r="A946" t="str">
        <x:v>TXN-RAW-IMP-20260516-FULLDRAFT-000930</x:v>
      </x:c>
      <x:c r="B946" t="str">
        <x:v>RAW-IMP-20260516-FULLDRAFT-000930</x:v>
      </x:c>
      <x:c r="C946" t="str">
        <x:v>KTO001</x:v>
      </x:c>
      <x:c r="D946"/>
      <x:c r="E946" t="str">
        <x:v>KAT013</x:v>
      </x:c>
      <x:c r="F946"/>
      <x:c r="G946"/>
      <x:c r="H946" t="str">
        <x:v>kein_match</x:v>
      </x:c>
      <x:c r="I946" t="str">
        <x:v>Agent-Draft: keine finale Regelentscheidung</x:v>
      </x:c>
      <x:c r="J946" t="n">
        <x:v>45852</x:v>
      </x:c>
      <x:c r="K946"/>
      <x:c r="L946"/>
      <x:c r="M946" t="n">
        <x:v>-24.23</x:v>
      </x:c>
      <x:c r="N946" t="str">
        <x:v>2025-07</x:v>
      </x:c>
      <x:c r="O946" t="str">
        <x:v>Ausgabe</x:v>
      </x:c>
      <x:c r="P946" t="str">
        <x:v>Ist</x:v>
      </x:c>
      <x:c r="Q946" s="59" t="b">
        <x:v>0</x:v>
      </x:c>
      <x:c r="R946" t="str">
        <x:v>kein_transfer</x:v>
      </x:c>
      <x:c r="S946"/>
      <x:c r="T946"/>
      <x:c r="U946"/>
      <x:c r="V946" s="59" t="b">
        <x:v>1</x:v>
      </x:c>
      <x:c r="W946"/>
      <x:c r="X946" t="str">
        <x:v>offen</x:v>
      </x:c>
      <x:c r="Y946" t="str">
        <x:v>Agent-Draft; Kategorie und Person pruefen</x:v>
      </x:c>
    </x:row>
    <x:row r="947">
      <x:c r="A947" t="str">
        <x:v>TXN-RAW-IMP-20260516-FULLDRAFT-000931</x:v>
      </x:c>
      <x:c r="B947" t="str">
        <x:v>RAW-IMP-20260516-FULLDRAFT-000931</x:v>
      </x:c>
      <x:c r="C947" t="str">
        <x:v>KTO001</x:v>
      </x:c>
      <x:c r="D947"/>
      <x:c r="E947" t="str">
        <x:v>KAT013</x:v>
      </x:c>
      <x:c r="F947"/>
      <x:c r="G947"/>
      <x:c r="H947" t="str">
        <x:v>kein_match</x:v>
      </x:c>
      <x:c r="I947" t="str">
        <x:v>Agent-Draft: keine finale Regelentscheidung</x:v>
      </x:c>
      <x:c r="J947" t="n">
        <x:v>45852</x:v>
      </x:c>
      <x:c r="K947"/>
      <x:c r="L947"/>
      <x:c r="M947" t="n">
        <x:v>-2</x:v>
      </x:c>
      <x:c r="N947" t="str">
        <x:v>2025-07</x:v>
      </x:c>
      <x:c r="O947" t="str">
        <x:v>Ausgabe</x:v>
      </x:c>
      <x:c r="P947" t="str">
        <x:v>Ist</x:v>
      </x:c>
      <x:c r="Q947" s="59" t="b">
        <x:v>0</x:v>
      </x:c>
      <x:c r="R947" t="str">
        <x:v>kein_transfer</x:v>
      </x:c>
      <x:c r="S947"/>
      <x:c r="T947"/>
      <x:c r="U947"/>
      <x:c r="V947" s="59" t="b">
        <x:v>1</x:v>
      </x:c>
      <x:c r="W947"/>
      <x:c r="X947" t="str">
        <x:v>offen</x:v>
      </x:c>
      <x:c r="Y947" t="str">
        <x:v>Agent-Draft; Kategorie und Person pruefen</x:v>
      </x:c>
    </x:row>
    <x:row r="948">
      <x:c r="A948" t="str">
        <x:v>TXN-RAW-IMP-20260516-FULLDRAFT-000932</x:v>
      </x:c>
      <x:c r="B948" t="str">
        <x:v>RAW-IMP-20260516-FULLDRAFT-000932</x:v>
      </x:c>
      <x:c r="C948" t="str">
        <x:v>KTO001</x:v>
      </x:c>
      <x:c r="D948"/>
      <x:c r="E948" t="str">
        <x:v>KAT013</x:v>
      </x:c>
      <x:c r="F948"/>
      <x:c r="G948"/>
      <x:c r="H948" t="str">
        <x:v>kein_match</x:v>
      </x:c>
      <x:c r="I948" t="str">
        <x:v>Agent-Draft: keine finale Regelentscheidung</x:v>
      </x:c>
      <x:c r="J948" t="n">
        <x:v>45852</x:v>
      </x:c>
      <x:c r="K948"/>
      <x:c r="L948"/>
      <x:c r="M948" t="n">
        <x:v>-45.58</x:v>
      </x:c>
      <x:c r="N948" t="str">
        <x:v>2025-07</x:v>
      </x:c>
      <x:c r="O948" t="str">
        <x:v>Ausgabe</x:v>
      </x:c>
      <x:c r="P948" t="str">
        <x:v>Ist</x:v>
      </x:c>
      <x:c r="Q948" s="59" t="b">
        <x:v>0</x:v>
      </x:c>
      <x:c r="R948" t="str">
        <x:v>kein_transfer</x:v>
      </x:c>
      <x:c r="S948"/>
      <x:c r="T948"/>
      <x:c r="U948"/>
      <x:c r="V948" s="59" t="b">
        <x:v>1</x:v>
      </x:c>
      <x:c r="W948"/>
      <x:c r="X948" t="str">
        <x:v>offen</x:v>
      </x:c>
      <x:c r="Y948" t="str">
        <x:v>Agent-Draft; Kategorie und Person pruefen</x:v>
      </x:c>
    </x:row>
    <x:row r="949">
      <x:c r="A949" t="str">
        <x:v>TXN-RAW-IMP-20260516-FULLDRAFT-000933</x:v>
      </x:c>
      <x:c r="B949" t="str">
        <x:v>RAW-IMP-20260516-FULLDRAFT-000933</x:v>
      </x:c>
      <x:c r="C949" t="str">
        <x:v>KTO001</x:v>
      </x:c>
      <x:c r="D949"/>
      <x:c r="E949" t="str">
        <x:v>KAT013</x:v>
      </x:c>
      <x:c r="F949"/>
      <x:c r="G949"/>
      <x:c r="H949" t="str">
        <x:v>kein_match</x:v>
      </x:c>
      <x:c r="I949" t="str">
        <x:v>Agent-Draft: keine finale Regelentscheidung</x:v>
      </x:c>
      <x:c r="J949" t="n">
        <x:v>45852</x:v>
      </x:c>
      <x:c r="K949"/>
      <x:c r="L949"/>
      <x:c r="M949" t="n">
        <x:v>-80</x:v>
      </x:c>
      <x:c r="N949" t="str">
        <x:v>2025-07</x:v>
      </x:c>
      <x:c r="O949" t="str">
        <x:v>Ausgabe</x:v>
      </x:c>
      <x:c r="P949" t="str">
        <x:v>Ist</x:v>
      </x:c>
      <x:c r="Q949" s="59" t="b">
        <x:v>0</x:v>
      </x:c>
      <x:c r="R949" t="str">
        <x:v>kein_transfer</x:v>
      </x:c>
      <x:c r="S949"/>
      <x:c r="T949"/>
      <x:c r="U949"/>
      <x:c r="V949" s="59" t="b">
        <x:v>1</x:v>
      </x:c>
      <x:c r="W949"/>
      <x:c r="X949" t="str">
        <x:v>offen</x:v>
      </x:c>
      <x:c r="Y949" t="str">
        <x:v>Agent-Draft; Kategorie und Person pruefen</x:v>
      </x:c>
    </x:row>
    <x:row r="950">
      <x:c r="A950" t="str">
        <x:v>TXN-RAW-IMP-20260516-FULLDRAFT-000934</x:v>
      </x:c>
      <x:c r="B950" t="str">
        <x:v>RAW-IMP-20260516-FULLDRAFT-000934</x:v>
      </x:c>
      <x:c r="C950" t="str">
        <x:v>KTO001</x:v>
      </x:c>
      <x:c r="D950"/>
      <x:c r="E950" t="str">
        <x:v>KAT013</x:v>
      </x:c>
      <x:c r="F950"/>
      <x:c r="G950"/>
      <x:c r="H950" t="str">
        <x:v>kein_match</x:v>
      </x:c>
      <x:c r="I950" t="str">
        <x:v>Agent-Draft: keine finale Regelentscheidung</x:v>
      </x:c>
      <x:c r="J950" t="n">
        <x:v>45852</x:v>
      </x:c>
      <x:c r="K950"/>
      <x:c r="L950"/>
      <x:c r="M950" t="n">
        <x:v>-0.99</x:v>
      </x:c>
      <x:c r="N950" t="str">
        <x:v>2025-07</x:v>
      </x:c>
      <x:c r="O950" t="str">
        <x:v>Ausgabe</x:v>
      </x:c>
      <x:c r="P950" t="str">
        <x:v>Ist</x:v>
      </x:c>
      <x:c r="Q950" s="59" t="b">
        <x:v>0</x:v>
      </x:c>
      <x:c r="R950" t="str">
        <x:v>kein_transfer</x:v>
      </x:c>
      <x:c r="S950"/>
      <x:c r="T950"/>
      <x:c r="U950"/>
      <x:c r="V950" s="59" t="b">
        <x:v>1</x:v>
      </x:c>
      <x:c r="W950"/>
      <x:c r="X950" t="str">
        <x:v>offen</x:v>
      </x:c>
      <x:c r="Y950" t="str">
        <x:v>Agent-Draft; Kategorie und Person pruefen</x:v>
      </x:c>
    </x:row>
    <x:row r="951">
      <x:c r="A951" t="str">
        <x:v>TXN-RAW-IMP-20260516-FULLDRAFT-000935</x:v>
      </x:c>
      <x:c r="B951" t="str">
        <x:v>RAW-IMP-20260516-FULLDRAFT-000935</x:v>
      </x:c>
      <x:c r="C951" t="str">
        <x:v>KTO001</x:v>
      </x:c>
      <x:c r="D951"/>
      <x:c r="E951" t="str">
        <x:v>KAT013</x:v>
      </x:c>
      <x:c r="F951"/>
      <x:c r="G951"/>
      <x:c r="H951" t="str">
        <x:v>kein_match</x:v>
      </x:c>
      <x:c r="I951" t="str">
        <x:v>Agent-Draft: keine finale Regelentscheidung</x:v>
      </x:c>
      <x:c r="J951" t="n">
        <x:v>45852</x:v>
      </x:c>
      <x:c r="K951"/>
      <x:c r="L951"/>
      <x:c r="M951" t="n">
        <x:v>-37.75</x:v>
      </x:c>
      <x:c r="N951" t="str">
        <x:v>2025-07</x:v>
      </x:c>
      <x:c r="O951" t="str">
        <x:v>Ausgabe</x:v>
      </x:c>
      <x:c r="P951" t="str">
        <x:v>Ist</x:v>
      </x:c>
      <x:c r="Q951" s="59" t="b">
        <x:v>0</x:v>
      </x:c>
      <x:c r="R951" t="str">
        <x:v>kein_transfer</x:v>
      </x:c>
      <x:c r="S951"/>
      <x:c r="T951"/>
      <x:c r="U951"/>
      <x:c r="V951" s="59" t="b">
        <x:v>1</x:v>
      </x:c>
      <x:c r="W951"/>
      <x:c r="X951" t="str">
        <x:v>offen</x:v>
      </x:c>
      <x:c r="Y951" t="str">
        <x:v>Agent-Draft; Kategorie und Person pruefen</x:v>
      </x:c>
    </x:row>
    <x:row r="952">
      <x:c r="A952" t="str">
        <x:v>TXN-RAW-IMP-20260516-FULLDRAFT-000936</x:v>
      </x:c>
      <x:c r="B952" t="str">
        <x:v>RAW-IMP-20260516-FULLDRAFT-000936</x:v>
      </x:c>
      <x:c r="C952" t="str">
        <x:v>KTO001</x:v>
      </x:c>
      <x:c r="D952"/>
      <x:c r="E952" t="str">
        <x:v>KAT013</x:v>
      </x:c>
      <x:c r="F952"/>
      <x:c r="G952"/>
      <x:c r="H952" t="str">
        <x:v>kein_match</x:v>
      </x:c>
      <x:c r="I952" t="str">
        <x:v>Agent-Draft: keine finale Regelentscheidung</x:v>
      </x:c>
      <x:c r="J952" t="n">
        <x:v>45852</x:v>
      </x:c>
      <x:c r="K952"/>
      <x:c r="L952"/>
      <x:c r="M952" t="n">
        <x:v>-89.9</x:v>
      </x:c>
      <x:c r="N952" t="str">
        <x:v>2025-07</x:v>
      </x:c>
      <x:c r="O952" t="str">
        <x:v>Ausgabe</x:v>
      </x:c>
      <x:c r="P952" t="str">
        <x:v>Ist</x:v>
      </x:c>
      <x:c r="Q952" s="59" t="b">
        <x:v>0</x:v>
      </x:c>
      <x:c r="R952" t="str">
        <x:v>kein_transfer</x:v>
      </x:c>
      <x:c r="S952"/>
      <x:c r="T952"/>
      <x:c r="U952"/>
      <x:c r="V952" s="59" t="b">
        <x:v>1</x:v>
      </x:c>
      <x:c r="W952"/>
      <x:c r="X952" t="str">
        <x:v>offen</x:v>
      </x:c>
      <x:c r="Y952" t="str">
        <x:v>Agent-Draft; Kategorie und Person pruefen</x:v>
      </x:c>
    </x:row>
    <x:row r="953">
      <x:c r="A953" t="str">
        <x:v>TXN-RAW-IMP-20260516-FULLDRAFT-000937</x:v>
      </x:c>
      <x:c r="B953" t="str">
        <x:v>RAW-IMP-20260516-FULLDRAFT-000937</x:v>
      </x:c>
      <x:c r="C953" t="str">
        <x:v>KTO001</x:v>
      </x:c>
      <x:c r="D953"/>
      <x:c r="E953" t="str">
        <x:v>KAT013</x:v>
      </x:c>
      <x:c r="F953"/>
      <x:c r="G953"/>
      <x:c r="H953" t="str">
        <x:v>kein_match</x:v>
      </x:c>
      <x:c r="I953" t="str">
        <x:v>Agent-Draft: keine finale Regelentscheidung</x:v>
      </x:c>
      <x:c r="J953" t="n">
        <x:v>45849</x:v>
      </x:c>
      <x:c r="K953"/>
      <x:c r="L953"/>
      <x:c r="M953" t="n">
        <x:v>-24.46</x:v>
      </x:c>
      <x:c r="N953" t="str">
        <x:v>2025-07</x:v>
      </x:c>
      <x:c r="O953" t="str">
        <x:v>Ausgabe</x:v>
      </x:c>
      <x:c r="P953" t="str">
        <x:v>Ist</x:v>
      </x:c>
      <x:c r="Q953" s="59" t="b">
        <x:v>0</x:v>
      </x:c>
      <x:c r="R953" t="str">
        <x:v>kein_transfer</x:v>
      </x:c>
      <x:c r="S953"/>
      <x:c r="T953"/>
      <x:c r="U953"/>
      <x:c r="V953" s="59" t="b">
        <x:v>1</x:v>
      </x:c>
      <x:c r="W953"/>
      <x:c r="X953" t="str">
        <x:v>offen</x:v>
      </x:c>
      <x:c r="Y953" t="str">
        <x:v>Agent-Draft; Kategorie und Person pruefen</x:v>
      </x:c>
    </x:row>
    <x:row r="954">
      <x:c r="A954" t="str">
        <x:v>TXN-RAW-IMP-20260516-FULLDRAFT-000938</x:v>
      </x:c>
      <x:c r="B954" t="str">
        <x:v>RAW-IMP-20260516-FULLDRAFT-000938</x:v>
      </x:c>
      <x:c r="C954" t="str">
        <x:v>KTO001</x:v>
      </x:c>
      <x:c r="D954"/>
      <x:c r="E954" t="str">
        <x:v>KAT013</x:v>
      </x:c>
      <x:c r="F954"/>
      <x:c r="G954"/>
      <x:c r="H954" t="str">
        <x:v>kein_match</x:v>
      </x:c>
      <x:c r="I954" t="str">
        <x:v>Agent-Draft: keine finale Regelentscheidung</x:v>
      </x:c>
      <x:c r="J954" t="n">
        <x:v>45849</x:v>
      </x:c>
      <x:c r="K954"/>
      <x:c r="L954"/>
      <x:c r="M954" t="n">
        <x:v>-8.5</x:v>
      </x:c>
      <x:c r="N954" t="str">
        <x:v>2025-07</x:v>
      </x:c>
      <x:c r="O954" t="str">
        <x:v>Ausgabe</x:v>
      </x:c>
      <x:c r="P954" t="str">
        <x:v>Ist</x:v>
      </x:c>
      <x:c r="Q954" s="59" t="b">
        <x:v>0</x:v>
      </x:c>
      <x:c r="R954" t="str">
        <x:v>kein_transfer</x:v>
      </x:c>
      <x:c r="S954"/>
      <x:c r="T954"/>
      <x:c r="U954"/>
      <x:c r="V954" s="59" t="b">
        <x:v>1</x:v>
      </x:c>
      <x:c r="W954"/>
      <x:c r="X954" t="str">
        <x:v>offen</x:v>
      </x:c>
      <x:c r="Y954" t="str">
        <x:v>Agent-Draft; Kategorie und Person pruefen</x:v>
      </x:c>
    </x:row>
    <x:row r="955">
      <x:c r="A955" t="str">
        <x:v>TXN-RAW-IMP-20260516-FULLDRAFT-000939</x:v>
      </x:c>
      <x:c r="B955" t="str">
        <x:v>RAW-IMP-20260516-FULLDRAFT-000939</x:v>
      </x:c>
      <x:c r="C955" t="str">
        <x:v>KTO001</x:v>
      </x:c>
      <x:c r="D955"/>
      <x:c r="E955" t="str">
        <x:v>KAT013</x:v>
      </x:c>
      <x:c r="F955"/>
      <x:c r="G955"/>
      <x:c r="H955" t="str">
        <x:v>kein_match</x:v>
      </x:c>
      <x:c r="I955" t="str">
        <x:v>Agent-Draft: keine finale Regelentscheidung</x:v>
      </x:c>
      <x:c r="J955" t="n">
        <x:v>45847</x:v>
      </x:c>
      <x:c r="K955"/>
      <x:c r="L955"/>
      <x:c r="M955" t="n">
        <x:v>-90</x:v>
      </x:c>
      <x:c r="N955" t="str">
        <x:v>2025-07</x:v>
      </x:c>
      <x:c r="O955" t="str">
        <x:v>Ausgabe</x:v>
      </x:c>
      <x:c r="P955" t="str">
        <x:v>Ist</x:v>
      </x:c>
      <x:c r="Q955" s="59" t="b">
        <x:v>0</x:v>
      </x:c>
      <x:c r="R955" t="str">
        <x:v>kein_transfer</x:v>
      </x:c>
      <x:c r="S955"/>
      <x:c r="T955"/>
      <x:c r="U955"/>
      <x:c r="V955" s="59" t="b">
        <x:v>1</x:v>
      </x:c>
      <x:c r="W955"/>
      <x:c r="X955" t="str">
        <x:v>offen</x:v>
      </x:c>
      <x:c r="Y955" t="str">
        <x:v>Agent-Draft; Kategorie und Person pruefen</x:v>
      </x:c>
    </x:row>
    <x:row r="956">
      <x:c r="A956" t="str">
        <x:v>TXN-RAW-IMP-20260516-FULLDRAFT-000940</x:v>
      </x:c>
      <x:c r="B956" t="str">
        <x:v>RAW-IMP-20260516-FULLDRAFT-000940</x:v>
      </x:c>
      <x:c r="C956" t="str">
        <x:v>KTO001</x:v>
      </x:c>
      <x:c r="D956"/>
      <x:c r="E956" t="str">
        <x:v>KAT013</x:v>
      </x:c>
      <x:c r="F956"/>
      <x:c r="G956"/>
      <x:c r="H956" t="str">
        <x:v>kein_match</x:v>
      </x:c>
      <x:c r="I956" t="str">
        <x:v>Agent-Draft: keine finale Regelentscheidung</x:v>
      </x:c>
      <x:c r="J956" t="n">
        <x:v>45847</x:v>
      </x:c>
      <x:c r="K956"/>
      <x:c r="L956"/>
      <x:c r="M956" t="n">
        <x:v>-28.43</x:v>
      </x:c>
      <x:c r="N956" t="str">
        <x:v>2025-07</x:v>
      </x:c>
      <x:c r="O956" t="str">
        <x:v>Ausgabe</x:v>
      </x:c>
      <x:c r="P956" t="str">
        <x:v>Ist</x:v>
      </x:c>
      <x:c r="Q956" s="59" t="b">
        <x:v>0</x:v>
      </x:c>
      <x:c r="R956" t="str">
        <x:v>kein_transfer</x:v>
      </x:c>
      <x:c r="S956"/>
      <x:c r="T956"/>
      <x:c r="U956"/>
      <x:c r="V956" s="59" t="b">
        <x:v>1</x:v>
      </x:c>
      <x:c r="W956"/>
      <x:c r="X956" t="str">
        <x:v>offen</x:v>
      </x:c>
      <x:c r="Y956" t="str">
        <x:v>Agent-Draft; Kategorie und Person pruefen</x:v>
      </x:c>
    </x:row>
    <x:row r="957">
      <x:c r="A957" t="str">
        <x:v>TXN-RAW-IMP-20260516-FULLDRAFT-000941</x:v>
      </x:c>
      <x:c r="B957" t="str">
        <x:v>RAW-IMP-20260516-FULLDRAFT-000941</x:v>
      </x:c>
      <x:c r="C957" t="str">
        <x:v>KTO001</x:v>
      </x:c>
      <x:c r="D957"/>
      <x:c r="E957" t="str">
        <x:v>KAT013</x:v>
      </x:c>
      <x:c r="F957"/>
      <x:c r="G957"/>
      <x:c r="H957" t="str">
        <x:v>kein_match</x:v>
      </x:c>
      <x:c r="I957" t="str">
        <x:v>Agent-Draft: keine finale Regelentscheidung</x:v>
      </x:c>
      <x:c r="J957" t="n">
        <x:v>45847</x:v>
      </x:c>
      <x:c r="K957"/>
      <x:c r="L957"/>
      <x:c r="M957" t="n">
        <x:v>-20.35</x:v>
      </x:c>
      <x:c r="N957" t="str">
        <x:v>2025-07</x:v>
      </x:c>
      <x:c r="O957" t="str">
        <x:v>Ausgabe</x:v>
      </x:c>
      <x:c r="P957" t="str">
        <x:v>Ist</x:v>
      </x:c>
      <x:c r="Q957" s="59" t="b">
        <x:v>0</x:v>
      </x:c>
      <x:c r="R957" t="str">
        <x:v>kein_transfer</x:v>
      </x:c>
      <x:c r="S957"/>
      <x:c r="T957"/>
      <x:c r="U957"/>
      <x:c r="V957" s="59" t="b">
        <x:v>1</x:v>
      </x:c>
      <x:c r="W957"/>
      <x:c r="X957" t="str">
        <x:v>offen</x:v>
      </x:c>
      <x:c r="Y957" t="str">
        <x:v>Agent-Draft; Kategorie und Person pruefen</x:v>
      </x:c>
    </x:row>
    <x:row r="958">
      <x:c r="A958" t="str">
        <x:v>TXN-RAW-IMP-20260516-FULLDRAFT-000942</x:v>
      </x:c>
      <x:c r="B958" t="str">
        <x:v>RAW-IMP-20260516-FULLDRAFT-000942</x:v>
      </x:c>
      <x:c r="C958" t="str">
        <x:v>KTO001</x:v>
      </x:c>
      <x:c r="D958"/>
      <x:c r="E958" t="str">
        <x:v>KAT013</x:v>
      </x:c>
      <x:c r="F958"/>
      <x:c r="G958"/>
      <x:c r="H958" t="str">
        <x:v>kein_match</x:v>
      </x:c>
      <x:c r="I958" t="str">
        <x:v>Agent-Draft: keine finale Regelentscheidung</x:v>
      </x:c>
      <x:c r="J958" t="n">
        <x:v>45847</x:v>
      </x:c>
      <x:c r="K958"/>
      <x:c r="L958"/>
      <x:c r="M958" t="n">
        <x:v>-21.46</x:v>
      </x:c>
      <x:c r="N958" t="str">
        <x:v>2025-07</x:v>
      </x:c>
      <x:c r="O958" t="str">
        <x:v>Ausgabe</x:v>
      </x:c>
      <x:c r="P958" t="str">
        <x:v>Ist</x:v>
      </x:c>
      <x:c r="Q958" s="59" t="b">
        <x:v>0</x:v>
      </x:c>
      <x:c r="R958" t="str">
        <x:v>kein_transfer</x:v>
      </x:c>
      <x:c r="S958"/>
      <x:c r="T958"/>
      <x:c r="U958"/>
      <x:c r="V958" s="59" t="b">
        <x:v>1</x:v>
      </x:c>
      <x:c r="W958"/>
      <x:c r="X958" t="str">
        <x:v>offen</x:v>
      </x:c>
      <x:c r="Y958" t="str">
        <x:v>Agent-Draft; Kategorie und Person pruefen</x:v>
      </x:c>
    </x:row>
    <x:row r="959">
      <x:c r="A959" t="str">
        <x:v>TXN-RAW-IMP-20260516-FULLDRAFT-000943</x:v>
      </x:c>
      <x:c r="B959" t="str">
        <x:v>RAW-IMP-20260516-FULLDRAFT-000943</x:v>
      </x:c>
      <x:c r="C959" t="str">
        <x:v>KTO001</x:v>
      </x:c>
      <x:c r="D959"/>
      <x:c r="E959" t="str">
        <x:v>KAT013</x:v>
      </x:c>
      <x:c r="F959"/>
      <x:c r="G959"/>
      <x:c r="H959" t="str">
        <x:v>kein_match</x:v>
      </x:c>
      <x:c r="I959" t="str">
        <x:v>Agent-Draft: keine finale Regelentscheidung</x:v>
      </x:c>
      <x:c r="J959" t="n">
        <x:v>45846</x:v>
      </x:c>
      <x:c r="K959"/>
      <x:c r="L959"/>
      <x:c r="M959" t="n">
        <x:v>-90</x:v>
      </x:c>
      <x:c r="N959" t="str">
        <x:v>2025-07</x:v>
      </x:c>
      <x:c r="O959" t="str">
        <x:v>Ausgabe</x:v>
      </x:c>
      <x:c r="P959" t="str">
        <x:v>Ist</x:v>
      </x:c>
      <x:c r="Q959" s="59" t="b">
        <x:v>0</x:v>
      </x:c>
      <x:c r="R959" t="str">
        <x:v>kein_transfer</x:v>
      </x:c>
      <x:c r="S959"/>
      <x:c r="T959"/>
      <x:c r="U959"/>
      <x:c r="V959" s="59" t="b">
        <x:v>1</x:v>
      </x:c>
      <x:c r="W959"/>
      <x:c r="X959" t="str">
        <x:v>offen</x:v>
      </x:c>
      <x:c r="Y959" t="str">
        <x:v>Agent-Draft; Kategorie und Person pruefen</x:v>
      </x:c>
    </x:row>
    <x:row r="960">
      <x:c r="A960" t="str">
        <x:v>TXN-RAW-IMP-20260516-FULLDRAFT-000944</x:v>
      </x:c>
      <x:c r="B960" t="str">
        <x:v>RAW-IMP-20260516-FULLDRAFT-000944</x:v>
      </x:c>
      <x:c r="C960" t="str">
        <x:v>KTO001</x:v>
      </x:c>
      <x:c r="D960"/>
      <x:c r="E960" t="str">
        <x:v>KAT013</x:v>
      </x:c>
      <x:c r="F960"/>
      <x:c r="G960"/>
      <x:c r="H960" t="str">
        <x:v>kein_match</x:v>
      </x:c>
      <x:c r="I960" t="str">
        <x:v>Agent-Draft: keine finale Regelentscheidung</x:v>
      </x:c>
      <x:c r="J960" t="n">
        <x:v>45845</x:v>
      </x:c>
      <x:c r="K960"/>
      <x:c r="L960"/>
      <x:c r="M960" t="n">
        <x:v>-22.3</x:v>
      </x:c>
      <x:c r="N960" t="str">
        <x:v>2025-07</x:v>
      </x:c>
      <x:c r="O960" t="str">
        <x:v>Ausgabe</x:v>
      </x:c>
      <x:c r="P960" t="str">
        <x:v>Ist</x:v>
      </x:c>
      <x:c r="Q960" s="59" t="b">
        <x:v>0</x:v>
      </x:c>
      <x:c r="R960" t="str">
        <x:v>kein_transfer</x:v>
      </x:c>
      <x:c r="S960"/>
      <x:c r="T960"/>
      <x:c r="U960"/>
      <x:c r="V960" s="59" t="b">
        <x:v>1</x:v>
      </x:c>
      <x:c r="W960"/>
      <x:c r="X960" t="str">
        <x:v>offen</x:v>
      </x:c>
      <x:c r="Y960" t="str">
        <x:v>Agent-Draft; Kategorie und Person pruefen</x:v>
      </x:c>
    </x:row>
    <x:row r="961">
      <x:c r="A961" t="str">
        <x:v>TXN-RAW-IMP-20260516-FULLDRAFT-000945</x:v>
      </x:c>
      <x:c r="B961" t="str">
        <x:v>RAW-IMP-20260516-FULLDRAFT-000945</x:v>
      </x:c>
      <x:c r="C961" t="str">
        <x:v>KTO001</x:v>
      </x:c>
      <x:c r="D961"/>
      <x:c r="E961" t="str">
        <x:v>KAT013</x:v>
      </x:c>
      <x:c r="F961"/>
      <x:c r="G961"/>
      <x:c r="H961" t="str">
        <x:v>kein_match</x:v>
      </x:c>
      <x:c r="I961" t="str">
        <x:v>Agent-Draft: keine finale Regelentscheidung</x:v>
      </x:c>
      <x:c r="J961" t="n">
        <x:v>45845</x:v>
      </x:c>
      <x:c r="K961"/>
      <x:c r="L961"/>
      <x:c r="M961" t="n">
        <x:v>-65.5</x:v>
      </x:c>
      <x:c r="N961" t="str">
        <x:v>2025-07</x:v>
      </x:c>
      <x:c r="O961" t="str">
        <x:v>Ausgabe</x:v>
      </x:c>
      <x:c r="P961" t="str">
        <x:v>Ist</x:v>
      </x:c>
      <x:c r="Q961" s="59" t="b">
        <x:v>0</x:v>
      </x:c>
      <x:c r="R961" t="str">
        <x:v>kein_transfer</x:v>
      </x:c>
      <x:c r="S961"/>
      <x:c r="T961"/>
      <x:c r="U961"/>
      <x:c r="V961" s="59" t="b">
        <x:v>1</x:v>
      </x:c>
      <x:c r="W961"/>
      <x:c r="X961" t="str">
        <x:v>offen</x:v>
      </x:c>
      <x:c r="Y961" t="str">
        <x:v>Agent-Draft; Kategorie und Person pruefen</x:v>
      </x:c>
    </x:row>
    <x:row r="962">
      <x:c r="A962" t="str">
        <x:v>TXN-RAW-IMP-20260516-FULLDRAFT-000946</x:v>
      </x:c>
      <x:c r="B962" t="str">
        <x:v>RAW-IMP-20260516-FULLDRAFT-000946</x:v>
      </x:c>
      <x:c r="C962" t="str">
        <x:v>KTO001</x:v>
      </x:c>
      <x:c r="D962"/>
      <x:c r="E962" t="str">
        <x:v>KAT013</x:v>
      </x:c>
      <x:c r="F962"/>
      <x:c r="G962"/>
      <x:c r="H962" t="str">
        <x:v>kein_match</x:v>
      </x:c>
      <x:c r="I962" t="str">
        <x:v>Agent-Draft: keine finale Regelentscheidung</x:v>
      </x:c>
      <x:c r="J962" t="n">
        <x:v>45845</x:v>
      </x:c>
      <x:c r="K962"/>
      <x:c r="L962"/>
      <x:c r="M962" t="n">
        <x:v>-30.78</x:v>
      </x:c>
      <x:c r="N962" t="str">
        <x:v>2025-07</x:v>
      </x:c>
      <x:c r="O962" t="str">
        <x:v>Ausgabe</x:v>
      </x:c>
      <x:c r="P962" t="str">
        <x:v>Ist</x:v>
      </x:c>
      <x:c r="Q962" s="59" t="b">
        <x:v>0</x:v>
      </x:c>
      <x:c r="R962" t="str">
        <x:v>kein_transfer</x:v>
      </x:c>
      <x:c r="S962"/>
      <x:c r="T962"/>
      <x:c r="U962"/>
      <x:c r="V962" s="59" t="b">
        <x:v>1</x:v>
      </x:c>
      <x:c r="W962"/>
      <x:c r="X962" t="str">
        <x:v>offen</x:v>
      </x:c>
      <x:c r="Y962" t="str">
        <x:v>Agent-Draft; Kategorie und Person pruefen</x:v>
      </x:c>
    </x:row>
    <x:row r="963">
      <x:c r="A963" t="str">
        <x:v>TXN-RAW-IMP-20260516-FULLDRAFT-000947</x:v>
      </x:c>
      <x:c r="B963" t="str">
        <x:v>RAW-IMP-20260516-FULLDRAFT-000947</x:v>
      </x:c>
      <x:c r="C963" t="str">
        <x:v>KTO001</x:v>
      </x:c>
      <x:c r="D963"/>
      <x:c r="E963" t="str">
        <x:v>KAT013</x:v>
      </x:c>
      <x:c r="F963"/>
      <x:c r="G963"/>
      <x:c r="H963" t="str">
        <x:v>kein_match</x:v>
      </x:c>
      <x:c r="I963" t="str">
        <x:v>Agent-Draft: keine finale Regelentscheidung</x:v>
      </x:c>
      <x:c r="J963" t="n">
        <x:v>45845</x:v>
      </x:c>
      <x:c r="K963"/>
      <x:c r="L963"/>
      <x:c r="M963" t="n">
        <x:v>-37</x:v>
      </x:c>
      <x:c r="N963" t="str">
        <x:v>2025-07</x:v>
      </x:c>
      <x:c r="O963" t="str">
        <x:v>Ausgabe</x:v>
      </x:c>
      <x:c r="P963" t="str">
        <x:v>Ist</x:v>
      </x:c>
      <x:c r="Q963" s="59" t="b">
        <x:v>0</x:v>
      </x:c>
      <x:c r="R963" t="str">
        <x:v>kein_transfer</x:v>
      </x:c>
      <x:c r="S963"/>
      <x:c r="T963"/>
      <x:c r="U963"/>
      <x:c r="V963" s="59" t="b">
        <x:v>1</x:v>
      </x:c>
      <x:c r="W963"/>
      <x:c r="X963" t="str">
        <x:v>offen</x:v>
      </x:c>
      <x:c r="Y963" t="str">
        <x:v>Agent-Draft; Kategorie und Person pruefen</x:v>
      </x:c>
    </x:row>
    <x:row r="964">
      <x:c r="A964" t="str">
        <x:v>TXN-RAW-IMP-20260516-FULLDRAFT-000948</x:v>
      </x:c>
      <x:c r="B964" t="str">
        <x:v>RAW-IMP-20260516-FULLDRAFT-000948</x:v>
      </x:c>
      <x:c r="C964" t="str">
        <x:v>KTO001</x:v>
      </x:c>
      <x:c r="D964"/>
      <x:c r="E964" t="str">
        <x:v>KAT013</x:v>
      </x:c>
      <x:c r="F964"/>
      <x:c r="G964"/>
      <x:c r="H964" t="str">
        <x:v>kein_match</x:v>
      </x:c>
      <x:c r="I964" t="str">
        <x:v>Agent-Draft: keine finale Regelentscheidung</x:v>
      </x:c>
      <x:c r="J964" t="n">
        <x:v>45845</x:v>
      </x:c>
      <x:c r="K964"/>
      <x:c r="L964"/>
      <x:c r="M964" t="n">
        <x:v>-19.6</x:v>
      </x:c>
      <x:c r="N964" t="str">
        <x:v>2025-07</x:v>
      </x:c>
      <x:c r="O964" t="str">
        <x:v>Ausgabe</x:v>
      </x:c>
      <x:c r="P964" t="str">
        <x:v>Ist</x:v>
      </x:c>
      <x:c r="Q964" s="59" t="b">
        <x:v>0</x:v>
      </x:c>
      <x:c r="R964" t="str">
        <x:v>kein_transfer</x:v>
      </x:c>
      <x:c r="S964"/>
      <x:c r="T964"/>
      <x:c r="U964"/>
      <x:c r="V964" s="59" t="b">
        <x:v>1</x:v>
      </x:c>
      <x:c r="W964"/>
      <x:c r="X964" t="str">
        <x:v>offen</x:v>
      </x:c>
      <x:c r="Y964" t="str">
        <x:v>Agent-Draft; Kategorie und Person pruefen</x:v>
      </x:c>
    </x:row>
    <x:row r="965">
      <x:c r="A965" t="str">
        <x:v>TXN-RAW-IMP-20260516-FULLDRAFT-000949</x:v>
      </x:c>
      <x:c r="B965" t="str">
        <x:v>RAW-IMP-20260516-FULLDRAFT-000949</x:v>
      </x:c>
      <x:c r="C965" t="str">
        <x:v>KTO001</x:v>
      </x:c>
      <x:c r="D965"/>
      <x:c r="E965" t="str">
        <x:v>KAT013</x:v>
      </x:c>
      <x:c r="F965"/>
      <x:c r="G965"/>
      <x:c r="H965" t="str">
        <x:v>kein_match</x:v>
      </x:c>
      <x:c r="I965" t="str">
        <x:v>Agent-Draft: keine finale Regelentscheidung</x:v>
      </x:c>
      <x:c r="J965" t="n">
        <x:v>45845</x:v>
      </x:c>
      <x:c r="K965"/>
      <x:c r="L965"/>
      <x:c r="M965" t="n">
        <x:v>-17.08</x:v>
      </x:c>
      <x:c r="N965" t="str">
        <x:v>2025-07</x:v>
      </x:c>
      <x:c r="O965" t="str">
        <x:v>Ausgabe</x:v>
      </x:c>
      <x:c r="P965" t="str">
        <x:v>Ist</x:v>
      </x:c>
      <x:c r="Q965" s="59" t="b">
        <x:v>0</x:v>
      </x:c>
      <x:c r="R965" t="str">
        <x:v>kein_transfer</x:v>
      </x:c>
      <x:c r="S965"/>
      <x:c r="T965"/>
      <x:c r="U965"/>
      <x:c r="V965" s="59" t="b">
        <x:v>1</x:v>
      </x:c>
      <x:c r="W965"/>
      <x:c r="X965" t="str">
        <x:v>offen</x:v>
      </x:c>
      <x:c r="Y965" t="str">
        <x:v>Agent-Draft; Kategorie und Person pruefen</x:v>
      </x:c>
    </x:row>
    <x:row r="966">
      <x:c r="A966" t="str">
        <x:v>TXN-RAW-IMP-20260516-FULLDRAFT-000950</x:v>
      </x:c>
      <x:c r="B966" t="str">
        <x:v>RAW-IMP-20260516-FULLDRAFT-000950</x:v>
      </x:c>
      <x:c r="C966" t="str">
        <x:v>KTO001</x:v>
      </x:c>
      <x:c r="D966"/>
      <x:c r="E966" t="str">
        <x:v>KAT013</x:v>
      </x:c>
      <x:c r="F966"/>
      <x:c r="G966"/>
      <x:c r="H966" t="str">
        <x:v>kein_match</x:v>
      </x:c>
      <x:c r="I966" t="str">
        <x:v>Agent-Draft: keine finale Regelentscheidung</x:v>
      </x:c>
      <x:c r="J966" t="n">
        <x:v>45845</x:v>
      </x:c>
      <x:c r="K966"/>
      <x:c r="L966"/>
      <x:c r="M966" t="n">
        <x:v>-4.57</x:v>
      </x:c>
      <x:c r="N966" t="str">
        <x:v>2025-07</x:v>
      </x:c>
      <x:c r="O966" t="str">
        <x:v>Ausgabe</x:v>
      </x:c>
      <x:c r="P966" t="str">
        <x:v>Ist</x:v>
      </x:c>
      <x:c r="Q966" s="59" t="b">
        <x:v>0</x:v>
      </x:c>
      <x:c r="R966" t="str">
        <x:v>kein_transfer</x:v>
      </x:c>
      <x:c r="S966"/>
      <x:c r="T966"/>
      <x:c r="U966"/>
      <x:c r="V966" s="59" t="b">
        <x:v>1</x:v>
      </x:c>
      <x:c r="W966"/>
      <x:c r="X966" t="str">
        <x:v>offen</x:v>
      </x:c>
      <x:c r="Y966" t="str">
        <x:v>Agent-Draft; Kategorie und Person pruefen</x:v>
      </x:c>
    </x:row>
    <x:row r="967">
      <x:c r="A967" t="str">
        <x:v>TXN-RAW-IMP-20260516-FULLDRAFT-000951</x:v>
      </x:c>
      <x:c r="B967" t="str">
        <x:v>RAW-IMP-20260516-FULLDRAFT-000951</x:v>
      </x:c>
      <x:c r="C967" t="str">
        <x:v>KTO001</x:v>
      </x:c>
      <x:c r="D967"/>
      <x:c r="E967" t="str">
        <x:v>KAT013</x:v>
      </x:c>
      <x:c r="F967"/>
      <x:c r="G967"/>
      <x:c r="H967" t="str">
        <x:v>kein_match</x:v>
      </x:c>
      <x:c r="I967" t="str">
        <x:v>Agent-Draft: keine finale Regelentscheidung</x:v>
      </x:c>
      <x:c r="J967" t="n">
        <x:v>45845</x:v>
      </x:c>
      <x:c r="K967"/>
      <x:c r="L967"/>
      <x:c r="M967" t="n">
        <x:v>-4.42</x:v>
      </x:c>
      <x:c r="N967" t="str">
        <x:v>2025-07</x:v>
      </x:c>
      <x:c r="O967" t="str">
        <x:v>Ausgabe</x:v>
      </x:c>
      <x:c r="P967" t="str">
        <x:v>Ist</x:v>
      </x:c>
      <x:c r="Q967" s="59" t="b">
        <x:v>0</x:v>
      </x:c>
      <x:c r="R967" t="str">
        <x:v>kein_transfer</x:v>
      </x:c>
      <x:c r="S967"/>
      <x:c r="T967"/>
      <x:c r="U967"/>
      <x:c r="V967" s="59" t="b">
        <x:v>1</x:v>
      </x:c>
      <x:c r="W967"/>
      <x:c r="X967" t="str">
        <x:v>offen</x:v>
      </x:c>
      <x:c r="Y967" t="str">
        <x:v>Agent-Draft; Kategorie und Person pruefen</x:v>
      </x:c>
    </x:row>
    <x:row r="968">
      <x:c r="A968" t="str">
        <x:v>TXN-RAW-IMP-20260516-FULLDRAFT-000952</x:v>
      </x:c>
      <x:c r="B968" t="str">
        <x:v>RAW-IMP-20260516-FULLDRAFT-000952</x:v>
      </x:c>
      <x:c r="C968" t="str">
        <x:v>KTO001</x:v>
      </x:c>
      <x:c r="D968"/>
      <x:c r="E968" t="str">
        <x:v>KAT013</x:v>
      </x:c>
      <x:c r="F968"/>
      <x:c r="G968"/>
      <x:c r="H968" t="str">
        <x:v>kein_match</x:v>
      </x:c>
      <x:c r="I968" t="str">
        <x:v>Agent-Draft: keine finale Regelentscheidung</x:v>
      </x:c>
      <x:c r="J968" t="n">
        <x:v>45845</x:v>
      </x:c>
      <x:c r="K968"/>
      <x:c r="L968"/>
      <x:c r="M968" t="n">
        <x:v>-8.76</x:v>
      </x:c>
      <x:c r="N968" t="str">
        <x:v>2025-07</x:v>
      </x:c>
      <x:c r="O968" t="str">
        <x:v>Ausgabe</x:v>
      </x:c>
      <x:c r="P968" t="str">
        <x:v>Ist</x:v>
      </x:c>
      <x:c r="Q968" s="59" t="b">
        <x:v>0</x:v>
      </x:c>
      <x:c r="R968" t="str">
        <x:v>kein_transfer</x:v>
      </x:c>
      <x:c r="S968"/>
      <x:c r="T968"/>
      <x:c r="U968"/>
      <x:c r="V968" s="59" t="b">
        <x:v>1</x:v>
      </x:c>
      <x:c r="W968"/>
      <x:c r="X968" t="str">
        <x:v>offen</x:v>
      </x:c>
      <x:c r="Y968" t="str">
        <x:v>Agent-Draft; Kategorie und Person pruefen</x:v>
      </x:c>
    </x:row>
    <x:row r="969">
      <x:c r="A969" t="str">
        <x:v>TXN-RAW-IMP-20260516-FULLDRAFT-000953</x:v>
      </x:c>
      <x:c r="B969" t="str">
        <x:v>RAW-IMP-20260516-FULLDRAFT-000953</x:v>
      </x:c>
      <x:c r="C969" t="str">
        <x:v>KTO001</x:v>
      </x:c>
      <x:c r="D969"/>
      <x:c r="E969" t="str">
        <x:v>KAT013</x:v>
      </x:c>
      <x:c r="F969"/>
      <x:c r="G969"/>
      <x:c r="H969" t="str">
        <x:v>kein_match</x:v>
      </x:c>
      <x:c r="I969" t="str">
        <x:v>Agent-Draft: keine finale Regelentscheidung</x:v>
      </x:c>
      <x:c r="J969" t="n">
        <x:v>45845</x:v>
      </x:c>
      <x:c r="K969"/>
      <x:c r="L969"/>
      <x:c r="M969" t="n">
        <x:v>-14</x:v>
      </x:c>
      <x:c r="N969" t="str">
        <x:v>2025-07</x:v>
      </x:c>
      <x:c r="O969" t="str">
        <x:v>Ausgabe</x:v>
      </x:c>
      <x:c r="P969" t="str">
        <x:v>Ist</x:v>
      </x:c>
      <x:c r="Q969" s="59" t="b">
        <x:v>0</x:v>
      </x:c>
      <x:c r="R969" t="str">
        <x:v>kein_transfer</x:v>
      </x:c>
      <x:c r="S969"/>
      <x:c r="T969"/>
      <x:c r="U969"/>
      <x:c r="V969" s="59" t="b">
        <x:v>1</x:v>
      </x:c>
      <x:c r="W969"/>
      <x:c r="X969" t="str">
        <x:v>offen</x:v>
      </x:c>
      <x:c r="Y969" t="str">
        <x:v>Agent-Draft; Kategorie und Person pruefen</x:v>
      </x:c>
    </x:row>
    <x:row r="970">
      <x:c r="A970" t="str">
        <x:v>TXN-RAW-IMP-20260516-FULLDRAFT-000954</x:v>
      </x:c>
      <x:c r="B970" t="str">
        <x:v>RAW-IMP-20260516-FULLDRAFT-000954</x:v>
      </x:c>
      <x:c r="C970" t="str">
        <x:v>KTO001</x:v>
      </x:c>
      <x:c r="D970"/>
      <x:c r="E970" t="str">
        <x:v>KAT013</x:v>
      </x:c>
      <x:c r="F970"/>
      <x:c r="G970"/>
      <x:c r="H970" t="str">
        <x:v>kein_match</x:v>
      </x:c>
      <x:c r="I970" t="str">
        <x:v>Agent-Draft: keine finale Regelentscheidung</x:v>
      </x:c>
      <x:c r="J970" t="n">
        <x:v>45845</x:v>
      </x:c>
      <x:c r="K970"/>
      <x:c r="L970"/>
      <x:c r="M970" t="n">
        <x:v>-20.38</x:v>
      </x:c>
      <x:c r="N970" t="str">
        <x:v>2025-07</x:v>
      </x:c>
      <x:c r="O970" t="str">
        <x:v>Ausgabe</x:v>
      </x:c>
      <x:c r="P970" t="str">
        <x:v>Ist</x:v>
      </x:c>
      <x:c r="Q970" s="59" t="b">
        <x:v>0</x:v>
      </x:c>
      <x:c r="R970" t="str">
        <x:v>kein_transfer</x:v>
      </x:c>
      <x:c r="S970"/>
      <x:c r="T970"/>
      <x:c r="U970"/>
      <x:c r="V970" s="59" t="b">
        <x:v>1</x:v>
      </x:c>
      <x:c r="W970"/>
      <x:c r="X970" t="str">
        <x:v>offen</x:v>
      </x:c>
      <x:c r="Y970" t="str">
        <x:v>Agent-Draft; Kategorie und Person pruefen</x:v>
      </x:c>
    </x:row>
    <x:row r="971">
      <x:c r="A971" t="str">
        <x:v>TXN-RAW-IMP-20260516-FULLDRAFT-000955</x:v>
      </x:c>
      <x:c r="B971" t="str">
        <x:v>RAW-IMP-20260516-FULLDRAFT-000955</x:v>
      </x:c>
      <x:c r="C971" t="str">
        <x:v>KTO001</x:v>
      </x:c>
      <x:c r="D971"/>
      <x:c r="E971" t="str">
        <x:v>KAT013</x:v>
      </x:c>
      <x:c r="F971"/>
      <x:c r="G971"/>
      <x:c r="H971" t="str">
        <x:v>kein_match</x:v>
      </x:c>
      <x:c r="I971" t="str">
        <x:v>Agent-Draft: keine finale Regelentscheidung</x:v>
      </x:c>
      <x:c r="J971" t="n">
        <x:v>45845</x:v>
      </x:c>
      <x:c r="K971"/>
      <x:c r="L971"/>
      <x:c r="M971" t="n">
        <x:v>-5.1</x:v>
      </x:c>
      <x:c r="N971" t="str">
        <x:v>2025-07</x:v>
      </x:c>
      <x:c r="O971" t="str">
        <x:v>Ausgabe</x:v>
      </x:c>
      <x:c r="P971" t="str">
        <x:v>Ist</x:v>
      </x:c>
      <x:c r="Q971" s="59" t="b">
        <x:v>0</x:v>
      </x:c>
      <x:c r="R971" t="str">
        <x:v>kein_transfer</x:v>
      </x:c>
      <x:c r="S971"/>
      <x:c r="T971"/>
      <x:c r="U971"/>
      <x:c r="V971" s="59" t="b">
        <x:v>1</x:v>
      </x:c>
      <x:c r="W971"/>
      <x:c r="X971" t="str">
        <x:v>offen</x:v>
      </x:c>
      <x:c r="Y971" t="str">
        <x:v>Agent-Draft; Kategorie und Person pruefen</x:v>
      </x:c>
    </x:row>
    <x:row r="972">
      <x:c r="A972" t="str">
        <x:v>TXN-RAW-IMP-20260516-FULLDRAFT-000956</x:v>
      </x:c>
      <x:c r="B972" t="str">
        <x:v>RAW-IMP-20260516-FULLDRAFT-000956</x:v>
      </x:c>
      <x:c r="C972" t="str">
        <x:v>KTO001</x:v>
      </x:c>
      <x:c r="D972"/>
      <x:c r="E972" t="str">
        <x:v>KAT013</x:v>
      </x:c>
      <x:c r="F972"/>
      <x:c r="G972"/>
      <x:c r="H972" t="str">
        <x:v>kein_match</x:v>
      </x:c>
      <x:c r="I972" t="str">
        <x:v>Agent-Draft: keine finale Regelentscheidung</x:v>
      </x:c>
      <x:c r="J972" t="n">
        <x:v>45845</x:v>
      </x:c>
      <x:c r="K972"/>
      <x:c r="L972"/>
      <x:c r="M972" t="n">
        <x:v>-105</x:v>
      </x:c>
      <x:c r="N972" t="str">
        <x:v>2025-07</x:v>
      </x:c>
      <x:c r="O972" t="str">
        <x:v>Ausgabe</x:v>
      </x:c>
      <x:c r="P972" t="str">
        <x:v>Ist</x:v>
      </x:c>
      <x:c r="Q972" s="59" t="b">
        <x:v>0</x:v>
      </x:c>
      <x:c r="R972" t="str">
        <x:v>kein_transfer</x:v>
      </x:c>
      <x:c r="S972"/>
      <x:c r="T972"/>
      <x:c r="U972"/>
      <x:c r="V972" s="59" t="b">
        <x:v>1</x:v>
      </x:c>
      <x:c r="W972"/>
      <x:c r="X972" t="str">
        <x:v>offen</x:v>
      </x:c>
      <x:c r="Y972" t="str">
        <x:v>Agent-Draft; Kategorie und Person pruefen</x:v>
      </x:c>
    </x:row>
    <x:row r="973">
      <x:c r="A973" t="str">
        <x:v>TXN-RAW-IMP-20260516-FULLDRAFT-000957</x:v>
      </x:c>
      <x:c r="B973" t="str">
        <x:v>RAW-IMP-20260516-FULLDRAFT-000957</x:v>
      </x:c>
      <x:c r="C973" t="str">
        <x:v>KTO001</x:v>
      </x:c>
      <x:c r="D973"/>
      <x:c r="E973" t="str">
        <x:v>KAT013</x:v>
      </x:c>
      <x:c r="F973"/>
      <x:c r="G973"/>
      <x:c r="H973" t="str">
        <x:v>kein_match</x:v>
      </x:c>
      <x:c r="I973" t="str">
        <x:v>Agent-Draft: keine finale Regelentscheidung</x:v>
      </x:c>
      <x:c r="J973" t="n">
        <x:v>45845</x:v>
      </x:c>
      <x:c r="K973"/>
      <x:c r="L973"/>
      <x:c r="M973" t="n">
        <x:v>-20.6</x:v>
      </x:c>
      <x:c r="N973" t="str">
        <x:v>2025-07</x:v>
      </x:c>
      <x:c r="O973" t="str">
        <x:v>Ausgabe</x:v>
      </x:c>
      <x:c r="P973" t="str">
        <x:v>Ist</x:v>
      </x:c>
      <x:c r="Q973" s="59" t="b">
        <x:v>0</x:v>
      </x:c>
      <x:c r="R973" t="str">
        <x:v>kein_transfer</x:v>
      </x:c>
      <x:c r="S973"/>
      <x:c r="T973"/>
      <x:c r="U973"/>
      <x:c r="V973" s="59" t="b">
        <x:v>1</x:v>
      </x:c>
      <x:c r="W973"/>
      <x:c r="X973" t="str">
        <x:v>offen</x:v>
      </x:c>
      <x:c r="Y973" t="str">
        <x:v>Agent-Draft; Kategorie und Person pruefen</x:v>
      </x:c>
    </x:row>
    <x:row r="974">
      <x:c r="A974" t="str">
        <x:v>TXN-RAW-IMP-20260516-FULLDRAFT-000958</x:v>
      </x:c>
      <x:c r="B974" t="str">
        <x:v>RAW-IMP-20260516-FULLDRAFT-000958</x:v>
      </x:c>
      <x:c r="C974" t="str">
        <x:v>KTO001</x:v>
      </x:c>
      <x:c r="D974"/>
      <x:c r="E974" t="str">
        <x:v>KAT013</x:v>
      </x:c>
      <x:c r="F974"/>
      <x:c r="G974"/>
      <x:c r="H974" t="str">
        <x:v>kein_match</x:v>
      </x:c>
      <x:c r="I974" t="str">
        <x:v>Agent-Draft: keine finale Regelentscheidung</x:v>
      </x:c>
      <x:c r="J974" t="n">
        <x:v>45845</x:v>
      </x:c>
      <x:c r="K974"/>
      <x:c r="L974"/>
      <x:c r="M974" t="n">
        <x:v>-22.28</x:v>
      </x:c>
      <x:c r="N974" t="str">
        <x:v>2025-07</x:v>
      </x:c>
      <x:c r="O974" t="str">
        <x:v>Ausgabe</x:v>
      </x:c>
      <x:c r="P974" t="str">
        <x:v>Ist</x:v>
      </x:c>
      <x:c r="Q974" s="59" t="b">
        <x:v>0</x:v>
      </x:c>
      <x:c r="R974" t="str">
        <x:v>kein_transfer</x:v>
      </x:c>
      <x:c r="S974"/>
      <x:c r="T974"/>
      <x:c r="U974"/>
      <x:c r="V974" s="59" t="b">
        <x:v>1</x:v>
      </x:c>
      <x:c r="W974"/>
      <x:c r="X974" t="str">
        <x:v>offen</x:v>
      </x:c>
      <x:c r="Y974" t="str">
        <x:v>Agent-Draft; Kategorie und Person pruefen</x:v>
      </x:c>
    </x:row>
    <x:row r="975">
      <x:c r="A975" t="str">
        <x:v>TXN-RAW-IMP-20260516-FULLDRAFT-000959</x:v>
      </x:c>
      <x:c r="B975" t="str">
        <x:v>RAW-IMP-20260516-FULLDRAFT-000959</x:v>
      </x:c>
      <x:c r="C975" t="str">
        <x:v>KTO001</x:v>
      </x:c>
      <x:c r="D975"/>
      <x:c r="E975" t="str">
        <x:v>KAT013</x:v>
      </x:c>
      <x:c r="F975"/>
      <x:c r="G975"/>
      <x:c r="H975" t="str">
        <x:v>kein_match</x:v>
      </x:c>
      <x:c r="I975" t="str">
        <x:v>Agent-Draft: keine finale Regelentscheidung</x:v>
      </x:c>
      <x:c r="J975" t="n">
        <x:v>45845</x:v>
      </x:c>
      <x:c r="K975"/>
      <x:c r="L975"/>
      <x:c r="M975" t="n">
        <x:v>-15.4</x:v>
      </x:c>
      <x:c r="N975" t="str">
        <x:v>2025-07</x:v>
      </x:c>
      <x:c r="O975" t="str">
        <x:v>Ausgabe</x:v>
      </x:c>
      <x:c r="P975" t="str">
        <x:v>Ist</x:v>
      </x:c>
      <x:c r="Q975" s="59" t="b">
        <x:v>0</x:v>
      </x:c>
      <x:c r="R975" t="str">
        <x:v>kein_transfer</x:v>
      </x:c>
      <x:c r="S975"/>
      <x:c r="T975"/>
      <x:c r="U975"/>
      <x:c r="V975" s="59" t="b">
        <x:v>1</x:v>
      </x:c>
      <x:c r="W975"/>
      <x:c r="X975" t="str">
        <x:v>offen</x:v>
      </x:c>
      <x:c r="Y975" t="str">
        <x:v>Agent-Draft; Kategorie und Person pruefen</x:v>
      </x:c>
    </x:row>
    <x:row r="976">
      <x:c r="A976" t="str">
        <x:v>TXN-RAW-IMP-20260516-FULLDRAFT-000960</x:v>
      </x:c>
      <x:c r="B976" t="str">
        <x:v>RAW-IMP-20260516-FULLDRAFT-000960</x:v>
      </x:c>
      <x:c r="C976" t="str">
        <x:v>KTO001</x:v>
      </x:c>
      <x:c r="D976"/>
      <x:c r="E976" t="str">
        <x:v>KAT013</x:v>
      </x:c>
      <x:c r="F976"/>
      <x:c r="G976"/>
      <x:c r="H976" t="str">
        <x:v>kein_match</x:v>
      </x:c>
      <x:c r="I976" t="str">
        <x:v>Agent-Draft: keine finale Regelentscheidung</x:v>
      </x:c>
      <x:c r="J976" t="n">
        <x:v>45845</x:v>
      </x:c>
      <x:c r="K976"/>
      <x:c r="L976"/>
      <x:c r="M976" t="n">
        <x:v>-28.56</x:v>
      </x:c>
      <x:c r="N976" t="str">
        <x:v>2025-07</x:v>
      </x:c>
      <x:c r="O976" t="str">
        <x:v>Ausgabe</x:v>
      </x:c>
      <x:c r="P976" t="str">
        <x:v>Ist</x:v>
      </x:c>
      <x:c r="Q976" s="59" t="b">
        <x:v>0</x:v>
      </x:c>
      <x:c r="R976" t="str">
        <x:v>kein_transfer</x:v>
      </x:c>
      <x:c r="S976"/>
      <x:c r="T976"/>
      <x:c r="U976"/>
      <x:c r="V976" s="59" t="b">
        <x:v>1</x:v>
      </x:c>
      <x:c r="W976"/>
      <x:c r="X976" t="str">
        <x:v>offen</x:v>
      </x:c>
      <x:c r="Y976" t="str">
        <x:v>Agent-Draft; Kategorie und Person pruefen</x:v>
      </x:c>
    </x:row>
    <x:row r="977">
      <x:c r="A977" t="str">
        <x:v>TXN-RAW-IMP-20260516-FULLDRAFT-000961</x:v>
      </x:c>
      <x:c r="B977" t="str">
        <x:v>RAW-IMP-20260516-FULLDRAFT-000961</x:v>
      </x:c>
      <x:c r="C977" t="str">
        <x:v>KTO001</x:v>
      </x:c>
      <x:c r="D977"/>
      <x:c r="E977" t="str">
        <x:v>KAT013</x:v>
      </x:c>
      <x:c r="F977"/>
      <x:c r="G977"/>
      <x:c r="H977" t="str">
        <x:v>kein_match</x:v>
      </x:c>
      <x:c r="I977" t="str">
        <x:v>Agent-Draft: keine finale Regelentscheidung</x:v>
      </x:c>
      <x:c r="J977" t="n">
        <x:v>45845</x:v>
      </x:c>
      <x:c r="K977"/>
      <x:c r="L977"/>
      <x:c r="M977" t="n">
        <x:v>-20.99</x:v>
      </x:c>
      <x:c r="N977" t="str">
        <x:v>2025-07</x:v>
      </x:c>
      <x:c r="O977" t="str">
        <x:v>Ausgabe</x:v>
      </x:c>
      <x:c r="P977" t="str">
        <x:v>Ist</x:v>
      </x:c>
      <x:c r="Q977" s="59" t="b">
        <x:v>0</x:v>
      </x:c>
      <x:c r="R977" t="str">
        <x:v>kein_transfer</x:v>
      </x:c>
      <x:c r="S977"/>
      <x:c r="T977"/>
      <x:c r="U977"/>
      <x:c r="V977" s="59" t="b">
        <x:v>1</x:v>
      </x:c>
      <x:c r="W977"/>
      <x:c r="X977" t="str">
        <x:v>offen</x:v>
      </x:c>
      <x:c r="Y977" t="str">
        <x:v>Agent-Draft; Kategorie und Person pruefen</x:v>
      </x:c>
    </x:row>
    <x:row r="978">
      <x:c r="A978" t="str">
        <x:v>TXN-RAW-IMP-20260516-FULLDRAFT-000962</x:v>
      </x:c>
      <x:c r="B978" t="str">
        <x:v>RAW-IMP-20260516-FULLDRAFT-000962</x:v>
      </x:c>
      <x:c r="C978" t="str">
        <x:v>KTO001</x:v>
      </x:c>
      <x:c r="D978"/>
      <x:c r="E978" t="str">
        <x:v>KAT013</x:v>
      </x:c>
      <x:c r="F978"/>
      <x:c r="G978"/>
      <x:c r="H978" t="str">
        <x:v>kein_match</x:v>
      </x:c>
      <x:c r="I978" t="str">
        <x:v>Agent-Draft: keine finale Regelentscheidung</x:v>
      </x:c>
      <x:c r="J978" t="n">
        <x:v>45845</x:v>
      </x:c>
      <x:c r="K978"/>
      <x:c r="L978"/>
      <x:c r="M978" t="n">
        <x:v>-11.99</x:v>
      </x:c>
      <x:c r="N978" t="str">
        <x:v>2025-07</x:v>
      </x:c>
      <x:c r="O978" t="str">
        <x:v>Ausgabe</x:v>
      </x:c>
      <x:c r="P978" t="str">
        <x:v>Ist</x:v>
      </x:c>
      <x:c r="Q978" s="59" t="b">
        <x:v>0</x:v>
      </x:c>
      <x:c r="R978" t="str">
        <x:v>kein_transfer</x:v>
      </x:c>
      <x:c r="S978"/>
      <x:c r="T978"/>
      <x:c r="U978"/>
      <x:c r="V978" s="59" t="b">
        <x:v>1</x:v>
      </x:c>
      <x:c r="W978"/>
      <x:c r="X978" t="str">
        <x:v>offen</x:v>
      </x:c>
      <x:c r="Y978" t="str">
        <x:v>Agent-Draft; Kategorie und Person pruefen</x:v>
      </x:c>
    </x:row>
    <x:row r="979">
      <x:c r="A979" t="str">
        <x:v>TXN-RAW-IMP-20260516-FULLDRAFT-000963</x:v>
      </x:c>
      <x:c r="B979" t="str">
        <x:v>RAW-IMP-20260516-FULLDRAFT-000963</x:v>
      </x:c>
      <x:c r="C979" t="str">
        <x:v>KTO001</x:v>
      </x:c>
      <x:c r="D979"/>
      <x:c r="E979" t="str">
        <x:v>KAT013</x:v>
      </x:c>
      <x:c r="F979"/>
      <x:c r="G979"/>
      <x:c r="H979" t="str">
        <x:v>kein_match</x:v>
      </x:c>
      <x:c r="I979" t="str">
        <x:v>Agent-Draft: keine finale Regelentscheidung</x:v>
      </x:c>
      <x:c r="J979" t="n">
        <x:v>45845</x:v>
      </x:c>
      <x:c r="K979"/>
      <x:c r="L979"/>
      <x:c r="M979" t="n">
        <x:v>-5.5</x:v>
      </x:c>
      <x:c r="N979" t="str">
        <x:v>2025-07</x:v>
      </x:c>
      <x:c r="O979" t="str">
        <x:v>Ausgabe</x:v>
      </x:c>
      <x:c r="P979" t="str">
        <x:v>Ist</x:v>
      </x:c>
      <x:c r="Q979" s="59" t="b">
        <x:v>0</x:v>
      </x:c>
      <x:c r="R979" t="str">
        <x:v>kein_transfer</x:v>
      </x:c>
      <x:c r="S979"/>
      <x:c r="T979"/>
      <x:c r="U979"/>
      <x:c r="V979" s="59" t="b">
        <x:v>1</x:v>
      </x:c>
      <x:c r="W979"/>
      <x:c r="X979" t="str">
        <x:v>offen</x:v>
      </x:c>
      <x:c r="Y979" t="str">
        <x:v>Agent-Draft; Kategorie und Person pruefen</x:v>
      </x:c>
    </x:row>
    <x:row r="980">
      <x:c r="A980" t="str">
        <x:v>TXN-RAW-IMP-20260516-FULLDRAFT-000964</x:v>
      </x:c>
      <x:c r="B980" t="str">
        <x:v>RAW-IMP-20260516-FULLDRAFT-000964</x:v>
      </x:c>
      <x:c r="C980" t="str">
        <x:v>KTO001</x:v>
      </x:c>
      <x:c r="D980"/>
      <x:c r="E980" t="str">
        <x:v>KAT013</x:v>
      </x:c>
      <x:c r="F980"/>
      <x:c r="G980"/>
      <x:c r="H980" t="str">
        <x:v>kein_match</x:v>
      </x:c>
      <x:c r="I980" t="str">
        <x:v>Agent-Draft: keine finale Regelentscheidung</x:v>
      </x:c>
      <x:c r="J980" t="n">
        <x:v>45845</x:v>
      </x:c>
      <x:c r="K980"/>
      <x:c r="L980"/>
      <x:c r="M980" t="n">
        <x:v>-32.4</x:v>
      </x:c>
      <x:c r="N980" t="str">
        <x:v>2025-07</x:v>
      </x:c>
      <x:c r="O980" t="str">
        <x:v>Ausgabe</x:v>
      </x:c>
      <x:c r="P980" t="str">
        <x:v>Ist</x:v>
      </x:c>
      <x:c r="Q980" s="59" t="b">
        <x:v>0</x:v>
      </x:c>
      <x:c r="R980" t="str">
        <x:v>kein_transfer</x:v>
      </x:c>
      <x:c r="S980"/>
      <x:c r="T980"/>
      <x:c r="U980"/>
      <x:c r="V980" s="59" t="b">
        <x:v>1</x:v>
      </x:c>
      <x:c r="W980"/>
      <x:c r="X980" t="str">
        <x:v>offen</x:v>
      </x:c>
      <x:c r="Y980" t="str">
        <x:v>Agent-Draft; Kategorie und Person pruefen</x:v>
      </x:c>
    </x:row>
    <x:row r="981">
      <x:c r="A981" t="str">
        <x:v>TXN-RAW-IMP-20260516-FULLDRAFT-000965</x:v>
      </x:c>
      <x:c r="B981" t="str">
        <x:v>RAW-IMP-20260516-FULLDRAFT-000965</x:v>
      </x:c>
      <x:c r="C981" t="str">
        <x:v>KTO001</x:v>
      </x:c>
      <x:c r="D981"/>
      <x:c r="E981" t="str">
        <x:v>KAT013</x:v>
      </x:c>
      <x:c r="F981"/>
      <x:c r="G981"/>
      <x:c r="H981" t="str">
        <x:v>kein_match</x:v>
      </x:c>
      <x:c r="I981" t="str">
        <x:v>Agent-Draft: keine finale Regelentscheidung</x:v>
      </x:c>
      <x:c r="J981" t="n">
        <x:v>45845</x:v>
      </x:c>
      <x:c r="K981"/>
      <x:c r="L981"/>
      <x:c r="M981" t="n">
        <x:v>-5</x:v>
      </x:c>
      <x:c r="N981" t="str">
        <x:v>2025-07</x:v>
      </x:c>
      <x:c r="O981" t="str">
        <x:v>Ausgabe</x:v>
      </x:c>
      <x:c r="P981" t="str">
        <x:v>Ist</x:v>
      </x:c>
      <x:c r="Q981" s="59" t="b">
        <x:v>0</x:v>
      </x:c>
      <x:c r="R981" t="str">
        <x:v>kein_transfer</x:v>
      </x:c>
      <x:c r="S981"/>
      <x:c r="T981"/>
      <x:c r="U981"/>
      <x:c r="V981" s="59" t="b">
        <x:v>1</x:v>
      </x:c>
      <x:c r="W981"/>
      <x:c r="X981" t="str">
        <x:v>offen</x:v>
      </x:c>
      <x:c r="Y981" t="str">
        <x:v>Agent-Draft; Kategorie und Person pruefen</x:v>
      </x:c>
    </x:row>
    <x:row r="982">
      <x:c r="A982" t="str">
        <x:v>TXN-RAW-IMP-20260516-FULLDRAFT-000966</x:v>
      </x:c>
      <x:c r="B982" t="str">
        <x:v>RAW-IMP-20260516-FULLDRAFT-000966</x:v>
      </x:c>
      <x:c r="C982" t="str">
        <x:v>KTO001</x:v>
      </x:c>
      <x:c r="D982"/>
      <x:c r="E982" t="str">
        <x:v>KAT013</x:v>
      </x:c>
      <x:c r="F982"/>
      <x:c r="G982"/>
      <x:c r="H982" t="str">
        <x:v>kein_match</x:v>
      </x:c>
      <x:c r="I982" t="str">
        <x:v>Agent-Draft: keine finale Regelentscheidung</x:v>
      </x:c>
      <x:c r="J982" t="n">
        <x:v>45845</x:v>
      </x:c>
      <x:c r="K982"/>
      <x:c r="L982"/>
      <x:c r="M982" t="n">
        <x:v>-4.2</x:v>
      </x:c>
      <x:c r="N982" t="str">
        <x:v>2025-07</x:v>
      </x:c>
      <x:c r="O982" t="str">
        <x:v>Ausgabe</x:v>
      </x:c>
      <x:c r="P982" t="str">
        <x:v>Ist</x:v>
      </x:c>
      <x:c r="Q982" s="59" t="b">
        <x:v>0</x:v>
      </x:c>
      <x:c r="R982" t="str">
        <x:v>kein_transfer</x:v>
      </x:c>
      <x:c r="S982"/>
      <x:c r="T982"/>
      <x:c r="U982"/>
      <x:c r="V982" s="59" t="b">
        <x:v>1</x:v>
      </x:c>
      <x:c r="W982"/>
      <x:c r="X982" t="str">
        <x:v>offen</x:v>
      </x:c>
      <x:c r="Y982" t="str">
        <x:v>Agent-Draft; Kategorie und Person pruefen</x:v>
      </x:c>
    </x:row>
    <x:row r="983">
      <x:c r="A983" t="str">
        <x:v>TXN-RAW-IMP-20260516-FULLDRAFT-000967</x:v>
      </x:c>
      <x:c r="B983" t="str">
        <x:v>RAW-IMP-20260516-FULLDRAFT-000967</x:v>
      </x:c>
      <x:c r="C983" t="str">
        <x:v>KTO001</x:v>
      </x:c>
      <x:c r="D983"/>
      <x:c r="E983" t="str">
        <x:v>KAT013</x:v>
      </x:c>
      <x:c r="F983"/>
      <x:c r="G983"/>
      <x:c r="H983" t="str">
        <x:v>kein_match</x:v>
      </x:c>
      <x:c r="I983" t="str">
        <x:v>Agent-Draft: keine finale Regelentscheidung</x:v>
      </x:c>
      <x:c r="J983" t="n">
        <x:v>45845</x:v>
      </x:c>
      <x:c r="K983"/>
      <x:c r="L983"/>
      <x:c r="M983" t="n">
        <x:v>-3.1</x:v>
      </x:c>
      <x:c r="N983" t="str">
        <x:v>2025-07</x:v>
      </x:c>
      <x:c r="O983" t="str">
        <x:v>Ausgabe</x:v>
      </x:c>
      <x:c r="P983" t="str">
        <x:v>Ist</x:v>
      </x:c>
      <x:c r="Q983" s="59" t="b">
        <x:v>0</x:v>
      </x:c>
      <x:c r="R983" t="str">
        <x:v>kein_transfer</x:v>
      </x:c>
      <x:c r="S983"/>
      <x:c r="T983"/>
      <x:c r="U983"/>
      <x:c r="V983" s="59" t="b">
        <x:v>1</x:v>
      </x:c>
      <x:c r="W983"/>
      <x:c r="X983" t="str">
        <x:v>offen</x:v>
      </x:c>
      <x:c r="Y983" t="str">
        <x:v>Agent-Draft; Kategorie und Person pruefen</x:v>
      </x:c>
    </x:row>
    <x:row r="984">
      <x:c r="A984" t="str">
        <x:v>TXN-RAW-IMP-20260516-FULLDRAFT-000968</x:v>
      </x:c>
      <x:c r="B984" t="str">
        <x:v>RAW-IMP-20260516-FULLDRAFT-000968</x:v>
      </x:c>
      <x:c r="C984" t="str">
        <x:v>KTO001</x:v>
      </x:c>
      <x:c r="D984"/>
      <x:c r="E984" t="str">
        <x:v>KAT013</x:v>
      </x:c>
      <x:c r="F984"/>
      <x:c r="G984"/>
      <x:c r="H984" t="str">
        <x:v>kein_match</x:v>
      </x:c>
      <x:c r="I984" t="str">
        <x:v>Agent-Draft: keine finale Regelentscheidung</x:v>
      </x:c>
      <x:c r="J984" t="n">
        <x:v>45845</x:v>
      </x:c>
      <x:c r="K984"/>
      <x:c r="L984"/>
      <x:c r="M984" t="n">
        <x:v>-32.4</x:v>
      </x:c>
      <x:c r="N984" t="str">
        <x:v>2025-07</x:v>
      </x:c>
      <x:c r="O984" t="str">
        <x:v>Ausgabe</x:v>
      </x:c>
      <x:c r="P984" t="str">
        <x:v>Ist</x:v>
      </x:c>
      <x:c r="Q984" s="59" t="b">
        <x:v>0</x:v>
      </x:c>
      <x:c r="R984" t="str">
        <x:v>kein_transfer</x:v>
      </x:c>
      <x:c r="S984"/>
      <x:c r="T984"/>
      <x:c r="U984"/>
      <x:c r="V984" s="59" t="b">
        <x:v>1</x:v>
      </x:c>
      <x:c r="W984"/>
      <x:c r="X984" t="str">
        <x:v>offen</x:v>
      </x:c>
      <x:c r="Y984" t="str">
        <x:v>Agent-Draft; Kategorie und Person pruefen</x:v>
      </x:c>
    </x:row>
    <x:row r="985">
      <x:c r="A985" t="str">
        <x:v>TXN-RAW-IMP-20260516-FULLDRAFT-000969</x:v>
      </x:c>
      <x:c r="B985" t="str">
        <x:v>RAW-IMP-20260516-FULLDRAFT-000969</x:v>
      </x:c>
      <x:c r="C985" t="str">
        <x:v>KTO001</x:v>
      </x:c>
      <x:c r="D985"/>
      <x:c r="E985" t="str">
        <x:v>KAT013</x:v>
      </x:c>
      <x:c r="F985"/>
      <x:c r="G985"/>
      <x:c r="H985" t="str">
        <x:v>kein_match</x:v>
      </x:c>
      <x:c r="I985" t="str">
        <x:v>Agent-Draft: keine finale Regelentscheidung</x:v>
      </x:c>
      <x:c r="J985" t="n">
        <x:v>45845</x:v>
      </x:c>
      <x:c r="K985"/>
      <x:c r="L985"/>
      <x:c r="M985" t="n">
        <x:v>-49.9</x:v>
      </x:c>
      <x:c r="N985" t="str">
        <x:v>2025-07</x:v>
      </x:c>
      <x:c r="O985" t="str">
        <x:v>Ausgabe</x:v>
      </x:c>
      <x:c r="P985" t="str">
        <x:v>Ist</x:v>
      </x:c>
      <x:c r="Q985" s="59" t="b">
        <x:v>0</x:v>
      </x:c>
      <x:c r="R985" t="str">
        <x:v>kein_transfer</x:v>
      </x:c>
      <x:c r="S985"/>
      <x:c r="T985"/>
      <x:c r="U985"/>
      <x:c r="V985" s="59" t="b">
        <x:v>1</x:v>
      </x:c>
      <x:c r="W985"/>
      <x:c r="X985" t="str">
        <x:v>offen</x:v>
      </x:c>
      <x:c r="Y985" t="str">
        <x:v>Agent-Draft; Kategorie und Person pruefen</x:v>
      </x:c>
    </x:row>
    <x:row r="986">
      <x:c r="A986" t="str">
        <x:v>TXN-RAW-IMP-20260516-FULLDRAFT-000970</x:v>
      </x:c>
      <x:c r="B986" t="str">
        <x:v>RAW-IMP-20260516-FULLDRAFT-000970</x:v>
      </x:c>
      <x:c r="C986" t="str">
        <x:v>KTO001</x:v>
      </x:c>
      <x:c r="D986"/>
      <x:c r="E986" t="str">
        <x:v>KAT013</x:v>
      </x:c>
      <x:c r="F986"/>
      <x:c r="G986"/>
      <x:c r="H986" t="str">
        <x:v>kein_match</x:v>
      </x:c>
      <x:c r="I986" t="str">
        <x:v>Agent-Draft: keine finale Regelentscheidung</x:v>
      </x:c>
      <x:c r="J986" t="n">
        <x:v>45842</x:v>
      </x:c>
      <x:c r="K986"/>
      <x:c r="L986"/>
      <x:c r="M986" t="n">
        <x:v>1000</x:v>
      </x:c>
      <x:c r="N986" t="str">
        <x:v>2025-07</x:v>
      </x:c>
      <x:c r="O986" t="str">
        <x:v>Einnahme</x:v>
      </x:c>
      <x:c r="P986" t="str">
        <x:v>Ist</x:v>
      </x:c>
      <x:c r="Q986" s="59" t="b">
        <x:v>0</x:v>
      </x:c>
      <x:c r="R986" t="str">
        <x:v>unklar</x:v>
      </x:c>
      <x:c r="S986"/>
      <x:c r="T986"/>
      <x:c r="U986"/>
      <x:c r="V986" s="59" t="b">
        <x:v>1</x:v>
      </x:c>
      <x:c r="W986" t="str">
        <x:v>Transferkandidat im Draft</x:v>
      </x:c>
      <x:c r="X986" t="str">
        <x:v>offen</x:v>
      </x:c>
      <x:c r="Y986" t="str">
        <x:v>Agent-Draft; Kategorie und Person pruefen</x:v>
      </x:c>
    </x:row>
    <x:row r="987">
      <x:c r="A987" t="str">
        <x:v>TXN-RAW-IMP-20260516-FULLDRAFT-000971</x:v>
      </x:c>
      <x:c r="B987" t="str">
        <x:v>RAW-IMP-20260516-FULLDRAFT-000971</x:v>
      </x:c>
      <x:c r="C987" t="str">
        <x:v>KTO001</x:v>
      </x:c>
      <x:c r="D987"/>
      <x:c r="E987" t="str">
        <x:v>KAT013</x:v>
      </x:c>
      <x:c r="F987"/>
      <x:c r="G987"/>
      <x:c r="H987" t="str">
        <x:v>kein_match</x:v>
      </x:c>
      <x:c r="I987" t="str">
        <x:v>Agent-Draft: keine finale Regelentscheidung</x:v>
      </x:c>
      <x:c r="J987" t="n">
        <x:v>45842</x:v>
      </x:c>
      <x:c r="K987"/>
      <x:c r="L987"/>
      <x:c r="M987" t="n">
        <x:v>-500</x:v>
      </x:c>
      <x:c r="N987" t="str">
        <x:v>2025-07</x:v>
      </x:c>
      <x:c r="O987" t="str">
        <x:v>Ausgabe</x:v>
      </x:c>
      <x:c r="P987" t="str">
        <x:v>Ist</x:v>
      </x:c>
      <x:c r="Q987" s="59" t="b">
        <x:v>0</x:v>
      </x:c>
      <x:c r="R987" t="str">
        <x:v>kein_transfer</x:v>
      </x:c>
      <x:c r="S987"/>
      <x:c r="T987"/>
      <x:c r="U987"/>
      <x:c r="V987" s="59" t="b">
        <x:v>1</x:v>
      </x:c>
      <x:c r="W987"/>
      <x:c r="X987" t="str">
        <x:v>offen</x:v>
      </x:c>
      <x:c r="Y987" t="str">
        <x:v>Agent-Draft; Kategorie und Person pruefen</x:v>
      </x:c>
    </x:row>
    <x:row r="988">
      <x:c r="A988" t="str">
        <x:v>TXN-RAW-IMP-20260516-FULLDRAFT-000972</x:v>
      </x:c>
      <x:c r="B988" t="str">
        <x:v>RAW-IMP-20260516-FULLDRAFT-000972</x:v>
      </x:c>
      <x:c r="C988" t="str">
        <x:v>KTO001</x:v>
      </x:c>
      <x:c r="D988"/>
      <x:c r="E988" t="str">
        <x:v>KAT013</x:v>
      </x:c>
      <x:c r="F988"/>
      <x:c r="G988"/>
      <x:c r="H988" t="str">
        <x:v>kein_match</x:v>
      </x:c>
      <x:c r="I988" t="str">
        <x:v>Agent-Draft: keine finale Regelentscheidung</x:v>
      </x:c>
      <x:c r="J988" t="n">
        <x:v>45842</x:v>
      </x:c>
      <x:c r="K988"/>
      <x:c r="L988"/>
      <x:c r="M988" t="n">
        <x:v>-61.93</x:v>
      </x:c>
      <x:c r="N988" t="str">
        <x:v>2025-07</x:v>
      </x:c>
      <x:c r="O988" t="str">
        <x:v>Ausgabe</x:v>
      </x:c>
      <x:c r="P988" t="str">
        <x:v>Ist</x:v>
      </x:c>
      <x:c r="Q988" s="59" t="b">
        <x:v>0</x:v>
      </x:c>
      <x:c r="R988" t="str">
        <x:v>kein_transfer</x:v>
      </x:c>
      <x:c r="S988"/>
      <x:c r="T988"/>
      <x:c r="U988"/>
      <x:c r="V988" s="59" t="b">
        <x:v>1</x:v>
      </x:c>
      <x:c r="W988"/>
      <x:c r="X988" t="str">
        <x:v>offen</x:v>
      </x:c>
      <x:c r="Y988" t="str">
        <x:v>Agent-Draft; Kategorie und Person pruefen</x:v>
      </x:c>
    </x:row>
    <x:row r="989">
      <x:c r="A989" t="str">
        <x:v>TXN-RAW-IMP-20260516-FULLDRAFT-000973</x:v>
      </x:c>
      <x:c r="B989" t="str">
        <x:v>RAW-IMP-20260516-FULLDRAFT-000973</x:v>
      </x:c>
      <x:c r="C989" t="str">
        <x:v>KTO001</x:v>
      </x:c>
      <x:c r="D989"/>
      <x:c r="E989" t="str">
        <x:v>KAT013</x:v>
      </x:c>
      <x:c r="F989"/>
      <x:c r="G989"/>
      <x:c r="H989" t="str">
        <x:v>kein_match</x:v>
      </x:c>
      <x:c r="I989" t="str">
        <x:v>Agent-Draft: keine finale Regelentscheidung</x:v>
      </x:c>
      <x:c r="J989" t="n">
        <x:v>45841</x:v>
      </x:c>
      <x:c r="K989"/>
      <x:c r="L989"/>
      <x:c r="M989" t="n">
        <x:v>-975.5</x:v>
      </x:c>
      <x:c r="N989" t="str">
        <x:v>2025-07</x:v>
      </x:c>
      <x:c r="O989" t="str">
        <x:v>Ausgabe</x:v>
      </x:c>
      <x:c r="P989" t="str">
        <x:v>Ist</x:v>
      </x:c>
      <x:c r="Q989" s="59" t="b">
        <x:v>0</x:v>
      </x:c>
      <x:c r="R989" t="str">
        <x:v>kein_transfer</x:v>
      </x:c>
      <x:c r="S989"/>
      <x:c r="T989"/>
      <x:c r="U989"/>
      <x:c r="V989" s="59" t="b">
        <x:v>1</x:v>
      </x:c>
      <x:c r="W989"/>
      <x:c r="X989" t="str">
        <x:v>offen</x:v>
      </x:c>
      <x:c r="Y989" t="str">
        <x:v>Agent-Draft; Kategorie und Person pruefen</x:v>
      </x:c>
    </x:row>
    <x:row r="990">
      <x:c r="A990" t="str">
        <x:v>TXN-RAW-IMP-20260516-FULLDRAFT-000974</x:v>
      </x:c>
      <x:c r="B990" t="str">
        <x:v>RAW-IMP-20260516-FULLDRAFT-000974</x:v>
      </x:c>
      <x:c r="C990" t="str">
        <x:v>KTO001</x:v>
      </x:c>
      <x:c r="D990"/>
      <x:c r="E990" t="str">
        <x:v>KAT013</x:v>
      </x:c>
      <x:c r="F990"/>
      <x:c r="G990"/>
      <x:c r="H990" t="str">
        <x:v>kein_match</x:v>
      </x:c>
      <x:c r="I990" t="str">
        <x:v>Agent-Draft: keine finale Regelentscheidung</x:v>
      </x:c>
      <x:c r="J990" t="n">
        <x:v>45841</x:v>
      </x:c>
      <x:c r="K990"/>
      <x:c r="L990"/>
      <x:c r="M990" t="n">
        <x:v>-864.89</x:v>
      </x:c>
      <x:c r="N990" t="str">
        <x:v>2025-07</x:v>
      </x:c>
      <x:c r="O990" t="str">
        <x:v>Ausgabe</x:v>
      </x:c>
      <x:c r="P990" t="str">
        <x:v>Ist</x:v>
      </x:c>
      <x:c r="Q990" s="59" t="b">
        <x:v>0</x:v>
      </x:c>
      <x:c r="R990" t="str">
        <x:v>kein_transfer</x:v>
      </x:c>
      <x:c r="S990"/>
      <x:c r="T990"/>
      <x:c r="U990"/>
      <x:c r="V990" s="59" t="b">
        <x:v>1</x:v>
      </x:c>
      <x:c r="W990"/>
      <x:c r="X990" t="str">
        <x:v>offen</x:v>
      </x:c>
      <x:c r="Y990" t="str">
        <x:v>Agent-Draft; Kategorie und Person pruefen</x:v>
      </x:c>
    </x:row>
    <x:row r="991">
      <x:c r="A991" t="str">
        <x:v>TXN-RAW-IMP-20260516-FULLDRAFT-000975</x:v>
      </x:c>
      <x:c r="B991" t="str">
        <x:v>RAW-IMP-20260516-FULLDRAFT-000975</x:v>
      </x:c>
      <x:c r="C991" t="str">
        <x:v>KTO001</x:v>
      </x:c>
      <x:c r="D991"/>
      <x:c r="E991" t="str">
        <x:v>KAT013</x:v>
      </x:c>
      <x:c r="F991"/>
      <x:c r="G991"/>
      <x:c r="H991" t="str">
        <x:v>kein_match</x:v>
      </x:c>
      <x:c r="I991" t="str">
        <x:v>Agent-Draft: keine finale Regelentscheidung</x:v>
      </x:c>
      <x:c r="J991" t="n">
        <x:v>45841</x:v>
      </x:c>
      <x:c r="K991"/>
      <x:c r="L991"/>
      <x:c r="M991" t="n">
        <x:v>-3</x:v>
      </x:c>
      <x:c r="N991" t="str">
        <x:v>2025-07</x:v>
      </x:c>
      <x:c r="O991" t="str">
        <x:v>Ausgabe</x:v>
      </x:c>
      <x:c r="P991" t="str">
        <x:v>Ist</x:v>
      </x:c>
      <x:c r="Q991" s="59" t="b">
        <x:v>0</x:v>
      </x:c>
      <x:c r="R991" t="str">
        <x:v>kein_transfer</x:v>
      </x:c>
      <x:c r="S991"/>
      <x:c r="T991"/>
      <x:c r="U991"/>
      <x:c r="V991" s="59" t="b">
        <x:v>1</x:v>
      </x:c>
      <x:c r="W991"/>
      <x:c r="X991" t="str">
        <x:v>offen</x:v>
      </x:c>
      <x:c r="Y991" t="str">
        <x:v>Agent-Draft; Kategorie und Person pruefen</x:v>
      </x:c>
    </x:row>
    <x:row r="992">
      <x:c r="A992" t="str">
        <x:v>TXN-RAW-IMP-20260516-FULLDRAFT-000976</x:v>
      </x:c>
      <x:c r="B992" t="str">
        <x:v>RAW-IMP-20260516-FULLDRAFT-000976</x:v>
      </x:c>
      <x:c r="C992" t="str">
        <x:v>KTO001</x:v>
      </x:c>
      <x:c r="D992"/>
      <x:c r="E992" t="str">
        <x:v>KAT013</x:v>
      </x:c>
      <x:c r="F992"/>
      <x:c r="G992"/>
      <x:c r="H992" t="str">
        <x:v>kein_match</x:v>
      </x:c>
      <x:c r="I992" t="str">
        <x:v>Agent-Draft: keine finale Regelentscheidung</x:v>
      </x:c>
      <x:c r="J992" t="n">
        <x:v>45840</x:v>
      </x:c>
      <x:c r="K992"/>
      <x:c r="L992"/>
      <x:c r="M992" t="n">
        <x:v>245.73</x:v>
      </x:c>
      <x:c r="N992" t="str">
        <x:v>2025-07</x:v>
      </x:c>
      <x:c r="O992" t="str">
        <x:v>Einnahme</x:v>
      </x:c>
      <x:c r="P992" t="str">
        <x:v>Ist</x:v>
      </x:c>
      <x:c r="Q992" s="59" t="b">
        <x:v>0</x:v>
      </x:c>
      <x:c r="R992" t="str">
        <x:v>kein_transfer</x:v>
      </x:c>
      <x:c r="S992"/>
      <x:c r="T992"/>
      <x:c r="U992"/>
      <x:c r="V992" s="59" t="b">
        <x:v>1</x:v>
      </x:c>
      <x:c r="W992"/>
      <x:c r="X992" t="str">
        <x:v>offen</x:v>
      </x:c>
      <x:c r="Y992" t="str">
        <x:v>Agent-Draft; Kategorie und Person pruefen</x:v>
      </x:c>
    </x:row>
    <x:row r="993">
      <x:c r="A993" t="str">
        <x:v>TXN-RAW-IMP-20260516-FULLDRAFT-000977</x:v>
      </x:c>
      <x:c r="B993" t="str">
        <x:v>RAW-IMP-20260516-FULLDRAFT-000977</x:v>
      </x:c>
      <x:c r="C993" t="str">
        <x:v>KTO001</x:v>
      </x:c>
      <x:c r="D993"/>
      <x:c r="E993" t="str">
        <x:v>KAT013</x:v>
      </x:c>
      <x:c r="F993"/>
      <x:c r="G993"/>
      <x:c r="H993" t="str">
        <x:v>kein_match</x:v>
      </x:c>
      <x:c r="I993" t="str">
        <x:v>Agent-Draft: keine finale Regelentscheidung</x:v>
      </x:c>
      <x:c r="J993" t="n">
        <x:v>45840</x:v>
      </x:c>
      <x:c r="K993"/>
      <x:c r="L993"/>
      <x:c r="M993" t="n">
        <x:v>-4.23</x:v>
      </x:c>
      <x:c r="N993" t="str">
        <x:v>2025-07</x:v>
      </x:c>
      <x:c r="O993" t="str">
        <x:v>Ausgabe</x:v>
      </x:c>
      <x:c r="P993" t="str">
        <x:v>Ist</x:v>
      </x:c>
      <x:c r="Q993" s="59" t="b">
        <x:v>0</x:v>
      </x:c>
      <x:c r="R993" t="str">
        <x:v>kein_transfer</x:v>
      </x:c>
      <x:c r="S993"/>
      <x:c r="T993"/>
      <x:c r="U993"/>
      <x:c r="V993" s="59" t="b">
        <x:v>1</x:v>
      </x:c>
      <x:c r="W993"/>
      <x:c r="X993" t="str">
        <x:v>offen</x:v>
      </x:c>
      <x:c r="Y993" t="str">
        <x:v>Agent-Draft; Kategorie und Person pruefen</x:v>
      </x:c>
    </x:row>
    <x:row r="994">
      <x:c r="A994" t="str">
        <x:v>TXN-RAW-IMP-20260516-FULLDRAFT-000978</x:v>
      </x:c>
      <x:c r="B994" t="str">
        <x:v>RAW-IMP-20260516-FULLDRAFT-000978</x:v>
      </x:c>
      <x:c r="C994" t="str">
        <x:v>KTO001</x:v>
      </x:c>
      <x:c r="D994"/>
      <x:c r="E994" t="str">
        <x:v>KAT013</x:v>
      </x:c>
      <x:c r="F994"/>
      <x:c r="G994"/>
      <x:c r="H994" t="str">
        <x:v>kein_match</x:v>
      </x:c>
      <x:c r="I994" t="str">
        <x:v>Agent-Draft: keine finale Regelentscheidung</x:v>
      </x:c>
      <x:c r="J994" t="n">
        <x:v>45840</x:v>
      </x:c>
      <x:c r="K994"/>
      <x:c r="L994"/>
      <x:c r="M994" t="n">
        <x:v>-162.17</x:v>
      </x:c>
      <x:c r="N994" t="str">
        <x:v>2025-07</x:v>
      </x:c>
      <x:c r="O994" t="str">
        <x:v>Ausgabe</x:v>
      </x:c>
      <x:c r="P994" t="str">
        <x:v>Ist</x:v>
      </x:c>
      <x:c r="Q994" s="59" t="b">
        <x:v>0</x:v>
      </x:c>
      <x:c r="R994" t="str">
        <x:v>kein_transfer</x:v>
      </x:c>
      <x:c r="S994"/>
      <x:c r="T994"/>
      <x:c r="U994"/>
      <x:c r="V994" s="59" t="b">
        <x:v>1</x:v>
      </x:c>
      <x:c r="W994"/>
      <x:c r="X994" t="str">
        <x:v>offen</x:v>
      </x:c>
      <x:c r="Y994" t="str">
        <x:v>Agent-Draft; Kategorie und Person pruefen</x:v>
      </x:c>
    </x:row>
    <x:row r="995">
      <x:c r="A995" t="str">
        <x:v>TXN-RAW-IMP-20260516-FULLDRAFT-000979</x:v>
      </x:c>
      <x:c r="B995" t="str">
        <x:v>RAW-IMP-20260516-FULLDRAFT-000979</x:v>
      </x:c>
      <x:c r="C995" t="str">
        <x:v>KTO001</x:v>
      </x:c>
      <x:c r="D995"/>
      <x:c r="E995" t="str">
        <x:v>KAT013</x:v>
      </x:c>
      <x:c r="F995"/>
      <x:c r="G995"/>
      <x:c r="H995" t="str">
        <x:v>kein_match</x:v>
      </x:c>
      <x:c r="I995" t="str">
        <x:v>Agent-Draft: keine finale Regelentscheidung</x:v>
      </x:c>
      <x:c r="J995" t="n">
        <x:v>45840</x:v>
      </x:c>
      <x:c r="K995"/>
      <x:c r="L995"/>
      <x:c r="M995" t="n">
        <x:v>-11.96</x:v>
      </x:c>
      <x:c r="N995" t="str">
        <x:v>2025-07</x:v>
      </x:c>
      <x:c r="O995" t="str">
        <x:v>Ausgabe</x:v>
      </x:c>
      <x:c r="P995" t="str">
        <x:v>Ist</x:v>
      </x:c>
      <x:c r="Q995" s="59" t="b">
        <x:v>0</x:v>
      </x:c>
      <x:c r="R995" t="str">
        <x:v>kein_transfer</x:v>
      </x:c>
      <x:c r="S995"/>
      <x:c r="T995"/>
      <x:c r="U995"/>
      <x:c r="V995" s="59" t="b">
        <x:v>1</x:v>
      </x:c>
      <x:c r="W995"/>
      <x:c r="X995" t="str">
        <x:v>offen</x:v>
      </x:c>
      <x:c r="Y995" t="str">
        <x:v>Agent-Draft; Kategorie und Person pruefen</x:v>
      </x:c>
    </x:row>
    <x:row r="996">
      <x:c r="A996" t="str">
        <x:v>TXN-RAW-IMP-20260516-FULLDRAFT-000980</x:v>
      </x:c>
      <x:c r="B996" t="str">
        <x:v>RAW-IMP-20260516-FULLDRAFT-000980</x:v>
      </x:c>
      <x:c r="C996" t="str">
        <x:v>KTO001</x:v>
      </x:c>
      <x:c r="D996"/>
      <x:c r="E996" t="str">
        <x:v>KAT013</x:v>
      </x:c>
      <x:c r="F996"/>
      <x:c r="G996"/>
      <x:c r="H996" t="str">
        <x:v>kein_match</x:v>
      </x:c>
      <x:c r="I996" t="str">
        <x:v>Agent-Draft: keine finale Regelentscheidung</x:v>
      </x:c>
      <x:c r="J996" t="n">
        <x:v>45840</x:v>
      </x:c>
      <x:c r="K996"/>
      <x:c r="L996"/>
      <x:c r="M996" t="n">
        <x:v>-23.63</x:v>
      </x:c>
      <x:c r="N996" t="str">
        <x:v>2025-07</x:v>
      </x:c>
      <x:c r="O996" t="str">
        <x:v>Ausgabe</x:v>
      </x:c>
      <x:c r="P996" t="str">
        <x:v>Ist</x:v>
      </x:c>
      <x:c r="Q996" s="59" t="b">
        <x:v>0</x:v>
      </x:c>
      <x:c r="R996" t="str">
        <x:v>kein_transfer</x:v>
      </x:c>
      <x:c r="S996"/>
      <x:c r="T996"/>
      <x:c r="U996"/>
      <x:c r="V996" s="59" t="b">
        <x:v>1</x:v>
      </x:c>
      <x:c r="W996"/>
      <x:c r="X996" t="str">
        <x:v>offen</x:v>
      </x:c>
      <x:c r="Y996" t="str">
        <x:v>Agent-Draft; Kategorie und Person pruefen</x:v>
      </x:c>
    </x:row>
    <x:row r="997">
      <x:c r="A997" t="str">
        <x:v>TXN-RAW-IMP-20260516-FULLDRAFT-000981</x:v>
      </x:c>
      <x:c r="B997" t="str">
        <x:v>RAW-IMP-20260516-FULLDRAFT-000981</x:v>
      </x:c>
      <x:c r="C997" t="str">
        <x:v>KTO001</x:v>
      </x:c>
      <x:c r="D997"/>
      <x:c r="E997" t="str">
        <x:v>KAT013</x:v>
      </x:c>
      <x:c r="F997"/>
      <x:c r="G997"/>
      <x:c r="H997" t="str">
        <x:v>kein_match</x:v>
      </x:c>
      <x:c r="I997" t="str">
        <x:v>Agent-Draft: keine finale Regelentscheidung</x:v>
      </x:c>
      <x:c r="J997" t="n">
        <x:v>45840</x:v>
      </x:c>
      <x:c r="K997"/>
      <x:c r="L997"/>
      <x:c r="M997" t="n">
        <x:v>-57.5</x:v>
      </x:c>
      <x:c r="N997" t="str">
        <x:v>2025-07</x:v>
      </x:c>
      <x:c r="O997" t="str">
        <x:v>Ausgabe</x:v>
      </x:c>
      <x:c r="P997" t="str">
        <x:v>Ist</x:v>
      </x:c>
      <x:c r="Q997" s="59" t="b">
        <x:v>0</x:v>
      </x:c>
      <x:c r="R997" t="str">
        <x:v>kein_transfer</x:v>
      </x:c>
      <x:c r="S997"/>
      <x:c r="T997"/>
      <x:c r="U997"/>
      <x:c r="V997" s="59" t="b">
        <x:v>1</x:v>
      </x:c>
      <x:c r="W997"/>
      <x:c r="X997" t="str">
        <x:v>offen</x:v>
      </x:c>
      <x:c r="Y997" t="str">
        <x:v>Agent-Draft; Kategorie und Person pruefen</x:v>
      </x:c>
    </x:row>
    <x:row r="998">
      <x:c r="A998" t="str">
        <x:v>TXN-RAW-IMP-20260516-FULLDRAFT-000982</x:v>
      </x:c>
      <x:c r="B998" t="str">
        <x:v>RAW-IMP-20260516-FULLDRAFT-000982</x:v>
      </x:c>
      <x:c r="C998" t="str">
        <x:v>KTO001</x:v>
      </x:c>
      <x:c r="D998"/>
      <x:c r="E998" t="str">
        <x:v>KAT013</x:v>
      </x:c>
      <x:c r="F998"/>
      <x:c r="G998"/>
      <x:c r="H998" t="str">
        <x:v>kein_match</x:v>
      </x:c>
      <x:c r="I998" t="str">
        <x:v>Agent-Draft: keine finale Regelentscheidung</x:v>
      </x:c>
      <x:c r="J998" t="n">
        <x:v>45839</x:v>
      </x:c>
      <x:c r="K998"/>
      <x:c r="L998"/>
      <x:c r="M998" t="n">
        <x:v>750</x:v>
      </x:c>
      <x:c r="N998" t="str">
        <x:v>2025-07</x:v>
      </x:c>
      <x:c r="O998" t="str">
        <x:v>Einnahme</x:v>
      </x:c>
      <x:c r="P998" t="str">
        <x:v>Ist</x:v>
      </x:c>
      <x:c r="Q998" s="59" t="b">
        <x:v>0</x:v>
      </x:c>
      <x:c r="R998" t="str">
        <x:v>kein_transfer</x:v>
      </x:c>
      <x:c r="S998"/>
      <x:c r="T998"/>
      <x:c r="U998"/>
      <x:c r="V998" s="59" t="b">
        <x:v>1</x:v>
      </x:c>
      <x:c r="W998"/>
      <x:c r="X998" t="str">
        <x:v>offen</x:v>
      </x:c>
      <x:c r="Y998" t="str">
        <x:v>Agent-Draft; Kategorie und Person pruefen</x:v>
      </x:c>
    </x:row>
    <x:row r="999">
      <x:c r="A999" t="str">
        <x:v>TXN-RAW-IMP-20260516-FULLDRAFT-000983</x:v>
      </x:c>
      <x:c r="B999" t="str">
        <x:v>RAW-IMP-20260516-FULLDRAFT-000983</x:v>
      </x:c>
      <x:c r="C999" t="str">
        <x:v>KTO001</x:v>
      </x:c>
      <x:c r="D999"/>
      <x:c r="E999" t="str">
        <x:v>KAT013</x:v>
      </x:c>
      <x:c r="F999"/>
      <x:c r="G999"/>
      <x:c r="H999" t="str">
        <x:v>kein_match</x:v>
      </x:c>
      <x:c r="I999" t="str">
        <x:v>Agent-Draft: keine finale Regelentscheidung</x:v>
      </x:c>
      <x:c r="J999" t="n">
        <x:v>45839</x:v>
      </x:c>
      <x:c r="K999"/>
      <x:c r="L999"/>
      <x:c r="M999" t="n">
        <x:v>-1.69</x:v>
      </x:c>
      <x:c r="N999" t="str">
        <x:v>2025-07</x:v>
      </x:c>
      <x:c r="O999" t="str">
        <x:v>Ausgabe</x:v>
      </x:c>
      <x:c r="P999" t="str">
        <x:v>Ist</x:v>
      </x:c>
      <x:c r="Q999" s="59" t="b">
        <x:v>0</x:v>
      </x:c>
      <x:c r="R999" t="str">
        <x:v>kein_transfer</x:v>
      </x:c>
      <x:c r="S999"/>
      <x:c r="T999"/>
      <x:c r="U999"/>
      <x:c r="V999" s="59" t="b">
        <x:v>1</x:v>
      </x:c>
      <x:c r="W999"/>
      <x:c r="X999" t="str">
        <x:v>offen</x:v>
      </x:c>
      <x:c r="Y999" t="str">
        <x:v>Agent-Draft; Kategorie und Person pruefen</x:v>
      </x:c>
    </x:row>
    <x:row r="1000">
      <x:c r="A1000" t="str">
        <x:v>TXN-RAW-IMP-20260516-FULLDRAFT-000984</x:v>
      </x:c>
      <x:c r="B1000" t="str">
        <x:v>RAW-IMP-20260516-FULLDRAFT-000984</x:v>
      </x:c>
      <x:c r="C1000" t="str">
        <x:v>KTO001</x:v>
      </x:c>
      <x:c r="D1000"/>
      <x:c r="E1000" t="str">
        <x:v>KAT013</x:v>
      </x:c>
      <x:c r="F1000"/>
      <x:c r="G1000"/>
      <x:c r="H1000" t="str">
        <x:v>kein_match</x:v>
      </x:c>
      <x:c r="I1000" t="str">
        <x:v>Agent-Draft: keine finale Regelentscheidung</x:v>
      </x:c>
      <x:c r="J1000" t="n">
        <x:v>45839</x:v>
      </x:c>
      <x:c r="K1000"/>
      <x:c r="L1000"/>
      <x:c r="M1000" t="n">
        <x:v>-1400</x:v>
      </x:c>
      <x:c r="N1000" t="str">
        <x:v>2025-07</x:v>
      </x:c>
      <x:c r="O1000" t="str">
        <x:v>Ausgabe</x:v>
      </x:c>
      <x:c r="P1000" t="str">
        <x:v>Ist</x:v>
      </x:c>
      <x:c r="Q1000" s="59" t="b">
        <x:v>0</x:v>
      </x:c>
      <x:c r="R1000" t="str">
        <x:v>kein_transfer</x:v>
      </x:c>
      <x:c r="S1000"/>
      <x:c r="T1000"/>
      <x:c r="U1000"/>
      <x:c r="V1000" s="59" t="b">
        <x:v>1</x:v>
      </x:c>
      <x:c r="W1000"/>
      <x:c r="X1000" t="str">
        <x:v>offen</x:v>
      </x:c>
      <x:c r="Y1000" t="str">
        <x:v>Agent-Draft; Kategorie und Person pruefen</x:v>
      </x:c>
    </x:row>
    <x:row r="1001">
      <x:c r="A1001" t="str">
        <x:v>TXN-RAW-IMP-20260516-FULLDRAFT-000985</x:v>
      </x:c>
      <x:c r="B1001" t="str">
        <x:v>RAW-IMP-20260516-FULLDRAFT-000985</x:v>
      </x:c>
      <x:c r="C1001" t="str">
        <x:v>KTO001</x:v>
      </x:c>
      <x:c r="D1001"/>
      <x:c r="E1001" t="str">
        <x:v>KAT013</x:v>
      </x:c>
      <x:c r="F1001"/>
      <x:c r="G1001"/>
      <x:c r="H1001" t="str">
        <x:v>kein_match</x:v>
      </x:c>
      <x:c r="I1001" t="str">
        <x:v>Agent-Draft: keine finale Regelentscheidung</x:v>
      </x:c>
      <x:c r="J1001" t="n">
        <x:v>45839</x:v>
      </x:c>
      <x:c r="K1001"/>
      <x:c r="L1001"/>
      <x:c r="M1001" t="n">
        <x:v>-8.99</x:v>
      </x:c>
      <x:c r="N1001" t="str">
        <x:v>2025-07</x:v>
      </x:c>
      <x:c r="O1001" t="str">
        <x:v>Ausgabe</x:v>
      </x:c>
      <x:c r="P1001" t="str">
        <x:v>Ist</x:v>
      </x:c>
      <x:c r="Q1001" s="59" t="b">
        <x:v>0</x:v>
      </x:c>
      <x:c r="R1001" t="str">
        <x:v>kein_transfer</x:v>
      </x:c>
      <x:c r="S1001"/>
      <x:c r="T1001"/>
      <x:c r="U1001"/>
      <x:c r="V1001" s="59" t="b">
        <x:v>1</x:v>
      </x:c>
      <x:c r="W1001"/>
      <x:c r="X1001" t="str">
        <x:v>offen</x:v>
      </x:c>
      <x:c r="Y1001" t="str">
        <x:v>Agent-Draft; Kategorie und Person pruefen</x:v>
      </x:c>
    </x:row>
    <x:row r="1002">
      <x:c r="A1002" t="str">
        <x:v>TXN-RAW-IMP-20260516-FULLDRAFT-000986</x:v>
      </x:c>
      <x:c r="B1002" t="str">
        <x:v>RAW-IMP-20260516-FULLDRAFT-000986</x:v>
      </x:c>
      <x:c r="C1002" t="str">
        <x:v>KTO001</x:v>
      </x:c>
      <x:c r="D1002"/>
      <x:c r="E1002" t="str">
        <x:v>KAT013</x:v>
      </x:c>
      <x:c r="F1002"/>
      <x:c r="G1002"/>
      <x:c r="H1002" t="str">
        <x:v>kein_match</x:v>
      </x:c>
      <x:c r="I1002" t="str">
        <x:v>Agent-Draft: keine finale Regelentscheidung</x:v>
      </x:c>
      <x:c r="J1002" t="n">
        <x:v>45839</x:v>
      </x:c>
      <x:c r="K1002"/>
      <x:c r="L1002"/>
      <x:c r="M1002" t="n">
        <x:v>-1800</x:v>
      </x:c>
      <x:c r="N1002" t="str">
        <x:v>2025-07</x:v>
      </x:c>
      <x:c r="O1002" t="str">
        <x:v>Ausgabe</x:v>
      </x:c>
      <x:c r="P1002" t="str">
        <x:v>Ist</x:v>
      </x:c>
      <x:c r="Q1002" s="59" t="b">
        <x:v>0</x:v>
      </x:c>
      <x:c r="R1002" t="str">
        <x:v>kein_transfer</x:v>
      </x:c>
      <x:c r="S1002"/>
      <x:c r="T1002"/>
      <x:c r="U1002"/>
      <x:c r="V1002" s="59" t="b">
        <x:v>1</x:v>
      </x:c>
      <x:c r="W1002"/>
      <x:c r="X1002" t="str">
        <x:v>offen</x:v>
      </x:c>
      <x:c r="Y1002" t="str">
        <x:v>Agent-Draft; Kategorie und Person pruefen</x:v>
      </x:c>
    </x:row>
    <x:row r="1003">
      <x:c r="A1003" t="str">
        <x:v>TXN-RAW-IMP-20260516-FULLDRAFT-000987</x:v>
      </x:c>
      <x:c r="B1003" t="str">
        <x:v>RAW-IMP-20260516-FULLDRAFT-000987</x:v>
      </x:c>
      <x:c r="C1003" t="str">
        <x:v>KTO001</x:v>
      </x:c>
      <x:c r="D1003"/>
      <x:c r="E1003" t="str">
        <x:v>KAT013</x:v>
      </x:c>
      <x:c r="F1003"/>
      <x:c r="G1003"/>
      <x:c r="H1003" t="str">
        <x:v>kein_match</x:v>
      </x:c>
      <x:c r="I1003" t="str">
        <x:v>Agent-Draft: keine finale Regelentscheidung</x:v>
      </x:c>
      <x:c r="J1003" t="n">
        <x:v>45839</x:v>
      </x:c>
      <x:c r="K1003"/>
      <x:c r="L1003"/>
      <x:c r="M1003" t="n">
        <x:v>-600</x:v>
      </x:c>
      <x:c r="N1003" t="str">
        <x:v>2025-07</x:v>
      </x:c>
      <x:c r="O1003" t="str">
        <x:v>Ausgabe</x:v>
      </x:c>
      <x:c r="P1003" t="str">
        <x:v>Ist</x:v>
      </x:c>
      <x:c r="Q1003" s="59" t="b">
        <x:v>0</x:v>
      </x:c>
      <x:c r="R1003" t="str">
        <x:v>kein_transfer</x:v>
      </x:c>
      <x:c r="S1003"/>
      <x:c r="T1003"/>
      <x:c r="U1003"/>
      <x:c r="V1003" s="59" t="b">
        <x:v>1</x:v>
      </x:c>
      <x:c r="W1003"/>
      <x:c r="X1003" t="str">
        <x:v>offen</x:v>
      </x:c>
      <x:c r="Y1003" t="str">
        <x:v>Agent-Draft; Kategorie und Person pruefen</x:v>
      </x:c>
    </x:row>
    <x:row r="1004">
      <x:c r="A1004" t="str">
        <x:v>TXN-RAW-IMP-20260516-FULLDRAFT-000988</x:v>
      </x:c>
      <x:c r="B1004" t="str">
        <x:v>RAW-IMP-20260516-FULLDRAFT-000988</x:v>
      </x:c>
      <x:c r="C1004" t="str">
        <x:v>KTO001</x:v>
      </x:c>
      <x:c r="D1004"/>
      <x:c r="E1004" t="str">
        <x:v>KAT013</x:v>
      </x:c>
      <x:c r="F1004"/>
      <x:c r="G1004"/>
      <x:c r="H1004" t="str">
        <x:v>kein_match</x:v>
      </x:c>
      <x:c r="I1004" t="str">
        <x:v>Agent-Draft: keine finale Regelentscheidung</x:v>
      </x:c>
      <x:c r="J1004" t="n">
        <x:v>45839</x:v>
      </x:c>
      <x:c r="K1004"/>
      <x:c r="L1004"/>
      <x:c r="M1004" t="n">
        <x:v>-68.46</x:v>
      </x:c>
      <x:c r="N1004" t="str">
        <x:v>2025-07</x:v>
      </x:c>
      <x:c r="O1004" t="str">
        <x:v>Ausgabe</x:v>
      </x:c>
      <x:c r="P1004" t="str">
        <x:v>Ist</x:v>
      </x:c>
      <x:c r="Q1004" s="59" t="b">
        <x:v>0</x:v>
      </x:c>
      <x:c r="R1004" t="str">
        <x:v>kein_transfer</x:v>
      </x:c>
      <x:c r="S1004"/>
      <x:c r="T1004"/>
      <x:c r="U1004"/>
      <x:c r="V1004" s="59" t="b">
        <x:v>1</x:v>
      </x:c>
      <x:c r="W1004"/>
      <x:c r="X1004" t="str">
        <x:v>offen</x:v>
      </x:c>
      <x:c r="Y1004" t="str">
        <x:v>Agent-Draft; Kategorie und Person pruefen</x:v>
      </x:c>
    </x:row>
    <x:row r="1005">
      <x:c r="A1005" t="str">
        <x:v>TXN-RAW-IMP-20260516-FULLDRAFT-000989</x:v>
      </x:c>
      <x:c r="B1005" t="str">
        <x:v>RAW-IMP-20260516-FULLDRAFT-000989</x:v>
      </x:c>
      <x:c r="C1005" t="str">
        <x:v>KTO001</x:v>
      </x:c>
      <x:c r="D1005"/>
      <x:c r="E1005" t="str">
        <x:v>KAT013</x:v>
      </x:c>
      <x:c r="F1005"/>
      <x:c r="G1005"/>
      <x:c r="H1005" t="str">
        <x:v>kein_match</x:v>
      </x:c>
      <x:c r="I1005" t="str">
        <x:v>Agent-Draft: keine finale Regelentscheidung</x:v>
      </x:c>
      <x:c r="J1005" t="n">
        <x:v>45839</x:v>
      </x:c>
      <x:c r="K1005"/>
      <x:c r="L1005"/>
      <x:c r="M1005" t="n">
        <x:v>-452.71</x:v>
      </x:c>
      <x:c r="N1005" t="str">
        <x:v>2025-07</x:v>
      </x:c>
      <x:c r="O1005" t="str">
        <x:v>Ausgabe</x:v>
      </x:c>
      <x:c r="P1005" t="str">
        <x:v>Ist</x:v>
      </x:c>
      <x:c r="Q1005" s="59" t="b">
        <x:v>0</x:v>
      </x:c>
      <x:c r="R1005" t="str">
        <x:v>kein_transfer</x:v>
      </x:c>
      <x:c r="S1005"/>
      <x:c r="T1005"/>
      <x:c r="U1005"/>
      <x:c r="V1005" s="59" t="b">
        <x:v>1</x:v>
      </x:c>
      <x:c r="W1005"/>
      <x:c r="X1005" t="str">
        <x:v>offen</x:v>
      </x:c>
      <x:c r="Y1005" t="str">
        <x:v>Agent-Draft; Kategorie und Person pruefen</x:v>
      </x:c>
    </x:row>
    <x:row r="1006">
      <x:c r="A1006" t="str">
        <x:v>TXN-RAW-IMP-20260516-FULLDRAFT-000990</x:v>
      </x:c>
      <x:c r="B1006" t="str">
        <x:v>RAW-IMP-20260516-FULLDRAFT-000990</x:v>
      </x:c>
      <x:c r="C1006" t="str">
        <x:v>KTO001</x:v>
      </x:c>
      <x:c r="D1006"/>
      <x:c r="E1006" t="str">
        <x:v>KAT013</x:v>
      </x:c>
      <x:c r="F1006"/>
      <x:c r="G1006"/>
      <x:c r="H1006" t="str">
        <x:v>kein_match</x:v>
      </x:c>
      <x:c r="I1006" t="str">
        <x:v>Agent-Draft: keine finale Regelentscheidung</x:v>
      </x:c>
      <x:c r="J1006" t="n">
        <x:v>45839</x:v>
      </x:c>
      <x:c r="K1006"/>
      <x:c r="L1006"/>
      <x:c r="M1006" t="n">
        <x:v>-97.12</x:v>
      </x:c>
      <x:c r="N1006" t="str">
        <x:v>2025-07</x:v>
      </x:c>
      <x:c r="O1006" t="str">
        <x:v>Ausgabe</x:v>
      </x:c>
      <x:c r="P1006" t="str">
        <x:v>Ist</x:v>
      </x:c>
      <x:c r="Q1006" s="59" t="b">
        <x:v>0</x:v>
      </x:c>
      <x:c r="R1006" t="str">
        <x:v>kein_transfer</x:v>
      </x:c>
      <x:c r="S1006"/>
      <x:c r="T1006"/>
      <x:c r="U1006"/>
      <x:c r="V1006" s="59" t="b">
        <x:v>1</x:v>
      </x:c>
      <x:c r="W1006"/>
      <x:c r="X1006" t="str">
        <x:v>offen</x:v>
      </x:c>
      <x:c r="Y1006" t="str">
        <x:v>Agent-Draft; Kategorie und Person pruefen</x:v>
      </x:c>
    </x:row>
    <x:row r="1007">
      <x:c r="A1007" t="str">
        <x:v>TXN-RAW-IMP-20260516-FULLDRAFT-000991</x:v>
      </x:c>
      <x:c r="B1007" t="str">
        <x:v>RAW-IMP-20260516-FULLDRAFT-000991</x:v>
      </x:c>
      <x:c r="C1007" t="str">
        <x:v>KTO001</x:v>
      </x:c>
      <x:c r="D1007"/>
      <x:c r="E1007" t="str">
        <x:v>KAT013</x:v>
      </x:c>
      <x:c r="F1007"/>
      <x:c r="G1007"/>
      <x:c r="H1007" t="str">
        <x:v>kein_match</x:v>
      </x:c>
      <x:c r="I1007" t="str">
        <x:v>Agent-Draft: keine finale Regelentscheidung</x:v>
      </x:c>
      <x:c r="J1007" t="n">
        <x:v>45839</x:v>
      </x:c>
      <x:c r="K1007"/>
      <x:c r="L1007"/>
      <x:c r="M1007" t="n">
        <x:v>-56.83</x:v>
      </x:c>
      <x:c r="N1007" t="str">
        <x:v>2025-07</x:v>
      </x:c>
      <x:c r="O1007" t="str">
        <x:v>Ausgabe</x:v>
      </x:c>
      <x:c r="P1007" t="str">
        <x:v>Ist</x:v>
      </x:c>
      <x:c r="Q1007" s="59" t="b">
        <x:v>0</x:v>
      </x:c>
      <x:c r="R1007" t="str">
        <x:v>kein_transfer</x:v>
      </x:c>
      <x:c r="S1007"/>
      <x:c r="T1007"/>
      <x:c r="U1007"/>
      <x:c r="V1007" s="59" t="b">
        <x:v>1</x:v>
      </x:c>
      <x:c r="W1007"/>
      <x:c r="X1007" t="str">
        <x:v>offen</x:v>
      </x:c>
      <x:c r="Y1007" t="str">
        <x:v>Agent-Draft; Kategorie und Person pruefen</x:v>
      </x:c>
    </x:row>
    <x:row r="1008">
      <x:c r="A1008" t="str">
        <x:v>TXN-RAW-IMP-20260516-FULLDRAFT-000992</x:v>
      </x:c>
      <x:c r="B1008" t="str">
        <x:v>RAW-IMP-20260516-FULLDRAFT-000992</x:v>
      </x:c>
      <x:c r="C1008" t="str">
        <x:v>KTO001</x:v>
      </x:c>
      <x:c r="D1008"/>
      <x:c r="E1008" t="str">
        <x:v>KAT013</x:v>
      </x:c>
      <x:c r="F1008"/>
      <x:c r="G1008"/>
      <x:c r="H1008" t="str">
        <x:v>kein_match</x:v>
      </x:c>
      <x:c r="I1008" t="str">
        <x:v>Agent-Draft: keine finale Regelentscheidung</x:v>
      </x:c>
      <x:c r="J1008" t="n">
        <x:v>45839</x:v>
      </x:c>
      <x:c r="K1008"/>
      <x:c r="L1008"/>
      <x:c r="M1008" t="n">
        <x:v>-0.18</x:v>
      </x:c>
      <x:c r="N1008" t="str">
        <x:v>2025-07</x:v>
      </x:c>
      <x:c r="O1008" t="str">
        <x:v>Ausgabe</x:v>
      </x:c>
      <x:c r="P1008" t="str">
        <x:v>Ist</x:v>
      </x:c>
      <x:c r="Q1008" s="59" t="b">
        <x:v>0</x:v>
      </x:c>
      <x:c r="R1008" t="str">
        <x:v>kein_transfer</x:v>
      </x:c>
      <x:c r="S1008"/>
      <x:c r="T1008"/>
      <x:c r="U1008"/>
      <x:c r="V1008" s="59" t="b">
        <x:v>1</x:v>
      </x:c>
      <x:c r="W1008"/>
      <x:c r="X1008" t="str">
        <x:v>offen</x:v>
      </x:c>
      <x:c r="Y1008" t="str">
        <x:v>Agent-Draft; Kategorie und Person pruefen</x:v>
      </x:c>
    </x:row>
    <x:row r="1009">
      <x:c r="A1009" t="str">
        <x:v>TXN-RAW-IMP-20260516-FULLDRAFT-000993</x:v>
      </x:c>
      <x:c r="B1009" t="str">
        <x:v>RAW-IMP-20260516-FULLDRAFT-000993</x:v>
      </x:c>
      <x:c r="C1009" t="str">
        <x:v>KTO001</x:v>
      </x:c>
      <x:c r="D1009"/>
      <x:c r="E1009" t="str">
        <x:v>KAT013</x:v>
      </x:c>
      <x:c r="F1009"/>
      <x:c r="G1009"/>
      <x:c r="H1009" t="str">
        <x:v>kein_match</x:v>
      </x:c>
      <x:c r="I1009" t="str">
        <x:v>Agent-Draft: keine finale Regelentscheidung</x:v>
      </x:c>
      <x:c r="J1009" t="n">
        <x:v>45838</x:v>
      </x:c>
      <x:c r="K1009"/>
      <x:c r="L1009"/>
      <x:c r="M1009" t="n">
        <x:v>-49.36</x:v>
      </x:c>
      <x:c r="N1009" t="str">
        <x:v>2025-06</x:v>
      </x:c>
      <x:c r="O1009" t="str">
        <x:v>Ausgabe</x:v>
      </x:c>
      <x:c r="P1009" t="str">
        <x:v>Ist</x:v>
      </x:c>
      <x:c r="Q1009" s="59" t="b">
        <x:v>0</x:v>
      </x:c>
      <x:c r="R1009" t="str">
        <x:v>kein_transfer</x:v>
      </x:c>
      <x:c r="S1009"/>
      <x:c r="T1009"/>
      <x:c r="U1009"/>
      <x:c r="V1009" s="59" t="b">
        <x:v>1</x:v>
      </x:c>
      <x:c r="W1009"/>
      <x:c r="X1009" t="str">
        <x:v>offen</x:v>
      </x:c>
      <x:c r="Y1009" t="str">
        <x:v>Agent-Draft; Kategorie und Person pruefen</x:v>
      </x:c>
    </x:row>
    <x:row r="1010">
      <x:c r="A1010" t="str">
        <x:v>TXN-RAW-IMP-20260516-FULLDRAFT-000994</x:v>
      </x:c>
      <x:c r="B1010" t="str">
        <x:v>RAW-IMP-20260516-FULLDRAFT-000994</x:v>
      </x:c>
      <x:c r="C1010" t="str">
        <x:v>KTO001</x:v>
      </x:c>
      <x:c r="D1010"/>
      <x:c r="E1010" t="str">
        <x:v>KAT013</x:v>
      </x:c>
      <x:c r="F1010"/>
      <x:c r="G1010"/>
      <x:c r="H1010" t="str">
        <x:v>kein_match</x:v>
      </x:c>
      <x:c r="I1010" t="str">
        <x:v>Agent-Draft: keine finale Regelentscheidung</x:v>
      </x:c>
      <x:c r="J1010" t="n">
        <x:v>45838</x:v>
      </x:c>
      <x:c r="K1010"/>
      <x:c r="L1010"/>
      <x:c r="M1010" t="n">
        <x:v>-13.75</x:v>
      </x:c>
      <x:c r="N1010" t="str">
        <x:v>2025-06</x:v>
      </x:c>
      <x:c r="O1010" t="str">
        <x:v>Ausgabe</x:v>
      </x:c>
      <x:c r="P1010" t="str">
        <x:v>Ist</x:v>
      </x:c>
      <x:c r="Q1010" s="59" t="b">
        <x:v>0</x:v>
      </x:c>
      <x:c r="R1010" t="str">
        <x:v>kein_transfer</x:v>
      </x:c>
      <x:c r="S1010"/>
      <x:c r="T1010"/>
      <x:c r="U1010"/>
      <x:c r="V1010" s="59" t="b">
        <x:v>1</x:v>
      </x:c>
      <x:c r="W1010"/>
      <x:c r="X1010" t="str">
        <x:v>offen</x:v>
      </x:c>
      <x:c r="Y1010" t="str">
        <x:v>Agent-Draft; Kategorie und Person pruefen</x:v>
      </x:c>
    </x:row>
    <x:row r="1011">
      <x:c r="A1011" t="str">
        <x:v>TXN-RAW-IMP-20260516-FULLDRAFT-000995</x:v>
      </x:c>
      <x:c r="B1011" t="str">
        <x:v>RAW-IMP-20260516-FULLDRAFT-000995</x:v>
      </x:c>
      <x:c r="C1011" t="str">
        <x:v>KTO001</x:v>
      </x:c>
      <x:c r="D1011"/>
      <x:c r="E1011" t="str">
        <x:v>KAT013</x:v>
      </x:c>
      <x:c r="F1011"/>
      <x:c r="G1011"/>
      <x:c r="H1011" t="str">
        <x:v>kein_match</x:v>
      </x:c>
      <x:c r="I1011" t="str">
        <x:v>Agent-Draft: keine finale Regelentscheidung</x:v>
      </x:c>
      <x:c r="J1011" t="n">
        <x:v>45838</x:v>
      </x:c>
      <x:c r="K1011"/>
      <x:c r="L1011"/>
      <x:c r="M1011" t="n">
        <x:v>-70.66</x:v>
      </x:c>
      <x:c r="N1011" t="str">
        <x:v>2025-06</x:v>
      </x:c>
      <x:c r="O1011" t="str">
        <x:v>Ausgabe</x:v>
      </x:c>
      <x:c r="P1011" t="str">
        <x:v>Ist</x:v>
      </x:c>
      <x:c r="Q1011" s="59" t="b">
        <x:v>0</x:v>
      </x:c>
      <x:c r="R1011" t="str">
        <x:v>kein_transfer</x:v>
      </x:c>
      <x:c r="S1011"/>
      <x:c r="T1011"/>
      <x:c r="U1011"/>
      <x:c r="V1011" s="59" t="b">
        <x:v>1</x:v>
      </x:c>
      <x:c r="W1011"/>
      <x:c r="X1011" t="str">
        <x:v>offen</x:v>
      </x:c>
      <x:c r="Y1011" t="str">
        <x:v>Agent-Draft; Kategorie und Person pruefen</x:v>
      </x:c>
    </x:row>
    <x:row r="1012">
      <x:c r="A1012" t="str">
        <x:v>TXN-RAW-IMP-20260516-FULLDRAFT-000996</x:v>
      </x:c>
      <x:c r="B1012" t="str">
        <x:v>RAW-IMP-20260516-FULLDRAFT-000996</x:v>
      </x:c>
      <x:c r="C1012" t="str">
        <x:v>KTO001</x:v>
      </x:c>
      <x:c r="D1012"/>
      <x:c r="E1012" t="str">
        <x:v>KAT013</x:v>
      </x:c>
      <x:c r="F1012"/>
      <x:c r="G1012"/>
      <x:c r="H1012" t="str">
        <x:v>kein_match</x:v>
      </x:c>
      <x:c r="I1012" t="str">
        <x:v>Agent-Draft: keine finale Regelentscheidung</x:v>
      </x:c>
      <x:c r="J1012" t="n">
        <x:v>45838</x:v>
      </x:c>
      <x:c r="K1012"/>
      <x:c r="L1012"/>
      <x:c r="M1012" t="n">
        <x:v>-5.87</x:v>
      </x:c>
      <x:c r="N1012" t="str">
        <x:v>2025-06</x:v>
      </x:c>
      <x:c r="O1012" t="str">
        <x:v>Ausgabe</x:v>
      </x:c>
      <x:c r="P1012" t="str">
        <x:v>Ist</x:v>
      </x:c>
      <x:c r="Q1012" s="59" t="b">
        <x:v>0</x:v>
      </x:c>
      <x:c r="R1012" t="str">
        <x:v>kein_transfer</x:v>
      </x:c>
      <x:c r="S1012"/>
      <x:c r="T1012"/>
      <x:c r="U1012"/>
      <x:c r="V1012" s="59" t="b">
        <x:v>1</x:v>
      </x:c>
      <x:c r="W1012"/>
      <x:c r="X1012" t="str">
        <x:v>offen</x:v>
      </x:c>
      <x:c r="Y1012" t="str">
        <x:v>Agent-Draft; Kategorie und Person pruefen</x:v>
      </x:c>
    </x:row>
    <x:row r="1013">
      <x:c r="A1013" t="str">
        <x:v>TXN-RAW-IMP-20260516-FULLDRAFT-000997</x:v>
      </x:c>
      <x:c r="B1013" t="str">
        <x:v>RAW-IMP-20260516-FULLDRAFT-000997</x:v>
      </x:c>
      <x:c r="C1013" t="str">
        <x:v>KTO001</x:v>
      </x:c>
      <x:c r="D1013"/>
      <x:c r="E1013" t="str">
        <x:v>KAT013</x:v>
      </x:c>
      <x:c r="F1013"/>
      <x:c r="G1013"/>
      <x:c r="H1013" t="str">
        <x:v>kein_match</x:v>
      </x:c>
      <x:c r="I1013" t="str">
        <x:v>Agent-Draft: keine finale Regelentscheidung</x:v>
      </x:c>
      <x:c r="J1013" t="n">
        <x:v>45838</x:v>
      </x:c>
      <x:c r="K1013"/>
      <x:c r="L1013"/>
      <x:c r="M1013" t="n">
        <x:v>-1153.94</x:v>
      </x:c>
      <x:c r="N1013" t="str">
        <x:v>2025-06</x:v>
      </x:c>
      <x:c r="O1013" t="str">
        <x:v>Ausgabe</x:v>
      </x:c>
      <x:c r="P1013" t="str">
        <x:v>Ist</x:v>
      </x:c>
      <x:c r="Q1013" s="59" t="b">
        <x:v>0</x:v>
      </x:c>
      <x:c r="R1013" t="str">
        <x:v>kein_transfer</x:v>
      </x:c>
      <x:c r="S1013"/>
      <x:c r="T1013"/>
      <x:c r="U1013"/>
      <x:c r="V1013" s="59" t="b">
        <x:v>1</x:v>
      </x:c>
      <x:c r="W1013"/>
      <x:c r="X1013" t="str">
        <x:v>offen</x:v>
      </x:c>
      <x:c r="Y1013" t="str">
        <x:v>Agent-Draft; Kategorie und Person pruefen</x:v>
      </x:c>
    </x:row>
    <x:row r="1014">
      <x:c r="A1014" t="str">
        <x:v>TXN-RAW-IMP-20260516-FULLDRAFT-000998</x:v>
      </x:c>
      <x:c r="B1014" t="str">
        <x:v>RAW-IMP-20260516-FULLDRAFT-000998</x:v>
      </x:c>
      <x:c r="C1014" t="str">
        <x:v>KTO001</x:v>
      </x:c>
      <x:c r="D1014"/>
      <x:c r="E1014" t="str">
        <x:v>KAT013</x:v>
      </x:c>
      <x:c r="F1014"/>
      <x:c r="G1014"/>
      <x:c r="H1014" t="str">
        <x:v>kein_match</x:v>
      </x:c>
      <x:c r="I1014" t="str">
        <x:v>Agent-Draft: keine finale Regelentscheidung</x:v>
      </x:c>
      <x:c r="J1014" t="n">
        <x:v>45838</x:v>
      </x:c>
      <x:c r="K1014"/>
      <x:c r="L1014"/>
      <x:c r="M1014" t="n">
        <x:v>-10</x:v>
      </x:c>
      <x:c r="N1014" t="str">
        <x:v>2025-06</x:v>
      </x:c>
      <x:c r="O1014" t="str">
        <x:v>Ausgabe</x:v>
      </x:c>
      <x:c r="P1014" t="str">
        <x:v>Ist</x:v>
      </x:c>
      <x:c r="Q1014" s="59" t="b">
        <x:v>0</x:v>
      </x:c>
      <x:c r="R1014" t="str">
        <x:v>kein_transfer</x:v>
      </x:c>
      <x:c r="S1014"/>
      <x:c r="T1014"/>
      <x:c r="U1014"/>
      <x:c r="V1014" s="59" t="b">
        <x:v>1</x:v>
      </x:c>
      <x:c r="W1014"/>
      <x:c r="X1014" t="str">
        <x:v>offen</x:v>
      </x:c>
      <x:c r="Y1014" t="str">
        <x:v>Agent-Draft; Kategorie und Person pruefen</x:v>
      </x:c>
    </x:row>
    <x:row r="1015">
      <x:c r="A1015" t="str">
        <x:v>TXN-RAW-IMP-20260516-FULLDRAFT-000999</x:v>
      </x:c>
      <x:c r="B1015" t="str">
        <x:v>RAW-IMP-20260516-FULLDRAFT-000999</x:v>
      </x:c>
      <x:c r="C1015" t="str">
        <x:v>KTO001</x:v>
      </x:c>
      <x:c r="D1015"/>
      <x:c r="E1015" t="str">
        <x:v>KAT013</x:v>
      </x:c>
      <x:c r="F1015"/>
      <x:c r="G1015"/>
      <x:c r="H1015" t="str">
        <x:v>kein_match</x:v>
      </x:c>
      <x:c r="I1015" t="str">
        <x:v>Agent-Draft: keine finale Regelentscheidung</x:v>
      </x:c>
      <x:c r="J1015" t="n">
        <x:v>45838</x:v>
      </x:c>
      <x:c r="K1015"/>
      <x:c r="L1015"/>
      <x:c r="M1015" t="n">
        <x:v>-393</x:v>
      </x:c>
      <x:c r="N1015" t="str">
        <x:v>2025-06</x:v>
      </x:c>
      <x:c r="O1015" t="str">
        <x:v>Ausgabe</x:v>
      </x:c>
      <x:c r="P1015" t="str">
        <x:v>Ist</x:v>
      </x:c>
      <x:c r="Q1015" s="59" t="b">
        <x:v>0</x:v>
      </x:c>
      <x:c r="R1015" t="str">
        <x:v>kein_transfer</x:v>
      </x:c>
      <x:c r="S1015"/>
      <x:c r="T1015"/>
      <x:c r="U1015"/>
      <x:c r="V1015" s="59" t="b">
        <x:v>1</x:v>
      </x:c>
      <x:c r="W1015"/>
      <x:c r="X1015" t="str">
        <x:v>offen</x:v>
      </x:c>
      <x:c r="Y1015" t="str">
        <x:v>Agent-Draft; Kategorie und Person pruefen</x:v>
      </x:c>
    </x:row>
    <x:row r="1016">
      <x:c r="A1016" t="str">
        <x:v>TXN-RAW-IMP-20260516-FULLDRAFT-001000</x:v>
      </x:c>
      <x:c r="B1016" t="str">
        <x:v>RAW-IMP-20260516-FULLDRAFT-001000</x:v>
      </x:c>
      <x:c r="C1016" t="str">
        <x:v>KTO001</x:v>
      </x:c>
      <x:c r="D1016"/>
      <x:c r="E1016" t="str">
        <x:v>KAT013</x:v>
      </x:c>
      <x:c r="F1016"/>
      <x:c r="G1016"/>
      <x:c r="H1016" t="str">
        <x:v>kein_match</x:v>
      </x:c>
      <x:c r="I1016" t="str">
        <x:v>Agent-Draft: keine finale Regelentscheidung</x:v>
      </x:c>
      <x:c r="J1016" t="n">
        <x:v>45835</x:v>
      </x:c>
      <x:c r="K1016"/>
      <x:c r="L1016"/>
      <x:c r="M1016" t="n">
        <x:v>7939.81</x:v>
      </x:c>
      <x:c r="N1016" t="str">
        <x:v>2025-06</x:v>
      </x:c>
      <x:c r="O1016" t="str">
        <x:v>Einnahme</x:v>
      </x:c>
      <x:c r="P1016" t="str">
        <x:v>Ist</x:v>
      </x:c>
      <x:c r="Q1016" s="59" t="b">
        <x:v>0</x:v>
      </x:c>
      <x:c r="R1016" t="str">
        <x:v>kein_transfer</x:v>
      </x:c>
      <x:c r="S1016"/>
      <x:c r="T1016"/>
      <x:c r="U1016"/>
      <x:c r="V1016" s="59" t="b">
        <x:v>1</x:v>
      </x:c>
      <x:c r="W1016"/>
      <x:c r="X1016" t="str">
        <x:v>offen</x:v>
      </x:c>
      <x:c r="Y1016" t="str">
        <x:v>Agent-Draft; Kategorie und Person pruefen</x:v>
      </x:c>
    </x:row>
    <x:row r="1017">
      <x:c r="A1017" t="str">
        <x:v>TXN-RAW-IMP-20260516-FULLDRAFT-001001</x:v>
      </x:c>
      <x:c r="B1017" t="str">
        <x:v>RAW-IMP-20260516-FULLDRAFT-001001</x:v>
      </x:c>
      <x:c r="C1017" t="str">
        <x:v>KTO001</x:v>
      </x:c>
      <x:c r="D1017"/>
      <x:c r="E1017" t="str">
        <x:v>KAT013</x:v>
      </x:c>
      <x:c r="F1017"/>
      <x:c r="G1017"/>
      <x:c r="H1017" t="str">
        <x:v>kein_match</x:v>
      </x:c>
      <x:c r="I1017" t="str">
        <x:v>Agent-Draft: keine finale Regelentscheidung</x:v>
      </x:c>
      <x:c r="J1017" t="n">
        <x:v>45834</x:v>
      </x:c>
      <x:c r="K1017"/>
      <x:c r="L1017"/>
      <x:c r="M1017" t="n">
        <x:v>-7.75</x:v>
      </x:c>
      <x:c r="N1017" t="str">
        <x:v>2025-06</x:v>
      </x:c>
      <x:c r="O1017" t="str">
        <x:v>Ausgabe</x:v>
      </x:c>
      <x:c r="P1017" t="str">
        <x:v>Ist</x:v>
      </x:c>
      <x:c r="Q1017" s="59" t="b">
        <x:v>0</x:v>
      </x:c>
      <x:c r="R1017" t="str">
        <x:v>kein_transfer</x:v>
      </x:c>
      <x:c r="S1017"/>
      <x:c r="T1017"/>
      <x:c r="U1017"/>
      <x:c r="V1017" s="59" t="b">
        <x:v>1</x:v>
      </x:c>
      <x:c r="W1017"/>
      <x:c r="X1017" t="str">
        <x:v>offen</x:v>
      </x:c>
      <x:c r="Y1017" t="str">
        <x:v>Agent-Draft; Kategorie und Person pruefen</x:v>
      </x:c>
    </x:row>
    <x:row r="1018">
      <x:c r="A1018" t="str">
        <x:v>TXN-RAW-IMP-20260516-FULLDRAFT-001002</x:v>
      </x:c>
      <x:c r="B1018" t="str">
        <x:v>RAW-IMP-20260516-FULLDRAFT-001002</x:v>
      </x:c>
      <x:c r="C1018" t="str">
        <x:v>KTO001</x:v>
      </x:c>
      <x:c r="D1018"/>
      <x:c r="E1018" t="str">
        <x:v>KAT013</x:v>
      </x:c>
      <x:c r="F1018"/>
      <x:c r="G1018"/>
      <x:c r="H1018" t="str">
        <x:v>kein_match</x:v>
      </x:c>
      <x:c r="I1018" t="str">
        <x:v>Agent-Draft: keine finale Regelentscheidung</x:v>
      </x:c>
      <x:c r="J1018" t="n">
        <x:v>45834</x:v>
      </x:c>
      <x:c r="K1018"/>
      <x:c r="L1018"/>
      <x:c r="M1018" t="n">
        <x:v>-14.8</x:v>
      </x:c>
      <x:c r="N1018" t="str">
        <x:v>2025-06</x:v>
      </x:c>
      <x:c r="O1018" t="str">
        <x:v>Ausgabe</x:v>
      </x:c>
      <x:c r="P1018" t="str">
        <x:v>Ist</x:v>
      </x:c>
      <x:c r="Q1018" s="59" t="b">
        <x:v>0</x:v>
      </x:c>
      <x:c r="R1018" t="str">
        <x:v>kein_transfer</x:v>
      </x:c>
      <x:c r="S1018"/>
      <x:c r="T1018"/>
      <x:c r="U1018"/>
      <x:c r="V1018" s="59" t="b">
        <x:v>1</x:v>
      </x:c>
      <x:c r="W1018"/>
      <x:c r="X1018" t="str">
        <x:v>offen</x:v>
      </x:c>
      <x:c r="Y1018" t="str">
        <x:v>Agent-Draft; Kategorie und Person pruefen</x:v>
      </x:c>
    </x:row>
    <x:row r="1019">
      <x:c r="A1019" t="str">
        <x:v>TXN-RAW-IMP-20260516-FULLDRAFT-001003</x:v>
      </x:c>
      <x:c r="B1019" t="str">
        <x:v>RAW-IMP-20260516-FULLDRAFT-001003</x:v>
      </x:c>
      <x:c r="C1019" t="str">
        <x:v>KTO001</x:v>
      </x:c>
      <x:c r="D1019"/>
      <x:c r="E1019" t="str">
        <x:v>KAT013</x:v>
      </x:c>
      <x:c r="F1019"/>
      <x:c r="G1019"/>
      <x:c r="H1019" t="str">
        <x:v>kein_match</x:v>
      </x:c>
      <x:c r="I1019" t="str">
        <x:v>Agent-Draft: keine finale Regelentscheidung</x:v>
      </x:c>
      <x:c r="J1019" t="n">
        <x:v>45833</x:v>
      </x:c>
      <x:c r="K1019"/>
      <x:c r="L1019"/>
      <x:c r="M1019" t="n">
        <x:v>-28</x:v>
      </x:c>
      <x:c r="N1019" t="str">
        <x:v>2025-06</x:v>
      </x:c>
      <x:c r="O1019" t="str">
        <x:v>Ausgabe</x:v>
      </x:c>
      <x:c r="P1019" t="str">
        <x:v>Ist</x:v>
      </x:c>
      <x:c r="Q1019" s="59" t="b">
        <x:v>0</x:v>
      </x:c>
      <x:c r="R1019" t="str">
        <x:v>kein_transfer</x:v>
      </x:c>
      <x:c r="S1019"/>
      <x:c r="T1019"/>
      <x:c r="U1019"/>
      <x:c r="V1019" s="59" t="b">
        <x:v>1</x:v>
      </x:c>
      <x:c r="W1019"/>
      <x:c r="X1019" t="str">
        <x:v>offen</x:v>
      </x:c>
      <x:c r="Y1019" t="str">
        <x:v>Agent-Draft; Kategorie und Person pruefen</x:v>
      </x:c>
    </x:row>
    <x:row r="1020">
      <x:c r="A1020" t="str">
        <x:v>TXN-RAW-IMP-20260516-FULLDRAFT-001004</x:v>
      </x:c>
      <x:c r="B1020" t="str">
        <x:v>RAW-IMP-20260516-FULLDRAFT-001004</x:v>
      </x:c>
      <x:c r="C1020" t="str">
        <x:v>KTO001</x:v>
      </x:c>
      <x:c r="D1020"/>
      <x:c r="E1020" t="str">
        <x:v>KAT013</x:v>
      </x:c>
      <x:c r="F1020"/>
      <x:c r="G1020"/>
      <x:c r="H1020" t="str">
        <x:v>kein_match</x:v>
      </x:c>
      <x:c r="I1020" t="str">
        <x:v>Agent-Draft: keine finale Regelentscheidung</x:v>
      </x:c>
      <x:c r="J1020" t="n">
        <x:v>45831</x:v>
      </x:c>
      <x:c r="K1020"/>
      <x:c r="L1020"/>
      <x:c r="M1020" t="n">
        <x:v>-127</x:v>
      </x:c>
      <x:c r="N1020" t="str">
        <x:v>2025-06</x:v>
      </x:c>
      <x:c r="O1020" t="str">
        <x:v>Ausgabe</x:v>
      </x:c>
      <x:c r="P1020" t="str">
        <x:v>Ist</x:v>
      </x:c>
      <x:c r="Q1020" s="59" t="b">
        <x:v>0</x:v>
      </x:c>
      <x:c r="R1020" t="str">
        <x:v>kein_transfer</x:v>
      </x:c>
      <x:c r="S1020"/>
      <x:c r="T1020"/>
      <x:c r="U1020"/>
      <x:c r="V1020" s="59" t="b">
        <x:v>1</x:v>
      </x:c>
      <x:c r="W1020"/>
      <x:c r="X1020" t="str">
        <x:v>offen</x:v>
      </x:c>
      <x:c r="Y1020" t="str">
        <x:v>Agent-Draft; Kategorie und Person pruefen</x:v>
      </x:c>
    </x:row>
    <x:row r="1021">
      <x:c r="A1021" t="str">
        <x:v>TXN-RAW-IMP-20260516-FULLDRAFT-001005</x:v>
      </x:c>
      <x:c r="B1021" t="str">
        <x:v>RAW-IMP-20260516-FULLDRAFT-001005</x:v>
      </x:c>
      <x:c r="C1021" t="str">
        <x:v>KTO001</x:v>
      </x:c>
      <x:c r="D1021"/>
      <x:c r="E1021" t="str">
        <x:v>KAT013</x:v>
      </x:c>
      <x:c r="F1021"/>
      <x:c r="G1021"/>
      <x:c r="H1021" t="str">
        <x:v>kein_match</x:v>
      </x:c>
      <x:c r="I1021" t="str">
        <x:v>Agent-Draft: keine finale Regelentscheidung</x:v>
      </x:c>
      <x:c r="J1021" t="n">
        <x:v>45831</x:v>
      </x:c>
      <x:c r="K1021"/>
      <x:c r="L1021"/>
      <x:c r="M1021" t="n">
        <x:v>-36.72</x:v>
      </x:c>
      <x:c r="N1021" t="str">
        <x:v>2025-06</x:v>
      </x:c>
      <x:c r="O1021" t="str">
        <x:v>Ausgabe</x:v>
      </x:c>
      <x:c r="P1021" t="str">
        <x:v>Ist</x:v>
      </x:c>
      <x:c r="Q1021" s="59" t="b">
        <x:v>0</x:v>
      </x:c>
      <x:c r="R1021" t="str">
        <x:v>kein_transfer</x:v>
      </x:c>
      <x:c r="S1021"/>
      <x:c r="T1021"/>
      <x:c r="U1021"/>
      <x:c r="V1021" s="59" t="b">
        <x:v>1</x:v>
      </x:c>
      <x:c r="W1021"/>
      <x:c r="X1021" t="str">
        <x:v>offen</x:v>
      </x:c>
      <x:c r="Y1021" t="str">
        <x:v>Agent-Draft; Kategorie und Person pruefen</x:v>
      </x:c>
    </x:row>
    <x:row r="1022">
      <x:c r="A1022" t="str">
        <x:v>TXN-RAW-IMP-20260516-FULLDRAFT-001006</x:v>
      </x:c>
      <x:c r="B1022" t="str">
        <x:v>RAW-IMP-20260516-FULLDRAFT-001006</x:v>
      </x:c>
      <x:c r="C1022" t="str">
        <x:v>KTO001</x:v>
      </x:c>
      <x:c r="D1022"/>
      <x:c r="E1022" t="str">
        <x:v>KAT013</x:v>
      </x:c>
      <x:c r="F1022"/>
      <x:c r="G1022"/>
      <x:c r="H1022" t="str">
        <x:v>kein_match</x:v>
      </x:c>
      <x:c r="I1022" t="str">
        <x:v>Agent-Draft: keine finale Regelentscheidung</x:v>
      </x:c>
      <x:c r="J1022" t="n">
        <x:v>45831</x:v>
      </x:c>
      <x:c r="K1022"/>
      <x:c r="L1022"/>
      <x:c r="M1022" t="n">
        <x:v>-2.99</x:v>
      </x:c>
      <x:c r="N1022" t="str">
        <x:v>2025-06</x:v>
      </x:c>
      <x:c r="O1022" t="str">
        <x:v>Ausgabe</x:v>
      </x:c>
      <x:c r="P1022" t="str">
        <x:v>Ist</x:v>
      </x:c>
      <x:c r="Q1022" s="59" t="b">
        <x:v>0</x:v>
      </x:c>
      <x:c r="R1022" t="str">
        <x:v>kein_transfer</x:v>
      </x:c>
      <x:c r="S1022"/>
      <x:c r="T1022"/>
      <x:c r="U1022"/>
      <x:c r="V1022" s="59" t="b">
        <x:v>1</x:v>
      </x:c>
      <x:c r="W1022"/>
      <x:c r="X1022" t="str">
        <x:v>offen</x:v>
      </x:c>
      <x:c r="Y1022" t="str">
        <x:v>Agent-Draft; Kategorie und Person pruefen</x:v>
      </x:c>
    </x:row>
    <x:row r="1023">
      <x:c r="A1023" t="str">
        <x:v>TXN-RAW-IMP-20260516-FULLDRAFT-001007</x:v>
      </x:c>
      <x:c r="B1023" t="str">
        <x:v>RAW-IMP-20260516-FULLDRAFT-001007</x:v>
      </x:c>
      <x:c r="C1023" t="str">
        <x:v>KTO001</x:v>
      </x:c>
      <x:c r="D1023"/>
      <x:c r="E1023" t="str">
        <x:v>KAT013</x:v>
      </x:c>
      <x:c r="F1023"/>
      <x:c r="G1023"/>
      <x:c r="H1023" t="str">
        <x:v>kein_match</x:v>
      </x:c>
      <x:c r="I1023" t="str">
        <x:v>Agent-Draft: keine finale Regelentscheidung</x:v>
      </x:c>
      <x:c r="J1023" t="n">
        <x:v>45831</x:v>
      </x:c>
      <x:c r="K1023"/>
      <x:c r="L1023"/>
      <x:c r="M1023" t="n">
        <x:v>-250</x:v>
      </x:c>
      <x:c r="N1023" t="str">
        <x:v>2025-06</x:v>
      </x:c>
      <x:c r="O1023" t="str">
        <x:v>Ausgabe</x:v>
      </x:c>
      <x:c r="P1023" t="str">
        <x:v>Ist</x:v>
      </x:c>
      <x:c r="Q1023" s="59" t="b">
        <x:v>0</x:v>
      </x:c>
      <x:c r="R1023" t="str">
        <x:v>kein_transfer</x:v>
      </x:c>
      <x:c r="S1023"/>
      <x:c r="T1023"/>
      <x:c r="U1023"/>
      <x:c r="V1023" s="59" t="b">
        <x:v>1</x:v>
      </x:c>
      <x:c r="W1023"/>
      <x:c r="X1023" t="str">
        <x:v>offen</x:v>
      </x:c>
      <x:c r="Y1023" t="str">
        <x:v>Agent-Draft; Kategorie und Person pruefen</x:v>
      </x:c>
    </x:row>
    <x:row r="1024">
      <x:c r="A1024" t="str">
        <x:v>TXN-RAW-IMP-20260516-FULLDRAFT-001008</x:v>
      </x:c>
      <x:c r="B1024" t="str">
        <x:v>RAW-IMP-20260516-FULLDRAFT-001008</x:v>
      </x:c>
      <x:c r="C1024" t="str">
        <x:v>KTO001</x:v>
      </x:c>
      <x:c r="D1024"/>
      <x:c r="E1024" t="str">
        <x:v>KAT013</x:v>
      </x:c>
      <x:c r="F1024"/>
      <x:c r="G1024"/>
      <x:c r="H1024" t="str">
        <x:v>kein_match</x:v>
      </x:c>
      <x:c r="I1024" t="str">
        <x:v>Agent-Draft: keine finale Regelentscheidung</x:v>
      </x:c>
      <x:c r="J1024" t="n">
        <x:v>45831</x:v>
      </x:c>
      <x:c r="K1024"/>
      <x:c r="L1024"/>
      <x:c r="M1024" t="n">
        <x:v>-1.6</x:v>
      </x:c>
      <x:c r="N1024" t="str">
        <x:v>2025-06</x:v>
      </x:c>
      <x:c r="O1024" t="str">
        <x:v>Ausgabe</x:v>
      </x:c>
      <x:c r="P1024" t="str">
        <x:v>Ist</x:v>
      </x:c>
      <x:c r="Q1024" s="59" t="b">
        <x:v>0</x:v>
      </x:c>
      <x:c r="R1024" t="str">
        <x:v>kein_transfer</x:v>
      </x:c>
      <x:c r="S1024"/>
      <x:c r="T1024"/>
      <x:c r="U1024"/>
      <x:c r="V1024" s="59" t="b">
        <x:v>1</x:v>
      </x:c>
      <x:c r="W1024"/>
      <x:c r="X1024" t="str">
        <x:v>offen</x:v>
      </x:c>
      <x:c r="Y1024" t="str">
        <x:v>Agent-Draft; Kategorie und Person pruefen</x:v>
      </x:c>
    </x:row>
    <x:row r="1025">
      <x:c r="A1025" t="str">
        <x:v>TXN-RAW-IMP-20260516-FULLDRAFT-001009</x:v>
      </x:c>
      <x:c r="B1025" t="str">
        <x:v>RAW-IMP-20260516-FULLDRAFT-001009</x:v>
      </x:c>
      <x:c r="C1025" t="str">
        <x:v>KTO001</x:v>
      </x:c>
      <x:c r="D1025"/>
      <x:c r="E1025" t="str">
        <x:v>KAT013</x:v>
      </x:c>
      <x:c r="F1025"/>
      <x:c r="G1025"/>
      <x:c r="H1025" t="str">
        <x:v>kein_match</x:v>
      </x:c>
      <x:c r="I1025" t="str">
        <x:v>Agent-Draft: keine finale Regelentscheidung</x:v>
      </x:c>
      <x:c r="J1025" t="n">
        <x:v>45831</x:v>
      </x:c>
      <x:c r="K1025"/>
      <x:c r="L1025"/>
      <x:c r="M1025" t="n">
        <x:v>-35.65</x:v>
      </x:c>
      <x:c r="N1025" t="str">
        <x:v>2025-06</x:v>
      </x:c>
      <x:c r="O1025" t="str">
        <x:v>Ausgabe</x:v>
      </x:c>
      <x:c r="P1025" t="str">
        <x:v>Ist</x:v>
      </x:c>
      <x:c r="Q1025" s="59" t="b">
        <x:v>0</x:v>
      </x:c>
      <x:c r="R1025" t="str">
        <x:v>kein_transfer</x:v>
      </x:c>
      <x:c r="S1025"/>
      <x:c r="T1025"/>
      <x:c r="U1025"/>
      <x:c r="V1025" s="59" t="b">
        <x:v>1</x:v>
      </x:c>
      <x:c r="W1025"/>
      <x:c r="X1025" t="str">
        <x:v>offen</x:v>
      </x:c>
      <x:c r="Y1025" t="str">
        <x:v>Agent-Draft; Kategorie und Person pruefen</x:v>
      </x:c>
    </x:row>
    <x:row r="1026">
      <x:c r="A1026" t="str">
        <x:v>TXN-RAW-IMP-20260516-FULLDRAFT-001010</x:v>
      </x:c>
      <x:c r="B1026" t="str">
        <x:v>RAW-IMP-20260516-FULLDRAFT-001010</x:v>
      </x:c>
      <x:c r="C1026" t="str">
        <x:v>KTO001</x:v>
      </x:c>
      <x:c r="D1026"/>
      <x:c r="E1026" t="str">
        <x:v>KAT013</x:v>
      </x:c>
      <x:c r="F1026"/>
      <x:c r="G1026"/>
      <x:c r="H1026" t="str">
        <x:v>kein_match</x:v>
      </x:c>
      <x:c r="I1026" t="str">
        <x:v>Agent-Draft: keine finale Regelentscheidung</x:v>
      </x:c>
      <x:c r="J1026" t="n">
        <x:v>45831</x:v>
      </x:c>
      <x:c r="K1026"/>
      <x:c r="L1026"/>
      <x:c r="M1026" t="n">
        <x:v>-94.15</x:v>
      </x:c>
      <x:c r="N1026" t="str">
        <x:v>2025-06</x:v>
      </x:c>
      <x:c r="O1026" t="str">
        <x:v>Ausgabe</x:v>
      </x:c>
      <x:c r="P1026" t="str">
        <x:v>Ist</x:v>
      </x:c>
      <x:c r="Q1026" s="59" t="b">
        <x:v>0</x:v>
      </x:c>
      <x:c r="R1026" t="str">
        <x:v>kein_transfer</x:v>
      </x:c>
      <x:c r="S1026"/>
      <x:c r="T1026"/>
      <x:c r="U1026"/>
      <x:c r="V1026" s="59" t="b">
        <x:v>1</x:v>
      </x:c>
      <x:c r="W1026"/>
      <x:c r="X1026" t="str">
        <x:v>offen</x:v>
      </x:c>
      <x:c r="Y1026" t="str">
        <x:v>Agent-Draft; Kategorie und Person pruefen</x:v>
      </x:c>
    </x:row>
    <x:row r="1027">
      <x:c r="A1027" t="str">
        <x:v>TXN-RAW-IMP-20260516-FULLDRAFT-001011</x:v>
      </x:c>
      <x:c r="B1027" t="str">
        <x:v>RAW-IMP-20260516-FULLDRAFT-001011</x:v>
      </x:c>
      <x:c r="C1027" t="str">
        <x:v>KTO001</x:v>
      </x:c>
      <x:c r="D1027"/>
      <x:c r="E1027" t="str">
        <x:v>KAT013</x:v>
      </x:c>
      <x:c r="F1027"/>
      <x:c r="G1027"/>
      <x:c r="H1027" t="str">
        <x:v>kein_match</x:v>
      </x:c>
      <x:c r="I1027" t="str">
        <x:v>Agent-Draft: keine finale Regelentscheidung</x:v>
      </x:c>
      <x:c r="J1027" t="n">
        <x:v>45831</x:v>
      </x:c>
      <x:c r="K1027"/>
      <x:c r="L1027"/>
      <x:c r="M1027" t="n">
        <x:v>-6.99</x:v>
      </x:c>
      <x:c r="N1027" t="str">
        <x:v>2025-06</x:v>
      </x:c>
      <x:c r="O1027" t="str">
        <x:v>Ausgabe</x:v>
      </x:c>
      <x:c r="P1027" t="str">
        <x:v>Ist</x:v>
      </x:c>
      <x:c r="Q1027" s="59" t="b">
        <x:v>0</x:v>
      </x:c>
      <x:c r="R1027" t="str">
        <x:v>kein_transfer</x:v>
      </x:c>
      <x:c r="S1027"/>
      <x:c r="T1027"/>
      <x:c r="U1027"/>
      <x:c r="V1027" s="59" t="b">
        <x:v>1</x:v>
      </x:c>
      <x:c r="W1027"/>
      <x:c r="X1027" t="str">
        <x:v>offen</x:v>
      </x:c>
      <x:c r="Y1027" t="str">
        <x:v>Agent-Draft; Kategorie und Person pruefen</x:v>
      </x:c>
    </x:row>
    <x:row r="1028">
      <x:c r="A1028" t="str">
        <x:v>TXN-RAW-IMP-20260516-FULLDRAFT-001012</x:v>
      </x:c>
      <x:c r="B1028" t="str">
        <x:v>RAW-IMP-20260516-FULLDRAFT-001012</x:v>
      </x:c>
      <x:c r="C1028" t="str">
        <x:v>KTO001</x:v>
      </x:c>
      <x:c r="D1028"/>
      <x:c r="E1028" t="str">
        <x:v>KAT013</x:v>
      </x:c>
      <x:c r="F1028"/>
      <x:c r="G1028"/>
      <x:c r="H1028" t="str">
        <x:v>kein_match</x:v>
      </x:c>
      <x:c r="I1028" t="str">
        <x:v>Agent-Draft: keine finale Regelentscheidung</x:v>
      </x:c>
      <x:c r="J1028" t="n">
        <x:v>45831</x:v>
      </x:c>
      <x:c r="K1028"/>
      <x:c r="L1028"/>
      <x:c r="M1028" t="n">
        <x:v>-6.99</x:v>
      </x:c>
      <x:c r="N1028" t="str">
        <x:v>2025-06</x:v>
      </x:c>
      <x:c r="O1028" t="str">
        <x:v>Ausgabe</x:v>
      </x:c>
      <x:c r="P1028" t="str">
        <x:v>Ist</x:v>
      </x:c>
      <x:c r="Q1028" s="59" t="b">
        <x:v>0</x:v>
      </x:c>
      <x:c r="R1028" t="str">
        <x:v>kein_transfer</x:v>
      </x:c>
      <x:c r="S1028"/>
      <x:c r="T1028"/>
      <x:c r="U1028"/>
      <x:c r="V1028" s="59" t="b">
        <x:v>1</x:v>
      </x:c>
      <x:c r="W1028"/>
      <x:c r="X1028" t="str">
        <x:v>offen</x:v>
      </x:c>
      <x:c r="Y1028" t="str">
        <x:v>Agent-Draft; Kategorie und Person pruefen</x:v>
      </x:c>
    </x:row>
    <x:row r="1029">
      <x:c r="A1029" t="str">
        <x:v>TXN-RAW-IMP-20260516-FULLDRAFT-001013</x:v>
      </x:c>
      <x:c r="B1029" t="str">
        <x:v>RAW-IMP-20260516-FULLDRAFT-001013</x:v>
      </x:c>
      <x:c r="C1029" t="str">
        <x:v>KTO001</x:v>
      </x:c>
      <x:c r="D1029"/>
      <x:c r="E1029" t="str">
        <x:v>KAT013</x:v>
      </x:c>
      <x:c r="F1029"/>
      <x:c r="G1029"/>
      <x:c r="H1029" t="str">
        <x:v>kein_match</x:v>
      </x:c>
      <x:c r="I1029" t="str">
        <x:v>Agent-Draft: keine finale Regelentscheidung</x:v>
      </x:c>
      <x:c r="J1029" t="n">
        <x:v>45831</x:v>
      </x:c>
      <x:c r="K1029"/>
      <x:c r="L1029"/>
      <x:c r="M1029" t="n">
        <x:v>-6.99</x:v>
      </x:c>
      <x:c r="N1029" t="str">
        <x:v>2025-06</x:v>
      </x:c>
      <x:c r="O1029" t="str">
        <x:v>Ausgabe</x:v>
      </x:c>
      <x:c r="P1029" t="str">
        <x:v>Ist</x:v>
      </x:c>
      <x:c r="Q1029" s="59" t="b">
        <x:v>0</x:v>
      </x:c>
      <x:c r="R1029" t="str">
        <x:v>kein_transfer</x:v>
      </x:c>
      <x:c r="S1029"/>
      <x:c r="T1029"/>
      <x:c r="U1029"/>
      <x:c r="V1029" s="59" t="b">
        <x:v>1</x:v>
      </x:c>
      <x:c r="W1029"/>
      <x:c r="X1029" t="str">
        <x:v>offen</x:v>
      </x:c>
      <x:c r="Y1029" t="str">
        <x:v>Agent-Draft; Kategorie und Person pruefen</x:v>
      </x:c>
    </x:row>
    <x:row r="1030">
      <x:c r="A1030" t="str">
        <x:v>TXN-RAW-IMP-20260516-FULLDRAFT-001014</x:v>
      </x:c>
      <x:c r="B1030" t="str">
        <x:v>RAW-IMP-20260516-FULLDRAFT-001014</x:v>
      </x:c>
      <x:c r="C1030" t="str">
        <x:v>KTO001</x:v>
      </x:c>
      <x:c r="D1030"/>
      <x:c r="E1030" t="str">
        <x:v>KAT013</x:v>
      </x:c>
      <x:c r="F1030"/>
      <x:c r="G1030"/>
      <x:c r="H1030" t="str">
        <x:v>kein_match</x:v>
      </x:c>
      <x:c r="I1030" t="str">
        <x:v>Agent-Draft: keine finale Regelentscheidung</x:v>
      </x:c>
      <x:c r="J1030" t="n">
        <x:v>45828</x:v>
      </x:c>
      <x:c r="K1030"/>
      <x:c r="L1030"/>
      <x:c r="M1030" t="n">
        <x:v>-4.99</x:v>
      </x:c>
      <x:c r="N1030" t="str">
        <x:v>2025-06</x:v>
      </x:c>
      <x:c r="O1030" t="str">
        <x:v>Ausgabe</x:v>
      </x:c>
      <x:c r="P1030" t="str">
        <x:v>Ist</x:v>
      </x:c>
      <x:c r="Q1030" s="59" t="b">
        <x:v>0</x:v>
      </x:c>
      <x:c r="R1030" t="str">
        <x:v>kein_transfer</x:v>
      </x:c>
      <x:c r="S1030"/>
      <x:c r="T1030"/>
      <x:c r="U1030"/>
      <x:c r="V1030" s="59" t="b">
        <x:v>1</x:v>
      </x:c>
      <x:c r="W1030"/>
      <x:c r="X1030" t="str">
        <x:v>offen</x:v>
      </x:c>
      <x:c r="Y1030" t="str">
        <x:v>Agent-Draft; Kategorie und Person pruefen</x:v>
      </x:c>
    </x:row>
    <x:row r="1031">
      <x:c r="A1031" t="str">
        <x:v>TXN-RAW-IMP-20260516-FULLDRAFT-001015</x:v>
      </x:c>
      <x:c r="B1031" t="str">
        <x:v>RAW-IMP-20260516-FULLDRAFT-001015</x:v>
      </x:c>
      <x:c r="C1031" t="str">
        <x:v>KTO001</x:v>
      </x:c>
      <x:c r="D1031"/>
      <x:c r="E1031" t="str">
        <x:v>KAT013</x:v>
      </x:c>
      <x:c r="F1031"/>
      <x:c r="G1031"/>
      <x:c r="H1031" t="str">
        <x:v>kein_match</x:v>
      </x:c>
      <x:c r="I1031" t="str">
        <x:v>Agent-Draft: keine finale Regelentscheidung</x:v>
      </x:c>
      <x:c r="J1031" t="n">
        <x:v>45828</x:v>
      </x:c>
      <x:c r="K1031"/>
      <x:c r="L1031"/>
      <x:c r="M1031" t="n">
        <x:v>-2.69</x:v>
      </x:c>
      <x:c r="N1031" t="str">
        <x:v>2025-06</x:v>
      </x:c>
      <x:c r="O1031" t="str">
        <x:v>Ausgabe</x:v>
      </x:c>
      <x:c r="P1031" t="str">
        <x:v>Ist</x:v>
      </x:c>
      <x:c r="Q1031" s="59" t="b">
        <x:v>0</x:v>
      </x:c>
      <x:c r="R1031" t="str">
        <x:v>kein_transfer</x:v>
      </x:c>
      <x:c r="S1031"/>
      <x:c r="T1031"/>
      <x:c r="U1031"/>
      <x:c r="V1031" s="59" t="b">
        <x:v>1</x:v>
      </x:c>
      <x:c r="W1031"/>
      <x:c r="X1031" t="str">
        <x:v>offen</x:v>
      </x:c>
      <x:c r="Y1031" t="str">
        <x:v>Agent-Draft; Kategorie und Person pruefen</x:v>
      </x:c>
    </x:row>
    <x:row r="1032">
      <x:c r="A1032" t="str">
        <x:v>TXN-RAW-IMP-20260516-FULLDRAFT-001016</x:v>
      </x:c>
      <x:c r="B1032" t="str">
        <x:v>RAW-IMP-20260516-FULLDRAFT-001016</x:v>
      </x:c>
      <x:c r="C1032" t="str">
        <x:v>KTO001</x:v>
      </x:c>
      <x:c r="D1032"/>
      <x:c r="E1032" t="str">
        <x:v>KAT013</x:v>
      </x:c>
      <x:c r="F1032"/>
      <x:c r="G1032"/>
      <x:c r="H1032" t="str">
        <x:v>kein_match</x:v>
      </x:c>
      <x:c r="I1032" t="str">
        <x:v>Agent-Draft: keine finale Regelentscheidung</x:v>
      </x:c>
      <x:c r="J1032" t="n">
        <x:v>45827</x:v>
      </x:c>
      <x:c r="K1032"/>
      <x:c r="L1032"/>
      <x:c r="M1032" t="n">
        <x:v>-4.09</x:v>
      </x:c>
      <x:c r="N1032" t="str">
        <x:v>2025-06</x:v>
      </x:c>
      <x:c r="O1032" t="str">
        <x:v>Ausgabe</x:v>
      </x:c>
      <x:c r="P1032" t="str">
        <x:v>Ist</x:v>
      </x:c>
      <x:c r="Q1032" s="59" t="b">
        <x:v>0</x:v>
      </x:c>
      <x:c r="R1032" t="str">
        <x:v>kein_transfer</x:v>
      </x:c>
      <x:c r="S1032"/>
      <x:c r="T1032"/>
      <x:c r="U1032"/>
      <x:c r="V1032" s="59" t="b">
        <x:v>1</x:v>
      </x:c>
      <x:c r="W1032"/>
      <x:c r="X1032" t="str">
        <x:v>offen</x:v>
      </x:c>
      <x:c r="Y1032" t="str">
        <x:v>Agent-Draft; Kategorie und Person pruefen</x:v>
      </x:c>
    </x:row>
    <x:row r="1033">
      <x:c r="A1033" t="str">
        <x:v>TXN-RAW-IMP-20260516-FULLDRAFT-001017</x:v>
      </x:c>
      <x:c r="B1033" t="str">
        <x:v>RAW-IMP-20260516-FULLDRAFT-001017</x:v>
      </x:c>
      <x:c r="C1033" t="str">
        <x:v>KTO001</x:v>
      </x:c>
      <x:c r="D1033"/>
      <x:c r="E1033" t="str">
        <x:v>KAT013</x:v>
      </x:c>
      <x:c r="F1033"/>
      <x:c r="G1033"/>
      <x:c r="H1033" t="str">
        <x:v>kein_match</x:v>
      </x:c>
      <x:c r="I1033" t="str">
        <x:v>Agent-Draft: keine finale Regelentscheidung</x:v>
      </x:c>
      <x:c r="J1033" t="n">
        <x:v>45827</x:v>
      </x:c>
      <x:c r="K1033"/>
      <x:c r="L1033"/>
      <x:c r="M1033" t="n">
        <x:v>-40</x:v>
      </x:c>
      <x:c r="N1033" t="str">
        <x:v>2025-06</x:v>
      </x:c>
      <x:c r="O1033" t="str">
        <x:v>Ausgabe</x:v>
      </x:c>
      <x:c r="P1033" t="str">
        <x:v>Ist</x:v>
      </x:c>
      <x:c r="Q1033" s="59" t="b">
        <x:v>0</x:v>
      </x:c>
      <x:c r="R1033" t="str">
        <x:v>kein_transfer</x:v>
      </x:c>
      <x:c r="S1033"/>
      <x:c r="T1033"/>
      <x:c r="U1033"/>
      <x:c r="V1033" s="59" t="b">
        <x:v>1</x:v>
      </x:c>
      <x:c r="W1033"/>
      <x:c r="X1033" t="str">
        <x:v>offen</x:v>
      </x:c>
      <x:c r="Y1033" t="str">
        <x:v>Agent-Draft; Kategorie und Person pruefen</x:v>
      </x:c>
    </x:row>
    <x:row r="1034">
      <x:c r="A1034" t="str">
        <x:v>TXN-RAW-IMP-20260516-FULLDRAFT-001018</x:v>
      </x:c>
      <x:c r="B1034" t="str">
        <x:v>RAW-IMP-20260516-FULLDRAFT-001018</x:v>
      </x:c>
      <x:c r="C1034" t="str">
        <x:v>KTO001</x:v>
      </x:c>
      <x:c r="D1034"/>
      <x:c r="E1034" t="str">
        <x:v>KAT013</x:v>
      </x:c>
      <x:c r="F1034"/>
      <x:c r="G1034"/>
      <x:c r="H1034" t="str">
        <x:v>kein_match</x:v>
      </x:c>
      <x:c r="I1034" t="str">
        <x:v>Agent-Draft: keine finale Regelentscheidung</x:v>
      </x:c>
      <x:c r="J1034" t="n">
        <x:v>45826</x:v>
      </x:c>
      <x:c r="K1034"/>
      <x:c r="L1034"/>
      <x:c r="M1034" t="n">
        <x:v>-20</x:v>
      </x:c>
      <x:c r="N1034" t="str">
        <x:v>2025-06</x:v>
      </x:c>
      <x:c r="O1034" t="str">
        <x:v>Ausgabe</x:v>
      </x:c>
      <x:c r="P1034" t="str">
        <x:v>Ist</x:v>
      </x:c>
      <x:c r="Q1034" s="59" t="b">
        <x:v>0</x:v>
      </x:c>
      <x:c r="R1034" t="str">
        <x:v>kein_transfer</x:v>
      </x:c>
      <x:c r="S1034"/>
      <x:c r="T1034"/>
      <x:c r="U1034"/>
      <x:c r="V1034" s="59" t="b">
        <x:v>1</x:v>
      </x:c>
      <x:c r="W1034"/>
      <x:c r="X1034" t="str">
        <x:v>offen</x:v>
      </x:c>
      <x:c r="Y1034" t="str">
        <x:v>Agent-Draft; Kategorie und Person pruefen</x:v>
      </x:c>
    </x:row>
    <x:row r="1035">
      <x:c r="A1035" t="str">
        <x:v>TXN-RAW-IMP-20260516-FULLDRAFT-001019</x:v>
      </x:c>
      <x:c r="B1035" t="str">
        <x:v>RAW-IMP-20260516-FULLDRAFT-001019</x:v>
      </x:c>
      <x:c r="C1035" t="str">
        <x:v>KTO001</x:v>
      </x:c>
      <x:c r="D1035"/>
      <x:c r="E1035" t="str">
        <x:v>KAT013</x:v>
      </x:c>
      <x:c r="F1035"/>
      <x:c r="G1035"/>
      <x:c r="H1035" t="str">
        <x:v>kein_match</x:v>
      </x:c>
      <x:c r="I1035" t="str">
        <x:v>Agent-Draft: keine finale Regelentscheidung</x:v>
      </x:c>
      <x:c r="J1035" t="n">
        <x:v>45826</x:v>
      </x:c>
      <x:c r="K1035"/>
      <x:c r="L1035"/>
      <x:c r="M1035" t="n">
        <x:v>-11.99</x:v>
      </x:c>
      <x:c r="N1035" t="str">
        <x:v>2025-06</x:v>
      </x:c>
      <x:c r="O1035" t="str">
        <x:v>Ausgabe</x:v>
      </x:c>
      <x:c r="P1035" t="str">
        <x:v>Ist</x:v>
      </x:c>
      <x:c r="Q1035" s="59" t="b">
        <x:v>0</x:v>
      </x:c>
      <x:c r="R1035" t="str">
        <x:v>kein_transfer</x:v>
      </x:c>
      <x:c r="S1035"/>
      <x:c r="T1035"/>
      <x:c r="U1035"/>
      <x:c r="V1035" s="59" t="b">
        <x:v>1</x:v>
      </x:c>
      <x:c r="W1035"/>
      <x:c r="X1035" t="str">
        <x:v>offen</x:v>
      </x:c>
      <x:c r="Y1035" t="str">
        <x:v>Agent-Draft; Kategorie und Person pruefen</x:v>
      </x:c>
    </x:row>
    <x:row r="1036">
      <x:c r="A1036" t="str">
        <x:v>TXN-RAW-IMP-20260516-FULLDRAFT-001020</x:v>
      </x:c>
      <x:c r="B1036" t="str">
        <x:v>RAW-IMP-20260516-FULLDRAFT-001020</x:v>
      </x:c>
      <x:c r="C1036" t="str">
        <x:v>KTO001</x:v>
      </x:c>
      <x:c r="D1036"/>
      <x:c r="E1036" t="str">
        <x:v>KAT013</x:v>
      </x:c>
      <x:c r="F1036"/>
      <x:c r="G1036"/>
      <x:c r="H1036" t="str">
        <x:v>kein_match</x:v>
      </x:c>
      <x:c r="I1036" t="str">
        <x:v>Agent-Draft: keine finale Regelentscheidung</x:v>
      </x:c>
      <x:c r="J1036" t="n">
        <x:v>45826</x:v>
      </x:c>
      <x:c r="K1036"/>
      <x:c r="L1036"/>
      <x:c r="M1036" t="n">
        <x:v>-25.98</x:v>
      </x:c>
      <x:c r="N1036" t="str">
        <x:v>2025-06</x:v>
      </x:c>
      <x:c r="O1036" t="str">
        <x:v>Ausgabe</x:v>
      </x:c>
      <x:c r="P1036" t="str">
        <x:v>Ist</x:v>
      </x:c>
      <x:c r="Q1036" s="59" t="b">
        <x:v>0</x:v>
      </x:c>
      <x:c r="R1036" t="str">
        <x:v>kein_transfer</x:v>
      </x:c>
      <x:c r="S1036"/>
      <x:c r="T1036"/>
      <x:c r="U1036"/>
      <x:c r="V1036" s="59" t="b">
        <x:v>1</x:v>
      </x:c>
      <x:c r="W1036"/>
      <x:c r="X1036" t="str">
        <x:v>offen</x:v>
      </x:c>
      <x:c r="Y1036" t="str">
        <x:v>Agent-Draft; Kategorie und Person pruefen</x:v>
      </x:c>
    </x:row>
    <x:row r="1037">
      <x:c r="A1037" t="str">
        <x:v>TXN-RAW-IMP-20260516-FULLDRAFT-001021</x:v>
      </x:c>
      <x:c r="B1037" t="str">
        <x:v>RAW-IMP-20260516-FULLDRAFT-001021</x:v>
      </x:c>
      <x:c r="C1037" t="str">
        <x:v>KTO001</x:v>
      </x:c>
      <x:c r="D1037"/>
      <x:c r="E1037" t="str">
        <x:v>KAT013</x:v>
      </x:c>
      <x:c r="F1037"/>
      <x:c r="G1037"/>
      <x:c r="H1037" t="str">
        <x:v>kein_match</x:v>
      </x:c>
      <x:c r="I1037" t="str">
        <x:v>Agent-Draft: keine finale Regelentscheidung</x:v>
      </x:c>
      <x:c r="J1037" t="n">
        <x:v>45825</x:v>
      </x:c>
      <x:c r="K1037"/>
      <x:c r="L1037"/>
      <x:c r="M1037" t="n">
        <x:v>169.1</x:v>
      </x:c>
      <x:c r="N1037" t="str">
        <x:v>2025-06</x:v>
      </x:c>
      <x:c r="O1037" t="str">
        <x:v>Einnahme</x:v>
      </x:c>
      <x:c r="P1037" t="str">
        <x:v>Ist</x:v>
      </x:c>
      <x:c r="Q1037" s="59" t="b">
        <x:v>0</x:v>
      </x:c>
      <x:c r="R1037" t="str">
        <x:v>kein_transfer</x:v>
      </x:c>
      <x:c r="S1037"/>
      <x:c r="T1037"/>
      <x:c r="U1037"/>
      <x:c r="V1037" s="59" t="b">
        <x:v>1</x:v>
      </x:c>
      <x:c r="W1037"/>
      <x:c r="X1037" t="str">
        <x:v>offen</x:v>
      </x:c>
      <x:c r="Y1037" t="str">
        <x:v>Agent-Draft; Kategorie und Person pruefen</x:v>
      </x:c>
    </x:row>
    <x:row r="1038">
      <x:c r="A1038" t="str">
        <x:v>TXN-RAW-IMP-20260516-FULLDRAFT-001022</x:v>
      </x:c>
      <x:c r="B1038" t="str">
        <x:v>RAW-IMP-20260516-FULLDRAFT-001022</x:v>
      </x:c>
      <x:c r="C1038" t="str">
        <x:v>KTO001</x:v>
      </x:c>
      <x:c r="D1038"/>
      <x:c r="E1038" t="str">
        <x:v>KAT013</x:v>
      </x:c>
      <x:c r="F1038"/>
      <x:c r="G1038"/>
      <x:c r="H1038" t="str">
        <x:v>kein_match</x:v>
      </x:c>
      <x:c r="I1038" t="str">
        <x:v>Agent-Draft: keine finale Regelentscheidung</x:v>
      </x:c>
      <x:c r="J1038" t="n">
        <x:v>45825</x:v>
      </x:c>
      <x:c r="K1038"/>
      <x:c r="L1038"/>
      <x:c r="M1038" t="n">
        <x:v>-152.45</x:v>
      </x:c>
      <x:c r="N1038" t="str">
        <x:v>2025-06</x:v>
      </x:c>
      <x:c r="O1038" t="str">
        <x:v>Ausgabe</x:v>
      </x:c>
      <x:c r="P1038" t="str">
        <x:v>Ist</x:v>
      </x:c>
      <x:c r="Q1038" s="59" t="b">
        <x:v>0</x:v>
      </x:c>
      <x:c r="R1038" t="str">
        <x:v>kein_transfer</x:v>
      </x:c>
      <x:c r="S1038"/>
      <x:c r="T1038"/>
      <x:c r="U1038"/>
      <x:c r="V1038" s="59" t="b">
        <x:v>1</x:v>
      </x:c>
      <x:c r="W1038"/>
      <x:c r="X1038" t="str">
        <x:v>offen</x:v>
      </x:c>
      <x:c r="Y1038" t="str">
        <x:v>Agent-Draft; Kategorie und Person pruefen</x:v>
      </x:c>
    </x:row>
    <x:row r="1039">
      <x:c r="A1039" t="str">
        <x:v>TXN-RAW-IMP-20260516-FULLDRAFT-001023</x:v>
      </x:c>
      <x:c r="B1039" t="str">
        <x:v>RAW-IMP-20260516-FULLDRAFT-001023</x:v>
      </x:c>
      <x:c r="C1039" t="str">
        <x:v>KTO001</x:v>
      </x:c>
      <x:c r="D1039"/>
      <x:c r="E1039" t="str">
        <x:v>KAT013</x:v>
      </x:c>
      <x:c r="F1039"/>
      <x:c r="G1039"/>
      <x:c r="H1039" t="str">
        <x:v>kein_match</x:v>
      </x:c>
      <x:c r="I1039" t="str">
        <x:v>Agent-Draft: keine finale Regelentscheidung</x:v>
      </x:c>
      <x:c r="J1039" t="n">
        <x:v>45825</x:v>
      </x:c>
      <x:c r="K1039"/>
      <x:c r="L1039"/>
      <x:c r="M1039" t="n">
        <x:v>-273.09</x:v>
      </x:c>
      <x:c r="N1039" t="str">
        <x:v>2025-06</x:v>
      </x:c>
      <x:c r="O1039" t="str">
        <x:v>Ausgabe</x:v>
      </x:c>
      <x:c r="P1039" t="str">
        <x:v>Ist</x:v>
      </x:c>
      <x:c r="Q1039" s="59" t="b">
        <x:v>0</x:v>
      </x:c>
      <x:c r="R1039" t="str">
        <x:v>kein_transfer</x:v>
      </x:c>
      <x:c r="S1039"/>
      <x:c r="T1039"/>
      <x:c r="U1039"/>
      <x:c r="V1039" s="59" t="b">
        <x:v>1</x:v>
      </x:c>
      <x:c r="W1039"/>
      <x:c r="X1039" t="str">
        <x:v>offen</x:v>
      </x:c>
      <x:c r="Y1039" t="str">
        <x:v>Agent-Draft; Kategorie und Person pruefen</x:v>
      </x:c>
    </x:row>
    <x:row r="1040">
      <x:c r="A1040" t="str">
        <x:v>TXN-RAW-IMP-20260516-FULLDRAFT-001024</x:v>
      </x:c>
      <x:c r="B1040" t="str">
        <x:v>RAW-IMP-20260516-FULLDRAFT-001024</x:v>
      </x:c>
      <x:c r="C1040" t="str">
        <x:v>KTO001</x:v>
      </x:c>
      <x:c r="D1040"/>
      <x:c r="E1040" t="str">
        <x:v>KAT013</x:v>
      </x:c>
      <x:c r="F1040"/>
      <x:c r="G1040"/>
      <x:c r="H1040" t="str">
        <x:v>kein_match</x:v>
      </x:c>
      <x:c r="I1040" t="str">
        <x:v>Agent-Draft: keine finale Regelentscheidung</x:v>
      </x:c>
      <x:c r="J1040" t="n">
        <x:v>45824</x:v>
      </x:c>
      <x:c r="K1040"/>
      <x:c r="L1040"/>
      <x:c r="M1040" t="n">
        <x:v>1200</x:v>
      </x:c>
      <x:c r="N1040" t="str">
        <x:v>2025-06</x:v>
      </x:c>
      <x:c r="O1040" t="str">
        <x:v>Einnahme</x:v>
      </x:c>
      <x:c r="P1040" t="str">
        <x:v>Ist</x:v>
      </x:c>
      <x:c r="Q1040" s="59" t="b">
        <x:v>0</x:v>
      </x:c>
      <x:c r="R1040" t="str">
        <x:v>unklar</x:v>
      </x:c>
      <x:c r="S1040"/>
      <x:c r="T1040"/>
      <x:c r="U1040"/>
      <x:c r="V1040" s="59" t="b">
        <x:v>1</x:v>
      </x:c>
      <x:c r="W1040" t="str">
        <x:v>Transferkandidat im Draft</x:v>
      </x:c>
      <x:c r="X1040" t="str">
        <x:v>offen</x:v>
      </x:c>
      <x:c r="Y1040" t="str">
        <x:v>Agent-Draft; Kategorie und Person pruefen</x:v>
      </x:c>
    </x:row>
    <x:row r="1041">
      <x:c r="A1041" t="str">
        <x:v>TXN-RAW-IMP-20260516-FULLDRAFT-001025</x:v>
      </x:c>
      <x:c r="B1041" t="str">
        <x:v>RAW-IMP-20260516-FULLDRAFT-001025</x:v>
      </x:c>
      <x:c r="C1041" t="str">
        <x:v>KTO001</x:v>
      </x:c>
      <x:c r="D1041"/>
      <x:c r="E1041" t="str">
        <x:v>KAT013</x:v>
      </x:c>
      <x:c r="F1041"/>
      <x:c r="G1041"/>
      <x:c r="H1041" t="str">
        <x:v>kein_match</x:v>
      </x:c>
      <x:c r="I1041" t="str">
        <x:v>Agent-Draft: keine finale Regelentscheidung</x:v>
      </x:c>
      <x:c r="J1041" t="n">
        <x:v>45824</x:v>
      </x:c>
      <x:c r="K1041"/>
      <x:c r="L1041"/>
      <x:c r="M1041" t="n">
        <x:v>-92.55</x:v>
      </x:c>
      <x:c r="N1041" t="str">
        <x:v>2025-06</x:v>
      </x:c>
      <x:c r="O1041" t="str">
        <x:v>Ausgabe</x:v>
      </x:c>
      <x:c r="P1041" t="str">
        <x:v>Ist</x:v>
      </x:c>
      <x:c r="Q1041" s="59" t="b">
        <x:v>0</x:v>
      </x:c>
      <x:c r="R1041" t="str">
        <x:v>kein_transfer</x:v>
      </x:c>
      <x:c r="S1041"/>
      <x:c r="T1041"/>
      <x:c r="U1041"/>
      <x:c r="V1041" s="59" t="b">
        <x:v>1</x:v>
      </x:c>
      <x:c r="W1041"/>
      <x:c r="X1041" t="str">
        <x:v>offen</x:v>
      </x:c>
      <x:c r="Y1041" t="str">
        <x:v>Agent-Draft; Kategorie und Person pruefen</x:v>
      </x:c>
    </x:row>
    <x:row r="1042">
      <x:c r="A1042" t="str">
        <x:v>TXN-RAW-IMP-20260516-FULLDRAFT-001026</x:v>
      </x:c>
      <x:c r="B1042" t="str">
        <x:v>RAW-IMP-20260516-FULLDRAFT-001026</x:v>
      </x:c>
      <x:c r="C1042" t="str">
        <x:v>KTO001</x:v>
      </x:c>
      <x:c r="D1042"/>
      <x:c r="E1042" t="str">
        <x:v>KAT013</x:v>
      </x:c>
      <x:c r="F1042"/>
      <x:c r="G1042"/>
      <x:c r="H1042" t="str">
        <x:v>kein_match</x:v>
      </x:c>
      <x:c r="I1042" t="str">
        <x:v>Agent-Draft: keine finale Regelentscheidung</x:v>
      </x:c>
      <x:c r="J1042" t="n">
        <x:v>45824</x:v>
      </x:c>
      <x:c r="K1042"/>
      <x:c r="L1042"/>
      <x:c r="M1042" t="n">
        <x:v>-43.27</x:v>
      </x:c>
      <x:c r="N1042" t="str">
        <x:v>2025-06</x:v>
      </x:c>
      <x:c r="O1042" t="str">
        <x:v>Ausgabe</x:v>
      </x:c>
      <x:c r="P1042" t="str">
        <x:v>Ist</x:v>
      </x:c>
      <x:c r="Q1042" s="59" t="b">
        <x:v>0</x:v>
      </x:c>
      <x:c r="R1042" t="str">
        <x:v>kein_transfer</x:v>
      </x:c>
      <x:c r="S1042"/>
      <x:c r="T1042"/>
      <x:c r="U1042"/>
      <x:c r="V1042" s="59" t="b">
        <x:v>1</x:v>
      </x:c>
      <x:c r="W1042"/>
      <x:c r="X1042" t="str">
        <x:v>offen</x:v>
      </x:c>
      <x:c r="Y1042" t="str">
        <x:v>Agent-Draft; Kategorie und Person pruefen</x:v>
      </x:c>
    </x:row>
    <x:row r="1043">
      <x:c r="A1043" t="str">
        <x:v>TXN-RAW-IMP-20260516-FULLDRAFT-001027</x:v>
      </x:c>
      <x:c r="B1043" t="str">
        <x:v>RAW-IMP-20260516-FULLDRAFT-001027</x:v>
      </x:c>
      <x:c r="C1043" t="str">
        <x:v>KTO001</x:v>
      </x:c>
      <x:c r="D1043"/>
      <x:c r="E1043" t="str">
        <x:v>KAT013</x:v>
      </x:c>
      <x:c r="F1043"/>
      <x:c r="G1043"/>
      <x:c r="H1043" t="str">
        <x:v>kein_match</x:v>
      </x:c>
      <x:c r="I1043" t="str">
        <x:v>Agent-Draft: keine finale Regelentscheidung</x:v>
      </x:c>
      <x:c r="J1043" t="n">
        <x:v>45824</x:v>
      </x:c>
      <x:c r="K1043"/>
      <x:c r="L1043"/>
      <x:c r="M1043" t="n">
        <x:v>-100</x:v>
      </x:c>
      <x:c r="N1043" t="str">
        <x:v>2025-06</x:v>
      </x:c>
      <x:c r="O1043" t="str">
        <x:v>Ausgabe</x:v>
      </x:c>
      <x:c r="P1043" t="str">
        <x:v>Ist</x:v>
      </x:c>
      <x:c r="Q1043" s="59" t="b">
        <x:v>0</x:v>
      </x:c>
      <x:c r="R1043" t="str">
        <x:v>kein_transfer</x:v>
      </x:c>
      <x:c r="S1043"/>
      <x:c r="T1043"/>
      <x:c r="U1043"/>
      <x:c r="V1043" s="59" t="b">
        <x:v>1</x:v>
      </x:c>
      <x:c r="W1043"/>
      <x:c r="X1043" t="str">
        <x:v>offen</x:v>
      </x:c>
      <x:c r="Y1043" t="str">
        <x:v>Agent-Draft; Kategorie und Person pruefen</x:v>
      </x:c>
    </x:row>
    <x:row r="1044">
      <x:c r="A1044" t="str">
        <x:v>TXN-RAW-IMP-20260516-FULLDRAFT-001028</x:v>
      </x:c>
      <x:c r="B1044" t="str">
        <x:v>RAW-IMP-20260516-FULLDRAFT-001028</x:v>
      </x:c>
      <x:c r="C1044" t="str">
        <x:v>KTO001</x:v>
      </x:c>
      <x:c r="D1044"/>
      <x:c r="E1044" t="str">
        <x:v>KAT013</x:v>
      </x:c>
      <x:c r="F1044"/>
      <x:c r="G1044"/>
      <x:c r="H1044" t="str">
        <x:v>kein_match</x:v>
      </x:c>
      <x:c r="I1044" t="str">
        <x:v>Agent-Draft: keine finale Regelentscheidung</x:v>
      </x:c>
      <x:c r="J1044" t="n">
        <x:v>45824</x:v>
      </x:c>
      <x:c r="K1044"/>
      <x:c r="L1044"/>
      <x:c r="M1044" t="n">
        <x:v>-675</x:v>
      </x:c>
      <x:c r="N1044" t="str">
        <x:v>2025-06</x:v>
      </x:c>
      <x:c r="O1044" t="str">
        <x:v>Ausgabe</x:v>
      </x:c>
      <x:c r="P1044" t="str">
        <x:v>Ist</x:v>
      </x:c>
      <x:c r="Q1044" s="59" t="b">
        <x:v>0</x:v>
      </x:c>
      <x:c r="R1044" t="str">
        <x:v>kein_transfer</x:v>
      </x:c>
      <x:c r="S1044"/>
      <x:c r="T1044"/>
      <x:c r="U1044"/>
      <x:c r="V1044" s="59" t="b">
        <x:v>1</x:v>
      </x:c>
      <x:c r="W1044"/>
      <x:c r="X1044" t="str">
        <x:v>offen</x:v>
      </x:c>
      <x:c r="Y1044" t="str">
        <x:v>Agent-Draft; Kategorie und Person pruefen</x:v>
      </x:c>
    </x:row>
    <x:row r="1045">
      <x:c r="A1045" t="str">
        <x:v>TXN-RAW-IMP-20260516-FULLDRAFT-001029</x:v>
      </x:c>
      <x:c r="B1045" t="str">
        <x:v>RAW-IMP-20260516-FULLDRAFT-001029</x:v>
      </x:c>
      <x:c r="C1045" t="str">
        <x:v>KTO001</x:v>
      </x:c>
      <x:c r="D1045"/>
      <x:c r="E1045" t="str">
        <x:v>KAT013</x:v>
      </x:c>
      <x:c r="F1045"/>
      <x:c r="G1045"/>
      <x:c r="H1045" t="str">
        <x:v>kein_match</x:v>
      </x:c>
      <x:c r="I1045" t="str">
        <x:v>Agent-Draft: keine finale Regelentscheidung</x:v>
      </x:c>
      <x:c r="J1045" t="n">
        <x:v>45824</x:v>
      </x:c>
      <x:c r="K1045"/>
      <x:c r="L1045"/>
      <x:c r="M1045" t="n">
        <x:v>-2.49</x:v>
      </x:c>
      <x:c r="N1045" t="str">
        <x:v>2025-06</x:v>
      </x:c>
      <x:c r="O1045" t="str">
        <x:v>Ausgabe</x:v>
      </x:c>
      <x:c r="P1045" t="str">
        <x:v>Ist</x:v>
      </x:c>
      <x:c r="Q1045" s="59" t="b">
        <x:v>0</x:v>
      </x:c>
      <x:c r="R1045" t="str">
        <x:v>kein_transfer</x:v>
      </x:c>
      <x:c r="S1045"/>
      <x:c r="T1045"/>
      <x:c r="U1045"/>
      <x:c r="V1045" s="59" t="b">
        <x:v>1</x:v>
      </x:c>
      <x:c r="W1045"/>
      <x:c r="X1045" t="str">
        <x:v>offen</x:v>
      </x:c>
      <x:c r="Y1045" t="str">
        <x:v>Agent-Draft; Kategorie und Person pruefen</x:v>
      </x:c>
    </x:row>
    <x:row r="1046">
      <x:c r="A1046" t="str">
        <x:v>TXN-RAW-IMP-20260516-FULLDRAFT-001030</x:v>
      </x:c>
      <x:c r="B1046" t="str">
        <x:v>RAW-IMP-20260516-FULLDRAFT-001030</x:v>
      </x:c>
      <x:c r="C1046" t="str">
        <x:v>KTO001</x:v>
      </x:c>
      <x:c r="D1046"/>
      <x:c r="E1046" t="str">
        <x:v>KAT013</x:v>
      </x:c>
      <x:c r="F1046"/>
      <x:c r="G1046"/>
      <x:c r="H1046" t="str">
        <x:v>kein_match</x:v>
      </x:c>
      <x:c r="I1046" t="str">
        <x:v>Agent-Draft: keine finale Regelentscheidung</x:v>
      </x:c>
      <x:c r="J1046" t="n">
        <x:v>45824</x:v>
      </x:c>
      <x:c r="K1046"/>
      <x:c r="L1046"/>
      <x:c r="M1046" t="n">
        <x:v>-2.55</x:v>
      </x:c>
      <x:c r="N1046" t="str">
        <x:v>2025-06</x:v>
      </x:c>
      <x:c r="O1046" t="str">
        <x:v>Ausgabe</x:v>
      </x:c>
      <x:c r="P1046" t="str">
        <x:v>Ist</x:v>
      </x:c>
      <x:c r="Q1046" s="59" t="b">
        <x:v>0</x:v>
      </x:c>
      <x:c r="R1046" t="str">
        <x:v>kein_transfer</x:v>
      </x:c>
      <x:c r="S1046"/>
      <x:c r="T1046"/>
      <x:c r="U1046"/>
      <x:c r="V1046" s="59" t="b">
        <x:v>1</x:v>
      </x:c>
      <x:c r="W1046"/>
      <x:c r="X1046" t="str">
        <x:v>offen</x:v>
      </x:c>
      <x:c r="Y1046" t="str">
        <x:v>Agent-Draft; Kategorie und Person pruefen</x:v>
      </x:c>
    </x:row>
    <x:row r="1047">
      <x:c r="A1047" t="str">
        <x:v>TXN-RAW-IMP-20260516-FULLDRAFT-001031</x:v>
      </x:c>
      <x:c r="B1047" t="str">
        <x:v>RAW-IMP-20260516-FULLDRAFT-001031</x:v>
      </x:c>
      <x:c r="C1047" t="str">
        <x:v>KTO001</x:v>
      </x:c>
      <x:c r="D1047"/>
      <x:c r="E1047" t="str">
        <x:v>KAT013</x:v>
      </x:c>
      <x:c r="F1047"/>
      <x:c r="G1047"/>
      <x:c r="H1047" t="str">
        <x:v>kein_match</x:v>
      </x:c>
      <x:c r="I1047" t="str">
        <x:v>Agent-Draft: keine finale Regelentscheidung</x:v>
      </x:c>
      <x:c r="J1047" t="n">
        <x:v>45824</x:v>
      </x:c>
      <x:c r="K1047"/>
      <x:c r="L1047"/>
      <x:c r="M1047" t="n">
        <x:v>-5.36</x:v>
      </x:c>
      <x:c r="N1047" t="str">
        <x:v>2025-06</x:v>
      </x:c>
      <x:c r="O1047" t="str">
        <x:v>Ausgabe</x:v>
      </x:c>
      <x:c r="P1047" t="str">
        <x:v>Ist</x:v>
      </x:c>
      <x:c r="Q1047" s="59" t="b">
        <x:v>0</x:v>
      </x:c>
      <x:c r="R1047" t="str">
        <x:v>kein_transfer</x:v>
      </x:c>
      <x:c r="S1047"/>
      <x:c r="T1047"/>
      <x:c r="U1047"/>
      <x:c r="V1047" s="59" t="b">
        <x:v>1</x:v>
      </x:c>
      <x:c r="W1047"/>
      <x:c r="X1047" t="str">
        <x:v>offen</x:v>
      </x:c>
      <x:c r="Y1047" t="str">
        <x:v>Agent-Draft; Kategorie und Person pruefen</x:v>
      </x:c>
    </x:row>
    <x:row r="1048">
      <x:c r="A1048" t="str">
        <x:v>TXN-RAW-IMP-20260516-FULLDRAFT-001032</x:v>
      </x:c>
      <x:c r="B1048" t="str">
        <x:v>RAW-IMP-20260516-FULLDRAFT-001032</x:v>
      </x:c>
      <x:c r="C1048" t="str">
        <x:v>KTO001</x:v>
      </x:c>
      <x:c r="D1048"/>
      <x:c r="E1048" t="str">
        <x:v>KAT013</x:v>
      </x:c>
      <x:c r="F1048"/>
      <x:c r="G1048"/>
      <x:c r="H1048" t="str">
        <x:v>kein_match</x:v>
      </x:c>
      <x:c r="I1048" t="str">
        <x:v>Agent-Draft: keine finale Regelentscheidung</x:v>
      </x:c>
      <x:c r="J1048" t="n">
        <x:v>45821</x:v>
      </x:c>
      <x:c r="K1048"/>
      <x:c r="L1048"/>
      <x:c r="M1048" t="n">
        <x:v>-11.99</x:v>
      </x:c>
      <x:c r="N1048" t="str">
        <x:v>2025-06</x:v>
      </x:c>
      <x:c r="O1048" t="str">
        <x:v>Ausgabe</x:v>
      </x:c>
      <x:c r="P1048" t="str">
        <x:v>Ist</x:v>
      </x:c>
      <x:c r="Q1048" s="59" t="b">
        <x:v>0</x:v>
      </x:c>
      <x:c r="R1048" t="str">
        <x:v>kein_transfer</x:v>
      </x:c>
      <x:c r="S1048"/>
      <x:c r="T1048"/>
      <x:c r="U1048"/>
      <x:c r="V1048" s="59" t="b">
        <x:v>1</x:v>
      </x:c>
      <x:c r="W1048"/>
      <x:c r="X1048" t="str">
        <x:v>offen</x:v>
      </x:c>
      <x:c r="Y1048" t="str">
        <x:v>Agent-Draft; Kategorie und Person pruefen</x:v>
      </x:c>
    </x:row>
    <x:row r="1049">
      <x:c r="A1049" t="str">
        <x:v>TXN-RAW-IMP-20260516-FULLDRAFT-001033</x:v>
      </x:c>
      <x:c r="B1049" t="str">
        <x:v>RAW-IMP-20260516-FULLDRAFT-001033</x:v>
      </x:c>
      <x:c r="C1049" t="str">
        <x:v>KTO001</x:v>
      </x:c>
      <x:c r="D1049"/>
      <x:c r="E1049" t="str">
        <x:v>KAT013</x:v>
      </x:c>
      <x:c r="F1049"/>
      <x:c r="G1049"/>
      <x:c r="H1049" t="str">
        <x:v>kein_match</x:v>
      </x:c>
      <x:c r="I1049" t="str">
        <x:v>Agent-Draft: keine finale Regelentscheidung</x:v>
      </x:c>
      <x:c r="J1049" t="n">
        <x:v>45819</x:v>
      </x:c>
      <x:c r="K1049"/>
      <x:c r="L1049"/>
      <x:c r="M1049" t="n">
        <x:v>-10.69</x:v>
      </x:c>
      <x:c r="N1049" t="str">
        <x:v>2025-06</x:v>
      </x:c>
      <x:c r="O1049" t="str">
        <x:v>Ausgabe</x:v>
      </x:c>
      <x:c r="P1049" t="str">
        <x:v>Ist</x:v>
      </x:c>
      <x:c r="Q1049" s="59" t="b">
        <x:v>0</x:v>
      </x:c>
      <x:c r="R1049" t="str">
        <x:v>kein_transfer</x:v>
      </x:c>
      <x:c r="S1049"/>
      <x:c r="T1049"/>
      <x:c r="U1049"/>
      <x:c r="V1049" s="59" t="b">
        <x:v>1</x:v>
      </x:c>
      <x:c r="W1049"/>
      <x:c r="X1049" t="str">
        <x:v>offen</x:v>
      </x:c>
      <x:c r="Y1049" t="str">
        <x:v>Agent-Draft; Kategorie und Person pruefen</x:v>
      </x:c>
    </x:row>
    <x:row r="1050">
      <x:c r="A1050" t="str">
        <x:v>TXN-RAW-IMP-20260516-FULLDRAFT-001034</x:v>
      </x:c>
      <x:c r="B1050" t="str">
        <x:v>RAW-IMP-20260516-FULLDRAFT-001034</x:v>
      </x:c>
      <x:c r="C1050" t="str">
        <x:v>KTO001</x:v>
      </x:c>
      <x:c r="D1050"/>
      <x:c r="E1050" t="str">
        <x:v>KAT013</x:v>
      </x:c>
      <x:c r="F1050"/>
      <x:c r="G1050"/>
      <x:c r="H1050" t="str">
        <x:v>kein_match</x:v>
      </x:c>
      <x:c r="I1050" t="str">
        <x:v>Agent-Draft: keine finale Regelentscheidung</x:v>
      </x:c>
      <x:c r="J1050" t="n">
        <x:v>45818</x:v>
      </x:c>
      <x:c r="K1050"/>
      <x:c r="L1050"/>
      <x:c r="M1050" t="n">
        <x:v>-30</x:v>
      </x:c>
      <x:c r="N1050" t="str">
        <x:v>2025-06</x:v>
      </x:c>
      <x:c r="O1050" t="str">
        <x:v>Ausgabe</x:v>
      </x:c>
      <x:c r="P1050" t="str">
        <x:v>Ist</x:v>
      </x:c>
      <x:c r="Q1050" s="59" t="b">
        <x:v>0</x:v>
      </x:c>
      <x:c r="R1050" t="str">
        <x:v>kein_transfer</x:v>
      </x:c>
      <x:c r="S1050"/>
      <x:c r="T1050"/>
      <x:c r="U1050"/>
      <x:c r="V1050" s="59" t="b">
        <x:v>1</x:v>
      </x:c>
      <x:c r="W1050"/>
      <x:c r="X1050" t="str">
        <x:v>offen</x:v>
      </x:c>
      <x:c r="Y1050" t="str">
        <x:v>Agent-Draft; Kategorie und Person pruefen</x:v>
      </x:c>
    </x:row>
    <x:row r="1051">
      <x:c r="A1051" t="str">
        <x:v>TXN-RAW-IMP-20260516-FULLDRAFT-001035</x:v>
      </x:c>
      <x:c r="B1051" t="str">
        <x:v>RAW-IMP-20260516-FULLDRAFT-001035</x:v>
      </x:c>
      <x:c r="C1051" t="str">
        <x:v>KTO001</x:v>
      </x:c>
      <x:c r="D1051"/>
      <x:c r="E1051" t="str">
        <x:v>KAT013</x:v>
      </x:c>
      <x:c r="F1051"/>
      <x:c r="G1051"/>
      <x:c r="H1051" t="str">
        <x:v>kein_match</x:v>
      </x:c>
      <x:c r="I1051" t="str">
        <x:v>Agent-Draft: keine finale Regelentscheidung</x:v>
      </x:c>
      <x:c r="J1051" t="n">
        <x:v>45818</x:v>
      </x:c>
      <x:c r="K1051"/>
      <x:c r="L1051"/>
      <x:c r="M1051" t="n">
        <x:v>-65</x:v>
      </x:c>
      <x:c r="N1051" t="str">
        <x:v>2025-06</x:v>
      </x:c>
      <x:c r="O1051" t="str">
        <x:v>Ausgabe</x:v>
      </x:c>
      <x:c r="P1051" t="str">
        <x:v>Ist</x:v>
      </x:c>
      <x:c r="Q1051" s="59" t="b">
        <x:v>0</x:v>
      </x:c>
      <x:c r="R1051" t="str">
        <x:v>kein_transfer</x:v>
      </x:c>
      <x:c r="S1051"/>
      <x:c r="T1051"/>
      <x:c r="U1051"/>
      <x:c r="V1051" s="59" t="b">
        <x:v>1</x:v>
      </x:c>
      <x:c r="W1051"/>
      <x:c r="X1051" t="str">
        <x:v>offen</x:v>
      </x:c>
      <x:c r="Y1051" t="str">
        <x:v>Agent-Draft; Kategorie und Person pruefen</x:v>
      </x:c>
    </x:row>
    <x:row r="1052">
      <x:c r="A1052" t="str">
        <x:v>TXN-RAW-IMP-20260516-FULLDRAFT-001036</x:v>
      </x:c>
      <x:c r="B1052" t="str">
        <x:v>RAW-IMP-20260516-FULLDRAFT-001036</x:v>
      </x:c>
      <x:c r="C1052" t="str">
        <x:v>KTO001</x:v>
      </x:c>
      <x:c r="D1052"/>
      <x:c r="E1052" t="str">
        <x:v>KAT013</x:v>
      </x:c>
      <x:c r="F1052"/>
      <x:c r="G1052"/>
      <x:c r="H1052" t="str">
        <x:v>kein_match</x:v>
      </x:c>
      <x:c r="I1052" t="str">
        <x:v>Agent-Draft: keine finale Regelentscheidung</x:v>
      </x:c>
      <x:c r="J1052" t="n">
        <x:v>45818</x:v>
      </x:c>
      <x:c r="K1052"/>
      <x:c r="L1052"/>
      <x:c r="M1052" t="n">
        <x:v>-192.28</x:v>
      </x:c>
      <x:c r="N1052" t="str">
        <x:v>2025-06</x:v>
      </x:c>
      <x:c r="O1052" t="str">
        <x:v>Ausgabe</x:v>
      </x:c>
      <x:c r="P1052" t="str">
        <x:v>Ist</x:v>
      </x:c>
      <x:c r="Q1052" s="59" t="b">
        <x:v>0</x:v>
      </x:c>
      <x:c r="R1052" t="str">
        <x:v>kein_transfer</x:v>
      </x:c>
      <x:c r="S1052"/>
      <x:c r="T1052"/>
      <x:c r="U1052"/>
      <x:c r="V1052" s="59" t="b">
        <x:v>1</x:v>
      </x:c>
      <x:c r="W1052"/>
      <x:c r="X1052" t="str">
        <x:v>offen</x:v>
      </x:c>
      <x:c r="Y1052" t="str">
        <x:v>Agent-Draft; Kategorie und Person pruefen</x:v>
      </x:c>
    </x:row>
    <x:row r="1053">
      <x:c r="A1053" t="str">
        <x:v>TXN-RAW-IMP-20260516-FULLDRAFT-001037</x:v>
      </x:c>
      <x:c r="B1053" t="str">
        <x:v>RAW-IMP-20260516-FULLDRAFT-001037</x:v>
      </x:c>
      <x:c r="C1053" t="str">
        <x:v>KTO001</x:v>
      </x:c>
      <x:c r="D1053"/>
      <x:c r="E1053" t="str">
        <x:v>KAT013</x:v>
      </x:c>
      <x:c r="F1053"/>
      <x:c r="G1053"/>
      <x:c r="H1053" t="str">
        <x:v>kein_match</x:v>
      </x:c>
      <x:c r="I1053" t="str">
        <x:v>Agent-Draft: keine finale Regelentscheidung</x:v>
      </x:c>
      <x:c r="J1053" t="n">
        <x:v>45818</x:v>
      </x:c>
      <x:c r="K1053"/>
      <x:c r="L1053"/>
      <x:c r="M1053" t="n">
        <x:v>-200</x:v>
      </x:c>
      <x:c r="N1053" t="str">
        <x:v>2025-06</x:v>
      </x:c>
      <x:c r="O1053" t="str">
        <x:v>Ausgabe</x:v>
      </x:c>
      <x:c r="P1053" t="str">
        <x:v>Ist</x:v>
      </x:c>
      <x:c r="Q1053" s="59" t="b">
        <x:v>0</x:v>
      </x:c>
      <x:c r="R1053" t="str">
        <x:v>kein_transfer</x:v>
      </x:c>
      <x:c r="S1053"/>
      <x:c r="T1053"/>
      <x:c r="U1053"/>
      <x:c r="V1053" s="59" t="b">
        <x:v>1</x:v>
      </x:c>
      <x:c r="W1053"/>
      <x:c r="X1053" t="str">
        <x:v>offen</x:v>
      </x:c>
      <x:c r="Y1053" t="str">
        <x:v>Agent-Draft; Kategorie und Person pruefen</x:v>
      </x:c>
    </x:row>
    <x:row r="1054">
      <x:c r="A1054" t="str">
        <x:v>TXN-RAW-IMP-20260516-FULLDRAFT-001038</x:v>
      </x:c>
      <x:c r="B1054" t="str">
        <x:v>RAW-IMP-20260516-FULLDRAFT-001038</x:v>
      </x:c>
      <x:c r="C1054" t="str">
        <x:v>KTO001</x:v>
      </x:c>
      <x:c r="D1054"/>
      <x:c r="E1054" t="str">
        <x:v>KAT013</x:v>
      </x:c>
      <x:c r="F1054"/>
      <x:c r="G1054"/>
      <x:c r="H1054" t="str">
        <x:v>kein_match</x:v>
      </x:c>
      <x:c r="I1054" t="str">
        <x:v>Agent-Draft: keine finale Regelentscheidung</x:v>
      </x:c>
      <x:c r="J1054" t="n">
        <x:v>45818</x:v>
      </x:c>
      <x:c r="K1054"/>
      <x:c r="L1054"/>
      <x:c r="M1054" t="n">
        <x:v>-9</x:v>
      </x:c>
      <x:c r="N1054" t="str">
        <x:v>2025-06</x:v>
      </x:c>
      <x:c r="O1054" t="str">
        <x:v>Ausgabe</x:v>
      </x:c>
      <x:c r="P1054" t="str">
        <x:v>Ist</x:v>
      </x:c>
      <x:c r="Q1054" s="59" t="b">
        <x:v>0</x:v>
      </x:c>
      <x:c r="R1054" t="str">
        <x:v>kein_transfer</x:v>
      </x:c>
      <x:c r="S1054"/>
      <x:c r="T1054"/>
      <x:c r="U1054"/>
      <x:c r="V1054" s="59" t="b">
        <x:v>1</x:v>
      </x:c>
      <x:c r="W1054"/>
      <x:c r="X1054" t="str">
        <x:v>offen</x:v>
      </x:c>
      <x:c r="Y1054" t="str">
        <x:v>Agent-Draft; Kategorie und Person pruefen</x:v>
      </x:c>
    </x:row>
    <x:row r="1055">
      <x:c r="A1055" t="str">
        <x:v>TXN-RAW-IMP-20260516-FULLDRAFT-001039</x:v>
      </x:c>
      <x:c r="B1055" t="str">
        <x:v>RAW-IMP-20260516-FULLDRAFT-001039</x:v>
      </x:c>
      <x:c r="C1055" t="str">
        <x:v>KTO001</x:v>
      </x:c>
      <x:c r="D1055"/>
      <x:c r="E1055" t="str">
        <x:v>KAT013</x:v>
      </x:c>
      <x:c r="F1055"/>
      <x:c r="G1055"/>
      <x:c r="H1055" t="str">
        <x:v>kein_match</x:v>
      </x:c>
      <x:c r="I1055" t="str">
        <x:v>Agent-Draft: keine finale Regelentscheidung</x:v>
      </x:c>
      <x:c r="J1055" t="n">
        <x:v>45818</x:v>
      </x:c>
      <x:c r="K1055"/>
      <x:c r="L1055"/>
      <x:c r="M1055" t="n">
        <x:v>-60</x:v>
      </x:c>
      <x:c r="N1055" t="str">
        <x:v>2025-06</x:v>
      </x:c>
      <x:c r="O1055" t="str">
        <x:v>Ausgabe</x:v>
      </x:c>
      <x:c r="P1055" t="str">
        <x:v>Ist</x:v>
      </x:c>
      <x:c r="Q1055" s="59" t="b">
        <x:v>0</x:v>
      </x:c>
      <x:c r="R1055" t="str">
        <x:v>kein_transfer</x:v>
      </x:c>
      <x:c r="S1055"/>
      <x:c r="T1055"/>
      <x:c r="U1055"/>
      <x:c r="V1055" s="59" t="b">
        <x:v>1</x:v>
      </x:c>
      <x:c r="W1055"/>
      <x:c r="X1055" t="str">
        <x:v>offen</x:v>
      </x:c>
      <x:c r="Y1055" t="str">
        <x:v>Agent-Draft; Kategorie und Person pruefen</x:v>
      </x:c>
    </x:row>
    <x:row r="1056">
      <x:c r="A1056" t="str">
        <x:v>TXN-RAW-IMP-20260516-FULLDRAFT-001040</x:v>
      </x:c>
      <x:c r="B1056" t="str">
        <x:v>RAW-IMP-20260516-FULLDRAFT-001040</x:v>
      </x:c>
      <x:c r="C1056" t="str">
        <x:v>KTO001</x:v>
      </x:c>
      <x:c r="D1056"/>
      <x:c r="E1056" t="str">
        <x:v>KAT013</x:v>
      </x:c>
      <x:c r="F1056"/>
      <x:c r="G1056"/>
      <x:c r="H1056" t="str">
        <x:v>kein_match</x:v>
      </x:c>
      <x:c r="I1056" t="str">
        <x:v>Agent-Draft: keine finale Regelentscheidung</x:v>
      </x:c>
      <x:c r="J1056" t="n">
        <x:v>45814</x:v>
      </x:c>
      <x:c r="K1056"/>
      <x:c r="L1056"/>
      <x:c r="M1056" t="n">
        <x:v>-49.9</x:v>
      </x:c>
      <x:c r="N1056" t="str">
        <x:v>2025-06</x:v>
      </x:c>
      <x:c r="O1056" t="str">
        <x:v>Ausgabe</x:v>
      </x:c>
      <x:c r="P1056" t="str">
        <x:v>Ist</x:v>
      </x:c>
      <x:c r="Q1056" s="59" t="b">
        <x:v>0</x:v>
      </x:c>
      <x:c r="R1056" t="str">
        <x:v>kein_transfer</x:v>
      </x:c>
      <x:c r="S1056"/>
      <x:c r="T1056"/>
      <x:c r="U1056"/>
      <x:c r="V1056" s="59" t="b">
        <x:v>1</x:v>
      </x:c>
      <x:c r="W1056"/>
      <x:c r="X1056" t="str">
        <x:v>offen</x:v>
      </x:c>
      <x:c r="Y1056" t="str">
        <x:v>Agent-Draft; Kategorie und Person pruefen</x:v>
      </x:c>
    </x:row>
    <x:row r="1057">
      <x:c r="A1057" t="str">
        <x:v>TXN-RAW-IMP-20260516-FULLDRAFT-001041</x:v>
      </x:c>
      <x:c r="B1057" t="str">
        <x:v>RAW-IMP-20260516-FULLDRAFT-001041</x:v>
      </x:c>
      <x:c r="C1057" t="str">
        <x:v>KTO001</x:v>
      </x:c>
      <x:c r="D1057"/>
      <x:c r="E1057" t="str">
        <x:v>KAT013</x:v>
      </x:c>
      <x:c r="F1057"/>
      <x:c r="G1057"/>
      <x:c r="H1057" t="str">
        <x:v>kein_match</x:v>
      </x:c>
      <x:c r="I1057" t="str">
        <x:v>Agent-Draft: keine finale Regelentscheidung</x:v>
      </x:c>
      <x:c r="J1057" t="n">
        <x:v>45813</x:v>
      </x:c>
      <x:c r="K1057"/>
      <x:c r="L1057"/>
      <x:c r="M1057" t="n">
        <x:v>-61.93</x:v>
      </x:c>
      <x:c r="N1057" t="str">
        <x:v>2025-06</x:v>
      </x:c>
      <x:c r="O1057" t="str">
        <x:v>Ausgabe</x:v>
      </x:c>
      <x:c r="P1057" t="str">
        <x:v>Ist</x:v>
      </x:c>
      <x:c r="Q1057" s="59" t="b">
        <x:v>0</x:v>
      </x:c>
      <x:c r="R1057" t="str">
        <x:v>kein_transfer</x:v>
      </x:c>
      <x:c r="S1057"/>
      <x:c r="T1057"/>
      <x:c r="U1057"/>
      <x:c r="V1057" s="59" t="b">
        <x:v>1</x:v>
      </x:c>
      <x:c r="W1057"/>
      <x:c r="X1057" t="str">
        <x:v>offen</x:v>
      </x:c>
      <x:c r="Y1057" t="str">
        <x:v>Agent-Draft; Kategorie und Person pruefen</x:v>
      </x:c>
    </x:row>
    <x:row r="1058">
      <x:c r="A1058" t="str">
        <x:v>TXN-RAW-IMP-20260516-FULLDRAFT-001042</x:v>
      </x:c>
      <x:c r="B1058" t="str">
        <x:v>RAW-IMP-20260516-FULLDRAFT-001042</x:v>
      </x:c>
      <x:c r="C1058" t="str">
        <x:v>KTO001</x:v>
      </x:c>
      <x:c r="D1058"/>
      <x:c r="E1058" t="str">
        <x:v>KAT013</x:v>
      </x:c>
      <x:c r="F1058"/>
      <x:c r="G1058"/>
      <x:c r="H1058" t="str">
        <x:v>kein_match</x:v>
      </x:c>
      <x:c r="I1058" t="str">
        <x:v>Agent-Draft: keine finale Regelentscheidung</x:v>
      </x:c>
      <x:c r="J1058" t="n">
        <x:v>45811</x:v>
      </x:c>
      <x:c r="K1058"/>
      <x:c r="L1058"/>
      <x:c r="M1058" t="n">
        <x:v>-57.5</x:v>
      </x:c>
      <x:c r="N1058" t="str">
        <x:v>2025-06</x:v>
      </x:c>
      <x:c r="O1058" t="str">
        <x:v>Ausgabe</x:v>
      </x:c>
      <x:c r="P1058" t="str">
        <x:v>Ist</x:v>
      </x:c>
      <x:c r="Q1058" s="59" t="b">
        <x:v>0</x:v>
      </x:c>
      <x:c r="R1058" t="str">
        <x:v>kein_transfer</x:v>
      </x:c>
      <x:c r="S1058"/>
      <x:c r="T1058"/>
      <x:c r="U1058"/>
      <x:c r="V1058" s="59" t="b">
        <x:v>1</x:v>
      </x:c>
      <x:c r="W1058"/>
      <x:c r="X1058" t="str">
        <x:v>offen</x:v>
      </x:c>
      <x:c r="Y1058" t="str">
        <x:v>Agent-Draft; Kategorie und Person pruefen</x:v>
      </x:c>
    </x:row>
    <x:row r="1059">
      <x:c r="A1059" t="str">
        <x:v>TXN-RAW-IMP-20260516-FULLDRAFT-001043</x:v>
      </x:c>
      <x:c r="B1059" t="str">
        <x:v>RAW-IMP-20260516-FULLDRAFT-001043</x:v>
      </x:c>
      <x:c r="C1059" t="str">
        <x:v>KTO001</x:v>
      </x:c>
      <x:c r="D1059"/>
      <x:c r="E1059" t="str">
        <x:v>KAT013</x:v>
      </x:c>
      <x:c r="F1059"/>
      <x:c r="G1059"/>
      <x:c r="H1059" t="str">
        <x:v>kein_match</x:v>
      </x:c>
      <x:c r="I1059" t="str">
        <x:v>Agent-Draft: keine finale Regelentscheidung</x:v>
      </x:c>
      <x:c r="J1059" t="n">
        <x:v>45811</x:v>
      </x:c>
      <x:c r="K1059"/>
      <x:c r="L1059"/>
      <x:c r="M1059" t="n">
        <x:v>-11.96</x:v>
      </x:c>
      <x:c r="N1059" t="str">
        <x:v>2025-06</x:v>
      </x:c>
      <x:c r="O1059" t="str">
        <x:v>Ausgabe</x:v>
      </x:c>
      <x:c r="P1059" t="str">
        <x:v>Ist</x:v>
      </x:c>
      <x:c r="Q1059" s="59" t="b">
        <x:v>0</x:v>
      </x:c>
      <x:c r="R1059" t="str">
        <x:v>kein_transfer</x:v>
      </x:c>
      <x:c r="S1059"/>
      <x:c r="T1059"/>
      <x:c r="U1059"/>
      <x:c r="V1059" s="59" t="b">
        <x:v>1</x:v>
      </x:c>
      <x:c r="W1059"/>
      <x:c r="X1059" t="str">
        <x:v>offen</x:v>
      </x:c>
      <x:c r="Y1059" t="str">
        <x:v>Agent-Draft; Kategorie und Person pruefen</x:v>
      </x:c>
    </x:row>
    <x:row r="1060">
      <x:c r="A1060" t="str">
        <x:v>TXN-RAW-IMP-20260516-FULLDRAFT-001044</x:v>
      </x:c>
      <x:c r="B1060" t="str">
        <x:v>RAW-IMP-20260516-FULLDRAFT-001044</x:v>
      </x:c>
      <x:c r="C1060" t="str">
        <x:v>KTO001</x:v>
      </x:c>
      <x:c r="D1060"/>
      <x:c r="E1060" t="str">
        <x:v>KAT013</x:v>
      </x:c>
      <x:c r="F1060"/>
      <x:c r="G1060"/>
      <x:c r="H1060" t="str">
        <x:v>kein_match</x:v>
      </x:c>
      <x:c r="I1060" t="str">
        <x:v>Agent-Draft: keine finale Regelentscheidung</x:v>
      </x:c>
      <x:c r="J1060" t="n">
        <x:v>45811</x:v>
      </x:c>
      <x:c r="K1060"/>
      <x:c r="L1060"/>
      <x:c r="M1060" t="n">
        <x:v>-600</x:v>
      </x:c>
      <x:c r="N1060" t="str">
        <x:v>2025-06</x:v>
      </x:c>
      <x:c r="O1060" t="str">
        <x:v>Ausgabe</x:v>
      </x:c>
      <x:c r="P1060" t="str">
        <x:v>Ist</x:v>
      </x:c>
      <x:c r="Q1060" s="59" t="b">
        <x:v>0</x:v>
      </x:c>
      <x:c r="R1060" t="str">
        <x:v>kein_transfer</x:v>
      </x:c>
      <x:c r="S1060"/>
      <x:c r="T1060"/>
      <x:c r="U1060"/>
      <x:c r="V1060" s="59" t="b">
        <x:v>1</x:v>
      </x:c>
      <x:c r="W1060"/>
      <x:c r="X1060" t="str">
        <x:v>offen</x:v>
      </x:c>
      <x:c r="Y1060" t="str">
        <x:v>Agent-Draft; Kategorie und Person pruefen</x:v>
      </x:c>
    </x:row>
    <x:row r="1061">
      <x:c r="A1061" t="str">
        <x:v>TXN-RAW-IMP-20260516-FULLDRAFT-001045</x:v>
      </x:c>
      <x:c r="B1061" t="str">
        <x:v>RAW-IMP-20260516-FULLDRAFT-001045</x:v>
      </x:c>
      <x:c r="C1061" t="str">
        <x:v>KTO001</x:v>
      </x:c>
      <x:c r="D1061"/>
      <x:c r="E1061" t="str">
        <x:v>KAT013</x:v>
      </x:c>
      <x:c r="F1061"/>
      <x:c r="G1061"/>
      <x:c r="H1061" t="str">
        <x:v>kein_match</x:v>
      </x:c>
      <x:c r="I1061" t="str">
        <x:v>Agent-Draft: keine finale Regelentscheidung</x:v>
      </x:c>
      <x:c r="J1061" t="n">
        <x:v>45811</x:v>
      </x:c>
      <x:c r="K1061"/>
      <x:c r="L1061"/>
      <x:c r="M1061" t="n">
        <x:v>-53.3</x:v>
      </x:c>
      <x:c r="N1061" t="str">
        <x:v>2025-06</x:v>
      </x:c>
      <x:c r="O1061" t="str">
        <x:v>Ausgabe</x:v>
      </x:c>
      <x:c r="P1061" t="str">
        <x:v>Ist</x:v>
      </x:c>
      <x:c r="Q1061" s="59" t="b">
        <x:v>0</x:v>
      </x:c>
      <x:c r="R1061" t="str">
        <x:v>kein_transfer</x:v>
      </x:c>
      <x:c r="S1061"/>
      <x:c r="T1061"/>
      <x:c r="U1061"/>
      <x:c r="V1061" s="59" t="b">
        <x:v>1</x:v>
      </x:c>
      <x:c r="W1061"/>
      <x:c r="X1061" t="str">
        <x:v>offen</x:v>
      </x:c>
      <x:c r="Y1061" t="str">
        <x:v>Agent-Draft; Kategorie und Person pruefen</x:v>
      </x:c>
    </x:row>
    <x:row r="1062">
      <x:c r="A1062" t="str">
        <x:v>TXN-RAW-IMP-20260516-FULLDRAFT-001046</x:v>
      </x:c>
      <x:c r="B1062" t="str">
        <x:v>RAW-IMP-20260516-FULLDRAFT-001046</x:v>
      </x:c>
      <x:c r="C1062" t="str">
        <x:v>KTO001</x:v>
      </x:c>
      <x:c r="D1062"/>
      <x:c r="E1062" t="str">
        <x:v>KAT013</x:v>
      </x:c>
      <x:c r="F1062"/>
      <x:c r="G1062"/>
      <x:c r="H1062" t="str">
        <x:v>kein_match</x:v>
      </x:c>
      <x:c r="I1062" t="str">
        <x:v>Agent-Draft: keine finale Regelentscheidung</x:v>
      </x:c>
      <x:c r="J1062" t="n">
        <x:v>45810</x:v>
      </x:c>
      <x:c r="K1062"/>
      <x:c r="L1062"/>
      <x:c r="M1062" t="n">
        <x:v>-1</x:v>
      </x:c>
      <x:c r="N1062" t="str">
        <x:v>2025-06</x:v>
      </x:c>
      <x:c r="O1062" t="str">
        <x:v>Ausgabe</x:v>
      </x:c>
      <x:c r="P1062" t="str">
        <x:v>Ist</x:v>
      </x:c>
      <x:c r="Q1062" s="59" t="b">
        <x:v>0</x:v>
      </x:c>
      <x:c r="R1062" t="str">
        <x:v>kein_transfer</x:v>
      </x:c>
      <x:c r="S1062"/>
      <x:c r="T1062"/>
      <x:c r="U1062"/>
      <x:c r="V1062" s="59" t="b">
        <x:v>1</x:v>
      </x:c>
      <x:c r="W1062"/>
      <x:c r="X1062" t="str">
        <x:v>offen</x:v>
      </x:c>
      <x:c r="Y1062" t="str">
        <x:v>Agent-Draft; Kategorie und Person pruefen</x:v>
      </x:c>
    </x:row>
    <x:row r="1063">
      <x:c r="A1063" t="str">
        <x:v>TXN-RAW-IMP-20260516-FULLDRAFT-001047</x:v>
      </x:c>
      <x:c r="B1063" t="str">
        <x:v>RAW-IMP-20260516-FULLDRAFT-001047</x:v>
      </x:c>
      <x:c r="C1063" t="str">
        <x:v>KTO001</x:v>
      </x:c>
      <x:c r="D1063"/>
      <x:c r="E1063" t="str">
        <x:v>KAT013</x:v>
      </x:c>
      <x:c r="F1063"/>
      <x:c r="G1063"/>
      <x:c r="H1063" t="str">
        <x:v>kein_match</x:v>
      </x:c>
      <x:c r="I1063" t="str">
        <x:v>Agent-Draft: keine finale Regelentscheidung</x:v>
      </x:c>
      <x:c r="J1063" t="n">
        <x:v>45810</x:v>
      </x:c>
      <x:c r="K1063"/>
      <x:c r="L1063"/>
      <x:c r="M1063" t="n">
        <x:v>-1</x:v>
      </x:c>
      <x:c r="N1063" t="str">
        <x:v>2025-06</x:v>
      </x:c>
      <x:c r="O1063" t="str">
        <x:v>Ausgabe</x:v>
      </x:c>
      <x:c r="P1063" t="str">
        <x:v>Ist</x:v>
      </x:c>
      <x:c r="Q1063" s="59" t="b">
        <x:v>0</x:v>
      </x:c>
      <x:c r="R1063" t="str">
        <x:v>kein_transfer</x:v>
      </x:c>
      <x:c r="S1063"/>
      <x:c r="T1063"/>
      <x:c r="U1063"/>
      <x:c r="V1063" s="59" t="b">
        <x:v>1</x:v>
      </x:c>
      <x:c r="W1063"/>
      <x:c r="X1063" t="str">
        <x:v>offen</x:v>
      </x:c>
      <x:c r="Y1063" t="str">
        <x:v>Agent-Draft; Kategorie und Person pruefen</x:v>
      </x:c>
    </x:row>
    <x:row r="1064">
      <x:c r="A1064" t="str">
        <x:v>TXN-RAW-IMP-20260516-FULLDRAFT-001048</x:v>
      </x:c>
      <x:c r="B1064" t="str">
        <x:v>RAW-IMP-20260516-FULLDRAFT-001048</x:v>
      </x:c>
      <x:c r="C1064" t="str">
        <x:v>KTO001</x:v>
      </x:c>
      <x:c r="D1064"/>
      <x:c r="E1064" t="str">
        <x:v>KAT013</x:v>
      </x:c>
      <x:c r="F1064"/>
      <x:c r="G1064"/>
      <x:c r="H1064" t="str">
        <x:v>kein_match</x:v>
      </x:c>
      <x:c r="I1064" t="str">
        <x:v>Agent-Draft: keine finale Regelentscheidung</x:v>
      </x:c>
      <x:c r="J1064" t="n">
        <x:v>45810</x:v>
      </x:c>
      <x:c r="K1064"/>
      <x:c r="L1064"/>
      <x:c r="M1064" t="n">
        <x:v>-4.19</x:v>
      </x:c>
      <x:c r="N1064" t="str">
        <x:v>2025-06</x:v>
      </x:c>
      <x:c r="O1064" t="str">
        <x:v>Ausgabe</x:v>
      </x:c>
      <x:c r="P1064" t="str">
        <x:v>Ist</x:v>
      </x:c>
      <x:c r="Q1064" s="59" t="b">
        <x:v>0</x:v>
      </x:c>
      <x:c r="R1064" t="str">
        <x:v>kein_transfer</x:v>
      </x:c>
      <x:c r="S1064"/>
      <x:c r="T1064"/>
      <x:c r="U1064"/>
      <x:c r="V1064" s="59" t="b">
        <x:v>1</x:v>
      </x:c>
      <x:c r="W1064"/>
      <x:c r="X1064" t="str">
        <x:v>offen</x:v>
      </x:c>
      <x:c r="Y1064" t="str">
        <x:v>Agent-Draft; Kategorie und Person pruefen</x:v>
      </x:c>
    </x:row>
    <x:row r="1065">
      <x:c r="A1065" t="str">
        <x:v>TXN-RAW-IMP-20260516-FULLDRAFT-001049</x:v>
      </x:c>
      <x:c r="B1065" t="str">
        <x:v>RAW-IMP-20260516-FULLDRAFT-001049</x:v>
      </x:c>
      <x:c r="C1065" t="str">
        <x:v>KTO001</x:v>
      </x:c>
      <x:c r="D1065"/>
      <x:c r="E1065" t="str">
        <x:v>KAT013</x:v>
      </x:c>
      <x:c r="F1065"/>
      <x:c r="G1065"/>
      <x:c r="H1065" t="str">
        <x:v>kein_match</x:v>
      </x:c>
      <x:c r="I1065" t="str">
        <x:v>Agent-Draft: keine finale Regelentscheidung</x:v>
      </x:c>
      <x:c r="J1065" t="n">
        <x:v>45810</x:v>
      </x:c>
      <x:c r="K1065"/>
      <x:c r="L1065"/>
      <x:c r="M1065" t="n">
        <x:v>-3</x:v>
      </x:c>
      <x:c r="N1065" t="str">
        <x:v>2025-06</x:v>
      </x:c>
      <x:c r="O1065" t="str">
        <x:v>Ausgabe</x:v>
      </x:c>
      <x:c r="P1065" t="str">
        <x:v>Ist</x:v>
      </x:c>
      <x:c r="Q1065" s="59" t="b">
        <x:v>0</x:v>
      </x:c>
      <x:c r="R1065" t="str">
        <x:v>kein_transfer</x:v>
      </x:c>
      <x:c r="S1065"/>
      <x:c r="T1065"/>
      <x:c r="U1065"/>
      <x:c r="V1065" s="59" t="b">
        <x:v>1</x:v>
      </x:c>
      <x:c r="W1065"/>
      <x:c r="X1065" t="str">
        <x:v>offen</x:v>
      </x:c>
      <x:c r="Y1065" t="str">
        <x:v>Agent-Draft; Kategorie und Person pruefen</x:v>
      </x:c>
    </x:row>
    <x:row r="1066">
      <x:c r="A1066" t="str">
        <x:v>TXN-RAW-IMP-20260516-FULLDRAFT-001050</x:v>
      </x:c>
      <x:c r="B1066" t="str">
        <x:v>RAW-IMP-20260516-FULLDRAFT-001050</x:v>
      </x:c>
      <x:c r="C1066" t="str">
        <x:v>KTO001</x:v>
      </x:c>
      <x:c r="D1066"/>
      <x:c r="E1066" t="str">
        <x:v>KAT013</x:v>
      </x:c>
      <x:c r="F1066"/>
      <x:c r="G1066"/>
      <x:c r="H1066" t="str">
        <x:v>kein_match</x:v>
      </x:c>
      <x:c r="I1066" t="str">
        <x:v>Agent-Draft: keine finale Regelentscheidung</x:v>
      </x:c>
      <x:c r="J1066" t="n">
        <x:v>45810</x:v>
      </x:c>
      <x:c r="K1066"/>
      <x:c r="L1066"/>
      <x:c r="M1066" t="n">
        <x:v>750</x:v>
      </x:c>
      <x:c r="N1066" t="str">
        <x:v>2025-06</x:v>
      </x:c>
      <x:c r="O1066" t="str">
        <x:v>Einnahme</x:v>
      </x:c>
      <x:c r="P1066" t="str">
        <x:v>Ist</x:v>
      </x:c>
      <x:c r="Q1066" s="59" t="b">
        <x:v>0</x:v>
      </x:c>
      <x:c r="R1066" t="str">
        <x:v>kein_transfer</x:v>
      </x:c>
      <x:c r="S1066"/>
      <x:c r="T1066"/>
      <x:c r="U1066"/>
      <x:c r="V1066" s="59" t="b">
        <x:v>1</x:v>
      </x:c>
      <x:c r="W1066"/>
      <x:c r="X1066" t="str">
        <x:v>offen</x:v>
      </x:c>
      <x:c r="Y1066" t="str">
        <x:v>Agent-Draft; Kategorie und Person pruefen</x:v>
      </x:c>
    </x:row>
    <x:row r="1067">
      <x:c r="A1067" t="str">
        <x:v>TXN-RAW-IMP-20260516-FULLDRAFT-001051</x:v>
      </x:c>
      <x:c r="B1067" t="str">
        <x:v>RAW-IMP-20260516-FULLDRAFT-001051</x:v>
      </x:c>
      <x:c r="C1067" t="str">
        <x:v>KTO001</x:v>
      </x:c>
      <x:c r="D1067"/>
      <x:c r="E1067" t="str">
        <x:v>KAT013</x:v>
      </x:c>
      <x:c r="F1067"/>
      <x:c r="G1067"/>
      <x:c r="H1067" t="str">
        <x:v>kein_match</x:v>
      </x:c>
      <x:c r="I1067" t="str">
        <x:v>Agent-Draft: keine finale Regelentscheidung</x:v>
      </x:c>
      <x:c r="J1067" t="n">
        <x:v>45810</x:v>
      </x:c>
      <x:c r="K1067"/>
      <x:c r="L1067"/>
      <x:c r="M1067" t="n">
        <x:v>-1.99</x:v>
      </x:c>
      <x:c r="N1067" t="str">
        <x:v>2025-06</x:v>
      </x:c>
      <x:c r="O1067" t="str">
        <x:v>Ausgabe</x:v>
      </x:c>
      <x:c r="P1067" t="str">
        <x:v>Ist</x:v>
      </x:c>
      <x:c r="Q1067" s="59" t="b">
        <x:v>0</x:v>
      </x:c>
      <x:c r="R1067" t="str">
        <x:v>kein_transfer</x:v>
      </x:c>
      <x:c r="S1067"/>
      <x:c r="T1067"/>
      <x:c r="U1067"/>
      <x:c r="V1067" s="59" t="b">
        <x:v>1</x:v>
      </x:c>
      <x:c r="W1067"/>
      <x:c r="X1067" t="str">
        <x:v>offen</x:v>
      </x:c>
      <x:c r="Y1067" t="str">
        <x:v>Agent-Draft; Kategorie und Person pruefen</x:v>
      </x:c>
    </x:row>
    <x:row r="1068">
      <x:c r="A1068" t="str">
        <x:v>TXN-RAW-IMP-20260516-FULLDRAFT-001052</x:v>
      </x:c>
      <x:c r="B1068" t="str">
        <x:v>RAW-IMP-20260516-FULLDRAFT-001052</x:v>
      </x:c>
      <x:c r="C1068" t="str">
        <x:v>KTO001</x:v>
      </x:c>
      <x:c r="D1068"/>
      <x:c r="E1068" t="str">
        <x:v>KAT013</x:v>
      </x:c>
      <x:c r="F1068"/>
      <x:c r="G1068"/>
      <x:c r="H1068" t="str">
        <x:v>kein_match</x:v>
      </x:c>
      <x:c r="I1068" t="str">
        <x:v>Agent-Draft: keine finale Regelentscheidung</x:v>
      </x:c>
      <x:c r="J1068" t="n">
        <x:v>45810</x:v>
      </x:c>
      <x:c r="K1068"/>
      <x:c r="L1068"/>
      <x:c r="M1068" t="n">
        <x:v>-34.25</x:v>
      </x:c>
      <x:c r="N1068" t="str">
        <x:v>2025-06</x:v>
      </x:c>
      <x:c r="O1068" t="str">
        <x:v>Ausgabe</x:v>
      </x:c>
      <x:c r="P1068" t="str">
        <x:v>Ist</x:v>
      </x:c>
      <x:c r="Q1068" s="59" t="b">
        <x:v>0</x:v>
      </x:c>
      <x:c r="R1068" t="str">
        <x:v>kein_transfer</x:v>
      </x:c>
      <x:c r="S1068"/>
      <x:c r="T1068"/>
      <x:c r="U1068"/>
      <x:c r="V1068" s="59" t="b">
        <x:v>1</x:v>
      </x:c>
      <x:c r="W1068"/>
      <x:c r="X1068" t="str">
        <x:v>offen</x:v>
      </x:c>
      <x:c r="Y1068" t="str">
        <x:v>Agent-Draft; Kategorie und Person pruefen</x:v>
      </x:c>
    </x:row>
    <x:row r="1069">
      <x:c r="A1069" t="str">
        <x:v>TXN-RAW-IMP-20260516-FULLDRAFT-001053</x:v>
      </x:c>
      <x:c r="B1069" t="str">
        <x:v>RAW-IMP-20260516-FULLDRAFT-001053</x:v>
      </x:c>
      <x:c r="C1069" t="str">
        <x:v>KTO001</x:v>
      </x:c>
      <x:c r="D1069"/>
      <x:c r="E1069" t="str">
        <x:v>KAT013</x:v>
      </x:c>
      <x:c r="F1069"/>
      <x:c r="G1069"/>
      <x:c r="H1069" t="str">
        <x:v>kein_match</x:v>
      </x:c>
      <x:c r="I1069" t="str">
        <x:v>Agent-Draft: keine finale Regelentscheidung</x:v>
      </x:c>
      <x:c r="J1069" t="n">
        <x:v>45810</x:v>
      </x:c>
      <x:c r="K1069"/>
      <x:c r="L1069"/>
      <x:c r="M1069" t="n">
        <x:v>-13.8</x:v>
      </x:c>
      <x:c r="N1069" t="str">
        <x:v>2025-06</x:v>
      </x:c>
      <x:c r="O1069" t="str">
        <x:v>Ausgabe</x:v>
      </x:c>
      <x:c r="P1069" t="str">
        <x:v>Ist</x:v>
      </x:c>
      <x:c r="Q1069" s="59" t="b">
        <x:v>0</x:v>
      </x:c>
      <x:c r="R1069" t="str">
        <x:v>kein_transfer</x:v>
      </x:c>
      <x:c r="S1069"/>
      <x:c r="T1069"/>
      <x:c r="U1069"/>
      <x:c r="V1069" s="59" t="b">
        <x:v>1</x:v>
      </x:c>
      <x:c r="W1069"/>
      <x:c r="X1069" t="str">
        <x:v>offen</x:v>
      </x:c>
      <x:c r="Y1069" t="str">
        <x:v>Agent-Draft; Kategorie und Person pruefen</x:v>
      </x:c>
    </x:row>
    <x:row r="1070">
      <x:c r="A1070" t="str">
        <x:v>TXN-RAW-IMP-20260516-FULLDRAFT-001054</x:v>
      </x:c>
      <x:c r="B1070" t="str">
        <x:v>RAW-IMP-20260516-FULLDRAFT-001054</x:v>
      </x:c>
      <x:c r="C1070" t="str">
        <x:v>KTO001</x:v>
      </x:c>
      <x:c r="D1070"/>
      <x:c r="E1070" t="str">
        <x:v>KAT013</x:v>
      </x:c>
      <x:c r="F1070"/>
      <x:c r="G1070"/>
      <x:c r="H1070" t="str">
        <x:v>kein_match</x:v>
      </x:c>
      <x:c r="I1070" t="str">
        <x:v>Agent-Draft: keine finale Regelentscheidung</x:v>
      </x:c>
      <x:c r="J1070" t="n">
        <x:v>45810</x:v>
      </x:c>
      <x:c r="K1070"/>
      <x:c r="L1070"/>
      <x:c r="M1070" t="n">
        <x:v>-47.53</x:v>
      </x:c>
      <x:c r="N1070" t="str">
        <x:v>2025-06</x:v>
      </x:c>
      <x:c r="O1070" t="str">
        <x:v>Ausgabe</x:v>
      </x:c>
      <x:c r="P1070" t="str">
        <x:v>Ist</x:v>
      </x:c>
      <x:c r="Q1070" s="59" t="b">
        <x:v>0</x:v>
      </x:c>
      <x:c r="R1070" t="str">
        <x:v>kein_transfer</x:v>
      </x:c>
      <x:c r="S1070"/>
      <x:c r="T1070"/>
      <x:c r="U1070"/>
      <x:c r="V1070" s="59" t="b">
        <x:v>1</x:v>
      </x:c>
      <x:c r="W1070"/>
      <x:c r="X1070" t="str">
        <x:v>offen</x:v>
      </x:c>
      <x:c r="Y1070" t="str">
        <x:v>Agent-Draft; Kategorie und Person pruefen</x:v>
      </x:c>
    </x:row>
    <x:row r="1071">
      <x:c r="A1071" t="str">
        <x:v>TXN-RAW-IMP-20260516-FULLDRAFT-001055</x:v>
      </x:c>
      <x:c r="B1071" t="str">
        <x:v>RAW-IMP-20260516-FULLDRAFT-001055</x:v>
      </x:c>
      <x:c r="C1071" t="str">
        <x:v>KTO001</x:v>
      </x:c>
      <x:c r="D1071"/>
      <x:c r="E1071" t="str">
        <x:v>KAT013</x:v>
      </x:c>
      <x:c r="F1071"/>
      <x:c r="G1071"/>
      <x:c r="H1071" t="str">
        <x:v>kein_match</x:v>
      </x:c>
      <x:c r="I1071" t="str">
        <x:v>Agent-Draft: keine finale Regelentscheidung</x:v>
      </x:c>
      <x:c r="J1071" t="n">
        <x:v>45810</x:v>
      </x:c>
      <x:c r="K1071"/>
      <x:c r="L1071"/>
      <x:c r="M1071" t="n">
        <x:v>-11.89</x:v>
      </x:c>
      <x:c r="N1071" t="str">
        <x:v>2025-06</x:v>
      </x:c>
      <x:c r="O1071" t="str">
        <x:v>Ausgabe</x:v>
      </x:c>
      <x:c r="P1071" t="str">
        <x:v>Ist</x:v>
      </x:c>
      <x:c r="Q1071" s="59" t="b">
        <x:v>0</x:v>
      </x:c>
      <x:c r="R1071" t="str">
        <x:v>kein_transfer</x:v>
      </x:c>
      <x:c r="S1071"/>
      <x:c r="T1071"/>
      <x:c r="U1071"/>
      <x:c r="V1071" s="59" t="b">
        <x:v>1</x:v>
      </x:c>
      <x:c r="W1071"/>
      <x:c r="X1071" t="str">
        <x:v>offen</x:v>
      </x:c>
      <x:c r="Y1071" t="str">
        <x:v>Agent-Draft; Kategorie und Person pruefen</x:v>
      </x:c>
    </x:row>
    <x:row r="1072">
      <x:c r="A1072" t="str">
        <x:v>TXN-RAW-IMP-20260516-FULLDRAFT-001056</x:v>
      </x:c>
      <x:c r="B1072" t="str">
        <x:v>RAW-IMP-20260516-FULLDRAFT-001056</x:v>
      </x:c>
      <x:c r="C1072" t="str">
        <x:v>KTO001</x:v>
      </x:c>
      <x:c r="D1072"/>
      <x:c r="E1072" t="str">
        <x:v>KAT013</x:v>
      </x:c>
      <x:c r="F1072"/>
      <x:c r="G1072"/>
      <x:c r="H1072" t="str">
        <x:v>kein_match</x:v>
      </x:c>
      <x:c r="I1072" t="str">
        <x:v>Agent-Draft: keine finale Regelentscheidung</x:v>
      </x:c>
      <x:c r="J1072" t="n">
        <x:v>45810</x:v>
      </x:c>
      <x:c r="K1072"/>
      <x:c r="L1072"/>
      <x:c r="M1072" t="n">
        <x:v>-3.35</x:v>
      </x:c>
      <x:c r="N1072" t="str">
        <x:v>2025-06</x:v>
      </x:c>
      <x:c r="O1072" t="str">
        <x:v>Ausgabe</x:v>
      </x:c>
      <x:c r="P1072" t="str">
        <x:v>Ist</x:v>
      </x:c>
      <x:c r="Q1072" s="59" t="b">
        <x:v>0</x:v>
      </x:c>
      <x:c r="R1072" t="str">
        <x:v>kein_transfer</x:v>
      </x:c>
      <x:c r="S1072"/>
      <x:c r="T1072"/>
      <x:c r="U1072"/>
      <x:c r="V1072" s="59" t="b">
        <x:v>1</x:v>
      </x:c>
      <x:c r="W1072"/>
      <x:c r="X1072" t="str">
        <x:v>offen</x:v>
      </x:c>
      <x:c r="Y1072" t="str">
        <x:v>Agent-Draft; Kategorie und Person pruefen</x:v>
      </x:c>
    </x:row>
    <x:row r="1073">
      <x:c r="A1073" t="str">
        <x:v>TXN-RAW-IMP-20260516-FULLDRAFT-001057</x:v>
      </x:c>
      <x:c r="B1073" t="str">
        <x:v>RAW-IMP-20260516-FULLDRAFT-001057</x:v>
      </x:c>
      <x:c r="C1073" t="str">
        <x:v>KTO001</x:v>
      </x:c>
      <x:c r="D1073"/>
      <x:c r="E1073" t="str">
        <x:v>KAT013</x:v>
      </x:c>
      <x:c r="F1073"/>
      <x:c r="G1073"/>
      <x:c r="H1073" t="str">
        <x:v>kein_match</x:v>
      </x:c>
      <x:c r="I1073" t="str">
        <x:v>Agent-Draft: keine finale Regelentscheidung</x:v>
      </x:c>
      <x:c r="J1073" t="n">
        <x:v>45810</x:v>
      </x:c>
      <x:c r="K1073"/>
      <x:c r="L1073"/>
      <x:c r="M1073" t="n">
        <x:v>-120</x:v>
      </x:c>
      <x:c r="N1073" t="str">
        <x:v>2025-06</x:v>
      </x:c>
      <x:c r="O1073" t="str">
        <x:v>Ausgabe</x:v>
      </x:c>
      <x:c r="P1073" t="str">
        <x:v>Ist</x:v>
      </x:c>
      <x:c r="Q1073" s="59" t="b">
        <x:v>0</x:v>
      </x:c>
      <x:c r="R1073" t="str">
        <x:v>kein_transfer</x:v>
      </x:c>
      <x:c r="S1073"/>
      <x:c r="T1073"/>
      <x:c r="U1073"/>
      <x:c r="V1073" s="59" t="b">
        <x:v>1</x:v>
      </x:c>
      <x:c r="W1073"/>
      <x:c r="X1073" t="str">
        <x:v>offen</x:v>
      </x:c>
      <x:c r="Y1073" t="str">
        <x:v>Agent-Draft; Kategorie und Person pruefen</x:v>
      </x:c>
    </x:row>
    <x:row r="1074">
      <x:c r="A1074" t="str">
        <x:v>TXN-RAW-IMP-20260516-FULLDRAFT-001058</x:v>
      </x:c>
      <x:c r="B1074" t="str">
        <x:v>RAW-IMP-20260516-FULLDRAFT-001058</x:v>
      </x:c>
      <x:c r="C1074" t="str">
        <x:v>KTO001</x:v>
      </x:c>
      <x:c r="D1074"/>
      <x:c r="E1074" t="str">
        <x:v>KAT013</x:v>
      </x:c>
      <x:c r="F1074"/>
      <x:c r="G1074"/>
      <x:c r="H1074" t="str">
        <x:v>kein_match</x:v>
      </x:c>
      <x:c r="I1074" t="str">
        <x:v>Agent-Draft: keine finale Regelentscheidung</x:v>
      </x:c>
      <x:c r="J1074" t="n">
        <x:v>45810</x:v>
      </x:c>
      <x:c r="K1074"/>
      <x:c r="L1074"/>
      <x:c r="M1074" t="n">
        <x:v>-68.46</x:v>
      </x:c>
      <x:c r="N1074" t="str">
        <x:v>2025-06</x:v>
      </x:c>
      <x:c r="O1074" t="str">
        <x:v>Ausgabe</x:v>
      </x:c>
      <x:c r="P1074" t="str">
        <x:v>Ist</x:v>
      </x:c>
      <x:c r="Q1074" s="59" t="b">
        <x:v>0</x:v>
      </x:c>
      <x:c r="R1074" t="str">
        <x:v>kein_transfer</x:v>
      </x:c>
      <x:c r="S1074"/>
      <x:c r="T1074"/>
      <x:c r="U1074"/>
      <x:c r="V1074" s="59" t="b">
        <x:v>1</x:v>
      </x:c>
      <x:c r="W1074"/>
      <x:c r="X1074" t="str">
        <x:v>offen</x:v>
      </x:c>
      <x:c r="Y1074" t="str">
        <x:v>Agent-Draft; Kategorie und Person pruefen</x:v>
      </x:c>
    </x:row>
    <x:row r="1075">
      <x:c r="A1075" t="str">
        <x:v>TXN-RAW-IMP-20260516-FULLDRAFT-001059</x:v>
      </x:c>
      <x:c r="B1075" t="str">
        <x:v>RAW-IMP-20260516-FULLDRAFT-001059</x:v>
      </x:c>
      <x:c r="C1075" t="str">
        <x:v>KTO001</x:v>
      </x:c>
      <x:c r="D1075"/>
      <x:c r="E1075" t="str">
        <x:v>KAT013</x:v>
      </x:c>
      <x:c r="F1075"/>
      <x:c r="G1075"/>
      <x:c r="H1075" t="str">
        <x:v>kein_match</x:v>
      </x:c>
      <x:c r="I1075" t="str">
        <x:v>Agent-Draft: keine finale Regelentscheidung</x:v>
      </x:c>
      <x:c r="J1075" t="n">
        <x:v>45810</x:v>
      </x:c>
      <x:c r="K1075"/>
      <x:c r="L1075"/>
      <x:c r="M1075" t="n">
        <x:v>-162.17</x:v>
      </x:c>
      <x:c r="N1075" t="str">
        <x:v>2025-06</x:v>
      </x:c>
      <x:c r="O1075" t="str">
        <x:v>Ausgabe</x:v>
      </x:c>
      <x:c r="P1075" t="str">
        <x:v>Ist</x:v>
      </x:c>
      <x:c r="Q1075" s="59" t="b">
        <x:v>0</x:v>
      </x:c>
      <x:c r="R1075" t="str">
        <x:v>kein_transfer</x:v>
      </x:c>
      <x:c r="S1075"/>
      <x:c r="T1075"/>
      <x:c r="U1075"/>
      <x:c r="V1075" s="59" t="b">
        <x:v>1</x:v>
      </x:c>
      <x:c r="W1075"/>
      <x:c r="X1075" t="str">
        <x:v>offen</x:v>
      </x:c>
      <x:c r="Y1075" t="str">
        <x:v>Agent-Draft; Kategorie und Person pruefen</x:v>
      </x:c>
    </x:row>
    <x:row r="1076">
      <x:c r="A1076" t="str">
        <x:v>TXN-RAW-IMP-20260516-FULLDRAFT-001060</x:v>
      </x:c>
      <x:c r="B1076" t="str">
        <x:v>RAW-IMP-20260516-FULLDRAFT-001060</x:v>
      </x:c>
      <x:c r="C1076" t="str">
        <x:v>KTO001</x:v>
      </x:c>
      <x:c r="D1076"/>
      <x:c r="E1076" t="str">
        <x:v>KAT013</x:v>
      </x:c>
      <x:c r="F1076"/>
      <x:c r="G1076"/>
      <x:c r="H1076" t="str">
        <x:v>kein_match</x:v>
      </x:c>
      <x:c r="I1076" t="str">
        <x:v>Agent-Draft: keine finale Regelentscheidung</x:v>
      </x:c>
      <x:c r="J1076" t="n">
        <x:v>45810</x:v>
      </x:c>
      <x:c r="K1076"/>
      <x:c r="L1076"/>
      <x:c r="M1076" t="n">
        <x:v>-97.12</x:v>
      </x:c>
      <x:c r="N1076" t="str">
        <x:v>2025-06</x:v>
      </x:c>
      <x:c r="O1076" t="str">
        <x:v>Ausgabe</x:v>
      </x:c>
      <x:c r="P1076" t="str">
        <x:v>Ist</x:v>
      </x:c>
      <x:c r="Q1076" s="59" t="b">
        <x:v>0</x:v>
      </x:c>
      <x:c r="R1076" t="str">
        <x:v>kein_transfer</x:v>
      </x:c>
      <x:c r="S1076"/>
      <x:c r="T1076"/>
      <x:c r="U1076"/>
      <x:c r="V1076" s="59" t="b">
        <x:v>1</x:v>
      </x:c>
      <x:c r="W1076"/>
      <x:c r="X1076" t="str">
        <x:v>offen</x:v>
      </x:c>
      <x:c r="Y1076" t="str">
        <x:v>Agent-Draft; Kategorie und Person pruefen</x:v>
      </x:c>
    </x:row>
    <x:row r="1077">
      <x:c r="A1077" t="str">
        <x:v>TXN-RAW-IMP-20260516-FULLDRAFT-001061</x:v>
      </x:c>
      <x:c r="B1077" t="str">
        <x:v>RAW-IMP-20260516-FULLDRAFT-001061</x:v>
      </x:c>
      <x:c r="C1077" t="str">
        <x:v>KTO001</x:v>
      </x:c>
      <x:c r="D1077"/>
      <x:c r="E1077" t="str">
        <x:v>KAT013</x:v>
      </x:c>
      <x:c r="F1077"/>
      <x:c r="G1077"/>
      <x:c r="H1077" t="str">
        <x:v>kein_match</x:v>
      </x:c>
      <x:c r="I1077" t="str">
        <x:v>Agent-Draft: keine finale Regelentscheidung</x:v>
      </x:c>
      <x:c r="J1077" t="n">
        <x:v>45810</x:v>
      </x:c>
      <x:c r="K1077"/>
      <x:c r="L1077"/>
      <x:c r="M1077" t="n">
        <x:v>-452.71</x:v>
      </x:c>
      <x:c r="N1077" t="str">
        <x:v>2025-06</x:v>
      </x:c>
      <x:c r="O1077" t="str">
        <x:v>Ausgabe</x:v>
      </x:c>
      <x:c r="P1077" t="str">
        <x:v>Ist</x:v>
      </x:c>
      <x:c r="Q1077" s="59" t="b">
        <x:v>0</x:v>
      </x:c>
      <x:c r="R1077" t="str">
        <x:v>kein_transfer</x:v>
      </x:c>
      <x:c r="S1077"/>
      <x:c r="T1077"/>
      <x:c r="U1077"/>
      <x:c r="V1077" s="59" t="b">
        <x:v>1</x:v>
      </x:c>
      <x:c r="W1077"/>
      <x:c r="X1077" t="str">
        <x:v>offen</x:v>
      </x:c>
      <x:c r="Y1077" t="str">
        <x:v>Agent-Draft; Kategorie und Person pruefen</x:v>
      </x:c>
    </x:row>
    <x:row r="1078">
      <x:c r="A1078" t="str">
        <x:v>TXN-RAW-IMP-20260516-FULLDRAFT-001062</x:v>
      </x:c>
      <x:c r="B1078" t="str">
        <x:v>RAW-IMP-20260516-FULLDRAFT-001062</x:v>
      </x:c>
      <x:c r="C1078" t="str">
        <x:v>KTO001</x:v>
      </x:c>
      <x:c r="D1078"/>
      <x:c r="E1078" t="str">
        <x:v>KAT013</x:v>
      </x:c>
      <x:c r="F1078"/>
      <x:c r="G1078"/>
      <x:c r="H1078" t="str">
        <x:v>kein_match</x:v>
      </x:c>
      <x:c r="I1078" t="str">
        <x:v>Agent-Draft: keine finale Regelentscheidung</x:v>
      </x:c>
      <x:c r="J1078" t="n">
        <x:v>45810</x:v>
      </x:c>
      <x:c r="K1078"/>
      <x:c r="L1078"/>
      <x:c r="M1078" t="n">
        <x:v>-393</x:v>
      </x:c>
      <x:c r="N1078" t="str">
        <x:v>2025-06</x:v>
      </x:c>
      <x:c r="O1078" t="str">
        <x:v>Ausgabe</x:v>
      </x:c>
      <x:c r="P1078" t="str">
        <x:v>Ist</x:v>
      </x:c>
      <x:c r="Q1078" s="59" t="b">
        <x:v>0</x:v>
      </x:c>
      <x:c r="R1078" t="str">
        <x:v>kein_transfer</x:v>
      </x:c>
      <x:c r="S1078"/>
      <x:c r="T1078"/>
      <x:c r="U1078"/>
      <x:c r="V1078" s="59" t="b">
        <x:v>1</x:v>
      </x:c>
      <x:c r="W1078"/>
      <x:c r="X1078" t="str">
        <x:v>offen</x:v>
      </x:c>
      <x:c r="Y1078" t="str">
        <x:v>Agent-Draft; Kategorie und Person pruefen</x:v>
      </x:c>
    </x:row>
    <x:row r="1079">
      <x:c r="A1079" t="str">
        <x:v>TXN-RAW-IMP-20260516-FULLDRAFT-001063</x:v>
      </x:c>
      <x:c r="B1079" t="str">
        <x:v>RAW-IMP-20260516-FULLDRAFT-001063</x:v>
      </x:c>
      <x:c r="C1079" t="str">
        <x:v>KTO001</x:v>
      </x:c>
      <x:c r="D1079"/>
      <x:c r="E1079" t="str">
        <x:v>KAT013</x:v>
      </x:c>
      <x:c r="F1079"/>
      <x:c r="G1079"/>
      <x:c r="H1079" t="str">
        <x:v>kein_match</x:v>
      </x:c>
      <x:c r="I1079" t="str">
        <x:v>Agent-Draft: keine finale Regelentscheidung</x:v>
      </x:c>
      <x:c r="J1079" t="n">
        <x:v>45810</x:v>
      </x:c>
      <x:c r="K1079"/>
      <x:c r="L1079"/>
      <x:c r="M1079" t="n">
        <x:v>-49</x:v>
      </x:c>
      <x:c r="N1079" t="str">
        <x:v>2025-06</x:v>
      </x:c>
      <x:c r="O1079" t="str">
        <x:v>Ausgabe</x:v>
      </x:c>
      <x:c r="P1079" t="str">
        <x:v>Ist</x:v>
      </x:c>
      <x:c r="Q1079" s="59" t="b">
        <x:v>0</x:v>
      </x:c>
      <x:c r="R1079" t="str">
        <x:v>kein_transfer</x:v>
      </x:c>
      <x:c r="S1079"/>
      <x:c r="T1079"/>
      <x:c r="U1079"/>
      <x:c r="V1079" s="59" t="b">
        <x:v>1</x:v>
      </x:c>
      <x:c r="W1079"/>
      <x:c r="X1079" t="str">
        <x:v>offen</x:v>
      </x:c>
      <x:c r="Y1079" t="str">
        <x:v>Agent-Draft; Kategorie und Person pruefen</x:v>
      </x:c>
    </x:row>
    <x:row r="1080">
      <x:c r="A1080" t="str">
        <x:v>TXN-RAW-IMP-20260516-FULLDRAFT-001064</x:v>
      </x:c>
      <x:c r="B1080" t="str">
        <x:v>RAW-IMP-20260516-FULLDRAFT-001064</x:v>
      </x:c>
      <x:c r="C1080" t="str">
        <x:v>KTO001</x:v>
      </x:c>
      <x:c r="D1080"/>
      <x:c r="E1080" t="str">
        <x:v>KAT013</x:v>
      </x:c>
      <x:c r="F1080"/>
      <x:c r="G1080"/>
      <x:c r="H1080" t="str">
        <x:v>kein_match</x:v>
      </x:c>
      <x:c r="I1080" t="str">
        <x:v>Agent-Draft: keine finale Regelentscheidung</x:v>
      </x:c>
      <x:c r="J1080" t="n">
        <x:v>45810</x:v>
      </x:c>
      <x:c r="K1080"/>
      <x:c r="L1080"/>
      <x:c r="M1080" t="n">
        <x:v>-1800</x:v>
      </x:c>
      <x:c r="N1080" t="str">
        <x:v>2025-06</x:v>
      </x:c>
      <x:c r="O1080" t="str">
        <x:v>Ausgabe</x:v>
      </x:c>
      <x:c r="P1080" t="str">
        <x:v>Ist</x:v>
      </x:c>
      <x:c r="Q1080" s="59" t="b">
        <x:v>0</x:v>
      </x:c>
      <x:c r="R1080" t="str">
        <x:v>kein_transfer</x:v>
      </x:c>
      <x:c r="S1080"/>
      <x:c r="T1080"/>
      <x:c r="U1080"/>
      <x:c r="V1080" s="59" t="b">
        <x:v>1</x:v>
      </x:c>
      <x:c r="W1080"/>
      <x:c r="X1080" t="str">
        <x:v>offen</x:v>
      </x:c>
      <x:c r="Y1080" t="str">
        <x:v>Agent-Draft; Kategorie und Person pruefen</x:v>
      </x:c>
    </x:row>
    <x:row r="1081">
      <x:c r="A1081" t="str">
        <x:v>TXN-RAW-IMP-20260516-FULLDRAFT-001065</x:v>
      </x:c>
      <x:c r="B1081" t="str">
        <x:v>RAW-IMP-20260516-FULLDRAFT-001065</x:v>
      </x:c>
      <x:c r="C1081" t="str">
        <x:v>KTO001</x:v>
      </x:c>
      <x:c r="D1081"/>
      <x:c r="E1081" t="str">
        <x:v>KAT013</x:v>
      </x:c>
      <x:c r="F1081"/>
      <x:c r="G1081"/>
      <x:c r="H1081" t="str">
        <x:v>kein_match</x:v>
      </x:c>
      <x:c r="I1081" t="str">
        <x:v>Agent-Draft: keine finale Regelentscheidung</x:v>
      </x:c>
      <x:c r="J1081" t="n">
        <x:v>45810</x:v>
      </x:c>
      <x:c r="K1081"/>
      <x:c r="L1081"/>
      <x:c r="M1081" t="n">
        <x:v>-1400</x:v>
      </x:c>
      <x:c r="N1081" t="str">
        <x:v>2025-06</x:v>
      </x:c>
      <x:c r="O1081" t="str">
        <x:v>Ausgabe</x:v>
      </x:c>
      <x:c r="P1081" t="str">
        <x:v>Ist</x:v>
      </x:c>
      <x:c r="Q1081" s="59" t="b">
        <x:v>0</x:v>
      </x:c>
      <x:c r="R1081" t="str">
        <x:v>kein_transfer</x:v>
      </x:c>
      <x:c r="S1081"/>
      <x:c r="T1081"/>
      <x:c r="U1081"/>
      <x:c r="V1081" s="59" t="b">
        <x:v>1</x:v>
      </x:c>
      <x:c r="W1081"/>
      <x:c r="X1081" t="str">
        <x:v>offen</x:v>
      </x:c>
      <x:c r="Y1081" t="str">
        <x:v>Agent-Draft; Kategorie und Person pruefen</x:v>
      </x:c>
    </x:row>
    <x:row r="1082">
      <x:c r="A1082" t="str">
        <x:v>TXN-RAW-IMP-20260516-FULLDRAFT-001066</x:v>
      </x:c>
      <x:c r="B1082" t="str">
        <x:v>RAW-IMP-20260516-FULLDRAFT-001066</x:v>
      </x:c>
      <x:c r="C1082" t="str">
        <x:v>KTO001</x:v>
      </x:c>
      <x:c r="D1082"/>
      <x:c r="E1082" t="str">
        <x:v>KAT013</x:v>
      </x:c>
      <x:c r="F1082"/>
      <x:c r="G1082"/>
      <x:c r="H1082" t="str">
        <x:v>kein_match</x:v>
      </x:c>
      <x:c r="I1082" t="str">
        <x:v>Agent-Draft: keine finale Regelentscheidung</x:v>
      </x:c>
      <x:c r="J1082" t="n">
        <x:v>45810</x:v>
      </x:c>
      <x:c r="K1082"/>
      <x:c r="L1082"/>
      <x:c r="M1082" t="n">
        <x:v>-100</x:v>
      </x:c>
      <x:c r="N1082" t="str">
        <x:v>2025-06</x:v>
      </x:c>
      <x:c r="O1082" t="str">
        <x:v>Ausgabe</x:v>
      </x:c>
      <x:c r="P1082" t="str">
        <x:v>Ist</x:v>
      </x:c>
      <x:c r="Q1082" s="59" t="b">
        <x:v>0</x:v>
      </x:c>
      <x:c r="R1082" t="str">
        <x:v>kein_transfer</x:v>
      </x:c>
      <x:c r="S1082"/>
      <x:c r="T1082"/>
      <x:c r="U1082"/>
      <x:c r="V1082" s="59" t="b">
        <x:v>1</x:v>
      </x:c>
      <x:c r="W1082"/>
      <x:c r="X1082" t="str">
        <x:v>offen</x:v>
      </x:c>
      <x:c r="Y1082" t="str">
        <x:v>Agent-Draft; Kategorie und Person pruefen</x:v>
      </x:c>
    </x:row>
    <x:row r="1083">
      <x:c r="A1083" t="str">
        <x:v>TXN-RAW-IMP-20260516-FULLDRAFT-001067</x:v>
      </x:c>
      <x:c r="B1083" t="str">
        <x:v>RAW-IMP-20260516-FULLDRAFT-001067</x:v>
      </x:c>
      <x:c r="C1083" t="str">
        <x:v>KTO001</x:v>
      </x:c>
      <x:c r="D1083"/>
      <x:c r="E1083" t="str">
        <x:v>KAT013</x:v>
      </x:c>
      <x:c r="F1083"/>
      <x:c r="G1083"/>
      <x:c r="H1083" t="str">
        <x:v>kein_match</x:v>
      </x:c>
      <x:c r="I1083" t="str">
        <x:v>Agent-Draft: keine finale Regelentscheidung</x:v>
      </x:c>
      <x:c r="J1083" t="n">
        <x:v>45810</x:v>
      </x:c>
      <x:c r="K1083"/>
      <x:c r="L1083"/>
      <x:c r="M1083" t="n">
        <x:v>-1153.94</x:v>
      </x:c>
      <x:c r="N1083" t="str">
        <x:v>2025-06</x:v>
      </x:c>
      <x:c r="O1083" t="str">
        <x:v>Ausgabe</x:v>
      </x:c>
      <x:c r="P1083" t="str">
        <x:v>Ist</x:v>
      </x:c>
      <x:c r="Q1083" s="59" t="b">
        <x:v>0</x:v>
      </x:c>
      <x:c r="R1083" t="str">
        <x:v>kein_transfer</x:v>
      </x:c>
      <x:c r="S1083"/>
      <x:c r="T1083"/>
      <x:c r="U1083"/>
      <x:c r="V1083" s="59" t="b">
        <x:v>1</x:v>
      </x:c>
      <x:c r="W1083"/>
      <x:c r="X1083" t="str">
        <x:v>offen</x:v>
      </x:c>
      <x:c r="Y1083" t="str">
        <x:v>Agent-Draft; Kategorie und Person pruefen</x:v>
      </x:c>
    </x:row>
    <x:row r="1084">
      <x:c r="A1084" t="str">
        <x:v>TXN-RAW-IMP-20260516-FULLDRAFT-001068</x:v>
      </x:c>
      <x:c r="B1084" t="str">
        <x:v>RAW-IMP-20260516-FULLDRAFT-001068</x:v>
      </x:c>
      <x:c r="C1084" t="str">
        <x:v>KTO001</x:v>
      </x:c>
      <x:c r="D1084"/>
      <x:c r="E1084" t="str">
        <x:v>KAT013</x:v>
      </x:c>
      <x:c r="F1084"/>
      <x:c r="G1084"/>
      <x:c r="H1084" t="str">
        <x:v>kein_match</x:v>
      </x:c>
      <x:c r="I1084" t="str">
        <x:v>Agent-Draft: keine finale Regelentscheidung</x:v>
      </x:c>
      <x:c r="J1084" t="n">
        <x:v>45807</x:v>
      </x:c>
      <x:c r="K1084"/>
      <x:c r="L1084"/>
      <x:c r="M1084" t="n">
        <x:v>-100</x:v>
      </x:c>
      <x:c r="N1084" t="str">
        <x:v>2025-05</x:v>
      </x:c>
      <x:c r="O1084" t="str">
        <x:v>Ausgabe</x:v>
      </x:c>
      <x:c r="P1084" t="str">
        <x:v>Ist</x:v>
      </x:c>
      <x:c r="Q1084" s="59" t="b">
        <x:v>0</x:v>
      </x:c>
      <x:c r="R1084" t="str">
        <x:v>kein_transfer</x:v>
      </x:c>
      <x:c r="S1084"/>
      <x:c r="T1084"/>
      <x:c r="U1084"/>
      <x:c r="V1084" s="59" t="b">
        <x:v>1</x:v>
      </x:c>
      <x:c r="W1084"/>
      <x:c r="X1084" t="str">
        <x:v>offen</x:v>
      </x:c>
      <x:c r="Y1084" t="str">
        <x:v>Agent-Draft; Kategorie und Person pruefen</x:v>
      </x:c>
    </x:row>
    <x:row r="1085">
      <x:c r="A1085" t="str">
        <x:v>TXN-RAW-IMP-20260516-FULLDRAFT-001069</x:v>
      </x:c>
      <x:c r="B1085" t="str">
        <x:v>RAW-IMP-20260516-FULLDRAFT-001069</x:v>
      </x:c>
      <x:c r="C1085" t="str">
        <x:v>KTO001</x:v>
      </x:c>
      <x:c r="D1085"/>
      <x:c r="E1085" t="str">
        <x:v>KAT013</x:v>
      </x:c>
      <x:c r="F1085"/>
      <x:c r="G1085"/>
      <x:c r="H1085" t="str">
        <x:v>kein_match</x:v>
      </x:c>
      <x:c r="I1085" t="str">
        <x:v>Agent-Draft: keine finale Regelentscheidung</x:v>
      </x:c>
      <x:c r="J1085" t="n">
        <x:v>45807</x:v>
      </x:c>
      <x:c r="K1085"/>
      <x:c r="L1085"/>
      <x:c r="M1085" t="n">
        <x:v>-8.99</x:v>
      </x:c>
      <x:c r="N1085" t="str">
        <x:v>2025-05</x:v>
      </x:c>
      <x:c r="O1085" t="str">
        <x:v>Ausgabe</x:v>
      </x:c>
      <x:c r="P1085" t="str">
        <x:v>Ist</x:v>
      </x:c>
      <x:c r="Q1085" s="59" t="b">
        <x:v>0</x:v>
      </x:c>
      <x:c r="R1085" t="str">
        <x:v>kein_transfer</x:v>
      </x:c>
      <x:c r="S1085"/>
      <x:c r="T1085"/>
      <x:c r="U1085"/>
      <x:c r="V1085" s="59" t="b">
        <x:v>1</x:v>
      </x:c>
      <x:c r="W1085"/>
      <x:c r="X1085" t="str">
        <x:v>offen</x:v>
      </x:c>
      <x:c r="Y1085" t="str">
        <x:v>Agent-Draft; Kategorie und Person pruefen</x:v>
      </x:c>
    </x:row>
    <x:row r="1086">
      <x:c r="A1086" t="str">
        <x:v>TXN-RAW-IMP-20260516-FULLDRAFT-001070</x:v>
      </x:c>
      <x:c r="B1086" t="str">
        <x:v>RAW-IMP-20260516-FULLDRAFT-001070</x:v>
      </x:c>
      <x:c r="C1086" t="str">
        <x:v>KTO001</x:v>
      </x:c>
      <x:c r="D1086"/>
      <x:c r="E1086" t="str">
        <x:v>KAT013</x:v>
      </x:c>
      <x:c r="F1086"/>
      <x:c r="G1086"/>
      <x:c r="H1086" t="str">
        <x:v>kein_match</x:v>
      </x:c>
      <x:c r="I1086" t="str">
        <x:v>Agent-Draft: keine finale Regelentscheidung</x:v>
      </x:c>
      <x:c r="J1086" t="n">
        <x:v>45807</x:v>
      </x:c>
      <x:c r="K1086"/>
      <x:c r="L1086"/>
      <x:c r="M1086" t="n">
        <x:v>-10</x:v>
      </x:c>
      <x:c r="N1086" t="str">
        <x:v>2025-05</x:v>
      </x:c>
      <x:c r="O1086" t="str">
        <x:v>Ausgabe</x:v>
      </x:c>
      <x:c r="P1086" t="str">
        <x:v>Ist</x:v>
      </x:c>
      <x:c r="Q1086" s="59" t="b">
        <x:v>0</x:v>
      </x:c>
      <x:c r="R1086" t="str">
        <x:v>kein_transfer</x:v>
      </x:c>
      <x:c r="S1086"/>
      <x:c r="T1086"/>
      <x:c r="U1086"/>
      <x:c r="V1086" s="59" t="b">
        <x:v>1</x:v>
      </x:c>
      <x:c r="W1086"/>
      <x:c r="X1086" t="str">
        <x:v>offen</x:v>
      </x:c>
      <x:c r="Y1086" t="str">
        <x:v>Agent-Draft; Kategorie und Person pruefen</x:v>
      </x:c>
    </x:row>
    <x:row r="1087">
      <x:c r="A1087" t="str">
        <x:v>TXN-RAW-IMP-20260516-FULLDRAFT-001071</x:v>
      </x:c>
      <x:c r="B1087" t="str">
        <x:v>RAW-IMP-20260516-FULLDRAFT-001071</x:v>
      </x:c>
      <x:c r="C1087" t="str">
        <x:v>KTO001</x:v>
      </x:c>
      <x:c r="D1087"/>
      <x:c r="E1087" t="str">
        <x:v>KAT013</x:v>
      </x:c>
      <x:c r="F1087"/>
      <x:c r="G1087"/>
      <x:c r="H1087" t="str">
        <x:v>kein_match</x:v>
      </x:c>
      <x:c r="I1087" t="str">
        <x:v>Agent-Draft: keine finale Regelentscheidung</x:v>
      </x:c>
      <x:c r="J1087" t="n">
        <x:v>45807</x:v>
      </x:c>
      <x:c r="K1087"/>
      <x:c r="L1087"/>
      <x:c r="M1087" t="n">
        <x:v>-1670.17</x:v>
      </x:c>
      <x:c r="N1087" t="str">
        <x:v>2025-05</x:v>
      </x:c>
      <x:c r="O1087" t="str">
        <x:v>Ausgabe</x:v>
      </x:c>
      <x:c r="P1087" t="str">
        <x:v>Ist</x:v>
      </x:c>
      <x:c r="Q1087" s="59" t="b">
        <x:v>0</x:v>
      </x:c>
      <x:c r="R1087" t="str">
        <x:v>kein_transfer</x:v>
      </x:c>
      <x:c r="S1087"/>
      <x:c r="T1087"/>
      <x:c r="U1087"/>
      <x:c r="V1087" s="59" t="b">
        <x:v>1</x:v>
      </x:c>
      <x:c r="W1087"/>
      <x:c r="X1087" t="str">
        <x:v>offen</x:v>
      </x:c>
      <x:c r="Y1087" t="str">
        <x:v>Agent-Draft; Kategorie und Person pruefen</x:v>
      </x:c>
    </x:row>
    <x:row r="1088">
      <x:c r="A1088" t="str">
        <x:v>TXN-RAW-IMP-20260516-FULLDRAFT-001072</x:v>
      </x:c>
      <x:c r="B1088" t="str">
        <x:v>RAW-IMP-20260516-FULLDRAFT-001072</x:v>
      </x:c>
      <x:c r="C1088" t="str">
        <x:v>KTO001</x:v>
      </x:c>
      <x:c r="D1088"/>
      <x:c r="E1088" t="str">
        <x:v>KAT013</x:v>
      </x:c>
      <x:c r="F1088"/>
      <x:c r="G1088"/>
      <x:c r="H1088" t="str">
        <x:v>kein_match</x:v>
      </x:c>
      <x:c r="I1088" t="str">
        <x:v>Agent-Draft: keine finale Regelentscheidung</x:v>
      </x:c>
      <x:c r="J1088" t="n">
        <x:v>45805</x:v>
      </x:c>
      <x:c r="K1088"/>
      <x:c r="L1088"/>
      <x:c r="M1088" t="n">
        <x:v>7939.81</x:v>
      </x:c>
      <x:c r="N1088" t="str">
        <x:v>2025-05</x:v>
      </x:c>
      <x:c r="O1088" t="str">
        <x:v>Einnahme</x:v>
      </x:c>
      <x:c r="P1088" t="str">
        <x:v>Ist</x:v>
      </x:c>
      <x:c r="Q1088" s="59" t="b">
        <x:v>0</x:v>
      </x:c>
      <x:c r="R1088" t="str">
        <x:v>kein_transfer</x:v>
      </x:c>
      <x:c r="S1088"/>
      <x:c r="T1088"/>
      <x:c r="U1088"/>
      <x:c r="V1088" s="59" t="b">
        <x:v>1</x:v>
      </x:c>
      <x:c r="W1088"/>
      <x:c r="X1088" t="str">
        <x:v>offen</x:v>
      </x:c>
      <x:c r="Y1088" t="str">
        <x:v>Agent-Draft; Kategorie und Person pruefen</x:v>
      </x:c>
    </x:row>
    <x:row r="1089">
      <x:c r="A1089" t="str">
        <x:v>TXN-RAW-IMP-20260516-FULLDRAFT-001073</x:v>
      </x:c>
      <x:c r="B1089" t="str">
        <x:v>RAW-IMP-20260516-FULLDRAFT-001073</x:v>
      </x:c>
      <x:c r="C1089" t="str">
        <x:v>KTO001</x:v>
      </x:c>
      <x:c r="D1089"/>
      <x:c r="E1089" t="str">
        <x:v>KAT013</x:v>
      </x:c>
      <x:c r="F1089"/>
      <x:c r="G1089"/>
      <x:c r="H1089" t="str">
        <x:v>kein_match</x:v>
      </x:c>
      <x:c r="I1089" t="str">
        <x:v>Agent-Draft: keine finale Regelentscheidung</x:v>
      </x:c>
      <x:c r="J1089" t="n">
        <x:v>45805</x:v>
      </x:c>
      <x:c r="K1089"/>
      <x:c r="L1089"/>
      <x:c r="M1089" t="n">
        <x:v>-3.14</x:v>
      </x:c>
      <x:c r="N1089" t="str">
        <x:v>2025-05</x:v>
      </x:c>
      <x:c r="O1089" t="str">
        <x:v>Ausgabe</x:v>
      </x:c>
      <x:c r="P1089" t="str">
        <x:v>Ist</x:v>
      </x:c>
      <x:c r="Q1089" s="59" t="b">
        <x:v>0</x:v>
      </x:c>
      <x:c r="R1089" t="str">
        <x:v>kein_transfer</x:v>
      </x:c>
      <x:c r="S1089"/>
      <x:c r="T1089"/>
      <x:c r="U1089"/>
      <x:c r="V1089" s="59" t="b">
        <x:v>1</x:v>
      </x:c>
      <x:c r="W1089"/>
      <x:c r="X1089" t="str">
        <x:v>offen</x:v>
      </x:c>
      <x:c r="Y1089" t="str">
        <x:v>Agent-Draft; Kategorie und Person pruefen</x:v>
      </x:c>
    </x:row>
    <x:row r="1090">
      <x:c r="A1090" t="str">
        <x:v>TXN-RAW-IMP-20260516-FULLDRAFT-001074</x:v>
      </x:c>
      <x:c r="B1090" t="str">
        <x:v>RAW-IMP-20260516-FULLDRAFT-001074</x:v>
      </x:c>
      <x:c r="C1090" t="str">
        <x:v>KTO001</x:v>
      </x:c>
      <x:c r="D1090"/>
      <x:c r="E1090" t="str">
        <x:v>KAT013</x:v>
      </x:c>
      <x:c r="F1090"/>
      <x:c r="G1090"/>
      <x:c r="H1090" t="str">
        <x:v>kein_match</x:v>
      </x:c>
      <x:c r="I1090" t="str">
        <x:v>Agent-Draft: keine finale Regelentscheidung</x:v>
      </x:c>
      <x:c r="J1090" t="n">
        <x:v>45804</x:v>
      </x:c>
      <x:c r="K1090"/>
      <x:c r="L1090"/>
      <x:c r="M1090" t="n">
        <x:v>-1.99</x:v>
      </x:c>
      <x:c r="N1090" t="str">
        <x:v>2025-05</x:v>
      </x:c>
      <x:c r="O1090" t="str">
        <x:v>Ausgabe</x:v>
      </x:c>
      <x:c r="P1090" t="str">
        <x:v>Ist</x:v>
      </x:c>
      <x:c r="Q1090" s="59" t="b">
        <x:v>0</x:v>
      </x:c>
      <x:c r="R1090" t="str">
        <x:v>kein_transfer</x:v>
      </x:c>
      <x:c r="S1090"/>
      <x:c r="T1090"/>
      <x:c r="U1090"/>
      <x:c r="V1090" s="59" t="b">
        <x:v>1</x:v>
      </x:c>
      <x:c r="W1090"/>
      <x:c r="X1090" t="str">
        <x:v>offen</x:v>
      </x:c>
      <x:c r="Y1090" t="str">
        <x:v>Agent-Draft; Kategorie und Person pruefen</x:v>
      </x:c>
    </x:row>
    <x:row r="1091">
      <x:c r="A1091" t="str">
        <x:v>TXN-RAW-IMP-20260516-FULLDRAFT-001075</x:v>
      </x:c>
      <x:c r="B1091" t="str">
        <x:v>RAW-IMP-20260516-FULLDRAFT-001075</x:v>
      </x:c>
      <x:c r="C1091" t="str">
        <x:v>KTO001</x:v>
      </x:c>
      <x:c r="D1091"/>
      <x:c r="E1091" t="str">
        <x:v>KAT013</x:v>
      </x:c>
      <x:c r="F1091"/>
      <x:c r="G1091"/>
      <x:c r="H1091" t="str">
        <x:v>kein_match</x:v>
      </x:c>
      <x:c r="I1091" t="str">
        <x:v>Agent-Draft: keine finale Regelentscheidung</x:v>
      </x:c>
      <x:c r="J1091" t="n">
        <x:v>45803</x:v>
      </x:c>
      <x:c r="K1091"/>
      <x:c r="L1091"/>
      <x:c r="M1091" t="n">
        <x:v>-13.75</x:v>
      </x:c>
      <x:c r="N1091" t="str">
        <x:v>2025-05</x:v>
      </x:c>
      <x:c r="O1091" t="str">
        <x:v>Ausgabe</x:v>
      </x:c>
      <x:c r="P1091" t="str">
        <x:v>Ist</x:v>
      </x:c>
      <x:c r="Q1091" s="59" t="b">
        <x:v>0</x:v>
      </x:c>
      <x:c r="R1091" t="str">
        <x:v>kein_transfer</x:v>
      </x:c>
      <x:c r="S1091"/>
      <x:c r="T1091"/>
      <x:c r="U1091"/>
      <x:c r="V1091" s="59" t="b">
        <x:v>1</x:v>
      </x:c>
      <x:c r="W1091"/>
      <x:c r="X1091" t="str">
        <x:v>offen</x:v>
      </x:c>
      <x:c r="Y1091" t="str">
        <x:v>Agent-Draft; Kategorie und Person pruefen</x:v>
      </x:c>
    </x:row>
    <x:row r="1092">
      <x:c r="A1092" t="str">
        <x:v>TXN-RAW-IMP-20260516-FULLDRAFT-001076</x:v>
      </x:c>
      <x:c r="B1092" t="str">
        <x:v>RAW-IMP-20260516-FULLDRAFT-001076</x:v>
      </x:c>
      <x:c r="C1092" t="str">
        <x:v>KTO001</x:v>
      </x:c>
      <x:c r="D1092"/>
      <x:c r="E1092" t="str">
        <x:v>KAT013</x:v>
      </x:c>
      <x:c r="F1092"/>
      <x:c r="G1092"/>
      <x:c r="H1092" t="str">
        <x:v>kein_match</x:v>
      </x:c>
      <x:c r="I1092" t="str">
        <x:v>Agent-Draft: keine finale Regelentscheidung</x:v>
      </x:c>
      <x:c r="J1092" t="n">
        <x:v>45803</x:v>
      </x:c>
      <x:c r="K1092"/>
      <x:c r="L1092"/>
      <x:c r="M1092" t="n">
        <x:v>-31.89</x:v>
      </x:c>
      <x:c r="N1092" t="str">
        <x:v>2025-05</x:v>
      </x:c>
      <x:c r="O1092" t="str">
        <x:v>Ausgabe</x:v>
      </x:c>
      <x:c r="P1092" t="str">
        <x:v>Ist</x:v>
      </x:c>
      <x:c r="Q1092" s="59" t="b">
        <x:v>0</x:v>
      </x:c>
      <x:c r="R1092" t="str">
        <x:v>kein_transfer</x:v>
      </x:c>
      <x:c r="S1092"/>
      <x:c r="T1092"/>
      <x:c r="U1092"/>
      <x:c r="V1092" s="59" t="b">
        <x:v>1</x:v>
      </x:c>
      <x:c r="W1092"/>
      <x:c r="X1092" t="str">
        <x:v>offen</x:v>
      </x:c>
      <x:c r="Y1092" t="str">
        <x:v>Agent-Draft; Kategorie und Person pruefen</x:v>
      </x:c>
    </x:row>
    <x:row r="1093">
      <x:c r="A1093" t="str">
        <x:v>TXN-RAW-IMP-20260516-FULLDRAFT-001077</x:v>
      </x:c>
      <x:c r="B1093" t="str">
        <x:v>RAW-IMP-20260516-FULLDRAFT-001077</x:v>
      </x:c>
      <x:c r="C1093" t="str">
        <x:v>KTO001</x:v>
      </x:c>
      <x:c r="D1093"/>
      <x:c r="E1093" t="str">
        <x:v>KAT013</x:v>
      </x:c>
      <x:c r="F1093"/>
      <x:c r="G1093"/>
      <x:c r="H1093" t="str">
        <x:v>kein_match</x:v>
      </x:c>
      <x:c r="I1093" t="str">
        <x:v>Agent-Draft: keine finale Regelentscheidung</x:v>
      </x:c>
      <x:c r="J1093" t="n">
        <x:v>45803</x:v>
      </x:c>
      <x:c r="K1093"/>
      <x:c r="L1093"/>
      <x:c r="M1093" t="n">
        <x:v>-15.6</x:v>
      </x:c>
      <x:c r="N1093" t="str">
        <x:v>2025-05</x:v>
      </x:c>
      <x:c r="O1093" t="str">
        <x:v>Ausgabe</x:v>
      </x:c>
      <x:c r="P1093" t="str">
        <x:v>Ist</x:v>
      </x:c>
      <x:c r="Q1093" s="59" t="b">
        <x:v>0</x:v>
      </x:c>
      <x:c r="R1093" t="str">
        <x:v>kein_transfer</x:v>
      </x:c>
      <x:c r="S1093"/>
      <x:c r="T1093"/>
      <x:c r="U1093"/>
      <x:c r="V1093" s="59" t="b">
        <x:v>1</x:v>
      </x:c>
      <x:c r="W1093"/>
      <x:c r="X1093" t="str">
        <x:v>offen</x:v>
      </x:c>
      <x:c r="Y1093" t="str">
        <x:v>Agent-Draft; Kategorie und Person pruefen</x:v>
      </x:c>
    </x:row>
    <x:row r="1094">
      <x:c r="A1094" t="str">
        <x:v>TXN-RAW-IMP-20260516-FULLDRAFT-001078</x:v>
      </x:c>
      <x:c r="B1094" t="str">
        <x:v>RAW-IMP-20260516-FULLDRAFT-001078</x:v>
      </x:c>
      <x:c r="C1094" t="str">
        <x:v>KTO001</x:v>
      </x:c>
      <x:c r="D1094"/>
      <x:c r="E1094" t="str">
        <x:v>KAT013</x:v>
      </x:c>
      <x:c r="F1094"/>
      <x:c r="G1094"/>
      <x:c r="H1094" t="str">
        <x:v>kein_match</x:v>
      </x:c>
      <x:c r="I1094" t="str">
        <x:v>Agent-Draft: keine finale Regelentscheidung</x:v>
      </x:c>
      <x:c r="J1094" t="n">
        <x:v>45803</x:v>
      </x:c>
      <x:c r="K1094"/>
      <x:c r="L1094"/>
      <x:c r="M1094" t="n">
        <x:v>-75.54</x:v>
      </x:c>
      <x:c r="N1094" t="str">
        <x:v>2025-05</x:v>
      </x:c>
      <x:c r="O1094" t="str">
        <x:v>Ausgabe</x:v>
      </x:c>
      <x:c r="P1094" t="str">
        <x:v>Ist</x:v>
      </x:c>
      <x:c r="Q1094" s="59" t="b">
        <x:v>0</x:v>
      </x:c>
      <x:c r="R1094" t="str">
        <x:v>kein_transfer</x:v>
      </x:c>
      <x:c r="S1094"/>
      <x:c r="T1094"/>
      <x:c r="U1094"/>
      <x:c r="V1094" s="59" t="b">
        <x:v>1</x:v>
      </x:c>
      <x:c r="W1094"/>
      <x:c r="X1094" t="str">
        <x:v>offen</x:v>
      </x:c>
      <x:c r="Y1094" t="str">
        <x:v>Agent-Draft; Kategorie und Person pruefen</x:v>
      </x:c>
    </x:row>
    <x:row r="1095">
      <x:c r="A1095" t="str">
        <x:v>TXN-RAW-IMP-20260516-FULLDRAFT-001079</x:v>
      </x:c>
      <x:c r="B1095" t="str">
        <x:v>RAW-IMP-20260516-FULLDRAFT-001079</x:v>
      </x:c>
      <x:c r="C1095" t="str">
        <x:v>KTO001</x:v>
      </x:c>
      <x:c r="D1095"/>
      <x:c r="E1095" t="str">
        <x:v>KAT013</x:v>
      </x:c>
      <x:c r="F1095"/>
      <x:c r="G1095"/>
      <x:c r="H1095" t="str">
        <x:v>kein_match</x:v>
      </x:c>
      <x:c r="I1095" t="str">
        <x:v>Agent-Draft: keine finale Regelentscheidung</x:v>
      </x:c>
      <x:c r="J1095" t="n">
        <x:v>45803</x:v>
      </x:c>
      <x:c r="K1095"/>
      <x:c r="L1095"/>
      <x:c r="M1095" t="n">
        <x:v>-26.4</x:v>
      </x:c>
      <x:c r="N1095" t="str">
        <x:v>2025-05</x:v>
      </x:c>
      <x:c r="O1095" t="str">
        <x:v>Ausgabe</x:v>
      </x:c>
      <x:c r="P1095" t="str">
        <x:v>Ist</x:v>
      </x:c>
      <x:c r="Q1095" s="59" t="b">
        <x:v>0</x:v>
      </x:c>
      <x:c r="R1095" t="str">
        <x:v>kein_transfer</x:v>
      </x:c>
      <x:c r="S1095"/>
      <x:c r="T1095"/>
      <x:c r="U1095"/>
      <x:c r="V1095" s="59" t="b">
        <x:v>1</x:v>
      </x:c>
      <x:c r="W1095"/>
      <x:c r="X1095" t="str">
        <x:v>offen</x:v>
      </x:c>
      <x:c r="Y1095" t="str">
        <x:v>Agent-Draft; Kategorie und Person pruefen</x:v>
      </x:c>
    </x:row>
    <x:row r="1096">
      <x:c r="A1096" t="str">
        <x:v>TXN-RAW-IMP-20260516-FULLDRAFT-001080</x:v>
      </x:c>
      <x:c r="B1096" t="str">
        <x:v>RAW-IMP-20260516-FULLDRAFT-001080</x:v>
      </x:c>
      <x:c r="C1096" t="str">
        <x:v>KTO001</x:v>
      </x:c>
      <x:c r="D1096"/>
      <x:c r="E1096" t="str">
        <x:v>KAT013</x:v>
      </x:c>
      <x:c r="F1096"/>
      <x:c r="G1096"/>
      <x:c r="H1096" t="str">
        <x:v>kein_match</x:v>
      </x:c>
      <x:c r="I1096" t="str">
        <x:v>Agent-Draft: keine finale Regelentscheidung</x:v>
      </x:c>
      <x:c r="J1096" t="n">
        <x:v>45803</x:v>
      </x:c>
      <x:c r="K1096"/>
      <x:c r="L1096"/>
      <x:c r="M1096" t="n">
        <x:v>-1.9</x:v>
      </x:c>
      <x:c r="N1096" t="str">
        <x:v>2025-05</x:v>
      </x:c>
      <x:c r="O1096" t="str">
        <x:v>Ausgabe</x:v>
      </x:c>
      <x:c r="P1096" t="str">
        <x:v>Ist</x:v>
      </x:c>
      <x:c r="Q1096" s="59" t="b">
        <x:v>0</x:v>
      </x:c>
      <x:c r="R1096" t="str">
        <x:v>kein_transfer</x:v>
      </x:c>
      <x:c r="S1096"/>
      <x:c r="T1096"/>
      <x:c r="U1096"/>
      <x:c r="V1096" s="59" t="b">
        <x:v>1</x:v>
      </x:c>
      <x:c r="W1096"/>
      <x:c r="X1096" t="str">
        <x:v>offen</x:v>
      </x:c>
      <x:c r="Y1096" t="str">
        <x:v>Agent-Draft; Kategorie und Person pruefen</x:v>
      </x:c>
    </x:row>
    <x:row r="1097">
      <x:c r="A1097" t="str">
        <x:v>TXN-RAW-IMP-20260516-FULLDRAFT-001081</x:v>
      </x:c>
      <x:c r="B1097" t="str">
        <x:v>RAW-IMP-20260516-FULLDRAFT-001081</x:v>
      </x:c>
      <x:c r="C1097" t="str">
        <x:v>KTO001</x:v>
      </x:c>
      <x:c r="D1097"/>
      <x:c r="E1097" t="str">
        <x:v>KAT013</x:v>
      </x:c>
      <x:c r="F1097"/>
      <x:c r="G1097"/>
      <x:c r="H1097" t="str">
        <x:v>kein_match</x:v>
      </x:c>
      <x:c r="I1097" t="str">
        <x:v>Agent-Draft: keine finale Regelentscheidung</x:v>
      </x:c>
      <x:c r="J1097" t="n">
        <x:v>45803</x:v>
      </x:c>
      <x:c r="K1097"/>
      <x:c r="L1097"/>
      <x:c r="M1097" t="n">
        <x:v>-8</x:v>
      </x:c>
      <x:c r="N1097" t="str">
        <x:v>2025-05</x:v>
      </x:c>
      <x:c r="O1097" t="str">
        <x:v>Ausgabe</x:v>
      </x:c>
      <x:c r="P1097" t="str">
        <x:v>Ist</x:v>
      </x:c>
      <x:c r="Q1097" s="59" t="b">
        <x:v>0</x:v>
      </x:c>
      <x:c r="R1097" t="str">
        <x:v>kein_transfer</x:v>
      </x:c>
      <x:c r="S1097"/>
      <x:c r="T1097"/>
      <x:c r="U1097"/>
      <x:c r="V1097" s="59" t="b">
        <x:v>1</x:v>
      </x:c>
      <x:c r="W1097"/>
      <x:c r="X1097" t="str">
        <x:v>offen</x:v>
      </x:c>
      <x:c r="Y1097" t="str">
        <x:v>Agent-Draft; Kategorie und Person pruefen</x:v>
      </x:c>
    </x:row>
    <x:row r="1098">
      <x:c r="A1098" t="str">
        <x:v>TXN-RAW-IMP-20260516-FULLDRAFT-001082</x:v>
      </x:c>
      <x:c r="B1098" t="str">
        <x:v>RAW-IMP-20260516-FULLDRAFT-001082</x:v>
      </x:c>
      <x:c r="C1098" t="str">
        <x:v>KTO001</x:v>
      </x:c>
      <x:c r="D1098"/>
      <x:c r="E1098" t="str">
        <x:v>KAT013</x:v>
      </x:c>
      <x:c r="F1098"/>
      <x:c r="G1098"/>
      <x:c r="H1098" t="str">
        <x:v>kein_match</x:v>
      </x:c>
      <x:c r="I1098" t="str">
        <x:v>Agent-Draft: keine finale Regelentscheidung</x:v>
      </x:c>
      <x:c r="J1098" t="n">
        <x:v>45803</x:v>
      </x:c>
      <x:c r="K1098"/>
      <x:c r="L1098"/>
      <x:c r="M1098" t="n">
        <x:v>-7</x:v>
      </x:c>
      <x:c r="N1098" t="str">
        <x:v>2025-05</x:v>
      </x:c>
      <x:c r="O1098" t="str">
        <x:v>Ausgabe</x:v>
      </x:c>
      <x:c r="P1098" t="str">
        <x:v>Ist</x:v>
      </x:c>
      <x:c r="Q1098" s="59" t="b">
        <x:v>0</x:v>
      </x:c>
      <x:c r="R1098" t="str">
        <x:v>kein_transfer</x:v>
      </x:c>
      <x:c r="S1098"/>
      <x:c r="T1098"/>
      <x:c r="U1098"/>
      <x:c r="V1098" s="59" t="b">
        <x:v>1</x:v>
      </x:c>
      <x:c r="W1098"/>
      <x:c r="X1098" t="str">
        <x:v>offen</x:v>
      </x:c>
      <x:c r="Y1098" t="str">
        <x:v>Agent-Draft; Kategorie und Person pruefen</x:v>
      </x:c>
    </x:row>
    <x:row r="1099">
      <x:c r="A1099" t="str">
        <x:v>TXN-RAW-IMP-20260516-FULLDRAFT-001083</x:v>
      </x:c>
      <x:c r="B1099" t="str">
        <x:v>RAW-IMP-20260516-FULLDRAFT-001083</x:v>
      </x:c>
      <x:c r="C1099" t="str">
        <x:v>KTO001</x:v>
      </x:c>
      <x:c r="D1099"/>
      <x:c r="E1099" t="str">
        <x:v>KAT013</x:v>
      </x:c>
      <x:c r="F1099"/>
      <x:c r="G1099"/>
      <x:c r="H1099" t="str">
        <x:v>kein_match</x:v>
      </x:c>
      <x:c r="I1099" t="str">
        <x:v>Agent-Draft: keine finale Regelentscheidung</x:v>
      </x:c>
      <x:c r="J1099" t="n">
        <x:v>45803</x:v>
      </x:c>
      <x:c r="K1099"/>
      <x:c r="L1099"/>
      <x:c r="M1099" t="n">
        <x:v>-7.3</x:v>
      </x:c>
      <x:c r="N1099" t="str">
        <x:v>2025-05</x:v>
      </x:c>
      <x:c r="O1099" t="str">
        <x:v>Ausgabe</x:v>
      </x:c>
      <x:c r="P1099" t="str">
        <x:v>Ist</x:v>
      </x:c>
      <x:c r="Q1099" s="59" t="b">
        <x:v>0</x:v>
      </x:c>
      <x:c r="R1099" t="str">
        <x:v>kein_transfer</x:v>
      </x:c>
      <x:c r="S1099"/>
      <x:c r="T1099"/>
      <x:c r="U1099"/>
      <x:c r="V1099" s="59" t="b">
        <x:v>1</x:v>
      </x:c>
      <x:c r="W1099"/>
      <x:c r="X1099" t="str">
        <x:v>offen</x:v>
      </x:c>
      <x:c r="Y1099" t="str">
        <x:v>Agent-Draft; Kategorie und Person pruefen</x:v>
      </x:c>
    </x:row>
    <x:row r="1100">
      <x:c r="A1100" t="str">
        <x:v>TXN-RAW-IMP-20260516-FULLDRAFT-001084</x:v>
      </x:c>
      <x:c r="B1100" t="str">
        <x:v>RAW-IMP-20260516-FULLDRAFT-001084</x:v>
      </x:c>
      <x:c r="C1100" t="str">
        <x:v>KTO001</x:v>
      </x:c>
      <x:c r="D1100"/>
      <x:c r="E1100" t="str">
        <x:v>KAT013</x:v>
      </x:c>
      <x:c r="F1100"/>
      <x:c r="G1100"/>
      <x:c r="H1100" t="str">
        <x:v>kein_match</x:v>
      </x:c>
      <x:c r="I1100" t="str">
        <x:v>Agent-Draft: keine finale Regelentscheidung</x:v>
      </x:c>
      <x:c r="J1100" t="n">
        <x:v>45800</x:v>
      </x:c>
      <x:c r="K1100"/>
      <x:c r="L1100"/>
      <x:c r="M1100" t="n">
        <x:v>-11.97</x:v>
      </x:c>
      <x:c r="N1100" t="str">
        <x:v>2025-05</x:v>
      </x:c>
      <x:c r="O1100" t="str">
        <x:v>Ausgabe</x:v>
      </x:c>
      <x:c r="P1100" t="str">
        <x:v>Ist</x:v>
      </x:c>
      <x:c r="Q1100" s="59" t="b">
        <x:v>0</x:v>
      </x:c>
      <x:c r="R1100" t="str">
        <x:v>kein_transfer</x:v>
      </x:c>
      <x:c r="S1100"/>
      <x:c r="T1100"/>
      <x:c r="U1100"/>
      <x:c r="V1100" s="59" t="b">
        <x:v>1</x:v>
      </x:c>
      <x:c r="W1100"/>
      <x:c r="X1100" t="str">
        <x:v>offen</x:v>
      </x:c>
      <x:c r="Y1100" t="str">
        <x:v>Agent-Draft; Kategorie und Person pruefen</x:v>
      </x:c>
    </x:row>
    <x:row r="1101">
      <x:c r="A1101" t="str">
        <x:v>TXN-RAW-IMP-20260516-FULLDRAFT-001085</x:v>
      </x:c>
      <x:c r="B1101" t="str">
        <x:v>RAW-IMP-20260516-FULLDRAFT-001085</x:v>
      </x:c>
      <x:c r="C1101" t="str">
        <x:v>KTO001</x:v>
      </x:c>
      <x:c r="D1101"/>
      <x:c r="E1101" t="str">
        <x:v>KAT013</x:v>
      </x:c>
      <x:c r="F1101"/>
      <x:c r="G1101"/>
      <x:c r="H1101" t="str">
        <x:v>kein_match</x:v>
      </x:c>
      <x:c r="I1101" t="str">
        <x:v>Agent-Draft: keine finale Regelentscheidung</x:v>
      </x:c>
      <x:c r="J1101" t="n">
        <x:v>45799</x:v>
      </x:c>
      <x:c r="K1101"/>
      <x:c r="L1101"/>
      <x:c r="M1101" t="n">
        <x:v>-2.99</x:v>
      </x:c>
      <x:c r="N1101" t="str">
        <x:v>2025-05</x:v>
      </x:c>
      <x:c r="O1101" t="str">
        <x:v>Ausgabe</x:v>
      </x:c>
      <x:c r="P1101" t="str">
        <x:v>Ist</x:v>
      </x:c>
      <x:c r="Q1101" s="59" t="b">
        <x:v>0</x:v>
      </x:c>
      <x:c r="R1101" t="str">
        <x:v>kein_transfer</x:v>
      </x:c>
      <x:c r="S1101"/>
      <x:c r="T1101"/>
      <x:c r="U1101"/>
      <x:c r="V1101" s="59" t="b">
        <x:v>1</x:v>
      </x:c>
      <x:c r="W1101"/>
      <x:c r="X1101" t="str">
        <x:v>offen</x:v>
      </x:c>
      <x:c r="Y1101" t="str">
        <x:v>Agent-Draft; Kategorie und Person pruefen</x:v>
      </x:c>
    </x:row>
    <x:row r="1102">
      <x:c r="A1102" t="str">
        <x:v>TXN-RAW-IMP-20260516-FULLDRAFT-001086</x:v>
      </x:c>
      <x:c r="B1102" t="str">
        <x:v>RAW-IMP-20260516-FULLDRAFT-001086</x:v>
      </x:c>
      <x:c r="C1102" t="str">
        <x:v>KTO001</x:v>
      </x:c>
      <x:c r="D1102"/>
      <x:c r="E1102" t="str">
        <x:v>KAT013</x:v>
      </x:c>
      <x:c r="F1102"/>
      <x:c r="G1102"/>
      <x:c r="H1102" t="str">
        <x:v>kein_match</x:v>
      </x:c>
      <x:c r="I1102" t="str">
        <x:v>Agent-Draft: keine finale Regelentscheidung</x:v>
      </x:c>
      <x:c r="J1102" t="n">
        <x:v>45798</x:v>
      </x:c>
      <x:c r="K1102"/>
      <x:c r="L1102"/>
      <x:c r="M1102" t="n">
        <x:v>-73.65</x:v>
      </x:c>
      <x:c r="N1102" t="str">
        <x:v>2025-05</x:v>
      </x:c>
      <x:c r="O1102" t="str">
        <x:v>Ausgabe</x:v>
      </x:c>
      <x:c r="P1102" t="str">
        <x:v>Ist</x:v>
      </x:c>
      <x:c r="Q1102" s="59" t="b">
        <x:v>0</x:v>
      </x:c>
      <x:c r="R1102" t="str">
        <x:v>kein_transfer</x:v>
      </x:c>
      <x:c r="S1102"/>
      <x:c r="T1102"/>
      <x:c r="U1102"/>
      <x:c r="V1102" s="59" t="b">
        <x:v>1</x:v>
      </x:c>
      <x:c r="W1102"/>
      <x:c r="X1102" t="str">
        <x:v>offen</x:v>
      </x:c>
      <x:c r="Y1102" t="str">
        <x:v>Agent-Draft; Kategorie und Person pruefen</x:v>
      </x:c>
    </x:row>
    <x:row r="1103">
      <x:c r="A1103" t="str">
        <x:v>TXN-RAW-IMP-20260516-FULLDRAFT-001087</x:v>
      </x:c>
      <x:c r="B1103" t="str">
        <x:v>RAW-IMP-20260516-FULLDRAFT-001087</x:v>
      </x:c>
      <x:c r="C1103" t="str">
        <x:v>KTO001</x:v>
      </x:c>
      <x:c r="D1103"/>
      <x:c r="E1103" t="str">
        <x:v>KAT013</x:v>
      </x:c>
      <x:c r="F1103"/>
      <x:c r="G1103"/>
      <x:c r="H1103" t="str">
        <x:v>kein_match</x:v>
      </x:c>
      <x:c r="I1103" t="str">
        <x:v>Agent-Draft: keine finale Regelentscheidung</x:v>
      </x:c>
      <x:c r="J1103" t="n">
        <x:v>45798</x:v>
      </x:c>
      <x:c r="K1103"/>
      <x:c r="L1103"/>
      <x:c r="M1103" t="n">
        <x:v>-39.55</x:v>
      </x:c>
      <x:c r="N1103" t="str">
        <x:v>2025-05</x:v>
      </x:c>
      <x:c r="O1103" t="str">
        <x:v>Ausgabe</x:v>
      </x:c>
      <x:c r="P1103" t="str">
        <x:v>Ist</x:v>
      </x:c>
      <x:c r="Q1103" s="59" t="b">
        <x:v>0</x:v>
      </x:c>
      <x:c r="R1103" t="str">
        <x:v>kein_transfer</x:v>
      </x:c>
      <x:c r="S1103"/>
      <x:c r="T1103"/>
      <x:c r="U1103"/>
      <x:c r="V1103" s="59" t="b">
        <x:v>1</x:v>
      </x:c>
      <x:c r="W1103"/>
      <x:c r="X1103" t="str">
        <x:v>offen</x:v>
      </x:c>
      <x:c r="Y1103" t="str">
        <x:v>Agent-Draft; Kategorie und Person pruefen</x:v>
      </x:c>
    </x:row>
    <x:row r="1104">
      <x:c r="A1104" t="str">
        <x:v>TXN-RAW-IMP-20260516-FULLDRAFT-001088</x:v>
      </x:c>
      <x:c r="B1104" t="str">
        <x:v>RAW-IMP-20260516-FULLDRAFT-001088</x:v>
      </x:c>
      <x:c r="C1104" t="str">
        <x:v>KTO001</x:v>
      </x:c>
      <x:c r="D1104"/>
      <x:c r="E1104" t="str">
        <x:v>KAT013</x:v>
      </x:c>
      <x:c r="F1104"/>
      <x:c r="G1104"/>
      <x:c r="H1104" t="str">
        <x:v>kein_match</x:v>
      </x:c>
      <x:c r="I1104" t="str">
        <x:v>Agent-Draft: keine finale Regelentscheidung</x:v>
      </x:c>
      <x:c r="J1104" t="n">
        <x:v>45798</x:v>
      </x:c>
      <x:c r="K1104"/>
      <x:c r="L1104"/>
      <x:c r="M1104" t="n">
        <x:v>-15</x:v>
      </x:c>
      <x:c r="N1104" t="str">
        <x:v>2025-05</x:v>
      </x:c>
      <x:c r="O1104" t="str">
        <x:v>Ausgabe</x:v>
      </x:c>
      <x:c r="P1104" t="str">
        <x:v>Ist</x:v>
      </x:c>
      <x:c r="Q1104" s="59" t="b">
        <x:v>0</x:v>
      </x:c>
      <x:c r="R1104" t="str">
        <x:v>kein_transfer</x:v>
      </x:c>
      <x:c r="S1104"/>
      <x:c r="T1104"/>
      <x:c r="U1104"/>
      <x:c r="V1104" s="59" t="b">
        <x:v>1</x:v>
      </x:c>
      <x:c r="W1104"/>
      <x:c r="X1104" t="str">
        <x:v>offen</x:v>
      </x:c>
      <x:c r="Y1104" t="str">
        <x:v>Agent-Draft; Kategorie und Person pruefen</x:v>
      </x:c>
    </x:row>
    <x:row r="1105">
      <x:c r="A1105" t="str">
        <x:v>TXN-RAW-IMP-20260516-FULLDRAFT-001089</x:v>
      </x:c>
      <x:c r="B1105" t="str">
        <x:v>RAW-IMP-20260516-FULLDRAFT-001089</x:v>
      </x:c>
      <x:c r="C1105" t="str">
        <x:v>KTO001</x:v>
      </x:c>
      <x:c r="D1105"/>
      <x:c r="E1105" t="str">
        <x:v>KAT013</x:v>
      </x:c>
      <x:c r="F1105"/>
      <x:c r="G1105"/>
      <x:c r="H1105" t="str">
        <x:v>kein_match</x:v>
      </x:c>
      <x:c r="I1105" t="str">
        <x:v>Agent-Draft: keine finale Regelentscheidung</x:v>
      </x:c>
      <x:c r="J1105" t="n">
        <x:v>45798</x:v>
      </x:c>
      <x:c r="K1105"/>
      <x:c r="L1105"/>
      <x:c r="M1105" t="n">
        <x:v>1700</x:v>
      </x:c>
      <x:c r="N1105" t="str">
        <x:v>2025-05</x:v>
      </x:c>
      <x:c r="O1105" t="str">
        <x:v>Einnahme</x:v>
      </x:c>
      <x:c r="P1105" t="str">
        <x:v>Ist</x:v>
      </x:c>
      <x:c r="Q1105" s="59" t="b">
        <x:v>0</x:v>
      </x:c>
      <x:c r="R1105" t="str">
        <x:v>unklar</x:v>
      </x:c>
      <x:c r="S1105"/>
      <x:c r="T1105"/>
      <x:c r="U1105"/>
      <x:c r="V1105" s="59" t="b">
        <x:v>1</x:v>
      </x:c>
      <x:c r="W1105" t="str">
        <x:v>Transferkandidat im Draft</x:v>
      </x:c>
      <x:c r="X1105" t="str">
        <x:v>offen</x:v>
      </x:c>
      <x:c r="Y1105" t="str">
        <x:v>Agent-Draft; Kategorie und Person pruefen</x:v>
      </x:c>
    </x:row>
    <x:row r="1106">
      <x:c r="A1106" t="str">
        <x:v>TXN-RAW-IMP-20260516-FULLDRAFT-001090</x:v>
      </x:c>
      <x:c r="B1106" t="str">
        <x:v>RAW-IMP-20260516-FULLDRAFT-001090</x:v>
      </x:c>
      <x:c r="C1106" t="str">
        <x:v>KTO001</x:v>
      </x:c>
      <x:c r="D1106"/>
      <x:c r="E1106" t="str">
        <x:v>KAT013</x:v>
      </x:c>
      <x:c r="F1106"/>
      <x:c r="G1106"/>
      <x:c r="H1106" t="str">
        <x:v>kein_match</x:v>
      </x:c>
      <x:c r="I1106" t="str">
        <x:v>Agent-Draft: keine finale Regelentscheidung</x:v>
      </x:c>
      <x:c r="J1106" t="n">
        <x:v>45797</x:v>
      </x:c>
      <x:c r="K1106"/>
      <x:c r="L1106"/>
      <x:c r="M1106" t="n">
        <x:v>-109.2</x:v>
      </x:c>
      <x:c r="N1106" t="str">
        <x:v>2025-05</x:v>
      </x:c>
      <x:c r="O1106" t="str">
        <x:v>Ausgabe</x:v>
      </x:c>
      <x:c r="P1106" t="str">
        <x:v>Ist</x:v>
      </x:c>
      <x:c r="Q1106" s="59" t="b">
        <x:v>0</x:v>
      </x:c>
      <x:c r="R1106" t="str">
        <x:v>kein_transfer</x:v>
      </x:c>
      <x:c r="S1106"/>
      <x:c r="T1106"/>
      <x:c r="U1106"/>
      <x:c r="V1106" s="59" t="b">
        <x:v>1</x:v>
      </x:c>
      <x:c r="W1106"/>
      <x:c r="X1106" t="str">
        <x:v>offen</x:v>
      </x:c>
      <x:c r="Y1106" t="str">
        <x:v>Agent-Draft; Kategorie und Person pruefen</x:v>
      </x:c>
    </x:row>
    <x:row r="1107">
      <x:c r="A1107" t="str">
        <x:v>TXN-RAW-IMP-20260516-FULLDRAFT-001091</x:v>
      </x:c>
      <x:c r="B1107" t="str">
        <x:v>RAW-IMP-20260516-FULLDRAFT-001091</x:v>
      </x:c>
      <x:c r="C1107" t="str">
        <x:v>KTO001</x:v>
      </x:c>
      <x:c r="D1107"/>
      <x:c r="E1107" t="str">
        <x:v>KAT013</x:v>
      </x:c>
      <x:c r="F1107"/>
      <x:c r="G1107"/>
      <x:c r="H1107" t="str">
        <x:v>kein_match</x:v>
      </x:c>
      <x:c r="I1107" t="str">
        <x:v>Agent-Draft: keine finale Regelentscheidung</x:v>
      </x:c>
      <x:c r="J1107" t="n">
        <x:v>45797</x:v>
      </x:c>
      <x:c r="K1107"/>
      <x:c r="L1107"/>
      <x:c r="M1107" t="n">
        <x:v>-4.99</x:v>
      </x:c>
      <x:c r="N1107" t="str">
        <x:v>2025-05</x:v>
      </x:c>
      <x:c r="O1107" t="str">
        <x:v>Ausgabe</x:v>
      </x:c>
      <x:c r="P1107" t="str">
        <x:v>Ist</x:v>
      </x:c>
      <x:c r="Q1107" s="59" t="b">
        <x:v>0</x:v>
      </x:c>
      <x:c r="R1107" t="str">
        <x:v>kein_transfer</x:v>
      </x:c>
      <x:c r="S1107"/>
      <x:c r="T1107"/>
      <x:c r="U1107"/>
      <x:c r="V1107" s="59" t="b">
        <x:v>1</x:v>
      </x:c>
      <x:c r="W1107"/>
      <x:c r="X1107" t="str">
        <x:v>offen</x:v>
      </x:c>
      <x:c r="Y1107" t="str">
        <x:v>Agent-Draft; Kategorie und Person pruefen</x:v>
      </x:c>
    </x:row>
    <x:row r="1108">
      <x:c r="A1108" t="str">
        <x:v>TXN-RAW-IMP-20260516-FULLDRAFT-001092</x:v>
      </x:c>
      <x:c r="B1108" t="str">
        <x:v>RAW-IMP-20260516-FULLDRAFT-001092</x:v>
      </x:c>
      <x:c r="C1108" t="str">
        <x:v>KTO001</x:v>
      </x:c>
      <x:c r="D1108"/>
      <x:c r="E1108" t="str">
        <x:v>KAT013</x:v>
      </x:c>
      <x:c r="F1108"/>
      <x:c r="G1108"/>
      <x:c r="H1108" t="str">
        <x:v>kein_match</x:v>
      </x:c>
      <x:c r="I1108" t="str">
        <x:v>Agent-Draft: keine finale Regelentscheidung</x:v>
      </x:c>
      <x:c r="J1108" t="n">
        <x:v>45797</x:v>
      </x:c>
      <x:c r="K1108"/>
      <x:c r="L1108"/>
      <x:c r="M1108" t="n">
        <x:v>-2896</x:v>
      </x:c>
      <x:c r="N1108" t="str">
        <x:v>2025-05</x:v>
      </x:c>
      <x:c r="O1108" t="str">
        <x:v>Ausgabe</x:v>
      </x:c>
      <x:c r="P1108" t="str">
        <x:v>Ist</x:v>
      </x:c>
      <x:c r="Q1108" s="59" t="b">
        <x:v>0</x:v>
      </x:c>
      <x:c r="R1108" t="str">
        <x:v>kein_transfer</x:v>
      </x:c>
      <x:c r="S1108"/>
      <x:c r="T1108"/>
      <x:c r="U1108"/>
      <x:c r="V1108" s="59" t="b">
        <x:v>1</x:v>
      </x:c>
      <x:c r="W1108"/>
      <x:c r="X1108" t="str">
        <x:v>offen</x:v>
      </x:c>
      <x:c r="Y1108" t="str">
        <x:v>Agent-Draft; Kategorie und Person pruefen</x:v>
      </x:c>
    </x:row>
    <x:row r="1109">
      <x:c r="A1109" t="str">
        <x:v>TXN-RAW-IMP-20260516-FULLDRAFT-001093</x:v>
      </x:c>
      <x:c r="B1109" t="str">
        <x:v>RAW-IMP-20260516-FULLDRAFT-001093</x:v>
      </x:c>
      <x:c r="C1109" t="str">
        <x:v>KTO001</x:v>
      </x:c>
      <x:c r="D1109"/>
      <x:c r="E1109" t="str">
        <x:v>KAT013</x:v>
      </x:c>
      <x:c r="F1109"/>
      <x:c r="G1109"/>
      <x:c r="H1109" t="str">
        <x:v>kein_match</x:v>
      </x:c>
      <x:c r="I1109" t="str">
        <x:v>Agent-Draft: keine finale Regelentscheidung</x:v>
      </x:c>
      <x:c r="J1109" t="n">
        <x:v>45797</x:v>
      </x:c>
      <x:c r="K1109"/>
      <x:c r="L1109"/>
      <x:c r="M1109" t="n">
        <x:v>-15.95</x:v>
      </x:c>
      <x:c r="N1109" t="str">
        <x:v>2025-05</x:v>
      </x:c>
      <x:c r="O1109" t="str">
        <x:v>Ausgabe</x:v>
      </x:c>
      <x:c r="P1109" t="str">
        <x:v>Ist</x:v>
      </x:c>
      <x:c r="Q1109" s="59" t="b">
        <x:v>0</x:v>
      </x:c>
      <x:c r="R1109" t="str">
        <x:v>kein_transfer</x:v>
      </x:c>
      <x:c r="S1109"/>
      <x:c r="T1109"/>
      <x:c r="U1109"/>
      <x:c r="V1109" s="59" t="b">
        <x:v>1</x:v>
      </x:c>
      <x:c r="W1109"/>
      <x:c r="X1109" t="str">
        <x:v>offen</x:v>
      </x:c>
      <x:c r="Y1109" t="str">
        <x:v>Agent-Draft; Kategorie und Person pruefen</x:v>
      </x:c>
    </x:row>
    <x:row r="1110">
      <x:c r="A1110" t="str">
        <x:v>TXN-RAW-IMP-20260516-FULLDRAFT-001094</x:v>
      </x:c>
      <x:c r="B1110" t="str">
        <x:v>RAW-IMP-20260516-FULLDRAFT-001094</x:v>
      </x:c>
      <x:c r="C1110" t="str">
        <x:v>KTO001</x:v>
      </x:c>
      <x:c r="D1110"/>
      <x:c r="E1110" t="str">
        <x:v>KAT013</x:v>
      </x:c>
      <x:c r="F1110"/>
      <x:c r="G1110"/>
      <x:c r="H1110" t="str">
        <x:v>kein_match</x:v>
      </x:c>
      <x:c r="I1110" t="str">
        <x:v>Agent-Draft: keine finale Regelentscheidung</x:v>
      </x:c>
      <x:c r="J1110" t="n">
        <x:v>45797</x:v>
      </x:c>
      <x:c r="K1110"/>
      <x:c r="L1110"/>
      <x:c r="M1110" t="n">
        <x:v>3000</x:v>
      </x:c>
      <x:c r="N1110" t="str">
        <x:v>2025-05</x:v>
      </x:c>
      <x:c r="O1110" t="str">
        <x:v>Einnahme</x:v>
      </x:c>
      <x:c r="P1110" t="str">
        <x:v>Ist</x:v>
      </x:c>
      <x:c r="Q1110" s="59" t="b">
        <x:v>0</x:v>
      </x:c>
      <x:c r="R1110" t="str">
        <x:v>unklar</x:v>
      </x:c>
      <x:c r="S1110"/>
      <x:c r="T1110"/>
      <x:c r="U1110"/>
      <x:c r="V1110" s="59" t="b">
        <x:v>1</x:v>
      </x:c>
      <x:c r="W1110" t="str">
        <x:v>Transferkandidat im Draft</x:v>
      </x:c>
      <x:c r="X1110" t="str">
        <x:v>offen</x:v>
      </x:c>
      <x:c r="Y1110" t="str">
        <x:v>Agent-Draft; Kategorie und Person pruefen</x:v>
      </x:c>
    </x:row>
    <x:row r="1111">
      <x:c r="A1111" t="str">
        <x:v>TXN-RAW-IMP-20260516-FULLDRAFT-001095</x:v>
      </x:c>
      <x:c r="B1111" t="str">
        <x:v>RAW-IMP-20260516-FULLDRAFT-001095</x:v>
      </x:c>
      <x:c r="C1111" t="str">
        <x:v>KTO001</x:v>
      </x:c>
      <x:c r="D1111"/>
      <x:c r="E1111" t="str">
        <x:v>KAT013</x:v>
      </x:c>
      <x:c r="F1111"/>
      <x:c r="G1111"/>
      <x:c r="H1111" t="str">
        <x:v>kein_match</x:v>
      </x:c>
      <x:c r="I1111" t="str">
        <x:v>Agent-Draft: keine finale Regelentscheidung</x:v>
      </x:c>
      <x:c r="J1111" t="n">
        <x:v>45797</x:v>
      </x:c>
      <x:c r="K1111"/>
      <x:c r="L1111"/>
      <x:c r="M1111" t="n">
        <x:v>-23.94</x:v>
      </x:c>
      <x:c r="N1111" t="str">
        <x:v>2025-05</x:v>
      </x:c>
      <x:c r="O1111" t="str">
        <x:v>Ausgabe</x:v>
      </x:c>
      <x:c r="P1111" t="str">
        <x:v>Ist</x:v>
      </x:c>
      <x:c r="Q1111" s="59" t="b">
        <x:v>0</x:v>
      </x:c>
      <x:c r="R1111" t="str">
        <x:v>kein_transfer</x:v>
      </x:c>
      <x:c r="S1111"/>
      <x:c r="T1111"/>
      <x:c r="U1111"/>
      <x:c r="V1111" s="59" t="b">
        <x:v>1</x:v>
      </x:c>
      <x:c r="W1111"/>
      <x:c r="X1111" t="str">
        <x:v>offen</x:v>
      </x:c>
      <x:c r="Y1111" t="str">
        <x:v>Agent-Draft; Kategorie und Person pruefen</x:v>
      </x:c>
    </x:row>
    <x:row r="1112">
      <x:c r="A1112" t="str">
        <x:v>TXN-RAW-IMP-20260516-FULLDRAFT-001096</x:v>
      </x:c>
      <x:c r="B1112" t="str">
        <x:v>RAW-IMP-20260516-FULLDRAFT-001096</x:v>
      </x:c>
      <x:c r="C1112" t="str">
        <x:v>KTO001</x:v>
      </x:c>
      <x:c r="D1112"/>
      <x:c r="E1112" t="str">
        <x:v>KAT013</x:v>
      </x:c>
      <x:c r="F1112"/>
      <x:c r="G1112"/>
      <x:c r="H1112" t="str">
        <x:v>kein_match</x:v>
      </x:c>
      <x:c r="I1112" t="str">
        <x:v>Agent-Draft: keine finale Regelentscheidung</x:v>
      </x:c>
      <x:c r="J1112" t="n">
        <x:v>45796</x:v>
      </x:c>
      <x:c r="K1112"/>
      <x:c r="L1112"/>
      <x:c r="M1112" t="n">
        <x:v>-36.03</x:v>
      </x:c>
      <x:c r="N1112" t="str">
        <x:v>2025-05</x:v>
      </x:c>
      <x:c r="O1112" t="str">
        <x:v>Ausgabe</x:v>
      </x:c>
      <x:c r="P1112" t="str">
        <x:v>Ist</x:v>
      </x:c>
      <x:c r="Q1112" s="59" t="b">
        <x:v>0</x:v>
      </x:c>
      <x:c r="R1112" t="str">
        <x:v>kein_transfer</x:v>
      </x:c>
      <x:c r="S1112"/>
      <x:c r="T1112"/>
      <x:c r="U1112"/>
      <x:c r="V1112" s="59" t="b">
        <x:v>1</x:v>
      </x:c>
      <x:c r="W1112"/>
      <x:c r="X1112" t="str">
        <x:v>offen</x:v>
      </x:c>
      <x:c r="Y1112" t="str">
        <x:v>Agent-Draft; Kategorie und Person pruefen</x:v>
      </x:c>
    </x:row>
    <x:row r="1113">
      <x:c r="A1113" t="str">
        <x:v>TXN-RAW-IMP-20260516-FULLDRAFT-001097</x:v>
      </x:c>
      <x:c r="B1113" t="str">
        <x:v>RAW-IMP-20260516-FULLDRAFT-001097</x:v>
      </x:c>
      <x:c r="C1113" t="str">
        <x:v>KTO001</x:v>
      </x:c>
      <x:c r="D1113"/>
      <x:c r="E1113" t="str">
        <x:v>KAT013</x:v>
      </x:c>
      <x:c r="F1113"/>
      <x:c r="G1113"/>
      <x:c r="H1113" t="str">
        <x:v>kein_match</x:v>
      </x:c>
      <x:c r="I1113" t="str">
        <x:v>Agent-Draft: keine finale Regelentscheidung</x:v>
      </x:c>
      <x:c r="J1113" t="n">
        <x:v>45796</x:v>
      </x:c>
      <x:c r="K1113"/>
      <x:c r="L1113"/>
      <x:c r="M1113" t="n">
        <x:v>-4.2</x:v>
      </x:c>
      <x:c r="N1113" t="str">
        <x:v>2025-05</x:v>
      </x:c>
      <x:c r="O1113" t="str">
        <x:v>Ausgabe</x:v>
      </x:c>
      <x:c r="P1113" t="str">
        <x:v>Ist</x:v>
      </x:c>
      <x:c r="Q1113" s="59" t="b">
        <x:v>0</x:v>
      </x:c>
      <x:c r="R1113" t="str">
        <x:v>kein_transfer</x:v>
      </x:c>
      <x:c r="S1113"/>
      <x:c r="T1113"/>
      <x:c r="U1113"/>
      <x:c r="V1113" s="59" t="b">
        <x:v>1</x:v>
      </x:c>
      <x:c r="W1113"/>
      <x:c r="X1113" t="str">
        <x:v>offen</x:v>
      </x:c>
      <x:c r="Y1113" t="str">
        <x:v>Agent-Draft; Kategorie und Person pruefen</x:v>
      </x:c>
    </x:row>
    <x:row r="1114">
      <x:c r="A1114" t="str">
        <x:v>TXN-RAW-IMP-20260516-FULLDRAFT-001098</x:v>
      </x:c>
      <x:c r="B1114" t="str">
        <x:v>RAW-IMP-20260516-FULLDRAFT-001098</x:v>
      </x:c>
      <x:c r="C1114" t="str">
        <x:v>KTO001</x:v>
      </x:c>
      <x:c r="D1114"/>
      <x:c r="E1114" t="str">
        <x:v>KAT013</x:v>
      </x:c>
      <x:c r="F1114"/>
      <x:c r="G1114"/>
      <x:c r="H1114" t="str">
        <x:v>kein_match</x:v>
      </x:c>
      <x:c r="I1114" t="str">
        <x:v>Agent-Draft: keine finale Regelentscheidung</x:v>
      </x:c>
      <x:c r="J1114" t="n">
        <x:v>45796</x:v>
      </x:c>
      <x:c r="K1114"/>
      <x:c r="L1114"/>
      <x:c r="M1114" t="n">
        <x:v>-32.96</x:v>
      </x:c>
      <x:c r="N1114" t="str">
        <x:v>2025-05</x:v>
      </x:c>
      <x:c r="O1114" t="str">
        <x:v>Ausgabe</x:v>
      </x:c>
      <x:c r="P1114" t="str">
        <x:v>Ist</x:v>
      </x:c>
      <x:c r="Q1114" s="59" t="b">
        <x:v>0</x:v>
      </x:c>
      <x:c r="R1114" t="str">
        <x:v>kein_transfer</x:v>
      </x:c>
      <x:c r="S1114"/>
      <x:c r="T1114"/>
      <x:c r="U1114"/>
      <x:c r="V1114" s="59" t="b">
        <x:v>1</x:v>
      </x:c>
      <x:c r="W1114"/>
      <x:c r="X1114" t="str">
        <x:v>offen</x:v>
      </x:c>
      <x:c r="Y1114" t="str">
        <x:v>Agent-Draft; Kategorie und Person pruefen</x:v>
      </x:c>
    </x:row>
    <x:row r="1115">
      <x:c r="A1115" t="str">
        <x:v>TXN-RAW-IMP-20260516-FULLDRAFT-001099</x:v>
      </x:c>
      <x:c r="B1115" t="str">
        <x:v>RAW-IMP-20260516-FULLDRAFT-001099</x:v>
      </x:c>
      <x:c r="C1115" t="str">
        <x:v>KTO001</x:v>
      </x:c>
      <x:c r="D1115"/>
      <x:c r="E1115" t="str">
        <x:v>KAT013</x:v>
      </x:c>
      <x:c r="F1115"/>
      <x:c r="G1115"/>
      <x:c r="H1115" t="str">
        <x:v>kein_match</x:v>
      </x:c>
      <x:c r="I1115" t="str">
        <x:v>Agent-Draft: keine finale Regelentscheidung</x:v>
      </x:c>
      <x:c r="J1115" t="n">
        <x:v>45796</x:v>
      </x:c>
      <x:c r="K1115"/>
      <x:c r="L1115"/>
      <x:c r="M1115" t="n">
        <x:v>-17.05</x:v>
      </x:c>
      <x:c r="N1115" t="str">
        <x:v>2025-05</x:v>
      </x:c>
      <x:c r="O1115" t="str">
        <x:v>Ausgabe</x:v>
      </x:c>
      <x:c r="P1115" t="str">
        <x:v>Ist</x:v>
      </x:c>
      <x:c r="Q1115" s="59" t="b">
        <x:v>0</x:v>
      </x:c>
      <x:c r="R1115" t="str">
        <x:v>kein_transfer</x:v>
      </x:c>
      <x:c r="S1115"/>
      <x:c r="T1115"/>
      <x:c r="U1115"/>
      <x:c r="V1115" s="59" t="b">
        <x:v>1</x:v>
      </x:c>
      <x:c r="W1115"/>
      <x:c r="X1115" t="str">
        <x:v>offen</x:v>
      </x:c>
      <x:c r="Y1115" t="str">
        <x:v>Agent-Draft; Kategorie und Person pruefen</x:v>
      </x:c>
    </x:row>
    <x:row r="1116">
      <x:c r="A1116" t="str">
        <x:v>TXN-RAW-IMP-20260516-FULLDRAFT-001100</x:v>
      </x:c>
      <x:c r="B1116" t="str">
        <x:v>RAW-IMP-20260516-FULLDRAFT-001100</x:v>
      </x:c>
      <x:c r="C1116" t="str">
        <x:v>KTO001</x:v>
      </x:c>
      <x:c r="D1116"/>
      <x:c r="E1116" t="str">
        <x:v>KAT013</x:v>
      </x:c>
      <x:c r="F1116"/>
      <x:c r="G1116"/>
      <x:c r="H1116" t="str">
        <x:v>kein_match</x:v>
      </x:c>
      <x:c r="I1116" t="str">
        <x:v>Agent-Draft: keine finale Regelentscheidung</x:v>
      </x:c>
      <x:c r="J1116" t="n">
        <x:v>45793</x:v>
      </x:c>
      <x:c r="K1116"/>
      <x:c r="L1116"/>
      <x:c r="M1116" t="n">
        <x:v>-8.5</x:v>
      </x:c>
      <x:c r="N1116" t="str">
        <x:v>2025-05</x:v>
      </x:c>
      <x:c r="O1116" t="str">
        <x:v>Ausgabe</x:v>
      </x:c>
      <x:c r="P1116" t="str">
        <x:v>Ist</x:v>
      </x:c>
      <x:c r="Q1116" s="59" t="b">
        <x:v>0</x:v>
      </x:c>
      <x:c r="R1116" t="str">
        <x:v>kein_transfer</x:v>
      </x:c>
      <x:c r="S1116"/>
      <x:c r="T1116"/>
      <x:c r="U1116"/>
      <x:c r="V1116" s="59" t="b">
        <x:v>1</x:v>
      </x:c>
      <x:c r="W1116"/>
      <x:c r="X1116" t="str">
        <x:v>offen</x:v>
      </x:c>
      <x:c r="Y1116" t="str">
        <x:v>Agent-Draft; Kategorie und Person pruefen</x:v>
      </x:c>
    </x:row>
    <x:row r="1117">
      <x:c r="A1117" t="str">
        <x:v>TXN-RAW-IMP-20260516-FULLDRAFT-001101</x:v>
      </x:c>
      <x:c r="B1117" t="str">
        <x:v>RAW-IMP-20260516-FULLDRAFT-001101</x:v>
      </x:c>
      <x:c r="C1117" t="str">
        <x:v>KTO001</x:v>
      </x:c>
      <x:c r="D1117"/>
      <x:c r="E1117" t="str">
        <x:v>KAT013</x:v>
      </x:c>
      <x:c r="F1117"/>
      <x:c r="G1117"/>
      <x:c r="H1117" t="str">
        <x:v>kein_match</x:v>
      </x:c>
      <x:c r="I1117" t="str">
        <x:v>Agent-Draft: keine finale Regelentscheidung</x:v>
      </x:c>
      <x:c r="J1117" t="n">
        <x:v>45792</x:v>
      </x:c>
      <x:c r="K1117"/>
      <x:c r="L1117"/>
      <x:c r="M1117" t="n">
        <x:v>-6.99</x:v>
      </x:c>
      <x:c r="N1117" t="str">
        <x:v>2025-05</x:v>
      </x:c>
      <x:c r="O1117" t="str">
        <x:v>Ausgabe</x:v>
      </x:c>
      <x:c r="P1117" t="str">
        <x:v>Ist</x:v>
      </x:c>
      <x:c r="Q1117" s="59" t="b">
        <x:v>0</x:v>
      </x:c>
      <x:c r="R1117" t="str">
        <x:v>kein_transfer</x:v>
      </x:c>
      <x:c r="S1117"/>
      <x:c r="T1117"/>
      <x:c r="U1117"/>
      <x:c r="V1117" s="59" t="b">
        <x:v>1</x:v>
      </x:c>
      <x:c r="W1117"/>
      <x:c r="X1117" t="str">
        <x:v>offen</x:v>
      </x:c>
      <x:c r="Y1117" t="str">
        <x:v>Agent-Draft; Kategorie und Person pruefen</x:v>
      </x:c>
    </x:row>
    <x:row r="1118">
      <x:c r="A1118" t="str">
        <x:v>TXN-RAW-IMP-20260516-FULLDRAFT-001102</x:v>
      </x:c>
      <x:c r="B1118" t="str">
        <x:v>RAW-IMP-20260516-FULLDRAFT-001102</x:v>
      </x:c>
      <x:c r="C1118" t="str">
        <x:v>KTO001</x:v>
      </x:c>
      <x:c r="D1118"/>
      <x:c r="E1118" t="str">
        <x:v>KAT013</x:v>
      </x:c>
      <x:c r="F1118"/>
      <x:c r="G1118"/>
      <x:c r="H1118" t="str">
        <x:v>kein_match</x:v>
      </x:c>
      <x:c r="I1118" t="str">
        <x:v>Agent-Draft: keine finale Regelentscheidung</x:v>
      </x:c>
      <x:c r="J1118" t="n">
        <x:v>45792</x:v>
      </x:c>
      <x:c r="K1118"/>
      <x:c r="L1118"/>
      <x:c r="M1118" t="n">
        <x:v>-6.99</x:v>
      </x:c>
      <x:c r="N1118" t="str">
        <x:v>2025-05</x:v>
      </x:c>
      <x:c r="O1118" t="str">
        <x:v>Ausgabe</x:v>
      </x:c>
      <x:c r="P1118" t="str">
        <x:v>Ist</x:v>
      </x:c>
      <x:c r="Q1118" s="59" t="b">
        <x:v>0</x:v>
      </x:c>
      <x:c r="R1118" t="str">
        <x:v>kein_transfer</x:v>
      </x:c>
      <x:c r="S1118"/>
      <x:c r="T1118"/>
      <x:c r="U1118"/>
      <x:c r="V1118" s="59" t="b">
        <x:v>1</x:v>
      </x:c>
      <x:c r="W1118"/>
      <x:c r="X1118" t="str">
        <x:v>offen</x:v>
      </x:c>
      <x:c r="Y1118" t="str">
        <x:v>Agent-Draft; Kategorie und Person pruefen</x:v>
      </x:c>
    </x:row>
    <x:row r="1119">
      <x:c r="A1119" t="str">
        <x:v>TXN-RAW-IMP-20260516-FULLDRAFT-001103</x:v>
      </x:c>
      <x:c r="B1119" t="str">
        <x:v>RAW-IMP-20260516-FULLDRAFT-001103</x:v>
      </x:c>
      <x:c r="C1119" t="str">
        <x:v>KTO001</x:v>
      </x:c>
      <x:c r="D1119"/>
      <x:c r="E1119" t="str">
        <x:v>KAT013</x:v>
      </x:c>
      <x:c r="F1119"/>
      <x:c r="G1119"/>
      <x:c r="H1119" t="str">
        <x:v>kein_match</x:v>
      </x:c>
      <x:c r="I1119" t="str">
        <x:v>Agent-Draft: keine finale Regelentscheidung</x:v>
      </x:c>
      <x:c r="J1119" t="n">
        <x:v>45792</x:v>
      </x:c>
      <x:c r="K1119"/>
      <x:c r="L1119"/>
      <x:c r="M1119" t="n">
        <x:v>-6.99</x:v>
      </x:c>
      <x:c r="N1119" t="str">
        <x:v>2025-05</x:v>
      </x:c>
      <x:c r="O1119" t="str">
        <x:v>Ausgabe</x:v>
      </x:c>
      <x:c r="P1119" t="str">
        <x:v>Ist</x:v>
      </x:c>
      <x:c r="Q1119" s="59" t="b">
        <x:v>0</x:v>
      </x:c>
      <x:c r="R1119" t="str">
        <x:v>kein_transfer</x:v>
      </x:c>
      <x:c r="S1119"/>
      <x:c r="T1119"/>
      <x:c r="U1119"/>
      <x:c r="V1119" s="59" t="b">
        <x:v>1</x:v>
      </x:c>
      <x:c r="W1119"/>
      <x:c r="X1119" t="str">
        <x:v>offen</x:v>
      </x:c>
      <x:c r="Y1119" t="str">
        <x:v>Agent-Draft; Kategorie und Person pruefen</x:v>
      </x:c>
    </x:row>
    <x:row r="1120">
      <x:c r="A1120" t="str">
        <x:v>TXN-RAW-IMP-20260516-FULLDRAFT-001104</x:v>
      </x:c>
      <x:c r="B1120" t="str">
        <x:v>RAW-IMP-20260516-FULLDRAFT-001104</x:v>
      </x:c>
      <x:c r="C1120" t="str">
        <x:v>KTO001</x:v>
      </x:c>
      <x:c r="D1120"/>
      <x:c r="E1120" t="str">
        <x:v>KAT013</x:v>
      </x:c>
      <x:c r="F1120"/>
      <x:c r="G1120"/>
      <x:c r="H1120" t="str">
        <x:v>kein_match</x:v>
      </x:c>
      <x:c r="I1120" t="str">
        <x:v>Agent-Draft: keine finale Regelentscheidung</x:v>
      </x:c>
      <x:c r="J1120" t="n">
        <x:v>45790</x:v>
      </x:c>
      <x:c r="K1120"/>
      <x:c r="L1120"/>
      <x:c r="M1120" t="n">
        <x:v>-1.69</x:v>
      </x:c>
      <x:c r="N1120" t="str">
        <x:v>2025-05</x:v>
      </x:c>
      <x:c r="O1120" t="str">
        <x:v>Ausgabe</x:v>
      </x:c>
      <x:c r="P1120" t="str">
        <x:v>Ist</x:v>
      </x:c>
      <x:c r="Q1120" s="59" t="b">
        <x:v>0</x:v>
      </x:c>
      <x:c r="R1120" t="str">
        <x:v>kein_transfer</x:v>
      </x:c>
      <x:c r="S1120"/>
      <x:c r="T1120"/>
      <x:c r="U1120"/>
      <x:c r="V1120" s="59" t="b">
        <x:v>1</x:v>
      </x:c>
      <x:c r="W1120"/>
      <x:c r="X1120" t="str">
        <x:v>offen</x:v>
      </x:c>
      <x:c r="Y1120" t="str">
        <x:v>Agent-Draft; Kategorie und Person pruefen</x:v>
      </x:c>
    </x:row>
    <x:row r="1121">
      <x:c r="A1121" t="str">
        <x:v>TXN-RAW-IMP-20260516-FULLDRAFT-001105</x:v>
      </x:c>
      <x:c r="B1121" t="str">
        <x:v>RAW-IMP-20260516-FULLDRAFT-001105</x:v>
      </x:c>
      <x:c r="C1121" t="str">
        <x:v>KTO001</x:v>
      </x:c>
      <x:c r="D1121"/>
      <x:c r="E1121" t="str">
        <x:v>KAT013</x:v>
      </x:c>
      <x:c r="F1121"/>
      <x:c r="G1121"/>
      <x:c r="H1121" t="str">
        <x:v>kein_match</x:v>
      </x:c>
      <x:c r="I1121" t="str">
        <x:v>Agent-Draft: keine finale Regelentscheidung</x:v>
      </x:c>
      <x:c r="J1121" t="n">
        <x:v>45790</x:v>
      </x:c>
      <x:c r="K1121"/>
      <x:c r="L1121"/>
      <x:c r="M1121" t="n">
        <x:v>-18.14</x:v>
      </x:c>
      <x:c r="N1121" t="str">
        <x:v>2025-05</x:v>
      </x:c>
      <x:c r="O1121" t="str">
        <x:v>Ausgabe</x:v>
      </x:c>
      <x:c r="P1121" t="str">
        <x:v>Ist</x:v>
      </x:c>
      <x:c r="Q1121" s="59" t="b">
        <x:v>0</x:v>
      </x:c>
      <x:c r="R1121" t="str">
        <x:v>kein_transfer</x:v>
      </x:c>
      <x:c r="S1121"/>
      <x:c r="T1121"/>
      <x:c r="U1121"/>
      <x:c r="V1121" s="59" t="b">
        <x:v>1</x:v>
      </x:c>
      <x:c r="W1121"/>
      <x:c r="X1121" t="str">
        <x:v>offen</x:v>
      </x:c>
      <x:c r="Y1121" t="str">
        <x:v>Agent-Draft; Kategorie und Person pruefen</x:v>
      </x:c>
    </x:row>
    <x:row r="1122">
      <x:c r="A1122" t="str">
        <x:v>TXN-RAW-IMP-20260516-FULLDRAFT-001106</x:v>
      </x:c>
      <x:c r="B1122" t="str">
        <x:v>RAW-IMP-20260516-FULLDRAFT-001106</x:v>
      </x:c>
      <x:c r="C1122" t="str">
        <x:v>KTO001</x:v>
      </x:c>
      <x:c r="D1122"/>
      <x:c r="E1122" t="str">
        <x:v>KAT013</x:v>
      </x:c>
      <x:c r="F1122"/>
      <x:c r="G1122"/>
      <x:c r="H1122" t="str">
        <x:v>kein_match</x:v>
      </x:c>
      <x:c r="I1122" t="str">
        <x:v>Agent-Draft: keine finale Regelentscheidung</x:v>
      </x:c>
      <x:c r="J1122" t="n">
        <x:v>45789</x:v>
      </x:c>
      <x:c r="K1122"/>
      <x:c r="L1122"/>
      <x:c r="M1122" t="n">
        <x:v>-4</x:v>
      </x:c>
      <x:c r="N1122" t="str">
        <x:v>2025-05</x:v>
      </x:c>
      <x:c r="O1122" t="str">
        <x:v>Ausgabe</x:v>
      </x:c>
      <x:c r="P1122" t="str">
        <x:v>Ist</x:v>
      </x:c>
      <x:c r="Q1122" s="59" t="b">
        <x:v>0</x:v>
      </x:c>
      <x:c r="R1122" t="str">
        <x:v>kein_transfer</x:v>
      </x:c>
      <x:c r="S1122"/>
      <x:c r="T1122"/>
      <x:c r="U1122"/>
      <x:c r="V1122" s="59" t="b">
        <x:v>1</x:v>
      </x:c>
      <x:c r="W1122"/>
      <x:c r="X1122" t="str">
        <x:v>offen</x:v>
      </x:c>
      <x:c r="Y1122" t="str">
        <x:v>Agent-Draft; Kategorie und Person pruefen</x:v>
      </x:c>
    </x:row>
    <x:row r="1123">
      <x:c r="A1123" t="str">
        <x:v>TXN-RAW-IMP-20260516-FULLDRAFT-001107</x:v>
      </x:c>
      <x:c r="B1123" t="str">
        <x:v>RAW-IMP-20260516-FULLDRAFT-001107</x:v>
      </x:c>
      <x:c r="C1123" t="str">
        <x:v>KTO001</x:v>
      </x:c>
      <x:c r="D1123"/>
      <x:c r="E1123" t="str">
        <x:v>KAT013</x:v>
      </x:c>
      <x:c r="F1123"/>
      <x:c r="G1123"/>
      <x:c r="H1123" t="str">
        <x:v>kein_match</x:v>
      </x:c>
      <x:c r="I1123" t="str">
        <x:v>Agent-Draft: keine finale Regelentscheidung</x:v>
      </x:c>
      <x:c r="J1123" t="n">
        <x:v>45789</x:v>
      </x:c>
      <x:c r="K1123"/>
      <x:c r="L1123"/>
      <x:c r="M1123" t="n">
        <x:v>-46.48</x:v>
      </x:c>
      <x:c r="N1123" t="str">
        <x:v>2025-05</x:v>
      </x:c>
      <x:c r="O1123" t="str">
        <x:v>Ausgabe</x:v>
      </x:c>
      <x:c r="P1123" t="str">
        <x:v>Ist</x:v>
      </x:c>
      <x:c r="Q1123" s="59" t="b">
        <x:v>0</x:v>
      </x:c>
      <x:c r="R1123" t="str">
        <x:v>kein_transfer</x:v>
      </x:c>
      <x:c r="S1123"/>
      <x:c r="T1123"/>
      <x:c r="U1123"/>
      <x:c r="V1123" s="59" t="b">
        <x:v>1</x:v>
      </x:c>
      <x:c r="W1123"/>
      <x:c r="X1123" t="str">
        <x:v>offen</x:v>
      </x:c>
      <x:c r="Y1123" t="str">
        <x:v>Agent-Draft; Kategorie und Person pruefen</x:v>
      </x:c>
    </x:row>
    <x:row r="1124">
      <x:c r="A1124" t="str">
        <x:v>TXN-RAW-IMP-20260516-FULLDRAFT-001108</x:v>
      </x:c>
      <x:c r="B1124" t="str">
        <x:v>RAW-IMP-20260516-FULLDRAFT-001108</x:v>
      </x:c>
      <x:c r="C1124" t="str">
        <x:v>KTO001</x:v>
      </x:c>
      <x:c r="D1124"/>
      <x:c r="E1124" t="str">
        <x:v>KAT013</x:v>
      </x:c>
      <x:c r="F1124"/>
      <x:c r="G1124"/>
      <x:c r="H1124" t="str">
        <x:v>kein_match</x:v>
      </x:c>
      <x:c r="I1124" t="str">
        <x:v>Agent-Draft: keine finale Regelentscheidung</x:v>
      </x:c>
      <x:c r="J1124" t="n">
        <x:v>45786</x:v>
      </x:c>
      <x:c r="K1124"/>
      <x:c r="L1124"/>
      <x:c r="M1124" t="n">
        <x:v>-54.85</x:v>
      </x:c>
      <x:c r="N1124" t="str">
        <x:v>2025-05</x:v>
      </x:c>
      <x:c r="O1124" t="str">
        <x:v>Ausgabe</x:v>
      </x:c>
      <x:c r="P1124" t="str">
        <x:v>Ist</x:v>
      </x:c>
      <x:c r="Q1124" s="59" t="b">
        <x:v>0</x:v>
      </x:c>
      <x:c r="R1124" t="str">
        <x:v>kein_transfer</x:v>
      </x:c>
      <x:c r="S1124"/>
      <x:c r="T1124"/>
      <x:c r="U1124"/>
      <x:c r="V1124" s="59" t="b">
        <x:v>1</x:v>
      </x:c>
      <x:c r="W1124"/>
      <x:c r="X1124" t="str">
        <x:v>offen</x:v>
      </x:c>
      <x:c r="Y1124" t="str">
        <x:v>Agent-Draft; Kategorie und Person pruefen</x:v>
      </x:c>
    </x:row>
    <x:row r="1125">
      <x:c r="A1125" t="str">
        <x:v>TXN-RAW-IMP-20260516-FULLDRAFT-001109</x:v>
      </x:c>
      <x:c r="B1125" t="str">
        <x:v>RAW-IMP-20260516-FULLDRAFT-001109</x:v>
      </x:c>
      <x:c r="C1125" t="str">
        <x:v>KTO001</x:v>
      </x:c>
      <x:c r="D1125"/>
      <x:c r="E1125" t="str">
        <x:v>KAT013</x:v>
      </x:c>
      <x:c r="F1125"/>
      <x:c r="G1125"/>
      <x:c r="H1125" t="str">
        <x:v>kein_match</x:v>
      </x:c>
      <x:c r="I1125" t="str">
        <x:v>Agent-Draft: keine finale Regelentscheidung</x:v>
      </x:c>
      <x:c r="J1125" t="n">
        <x:v>45786</x:v>
      </x:c>
      <x:c r="K1125"/>
      <x:c r="L1125"/>
      <x:c r="M1125" t="n">
        <x:v>-150.14</x:v>
      </x:c>
      <x:c r="N1125" t="str">
        <x:v>2025-05</x:v>
      </x:c>
      <x:c r="O1125" t="str">
        <x:v>Ausgabe</x:v>
      </x:c>
      <x:c r="P1125" t="str">
        <x:v>Ist</x:v>
      </x:c>
      <x:c r="Q1125" s="59" t="b">
        <x:v>0</x:v>
      </x:c>
      <x:c r="R1125" t="str">
        <x:v>kein_transfer</x:v>
      </x:c>
      <x:c r="S1125"/>
      <x:c r="T1125"/>
      <x:c r="U1125"/>
      <x:c r="V1125" s="59" t="b">
        <x:v>1</x:v>
      </x:c>
      <x:c r="W1125"/>
      <x:c r="X1125" t="str">
        <x:v>offen</x:v>
      </x:c>
      <x:c r="Y1125" t="str">
        <x:v>Agent-Draft; Kategorie und Person pruefen</x:v>
      </x:c>
    </x:row>
    <x:row r="1126">
      <x:c r="A1126" t="str">
        <x:v>TXN-RAW-IMP-20260516-FULLDRAFT-001110</x:v>
      </x:c>
      <x:c r="B1126" t="str">
        <x:v>RAW-IMP-20260516-FULLDRAFT-001110</x:v>
      </x:c>
      <x:c r="C1126" t="str">
        <x:v>KTO001</x:v>
      </x:c>
      <x:c r="D1126"/>
      <x:c r="E1126" t="str">
        <x:v>KAT013</x:v>
      </x:c>
      <x:c r="F1126"/>
      <x:c r="G1126"/>
      <x:c r="H1126" t="str">
        <x:v>kein_match</x:v>
      </x:c>
      <x:c r="I1126" t="str">
        <x:v>Agent-Draft: keine finale Regelentscheidung</x:v>
      </x:c>
      <x:c r="J1126" t="n">
        <x:v>45786</x:v>
      </x:c>
      <x:c r="K1126"/>
      <x:c r="L1126"/>
      <x:c r="M1126" t="n">
        <x:v>-30.11</x:v>
      </x:c>
      <x:c r="N1126" t="str">
        <x:v>2025-05</x:v>
      </x:c>
      <x:c r="O1126" t="str">
        <x:v>Ausgabe</x:v>
      </x:c>
      <x:c r="P1126" t="str">
        <x:v>Ist</x:v>
      </x:c>
      <x:c r="Q1126" s="59" t="b">
        <x:v>0</x:v>
      </x:c>
      <x:c r="R1126" t="str">
        <x:v>kein_transfer</x:v>
      </x:c>
      <x:c r="S1126"/>
      <x:c r="T1126"/>
      <x:c r="U1126"/>
      <x:c r="V1126" s="59" t="b">
        <x:v>1</x:v>
      </x:c>
      <x:c r="W1126"/>
      <x:c r="X1126" t="str">
        <x:v>offen</x:v>
      </x:c>
      <x:c r="Y1126" t="str">
        <x:v>Agent-Draft; Kategorie und Person pruefen</x:v>
      </x:c>
    </x:row>
    <x:row r="1127">
      <x:c r="A1127" t="str">
        <x:v>TXN-RAW-IMP-20260516-FULLDRAFT-001111</x:v>
      </x:c>
      <x:c r="B1127" t="str">
        <x:v>RAW-IMP-20260516-FULLDRAFT-001111</x:v>
      </x:c>
      <x:c r="C1127" t="str">
        <x:v>KTO001</x:v>
      </x:c>
      <x:c r="D1127"/>
      <x:c r="E1127" t="str">
        <x:v>KAT013</x:v>
      </x:c>
      <x:c r="F1127"/>
      <x:c r="G1127"/>
      <x:c r="H1127" t="str">
        <x:v>kein_match</x:v>
      </x:c>
      <x:c r="I1127" t="str">
        <x:v>Agent-Draft: keine finale Regelentscheidung</x:v>
      </x:c>
      <x:c r="J1127" t="n">
        <x:v>45785</x:v>
      </x:c>
      <x:c r="K1127"/>
      <x:c r="L1127"/>
      <x:c r="M1127" t="n">
        <x:v>-5.58</x:v>
      </x:c>
      <x:c r="N1127" t="str">
        <x:v>2025-05</x:v>
      </x:c>
      <x:c r="O1127" t="str">
        <x:v>Ausgabe</x:v>
      </x:c>
      <x:c r="P1127" t="str">
        <x:v>Ist</x:v>
      </x:c>
      <x:c r="Q1127" s="59" t="b">
        <x:v>0</x:v>
      </x:c>
      <x:c r="R1127" t="str">
        <x:v>kein_transfer</x:v>
      </x:c>
      <x:c r="S1127"/>
      <x:c r="T1127"/>
      <x:c r="U1127"/>
      <x:c r="V1127" s="59" t="b">
        <x:v>1</x:v>
      </x:c>
      <x:c r="W1127"/>
      <x:c r="X1127" t="str">
        <x:v>offen</x:v>
      </x:c>
      <x:c r="Y1127" t="str">
        <x:v>Agent-Draft; Kategorie und Person pruefen</x:v>
      </x:c>
    </x:row>
    <x:row r="1128">
      <x:c r="A1128" t="str">
        <x:v>TXN-RAW-IMP-20260516-FULLDRAFT-001112</x:v>
      </x:c>
      <x:c r="B1128" t="str">
        <x:v>RAW-IMP-20260516-FULLDRAFT-001112</x:v>
      </x:c>
      <x:c r="C1128" t="str">
        <x:v>KTO001</x:v>
      </x:c>
      <x:c r="D1128"/>
      <x:c r="E1128" t="str">
        <x:v>KAT013</x:v>
      </x:c>
      <x:c r="F1128"/>
      <x:c r="G1128"/>
      <x:c r="H1128" t="str">
        <x:v>kein_match</x:v>
      </x:c>
      <x:c r="I1128" t="str">
        <x:v>Agent-Draft: keine finale Regelentscheidung</x:v>
      </x:c>
      <x:c r="J1128" t="n">
        <x:v>45784</x:v>
      </x:c>
      <x:c r="K1128"/>
      <x:c r="L1128"/>
      <x:c r="M1128" t="n">
        <x:v>-10.35</x:v>
      </x:c>
      <x:c r="N1128" t="str">
        <x:v>2025-05</x:v>
      </x:c>
      <x:c r="O1128" t="str">
        <x:v>Ausgabe</x:v>
      </x:c>
      <x:c r="P1128" t="str">
        <x:v>Ist</x:v>
      </x:c>
      <x:c r="Q1128" s="59" t="b">
        <x:v>0</x:v>
      </x:c>
      <x:c r="R1128" t="str">
        <x:v>kein_transfer</x:v>
      </x:c>
      <x:c r="S1128"/>
      <x:c r="T1128"/>
      <x:c r="U1128"/>
      <x:c r="V1128" s="59" t="b">
        <x:v>1</x:v>
      </x:c>
      <x:c r="W1128"/>
      <x:c r="X1128" t="str">
        <x:v>offen</x:v>
      </x:c>
      <x:c r="Y1128" t="str">
        <x:v>Agent-Draft; Kategorie und Person pruefen</x:v>
      </x:c>
    </x:row>
    <x:row r="1129">
      <x:c r="A1129" t="str">
        <x:v>TXN-RAW-IMP-20260516-FULLDRAFT-001113</x:v>
      </x:c>
      <x:c r="B1129" t="str">
        <x:v>RAW-IMP-20260516-FULLDRAFT-001113</x:v>
      </x:c>
      <x:c r="C1129" t="str">
        <x:v>KTO001</x:v>
      </x:c>
      <x:c r="D1129"/>
      <x:c r="E1129" t="str">
        <x:v>KAT013</x:v>
      </x:c>
      <x:c r="F1129"/>
      <x:c r="G1129"/>
      <x:c r="H1129" t="str">
        <x:v>kein_match</x:v>
      </x:c>
      <x:c r="I1129" t="str">
        <x:v>Agent-Draft: keine finale Regelentscheidung</x:v>
      </x:c>
      <x:c r="J1129" t="n">
        <x:v>45784</x:v>
      </x:c>
      <x:c r="K1129"/>
      <x:c r="L1129"/>
      <x:c r="M1129" t="n">
        <x:v>-14.43</x:v>
      </x:c>
      <x:c r="N1129" t="str">
        <x:v>2025-05</x:v>
      </x:c>
      <x:c r="O1129" t="str">
        <x:v>Ausgabe</x:v>
      </x:c>
      <x:c r="P1129" t="str">
        <x:v>Ist</x:v>
      </x:c>
      <x:c r="Q1129" s="59" t="b">
        <x:v>0</x:v>
      </x:c>
      <x:c r="R1129" t="str">
        <x:v>kein_transfer</x:v>
      </x:c>
      <x:c r="S1129"/>
      <x:c r="T1129"/>
      <x:c r="U1129"/>
      <x:c r="V1129" s="59" t="b">
        <x:v>1</x:v>
      </x:c>
      <x:c r="W1129"/>
      <x:c r="X1129" t="str">
        <x:v>offen</x:v>
      </x:c>
      <x:c r="Y1129" t="str">
        <x:v>Agent-Draft; Kategorie und Person pruefen</x:v>
      </x:c>
    </x:row>
    <x:row r="1130">
      <x:c r="A1130" t="str">
        <x:v>TXN-RAW-IMP-20260516-FULLDRAFT-001114</x:v>
      </x:c>
      <x:c r="B1130" t="str">
        <x:v>RAW-IMP-20260516-FULLDRAFT-001114</x:v>
      </x:c>
      <x:c r="C1130" t="str">
        <x:v>KTO001</x:v>
      </x:c>
      <x:c r="D1130"/>
      <x:c r="E1130" t="str">
        <x:v>KAT013</x:v>
      </x:c>
      <x:c r="F1130"/>
      <x:c r="G1130"/>
      <x:c r="H1130" t="str">
        <x:v>kein_match</x:v>
      </x:c>
      <x:c r="I1130" t="str">
        <x:v>Agent-Draft: keine finale Regelentscheidung</x:v>
      </x:c>
      <x:c r="J1130" t="n">
        <x:v>45784</x:v>
      </x:c>
      <x:c r="K1130"/>
      <x:c r="L1130"/>
      <x:c r="M1130" t="n">
        <x:v>-18.14</x:v>
      </x:c>
      <x:c r="N1130" t="str">
        <x:v>2025-05</x:v>
      </x:c>
      <x:c r="O1130" t="str">
        <x:v>Ausgabe</x:v>
      </x:c>
      <x:c r="P1130" t="str">
        <x:v>Ist</x:v>
      </x:c>
      <x:c r="Q1130" s="59" t="b">
        <x:v>0</x:v>
      </x:c>
      <x:c r="R1130" t="str">
        <x:v>kein_transfer</x:v>
      </x:c>
      <x:c r="S1130"/>
      <x:c r="T1130"/>
      <x:c r="U1130"/>
      <x:c r="V1130" s="59" t="b">
        <x:v>1</x:v>
      </x:c>
      <x:c r="W1130"/>
      <x:c r="X1130" t="str">
        <x:v>offen</x:v>
      </x:c>
      <x:c r="Y1130" t="str">
        <x:v>Agent-Draft; Kategorie und Person pruefen</x:v>
      </x:c>
    </x:row>
    <x:row r="1131">
      <x:c r="A1131" t="str">
        <x:v>TXN-RAW-IMP-20260516-FULLDRAFT-001115</x:v>
      </x:c>
      <x:c r="B1131" t="str">
        <x:v>RAW-IMP-20260516-FULLDRAFT-001115</x:v>
      </x:c>
      <x:c r="C1131" t="str">
        <x:v>KTO001</x:v>
      </x:c>
      <x:c r="D1131"/>
      <x:c r="E1131" t="str">
        <x:v>KAT013</x:v>
      </x:c>
      <x:c r="F1131"/>
      <x:c r="G1131"/>
      <x:c r="H1131" t="str">
        <x:v>kein_match</x:v>
      </x:c>
      <x:c r="I1131" t="str">
        <x:v>Agent-Draft: keine finale Regelentscheidung</x:v>
      </x:c>
      <x:c r="J1131" t="n">
        <x:v>45784</x:v>
      </x:c>
      <x:c r="K1131"/>
      <x:c r="L1131"/>
      <x:c r="M1131" t="n">
        <x:v>-61.93</x:v>
      </x:c>
      <x:c r="N1131" t="str">
        <x:v>2025-05</x:v>
      </x:c>
      <x:c r="O1131" t="str">
        <x:v>Ausgabe</x:v>
      </x:c>
      <x:c r="P1131" t="str">
        <x:v>Ist</x:v>
      </x:c>
      <x:c r="Q1131" s="59" t="b">
        <x:v>0</x:v>
      </x:c>
      <x:c r="R1131" t="str">
        <x:v>kein_transfer</x:v>
      </x:c>
      <x:c r="S1131"/>
      <x:c r="T1131"/>
      <x:c r="U1131"/>
      <x:c r="V1131" s="59" t="b">
        <x:v>1</x:v>
      </x:c>
      <x:c r="W1131"/>
      <x:c r="X1131" t="str">
        <x:v>offen</x:v>
      </x:c>
      <x:c r="Y1131" t="str">
        <x:v>Agent-Draft; Kategorie und Person pruefen</x:v>
      </x:c>
    </x:row>
    <x:row r="1132">
      <x:c r="A1132" t="str">
        <x:v>TXN-RAW-IMP-20260516-FULLDRAFT-001116</x:v>
      </x:c>
      <x:c r="B1132" t="str">
        <x:v>RAW-IMP-20260516-FULLDRAFT-001116</x:v>
      </x:c>
      <x:c r="C1132" t="str">
        <x:v>KTO001</x:v>
      </x:c>
      <x:c r="D1132"/>
      <x:c r="E1132" t="str">
        <x:v>KAT013</x:v>
      </x:c>
      <x:c r="F1132"/>
      <x:c r="G1132"/>
      <x:c r="H1132" t="str">
        <x:v>kein_match</x:v>
      </x:c>
      <x:c r="I1132" t="str">
        <x:v>Agent-Draft: keine finale Regelentscheidung</x:v>
      </x:c>
      <x:c r="J1132" t="n">
        <x:v>45783</x:v>
      </x:c>
      <x:c r="K1132"/>
      <x:c r="L1132"/>
      <x:c r="M1132" t="n">
        <x:v>-2.5</x:v>
      </x:c>
      <x:c r="N1132" t="str">
        <x:v>2025-05</x:v>
      </x:c>
      <x:c r="O1132" t="str">
        <x:v>Ausgabe</x:v>
      </x:c>
      <x:c r="P1132" t="str">
        <x:v>Ist</x:v>
      </x:c>
      <x:c r="Q1132" s="59" t="b">
        <x:v>0</x:v>
      </x:c>
      <x:c r="R1132" t="str">
        <x:v>kein_transfer</x:v>
      </x:c>
      <x:c r="S1132"/>
      <x:c r="T1132"/>
      <x:c r="U1132"/>
      <x:c r="V1132" s="59" t="b">
        <x:v>1</x:v>
      </x:c>
      <x:c r="W1132"/>
      <x:c r="X1132" t="str">
        <x:v>offen</x:v>
      </x:c>
      <x:c r="Y1132" t="str">
        <x:v>Agent-Draft; Kategorie und Person pruefen</x:v>
      </x:c>
    </x:row>
    <x:row r="1133">
      <x:c r="A1133" t="str">
        <x:v>TXN-RAW-IMP-20260516-FULLDRAFT-001117</x:v>
      </x:c>
      <x:c r="B1133" t="str">
        <x:v>RAW-IMP-20260516-FULLDRAFT-001117</x:v>
      </x:c>
      <x:c r="C1133" t="str">
        <x:v>KTO001</x:v>
      </x:c>
      <x:c r="D1133"/>
      <x:c r="E1133" t="str">
        <x:v>KAT013</x:v>
      </x:c>
      <x:c r="F1133"/>
      <x:c r="G1133"/>
      <x:c r="H1133" t="str">
        <x:v>kein_match</x:v>
      </x:c>
      <x:c r="I1133" t="str">
        <x:v>Agent-Draft: keine finale Regelentscheidung</x:v>
      </x:c>
      <x:c r="J1133" t="n">
        <x:v>45783</x:v>
      </x:c>
      <x:c r="K1133"/>
      <x:c r="L1133"/>
      <x:c r="M1133" t="n">
        <x:v>-49.9</x:v>
      </x:c>
      <x:c r="N1133" t="str">
        <x:v>2025-05</x:v>
      </x:c>
      <x:c r="O1133" t="str">
        <x:v>Ausgabe</x:v>
      </x:c>
      <x:c r="P1133" t="str">
        <x:v>Ist</x:v>
      </x:c>
      <x:c r="Q1133" s="59" t="b">
        <x:v>0</x:v>
      </x:c>
      <x:c r="R1133" t="str">
        <x:v>kein_transfer</x:v>
      </x:c>
      <x:c r="S1133"/>
      <x:c r="T1133"/>
      <x:c r="U1133"/>
      <x:c r="V1133" s="59" t="b">
        <x:v>1</x:v>
      </x:c>
      <x:c r="W1133"/>
      <x:c r="X1133" t="str">
        <x:v>offen</x:v>
      </x:c>
      <x:c r="Y1133" t="str">
        <x:v>Agent-Draft; Kategorie und Person pruefen</x:v>
      </x:c>
    </x:row>
    <x:row r="1134">
      <x:c r="A1134" t="str">
        <x:v>TXN-RAW-IMP-20260516-FULLDRAFT-001118</x:v>
      </x:c>
      <x:c r="B1134" t="str">
        <x:v>RAW-IMP-20260516-FULLDRAFT-001118</x:v>
      </x:c>
      <x:c r="C1134" t="str">
        <x:v>KTO001</x:v>
      </x:c>
      <x:c r="D1134"/>
      <x:c r="E1134" t="str">
        <x:v>KAT013</x:v>
      </x:c>
      <x:c r="F1134"/>
      <x:c r="G1134"/>
      <x:c r="H1134" t="str">
        <x:v>kein_match</x:v>
      </x:c>
      <x:c r="I1134" t="str">
        <x:v>Agent-Draft: keine finale Regelentscheidung</x:v>
      </x:c>
      <x:c r="J1134" t="n">
        <x:v>45782</x:v>
      </x:c>
      <x:c r="K1134"/>
      <x:c r="L1134"/>
      <x:c r="M1134" t="n">
        <x:v>-4.99</x:v>
      </x:c>
      <x:c r="N1134" t="str">
        <x:v>2025-05</x:v>
      </x:c>
      <x:c r="O1134" t="str">
        <x:v>Ausgabe</x:v>
      </x:c>
      <x:c r="P1134" t="str">
        <x:v>Ist</x:v>
      </x:c>
      <x:c r="Q1134" s="59" t="b">
        <x:v>0</x:v>
      </x:c>
      <x:c r="R1134" t="str">
        <x:v>kein_transfer</x:v>
      </x:c>
      <x:c r="S1134"/>
      <x:c r="T1134"/>
      <x:c r="U1134"/>
      <x:c r="V1134" s="59" t="b">
        <x:v>1</x:v>
      </x:c>
      <x:c r="W1134"/>
      <x:c r="X1134" t="str">
        <x:v>offen</x:v>
      </x:c>
      <x:c r="Y1134" t="str">
        <x:v>Agent-Draft; Kategorie und Person pruefen</x:v>
      </x:c>
    </x:row>
    <x:row r="1135">
      <x:c r="A1135" t="str">
        <x:v>TXN-RAW-IMP-20260516-FULLDRAFT-001119</x:v>
      </x:c>
      <x:c r="B1135" t="str">
        <x:v>RAW-IMP-20260516-FULLDRAFT-001119</x:v>
      </x:c>
      <x:c r="C1135" t="str">
        <x:v>KTO001</x:v>
      </x:c>
      <x:c r="D1135"/>
      <x:c r="E1135" t="str">
        <x:v>KAT013</x:v>
      </x:c>
      <x:c r="F1135"/>
      <x:c r="G1135"/>
      <x:c r="H1135" t="str">
        <x:v>kein_match</x:v>
      </x:c>
      <x:c r="I1135" t="str">
        <x:v>Agent-Draft: keine finale Regelentscheidung</x:v>
      </x:c>
      <x:c r="J1135" t="n">
        <x:v>45782</x:v>
      </x:c>
      <x:c r="K1135"/>
      <x:c r="L1135"/>
      <x:c r="M1135" t="n">
        <x:v>-56.74</x:v>
      </x:c>
      <x:c r="N1135" t="str">
        <x:v>2025-05</x:v>
      </x:c>
      <x:c r="O1135" t="str">
        <x:v>Ausgabe</x:v>
      </x:c>
      <x:c r="P1135" t="str">
        <x:v>Ist</x:v>
      </x:c>
      <x:c r="Q1135" s="59" t="b">
        <x:v>0</x:v>
      </x:c>
      <x:c r="R1135" t="str">
        <x:v>kein_transfer</x:v>
      </x:c>
      <x:c r="S1135"/>
      <x:c r="T1135"/>
      <x:c r="U1135"/>
      <x:c r="V1135" s="59" t="b">
        <x:v>1</x:v>
      </x:c>
      <x:c r="W1135"/>
      <x:c r="X1135" t="str">
        <x:v>offen</x:v>
      </x:c>
      <x:c r="Y1135" t="str">
        <x:v>Agent-Draft; Kategorie und Person pruefen</x:v>
      </x:c>
    </x:row>
    <x:row r="1136">
      <x:c r="A1136" t="str">
        <x:v>TXN-RAW-IMP-20260516-FULLDRAFT-001120</x:v>
      </x:c>
      <x:c r="B1136" t="str">
        <x:v>RAW-IMP-20260516-FULLDRAFT-001120</x:v>
      </x:c>
      <x:c r="C1136" t="str">
        <x:v>KTO001</x:v>
      </x:c>
      <x:c r="D1136"/>
      <x:c r="E1136" t="str">
        <x:v>KAT013</x:v>
      </x:c>
      <x:c r="F1136"/>
      <x:c r="G1136"/>
      <x:c r="H1136" t="str">
        <x:v>kein_match</x:v>
      </x:c>
      <x:c r="I1136" t="str">
        <x:v>Agent-Draft: keine finale Regelentscheidung</x:v>
      </x:c>
      <x:c r="J1136" t="n">
        <x:v>45782</x:v>
      </x:c>
      <x:c r="K1136"/>
      <x:c r="L1136"/>
      <x:c r="M1136" t="n">
        <x:v>-3.98</x:v>
      </x:c>
      <x:c r="N1136" t="str">
        <x:v>2025-05</x:v>
      </x:c>
      <x:c r="O1136" t="str">
        <x:v>Ausgabe</x:v>
      </x:c>
      <x:c r="P1136" t="str">
        <x:v>Ist</x:v>
      </x:c>
      <x:c r="Q1136" s="59" t="b">
        <x:v>0</x:v>
      </x:c>
      <x:c r="R1136" t="str">
        <x:v>kein_transfer</x:v>
      </x:c>
      <x:c r="S1136"/>
      <x:c r="T1136"/>
      <x:c r="U1136"/>
      <x:c r="V1136" s="59" t="b">
        <x:v>1</x:v>
      </x:c>
      <x:c r="W1136"/>
      <x:c r="X1136" t="str">
        <x:v>offen</x:v>
      </x:c>
      <x:c r="Y1136" t="str">
        <x:v>Agent-Draft; Kategorie und Person pruefen</x:v>
      </x:c>
    </x:row>
    <x:row r="1137">
      <x:c r="A1137" t="str">
        <x:v>TXN-RAW-IMP-20260516-FULLDRAFT-001121</x:v>
      </x:c>
      <x:c r="B1137" t="str">
        <x:v>RAW-IMP-20260516-FULLDRAFT-001121</x:v>
      </x:c>
      <x:c r="C1137" t="str">
        <x:v>KTO001</x:v>
      </x:c>
      <x:c r="D1137"/>
      <x:c r="E1137" t="str">
        <x:v>KAT013</x:v>
      </x:c>
      <x:c r="F1137"/>
      <x:c r="G1137"/>
      <x:c r="H1137" t="str">
        <x:v>kein_match</x:v>
      </x:c>
      <x:c r="I1137" t="str">
        <x:v>Agent-Draft: keine finale Regelentscheidung</x:v>
      </x:c>
      <x:c r="J1137" t="n">
        <x:v>45782</x:v>
      </x:c>
      <x:c r="K1137"/>
      <x:c r="L1137"/>
      <x:c r="M1137" t="n">
        <x:v>-186.11</x:v>
      </x:c>
      <x:c r="N1137" t="str">
        <x:v>2025-05</x:v>
      </x:c>
      <x:c r="O1137" t="str">
        <x:v>Ausgabe</x:v>
      </x:c>
      <x:c r="P1137" t="str">
        <x:v>Ist</x:v>
      </x:c>
      <x:c r="Q1137" s="59" t="b">
        <x:v>0</x:v>
      </x:c>
      <x:c r="R1137" t="str">
        <x:v>kein_transfer</x:v>
      </x:c>
      <x:c r="S1137"/>
      <x:c r="T1137"/>
      <x:c r="U1137"/>
      <x:c r="V1137" s="59" t="b">
        <x:v>1</x:v>
      </x:c>
      <x:c r="W1137"/>
      <x:c r="X1137" t="str">
        <x:v>offen</x:v>
      </x:c>
      <x:c r="Y1137" t="str">
        <x:v>Agent-Draft; Kategorie und Person pruefen</x:v>
      </x:c>
    </x:row>
    <x:row r="1138">
      <x:c r="A1138" t="str">
        <x:v>TXN-RAW-IMP-20260516-FULLDRAFT-001122</x:v>
      </x:c>
      <x:c r="B1138" t="str">
        <x:v>RAW-IMP-20260516-FULLDRAFT-001122</x:v>
      </x:c>
      <x:c r="C1138" t="str">
        <x:v>KTO001</x:v>
      </x:c>
      <x:c r="D1138"/>
      <x:c r="E1138" t="str">
        <x:v>KAT013</x:v>
      </x:c>
      <x:c r="F1138"/>
      <x:c r="G1138"/>
      <x:c r="H1138" t="str">
        <x:v>kein_match</x:v>
      </x:c>
      <x:c r="I1138" t="str">
        <x:v>Agent-Draft: keine finale Regelentscheidung</x:v>
      </x:c>
      <x:c r="J1138" t="n">
        <x:v>45782</x:v>
      </x:c>
      <x:c r="K1138"/>
      <x:c r="L1138"/>
      <x:c r="M1138" t="n">
        <x:v>-9</x:v>
      </x:c>
      <x:c r="N1138" t="str">
        <x:v>2025-05</x:v>
      </x:c>
      <x:c r="O1138" t="str">
        <x:v>Ausgabe</x:v>
      </x:c>
      <x:c r="P1138" t="str">
        <x:v>Ist</x:v>
      </x:c>
      <x:c r="Q1138" s="59" t="b">
        <x:v>0</x:v>
      </x:c>
      <x:c r="R1138" t="str">
        <x:v>kein_transfer</x:v>
      </x:c>
      <x:c r="S1138"/>
      <x:c r="T1138"/>
      <x:c r="U1138"/>
      <x:c r="V1138" s="59" t="b">
        <x:v>1</x:v>
      </x:c>
      <x:c r="W1138"/>
      <x:c r="X1138" t="str">
        <x:v>offen</x:v>
      </x:c>
      <x:c r="Y1138" t="str">
        <x:v>Agent-Draft; Kategorie und Person pruefen</x:v>
      </x:c>
    </x:row>
    <x:row r="1139">
      <x:c r="A1139" t="str">
        <x:v>TXN-RAW-IMP-20260516-FULLDRAFT-001123</x:v>
      </x:c>
      <x:c r="B1139" t="str">
        <x:v>RAW-IMP-20260516-FULLDRAFT-001123</x:v>
      </x:c>
      <x:c r="C1139" t="str">
        <x:v>KTO001</x:v>
      </x:c>
      <x:c r="D1139"/>
      <x:c r="E1139" t="str">
        <x:v>KAT013</x:v>
      </x:c>
      <x:c r="F1139"/>
      <x:c r="G1139"/>
      <x:c r="H1139" t="str">
        <x:v>kein_match</x:v>
      </x:c>
      <x:c r="I1139" t="str">
        <x:v>Agent-Draft: keine finale Regelentscheidung</x:v>
      </x:c>
      <x:c r="J1139" t="n">
        <x:v>45782</x:v>
      </x:c>
      <x:c r="K1139"/>
      <x:c r="L1139"/>
      <x:c r="M1139" t="n">
        <x:v>-500</x:v>
      </x:c>
      <x:c r="N1139" t="str">
        <x:v>2025-05</x:v>
      </x:c>
      <x:c r="O1139" t="str">
        <x:v>Ausgabe</x:v>
      </x:c>
      <x:c r="P1139" t="str">
        <x:v>Ist</x:v>
      </x:c>
      <x:c r="Q1139" s="59" t="b">
        <x:v>0</x:v>
      </x:c>
      <x:c r="R1139" t="str">
        <x:v>kein_transfer</x:v>
      </x:c>
      <x:c r="S1139"/>
      <x:c r="T1139"/>
      <x:c r="U1139"/>
      <x:c r="V1139" s="59" t="b">
        <x:v>1</x:v>
      </x:c>
      <x:c r="W1139"/>
      <x:c r="X1139" t="str">
        <x:v>offen</x:v>
      </x:c>
      <x:c r="Y1139" t="str">
        <x:v>Agent-Draft; Kategorie und Person pruefen</x:v>
      </x:c>
    </x:row>
    <x:row r="1140">
      <x:c r="A1140" t="str">
        <x:v>TXN-RAW-IMP-20260516-FULLDRAFT-001124</x:v>
      </x:c>
      <x:c r="B1140" t="str">
        <x:v>RAW-IMP-20260516-FULLDRAFT-001124</x:v>
      </x:c>
      <x:c r="C1140" t="str">
        <x:v>KTO001</x:v>
      </x:c>
      <x:c r="D1140"/>
      <x:c r="E1140" t="str">
        <x:v>KAT013</x:v>
      </x:c>
      <x:c r="F1140"/>
      <x:c r="G1140"/>
      <x:c r="H1140" t="str">
        <x:v>kein_match</x:v>
      </x:c>
      <x:c r="I1140" t="str">
        <x:v>Agent-Draft: keine finale Regelentscheidung</x:v>
      </x:c>
      <x:c r="J1140" t="n">
        <x:v>45782</x:v>
      </x:c>
      <x:c r="K1140"/>
      <x:c r="L1140"/>
      <x:c r="M1140" t="n">
        <x:v>-15.78</x:v>
      </x:c>
      <x:c r="N1140" t="str">
        <x:v>2025-05</x:v>
      </x:c>
      <x:c r="O1140" t="str">
        <x:v>Ausgabe</x:v>
      </x:c>
      <x:c r="P1140" t="str">
        <x:v>Ist</x:v>
      </x:c>
      <x:c r="Q1140" s="59" t="b">
        <x:v>0</x:v>
      </x:c>
      <x:c r="R1140" t="str">
        <x:v>kein_transfer</x:v>
      </x:c>
      <x:c r="S1140"/>
      <x:c r="T1140"/>
      <x:c r="U1140"/>
      <x:c r="V1140" s="59" t="b">
        <x:v>1</x:v>
      </x:c>
      <x:c r="W1140"/>
      <x:c r="X1140" t="str">
        <x:v>offen</x:v>
      </x:c>
      <x:c r="Y1140" t="str">
        <x:v>Agent-Draft; Kategorie und Person pruefen</x:v>
      </x:c>
    </x:row>
    <x:row r="1141">
      <x:c r="A1141" t="str">
        <x:v>TXN-RAW-IMP-20260516-FULLDRAFT-001125</x:v>
      </x:c>
      <x:c r="B1141" t="str">
        <x:v>RAW-IMP-20260516-FULLDRAFT-001125</x:v>
      </x:c>
      <x:c r="C1141" t="str">
        <x:v>KTO001</x:v>
      </x:c>
      <x:c r="D1141"/>
      <x:c r="E1141" t="str">
        <x:v>KAT013</x:v>
      </x:c>
      <x:c r="F1141"/>
      <x:c r="G1141"/>
      <x:c r="H1141" t="str">
        <x:v>kein_match</x:v>
      </x:c>
      <x:c r="I1141" t="str">
        <x:v>Agent-Draft: keine finale Regelentscheidung</x:v>
      </x:c>
      <x:c r="J1141" t="n">
        <x:v>45782</x:v>
      </x:c>
      <x:c r="K1141"/>
      <x:c r="L1141"/>
      <x:c r="M1141" t="n">
        <x:v>-93.04</x:v>
      </x:c>
      <x:c r="N1141" t="str">
        <x:v>2025-05</x:v>
      </x:c>
      <x:c r="O1141" t="str">
        <x:v>Ausgabe</x:v>
      </x:c>
      <x:c r="P1141" t="str">
        <x:v>Ist</x:v>
      </x:c>
      <x:c r="Q1141" s="59" t="b">
        <x:v>0</x:v>
      </x:c>
      <x:c r="R1141" t="str">
        <x:v>kein_transfer</x:v>
      </x:c>
      <x:c r="S1141"/>
      <x:c r="T1141"/>
      <x:c r="U1141"/>
      <x:c r="V1141" s="59" t="b">
        <x:v>1</x:v>
      </x:c>
      <x:c r="W1141"/>
      <x:c r="X1141" t="str">
        <x:v>offen</x:v>
      </x:c>
      <x:c r="Y1141" t="str">
        <x:v>Agent-Draft; Kategorie und Person pruefen</x:v>
      </x:c>
    </x:row>
    <x:row r="1142">
      <x:c r="A1142" t="str">
        <x:v>TXN-RAW-IMP-20260516-FULLDRAFT-001126</x:v>
      </x:c>
      <x:c r="B1142" t="str">
        <x:v>RAW-IMP-20260516-FULLDRAFT-001126</x:v>
      </x:c>
      <x:c r="C1142" t="str">
        <x:v>KTO001</x:v>
      </x:c>
      <x:c r="D1142"/>
      <x:c r="E1142" t="str">
        <x:v>KAT013</x:v>
      </x:c>
      <x:c r="F1142"/>
      <x:c r="G1142"/>
      <x:c r="H1142" t="str">
        <x:v>kein_match</x:v>
      </x:c>
      <x:c r="I1142" t="str">
        <x:v>Agent-Draft: keine finale Regelentscheidung</x:v>
      </x:c>
      <x:c r="J1142" t="n">
        <x:v>45782</x:v>
      </x:c>
      <x:c r="K1142"/>
      <x:c r="L1142"/>
      <x:c r="M1142" t="n">
        <x:v>-28.82</x:v>
      </x:c>
      <x:c r="N1142" t="str">
        <x:v>2025-05</x:v>
      </x:c>
      <x:c r="O1142" t="str">
        <x:v>Ausgabe</x:v>
      </x:c>
      <x:c r="P1142" t="str">
        <x:v>Ist</x:v>
      </x:c>
      <x:c r="Q1142" s="59" t="b">
        <x:v>0</x:v>
      </x:c>
      <x:c r="R1142" t="str">
        <x:v>kein_transfer</x:v>
      </x:c>
      <x:c r="S1142"/>
      <x:c r="T1142"/>
      <x:c r="U1142"/>
      <x:c r="V1142" s="59" t="b">
        <x:v>1</x:v>
      </x:c>
      <x:c r="W1142"/>
      <x:c r="X1142" t="str">
        <x:v>offen</x:v>
      </x:c>
      <x:c r="Y1142" t="str">
        <x:v>Agent-Draft; Kategorie und Person pruefen</x:v>
      </x:c>
    </x:row>
    <x:row r="1143">
      <x:c r="A1143" t="str">
        <x:v>TXN-RAW-IMP-20260516-FULLDRAFT-001127</x:v>
      </x:c>
      <x:c r="B1143" t="str">
        <x:v>RAW-IMP-20260516-FULLDRAFT-001127</x:v>
      </x:c>
      <x:c r="C1143" t="str">
        <x:v>KTO001</x:v>
      </x:c>
      <x:c r="D1143"/>
      <x:c r="E1143" t="str">
        <x:v>KAT013</x:v>
      </x:c>
      <x:c r="F1143"/>
      <x:c r="G1143"/>
      <x:c r="H1143" t="str">
        <x:v>kein_match</x:v>
      </x:c>
      <x:c r="I1143" t="str">
        <x:v>Agent-Draft: keine finale Regelentscheidung</x:v>
      </x:c>
      <x:c r="J1143" t="n">
        <x:v>45782</x:v>
      </x:c>
      <x:c r="K1143"/>
      <x:c r="L1143"/>
      <x:c r="M1143" t="n">
        <x:v>-40.79</x:v>
      </x:c>
      <x:c r="N1143" t="str">
        <x:v>2025-05</x:v>
      </x:c>
      <x:c r="O1143" t="str">
        <x:v>Ausgabe</x:v>
      </x:c>
      <x:c r="P1143" t="str">
        <x:v>Ist</x:v>
      </x:c>
      <x:c r="Q1143" s="59" t="b">
        <x:v>0</x:v>
      </x:c>
      <x:c r="R1143" t="str">
        <x:v>kein_transfer</x:v>
      </x:c>
      <x:c r="S1143"/>
      <x:c r="T1143"/>
      <x:c r="U1143"/>
      <x:c r="V1143" s="59" t="b">
        <x:v>1</x:v>
      </x:c>
      <x:c r="W1143"/>
      <x:c r="X1143" t="str">
        <x:v>offen</x:v>
      </x:c>
      <x:c r="Y1143" t="str">
        <x:v>Agent-Draft; Kategorie und Person pruefen</x:v>
      </x:c>
    </x:row>
    <x:row r="1144">
      <x:c r="A1144" t="str">
        <x:v>TXN-RAW-IMP-20260516-FULLDRAFT-001128</x:v>
      </x:c>
      <x:c r="B1144" t="str">
        <x:v>RAW-IMP-20260516-FULLDRAFT-001128</x:v>
      </x:c>
      <x:c r="C1144" t="str">
        <x:v>KTO001</x:v>
      </x:c>
      <x:c r="D1144"/>
      <x:c r="E1144" t="str">
        <x:v>KAT013</x:v>
      </x:c>
      <x:c r="F1144"/>
      <x:c r="G1144"/>
      <x:c r="H1144" t="str">
        <x:v>kein_match</x:v>
      </x:c>
      <x:c r="I1144" t="str">
        <x:v>Agent-Draft: keine finale Regelentscheidung</x:v>
      </x:c>
      <x:c r="J1144" t="n">
        <x:v>45782</x:v>
      </x:c>
      <x:c r="K1144"/>
      <x:c r="L1144"/>
      <x:c r="M1144" t="n">
        <x:v>-18.14</x:v>
      </x:c>
      <x:c r="N1144" t="str">
        <x:v>2025-05</x:v>
      </x:c>
      <x:c r="O1144" t="str">
        <x:v>Ausgabe</x:v>
      </x:c>
      <x:c r="P1144" t="str">
        <x:v>Ist</x:v>
      </x:c>
      <x:c r="Q1144" s="59" t="b">
        <x:v>0</x:v>
      </x:c>
      <x:c r="R1144" t="str">
        <x:v>kein_transfer</x:v>
      </x:c>
      <x:c r="S1144"/>
      <x:c r="T1144"/>
      <x:c r="U1144"/>
      <x:c r="V1144" s="59" t="b">
        <x:v>1</x:v>
      </x:c>
      <x:c r="W1144"/>
      <x:c r="X1144" t="str">
        <x:v>offen</x:v>
      </x:c>
      <x:c r="Y1144" t="str">
        <x:v>Agent-Draft; Kategorie und Person pruefen</x:v>
      </x:c>
    </x:row>
    <x:row r="1145">
      <x:c r="A1145" t="str">
        <x:v>TXN-RAW-IMP-20260516-FULLDRAFT-001129</x:v>
      </x:c>
      <x:c r="B1145" t="str">
        <x:v>RAW-IMP-20260516-FULLDRAFT-001129</x:v>
      </x:c>
      <x:c r="C1145" t="str">
        <x:v>KTO001</x:v>
      </x:c>
      <x:c r="D1145"/>
      <x:c r="E1145" t="str">
        <x:v>KAT013</x:v>
      </x:c>
      <x:c r="F1145"/>
      <x:c r="G1145"/>
      <x:c r="H1145" t="str">
        <x:v>kein_match</x:v>
      </x:c>
      <x:c r="I1145" t="str">
        <x:v>Agent-Draft: keine finale Regelentscheidung</x:v>
      </x:c>
      <x:c r="J1145" t="n">
        <x:v>45782</x:v>
      </x:c>
      <x:c r="K1145"/>
      <x:c r="L1145"/>
      <x:c r="M1145" t="n">
        <x:v>-11.96</x:v>
      </x:c>
      <x:c r="N1145" t="str">
        <x:v>2025-05</x:v>
      </x:c>
      <x:c r="O1145" t="str">
        <x:v>Ausgabe</x:v>
      </x:c>
      <x:c r="P1145" t="str">
        <x:v>Ist</x:v>
      </x:c>
      <x:c r="Q1145" s="59" t="b">
        <x:v>0</x:v>
      </x:c>
      <x:c r="R1145" t="str">
        <x:v>kein_transfer</x:v>
      </x:c>
      <x:c r="S1145"/>
      <x:c r="T1145"/>
      <x:c r="U1145"/>
      <x:c r="V1145" s="59" t="b">
        <x:v>1</x:v>
      </x:c>
      <x:c r="W1145"/>
      <x:c r="X1145" t="str">
        <x:v>offen</x:v>
      </x:c>
      <x:c r="Y1145" t="str">
        <x:v>Agent-Draft; Kategorie und Person pruefen</x:v>
      </x:c>
    </x:row>
    <x:row r="1146">
      <x:c r="A1146" t="str">
        <x:v>TXN-RAW-IMP-20260516-FULLDRAFT-001130</x:v>
      </x:c>
      <x:c r="B1146" t="str">
        <x:v>RAW-IMP-20260516-FULLDRAFT-001130</x:v>
      </x:c>
      <x:c r="C1146" t="str">
        <x:v>KTO001</x:v>
      </x:c>
      <x:c r="D1146"/>
      <x:c r="E1146" t="str">
        <x:v>KAT013</x:v>
      </x:c>
      <x:c r="F1146"/>
      <x:c r="G1146"/>
      <x:c r="H1146" t="str">
        <x:v>kein_match</x:v>
      </x:c>
      <x:c r="I1146" t="str">
        <x:v>Agent-Draft: keine finale Regelentscheidung</x:v>
      </x:c>
      <x:c r="J1146" t="n">
        <x:v>45782</x:v>
      </x:c>
      <x:c r="K1146"/>
      <x:c r="L1146"/>
      <x:c r="M1146" t="n">
        <x:v>-57.5</x:v>
      </x:c>
      <x:c r="N1146" t="str">
        <x:v>2025-05</x:v>
      </x:c>
      <x:c r="O1146" t="str">
        <x:v>Ausgabe</x:v>
      </x:c>
      <x:c r="P1146" t="str">
        <x:v>Ist</x:v>
      </x:c>
      <x:c r="Q1146" s="59" t="b">
        <x:v>0</x:v>
      </x:c>
      <x:c r="R1146" t="str">
        <x:v>kein_transfer</x:v>
      </x:c>
      <x:c r="S1146"/>
      <x:c r="T1146"/>
      <x:c r="U1146"/>
      <x:c r="V1146" s="59" t="b">
        <x:v>1</x:v>
      </x:c>
      <x:c r="W1146"/>
      <x:c r="X1146" t="str">
        <x:v>offen</x:v>
      </x:c>
      <x:c r="Y1146" t="str">
        <x:v>Agent-Draft; Kategorie und Person pruefen</x:v>
      </x:c>
    </x:row>
    <x:row r="1147">
      <x:c r="A1147" t="str">
        <x:v>TXN-RAW-IMP-20260516-FULLDRAFT-001131</x:v>
      </x:c>
      <x:c r="B1147" t="str">
        <x:v>RAW-IMP-20260516-FULLDRAFT-001131</x:v>
      </x:c>
      <x:c r="C1147" t="str">
        <x:v>KTO001</x:v>
      </x:c>
      <x:c r="D1147"/>
      <x:c r="E1147" t="str">
        <x:v>KAT013</x:v>
      </x:c>
      <x:c r="F1147"/>
      <x:c r="G1147"/>
      <x:c r="H1147" t="str">
        <x:v>kein_match</x:v>
      </x:c>
      <x:c r="I1147" t="str">
        <x:v>Agent-Draft: keine finale Regelentscheidung</x:v>
      </x:c>
      <x:c r="J1147" t="n">
        <x:v>45779</x:v>
      </x:c>
      <x:c r="K1147"/>
      <x:c r="L1147"/>
      <x:c r="M1147" t="n">
        <x:v>-500</x:v>
      </x:c>
      <x:c r="N1147" t="str">
        <x:v>2025-05</x:v>
      </x:c>
      <x:c r="O1147" t="str">
        <x:v>Ausgabe</x:v>
      </x:c>
      <x:c r="P1147" t="str">
        <x:v>Ist</x:v>
      </x:c>
      <x:c r="Q1147" s="59" t="b">
        <x:v>0</x:v>
      </x:c>
      <x:c r="R1147" t="str">
        <x:v>kein_transfer</x:v>
      </x:c>
      <x:c r="S1147"/>
      <x:c r="T1147"/>
      <x:c r="U1147"/>
      <x:c r="V1147" s="59" t="b">
        <x:v>1</x:v>
      </x:c>
      <x:c r="W1147"/>
      <x:c r="X1147" t="str">
        <x:v>offen</x:v>
      </x:c>
      <x:c r="Y1147" t="str">
        <x:v>Agent-Draft; Kategorie und Person pruefen</x:v>
      </x:c>
    </x:row>
    <x:row r="1148">
      <x:c r="A1148" t="str">
        <x:v>TXN-RAW-IMP-20260516-FULLDRAFT-001132</x:v>
      </x:c>
      <x:c r="B1148" t="str">
        <x:v>RAW-IMP-20260516-FULLDRAFT-001132</x:v>
      </x:c>
      <x:c r="C1148" t="str">
        <x:v>KTO001</x:v>
      </x:c>
      <x:c r="D1148"/>
      <x:c r="E1148" t="str">
        <x:v>KAT013</x:v>
      </x:c>
      <x:c r="F1148"/>
      <x:c r="G1148"/>
      <x:c r="H1148" t="str">
        <x:v>kein_match</x:v>
      </x:c>
      <x:c r="I1148" t="str">
        <x:v>Agent-Draft: keine finale Regelentscheidung</x:v>
      </x:c>
      <x:c r="J1148" t="n">
        <x:v>45779</x:v>
      </x:c>
      <x:c r="K1148"/>
      <x:c r="L1148"/>
      <x:c r="M1148" t="n">
        <x:v>750</x:v>
      </x:c>
      <x:c r="N1148" t="str">
        <x:v>2025-05</x:v>
      </x:c>
      <x:c r="O1148" t="str">
        <x:v>Einnahme</x:v>
      </x:c>
      <x:c r="P1148" t="str">
        <x:v>Ist</x:v>
      </x:c>
      <x:c r="Q1148" s="59" t="b">
        <x:v>0</x:v>
      </x:c>
      <x:c r="R1148" t="str">
        <x:v>kein_transfer</x:v>
      </x:c>
      <x:c r="S1148"/>
      <x:c r="T1148"/>
      <x:c r="U1148"/>
      <x:c r="V1148" s="59" t="b">
        <x:v>1</x:v>
      </x:c>
      <x:c r="W1148"/>
      <x:c r="X1148" t="str">
        <x:v>offen</x:v>
      </x:c>
      <x:c r="Y1148" t="str">
        <x:v>Agent-Draft; Kategorie und Person pruefen</x:v>
      </x:c>
    </x:row>
    <x:row r="1149">
      <x:c r="A1149" t="str">
        <x:v>TXN-RAW-IMP-20260516-FULLDRAFT-001133</x:v>
      </x:c>
      <x:c r="B1149" t="str">
        <x:v>RAW-IMP-20260516-FULLDRAFT-001133</x:v>
      </x:c>
      <x:c r="C1149" t="str">
        <x:v>KTO001</x:v>
      </x:c>
      <x:c r="D1149"/>
      <x:c r="E1149" t="str">
        <x:v>KAT013</x:v>
      </x:c>
      <x:c r="F1149"/>
      <x:c r="G1149"/>
      <x:c r="H1149" t="str">
        <x:v>kein_match</x:v>
      </x:c>
      <x:c r="I1149" t="str">
        <x:v>Agent-Draft: keine finale Regelentscheidung</x:v>
      </x:c>
      <x:c r="J1149" t="n">
        <x:v>45779</x:v>
      </x:c>
      <x:c r="K1149"/>
      <x:c r="L1149"/>
      <x:c r="M1149" t="n">
        <x:v>-461.25</x:v>
      </x:c>
      <x:c r="N1149" t="str">
        <x:v>2025-05</x:v>
      </x:c>
      <x:c r="O1149" t="str">
        <x:v>Ausgabe</x:v>
      </x:c>
      <x:c r="P1149" t="str">
        <x:v>Ist</x:v>
      </x:c>
      <x:c r="Q1149" s="59" t="b">
        <x:v>0</x:v>
      </x:c>
      <x:c r="R1149" t="str">
        <x:v>kein_transfer</x:v>
      </x:c>
      <x:c r="S1149"/>
      <x:c r="T1149"/>
      <x:c r="U1149"/>
      <x:c r="V1149" s="59" t="b">
        <x:v>1</x:v>
      </x:c>
      <x:c r="W1149"/>
      <x:c r="X1149" t="str">
        <x:v>offen</x:v>
      </x:c>
      <x:c r="Y1149" t="str">
        <x:v>Agent-Draft; Kategorie und Person pruefen</x:v>
      </x:c>
    </x:row>
    <x:row r="1150">
      <x:c r="A1150" t="str">
        <x:v>TXN-RAW-IMP-20260516-FULLDRAFT-001134</x:v>
      </x:c>
      <x:c r="B1150" t="str">
        <x:v>RAW-IMP-20260516-FULLDRAFT-001134</x:v>
      </x:c>
      <x:c r="C1150" t="str">
        <x:v>KTO001</x:v>
      </x:c>
      <x:c r="D1150"/>
      <x:c r="E1150" t="str">
        <x:v>KAT013</x:v>
      </x:c>
      <x:c r="F1150"/>
      <x:c r="G1150"/>
      <x:c r="H1150" t="str">
        <x:v>kein_match</x:v>
      </x:c>
      <x:c r="I1150" t="str">
        <x:v>Agent-Draft: keine finale Regelentscheidung</x:v>
      </x:c>
      <x:c r="J1150" t="n">
        <x:v>45779</x:v>
      </x:c>
      <x:c r="K1150"/>
      <x:c r="L1150"/>
      <x:c r="M1150" t="n">
        <x:v>-68.95</x:v>
      </x:c>
      <x:c r="N1150" t="str">
        <x:v>2025-05</x:v>
      </x:c>
      <x:c r="O1150" t="str">
        <x:v>Ausgabe</x:v>
      </x:c>
      <x:c r="P1150" t="str">
        <x:v>Ist</x:v>
      </x:c>
      <x:c r="Q1150" s="59" t="b">
        <x:v>0</x:v>
      </x:c>
      <x:c r="R1150" t="str">
        <x:v>kein_transfer</x:v>
      </x:c>
      <x:c r="S1150"/>
      <x:c r="T1150"/>
      <x:c r="U1150"/>
      <x:c r="V1150" s="59" t="b">
        <x:v>1</x:v>
      </x:c>
      <x:c r="W1150"/>
      <x:c r="X1150" t="str">
        <x:v>offen</x:v>
      </x:c>
      <x:c r="Y1150" t="str">
        <x:v>Agent-Draft; Kategorie und Person pruefen</x:v>
      </x:c>
    </x:row>
    <x:row r="1151">
      <x:c r="A1151" t="str">
        <x:v>TXN-RAW-IMP-20260516-FULLDRAFT-001135</x:v>
      </x:c>
      <x:c r="B1151" t="str">
        <x:v>RAW-IMP-20260516-FULLDRAFT-001135</x:v>
      </x:c>
      <x:c r="C1151" t="str">
        <x:v>KTO001</x:v>
      </x:c>
      <x:c r="D1151"/>
      <x:c r="E1151" t="str">
        <x:v>KAT013</x:v>
      </x:c>
      <x:c r="F1151"/>
      <x:c r="G1151"/>
      <x:c r="H1151" t="str">
        <x:v>kein_match</x:v>
      </x:c>
      <x:c r="I1151" t="str">
        <x:v>Agent-Draft: keine finale Regelentscheidung</x:v>
      </x:c>
      <x:c r="J1151" t="n">
        <x:v>45779</x:v>
      </x:c>
      <x:c r="K1151"/>
      <x:c r="L1151"/>
      <x:c r="M1151" t="n">
        <x:v>-452.71</x:v>
      </x:c>
      <x:c r="N1151" t="str">
        <x:v>2025-05</x:v>
      </x:c>
      <x:c r="O1151" t="str">
        <x:v>Ausgabe</x:v>
      </x:c>
      <x:c r="P1151" t="str">
        <x:v>Ist</x:v>
      </x:c>
      <x:c r="Q1151" s="59" t="b">
        <x:v>0</x:v>
      </x:c>
      <x:c r="R1151" t="str">
        <x:v>kein_transfer</x:v>
      </x:c>
      <x:c r="S1151"/>
      <x:c r="T1151"/>
      <x:c r="U1151"/>
      <x:c r="V1151" s="59" t="b">
        <x:v>1</x:v>
      </x:c>
      <x:c r="W1151"/>
      <x:c r="X1151" t="str">
        <x:v>offen</x:v>
      </x:c>
      <x:c r="Y1151" t="str">
        <x:v>Agent-Draft; Kategorie und Person pruefen</x:v>
      </x:c>
    </x:row>
    <x:row r="1152">
      <x:c r="A1152" t="str">
        <x:v>TXN-RAW-IMP-20260516-FULLDRAFT-001136</x:v>
      </x:c>
      <x:c r="B1152" t="str">
        <x:v>RAW-IMP-20260516-FULLDRAFT-001136</x:v>
      </x:c>
      <x:c r="C1152" t="str">
        <x:v>KTO001</x:v>
      </x:c>
      <x:c r="D1152"/>
      <x:c r="E1152" t="str">
        <x:v>KAT013</x:v>
      </x:c>
      <x:c r="F1152"/>
      <x:c r="G1152"/>
      <x:c r="H1152" t="str">
        <x:v>kein_match</x:v>
      </x:c>
      <x:c r="I1152" t="str">
        <x:v>Agent-Draft: keine finale Regelentscheidung</x:v>
      </x:c>
      <x:c r="J1152" t="n">
        <x:v>45779</x:v>
      </x:c>
      <x:c r="K1152"/>
      <x:c r="L1152"/>
      <x:c r="M1152" t="n">
        <x:v>-53.3</x:v>
      </x:c>
      <x:c r="N1152" t="str">
        <x:v>2025-05</x:v>
      </x:c>
      <x:c r="O1152" t="str">
        <x:v>Ausgabe</x:v>
      </x:c>
      <x:c r="P1152" t="str">
        <x:v>Ist</x:v>
      </x:c>
      <x:c r="Q1152" s="59" t="b">
        <x:v>0</x:v>
      </x:c>
      <x:c r="R1152" t="str">
        <x:v>kein_transfer</x:v>
      </x:c>
      <x:c r="S1152"/>
      <x:c r="T1152"/>
      <x:c r="U1152"/>
      <x:c r="V1152" s="59" t="b">
        <x:v>1</x:v>
      </x:c>
      <x:c r="W1152"/>
      <x:c r="X1152" t="str">
        <x:v>offen</x:v>
      </x:c>
      <x:c r="Y1152" t="str">
        <x:v>Agent-Draft; Kategorie und Person pruefen</x:v>
      </x:c>
    </x:row>
    <x:row r="1153">
      <x:c r="A1153" t="str">
        <x:v>TXN-RAW-IMP-20260516-FULLDRAFT-001137</x:v>
      </x:c>
      <x:c r="B1153" t="str">
        <x:v>RAW-IMP-20260516-FULLDRAFT-001137</x:v>
      </x:c>
      <x:c r="C1153" t="str">
        <x:v>KTO001</x:v>
      </x:c>
      <x:c r="D1153"/>
      <x:c r="E1153" t="str">
        <x:v>KAT013</x:v>
      </x:c>
      <x:c r="F1153"/>
      <x:c r="G1153"/>
      <x:c r="H1153" t="str">
        <x:v>kein_match</x:v>
      </x:c>
      <x:c r="I1153" t="str">
        <x:v>Agent-Draft: keine finale Regelentscheidung</x:v>
      </x:c>
      <x:c r="J1153" t="n">
        <x:v>45779</x:v>
      </x:c>
      <x:c r="K1153"/>
      <x:c r="L1153"/>
      <x:c r="M1153" t="n">
        <x:v>-600</x:v>
      </x:c>
      <x:c r="N1153" t="str">
        <x:v>2025-05</x:v>
      </x:c>
      <x:c r="O1153" t="str">
        <x:v>Ausgabe</x:v>
      </x:c>
      <x:c r="P1153" t="str">
        <x:v>Ist</x:v>
      </x:c>
      <x:c r="Q1153" s="59" t="b">
        <x:v>0</x:v>
      </x:c>
      <x:c r="R1153" t="str">
        <x:v>kein_transfer</x:v>
      </x:c>
      <x:c r="S1153"/>
      <x:c r="T1153"/>
      <x:c r="U1153"/>
      <x:c r="V1153" s="59" t="b">
        <x:v>1</x:v>
      </x:c>
      <x:c r="W1153"/>
      <x:c r="X1153" t="str">
        <x:v>offen</x:v>
      </x:c>
      <x:c r="Y1153" t="str">
        <x:v>Agent-Draft; Kategorie und Person pruefen</x:v>
      </x:c>
    </x:row>
    <x:row r="1154">
      <x:c r="A1154" t="str">
        <x:v>TXN-RAW-IMP-20260516-FULLDRAFT-001138</x:v>
      </x:c>
      <x:c r="B1154" t="str">
        <x:v>RAW-IMP-20260516-FULLDRAFT-001138</x:v>
      </x:c>
      <x:c r="C1154" t="str">
        <x:v>KTO001</x:v>
      </x:c>
      <x:c r="D1154"/>
      <x:c r="E1154" t="str">
        <x:v>KAT013</x:v>
      </x:c>
      <x:c r="F1154"/>
      <x:c r="G1154"/>
      <x:c r="H1154" t="str">
        <x:v>kein_match</x:v>
      </x:c>
      <x:c r="I1154" t="str">
        <x:v>Agent-Draft: keine finale Regelentscheidung</x:v>
      </x:c>
      <x:c r="J1154" t="n">
        <x:v>45779</x:v>
      </x:c>
      <x:c r="K1154"/>
      <x:c r="L1154"/>
      <x:c r="M1154" t="n">
        <x:v>-162.17</x:v>
      </x:c>
      <x:c r="N1154" t="str">
        <x:v>2025-05</x:v>
      </x:c>
      <x:c r="O1154" t="str">
        <x:v>Ausgabe</x:v>
      </x:c>
      <x:c r="P1154" t="str">
        <x:v>Ist</x:v>
      </x:c>
      <x:c r="Q1154" s="59" t="b">
        <x:v>0</x:v>
      </x:c>
      <x:c r="R1154" t="str">
        <x:v>kein_transfer</x:v>
      </x:c>
      <x:c r="S1154"/>
      <x:c r="T1154"/>
      <x:c r="U1154"/>
      <x:c r="V1154" s="59" t="b">
        <x:v>1</x:v>
      </x:c>
      <x:c r="W1154"/>
      <x:c r="X1154" t="str">
        <x:v>offen</x:v>
      </x:c>
      <x:c r="Y1154" t="str">
        <x:v>Agent-Draft; Kategorie und Person pruefen</x:v>
      </x:c>
    </x:row>
    <x:row r="1155">
      <x:c r="A1155" t="str">
        <x:v>TXN-RAW-IMP-20260516-FULLDRAFT-001139</x:v>
      </x:c>
      <x:c r="B1155" t="str">
        <x:v>RAW-IMP-20260516-FULLDRAFT-001139</x:v>
      </x:c>
      <x:c r="C1155" t="str">
        <x:v>KTO001</x:v>
      </x:c>
      <x:c r="D1155"/>
      <x:c r="E1155" t="str">
        <x:v>KAT013</x:v>
      </x:c>
      <x:c r="F1155"/>
      <x:c r="G1155"/>
      <x:c r="H1155" t="str">
        <x:v>kein_match</x:v>
      </x:c>
      <x:c r="I1155" t="str">
        <x:v>Agent-Draft: keine finale Regelentscheidung</x:v>
      </x:c>
      <x:c r="J1155" t="n">
        <x:v>45779</x:v>
      </x:c>
      <x:c r="K1155"/>
      <x:c r="L1155"/>
      <x:c r="M1155" t="n">
        <x:v>-97.12</x:v>
      </x:c>
      <x:c r="N1155" t="str">
        <x:v>2025-05</x:v>
      </x:c>
      <x:c r="O1155" t="str">
        <x:v>Ausgabe</x:v>
      </x:c>
      <x:c r="P1155" t="str">
        <x:v>Ist</x:v>
      </x:c>
      <x:c r="Q1155" s="59" t="b">
        <x:v>0</x:v>
      </x:c>
      <x:c r="R1155" t="str">
        <x:v>kein_transfer</x:v>
      </x:c>
      <x:c r="S1155"/>
      <x:c r="T1155"/>
      <x:c r="U1155"/>
      <x:c r="V1155" s="59" t="b">
        <x:v>1</x:v>
      </x:c>
      <x:c r="W1155"/>
      <x:c r="X1155" t="str">
        <x:v>offen</x:v>
      </x:c>
      <x:c r="Y1155" t="str">
        <x:v>Agent-Draft; Kategorie und Person pruefen</x:v>
      </x:c>
    </x:row>
    <x:row r="1156">
      <x:c r="A1156" t="str">
        <x:v>TXN-RAW-IMP-20260516-FULLDRAFT-001140</x:v>
      </x:c>
      <x:c r="B1156" t="str">
        <x:v>RAW-IMP-20260516-FULLDRAFT-001140</x:v>
      </x:c>
      <x:c r="C1156" t="str">
        <x:v>KTO001</x:v>
      </x:c>
      <x:c r="D1156"/>
      <x:c r="E1156" t="str">
        <x:v>KAT013</x:v>
      </x:c>
      <x:c r="F1156"/>
      <x:c r="G1156"/>
      <x:c r="H1156" t="str">
        <x:v>kein_match</x:v>
      </x:c>
      <x:c r="I1156" t="str">
        <x:v>Agent-Draft: keine finale Regelentscheidung</x:v>
      </x:c>
      <x:c r="J1156" t="n">
        <x:v>45779</x:v>
      </x:c>
      <x:c r="K1156"/>
      <x:c r="L1156"/>
      <x:c r="M1156" t="n">
        <x:v>-26.21</x:v>
      </x:c>
      <x:c r="N1156" t="str">
        <x:v>2025-05</x:v>
      </x:c>
      <x:c r="O1156" t="str">
        <x:v>Ausgabe</x:v>
      </x:c>
      <x:c r="P1156" t="str">
        <x:v>Ist</x:v>
      </x:c>
      <x:c r="Q1156" s="59" t="b">
        <x:v>0</x:v>
      </x:c>
      <x:c r="R1156" t="str">
        <x:v>kein_transfer</x:v>
      </x:c>
      <x:c r="S1156"/>
      <x:c r="T1156"/>
      <x:c r="U1156"/>
      <x:c r="V1156" s="59" t="b">
        <x:v>1</x:v>
      </x:c>
      <x:c r="W1156"/>
      <x:c r="X1156" t="str">
        <x:v>offen</x:v>
      </x:c>
      <x:c r="Y1156" t="str">
        <x:v>Agent-Draft; Kategorie und Person pruefen</x:v>
      </x:c>
    </x:row>
    <x:row r="1157">
      <x:c r="A1157" t="str">
        <x:v>TXN-RAW-IMP-20260516-FULLDRAFT-001141</x:v>
      </x:c>
      <x:c r="B1157" t="str">
        <x:v>RAW-IMP-20260516-FULLDRAFT-001141</x:v>
      </x:c>
      <x:c r="C1157" t="str">
        <x:v>KTO001</x:v>
      </x:c>
      <x:c r="D1157"/>
      <x:c r="E1157" t="str">
        <x:v>KAT013</x:v>
      </x:c>
      <x:c r="F1157"/>
      <x:c r="G1157"/>
      <x:c r="H1157" t="str">
        <x:v>kein_match</x:v>
      </x:c>
      <x:c r="I1157" t="str">
        <x:v>Agent-Draft: keine finale Regelentscheidung</x:v>
      </x:c>
      <x:c r="J1157" t="n">
        <x:v>45779</x:v>
      </x:c>
      <x:c r="K1157"/>
      <x:c r="L1157"/>
      <x:c r="M1157" t="n">
        <x:v>-68.46</x:v>
      </x:c>
      <x:c r="N1157" t="str">
        <x:v>2025-05</x:v>
      </x:c>
      <x:c r="O1157" t="str">
        <x:v>Ausgabe</x:v>
      </x:c>
      <x:c r="P1157" t="str">
        <x:v>Ist</x:v>
      </x:c>
      <x:c r="Q1157" s="59" t="b">
        <x:v>0</x:v>
      </x:c>
      <x:c r="R1157" t="str">
        <x:v>kein_transfer</x:v>
      </x:c>
      <x:c r="S1157"/>
      <x:c r="T1157"/>
      <x:c r="U1157"/>
      <x:c r="V1157" s="59" t="b">
        <x:v>1</x:v>
      </x:c>
      <x:c r="W1157"/>
      <x:c r="X1157" t="str">
        <x:v>offen</x:v>
      </x:c>
      <x:c r="Y1157" t="str">
        <x:v>Agent-Draft; Kategorie und Person pruefen</x:v>
      </x:c>
    </x:row>
    <x:row r="1158">
      <x:c r="A1158" t="str">
        <x:v>TXN-RAW-IMP-20260516-FULLDRAFT-001142</x:v>
      </x:c>
      <x:c r="B1158" t="str">
        <x:v>RAW-IMP-20260516-FULLDRAFT-001142</x:v>
      </x:c>
      <x:c r="C1158" t="str">
        <x:v>KTO001</x:v>
      </x:c>
      <x:c r="D1158"/>
      <x:c r="E1158" t="str">
        <x:v>KAT013</x:v>
      </x:c>
      <x:c r="F1158"/>
      <x:c r="G1158"/>
      <x:c r="H1158" t="str">
        <x:v>kein_match</x:v>
      </x:c>
      <x:c r="I1158" t="str">
        <x:v>Agent-Draft: keine finale Regelentscheidung</x:v>
      </x:c>
      <x:c r="J1158" t="n">
        <x:v>45779</x:v>
      </x:c>
      <x:c r="K1158"/>
      <x:c r="L1158"/>
      <x:c r="M1158" t="n">
        <x:v>-1400</x:v>
      </x:c>
      <x:c r="N1158" t="str">
        <x:v>2025-05</x:v>
      </x:c>
      <x:c r="O1158" t="str">
        <x:v>Ausgabe</x:v>
      </x:c>
      <x:c r="P1158" t="str">
        <x:v>Ist</x:v>
      </x:c>
      <x:c r="Q1158" s="59" t="b">
        <x:v>0</x:v>
      </x:c>
      <x:c r="R1158" t="str">
        <x:v>kein_transfer</x:v>
      </x:c>
      <x:c r="S1158"/>
      <x:c r="T1158"/>
      <x:c r="U1158"/>
      <x:c r="V1158" s="59" t="b">
        <x:v>1</x:v>
      </x:c>
      <x:c r="W1158"/>
      <x:c r="X1158" t="str">
        <x:v>offen</x:v>
      </x:c>
      <x:c r="Y1158" t="str">
        <x:v>Agent-Draft; Kategorie und Person pruefen</x:v>
      </x:c>
    </x:row>
    <x:row r="1159">
      <x:c r="A1159" t="str">
        <x:v>TXN-RAW-IMP-20260516-FULLDRAFT-001143</x:v>
      </x:c>
      <x:c r="B1159" t="str">
        <x:v>RAW-IMP-20260516-FULLDRAFT-001143</x:v>
      </x:c>
      <x:c r="C1159" t="str">
        <x:v>KTO001</x:v>
      </x:c>
      <x:c r="D1159"/>
      <x:c r="E1159" t="str">
        <x:v>KAT013</x:v>
      </x:c>
      <x:c r="F1159"/>
      <x:c r="G1159"/>
      <x:c r="H1159" t="str">
        <x:v>kein_match</x:v>
      </x:c>
      <x:c r="I1159" t="str">
        <x:v>Agent-Draft: keine finale Regelentscheidung</x:v>
      </x:c>
      <x:c r="J1159" t="n">
        <x:v>45779</x:v>
      </x:c>
      <x:c r="K1159"/>
      <x:c r="L1159"/>
      <x:c r="M1159" t="n">
        <x:v>-1800</x:v>
      </x:c>
      <x:c r="N1159" t="str">
        <x:v>2025-05</x:v>
      </x:c>
      <x:c r="O1159" t="str">
        <x:v>Ausgabe</x:v>
      </x:c>
      <x:c r="P1159" t="str">
        <x:v>Ist</x:v>
      </x:c>
      <x:c r="Q1159" s="59" t="b">
        <x:v>0</x:v>
      </x:c>
      <x:c r="R1159" t="str">
        <x:v>kein_transfer</x:v>
      </x:c>
      <x:c r="S1159"/>
      <x:c r="T1159"/>
      <x:c r="U1159"/>
      <x:c r="V1159" s="59" t="b">
        <x:v>1</x:v>
      </x:c>
      <x:c r="W1159"/>
      <x:c r="X1159" t="str">
        <x:v>offen</x:v>
      </x:c>
      <x:c r="Y1159" t="str">
        <x:v>Agent-Draft; Kategorie und Person pruefen</x:v>
      </x:c>
    </x:row>
    <x:row r="1160">
      <x:c r="A1160" t="str">
        <x:v>TXN-RAW-IMP-20260516-FULLDRAFT-001144</x:v>
      </x:c>
      <x:c r="B1160" t="str">
        <x:v>RAW-IMP-20260516-FULLDRAFT-001144</x:v>
      </x:c>
      <x:c r="C1160" t="str">
        <x:v>KTO001</x:v>
      </x:c>
      <x:c r="D1160"/>
      <x:c r="E1160" t="str">
        <x:v>KAT013</x:v>
      </x:c>
      <x:c r="F1160"/>
      <x:c r="G1160"/>
      <x:c r="H1160" t="str">
        <x:v>kein_match</x:v>
      </x:c>
      <x:c r="I1160" t="str">
        <x:v>Agent-Draft: keine finale Regelentscheidung</x:v>
      </x:c>
      <x:c r="J1160" t="n">
        <x:v>45777</x:v>
      </x:c>
      <x:c r="K1160"/>
      <x:c r="L1160"/>
      <x:c r="M1160" t="n">
        <x:v>-87.59</x:v>
      </x:c>
      <x:c r="N1160" t="str">
        <x:v>2025-04</x:v>
      </x:c>
      <x:c r="O1160" t="str">
        <x:v>Ausgabe</x:v>
      </x:c>
      <x:c r="P1160" t="str">
        <x:v>Ist</x:v>
      </x:c>
      <x:c r="Q1160" s="59" t="b">
        <x:v>0</x:v>
      </x:c>
      <x:c r="R1160" t="str">
        <x:v>kein_transfer</x:v>
      </x:c>
      <x:c r="S1160"/>
      <x:c r="T1160"/>
      <x:c r="U1160"/>
      <x:c r="V1160" s="59" t="b">
        <x:v>1</x:v>
      </x:c>
      <x:c r="W1160"/>
      <x:c r="X1160" t="str">
        <x:v>offen</x:v>
      </x:c>
      <x:c r="Y1160" t="str">
        <x:v>Agent-Draft; Kategorie und Person pruefen</x:v>
      </x:c>
    </x:row>
    <x:row r="1161">
      <x:c r="A1161" t="str">
        <x:v>TXN-RAW-IMP-20260516-FULLDRAFT-001145</x:v>
      </x:c>
      <x:c r="B1161" t="str">
        <x:v>RAW-IMP-20260516-FULLDRAFT-001145</x:v>
      </x:c>
      <x:c r="C1161" t="str">
        <x:v>KTO001</x:v>
      </x:c>
      <x:c r="D1161"/>
      <x:c r="E1161" t="str">
        <x:v>KAT013</x:v>
      </x:c>
      <x:c r="F1161"/>
      <x:c r="G1161"/>
      <x:c r="H1161" t="str">
        <x:v>kein_match</x:v>
      </x:c>
      <x:c r="I1161" t="str">
        <x:v>Agent-Draft: keine finale Regelentscheidung</x:v>
      </x:c>
      <x:c r="J1161" t="n">
        <x:v>45777</x:v>
      </x:c>
      <x:c r="K1161"/>
      <x:c r="L1161"/>
      <x:c r="M1161" t="n">
        <x:v>-8.99</x:v>
      </x:c>
      <x:c r="N1161" t="str">
        <x:v>2025-04</x:v>
      </x:c>
      <x:c r="O1161" t="str">
        <x:v>Ausgabe</x:v>
      </x:c>
      <x:c r="P1161" t="str">
        <x:v>Ist</x:v>
      </x:c>
      <x:c r="Q1161" s="59" t="b">
        <x:v>0</x:v>
      </x:c>
      <x:c r="R1161" t="str">
        <x:v>kein_transfer</x:v>
      </x:c>
      <x:c r="S1161"/>
      <x:c r="T1161"/>
      <x:c r="U1161"/>
      <x:c r="V1161" s="59" t="b">
        <x:v>1</x:v>
      </x:c>
      <x:c r="W1161"/>
      <x:c r="X1161" t="str">
        <x:v>offen</x:v>
      </x:c>
      <x:c r="Y1161" t="str">
        <x:v>Agent-Draft; Kategorie und Person pruefen</x:v>
      </x:c>
    </x:row>
    <x:row r="1162">
      <x:c r="A1162" t="str">
        <x:v>TXN-RAW-IMP-20260516-FULLDRAFT-001146</x:v>
      </x:c>
      <x:c r="B1162" t="str">
        <x:v>RAW-IMP-20260516-FULLDRAFT-001146</x:v>
      </x:c>
      <x:c r="C1162" t="str">
        <x:v>KTO001</x:v>
      </x:c>
      <x:c r="D1162"/>
      <x:c r="E1162" t="str">
        <x:v>KAT013</x:v>
      </x:c>
      <x:c r="F1162"/>
      <x:c r="G1162"/>
      <x:c r="H1162" t="str">
        <x:v>kein_match</x:v>
      </x:c>
      <x:c r="I1162" t="str">
        <x:v>Agent-Draft: keine finale Regelentscheidung</x:v>
      </x:c>
      <x:c r="J1162" t="n">
        <x:v>45777</x:v>
      </x:c>
      <x:c r="K1162"/>
      <x:c r="L1162"/>
      <x:c r="M1162" t="n">
        <x:v>-10</x:v>
      </x:c>
      <x:c r="N1162" t="str">
        <x:v>2025-04</x:v>
      </x:c>
      <x:c r="O1162" t="str">
        <x:v>Ausgabe</x:v>
      </x:c>
      <x:c r="P1162" t="str">
        <x:v>Ist</x:v>
      </x:c>
      <x:c r="Q1162" s="59" t="b">
        <x:v>0</x:v>
      </x:c>
      <x:c r="R1162" t="str">
        <x:v>kein_transfer</x:v>
      </x:c>
      <x:c r="S1162"/>
      <x:c r="T1162"/>
      <x:c r="U1162"/>
      <x:c r="V1162" s="59" t="b">
        <x:v>1</x:v>
      </x:c>
      <x:c r="W1162"/>
      <x:c r="X1162" t="str">
        <x:v>offen</x:v>
      </x:c>
      <x:c r="Y1162" t="str">
        <x:v>Agent-Draft; Kategorie und Person pruefen</x:v>
      </x:c>
    </x:row>
    <x:row r="1163">
      <x:c r="A1163" t="str">
        <x:v>TXN-RAW-IMP-20260516-FULLDRAFT-001147</x:v>
      </x:c>
      <x:c r="B1163" t="str">
        <x:v>RAW-IMP-20260516-FULLDRAFT-001147</x:v>
      </x:c>
      <x:c r="C1163" t="str">
        <x:v>KTO001</x:v>
      </x:c>
      <x:c r="D1163"/>
      <x:c r="E1163" t="str">
        <x:v>KAT013</x:v>
      </x:c>
      <x:c r="F1163"/>
      <x:c r="G1163"/>
      <x:c r="H1163" t="str">
        <x:v>kein_match</x:v>
      </x:c>
      <x:c r="I1163" t="str">
        <x:v>Agent-Draft: keine finale Regelentscheidung</x:v>
      </x:c>
      <x:c r="J1163" t="n">
        <x:v>45777</x:v>
      </x:c>
      <x:c r="K1163"/>
      <x:c r="L1163"/>
      <x:c r="M1163" t="n">
        <x:v>-393</x:v>
      </x:c>
      <x:c r="N1163" t="str">
        <x:v>2025-04</x:v>
      </x:c>
      <x:c r="O1163" t="str">
        <x:v>Ausgabe</x:v>
      </x:c>
      <x:c r="P1163" t="str">
        <x:v>Ist</x:v>
      </x:c>
      <x:c r="Q1163" s="59" t="b">
        <x:v>0</x:v>
      </x:c>
      <x:c r="R1163" t="str">
        <x:v>kein_transfer</x:v>
      </x:c>
      <x:c r="S1163"/>
      <x:c r="T1163"/>
      <x:c r="U1163"/>
      <x:c r="V1163" s="59" t="b">
        <x:v>1</x:v>
      </x:c>
      <x:c r="W1163"/>
      <x:c r="X1163" t="str">
        <x:v>offen</x:v>
      </x:c>
      <x:c r="Y1163" t="str">
        <x:v>Agent-Draft; Kategorie und Person pruefen</x:v>
      </x:c>
    </x:row>
    <x:row r="1164">
      <x:c r="A1164" t="str">
        <x:v>TXN-RAW-IMP-20260516-FULLDRAFT-001148</x:v>
      </x:c>
      <x:c r="B1164" t="str">
        <x:v>RAW-IMP-20260516-FULLDRAFT-001148</x:v>
      </x:c>
      <x:c r="C1164" t="str">
        <x:v>KTO001</x:v>
      </x:c>
      <x:c r="D1164"/>
      <x:c r="E1164" t="str">
        <x:v>KAT013</x:v>
      </x:c>
      <x:c r="F1164"/>
      <x:c r="G1164"/>
      <x:c r="H1164" t="str">
        <x:v>kein_match</x:v>
      </x:c>
      <x:c r="I1164" t="str">
        <x:v>Agent-Draft: keine finale Regelentscheidung</x:v>
      </x:c>
      <x:c r="J1164" t="n">
        <x:v>45777</x:v>
      </x:c>
      <x:c r="K1164"/>
      <x:c r="L1164"/>
      <x:c r="M1164" t="n">
        <x:v>-1153.94</x:v>
      </x:c>
      <x:c r="N1164" t="str">
        <x:v>2025-04</x:v>
      </x:c>
      <x:c r="O1164" t="str">
        <x:v>Ausgabe</x:v>
      </x:c>
      <x:c r="P1164" t="str">
        <x:v>Ist</x:v>
      </x:c>
      <x:c r="Q1164" s="59" t="b">
        <x:v>0</x:v>
      </x:c>
      <x:c r="R1164" t="str">
        <x:v>kein_transfer</x:v>
      </x:c>
      <x:c r="S1164"/>
      <x:c r="T1164"/>
      <x:c r="U1164"/>
      <x:c r="V1164" s="59" t="b">
        <x:v>1</x:v>
      </x:c>
      <x:c r="W1164"/>
      <x:c r="X1164" t="str">
        <x:v>offen</x:v>
      </x:c>
      <x:c r="Y1164" t="str">
        <x:v>Agent-Draft; Kategorie und Person pruefen</x:v>
      </x:c>
    </x:row>
    <x:row r="1165">
      <x:c r="A1165" t="str">
        <x:v>TXN-RAW-IMP-20260516-FULLDRAFT-001149</x:v>
      </x:c>
      <x:c r="B1165" t="str">
        <x:v>RAW-IMP-20260516-FULLDRAFT-001149</x:v>
      </x:c>
      <x:c r="C1165" t="str">
        <x:v>KTO001</x:v>
      </x:c>
      <x:c r="D1165"/>
      <x:c r="E1165" t="str">
        <x:v>KAT013</x:v>
      </x:c>
      <x:c r="F1165"/>
      <x:c r="G1165"/>
      <x:c r="H1165" t="str">
        <x:v>kein_match</x:v>
      </x:c>
      <x:c r="I1165" t="str">
        <x:v>Agent-Draft: keine finale Regelentscheidung</x:v>
      </x:c>
      <x:c r="J1165" t="n">
        <x:v>45776</x:v>
      </x:c>
      <x:c r="K1165"/>
      <x:c r="L1165"/>
      <x:c r="M1165" t="n">
        <x:v>8907.69</x:v>
      </x:c>
      <x:c r="N1165" t="str">
        <x:v>2025-04</x:v>
      </x:c>
      <x:c r="O1165" t="str">
        <x:v>Einnahme</x:v>
      </x:c>
      <x:c r="P1165" t="str">
        <x:v>Ist</x:v>
      </x:c>
      <x:c r="Q1165" s="59" t="b">
        <x:v>0</x:v>
      </x:c>
      <x:c r="R1165" t="str">
        <x:v>kein_transfer</x:v>
      </x:c>
      <x:c r="S1165"/>
      <x:c r="T1165"/>
      <x:c r="U1165"/>
      <x:c r="V1165" s="59" t="b">
        <x:v>1</x:v>
      </x:c>
      <x:c r="W1165"/>
      <x:c r="X1165" t="str">
        <x:v>offen</x:v>
      </x:c>
      <x:c r="Y1165" t="str">
        <x:v>Agent-Draft; Kategorie und Person pruefen</x:v>
      </x:c>
    </x:row>
    <x:row r="1166">
      <x:c r="A1166" t="str">
        <x:v>TXN-RAW-IMP-20260516-FULLDRAFT-001150</x:v>
      </x:c>
      <x:c r="B1166" t="str">
        <x:v>RAW-IMP-20260516-FULLDRAFT-001150</x:v>
      </x:c>
      <x:c r="C1166" t="str">
        <x:v>KTO001</x:v>
      </x:c>
      <x:c r="D1166"/>
      <x:c r="E1166" t="str">
        <x:v>KAT013</x:v>
      </x:c>
      <x:c r="F1166"/>
      <x:c r="G1166"/>
      <x:c r="H1166" t="str">
        <x:v>kein_match</x:v>
      </x:c>
      <x:c r="I1166" t="str">
        <x:v>Agent-Draft: keine finale Regelentscheidung</x:v>
      </x:c>
      <x:c r="J1166" t="n">
        <x:v>45776</x:v>
      </x:c>
      <x:c r="K1166"/>
      <x:c r="L1166"/>
      <x:c r="M1166" t="n">
        <x:v>-3.87</x:v>
      </x:c>
      <x:c r="N1166" t="str">
        <x:v>2025-04</x:v>
      </x:c>
      <x:c r="O1166" t="str">
        <x:v>Ausgabe</x:v>
      </x:c>
      <x:c r="P1166" t="str">
        <x:v>Ist</x:v>
      </x:c>
      <x:c r="Q1166" s="59" t="b">
        <x:v>0</x:v>
      </x:c>
      <x:c r="R1166" t="str">
        <x:v>kein_transfer</x:v>
      </x:c>
      <x:c r="S1166"/>
      <x:c r="T1166"/>
      <x:c r="U1166"/>
      <x:c r="V1166" s="59" t="b">
        <x:v>1</x:v>
      </x:c>
      <x:c r="W1166"/>
      <x:c r="X1166" t="str">
        <x:v>offen</x:v>
      </x:c>
      <x:c r="Y1166" t="str">
        <x:v>Agent-Draft; Kategorie und Person pruefen</x:v>
      </x:c>
    </x:row>
    <x:row r="1167">
      <x:c r="A1167" t="str">
        <x:v>TXN-RAW-IMP-20260516-FULLDRAFT-001151</x:v>
      </x:c>
      <x:c r="B1167" t="str">
        <x:v>RAW-IMP-20260516-FULLDRAFT-001151</x:v>
      </x:c>
      <x:c r="C1167" t="str">
        <x:v>KTO001</x:v>
      </x:c>
      <x:c r="D1167"/>
      <x:c r="E1167" t="str">
        <x:v>KAT013</x:v>
      </x:c>
      <x:c r="F1167"/>
      <x:c r="G1167"/>
      <x:c r="H1167" t="str">
        <x:v>kein_match</x:v>
      </x:c>
      <x:c r="I1167" t="str">
        <x:v>Agent-Draft: keine finale Regelentscheidung</x:v>
      </x:c>
      <x:c r="J1167" t="n">
        <x:v>45776</x:v>
      </x:c>
      <x:c r="K1167"/>
      <x:c r="L1167"/>
      <x:c r="M1167" t="n">
        <x:v>-18.14</x:v>
      </x:c>
      <x:c r="N1167" t="str">
        <x:v>2025-04</x:v>
      </x:c>
      <x:c r="O1167" t="str">
        <x:v>Ausgabe</x:v>
      </x:c>
      <x:c r="P1167" t="str">
        <x:v>Ist</x:v>
      </x:c>
      <x:c r="Q1167" s="59" t="b">
        <x:v>0</x:v>
      </x:c>
      <x:c r="R1167" t="str">
        <x:v>kein_transfer</x:v>
      </x:c>
      <x:c r="S1167"/>
      <x:c r="T1167"/>
      <x:c r="U1167"/>
      <x:c r="V1167" s="59" t="b">
        <x:v>1</x:v>
      </x:c>
      <x:c r="W1167"/>
      <x:c r="X1167" t="str">
        <x:v>offen</x:v>
      </x:c>
      <x:c r="Y1167" t="str">
        <x:v>Agent-Draft; Kategorie und Person pruefen</x:v>
      </x:c>
    </x:row>
    <x:row r="1168">
      <x:c r="A1168" t="str">
        <x:v>TXN-RAW-IMP-20260516-FULLDRAFT-001152</x:v>
      </x:c>
      <x:c r="B1168" t="str">
        <x:v>RAW-IMP-20260516-FULLDRAFT-001152</x:v>
      </x:c>
      <x:c r="C1168" t="str">
        <x:v>KTO001</x:v>
      </x:c>
      <x:c r="D1168"/>
      <x:c r="E1168" t="str">
        <x:v>KAT013</x:v>
      </x:c>
      <x:c r="F1168"/>
      <x:c r="G1168"/>
      <x:c r="H1168" t="str">
        <x:v>kein_match</x:v>
      </x:c>
      <x:c r="I1168" t="str">
        <x:v>Agent-Draft: keine finale Regelentscheidung</x:v>
      </x:c>
      <x:c r="J1168" t="n">
        <x:v>45775</x:v>
      </x:c>
      <x:c r="K1168"/>
      <x:c r="L1168"/>
      <x:c r="M1168" t="n">
        <x:v>-140.5</x:v>
      </x:c>
      <x:c r="N1168" t="str">
        <x:v>2025-04</x:v>
      </x:c>
      <x:c r="O1168" t="str">
        <x:v>Ausgabe</x:v>
      </x:c>
      <x:c r="P1168" t="str">
        <x:v>Ist</x:v>
      </x:c>
      <x:c r="Q1168" s="59" t="b">
        <x:v>0</x:v>
      </x:c>
      <x:c r="R1168" t="str">
        <x:v>kein_transfer</x:v>
      </x:c>
      <x:c r="S1168"/>
      <x:c r="T1168"/>
      <x:c r="U1168"/>
      <x:c r="V1168" s="59" t="b">
        <x:v>1</x:v>
      </x:c>
      <x:c r="W1168"/>
      <x:c r="X1168" t="str">
        <x:v>offen</x:v>
      </x:c>
      <x:c r="Y1168" t="str">
        <x:v>Agent-Draft; Kategorie und Person pruefen</x:v>
      </x:c>
    </x:row>
    <x:row r="1169">
      <x:c r="A1169" t="str">
        <x:v>TXN-RAW-IMP-20260516-FULLDRAFT-001153</x:v>
      </x:c>
      <x:c r="B1169" t="str">
        <x:v>RAW-IMP-20260516-FULLDRAFT-001153</x:v>
      </x:c>
      <x:c r="C1169" t="str">
        <x:v>KTO001</x:v>
      </x:c>
      <x:c r="D1169"/>
      <x:c r="E1169" t="str">
        <x:v>KAT013</x:v>
      </x:c>
      <x:c r="F1169"/>
      <x:c r="G1169"/>
      <x:c r="H1169" t="str">
        <x:v>kein_match</x:v>
      </x:c>
      <x:c r="I1169" t="str">
        <x:v>Agent-Draft: keine finale Regelentscheidung</x:v>
      </x:c>
      <x:c r="J1169" t="n">
        <x:v>45775</x:v>
      </x:c>
      <x:c r="K1169"/>
      <x:c r="L1169"/>
      <x:c r="M1169" t="n">
        <x:v>-158</x:v>
      </x:c>
      <x:c r="N1169" t="str">
        <x:v>2025-04</x:v>
      </x:c>
      <x:c r="O1169" t="str">
        <x:v>Ausgabe</x:v>
      </x:c>
      <x:c r="P1169" t="str">
        <x:v>Ist</x:v>
      </x:c>
      <x:c r="Q1169" s="59" t="b">
        <x:v>0</x:v>
      </x:c>
      <x:c r="R1169" t="str">
        <x:v>kein_transfer</x:v>
      </x:c>
      <x:c r="S1169"/>
      <x:c r="T1169"/>
      <x:c r="U1169"/>
      <x:c r="V1169" s="59" t="b">
        <x:v>1</x:v>
      </x:c>
      <x:c r="W1169"/>
      <x:c r="X1169" t="str">
        <x:v>offen</x:v>
      </x:c>
      <x:c r="Y1169" t="str">
        <x:v>Agent-Draft; Kategorie und Person pruefen</x:v>
      </x:c>
    </x:row>
    <x:row r="1170">
      <x:c r="A1170" t="str">
        <x:v>TXN-RAW-IMP-20260516-FULLDRAFT-001154</x:v>
      </x:c>
      <x:c r="B1170" t="str">
        <x:v>RAW-IMP-20260516-FULLDRAFT-001154</x:v>
      </x:c>
      <x:c r="C1170" t="str">
        <x:v>KTO001</x:v>
      </x:c>
      <x:c r="D1170"/>
      <x:c r="E1170" t="str">
        <x:v>KAT013</x:v>
      </x:c>
      <x:c r="F1170"/>
      <x:c r="G1170"/>
      <x:c r="H1170" t="str">
        <x:v>kein_match</x:v>
      </x:c>
      <x:c r="I1170" t="str">
        <x:v>Agent-Draft: keine finale Regelentscheidung</x:v>
      </x:c>
      <x:c r="J1170" t="n">
        <x:v>45775</x:v>
      </x:c>
      <x:c r="K1170"/>
      <x:c r="L1170"/>
      <x:c r="M1170" t="n">
        <x:v>-5.8</x:v>
      </x:c>
      <x:c r="N1170" t="str">
        <x:v>2025-04</x:v>
      </x:c>
      <x:c r="O1170" t="str">
        <x:v>Ausgabe</x:v>
      </x:c>
      <x:c r="P1170" t="str">
        <x:v>Ist</x:v>
      </x:c>
      <x:c r="Q1170" s="59" t="b">
        <x:v>0</x:v>
      </x:c>
      <x:c r="R1170" t="str">
        <x:v>kein_transfer</x:v>
      </x:c>
      <x:c r="S1170"/>
      <x:c r="T1170"/>
      <x:c r="U1170"/>
      <x:c r="V1170" s="59" t="b">
        <x:v>1</x:v>
      </x:c>
      <x:c r="W1170"/>
      <x:c r="X1170" t="str">
        <x:v>offen</x:v>
      </x:c>
      <x:c r="Y1170" t="str">
        <x:v>Agent-Draft; Kategorie und Person pruefen</x:v>
      </x:c>
    </x:row>
    <x:row r="1171">
      <x:c r="A1171" t="str">
        <x:v>TXN-RAW-IMP-20260516-FULLDRAFT-001155</x:v>
      </x:c>
      <x:c r="B1171" t="str">
        <x:v>RAW-IMP-20260516-FULLDRAFT-001155</x:v>
      </x:c>
      <x:c r="C1171" t="str">
        <x:v>KTO001</x:v>
      </x:c>
      <x:c r="D1171"/>
      <x:c r="E1171" t="str">
        <x:v>KAT013</x:v>
      </x:c>
      <x:c r="F1171"/>
      <x:c r="G1171"/>
      <x:c r="H1171" t="str">
        <x:v>kein_match</x:v>
      </x:c>
      <x:c r="I1171" t="str">
        <x:v>Agent-Draft: keine finale Regelentscheidung</x:v>
      </x:c>
      <x:c r="J1171" t="n">
        <x:v>45775</x:v>
      </x:c>
      <x:c r="K1171"/>
      <x:c r="L1171"/>
      <x:c r="M1171" t="n">
        <x:v>-110</x:v>
      </x:c>
      <x:c r="N1171" t="str">
        <x:v>2025-04</x:v>
      </x:c>
      <x:c r="O1171" t="str">
        <x:v>Ausgabe</x:v>
      </x:c>
      <x:c r="P1171" t="str">
        <x:v>Ist</x:v>
      </x:c>
      <x:c r="Q1171" s="59" t="b">
        <x:v>0</x:v>
      </x:c>
      <x:c r="R1171" t="str">
        <x:v>kein_transfer</x:v>
      </x:c>
      <x:c r="S1171"/>
      <x:c r="T1171"/>
      <x:c r="U1171"/>
      <x:c r="V1171" s="59" t="b">
        <x:v>1</x:v>
      </x:c>
      <x:c r="W1171"/>
      <x:c r="X1171" t="str">
        <x:v>offen</x:v>
      </x:c>
      <x:c r="Y1171" t="str">
        <x:v>Agent-Draft; Kategorie und Person pruefen</x:v>
      </x:c>
    </x:row>
    <x:row r="1172">
      <x:c r="A1172" t="str">
        <x:v>TXN-RAW-IMP-20260516-FULLDRAFT-001156</x:v>
      </x:c>
      <x:c r="B1172" t="str">
        <x:v>RAW-IMP-20260516-FULLDRAFT-001156</x:v>
      </x:c>
      <x:c r="C1172" t="str">
        <x:v>KTO001</x:v>
      </x:c>
      <x:c r="D1172"/>
      <x:c r="E1172" t="str">
        <x:v>KAT013</x:v>
      </x:c>
      <x:c r="F1172"/>
      <x:c r="G1172"/>
      <x:c r="H1172" t="str">
        <x:v>kein_match</x:v>
      </x:c>
      <x:c r="I1172" t="str">
        <x:v>Agent-Draft: keine finale Regelentscheidung</x:v>
      </x:c>
      <x:c r="J1172" t="n">
        <x:v>45775</x:v>
      </x:c>
      <x:c r="K1172"/>
      <x:c r="L1172"/>
      <x:c r="M1172" t="n">
        <x:v>-8.5</x:v>
      </x:c>
      <x:c r="N1172" t="str">
        <x:v>2025-04</x:v>
      </x:c>
      <x:c r="O1172" t="str">
        <x:v>Ausgabe</x:v>
      </x:c>
      <x:c r="P1172" t="str">
        <x:v>Ist</x:v>
      </x:c>
      <x:c r="Q1172" s="59" t="b">
        <x:v>0</x:v>
      </x:c>
      <x:c r="R1172" t="str">
        <x:v>kein_transfer</x:v>
      </x:c>
      <x:c r="S1172"/>
      <x:c r="T1172"/>
      <x:c r="U1172"/>
      <x:c r="V1172" s="59" t="b">
        <x:v>1</x:v>
      </x:c>
      <x:c r="W1172"/>
      <x:c r="X1172" t="str">
        <x:v>offen</x:v>
      </x:c>
      <x:c r="Y1172" t="str">
        <x:v>Agent-Draft; Kategorie und Person pruefen</x:v>
      </x:c>
    </x:row>
    <x:row r="1173">
      <x:c r="A1173" t="str">
        <x:v>TXN-RAW-IMP-20260516-FULLDRAFT-001157</x:v>
      </x:c>
      <x:c r="B1173" t="str">
        <x:v>RAW-IMP-20260516-FULLDRAFT-001157</x:v>
      </x:c>
      <x:c r="C1173" t="str">
        <x:v>KTO001</x:v>
      </x:c>
      <x:c r="D1173"/>
      <x:c r="E1173" t="str">
        <x:v>KAT013</x:v>
      </x:c>
      <x:c r="F1173"/>
      <x:c r="G1173"/>
      <x:c r="H1173" t="str">
        <x:v>kein_match</x:v>
      </x:c>
      <x:c r="I1173" t="str">
        <x:v>Agent-Draft: keine finale Regelentscheidung</x:v>
      </x:c>
      <x:c r="J1173" t="n">
        <x:v>45775</x:v>
      </x:c>
      <x:c r="K1173"/>
      <x:c r="L1173"/>
      <x:c r="M1173" t="n">
        <x:v>-3.29</x:v>
      </x:c>
      <x:c r="N1173" t="str">
        <x:v>2025-04</x:v>
      </x:c>
      <x:c r="O1173" t="str">
        <x:v>Ausgabe</x:v>
      </x:c>
      <x:c r="P1173" t="str">
        <x:v>Ist</x:v>
      </x:c>
      <x:c r="Q1173" s="59" t="b">
        <x:v>0</x:v>
      </x:c>
      <x:c r="R1173" t="str">
        <x:v>kein_transfer</x:v>
      </x:c>
      <x:c r="S1173"/>
      <x:c r="T1173"/>
      <x:c r="U1173"/>
      <x:c r="V1173" s="59" t="b">
        <x:v>1</x:v>
      </x:c>
      <x:c r="W1173"/>
      <x:c r="X1173" t="str">
        <x:v>offen</x:v>
      </x:c>
      <x:c r="Y1173" t="str">
        <x:v>Agent-Draft; Kategorie und Person pruefen</x:v>
      </x:c>
    </x:row>
    <x:row r="1174">
      <x:c r="A1174" t="str">
        <x:v>TXN-RAW-IMP-20260516-FULLDRAFT-001158</x:v>
      </x:c>
      <x:c r="B1174" t="str">
        <x:v>RAW-IMP-20260516-FULLDRAFT-001158</x:v>
      </x:c>
      <x:c r="C1174" t="str">
        <x:v>KTO001</x:v>
      </x:c>
      <x:c r="D1174"/>
      <x:c r="E1174" t="str">
        <x:v>KAT013</x:v>
      </x:c>
      <x:c r="F1174"/>
      <x:c r="G1174"/>
      <x:c r="H1174" t="str">
        <x:v>kein_match</x:v>
      </x:c>
      <x:c r="I1174" t="str">
        <x:v>Agent-Draft: keine finale Regelentscheidung</x:v>
      </x:c>
      <x:c r="J1174" t="n">
        <x:v>45775</x:v>
      </x:c>
      <x:c r="K1174"/>
      <x:c r="L1174"/>
      <x:c r="M1174" t="n">
        <x:v>-29.98</x:v>
      </x:c>
      <x:c r="N1174" t="str">
        <x:v>2025-04</x:v>
      </x:c>
      <x:c r="O1174" t="str">
        <x:v>Ausgabe</x:v>
      </x:c>
      <x:c r="P1174" t="str">
        <x:v>Ist</x:v>
      </x:c>
      <x:c r="Q1174" s="59" t="b">
        <x:v>0</x:v>
      </x:c>
      <x:c r="R1174" t="str">
        <x:v>kein_transfer</x:v>
      </x:c>
      <x:c r="S1174"/>
      <x:c r="T1174"/>
      <x:c r="U1174"/>
      <x:c r="V1174" s="59" t="b">
        <x:v>1</x:v>
      </x:c>
      <x:c r="W1174"/>
      <x:c r="X1174" t="str">
        <x:v>offen</x:v>
      </x:c>
      <x:c r="Y1174" t="str">
        <x:v>Agent-Draft; Kategorie und Person pruefen</x:v>
      </x:c>
    </x:row>
    <x:row r="1175">
      <x:c r="A1175" t="str">
        <x:v>TXN-RAW-IMP-20260516-FULLDRAFT-001159</x:v>
      </x:c>
      <x:c r="B1175" t="str">
        <x:v>RAW-IMP-20260516-FULLDRAFT-001159</x:v>
      </x:c>
      <x:c r="C1175" t="str">
        <x:v>KTO001</x:v>
      </x:c>
      <x:c r="D1175"/>
      <x:c r="E1175" t="str">
        <x:v>KAT013</x:v>
      </x:c>
      <x:c r="F1175"/>
      <x:c r="G1175"/>
      <x:c r="H1175" t="str">
        <x:v>kein_match</x:v>
      </x:c>
      <x:c r="I1175" t="str">
        <x:v>Agent-Draft: keine finale Regelentscheidung</x:v>
      </x:c>
      <x:c r="J1175" t="n">
        <x:v>45775</x:v>
      </x:c>
      <x:c r="K1175"/>
      <x:c r="L1175"/>
      <x:c r="M1175" t="n">
        <x:v>-4.5</x:v>
      </x:c>
      <x:c r="N1175" t="str">
        <x:v>2025-04</x:v>
      </x:c>
      <x:c r="O1175" t="str">
        <x:v>Ausgabe</x:v>
      </x:c>
      <x:c r="P1175" t="str">
        <x:v>Ist</x:v>
      </x:c>
      <x:c r="Q1175" s="59" t="b">
        <x:v>0</x:v>
      </x:c>
      <x:c r="R1175" t="str">
        <x:v>kein_transfer</x:v>
      </x:c>
      <x:c r="S1175"/>
      <x:c r="T1175"/>
      <x:c r="U1175"/>
      <x:c r="V1175" s="59" t="b">
        <x:v>1</x:v>
      </x:c>
      <x:c r="W1175"/>
      <x:c r="X1175" t="str">
        <x:v>offen</x:v>
      </x:c>
      <x:c r="Y1175" t="str">
        <x:v>Agent-Draft; Kategorie und Person pruefen</x:v>
      </x:c>
    </x:row>
    <x:row r="1176">
      <x:c r="A1176" t="str">
        <x:v>TXN-RAW-IMP-20260516-FULLDRAFT-001160</x:v>
      </x:c>
      <x:c r="B1176" t="str">
        <x:v>RAW-IMP-20260516-FULLDRAFT-001160</x:v>
      </x:c>
      <x:c r="C1176" t="str">
        <x:v>KTO001</x:v>
      </x:c>
      <x:c r="D1176"/>
      <x:c r="E1176" t="str">
        <x:v>KAT013</x:v>
      </x:c>
      <x:c r="F1176"/>
      <x:c r="G1176"/>
      <x:c r="H1176" t="str">
        <x:v>kein_match</x:v>
      </x:c>
      <x:c r="I1176" t="str">
        <x:v>Agent-Draft: keine finale Regelentscheidung</x:v>
      </x:c>
      <x:c r="J1176" t="n">
        <x:v>45775</x:v>
      </x:c>
      <x:c r="K1176"/>
      <x:c r="L1176"/>
      <x:c r="M1176" t="n">
        <x:v>-10.8</x:v>
      </x:c>
      <x:c r="N1176" t="str">
        <x:v>2025-04</x:v>
      </x:c>
      <x:c r="O1176" t="str">
        <x:v>Ausgabe</x:v>
      </x:c>
      <x:c r="P1176" t="str">
        <x:v>Ist</x:v>
      </x:c>
      <x:c r="Q1176" s="59" t="b">
        <x:v>0</x:v>
      </x:c>
      <x:c r="R1176" t="str">
        <x:v>kein_transfer</x:v>
      </x:c>
      <x:c r="S1176"/>
      <x:c r="T1176"/>
      <x:c r="U1176"/>
      <x:c r="V1176" s="59" t="b">
        <x:v>1</x:v>
      </x:c>
      <x:c r="W1176"/>
      <x:c r="X1176" t="str">
        <x:v>offen</x:v>
      </x:c>
      <x:c r="Y1176" t="str">
        <x:v>Agent-Draft; Kategorie und Person pruefen</x:v>
      </x:c>
    </x:row>
    <x:row r="1177">
      <x:c r="A1177" t="str">
        <x:v>TXN-RAW-IMP-20260516-FULLDRAFT-001161</x:v>
      </x:c>
      <x:c r="B1177" t="str">
        <x:v>RAW-IMP-20260516-FULLDRAFT-001161</x:v>
      </x:c>
      <x:c r="C1177" t="str">
        <x:v>KTO001</x:v>
      </x:c>
      <x:c r="D1177"/>
      <x:c r="E1177" t="str">
        <x:v>KAT013</x:v>
      </x:c>
      <x:c r="F1177"/>
      <x:c r="G1177"/>
      <x:c r="H1177" t="str">
        <x:v>kein_match</x:v>
      </x:c>
      <x:c r="I1177" t="str">
        <x:v>Agent-Draft: keine finale Regelentscheidung</x:v>
      </x:c>
      <x:c r="J1177" t="n">
        <x:v>45775</x:v>
      </x:c>
      <x:c r="K1177"/>
      <x:c r="L1177"/>
      <x:c r="M1177" t="n">
        <x:v>-54.55</x:v>
      </x:c>
      <x:c r="N1177" t="str">
        <x:v>2025-04</x:v>
      </x:c>
      <x:c r="O1177" t="str">
        <x:v>Ausgabe</x:v>
      </x:c>
      <x:c r="P1177" t="str">
        <x:v>Ist</x:v>
      </x:c>
      <x:c r="Q1177" s="59" t="b">
        <x:v>0</x:v>
      </x:c>
      <x:c r="R1177" t="str">
        <x:v>kein_transfer</x:v>
      </x:c>
      <x:c r="S1177"/>
      <x:c r="T1177"/>
      <x:c r="U1177"/>
      <x:c r="V1177" s="59" t="b">
        <x:v>1</x:v>
      </x:c>
      <x:c r="W1177"/>
      <x:c r="X1177" t="str">
        <x:v>offen</x:v>
      </x:c>
      <x:c r="Y1177" t="str">
        <x:v>Agent-Draft; Kategorie und Person pruefen</x:v>
      </x:c>
    </x:row>
    <x:row r="1178">
      <x:c r="A1178" t="str">
        <x:v>TXN-RAW-IMP-20260516-FULLDRAFT-001162</x:v>
      </x:c>
      <x:c r="B1178" t="str">
        <x:v>RAW-IMP-20260516-FULLDRAFT-001162</x:v>
      </x:c>
      <x:c r="C1178" t="str">
        <x:v>KTO001</x:v>
      </x:c>
      <x:c r="D1178"/>
      <x:c r="E1178" t="str">
        <x:v>KAT013</x:v>
      </x:c>
      <x:c r="F1178"/>
      <x:c r="G1178"/>
      <x:c r="H1178" t="str">
        <x:v>kein_match</x:v>
      </x:c>
      <x:c r="I1178" t="str">
        <x:v>Agent-Draft: keine finale Regelentscheidung</x:v>
      </x:c>
      <x:c r="J1178" t="n">
        <x:v>45775</x:v>
      </x:c>
      <x:c r="K1178"/>
      <x:c r="L1178"/>
      <x:c r="M1178" t="n">
        <x:v>-203.84</x:v>
      </x:c>
      <x:c r="N1178" t="str">
        <x:v>2025-04</x:v>
      </x:c>
      <x:c r="O1178" t="str">
        <x:v>Ausgabe</x:v>
      </x:c>
      <x:c r="P1178" t="str">
        <x:v>Ist</x:v>
      </x:c>
      <x:c r="Q1178" s="59" t="b">
        <x:v>0</x:v>
      </x:c>
      <x:c r="R1178" t="str">
        <x:v>kein_transfer</x:v>
      </x:c>
      <x:c r="S1178"/>
      <x:c r="T1178"/>
      <x:c r="U1178"/>
      <x:c r="V1178" s="59" t="b">
        <x:v>1</x:v>
      </x:c>
      <x:c r="W1178"/>
      <x:c r="X1178" t="str">
        <x:v>offen</x:v>
      </x:c>
      <x:c r="Y1178" t="str">
        <x:v>Agent-Draft; Kategorie und Person pruefen</x:v>
      </x:c>
    </x:row>
    <x:row r="1179">
      <x:c r="A1179" t="str">
        <x:v>TXN-RAW-IMP-20260516-FULLDRAFT-001163</x:v>
      </x:c>
      <x:c r="B1179" t="str">
        <x:v>RAW-IMP-20260516-FULLDRAFT-001163</x:v>
      </x:c>
      <x:c r="C1179" t="str">
        <x:v>KTO001</x:v>
      </x:c>
      <x:c r="D1179"/>
      <x:c r="E1179" t="str">
        <x:v>KAT013</x:v>
      </x:c>
      <x:c r="F1179"/>
      <x:c r="G1179"/>
      <x:c r="H1179" t="str">
        <x:v>kein_match</x:v>
      </x:c>
      <x:c r="I1179" t="str">
        <x:v>Agent-Draft: keine finale Regelentscheidung</x:v>
      </x:c>
      <x:c r="J1179" t="n">
        <x:v>45772</x:v>
      </x:c>
      <x:c r="K1179"/>
      <x:c r="L1179"/>
      <x:c r="M1179" t="n">
        <x:v>-5</x:v>
      </x:c>
      <x:c r="N1179" t="str">
        <x:v>2025-04</x:v>
      </x:c>
      <x:c r="O1179" t="str">
        <x:v>Ausgabe</x:v>
      </x:c>
      <x:c r="P1179" t="str">
        <x:v>Ist</x:v>
      </x:c>
      <x:c r="Q1179" s="59" t="b">
        <x:v>0</x:v>
      </x:c>
      <x:c r="R1179" t="str">
        <x:v>kein_transfer</x:v>
      </x:c>
      <x:c r="S1179"/>
      <x:c r="T1179"/>
      <x:c r="U1179"/>
      <x:c r="V1179" s="59" t="b">
        <x:v>1</x:v>
      </x:c>
      <x:c r="W1179"/>
      <x:c r="X1179" t="str">
        <x:v>offen</x:v>
      </x:c>
      <x:c r="Y1179" t="str">
        <x:v>Agent-Draft; Kategorie und Person pruefen</x:v>
      </x:c>
    </x:row>
    <x:row r="1180">
      <x:c r="A1180" t="str">
        <x:v>TXN-RAW-IMP-20260516-FULLDRAFT-001164</x:v>
      </x:c>
      <x:c r="B1180" t="str">
        <x:v>RAW-IMP-20260516-FULLDRAFT-001164</x:v>
      </x:c>
      <x:c r="C1180" t="str">
        <x:v>KTO001</x:v>
      </x:c>
      <x:c r="D1180"/>
      <x:c r="E1180" t="str">
        <x:v>KAT013</x:v>
      </x:c>
      <x:c r="F1180"/>
      <x:c r="G1180"/>
      <x:c r="H1180" t="str">
        <x:v>kein_match</x:v>
      </x:c>
      <x:c r="I1180" t="str">
        <x:v>Agent-Draft: keine finale Regelentscheidung</x:v>
      </x:c>
      <x:c r="J1180" t="n">
        <x:v>45772</x:v>
      </x:c>
      <x:c r="K1180"/>
      <x:c r="L1180"/>
      <x:c r="M1180" t="n">
        <x:v>-4</x:v>
      </x:c>
      <x:c r="N1180" t="str">
        <x:v>2025-04</x:v>
      </x:c>
      <x:c r="O1180" t="str">
        <x:v>Ausgabe</x:v>
      </x:c>
      <x:c r="P1180" t="str">
        <x:v>Ist</x:v>
      </x:c>
      <x:c r="Q1180" s="59" t="b">
        <x:v>0</x:v>
      </x:c>
      <x:c r="R1180" t="str">
        <x:v>kein_transfer</x:v>
      </x:c>
      <x:c r="S1180"/>
      <x:c r="T1180"/>
      <x:c r="U1180"/>
      <x:c r="V1180" s="59" t="b">
        <x:v>1</x:v>
      </x:c>
      <x:c r="W1180"/>
      <x:c r="X1180" t="str">
        <x:v>offen</x:v>
      </x:c>
      <x:c r="Y1180" t="str">
        <x:v>Agent-Draft; Kategorie und Person pruefen</x:v>
      </x:c>
    </x:row>
    <x:row r="1181">
      <x:c r="A1181" t="str">
        <x:v>TXN-RAW-IMP-20260516-FULLDRAFT-001165</x:v>
      </x:c>
      <x:c r="B1181" t="str">
        <x:v>RAW-IMP-20260516-FULLDRAFT-001165</x:v>
      </x:c>
      <x:c r="C1181" t="str">
        <x:v>KTO001</x:v>
      </x:c>
      <x:c r="D1181"/>
      <x:c r="E1181" t="str">
        <x:v>KAT013</x:v>
      </x:c>
      <x:c r="F1181"/>
      <x:c r="G1181"/>
      <x:c r="H1181" t="str">
        <x:v>kein_match</x:v>
      </x:c>
      <x:c r="I1181" t="str">
        <x:v>Agent-Draft: keine finale Regelentscheidung</x:v>
      </x:c>
      <x:c r="J1181" t="n">
        <x:v>45771</x:v>
      </x:c>
      <x:c r="K1181"/>
      <x:c r="L1181"/>
      <x:c r="M1181" t="n">
        <x:v>-30.95</x:v>
      </x:c>
      <x:c r="N1181" t="str">
        <x:v>2025-04</x:v>
      </x:c>
      <x:c r="O1181" t="str">
        <x:v>Ausgabe</x:v>
      </x:c>
      <x:c r="P1181" t="str">
        <x:v>Ist</x:v>
      </x:c>
      <x:c r="Q1181" s="59" t="b">
        <x:v>0</x:v>
      </x:c>
      <x:c r="R1181" t="str">
        <x:v>kein_transfer</x:v>
      </x:c>
      <x:c r="S1181"/>
      <x:c r="T1181"/>
      <x:c r="U1181"/>
      <x:c r="V1181" s="59" t="b">
        <x:v>1</x:v>
      </x:c>
      <x:c r="W1181"/>
      <x:c r="X1181" t="str">
        <x:v>offen</x:v>
      </x:c>
      <x:c r="Y1181" t="str">
        <x:v>Agent-Draft; Kategorie und Person pruefen</x:v>
      </x:c>
    </x:row>
    <x:row r="1182">
      <x:c r="A1182" t="str">
        <x:v>TXN-RAW-IMP-20260516-FULLDRAFT-001166</x:v>
      </x:c>
      <x:c r="B1182" t="str">
        <x:v>RAW-IMP-20260516-FULLDRAFT-001166</x:v>
      </x:c>
      <x:c r="C1182" t="str">
        <x:v>KTO001</x:v>
      </x:c>
      <x:c r="D1182"/>
      <x:c r="E1182" t="str">
        <x:v>KAT013</x:v>
      </x:c>
      <x:c r="F1182"/>
      <x:c r="G1182"/>
      <x:c r="H1182" t="str">
        <x:v>kein_match</x:v>
      </x:c>
      <x:c r="I1182" t="str">
        <x:v>Agent-Draft: keine finale Regelentscheidung</x:v>
      </x:c>
      <x:c r="J1182" t="n">
        <x:v>45770</x:v>
      </x:c>
      <x:c r="K1182"/>
      <x:c r="L1182"/>
      <x:c r="M1182" t="n">
        <x:v>-1.99</x:v>
      </x:c>
      <x:c r="N1182" t="str">
        <x:v>2025-04</x:v>
      </x:c>
      <x:c r="O1182" t="str">
        <x:v>Ausgabe</x:v>
      </x:c>
      <x:c r="P1182" t="str">
        <x:v>Ist</x:v>
      </x:c>
      <x:c r="Q1182" s="59" t="b">
        <x:v>0</x:v>
      </x:c>
      <x:c r="R1182" t="str">
        <x:v>kein_transfer</x:v>
      </x:c>
      <x:c r="S1182"/>
      <x:c r="T1182"/>
      <x:c r="U1182"/>
      <x:c r="V1182" s="59" t="b">
        <x:v>1</x:v>
      </x:c>
      <x:c r="W1182"/>
      <x:c r="X1182" t="str">
        <x:v>offen</x:v>
      </x:c>
      <x:c r="Y1182" t="str">
        <x:v>Agent-Draft; Kategorie und Person pruefen</x:v>
      </x:c>
    </x:row>
    <x:row r="1183">
      <x:c r="A1183" t="str">
        <x:v>TXN-RAW-IMP-20260516-FULLDRAFT-001167</x:v>
      </x:c>
      <x:c r="B1183" t="str">
        <x:v>RAW-IMP-20260516-FULLDRAFT-001167</x:v>
      </x:c>
      <x:c r="C1183" t="str">
        <x:v>KTO001</x:v>
      </x:c>
      <x:c r="D1183"/>
      <x:c r="E1183" t="str">
        <x:v>KAT013</x:v>
      </x:c>
      <x:c r="F1183"/>
      <x:c r="G1183"/>
      <x:c r="H1183" t="str">
        <x:v>kein_match</x:v>
      </x:c>
      <x:c r="I1183" t="str">
        <x:v>Agent-Draft: keine finale Regelentscheidung</x:v>
      </x:c>
      <x:c r="J1183" t="n">
        <x:v>45770</x:v>
      </x:c>
      <x:c r="K1183"/>
      <x:c r="L1183"/>
      <x:c r="M1183" t="n">
        <x:v>500</x:v>
      </x:c>
      <x:c r="N1183" t="str">
        <x:v>2025-04</x:v>
      </x:c>
      <x:c r="O1183" t="str">
        <x:v>Einnahme</x:v>
      </x:c>
      <x:c r="P1183" t="str">
        <x:v>Ist</x:v>
      </x:c>
      <x:c r="Q1183" s="59" t="b">
        <x:v>0</x:v>
      </x:c>
      <x:c r="R1183" t="str">
        <x:v>unklar</x:v>
      </x:c>
      <x:c r="S1183"/>
      <x:c r="T1183"/>
      <x:c r="U1183"/>
      <x:c r="V1183" s="59" t="b">
        <x:v>1</x:v>
      </x:c>
      <x:c r="W1183" t="str">
        <x:v>Transferkandidat im Draft</x:v>
      </x:c>
      <x:c r="X1183" t="str">
        <x:v>offen</x:v>
      </x:c>
      <x:c r="Y1183" t="str">
        <x:v>Agent-Draft; Kategorie und Person pruefen</x:v>
      </x:c>
    </x:row>
    <x:row r="1184">
      <x:c r="A1184" t="str">
        <x:v>TXN-RAW-IMP-20260516-FULLDRAFT-001168</x:v>
      </x:c>
      <x:c r="B1184" t="str">
        <x:v>RAW-IMP-20260516-FULLDRAFT-001168</x:v>
      </x:c>
      <x:c r="C1184" t="str">
        <x:v>KTO001</x:v>
      </x:c>
      <x:c r="D1184"/>
      <x:c r="E1184" t="str">
        <x:v>KAT013</x:v>
      </x:c>
      <x:c r="F1184"/>
      <x:c r="G1184"/>
      <x:c r="H1184" t="str">
        <x:v>kein_match</x:v>
      </x:c>
      <x:c r="I1184" t="str">
        <x:v>Agent-Draft: keine finale Regelentscheidung</x:v>
      </x:c>
      <x:c r="J1184" t="n">
        <x:v>45769</x:v>
      </x:c>
      <x:c r="K1184"/>
      <x:c r="L1184"/>
      <x:c r="M1184" t="n">
        <x:v>-2.99</x:v>
      </x:c>
      <x:c r="N1184" t="str">
        <x:v>2025-04</x:v>
      </x:c>
      <x:c r="O1184" t="str">
        <x:v>Ausgabe</x:v>
      </x:c>
      <x:c r="P1184" t="str">
        <x:v>Ist</x:v>
      </x:c>
      <x:c r="Q1184" s="59" t="b">
        <x:v>0</x:v>
      </x:c>
      <x:c r="R1184" t="str">
        <x:v>kein_transfer</x:v>
      </x:c>
      <x:c r="S1184"/>
      <x:c r="T1184"/>
      <x:c r="U1184"/>
      <x:c r="V1184" s="59" t="b">
        <x:v>1</x:v>
      </x:c>
      <x:c r="W1184"/>
      <x:c r="X1184" t="str">
        <x:v>offen</x:v>
      </x:c>
      <x:c r="Y1184" t="str">
        <x:v>Agent-Draft; Kategorie und Person pruefen</x:v>
      </x:c>
    </x:row>
    <x:row r="1185">
      <x:c r="A1185" t="str">
        <x:v>TXN-RAW-IMP-20260516-FULLDRAFT-001169</x:v>
      </x:c>
      <x:c r="B1185" t="str">
        <x:v>RAW-IMP-20260516-FULLDRAFT-001169</x:v>
      </x:c>
      <x:c r="C1185" t="str">
        <x:v>KTO001</x:v>
      </x:c>
      <x:c r="D1185"/>
      <x:c r="E1185" t="str">
        <x:v>KAT013</x:v>
      </x:c>
      <x:c r="F1185"/>
      <x:c r="G1185"/>
      <x:c r="H1185" t="str">
        <x:v>kein_match</x:v>
      </x:c>
      <x:c r="I1185" t="str">
        <x:v>Agent-Draft: keine finale Regelentscheidung</x:v>
      </x:c>
      <x:c r="J1185" t="n">
        <x:v>45769</x:v>
      </x:c>
      <x:c r="K1185"/>
      <x:c r="L1185"/>
      <x:c r="M1185" t="n">
        <x:v>-46.14</x:v>
      </x:c>
      <x:c r="N1185" t="str">
        <x:v>2025-04</x:v>
      </x:c>
      <x:c r="O1185" t="str">
        <x:v>Ausgabe</x:v>
      </x:c>
      <x:c r="P1185" t="str">
        <x:v>Ist</x:v>
      </x:c>
      <x:c r="Q1185" s="59" t="b">
        <x:v>0</x:v>
      </x:c>
      <x:c r="R1185" t="str">
        <x:v>kein_transfer</x:v>
      </x:c>
      <x:c r="S1185"/>
      <x:c r="T1185"/>
      <x:c r="U1185"/>
      <x:c r="V1185" s="59" t="b">
        <x:v>1</x:v>
      </x:c>
      <x:c r="W1185"/>
      <x:c r="X1185" t="str">
        <x:v>offen</x:v>
      </x:c>
      <x:c r="Y1185" t="str">
        <x:v>Agent-Draft; Kategorie und Person pruefen</x:v>
      </x:c>
    </x:row>
    <x:row r="1186">
      <x:c r="A1186" t="str">
        <x:v>TXN-RAW-IMP-20260516-FULLDRAFT-001170</x:v>
      </x:c>
      <x:c r="B1186" t="str">
        <x:v>RAW-IMP-20260516-FULLDRAFT-001170</x:v>
      </x:c>
      <x:c r="C1186" t="str">
        <x:v>KTO001</x:v>
      </x:c>
      <x:c r="D1186"/>
      <x:c r="E1186" t="str">
        <x:v>KAT013</x:v>
      </x:c>
      <x:c r="F1186"/>
      <x:c r="G1186"/>
      <x:c r="H1186" t="str">
        <x:v>kein_match</x:v>
      </x:c>
      <x:c r="I1186" t="str">
        <x:v>Agent-Draft: keine finale Regelentscheidung</x:v>
      </x:c>
      <x:c r="J1186" t="n">
        <x:v>45769</x:v>
      </x:c>
      <x:c r="K1186"/>
      <x:c r="L1186"/>
      <x:c r="M1186" t="n">
        <x:v>-134.39</x:v>
      </x:c>
      <x:c r="N1186" t="str">
        <x:v>2025-04</x:v>
      </x:c>
      <x:c r="O1186" t="str">
        <x:v>Ausgabe</x:v>
      </x:c>
      <x:c r="P1186" t="str">
        <x:v>Ist</x:v>
      </x:c>
      <x:c r="Q1186" s="59" t="b">
        <x:v>0</x:v>
      </x:c>
      <x:c r="R1186" t="str">
        <x:v>kein_transfer</x:v>
      </x:c>
      <x:c r="S1186"/>
      <x:c r="T1186"/>
      <x:c r="U1186"/>
      <x:c r="V1186" s="59" t="b">
        <x:v>1</x:v>
      </x:c>
      <x:c r="W1186"/>
      <x:c r="X1186" t="str">
        <x:v>offen</x:v>
      </x:c>
      <x:c r="Y1186" t="str">
        <x:v>Agent-Draft; Kategorie und Person pruefen</x:v>
      </x:c>
    </x:row>
    <x:row r="1187">
      <x:c r="A1187" t="str">
        <x:v>TXN-RAW-IMP-20260516-FULLDRAFT-001171</x:v>
      </x:c>
      <x:c r="B1187" t="str">
        <x:v>RAW-IMP-20260516-FULLDRAFT-001171</x:v>
      </x:c>
      <x:c r="C1187" t="str">
        <x:v>KTO001</x:v>
      </x:c>
      <x:c r="D1187"/>
      <x:c r="E1187" t="str">
        <x:v>KAT013</x:v>
      </x:c>
      <x:c r="F1187"/>
      <x:c r="G1187"/>
      <x:c r="H1187" t="str">
        <x:v>kein_match</x:v>
      </x:c>
      <x:c r="I1187" t="str">
        <x:v>Agent-Draft: keine finale Regelentscheidung</x:v>
      </x:c>
      <x:c r="J1187" t="n">
        <x:v>45769</x:v>
      </x:c>
      <x:c r="K1187"/>
      <x:c r="L1187"/>
      <x:c r="M1187" t="n">
        <x:v>-10.5</x:v>
      </x:c>
      <x:c r="N1187" t="str">
        <x:v>2025-04</x:v>
      </x:c>
      <x:c r="O1187" t="str">
        <x:v>Ausgabe</x:v>
      </x:c>
      <x:c r="P1187" t="str">
        <x:v>Ist</x:v>
      </x:c>
      <x:c r="Q1187" s="59" t="b">
        <x:v>0</x:v>
      </x:c>
      <x:c r="R1187" t="str">
        <x:v>kein_transfer</x:v>
      </x:c>
      <x:c r="S1187"/>
      <x:c r="T1187"/>
      <x:c r="U1187"/>
      <x:c r="V1187" s="59" t="b">
        <x:v>1</x:v>
      </x:c>
      <x:c r="W1187"/>
      <x:c r="X1187" t="str">
        <x:v>offen</x:v>
      </x:c>
      <x:c r="Y1187" t="str">
        <x:v>Agent-Draft; Kategorie und Person pruefen</x:v>
      </x:c>
    </x:row>
    <x:row r="1188">
      <x:c r="A1188" t="str">
        <x:v>TXN-RAW-IMP-20260516-FULLDRAFT-001172</x:v>
      </x:c>
      <x:c r="B1188" t="str">
        <x:v>RAW-IMP-20260516-FULLDRAFT-001172</x:v>
      </x:c>
      <x:c r="C1188" t="str">
        <x:v>KTO001</x:v>
      </x:c>
      <x:c r="D1188"/>
      <x:c r="E1188" t="str">
        <x:v>KAT013</x:v>
      </x:c>
      <x:c r="F1188"/>
      <x:c r="G1188"/>
      <x:c r="H1188" t="str">
        <x:v>kein_match</x:v>
      </x:c>
      <x:c r="I1188" t="str">
        <x:v>Agent-Draft: keine finale Regelentscheidung</x:v>
      </x:c>
      <x:c r="J1188" t="n">
        <x:v>45769</x:v>
      </x:c>
      <x:c r="K1188"/>
      <x:c r="L1188"/>
      <x:c r="M1188" t="n">
        <x:v>-20.98</x:v>
      </x:c>
      <x:c r="N1188" t="str">
        <x:v>2025-04</x:v>
      </x:c>
      <x:c r="O1188" t="str">
        <x:v>Ausgabe</x:v>
      </x:c>
      <x:c r="P1188" t="str">
        <x:v>Ist</x:v>
      </x:c>
      <x:c r="Q1188" s="59" t="b">
        <x:v>0</x:v>
      </x:c>
      <x:c r="R1188" t="str">
        <x:v>kein_transfer</x:v>
      </x:c>
      <x:c r="S1188"/>
      <x:c r="T1188"/>
      <x:c r="U1188"/>
      <x:c r="V1188" s="59" t="b">
        <x:v>1</x:v>
      </x:c>
      <x:c r="W1188"/>
      <x:c r="X1188" t="str">
        <x:v>offen</x:v>
      </x:c>
      <x:c r="Y1188" t="str">
        <x:v>Agent-Draft; Kategorie und Person pruefen</x:v>
      </x:c>
    </x:row>
    <x:row r="1189">
      <x:c r="A1189" t="str">
        <x:v>TXN-RAW-IMP-20260516-FULLDRAFT-001173</x:v>
      </x:c>
      <x:c r="B1189" t="str">
        <x:v>RAW-IMP-20260516-FULLDRAFT-001173</x:v>
      </x:c>
      <x:c r="C1189" t="str">
        <x:v>KTO001</x:v>
      </x:c>
      <x:c r="D1189"/>
      <x:c r="E1189" t="str">
        <x:v>KAT013</x:v>
      </x:c>
      <x:c r="F1189"/>
      <x:c r="G1189"/>
      <x:c r="H1189" t="str">
        <x:v>kein_match</x:v>
      </x:c>
      <x:c r="I1189" t="str">
        <x:v>Agent-Draft: keine finale Regelentscheidung</x:v>
      </x:c>
      <x:c r="J1189" t="n">
        <x:v>45769</x:v>
      </x:c>
      <x:c r="K1189"/>
      <x:c r="L1189"/>
      <x:c r="M1189" t="n">
        <x:v>-30</x:v>
      </x:c>
      <x:c r="N1189" t="str">
        <x:v>2025-04</x:v>
      </x:c>
      <x:c r="O1189" t="str">
        <x:v>Ausgabe</x:v>
      </x:c>
      <x:c r="P1189" t="str">
        <x:v>Ist</x:v>
      </x:c>
      <x:c r="Q1189" s="59" t="b">
        <x:v>0</x:v>
      </x:c>
      <x:c r="R1189" t="str">
        <x:v>kein_transfer</x:v>
      </x:c>
      <x:c r="S1189"/>
      <x:c r="T1189"/>
      <x:c r="U1189"/>
      <x:c r="V1189" s="59" t="b">
        <x:v>1</x:v>
      </x:c>
      <x:c r="W1189"/>
      <x:c r="X1189" t="str">
        <x:v>offen</x:v>
      </x:c>
      <x:c r="Y1189" t="str">
        <x:v>Agent-Draft; Kategorie und Person pruefen</x:v>
      </x:c>
    </x:row>
    <x:row r="1190">
      <x:c r="A1190" t="str">
        <x:v>TXN-RAW-IMP-20260516-FULLDRAFT-001174</x:v>
      </x:c>
      <x:c r="B1190" t="str">
        <x:v>RAW-IMP-20260516-FULLDRAFT-001174</x:v>
      </x:c>
      <x:c r="C1190" t="str">
        <x:v>KTO001</x:v>
      </x:c>
      <x:c r="D1190"/>
      <x:c r="E1190" t="str">
        <x:v>KAT013</x:v>
      </x:c>
      <x:c r="F1190"/>
      <x:c r="G1190"/>
      <x:c r="H1190" t="str">
        <x:v>kein_match</x:v>
      </x:c>
      <x:c r="I1190" t="str">
        <x:v>Agent-Draft: keine finale Regelentscheidung</x:v>
      </x:c>
      <x:c r="J1190" t="n">
        <x:v>45769</x:v>
      </x:c>
      <x:c r="K1190"/>
      <x:c r="L1190"/>
      <x:c r="M1190" t="n">
        <x:v>-117.5</x:v>
      </x:c>
      <x:c r="N1190" t="str">
        <x:v>2025-04</x:v>
      </x:c>
      <x:c r="O1190" t="str">
        <x:v>Ausgabe</x:v>
      </x:c>
      <x:c r="P1190" t="str">
        <x:v>Ist</x:v>
      </x:c>
      <x:c r="Q1190" s="59" t="b">
        <x:v>0</x:v>
      </x:c>
      <x:c r="R1190" t="str">
        <x:v>kein_transfer</x:v>
      </x:c>
      <x:c r="S1190"/>
      <x:c r="T1190"/>
      <x:c r="U1190"/>
      <x:c r="V1190" s="59" t="b">
        <x:v>1</x:v>
      </x:c>
      <x:c r="W1190"/>
      <x:c r="X1190" t="str">
        <x:v>offen</x:v>
      </x:c>
      <x:c r="Y1190" t="str">
        <x:v>Agent-Draft; Kategorie und Person pruefen</x:v>
      </x:c>
    </x:row>
    <x:row r="1191">
      <x:c r="A1191" t="str">
        <x:v>TXN-RAW-IMP-20260516-FULLDRAFT-001175</x:v>
      </x:c>
      <x:c r="B1191" t="str">
        <x:v>RAW-IMP-20260516-FULLDRAFT-001175</x:v>
      </x:c>
      <x:c r="C1191" t="str">
        <x:v>KTO001</x:v>
      </x:c>
      <x:c r="D1191"/>
      <x:c r="E1191" t="str">
        <x:v>KAT013</x:v>
      </x:c>
      <x:c r="F1191"/>
      <x:c r="G1191"/>
      <x:c r="H1191" t="str">
        <x:v>kein_match</x:v>
      </x:c>
      <x:c r="I1191" t="str">
        <x:v>Agent-Draft: keine finale Regelentscheidung</x:v>
      </x:c>
      <x:c r="J1191" t="n">
        <x:v>45769</x:v>
      </x:c>
      <x:c r="K1191"/>
      <x:c r="L1191"/>
      <x:c r="M1191" t="n">
        <x:v>-70</x:v>
      </x:c>
      <x:c r="N1191" t="str">
        <x:v>2025-04</x:v>
      </x:c>
      <x:c r="O1191" t="str">
        <x:v>Ausgabe</x:v>
      </x:c>
      <x:c r="P1191" t="str">
        <x:v>Ist</x:v>
      </x:c>
      <x:c r="Q1191" s="59" t="b">
        <x:v>0</x:v>
      </x:c>
      <x:c r="R1191" t="str">
        <x:v>kein_transfer</x:v>
      </x:c>
      <x:c r="S1191"/>
      <x:c r="T1191"/>
      <x:c r="U1191"/>
      <x:c r="V1191" s="59" t="b">
        <x:v>1</x:v>
      </x:c>
      <x:c r="W1191"/>
      <x:c r="X1191" t="str">
        <x:v>offen</x:v>
      </x:c>
      <x:c r="Y1191" t="str">
        <x:v>Agent-Draft; Kategorie und Person pruefen</x:v>
      </x:c>
    </x:row>
    <x:row r="1192">
      <x:c r="A1192" t="str">
        <x:v>TXN-RAW-IMP-20260516-FULLDRAFT-001176</x:v>
      </x:c>
      <x:c r="B1192" t="str">
        <x:v>RAW-IMP-20260516-FULLDRAFT-001176</x:v>
      </x:c>
      <x:c r="C1192" t="str">
        <x:v>KTO001</x:v>
      </x:c>
      <x:c r="D1192"/>
      <x:c r="E1192" t="str">
        <x:v>KAT013</x:v>
      </x:c>
      <x:c r="F1192"/>
      <x:c r="G1192"/>
      <x:c r="H1192" t="str">
        <x:v>kein_match</x:v>
      </x:c>
      <x:c r="I1192" t="str">
        <x:v>Agent-Draft: keine finale Regelentscheidung</x:v>
      </x:c>
      <x:c r="J1192" t="n">
        <x:v>45769</x:v>
      </x:c>
      <x:c r="K1192"/>
      <x:c r="L1192"/>
      <x:c r="M1192" t="n">
        <x:v>-4.99</x:v>
      </x:c>
      <x:c r="N1192" t="str">
        <x:v>2025-04</x:v>
      </x:c>
      <x:c r="O1192" t="str">
        <x:v>Ausgabe</x:v>
      </x:c>
      <x:c r="P1192" t="str">
        <x:v>Ist</x:v>
      </x:c>
      <x:c r="Q1192" s="59" t="b">
        <x:v>0</x:v>
      </x:c>
      <x:c r="R1192" t="str">
        <x:v>kein_transfer</x:v>
      </x:c>
      <x:c r="S1192"/>
      <x:c r="T1192"/>
      <x:c r="U1192"/>
      <x:c r="V1192" s="59" t="b">
        <x:v>1</x:v>
      </x:c>
      <x:c r="W1192"/>
      <x:c r="X1192" t="str">
        <x:v>offen</x:v>
      </x:c>
      <x:c r="Y1192" t="str">
        <x:v>Agent-Draft; Kategorie und Person pruefen</x:v>
      </x:c>
    </x:row>
    <x:row r="1193">
      <x:c r="A1193" t="str">
        <x:v>TXN-RAW-IMP-20260516-FULLDRAFT-001177</x:v>
      </x:c>
      <x:c r="B1193" t="str">
        <x:v>RAW-IMP-20260516-FULLDRAFT-001177</x:v>
      </x:c>
      <x:c r="C1193" t="str">
        <x:v>KTO001</x:v>
      </x:c>
      <x:c r="D1193"/>
      <x:c r="E1193" t="str">
        <x:v>KAT013</x:v>
      </x:c>
      <x:c r="F1193"/>
      <x:c r="G1193"/>
      <x:c r="H1193" t="str">
        <x:v>kein_match</x:v>
      </x:c>
      <x:c r="I1193" t="str">
        <x:v>Agent-Draft: keine finale Regelentscheidung</x:v>
      </x:c>
      <x:c r="J1193" t="n">
        <x:v>45769</x:v>
      </x:c>
      <x:c r="K1193"/>
      <x:c r="L1193"/>
      <x:c r="M1193" t="n">
        <x:v>-3.2</x:v>
      </x:c>
      <x:c r="N1193" t="str">
        <x:v>2025-04</x:v>
      </x:c>
      <x:c r="O1193" t="str">
        <x:v>Ausgabe</x:v>
      </x:c>
      <x:c r="P1193" t="str">
        <x:v>Ist</x:v>
      </x:c>
      <x:c r="Q1193" s="59" t="b">
        <x:v>0</x:v>
      </x:c>
      <x:c r="R1193" t="str">
        <x:v>kein_transfer</x:v>
      </x:c>
      <x:c r="S1193"/>
      <x:c r="T1193"/>
      <x:c r="U1193"/>
      <x:c r="V1193" s="59" t="b">
        <x:v>1</x:v>
      </x:c>
      <x:c r="W1193"/>
      <x:c r="X1193" t="str">
        <x:v>offen</x:v>
      </x:c>
      <x:c r="Y1193" t="str">
        <x:v>Agent-Draft; Kategorie und Person pruefen</x:v>
      </x:c>
    </x:row>
    <x:row r="1194">
      <x:c r="A1194" t="str">
        <x:v>TXN-RAW-IMP-20260516-FULLDRAFT-001178</x:v>
      </x:c>
      <x:c r="B1194" t="str">
        <x:v>RAW-IMP-20260516-FULLDRAFT-001178</x:v>
      </x:c>
      <x:c r="C1194" t="str">
        <x:v>KTO001</x:v>
      </x:c>
      <x:c r="D1194"/>
      <x:c r="E1194" t="str">
        <x:v>KAT013</x:v>
      </x:c>
      <x:c r="F1194"/>
      <x:c r="G1194"/>
      <x:c r="H1194" t="str">
        <x:v>kein_match</x:v>
      </x:c>
      <x:c r="I1194" t="str">
        <x:v>Agent-Draft: keine finale Regelentscheidung</x:v>
      </x:c>
      <x:c r="J1194" t="n">
        <x:v>45769</x:v>
      </x:c>
      <x:c r="K1194"/>
      <x:c r="L1194"/>
      <x:c r="M1194" t="n">
        <x:v>-0.99</x:v>
      </x:c>
      <x:c r="N1194" t="str">
        <x:v>2025-04</x:v>
      </x:c>
      <x:c r="O1194" t="str">
        <x:v>Ausgabe</x:v>
      </x:c>
      <x:c r="P1194" t="str">
        <x:v>Ist</x:v>
      </x:c>
      <x:c r="Q1194" s="59" t="b">
        <x:v>0</x:v>
      </x:c>
      <x:c r="R1194" t="str">
        <x:v>kein_transfer</x:v>
      </x:c>
      <x:c r="S1194"/>
      <x:c r="T1194"/>
      <x:c r="U1194"/>
      <x:c r="V1194" s="59" t="b">
        <x:v>1</x:v>
      </x:c>
      <x:c r="W1194"/>
      <x:c r="X1194" t="str">
        <x:v>offen</x:v>
      </x:c>
      <x:c r="Y1194" t="str">
        <x:v>Agent-Draft; Kategorie und Person pruefen</x:v>
      </x:c>
    </x:row>
    <x:row r="1195">
      <x:c r="A1195" t="str">
        <x:v>TXN-RAW-IMP-20260516-FULLDRAFT-001179</x:v>
      </x:c>
      <x:c r="B1195" t="str">
        <x:v>RAW-IMP-20260516-FULLDRAFT-001179</x:v>
      </x:c>
      <x:c r="C1195" t="str">
        <x:v>KTO001</x:v>
      </x:c>
      <x:c r="D1195"/>
      <x:c r="E1195" t="str">
        <x:v>KAT013</x:v>
      </x:c>
      <x:c r="F1195"/>
      <x:c r="G1195"/>
      <x:c r="H1195" t="str">
        <x:v>kein_match</x:v>
      </x:c>
      <x:c r="I1195" t="str">
        <x:v>Agent-Draft: keine finale Regelentscheidung</x:v>
      </x:c>
      <x:c r="J1195" t="n">
        <x:v>45769</x:v>
      </x:c>
      <x:c r="K1195"/>
      <x:c r="L1195"/>
      <x:c r="M1195" t="n">
        <x:v>-0.99</x:v>
      </x:c>
      <x:c r="N1195" t="str">
        <x:v>2025-04</x:v>
      </x:c>
      <x:c r="O1195" t="str">
        <x:v>Ausgabe</x:v>
      </x:c>
      <x:c r="P1195" t="str">
        <x:v>Ist</x:v>
      </x:c>
      <x:c r="Q1195" s="59" t="b">
        <x:v>0</x:v>
      </x:c>
      <x:c r="R1195" t="str">
        <x:v>kein_transfer</x:v>
      </x:c>
      <x:c r="S1195"/>
      <x:c r="T1195"/>
      <x:c r="U1195"/>
      <x:c r="V1195" s="59" t="b">
        <x:v>1</x:v>
      </x:c>
      <x:c r="W1195"/>
      <x:c r="X1195" t="str">
        <x:v>offen</x:v>
      </x:c>
      <x:c r="Y1195" t="str">
        <x:v>Agent-Draft; Kategorie und Person pruefen</x:v>
      </x:c>
    </x:row>
    <x:row r="1196">
      <x:c r="A1196" t="str">
        <x:v>TXN-RAW-IMP-20260516-FULLDRAFT-001180</x:v>
      </x:c>
      <x:c r="B1196" t="str">
        <x:v>RAW-IMP-20260516-FULLDRAFT-001180</x:v>
      </x:c>
      <x:c r="C1196" t="str">
        <x:v>KTO001</x:v>
      </x:c>
      <x:c r="D1196"/>
      <x:c r="E1196" t="str">
        <x:v>KAT013</x:v>
      </x:c>
      <x:c r="F1196"/>
      <x:c r="G1196"/>
      <x:c r="H1196" t="str">
        <x:v>kein_match</x:v>
      </x:c>
      <x:c r="I1196" t="str">
        <x:v>Agent-Draft: keine finale Regelentscheidung</x:v>
      </x:c>
      <x:c r="J1196" t="n">
        <x:v>45764</x:v>
      </x:c>
      <x:c r="K1196"/>
      <x:c r="L1196"/>
      <x:c r="M1196" t="n">
        <x:v>-30.66</x:v>
      </x:c>
      <x:c r="N1196" t="str">
        <x:v>2025-04</x:v>
      </x:c>
      <x:c r="O1196" t="str">
        <x:v>Ausgabe</x:v>
      </x:c>
      <x:c r="P1196" t="str">
        <x:v>Ist</x:v>
      </x:c>
      <x:c r="Q1196" s="59" t="b">
        <x:v>0</x:v>
      </x:c>
      <x:c r="R1196" t="str">
        <x:v>kein_transfer</x:v>
      </x:c>
      <x:c r="S1196"/>
      <x:c r="T1196"/>
      <x:c r="U1196"/>
      <x:c r="V1196" s="59" t="b">
        <x:v>1</x:v>
      </x:c>
      <x:c r="W1196"/>
      <x:c r="X1196" t="str">
        <x:v>offen</x:v>
      </x:c>
      <x:c r="Y1196" t="str">
        <x:v>Agent-Draft; Kategorie und Person pruefen</x:v>
      </x:c>
    </x:row>
    <x:row r="1197">
      <x:c r="A1197" t="str">
        <x:v>TXN-RAW-IMP-20260516-FULLDRAFT-001181</x:v>
      </x:c>
      <x:c r="B1197" t="str">
        <x:v>RAW-IMP-20260516-FULLDRAFT-001181</x:v>
      </x:c>
      <x:c r="C1197" t="str">
        <x:v>KTO001</x:v>
      </x:c>
      <x:c r="D1197"/>
      <x:c r="E1197" t="str">
        <x:v>KAT013</x:v>
      </x:c>
      <x:c r="F1197"/>
      <x:c r="G1197"/>
      <x:c r="H1197" t="str">
        <x:v>kein_match</x:v>
      </x:c>
      <x:c r="I1197" t="str">
        <x:v>Agent-Draft: keine finale Regelentscheidung</x:v>
      </x:c>
      <x:c r="J1197" t="n">
        <x:v>45764</x:v>
      </x:c>
      <x:c r="K1197"/>
      <x:c r="L1197"/>
      <x:c r="M1197" t="n">
        <x:v>-14.41</x:v>
      </x:c>
      <x:c r="N1197" t="str">
        <x:v>2025-04</x:v>
      </x:c>
      <x:c r="O1197" t="str">
        <x:v>Ausgabe</x:v>
      </x:c>
      <x:c r="P1197" t="str">
        <x:v>Ist</x:v>
      </x:c>
      <x:c r="Q1197" s="59" t="b">
        <x:v>0</x:v>
      </x:c>
      <x:c r="R1197" t="str">
        <x:v>kein_transfer</x:v>
      </x:c>
      <x:c r="S1197"/>
      <x:c r="T1197"/>
      <x:c r="U1197"/>
      <x:c r="V1197" s="59" t="b">
        <x:v>1</x:v>
      </x:c>
      <x:c r="W1197"/>
      <x:c r="X1197" t="str">
        <x:v>offen</x:v>
      </x:c>
      <x:c r="Y1197" t="str">
        <x:v>Agent-Draft; Kategorie und Person pruefen</x:v>
      </x:c>
    </x:row>
    <x:row r="1198">
      <x:c r="A1198" t="str">
        <x:v>TXN-RAW-IMP-20260516-FULLDRAFT-001182</x:v>
      </x:c>
      <x:c r="B1198" t="str">
        <x:v>RAW-IMP-20260516-FULLDRAFT-001182</x:v>
      </x:c>
      <x:c r="C1198" t="str">
        <x:v>KTO001</x:v>
      </x:c>
      <x:c r="D1198"/>
      <x:c r="E1198" t="str">
        <x:v>KAT013</x:v>
      </x:c>
      <x:c r="F1198"/>
      <x:c r="G1198"/>
      <x:c r="H1198" t="str">
        <x:v>kein_match</x:v>
      </x:c>
      <x:c r="I1198" t="str">
        <x:v>Agent-Draft: keine finale Regelentscheidung</x:v>
      </x:c>
      <x:c r="J1198" t="n">
        <x:v>45764</x:v>
      </x:c>
      <x:c r="K1198"/>
      <x:c r="L1198"/>
      <x:c r="M1198" t="n">
        <x:v>-8.5</x:v>
      </x:c>
      <x:c r="N1198" t="str">
        <x:v>2025-04</x:v>
      </x:c>
      <x:c r="O1198" t="str">
        <x:v>Ausgabe</x:v>
      </x:c>
      <x:c r="P1198" t="str">
        <x:v>Ist</x:v>
      </x:c>
      <x:c r="Q1198" s="59" t="b">
        <x:v>0</x:v>
      </x:c>
      <x:c r="R1198" t="str">
        <x:v>kein_transfer</x:v>
      </x:c>
      <x:c r="S1198"/>
      <x:c r="T1198"/>
      <x:c r="U1198"/>
      <x:c r="V1198" s="59" t="b">
        <x:v>1</x:v>
      </x:c>
      <x:c r="W1198"/>
      <x:c r="X1198" t="str">
        <x:v>offen</x:v>
      </x:c>
      <x:c r="Y1198" t="str">
        <x:v>Agent-Draft; Kategorie und Person pruefen</x:v>
      </x:c>
    </x:row>
    <x:row r="1199">
      <x:c r="A1199" t="str">
        <x:v>TXN-RAW-IMP-20260516-FULLDRAFT-001183</x:v>
      </x:c>
      <x:c r="B1199" t="str">
        <x:v>RAW-IMP-20260516-FULLDRAFT-001183</x:v>
      </x:c>
      <x:c r="C1199" t="str">
        <x:v>KTO001</x:v>
      </x:c>
      <x:c r="D1199"/>
      <x:c r="E1199" t="str">
        <x:v>KAT013</x:v>
      </x:c>
      <x:c r="F1199"/>
      <x:c r="G1199"/>
      <x:c r="H1199" t="str">
        <x:v>kein_match</x:v>
      </x:c>
      <x:c r="I1199" t="str">
        <x:v>Agent-Draft: keine finale Regelentscheidung</x:v>
      </x:c>
      <x:c r="J1199" t="n">
        <x:v>45764</x:v>
      </x:c>
      <x:c r="K1199"/>
      <x:c r="L1199"/>
      <x:c r="M1199" t="n">
        <x:v>-6.99</x:v>
      </x:c>
      <x:c r="N1199" t="str">
        <x:v>2025-04</x:v>
      </x:c>
      <x:c r="O1199" t="str">
        <x:v>Ausgabe</x:v>
      </x:c>
      <x:c r="P1199" t="str">
        <x:v>Ist</x:v>
      </x:c>
      <x:c r="Q1199" s="59" t="b">
        <x:v>0</x:v>
      </x:c>
      <x:c r="R1199" t="str">
        <x:v>kein_transfer</x:v>
      </x:c>
      <x:c r="S1199"/>
      <x:c r="T1199"/>
      <x:c r="U1199"/>
      <x:c r="V1199" s="59" t="b">
        <x:v>1</x:v>
      </x:c>
      <x:c r="W1199"/>
      <x:c r="X1199" t="str">
        <x:v>offen</x:v>
      </x:c>
      <x:c r="Y1199" t="str">
        <x:v>Agent-Draft; Kategorie und Person pruefen</x:v>
      </x:c>
    </x:row>
    <x:row r="1200">
      <x:c r="A1200" t="str">
        <x:v>TXN-RAW-IMP-20260516-FULLDRAFT-001184</x:v>
      </x:c>
      <x:c r="B1200" t="str">
        <x:v>RAW-IMP-20260516-FULLDRAFT-001184</x:v>
      </x:c>
      <x:c r="C1200" t="str">
        <x:v>KTO001</x:v>
      </x:c>
      <x:c r="D1200"/>
      <x:c r="E1200" t="str">
        <x:v>KAT013</x:v>
      </x:c>
      <x:c r="F1200"/>
      <x:c r="G1200"/>
      <x:c r="H1200" t="str">
        <x:v>kein_match</x:v>
      </x:c>
      <x:c r="I1200" t="str">
        <x:v>Agent-Draft: keine finale Regelentscheidung</x:v>
      </x:c>
      <x:c r="J1200" t="n">
        <x:v>45764</x:v>
      </x:c>
      <x:c r="K1200"/>
      <x:c r="L1200"/>
      <x:c r="M1200" t="n">
        <x:v>-6.99</x:v>
      </x:c>
      <x:c r="N1200" t="str">
        <x:v>2025-04</x:v>
      </x:c>
      <x:c r="O1200" t="str">
        <x:v>Ausgabe</x:v>
      </x:c>
      <x:c r="P1200" t="str">
        <x:v>Ist</x:v>
      </x:c>
      <x:c r="Q1200" s="59" t="b">
        <x:v>0</x:v>
      </x:c>
      <x:c r="R1200" t="str">
        <x:v>kein_transfer</x:v>
      </x:c>
      <x:c r="S1200"/>
      <x:c r="T1200"/>
      <x:c r="U1200"/>
      <x:c r="V1200" s="59" t="b">
        <x:v>1</x:v>
      </x:c>
      <x:c r="W1200"/>
      <x:c r="X1200" t="str">
        <x:v>offen</x:v>
      </x:c>
      <x:c r="Y1200" t="str">
        <x:v>Agent-Draft; Kategorie und Person pruefen</x:v>
      </x:c>
    </x:row>
    <x:row r="1201">
      <x:c r="A1201" t="str">
        <x:v>TXN-RAW-IMP-20260516-FULLDRAFT-001185</x:v>
      </x:c>
      <x:c r="B1201" t="str">
        <x:v>RAW-IMP-20260516-FULLDRAFT-001185</x:v>
      </x:c>
      <x:c r="C1201" t="str">
        <x:v>KTO001</x:v>
      </x:c>
      <x:c r="D1201"/>
      <x:c r="E1201" t="str">
        <x:v>KAT013</x:v>
      </x:c>
      <x:c r="F1201"/>
      <x:c r="G1201"/>
      <x:c r="H1201" t="str">
        <x:v>kein_match</x:v>
      </x:c>
      <x:c r="I1201" t="str">
        <x:v>Agent-Draft: keine finale Regelentscheidung</x:v>
      </x:c>
      <x:c r="J1201" t="n">
        <x:v>45764</x:v>
      </x:c>
      <x:c r="K1201"/>
      <x:c r="L1201"/>
      <x:c r="M1201" t="n">
        <x:v>-6.99</x:v>
      </x:c>
      <x:c r="N1201" t="str">
        <x:v>2025-04</x:v>
      </x:c>
      <x:c r="O1201" t="str">
        <x:v>Ausgabe</x:v>
      </x:c>
      <x:c r="P1201" t="str">
        <x:v>Ist</x:v>
      </x:c>
      <x:c r="Q1201" s="59" t="b">
        <x:v>0</x:v>
      </x:c>
      <x:c r="R1201" t="str">
        <x:v>kein_transfer</x:v>
      </x:c>
      <x:c r="S1201"/>
      <x:c r="T1201"/>
      <x:c r="U1201"/>
      <x:c r="V1201" s="59" t="b">
        <x:v>1</x:v>
      </x:c>
      <x:c r="W1201"/>
      <x:c r="X1201" t="str">
        <x:v>offen</x:v>
      </x:c>
      <x:c r="Y1201" t="str">
        <x:v>Agent-Draft; Kategorie und Person pruefen</x:v>
      </x:c>
    </x:row>
    <x:row r="1202">
      <x:c r="A1202" t="str">
        <x:v>TXN-RAW-IMP-20260516-FULLDRAFT-001186</x:v>
      </x:c>
      <x:c r="B1202" t="str">
        <x:v>RAW-IMP-20260516-FULLDRAFT-001186</x:v>
      </x:c>
      <x:c r="C1202" t="str">
        <x:v>KTO001</x:v>
      </x:c>
      <x:c r="D1202"/>
      <x:c r="E1202" t="str">
        <x:v>KAT013</x:v>
      </x:c>
      <x:c r="F1202"/>
      <x:c r="G1202"/>
      <x:c r="H1202" t="str">
        <x:v>kein_match</x:v>
      </x:c>
      <x:c r="I1202" t="str">
        <x:v>Agent-Draft: keine finale Regelentscheidung</x:v>
      </x:c>
      <x:c r="J1202" t="n">
        <x:v>45763</x:v>
      </x:c>
      <x:c r="K1202"/>
      <x:c r="L1202"/>
      <x:c r="M1202" t="n">
        <x:v>-15.95</x:v>
      </x:c>
      <x:c r="N1202" t="str">
        <x:v>2025-04</x:v>
      </x:c>
      <x:c r="O1202" t="str">
        <x:v>Ausgabe</x:v>
      </x:c>
      <x:c r="P1202" t="str">
        <x:v>Ist</x:v>
      </x:c>
      <x:c r="Q1202" s="59" t="b">
        <x:v>0</x:v>
      </x:c>
      <x:c r="R1202" t="str">
        <x:v>kein_transfer</x:v>
      </x:c>
      <x:c r="S1202"/>
      <x:c r="T1202"/>
      <x:c r="U1202"/>
      <x:c r="V1202" s="59" t="b">
        <x:v>1</x:v>
      </x:c>
      <x:c r="W1202"/>
      <x:c r="X1202" t="str">
        <x:v>offen</x:v>
      </x:c>
      <x:c r="Y1202" t="str">
        <x:v>Agent-Draft; Kategorie und Person pruefen</x:v>
      </x:c>
    </x:row>
    <x:row r="1203">
      <x:c r="A1203" t="str">
        <x:v>TXN-RAW-IMP-20260516-FULLDRAFT-001187</x:v>
      </x:c>
      <x:c r="B1203" t="str">
        <x:v>RAW-IMP-20260516-FULLDRAFT-001187</x:v>
      </x:c>
      <x:c r="C1203" t="str">
        <x:v>KTO001</x:v>
      </x:c>
      <x:c r="D1203"/>
      <x:c r="E1203" t="str">
        <x:v>KAT013</x:v>
      </x:c>
      <x:c r="F1203"/>
      <x:c r="G1203"/>
      <x:c r="H1203" t="str">
        <x:v>kein_match</x:v>
      </x:c>
      <x:c r="I1203" t="str">
        <x:v>Agent-Draft: keine finale Regelentscheidung</x:v>
      </x:c>
      <x:c r="J1203" t="n">
        <x:v>45761</x:v>
      </x:c>
      <x:c r="K1203"/>
      <x:c r="L1203"/>
      <x:c r="M1203" t="n">
        <x:v>-10.99</x:v>
      </x:c>
      <x:c r="N1203" t="str">
        <x:v>2025-04</x:v>
      </x:c>
      <x:c r="O1203" t="str">
        <x:v>Ausgabe</x:v>
      </x:c>
      <x:c r="P1203" t="str">
        <x:v>Ist</x:v>
      </x:c>
      <x:c r="Q1203" s="59" t="b">
        <x:v>0</x:v>
      </x:c>
      <x:c r="R1203" t="str">
        <x:v>kein_transfer</x:v>
      </x:c>
      <x:c r="S1203"/>
      <x:c r="T1203"/>
      <x:c r="U1203"/>
      <x:c r="V1203" s="59" t="b">
        <x:v>1</x:v>
      </x:c>
      <x:c r="W1203"/>
      <x:c r="X1203" t="str">
        <x:v>offen</x:v>
      </x:c>
      <x:c r="Y1203" t="str">
        <x:v>Agent-Draft; Kategorie und Person pruefen</x:v>
      </x:c>
    </x:row>
    <x:row r="1204">
      <x:c r="A1204" t="str">
        <x:v>TXN-RAW-IMP-20260516-FULLDRAFT-001188</x:v>
      </x:c>
      <x:c r="B1204" t="str">
        <x:v>RAW-IMP-20260516-FULLDRAFT-001188</x:v>
      </x:c>
      <x:c r="C1204" t="str">
        <x:v>KTO001</x:v>
      </x:c>
      <x:c r="D1204"/>
      <x:c r="E1204" t="str">
        <x:v>KAT013</x:v>
      </x:c>
      <x:c r="F1204"/>
      <x:c r="G1204"/>
      <x:c r="H1204" t="str">
        <x:v>kein_match</x:v>
      </x:c>
      <x:c r="I1204" t="str">
        <x:v>Agent-Draft: keine finale Regelentscheidung</x:v>
      </x:c>
      <x:c r="J1204" t="n">
        <x:v>45761</x:v>
      </x:c>
      <x:c r="K1204"/>
      <x:c r="L1204"/>
      <x:c r="M1204" t="n">
        <x:v>-92.55</x:v>
      </x:c>
      <x:c r="N1204" t="str">
        <x:v>2025-04</x:v>
      </x:c>
      <x:c r="O1204" t="str">
        <x:v>Ausgabe</x:v>
      </x:c>
      <x:c r="P1204" t="str">
        <x:v>Ist</x:v>
      </x:c>
      <x:c r="Q1204" s="59" t="b">
        <x:v>0</x:v>
      </x:c>
      <x:c r="R1204" t="str">
        <x:v>kein_transfer</x:v>
      </x:c>
      <x:c r="S1204"/>
      <x:c r="T1204"/>
      <x:c r="U1204"/>
      <x:c r="V1204" s="59" t="b">
        <x:v>1</x:v>
      </x:c>
      <x:c r="W1204"/>
      <x:c r="X1204" t="str">
        <x:v>offen</x:v>
      </x:c>
      <x:c r="Y1204" t="str">
        <x:v>Agent-Draft; Kategorie und Person pruefen</x:v>
      </x:c>
    </x:row>
    <x:row r="1205">
      <x:c r="A1205" t="str">
        <x:v>TXN-RAW-IMP-20260516-FULLDRAFT-001189</x:v>
      </x:c>
      <x:c r="B1205" t="str">
        <x:v>RAW-IMP-20260516-FULLDRAFT-001189</x:v>
      </x:c>
      <x:c r="C1205" t="str">
        <x:v>KTO001</x:v>
      </x:c>
      <x:c r="D1205"/>
      <x:c r="E1205" t="str">
        <x:v>KAT013</x:v>
      </x:c>
      <x:c r="F1205"/>
      <x:c r="G1205"/>
      <x:c r="H1205" t="str">
        <x:v>kein_match</x:v>
      </x:c>
      <x:c r="I1205" t="str">
        <x:v>Agent-Draft: keine finale Regelentscheidung</x:v>
      </x:c>
      <x:c r="J1205" t="n">
        <x:v>45761</x:v>
      </x:c>
      <x:c r="K1205"/>
      <x:c r="L1205"/>
      <x:c r="M1205" t="n">
        <x:v>-33.2</x:v>
      </x:c>
      <x:c r="N1205" t="str">
        <x:v>2025-04</x:v>
      </x:c>
      <x:c r="O1205" t="str">
        <x:v>Ausgabe</x:v>
      </x:c>
      <x:c r="P1205" t="str">
        <x:v>Ist</x:v>
      </x:c>
      <x:c r="Q1205" s="59" t="b">
        <x:v>0</x:v>
      </x:c>
      <x:c r="R1205" t="str">
        <x:v>kein_transfer</x:v>
      </x:c>
      <x:c r="S1205"/>
      <x:c r="T1205"/>
      <x:c r="U1205"/>
      <x:c r="V1205" s="59" t="b">
        <x:v>1</x:v>
      </x:c>
      <x:c r="W1205"/>
      <x:c r="X1205" t="str">
        <x:v>offen</x:v>
      </x:c>
      <x:c r="Y1205" t="str">
        <x:v>Agent-Draft; Kategorie und Person pruefen</x:v>
      </x:c>
    </x:row>
    <x:row r="1206">
      <x:c r="A1206" t="str">
        <x:v>TXN-RAW-IMP-20260516-FULLDRAFT-001190</x:v>
      </x:c>
      <x:c r="B1206" t="str">
        <x:v>RAW-IMP-20260516-FULLDRAFT-001190</x:v>
      </x:c>
      <x:c r="C1206" t="str">
        <x:v>KTO001</x:v>
      </x:c>
      <x:c r="D1206"/>
      <x:c r="E1206" t="str">
        <x:v>KAT013</x:v>
      </x:c>
      <x:c r="F1206"/>
      <x:c r="G1206"/>
      <x:c r="H1206" t="str">
        <x:v>kein_match</x:v>
      </x:c>
      <x:c r="I1206" t="str">
        <x:v>Agent-Draft: keine finale Regelentscheidung</x:v>
      </x:c>
      <x:c r="J1206" t="n">
        <x:v>45761</x:v>
      </x:c>
      <x:c r="K1206"/>
      <x:c r="L1206"/>
      <x:c r="M1206" t="n">
        <x:v>-81.39</x:v>
      </x:c>
      <x:c r="N1206" t="str">
        <x:v>2025-04</x:v>
      </x:c>
      <x:c r="O1206" t="str">
        <x:v>Ausgabe</x:v>
      </x:c>
      <x:c r="P1206" t="str">
        <x:v>Ist</x:v>
      </x:c>
      <x:c r="Q1206" s="59" t="b">
        <x:v>0</x:v>
      </x:c>
      <x:c r="R1206" t="str">
        <x:v>kein_transfer</x:v>
      </x:c>
      <x:c r="S1206"/>
      <x:c r="T1206"/>
      <x:c r="U1206"/>
      <x:c r="V1206" s="59" t="b">
        <x:v>1</x:v>
      </x:c>
      <x:c r="W1206"/>
      <x:c r="X1206" t="str">
        <x:v>offen</x:v>
      </x:c>
      <x:c r="Y1206" t="str">
        <x:v>Agent-Draft; Kategorie und Person pruefen</x:v>
      </x:c>
    </x:row>
    <x:row r="1207">
      <x:c r="A1207" t="str">
        <x:v>TXN-RAW-IMP-20260516-FULLDRAFT-001191</x:v>
      </x:c>
      <x:c r="B1207" t="str">
        <x:v>RAW-IMP-20260516-FULLDRAFT-001191</x:v>
      </x:c>
      <x:c r="C1207" t="str">
        <x:v>KTO001</x:v>
      </x:c>
      <x:c r="D1207"/>
      <x:c r="E1207" t="str">
        <x:v>KAT013</x:v>
      </x:c>
      <x:c r="F1207"/>
      <x:c r="G1207"/>
      <x:c r="H1207" t="str">
        <x:v>kein_match</x:v>
      </x:c>
      <x:c r="I1207" t="str">
        <x:v>Agent-Draft: keine finale Regelentscheidung</x:v>
      </x:c>
      <x:c r="J1207" t="n">
        <x:v>45761</x:v>
      </x:c>
      <x:c r="K1207"/>
      <x:c r="L1207"/>
      <x:c r="M1207" t="n">
        <x:v>-35</x:v>
      </x:c>
      <x:c r="N1207" t="str">
        <x:v>2025-04</x:v>
      </x:c>
      <x:c r="O1207" t="str">
        <x:v>Ausgabe</x:v>
      </x:c>
      <x:c r="P1207" t="str">
        <x:v>Ist</x:v>
      </x:c>
      <x:c r="Q1207" s="59" t="b">
        <x:v>0</x:v>
      </x:c>
      <x:c r="R1207" t="str">
        <x:v>kein_transfer</x:v>
      </x:c>
      <x:c r="S1207"/>
      <x:c r="T1207"/>
      <x:c r="U1207"/>
      <x:c r="V1207" s="59" t="b">
        <x:v>1</x:v>
      </x:c>
      <x:c r="W1207"/>
      <x:c r="X1207" t="str">
        <x:v>offen</x:v>
      </x:c>
      <x:c r="Y1207" t="str">
        <x:v>Agent-Draft; Kategorie und Person pruefen</x:v>
      </x:c>
    </x:row>
    <x:row r="1208">
      <x:c r="A1208" t="str">
        <x:v>TXN-RAW-IMP-20260516-FULLDRAFT-001192</x:v>
      </x:c>
      <x:c r="B1208" t="str">
        <x:v>RAW-IMP-20260516-FULLDRAFT-001192</x:v>
      </x:c>
      <x:c r="C1208" t="str">
        <x:v>KTO001</x:v>
      </x:c>
      <x:c r="D1208"/>
      <x:c r="E1208" t="str">
        <x:v>KAT013</x:v>
      </x:c>
      <x:c r="F1208"/>
      <x:c r="G1208"/>
      <x:c r="H1208" t="str">
        <x:v>kein_match</x:v>
      </x:c>
      <x:c r="I1208" t="str">
        <x:v>Agent-Draft: keine finale Regelentscheidung</x:v>
      </x:c>
      <x:c r="J1208" t="n">
        <x:v>45761</x:v>
      </x:c>
      <x:c r="K1208"/>
      <x:c r="L1208"/>
      <x:c r="M1208" t="n">
        <x:v>-17.6</x:v>
      </x:c>
      <x:c r="N1208" t="str">
        <x:v>2025-04</x:v>
      </x:c>
      <x:c r="O1208" t="str">
        <x:v>Ausgabe</x:v>
      </x:c>
      <x:c r="P1208" t="str">
        <x:v>Ist</x:v>
      </x:c>
      <x:c r="Q1208" s="59" t="b">
        <x:v>0</x:v>
      </x:c>
      <x:c r="R1208" t="str">
        <x:v>kein_transfer</x:v>
      </x:c>
      <x:c r="S1208"/>
      <x:c r="T1208"/>
      <x:c r="U1208"/>
      <x:c r="V1208" s="59" t="b">
        <x:v>1</x:v>
      </x:c>
      <x:c r="W1208"/>
      <x:c r="X1208" t="str">
        <x:v>offen</x:v>
      </x:c>
      <x:c r="Y1208" t="str">
        <x:v>Agent-Draft; Kategorie und Person pruefen</x:v>
      </x:c>
    </x:row>
    <x:row r="1209">
      <x:c r="A1209" t="str">
        <x:v>TXN-RAW-IMP-20260516-FULLDRAFT-001193</x:v>
      </x:c>
      <x:c r="B1209" t="str">
        <x:v>RAW-IMP-20260516-FULLDRAFT-001193</x:v>
      </x:c>
      <x:c r="C1209" t="str">
        <x:v>KTO001</x:v>
      </x:c>
      <x:c r="D1209"/>
      <x:c r="E1209" t="str">
        <x:v>KAT013</x:v>
      </x:c>
      <x:c r="F1209"/>
      <x:c r="G1209"/>
      <x:c r="H1209" t="str">
        <x:v>kein_match</x:v>
      </x:c>
      <x:c r="I1209" t="str">
        <x:v>Agent-Draft: keine finale Regelentscheidung</x:v>
      </x:c>
      <x:c r="J1209" t="n">
        <x:v>45761</x:v>
      </x:c>
      <x:c r="K1209"/>
      <x:c r="L1209"/>
      <x:c r="M1209" t="n">
        <x:v>-3.47</x:v>
      </x:c>
      <x:c r="N1209" t="str">
        <x:v>2025-04</x:v>
      </x:c>
      <x:c r="O1209" t="str">
        <x:v>Ausgabe</x:v>
      </x:c>
      <x:c r="P1209" t="str">
        <x:v>Ist</x:v>
      </x:c>
      <x:c r="Q1209" s="59" t="b">
        <x:v>0</x:v>
      </x:c>
      <x:c r="R1209" t="str">
        <x:v>kein_transfer</x:v>
      </x:c>
      <x:c r="S1209"/>
      <x:c r="T1209"/>
      <x:c r="U1209"/>
      <x:c r="V1209" s="59" t="b">
        <x:v>1</x:v>
      </x:c>
      <x:c r="W1209"/>
      <x:c r="X1209" t="str">
        <x:v>offen</x:v>
      </x:c>
      <x:c r="Y1209" t="str">
        <x:v>Agent-Draft; Kategorie und Person pruefen</x:v>
      </x:c>
    </x:row>
    <x:row r="1210">
      <x:c r="A1210" t="str">
        <x:v>TXN-RAW-IMP-20260516-FULLDRAFT-001194</x:v>
      </x:c>
      <x:c r="B1210" t="str">
        <x:v>RAW-IMP-20260516-FULLDRAFT-001194</x:v>
      </x:c>
      <x:c r="C1210" t="str">
        <x:v>KTO001</x:v>
      </x:c>
      <x:c r="D1210"/>
      <x:c r="E1210" t="str">
        <x:v>KAT013</x:v>
      </x:c>
      <x:c r="F1210"/>
      <x:c r="G1210"/>
      <x:c r="H1210" t="str">
        <x:v>kein_match</x:v>
      </x:c>
      <x:c r="I1210" t="str">
        <x:v>Agent-Draft: keine finale Regelentscheidung</x:v>
      </x:c>
      <x:c r="J1210" t="n">
        <x:v>45761</x:v>
      </x:c>
      <x:c r="K1210"/>
      <x:c r="L1210"/>
      <x:c r="M1210" t="n">
        <x:v>-30.27</x:v>
      </x:c>
      <x:c r="N1210" t="str">
        <x:v>2025-04</x:v>
      </x:c>
      <x:c r="O1210" t="str">
        <x:v>Ausgabe</x:v>
      </x:c>
      <x:c r="P1210" t="str">
        <x:v>Ist</x:v>
      </x:c>
      <x:c r="Q1210" s="59" t="b">
        <x:v>0</x:v>
      </x:c>
      <x:c r="R1210" t="str">
        <x:v>kein_transfer</x:v>
      </x:c>
      <x:c r="S1210"/>
      <x:c r="T1210"/>
      <x:c r="U1210"/>
      <x:c r="V1210" s="59" t="b">
        <x:v>1</x:v>
      </x:c>
      <x:c r="W1210"/>
      <x:c r="X1210" t="str">
        <x:v>offen</x:v>
      </x:c>
      <x:c r="Y1210" t="str">
        <x:v>Agent-Draft; Kategorie und Person pruefen</x:v>
      </x:c>
    </x:row>
    <x:row r="1211">
      <x:c r="A1211" t="str">
        <x:v>TXN-RAW-IMP-20260516-FULLDRAFT-001195</x:v>
      </x:c>
      <x:c r="B1211" t="str">
        <x:v>RAW-IMP-20260516-FULLDRAFT-001195</x:v>
      </x:c>
      <x:c r="C1211" t="str">
        <x:v>KTO001</x:v>
      </x:c>
      <x:c r="D1211"/>
      <x:c r="E1211" t="str">
        <x:v>KAT013</x:v>
      </x:c>
      <x:c r="F1211"/>
      <x:c r="G1211"/>
      <x:c r="H1211" t="str">
        <x:v>kein_match</x:v>
      </x:c>
      <x:c r="I1211" t="str">
        <x:v>Agent-Draft: keine finale Regelentscheidung</x:v>
      </x:c>
      <x:c r="J1211" t="n">
        <x:v>45761</x:v>
      </x:c>
      <x:c r="K1211"/>
      <x:c r="L1211"/>
      <x:c r="M1211" t="n">
        <x:v>-4.7</x:v>
      </x:c>
      <x:c r="N1211" t="str">
        <x:v>2025-04</x:v>
      </x:c>
      <x:c r="O1211" t="str">
        <x:v>Ausgabe</x:v>
      </x:c>
      <x:c r="P1211" t="str">
        <x:v>Ist</x:v>
      </x:c>
      <x:c r="Q1211" s="59" t="b">
        <x:v>0</x:v>
      </x:c>
      <x:c r="R1211" t="str">
        <x:v>kein_transfer</x:v>
      </x:c>
      <x:c r="S1211"/>
      <x:c r="T1211"/>
      <x:c r="U1211"/>
      <x:c r="V1211" s="59" t="b">
        <x:v>1</x:v>
      </x:c>
      <x:c r="W1211"/>
      <x:c r="X1211" t="str">
        <x:v>offen</x:v>
      </x:c>
      <x:c r="Y1211" t="str">
        <x:v>Agent-Draft; Kategorie und Person pruefen</x:v>
      </x:c>
    </x:row>
    <x:row r="1212">
      <x:c r="A1212" t="str">
        <x:v>TXN-RAW-IMP-20260516-FULLDRAFT-001196</x:v>
      </x:c>
      <x:c r="B1212" t="str">
        <x:v>RAW-IMP-20260516-FULLDRAFT-001196</x:v>
      </x:c>
      <x:c r="C1212" t="str">
        <x:v>KTO001</x:v>
      </x:c>
      <x:c r="D1212"/>
      <x:c r="E1212" t="str">
        <x:v>KAT013</x:v>
      </x:c>
      <x:c r="F1212"/>
      <x:c r="G1212"/>
      <x:c r="H1212" t="str">
        <x:v>kein_match</x:v>
      </x:c>
      <x:c r="I1212" t="str">
        <x:v>Agent-Draft: keine finale Regelentscheidung</x:v>
      </x:c>
      <x:c r="J1212" t="n">
        <x:v>45761</x:v>
      </x:c>
      <x:c r="K1212"/>
      <x:c r="L1212"/>
      <x:c r="M1212" t="n">
        <x:v>-31.5</x:v>
      </x:c>
      <x:c r="N1212" t="str">
        <x:v>2025-04</x:v>
      </x:c>
      <x:c r="O1212" t="str">
        <x:v>Ausgabe</x:v>
      </x:c>
      <x:c r="P1212" t="str">
        <x:v>Ist</x:v>
      </x:c>
      <x:c r="Q1212" s="59" t="b">
        <x:v>0</x:v>
      </x:c>
      <x:c r="R1212" t="str">
        <x:v>kein_transfer</x:v>
      </x:c>
      <x:c r="S1212"/>
      <x:c r="T1212"/>
      <x:c r="U1212"/>
      <x:c r="V1212" s="59" t="b">
        <x:v>1</x:v>
      </x:c>
      <x:c r="W1212"/>
      <x:c r="X1212" t="str">
        <x:v>offen</x:v>
      </x:c>
      <x:c r="Y1212" t="str">
        <x:v>Agent-Draft; Kategorie und Person pruefen</x:v>
      </x:c>
    </x:row>
    <x:row r="1213">
      <x:c r="A1213" t="str">
        <x:v>TXN-RAW-IMP-20260516-FULLDRAFT-001197</x:v>
      </x:c>
      <x:c r="B1213" t="str">
        <x:v>RAW-IMP-20260516-FULLDRAFT-001197</x:v>
      </x:c>
      <x:c r="C1213" t="str">
        <x:v>KTO001</x:v>
      </x:c>
      <x:c r="D1213"/>
      <x:c r="E1213" t="str">
        <x:v>KAT013</x:v>
      </x:c>
      <x:c r="F1213"/>
      <x:c r="G1213"/>
      <x:c r="H1213" t="str">
        <x:v>kein_match</x:v>
      </x:c>
      <x:c r="I1213" t="str">
        <x:v>Agent-Draft: keine finale Regelentscheidung</x:v>
      </x:c>
      <x:c r="J1213" t="n">
        <x:v>45761</x:v>
      </x:c>
      <x:c r="K1213"/>
      <x:c r="L1213"/>
      <x:c r="M1213" t="n">
        <x:v>-10</x:v>
      </x:c>
      <x:c r="N1213" t="str">
        <x:v>2025-04</x:v>
      </x:c>
      <x:c r="O1213" t="str">
        <x:v>Ausgabe</x:v>
      </x:c>
      <x:c r="P1213" t="str">
        <x:v>Ist</x:v>
      </x:c>
      <x:c r="Q1213" s="59" t="b">
        <x:v>0</x:v>
      </x:c>
      <x:c r="R1213" t="str">
        <x:v>kein_transfer</x:v>
      </x:c>
      <x:c r="S1213"/>
      <x:c r="T1213"/>
      <x:c r="U1213"/>
      <x:c r="V1213" s="59" t="b">
        <x:v>1</x:v>
      </x:c>
      <x:c r="W1213"/>
      <x:c r="X1213" t="str">
        <x:v>offen</x:v>
      </x:c>
      <x:c r="Y1213" t="str">
        <x:v>Agent-Draft; Kategorie und Person pruefen</x:v>
      </x:c>
    </x:row>
    <x:row r="1214">
      <x:c r="A1214" t="str">
        <x:v>TXN-RAW-IMP-20260516-FULLDRAFT-001198</x:v>
      </x:c>
      <x:c r="B1214" t="str">
        <x:v>RAW-IMP-20260516-FULLDRAFT-001198</x:v>
      </x:c>
      <x:c r="C1214" t="str">
        <x:v>KTO001</x:v>
      </x:c>
      <x:c r="D1214"/>
      <x:c r="E1214" t="str">
        <x:v>KAT013</x:v>
      </x:c>
      <x:c r="F1214"/>
      <x:c r="G1214"/>
      <x:c r="H1214" t="str">
        <x:v>kein_match</x:v>
      </x:c>
      <x:c r="I1214" t="str">
        <x:v>Agent-Draft: keine finale Regelentscheidung</x:v>
      </x:c>
      <x:c r="J1214" t="n">
        <x:v>45761</x:v>
      </x:c>
      <x:c r="K1214"/>
      <x:c r="L1214"/>
      <x:c r="M1214" t="n">
        <x:v>-6.5</x:v>
      </x:c>
      <x:c r="N1214" t="str">
        <x:v>2025-04</x:v>
      </x:c>
      <x:c r="O1214" t="str">
        <x:v>Ausgabe</x:v>
      </x:c>
      <x:c r="P1214" t="str">
        <x:v>Ist</x:v>
      </x:c>
      <x:c r="Q1214" s="59" t="b">
        <x:v>0</x:v>
      </x:c>
      <x:c r="R1214" t="str">
        <x:v>kein_transfer</x:v>
      </x:c>
      <x:c r="S1214"/>
      <x:c r="T1214"/>
      <x:c r="U1214"/>
      <x:c r="V1214" s="59" t="b">
        <x:v>1</x:v>
      </x:c>
      <x:c r="W1214"/>
      <x:c r="X1214" t="str">
        <x:v>offen</x:v>
      </x:c>
      <x:c r="Y1214" t="str">
        <x:v>Agent-Draft; Kategorie und Person pruefen</x:v>
      </x:c>
    </x:row>
    <x:row r="1215">
      <x:c r="A1215" t="str">
        <x:v>TXN-RAW-IMP-20260516-FULLDRAFT-001199</x:v>
      </x:c>
      <x:c r="B1215" t="str">
        <x:v>RAW-IMP-20260516-FULLDRAFT-001199</x:v>
      </x:c>
      <x:c r="C1215" t="str">
        <x:v>KTO001</x:v>
      </x:c>
      <x:c r="D1215"/>
      <x:c r="E1215" t="str">
        <x:v>KAT013</x:v>
      </x:c>
      <x:c r="F1215"/>
      <x:c r="G1215"/>
      <x:c r="H1215" t="str">
        <x:v>kein_match</x:v>
      </x:c>
      <x:c r="I1215" t="str">
        <x:v>Agent-Draft: keine finale Regelentscheidung</x:v>
      </x:c>
      <x:c r="J1215" t="n">
        <x:v>45761</x:v>
      </x:c>
      <x:c r="K1215"/>
      <x:c r="L1215"/>
      <x:c r="M1215" t="n">
        <x:v>-4.5</x:v>
      </x:c>
      <x:c r="N1215" t="str">
        <x:v>2025-04</x:v>
      </x:c>
      <x:c r="O1215" t="str">
        <x:v>Ausgabe</x:v>
      </x:c>
      <x:c r="P1215" t="str">
        <x:v>Ist</x:v>
      </x:c>
      <x:c r="Q1215" s="59" t="b">
        <x:v>0</x:v>
      </x:c>
      <x:c r="R1215" t="str">
        <x:v>kein_transfer</x:v>
      </x:c>
      <x:c r="S1215"/>
      <x:c r="T1215"/>
      <x:c r="U1215"/>
      <x:c r="V1215" s="59" t="b">
        <x:v>1</x:v>
      </x:c>
      <x:c r="W1215"/>
      <x:c r="X1215" t="str">
        <x:v>offen</x:v>
      </x:c>
      <x:c r="Y1215" t="str">
        <x:v>Agent-Draft; Kategorie und Person pruefen</x:v>
      </x:c>
    </x:row>
    <x:row r="1216">
      <x:c r="A1216" t="str">
        <x:v>TXN-RAW-IMP-20260516-FULLDRAFT-001200</x:v>
      </x:c>
      <x:c r="B1216" t="str">
        <x:v>RAW-IMP-20260516-FULLDRAFT-001200</x:v>
      </x:c>
      <x:c r="C1216" t="str">
        <x:v>KTO001</x:v>
      </x:c>
      <x:c r="D1216"/>
      <x:c r="E1216" t="str">
        <x:v>KAT013</x:v>
      </x:c>
      <x:c r="F1216"/>
      <x:c r="G1216"/>
      <x:c r="H1216" t="str">
        <x:v>kein_match</x:v>
      </x:c>
      <x:c r="I1216" t="str">
        <x:v>Agent-Draft: keine finale Regelentscheidung</x:v>
      </x:c>
      <x:c r="J1216" t="n">
        <x:v>45758</x:v>
      </x:c>
      <x:c r="K1216"/>
      <x:c r="L1216"/>
      <x:c r="M1216" t="n">
        <x:v>-2.68</x:v>
      </x:c>
      <x:c r="N1216" t="str">
        <x:v>2025-04</x:v>
      </x:c>
      <x:c r="O1216" t="str">
        <x:v>Ausgabe</x:v>
      </x:c>
      <x:c r="P1216" t="str">
        <x:v>Ist</x:v>
      </x:c>
      <x:c r="Q1216" s="59" t="b">
        <x:v>0</x:v>
      </x:c>
      <x:c r="R1216" t="str">
        <x:v>kein_transfer</x:v>
      </x:c>
      <x:c r="S1216"/>
      <x:c r="T1216"/>
      <x:c r="U1216"/>
      <x:c r="V1216" s="59" t="b">
        <x:v>1</x:v>
      </x:c>
      <x:c r="W1216"/>
      <x:c r="X1216" t="str">
        <x:v>offen</x:v>
      </x:c>
      <x:c r="Y1216" t="str">
        <x:v>Agent-Draft; Kategorie und Person pruefen</x:v>
      </x:c>
    </x:row>
    <x:row r="1217">
      <x:c r="A1217" t="str">
        <x:v>TXN-RAW-IMP-20260516-FULLDRAFT-001201</x:v>
      </x:c>
      <x:c r="B1217" t="str">
        <x:v>RAW-IMP-20260516-FULLDRAFT-001201</x:v>
      </x:c>
      <x:c r="C1217" t="str">
        <x:v>KTO001</x:v>
      </x:c>
      <x:c r="D1217"/>
      <x:c r="E1217" t="str">
        <x:v>KAT013</x:v>
      </x:c>
      <x:c r="F1217"/>
      <x:c r="G1217"/>
      <x:c r="H1217" t="str">
        <x:v>kein_match</x:v>
      </x:c>
      <x:c r="I1217" t="str">
        <x:v>Agent-Draft: keine finale Regelentscheidung</x:v>
      </x:c>
      <x:c r="J1217" t="n">
        <x:v>45758</x:v>
      </x:c>
      <x:c r="K1217"/>
      <x:c r="L1217"/>
      <x:c r="M1217" t="n">
        <x:v>-15.4</x:v>
      </x:c>
      <x:c r="N1217" t="str">
        <x:v>2025-04</x:v>
      </x:c>
      <x:c r="O1217" t="str">
        <x:v>Ausgabe</x:v>
      </x:c>
      <x:c r="P1217" t="str">
        <x:v>Ist</x:v>
      </x:c>
      <x:c r="Q1217" s="59" t="b">
        <x:v>0</x:v>
      </x:c>
      <x:c r="R1217" t="str">
        <x:v>kein_transfer</x:v>
      </x:c>
      <x:c r="S1217"/>
      <x:c r="T1217"/>
      <x:c r="U1217"/>
      <x:c r="V1217" s="59" t="b">
        <x:v>1</x:v>
      </x:c>
      <x:c r="W1217"/>
      <x:c r="X1217" t="str">
        <x:v>offen</x:v>
      </x:c>
      <x:c r="Y1217" t="str">
        <x:v>Agent-Draft; Kategorie und Person pruefen</x:v>
      </x:c>
    </x:row>
    <x:row r="1218">
      <x:c r="A1218" t="str">
        <x:v>TXN-RAW-IMP-20260516-FULLDRAFT-001202</x:v>
      </x:c>
      <x:c r="B1218" t="str">
        <x:v>RAW-IMP-20260516-FULLDRAFT-001202</x:v>
      </x:c>
      <x:c r="C1218" t="str">
        <x:v>KTO001</x:v>
      </x:c>
      <x:c r="D1218"/>
      <x:c r="E1218" t="str">
        <x:v>KAT013</x:v>
      </x:c>
      <x:c r="F1218"/>
      <x:c r="G1218"/>
      <x:c r="H1218" t="str">
        <x:v>kein_match</x:v>
      </x:c>
      <x:c r="I1218" t="str">
        <x:v>Agent-Draft: keine finale Regelentscheidung</x:v>
      </x:c>
      <x:c r="J1218" t="n">
        <x:v>45758</x:v>
      </x:c>
      <x:c r="K1218"/>
      <x:c r="L1218"/>
      <x:c r="M1218" t="n">
        <x:v>-11.31</x:v>
      </x:c>
      <x:c r="N1218" t="str">
        <x:v>2025-04</x:v>
      </x:c>
      <x:c r="O1218" t="str">
        <x:v>Ausgabe</x:v>
      </x:c>
      <x:c r="P1218" t="str">
        <x:v>Ist</x:v>
      </x:c>
      <x:c r="Q1218" s="59" t="b">
        <x:v>0</x:v>
      </x:c>
      <x:c r="R1218" t="str">
        <x:v>kein_transfer</x:v>
      </x:c>
      <x:c r="S1218"/>
      <x:c r="T1218"/>
      <x:c r="U1218"/>
      <x:c r="V1218" s="59" t="b">
        <x:v>1</x:v>
      </x:c>
      <x:c r="W1218"/>
      <x:c r="X1218" t="str">
        <x:v>offen</x:v>
      </x:c>
      <x:c r="Y1218" t="str">
        <x:v>Agent-Draft; Kategorie und Person pruefen</x:v>
      </x:c>
    </x:row>
    <x:row r="1219">
      <x:c r="A1219" t="str">
        <x:v>TXN-RAW-IMP-20260516-FULLDRAFT-001203</x:v>
      </x:c>
      <x:c r="B1219" t="str">
        <x:v>RAW-IMP-20260516-FULLDRAFT-001203</x:v>
      </x:c>
      <x:c r="C1219" t="str">
        <x:v>KTO001</x:v>
      </x:c>
      <x:c r="D1219"/>
      <x:c r="E1219" t="str">
        <x:v>KAT013</x:v>
      </x:c>
      <x:c r="F1219"/>
      <x:c r="G1219"/>
      <x:c r="H1219" t="str">
        <x:v>kein_match</x:v>
      </x:c>
      <x:c r="I1219" t="str">
        <x:v>Agent-Draft: keine finale Regelentscheidung</x:v>
      </x:c>
      <x:c r="J1219" t="n">
        <x:v>45758</x:v>
      </x:c>
      <x:c r="K1219"/>
      <x:c r="L1219"/>
      <x:c r="M1219" t="n">
        <x:v>-6.96</x:v>
      </x:c>
      <x:c r="N1219" t="str">
        <x:v>2025-04</x:v>
      </x:c>
      <x:c r="O1219" t="str">
        <x:v>Ausgabe</x:v>
      </x:c>
      <x:c r="P1219" t="str">
        <x:v>Ist</x:v>
      </x:c>
      <x:c r="Q1219" s="59" t="b">
        <x:v>0</x:v>
      </x:c>
      <x:c r="R1219" t="str">
        <x:v>kein_transfer</x:v>
      </x:c>
      <x:c r="S1219"/>
      <x:c r="T1219"/>
      <x:c r="U1219"/>
      <x:c r="V1219" s="59" t="b">
        <x:v>1</x:v>
      </x:c>
      <x:c r="W1219"/>
      <x:c r="X1219" t="str">
        <x:v>offen</x:v>
      </x:c>
      <x:c r="Y1219" t="str">
        <x:v>Agent-Draft; Kategorie und Person pruefen</x:v>
      </x:c>
    </x:row>
    <x:row r="1220">
      <x:c r="A1220" t="str">
        <x:v>TXN-RAW-IMP-20260516-FULLDRAFT-001204</x:v>
      </x:c>
      <x:c r="B1220" t="str">
        <x:v>RAW-IMP-20260516-FULLDRAFT-001204</x:v>
      </x:c>
      <x:c r="C1220" t="str">
        <x:v>KTO001</x:v>
      </x:c>
      <x:c r="D1220"/>
      <x:c r="E1220" t="str">
        <x:v>KAT013</x:v>
      </x:c>
      <x:c r="F1220"/>
      <x:c r="G1220"/>
      <x:c r="H1220" t="str">
        <x:v>kein_match</x:v>
      </x:c>
      <x:c r="I1220" t="str">
        <x:v>Agent-Draft: keine finale Regelentscheidung</x:v>
      </x:c>
      <x:c r="J1220" t="n">
        <x:v>45758</x:v>
      </x:c>
      <x:c r="K1220"/>
      <x:c r="L1220"/>
      <x:c r="M1220" t="n">
        <x:v>-17.94</x:v>
      </x:c>
      <x:c r="N1220" t="str">
        <x:v>2025-04</x:v>
      </x:c>
      <x:c r="O1220" t="str">
        <x:v>Ausgabe</x:v>
      </x:c>
      <x:c r="P1220" t="str">
        <x:v>Ist</x:v>
      </x:c>
      <x:c r="Q1220" s="59" t="b">
        <x:v>0</x:v>
      </x:c>
      <x:c r="R1220" t="str">
        <x:v>kein_transfer</x:v>
      </x:c>
      <x:c r="S1220"/>
      <x:c r="T1220"/>
      <x:c r="U1220"/>
      <x:c r="V1220" s="59" t="b">
        <x:v>1</x:v>
      </x:c>
      <x:c r="W1220"/>
      <x:c r="X1220" t="str">
        <x:v>offen</x:v>
      </x:c>
      <x:c r="Y1220" t="str">
        <x:v>Agent-Draft; Kategorie und Person pruefen</x:v>
      </x:c>
    </x:row>
    <x:row r="1221">
      <x:c r="A1221" t="str">
        <x:v>TXN-RAW-IMP-20260516-FULLDRAFT-001205</x:v>
      </x:c>
      <x:c r="B1221" t="str">
        <x:v>RAW-IMP-20260516-FULLDRAFT-001205</x:v>
      </x:c>
      <x:c r="C1221" t="str">
        <x:v>KTO001</x:v>
      </x:c>
      <x:c r="D1221"/>
      <x:c r="E1221" t="str">
        <x:v>KAT013</x:v>
      </x:c>
      <x:c r="F1221"/>
      <x:c r="G1221"/>
      <x:c r="H1221" t="str">
        <x:v>kein_match</x:v>
      </x:c>
      <x:c r="I1221" t="str">
        <x:v>Agent-Draft: keine finale Regelentscheidung</x:v>
      </x:c>
      <x:c r="J1221" t="n">
        <x:v>45758</x:v>
      </x:c>
      <x:c r="K1221"/>
      <x:c r="L1221"/>
      <x:c r="M1221" t="n">
        <x:v>-4.01</x:v>
      </x:c>
      <x:c r="N1221" t="str">
        <x:v>2025-04</x:v>
      </x:c>
      <x:c r="O1221" t="str">
        <x:v>Ausgabe</x:v>
      </x:c>
      <x:c r="P1221" t="str">
        <x:v>Ist</x:v>
      </x:c>
      <x:c r="Q1221" s="59" t="b">
        <x:v>0</x:v>
      </x:c>
      <x:c r="R1221" t="str">
        <x:v>kein_transfer</x:v>
      </x:c>
      <x:c r="S1221"/>
      <x:c r="T1221"/>
      <x:c r="U1221"/>
      <x:c r="V1221" s="59" t="b">
        <x:v>1</x:v>
      </x:c>
      <x:c r="W1221"/>
      <x:c r="X1221" t="str">
        <x:v>offen</x:v>
      </x:c>
      <x:c r="Y1221" t="str">
        <x:v>Agent-Draft; Kategorie und Person pruefen</x:v>
      </x:c>
    </x:row>
    <x:row r="1222">
      <x:c r="A1222" t="str">
        <x:v>TXN-RAW-IMP-20260516-FULLDRAFT-001206</x:v>
      </x:c>
      <x:c r="B1222" t="str">
        <x:v>RAW-IMP-20260516-FULLDRAFT-001206</x:v>
      </x:c>
      <x:c r="C1222" t="str">
        <x:v>KTO001</x:v>
      </x:c>
      <x:c r="D1222"/>
      <x:c r="E1222" t="str">
        <x:v>KAT013</x:v>
      </x:c>
      <x:c r="F1222"/>
      <x:c r="G1222"/>
      <x:c r="H1222" t="str">
        <x:v>kein_match</x:v>
      </x:c>
      <x:c r="I1222" t="str">
        <x:v>Agent-Draft: keine finale Regelentscheidung</x:v>
      </x:c>
      <x:c r="J1222" t="n">
        <x:v>45757</x:v>
      </x:c>
      <x:c r="K1222"/>
      <x:c r="L1222"/>
      <x:c r="M1222" t="n">
        <x:v>-12.06</x:v>
      </x:c>
      <x:c r="N1222" t="str">
        <x:v>2025-04</x:v>
      </x:c>
      <x:c r="O1222" t="str">
        <x:v>Ausgabe</x:v>
      </x:c>
      <x:c r="P1222" t="str">
        <x:v>Ist</x:v>
      </x:c>
      <x:c r="Q1222" s="59" t="b">
        <x:v>0</x:v>
      </x:c>
      <x:c r="R1222" t="str">
        <x:v>kein_transfer</x:v>
      </x:c>
      <x:c r="S1222"/>
      <x:c r="T1222"/>
      <x:c r="U1222"/>
      <x:c r="V1222" s="59" t="b">
        <x:v>1</x:v>
      </x:c>
      <x:c r="W1222"/>
      <x:c r="X1222" t="str">
        <x:v>offen</x:v>
      </x:c>
      <x:c r="Y1222" t="str">
        <x:v>Agent-Draft; Kategorie und Person pruefen</x:v>
      </x:c>
    </x:row>
    <x:row r="1223">
      <x:c r="A1223" t="str">
        <x:v>TXN-RAW-IMP-20260516-FULLDRAFT-001207</x:v>
      </x:c>
      <x:c r="B1223" t="str">
        <x:v>RAW-IMP-20260516-FULLDRAFT-001207</x:v>
      </x:c>
      <x:c r="C1223" t="str">
        <x:v>KTO001</x:v>
      </x:c>
      <x:c r="D1223"/>
      <x:c r="E1223" t="str">
        <x:v>KAT013</x:v>
      </x:c>
      <x:c r="F1223"/>
      <x:c r="G1223"/>
      <x:c r="H1223" t="str">
        <x:v>kein_match</x:v>
      </x:c>
      <x:c r="I1223" t="str">
        <x:v>Agent-Draft: keine finale Regelentscheidung</x:v>
      </x:c>
      <x:c r="J1223" t="n">
        <x:v>45756</x:v>
      </x:c>
      <x:c r="K1223"/>
      <x:c r="L1223"/>
      <x:c r="M1223" t="n">
        <x:v>-6.97</x:v>
      </x:c>
      <x:c r="N1223" t="str">
        <x:v>2025-04</x:v>
      </x:c>
      <x:c r="O1223" t="str">
        <x:v>Ausgabe</x:v>
      </x:c>
      <x:c r="P1223" t="str">
        <x:v>Ist</x:v>
      </x:c>
      <x:c r="Q1223" s="59" t="b">
        <x:v>0</x:v>
      </x:c>
      <x:c r="R1223" t="str">
        <x:v>kein_transfer</x:v>
      </x:c>
      <x:c r="S1223"/>
      <x:c r="T1223"/>
      <x:c r="U1223"/>
      <x:c r="V1223" s="59" t="b">
        <x:v>1</x:v>
      </x:c>
      <x:c r="W1223"/>
      <x:c r="X1223" t="str">
        <x:v>offen</x:v>
      </x:c>
      <x:c r="Y1223" t="str">
        <x:v>Agent-Draft; Kategorie und Person pruefen</x:v>
      </x:c>
    </x:row>
    <x:row r="1224">
      <x:c r="A1224" t="str">
        <x:v>TXN-RAW-IMP-20260516-FULLDRAFT-001208</x:v>
      </x:c>
      <x:c r="B1224" t="str">
        <x:v>RAW-IMP-20260516-FULLDRAFT-001208</x:v>
      </x:c>
      <x:c r="C1224" t="str">
        <x:v>KTO001</x:v>
      </x:c>
      <x:c r="D1224"/>
      <x:c r="E1224" t="str">
        <x:v>KAT013</x:v>
      </x:c>
      <x:c r="F1224"/>
      <x:c r="G1224"/>
      <x:c r="H1224" t="str">
        <x:v>kein_match</x:v>
      </x:c>
      <x:c r="I1224" t="str">
        <x:v>Agent-Draft: keine finale Regelentscheidung</x:v>
      </x:c>
      <x:c r="J1224" t="n">
        <x:v>45756</x:v>
      </x:c>
      <x:c r="K1224"/>
      <x:c r="L1224"/>
      <x:c r="M1224" t="n">
        <x:v>-19.43</x:v>
      </x:c>
      <x:c r="N1224" t="str">
        <x:v>2025-04</x:v>
      </x:c>
      <x:c r="O1224" t="str">
        <x:v>Ausgabe</x:v>
      </x:c>
      <x:c r="P1224" t="str">
        <x:v>Ist</x:v>
      </x:c>
      <x:c r="Q1224" s="59" t="b">
        <x:v>0</x:v>
      </x:c>
      <x:c r="R1224" t="str">
        <x:v>kein_transfer</x:v>
      </x:c>
      <x:c r="S1224"/>
      <x:c r="T1224"/>
      <x:c r="U1224"/>
      <x:c r="V1224" s="59" t="b">
        <x:v>1</x:v>
      </x:c>
      <x:c r="W1224"/>
      <x:c r="X1224" t="str">
        <x:v>offen</x:v>
      </x:c>
      <x:c r="Y1224" t="str">
        <x:v>Agent-Draft; Kategorie und Person pruefen</x:v>
      </x:c>
    </x:row>
    <x:row r="1225">
      <x:c r="A1225" t="str">
        <x:v>TXN-RAW-IMP-20260516-FULLDRAFT-001209</x:v>
      </x:c>
      <x:c r="B1225" t="str">
        <x:v>RAW-IMP-20260516-FULLDRAFT-001209</x:v>
      </x:c>
      <x:c r="C1225" t="str">
        <x:v>KTO001</x:v>
      </x:c>
      <x:c r="D1225"/>
      <x:c r="E1225" t="str">
        <x:v>KAT013</x:v>
      </x:c>
      <x:c r="F1225"/>
      <x:c r="G1225"/>
      <x:c r="H1225" t="str">
        <x:v>kein_match</x:v>
      </x:c>
      <x:c r="I1225" t="str">
        <x:v>Agent-Draft: keine finale Regelentscheidung</x:v>
      </x:c>
      <x:c r="J1225" t="n">
        <x:v>45756</x:v>
      </x:c>
      <x:c r="K1225"/>
      <x:c r="L1225"/>
      <x:c r="M1225" t="n">
        <x:v>-194.99</x:v>
      </x:c>
      <x:c r="N1225" t="str">
        <x:v>2025-04</x:v>
      </x:c>
      <x:c r="O1225" t="str">
        <x:v>Ausgabe</x:v>
      </x:c>
      <x:c r="P1225" t="str">
        <x:v>Ist</x:v>
      </x:c>
      <x:c r="Q1225" s="59" t="b">
        <x:v>0</x:v>
      </x:c>
      <x:c r="R1225" t="str">
        <x:v>kein_transfer</x:v>
      </x:c>
      <x:c r="S1225"/>
      <x:c r="T1225"/>
      <x:c r="U1225"/>
      <x:c r="V1225" s="59" t="b">
        <x:v>1</x:v>
      </x:c>
      <x:c r="W1225"/>
      <x:c r="X1225" t="str">
        <x:v>offen</x:v>
      </x:c>
      <x:c r="Y1225" t="str">
        <x:v>Agent-Draft; Kategorie und Person pruefen</x:v>
      </x:c>
    </x:row>
    <x:row r="1226">
      <x:c r="A1226" t="str">
        <x:v>TXN-RAW-IMP-20260516-FULLDRAFT-001210</x:v>
      </x:c>
      <x:c r="B1226" t="str">
        <x:v>RAW-IMP-20260516-FULLDRAFT-001210</x:v>
      </x:c>
      <x:c r="C1226" t="str">
        <x:v>KTO001</x:v>
      </x:c>
      <x:c r="D1226"/>
      <x:c r="E1226" t="str">
        <x:v>KAT013</x:v>
      </x:c>
      <x:c r="F1226"/>
      <x:c r="G1226"/>
      <x:c r="H1226" t="str">
        <x:v>kein_match</x:v>
      </x:c>
      <x:c r="I1226" t="str">
        <x:v>Agent-Draft: keine finale Regelentscheidung</x:v>
      </x:c>
      <x:c r="J1226" t="n">
        <x:v>45756</x:v>
      </x:c>
      <x:c r="K1226"/>
      <x:c r="L1226"/>
      <x:c r="M1226" t="n">
        <x:v>-17.47</x:v>
      </x:c>
      <x:c r="N1226" t="str">
        <x:v>2025-04</x:v>
      </x:c>
      <x:c r="O1226" t="str">
        <x:v>Ausgabe</x:v>
      </x:c>
      <x:c r="P1226" t="str">
        <x:v>Ist</x:v>
      </x:c>
      <x:c r="Q1226" s="59" t="b">
        <x:v>0</x:v>
      </x:c>
      <x:c r="R1226" t="str">
        <x:v>kein_transfer</x:v>
      </x:c>
      <x:c r="S1226"/>
      <x:c r="T1226"/>
      <x:c r="U1226"/>
      <x:c r="V1226" s="59" t="b">
        <x:v>1</x:v>
      </x:c>
      <x:c r="W1226"/>
      <x:c r="X1226" t="str">
        <x:v>offen</x:v>
      </x:c>
      <x:c r="Y1226" t="str">
        <x:v>Agent-Draft; Kategorie und Person pruefen</x:v>
      </x:c>
    </x:row>
    <x:row r="1227">
      <x:c r="A1227" t="str">
        <x:v>TXN-RAW-IMP-20260516-FULLDRAFT-001211</x:v>
      </x:c>
      <x:c r="B1227" t="str">
        <x:v>RAW-IMP-20260516-FULLDRAFT-001211</x:v>
      </x:c>
      <x:c r="C1227" t="str">
        <x:v>KTO001</x:v>
      </x:c>
      <x:c r="D1227"/>
      <x:c r="E1227" t="str">
        <x:v>KAT013</x:v>
      </x:c>
      <x:c r="F1227"/>
      <x:c r="G1227"/>
      <x:c r="H1227" t="str">
        <x:v>kein_match</x:v>
      </x:c>
      <x:c r="I1227" t="str">
        <x:v>Agent-Draft: keine finale Regelentscheidung</x:v>
      </x:c>
      <x:c r="J1227" t="n">
        <x:v>45756</x:v>
      </x:c>
      <x:c r="K1227"/>
      <x:c r="L1227"/>
      <x:c r="M1227" t="n">
        <x:v>800</x:v>
      </x:c>
      <x:c r="N1227" t="str">
        <x:v>2025-04</x:v>
      </x:c>
      <x:c r="O1227" t="str">
        <x:v>Einnahme</x:v>
      </x:c>
      <x:c r="P1227" t="str">
        <x:v>Ist</x:v>
      </x:c>
      <x:c r="Q1227" s="59" t="b">
        <x:v>0</x:v>
      </x:c>
      <x:c r="R1227" t="str">
        <x:v>unklar</x:v>
      </x:c>
      <x:c r="S1227"/>
      <x:c r="T1227"/>
      <x:c r="U1227"/>
      <x:c r="V1227" s="59" t="b">
        <x:v>1</x:v>
      </x:c>
      <x:c r="W1227" t="str">
        <x:v>Transferkandidat im Draft</x:v>
      </x:c>
      <x:c r="X1227" t="str">
        <x:v>offen</x:v>
      </x:c>
      <x:c r="Y1227" t="str">
        <x:v>Agent-Draft; Kategorie und Person pruefen</x:v>
      </x:c>
    </x:row>
    <x:row r="1228">
      <x:c r="A1228" t="str">
        <x:v>TXN-RAW-IMP-20260516-FULLDRAFT-001212</x:v>
      </x:c>
      <x:c r="B1228" t="str">
        <x:v>RAW-IMP-20260516-FULLDRAFT-001212</x:v>
      </x:c>
      <x:c r="C1228" t="str">
        <x:v>KTO001</x:v>
      </x:c>
      <x:c r="D1228"/>
      <x:c r="E1228" t="str">
        <x:v>KAT013</x:v>
      </x:c>
      <x:c r="F1228"/>
      <x:c r="G1228"/>
      <x:c r="H1228" t="str">
        <x:v>kein_match</x:v>
      </x:c>
      <x:c r="I1228" t="str">
        <x:v>Agent-Draft: keine finale Regelentscheidung</x:v>
      </x:c>
      <x:c r="J1228" t="n">
        <x:v>45755</x:v>
      </x:c>
      <x:c r="K1228"/>
      <x:c r="L1228"/>
      <x:c r="M1228" t="n">
        <x:v>-27.74</x:v>
      </x:c>
      <x:c r="N1228" t="str">
        <x:v>2025-04</x:v>
      </x:c>
      <x:c r="O1228" t="str">
        <x:v>Ausgabe</x:v>
      </x:c>
      <x:c r="P1228" t="str">
        <x:v>Ist</x:v>
      </x:c>
      <x:c r="Q1228" s="59" t="b">
        <x:v>0</x:v>
      </x:c>
      <x:c r="R1228" t="str">
        <x:v>kein_transfer</x:v>
      </x:c>
      <x:c r="S1228"/>
      <x:c r="T1228"/>
      <x:c r="U1228"/>
      <x:c r="V1228" s="59" t="b">
        <x:v>1</x:v>
      </x:c>
      <x:c r="W1228"/>
      <x:c r="X1228" t="str">
        <x:v>offen</x:v>
      </x:c>
      <x:c r="Y1228" t="str">
        <x:v>Agent-Draft; Kategorie und Person pruefen</x:v>
      </x:c>
    </x:row>
    <x:row r="1229">
      <x:c r="A1229" t="str">
        <x:v>TXN-RAW-IMP-20260516-FULLDRAFT-001213</x:v>
      </x:c>
      <x:c r="B1229" t="str">
        <x:v>RAW-IMP-20260516-FULLDRAFT-001213</x:v>
      </x:c>
      <x:c r="C1229" t="str">
        <x:v>KTO001</x:v>
      </x:c>
      <x:c r="D1229"/>
      <x:c r="E1229" t="str">
        <x:v>KAT013</x:v>
      </x:c>
      <x:c r="F1229"/>
      <x:c r="G1229"/>
      <x:c r="H1229" t="str">
        <x:v>kein_match</x:v>
      </x:c>
      <x:c r="I1229" t="str">
        <x:v>Agent-Draft: keine finale Regelentscheidung</x:v>
      </x:c>
      <x:c r="J1229" t="n">
        <x:v>45755</x:v>
      </x:c>
      <x:c r="K1229"/>
      <x:c r="L1229"/>
      <x:c r="M1229" t="n">
        <x:v>-147.95</x:v>
      </x:c>
      <x:c r="N1229" t="str">
        <x:v>2025-04</x:v>
      </x:c>
      <x:c r="O1229" t="str">
        <x:v>Ausgabe</x:v>
      </x:c>
      <x:c r="P1229" t="str">
        <x:v>Ist</x:v>
      </x:c>
      <x:c r="Q1229" s="59" t="b">
        <x:v>0</x:v>
      </x:c>
      <x:c r="R1229" t="str">
        <x:v>kein_transfer</x:v>
      </x:c>
      <x:c r="S1229"/>
      <x:c r="T1229"/>
      <x:c r="U1229"/>
      <x:c r="V1229" s="59" t="b">
        <x:v>1</x:v>
      </x:c>
      <x:c r="W1229"/>
      <x:c r="X1229" t="str">
        <x:v>offen</x:v>
      </x:c>
      <x:c r="Y1229" t="str">
        <x:v>Agent-Draft; Kategorie und Person pruefen</x:v>
      </x:c>
    </x:row>
    <x:row r="1230">
      <x:c r="A1230" t="str">
        <x:v>TXN-RAW-IMP-20260516-FULLDRAFT-001214</x:v>
      </x:c>
      <x:c r="B1230" t="str">
        <x:v>RAW-IMP-20260516-FULLDRAFT-001214</x:v>
      </x:c>
      <x:c r="C1230" t="str">
        <x:v>KTO001</x:v>
      </x:c>
      <x:c r="D1230"/>
      <x:c r="E1230" t="str">
        <x:v>KAT013</x:v>
      </x:c>
      <x:c r="F1230"/>
      <x:c r="G1230"/>
      <x:c r="H1230" t="str">
        <x:v>kein_match</x:v>
      </x:c>
      <x:c r="I1230" t="str">
        <x:v>Agent-Draft: keine finale Regelentscheidung</x:v>
      </x:c>
      <x:c r="J1230" t="n">
        <x:v>45755</x:v>
      </x:c>
      <x:c r="K1230"/>
      <x:c r="L1230"/>
      <x:c r="M1230" t="n">
        <x:v>-12.06</x:v>
      </x:c>
      <x:c r="N1230" t="str">
        <x:v>2025-04</x:v>
      </x:c>
      <x:c r="O1230" t="str">
        <x:v>Ausgabe</x:v>
      </x:c>
      <x:c r="P1230" t="str">
        <x:v>Ist</x:v>
      </x:c>
      <x:c r="Q1230" s="59" t="b">
        <x:v>0</x:v>
      </x:c>
      <x:c r="R1230" t="str">
        <x:v>kein_transfer</x:v>
      </x:c>
      <x:c r="S1230"/>
      <x:c r="T1230"/>
      <x:c r="U1230"/>
      <x:c r="V1230" s="59" t="b">
        <x:v>1</x:v>
      </x:c>
      <x:c r="W1230"/>
      <x:c r="X1230" t="str">
        <x:v>offen</x:v>
      </x:c>
      <x:c r="Y1230" t="str">
        <x:v>Agent-Draft; Kategorie und Person pruefen</x:v>
      </x:c>
    </x:row>
    <x:row r="1231">
      <x:c r="A1231" t="str">
        <x:v>TXN-RAW-IMP-20260516-FULLDRAFT-001215</x:v>
      </x:c>
      <x:c r="B1231" t="str">
        <x:v>RAW-IMP-20260516-FULLDRAFT-001215</x:v>
      </x:c>
      <x:c r="C1231" t="str">
        <x:v>KTO001</x:v>
      </x:c>
      <x:c r="D1231"/>
      <x:c r="E1231" t="str">
        <x:v>KAT013</x:v>
      </x:c>
      <x:c r="F1231"/>
      <x:c r="G1231"/>
      <x:c r="H1231" t="str">
        <x:v>kein_match</x:v>
      </x:c>
      <x:c r="I1231" t="str">
        <x:v>Agent-Draft: keine finale Regelentscheidung</x:v>
      </x:c>
      <x:c r="J1231" t="n">
        <x:v>45755</x:v>
      </x:c>
      <x:c r="K1231"/>
      <x:c r="L1231"/>
      <x:c r="M1231" t="n">
        <x:v>-40.39</x:v>
      </x:c>
      <x:c r="N1231" t="str">
        <x:v>2025-04</x:v>
      </x:c>
      <x:c r="O1231" t="str">
        <x:v>Ausgabe</x:v>
      </x:c>
      <x:c r="P1231" t="str">
        <x:v>Ist</x:v>
      </x:c>
      <x:c r="Q1231" s="59" t="b">
        <x:v>0</x:v>
      </x:c>
      <x:c r="R1231" t="str">
        <x:v>kein_transfer</x:v>
      </x:c>
      <x:c r="S1231"/>
      <x:c r="T1231"/>
      <x:c r="U1231"/>
      <x:c r="V1231" s="59" t="b">
        <x:v>1</x:v>
      </x:c>
      <x:c r="W1231"/>
      <x:c r="X1231" t="str">
        <x:v>offen</x:v>
      </x:c>
      <x:c r="Y1231" t="str">
        <x:v>Agent-Draft; Kategorie und Person pruefen</x:v>
      </x:c>
    </x:row>
    <x:row r="1232">
      <x:c r="A1232" t="str">
        <x:v>TXN-RAW-IMP-20260516-FULLDRAFT-001216</x:v>
      </x:c>
      <x:c r="B1232" t="str">
        <x:v>RAW-IMP-20260516-FULLDRAFT-001216</x:v>
      </x:c>
      <x:c r="C1232" t="str">
        <x:v>KTO001</x:v>
      </x:c>
      <x:c r="D1232"/>
      <x:c r="E1232" t="str">
        <x:v>KAT013</x:v>
      </x:c>
      <x:c r="F1232"/>
      <x:c r="G1232"/>
      <x:c r="H1232" t="str">
        <x:v>kein_match</x:v>
      </x:c>
      <x:c r="I1232" t="str">
        <x:v>Agent-Draft: keine finale Regelentscheidung</x:v>
      </x:c>
      <x:c r="J1232" t="n">
        <x:v>45755</x:v>
      </x:c>
      <x:c r="K1232"/>
      <x:c r="L1232"/>
      <x:c r="M1232" t="n">
        <x:v>-69.67</x:v>
      </x:c>
      <x:c r="N1232" t="str">
        <x:v>2025-04</x:v>
      </x:c>
      <x:c r="O1232" t="str">
        <x:v>Ausgabe</x:v>
      </x:c>
      <x:c r="P1232" t="str">
        <x:v>Ist</x:v>
      </x:c>
      <x:c r="Q1232" s="59" t="b">
        <x:v>0</x:v>
      </x:c>
      <x:c r="R1232" t="str">
        <x:v>kein_transfer</x:v>
      </x:c>
      <x:c r="S1232"/>
      <x:c r="T1232"/>
      <x:c r="U1232"/>
      <x:c r="V1232" s="59" t="b">
        <x:v>1</x:v>
      </x:c>
      <x:c r="W1232"/>
      <x:c r="X1232" t="str">
        <x:v>offen</x:v>
      </x:c>
      <x:c r="Y1232" t="str">
        <x:v>Agent-Draft; Kategorie und Person pruefen</x:v>
      </x:c>
    </x:row>
    <x:row r="1233">
      <x:c r="A1233" t="str">
        <x:v>TXN-RAW-IMP-20260516-FULLDRAFT-001217</x:v>
      </x:c>
      <x:c r="B1233" t="str">
        <x:v>RAW-IMP-20260516-FULLDRAFT-001217</x:v>
      </x:c>
      <x:c r="C1233" t="str">
        <x:v>KTO001</x:v>
      </x:c>
      <x:c r="D1233"/>
      <x:c r="E1233" t="str">
        <x:v>KAT013</x:v>
      </x:c>
      <x:c r="F1233"/>
      <x:c r="G1233"/>
      <x:c r="H1233" t="str">
        <x:v>kein_match</x:v>
      </x:c>
      <x:c r="I1233" t="str">
        <x:v>Agent-Draft: keine finale Regelentscheidung</x:v>
      </x:c>
      <x:c r="J1233" t="n">
        <x:v>45755</x:v>
      </x:c>
      <x:c r="K1233"/>
      <x:c r="L1233"/>
      <x:c r="M1233" t="n">
        <x:v>-8.58</x:v>
      </x:c>
      <x:c r="N1233" t="str">
        <x:v>2025-04</x:v>
      </x:c>
      <x:c r="O1233" t="str">
        <x:v>Ausgabe</x:v>
      </x:c>
      <x:c r="P1233" t="str">
        <x:v>Ist</x:v>
      </x:c>
      <x:c r="Q1233" s="59" t="b">
        <x:v>0</x:v>
      </x:c>
      <x:c r="R1233" t="str">
        <x:v>kein_transfer</x:v>
      </x:c>
      <x:c r="S1233"/>
      <x:c r="T1233"/>
      <x:c r="U1233"/>
      <x:c r="V1233" s="59" t="b">
        <x:v>1</x:v>
      </x:c>
      <x:c r="W1233"/>
      <x:c r="X1233" t="str">
        <x:v>offen</x:v>
      </x:c>
      <x:c r="Y1233" t="str">
        <x:v>Agent-Draft; Kategorie und Person pruefen</x:v>
      </x:c>
    </x:row>
    <x:row r="1234">
      <x:c r="A1234" t="str">
        <x:v>TXN-RAW-IMP-20260516-FULLDRAFT-001218</x:v>
      </x:c>
      <x:c r="B1234" t="str">
        <x:v>RAW-IMP-20260516-FULLDRAFT-001218</x:v>
      </x:c>
      <x:c r="C1234" t="str">
        <x:v>KTO001</x:v>
      </x:c>
      <x:c r="D1234"/>
      <x:c r="E1234" t="str">
        <x:v>KAT013</x:v>
      </x:c>
      <x:c r="F1234"/>
      <x:c r="G1234"/>
      <x:c r="H1234" t="str">
        <x:v>kein_match</x:v>
      </x:c>
      <x:c r="I1234" t="str">
        <x:v>Agent-Draft: keine finale Regelentscheidung</x:v>
      </x:c>
      <x:c r="J1234" t="n">
        <x:v>45755</x:v>
      </x:c>
      <x:c r="K1234"/>
      <x:c r="L1234"/>
      <x:c r="M1234" t="n">
        <x:v>-4.46</x:v>
      </x:c>
      <x:c r="N1234" t="str">
        <x:v>2025-04</x:v>
      </x:c>
      <x:c r="O1234" t="str">
        <x:v>Ausgabe</x:v>
      </x:c>
      <x:c r="P1234" t="str">
        <x:v>Ist</x:v>
      </x:c>
      <x:c r="Q1234" s="59" t="b">
        <x:v>0</x:v>
      </x:c>
      <x:c r="R1234" t="str">
        <x:v>kein_transfer</x:v>
      </x:c>
      <x:c r="S1234"/>
      <x:c r="T1234"/>
      <x:c r="U1234"/>
      <x:c r="V1234" s="59" t="b">
        <x:v>1</x:v>
      </x:c>
      <x:c r="W1234"/>
      <x:c r="X1234" t="str">
        <x:v>offen</x:v>
      </x:c>
      <x:c r="Y1234" t="str">
        <x:v>Agent-Draft; Kategorie und Person pruefen</x:v>
      </x:c>
    </x:row>
    <x:row r="1235">
      <x:c r="A1235" t="str">
        <x:v>TXN-RAW-IMP-20260516-FULLDRAFT-001219</x:v>
      </x:c>
      <x:c r="B1235" t="str">
        <x:v>RAW-IMP-20260516-FULLDRAFT-001219</x:v>
      </x:c>
      <x:c r="C1235" t="str">
        <x:v>KTO001</x:v>
      </x:c>
      <x:c r="D1235"/>
      <x:c r="E1235" t="str">
        <x:v>KAT013</x:v>
      </x:c>
      <x:c r="F1235"/>
      <x:c r="G1235"/>
      <x:c r="H1235" t="str">
        <x:v>kein_match</x:v>
      </x:c>
      <x:c r="I1235" t="str">
        <x:v>Agent-Draft: keine finale Regelentscheidung</x:v>
      </x:c>
      <x:c r="J1235" t="n">
        <x:v>45755</x:v>
      </x:c>
      <x:c r="K1235"/>
      <x:c r="L1235"/>
      <x:c r="M1235" t="n">
        <x:v>-15.41</x:v>
      </x:c>
      <x:c r="N1235" t="str">
        <x:v>2025-04</x:v>
      </x:c>
      <x:c r="O1235" t="str">
        <x:v>Ausgabe</x:v>
      </x:c>
      <x:c r="P1235" t="str">
        <x:v>Ist</x:v>
      </x:c>
      <x:c r="Q1235" s="59" t="b">
        <x:v>0</x:v>
      </x:c>
      <x:c r="R1235" t="str">
        <x:v>kein_transfer</x:v>
      </x:c>
      <x:c r="S1235"/>
      <x:c r="T1235"/>
      <x:c r="U1235"/>
      <x:c r="V1235" s="59" t="b">
        <x:v>1</x:v>
      </x:c>
      <x:c r="W1235"/>
      <x:c r="X1235" t="str">
        <x:v>offen</x:v>
      </x:c>
      <x:c r="Y1235" t="str">
        <x:v>Agent-Draft; Kategorie und Person pruefen</x:v>
      </x:c>
    </x:row>
    <x:row r="1236">
      <x:c r="A1236" t="str">
        <x:v>TXN-RAW-IMP-20260516-FULLDRAFT-001220</x:v>
      </x:c>
      <x:c r="B1236" t="str">
        <x:v>RAW-IMP-20260516-FULLDRAFT-001220</x:v>
      </x:c>
      <x:c r="C1236" t="str">
        <x:v>KTO001</x:v>
      </x:c>
      <x:c r="D1236"/>
      <x:c r="E1236" t="str">
        <x:v>KAT013</x:v>
      </x:c>
      <x:c r="F1236"/>
      <x:c r="G1236"/>
      <x:c r="H1236" t="str">
        <x:v>kein_match</x:v>
      </x:c>
      <x:c r="I1236" t="str">
        <x:v>Agent-Draft: keine finale Regelentscheidung</x:v>
      </x:c>
      <x:c r="J1236" t="n">
        <x:v>45755</x:v>
      </x:c>
      <x:c r="K1236"/>
      <x:c r="L1236"/>
      <x:c r="M1236" t="n">
        <x:v>-7.99</x:v>
      </x:c>
      <x:c r="N1236" t="str">
        <x:v>2025-04</x:v>
      </x:c>
      <x:c r="O1236" t="str">
        <x:v>Ausgabe</x:v>
      </x:c>
      <x:c r="P1236" t="str">
        <x:v>Ist</x:v>
      </x:c>
      <x:c r="Q1236" s="59" t="b">
        <x:v>0</x:v>
      </x:c>
      <x:c r="R1236" t="str">
        <x:v>kein_transfer</x:v>
      </x:c>
      <x:c r="S1236"/>
      <x:c r="T1236"/>
      <x:c r="U1236"/>
      <x:c r="V1236" s="59" t="b">
        <x:v>1</x:v>
      </x:c>
      <x:c r="W1236"/>
      <x:c r="X1236" t="str">
        <x:v>offen</x:v>
      </x:c>
      <x:c r="Y1236" t="str">
        <x:v>Agent-Draft; Kategorie und Person pruefen</x:v>
      </x:c>
    </x:row>
    <x:row r="1237">
      <x:c r="A1237" t="str">
        <x:v>TXN-RAW-IMP-20260516-FULLDRAFT-001221</x:v>
      </x:c>
      <x:c r="B1237" t="str">
        <x:v>RAW-IMP-20260516-FULLDRAFT-001221</x:v>
      </x:c>
      <x:c r="C1237" t="str">
        <x:v>KTO001</x:v>
      </x:c>
      <x:c r="D1237"/>
      <x:c r="E1237" t="str">
        <x:v>KAT013</x:v>
      </x:c>
      <x:c r="F1237"/>
      <x:c r="G1237"/>
      <x:c r="H1237" t="str">
        <x:v>kein_match</x:v>
      </x:c>
      <x:c r="I1237" t="str">
        <x:v>Agent-Draft: keine finale Regelentscheidung</x:v>
      </x:c>
      <x:c r="J1237" t="n">
        <x:v>45754</x:v>
      </x:c>
      <x:c r="K1237"/>
      <x:c r="L1237"/>
      <x:c r="M1237" t="n">
        <x:v>-16</x:v>
      </x:c>
      <x:c r="N1237" t="str">
        <x:v>2025-04</x:v>
      </x:c>
      <x:c r="O1237" t="str">
        <x:v>Ausgabe</x:v>
      </x:c>
      <x:c r="P1237" t="str">
        <x:v>Ist</x:v>
      </x:c>
      <x:c r="Q1237" s="59" t="b">
        <x:v>0</x:v>
      </x:c>
      <x:c r="R1237" t="str">
        <x:v>kein_transfer</x:v>
      </x:c>
      <x:c r="S1237"/>
      <x:c r="T1237"/>
      <x:c r="U1237"/>
      <x:c r="V1237" s="59" t="b">
        <x:v>1</x:v>
      </x:c>
      <x:c r="W1237"/>
      <x:c r="X1237" t="str">
        <x:v>offen</x:v>
      </x:c>
      <x:c r="Y1237" t="str">
        <x:v>Agent-Draft; Kategorie und Person pruefen</x:v>
      </x:c>
    </x:row>
    <x:row r="1238">
      <x:c r="A1238" t="str">
        <x:v>TXN-RAW-IMP-20260516-FULLDRAFT-001222</x:v>
      </x:c>
      <x:c r="B1238" t="str">
        <x:v>RAW-IMP-20260516-FULLDRAFT-001222</x:v>
      </x:c>
      <x:c r="C1238" t="str">
        <x:v>KTO001</x:v>
      </x:c>
      <x:c r="D1238"/>
      <x:c r="E1238" t="str">
        <x:v>KAT013</x:v>
      </x:c>
      <x:c r="F1238"/>
      <x:c r="G1238"/>
      <x:c r="H1238" t="str">
        <x:v>kein_match</x:v>
      </x:c>
      <x:c r="I1238" t="str">
        <x:v>Agent-Draft: keine finale Regelentscheidung</x:v>
      </x:c>
      <x:c r="J1238" t="n">
        <x:v>45754</x:v>
      </x:c>
      <x:c r="K1238"/>
      <x:c r="L1238"/>
      <x:c r="M1238" t="n">
        <x:v>-12</x:v>
      </x:c>
      <x:c r="N1238" t="str">
        <x:v>2025-04</x:v>
      </x:c>
      <x:c r="O1238" t="str">
        <x:v>Ausgabe</x:v>
      </x:c>
      <x:c r="P1238" t="str">
        <x:v>Ist</x:v>
      </x:c>
      <x:c r="Q1238" s="59" t="b">
        <x:v>0</x:v>
      </x:c>
      <x:c r="R1238" t="str">
        <x:v>kein_transfer</x:v>
      </x:c>
      <x:c r="S1238"/>
      <x:c r="T1238"/>
      <x:c r="U1238"/>
      <x:c r="V1238" s="59" t="b">
        <x:v>1</x:v>
      </x:c>
      <x:c r="W1238"/>
      <x:c r="X1238" t="str">
        <x:v>offen</x:v>
      </x:c>
      <x:c r="Y1238" t="str">
        <x:v>Agent-Draft; Kategorie und Person pruefen</x:v>
      </x:c>
    </x:row>
    <x:row r="1239">
      <x:c r="A1239" t="str">
        <x:v>TXN-RAW-IMP-20260516-FULLDRAFT-001223</x:v>
      </x:c>
      <x:c r="B1239" t="str">
        <x:v>RAW-IMP-20260516-FULLDRAFT-001223</x:v>
      </x:c>
      <x:c r="C1239" t="str">
        <x:v>KTO001</x:v>
      </x:c>
      <x:c r="D1239"/>
      <x:c r="E1239" t="str">
        <x:v>KAT013</x:v>
      </x:c>
      <x:c r="F1239"/>
      <x:c r="G1239"/>
      <x:c r="H1239" t="str">
        <x:v>kein_match</x:v>
      </x:c>
      <x:c r="I1239" t="str">
        <x:v>Agent-Draft: keine finale Regelentscheidung</x:v>
      </x:c>
      <x:c r="J1239" t="n">
        <x:v>45754</x:v>
      </x:c>
      <x:c r="K1239"/>
      <x:c r="L1239"/>
      <x:c r="M1239" t="n">
        <x:v>-7.99</x:v>
      </x:c>
      <x:c r="N1239" t="str">
        <x:v>2025-04</x:v>
      </x:c>
      <x:c r="O1239" t="str">
        <x:v>Ausgabe</x:v>
      </x:c>
      <x:c r="P1239" t="str">
        <x:v>Ist</x:v>
      </x:c>
      <x:c r="Q1239" s="59" t="b">
        <x:v>0</x:v>
      </x:c>
      <x:c r="R1239" t="str">
        <x:v>kein_transfer</x:v>
      </x:c>
      <x:c r="S1239"/>
      <x:c r="T1239"/>
      <x:c r="U1239"/>
      <x:c r="V1239" s="59" t="b">
        <x:v>1</x:v>
      </x:c>
      <x:c r="W1239"/>
      <x:c r="X1239" t="str">
        <x:v>offen</x:v>
      </x:c>
      <x:c r="Y1239" t="str">
        <x:v>Agent-Draft; Kategorie und Person pruefen</x:v>
      </x:c>
    </x:row>
    <x:row r="1240">
      <x:c r="A1240" t="str">
        <x:v>TXN-RAW-IMP-20260516-FULLDRAFT-001224</x:v>
      </x:c>
      <x:c r="B1240" t="str">
        <x:v>RAW-IMP-20260516-FULLDRAFT-001224</x:v>
      </x:c>
      <x:c r="C1240" t="str">
        <x:v>KTO001</x:v>
      </x:c>
      <x:c r="D1240"/>
      <x:c r="E1240" t="str">
        <x:v>KAT013</x:v>
      </x:c>
      <x:c r="F1240"/>
      <x:c r="G1240"/>
      <x:c r="H1240" t="str">
        <x:v>kein_match</x:v>
      </x:c>
      <x:c r="I1240" t="str">
        <x:v>Agent-Draft: keine finale Regelentscheidung</x:v>
      </x:c>
      <x:c r="J1240" t="n">
        <x:v>45754</x:v>
      </x:c>
      <x:c r="K1240"/>
      <x:c r="L1240"/>
      <x:c r="M1240" t="n">
        <x:v>-18.64</x:v>
      </x:c>
      <x:c r="N1240" t="str">
        <x:v>2025-04</x:v>
      </x:c>
      <x:c r="O1240" t="str">
        <x:v>Ausgabe</x:v>
      </x:c>
      <x:c r="P1240" t="str">
        <x:v>Ist</x:v>
      </x:c>
      <x:c r="Q1240" s="59" t="b">
        <x:v>0</x:v>
      </x:c>
      <x:c r="R1240" t="str">
        <x:v>kein_transfer</x:v>
      </x:c>
      <x:c r="S1240"/>
      <x:c r="T1240"/>
      <x:c r="U1240"/>
      <x:c r="V1240" s="59" t="b">
        <x:v>1</x:v>
      </x:c>
      <x:c r="W1240"/>
      <x:c r="X1240" t="str">
        <x:v>offen</x:v>
      </x:c>
      <x:c r="Y1240" t="str">
        <x:v>Agent-Draft; Kategorie und Person pruefen</x:v>
      </x:c>
    </x:row>
    <x:row r="1241">
      <x:c r="A1241" t="str">
        <x:v>TXN-RAW-IMP-20260516-FULLDRAFT-001225</x:v>
      </x:c>
      <x:c r="B1241" t="str">
        <x:v>RAW-IMP-20260516-FULLDRAFT-001225</x:v>
      </x:c>
      <x:c r="C1241" t="str">
        <x:v>KTO001</x:v>
      </x:c>
      <x:c r="D1241"/>
      <x:c r="E1241" t="str">
        <x:v>KAT013</x:v>
      </x:c>
      <x:c r="F1241"/>
      <x:c r="G1241"/>
      <x:c r="H1241" t="str">
        <x:v>kein_match</x:v>
      </x:c>
      <x:c r="I1241" t="str">
        <x:v>Agent-Draft: keine finale Regelentscheidung</x:v>
      </x:c>
      <x:c r="J1241" t="n">
        <x:v>45754</x:v>
      </x:c>
      <x:c r="K1241"/>
      <x:c r="L1241"/>
      <x:c r="M1241" t="n">
        <x:v>-49.9</x:v>
      </x:c>
      <x:c r="N1241" t="str">
        <x:v>2025-04</x:v>
      </x:c>
      <x:c r="O1241" t="str">
        <x:v>Ausgabe</x:v>
      </x:c>
      <x:c r="P1241" t="str">
        <x:v>Ist</x:v>
      </x:c>
      <x:c r="Q1241" s="59" t="b">
        <x:v>0</x:v>
      </x:c>
      <x:c r="R1241" t="str">
        <x:v>kein_transfer</x:v>
      </x:c>
      <x:c r="S1241"/>
      <x:c r="T1241"/>
      <x:c r="U1241"/>
      <x:c r="V1241" s="59" t="b">
        <x:v>1</x:v>
      </x:c>
      <x:c r="W1241"/>
      <x:c r="X1241" t="str">
        <x:v>offen</x:v>
      </x:c>
      <x:c r="Y1241" t="str">
        <x:v>Agent-Draft; Kategorie und Person pruefen</x:v>
      </x:c>
    </x:row>
    <x:row r="1242">
      <x:c r="A1242" t="str">
        <x:v>TXN-RAW-IMP-20260516-FULLDRAFT-001226</x:v>
      </x:c>
      <x:c r="B1242" t="str">
        <x:v>RAW-IMP-20260516-FULLDRAFT-001226</x:v>
      </x:c>
      <x:c r="C1242" t="str">
        <x:v>KTO001</x:v>
      </x:c>
      <x:c r="D1242"/>
      <x:c r="E1242" t="str">
        <x:v>KAT013</x:v>
      </x:c>
      <x:c r="F1242"/>
      <x:c r="G1242"/>
      <x:c r="H1242" t="str">
        <x:v>kein_match</x:v>
      </x:c>
      <x:c r="I1242" t="str">
        <x:v>Agent-Draft: keine finale Regelentscheidung</x:v>
      </x:c>
      <x:c r="J1242" t="n">
        <x:v>45751</x:v>
      </x:c>
      <x:c r="K1242"/>
      <x:c r="L1242"/>
      <x:c r="M1242" t="n">
        <x:v>8.87</x:v>
      </x:c>
      <x:c r="N1242" t="str">
        <x:v>2025-04</x:v>
      </x:c>
      <x:c r="O1242" t="str">
        <x:v>Einnahme</x:v>
      </x:c>
      <x:c r="P1242" t="str">
        <x:v>Ist</x:v>
      </x:c>
      <x:c r="Q1242" s="59" t="b">
        <x:v>0</x:v>
      </x:c>
      <x:c r="R1242" t="str">
        <x:v>kein_transfer</x:v>
      </x:c>
      <x:c r="S1242"/>
      <x:c r="T1242"/>
      <x:c r="U1242"/>
      <x:c r="V1242" s="59" t="b">
        <x:v>1</x:v>
      </x:c>
      <x:c r="W1242"/>
      <x:c r="X1242" t="str">
        <x:v>offen</x:v>
      </x:c>
      <x:c r="Y1242" t="str">
        <x:v>Agent-Draft; Kategorie und Person pruefen</x:v>
      </x:c>
    </x:row>
    <x:row r="1243">
      <x:c r="A1243" t="str">
        <x:v>TXN-RAW-IMP-20260516-FULLDRAFT-001227</x:v>
      </x:c>
      <x:c r="B1243" t="str">
        <x:v>RAW-IMP-20260516-FULLDRAFT-001227</x:v>
      </x:c>
      <x:c r="C1243" t="str">
        <x:v>KTO001</x:v>
      </x:c>
      <x:c r="D1243"/>
      <x:c r="E1243" t="str">
        <x:v>KAT013</x:v>
      </x:c>
      <x:c r="F1243"/>
      <x:c r="G1243"/>
      <x:c r="H1243" t="str">
        <x:v>kein_match</x:v>
      </x:c>
      <x:c r="I1243" t="str">
        <x:v>Agent-Draft: keine finale Regelentscheidung</x:v>
      </x:c>
      <x:c r="J1243" t="n">
        <x:v>45751</x:v>
      </x:c>
      <x:c r="K1243"/>
      <x:c r="L1243"/>
      <x:c r="M1243" t="n">
        <x:v>-8</x:v>
      </x:c>
      <x:c r="N1243" t="str">
        <x:v>2025-04</x:v>
      </x:c>
      <x:c r="O1243" t="str">
        <x:v>Ausgabe</x:v>
      </x:c>
      <x:c r="P1243" t="str">
        <x:v>Ist</x:v>
      </x:c>
      <x:c r="Q1243" s="59" t="b">
        <x:v>0</x:v>
      </x:c>
      <x:c r="R1243" t="str">
        <x:v>kein_transfer</x:v>
      </x:c>
      <x:c r="S1243"/>
      <x:c r="T1243"/>
      <x:c r="U1243"/>
      <x:c r="V1243" s="59" t="b">
        <x:v>1</x:v>
      </x:c>
      <x:c r="W1243"/>
      <x:c r="X1243" t="str">
        <x:v>offen</x:v>
      </x:c>
      <x:c r="Y1243" t="str">
        <x:v>Agent-Draft; Kategorie und Person pruefen</x:v>
      </x:c>
    </x:row>
    <x:row r="1244">
      <x:c r="A1244" t="str">
        <x:v>TXN-RAW-IMP-20260516-FULLDRAFT-001228</x:v>
      </x:c>
      <x:c r="B1244" t="str">
        <x:v>RAW-IMP-20260516-FULLDRAFT-001228</x:v>
      </x:c>
      <x:c r="C1244" t="str">
        <x:v>KTO001</x:v>
      </x:c>
      <x:c r="D1244"/>
      <x:c r="E1244" t="str">
        <x:v>KAT013</x:v>
      </x:c>
      <x:c r="F1244"/>
      <x:c r="G1244"/>
      <x:c r="H1244" t="str">
        <x:v>kein_match</x:v>
      </x:c>
      <x:c r="I1244" t="str">
        <x:v>Agent-Draft: keine finale Regelentscheidung</x:v>
      </x:c>
      <x:c r="J1244" t="n">
        <x:v>45751</x:v>
      </x:c>
      <x:c r="K1244"/>
      <x:c r="L1244"/>
      <x:c r="M1244" t="n">
        <x:v>-8</x:v>
      </x:c>
      <x:c r="N1244" t="str">
        <x:v>2025-04</x:v>
      </x:c>
      <x:c r="O1244" t="str">
        <x:v>Ausgabe</x:v>
      </x:c>
      <x:c r="P1244" t="str">
        <x:v>Ist</x:v>
      </x:c>
      <x:c r="Q1244" s="59" t="b">
        <x:v>0</x:v>
      </x:c>
      <x:c r="R1244" t="str">
        <x:v>kein_transfer</x:v>
      </x:c>
      <x:c r="S1244"/>
      <x:c r="T1244"/>
      <x:c r="U1244"/>
      <x:c r="V1244" s="59" t="b">
        <x:v>1</x:v>
      </x:c>
      <x:c r="W1244"/>
      <x:c r="X1244" t="str">
        <x:v>offen</x:v>
      </x:c>
      <x:c r="Y1244" t="str">
        <x:v>Agent-Draft; Kategorie und Person pruefen</x:v>
      </x:c>
    </x:row>
    <x:row r="1245">
      <x:c r="A1245" t="str">
        <x:v>TXN-RAW-IMP-20260516-FULLDRAFT-001229</x:v>
      </x:c>
      <x:c r="B1245" t="str">
        <x:v>RAW-IMP-20260516-FULLDRAFT-001229</x:v>
      </x:c>
      <x:c r="C1245" t="str">
        <x:v>KTO001</x:v>
      </x:c>
      <x:c r="D1245"/>
      <x:c r="E1245" t="str">
        <x:v>KAT013</x:v>
      </x:c>
      <x:c r="F1245"/>
      <x:c r="G1245"/>
      <x:c r="H1245" t="str">
        <x:v>kein_match</x:v>
      </x:c>
      <x:c r="I1245" t="str">
        <x:v>Agent-Draft: keine finale Regelentscheidung</x:v>
      </x:c>
      <x:c r="J1245" t="n">
        <x:v>45751</x:v>
      </x:c>
      <x:c r="K1245"/>
      <x:c r="L1245"/>
      <x:c r="M1245" t="n">
        <x:v>-150</x:v>
      </x:c>
      <x:c r="N1245" t="str">
        <x:v>2025-04</x:v>
      </x:c>
      <x:c r="O1245" t="str">
        <x:v>Ausgabe</x:v>
      </x:c>
      <x:c r="P1245" t="str">
        <x:v>Ist</x:v>
      </x:c>
      <x:c r="Q1245" s="59" t="b">
        <x:v>0</x:v>
      </x:c>
      <x:c r="R1245" t="str">
        <x:v>kein_transfer</x:v>
      </x:c>
      <x:c r="S1245"/>
      <x:c r="T1245"/>
      <x:c r="U1245"/>
      <x:c r="V1245" s="59" t="b">
        <x:v>1</x:v>
      </x:c>
      <x:c r="W1245"/>
      <x:c r="X1245" t="str">
        <x:v>offen</x:v>
      </x:c>
      <x:c r="Y1245" t="str">
        <x:v>Agent-Draft; Kategorie und Person pruefen</x:v>
      </x:c>
    </x:row>
    <x:row r="1246">
      <x:c r="A1246" t="str">
        <x:v>TXN-RAW-IMP-20260516-FULLDRAFT-001230</x:v>
      </x:c>
      <x:c r="B1246" t="str">
        <x:v>RAW-IMP-20260516-FULLDRAFT-001230</x:v>
      </x:c>
      <x:c r="C1246" t="str">
        <x:v>KTO001</x:v>
      </x:c>
      <x:c r="D1246"/>
      <x:c r="E1246" t="str">
        <x:v>KAT013</x:v>
      </x:c>
      <x:c r="F1246"/>
      <x:c r="G1246"/>
      <x:c r="H1246" t="str">
        <x:v>kein_match</x:v>
      </x:c>
      <x:c r="I1246" t="str">
        <x:v>Agent-Draft: keine finale Regelentscheidung</x:v>
      </x:c>
      <x:c r="J1246" t="n">
        <x:v>45751</x:v>
      </x:c>
      <x:c r="K1246"/>
      <x:c r="L1246"/>
      <x:c r="M1246" t="n">
        <x:v>-61.93</x:v>
      </x:c>
      <x:c r="N1246" t="str">
        <x:v>2025-04</x:v>
      </x:c>
      <x:c r="O1246" t="str">
        <x:v>Ausgabe</x:v>
      </x:c>
      <x:c r="P1246" t="str">
        <x:v>Ist</x:v>
      </x:c>
      <x:c r="Q1246" s="59" t="b">
        <x:v>0</x:v>
      </x:c>
      <x:c r="R1246" t="str">
        <x:v>kein_transfer</x:v>
      </x:c>
      <x:c r="S1246"/>
      <x:c r="T1246"/>
      <x:c r="U1246"/>
      <x:c r="V1246" s="59" t="b">
        <x:v>1</x:v>
      </x:c>
      <x:c r="W1246"/>
      <x:c r="X1246" t="str">
        <x:v>offen</x:v>
      </x:c>
      <x:c r="Y1246" t="str">
        <x:v>Agent-Draft; Kategorie und Person pruefen</x:v>
      </x:c>
    </x:row>
    <x:row r="1247">
      <x:c r="A1247" t="str">
        <x:v>TXN-RAW-IMP-20260516-FULLDRAFT-001231</x:v>
      </x:c>
      <x:c r="B1247" t="str">
        <x:v>RAW-IMP-20260516-FULLDRAFT-001231</x:v>
      </x:c>
      <x:c r="C1247" t="str">
        <x:v>KTO001</x:v>
      </x:c>
      <x:c r="D1247"/>
      <x:c r="E1247" t="str">
        <x:v>KAT013</x:v>
      </x:c>
      <x:c r="F1247"/>
      <x:c r="G1247"/>
      <x:c r="H1247" t="str">
        <x:v>kein_match</x:v>
      </x:c>
      <x:c r="I1247" t="str">
        <x:v>Agent-Draft: keine finale Regelentscheidung</x:v>
      </x:c>
      <x:c r="J1247" t="n">
        <x:v>45750</x:v>
      </x:c>
      <x:c r="K1247"/>
      <x:c r="L1247"/>
      <x:c r="M1247" t="n">
        <x:v>-5.8</x:v>
      </x:c>
      <x:c r="N1247" t="str">
        <x:v>2025-04</x:v>
      </x:c>
      <x:c r="O1247" t="str">
        <x:v>Ausgabe</x:v>
      </x:c>
      <x:c r="P1247" t="str">
        <x:v>Ist</x:v>
      </x:c>
      <x:c r="Q1247" s="59" t="b">
        <x:v>0</x:v>
      </x:c>
      <x:c r="R1247" t="str">
        <x:v>kein_transfer</x:v>
      </x:c>
      <x:c r="S1247"/>
      <x:c r="T1247"/>
      <x:c r="U1247"/>
      <x:c r="V1247" s="59" t="b">
        <x:v>1</x:v>
      </x:c>
      <x:c r="W1247"/>
      <x:c r="X1247" t="str">
        <x:v>offen</x:v>
      </x:c>
      <x:c r="Y1247" t="str">
        <x:v>Agent-Draft; Kategorie und Person pruefen</x:v>
      </x:c>
    </x:row>
    <x:row r="1248">
      <x:c r="A1248" t="str">
        <x:v>TXN-RAW-IMP-20260516-FULLDRAFT-001232</x:v>
      </x:c>
      <x:c r="B1248" t="str">
        <x:v>RAW-IMP-20260516-FULLDRAFT-001232</x:v>
      </x:c>
      <x:c r="C1248" t="str">
        <x:v>KTO001</x:v>
      </x:c>
      <x:c r="D1248"/>
      <x:c r="E1248" t="str">
        <x:v>KAT013</x:v>
      </x:c>
      <x:c r="F1248"/>
      <x:c r="G1248"/>
      <x:c r="H1248" t="str">
        <x:v>kein_match</x:v>
      </x:c>
      <x:c r="I1248" t="str">
        <x:v>Agent-Draft: keine finale Regelentscheidung</x:v>
      </x:c>
      <x:c r="J1248" t="n">
        <x:v>45750</x:v>
      </x:c>
      <x:c r="K1248"/>
      <x:c r="L1248"/>
      <x:c r="M1248" t="n">
        <x:v>-3.99</x:v>
      </x:c>
      <x:c r="N1248" t="str">
        <x:v>2025-04</x:v>
      </x:c>
      <x:c r="O1248" t="str">
        <x:v>Ausgabe</x:v>
      </x:c>
      <x:c r="P1248" t="str">
        <x:v>Ist</x:v>
      </x:c>
      <x:c r="Q1248" s="59" t="b">
        <x:v>0</x:v>
      </x:c>
      <x:c r="R1248" t="str">
        <x:v>kein_transfer</x:v>
      </x:c>
      <x:c r="S1248"/>
      <x:c r="T1248"/>
      <x:c r="U1248"/>
      <x:c r="V1248" s="59" t="b">
        <x:v>1</x:v>
      </x:c>
      <x:c r="W1248"/>
      <x:c r="X1248" t="str">
        <x:v>offen</x:v>
      </x:c>
      <x:c r="Y1248" t="str">
        <x:v>Agent-Draft; Kategorie und Person pruefen</x:v>
      </x:c>
    </x:row>
    <x:row r="1249">
      <x:c r="A1249" t="str">
        <x:v>TXN-RAW-IMP-20260516-FULLDRAFT-001233</x:v>
      </x:c>
      <x:c r="B1249" t="str">
        <x:v>RAW-IMP-20260516-FULLDRAFT-001233</x:v>
      </x:c>
      <x:c r="C1249" t="str">
        <x:v>KTO001</x:v>
      </x:c>
      <x:c r="D1249"/>
      <x:c r="E1249" t="str">
        <x:v>KAT013</x:v>
      </x:c>
      <x:c r="F1249"/>
      <x:c r="G1249"/>
      <x:c r="H1249" t="str">
        <x:v>kein_match</x:v>
      </x:c>
      <x:c r="I1249" t="str">
        <x:v>Agent-Draft: keine finale Regelentscheidung</x:v>
      </x:c>
      <x:c r="J1249" t="n">
        <x:v>45750</x:v>
      </x:c>
      <x:c r="K1249"/>
      <x:c r="L1249"/>
      <x:c r="M1249" t="n">
        <x:v>-1.49</x:v>
      </x:c>
      <x:c r="N1249" t="str">
        <x:v>2025-04</x:v>
      </x:c>
      <x:c r="O1249" t="str">
        <x:v>Ausgabe</x:v>
      </x:c>
      <x:c r="P1249" t="str">
        <x:v>Ist</x:v>
      </x:c>
      <x:c r="Q1249" s="59" t="b">
        <x:v>0</x:v>
      </x:c>
      <x:c r="R1249" t="str">
        <x:v>kein_transfer</x:v>
      </x:c>
      <x:c r="S1249"/>
      <x:c r="T1249"/>
      <x:c r="U1249"/>
      <x:c r="V1249" s="59" t="b">
        <x:v>1</x:v>
      </x:c>
      <x:c r="W1249"/>
      <x:c r="X1249" t="str">
        <x:v>offen</x:v>
      </x:c>
      <x:c r="Y1249" t="str">
        <x:v>Agent-Draft; Kategorie und Person pruefen</x:v>
      </x:c>
    </x:row>
    <x:row r="1250">
      <x:c r="A1250" t="str">
        <x:v>TXN-RAW-IMP-20260516-FULLDRAFT-001234</x:v>
      </x:c>
      <x:c r="B1250" t="str">
        <x:v>RAW-IMP-20260516-FULLDRAFT-001234</x:v>
      </x:c>
      <x:c r="C1250" t="str">
        <x:v>KTO001</x:v>
      </x:c>
      <x:c r="D1250"/>
      <x:c r="E1250" t="str">
        <x:v>KAT013</x:v>
      </x:c>
      <x:c r="F1250"/>
      <x:c r="G1250"/>
      <x:c r="H1250" t="str">
        <x:v>kein_match</x:v>
      </x:c>
      <x:c r="I1250" t="str">
        <x:v>Agent-Draft: keine finale Regelentscheidung</x:v>
      </x:c>
      <x:c r="J1250" t="n">
        <x:v>45750</x:v>
      </x:c>
      <x:c r="K1250"/>
      <x:c r="L1250"/>
      <x:c r="M1250" t="n">
        <x:v>-85.37</x:v>
      </x:c>
      <x:c r="N1250" t="str">
        <x:v>2025-04</x:v>
      </x:c>
      <x:c r="O1250" t="str">
        <x:v>Ausgabe</x:v>
      </x:c>
      <x:c r="P1250" t="str">
        <x:v>Ist</x:v>
      </x:c>
      <x:c r="Q1250" s="59" t="b">
        <x:v>0</x:v>
      </x:c>
      <x:c r="R1250" t="str">
        <x:v>kein_transfer</x:v>
      </x:c>
      <x:c r="S1250"/>
      <x:c r="T1250"/>
      <x:c r="U1250"/>
      <x:c r="V1250" s="59" t="b">
        <x:v>1</x:v>
      </x:c>
      <x:c r="W1250"/>
      <x:c r="X1250" t="str">
        <x:v>offen</x:v>
      </x:c>
      <x:c r="Y1250" t="str">
        <x:v>Agent-Draft; Kategorie und Person pruefen</x:v>
      </x:c>
    </x:row>
    <x:row r="1251">
      <x:c r="A1251" t="str">
        <x:v>TXN-RAW-IMP-20260516-FULLDRAFT-001235</x:v>
      </x:c>
      <x:c r="B1251" t="str">
        <x:v>RAW-IMP-20260516-FULLDRAFT-001235</x:v>
      </x:c>
      <x:c r="C1251" t="str">
        <x:v>KTO001</x:v>
      </x:c>
      <x:c r="D1251"/>
      <x:c r="E1251" t="str">
        <x:v>KAT013</x:v>
      </x:c>
      <x:c r="F1251"/>
      <x:c r="G1251"/>
      <x:c r="H1251" t="str">
        <x:v>kein_match</x:v>
      </x:c>
      <x:c r="I1251" t="str">
        <x:v>Agent-Draft: keine finale Regelentscheidung</x:v>
      </x:c>
      <x:c r="J1251" t="n">
        <x:v>45750</x:v>
      </x:c>
      <x:c r="K1251"/>
      <x:c r="L1251"/>
      <x:c r="M1251" t="n">
        <x:v>-500</x:v>
      </x:c>
      <x:c r="N1251" t="str">
        <x:v>2025-04</x:v>
      </x:c>
      <x:c r="O1251" t="str">
        <x:v>Ausgabe</x:v>
      </x:c>
      <x:c r="P1251" t="str">
        <x:v>Ist</x:v>
      </x:c>
      <x:c r="Q1251" s="59" t="b">
        <x:v>0</x:v>
      </x:c>
      <x:c r="R1251" t="str">
        <x:v>unklar</x:v>
      </x:c>
      <x:c r="S1251"/>
      <x:c r="T1251"/>
      <x:c r="U1251"/>
      <x:c r="V1251" s="59" t="b">
        <x:v>1</x:v>
      </x:c>
      <x:c r="W1251" t="str">
        <x:v>Transferkandidat im Draft</x:v>
      </x:c>
      <x:c r="X1251" t="str">
        <x:v>offen</x:v>
      </x:c>
      <x:c r="Y1251" t="str">
        <x:v>Agent-Draft; Kategorie und Person pruefen</x:v>
      </x:c>
    </x:row>
    <x:row r="1252">
      <x:c r="A1252" t="str">
        <x:v>TXN-RAW-IMP-20260516-FULLDRAFT-001236</x:v>
      </x:c>
      <x:c r="B1252" t="str">
        <x:v>RAW-IMP-20260516-FULLDRAFT-001236</x:v>
      </x:c>
      <x:c r="C1252" t="str">
        <x:v>KTO001</x:v>
      </x:c>
      <x:c r="D1252"/>
      <x:c r="E1252" t="str">
        <x:v>KAT013</x:v>
      </x:c>
      <x:c r="F1252"/>
      <x:c r="G1252"/>
      <x:c r="H1252" t="str">
        <x:v>kein_match</x:v>
      </x:c>
      <x:c r="I1252" t="str">
        <x:v>Agent-Draft: keine finale Regelentscheidung</x:v>
      </x:c>
      <x:c r="J1252" t="n">
        <x:v>45749</x:v>
      </x:c>
      <x:c r="K1252"/>
      <x:c r="L1252"/>
      <x:c r="M1252" t="n">
        <x:v>-45.89</x:v>
      </x:c>
      <x:c r="N1252" t="str">
        <x:v>2025-04</x:v>
      </x:c>
      <x:c r="O1252" t="str">
        <x:v>Ausgabe</x:v>
      </x:c>
      <x:c r="P1252" t="str">
        <x:v>Ist</x:v>
      </x:c>
      <x:c r="Q1252" s="59" t="b">
        <x:v>0</x:v>
      </x:c>
      <x:c r="R1252" t="str">
        <x:v>kein_transfer</x:v>
      </x:c>
      <x:c r="S1252"/>
      <x:c r="T1252"/>
      <x:c r="U1252"/>
      <x:c r="V1252" s="59" t="b">
        <x:v>1</x:v>
      </x:c>
      <x:c r="W1252"/>
      <x:c r="X1252" t="str">
        <x:v>offen</x:v>
      </x:c>
      <x:c r="Y1252" t="str">
        <x:v>Agent-Draft; Kategorie und Person pruefen</x:v>
      </x:c>
    </x:row>
    <x:row r="1253">
      <x:c r="A1253" t="str">
        <x:v>TXN-RAW-IMP-20260516-FULLDRAFT-001237</x:v>
      </x:c>
      <x:c r="B1253" t="str">
        <x:v>RAW-IMP-20260516-FULLDRAFT-001237</x:v>
      </x:c>
      <x:c r="C1253" t="str">
        <x:v>KTO001</x:v>
      </x:c>
      <x:c r="D1253"/>
      <x:c r="E1253" t="str">
        <x:v>KAT013</x:v>
      </x:c>
      <x:c r="F1253"/>
      <x:c r="G1253"/>
      <x:c r="H1253" t="str">
        <x:v>kein_match</x:v>
      </x:c>
      <x:c r="I1253" t="str">
        <x:v>Agent-Draft: keine finale Regelentscheidung</x:v>
      </x:c>
      <x:c r="J1253" t="n">
        <x:v>45749</x:v>
      </x:c>
      <x:c r="K1253"/>
      <x:c r="L1253"/>
      <x:c r="M1253" t="n">
        <x:v>-26.53</x:v>
      </x:c>
      <x:c r="N1253" t="str">
        <x:v>2025-04</x:v>
      </x:c>
      <x:c r="O1253" t="str">
        <x:v>Ausgabe</x:v>
      </x:c>
      <x:c r="P1253" t="str">
        <x:v>Ist</x:v>
      </x:c>
      <x:c r="Q1253" s="59" t="b">
        <x:v>0</x:v>
      </x:c>
      <x:c r="R1253" t="str">
        <x:v>kein_transfer</x:v>
      </x:c>
      <x:c r="S1253"/>
      <x:c r="T1253"/>
      <x:c r="U1253"/>
      <x:c r="V1253" s="59" t="b">
        <x:v>1</x:v>
      </x:c>
      <x:c r="W1253"/>
      <x:c r="X1253" t="str">
        <x:v>offen</x:v>
      </x:c>
      <x:c r="Y1253" t="str">
        <x:v>Agent-Draft; Kategorie und Person pruefen</x:v>
      </x:c>
    </x:row>
    <x:row r="1254">
      <x:c r="A1254" t="str">
        <x:v>TXN-RAW-IMP-20260516-FULLDRAFT-001238</x:v>
      </x:c>
      <x:c r="B1254" t="str">
        <x:v>RAW-IMP-20260516-FULLDRAFT-001238</x:v>
      </x:c>
      <x:c r="C1254" t="str">
        <x:v>KTO001</x:v>
      </x:c>
      <x:c r="D1254"/>
      <x:c r="E1254" t="str">
        <x:v>KAT013</x:v>
      </x:c>
      <x:c r="F1254"/>
      <x:c r="G1254"/>
      <x:c r="H1254" t="str">
        <x:v>kein_match</x:v>
      </x:c>
      <x:c r="I1254" t="str">
        <x:v>Agent-Draft: keine finale Regelentscheidung</x:v>
      </x:c>
      <x:c r="J1254" t="n">
        <x:v>45749</x:v>
      </x:c>
      <x:c r="K1254"/>
      <x:c r="L1254"/>
      <x:c r="M1254" t="n">
        <x:v>-5.5</x:v>
      </x:c>
      <x:c r="N1254" t="str">
        <x:v>2025-04</x:v>
      </x:c>
      <x:c r="O1254" t="str">
        <x:v>Ausgabe</x:v>
      </x:c>
      <x:c r="P1254" t="str">
        <x:v>Ist</x:v>
      </x:c>
      <x:c r="Q1254" s="59" t="b">
        <x:v>0</x:v>
      </x:c>
      <x:c r="R1254" t="str">
        <x:v>kein_transfer</x:v>
      </x:c>
      <x:c r="S1254"/>
      <x:c r="T1254"/>
      <x:c r="U1254"/>
      <x:c r="V1254" s="59" t="b">
        <x:v>1</x:v>
      </x:c>
      <x:c r="W1254"/>
      <x:c r="X1254" t="str">
        <x:v>offen</x:v>
      </x:c>
      <x:c r="Y1254" t="str">
        <x:v>Agent-Draft; Kategorie und Person pruefen</x:v>
      </x:c>
    </x:row>
    <x:row r="1255">
      <x:c r="A1255" t="str">
        <x:v>TXN-RAW-IMP-20260516-FULLDRAFT-001239</x:v>
      </x:c>
      <x:c r="B1255" t="str">
        <x:v>RAW-IMP-20260516-FULLDRAFT-001239</x:v>
      </x:c>
      <x:c r="C1255" t="str">
        <x:v>KTO001</x:v>
      </x:c>
      <x:c r="D1255"/>
      <x:c r="E1255" t="str">
        <x:v>KAT013</x:v>
      </x:c>
      <x:c r="F1255"/>
      <x:c r="G1255"/>
      <x:c r="H1255" t="str">
        <x:v>kein_match</x:v>
      </x:c>
      <x:c r="I1255" t="str">
        <x:v>Agent-Draft: keine finale Regelentscheidung</x:v>
      </x:c>
      <x:c r="J1255" t="n">
        <x:v>45749</x:v>
      </x:c>
      <x:c r="K1255"/>
      <x:c r="L1255"/>
      <x:c r="M1255" t="n">
        <x:v>-80</x:v>
      </x:c>
      <x:c r="N1255" t="str">
        <x:v>2025-04</x:v>
      </x:c>
      <x:c r="O1255" t="str">
        <x:v>Ausgabe</x:v>
      </x:c>
      <x:c r="P1255" t="str">
        <x:v>Ist</x:v>
      </x:c>
      <x:c r="Q1255" s="59" t="b">
        <x:v>0</x:v>
      </x:c>
      <x:c r="R1255" t="str">
        <x:v>kein_transfer</x:v>
      </x:c>
      <x:c r="S1255"/>
      <x:c r="T1255"/>
      <x:c r="U1255"/>
      <x:c r="V1255" s="59" t="b">
        <x:v>1</x:v>
      </x:c>
      <x:c r="W1255"/>
      <x:c r="X1255" t="str">
        <x:v>offen</x:v>
      </x:c>
      <x:c r="Y1255" t="str">
        <x:v>Agent-Draft; Kategorie und Person pruefen</x:v>
      </x:c>
    </x:row>
    <x:row r="1256">
      <x:c r="A1256" t="str">
        <x:v>TXN-RAW-IMP-20260516-FULLDRAFT-001240</x:v>
      </x:c>
      <x:c r="B1256" t="str">
        <x:v>RAW-IMP-20260516-FULLDRAFT-001240</x:v>
      </x:c>
      <x:c r="C1256" t="str">
        <x:v>KTO001</x:v>
      </x:c>
      <x:c r="D1256"/>
      <x:c r="E1256" t="str">
        <x:v>KAT013</x:v>
      </x:c>
      <x:c r="F1256"/>
      <x:c r="G1256"/>
      <x:c r="H1256" t="str">
        <x:v>kein_match</x:v>
      </x:c>
      <x:c r="I1256" t="str">
        <x:v>Agent-Draft: keine finale Regelentscheidung</x:v>
      </x:c>
      <x:c r="J1256" t="n">
        <x:v>45749</x:v>
      </x:c>
      <x:c r="K1256"/>
      <x:c r="L1256"/>
      <x:c r="M1256" t="n">
        <x:v>-11.96</x:v>
      </x:c>
      <x:c r="N1256" t="str">
        <x:v>2025-04</x:v>
      </x:c>
      <x:c r="O1256" t="str">
        <x:v>Ausgabe</x:v>
      </x:c>
      <x:c r="P1256" t="str">
        <x:v>Ist</x:v>
      </x:c>
      <x:c r="Q1256" s="59" t="b">
        <x:v>0</x:v>
      </x:c>
      <x:c r="R1256" t="str">
        <x:v>kein_transfer</x:v>
      </x:c>
      <x:c r="S1256"/>
      <x:c r="T1256"/>
      <x:c r="U1256"/>
      <x:c r="V1256" s="59" t="b">
        <x:v>1</x:v>
      </x:c>
      <x:c r="W1256"/>
      <x:c r="X1256" t="str">
        <x:v>offen</x:v>
      </x:c>
      <x:c r="Y1256" t="str">
        <x:v>Agent-Draft; Kategorie und Person pruefen</x:v>
      </x:c>
    </x:row>
    <x:row r="1257">
      <x:c r="A1257" t="str">
        <x:v>TXN-RAW-IMP-20260516-FULLDRAFT-001241</x:v>
      </x:c>
      <x:c r="B1257" t="str">
        <x:v>RAW-IMP-20260516-FULLDRAFT-001241</x:v>
      </x:c>
      <x:c r="C1257" t="str">
        <x:v>KTO001</x:v>
      </x:c>
      <x:c r="D1257"/>
      <x:c r="E1257" t="str">
        <x:v>KAT013</x:v>
      </x:c>
      <x:c r="F1257"/>
      <x:c r="G1257"/>
      <x:c r="H1257" t="str">
        <x:v>kein_match</x:v>
      </x:c>
      <x:c r="I1257" t="str">
        <x:v>Agent-Draft: keine finale Regelentscheidung</x:v>
      </x:c>
      <x:c r="J1257" t="n">
        <x:v>45749</x:v>
      </x:c>
      <x:c r="K1257"/>
      <x:c r="L1257"/>
      <x:c r="M1257" t="n">
        <x:v>-23.63</x:v>
      </x:c>
      <x:c r="N1257" t="str">
        <x:v>2025-04</x:v>
      </x:c>
      <x:c r="O1257" t="str">
        <x:v>Ausgabe</x:v>
      </x:c>
      <x:c r="P1257" t="str">
        <x:v>Ist</x:v>
      </x:c>
      <x:c r="Q1257" s="59" t="b">
        <x:v>0</x:v>
      </x:c>
      <x:c r="R1257" t="str">
        <x:v>kein_transfer</x:v>
      </x:c>
      <x:c r="S1257"/>
      <x:c r="T1257"/>
      <x:c r="U1257"/>
      <x:c r="V1257" s="59" t="b">
        <x:v>1</x:v>
      </x:c>
      <x:c r="W1257"/>
      <x:c r="X1257" t="str">
        <x:v>offen</x:v>
      </x:c>
      <x:c r="Y1257" t="str">
        <x:v>Agent-Draft; Kategorie und Person pruefen</x:v>
      </x:c>
    </x:row>
    <x:row r="1258">
      <x:c r="A1258" t="str">
        <x:v>TXN-RAW-IMP-20260516-FULLDRAFT-001242</x:v>
      </x:c>
      <x:c r="B1258" t="str">
        <x:v>RAW-IMP-20260516-FULLDRAFT-001242</x:v>
      </x:c>
      <x:c r="C1258" t="str">
        <x:v>KTO001</x:v>
      </x:c>
      <x:c r="D1258"/>
      <x:c r="E1258" t="str">
        <x:v>KAT013</x:v>
      </x:c>
      <x:c r="F1258"/>
      <x:c r="G1258"/>
      <x:c r="H1258" t="str">
        <x:v>kein_match</x:v>
      </x:c>
      <x:c r="I1258" t="str">
        <x:v>Agent-Draft: keine finale Regelentscheidung</x:v>
      </x:c>
      <x:c r="J1258" t="n">
        <x:v>45749</x:v>
      </x:c>
      <x:c r="K1258"/>
      <x:c r="L1258"/>
      <x:c r="M1258" t="n">
        <x:v>-57.5</x:v>
      </x:c>
      <x:c r="N1258" t="str">
        <x:v>2025-04</x:v>
      </x:c>
      <x:c r="O1258" t="str">
        <x:v>Ausgabe</x:v>
      </x:c>
      <x:c r="P1258" t="str">
        <x:v>Ist</x:v>
      </x:c>
      <x:c r="Q1258" s="59" t="b">
        <x:v>0</x:v>
      </x:c>
      <x:c r="R1258" t="str">
        <x:v>kein_transfer</x:v>
      </x:c>
      <x:c r="S1258"/>
      <x:c r="T1258"/>
      <x:c r="U1258"/>
      <x:c r="V1258" s="59" t="b">
        <x:v>1</x:v>
      </x:c>
      <x:c r="W1258"/>
      <x:c r="X1258" t="str">
        <x:v>offen</x:v>
      </x:c>
      <x:c r="Y1258" t="str">
        <x:v>Agent-Draft; Kategorie und Person pruefen</x:v>
      </x:c>
    </x:row>
    <x:row r="1259">
      <x:c r="A1259" t="str">
        <x:v>TXN-RAW-IMP-20260516-FULLDRAFT-001243</x:v>
      </x:c>
      <x:c r="B1259" t="str">
        <x:v>RAW-IMP-20260516-FULLDRAFT-001243</x:v>
      </x:c>
      <x:c r="C1259" t="str">
        <x:v>KTO001</x:v>
      </x:c>
      <x:c r="D1259"/>
      <x:c r="E1259" t="str">
        <x:v>KAT013</x:v>
      </x:c>
      <x:c r="F1259"/>
      <x:c r="G1259"/>
      <x:c r="H1259" t="str">
        <x:v>kein_match</x:v>
      </x:c>
      <x:c r="I1259" t="str">
        <x:v>Agent-Draft: keine finale Regelentscheidung</x:v>
      </x:c>
      <x:c r="J1259" t="n">
        <x:v>45748</x:v>
      </x:c>
      <x:c r="K1259"/>
      <x:c r="L1259"/>
      <x:c r="M1259" t="n">
        <x:v>750</x:v>
      </x:c>
      <x:c r="N1259" t="str">
        <x:v>2025-04</x:v>
      </x:c>
      <x:c r="O1259" t="str">
        <x:v>Einnahme</x:v>
      </x:c>
      <x:c r="P1259" t="str">
        <x:v>Ist</x:v>
      </x:c>
      <x:c r="Q1259" s="59" t="b">
        <x:v>0</x:v>
      </x:c>
      <x:c r="R1259" t="str">
        <x:v>kein_transfer</x:v>
      </x:c>
      <x:c r="S1259"/>
      <x:c r="T1259"/>
      <x:c r="U1259"/>
      <x:c r="V1259" s="59" t="b">
        <x:v>1</x:v>
      </x:c>
      <x:c r="W1259"/>
      <x:c r="X1259" t="str">
        <x:v>offen</x:v>
      </x:c>
      <x:c r="Y1259" t="str">
        <x:v>Agent-Draft; Kategorie und Person pruefen</x:v>
      </x:c>
    </x:row>
    <x:row r="1260">
      <x:c r="A1260" t="str">
        <x:v>TXN-RAW-IMP-20260516-FULLDRAFT-001244</x:v>
      </x:c>
      <x:c r="B1260" t="str">
        <x:v>RAW-IMP-20260516-FULLDRAFT-001244</x:v>
      </x:c>
      <x:c r="C1260" t="str">
        <x:v>KTO001</x:v>
      </x:c>
      <x:c r="D1260"/>
      <x:c r="E1260" t="str">
        <x:v>KAT013</x:v>
      </x:c>
      <x:c r="F1260"/>
      <x:c r="G1260"/>
      <x:c r="H1260" t="str">
        <x:v>kein_match</x:v>
      </x:c>
      <x:c r="I1260" t="str">
        <x:v>Agent-Draft: keine finale Regelentscheidung</x:v>
      </x:c>
      <x:c r="J1260" t="n">
        <x:v>45748</x:v>
      </x:c>
      <x:c r="K1260"/>
      <x:c r="L1260"/>
      <x:c r="M1260" t="n">
        <x:v>-1800</x:v>
      </x:c>
      <x:c r="N1260" t="str">
        <x:v>2025-04</x:v>
      </x:c>
      <x:c r="O1260" t="str">
        <x:v>Ausgabe</x:v>
      </x:c>
      <x:c r="P1260" t="str">
        <x:v>Ist</x:v>
      </x:c>
      <x:c r="Q1260" s="59" t="b">
        <x:v>0</x:v>
      </x:c>
      <x:c r="R1260" t="str">
        <x:v>kein_transfer</x:v>
      </x:c>
      <x:c r="S1260"/>
      <x:c r="T1260"/>
      <x:c r="U1260"/>
      <x:c r="V1260" s="59" t="b">
        <x:v>1</x:v>
      </x:c>
      <x:c r="W1260"/>
      <x:c r="X1260" t="str">
        <x:v>offen</x:v>
      </x:c>
      <x:c r="Y1260" t="str">
        <x:v>Agent-Draft; Kategorie und Person pruefen</x:v>
      </x:c>
    </x:row>
    <x:row r="1261">
      <x:c r="A1261" t="str">
        <x:v>TXN-RAW-IMP-20260516-FULLDRAFT-001245</x:v>
      </x:c>
      <x:c r="B1261" t="str">
        <x:v>RAW-IMP-20260516-FULLDRAFT-001245</x:v>
      </x:c>
      <x:c r="C1261" t="str">
        <x:v>KTO001</x:v>
      </x:c>
      <x:c r="D1261"/>
      <x:c r="E1261" t="str">
        <x:v>KAT013</x:v>
      </x:c>
      <x:c r="F1261"/>
      <x:c r="G1261"/>
      <x:c r="H1261" t="str">
        <x:v>kein_match</x:v>
      </x:c>
      <x:c r="I1261" t="str">
        <x:v>Agent-Draft: keine finale Regelentscheidung</x:v>
      </x:c>
      <x:c r="J1261" t="n">
        <x:v>45748</x:v>
      </x:c>
      <x:c r="K1261"/>
      <x:c r="L1261"/>
      <x:c r="M1261" t="n">
        <x:v>-1400</x:v>
      </x:c>
      <x:c r="N1261" t="str">
        <x:v>2025-04</x:v>
      </x:c>
      <x:c r="O1261" t="str">
        <x:v>Ausgabe</x:v>
      </x:c>
      <x:c r="P1261" t="str">
        <x:v>Ist</x:v>
      </x:c>
      <x:c r="Q1261" s="59" t="b">
        <x:v>0</x:v>
      </x:c>
      <x:c r="R1261" t="str">
        <x:v>kein_transfer</x:v>
      </x:c>
      <x:c r="S1261"/>
      <x:c r="T1261"/>
      <x:c r="U1261"/>
      <x:c r="V1261" s="59" t="b">
        <x:v>1</x:v>
      </x:c>
      <x:c r="W1261"/>
      <x:c r="X1261" t="str">
        <x:v>offen</x:v>
      </x:c>
      <x:c r="Y1261" t="str">
        <x:v>Agent-Draft; Kategorie und Person pruefen</x:v>
      </x:c>
    </x:row>
    <x:row r="1262">
      <x:c r="A1262" t="str">
        <x:v>TXN-RAW-IMP-20260516-FULLDRAFT-001246</x:v>
      </x:c>
      <x:c r="B1262" t="str">
        <x:v>RAW-IMP-20260516-FULLDRAFT-001246</x:v>
      </x:c>
      <x:c r="C1262" t="str">
        <x:v>KTO001</x:v>
      </x:c>
      <x:c r="D1262"/>
      <x:c r="E1262" t="str">
        <x:v>KAT013</x:v>
      </x:c>
      <x:c r="F1262"/>
      <x:c r="G1262"/>
      <x:c r="H1262" t="str">
        <x:v>kein_match</x:v>
      </x:c>
      <x:c r="I1262" t="str">
        <x:v>Agent-Draft: keine finale Regelentscheidung</x:v>
      </x:c>
      <x:c r="J1262" t="n">
        <x:v>45748</x:v>
      </x:c>
      <x:c r="K1262"/>
      <x:c r="L1262"/>
      <x:c r="M1262" t="n">
        <x:v>-53.3</x:v>
      </x:c>
      <x:c r="N1262" t="str">
        <x:v>2025-04</x:v>
      </x:c>
      <x:c r="O1262" t="str">
        <x:v>Ausgabe</x:v>
      </x:c>
      <x:c r="P1262" t="str">
        <x:v>Ist</x:v>
      </x:c>
      <x:c r="Q1262" s="59" t="b">
        <x:v>0</x:v>
      </x:c>
      <x:c r="R1262" t="str">
        <x:v>kein_transfer</x:v>
      </x:c>
      <x:c r="S1262"/>
      <x:c r="T1262"/>
      <x:c r="U1262"/>
      <x:c r="V1262" s="59" t="b">
        <x:v>1</x:v>
      </x:c>
      <x:c r="W1262"/>
      <x:c r="X1262" t="str">
        <x:v>offen</x:v>
      </x:c>
      <x:c r="Y1262" t="str">
        <x:v>Agent-Draft; Kategorie und Person pruefen</x:v>
      </x:c>
    </x:row>
    <x:row r="1263">
      <x:c r="A1263" t="str">
        <x:v>TXN-RAW-IMP-20260516-FULLDRAFT-001247</x:v>
      </x:c>
      <x:c r="B1263" t="str">
        <x:v>RAW-IMP-20260516-FULLDRAFT-001247</x:v>
      </x:c>
      <x:c r="C1263" t="str">
        <x:v>KTO001</x:v>
      </x:c>
      <x:c r="D1263"/>
      <x:c r="E1263" t="str">
        <x:v>KAT013</x:v>
      </x:c>
      <x:c r="F1263"/>
      <x:c r="G1263"/>
      <x:c r="H1263" t="str">
        <x:v>kein_match</x:v>
      </x:c>
      <x:c r="I1263" t="str">
        <x:v>Agent-Draft: keine finale Regelentscheidung</x:v>
      </x:c>
      <x:c r="J1263" t="n">
        <x:v>45748</x:v>
      </x:c>
      <x:c r="K1263"/>
      <x:c r="L1263"/>
      <x:c r="M1263" t="n">
        <x:v>-452.71</x:v>
      </x:c>
      <x:c r="N1263" t="str">
        <x:v>2025-04</x:v>
      </x:c>
      <x:c r="O1263" t="str">
        <x:v>Ausgabe</x:v>
      </x:c>
      <x:c r="P1263" t="str">
        <x:v>Ist</x:v>
      </x:c>
      <x:c r="Q1263" s="59" t="b">
        <x:v>0</x:v>
      </x:c>
      <x:c r="R1263" t="str">
        <x:v>kein_transfer</x:v>
      </x:c>
      <x:c r="S1263"/>
      <x:c r="T1263"/>
      <x:c r="U1263"/>
      <x:c r="V1263" s="59" t="b">
        <x:v>1</x:v>
      </x:c>
      <x:c r="W1263"/>
      <x:c r="X1263" t="str">
        <x:v>offen</x:v>
      </x:c>
      <x:c r="Y1263" t="str">
        <x:v>Agent-Draft; Kategorie und Person pruefen</x:v>
      </x:c>
    </x:row>
    <x:row r="1264">
      <x:c r="A1264" t="str">
        <x:v>TXN-RAW-IMP-20260516-FULLDRAFT-001248</x:v>
      </x:c>
      <x:c r="B1264" t="str">
        <x:v>RAW-IMP-20260516-FULLDRAFT-001248</x:v>
      </x:c>
      <x:c r="C1264" t="str">
        <x:v>KTO001</x:v>
      </x:c>
      <x:c r="D1264"/>
      <x:c r="E1264" t="str">
        <x:v>KAT013</x:v>
      </x:c>
      <x:c r="F1264"/>
      <x:c r="G1264"/>
      <x:c r="H1264" t="str">
        <x:v>kein_match</x:v>
      </x:c>
      <x:c r="I1264" t="str">
        <x:v>Agent-Draft: keine finale Regelentscheidung</x:v>
      </x:c>
      <x:c r="J1264" t="n">
        <x:v>45748</x:v>
      </x:c>
      <x:c r="K1264"/>
      <x:c r="L1264"/>
      <x:c r="M1264" t="n">
        <x:v>-97.12</x:v>
      </x:c>
      <x:c r="N1264" t="str">
        <x:v>2025-04</x:v>
      </x:c>
      <x:c r="O1264" t="str">
        <x:v>Ausgabe</x:v>
      </x:c>
      <x:c r="P1264" t="str">
        <x:v>Ist</x:v>
      </x:c>
      <x:c r="Q1264" s="59" t="b">
        <x:v>0</x:v>
      </x:c>
      <x:c r="R1264" t="str">
        <x:v>kein_transfer</x:v>
      </x:c>
      <x:c r="S1264"/>
      <x:c r="T1264"/>
      <x:c r="U1264"/>
      <x:c r="V1264" s="59" t="b">
        <x:v>1</x:v>
      </x:c>
      <x:c r="W1264"/>
      <x:c r="X1264" t="str">
        <x:v>offen</x:v>
      </x:c>
      <x:c r="Y1264" t="str">
        <x:v>Agent-Draft; Kategorie und Person pruefen</x:v>
      </x:c>
    </x:row>
    <x:row r="1265">
      <x:c r="A1265" t="str">
        <x:v>TXN-RAW-IMP-20260516-FULLDRAFT-001249</x:v>
      </x:c>
      <x:c r="B1265" t="str">
        <x:v>RAW-IMP-20260516-FULLDRAFT-001249</x:v>
      </x:c>
      <x:c r="C1265" t="str">
        <x:v>KTO001</x:v>
      </x:c>
      <x:c r="D1265"/>
      <x:c r="E1265" t="str">
        <x:v>KAT013</x:v>
      </x:c>
      <x:c r="F1265"/>
      <x:c r="G1265"/>
      <x:c r="H1265" t="str">
        <x:v>kein_match</x:v>
      </x:c>
      <x:c r="I1265" t="str">
        <x:v>Agent-Draft: keine finale Regelentscheidung</x:v>
      </x:c>
      <x:c r="J1265" t="n">
        <x:v>45748</x:v>
      </x:c>
      <x:c r="K1265"/>
      <x:c r="L1265"/>
      <x:c r="M1265" t="n">
        <x:v>-162.17</x:v>
      </x:c>
      <x:c r="N1265" t="str">
        <x:v>2025-04</x:v>
      </x:c>
      <x:c r="O1265" t="str">
        <x:v>Ausgabe</x:v>
      </x:c>
      <x:c r="P1265" t="str">
        <x:v>Ist</x:v>
      </x:c>
      <x:c r="Q1265" s="59" t="b">
        <x:v>0</x:v>
      </x:c>
      <x:c r="R1265" t="str">
        <x:v>kein_transfer</x:v>
      </x:c>
      <x:c r="S1265"/>
      <x:c r="T1265"/>
      <x:c r="U1265"/>
      <x:c r="V1265" s="59" t="b">
        <x:v>1</x:v>
      </x:c>
      <x:c r="W1265"/>
      <x:c r="X1265" t="str">
        <x:v>offen</x:v>
      </x:c>
      <x:c r="Y1265" t="str">
        <x:v>Agent-Draft; Kategorie und Person pruefen</x:v>
      </x:c>
    </x:row>
    <x:row r="1266">
      <x:c r="A1266" t="str">
        <x:v>TXN-RAW-IMP-20260516-FULLDRAFT-001250</x:v>
      </x:c>
      <x:c r="B1266" t="str">
        <x:v>RAW-IMP-20260516-FULLDRAFT-001250</x:v>
      </x:c>
      <x:c r="C1266" t="str">
        <x:v>KTO001</x:v>
      </x:c>
      <x:c r="D1266"/>
      <x:c r="E1266" t="str">
        <x:v>KAT013</x:v>
      </x:c>
      <x:c r="F1266"/>
      <x:c r="G1266"/>
      <x:c r="H1266" t="str">
        <x:v>kein_match</x:v>
      </x:c>
      <x:c r="I1266" t="str">
        <x:v>Agent-Draft: keine finale Regelentscheidung</x:v>
      </x:c>
      <x:c r="J1266" t="n">
        <x:v>45748</x:v>
      </x:c>
      <x:c r="K1266"/>
      <x:c r="L1266"/>
      <x:c r="M1266" t="n">
        <x:v>-68.46</x:v>
      </x:c>
      <x:c r="N1266" t="str">
        <x:v>2025-04</x:v>
      </x:c>
      <x:c r="O1266" t="str">
        <x:v>Ausgabe</x:v>
      </x:c>
      <x:c r="P1266" t="str">
        <x:v>Ist</x:v>
      </x:c>
      <x:c r="Q1266" s="59" t="b">
        <x:v>0</x:v>
      </x:c>
      <x:c r="R1266" t="str">
        <x:v>kein_transfer</x:v>
      </x:c>
      <x:c r="S1266"/>
      <x:c r="T1266"/>
      <x:c r="U1266"/>
      <x:c r="V1266" s="59" t="b">
        <x:v>1</x:v>
      </x:c>
      <x:c r="W1266"/>
      <x:c r="X1266" t="str">
        <x:v>offen</x:v>
      </x:c>
      <x:c r="Y1266" t="str">
        <x:v>Agent-Draft; Kategorie und Person pruefen</x:v>
      </x:c>
    </x:row>
    <x:row r="1267">
      <x:c r="A1267" t="str">
        <x:v>TXN-RAW-IMP-20260516-FULLDRAFT-001251</x:v>
      </x:c>
      <x:c r="B1267" t="str">
        <x:v>RAW-IMP-20260516-FULLDRAFT-001251</x:v>
      </x:c>
      <x:c r="C1267" t="str">
        <x:v>KTO001</x:v>
      </x:c>
      <x:c r="D1267"/>
      <x:c r="E1267" t="str">
        <x:v>KAT013</x:v>
      </x:c>
      <x:c r="F1267"/>
      <x:c r="G1267"/>
      <x:c r="H1267" t="str">
        <x:v>kein_match</x:v>
      </x:c>
      <x:c r="I1267" t="str">
        <x:v>Agent-Draft: keine finale Regelentscheidung</x:v>
      </x:c>
      <x:c r="J1267" t="n">
        <x:v>45748</x:v>
      </x:c>
      <x:c r="K1267"/>
      <x:c r="L1267"/>
      <x:c r="M1267" t="n">
        <x:v>-600</x:v>
      </x:c>
      <x:c r="N1267" t="str">
        <x:v>2025-04</x:v>
      </x:c>
      <x:c r="O1267" t="str">
        <x:v>Ausgabe</x:v>
      </x:c>
      <x:c r="P1267" t="str">
        <x:v>Ist</x:v>
      </x:c>
      <x:c r="Q1267" s="59" t="b">
        <x:v>0</x:v>
      </x:c>
      <x:c r="R1267" t="str">
        <x:v>kein_transfer</x:v>
      </x:c>
      <x:c r="S1267"/>
      <x:c r="T1267"/>
      <x:c r="U1267"/>
      <x:c r="V1267" s="59" t="b">
        <x:v>1</x:v>
      </x:c>
      <x:c r="W1267"/>
      <x:c r="X1267" t="str">
        <x:v>offen</x:v>
      </x:c>
      <x:c r="Y1267" t="str">
        <x:v>Agent-Draft; Kategorie und Person pruefen</x:v>
      </x:c>
    </x:row>
    <x:row r="1268">
      <x:c r="A1268" t="str">
        <x:v>TXN-RAW-IMP-20260516-FULLDRAFT-001252</x:v>
      </x:c>
      <x:c r="B1268" t="str">
        <x:v>RAW-IMP-20260516-FULLDRAFT-001252</x:v>
      </x:c>
      <x:c r="C1268" t="str">
        <x:v>KTO001</x:v>
      </x:c>
      <x:c r="D1268"/>
      <x:c r="E1268" t="str">
        <x:v>KAT013</x:v>
      </x:c>
      <x:c r="F1268"/>
      <x:c r="G1268"/>
      <x:c r="H1268" t="str">
        <x:v>kein_match</x:v>
      </x:c>
      <x:c r="I1268" t="str">
        <x:v>Agent-Draft: keine finale Regelentscheidung</x:v>
      </x:c>
      <x:c r="J1268" t="n">
        <x:v>45748</x:v>
      </x:c>
      <x:c r="K1268"/>
      <x:c r="L1268"/>
      <x:c r="M1268" t="n">
        <x:v>-8.99</x:v>
      </x:c>
      <x:c r="N1268" t="str">
        <x:v>2025-04</x:v>
      </x:c>
      <x:c r="O1268" t="str">
        <x:v>Ausgabe</x:v>
      </x:c>
      <x:c r="P1268" t="str">
        <x:v>Ist</x:v>
      </x:c>
      <x:c r="Q1268" s="59" t="b">
        <x:v>0</x:v>
      </x:c>
      <x:c r="R1268" t="str">
        <x:v>kein_transfer</x:v>
      </x:c>
      <x:c r="S1268"/>
      <x:c r="T1268"/>
      <x:c r="U1268"/>
      <x:c r="V1268" s="59" t="b">
        <x:v>1</x:v>
      </x:c>
      <x:c r="W1268"/>
      <x:c r="X1268" t="str">
        <x:v>offen</x:v>
      </x:c>
      <x:c r="Y1268" t="str">
        <x:v>Agent-Draft; Kategorie und Person pruefen</x:v>
      </x:c>
    </x:row>
    <x:row r="1269">
      <x:c r="A1269" t="str">
        <x:v>TXN-RAW-IMP-20260516-FULLDRAFT-001253</x:v>
      </x:c>
      <x:c r="B1269" t="str">
        <x:v>RAW-IMP-20260516-FULLDRAFT-001253</x:v>
      </x:c>
      <x:c r="C1269" t="str">
        <x:v>KTO001</x:v>
      </x:c>
      <x:c r="D1269"/>
      <x:c r="E1269" t="str">
        <x:v>KAT013</x:v>
      </x:c>
      <x:c r="F1269"/>
      <x:c r="G1269"/>
      <x:c r="H1269" t="str">
        <x:v>kein_match</x:v>
      </x:c>
      <x:c r="I1269" t="str">
        <x:v>Agent-Draft: keine finale Regelentscheidung</x:v>
      </x:c>
      <x:c r="J1269" t="n">
        <x:v>45748</x:v>
      </x:c>
      <x:c r="K1269"/>
      <x:c r="L1269"/>
      <x:c r="M1269" t="n">
        <x:v>-0.07</x:v>
      </x:c>
      <x:c r="N1269" t="str">
        <x:v>2025-04</x:v>
      </x:c>
      <x:c r="O1269" t="str">
        <x:v>Ausgabe</x:v>
      </x:c>
      <x:c r="P1269" t="str">
        <x:v>Ist</x:v>
      </x:c>
      <x:c r="Q1269" s="59" t="b">
        <x:v>0</x:v>
      </x:c>
      <x:c r="R1269" t="str">
        <x:v>kein_transfer</x:v>
      </x:c>
      <x:c r="S1269"/>
      <x:c r="T1269"/>
      <x:c r="U1269"/>
      <x:c r="V1269" s="59" t="b">
        <x:v>1</x:v>
      </x:c>
      <x:c r="W1269"/>
      <x:c r="X1269" t="str">
        <x:v>offen</x:v>
      </x:c>
      <x:c r="Y1269" t="str">
        <x:v>Agent-Draft; Kategorie und Person pruefen</x:v>
      </x:c>
    </x:row>
    <x:row r="1270">
      <x:c r="A1270" t="str">
        <x:v>TXN-RAW-IMP-20260516-FULLDRAFT-001254</x:v>
      </x:c>
      <x:c r="B1270" t="str">
        <x:v>RAW-IMP-20260516-FULLDRAFT-001254</x:v>
      </x:c>
      <x:c r="C1270" t="str">
        <x:v>KTO001</x:v>
      </x:c>
      <x:c r="D1270"/>
      <x:c r="E1270" t="str">
        <x:v>KAT013</x:v>
      </x:c>
      <x:c r="F1270"/>
      <x:c r="G1270"/>
      <x:c r="H1270" t="str">
        <x:v>kein_match</x:v>
      </x:c>
      <x:c r="I1270" t="str">
        <x:v>Agent-Draft: keine finale Regelentscheidung</x:v>
      </x:c>
      <x:c r="J1270" t="n">
        <x:v>45747</x:v>
      </x:c>
      <x:c r="K1270"/>
      <x:c r="L1270"/>
      <x:c r="M1270" t="n">
        <x:v>-29</x:v>
      </x:c>
      <x:c r="N1270" t="str">
        <x:v>2025-03</x:v>
      </x:c>
      <x:c r="O1270" t="str">
        <x:v>Ausgabe</x:v>
      </x:c>
      <x:c r="P1270" t="str">
        <x:v>Ist</x:v>
      </x:c>
      <x:c r="Q1270" s="59" t="b">
        <x:v>0</x:v>
      </x:c>
      <x:c r="R1270" t="str">
        <x:v>kein_transfer</x:v>
      </x:c>
      <x:c r="S1270"/>
      <x:c r="T1270"/>
      <x:c r="U1270"/>
      <x:c r="V1270" s="59" t="b">
        <x:v>1</x:v>
      </x:c>
      <x:c r="W1270"/>
      <x:c r="X1270" t="str">
        <x:v>offen</x:v>
      </x:c>
      <x:c r="Y1270" t="str">
        <x:v>Agent-Draft; Kategorie und Person pruefen</x:v>
      </x:c>
    </x:row>
    <x:row r="1271">
      <x:c r="A1271" t="str">
        <x:v>TXN-RAW-IMP-20260516-FULLDRAFT-001255</x:v>
      </x:c>
      <x:c r="B1271" t="str">
        <x:v>RAW-IMP-20260516-FULLDRAFT-001255</x:v>
      </x:c>
      <x:c r="C1271" t="str">
        <x:v>KTO001</x:v>
      </x:c>
      <x:c r="D1271"/>
      <x:c r="E1271" t="str">
        <x:v>KAT013</x:v>
      </x:c>
      <x:c r="F1271"/>
      <x:c r="G1271"/>
      <x:c r="H1271" t="str">
        <x:v>kein_match</x:v>
      </x:c>
      <x:c r="I1271" t="str">
        <x:v>Agent-Draft: keine finale Regelentscheidung</x:v>
      </x:c>
      <x:c r="J1271" t="n">
        <x:v>45747</x:v>
      </x:c>
      <x:c r="K1271"/>
      <x:c r="L1271"/>
      <x:c r="M1271" t="n">
        <x:v>-48.15</x:v>
      </x:c>
      <x:c r="N1271" t="str">
        <x:v>2025-03</x:v>
      </x:c>
      <x:c r="O1271" t="str">
        <x:v>Ausgabe</x:v>
      </x:c>
      <x:c r="P1271" t="str">
        <x:v>Ist</x:v>
      </x:c>
      <x:c r="Q1271" s="59" t="b">
        <x:v>0</x:v>
      </x:c>
      <x:c r="R1271" t="str">
        <x:v>kein_transfer</x:v>
      </x:c>
      <x:c r="S1271"/>
      <x:c r="T1271"/>
      <x:c r="U1271"/>
      <x:c r="V1271" s="59" t="b">
        <x:v>1</x:v>
      </x:c>
      <x:c r="W1271"/>
      <x:c r="X1271" t="str">
        <x:v>offen</x:v>
      </x:c>
      <x:c r="Y1271" t="str">
        <x:v>Agent-Draft; Kategorie und Person pruefen</x:v>
      </x:c>
    </x:row>
    <x:row r="1272">
      <x:c r="A1272" t="str">
        <x:v>TXN-RAW-IMP-20260516-FULLDRAFT-001256</x:v>
      </x:c>
      <x:c r="B1272" t="str">
        <x:v>RAW-IMP-20260516-FULLDRAFT-001256</x:v>
      </x:c>
      <x:c r="C1272" t="str">
        <x:v>KTO001</x:v>
      </x:c>
      <x:c r="D1272"/>
      <x:c r="E1272" t="str">
        <x:v>KAT013</x:v>
      </x:c>
      <x:c r="F1272"/>
      <x:c r="G1272"/>
      <x:c r="H1272" t="str">
        <x:v>kein_match</x:v>
      </x:c>
      <x:c r="I1272" t="str">
        <x:v>Agent-Draft: keine finale Regelentscheidung</x:v>
      </x:c>
      <x:c r="J1272" t="n">
        <x:v>45747</x:v>
      </x:c>
      <x:c r="K1272"/>
      <x:c r="L1272"/>
      <x:c r="M1272" t="n">
        <x:v>-26.18</x:v>
      </x:c>
      <x:c r="N1272" t="str">
        <x:v>2025-03</x:v>
      </x:c>
      <x:c r="O1272" t="str">
        <x:v>Ausgabe</x:v>
      </x:c>
      <x:c r="P1272" t="str">
        <x:v>Ist</x:v>
      </x:c>
      <x:c r="Q1272" s="59" t="b">
        <x:v>0</x:v>
      </x:c>
      <x:c r="R1272" t="str">
        <x:v>kein_transfer</x:v>
      </x:c>
      <x:c r="S1272"/>
      <x:c r="T1272"/>
      <x:c r="U1272"/>
      <x:c r="V1272" s="59" t="b">
        <x:v>1</x:v>
      </x:c>
      <x:c r="W1272"/>
      <x:c r="X1272" t="str">
        <x:v>offen</x:v>
      </x:c>
      <x:c r="Y1272" t="str">
        <x:v>Agent-Draft; Kategorie und Person pruefen</x:v>
      </x:c>
    </x:row>
    <x:row r="1273">
      <x:c r="A1273" t="str">
        <x:v>TXN-RAW-IMP-20260516-FULLDRAFT-001257</x:v>
      </x:c>
      <x:c r="B1273" t="str">
        <x:v>RAW-IMP-20260516-FULLDRAFT-001257</x:v>
      </x:c>
      <x:c r="C1273" t="str">
        <x:v>KTO001</x:v>
      </x:c>
      <x:c r="D1273"/>
      <x:c r="E1273" t="str">
        <x:v>KAT013</x:v>
      </x:c>
      <x:c r="F1273"/>
      <x:c r="G1273"/>
      <x:c r="H1273" t="str">
        <x:v>kein_match</x:v>
      </x:c>
      <x:c r="I1273" t="str">
        <x:v>Agent-Draft: keine finale Regelentscheidung</x:v>
      </x:c>
      <x:c r="J1273" t="n">
        <x:v>45747</x:v>
      </x:c>
      <x:c r="K1273"/>
      <x:c r="L1273"/>
      <x:c r="M1273" t="n">
        <x:v>-5.4</x:v>
      </x:c>
      <x:c r="N1273" t="str">
        <x:v>2025-03</x:v>
      </x:c>
      <x:c r="O1273" t="str">
        <x:v>Ausgabe</x:v>
      </x:c>
      <x:c r="P1273" t="str">
        <x:v>Ist</x:v>
      </x:c>
      <x:c r="Q1273" s="59" t="b">
        <x:v>0</x:v>
      </x:c>
      <x:c r="R1273" t="str">
        <x:v>kein_transfer</x:v>
      </x:c>
      <x:c r="S1273"/>
      <x:c r="T1273"/>
      <x:c r="U1273"/>
      <x:c r="V1273" s="59" t="b">
        <x:v>1</x:v>
      </x:c>
      <x:c r="W1273"/>
      <x:c r="X1273" t="str">
        <x:v>offen</x:v>
      </x:c>
      <x:c r="Y1273" t="str">
        <x:v>Agent-Draft; Kategorie und Person pruefen</x:v>
      </x:c>
    </x:row>
    <x:row r="1274">
      <x:c r="A1274" t="str">
        <x:v>TXN-RAW-IMP-20260516-FULLDRAFT-001258</x:v>
      </x:c>
      <x:c r="B1274" t="str">
        <x:v>RAW-IMP-20260516-FULLDRAFT-001258</x:v>
      </x:c>
      <x:c r="C1274" t="str">
        <x:v>KTO001</x:v>
      </x:c>
      <x:c r="D1274"/>
      <x:c r="E1274" t="str">
        <x:v>KAT013</x:v>
      </x:c>
      <x:c r="F1274"/>
      <x:c r="G1274"/>
      <x:c r="H1274" t="str">
        <x:v>kein_match</x:v>
      </x:c>
      <x:c r="I1274" t="str">
        <x:v>Agent-Draft: keine finale Regelentscheidung</x:v>
      </x:c>
      <x:c r="J1274" t="n">
        <x:v>45747</x:v>
      </x:c>
      <x:c r="K1274"/>
      <x:c r="L1274"/>
      <x:c r="M1274" t="n">
        <x:v>-11.89</x:v>
      </x:c>
      <x:c r="N1274" t="str">
        <x:v>2025-03</x:v>
      </x:c>
      <x:c r="O1274" t="str">
        <x:v>Ausgabe</x:v>
      </x:c>
      <x:c r="P1274" t="str">
        <x:v>Ist</x:v>
      </x:c>
      <x:c r="Q1274" s="59" t="b">
        <x:v>0</x:v>
      </x:c>
      <x:c r="R1274" t="str">
        <x:v>kein_transfer</x:v>
      </x:c>
      <x:c r="S1274"/>
      <x:c r="T1274"/>
      <x:c r="U1274"/>
      <x:c r="V1274" s="59" t="b">
        <x:v>1</x:v>
      </x:c>
      <x:c r="W1274"/>
      <x:c r="X1274" t="str">
        <x:v>offen</x:v>
      </x:c>
      <x:c r="Y1274" t="str">
        <x:v>Agent-Draft; Kategorie und Person pruefen</x:v>
      </x:c>
    </x:row>
    <x:row r="1275">
      <x:c r="A1275" t="str">
        <x:v>TXN-RAW-IMP-20260516-FULLDRAFT-001259</x:v>
      </x:c>
      <x:c r="B1275" t="str">
        <x:v>RAW-IMP-20260516-FULLDRAFT-001259</x:v>
      </x:c>
      <x:c r="C1275" t="str">
        <x:v>KTO001</x:v>
      </x:c>
      <x:c r="D1275"/>
      <x:c r="E1275" t="str">
        <x:v>KAT013</x:v>
      </x:c>
      <x:c r="F1275"/>
      <x:c r="G1275"/>
      <x:c r="H1275" t="str">
        <x:v>kein_match</x:v>
      </x:c>
      <x:c r="I1275" t="str">
        <x:v>Agent-Draft: keine finale Regelentscheidung</x:v>
      </x:c>
      <x:c r="J1275" t="n">
        <x:v>45747</x:v>
      </x:c>
      <x:c r="K1275"/>
      <x:c r="L1275"/>
      <x:c r="M1275" t="n">
        <x:v>-0.15</x:v>
      </x:c>
      <x:c r="N1275" t="str">
        <x:v>2025-03</x:v>
      </x:c>
      <x:c r="O1275" t="str">
        <x:v>Ausgabe</x:v>
      </x:c>
      <x:c r="P1275" t="str">
        <x:v>Ist</x:v>
      </x:c>
      <x:c r="Q1275" s="59" t="b">
        <x:v>0</x:v>
      </x:c>
      <x:c r="R1275" t="str">
        <x:v>kein_transfer</x:v>
      </x:c>
      <x:c r="S1275"/>
      <x:c r="T1275"/>
      <x:c r="U1275"/>
      <x:c r="V1275" s="59" t="b">
        <x:v>1</x:v>
      </x:c>
      <x:c r="W1275"/>
      <x:c r="X1275" t="str">
        <x:v>offen</x:v>
      </x:c>
      <x:c r="Y1275" t="str">
        <x:v>Agent-Draft; Kategorie und Person pruefen</x:v>
      </x:c>
    </x:row>
    <x:row r="1276">
      <x:c r="A1276" t="str">
        <x:v>TXN-RAW-IMP-20260516-FULLDRAFT-001260</x:v>
      </x:c>
      <x:c r="B1276" t="str">
        <x:v>RAW-IMP-20260516-FULLDRAFT-001260</x:v>
      </x:c>
      <x:c r="C1276" t="str">
        <x:v>KTO001</x:v>
      </x:c>
      <x:c r="D1276"/>
      <x:c r="E1276" t="str">
        <x:v>KAT013</x:v>
      </x:c>
      <x:c r="F1276"/>
      <x:c r="G1276"/>
      <x:c r="H1276" t="str">
        <x:v>kein_match</x:v>
      </x:c>
      <x:c r="I1276" t="str">
        <x:v>Agent-Draft: keine finale Regelentscheidung</x:v>
      </x:c>
      <x:c r="J1276" t="n">
        <x:v>45747</x:v>
      </x:c>
      <x:c r="K1276"/>
      <x:c r="L1276"/>
      <x:c r="M1276" t="n">
        <x:v>-2.25</x:v>
      </x:c>
      <x:c r="N1276" t="str">
        <x:v>2025-03</x:v>
      </x:c>
      <x:c r="O1276" t="str">
        <x:v>Ausgabe</x:v>
      </x:c>
      <x:c r="P1276" t="str">
        <x:v>Ist</x:v>
      </x:c>
      <x:c r="Q1276" s="59" t="b">
        <x:v>0</x:v>
      </x:c>
      <x:c r="R1276" t="str">
        <x:v>kein_transfer</x:v>
      </x:c>
      <x:c r="S1276"/>
      <x:c r="T1276"/>
      <x:c r="U1276"/>
      <x:c r="V1276" s="59" t="b">
        <x:v>1</x:v>
      </x:c>
      <x:c r="W1276"/>
      <x:c r="X1276" t="str">
        <x:v>offen</x:v>
      </x:c>
      <x:c r="Y1276" t="str">
        <x:v>Agent-Draft; Kategorie und Person pruefen</x:v>
      </x:c>
    </x:row>
    <x:row r="1277">
      <x:c r="A1277" t="str">
        <x:v>TXN-RAW-IMP-20260516-FULLDRAFT-001261</x:v>
      </x:c>
      <x:c r="B1277" t="str">
        <x:v>RAW-IMP-20260516-FULLDRAFT-001261</x:v>
      </x:c>
      <x:c r="C1277" t="str">
        <x:v>KTO001</x:v>
      </x:c>
      <x:c r="D1277"/>
      <x:c r="E1277" t="str">
        <x:v>KAT013</x:v>
      </x:c>
      <x:c r="F1277"/>
      <x:c r="G1277"/>
      <x:c r="H1277" t="str">
        <x:v>kein_match</x:v>
      </x:c>
      <x:c r="I1277" t="str">
        <x:v>Agent-Draft: keine finale Regelentscheidung</x:v>
      </x:c>
      <x:c r="J1277" t="n">
        <x:v>45747</x:v>
      </x:c>
      <x:c r="K1277"/>
      <x:c r="L1277"/>
      <x:c r="M1277" t="n">
        <x:v>-393</x:v>
      </x:c>
      <x:c r="N1277" t="str">
        <x:v>2025-03</x:v>
      </x:c>
      <x:c r="O1277" t="str">
        <x:v>Ausgabe</x:v>
      </x:c>
      <x:c r="P1277" t="str">
        <x:v>Ist</x:v>
      </x:c>
      <x:c r="Q1277" s="59" t="b">
        <x:v>0</x:v>
      </x:c>
      <x:c r="R1277" t="str">
        <x:v>kein_transfer</x:v>
      </x:c>
      <x:c r="S1277"/>
      <x:c r="T1277"/>
      <x:c r="U1277"/>
      <x:c r="V1277" s="59" t="b">
        <x:v>1</x:v>
      </x:c>
      <x:c r="W1277"/>
      <x:c r="X1277" t="str">
        <x:v>offen</x:v>
      </x:c>
      <x:c r="Y1277" t="str">
        <x:v>Agent-Draft; Kategorie und Person pruefen</x:v>
      </x:c>
    </x:row>
    <x:row r="1278">
      <x:c r="A1278" t="str">
        <x:v>TXN-RAW-IMP-20260516-FULLDRAFT-001262</x:v>
      </x:c>
      <x:c r="B1278" t="str">
        <x:v>RAW-IMP-20260516-FULLDRAFT-001262</x:v>
      </x:c>
      <x:c r="C1278" t="str">
        <x:v>KTO001</x:v>
      </x:c>
      <x:c r="D1278"/>
      <x:c r="E1278" t="str">
        <x:v>KAT013</x:v>
      </x:c>
      <x:c r="F1278"/>
      <x:c r="G1278"/>
      <x:c r="H1278" t="str">
        <x:v>kein_match</x:v>
      </x:c>
      <x:c r="I1278" t="str">
        <x:v>Agent-Draft: keine finale Regelentscheidung</x:v>
      </x:c>
      <x:c r="J1278" t="n">
        <x:v>45747</x:v>
      </x:c>
      <x:c r="K1278"/>
      <x:c r="L1278"/>
      <x:c r="M1278" t="n">
        <x:v>-1153.94</x:v>
      </x:c>
      <x:c r="N1278" t="str">
        <x:v>2025-03</x:v>
      </x:c>
      <x:c r="O1278" t="str">
        <x:v>Ausgabe</x:v>
      </x:c>
      <x:c r="P1278" t="str">
        <x:v>Ist</x:v>
      </x:c>
      <x:c r="Q1278" s="59" t="b">
        <x:v>0</x:v>
      </x:c>
      <x:c r="R1278" t="str">
        <x:v>kein_transfer</x:v>
      </x:c>
      <x:c r="S1278"/>
      <x:c r="T1278"/>
      <x:c r="U1278"/>
      <x:c r="V1278" s="59" t="b">
        <x:v>1</x:v>
      </x:c>
      <x:c r="W1278"/>
      <x:c r="X1278" t="str">
        <x:v>offen</x:v>
      </x:c>
      <x:c r="Y1278" t="str">
        <x:v>Agent-Draft; Kategorie und Person pruefen</x:v>
      </x:c>
    </x:row>
    <x:row r="1279">
      <x:c r="A1279" t="str">
        <x:v>TXN-RAW-IMP-20260516-FULLDRAFT-001263</x:v>
      </x:c>
      <x:c r="B1279" t="str">
        <x:v>RAW-IMP-20260516-FULLDRAFT-001263</x:v>
      </x:c>
      <x:c r="C1279" t="str">
        <x:v>KTO001</x:v>
      </x:c>
      <x:c r="D1279"/>
      <x:c r="E1279" t="str">
        <x:v>KAT013</x:v>
      </x:c>
      <x:c r="F1279"/>
      <x:c r="G1279"/>
      <x:c r="H1279" t="str">
        <x:v>kein_match</x:v>
      </x:c>
      <x:c r="I1279" t="str">
        <x:v>Agent-Draft: keine finale Regelentscheidung</x:v>
      </x:c>
      <x:c r="J1279" t="n">
        <x:v>45747</x:v>
      </x:c>
      <x:c r="K1279"/>
      <x:c r="L1279"/>
      <x:c r="M1279" t="n">
        <x:v>-10</x:v>
      </x:c>
      <x:c r="N1279" t="str">
        <x:v>2025-03</x:v>
      </x:c>
      <x:c r="O1279" t="str">
        <x:v>Ausgabe</x:v>
      </x:c>
      <x:c r="P1279" t="str">
        <x:v>Ist</x:v>
      </x:c>
      <x:c r="Q1279" s="59" t="b">
        <x:v>0</x:v>
      </x:c>
      <x:c r="R1279" t="str">
        <x:v>kein_transfer</x:v>
      </x:c>
      <x:c r="S1279"/>
      <x:c r="T1279"/>
      <x:c r="U1279"/>
      <x:c r="V1279" s="59" t="b">
        <x:v>1</x:v>
      </x:c>
      <x:c r="W1279"/>
      <x:c r="X1279" t="str">
        <x:v>offen</x:v>
      </x:c>
      <x:c r="Y1279" t="str">
        <x:v>Agent-Draft; Kategorie und Person pruefen</x:v>
      </x:c>
    </x:row>
    <x:row r="1280">
      <x:c r="A1280" t="str">
        <x:v>TXN-RAW-IMP-20260516-FULLDRAFT-001264</x:v>
      </x:c>
      <x:c r="B1280" t="str">
        <x:v>RAW-IMP-20260516-FULLDRAFT-001264</x:v>
      </x:c>
      <x:c r="C1280" t="str">
        <x:v>KTO001</x:v>
      </x:c>
      <x:c r="D1280"/>
      <x:c r="E1280" t="str">
        <x:v>KAT013</x:v>
      </x:c>
      <x:c r="F1280"/>
      <x:c r="G1280"/>
      <x:c r="H1280" t="str">
        <x:v>kein_match</x:v>
      </x:c>
      <x:c r="I1280" t="str">
        <x:v>Agent-Draft: keine finale Regelentscheidung</x:v>
      </x:c>
      <x:c r="J1280" t="n">
        <x:v>45744</x:v>
      </x:c>
      <x:c r="K1280"/>
      <x:c r="L1280"/>
      <x:c r="M1280" t="n">
        <x:v>7548.49</x:v>
      </x:c>
      <x:c r="N1280" t="str">
        <x:v>2025-03</x:v>
      </x:c>
      <x:c r="O1280" t="str">
        <x:v>Einnahme</x:v>
      </x:c>
      <x:c r="P1280" t="str">
        <x:v>Ist</x:v>
      </x:c>
      <x:c r="Q1280" s="59" t="b">
        <x:v>0</x:v>
      </x:c>
      <x:c r="R1280" t="str">
        <x:v>kein_transfer</x:v>
      </x:c>
      <x:c r="S1280"/>
      <x:c r="T1280"/>
      <x:c r="U1280"/>
      <x:c r="V1280" s="59" t="b">
        <x:v>1</x:v>
      </x:c>
      <x:c r="W1280"/>
      <x:c r="X1280" t="str">
        <x:v>offen</x:v>
      </x:c>
      <x:c r="Y1280" t="str">
        <x:v>Agent-Draft; Kategorie und Person pruefen</x:v>
      </x:c>
    </x:row>
    <x:row r="1281">
      <x:c r="A1281" t="str">
        <x:v>TXN-RAW-IMP-20260516-FULLDRAFT-001265</x:v>
      </x:c>
      <x:c r="B1281" t="str">
        <x:v>RAW-IMP-20260516-FULLDRAFT-001265</x:v>
      </x:c>
      <x:c r="C1281" t="str">
        <x:v>KTO001</x:v>
      </x:c>
      <x:c r="D1281"/>
      <x:c r="E1281" t="str">
        <x:v>KAT013</x:v>
      </x:c>
      <x:c r="F1281"/>
      <x:c r="G1281"/>
      <x:c r="H1281" t="str">
        <x:v>kein_match</x:v>
      </x:c>
      <x:c r="I1281" t="str">
        <x:v>Agent-Draft: keine finale Regelentscheidung</x:v>
      </x:c>
      <x:c r="J1281" t="n">
        <x:v>45744</x:v>
      </x:c>
      <x:c r="K1281"/>
      <x:c r="L1281"/>
      <x:c r="M1281" t="n">
        <x:v>-12.06</x:v>
      </x:c>
      <x:c r="N1281" t="str">
        <x:v>2025-03</x:v>
      </x:c>
      <x:c r="O1281" t="str">
        <x:v>Ausgabe</x:v>
      </x:c>
      <x:c r="P1281" t="str">
        <x:v>Ist</x:v>
      </x:c>
      <x:c r="Q1281" s="59" t="b">
        <x:v>0</x:v>
      </x:c>
      <x:c r="R1281" t="str">
        <x:v>kein_transfer</x:v>
      </x:c>
      <x:c r="S1281"/>
      <x:c r="T1281"/>
      <x:c r="U1281"/>
      <x:c r="V1281" s="59" t="b">
        <x:v>1</x:v>
      </x:c>
      <x:c r="W1281"/>
      <x:c r="X1281" t="str">
        <x:v>offen</x:v>
      </x:c>
      <x:c r="Y1281" t="str">
        <x:v>Agent-Draft; Kategorie und Person pruefen</x:v>
      </x:c>
    </x:row>
    <x:row r="1282">
      <x:c r="A1282" t="str">
        <x:v>TXN-RAW-IMP-20260516-FULLDRAFT-001266</x:v>
      </x:c>
      <x:c r="B1282" t="str">
        <x:v>RAW-IMP-20260516-FULLDRAFT-001266</x:v>
      </x:c>
      <x:c r="C1282" t="str">
        <x:v>KTO001</x:v>
      </x:c>
      <x:c r="D1282"/>
      <x:c r="E1282" t="str">
        <x:v>KAT013</x:v>
      </x:c>
      <x:c r="F1282"/>
      <x:c r="G1282"/>
      <x:c r="H1282" t="str">
        <x:v>kein_match</x:v>
      </x:c>
      <x:c r="I1282" t="str">
        <x:v>Agent-Draft: keine finale Regelentscheidung</x:v>
      </x:c>
      <x:c r="J1282" t="n">
        <x:v>45744</x:v>
      </x:c>
      <x:c r="K1282"/>
      <x:c r="L1282"/>
      <x:c r="M1282" t="n">
        <x:v>-178.1</x:v>
      </x:c>
      <x:c r="N1282" t="str">
        <x:v>2025-03</x:v>
      </x:c>
      <x:c r="O1282" t="str">
        <x:v>Ausgabe</x:v>
      </x:c>
      <x:c r="P1282" t="str">
        <x:v>Ist</x:v>
      </x:c>
      <x:c r="Q1282" s="59" t="b">
        <x:v>0</x:v>
      </x:c>
      <x:c r="R1282" t="str">
        <x:v>kein_transfer</x:v>
      </x:c>
      <x:c r="S1282"/>
      <x:c r="T1282"/>
      <x:c r="U1282"/>
      <x:c r="V1282" s="59" t="b">
        <x:v>1</x:v>
      </x:c>
      <x:c r="W1282"/>
      <x:c r="X1282" t="str">
        <x:v>offen</x:v>
      </x:c>
      <x:c r="Y1282" t="str">
        <x:v>Agent-Draft; Kategorie und Person pruefen</x:v>
      </x:c>
    </x:row>
    <x:row r="1283">
      <x:c r="A1283" t="str">
        <x:v>TXN-RAW-IMP-20260516-FULLDRAFT-001267</x:v>
      </x:c>
      <x:c r="B1283" t="str">
        <x:v>RAW-IMP-20260516-FULLDRAFT-001267</x:v>
      </x:c>
      <x:c r="C1283" t="str">
        <x:v>KTO001</x:v>
      </x:c>
      <x:c r="D1283"/>
      <x:c r="E1283" t="str">
        <x:v>KAT013</x:v>
      </x:c>
      <x:c r="F1283"/>
      <x:c r="G1283"/>
      <x:c r="H1283" t="str">
        <x:v>kein_match</x:v>
      </x:c>
      <x:c r="I1283" t="str">
        <x:v>Agent-Draft: keine finale Regelentscheidung</x:v>
      </x:c>
      <x:c r="J1283" t="n">
        <x:v>45743</x:v>
      </x:c>
      <x:c r="K1283"/>
      <x:c r="L1283"/>
      <x:c r="M1283" t="n">
        <x:v>-1.99</x:v>
      </x:c>
      <x:c r="N1283" t="str">
        <x:v>2025-03</x:v>
      </x:c>
      <x:c r="O1283" t="str">
        <x:v>Ausgabe</x:v>
      </x:c>
      <x:c r="P1283" t="str">
        <x:v>Ist</x:v>
      </x:c>
      <x:c r="Q1283" s="59" t="b">
        <x:v>0</x:v>
      </x:c>
      <x:c r="R1283" t="str">
        <x:v>kein_transfer</x:v>
      </x:c>
      <x:c r="S1283"/>
      <x:c r="T1283"/>
      <x:c r="U1283"/>
      <x:c r="V1283" s="59" t="b">
        <x:v>1</x:v>
      </x:c>
      <x:c r="W1283"/>
      <x:c r="X1283" t="str">
        <x:v>offen</x:v>
      </x:c>
      <x:c r="Y1283" t="str">
        <x:v>Agent-Draft; Kategorie und Person pruefen</x:v>
      </x:c>
    </x:row>
    <x:row r="1284">
      <x:c r="A1284" t="str">
        <x:v>TXN-RAW-IMP-20260516-FULLDRAFT-001268</x:v>
      </x:c>
      <x:c r="B1284" t="str">
        <x:v>RAW-IMP-20260516-FULLDRAFT-001268</x:v>
      </x:c>
      <x:c r="C1284" t="str">
        <x:v>KTO001</x:v>
      </x:c>
      <x:c r="D1284"/>
      <x:c r="E1284" t="str">
        <x:v>KAT013</x:v>
      </x:c>
      <x:c r="F1284"/>
      <x:c r="G1284"/>
      <x:c r="H1284" t="str">
        <x:v>kein_match</x:v>
      </x:c>
      <x:c r="I1284" t="str">
        <x:v>Agent-Draft: keine finale Regelentscheidung</x:v>
      </x:c>
      <x:c r="J1284" t="n">
        <x:v>45743</x:v>
      </x:c>
      <x:c r="K1284"/>
      <x:c r="L1284"/>
      <x:c r="M1284" t="n">
        <x:v>-4.8</x:v>
      </x:c>
      <x:c r="N1284" t="str">
        <x:v>2025-03</x:v>
      </x:c>
      <x:c r="O1284" t="str">
        <x:v>Ausgabe</x:v>
      </x:c>
      <x:c r="P1284" t="str">
        <x:v>Ist</x:v>
      </x:c>
      <x:c r="Q1284" s="59" t="b">
        <x:v>0</x:v>
      </x:c>
      <x:c r="R1284" t="str">
        <x:v>kein_transfer</x:v>
      </x:c>
      <x:c r="S1284"/>
      <x:c r="T1284"/>
      <x:c r="U1284"/>
      <x:c r="V1284" s="59" t="b">
        <x:v>1</x:v>
      </x:c>
      <x:c r="W1284"/>
      <x:c r="X1284" t="str">
        <x:v>offen</x:v>
      </x:c>
      <x:c r="Y1284" t="str">
        <x:v>Agent-Draft; Kategorie und Person pruefen</x:v>
      </x:c>
    </x:row>
    <x:row r="1285">
      <x:c r="A1285" t="str">
        <x:v>TXN-RAW-IMP-20260516-FULLDRAFT-001269</x:v>
      </x:c>
      <x:c r="B1285" t="str">
        <x:v>RAW-IMP-20260516-FULLDRAFT-001269</x:v>
      </x:c>
      <x:c r="C1285" t="str">
        <x:v>KTO001</x:v>
      </x:c>
      <x:c r="D1285"/>
      <x:c r="E1285" t="str">
        <x:v>KAT013</x:v>
      </x:c>
      <x:c r="F1285"/>
      <x:c r="G1285"/>
      <x:c r="H1285" t="str">
        <x:v>kein_match</x:v>
      </x:c>
      <x:c r="I1285" t="str">
        <x:v>Agent-Draft: keine finale Regelentscheidung</x:v>
      </x:c>
      <x:c r="J1285" t="n">
        <x:v>45743</x:v>
      </x:c>
      <x:c r="K1285"/>
      <x:c r="L1285"/>
      <x:c r="M1285" t="n">
        <x:v>-42.26</x:v>
      </x:c>
      <x:c r="N1285" t="str">
        <x:v>2025-03</x:v>
      </x:c>
      <x:c r="O1285" t="str">
        <x:v>Ausgabe</x:v>
      </x:c>
      <x:c r="P1285" t="str">
        <x:v>Ist</x:v>
      </x:c>
      <x:c r="Q1285" s="59" t="b">
        <x:v>0</x:v>
      </x:c>
      <x:c r="R1285" t="str">
        <x:v>kein_transfer</x:v>
      </x:c>
      <x:c r="S1285"/>
      <x:c r="T1285"/>
      <x:c r="U1285"/>
      <x:c r="V1285" s="59" t="b">
        <x:v>1</x:v>
      </x:c>
      <x:c r="W1285"/>
      <x:c r="X1285" t="str">
        <x:v>offen</x:v>
      </x:c>
      <x:c r="Y1285" t="str">
        <x:v>Agent-Draft; Kategorie und Person pruefen</x:v>
      </x:c>
    </x:row>
    <x:row r="1286">
      <x:c r="A1286" t="str">
        <x:v>TXN-RAW-IMP-20260516-FULLDRAFT-001270</x:v>
      </x:c>
      <x:c r="B1286" t="str">
        <x:v>RAW-IMP-20260516-FULLDRAFT-001270</x:v>
      </x:c>
      <x:c r="C1286" t="str">
        <x:v>KTO001</x:v>
      </x:c>
      <x:c r="D1286"/>
      <x:c r="E1286" t="str">
        <x:v>KAT013</x:v>
      </x:c>
      <x:c r="F1286"/>
      <x:c r="G1286"/>
      <x:c r="H1286" t="str">
        <x:v>kein_match</x:v>
      </x:c>
      <x:c r="I1286" t="str">
        <x:v>Agent-Draft: keine finale Regelentscheidung</x:v>
      </x:c>
      <x:c r="J1286" t="n">
        <x:v>45743</x:v>
      </x:c>
      <x:c r="K1286"/>
      <x:c r="L1286"/>
      <x:c r="M1286" t="n">
        <x:v>-350</x:v>
      </x:c>
      <x:c r="N1286" t="str">
        <x:v>2025-03</x:v>
      </x:c>
      <x:c r="O1286" t="str">
        <x:v>Ausgabe</x:v>
      </x:c>
      <x:c r="P1286" t="str">
        <x:v>Ist</x:v>
      </x:c>
      <x:c r="Q1286" s="59" t="b">
        <x:v>0</x:v>
      </x:c>
      <x:c r="R1286" t="str">
        <x:v>kein_transfer</x:v>
      </x:c>
      <x:c r="S1286"/>
      <x:c r="T1286"/>
      <x:c r="U1286"/>
      <x:c r="V1286" s="59" t="b">
        <x:v>1</x:v>
      </x:c>
      <x:c r="W1286"/>
      <x:c r="X1286" t="str">
        <x:v>offen</x:v>
      </x:c>
      <x:c r="Y1286" t="str">
        <x:v>Agent-Draft; Kategorie und Person pruefen</x:v>
      </x:c>
    </x:row>
    <x:row r="1287">
      <x:c r="A1287" t="str">
        <x:v>TXN-RAW-IMP-20260516-FULLDRAFT-001271</x:v>
      </x:c>
      <x:c r="B1287" t="str">
        <x:v>RAW-IMP-20260516-FULLDRAFT-001271</x:v>
      </x:c>
      <x:c r="C1287" t="str">
        <x:v>KTO001</x:v>
      </x:c>
      <x:c r="D1287"/>
      <x:c r="E1287" t="str">
        <x:v>KAT013</x:v>
      </x:c>
      <x:c r="F1287"/>
      <x:c r="G1287"/>
      <x:c r="H1287" t="str">
        <x:v>kein_match</x:v>
      </x:c>
      <x:c r="I1287" t="str">
        <x:v>Agent-Draft: keine finale Regelentscheidung</x:v>
      </x:c>
      <x:c r="J1287" t="n">
        <x:v>45742</x:v>
      </x:c>
      <x:c r="K1287"/>
      <x:c r="L1287"/>
      <x:c r="M1287" t="n">
        <x:v>-6.2</x:v>
      </x:c>
      <x:c r="N1287" t="str">
        <x:v>2025-03</x:v>
      </x:c>
      <x:c r="O1287" t="str">
        <x:v>Ausgabe</x:v>
      </x:c>
      <x:c r="P1287" t="str">
        <x:v>Ist</x:v>
      </x:c>
      <x:c r="Q1287" s="59" t="b">
        <x:v>0</x:v>
      </x:c>
      <x:c r="R1287" t="str">
        <x:v>kein_transfer</x:v>
      </x:c>
      <x:c r="S1287"/>
      <x:c r="T1287"/>
      <x:c r="U1287"/>
      <x:c r="V1287" s="59" t="b">
        <x:v>1</x:v>
      </x:c>
      <x:c r="W1287"/>
      <x:c r="X1287" t="str">
        <x:v>offen</x:v>
      </x:c>
      <x:c r="Y1287" t="str">
        <x:v>Agent-Draft; Kategorie und Person pruefen</x:v>
      </x:c>
    </x:row>
    <x:row r="1288">
      <x:c r="A1288" t="str">
        <x:v>TXN-RAW-IMP-20260516-FULLDRAFT-001272</x:v>
      </x:c>
      <x:c r="B1288" t="str">
        <x:v>RAW-IMP-20260516-FULLDRAFT-001272</x:v>
      </x:c>
      <x:c r="C1288" t="str">
        <x:v>KTO001</x:v>
      </x:c>
      <x:c r="D1288"/>
      <x:c r="E1288" t="str">
        <x:v>KAT013</x:v>
      </x:c>
      <x:c r="F1288"/>
      <x:c r="G1288"/>
      <x:c r="H1288" t="str">
        <x:v>kein_match</x:v>
      </x:c>
      <x:c r="I1288" t="str">
        <x:v>Agent-Draft: keine finale Regelentscheidung</x:v>
      </x:c>
      <x:c r="J1288" t="n">
        <x:v>45742</x:v>
      </x:c>
      <x:c r="K1288"/>
      <x:c r="L1288"/>
      <x:c r="M1288" t="n">
        <x:v>35.95</x:v>
      </x:c>
      <x:c r="N1288" t="str">
        <x:v>2025-03</x:v>
      </x:c>
      <x:c r="O1288" t="str">
        <x:v>Einnahme</x:v>
      </x:c>
      <x:c r="P1288" t="str">
        <x:v>Ist</x:v>
      </x:c>
      <x:c r="Q1288" s="59" t="b">
        <x:v>0</x:v>
      </x:c>
      <x:c r="R1288" t="str">
        <x:v>kein_transfer</x:v>
      </x:c>
      <x:c r="S1288"/>
      <x:c r="T1288"/>
      <x:c r="U1288"/>
      <x:c r="V1288" s="59" t="b">
        <x:v>1</x:v>
      </x:c>
      <x:c r="W1288"/>
      <x:c r="X1288" t="str">
        <x:v>offen</x:v>
      </x:c>
      <x:c r="Y1288" t="str">
        <x:v>Agent-Draft; Kategorie und Person pruefen</x:v>
      </x:c>
    </x:row>
    <x:row r="1289">
      <x:c r="A1289" t="str">
        <x:v>TXN-RAW-IMP-20260516-FULLDRAFT-001273</x:v>
      </x:c>
      <x:c r="B1289" t="str">
        <x:v>RAW-IMP-20260516-FULLDRAFT-001273</x:v>
      </x:c>
      <x:c r="C1289" t="str">
        <x:v>KTO001</x:v>
      </x:c>
      <x:c r="D1289"/>
      <x:c r="E1289" t="str">
        <x:v>KAT013</x:v>
      </x:c>
      <x:c r="F1289"/>
      <x:c r="G1289"/>
      <x:c r="H1289" t="str">
        <x:v>kein_match</x:v>
      </x:c>
      <x:c r="I1289" t="str">
        <x:v>Agent-Draft: keine finale Regelentscheidung</x:v>
      </x:c>
      <x:c r="J1289" t="n">
        <x:v>45742</x:v>
      </x:c>
      <x:c r="K1289"/>
      <x:c r="L1289"/>
      <x:c r="M1289" t="n">
        <x:v>-9.04</x:v>
      </x:c>
      <x:c r="N1289" t="str">
        <x:v>2025-03</x:v>
      </x:c>
      <x:c r="O1289" t="str">
        <x:v>Ausgabe</x:v>
      </x:c>
      <x:c r="P1289" t="str">
        <x:v>Ist</x:v>
      </x:c>
      <x:c r="Q1289" s="59" t="b">
        <x:v>0</x:v>
      </x:c>
      <x:c r="R1289" t="str">
        <x:v>kein_transfer</x:v>
      </x:c>
      <x:c r="S1289"/>
      <x:c r="T1289"/>
      <x:c r="U1289"/>
      <x:c r="V1289" s="59" t="b">
        <x:v>1</x:v>
      </x:c>
      <x:c r="W1289"/>
      <x:c r="X1289" t="str">
        <x:v>offen</x:v>
      </x:c>
      <x:c r="Y1289" t="str">
        <x:v>Agent-Draft; Kategorie und Person pruefen</x:v>
      </x:c>
    </x:row>
    <x:row r="1290">
      <x:c r="A1290" t="str">
        <x:v>TXN-RAW-IMP-20260516-FULLDRAFT-001274</x:v>
      </x:c>
      <x:c r="B1290" t="str">
        <x:v>RAW-IMP-20260516-FULLDRAFT-001274</x:v>
      </x:c>
      <x:c r="C1290" t="str">
        <x:v>KTO001</x:v>
      </x:c>
      <x:c r="D1290"/>
      <x:c r="E1290" t="str">
        <x:v>KAT013</x:v>
      </x:c>
      <x:c r="F1290"/>
      <x:c r="G1290"/>
      <x:c r="H1290" t="str">
        <x:v>kein_match</x:v>
      </x:c>
      <x:c r="I1290" t="str">
        <x:v>Agent-Draft: keine finale Regelentscheidung</x:v>
      </x:c>
      <x:c r="J1290" t="n">
        <x:v>45741</x:v>
      </x:c>
      <x:c r="K1290"/>
      <x:c r="L1290"/>
      <x:c r="M1290" t="n">
        <x:v>-3.71</x:v>
      </x:c>
      <x:c r="N1290" t="str">
        <x:v>2025-03</x:v>
      </x:c>
      <x:c r="O1290" t="str">
        <x:v>Ausgabe</x:v>
      </x:c>
      <x:c r="P1290" t="str">
        <x:v>Ist</x:v>
      </x:c>
      <x:c r="Q1290" s="59" t="b">
        <x:v>0</x:v>
      </x:c>
      <x:c r="R1290" t="str">
        <x:v>kein_transfer</x:v>
      </x:c>
      <x:c r="S1290"/>
      <x:c r="T1290"/>
      <x:c r="U1290"/>
      <x:c r="V1290" s="59" t="b">
        <x:v>1</x:v>
      </x:c>
      <x:c r="W1290"/>
      <x:c r="X1290" t="str">
        <x:v>offen</x:v>
      </x:c>
      <x:c r="Y1290" t="str">
        <x:v>Agent-Draft; Kategorie und Person pruefen</x:v>
      </x:c>
    </x:row>
    <x:row r="1291">
      <x:c r="A1291" t="str">
        <x:v>TXN-RAW-IMP-20260516-FULLDRAFT-001275</x:v>
      </x:c>
      <x:c r="B1291" t="str">
        <x:v>RAW-IMP-20260516-FULLDRAFT-001275</x:v>
      </x:c>
      <x:c r="C1291" t="str">
        <x:v>KTO001</x:v>
      </x:c>
      <x:c r="D1291"/>
      <x:c r="E1291" t="str">
        <x:v>KAT013</x:v>
      </x:c>
      <x:c r="F1291"/>
      <x:c r="G1291"/>
      <x:c r="H1291" t="str">
        <x:v>kein_match</x:v>
      </x:c>
      <x:c r="I1291" t="str">
        <x:v>Agent-Draft: keine finale Regelentscheidung</x:v>
      </x:c>
      <x:c r="J1291" t="n">
        <x:v>45741</x:v>
      </x:c>
      <x:c r="K1291"/>
      <x:c r="L1291"/>
      <x:c r="M1291" t="n">
        <x:v>-34.95</x:v>
      </x:c>
      <x:c r="N1291" t="str">
        <x:v>2025-03</x:v>
      </x:c>
      <x:c r="O1291" t="str">
        <x:v>Ausgabe</x:v>
      </x:c>
      <x:c r="P1291" t="str">
        <x:v>Ist</x:v>
      </x:c>
      <x:c r="Q1291" s="59" t="b">
        <x:v>0</x:v>
      </x:c>
      <x:c r="R1291" t="str">
        <x:v>kein_transfer</x:v>
      </x:c>
      <x:c r="S1291"/>
      <x:c r="T1291"/>
      <x:c r="U1291"/>
      <x:c r="V1291" s="59" t="b">
        <x:v>1</x:v>
      </x:c>
      <x:c r="W1291"/>
      <x:c r="X1291" t="str">
        <x:v>offen</x:v>
      </x:c>
      <x:c r="Y1291" t="str">
        <x:v>Agent-Draft; Kategorie und Person pruefen</x:v>
      </x:c>
    </x:row>
    <x:row r="1292">
      <x:c r="A1292" t="str">
        <x:v>TXN-RAW-IMP-20260516-FULLDRAFT-001276</x:v>
      </x:c>
      <x:c r="B1292" t="str">
        <x:v>RAW-IMP-20260516-FULLDRAFT-001276</x:v>
      </x:c>
      <x:c r="C1292" t="str">
        <x:v>KTO001</x:v>
      </x:c>
      <x:c r="D1292"/>
      <x:c r="E1292" t="str">
        <x:v>KAT013</x:v>
      </x:c>
      <x:c r="F1292"/>
      <x:c r="G1292"/>
      <x:c r="H1292" t="str">
        <x:v>kein_match</x:v>
      </x:c>
      <x:c r="I1292" t="str">
        <x:v>Agent-Draft: keine finale Regelentscheidung</x:v>
      </x:c>
      <x:c r="J1292" t="n">
        <x:v>45741</x:v>
      </x:c>
      <x:c r="K1292"/>
      <x:c r="L1292"/>
      <x:c r="M1292" t="n">
        <x:v>-77.89</x:v>
      </x:c>
      <x:c r="N1292" t="str">
        <x:v>2025-03</x:v>
      </x:c>
      <x:c r="O1292" t="str">
        <x:v>Ausgabe</x:v>
      </x:c>
      <x:c r="P1292" t="str">
        <x:v>Ist</x:v>
      </x:c>
      <x:c r="Q1292" s="59" t="b">
        <x:v>0</x:v>
      </x:c>
      <x:c r="R1292" t="str">
        <x:v>kein_transfer</x:v>
      </x:c>
      <x:c r="S1292"/>
      <x:c r="T1292"/>
      <x:c r="U1292"/>
      <x:c r="V1292" s="59" t="b">
        <x:v>1</x:v>
      </x:c>
      <x:c r="W1292"/>
      <x:c r="X1292" t="str">
        <x:v>offen</x:v>
      </x:c>
      <x:c r="Y1292" t="str">
        <x:v>Agent-Draft; Kategorie und Person pruefen</x:v>
      </x:c>
    </x:row>
    <x:row r="1293">
      <x:c r="A1293" t="str">
        <x:v>TXN-RAW-IMP-20260516-FULLDRAFT-001277</x:v>
      </x:c>
      <x:c r="B1293" t="str">
        <x:v>RAW-IMP-20260516-FULLDRAFT-001277</x:v>
      </x:c>
      <x:c r="C1293" t="str">
        <x:v>KTO001</x:v>
      </x:c>
      <x:c r="D1293"/>
      <x:c r="E1293" t="str">
        <x:v>KAT013</x:v>
      </x:c>
      <x:c r="F1293"/>
      <x:c r="G1293"/>
      <x:c r="H1293" t="str">
        <x:v>kein_match</x:v>
      </x:c>
      <x:c r="I1293" t="str">
        <x:v>Agent-Draft: keine finale Regelentscheidung</x:v>
      </x:c>
      <x:c r="J1293" t="n">
        <x:v>45741</x:v>
      </x:c>
      <x:c r="K1293"/>
      <x:c r="L1293"/>
      <x:c r="M1293" t="n">
        <x:v>400</x:v>
      </x:c>
      <x:c r="N1293" t="str">
        <x:v>2025-03</x:v>
      </x:c>
      <x:c r="O1293" t="str">
        <x:v>Einnahme</x:v>
      </x:c>
      <x:c r="P1293" t="str">
        <x:v>Ist</x:v>
      </x:c>
      <x:c r="Q1293" s="59" t="b">
        <x:v>0</x:v>
      </x:c>
      <x:c r="R1293" t="str">
        <x:v>unklar</x:v>
      </x:c>
      <x:c r="S1293"/>
      <x:c r="T1293"/>
      <x:c r="U1293"/>
      <x:c r="V1293" s="59" t="b">
        <x:v>1</x:v>
      </x:c>
      <x:c r="W1293" t="str">
        <x:v>Transferkandidat im Draft</x:v>
      </x:c>
      <x:c r="X1293" t="str">
        <x:v>offen</x:v>
      </x:c>
      <x:c r="Y1293" t="str">
        <x:v>Agent-Draft; Kategorie und Person pruefen</x:v>
      </x:c>
    </x:row>
    <x:row r="1294">
      <x:c r="A1294" t="str">
        <x:v>TXN-RAW-IMP-20260516-FULLDRAFT-001278</x:v>
      </x:c>
      <x:c r="B1294" t="str">
        <x:v>RAW-IMP-20260516-FULLDRAFT-001278</x:v>
      </x:c>
      <x:c r="C1294" t="str">
        <x:v>KTO001</x:v>
      </x:c>
      <x:c r="D1294"/>
      <x:c r="E1294" t="str">
        <x:v>KAT013</x:v>
      </x:c>
      <x:c r="F1294"/>
      <x:c r="G1294"/>
      <x:c r="H1294" t="str">
        <x:v>kein_match</x:v>
      </x:c>
      <x:c r="I1294" t="str">
        <x:v>Agent-Draft: keine finale Regelentscheidung</x:v>
      </x:c>
      <x:c r="J1294" t="n">
        <x:v>45740</x:v>
      </x:c>
      <x:c r="K1294"/>
      <x:c r="L1294"/>
      <x:c r="M1294" t="n">
        <x:v>-20.8</x:v>
      </x:c>
      <x:c r="N1294" t="str">
        <x:v>2025-03</x:v>
      </x:c>
      <x:c r="O1294" t="str">
        <x:v>Ausgabe</x:v>
      </x:c>
      <x:c r="P1294" t="str">
        <x:v>Ist</x:v>
      </x:c>
      <x:c r="Q1294" s="59" t="b">
        <x:v>0</x:v>
      </x:c>
      <x:c r="R1294" t="str">
        <x:v>kein_transfer</x:v>
      </x:c>
      <x:c r="S1294"/>
      <x:c r="T1294"/>
      <x:c r="U1294"/>
      <x:c r="V1294" s="59" t="b">
        <x:v>1</x:v>
      </x:c>
      <x:c r="W1294"/>
      <x:c r="X1294" t="str">
        <x:v>offen</x:v>
      </x:c>
      <x:c r="Y1294" t="str">
        <x:v>Agent-Draft; Kategorie und Person pruefen</x:v>
      </x:c>
    </x:row>
    <x:row r="1295">
      <x:c r="A1295" t="str">
        <x:v>TXN-RAW-IMP-20260516-FULLDRAFT-001279</x:v>
      </x:c>
      <x:c r="B1295" t="str">
        <x:v>RAW-IMP-20260516-FULLDRAFT-001279</x:v>
      </x:c>
      <x:c r="C1295" t="str">
        <x:v>KTO001</x:v>
      </x:c>
      <x:c r="D1295"/>
      <x:c r="E1295" t="str">
        <x:v>KAT013</x:v>
      </x:c>
      <x:c r="F1295"/>
      <x:c r="G1295"/>
      <x:c r="H1295" t="str">
        <x:v>kein_match</x:v>
      </x:c>
      <x:c r="I1295" t="str">
        <x:v>Agent-Draft: keine finale Regelentscheidung</x:v>
      </x:c>
      <x:c r="J1295" t="n">
        <x:v>45740</x:v>
      </x:c>
      <x:c r="K1295"/>
      <x:c r="L1295"/>
      <x:c r="M1295" t="n">
        <x:v>-10.2</x:v>
      </x:c>
      <x:c r="N1295" t="str">
        <x:v>2025-03</x:v>
      </x:c>
      <x:c r="O1295" t="str">
        <x:v>Ausgabe</x:v>
      </x:c>
      <x:c r="P1295" t="str">
        <x:v>Ist</x:v>
      </x:c>
      <x:c r="Q1295" s="59" t="b">
        <x:v>0</x:v>
      </x:c>
      <x:c r="R1295" t="str">
        <x:v>kein_transfer</x:v>
      </x:c>
      <x:c r="S1295"/>
      <x:c r="T1295"/>
      <x:c r="U1295"/>
      <x:c r="V1295" s="59" t="b">
        <x:v>1</x:v>
      </x:c>
      <x:c r="W1295"/>
      <x:c r="X1295" t="str">
        <x:v>offen</x:v>
      </x:c>
      <x:c r="Y1295" t="str">
        <x:v>Agent-Draft; Kategorie und Person pruefen</x:v>
      </x:c>
    </x:row>
    <x:row r="1296">
      <x:c r="A1296" t="str">
        <x:v>TXN-RAW-IMP-20260516-FULLDRAFT-001280</x:v>
      </x:c>
      <x:c r="B1296" t="str">
        <x:v>RAW-IMP-20260516-FULLDRAFT-001280</x:v>
      </x:c>
      <x:c r="C1296" t="str">
        <x:v>KTO001</x:v>
      </x:c>
      <x:c r="D1296"/>
      <x:c r="E1296" t="str">
        <x:v>KAT013</x:v>
      </x:c>
      <x:c r="F1296"/>
      <x:c r="G1296"/>
      <x:c r="H1296" t="str">
        <x:v>kein_match</x:v>
      </x:c>
      <x:c r="I1296" t="str">
        <x:v>Agent-Draft: keine finale Regelentscheidung</x:v>
      </x:c>
      <x:c r="J1296" t="n">
        <x:v>45740</x:v>
      </x:c>
      <x:c r="K1296"/>
      <x:c r="L1296"/>
      <x:c r="M1296" t="n">
        <x:v>-9.71</x:v>
      </x:c>
      <x:c r="N1296" t="str">
        <x:v>2025-03</x:v>
      </x:c>
      <x:c r="O1296" t="str">
        <x:v>Ausgabe</x:v>
      </x:c>
      <x:c r="P1296" t="str">
        <x:v>Ist</x:v>
      </x:c>
      <x:c r="Q1296" s="59" t="b">
        <x:v>0</x:v>
      </x:c>
      <x:c r="R1296" t="str">
        <x:v>kein_transfer</x:v>
      </x:c>
      <x:c r="S1296"/>
      <x:c r="T1296"/>
      <x:c r="U1296"/>
      <x:c r="V1296" s="59" t="b">
        <x:v>1</x:v>
      </x:c>
      <x:c r="W1296"/>
      <x:c r="X1296" t="str">
        <x:v>offen</x:v>
      </x:c>
      <x:c r="Y1296" t="str">
        <x:v>Agent-Draft; Kategorie und Person pruefen</x:v>
      </x:c>
    </x:row>
    <x:row r="1297">
      <x:c r="A1297" t="str">
        <x:v>TXN-RAW-IMP-20260516-FULLDRAFT-001281</x:v>
      </x:c>
      <x:c r="B1297" t="str">
        <x:v>RAW-IMP-20260516-FULLDRAFT-001281</x:v>
      </x:c>
      <x:c r="C1297" t="str">
        <x:v>KTO001</x:v>
      </x:c>
      <x:c r="D1297"/>
      <x:c r="E1297" t="str">
        <x:v>KAT013</x:v>
      </x:c>
      <x:c r="F1297"/>
      <x:c r="G1297"/>
      <x:c r="H1297" t="str">
        <x:v>kein_match</x:v>
      </x:c>
      <x:c r="I1297" t="str">
        <x:v>Agent-Draft: keine finale Regelentscheidung</x:v>
      </x:c>
      <x:c r="J1297" t="n">
        <x:v>45740</x:v>
      </x:c>
      <x:c r="K1297"/>
      <x:c r="L1297"/>
      <x:c r="M1297" t="n">
        <x:v>-3.99</x:v>
      </x:c>
      <x:c r="N1297" t="str">
        <x:v>2025-03</x:v>
      </x:c>
      <x:c r="O1297" t="str">
        <x:v>Ausgabe</x:v>
      </x:c>
      <x:c r="P1297" t="str">
        <x:v>Ist</x:v>
      </x:c>
      <x:c r="Q1297" s="59" t="b">
        <x:v>0</x:v>
      </x:c>
      <x:c r="R1297" t="str">
        <x:v>kein_transfer</x:v>
      </x:c>
      <x:c r="S1297"/>
      <x:c r="T1297"/>
      <x:c r="U1297"/>
      <x:c r="V1297" s="59" t="b">
        <x:v>1</x:v>
      </x:c>
      <x:c r="W1297"/>
      <x:c r="X1297" t="str">
        <x:v>offen</x:v>
      </x:c>
      <x:c r="Y1297" t="str">
        <x:v>Agent-Draft; Kategorie und Person pruefen</x:v>
      </x:c>
    </x:row>
    <x:row r="1298">
      <x:c r="A1298" t="str">
        <x:v>TXN-RAW-IMP-20260516-FULLDRAFT-001282</x:v>
      </x:c>
      <x:c r="B1298" t="str">
        <x:v>RAW-IMP-20260516-FULLDRAFT-001282</x:v>
      </x:c>
      <x:c r="C1298" t="str">
        <x:v>KTO001</x:v>
      </x:c>
      <x:c r="D1298"/>
      <x:c r="E1298" t="str">
        <x:v>KAT013</x:v>
      </x:c>
      <x:c r="F1298"/>
      <x:c r="G1298"/>
      <x:c r="H1298" t="str">
        <x:v>kein_match</x:v>
      </x:c>
      <x:c r="I1298" t="str">
        <x:v>Agent-Draft: keine finale Regelentscheidung</x:v>
      </x:c>
      <x:c r="J1298" t="n">
        <x:v>45740</x:v>
      </x:c>
      <x:c r="K1298"/>
      <x:c r="L1298"/>
      <x:c r="M1298" t="n">
        <x:v>-2.99</x:v>
      </x:c>
      <x:c r="N1298" t="str">
        <x:v>2025-03</x:v>
      </x:c>
      <x:c r="O1298" t="str">
        <x:v>Ausgabe</x:v>
      </x:c>
      <x:c r="P1298" t="str">
        <x:v>Ist</x:v>
      </x:c>
      <x:c r="Q1298" s="59" t="b">
        <x:v>0</x:v>
      </x:c>
      <x:c r="R1298" t="str">
        <x:v>kein_transfer</x:v>
      </x:c>
      <x:c r="S1298"/>
      <x:c r="T1298"/>
      <x:c r="U1298"/>
      <x:c r="V1298" s="59" t="b">
        <x:v>1</x:v>
      </x:c>
      <x:c r="W1298"/>
      <x:c r="X1298" t="str">
        <x:v>offen</x:v>
      </x:c>
      <x:c r="Y1298" t="str">
        <x:v>Agent-Draft; Kategorie und Person pruefen</x:v>
      </x:c>
    </x:row>
    <x:row r="1299">
      <x:c r="A1299" t="str">
        <x:v>TXN-RAW-IMP-20260516-FULLDRAFT-001283</x:v>
      </x:c>
      <x:c r="B1299" t="str">
        <x:v>RAW-IMP-20260516-FULLDRAFT-001283</x:v>
      </x:c>
      <x:c r="C1299" t="str">
        <x:v>KTO001</x:v>
      </x:c>
      <x:c r="D1299"/>
      <x:c r="E1299" t="str">
        <x:v>KAT013</x:v>
      </x:c>
      <x:c r="F1299"/>
      <x:c r="G1299"/>
      <x:c r="H1299" t="str">
        <x:v>kein_match</x:v>
      </x:c>
      <x:c r="I1299" t="str">
        <x:v>Agent-Draft: keine finale Regelentscheidung</x:v>
      </x:c>
      <x:c r="J1299" t="n">
        <x:v>45740</x:v>
      </x:c>
      <x:c r="K1299"/>
      <x:c r="L1299"/>
      <x:c r="M1299" t="n">
        <x:v>-9.16</x:v>
      </x:c>
      <x:c r="N1299" t="str">
        <x:v>2025-03</x:v>
      </x:c>
      <x:c r="O1299" t="str">
        <x:v>Ausgabe</x:v>
      </x:c>
      <x:c r="P1299" t="str">
        <x:v>Ist</x:v>
      </x:c>
      <x:c r="Q1299" s="59" t="b">
        <x:v>0</x:v>
      </x:c>
      <x:c r="R1299" t="str">
        <x:v>kein_transfer</x:v>
      </x:c>
      <x:c r="S1299"/>
      <x:c r="T1299"/>
      <x:c r="U1299"/>
      <x:c r="V1299" s="59" t="b">
        <x:v>1</x:v>
      </x:c>
      <x:c r="W1299"/>
      <x:c r="X1299" t="str">
        <x:v>offen</x:v>
      </x:c>
      <x:c r="Y1299" t="str">
        <x:v>Agent-Draft; Kategorie und Person pruefen</x:v>
      </x:c>
    </x:row>
    <x:row r="1300">
      <x:c r="A1300" t="str">
        <x:v>TXN-RAW-IMP-20260516-FULLDRAFT-001284</x:v>
      </x:c>
      <x:c r="B1300" t="str">
        <x:v>RAW-IMP-20260516-FULLDRAFT-001284</x:v>
      </x:c>
      <x:c r="C1300" t="str">
        <x:v>KTO001</x:v>
      </x:c>
      <x:c r="D1300"/>
      <x:c r="E1300" t="str">
        <x:v>KAT013</x:v>
      </x:c>
      <x:c r="F1300"/>
      <x:c r="G1300"/>
      <x:c r="H1300" t="str">
        <x:v>kein_match</x:v>
      </x:c>
      <x:c r="I1300" t="str">
        <x:v>Agent-Draft: keine finale Regelentscheidung</x:v>
      </x:c>
      <x:c r="J1300" t="n">
        <x:v>45740</x:v>
      </x:c>
      <x:c r="K1300"/>
      <x:c r="L1300"/>
      <x:c r="M1300" t="n">
        <x:v>-3.97</x:v>
      </x:c>
      <x:c r="N1300" t="str">
        <x:v>2025-03</x:v>
      </x:c>
      <x:c r="O1300" t="str">
        <x:v>Ausgabe</x:v>
      </x:c>
      <x:c r="P1300" t="str">
        <x:v>Ist</x:v>
      </x:c>
      <x:c r="Q1300" s="59" t="b">
        <x:v>0</x:v>
      </x:c>
      <x:c r="R1300" t="str">
        <x:v>kein_transfer</x:v>
      </x:c>
      <x:c r="S1300"/>
      <x:c r="T1300"/>
      <x:c r="U1300"/>
      <x:c r="V1300" s="59" t="b">
        <x:v>1</x:v>
      </x:c>
      <x:c r="W1300"/>
      <x:c r="X1300" t="str">
        <x:v>offen</x:v>
      </x:c>
      <x:c r="Y1300" t="str">
        <x:v>Agent-Draft; Kategorie und Person pruefen</x:v>
      </x:c>
    </x:row>
    <x:row r="1301">
      <x:c r="A1301" t="str">
        <x:v>TXN-RAW-IMP-20260516-FULLDRAFT-001285</x:v>
      </x:c>
      <x:c r="B1301" t="str">
        <x:v>RAW-IMP-20260516-FULLDRAFT-001285</x:v>
      </x:c>
      <x:c r="C1301" t="str">
        <x:v>KTO001</x:v>
      </x:c>
      <x:c r="D1301"/>
      <x:c r="E1301" t="str">
        <x:v>KAT013</x:v>
      </x:c>
      <x:c r="F1301"/>
      <x:c r="G1301"/>
      <x:c r="H1301" t="str">
        <x:v>kein_match</x:v>
      </x:c>
      <x:c r="I1301" t="str">
        <x:v>Agent-Draft: keine finale Regelentscheidung</x:v>
      </x:c>
      <x:c r="J1301" t="n">
        <x:v>45740</x:v>
      </x:c>
      <x:c r="K1301"/>
      <x:c r="L1301"/>
      <x:c r="M1301" t="n">
        <x:v>-6.75</x:v>
      </x:c>
      <x:c r="N1301" t="str">
        <x:v>2025-03</x:v>
      </x:c>
      <x:c r="O1301" t="str">
        <x:v>Ausgabe</x:v>
      </x:c>
      <x:c r="P1301" t="str">
        <x:v>Ist</x:v>
      </x:c>
      <x:c r="Q1301" s="59" t="b">
        <x:v>0</x:v>
      </x:c>
      <x:c r="R1301" t="str">
        <x:v>kein_transfer</x:v>
      </x:c>
      <x:c r="S1301"/>
      <x:c r="T1301"/>
      <x:c r="U1301"/>
      <x:c r="V1301" s="59" t="b">
        <x:v>1</x:v>
      </x:c>
      <x:c r="W1301"/>
      <x:c r="X1301" t="str">
        <x:v>offen</x:v>
      </x:c>
      <x:c r="Y1301" t="str">
        <x:v>Agent-Draft; Kategorie und Person pruefen</x:v>
      </x:c>
    </x:row>
    <x:row r="1302">
      <x:c r="A1302" t="str">
        <x:v>TXN-RAW-IMP-20260516-FULLDRAFT-001286</x:v>
      </x:c>
      <x:c r="B1302" t="str">
        <x:v>RAW-IMP-20260516-FULLDRAFT-001286</x:v>
      </x:c>
      <x:c r="C1302" t="str">
        <x:v>KTO001</x:v>
      </x:c>
      <x:c r="D1302"/>
      <x:c r="E1302" t="str">
        <x:v>KAT013</x:v>
      </x:c>
      <x:c r="F1302"/>
      <x:c r="G1302"/>
      <x:c r="H1302" t="str">
        <x:v>kein_match</x:v>
      </x:c>
      <x:c r="I1302" t="str">
        <x:v>Agent-Draft: keine finale Regelentscheidung</x:v>
      </x:c>
      <x:c r="J1302" t="n">
        <x:v>45740</x:v>
      </x:c>
      <x:c r="K1302"/>
      <x:c r="L1302"/>
      <x:c r="M1302" t="n">
        <x:v>-13.54</x:v>
      </x:c>
      <x:c r="N1302" t="str">
        <x:v>2025-03</x:v>
      </x:c>
      <x:c r="O1302" t="str">
        <x:v>Ausgabe</x:v>
      </x:c>
      <x:c r="P1302" t="str">
        <x:v>Ist</x:v>
      </x:c>
      <x:c r="Q1302" s="59" t="b">
        <x:v>0</x:v>
      </x:c>
      <x:c r="R1302" t="str">
        <x:v>kein_transfer</x:v>
      </x:c>
      <x:c r="S1302"/>
      <x:c r="T1302"/>
      <x:c r="U1302"/>
      <x:c r="V1302" s="59" t="b">
        <x:v>1</x:v>
      </x:c>
      <x:c r="W1302"/>
      <x:c r="X1302" t="str">
        <x:v>offen</x:v>
      </x:c>
      <x:c r="Y1302" t="str">
        <x:v>Agent-Draft; Kategorie und Person pruefen</x:v>
      </x:c>
    </x:row>
    <x:row r="1303">
      <x:c r="A1303" t="str">
        <x:v>TXN-RAW-IMP-20260516-FULLDRAFT-001287</x:v>
      </x:c>
      <x:c r="B1303" t="str">
        <x:v>RAW-IMP-20260516-FULLDRAFT-001287</x:v>
      </x:c>
      <x:c r="C1303" t="str">
        <x:v>KTO001</x:v>
      </x:c>
      <x:c r="D1303"/>
      <x:c r="E1303" t="str">
        <x:v>KAT013</x:v>
      </x:c>
      <x:c r="F1303"/>
      <x:c r="G1303"/>
      <x:c r="H1303" t="str">
        <x:v>kein_match</x:v>
      </x:c>
      <x:c r="I1303" t="str">
        <x:v>Agent-Draft: keine finale Regelentscheidung</x:v>
      </x:c>
      <x:c r="J1303" t="n">
        <x:v>45737</x:v>
      </x:c>
      <x:c r="K1303"/>
      <x:c r="L1303"/>
      <x:c r="M1303" t="n">
        <x:v>-8.87</x:v>
      </x:c>
      <x:c r="N1303" t="str">
        <x:v>2025-03</x:v>
      </x:c>
      <x:c r="O1303" t="str">
        <x:v>Ausgabe</x:v>
      </x:c>
      <x:c r="P1303" t="str">
        <x:v>Ist</x:v>
      </x:c>
      <x:c r="Q1303" s="59" t="b">
        <x:v>0</x:v>
      </x:c>
      <x:c r="R1303" t="str">
        <x:v>kein_transfer</x:v>
      </x:c>
      <x:c r="S1303"/>
      <x:c r="T1303"/>
      <x:c r="U1303"/>
      <x:c r="V1303" s="59" t="b">
        <x:v>1</x:v>
      </x:c>
      <x:c r="W1303"/>
      <x:c r="X1303" t="str">
        <x:v>offen</x:v>
      </x:c>
      <x:c r="Y1303" t="str">
        <x:v>Agent-Draft; Kategorie und Person pruefen</x:v>
      </x:c>
    </x:row>
    <x:row r="1304">
      <x:c r="A1304" t="str">
        <x:v>TXN-RAW-IMP-20260516-FULLDRAFT-001288</x:v>
      </x:c>
      <x:c r="B1304" t="str">
        <x:v>RAW-IMP-20260516-FULLDRAFT-001288</x:v>
      </x:c>
      <x:c r="C1304" t="str">
        <x:v>KTO001</x:v>
      </x:c>
      <x:c r="D1304"/>
      <x:c r="E1304" t="str">
        <x:v>KAT013</x:v>
      </x:c>
      <x:c r="F1304"/>
      <x:c r="G1304"/>
      <x:c r="H1304" t="str">
        <x:v>kein_match</x:v>
      </x:c>
      <x:c r="I1304" t="str">
        <x:v>Agent-Draft: keine finale Regelentscheidung</x:v>
      </x:c>
      <x:c r="J1304" t="n">
        <x:v>45736</x:v>
      </x:c>
      <x:c r="K1304"/>
      <x:c r="L1304"/>
      <x:c r="M1304" t="n">
        <x:v>-4.99</x:v>
      </x:c>
      <x:c r="N1304" t="str">
        <x:v>2025-03</x:v>
      </x:c>
      <x:c r="O1304" t="str">
        <x:v>Ausgabe</x:v>
      </x:c>
      <x:c r="P1304" t="str">
        <x:v>Ist</x:v>
      </x:c>
      <x:c r="Q1304" s="59" t="b">
        <x:v>0</x:v>
      </x:c>
      <x:c r="R1304" t="str">
        <x:v>kein_transfer</x:v>
      </x:c>
      <x:c r="S1304"/>
      <x:c r="T1304"/>
      <x:c r="U1304"/>
      <x:c r="V1304" s="59" t="b">
        <x:v>1</x:v>
      </x:c>
      <x:c r="W1304"/>
      <x:c r="X1304" t="str">
        <x:v>offen</x:v>
      </x:c>
      <x:c r="Y1304" t="str">
        <x:v>Agent-Draft; Kategorie und Person pruefen</x:v>
      </x:c>
    </x:row>
    <x:row r="1305">
      <x:c r="A1305" t="str">
        <x:v>TXN-RAW-IMP-20260516-FULLDRAFT-001289</x:v>
      </x:c>
      <x:c r="B1305" t="str">
        <x:v>RAW-IMP-20260516-FULLDRAFT-001289</x:v>
      </x:c>
      <x:c r="C1305" t="str">
        <x:v>KTO001</x:v>
      </x:c>
      <x:c r="D1305"/>
      <x:c r="E1305" t="str">
        <x:v>KAT013</x:v>
      </x:c>
      <x:c r="F1305"/>
      <x:c r="G1305"/>
      <x:c r="H1305" t="str">
        <x:v>kein_match</x:v>
      </x:c>
      <x:c r="I1305" t="str">
        <x:v>Agent-Draft: keine finale Regelentscheidung</x:v>
      </x:c>
      <x:c r="J1305" t="n">
        <x:v>45735</x:v>
      </x:c>
      <x:c r="K1305"/>
      <x:c r="L1305"/>
      <x:c r="M1305" t="n">
        <x:v>-17.16</x:v>
      </x:c>
      <x:c r="N1305" t="str">
        <x:v>2025-03</x:v>
      </x:c>
      <x:c r="O1305" t="str">
        <x:v>Ausgabe</x:v>
      </x:c>
      <x:c r="P1305" t="str">
        <x:v>Ist</x:v>
      </x:c>
      <x:c r="Q1305" s="59" t="b">
        <x:v>0</x:v>
      </x:c>
      <x:c r="R1305" t="str">
        <x:v>kein_transfer</x:v>
      </x:c>
      <x:c r="S1305"/>
      <x:c r="T1305"/>
      <x:c r="U1305"/>
      <x:c r="V1305" s="59" t="b">
        <x:v>1</x:v>
      </x:c>
      <x:c r="W1305"/>
      <x:c r="X1305" t="str">
        <x:v>offen</x:v>
      </x:c>
      <x:c r="Y1305" t="str">
        <x:v>Agent-Draft; Kategorie und Person pruefen</x:v>
      </x:c>
    </x:row>
    <x:row r="1306">
      <x:c r="A1306" t="str">
        <x:v>TXN-RAW-IMP-20260516-FULLDRAFT-001290</x:v>
      </x:c>
      <x:c r="B1306" t="str">
        <x:v>RAW-IMP-20260516-FULLDRAFT-001290</x:v>
      </x:c>
      <x:c r="C1306" t="str">
        <x:v>KTO001</x:v>
      </x:c>
      <x:c r="D1306"/>
      <x:c r="E1306" t="str">
        <x:v>KAT013</x:v>
      </x:c>
      <x:c r="F1306"/>
      <x:c r="G1306"/>
      <x:c r="H1306" t="str">
        <x:v>kein_match</x:v>
      </x:c>
      <x:c r="I1306" t="str">
        <x:v>Agent-Draft: keine finale Regelentscheidung</x:v>
      </x:c>
      <x:c r="J1306" t="n">
        <x:v>45735</x:v>
      </x:c>
      <x:c r="K1306"/>
      <x:c r="L1306"/>
      <x:c r="M1306" t="n">
        <x:v>-18.14</x:v>
      </x:c>
      <x:c r="N1306" t="str">
        <x:v>2025-03</x:v>
      </x:c>
      <x:c r="O1306" t="str">
        <x:v>Ausgabe</x:v>
      </x:c>
      <x:c r="P1306" t="str">
        <x:v>Ist</x:v>
      </x:c>
      <x:c r="Q1306" s="59" t="b">
        <x:v>0</x:v>
      </x:c>
      <x:c r="R1306" t="str">
        <x:v>kein_transfer</x:v>
      </x:c>
      <x:c r="S1306"/>
      <x:c r="T1306"/>
      <x:c r="U1306"/>
      <x:c r="V1306" s="59" t="b">
        <x:v>1</x:v>
      </x:c>
      <x:c r="W1306"/>
      <x:c r="X1306" t="str">
        <x:v>offen</x:v>
      </x:c>
      <x:c r="Y1306" t="str">
        <x:v>Agent-Draft; Kategorie und Person pruefen</x:v>
      </x:c>
    </x:row>
    <x:row r="1307">
      <x:c r="A1307" t="str">
        <x:v>TXN-RAW-IMP-20260516-FULLDRAFT-001291</x:v>
      </x:c>
      <x:c r="B1307" t="str">
        <x:v>RAW-IMP-20260516-FULLDRAFT-001291</x:v>
      </x:c>
      <x:c r="C1307" t="str">
        <x:v>KTO001</x:v>
      </x:c>
      <x:c r="D1307"/>
      <x:c r="E1307" t="str">
        <x:v>KAT013</x:v>
      </x:c>
      <x:c r="F1307"/>
      <x:c r="G1307"/>
      <x:c r="H1307" t="str">
        <x:v>kein_match</x:v>
      </x:c>
      <x:c r="I1307" t="str">
        <x:v>Agent-Draft: keine finale Regelentscheidung</x:v>
      </x:c>
      <x:c r="J1307" t="n">
        <x:v>45733</x:v>
      </x:c>
      <x:c r="K1307"/>
      <x:c r="L1307"/>
      <x:c r="M1307" t="n">
        <x:v>-33.95</x:v>
      </x:c>
      <x:c r="N1307" t="str">
        <x:v>2025-03</x:v>
      </x:c>
      <x:c r="O1307" t="str">
        <x:v>Ausgabe</x:v>
      </x:c>
      <x:c r="P1307" t="str">
        <x:v>Ist</x:v>
      </x:c>
      <x:c r="Q1307" s="59" t="b">
        <x:v>0</x:v>
      </x:c>
      <x:c r="R1307" t="str">
        <x:v>kein_transfer</x:v>
      </x:c>
      <x:c r="S1307"/>
      <x:c r="T1307"/>
      <x:c r="U1307"/>
      <x:c r="V1307" s="59" t="b">
        <x:v>1</x:v>
      </x:c>
      <x:c r="W1307"/>
      <x:c r="X1307" t="str">
        <x:v>offen</x:v>
      </x:c>
      <x:c r="Y1307" t="str">
        <x:v>Agent-Draft; Kategorie und Person pruefen</x:v>
      </x:c>
    </x:row>
    <x:row r="1308">
      <x:c r="A1308" t="str">
        <x:v>TXN-RAW-IMP-20260516-FULLDRAFT-001292</x:v>
      </x:c>
      <x:c r="B1308" t="str">
        <x:v>RAW-IMP-20260516-FULLDRAFT-001292</x:v>
      </x:c>
      <x:c r="C1308" t="str">
        <x:v>KTO001</x:v>
      </x:c>
      <x:c r="D1308"/>
      <x:c r="E1308" t="str">
        <x:v>KAT013</x:v>
      </x:c>
      <x:c r="F1308"/>
      <x:c r="G1308"/>
      <x:c r="H1308" t="str">
        <x:v>kein_match</x:v>
      </x:c>
      <x:c r="I1308" t="str">
        <x:v>Agent-Draft: keine finale Regelentscheidung</x:v>
      </x:c>
      <x:c r="J1308" t="n">
        <x:v>45733</x:v>
      </x:c>
      <x:c r="K1308"/>
      <x:c r="L1308"/>
      <x:c r="M1308" t="n">
        <x:v>-21.35</x:v>
      </x:c>
      <x:c r="N1308" t="str">
        <x:v>2025-03</x:v>
      </x:c>
      <x:c r="O1308" t="str">
        <x:v>Ausgabe</x:v>
      </x:c>
      <x:c r="P1308" t="str">
        <x:v>Ist</x:v>
      </x:c>
      <x:c r="Q1308" s="59" t="b">
        <x:v>0</x:v>
      </x:c>
      <x:c r="R1308" t="str">
        <x:v>kein_transfer</x:v>
      </x:c>
      <x:c r="S1308"/>
      <x:c r="T1308"/>
      <x:c r="U1308"/>
      <x:c r="V1308" s="59" t="b">
        <x:v>1</x:v>
      </x:c>
      <x:c r="W1308"/>
      <x:c r="X1308" t="str">
        <x:v>offen</x:v>
      </x:c>
      <x:c r="Y1308" t="str">
        <x:v>Agent-Draft; Kategorie und Person pruefen</x:v>
      </x:c>
    </x:row>
    <x:row r="1309">
      <x:c r="A1309" t="str">
        <x:v>TXN-RAW-IMP-20260516-FULLDRAFT-001293</x:v>
      </x:c>
      <x:c r="B1309" t="str">
        <x:v>RAW-IMP-20260516-FULLDRAFT-001293</x:v>
      </x:c>
      <x:c r="C1309" t="str">
        <x:v>KTO001</x:v>
      </x:c>
      <x:c r="D1309"/>
      <x:c r="E1309" t="str">
        <x:v>KAT013</x:v>
      </x:c>
      <x:c r="F1309"/>
      <x:c r="G1309"/>
      <x:c r="H1309" t="str">
        <x:v>kein_match</x:v>
      </x:c>
      <x:c r="I1309" t="str">
        <x:v>Agent-Draft: keine finale Regelentscheidung</x:v>
      </x:c>
      <x:c r="J1309" t="n">
        <x:v>45733</x:v>
      </x:c>
      <x:c r="K1309"/>
      <x:c r="L1309"/>
      <x:c r="M1309" t="n">
        <x:v>-9.78</x:v>
      </x:c>
      <x:c r="N1309" t="str">
        <x:v>2025-03</x:v>
      </x:c>
      <x:c r="O1309" t="str">
        <x:v>Ausgabe</x:v>
      </x:c>
      <x:c r="P1309" t="str">
        <x:v>Ist</x:v>
      </x:c>
      <x:c r="Q1309" s="59" t="b">
        <x:v>0</x:v>
      </x:c>
      <x:c r="R1309" t="str">
        <x:v>kein_transfer</x:v>
      </x:c>
      <x:c r="S1309"/>
      <x:c r="T1309"/>
      <x:c r="U1309"/>
      <x:c r="V1309" s="59" t="b">
        <x:v>1</x:v>
      </x:c>
      <x:c r="W1309"/>
      <x:c r="X1309" t="str">
        <x:v>offen</x:v>
      </x:c>
      <x:c r="Y1309" t="str">
        <x:v>Agent-Draft; Kategorie und Person pruefen</x:v>
      </x:c>
    </x:row>
    <x:row r="1310">
      <x:c r="A1310" t="str">
        <x:v>TXN-RAW-IMP-20260516-FULLDRAFT-001294</x:v>
      </x:c>
      <x:c r="B1310" t="str">
        <x:v>RAW-IMP-20260516-FULLDRAFT-001294</x:v>
      </x:c>
      <x:c r="C1310" t="str">
        <x:v>KTO001</x:v>
      </x:c>
      <x:c r="D1310"/>
      <x:c r="E1310" t="str">
        <x:v>KAT013</x:v>
      </x:c>
      <x:c r="F1310"/>
      <x:c r="G1310"/>
      <x:c r="H1310" t="str">
        <x:v>kein_match</x:v>
      </x:c>
      <x:c r="I1310" t="str">
        <x:v>Agent-Draft: keine finale Regelentscheidung</x:v>
      </x:c>
      <x:c r="J1310" t="n">
        <x:v>45733</x:v>
      </x:c>
      <x:c r="K1310"/>
      <x:c r="L1310"/>
      <x:c r="M1310" t="n">
        <x:v>-36.03</x:v>
      </x:c>
      <x:c r="N1310" t="str">
        <x:v>2025-03</x:v>
      </x:c>
      <x:c r="O1310" t="str">
        <x:v>Ausgabe</x:v>
      </x:c>
      <x:c r="P1310" t="str">
        <x:v>Ist</x:v>
      </x:c>
      <x:c r="Q1310" s="59" t="b">
        <x:v>0</x:v>
      </x:c>
      <x:c r="R1310" t="str">
        <x:v>kein_transfer</x:v>
      </x:c>
      <x:c r="S1310"/>
      <x:c r="T1310"/>
      <x:c r="U1310"/>
      <x:c r="V1310" s="59" t="b">
        <x:v>1</x:v>
      </x:c>
      <x:c r="W1310"/>
      <x:c r="X1310" t="str">
        <x:v>offen</x:v>
      </x:c>
      <x:c r="Y1310" t="str">
        <x:v>Agent-Draft; Kategorie und Person pruefen</x:v>
      </x:c>
    </x:row>
    <x:row r="1311">
      <x:c r="A1311" t="str">
        <x:v>TXN-RAW-IMP-20260516-FULLDRAFT-001295</x:v>
      </x:c>
      <x:c r="B1311" t="str">
        <x:v>RAW-IMP-20260516-FULLDRAFT-001295</x:v>
      </x:c>
      <x:c r="C1311" t="str">
        <x:v>KTO001</x:v>
      </x:c>
      <x:c r="D1311"/>
      <x:c r="E1311" t="str">
        <x:v>KAT013</x:v>
      </x:c>
      <x:c r="F1311"/>
      <x:c r="G1311"/>
      <x:c r="H1311" t="str">
        <x:v>kein_match</x:v>
      </x:c>
      <x:c r="I1311" t="str">
        <x:v>Agent-Draft: keine finale Regelentscheidung</x:v>
      </x:c>
      <x:c r="J1311" t="n">
        <x:v>45733</x:v>
      </x:c>
      <x:c r="K1311"/>
      <x:c r="L1311"/>
      <x:c r="M1311" t="n">
        <x:v>-6.99</x:v>
      </x:c>
      <x:c r="N1311" t="str">
        <x:v>2025-03</x:v>
      </x:c>
      <x:c r="O1311" t="str">
        <x:v>Ausgabe</x:v>
      </x:c>
      <x:c r="P1311" t="str">
        <x:v>Ist</x:v>
      </x:c>
      <x:c r="Q1311" s="59" t="b">
        <x:v>0</x:v>
      </x:c>
      <x:c r="R1311" t="str">
        <x:v>kein_transfer</x:v>
      </x:c>
      <x:c r="S1311"/>
      <x:c r="T1311"/>
      <x:c r="U1311"/>
      <x:c r="V1311" s="59" t="b">
        <x:v>1</x:v>
      </x:c>
      <x:c r="W1311"/>
      <x:c r="X1311" t="str">
        <x:v>offen</x:v>
      </x:c>
      <x:c r="Y1311" t="str">
        <x:v>Agent-Draft; Kategorie und Person pruefen</x:v>
      </x:c>
    </x:row>
    <x:row r="1312">
      <x:c r="A1312" t="str">
        <x:v>TXN-RAW-IMP-20260516-FULLDRAFT-001296</x:v>
      </x:c>
      <x:c r="B1312" t="str">
        <x:v>RAW-IMP-20260516-FULLDRAFT-001296</x:v>
      </x:c>
      <x:c r="C1312" t="str">
        <x:v>KTO001</x:v>
      </x:c>
      <x:c r="D1312"/>
      <x:c r="E1312" t="str">
        <x:v>KAT013</x:v>
      </x:c>
      <x:c r="F1312"/>
      <x:c r="G1312"/>
      <x:c r="H1312" t="str">
        <x:v>kein_match</x:v>
      </x:c>
      <x:c r="I1312" t="str">
        <x:v>Agent-Draft: keine finale Regelentscheidung</x:v>
      </x:c>
      <x:c r="J1312" t="n">
        <x:v>45733</x:v>
      </x:c>
      <x:c r="K1312"/>
      <x:c r="L1312"/>
      <x:c r="M1312" t="n">
        <x:v>-6.99</x:v>
      </x:c>
      <x:c r="N1312" t="str">
        <x:v>2025-03</x:v>
      </x:c>
      <x:c r="O1312" t="str">
        <x:v>Ausgabe</x:v>
      </x:c>
      <x:c r="P1312" t="str">
        <x:v>Ist</x:v>
      </x:c>
      <x:c r="Q1312" s="59" t="b">
        <x:v>0</x:v>
      </x:c>
      <x:c r="R1312" t="str">
        <x:v>kein_transfer</x:v>
      </x:c>
      <x:c r="S1312"/>
      <x:c r="T1312"/>
      <x:c r="U1312"/>
      <x:c r="V1312" s="59" t="b">
        <x:v>1</x:v>
      </x:c>
      <x:c r="W1312"/>
      <x:c r="X1312" t="str">
        <x:v>offen</x:v>
      </x:c>
      <x:c r="Y1312" t="str">
        <x:v>Agent-Draft; Kategorie und Person pruefen</x:v>
      </x:c>
    </x:row>
    <x:row r="1313">
      <x:c r="A1313" t="str">
        <x:v>TXN-RAW-IMP-20260516-FULLDRAFT-001297</x:v>
      </x:c>
      <x:c r="B1313" t="str">
        <x:v>RAW-IMP-20260516-FULLDRAFT-001297</x:v>
      </x:c>
      <x:c r="C1313" t="str">
        <x:v>KTO001</x:v>
      </x:c>
      <x:c r="D1313"/>
      <x:c r="E1313" t="str">
        <x:v>KAT013</x:v>
      </x:c>
      <x:c r="F1313"/>
      <x:c r="G1313"/>
      <x:c r="H1313" t="str">
        <x:v>kein_match</x:v>
      </x:c>
      <x:c r="I1313" t="str">
        <x:v>Agent-Draft: keine finale Regelentscheidung</x:v>
      </x:c>
      <x:c r="J1313" t="n">
        <x:v>45733</x:v>
      </x:c>
      <x:c r="K1313"/>
      <x:c r="L1313"/>
      <x:c r="M1313" t="n">
        <x:v>-6.99</x:v>
      </x:c>
      <x:c r="N1313" t="str">
        <x:v>2025-03</x:v>
      </x:c>
      <x:c r="O1313" t="str">
        <x:v>Ausgabe</x:v>
      </x:c>
      <x:c r="P1313" t="str">
        <x:v>Ist</x:v>
      </x:c>
      <x:c r="Q1313" s="59" t="b">
        <x:v>0</x:v>
      </x:c>
      <x:c r="R1313" t="str">
        <x:v>kein_transfer</x:v>
      </x:c>
      <x:c r="S1313"/>
      <x:c r="T1313"/>
      <x:c r="U1313"/>
      <x:c r="V1313" s="59" t="b">
        <x:v>1</x:v>
      </x:c>
      <x:c r="W1313"/>
      <x:c r="X1313" t="str">
        <x:v>offen</x:v>
      </x:c>
      <x:c r="Y1313" t="str">
        <x:v>Agent-Draft; Kategorie und Person pruefen</x:v>
      </x:c>
    </x:row>
    <x:row r="1314">
      <x:c r="A1314" t="str">
        <x:v>TXN-RAW-IMP-20260516-FULLDRAFT-001298</x:v>
      </x:c>
      <x:c r="B1314" t="str">
        <x:v>RAW-IMP-20260516-FULLDRAFT-001298</x:v>
      </x:c>
      <x:c r="C1314" t="str">
        <x:v>KTO001</x:v>
      </x:c>
      <x:c r="D1314"/>
      <x:c r="E1314" t="str">
        <x:v>KAT013</x:v>
      </x:c>
      <x:c r="F1314"/>
      <x:c r="G1314"/>
      <x:c r="H1314" t="str">
        <x:v>kein_match</x:v>
      </x:c>
      <x:c r="I1314" t="str">
        <x:v>Agent-Draft: keine finale Regelentscheidung</x:v>
      </x:c>
      <x:c r="J1314" t="n">
        <x:v>45730</x:v>
      </x:c>
      <x:c r="K1314"/>
      <x:c r="L1314"/>
      <x:c r="M1314" t="n">
        <x:v>-5.81</x:v>
      </x:c>
      <x:c r="N1314" t="str">
        <x:v>2025-03</x:v>
      </x:c>
      <x:c r="O1314" t="str">
        <x:v>Ausgabe</x:v>
      </x:c>
      <x:c r="P1314" t="str">
        <x:v>Ist</x:v>
      </x:c>
      <x:c r="Q1314" s="59" t="b">
        <x:v>0</x:v>
      </x:c>
      <x:c r="R1314" t="str">
        <x:v>kein_transfer</x:v>
      </x:c>
      <x:c r="S1314"/>
      <x:c r="T1314"/>
      <x:c r="U1314"/>
      <x:c r="V1314" s="59" t="b">
        <x:v>1</x:v>
      </x:c>
      <x:c r="W1314"/>
      <x:c r="X1314" t="str">
        <x:v>offen</x:v>
      </x:c>
      <x:c r="Y1314" t="str">
        <x:v>Agent-Draft; Kategorie und Person pruefen</x:v>
      </x:c>
    </x:row>
    <x:row r="1315">
      <x:c r="A1315" t="str">
        <x:v>TXN-RAW-IMP-20260516-FULLDRAFT-001299</x:v>
      </x:c>
      <x:c r="B1315" t="str">
        <x:v>RAW-IMP-20260516-FULLDRAFT-001299</x:v>
      </x:c>
      <x:c r="C1315" t="str">
        <x:v>KTO001</x:v>
      </x:c>
      <x:c r="D1315"/>
      <x:c r="E1315" t="str">
        <x:v>KAT013</x:v>
      </x:c>
      <x:c r="F1315"/>
      <x:c r="G1315"/>
      <x:c r="H1315" t="str">
        <x:v>kein_match</x:v>
      </x:c>
      <x:c r="I1315" t="str">
        <x:v>Agent-Draft: keine finale Regelentscheidung</x:v>
      </x:c>
      <x:c r="J1315" t="n">
        <x:v>45728</x:v>
      </x:c>
      <x:c r="K1315"/>
      <x:c r="L1315"/>
      <x:c r="M1315" t="n">
        <x:v>-0.84</x:v>
      </x:c>
      <x:c r="N1315" t="str">
        <x:v>2025-03</x:v>
      </x:c>
      <x:c r="O1315" t="str">
        <x:v>Ausgabe</x:v>
      </x:c>
      <x:c r="P1315" t="str">
        <x:v>Ist</x:v>
      </x:c>
      <x:c r="Q1315" s="59" t="b">
        <x:v>0</x:v>
      </x:c>
      <x:c r="R1315" t="str">
        <x:v>kein_transfer</x:v>
      </x:c>
      <x:c r="S1315"/>
      <x:c r="T1315"/>
      <x:c r="U1315"/>
      <x:c r="V1315" s="59" t="b">
        <x:v>1</x:v>
      </x:c>
      <x:c r="W1315"/>
      <x:c r="X1315" t="str">
        <x:v>offen</x:v>
      </x:c>
      <x:c r="Y1315" t="str">
        <x:v>Agent-Draft; Kategorie und Person pruefen</x:v>
      </x:c>
    </x:row>
    <x:row r="1316">
      <x:c r="A1316" t="str">
        <x:v>TXN-RAW-IMP-20260516-FULLDRAFT-001300</x:v>
      </x:c>
      <x:c r="B1316" t="str">
        <x:v>RAW-IMP-20260516-FULLDRAFT-001300</x:v>
      </x:c>
      <x:c r="C1316" t="str">
        <x:v>KTO001</x:v>
      </x:c>
      <x:c r="D1316"/>
      <x:c r="E1316" t="str">
        <x:v>KAT013</x:v>
      </x:c>
      <x:c r="F1316"/>
      <x:c r="G1316"/>
      <x:c r="H1316" t="str">
        <x:v>kein_match</x:v>
      </x:c>
      <x:c r="I1316" t="str">
        <x:v>Agent-Draft: keine finale Regelentscheidung</x:v>
      </x:c>
      <x:c r="J1316" t="n">
        <x:v>45727</x:v>
      </x:c>
      <x:c r="K1316"/>
      <x:c r="L1316"/>
      <x:c r="M1316" t="n">
        <x:v>-4.5</x:v>
      </x:c>
      <x:c r="N1316" t="str">
        <x:v>2025-03</x:v>
      </x:c>
      <x:c r="O1316" t="str">
        <x:v>Ausgabe</x:v>
      </x:c>
      <x:c r="P1316" t="str">
        <x:v>Ist</x:v>
      </x:c>
      <x:c r="Q1316" s="59" t="b">
        <x:v>0</x:v>
      </x:c>
      <x:c r="R1316" t="str">
        <x:v>kein_transfer</x:v>
      </x:c>
      <x:c r="S1316"/>
      <x:c r="T1316"/>
      <x:c r="U1316"/>
      <x:c r="V1316" s="59" t="b">
        <x:v>1</x:v>
      </x:c>
      <x:c r="W1316"/>
      <x:c r="X1316" t="str">
        <x:v>offen</x:v>
      </x:c>
      <x:c r="Y1316" t="str">
        <x:v>Agent-Draft; Kategorie und Person pruefen</x:v>
      </x:c>
    </x:row>
    <x:row r="1317">
      <x:c r="A1317" t="str">
        <x:v>TXN-RAW-IMP-20260516-FULLDRAFT-001301</x:v>
      </x:c>
      <x:c r="B1317" t="str">
        <x:v>RAW-IMP-20260516-FULLDRAFT-001301</x:v>
      </x:c>
      <x:c r="C1317" t="str">
        <x:v>KTO001</x:v>
      </x:c>
      <x:c r="D1317"/>
      <x:c r="E1317" t="str">
        <x:v>KAT013</x:v>
      </x:c>
      <x:c r="F1317"/>
      <x:c r="G1317"/>
      <x:c r="H1317" t="str">
        <x:v>kein_match</x:v>
      </x:c>
      <x:c r="I1317" t="str">
        <x:v>Agent-Draft: keine finale Regelentscheidung</x:v>
      </x:c>
      <x:c r="J1317" t="n">
        <x:v>45727</x:v>
      </x:c>
      <x:c r="K1317"/>
      <x:c r="L1317"/>
      <x:c r="M1317" t="n">
        <x:v>400</x:v>
      </x:c>
      <x:c r="N1317" t="str">
        <x:v>2025-03</x:v>
      </x:c>
      <x:c r="O1317" t="str">
        <x:v>Einnahme</x:v>
      </x:c>
      <x:c r="P1317" t="str">
        <x:v>Ist</x:v>
      </x:c>
      <x:c r="Q1317" s="59" t="b">
        <x:v>0</x:v>
      </x:c>
      <x:c r="R1317" t="str">
        <x:v>unklar</x:v>
      </x:c>
      <x:c r="S1317"/>
      <x:c r="T1317"/>
      <x:c r="U1317"/>
      <x:c r="V1317" s="59" t="b">
        <x:v>1</x:v>
      </x:c>
      <x:c r="W1317" t="str">
        <x:v>Transferkandidat im Draft</x:v>
      </x:c>
      <x:c r="X1317" t="str">
        <x:v>offen</x:v>
      </x:c>
      <x:c r="Y1317" t="str">
        <x:v>Agent-Draft; Kategorie und Person pruefen</x:v>
      </x:c>
    </x:row>
    <x:row r="1318">
      <x:c r="A1318" t="str">
        <x:v>TXN-RAW-IMP-20260516-FULLDRAFT-001302</x:v>
      </x:c>
      <x:c r="B1318" t="str">
        <x:v>RAW-IMP-20260516-FULLDRAFT-001302</x:v>
      </x:c>
      <x:c r="C1318" t="str">
        <x:v>KTO001</x:v>
      </x:c>
      <x:c r="D1318"/>
      <x:c r="E1318" t="str">
        <x:v>KAT013</x:v>
      </x:c>
      <x:c r="F1318"/>
      <x:c r="G1318"/>
      <x:c r="H1318" t="str">
        <x:v>kein_match</x:v>
      </x:c>
      <x:c r="I1318" t="str">
        <x:v>Agent-Draft: keine finale Regelentscheidung</x:v>
      </x:c>
      <x:c r="J1318" t="n">
        <x:v>45727</x:v>
      </x:c>
      <x:c r="K1318"/>
      <x:c r="L1318"/>
      <x:c r="M1318" t="n">
        <x:v>-6.76</x:v>
      </x:c>
      <x:c r="N1318" t="str">
        <x:v>2025-03</x:v>
      </x:c>
      <x:c r="O1318" t="str">
        <x:v>Ausgabe</x:v>
      </x:c>
      <x:c r="P1318" t="str">
        <x:v>Ist</x:v>
      </x:c>
      <x:c r="Q1318" s="59" t="b">
        <x:v>0</x:v>
      </x:c>
      <x:c r="R1318" t="str">
        <x:v>kein_transfer</x:v>
      </x:c>
      <x:c r="S1318"/>
      <x:c r="T1318"/>
      <x:c r="U1318"/>
      <x:c r="V1318" s="59" t="b">
        <x:v>1</x:v>
      </x:c>
      <x:c r="W1318"/>
      <x:c r="X1318" t="str">
        <x:v>offen</x:v>
      </x:c>
      <x:c r="Y1318" t="str">
        <x:v>Agent-Draft; Kategorie und Person pruefen</x:v>
      </x:c>
    </x:row>
    <x:row r="1319">
      <x:c r="A1319" t="str">
        <x:v>TXN-RAW-IMP-20260516-FULLDRAFT-001303</x:v>
      </x:c>
      <x:c r="B1319" t="str">
        <x:v>RAW-IMP-20260516-FULLDRAFT-001303</x:v>
      </x:c>
      <x:c r="C1319" t="str">
        <x:v>KTO001</x:v>
      </x:c>
      <x:c r="D1319"/>
      <x:c r="E1319" t="str">
        <x:v>KAT013</x:v>
      </x:c>
      <x:c r="F1319"/>
      <x:c r="G1319"/>
      <x:c r="H1319" t="str">
        <x:v>kein_match</x:v>
      </x:c>
      <x:c r="I1319" t="str">
        <x:v>Agent-Draft: keine finale Regelentscheidung</x:v>
      </x:c>
      <x:c r="J1319" t="n">
        <x:v>45726</x:v>
      </x:c>
      <x:c r="K1319"/>
      <x:c r="L1319"/>
      <x:c r="M1319" t="n">
        <x:v>-21</x:v>
      </x:c>
      <x:c r="N1319" t="str">
        <x:v>2025-03</x:v>
      </x:c>
      <x:c r="O1319" t="str">
        <x:v>Ausgabe</x:v>
      </x:c>
      <x:c r="P1319" t="str">
        <x:v>Ist</x:v>
      </x:c>
      <x:c r="Q1319" s="59" t="b">
        <x:v>0</x:v>
      </x:c>
      <x:c r="R1319" t="str">
        <x:v>kein_transfer</x:v>
      </x:c>
      <x:c r="S1319"/>
      <x:c r="T1319"/>
      <x:c r="U1319"/>
      <x:c r="V1319" s="59" t="b">
        <x:v>1</x:v>
      </x:c>
      <x:c r="W1319"/>
      <x:c r="X1319" t="str">
        <x:v>offen</x:v>
      </x:c>
      <x:c r="Y1319" t="str">
        <x:v>Agent-Draft; Kategorie und Person pruefen</x:v>
      </x:c>
    </x:row>
    <x:row r="1320">
      <x:c r="A1320" t="str">
        <x:v>TXN-RAW-IMP-20260516-FULLDRAFT-001304</x:v>
      </x:c>
      <x:c r="B1320" t="str">
        <x:v>RAW-IMP-20260516-FULLDRAFT-001304</x:v>
      </x:c>
      <x:c r="C1320" t="str">
        <x:v>KTO001</x:v>
      </x:c>
      <x:c r="D1320"/>
      <x:c r="E1320" t="str">
        <x:v>KAT013</x:v>
      </x:c>
      <x:c r="F1320"/>
      <x:c r="G1320"/>
      <x:c r="H1320" t="str">
        <x:v>kein_match</x:v>
      </x:c>
      <x:c r="I1320" t="str">
        <x:v>Agent-Draft: keine finale Regelentscheidung</x:v>
      </x:c>
      <x:c r="J1320" t="n">
        <x:v>45726</x:v>
      </x:c>
      <x:c r="K1320"/>
      <x:c r="L1320"/>
      <x:c r="M1320" t="n">
        <x:v>-15.1</x:v>
      </x:c>
      <x:c r="N1320" t="str">
        <x:v>2025-03</x:v>
      </x:c>
      <x:c r="O1320" t="str">
        <x:v>Ausgabe</x:v>
      </x:c>
      <x:c r="P1320" t="str">
        <x:v>Ist</x:v>
      </x:c>
      <x:c r="Q1320" s="59" t="b">
        <x:v>0</x:v>
      </x:c>
      <x:c r="R1320" t="str">
        <x:v>kein_transfer</x:v>
      </x:c>
      <x:c r="S1320"/>
      <x:c r="T1320"/>
      <x:c r="U1320"/>
      <x:c r="V1320" s="59" t="b">
        <x:v>1</x:v>
      </x:c>
      <x:c r="W1320"/>
      <x:c r="X1320" t="str">
        <x:v>offen</x:v>
      </x:c>
      <x:c r="Y1320" t="str">
        <x:v>Agent-Draft; Kategorie und Person pruefen</x:v>
      </x:c>
    </x:row>
    <x:row r="1321">
      <x:c r="A1321" t="str">
        <x:v>TXN-RAW-IMP-20260516-FULLDRAFT-001305</x:v>
      </x:c>
      <x:c r="B1321" t="str">
        <x:v>RAW-IMP-20260516-FULLDRAFT-001305</x:v>
      </x:c>
      <x:c r="C1321" t="str">
        <x:v>KTO001</x:v>
      </x:c>
      <x:c r="D1321"/>
      <x:c r="E1321" t="str">
        <x:v>KAT013</x:v>
      </x:c>
      <x:c r="F1321"/>
      <x:c r="G1321"/>
      <x:c r="H1321" t="str">
        <x:v>kein_match</x:v>
      </x:c>
      <x:c r="I1321" t="str">
        <x:v>Agent-Draft: keine finale Regelentscheidung</x:v>
      </x:c>
      <x:c r="J1321" t="n">
        <x:v>45726</x:v>
      </x:c>
      <x:c r="K1321"/>
      <x:c r="L1321"/>
      <x:c r="M1321" t="n">
        <x:v>-4.9</x:v>
      </x:c>
      <x:c r="N1321" t="str">
        <x:v>2025-03</x:v>
      </x:c>
      <x:c r="O1321" t="str">
        <x:v>Ausgabe</x:v>
      </x:c>
      <x:c r="P1321" t="str">
        <x:v>Ist</x:v>
      </x:c>
      <x:c r="Q1321" s="59" t="b">
        <x:v>0</x:v>
      </x:c>
      <x:c r="R1321" t="str">
        <x:v>kein_transfer</x:v>
      </x:c>
      <x:c r="S1321"/>
      <x:c r="T1321"/>
      <x:c r="U1321"/>
      <x:c r="V1321" s="59" t="b">
        <x:v>1</x:v>
      </x:c>
      <x:c r="W1321"/>
      <x:c r="X1321" t="str">
        <x:v>offen</x:v>
      </x:c>
      <x:c r="Y1321" t="str">
        <x:v>Agent-Draft; Kategorie und Person pruefen</x:v>
      </x:c>
    </x:row>
    <x:row r="1322">
      <x:c r="A1322" t="str">
        <x:v>TXN-RAW-IMP-20260516-FULLDRAFT-001306</x:v>
      </x:c>
      <x:c r="B1322" t="str">
        <x:v>RAW-IMP-20260516-FULLDRAFT-001306</x:v>
      </x:c>
      <x:c r="C1322" t="str">
        <x:v>KTO001</x:v>
      </x:c>
      <x:c r="D1322"/>
      <x:c r="E1322" t="str">
        <x:v>KAT013</x:v>
      </x:c>
      <x:c r="F1322"/>
      <x:c r="G1322"/>
      <x:c r="H1322" t="str">
        <x:v>kein_match</x:v>
      </x:c>
      <x:c r="I1322" t="str">
        <x:v>Agent-Draft: keine finale Regelentscheidung</x:v>
      </x:c>
      <x:c r="J1322" t="n">
        <x:v>45726</x:v>
      </x:c>
      <x:c r="K1322"/>
      <x:c r="L1322"/>
      <x:c r="M1322" t="n">
        <x:v>-3.2</x:v>
      </x:c>
      <x:c r="N1322" t="str">
        <x:v>2025-03</x:v>
      </x:c>
      <x:c r="O1322" t="str">
        <x:v>Ausgabe</x:v>
      </x:c>
      <x:c r="P1322" t="str">
        <x:v>Ist</x:v>
      </x:c>
      <x:c r="Q1322" s="59" t="b">
        <x:v>0</x:v>
      </x:c>
      <x:c r="R1322" t="str">
        <x:v>kein_transfer</x:v>
      </x:c>
      <x:c r="S1322"/>
      <x:c r="T1322"/>
      <x:c r="U1322"/>
      <x:c r="V1322" s="59" t="b">
        <x:v>1</x:v>
      </x:c>
      <x:c r="W1322"/>
      <x:c r="X1322" t="str">
        <x:v>offen</x:v>
      </x:c>
      <x:c r="Y1322" t="str">
        <x:v>Agent-Draft; Kategorie und Person pruefen</x:v>
      </x:c>
    </x:row>
    <x:row r="1323">
      <x:c r="A1323" t="str">
        <x:v>TXN-RAW-IMP-20260516-FULLDRAFT-001307</x:v>
      </x:c>
      <x:c r="B1323" t="str">
        <x:v>RAW-IMP-20260516-FULLDRAFT-001307</x:v>
      </x:c>
      <x:c r="C1323" t="str">
        <x:v>KTO001</x:v>
      </x:c>
      <x:c r="D1323"/>
      <x:c r="E1323" t="str">
        <x:v>KAT013</x:v>
      </x:c>
      <x:c r="F1323"/>
      <x:c r="G1323"/>
      <x:c r="H1323" t="str">
        <x:v>kein_match</x:v>
      </x:c>
      <x:c r="I1323" t="str">
        <x:v>Agent-Draft: keine finale Regelentscheidung</x:v>
      </x:c>
      <x:c r="J1323" t="n">
        <x:v>45726</x:v>
      </x:c>
      <x:c r="K1323"/>
      <x:c r="L1323"/>
      <x:c r="M1323" t="n">
        <x:v>-17.98</x:v>
      </x:c>
      <x:c r="N1323" t="str">
        <x:v>2025-03</x:v>
      </x:c>
      <x:c r="O1323" t="str">
        <x:v>Ausgabe</x:v>
      </x:c>
      <x:c r="P1323" t="str">
        <x:v>Ist</x:v>
      </x:c>
      <x:c r="Q1323" s="59" t="b">
        <x:v>0</x:v>
      </x:c>
      <x:c r="R1323" t="str">
        <x:v>kein_transfer</x:v>
      </x:c>
      <x:c r="S1323"/>
      <x:c r="T1323"/>
      <x:c r="U1323"/>
      <x:c r="V1323" s="59" t="b">
        <x:v>1</x:v>
      </x:c>
      <x:c r="W1323"/>
      <x:c r="X1323" t="str">
        <x:v>offen</x:v>
      </x:c>
      <x:c r="Y1323" t="str">
        <x:v>Agent-Draft; Kategorie und Person pruefen</x:v>
      </x:c>
    </x:row>
    <x:row r="1324">
      <x:c r="A1324" t="str">
        <x:v>TXN-RAW-IMP-20260516-FULLDRAFT-001308</x:v>
      </x:c>
      <x:c r="B1324" t="str">
        <x:v>RAW-IMP-20260516-FULLDRAFT-001308</x:v>
      </x:c>
      <x:c r="C1324" t="str">
        <x:v>KTO001</x:v>
      </x:c>
      <x:c r="D1324"/>
      <x:c r="E1324" t="str">
        <x:v>KAT013</x:v>
      </x:c>
      <x:c r="F1324"/>
      <x:c r="G1324"/>
      <x:c r="H1324" t="str">
        <x:v>kein_match</x:v>
      </x:c>
      <x:c r="I1324" t="str">
        <x:v>Agent-Draft: keine finale Regelentscheidung</x:v>
      </x:c>
      <x:c r="J1324" t="n">
        <x:v>45726</x:v>
      </x:c>
      <x:c r="K1324"/>
      <x:c r="L1324"/>
      <x:c r="M1324" t="n">
        <x:v>-104.85</x:v>
      </x:c>
      <x:c r="N1324" t="str">
        <x:v>2025-03</x:v>
      </x:c>
      <x:c r="O1324" t="str">
        <x:v>Ausgabe</x:v>
      </x:c>
      <x:c r="P1324" t="str">
        <x:v>Ist</x:v>
      </x:c>
      <x:c r="Q1324" s="59" t="b">
        <x:v>0</x:v>
      </x:c>
      <x:c r="R1324" t="str">
        <x:v>kein_transfer</x:v>
      </x:c>
      <x:c r="S1324"/>
      <x:c r="T1324"/>
      <x:c r="U1324"/>
      <x:c r="V1324" s="59" t="b">
        <x:v>1</x:v>
      </x:c>
      <x:c r="W1324"/>
      <x:c r="X1324" t="str">
        <x:v>offen</x:v>
      </x:c>
      <x:c r="Y1324" t="str">
        <x:v>Agent-Draft; Kategorie und Person pruefen</x:v>
      </x:c>
    </x:row>
    <x:row r="1325">
      <x:c r="A1325" t="str">
        <x:v>TXN-RAW-IMP-20260516-FULLDRAFT-001309</x:v>
      </x:c>
      <x:c r="B1325" t="str">
        <x:v>RAW-IMP-20260516-FULLDRAFT-001309</x:v>
      </x:c>
      <x:c r="C1325" t="str">
        <x:v>KTO001</x:v>
      </x:c>
      <x:c r="D1325"/>
      <x:c r="E1325" t="str">
        <x:v>KAT013</x:v>
      </x:c>
      <x:c r="F1325"/>
      <x:c r="G1325"/>
      <x:c r="H1325" t="str">
        <x:v>kein_match</x:v>
      </x:c>
      <x:c r="I1325" t="str">
        <x:v>Agent-Draft: keine finale Regelentscheidung</x:v>
      </x:c>
      <x:c r="J1325" t="n">
        <x:v>45726</x:v>
      </x:c>
      <x:c r="K1325"/>
      <x:c r="L1325"/>
      <x:c r="M1325" t="n">
        <x:v>-26.54</x:v>
      </x:c>
      <x:c r="N1325" t="str">
        <x:v>2025-03</x:v>
      </x:c>
      <x:c r="O1325" t="str">
        <x:v>Ausgabe</x:v>
      </x:c>
      <x:c r="P1325" t="str">
        <x:v>Ist</x:v>
      </x:c>
      <x:c r="Q1325" s="59" t="b">
        <x:v>0</x:v>
      </x:c>
      <x:c r="R1325" t="str">
        <x:v>kein_transfer</x:v>
      </x:c>
      <x:c r="S1325"/>
      <x:c r="T1325"/>
      <x:c r="U1325"/>
      <x:c r="V1325" s="59" t="b">
        <x:v>1</x:v>
      </x:c>
      <x:c r="W1325"/>
      <x:c r="X1325" t="str">
        <x:v>offen</x:v>
      </x:c>
      <x:c r="Y1325" t="str">
        <x:v>Agent-Draft; Kategorie und Person pruefen</x:v>
      </x:c>
    </x:row>
    <x:row r="1326">
      <x:c r="A1326" t="str">
        <x:v>TXN-RAW-IMP-20260516-FULLDRAFT-001310</x:v>
      </x:c>
      <x:c r="B1326" t="str">
        <x:v>RAW-IMP-20260516-FULLDRAFT-001310</x:v>
      </x:c>
      <x:c r="C1326" t="str">
        <x:v>KTO001</x:v>
      </x:c>
      <x:c r="D1326"/>
      <x:c r="E1326" t="str">
        <x:v>KAT013</x:v>
      </x:c>
      <x:c r="F1326"/>
      <x:c r="G1326"/>
      <x:c r="H1326" t="str">
        <x:v>kein_match</x:v>
      </x:c>
      <x:c r="I1326" t="str">
        <x:v>Agent-Draft: keine finale Regelentscheidung</x:v>
      </x:c>
      <x:c r="J1326" t="n">
        <x:v>45726</x:v>
      </x:c>
      <x:c r="K1326"/>
      <x:c r="L1326"/>
      <x:c r="M1326" t="n">
        <x:v>-279</x:v>
      </x:c>
      <x:c r="N1326" t="str">
        <x:v>2025-03</x:v>
      </x:c>
      <x:c r="O1326" t="str">
        <x:v>Ausgabe</x:v>
      </x:c>
      <x:c r="P1326" t="str">
        <x:v>Ist</x:v>
      </x:c>
      <x:c r="Q1326" s="59" t="b">
        <x:v>0</x:v>
      </x:c>
      <x:c r="R1326" t="str">
        <x:v>kein_transfer</x:v>
      </x:c>
      <x:c r="S1326"/>
      <x:c r="T1326"/>
      <x:c r="U1326"/>
      <x:c r="V1326" s="59" t="b">
        <x:v>1</x:v>
      </x:c>
      <x:c r="W1326"/>
      <x:c r="X1326" t="str">
        <x:v>offen</x:v>
      </x:c>
      <x:c r="Y1326" t="str">
        <x:v>Agent-Draft; Kategorie und Person pruefen</x:v>
      </x:c>
    </x:row>
    <x:row r="1327">
      <x:c r="A1327" t="str">
        <x:v>TXN-RAW-IMP-20260516-FULLDRAFT-001311</x:v>
      </x:c>
      <x:c r="B1327" t="str">
        <x:v>RAW-IMP-20260516-FULLDRAFT-001311</x:v>
      </x:c>
      <x:c r="C1327" t="str">
        <x:v>KTO001</x:v>
      </x:c>
      <x:c r="D1327"/>
      <x:c r="E1327" t="str">
        <x:v>KAT013</x:v>
      </x:c>
      <x:c r="F1327"/>
      <x:c r="G1327"/>
      <x:c r="H1327" t="str">
        <x:v>kein_match</x:v>
      </x:c>
      <x:c r="I1327" t="str">
        <x:v>Agent-Draft: keine finale Regelentscheidung</x:v>
      </x:c>
      <x:c r="J1327" t="n">
        <x:v>45726</x:v>
      </x:c>
      <x:c r="K1327"/>
      <x:c r="L1327"/>
      <x:c r="M1327" t="n">
        <x:v>-12</x:v>
      </x:c>
      <x:c r="N1327" t="str">
        <x:v>2025-03</x:v>
      </x:c>
      <x:c r="O1327" t="str">
        <x:v>Ausgabe</x:v>
      </x:c>
      <x:c r="P1327" t="str">
        <x:v>Ist</x:v>
      </x:c>
      <x:c r="Q1327" s="59" t="b">
        <x:v>0</x:v>
      </x:c>
      <x:c r="R1327" t="str">
        <x:v>kein_transfer</x:v>
      </x:c>
      <x:c r="S1327"/>
      <x:c r="T1327"/>
      <x:c r="U1327"/>
      <x:c r="V1327" s="59" t="b">
        <x:v>1</x:v>
      </x:c>
      <x:c r="W1327"/>
      <x:c r="X1327" t="str">
        <x:v>offen</x:v>
      </x:c>
      <x:c r="Y1327" t="str">
        <x:v>Agent-Draft; Kategorie und Person pruefen</x:v>
      </x:c>
    </x:row>
    <x:row r="1328">
      <x:c r="A1328" t="str">
        <x:v>TXN-RAW-IMP-20260516-FULLDRAFT-001312</x:v>
      </x:c>
      <x:c r="B1328" t="str">
        <x:v>RAW-IMP-20260516-FULLDRAFT-001312</x:v>
      </x:c>
      <x:c r="C1328" t="str">
        <x:v>KTO001</x:v>
      </x:c>
      <x:c r="D1328"/>
      <x:c r="E1328" t="str">
        <x:v>KAT013</x:v>
      </x:c>
      <x:c r="F1328"/>
      <x:c r="G1328"/>
      <x:c r="H1328" t="str">
        <x:v>kein_match</x:v>
      </x:c>
      <x:c r="I1328" t="str">
        <x:v>Agent-Draft: keine finale Regelentscheidung</x:v>
      </x:c>
      <x:c r="J1328" t="n">
        <x:v>45723</x:v>
      </x:c>
      <x:c r="K1328"/>
      <x:c r="L1328"/>
      <x:c r="M1328" t="n">
        <x:v>-1.77</x:v>
      </x:c>
      <x:c r="N1328" t="str">
        <x:v>2025-03</x:v>
      </x:c>
      <x:c r="O1328" t="str">
        <x:v>Ausgabe</x:v>
      </x:c>
      <x:c r="P1328" t="str">
        <x:v>Ist</x:v>
      </x:c>
      <x:c r="Q1328" s="59" t="b">
        <x:v>0</x:v>
      </x:c>
      <x:c r="R1328" t="str">
        <x:v>kein_transfer</x:v>
      </x:c>
      <x:c r="S1328"/>
      <x:c r="T1328"/>
      <x:c r="U1328"/>
      <x:c r="V1328" s="59" t="b">
        <x:v>1</x:v>
      </x:c>
      <x:c r="W1328"/>
      <x:c r="X1328" t="str">
        <x:v>offen</x:v>
      </x:c>
      <x:c r="Y1328" t="str">
        <x:v>Agent-Draft; Kategorie und Person pruefen</x:v>
      </x:c>
    </x:row>
    <x:row r="1329">
      <x:c r="A1329" t="str">
        <x:v>TXN-RAW-IMP-20260516-FULLDRAFT-001313</x:v>
      </x:c>
      <x:c r="B1329" t="str">
        <x:v>RAW-IMP-20260516-FULLDRAFT-001313</x:v>
      </x:c>
      <x:c r="C1329" t="str">
        <x:v>KTO001</x:v>
      </x:c>
      <x:c r="D1329"/>
      <x:c r="E1329" t="str">
        <x:v>KAT013</x:v>
      </x:c>
      <x:c r="F1329"/>
      <x:c r="G1329"/>
      <x:c r="H1329" t="str">
        <x:v>kein_match</x:v>
      </x:c>
      <x:c r="I1329" t="str">
        <x:v>Agent-Draft: keine finale Regelentscheidung</x:v>
      </x:c>
      <x:c r="J1329" t="n">
        <x:v>45722</x:v>
      </x:c>
      <x:c r="K1329"/>
      <x:c r="L1329"/>
      <x:c r="M1329" t="n">
        <x:v>-61.93</x:v>
      </x:c>
      <x:c r="N1329" t="str">
        <x:v>2025-03</x:v>
      </x:c>
      <x:c r="O1329" t="str">
        <x:v>Ausgabe</x:v>
      </x:c>
      <x:c r="P1329" t="str">
        <x:v>Ist</x:v>
      </x:c>
      <x:c r="Q1329" s="59" t="b">
        <x:v>0</x:v>
      </x:c>
      <x:c r="R1329" t="str">
        <x:v>kein_transfer</x:v>
      </x:c>
      <x:c r="S1329"/>
      <x:c r="T1329"/>
      <x:c r="U1329"/>
      <x:c r="V1329" s="59" t="b">
        <x:v>1</x:v>
      </x:c>
      <x:c r="W1329"/>
      <x:c r="X1329" t="str">
        <x:v>offen</x:v>
      </x:c>
      <x:c r="Y1329" t="str">
        <x:v>Agent-Draft; Kategorie und Person pruefen</x:v>
      </x:c>
    </x:row>
    <x:row r="1330">
      <x:c r="A1330" t="str">
        <x:v>TXN-RAW-IMP-20260516-FULLDRAFT-001314</x:v>
      </x:c>
      <x:c r="B1330" t="str">
        <x:v>RAW-IMP-20260516-FULLDRAFT-001314</x:v>
      </x:c>
      <x:c r="C1330" t="str">
        <x:v>KTO001</x:v>
      </x:c>
      <x:c r="D1330"/>
      <x:c r="E1330" t="str">
        <x:v>KAT013</x:v>
      </x:c>
      <x:c r="F1330"/>
      <x:c r="G1330"/>
      <x:c r="H1330" t="str">
        <x:v>kein_match</x:v>
      </x:c>
      <x:c r="I1330" t="str">
        <x:v>Agent-Draft: keine finale Regelentscheidung</x:v>
      </x:c>
      <x:c r="J1330" t="n">
        <x:v>45722</x:v>
      </x:c>
      <x:c r="K1330"/>
      <x:c r="L1330"/>
      <x:c r="M1330" t="n">
        <x:v>-49.9</x:v>
      </x:c>
      <x:c r="N1330" t="str">
        <x:v>2025-03</x:v>
      </x:c>
      <x:c r="O1330" t="str">
        <x:v>Ausgabe</x:v>
      </x:c>
      <x:c r="P1330" t="str">
        <x:v>Ist</x:v>
      </x:c>
      <x:c r="Q1330" s="59" t="b">
        <x:v>0</x:v>
      </x:c>
      <x:c r="R1330" t="str">
        <x:v>kein_transfer</x:v>
      </x:c>
      <x:c r="S1330"/>
      <x:c r="T1330"/>
      <x:c r="U1330"/>
      <x:c r="V1330" s="59" t="b">
        <x:v>1</x:v>
      </x:c>
      <x:c r="W1330"/>
      <x:c r="X1330" t="str">
        <x:v>offen</x:v>
      </x:c>
      <x:c r="Y1330" t="str">
        <x:v>Agent-Draft; Kategorie und Person pruefen</x:v>
      </x:c>
    </x:row>
    <x:row r="1331">
      <x:c r="A1331" t="str">
        <x:v>TXN-RAW-IMP-20260516-FULLDRAFT-001315</x:v>
      </x:c>
      <x:c r="B1331" t="str">
        <x:v>RAW-IMP-20260516-FULLDRAFT-001315</x:v>
      </x:c>
      <x:c r="C1331" t="str">
        <x:v>KTO001</x:v>
      </x:c>
      <x:c r="D1331"/>
      <x:c r="E1331" t="str">
        <x:v>KAT013</x:v>
      </x:c>
      <x:c r="F1331"/>
      <x:c r="G1331"/>
      <x:c r="H1331" t="str">
        <x:v>kein_match</x:v>
      </x:c>
      <x:c r="I1331" t="str">
        <x:v>Agent-Draft: keine finale Regelentscheidung</x:v>
      </x:c>
      <x:c r="J1331" t="n">
        <x:v>45722</x:v>
      </x:c>
      <x:c r="K1331"/>
      <x:c r="L1331"/>
      <x:c r="M1331" t="n">
        <x:v>-166.83</x:v>
      </x:c>
      <x:c r="N1331" t="str">
        <x:v>2025-03</x:v>
      </x:c>
      <x:c r="O1331" t="str">
        <x:v>Ausgabe</x:v>
      </x:c>
      <x:c r="P1331" t="str">
        <x:v>Ist</x:v>
      </x:c>
      <x:c r="Q1331" s="59" t="b">
        <x:v>0</x:v>
      </x:c>
      <x:c r="R1331" t="str">
        <x:v>kein_transfer</x:v>
      </x:c>
      <x:c r="S1331"/>
      <x:c r="T1331"/>
      <x:c r="U1331"/>
      <x:c r="V1331" s="59" t="b">
        <x:v>1</x:v>
      </x:c>
      <x:c r="W1331"/>
      <x:c r="X1331" t="str">
        <x:v>offen</x:v>
      </x:c>
      <x:c r="Y1331" t="str">
        <x:v>Agent-Draft; Kategorie und Person pruefen</x:v>
      </x:c>
    </x:row>
    <x:row r="1332">
      <x:c r="A1332" t="str">
        <x:v>TXN-RAW-IMP-20260516-FULLDRAFT-001316</x:v>
      </x:c>
      <x:c r="B1332" t="str">
        <x:v>RAW-IMP-20260516-FULLDRAFT-001316</x:v>
      </x:c>
      <x:c r="C1332" t="str">
        <x:v>KTO001</x:v>
      </x:c>
      <x:c r="D1332"/>
      <x:c r="E1332" t="str">
        <x:v>KAT013</x:v>
      </x:c>
      <x:c r="F1332"/>
      <x:c r="G1332"/>
      <x:c r="H1332" t="str">
        <x:v>kein_match</x:v>
      </x:c>
      <x:c r="I1332" t="str">
        <x:v>Agent-Draft: keine finale Regelentscheidung</x:v>
      </x:c>
      <x:c r="J1332" t="n">
        <x:v>45721</x:v>
      </x:c>
      <x:c r="K1332"/>
      <x:c r="L1332"/>
      <x:c r="M1332" t="n">
        <x:v>-4.3</x:v>
      </x:c>
      <x:c r="N1332" t="str">
        <x:v>2025-03</x:v>
      </x:c>
      <x:c r="O1332" t="str">
        <x:v>Ausgabe</x:v>
      </x:c>
      <x:c r="P1332" t="str">
        <x:v>Ist</x:v>
      </x:c>
      <x:c r="Q1332" s="59" t="b">
        <x:v>0</x:v>
      </x:c>
      <x:c r="R1332" t="str">
        <x:v>kein_transfer</x:v>
      </x:c>
      <x:c r="S1332"/>
      <x:c r="T1332"/>
      <x:c r="U1332"/>
      <x:c r="V1332" s="59" t="b">
        <x:v>1</x:v>
      </x:c>
      <x:c r="W1332"/>
      <x:c r="X1332" t="str">
        <x:v>offen</x:v>
      </x:c>
      <x:c r="Y1332" t="str">
        <x:v>Agent-Draft; Kategorie und Person pruefen</x:v>
      </x:c>
    </x:row>
    <x:row r="1333">
      <x:c r="A1333" t="str">
        <x:v>TXN-RAW-IMP-20260516-FULLDRAFT-001317</x:v>
      </x:c>
      <x:c r="B1333" t="str">
        <x:v>RAW-IMP-20260516-FULLDRAFT-001317</x:v>
      </x:c>
      <x:c r="C1333" t="str">
        <x:v>KTO001</x:v>
      </x:c>
      <x:c r="D1333"/>
      <x:c r="E1333" t="str">
        <x:v>KAT013</x:v>
      </x:c>
      <x:c r="F1333"/>
      <x:c r="G1333"/>
      <x:c r="H1333" t="str">
        <x:v>kein_match</x:v>
      </x:c>
      <x:c r="I1333" t="str">
        <x:v>Agent-Draft: keine finale Regelentscheidung</x:v>
      </x:c>
      <x:c r="J1333" t="n">
        <x:v>45721</x:v>
      </x:c>
      <x:c r="K1333"/>
      <x:c r="L1333"/>
      <x:c r="M1333" t="n">
        <x:v>-19.78</x:v>
      </x:c>
      <x:c r="N1333" t="str">
        <x:v>2025-03</x:v>
      </x:c>
      <x:c r="O1333" t="str">
        <x:v>Ausgabe</x:v>
      </x:c>
      <x:c r="P1333" t="str">
        <x:v>Ist</x:v>
      </x:c>
      <x:c r="Q1333" s="59" t="b">
        <x:v>0</x:v>
      </x:c>
      <x:c r="R1333" t="str">
        <x:v>kein_transfer</x:v>
      </x:c>
      <x:c r="S1333"/>
      <x:c r="T1333"/>
      <x:c r="U1333"/>
      <x:c r="V1333" s="59" t="b">
        <x:v>1</x:v>
      </x:c>
      <x:c r="W1333"/>
      <x:c r="X1333" t="str">
        <x:v>offen</x:v>
      </x:c>
      <x:c r="Y1333" t="str">
        <x:v>Agent-Draft; Kategorie und Person pruefen</x:v>
      </x:c>
    </x:row>
    <x:row r="1334">
      <x:c r="A1334" t="str">
        <x:v>TXN-RAW-IMP-20260516-FULLDRAFT-001318</x:v>
      </x:c>
      <x:c r="B1334" t="str">
        <x:v>RAW-IMP-20260516-FULLDRAFT-001318</x:v>
      </x:c>
      <x:c r="C1334" t="str">
        <x:v>KTO001</x:v>
      </x:c>
      <x:c r="D1334"/>
      <x:c r="E1334" t="str">
        <x:v>KAT013</x:v>
      </x:c>
      <x:c r="F1334"/>
      <x:c r="G1334"/>
      <x:c r="H1334" t="str">
        <x:v>kein_match</x:v>
      </x:c>
      <x:c r="I1334" t="str">
        <x:v>Agent-Draft: keine finale Regelentscheidung</x:v>
      </x:c>
      <x:c r="J1334" t="n">
        <x:v>45720</x:v>
      </x:c>
      <x:c r="K1334"/>
      <x:c r="L1334"/>
      <x:c r="M1334" t="n">
        <x:v>-14.64</x:v>
      </x:c>
      <x:c r="N1334" t="str">
        <x:v>2025-03</x:v>
      </x:c>
      <x:c r="O1334" t="str">
        <x:v>Ausgabe</x:v>
      </x:c>
      <x:c r="P1334" t="str">
        <x:v>Ist</x:v>
      </x:c>
      <x:c r="Q1334" s="59" t="b">
        <x:v>0</x:v>
      </x:c>
      <x:c r="R1334" t="str">
        <x:v>kein_transfer</x:v>
      </x:c>
      <x:c r="S1334"/>
      <x:c r="T1334"/>
      <x:c r="U1334"/>
      <x:c r="V1334" s="59" t="b">
        <x:v>1</x:v>
      </x:c>
      <x:c r="W1334"/>
      <x:c r="X1334" t="str">
        <x:v>offen</x:v>
      </x:c>
      <x:c r="Y1334" t="str">
        <x:v>Agent-Draft; Kategorie und Person pruefen</x:v>
      </x:c>
    </x:row>
    <x:row r="1335">
      <x:c r="A1335" t="str">
        <x:v>TXN-RAW-IMP-20260516-FULLDRAFT-001319</x:v>
      </x:c>
      <x:c r="B1335" t="str">
        <x:v>RAW-IMP-20260516-FULLDRAFT-001319</x:v>
      </x:c>
      <x:c r="C1335" t="str">
        <x:v>KTO001</x:v>
      </x:c>
      <x:c r="D1335"/>
      <x:c r="E1335" t="str">
        <x:v>KAT013</x:v>
      </x:c>
      <x:c r="F1335"/>
      <x:c r="G1335"/>
      <x:c r="H1335" t="str">
        <x:v>kein_match</x:v>
      </x:c>
      <x:c r="I1335" t="str">
        <x:v>Agent-Draft: keine finale Regelentscheidung</x:v>
      </x:c>
      <x:c r="J1335" t="n">
        <x:v>45720</x:v>
      </x:c>
      <x:c r="K1335"/>
      <x:c r="L1335"/>
      <x:c r="M1335" t="n">
        <x:v>-16.99</x:v>
      </x:c>
      <x:c r="N1335" t="str">
        <x:v>2025-03</x:v>
      </x:c>
      <x:c r="O1335" t="str">
        <x:v>Ausgabe</x:v>
      </x:c>
      <x:c r="P1335" t="str">
        <x:v>Ist</x:v>
      </x:c>
      <x:c r="Q1335" s="59" t="b">
        <x:v>0</x:v>
      </x:c>
      <x:c r="R1335" t="str">
        <x:v>kein_transfer</x:v>
      </x:c>
      <x:c r="S1335"/>
      <x:c r="T1335"/>
      <x:c r="U1335"/>
      <x:c r="V1335" s="59" t="b">
        <x:v>1</x:v>
      </x:c>
      <x:c r="W1335"/>
      <x:c r="X1335" t="str">
        <x:v>offen</x:v>
      </x:c>
      <x:c r="Y1335" t="str">
        <x:v>Agent-Draft; Kategorie und Person pruefen</x:v>
      </x:c>
    </x:row>
    <x:row r="1336">
      <x:c r="A1336" t="str">
        <x:v>TXN-RAW-IMP-20260516-FULLDRAFT-001320</x:v>
      </x:c>
      <x:c r="B1336" t="str">
        <x:v>RAW-IMP-20260516-FULLDRAFT-001320</x:v>
      </x:c>
      <x:c r="C1336" t="str">
        <x:v>KTO001</x:v>
      </x:c>
      <x:c r="D1336"/>
      <x:c r="E1336" t="str">
        <x:v>KAT013</x:v>
      </x:c>
      <x:c r="F1336"/>
      <x:c r="G1336"/>
      <x:c r="H1336" t="str">
        <x:v>kein_match</x:v>
      </x:c>
      <x:c r="I1336" t="str">
        <x:v>Agent-Draft: keine finale Regelentscheidung</x:v>
      </x:c>
      <x:c r="J1336" t="n">
        <x:v>45720</x:v>
      </x:c>
      <x:c r="K1336"/>
      <x:c r="L1336"/>
      <x:c r="M1336" t="n">
        <x:v>-306.15</x:v>
      </x:c>
      <x:c r="N1336" t="str">
        <x:v>2025-03</x:v>
      </x:c>
      <x:c r="O1336" t="str">
        <x:v>Ausgabe</x:v>
      </x:c>
      <x:c r="P1336" t="str">
        <x:v>Ist</x:v>
      </x:c>
      <x:c r="Q1336" s="59" t="b">
        <x:v>0</x:v>
      </x:c>
      <x:c r="R1336" t="str">
        <x:v>kein_transfer</x:v>
      </x:c>
      <x:c r="S1336"/>
      <x:c r="T1336"/>
      <x:c r="U1336"/>
      <x:c r="V1336" s="59" t="b">
        <x:v>1</x:v>
      </x:c>
      <x:c r="W1336"/>
      <x:c r="X1336" t="str">
        <x:v>offen</x:v>
      </x:c>
      <x:c r="Y1336" t="str">
        <x:v>Agent-Draft; Kategorie und Person pruefen</x:v>
      </x:c>
    </x:row>
    <x:row r="1337">
      <x:c r="A1337" t="str">
        <x:v>TXN-RAW-IMP-20260516-FULLDRAFT-001321</x:v>
      </x:c>
      <x:c r="B1337" t="str">
        <x:v>RAW-IMP-20260516-FULLDRAFT-001321</x:v>
      </x:c>
      <x:c r="C1337" t="str">
        <x:v>KTO001</x:v>
      </x:c>
      <x:c r="D1337"/>
      <x:c r="E1337" t="str">
        <x:v>KAT013</x:v>
      </x:c>
      <x:c r="F1337"/>
      <x:c r="G1337"/>
      <x:c r="H1337" t="str">
        <x:v>kein_match</x:v>
      </x:c>
      <x:c r="I1337" t="str">
        <x:v>Agent-Draft: keine finale Regelentscheidung</x:v>
      </x:c>
      <x:c r="J1337" t="n">
        <x:v>45720</x:v>
      </x:c>
      <x:c r="K1337"/>
      <x:c r="L1337"/>
      <x:c r="M1337" t="n">
        <x:v>-53.3</x:v>
      </x:c>
      <x:c r="N1337" t="str">
        <x:v>2025-03</x:v>
      </x:c>
      <x:c r="O1337" t="str">
        <x:v>Ausgabe</x:v>
      </x:c>
      <x:c r="P1337" t="str">
        <x:v>Ist</x:v>
      </x:c>
      <x:c r="Q1337" s="59" t="b">
        <x:v>0</x:v>
      </x:c>
      <x:c r="R1337" t="str">
        <x:v>kein_transfer</x:v>
      </x:c>
      <x:c r="S1337"/>
      <x:c r="T1337"/>
      <x:c r="U1337"/>
      <x:c r="V1337" s="59" t="b">
        <x:v>1</x:v>
      </x:c>
      <x:c r="W1337"/>
      <x:c r="X1337" t="str">
        <x:v>offen</x:v>
      </x:c>
      <x:c r="Y1337" t="str">
        <x:v>Agent-Draft; Kategorie und Person pruefen</x:v>
      </x:c>
    </x:row>
    <x:row r="1338">
      <x:c r="A1338" t="str">
        <x:v>TXN-RAW-IMP-20260516-FULLDRAFT-001322</x:v>
      </x:c>
      <x:c r="B1338" t="str">
        <x:v>RAW-IMP-20260516-FULLDRAFT-001322</x:v>
      </x:c>
      <x:c r="C1338" t="str">
        <x:v>KTO001</x:v>
      </x:c>
      <x:c r="D1338"/>
      <x:c r="E1338" t="str">
        <x:v>KAT013</x:v>
      </x:c>
      <x:c r="F1338"/>
      <x:c r="G1338"/>
      <x:c r="H1338" t="str">
        <x:v>kein_match</x:v>
      </x:c>
      <x:c r="I1338" t="str">
        <x:v>Agent-Draft: keine finale Regelentscheidung</x:v>
      </x:c>
      <x:c r="J1338" t="n">
        <x:v>45720</x:v>
      </x:c>
      <x:c r="K1338"/>
      <x:c r="L1338"/>
      <x:c r="M1338" t="n">
        <x:v>-57.5</x:v>
      </x:c>
      <x:c r="N1338" t="str">
        <x:v>2025-03</x:v>
      </x:c>
      <x:c r="O1338" t="str">
        <x:v>Ausgabe</x:v>
      </x:c>
      <x:c r="P1338" t="str">
        <x:v>Ist</x:v>
      </x:c>
      <x:c r="Q1338" s="59" t="b">
        <x:v>0</x:v>
      </x:c>
      <x:c r="R1338" t="str">
        <x:v>kein_transfer</x:v>
      </x:c>
      <x:c r="S1338"/>
      <x:c r="T1338"/>
      <x:c r="U1338"/>
      <x:c r="V1338" s="59" t="b">
        <x:v>1</x:v>
      </x:c>
      <x:c r="W1338"/>
      <x:c r="X1338" t="str">
        <x:v>offen</x:v>
      </x:c>
      <x:c r="Y1338" t="str">
        <x:v>Agent-Draft; Kategorie und Person pruefen</x:v>
      </x:c>
    </x:row>
    <x:row r="1339">
      <x:c r="A1339" t="str">
        <x:v>TXN-RAW-IMP-20260516-FULLDRAFT-001323</x:v>
      </x:c>
      <x:c r="B1339" t="str">
        <x:v>RAW-IMP-20260516-FULLDRAFT-001323</x:v>
      </x:c>
      <x:c r="C1339" t="str">
        <x:v>KTO001</x:v>
      </x:c>
      <x:c r="D1339"/>
      <x:c r="E1339" t="str">
        <x:v>KAT013</x:v>
      </x:c>
      <x:c r="F1339"/>
      <x:c r="G1339"/>
      <x:c r="H1339" t="str">
        <x:v>kein_match</x:v>
      </x:c>
      <x:c r="I1339" t="str">
        <x:v>Agent-Draft: keine finale Regelentscheidung</x:v>
      </x:c>
      <x:c r="J1339" t="n">
        <x:v>45720</x:v>
      </x:c>
      <x:c r="K1339"/>
      <x:c r="L1339"/>
      <x:c r="M1339" t="n">
        <x:v>-11.96</x:v>
      </x:c>
      <x:c r="N1339" t="str">
        <x:v>2025-03</x:v>
      </x:c>
      <x:c r="O1339" t="str">
        <x:v>Ausgabe</x:v>
      </x:c>
      <x:c r="P1339" t="str">
        <x:v>Ist</x:v>
      </x:c>
      <x:c r="Q1339" s="59" t="b">
        <x:v>0</x:v>
      </x:c>
      <x:c r="R1339" t="str">
        <x:v>kein_transfer</x:v>
      </x:c>
      <x:c r="S1339"/>
      <x:c r="T1339"/>
      <x:c r="U1339"/>
      <x:c r="V1339" s="59" t="b">
        <x:v>1</x:v>
      </x:c>
      <x:c r="W1339"/>
      <x:c r="X1339" t="str">
        <x:v>offen</x:v>
      </x:c>
      <x:c r="Y1339" t="str">
        <x:v>Agent-Draft; Kategorie und Person pruefen</x:v>
      </x:c>
    </x:row>
    <x:row r="1340">
      <x:c r="A1340" t="str">
        <x:v>TXN-RAW-IMP-20260516-FULLDRAFT-001324</x:v>
      </x:c>
      <x:c r="B1340" t="str">
        <x:v>RAW-IMP-20260516-FULLDRAFT-001324</x:v>
      </x:c>
      <x:c r="C1340" t="str">
        <x:v>KTO001</x:v>
      </x:c>
      <x:c r="D1340"/>
      <x:c r="E1340" t="str">
        <x:v>KAT013</x:v>
      </x:c>
      <x:c r="F1340"/>
      <x:c r="G1340"/>
      <x:c r="H1340" t="str">
        <x:v>kein_match</x:v>
      </x:c>
      <x:c r="I1340" t="str">
        <x:v>Agent-Draft: keine finale Regelentscheidung</x:v>
      </x:c>
      <x:c r="J1340" t="n">
        <x:v>45720</x:v>
      </x:c>
      <x:c r="K1340"/>
      <x:c r="L1340"/>
      <x:c r="M1340" t="n">
        <x:v>-8.99</x:v>
      </x:c>
      <x:c r="N1340" t="str">
        <x:v>2025-03</x:v>
      </x:c>
      <x:c r="O1340" t="str">
        <x:v>Ausgabe</x:v>
      </x:c>
      <x:c r="P1340" t="str">
        <x:v>Ist</x:v>
      </x:c>
      <x:c r="Q1340" s="59" t="b">
        <x:v>0</x:v>
      </x:c>
      <x:c r="R1340" t="str">
        <x:v>kein_transfer</x:v>
      </x:c>
      <x:c r="S1340"/>
      <x:c r="T1340"/>
      <x:c r="U1340"/>
      <x:c r="V1340" s="59" t="b">
        <x:v>1</x:v>
      </x:c>
      <x:c r="W1340"/>
      <x:c r="X1340" t="str">
        <x:v>offen</x:v>
      </x:c>
      <x:c r="Y1340" t="str">
        <x:v>Agent-Draft; Kategorie und Person pruefen</x:v>
      </x:c>
    </x:row>
    <x:row r="1341">
      <x:c r="A1341" t="str">
        <x:v>TXN-RAW-IMP-20260516-FULLDRAFT-001325</x:v>
      </x:c>
      <x:c r="B1341" t="str">
        <x:v>RAW-IMP-20260516-FULLDRAFT-001325</x:v>
      </x:c>
      <x:c r="C1341" t="str">
        <x:v>KTO001</x:v>
      </x:c>
      <x:c r="D1341"/>
      <x:c r="E1341" t="str">
        <x:v>KAT013</x:v>
      </x:c>
      <x:c r="F1341"/>
      <x:c r="G1341"/>
      <x:c r="H1341" t="str">
        <x:v>kein_match</x:v>
      </x:c>
      <x:c r="I1341" t="str">
        <x:v>Agent-Draft: keine finale Regelentscheidung</x:v>
      </x:c>
      <x:c r="J1341" t="n">
        <x:v>45719</x:v>
      </x:c>
      <x:c r="K1341"/>
      <x:c r="L1341"/>
      <x:c r="M1341" t="n">
        <x:v>-199.95</x:v>
      </x:c>
      <x:c r="N1341" t="str">
        <x:v>2025-03</x:v>
      </x:c>
      <x:c r="O1341" t="str">
        <x:v>Ausgabe</x:v>
      </x:c>
      <x:c r="P1341" t="str">
        <x:v>Ist</x:v>
      </x:c>
      <x:c r="Q1341" s="59" t="b">
        <x:v>0</x:v>
      </x:c>
      <x:c r="R1341" t="str">
        <x:v>kein_transfer</x:v>
      </x:c>
      <x:c r="S1341"/>
      <x:c r="T1341"/>
      <x:c r="U1341"/>
      <x:c r="V1341" s="59" t="b">
        <x:v>1</x:v>
      </x:c>
      <x:c r="W1341"/>
      <x:c r="X1341" t="str">
        <x:v>offen</x:v>
      </x:c>
      <x:c r="Y1341" t="str">
        <x:v>Agent-Draft; Kategorie und Person pruefen</x:v>
      </x:c>
    </x:row>
    <x:row r="1342">
      <x:c r="A1342" t="str">
        <x:v>TXN-RAW-IMP-20260516-FULLDRAFT-001326</x:v>
      </x:c>
      <x:c r="B1342" t="str">
        <x:v>RAW-IMP-20260516-FULLDRAFT-001326</x:v>
      </x:c>
      <x:c r="C1342" t="str">
        <x:v>KTO001</x:v>
      </x:c>
      <x:c r="D1342"/>
      <x:c r="E1342" t="str">
        <x:v>KAT013</x:v>
      </x:c>
      <x:c r="F1342"/>
      <x:c r="G1342"/>
      <x:c r="H1342" t="str">
        <x:v>kein_match</x:v>
      </x:c>
      <x:c r="I1342" t="str">
        <x:v>Agent-Draft: keine finale Regelentscheidung</x:v>
      </x:c>
      <x:c r="J1342" t="n">
        <x:v>45719</x:v>
      </x:c>
      <x:c r="K1342"/>
      <x:c r="L1342"/>
      <x:c r="M1342" t="n">
        <x:v>-6.64</x:v>
      </x:c>
      <x:c r="N1342" t="str">
        <x:v>2025-03</x:v>
      </x:c>
      <x:c r="O1342" t="str">
        <x:v>Ausgabe</x:v>
      </x:c>
      <x:c r="P1342" t="str">
        <x:v>Ist</x:v>
      </x:c>
      <x:c r="Q1342" s="59" t="b">
        <x:v>0</x:v>
      </x:c>
      <x:c r="R1342" t="str">
        <x:v>kein_transfer</x:v>
      </x:c>
      <x:c r="S1342"/>
      <x:c r="T1342"/>
      <x:c r="U1342"/>
      <x:c r="V1342" s="59" t="b">
        <x:v>1</x:v>
      </x:c>
      <x:c r="W1342"/>
      <x:c r="X1342" t="str">
        <x:v>offen</x:v>
      </x:c>
      <x:c r="Y1342" t="str">
        <x:v>Agent-Draft; Kategorie und Person pruefen</x:v>
      </x:c>
    </x:row>
    <x:row r="1343">
      <x:c r="A1343" t="str">
        <x:v>TXN-RAW-IMP-20260516-FULLDRAFT-001327</x:v>
      </x:c>
      <x:c r="B1343" t="str">
        <x:v>RAW-IMP-20260516-FULLDRAFT-001327</x:v>
      </x:c>
      <x:c r="C1343" t="str">
        <x:v>KTO001</x:v>
      </x:c>
      <x:c r="D1343"/>
      <x:c r="E1343" t="str">
        <x:v>KAT013</x:v>
      </x:c>
      <x:c r="F1343"/>
      <x:c r="G1343"/>
      <x:c r="H1343" t="str">
        <x:v>kein_match</x:v>
      </x:c>
      <x:c r="I1343" t="str">
        <x:v>Agent-Draft: keine finale Regelentscheidung</x:v>
      </x:c>
      <x:c r="J1343" t="n">
        <x:v>45719</x:v>
      </x:c>
      <x:c r="K1343"/>
      <x:c r="L1343"/>
      <x:c r="M1343" t="n">
        <x:v>750</x:v>
      </x:c>
      <x:c r="N1343" t="str">
        <x:v>2025-03</x:v>
      </x:c>
      <x:c r="O1343" t="str">
        <x:v>Einnahme</x:v>
      </x:c>
      <x:c r="P1343" t="str">
        <x:v>Ist</x:v>
      </x:c>
      <x:c r="Q1343" s="59" t="b">
        <x:v>0</x:v>
      </x:c>
      <x:c r="R1343" t="str">
        <x:v>kein_transfer</x:v>
      </x:c>
      <x:c r="S1343"/>
      <x:c r="T1343"/>
      <x:c r="U1343"/>
      <x:c r="V1343" s="59" t="b">
        <x:v>1</x:v>
      </x:c>
      <x:c r="W1343"/>
      <x:c r="X1343" t="str">
        <x:v>offen</x:v>
      </x:c>
      <x:c r="Y1343" t="str">
        <x:v>Agent-Draft; Kategorie und Person pruefen</x:v>
      </x:c>
    </x:row>
    <x:row r="1344">
      <x:c r="A1344" t="str">
        <x:v>TXN-RAW-IMP-20260516-FULLDRAFT-001328</x:v>
      </x:c>
      <x:c r="B1344" t="str">
        <x:v>RAW-IMP-20260516-FULLDRAFT-001328</x:v>
      </x:c>
      <x:c r="C1344" t="str">
        <x:v>KTO001</x:v>
      </x:c>
      <x:c r="D1344"/>
      <x:c r="E1344" t="str">
        <x:v>KAT013</x:v>
      </x:c>
      <x:c r="F1344"/>
      <x:c r="G1344"/>
      <x:c r="H1344" t="str">
        <x:v>kein_match</x:v>
      </x:c>
      <x:c r="I1344" t="str">
        <x:v>Agent-Draft: keine finale Regelentscheidung</x:v>
      </x:c>
      <x:c r="J1344" t="n">
        <x:v>45719</x:v>
      </x:c>
      <x:c r="K1344"/>
      <x:c r="L1344"/>
      <x:c r="M1344" t="n">
        <x:v>-109.53</x:v>
      </x:c>
      <x:c r="N1344" t="str">
        <x:v>2025-03</x:v>
      </x:c>
      <x:c r="O1344" t="str">
        <x:v>Ausgabe</x:v>
      </x:c>
      <x:c r="P1344" t="str">
        <x:v>Ist</x:v>
      </x:c>
      <x:c r="Q1344" s="59" t="b">
        <x:v>0</x:v>
      </x:c>
      <x:c r="R1344" t="str">
        <x:v>kein_transfer</x:v>
      </x:c>
      <x:c r="S1344"/>
      <x:c r="T1344"/>
      <x:c r="U1344"/>
      <x:c r="V1344" s="59" t="b">
        <x:v>1</x:v>
      </x:c>
      <x:c r="W1344"/>
      <x:c r="X1344" t="str">
        <x:v>offen</x:v>
      </x:c>
      <x:c r="Y1344" t="str">
        <x:v>Agent-Draft; Kategorie und Person pruefen</x:v>
      </x:c>
    </x:row>
    <x:row r="1345">
      <x:c r="A1345" t="str">
        <x:v>TXN-RAW-IMP-20260516-FULLDRAFT-001329</x:v>
      </x:c>
      <x:c r="B1345" t="str">
        <x:v>RAW-IMP-20260516-FULLDRAFT-001329</x:v>
      </x:c>
      <x:c r="C1345" t="str">
        <x:v>KTO001</x:v>
      </x:c>
      <x:c r="D1345"/>
      <x:c r="E1345" t="str">
        <x:v>KAT013</x:v>
      </x:c>
      <x:c r="F1345"/>
      <x:c r="G1345"/>
      <x:c r="H1345" t="str">
        <x:v>kein_match</x:v>
      </x:c>
      <x:c r="I1345" t="str">
        <x:v>Agent-Draft: keine finale Regelentscheidung</x:v>
      </x:c>
      <x:c r="J1345" t="n">
        <x:v>45719</x:v>
      </x:c>
      <x:c r="K1345"/>
      <x:c r="L1345"/>
      <x:c r="M1345" t="n">
        <x:v>-86.62</x:v>
      </x:c>
      <x:c r="N1345" t="str">
        <x:v>2025-03</x:v>
      </x:c>
      <x:c r="O1345" t="str">
        <x:v>Ausgabe</x:v>
      </x:c>
      <x:c r="P1345" t="str">
        <x:v>Ist</x:v>
      </x:c>
      <x:c r="Q1345" s="59" t="b">
        <x:v>0</x:v>
      </x:c>
      <x:c r="R1345" t="str">
        <x:v>kein_transfer</x:v>
      </x:c>
      <x:c r="S1345"/>
      <x:c r="T1345"/>
      <x:c r="U1345"/>
      <x:c r="V1345" s="59" t="b">
        <x:v>1</x:v>
      </x:c>
      <x:c r="W1345"/>
      <x:c r="X1345" t="str">
        <x:v>offen</x:v>
      </x:c>
      <x:c r="Y1345" t="str">
        <x:v>Agent-Draft; Kategorie und Person pruefen</x:v>
      </x:c>
    </x:row>
    <x:row r="1346">
      <x:c r="A1346" t="str">
        <x:v>TXN-RAW-IMP-20260516-FULLDRAFT-001330</x:v>
      </x:c>
      <x:c r="B1346" t="str">
        <x:v>RAW-IMP-20260516-FULLDRAFT-001330</x:v>
      </x:c>
      <x:c r="C1346" t="str">
        <x:v>KTO001</x:v>
      </x:c>
      <x:c r="D1346"/>
      <x:c r="E1346" t="str">
        <x:v>KAT013</x:v>
      </x:c>
      <x:c r="F1346"/>
      <x:c r="G1346"/>
      <x:c r="H1346" t="str">
        <x:v>kein_match</x:v>
      </x:c>
      <x:c r="I1346" t="str">
        <x:v>Agent-Draft: keine finale Regelentscheidung</x:v>
      </x:c>
      <x:c r="J1346" t="n">
        <x:v>45719</x:v>
      </x:c>
      <x:c r="K1346"/>
      <x:c r="L1346"/>
      <x:c r="M1346" t="n">
        <x:v>-500</x:v>
      </x:c>
      <x:c r="N1346" t="str">
        <x:v>2025-03</x:v>
      </x:c>
      <x:c r="O1346" t="str">
        <x:v>Ausgabe</x:v>
      </x:c>
      <x:c r="P1346" t="str">
        <x:v>Ist</x:v>
      </x:c>
      <x:c r="Q1346" s="59" t="b">
        <x:v>0</x:v>
      </x:c>
      <x:c r="R1346" t="str">
        <x:v>kein_transfer</x:v>
      </x:c>
      <x:c r="S1346"/>
      <x:c r="T1346"/>
      <x:c r="U1346"/>
      <x:c r="V1346" s="59" t="b">
        <x:v>1</x:v>
      </x:c>
      <x:c r="W1346"/>
      <x:c r="X1346" t="str">
        <x:v>offen</x:v>
      </x:c>
      <x:c r="Y1346" t="str">
        <x:v>Agent-Draft; Kategorie und Person pruefen</x:v>
      </x:c>
    </x:row>
    <x:row r="1347">
      <x:c r="A1347" t="str">
        <x:v>TXN-RAW-IMP-20260516-FULLDRAFT-001331</x:v>
      </x:c>
      <x:c r="B1347" t="str">
        <x:v>RAW-IMP-20260516-FULLDRAFT-001331</x:v>
      </x:c>
      <x:c r="C1347" t="str">
        <x:v>KTO001</x:v>
      </x:c>
      <x:c r="D1347"/>
      <x:c r="E1347" t="str">
        <x:v>KAT013</x:v>
      </x:c>
      <x:c r="F1347"/>
      <x:c r="G1347"/>
      <x:c r="H1347" t="str">
        <x:v>kein_match</x:v>
      </x:c>
      <x:c r="I1347" t="str">
        <x:v>Agent-Draft: keine finale Regelentscheidung</x:v>
      </x:c>
      <x:c r="J1347" t="n">
        <x:v>45719</x:v>
      </x:c>
      <x:c r="K1347"/>
      <x:c r="L1347"/>
      <x:c r="M1347" t="n">
        <x:v>-14.64</x:v>
      </x:c>
      <x:c r="N1347" t="str">
        <x:v>2025-03</x:v>
      </x:c>
      <x:c r="O1347" t="str">
        <x:v>Ausgabe</x:v>
      </x:c>
      <x:c r="P1347" t="str">
        <x:v>Ist</x:v>
      </x:c>
      <x:c r="Q1347" s="59" t="b">
        <x:v>0</x:v>
      </x:c>
      <x:c r="R1347" t="str">
        <x:v>kein_transfer</x:v>
      </x:c>
      <x:c r="S1347"/>
      <x:c r="T1347"/>
      <x:c r="U1347"/>
      <x:c r="V1347" s="59" t="b">
        <x:v>1</x:v>
      </x:c>
      <x:c r="W1347"/>
      <x:c r="X1347" t="str">
        <x:v>offen</x:v>
      </x:c>
      <x:c r="Y1347" t="str">
        <x:v>Agent-Draft; Kategorie und Person pruefen</x:v>
      </x:c>
    </x:row>
    <x:row r="1348">
      <x:c r="A1348" t="str">
        <x:v>TXN-RAW-IMP-20260516-FULLDRAFT-001332</x:v>
      </x:c>
      <x:c r="B1348" t="str">
        <x:v>RAW-IMP-20260516-FULLDRAFT-001332</x:v>
      </x:c>
      <x:c r="C1348" t="str">
        <x:v>KTO001</x:v>
      </x:c>
      <x:c r="D1348"/>
      <x:c r="E1348" t="str">
        <x:v>KAT013</x:v>
      </x:c>
      <x:c r="F1348"/>
      <x:c r="G1348"/>
      <x:c r="H1348" t="str">
        <x:v>kein_match</x:v>
      </x:c>
      <x:c r="I1348" t="str">
        <x:v>Agent-Draft: keine finale Regelentscheidung</x:v>
      </x:c>
      <x:c r="J1348" t="n">
        <x:v>45719</x:v>
      </x:c>
      <x:c r="K1348"/>
      <x:c r="L1348"/>
      <x:c r="M1348" t="n">
        <x:v>-452.71</x:v>
      </x:c>
      <x:c r="N1348" t="str">
        <x:v>2025-03</x:v>
      </x:c>
      <x:c r="O1348" t="str">
        <x:v>Ausgabe</x:v>
      </x:c>
      <x:c r="P1348" t="str">
        <x:v>Ist</x:v>
      </x:c>
      <x:c r="Q1348" s="59" t="b">
        <x:v>0</x:v>
      </x:c>
      <x:c r="R1348" t="str">
        <x:v>kein_transfer</x:v>
      </x:c>
      <x:c r="S1348"/>
      <x:c r="T1348"/>
      <x:c r="U1348"/>
      <x:c r="V1348" s="59" t="b">
        <x:v>1</x:v>
      </x:c>
      <x:c r="W1348"/>
      <x:c r="X1348" t="str">
        <x:v>offen</x:v>
      </x:c>
      <x:c r="Y1348" t="str">
        <x:v>Agent-Draft; Kategorie und Person pruefen</x:v>
      </x:c>
    </x:row>
    <x:row r="1349">
      <x:c r="A1349" t="str">
        <x:v>TXN-RAW-IMP-20260516-FULLDRAFT-001333</x:v>
      </x:c>
      <x:c r="B1349" t="str">
        <x:v>RAW-IMP-20260516-FULLDRAFT-001333</x:v>
      </x:c>
      <x:c r="C1349" t="str">
        <x:v>KTO001</x:v>
      </x:c>
      <x:c r="D1349"/>
      <x:c r="E1349" t="str">
        <x:v>KAT013</x:v>
      </x:c>
      <x:c r="F1349"/>
      <x:c r="G1349"/>
      <x:c r="H1349" t="str">
        <x:v>kein_match</x:v>
      </x:c>
      <x:c r="I1349" t="str">
        <x:v>Agent-Draft: keine finale Regelentscheidung</x:v>
      </x:c>
      <x:c r="J1349" t="n">
        <x:v>45719</x:v>
      </x:c>
      <x:c r="K1349"/>
      <x:c r="L1349"/>
      <x:c r="M1349" t="n">
        <x:v>-162.17</x:v>
      </x:c>
      <x:c r="N1349" t="str">
        <x:v>2025-03</x:v>
      </x:c>
      <x:c r="O1349" t="str">
        <x:v>Ausgabe</x:v>
      </x:c>
      <x:c r="P1349" t="str">
        <x:v>Ist</x:v>
      </x:c>
      <x:c r="Q1349" s="59" t="b">
        <x:v>0</x:v>
      </x:c>
      <x:c r="R1349" t="str">
        <x:v>kein_transfer</x:v>
      </x:c>
      <x:c r="S1349"/>
      <x:c r="T1349"/>
      <x:c r="U1349"/>
      <x:c r="V1349" s="59" t="b">
        <x:v>1</x:v>
      </x:c>
      <x:c r="W1349"/>
      <x:c r="X1349" t="str">
        <x:v>offen</x:v>
      </x:c>
      <x:c r="Y1349" t="str">
        <x:v>Agent-Draft; Kategorie und Person pruefen</x:v>
      </x:c>
    </x:row>
    <x:row r="1350">
      <x:c r="A1350" t="str">
        <x:v>TXN-RAW-IMP-20260516-FULLDRAFT-001334</x:v>
      </x:c>
      <x:c r="B1350" t="str">
        <x:v>RAW-IMP-20260516-FULLDRAFT-001334</x:v>
      </x:c>
      <x:c r="C1350" t="str">
        <x:v>KTO001</x:v>
      </x:c>
      <x:c r="D1350"/>
      <x:c r="E1350" t="str">
        <x:v>KAT013</x:v>
      </x:c>
      <x:c r="F1350"/>
      <x:c r="G1350"/>
      <x:c r="H1350" t="str">
        <x:v>kein_match</x:v>
      </x:c>
      <x:c r="I1350" t="str">
        <x:v>Agent-Draft: keine finale Regelentscheidung</x:v>
      </x:c>
      <x:c r="J1350" t="n">
        <x:v>45719</x:v>
      </x:c>
      <x:c r="K1350"/>
      <x:c r="L1350"/>
      <x:c r="M1350" t="n">
        <x:v>-68.46</x:v>
      </x:c>
      <x:c r="N1350" t="str">
        <x:v>2025-03</x:v>
      </x:c>
      <x:c r="O1350" t="str">
        <x:v>Ausgabe</x:v>
      </x:c>
      <x:c r="P1350" t="str">
        <x:v>Ist</x:v>
      </x:c>
      <x:c r="Q1350" s="59" t="b">
        <x:v>0</x:v>
      </x:c>
      <x:c r="R1350" t="str">
        <x:v>kein_transfer</x:v>
      </x:c>
      <x:c r="S1350"/>
      <x:c r="T1350"/>
      <x:c r="U1350"/>
      <x:c r="V1350" s="59" t="b">
        <x:v>1</x:v>
      </x:c>
      <x:c r="W1350"/>
      <x:c r="X1350" t="str">
        <x:v>offen</x:v>
      </x:c>
      <x:c r="Y1350" t="str">
        <x:v>Agent-Draft; Kategorie und Person pruefen</x:v>
      </x:c>
    </x:row>
    <x:row r="1351">
      <x:c r="A1351" t="str">
        <x:v>TXN-RAW-IMP-20260516-FULLDRAFT-001335</x:v>
      </x:c>
      <x:c r="B1351" t="str">
        <x:v>RAW-IMP-20260516-FULLDRAFT-001335</x:v>
      </x:c>
      <x:c r="C1351" t="str">
        <x:v>KTO001</x:v>
      </x:c>
      <x:c r="D1351"/>
      <x:c r="E1351" t="str">
        <x:v>KAT013</x:v>
      </x:c>
      <x:c r="F1351"/>
      <x:c r="G1351"/>
      <x:c r="H1351" t="str">
        <x:v>kein_match</x:v>
      </x:c>
      <x:c r="I1351" t="str">
        <x:v>Agent-Draft: keine finale Regelentscheidung</x:v>
      </x:c>
      <x:c r="J1351" t="n">
        <x:v>45719</x:v>
      </x:c>
      <x:c r="K1351"/>
      <x:c r="L1351"/>
      <x:c r="M1351" t="n">
        <x:v>-600</x:v>
      </x:c>
      <x:c r="N1351" t="str">
        <x:v>2025-03</x:v>
      </x:c>
      <x:c r="O1351" t="str">
        <x:v>Ausgabe</x:v>
      </x:c>
      <x:c r="P1351" t="str">
        <x:v>Ist</x:v>
      </x:c>
      <x:c r="Q1351" s="59" t="b">
        <x:v>0</x:v>
      </x:c>
      <x:c r="R1351" t="str">
        <x:v>kein_transfer</x:v>
      </x:c>
      <x:c r="S1351"/>
      <x:c r="T1351"/>
      <x:c r="U1351"/>
      <x:c r="V1351" s="59" t="b">
        <x:v>1</x:v>
      </x:c>
      <x:c r="W1351"/>
      <x:c r="X1351" t="str">
        <x:v>offen</x:v>
      </x:c>
      <x:c r="Y1351" t="str">
        <x:v>Agent-Draft; Kategorie und Person pruefen</x:v>
      </x:c>
    </x:row>
    <x:row r="1352">
      <x:c r="A1352" t="str">
        <x:v>TXN-RAW-IMP-20260516-FULLDRAFT-001336</x:v>
      </x:c>
      <x:c r="B1352" t="str">
        <x:v>RAW-IMP-20260516-FULLDRAFT-001336</x:v>
      </x:c>
      <x:c r="C1352" t="str">
        <x:v>KTO001</x:v>
      </x:c>
      <x:c r="D1352"/>
      <x:c r="E1352" t="str">
        <x:v>KAT013</x:v>
      </x:c>
      <x:c r="F1352"/>
      <x:c r="G1352"/>
      <x:c r="H1352" t="str">
        <x:v>kein_match</x:v>
      </x:c>
      <x:c r="I1352" t="str">
        <x:v>Agent-Draft: keine finale Regelentscheidung</x:v>
      </x:c>
      <x:c r="J1352" t="n">
        <x:v>45719</x:v>
      </x:c>
      <x:c r="K1352"/>
      <x:c r="L1352"/>
      <x:c r="M1352" t="n">
        <x:v>-97.12</x:v>
      </x:c>
      <x:c r="N1352" t="str">
        <x:v>2025-03</x:v>
      </x:c>
      <x:c r="O1352" t="str">
        <x:v>Ausgabe</x:v>
      </x:c>
      <x:c r="P1352" t="str">
        <x:v>Ist</x:v>
      </x:c>
      <x:c r="Q1352" s="59" t="b">
        <x:v>0</x:v>
      </x:c>
      <x:c r="R1352" t="str">
        <x:v>kein_transfer</x:v>
      </x:c>
      <x:c r="S1352"/>
      <x:c r="T1352"/>
      <x:c r="U1352"/>
      <x:c r="V1352" s="59" t="b">
        <x:v>1</x:v>
      </x:c>
      <x:c r="W1352"/>
      <x:c r="X1352" t="str">
        <x:v>offen</x:v>
      </x:c>
      <x:c r="Y1352" t="str">
        <x:v>Agent-Draft; Kategorie und Person pruefen</x:v>
      </x:c>
    </x:row>
    <x:row r="1353">
      <x:c r="A1353" t="str">
        <x:v>TXN-RAW-IMP-20260516-FULLDRAFT-001337</x:v>
      </x:c>
      <x:c r="B1353" t="str">
        <x:v>RAW-IMP-20260516-FULLDRAFT-001337</x:v>
      </x:c>
      <x:c r="C1353" t="str">
        <x:v>KTO001</x:v>
      </x:c>
      <x:c r="D1353"/>
      <x:c r="E1353" t="str">
        <x:v>KAT013</x:v>
      </x:c>
      <x:c r="F1353"/>
      <x:c r="G1353"/>
      <x:c r="H1353" t="str">
        <x:v>kein_match</x:v>
      </x:c>
      <x:c r="I1353" t="str">
        <x:v>Agent-Draft: keine finale Regelentscheidung</x:v>
      </x:c>
      <x:c r="J1353" t="n">
        <x:v>45719</x:v>
      </x:c>
      <x:c r="K1353"/>
      <x:c r="L1353"/>
      <x:c r="M1353" t="n">
        <x:v>-1800</x:v>
      </x:c>
      <x:c r="N1353" t="str">
        <x:v>2025-03</x:v>
      </x:c>
      <x:c r="O1353" t="str">
        <x:v>Ausgabe</x:v>
      </x:c>
      <x:c r="P1353" t="str">
        <x:v>Ist</x:v>
      </x:c>
      <x:c r="Q1353" s="59" t="b">
        <x:v>0</x:v>
      </x:c>
      <x:c r="R1353" t="str">
        <x:v>kein_transfer</x:v>
      </x:c>
      <x:c r="S1353"/>
      <x:c r="T1353"/>
      <x:c r="U1353"/>
      <x:c r="V1353" s="59" t="b">
        <x:v>1</x:v>
      </x:c>
      <x:c r="W1353"/>
      <x:c r="X1353" t="str">
        <x:v>offen</x:v>
      </x:c>
      <x:c r="Y1353" t="str">
        <x:v>Agent-Draft; Kategorie und Person pruefen</x:v>
      </x:c>
    </x:row>
    <x:row r="1354">
      <x:c r="A1354" t="str">
        <x:v>TXN-RAW-IMP-20260516-FULLDRAFT-001338</x:v>
      </x:c>
      <x:c r="B1354" t="str">
        <x:v>RAW-IMP-20260516-FULLDRAFT-001338</x:v>
      </x:c>
      <x:c r="C1354" t="str">
        <x:v>KTO001</x:v>
      </x:c>
      <x:c r="D1354"/>
      <x:c r="E1354" t="str">
        <x:v>KAT013</x:v>
      </x:c>
      <x:c r="F1354"/>
      <x:c r="G1354"/>
      <x:c r="H1354" t="str">
        <x:v>kein_match</x:v>
      </x:c>
      <x:c r="I1354" t="str">
        <x:v>Agent-Draft: keine finale Regelentscheidung</x:v>
      </x:c>
      <x:c r="J1354" t="n">
        <x:v>45719</x:v>
      </x:c>
      <x:c r="K1354"/>
      <x:c r="L1354"/>
      <x:c r="M1354" t="n">
        <x:v>-1400</x:v>
      </x:c>
      <x:c r="N1354" t="str">
        <x:v>2025-03</x:v>
      </x:c>
      <x:c r="O1354" t="str">
        <x:v>Ausgabe</x:v>
      </x:c>
      <x:c r="P1354" t="str">
        <x:v>Ist</x:v>
      </x:c>
      <x:c r="Q1354" s="59" t="b">
        <x:v>0</x:v>
      </x:c>
      <x:c r="R1354" t="str">
        <x:v>kein_transfer</x:v>
      </x:c>
      <x:c r="S1354"/>
      <x:c r="T1354"/>
      <x:c r="U1354"/>
      <x:c r="V1354" s="59" t="b">
        <x:v>1</x:v>
      </x:c>
      <x:c r="W1354"/>
      <x:c r="X1354" t="str">
        <x:v>offen</x:v>
      </x:c>
      <x:c r="Y1354" t="str">
        <x:v>Agent-Draft; Kategorie und Person pruefen</x:v>
      </x:c>
    </x:row>
    <x:row r="1355">
      <x:c r="A1355" t="str">
        <x:v>TXN-RAW-IMP-20260516-FULLDRAFT-001339</x:v>
      </x:c>
      <x:c r="B1355" t="str">
        <x:v>RAW-IMP-20260516-FULLDRAFT-001339</x:v>
      </x:c>
      <x:c r="C1355" t="str">
        <x:v>KTO001</x:v>
      </x:c>
      <x:c r="D1355"/>
      <x:c r="E1355" t="str">
        <x:v>KAT013</x:v>
      </x:c>
      <x:c r="F1355"/>
      <x:c r="G1355"/>
      <x:c r="H1355" t="str">
        <x:v>kein_match</x:v>
      </x:c>
      <x:c r="I1355" t="str">
        <x:v>Agent-Draft: keine finale Regelentscheidung</x:v>
      </x:c>
      <x:c r="J1355" t="n">
        <x:v>45716</x:v>
      </x:c>
      <x:c r="K1355"/>
      <x:c r="L1355"/>
      <x:c r="M1355" t="n">
        <x:v>-7.25</x:v>
      </x:c>
      <x:c r="N1355" t="str">
        <x:v>2025-02</x:v>
      </x:c>
      <x:c r="O1355" t="str">
        <x:v>Ausgabe</x:v>
      </x:c>
      <x:c r="P1355" t="str">
        <x:v>Ist</x:v>
      </x:c>
      <x:c r="Q1355" s="59" t="b">
        <x:v>0</x:v>
      </x:c>
      <x:c r="R1355" t="str">
        <x:v>kein_transfer</x:v>
      </x:c>
      <x:c r="S1355"/>
      <x:c r="T1355"/>
      <x:c r="U1355"/>
      <x:c r="V1355" s="59" t="b">
        <x:v>1</x:v>
      </x:c>
      <x:c r="W1355"/>
      <x:c r="X1355" t="str">
        <x:v>offen</x:v>
      </x:c>
      <x:c r="Y1355" t="str">
        <x:v>Agent-Draft; Kategorie und Person pruefen</x:v>
      </x:c>
    </x:row>
    <x:row r="1356">
      <x:c r="A1356" t="str">
        <x:v>TXN-RAW-IMP-20260516-FULLDRAFT-001340</x:v>
      </x:c>
      <x:c r="B1356" t="str">
        <x:v>RAW-IMP-20260516-FULLDRAFT-001340</x:v>
      </x:c>
      <x:c r="C1356" t="str">
        <x:v>KTO001</x:v>
      </x:c>
      <x:c r="D1356"/>
      <x:c r="E1356" t="str">
        <x:v>KAT013</x:v>
      </x:c>
      <x:c r="F1356"/>
      <x:c r="G1356"/>
      <x:c r="H1356" t="str">
        <x:v>kein_match</x:v>
      </x:c>
      <x:c r="I1356" t="str">
        <x:v>Agent-Draft: keine finale Regelentscheidung</x:v>
      </x:c>
      <x:c r="J1356" t="n">
        <x:v>45716</x:v>
      </x:c>
      <x:c r="K1356"/>
      <x:c r="L1356"/>
      <x:c r="M1356" t="n">
        <x:v>-1153.94</x:v>
      </x:c>
      <x:c r="N1356" t="str">
        <x:v>2025-02</x:v>
      </x:c>
      <x:c r="O1356" t="str">
        <x:v>Ausgabe</x:v>
      </x:c>
      <x:c r="P1356" t="str">
        <x:v>Ist</x:v>
      </x:c>
      <x:c r="Q1356" s="59" t="b">
        <x:v>0</x:v>
      </x:c>
      <x:c r="R1356" t="str">
        <x:v>kein_transfer</x:v>
      </x:c>
      <x:c r="S1356"/>
      <x:c r="T1356"/>
      <x:c r="U1356"/>
      <x:c r="V1356" s="59" t="b">
        <x:v>1</x:v>
      </x:c>
      <x:c r="W1356"/>
      <x:c r="X1356" t="str">
        <x:v>offen</x:v>
      </x:c>
      <x:c r="Y1356" t="str">
        <x:v>Agent-Draft; Kategorie und Person pruefen</x:v>
      </x:c>
    </x:row>
    <x:row r="1357">
      <x:c r="A1357" t="str">
        <x:v>TXN-RAW-IMP-20260516-FULLDRAFT-001341</x:v>
      </x:c>
      <x:c r="B1357" t="str">
        <x:v>RAW-IMP-20260516-FULLDRAFT-001341</x:v>
      </x:c>
      <x:c r="C1357" t="str">
        <x:v>KTO001</x:v>
      </x:c>
      <x:c r="D1357"/>
      <x:c r="E1357" t="str">
        <x:v>KAT013</x:v>
      </x:c>
      <x:c r="F1357"/>
      <x:c r="G1357"/>
      <x:c r="H1357" t="str">
        <x:v>kein_match</x:v>
      </x:c>
      <x:c r="I1357" t="str">
        <x:v>Agent-Draft: keine finale Regelentscheidung</x:v>
      </x:c>
      <x:c r="J1357" t="n">
        <x:v>45716</x:v>
      </x:c>
      <x:c r="K1357"/>
      <x:c r="L1357"/>
      <x:c r="M1357" t="n">
        <x:v>-10</x:v>
      </x:c>
      <x:c r="N1357" t="str">
        <x:v>2025-02</x:v>
      </x:c>
      <x:c r="O1357" t="str">
        <x:v>Ausgabe</x:v>
      </x:c>
      <x:c r="P1357" t="str">
        <x:v>Ist</x:v>
      </x:c>
      <x:c r="Q1357" s="59" t="b">
        <x:v>0</x:v>
      </x:c>
      <x:c r="R1357" t="str">
        <x:v>kein_transfer</x:v>
      </x:c>
      <x:c r="S1357"/>
      <x:c r="T1357"/>
      <x:c r="U1357"/>
      <x:c r="V1357" s="59" t="b">
        <x:v>1</x:v>
      </x:c>
      <x:c r="W1357"/>
      <x:c r="X1357" t="str">
        <x:v>offen</x:v>
      </x:c>
      <x:c r="Y1357" t="str">
        <x:v>Agent-Draft; Kategorie und Person pruefen</x:v>
      </x:c>
    </x:row>
    <x:row r="1358">
      <x:c r="A1358" t="str">
        <x:v>TXN-RAW-IMP-20260516-FULLDRAFT-001342</x:v>
      </x:c>
      <x:c r="B1358" t="str">
        <x:v>RAW-IMP-20260516-FULLDRAFT-001342</x:v>
      </x:c>
      <x:c r="C1358" t="str">
        <x:v>KTO001</x:v>
      </x:c>
      <x:c r="D1358"/>
      <x:c r="E1358" t="str">
        <x:v>KAT013</x:v>
      </x:c>
      <x:c r="F1358"/>
      <x:c r="G1358"/>
      <x:c r="H1358" t="str">
        <x:v>kein_match</x:v>
      </x:c>
      <x:c r="I1358" t="str">
        <x:v>Agent-Draft: keine finale Regelentscheidung</x:v>
      </x:c>
      <x:c r="J1358" t="n">
        <x:v>45716</x:v>
      </x:c>
      <x:c r="K1358"/>
      <x:c r="L1358"/>
      <x:c r="M1358" t="n">
        <x:v>-393</x:v>
      </x:c>
      <x:c r="N1358" t="str">
        <x:v>2025-02</x:v>
      </x:c>
      <x:c r="O1358" t="str">
        <x:v>Ausgabe</x:v>
      </x:c>
      <x:c r="P1358" t="str">
        <x:v>Ist</x:v>
      </x:c>
      <x:c r="Q1358" s="59" t="b">
        <x:v>0</x:v>
      </x:c>
      <x:c r="R1358" t="str">
        <x:v>kein_transfer</x:v>
      </x:c>
      <x:c r="S1358"/>
      <x:c r="T1358"/>
      <x:c r="U1358"/>
      <x:c r="V1358" s="59" t="b">
        <x:v>1</x:v>
      </x:c>
      <x:c r="W1358"/>
      <x:c r="X1358" t="str">
        <x:v>offen</x:v>
      </x:c>
      <x:c r="Y1358" t="str">
        <x:v>Agent-Draft; Kategorie und Person pruefen</x:v>
      </x:c>
    </x:row>
    <x:row r="1359">
      <x:c r="A1359" t="str">
        <x:v>TXN-RAW-IMP-20260516-FULLDRAFT-001343</x:v>
      </x:c>
      <x:c r="B1359" t="str">
        <x:v>RAW-IMP-20260516-FULLDRAFT-001343</x:v>
      </x:c>
      <x:c r="C1359" t="str">
        <x:v>KTO001</x:v>
      </x:c>
      <x:c r="D1359"/>
      <x:c r="E1359" t="str">
        <x:v>KAT013</x:v>
      </x:c>
      <x:c r="F1359"/>
      <x:c r="G1359"/>
      <x:c r="H1359" t="str">
        <x:v>kein_match</x:v>
      </x:c>
      <x:c r="I1359" t="str">
        <x:v>Agent-Draft: keine finale Regelentscheidung</x:v>
      </x:c>
      <x:c r="J1359" t="n">
        <x:v>45715</x:v>
      </x:c>
      <x:c r="K1359"/>
      <x:c r="L1359"/>
      <x:c r="M1359" t="n">
        <x:v>7426.51</x:v>
      </x:c>
      <x:c r="N1359" t="str">
        <x:v>2025-02</x:v>
      </x:c>
      <x:c r="O1359" t="str">
        <x:v>Einnahme</x:v>
      </x:c>
      <x:c r="P1359" t="str">
        <x:v>Ist</x:v>
      </x:c>
      <x:c r="Q1359" s="59" t="b">
        <x:v>0</x:v>
      </x:c>
      <x:c r="R1359" t="str">
        <x:v>kein_transfer</x:v>
      </x:c>
      <x:c r="S1359"/>
      <x:c r="T1359"/>
      <x:c r="U1359"/>
      <x:c r="V1359" s="59" t="b">
        <x:v>1</x:v>
      </x:c>
      <x:c r="W1359"/>
      <x:c r="X1359" t="str">
        <x:v>offen</x:v>
      </x:c>
      <x:c r="Y1359" t="str">
        <x:v>Agent-Draft; Kategorie und Person pruefen</x:v>
      </x:c>
    </x:row>
    <x:row r="1360">
      <x:c r="A1360" t="str">
        <x:v>TXN-RAW-IMP-20260516-FULLDRAFT-001344</x:v>
      </x:c>
      <x:c r="B1360" t="str">
        <x:v>RAW-IMP-20260516-FULLDRAFT-001344</x:v>
      </x:c>
      <x:c r="C1360" t="str">
        <x:v>KTO001</x:v>
      </x:c>
      <x:c r="D1360"/>
      <x:c r="E1360" t="str">
        <x:v>KAT013</x:v>
      </x:c>
      <x:c r="F1360"/>
      <x:c r="G1360"/>
      <x:c r="H1360" t="str">
        <x:v>kein_match</x:v>
      </x:c>
      <x:c r="I1360" t="str">
        <x:v>Agent-Draft: keine finale Regelentscheidung</x:v>
      </x:c>
      <x:c r="J1360" t="n">
        <x:v>45713</x:v>
      </x:c>
      <x:c r="K1360"/>
      <x:c r="L1360"/>
      <x:c r="M1360" t="n">
        <x:v>-5.9</x:v>
      </x:c>
      <x:c r="N1360" t="str">
        <x:v>2025-02</x:v>
      </x:c>
      <x:c r="O1360" t="str">
        <x:v>Ausgabe</x:v>
      </x:c>
      <x:c r="P1360" t="str">
        <x:v>Ist</x:v>
      </x:c>
      <x:c r="Q1360" s="59" t="b">
        <x:v>0</x:v>
      </x:c>
      <x:c r="R1360" t="str">
        <x:v>kein_transfer</x:v>
      </x:c>
      <x:c r="S1360"/>
      <x:c r="T1360"/>
      <x:c r="U1360"/>
      <x:c r="V1360" s="59" t="b">
        <x:v>1</x:v>
      </x:c>
      <x:c r="W1360"/>
      <x:c r="X1360" t="str">
        <x:v>offen</x:v>
      </x:c>
      <x:c r="Y1360" t="str">
        <x:v>Agent-Draft; Kategorie und Person pruefen</x:v>
      </x:c>
    </x:row>
    <x:row r="1361">
      <x:c r="A1361" t="str">
        <x:v>TXN-RAW-IMP-20260516-FULLDRAFT-001345</x:v>
      </x:c>
      <x:c r="B1361" t="str">
        <x:v>RAW-IMP-20260516-FULLDRAFT-001345</x:v>
      </x:c>
      <x:c r="C1361" t="str">
        <x:v>KTO001</x:v>
      </x:c>
      <x:c r="D1361"/>
      <x:c r="E1361" t="str">
        <x:v>KAT013</x:v>
      </x:c>
      <x:c r="F1361"/>
      <x:c r="G1361"/>
      <x:c r="H1361" t="str">
        <x:v>kein_match</x:v>
      </x:c>
      <x:c r="I1361" t="str">
        <x:v>Agent-Draft: keine finale Regelentscheidung</x:v>
      </x:c>
      <x:c r="J1361" t="n">
        <x:v>45713</x:v>
      </x:c>
      <x:c r="K1361"/>
      <x:c r="L1361"/>
      <x:c r="M1361" t="n">
        <x:v>-50</x:v>
      </x:c>
      <x:c r="N1361" t="str">
        <x:v>2025-02</x:v>
      </x:c>
      <x:c r="O1361" t="str">
        <x:v>Ausgabe</x:v>
      </x:c>
      <x:c r="P1361" t="str">
        <x:v>Ist</x:v>
      </x:c>
      <x:c r="Q1361" s="59" t="b">
        <x:v>0</x:v>
      </x:c>
      <x:c r="R1361" t="str">
        <x:v>kein_transfer</x:v>
      </x:c>
      <x:c r="S1361"/>
      <x:c r="T1361"/>
      <x:c r="U1361"/>
      <x:c r="V1361" s="59" t="b">
        <x:v>1</x:v>
      </x:c>
      <x:c r="W1361"/>
      <x:c r="X1361" t="str">
        <x:v>offen</x:v>
      </x:c>
      <x:c r="Y1361" t="str">
        <x:v>Agent-Draft; Kategorie und Person pruefen</x:v>
      </x:c>
    </x:row>
    <x:row r="1362">
      <x:c r="A1362" t="str">
        <x:v>TXN-RAW-IMP-20260516-FULLDRAFT-001346</x:v>
      </x:c>
      <x:c r="B1362" t="str">
        <x:v>RAW-IMP-20260516-FULLDRAFT-001346</x:v>
      </x:c>
      <x:c r="C1362" t="str">
        <x:v>KTO001</x:v>
      </x:c>
      <x:c r="D1362"/>
      <x:c r="E1362" t="str">
        <x:v>KAT013</x:v>
      </x:c>
      <x:c r="F1362"/>
      <x:c r="G1362"/>
      <x:c r="H1362" t="str">
        <x:v>kein_match</x:v>
      </x:c>
      <x:c r="I1362" t="str">
        <x:v>Agent-Draft: keine finale Regelentscheidung</x:v>
      </x:c>
      <x:c r="J1362" t="n">
        <x:v>45712</x:v>
      </x:c>
      <x:c r="K1362"/>
      <x:c r="L1362"/>
      <x:c r="M1362" t="n">
        <x:v>-399</x:v>
      </x:c>
      <x:c r="N1362" t="str">
        <x:v>2025-02</x:v>
      </x:c>
      <x:c r="O1362" t="str">
        <x:v>Ausgabe</x:v>
      </x:c>
      <x:c r="P1362" t="str">
        <x:v>Ist</x:v>
      </x:c>
      <x:c r="Q1362" s="59" t="b">
        <x:v>0</x:v>
      </x:c>
      <x:c r="R1362" t="str">
        <x:v>kein_transfer</x:v>
      </x:c>
      <x:c r="S1362"/>
      <x:c r="T1362"/>
      <x:c r="U1362"/>
      <x:c r="V1362" s="59" t="b">
        <x:v>1</x:v>
      </x:c>
      <x:c r="W1362"/>
      <x:c r="X1362" t="str">
        <x:v>offen</x:v>
      </x:c>
      <x:c r="Y1362" t="str">
        <x:v>Agent-Draft; Kategorie und Person pruefen</x:v>
      </x:c>
    </x:row>
    <x:row r="1363">
      <x:c r="A1363" t="str">
        <x:v>TXN-RAW-IMP-20260516-FULLDRAFT-001347</x:v>
      </x:c>
      <x:c r="B1363" t="str">
        <x:v>RAW-IMP-20260516-FULLDRAFT-001347</x:v>
      </x:c>
      <x:c r="C1363" t="str">
        <x:v>KTO001</x:v>
      </x:c>
      <x:c r="D1363"/>
      <x:c r="E1363" t="str">
        <x:v>KAT013</x:v>
      </x:c>
      <x:c r="F1363"/>
      <x:c r="G1363"/>
      <x:c r="H1363" t="str">
        <x:v>kein_match</x:v>
      </x:c>
      <x:c r="I1363" t="str">
        <x:v>Agent-Draft: keine finale Regelentscheidung</x:v>
      </x:c>
      <x:c r="J1363" t="n">
        <x:v>45712</x:v>
      </x:c>
      <x:c r="K1363"/>
      <x:c r="L1363"/>
      <x:c r="M1363" t="n">
        <x:v>-80</x:v>
      </x:c>
      <x:c r="N1363" t="str">
        <x:v>2025-02</x:v>
      </x:c>
      <x:c r="O1363" t="str">
        <x:v>Ausgabe</x:v>
      </x:c>
      <x:c r="P1363" t="str">
        <x:v>Ist</x:v>
      </x:c>
      <x:c r="Q1363" s="59" t="b">
        <x:v>0</x:v>
      </x:c>
      <x:c r="R1363" t="str">
        <x:v>kein_transfer</x:v>
      </x:c>
      <x:c r="S1363"/>
      <x:c r="T1363"/>
      <x:c r="U1363"/>
      <x:c r="V1363" s="59" t="b">
        <x:v>1</x:v>
      </x:c>
      <x:c r="W1363"/>
      <x:c r="X1363" t="str">
        <x:v>offen</x:v>
      </x:c>
      <x:c r="Y1363" t="str">
        <x:v>Agent-Draft; Kategorie und Person pruefen</x:v>
      </x:c>
    </x:row>
    <x:row r="1364">
      <x:c r="A1364" t="str">
        <x:v>TXN-RAW-IMP-20260516-FULLDRAFT-001348</x:v>
      </x:c>
      <x:c r="B1364" t="str">
        <x:v>RAW-IMP-20260516-FULLDRAFT-001348</x:v>
      </x:c>
      <x:c r="C1364" t="str">
        <x:v>KTO001</x:v>
      </x:c>
      <x:c r="D1364"/>
      <x:c r="E1364" t="str">
        <x:v>KAT013</x:v>
      </x:c>
      <x:c r="F1364"/>
      <x:c r="G1364"/>
      <x:c r="H1364" t="str">
        <x:v>kein_match</x:v>
      </x:c>
      <x:c r="I1364" t="str">
        <x:v>Agent-Draft: keine finale Regelentscheidung</x:v>
      </x:c>
      <x:c r="J1364" t="n">
        <x:v>45712</x:v>
      </x:c>
      <x:c r="K1364"/>
      <x:c r="L1364"/>
      <x:c r="M1364" t="n">
        <x:v>-43.42</x:v>
      </x:c>
      <x:c r="N1364" t="str">
        <x:v>2025-02</x:v>
      </x:c>
      <x:c r="O1364" t="str">
        <x:v>Ausgabe</x:v>
      </x:c>
      <x:c r="P1364" t="str">
        <x:v>Ist</x:v>
      </x:c>
      <x:c r="Q1364" s="59" t="b">
        <x:v>0</x:v>
      </x:c>
      <x:c r="R1364" t="str">
        <x:v>kein_transfer</x:v>
      </x:c>
      <x:c r="S1364"/>
      <x:c r="T1364"/>
      <x:c r="U1364"/>
      <x:c r="V1364" s="59" t="b">
        <x:v>1</x:v>
      </x:c>
      <x:c r="W1364"/>
      <x:c r="X1364" t="str">
        <x:v>offen</x:v>
      </x:c>
      <x:c r="Y1364" t="str">
        <x:v>Agent-Draft; Kategorie und Person pruefen</x:v>
      </x:c>
    </x:row>
    <x:row r="1365">
      <x:c r="A1365" t="str">
        <x:v>TXN-RAW-IMP-20260516-FULLDRAFT-001349</x:v>
      </x:c>
      <x:c r="B1365" t="str">
        <x:v>RAW-IMP-20260516-FULLDRAFT-001349</x:v>
      </x:c>
      <x:c r="C1365" t="str">
        <x:v>KTO001</x:v>
      </x:c>
      <x:c r="D1365"/>
      <x:c r="E1365" t="str">
        <x:v>KAT013</x:v>
      </x:c>
      <x:c r="F1365"/>
      <x:c r="G1365"/>
      <x:c r="H1365" t="str">
        <x:v>kein_match</x:v>
      </x:c>
      <x:c r="I1365" t="str">
        <x:v>Agent-Draft: keine finale Regelentscheidung</x:v>
      </x:c>
      <x:c r="J1365" t="n">
        <x:v>45712</x:v>
      </x:c>
      <x:c r="K1365"/>
      <x:c r="L1365"/>
      <x:c r="M1365" t="n">
        <x:v>-6.06</x:v>
      </x:c>
      <x:c r="N1365" t="str">
        <x:v>2025-02</x:v>
      </x:c>
      <x:c r="O1365" t="str">
        <x:v>Ausgabe</x:v>
      </x:c>
      <x:c r="P1365" t="str">
        <x:v>Ist</x:v>
      </x:c>
      <x:c r="Q1365" s="59" t="b">
        <x:v>0</x:v>
      </x:c>
      <x:c r="R1365" t="str">
        <x:v>kein_transfer</x:v>
      </x:c>
      <x:c r="S1365"/>
      <x:c r="T1365"/>
      <x:c r="U1365"/>
      <x:c r="V1365" s="59" t="b">
        <x:v>1</x:v>
      </x:c>
      <x:c r="W1365"/>
      <x:c r="X1365" t="str">
        <x:v>offen</x:v>
      </x:c>
      <x:c r="Y1365" t="str">
        <x:v>Agent-Draft; Kategorie und Person pruefen</x:v>
      </x:c>
    </x:row>
    <x:row r="1366">
      <x:c r="A1366" t="str">
        <x:v>TXN-RAW-IMP-20260516-FULLDRAFT-001350</x:v>
      </x:c>
      <x:c r="B1366" t="str">
        <x:v>RAW-IMP-20260516-FULLDRAFT-001350</x:v>
      </x:c>
      <x:c r="C1366" t="str">
        <x:v>KTO001</x:v>
      </x:c>
      <x:c r="D1366"/>
      <x:c r="E1366" t="str">
        <x:v>KAT013</x:v>
      </x:c>
      <x:c r="F1366"/>
      <x:c r="G1366"/>
      <x:c r="H1366" t="str">
        <x:v>kein_match</x:v>
      </x:c>
      <x:c r="I1366" t="str">
        <x:v>Agent-Draft: keine finale Regelentscheidung</x:v>
      </x:c>
      <x:c r="J1366" t="n">
        <x:v>45712</x:v>
      </x:c>
      <x:c r="K1366"/>
      <x:c r="L1366"/>
      <x:c r="M1366" t="n">
        <x:v>-15.6</x:v>
      </x:c>
      <x:c r="N1366" t="str">
        <x:v>2025-02</x:v>
      </x:c>
      <x:c r="O1366" t="str">
        <x:v>Ausgabe</x:v>
      </x:c>
      <x:c r="P1366" t="str">
        <x:v>Ist</x:v>
      </x:c>
      <x:c r="Q1366" s="59" t="b">
        <x:v>0</x:v>
      </x:c>
      <x:c r="R1366" t="str">
        <x:v>kein_transfer</x:v>
      </x:c>
      <x:c r="S1366"/>
      <x:c r="T1366"/>
      <x:c r="U1366"/>
      <x:c r="V1366" s="59" t="b">
        <x:v>1</x:v>
      </x:c>
      <x:c r="W1366"/>
      <x:c r="X1366" t="str">
        <x:v>offen</x:v>
      </x:c>
      <x:c r="Y1366" t="str">
        <x:v>Agent-Draft; Kategorie und Person pruefen</x:v>
      </x:c>
    </x:row>
    <x:row r="1367">
      <x:c r="A1367" t="str">
        <x:v>TXN-RAW-IMP-20260516-FULLDRAFT-001351</x:v>
      </x:c>
      <x:c r="B1367" t="str">
        <x:v>RAW-IMP-20260516-FULLDRAFT-001351</x:v>
      </x:c>
      <x:c r="C1367" t="str">
        <x:v>KTO001</x:v>
      </x:c>
      <x:c r="D1367"/>
      <x:c r="E1367" t="str">
        <x:v>KAT013</x:v>
      </x:c>
      <x:c r="F1367"/>
      <x:c r="G1367"/>
      <x:c r="H1367" t="str">
        <x:v>kein_match</x:v>
      </x:c>
      <x:c r="I1367" t="str">
        <x:v>Agent-Draft: keine finale Regelentscheidung</x:v>
      </x:c>
      <x:c r="J1367" t="n">
        <x:v>45712</x:v>
      </x:c>
      <x:c r="K1367"/>
      <x:c r="L1367"/>
      <x:c r="M1367" t="n">
        <x:v>-2.99</x:v>
      </x:c>
      <x:c r="N1367" t="str">
        <x:v>2025-02</x:v>
      </x:c>
      <x:c r="O1367" t="str">
        <x:v>Ausgabe</x:v>
      </x:c>
      <x:c r="P1367" t="str">
        <x:v>Ist</x:v>
      </x:c>
      <x:c r="Q1367" s="59" t="b">
        <x:v>0</x:v>
      </x:c>
      <x:c r="R1367" t="str">
        <x:v>kein_transfer</x:v>
      </x:c>
      <x:c r="S1367"/>
      <x:c r="T1367"/>
      <x:c r="U1367"/>
      <x:c r="V1367" s="59" t="b">
        <x:v>1</x:v>
      </x:c>
      <x:c r="W1367"/>
      <x:c r="X1367" t="str">
        <x:v>offen</x:v>
      </x:c>
      <x:c r="Y1367" t="str">
        <x:v>Agent-Draft; Kategorie und Person pruefen</x:v>
      </x:c>
    </x:row>
    <x:row r="1368">
      <x:c r="A1368" t="str">
        <x:v>TXN-RAW-IMP-20260516-FULLDRAFT-001352</x:v>
      </x:c>
      <x:c r="B1368" t="str">
        <x:v>RAW-IMP-20260516-FULLDRAFT-001352</x:v>
      </x:c>
      <x:c r="C1368" t="str">
        <x:v>KTO001</x:v>
      </x:c>
      <x:c r="D1368"/>
      <x:c r="E1368" t="str">
        <x:v>KAT013</x:v>
      </x:c>
      <x:c r="F1368"/>
      <x:c r="G1368"/>
      <x:c r="H1368" t="str">
        <x:v>kein_match</x:v>
      </x:c>
      <x:c r="I1368" t="str">
        <x:v>Agent-Draft: keine finale Regelentscheidung</x:v>
      </x:c>
      <x:c r="J1368" t="n">
        <x:v>45709</x:v>
      </x:c>
      <x:c r="K1368"/>
      <x:c r="L1368"/>
      <x:c r="M1368" t="n">
        <x:v>-2.99</x:v>
      </x:c>
      <x:c r="N1368" t="str">
        <x:v>2025-02</x:v>
      </x:c>
      <x:c r="O1368" t="str">
        <x:v>Ausgabe</x:v>
      </x:c>
      <x:c r="P1368" t="str">
        <x:v>Ist</x:v>
      </x:c>
      <x:c r="Q1368" s="59" t="b">
        <x:v>0</x:v>
      </x:c>
      <x:c r="R1368" t="str">
        <x:v>kein_transfer</x:v>
      </x:c>
      <x:c r="S1368"/>
      <x:c r="T1368"/>
      <x:c r="U1368"/>
      <x:c r="V1368" s="59" t="b">
        <x:v>1</x:v>
      </x:c>
      <x:c r="W1368"/>
      <x:c r="X1368" t="str">
        <x:v>offen</x:v>
      </x:c>
      <x:c r="Y1368" t="str">
        <x:v>Agent-Draft; Kategorie und Person pruefen</x:v>
      </x:c>
    </x:row>
    <x:row r="1369">
      <x:c r="A1369" t="str">
        <x:v>TXN-RAW-IMP-20260516-FULLDRAFT-001353</x:v>
      </x:c>
      <x:c r="B1369" t="str">
        <x:v>RAW-IMP-20260516-FULLDRAFT-001353</x:v>
      </x:c>
      <x:c r="C1369" t="str">
        <x:v>KTO001</x:v>
      </x:c>
      <x:c r="D1369"/>
      <x:c r="E1369" t="str">
        <x:v>KAT013</x:v>
      </x:c>
      <x:c r="F1369"/>
      <x:c r="G1369"/>
      <x:c r="H1369" t="str">
        <x:v>kein_match</x:v>
      </x:c>
      <x:c r="I1369" t="str">
        <x:v>Agent-Draft: keine finale Regelentscheidung</x:v>
      </x:c>
      <x:c r="J1369" t="n">
        <x:v>45708</x:v>
      </x:c>
      <x:c r="K1369"/>
      <x:c r="L1369"/>
      <x:c r="M1369" t="n">
        <x:v>-4.99</x:v>
      </x:c>
      <x:c r="N1369" t="str">
        <x:v>2025-02</x:v>
      </x:c>
      <x:c r="O1369" t="str">
        <x:v>Ausgabe</x:v>
      </x:c>
      <x:c r="P1369" t="str">
        <x:v>Ist</x:v>
      </x:c>
      <x:c r="Q1369" s="59" t="b">
        <x:v>0</x:v>
      </x:c>
      <x:c r="R1369" t="str">
        <x:v>kein_transfer</x:v>
      </x:c>
      <x:c r="S1369"/>
      <x:c r="T1369"/>
      <x:c r="U1369"/>
      <x:c r="V1369" s="59" t="b">
        <x:v>1</x:v>
      </x:c>
      <x:c r="W1369"/>
      <x:c r="X1369" t="str">
        <x:v>offen</x:v>
      </x:c>
      <x:c r="Y1369" t="str">
        <x:v>Agent-Draft; Kategorie und Person pruefen</x:v>
      </x:c>
    </x:row>
    <x:row r="1370">
      <x:c r="A1370" t="str">
        <x:v>TXN-RAW-IMP-20260516-FULLDRAFT-001354</x:v>
      </x:c>
      <x:c r="B1370" t="str">
        <x:v>RAW-IMP-20260516-FULLDRAFT-001354</x:v>
      </x:c>
      <x:c r="C1370" t="str">
        <x:v>KTO001</x:v>
      </x:c>
      <x:c r="D1370"/>
      <x:c r="E1370" t="str">
        <x:v>KAT013</x:v>
      </x:c>
      <x:c r="F1370"/>
      <x:c r="G1370"/>
      <x:c r="H1370" t="str">
        <x:v>kein_match</x:v>
      </x:c>
      <x:c r="I1370" t="str">
        <x:v>Agent-Draft: keine finale Regelentscheidung</x:v>
      </x:c>
      <x:c r="J1370" t="n">
        <x:v>45707</x:v>
      </x:c>
      <x:c r="K1370"/>
      <x:c r="L1370"/>
      <x:c r="M1370" t="n">
        <x:v>-1390.87</x:v>
      </x:c>
      <x:c r="N1370" t="str">
        <x:v>2025-02</x:v>
      </x:c>
      <x:c r="O1370" t="str">
        <x:v>Ausgabe</x:v>
      </x:c>
      <x:c r="P1370" t="str">
        <x:v>Ist</x:v>
      </x:c>
      <x:c r="Q1370" s="59" t="b">
        <x:v>0</x:v>
      </x:c>
      <x:c r="R1370" t="str">
        <x:v>kein_transfer</x:v>
      </x:c>
      <x:c r="S1370"/>
      <x:c r="T1370"/>
      <x:c r="U1370"/>
      <x:c r="V1370" s="59" t="b">
        <x:v>1</x:v>
      </x:c>
      <x:c r="W1370"/>
      <x:c r="X1370" t="str">
        <x:v>offen</x:v>
      </x:c>
      <x:c r="Y1370" t="str">
        <x:v>Agent-Draft; Kategorie und Person pruefen</x:v>
      </x:c>
    </x:row>
    <x:row r="1371">
      <x:c r="A1371" t="str">
        <x:v>TXN-RAW-IMP-20260516-FULLDRAFT-001355</x:v>
      </x:c>
      <x:c r="B1371" t="str">
        <x:v>RAW-IMP-20260516-FULLDRAFT-001355</x:v>
      </x:c>
      <x:c r="C1371" t="str">
        <x:v>KTO001</x:v>
      </x:c>
      <x:c r="D1371"/>
      <x:c r="E1371" t="str">
        <x:v>KAT013</x:v>
      </x:c>
      <x:c r="F1371"/>
      <x:c r="G1371"/>
      <x:c r="H1371" t="str">
        <x:v>kein_match</x:v>
      </x:c>
      <x:c r="I1371" t="str">
        <x:v>Agent-Draft: keine finale Regelentscheidung</x:v>
      </x:c>
      <x:c r="J1371" t="n">
        <x:v>45707</x:v>
      </x:c>
      <x:c r="K1371"/>
      <x:c r="L1371"/>
      <x:c r="M1371" t="n">
        <x:v>-1</x:v>
      </x:c>
      <x:c r="N1371" t="str">
        <x:v>2025-02</x:v>
      </x:c>
      <x:c r="O1371" t="str">
        <x:v>Ausgabe</x:v>
      </x:c>
      <x:c r="P1371" t="str">
        <x:v>Ist</x:v>
      </x:c>
      <x:c r="Q1371" s="59" t="b">
        <x:v>0</x:v>
      </x:c>
      <x:c r="R1371" t="str">
        <x:v>kein_transfer</x:v>
      </x:c>
      <x:c r="S1371"/>
      <x:c r="T1371"/>
      <x:c r="U1371"/>
      <x:c r="V1371" s="59" t="b">
        <x:v>1</x:v>
      </x:c>
      <x:c r="W1371"/>
      <x:c r="X1371" t="str">
        <x:v>offen</x:v>
      </x:c>
      <x:c r="Y1371" t="str">
        <x:v>Agent-Draft; Kategorie und Person pruefen</x:v>
      </x:c>
    </x:row>
    <x:row r="1372">
      <x:c r="A1372" t="str">
        <x:v>TXN-RAW-IMP-20260516-FULLDRAFT-001356</x:v>
      </x:c>
      <x:c r="B1372" t="str">
        <x:v>RAW-IMP-20260516-FULLDRAFT-001356</x:v>
      </x:c>
      <x:c r="C1372" t="str">
        <x:v>KTO001</x:v>
      </x:c>
      <x:c r="D1372"/>
      <x:c r="E1372" t="str">
        <x:v>KAT013</x:v>
      </x:c>
      <x:c r="F1372"/>
      <x:c r="G1372"/>
      <x:c r="H1372" t="str">
        <x:v>kein_match</x:v>
      </x:c>
      <x:c r="I1372" t="str">
        <x:v>Agent-Draft: keine finale Regelentscheidung</x:v>
      </x:c>
      <x:c r="J1372" t="n">
        <x:v>45707</x:v>
      </x:c>
      <x:c r="K1372"/>
      <x:c r="L1372"/>
      <x:c r="M1372" t="n">
        <x:v>-0.57</x:v>
      </x:c>
      <x:c r="N1372" t="str">
        <x:v>2025-02</x:v>
      </x:c>
      <x:c r="O1372" t="str">
        <x:v>Ausgabe</x:v>
      </x:c>
      <x:c r="P1372" t="str">
        <x:v>Ist</x:v>
      </x:c>
      <x:c r="Q1372" s="59" t="b">
        <x:v>0</x:v>
      </x:c>
      <x:c r="R1372" t="str">
        <x:v>kein_transfer</x:v>
      </x:c>
      <x:c r="S1372"/>
      <x:c r="T1372"/>
      <x:c r="U1372"/>
      <x:c r="V1372" s="59" t="b">
        <x:v>1</x:v>
      </x:c>
      <x:c r="W1372"/>
      <x:c r="X1372" t="str">
        <x:v>offen</x:v>
      </x:c>
      <x:c r="Y1372" t="str">
        <x:v>Agent-Draft; Kategorie und Person pruefen</x:v>
      </x:c>
    </x:row>
    <x:row r="1373">
      <x:c r="A1373" t="str">
        <x:v>TXN-RAW-IMP-20260516-FULLDRAFT-001357</x:v>
      </x:c>
      <x:c r="B1373" t="str">
        <x:v>RAW-IMP-20260516-FULLDRAFT-001357</x:v>
      </x:c>
      <x:c r="C1373" t="str">
        <x:v>KTO001</x:v>
      </x:c>
      <x:c r="D1373"/>
      <x:c r="E1373" t="str">
        <x:v>KAT013</x:v>
      </x:c>
      <x:c r="F1373"/>
      <x:c r="G1373"/>
      <x:c r="H1373" t="str">
        <x:v>kein_match</x:v>
      </x:c>
      <x:c r="I1373" t="str">
        <x:v>Agent-Draft: keine finale Regelentscheidung</x:v>
      </x:c>
      <x:c r="J1373" t="n">
        <x:v>45707</x:v>
      </x:c>
      <x:c r="K1373"/>
      <x:c r="L1373"/>
      <x:c r="M1373" t="n">
        <x:v>1400</x:v>
      </x:c>
      <x:c r="N1373" t="str">
        <x:v>2025-02</x:v>
      </x:c>
      <x:c r="O1373" t="str">
        <x:v>Einnahme</x:v>
      </x:c>
      <x:c r="P1373" t="str">
        <x:v>Ist</x:v>
      </x:c>
      <x:c r="Q1373" s="59" t="b">
        <x:v>0</x:v>
      </x:c>
      <x:c r="R1373" t="str">
        <x:v>unklar</x:v>
      </x:c>
      <x:c r="S1373"/>
      <x:c r="T1373"/>
      <x:c r="U1373"/>
      <x:c r="V1373" s="59" t="b">
        <x:v>1</x:v>
      </x:c>
      <x:c r="W1373" t="str">
        <x:v>Transferkandidat im Draft</x:v>
      </x:c>
      <x:c r="X1373" t="str">
        <x:v>offen</x:v>
      </x:c>
      <x:c r="Y1373" t="str">
        <x:v>Agent-Draft; Kategorie und Person pruefen</x:v>
      </x:c>
    </x:row>
    <x:row r="1374">
      <x:c r="A1374" t="str">
        <x:v>TXN-RAW-IMP-20260516-FULLDRAFT-001358</x:v>
      </x:c>
      <x:c r="B1374" t="str">
        <x:v>RAW-IMP-20260516-FULLDRAFT-001358</x:v>
      </x:c>
      <x:c r="C1374" t="str">
        <x:v>KTO001</x:v>
      </x:c>
      <x:c r="D1374"/>
      <x:c r="E1374" t="str">
        <x:v>KAT013</x:v>
      </x:c>
      <x:c r="F1374"/>
      <x:c r="G1374"/>
      <x:c r="H1374" t="str">
        <x:v>kein_match</x:v>
      </x:c>
      <x:c r="I1374" t="str">
        <x:v>Agent-Draft: keine finale Regelentscheidung</x:v>
      </x:c>
      <x:c r="J1374" t="n">
        <x:v>45706</x:v>
      </x:c>
      <x:c r="K1374"/>
      <x:c r="L1374"/>
      <x:c r="M1374" t="n">
        <x:v>-18.06</x:v>
      </x:c>
      <x:c r="N1374" t="str">
        <x:v>2025-02</x:v>
      </x:c>
      <x:c r="O1374" t="str">
        <x:v>Ausgabe</x:v>
      </x:c>
      <x:c r="P1374" t="str">
        <x:v>Ist</x:v>
      </x:c>
      <x:c r="Q1374" s="59" t="b">
        <x:v>0</x:v>
      </x:c>
      <x:c r="R1374" t="str">
        <x:v>kein_transfer</x:v>
      </x:c>
      <x:c r="S1374"/>
      <x:c r="T1374"/>
      <x:c r="U1374"/>
      <x:c r="V1374" s="59" t="b">
        <x:v>1</x:v>
      </x:c>
      <x:c r="W1374"/>
      <x:c r="X1374" t="str">
        <x:v>offen</x:v>
      </x:c>
      <x:c r="Y1374" t="str">
        <x:v>Agent-Draft; Kategorie und Person pruefen</x:v>
      </x:c>
    </x:row>
    <x:row r="1375">
      <x:c r="A1375" t="str">
        <x:v>TXN-RAW-IMP-20260516-FULLDRAFT-001359</x:v>
      </x:c>
      <x:c r="B1375" t="str">
        <x:v>RAW-IMP-20260516-FULLDRAFT-001359</x:v>
      </x:c>
      <x:c r="C1375" t="str">
        <x:v>KTO001</x:v>
      </x:c>
      <x:c r="D1375"/>
      <x:c r="E1375" t="str">
        <x:v>KAT013</x:v>
      </x:c>
      <x:c r="F1375"/>
      <x:c r="G1375"/>
      <x:c r="H1375" t="str">
        <x:v>kein_match</x:v>
      </x:c>
      <x:c r="I1375" t="str">
        <x:v>Agent-Draft: keine finale Regelentscheidung</x:v>
      </x:c>
      <x:c r="J1375" t="n">
        <x:v>45706</x:v>
      </x:c>
      <x:c r="K1375"/>
      <x:c r="L1375"/>
      <x:c r="M1375" t="n">
        <x:v>600</x:v>
      </x:c>
      <x:c r="N1375" t="str">
        <x:v>2025-02</x:v>
      </x:c>
      <x:c r="O1375" t="str">
        <x:v>Einnahme</x:v>
      </x:c>
      <x:c r="P1375" t="str">
        <x:v>Ist</x:v>
      </x:c>
      <x:c r="Q1375" s="59" t="b">
        <x:v>0</x:v>
      </x:c>
      <x:c r="R1375" t="str">
        <x:v>kein_transfer</x:v>
      </x:c>
      <x:c r="S1375"/>
      <x:c r="T1375"/>
      <x:c r="U1375"/>
      <x:c r="V1375" s="59" t="b">
        <x:v>1</x:v>
      </x:c>
      <x:c r="W1375"/>
      <x:c r="X1375" t="str">
        <x:v>offen</x:v>
      </x:c>
      <x:c r="Y1375" t="str">
        <x:v>Agent-Draft; Kategorie und Person pruefen</x:v>
      </x:c>
    </x:row>
    <x:row r="1376">
      <x:c r="A1376" t="str">
        <x:v>TXN-RAW-IMP-20260516-FULLDRAFT-001360</x:v>
      </x:c>
      <x:c r="B1376" t="str">
        <x:v>RAW-IMP-20260516-FULLDRAFT-001360</x:v>
      </x:c>
      <x:c r="C1376" t="str">
        <x:v>KTO001</x:v>
      </x:c>
      <x:c r="D1376"/>
      <x:c r="E1376" t="str">
        <x:v>KAT013</x:v>
      </x:c>
      <x:c r="F1376"/>
      <x:c r="G1376"/>
      <x:c r="H1376" t="str">
        <x:v>kein_match</x:v>
      </x:c>
      <x:c r="I1376" t="str">
        <x:v>Agent-Draft: keine finale Regelentscheidung</x:v>
      </x:c>
      <x:c r="J1376" t="n">
        <x:v>45705</x:v>
      </x:c>
      <x:c r="K1376"/>
      <x:c r="L1376"/>
      <x:c r="M1376" t="n">
        <x:v>-183.98</x:v>
      </x:c>
      <x:c r="N1376" t="str">
        <x:v>2025-02</x:v>
      </x:c>
      <x:c r="O1376" t="str">
        <x:v>Ausgabe</x:v>
      </x:c>
      <x:c r="P1376" t="str">
        <x:v>Ist</x:v>
      </x:c>
      <x:c r="Q1376" s="59" t="b">
        <x:v>0</x:v>
      </x:c>
      <x:c r="R1376" t="str">
        <x:v>kein_transfer</x:v>
      </x:c>
      <x:c r="S1376"/>
      <x:c r="T1376"/>
      <x:c r="U1376"/>
      <x:c r="V1376" s="59" t="b">
        <x:v>1</x:v>
      </x:c>
      <x:c r="W1376"/>
      <x:c r="X1376" t="str">
        <x:v>offen</x:v>
      </x:c>
      <x:c r="Y1376" t="str">
        <x:v>Agent-Draft; Kategorie und Person pruefen</x:v>
      </x:c>
    </x:row>
    <x:row r="1377">
      <x:c r="A1377" t="str">
        <x:v>TXN-RAW-IMP-20260516-FULLDRAFT-001361</x:v>
      </x:c>
      <x:c r="B1377" t="str">
        <x:v>RAW-IMP-20260516-FULLDRAFT-001361</x:v>
      </x:c>
      <x:c r="C1377" t="str">
        <x:v>KTO001</x:v>
      </x:c>
      <x:c r="D1377"/>
      <x:c r="E1377" t="str">
        <x:v>KAT013</x:v>
      </x:c>
      <x:c r="F1377"/>
      <x:c r="G1377"/>
      <x:c r="H1377" t="str">
        <x:v>kein_match</x:v>
      </x:c>
      <x:c r="I1377" t="str">
        <x:v>Agent-Draft: keine finale Regelentscheidung</x:v>
      </x:c>
      <x:c r="J1377" t="n">
        <x:v>45705</x:v>
      </x:c>
      <x:c r="K1377"/>
      <x:c r="L1377"/>
      <x:c r="M1377" t="n">
        <x:v>-169.1</x:v>
      </x:c>
      <x:c r="N1377" t="str">
        <x:v>2025-02</x:v>
      </x:c>
      <x:c r="O1377" t="str">
        <x:v>Ausgabe</x:v>
      </x:c>
      <x:c r="P1377" t="str">
        <x:v>Ist</x:v>
      </x:c>
      <x:c r="Q1377" s="59" t="b">
        <x:v>0</x:v>
      </x:c>
      <x:c r="R1377" t="str">
        <x:v>kein_transfer</x:v>
      </x:c>
      <x:c r="S1377"/>
      <x:c r="T1377"/>
      <x:c r="U1377"/>
      <x:c r="V1377" s="59" t="b">
        <x:v>1</x:v>
      </x:c>
      <x:c r="W1377"/>
      <x:c r="X1377" t="str">
        <x:v>offen</x:v>
      </x:c>
      <x:c r="Y1377" t="str">
        <x:v>Agent-Draft; Kategorie und Person pruefen</x:v>
      </x:c>
    </x:row>
    <x:row r="1378">
      <x:c r="A1378" t="str">
        <x:v>TXN-RAW-IMP-20260516-FULLDRAFT-001362</x:v>
      </x:c>
      <x:c r="B1378" t="str">
        <x:v>RAW-IMP-20260516-FULLDRAFT-001362</x:v>
      </x:c>
      <x:c r="C1378" t="str">
        <x:v>KTO001</x:v>
      </x:c>
      <x:c r="D1378"/>
      <x:c r="E1378" t="str">
        <x:v>KAT013</x:v>
      </x:c>
      <x:c r="F1378"/>
      <x:c r="G1378"/>
      <x:c r="H1378" t="str">
        <x:v>kein_match</x:v>
      </x:c>
      <x:c r="I1378" t="str">
        <x:v>Agent-Draft: keine finale Regelentscheidung</x:v>
      </x:c>
      <x:c r="J1378" t="n">
        <x:v>45705</x:v>
      </x:c>
      <x:c r="K1378"/>
      <x:c r="L1378"/>
      <x:c r="M1378" t="n">
        <x:v>-6.07</x:v>
      </x:c>
      <x:c r="N1378" t="str">
        <x:v>2025-02</x:v>
      </x:c>
      <x:c r="O1378" t="str">
        <x:v>Ausgabe</x:v>
      </x:c>
      <x:c r="P1378" t="str">
        <x:v>Ist</x:v>
      </x:c>
      <x:c r="Q1378" s="59" t="b">
        <x:v>0</x:v>
      </x:c>
      <x:c r="R1378" t="str">
        <x:v>kein_transfer</x:v>
      </x:c>
      <x:c r="S1378"/>
      <x:c r="T1378"/>
      <x:c r="U1378"/>
      <x:c r="V1378" s="59" t="b">
        <x:v>1</x:v>
      </x:c>
      <x:c r="W1378"/>
      <x:c r="X1378" t="str">
        <x:v>offen</x:v>
      </x:c>
      <x:c r="Y1378" t="str">
        <x:v>Agent-Draft; Kategorie und Person pruefen</x:v>
      </x:c>
    </x:row>
    <x:row r="1379">
      <x:c r="A1379" t="str">
        <x:v>TXN-RAW-IMP-20260516-FULLDRAFT-001363</x:v>
      </x:c>
      <x:c r="B1379" t="str">
        <x:v>RAW-IMP-20260516-FULLDRAFT-001363</x:v>
      </x:c>
      <x:c r="C1379" t="str">
        <x:v>KTO001</x:v>
      </x:c>
      <x:c r="D1379"/>
      <x:c r="E1379" t="str">
        <x:v>KAT013</x:v>
      </x:c>
      <x:c r="F1379"/>
      <x:c r="G1379"/>
      <x:c r="H1379" t="str">
        <x:v>kein_match</x:v>
      </x:c>
      <x:c r="I1379" t="str">
        <x:v>Agent-Draft: keine finale Regelentscheidung</x:v>
      </x:c>
      <x:c r="J1379" t="n">
        <x:v>45705</x:v>
      </x:c>
      <x:c r="K1379"/>
      <x:c r="L1379"/>
      <x:c r="M1379" t="n">
        <x:v>-36.9</x:v>
      </x:c>
      <x:c r="N1379" t="str">
        <x:v>2025-02</x:v>
      </x:c>
      <x:c r="O1379" t="str">
        <x:v>Ausgabe</x:v>
      </x:c>
      <x:c r="P1379" t="str">
        <x:v>Ist</x:v>
      </x:c>
      <x:c r="Q1379" s="59" t="b">
        <x:v>0</x:v>
      </x:c>
      <x:c r="R1379" t="str">
        <x:v>kein_transfer</x:v>
      </x:c>
      <x:c r="S1379"/>
      <x:c r="T1379"/>
      <x:c r="U1379"/>
      <x:c r="V1379" s="59" t="b">
        <x:v>1</x:v>
      </x:c>
      <x:c r="W1379"/>
      <x:c r="X1379" t="str">
        <x:v>offen</x:v>
      </x:c>
      <x:c r="Y1379" t="str">
        <x:v>Agent-Draft; Kategorie und Person pruefen</x:v>
      </x:c>
    </x:row>
    <x:row r="1380">
      <x:c r="A1380" t="str">
        <x:v>TXN-RAW-IMP-20260516-FULLDRAFT-001364</x:v>
      </x:c>
      <x:c r="B1380" t="str">
        <x:v>RAW-IMP-20260516-FULLDRAFT-001364</x:v>
      </x:c>
      <x:c r="C1380" t="str">
        <x:v>KTO001</x:v>
      </x:c>
      <x:c r="D1380"/>
      <x:c r="E1380" t="str">
        <x:v>KAT013</x:v>
      </x:c>
      <x:c r="F1380"/>
      <x:c r="G1380"/>
      <x:c r="H1380" t="str">
        <x:v>kein_match</x:v>
      </x:c>
      <x:c r="I1380" t="str">
        <x:v>Agent-Draft: keine finale Regelentscheidung</x:v>
      </x:c>
      <x:c r="J1380" t="n">
        <x:v>45705</x:v>
      </x:c>
      <x:c r="K1380"/>
      <x:c r="L1380"/>
      <x:c r="M1380" t="n">
        <x:v>-170.19</x:v>
      </x:c>
      <x:c r="N1380" t="str">
        <x:v>2025-02</x:v>
      </x:c>
      <x:c r="O1380" t="str">
        <x:v>Ausgabe</x:v>
      </x:c>
      <x:c r="P1380" t="str">
        <x:v>Ist</x:v>
      </x:c>
      <x:c r="Q1380" s="59" t="b">
        <x:v>0</x:v>
      </x:c>
      <x:c r="R1380" t="str">
        <x:v>kein_transfer</x:v>
      </x:c>
      <x:c r="S1380"/>
      <x:c r="T1380"/>
      <x:c r="U1380"/>
      <x:c r="V1380" s="59" t="b">
        <x:v>1</x:v>
      </x:c>
      <x:c r="W1380"/>
      <x:c r="X1380" t="str">
        <x:v>offen</x:v>
      </x:c>
      <x:c r="Y1380" t="str">
        <x:v>Agent-Draft; Kategorie und Person pruefen</x:v>
      </x:c>
    </x:row>
    <x:row r="1381">
      <x:c r="A1381" t="str">
        <x:v>TXN-RAW-IMP-20260516-FULLDRAFT-001365</x:v>
      </x:c>
      <x:c r="B1381" t="str">
        <x:v>RAW-IMP-20260516-FULLDRAFT-001365</x:v>
      </x:c>
      <x:c r="C1381" t="str">
        <x:v>KTO001</x:v>
      </x:c>
      <x:c r="D1381"/>
      <x:c r="E1381" t="str">
        <x:v>KAT013</x:v>
      </x:c>
      <x:c r="F1381"/>
      <x:c r="G1381"/>
      <x:c r="H1381" t="str">
        <x:v>kein_match</x:v>
      </x:c>
      <x:c r="I1381" t="str">
        <x:v>Agent-Draft: keine finale Regelentscheidung</x:v>
      </x:c>
      <x:c r="J1381" t="n">
        <x:v>45705</x:v>
      </x:c>
      <x:c r="K1381"/>
      <x:c r="L1381"/>
      <x:c r="M1381" t="n">
        <x:v>-6.99</x:v>
      </x:c>
      <x:c r="N1381" t="str">
        <x:v>2025-02</x:v>
      </x:c>
      <x:c r="O1381" t="str">
        <x:v>Ausgabe</x:v>
      </x:c>
      <x:c r="P1381" t="str">
        <x:v>Ist</x:v>
      </x:c>
      <x:c r="Q1381" s="59" t="b">
        <x:v>0</x:v>
      </x:c>
      <x:c r="R1381" t="str">
        <x:v>kein_transfer</x:v>
      </x:c>
      <x:c r="S1381"/>
      <x:c r="T1381"/>
      <x:c r="U1381"/>
      <x:c r="V1381" s="59" t="b">
        <x:v>1</x:v>
      </x:c>
      <x:c r="W1381"/>
      <x:c r="X1381" t="str">
        <x:v>offen</x:v>
      </x:c>
      <x:c r="Y1381" t="str">
        <x:v>Agent-Draft; Kategorie und Person pruefen</x:v>
      </x:c>
    </x:row>
    <x:row r="1382">
      <x:c r="A1382" t="str">
        <x:v>TXN-RAW-IMP-20260516-FULLDRAFT-001366</x:v>
      </x:c>
      <x:c r="B1382" t="str">
        <x:v>RAW-IMP-20260516-FULLDRAFT-001366</x:v>
      </x:c>
      <x:c r="C1382" t="str">
        <x:v>KTO001</x:v>
      </x:c>
      <x:c r="D1382"/>
      <x:c r="E1382" t="str">
        <x:v>KAT013</x:v>
      </x:c>
      <x:c r="F1382"/>
      <x:c r="G1382"/>
      <x:c r="H1382" t="str">
        <x:v>kein_match</x:v>
      </x:c>
      <x:c r="I1382" t="str">
        <x:v>Agent-Draft: keine finale Regelentscheidung</x:v>
      </x:c>
      <x:c r="J1382" t="n">
        <x:v>45705</x:v>
      </x:c>
      <x:c r="K1382"/>
      <x:c r="L1382"/>
      <x:c r="M1382" t="n">
        <x:v>-6.99</x:v>
      </x:c>
      <x:c r="N1382" t="str">
        <x:v>2025-02</x:v>
      </x:c>
      <x:c r="O1382" t="str">
        <x:v>Ausgabe</x:v>
      </x:c>
      <x:c r="P1382" t="str">
        <x:v>Ist</x:v>
      </x:c>
      <x:c r="Q1382" s="59" t="b">
        <x:v>0</x:v>
      </x:c>
      <x:c r="R1382" t="str">
        <x:v>kein_transfer</x:v>
      </x:c>
      <x:c r="S1382"/>
      <x:c r="T1382"/>
      <x:c r="U1382"/>
      <x:c r="V1382" s="59" t="b">
        <x:v>1</x:v>
      </x:c>
      <x:c r="W1382"/>
      <x:c r="X1382" t="str">
        <x:v>offen</x:v>
      </x:c>
      <x:c r="Y1382" t="str">
        <x:v>Agent-Draft; Kategorie und Person pruefen</x:v>
      </x:c>
    </x:row>
    <x:row r="1383">
      <x:c r="A1383" t="str">
        <x:v>TXN-RAW-IMP-20260516-FULLDRAFT-001367</x:v>
      </x:c>
      <x:c r="B1383" t="str">
        <x:v>RAW-IMP-20260516-FULLDRAFT-001367</x:v>
      </x:c>
      <x:c r="C1383" t="str">
        <x:v>KTO001</x:v>
      </x:c>
      <x:c r="D1383"/>
      <x:c r="E1383" t="str">
        <x:v>KAT013</x:v>
      </x:c>
      <x:c r="F1383"/>
      <x:c r="G1383"/>
      <x:c r="H1383" t="str">
        <x:v>kein_match</x:v>
      </x:c>
      <x:c r="I1383" t="str">
        <x:v>Agent-Draft: keine finale Regelentscheidung</x:v>
      </x:c>
      <x:c r="J1383" t="n">
        <x:v>45705</x:v>
      </x:c>
      <x:c r="K1383"/>
      <x:c r="L1383"/>
      <x:c r="M1383" t="n">
        <x:v>-6.99</x:v>
      </x:c>
      <x:c r="N1383" t="str">
        <x:v>2025-02</x:v>
      </x:c>
      <x:c r="O1383" t="str">
        <x:v>Ausgabe</x:v>
      </x:c>
      <x:c r="P1383" t="str">
        <x:v>Ist</x:v>
      </x:c>
      <x:c r="Q1383" s="59" t="b">
        <x:v>0</x:v>
      </x:c>
      <x:c r="R1383" t="str">
        <x:v>kein_transfer</x:v>
      </x:c>
      <x:c r="S1383"/>
      <x:c r="T1383"/>
      <x:c r="U1383"/>
      <x:c r="V1383" s="59" t="b">
        <x:v>1</x:v>
      </x:c>
      <x:c r="W1383"/>
      <x:c r="X1383" t="str">
        <x:v>offen</x:v>
      </x:c>
      <x:c r="Y1383" t="str">
        <x:v>Agent-Draft; Kategorie und Person pruefen</x:v>
      </x:c>
    </x:row>
    <x:row r="1384">
      <x:c r="A1384" t="str">
        <x:v>TXN-RAW-IMP-20260516-FULLDRAFT-001368</x:v>
      </x:c>
      <x:c r="B1384" t="str">
        <x:v>RAW-IMP-20260516-FULLDRAFT-001368</x:v>
      </x:c>
      <x:c r="C1384" t="str">
        <x:v>KTO001</x:v>
      </x:c>
      <x:c r="D1384"/>
      <x:c r="E1384" t="str">
        <x:v>KAT013</x:v>
      </x:c>
      <x:c r="F1384"/>
      <x:c r="G1384"/>
      <x:c r="H1384" t="str">
        <x:v>kein_match</x:v>
      </x:c>
      <x:c r="I1384" t="str">
        <x:v>Agent-Draft: keine finale Regelentscheidung</x:v>
      </x:c>
      <x:c r="J1384" t="n">
        <x:v>45702</x:v>
      </x:c>
      <x:c r="K1384"/>
      <x:c r="L1384"/>
      <x:c r="M1384" t="n">
        <x:v>-7.76</x:v>
      </x:c>
      <x:c r="N1384" t="str">
        <x:v>2025-02</x:v>
      </x:c>
      <x:c r="O1384" t="str">
        <x:v>Ausgabe</x:v>
      </x:c>
      <x:c r="P1384" t="str">
        <x:v>Ist</x:v>
      </x:c>
      <x:c r="Q1384" s="59" t="b">
        <x:v>0</x:v>
      </x:c>
      <x:c r="R1384" t="str">
        <x:v>kein_transfer</x:v>
      </x:c>
      <x:c r="S1384"/>
      <x:c r="T1384"/>
      <x:c r="U1384"/>
      <x:c r="V1384" s="59" t="b">
        <x:v>1</x:v>
      </x:c>
      <x:c r="W1384"/>
      <x:c r="X1384" t="str">
        <x:v>offen</x:v>
      </x:c>
      <x:c r="Y1384" t="str">
        <x:v>Agent-Draft; Kategorie und Person pruefen</x:v>
      </x:c>
    </x:row>
    <x:row r="1385">
      <x:c r="A1385" t="str">
        <x:v>TXN-RAW-IMP-20260516-FULLDRAFT-001369</x:v>
      </x:c>
      <x:c r="B1385" t="str">
        <x:v>RAW-IMP-20260516-FULLDRAFT-001369</x:v>
      </x:c>
      <x:c r="C1385" t="str">
        <x:v>KTO001</x:v>
      </x:c>
      <x:c r="D1385"/>
      <x:c r="E1385" t="str">
        <x:v>KAT013</x:v>
      </x:c>
      <x:c r="F1385"/>
      <x:c r="G1385"/>
      <x:c r="H1385" t="str">
        <x:v>kein_match</x:v>
      </x:c>
      <x:c r="I1385" t="str">
        <x:v>Agent-Draft: keine finale Regelentscheidung</x:v>
      </x:c>
      <x:c r="J1385" t="n">
        <x:v>45701</x:v>
      </x:c>
      <x:c r="K1385"/>
      <x:c r="L1385"/>
      <x:c r="M1385" t="n">
        <x:v>-12</x:v>
      </x:c>
      <x:c r="N1385" t="str">
        <x:v>2025-02</x:v>
      </x:c>
      <x:c r="O1385" t="str">
        <x:v>Ausgabe</x:v>
      </x:c>
      <x:c r="P1385" t="str">
        <x:v>Ist</x:v>
      </x:c>
      <x:c r="Q1385" s="59" t="b">
        <x:v>0</x:v>
      </x:c>
      <x:c r="R1385" t="str">
        <x:v>kein_transfer</x:v>
      </x:c>
      <x:c r="S1385"/>
      <x:c r="T1385"/>
      <x:c r="U1385"/>
      <x:c r="V1385" s="59" t="b">
        <x:v>1</x:v>
      </x:c>
      <x:c r="W1385"/>
      <x:c r="X1385" t="str">
        <x:v>offen</x:v>
      </x:c>
      <x:c r="Y1385" t="str">
        <x:v>Agent-Draft; Kategorie und Person pruefen</x:v>
      </x:c>
    </x:row>
    <x:row r="1386">
      <x:c r="A1386" t="str">
        <x:v>TXN-RAW-IMP-20260516-FULLDRAFT-001370</x:v>
      </x:c>
      <x:c r="B1386" t="str">
        <x:v>RAW-IMP-20260516-FULLDRAFT-001370</x:v>
      </x:c>
      <x:c r="C1386" t="str">
        <x:v>KTO001</x:v>
      </x:c>
      <x:c r="D1386"/>
      <x:c r="E1386" t="str">
        <x:v>KAT013</x:v>
      </x:c>
      <x:c r="F1386"/>
      <x:c r="G1386"/>
      <x:c r="H1386" t="str">
        <x:v>kein_match</x:v>
      </x:c>
      <x:c r="I1386" t="str">
        <x:v>Agent-Draft: keine finale Regelentscheidung</x:v>
      </x:c>
      <x:c r="J1386" t="n">
        <x:v>45701</x:v>
      </x:c>
      <x:c r="K1386"/>
      <x:c r="L1386"/>
      <x:c r="M1386" t="n">
        <x:v>100</x:v>
      </x:c>
      <x:c r="N1386" t="str">
        <x:v>2025-02</x:v>
      </x:c>
      <x:c r="O1386" t="str">
        <x:v>Einnahme</x:v>
      </x:c>
      <x:c r="P1386" t="str">
        <x:v>Ist</x:v>
      </x:c>
      <x:c r="Q1386" s="59" t="b">
        <x:v>0</x:v>
      </x:c>
      <x:c r="R1386" t="str">
        <x:v>unklar</x:v>
      </x:c>
      <x:c r="S1386"/>
      <x:c r="T1386"/>
      <x:c r="U1386"/>
      <x:c r="V1386" s="59" t="b">
        <x:v>1</x:v>
      </x:c>
      <x:c r="W1386" t="str">
        <x:v>Transferkandidat im Draft</x:v>
      </x:c>
      <x:c r="X1386" t="str">
        <x:v>offen</x:v>
      </x:c>
      <x:c r="Y1386" t="str">
        <x:v>Agent-Draft; Kategorie und Person pruefen</x:v>
      </x:c>
    </x:row>
    <x:row r="1387">
      <x:c r="A1387" t="str">
        <x:v>TXN-RAW-IMP-20260516-FULLDRAFT-001371</x:v>
      </x:c>
      <x:c r="B1387" t="str">
        <x:v>RAW-IMP-20260516-FULLDRAFT-001371</x:v>
      </x:c>
      <x:c r="C1387" t="str">
        <x:v>KTO001</x:v>
      </x:c>
      <x:c r="D1387"/>
      <x:c r="E1387" t="str">
        <x:v>KAT013</x:v>
      </x:c>
      <x:c r="F1387"/>
      <x:c r="G1387"/>
      <x:c r="H1387" t="str">
        <x:v>kein_match</x:v>
      </x:c>
      <x:c r="I1387" t="str">
        <x:v>Agent-Draft: keine finale Regelentscheidung</x:v>
      </x:c>
      <x:c r="J1387" t="n">
        <x:v>45700</x:v>
      </x:c>
      <x:c r="K1387"/>
      <x:c r="L1387"/>
      <x:c r="M1387" t="n">
        <x:v>-0.99</x:v>
      </x:c>
      <x:c r="N1387" t="str">
        <x:v>2025-02</x:v>
      </x:c>
      <x:c r="O1387" t="str">
        <x:v>Ausgabe</x:v>
      </x:c>
      <x:c r="P1387" t="str">
        <x:v>Ist</x:v>
      </x:c>
      <x:c r="Q1387" s="59" t="b">
        <x:v>0</x:v>
      </x:c>
      <x:c r="R1387" t="str">
        <x:v>kein_transfer</x:v>
      </x:c>
      <x:c r="S1387"/>
      <x:c r="T1387"/>
      <x:c r="U1387"/>
      <x:c r="V1387" s="59" t="b">
        <x:v>1</x:v>
      </x:c>
      <x:c r="W1387"/>
      <x:c r="X1387" t="str">
        <x:v>offen</x:v>
      </x:c>
      <x:c r="Y1387" t="str">
        <x:v>Agent-Draft; Kategorie und Person pruefen</x:v>
      </x:c>
    </x:row>
    <x:row r="1388">
      <x:c r="A1388" t="str">
        <x:v>TXN-RAW-IMP-20260516-FULLDRAFT-001372</x:v>
      </x:c>
      <x:c r="B1388" t="str">
        <x:v>RAW-IMP-20260516-FULLDRAFT-001372</x:v>
      </x:c>
      <x:c r="C1388" t="str">
        <x:v>KTO001</x:v>
      </x:c>
      <x:c r="D1388"/>
      <x:c r="E1388" t="str">
        <x:v>KAT013</x:v>
      </x:c>
      <x:c r="F1388"/>
      <x:c r="G1388"/>
      <x:c r="H1388" t="str">
        <x:v>kein_match</x:v>
      </x:c>
      <x:c r="I1388" t="str">
        <x:v>Agent-Draft: keine finale Regelentscheidung</x:v>
      </x:c>
      <x:c r="J1388" t="n">
        <x:v>45699</x:v>
      </x:c>
      <x:c r="K1388"/>
      <x:c r="L1388"/>
      <x:c r="M1388" t="n">
        <x:v>-18.78</x:v>
      </x:c>
      <x:c r="N1388" t="str">
        <x:v>2025-02</x:v>
      </x:c>
      <x:c r="O1388" t="str">
        <x:v>Ausgabe</x:v>
      </x:c>
      <x:c r="P1388" t="str">
        <x:v>Ist</x:v>
      </x:c>
      <x:c r="Q1388" s="59" t="b">
        <x:v>0</x:v>
      </x:c>
      <x:c r="R1388" t="str">
        <x:v>kein_transfer</x:v>
      </x:c>
      <x:c r="S1388"/>
      <x:c r="T1388"/>
      <x:c r="U1388"/>
      <x:c r="V1388" s="59" t="b">
        <x:v>1</x:v>
      </x:c>
      <x:c r="W1388"/>
      <x:c r="X1388" t="str">
        <x:v>offen</x:v>
      </x:c>
      <x:c r="Y1388" t="str">
        <x:v>Agent-Draft; Kategorie und Person pruefen</x:v>
      </x:c>
    </x:row>
    <x:row r="1389">
      <x:c r="A1389" t="str">
        <x:v>TXN-RAW-IMP-20260516-FULLDRAFT-001373</x:v>
      </x:c>
      <x:c r="B1389" t="str">
        <x:v>RAW-IMP-20260516-FULLDRAFT-001373</x:v>
      </x:c>
      <x:c r="C1389" t="str">
        <x:v>KTO001</x:v>
      </x:c>
      <x:c r="D1389"/>
      <x:c r="E1389" t="str">
        <x:v>KAT013</x:v>
      </x:c>
      <x:c r="F1389"/>
      <x:c r="G1389"/>
      <x:c r="H1389" t="str">
        <x:v>kein_match</x:v>
      </x:c>
      <x:c r="I1389" t="str">
        <x:v>Agent-Draft: keine finale Regelentscheidung</x:v>
      </x:c>
      <x:c r="J1389" t="n">
        <x:v>45698</x:v>
      </x:c>
      <x:c r="K1389"/>
      <x:c r="L1389"/>
      <x:c r="M1389" t="n">
        <x:v>-100</x:v>
      </x:c>
      <x:c r="N1389" t="str">
        <x:v>2025-02</x:v>
      </x:c>
      <x:c r="O1389" t="str">
        <x:v>Ausgabe</x:v>
      </x:c>
      <x:c r="P1389" t="str">
        <x:v>Ist</x:v>
      </x:c>
      <x:c r="Q1389" s="59" t="b">
        <x:v>0</x:v>
      </x:c>
      <x:c r="R1389" t="str">
        <x:v>kein_transfer</x:v>
      </x:c>
      <x:c r="S1389"/>
      <x:c r="T1389"/>
      <x:c r="U1389"/>
      <x:c r="V1389" s="59" t="b">
        <x:v>1</x:v>
      </x:c>
      <x:c r="W1389"/>
      <x:c r="X1389" t="str">
        <x:v>offen</x:v>
      </x:c>
      <x:c r="Y1389" t="str">
        <x:v>Agent-Draft; Kategorie und Person pruefen</x:v>
      </x:c>
    </x:row>
    <x:row r="1390">
      <x:c r="A1390" t="str">
        <x:v>TXN-RAW-IMP-20260516-FULLDRAFT-001374</x:v>
      </x:c>
      <x:c r="B1390" t="str">
        <x:v>RAW-IMP-20260516-FULLDRAFT-001374</x:v>
      </x:c>
      <x:c r="C1390" t="str">
        <x:v>KTO001</x:v>
      </x:c>
      <x:c r="D1390"/>
      <x:c r="E1390" t="str">
        <x:v>KAT013</x:v>
      </x:c>
      <x:c r="F1390"/>
      <x:c r="G1390"/>
      <x:c r="H1390" t="str">
        <x:v>kein_match</x:v>
      </x:c>
      <x:c r="I1390" t="str">
        <x:v>Agent-Draft: keine finale Regelentscheidung</x:v>
      </x:c>
      <x:c r="J1390" t="n">
        <x:v>45698</x:v>
      </x:c>
      <x:c r="K1390"/>
      <x:c r="L1390"/>
      <x:c r="M1390" t="n">
        <x:v>-98.23</x:v>
      </x:c>
      <x:c r="N1390" t="str">
        <x:v>2025-02</x:v>
      </x:c>
      <x:c r="O1390" t="str">
        <x:v>Ausgabe</x:v>
      </x:c>
      <x:c r="P1390" t="str">
        <x:v>Ist</x:v>
      </x:c>
      <x:c r="Q1390" s="59" t="b">
        <x:v>0</x:v>
      </x:c>
      <x:c r="R1390" t="str">
        <x:v>kein_transfer</x:v>
      </x:c>
      <x:c r="S1390"/>
      <x:c r="T1390"/>
      <x:c r="U1390"/>
      <x:c r="V1390" s="59" t="b">
        <x:v>1</x:v>
      </x:c>
      <x:c r="W1390"/>
      <x:c r="X1390" t="str">
        <x:v>offen</x:v>
      </x:c>
      <x:c r="Y1390" t="str">
        <x:v>Agent-Draft; Kategorie und Person pruefen</x:v>
      </x:c>
    </x:row>
    <x:row r="1391">
      <x:c r="A1391" t="str">
        <x:v>TXN-RAW-IMP-20260516-FULLDRAFT-001375</x:v>
      </x:c>
      <x:c r="B1391" t="str">
        <x:v>RAW-IMP-20260516-FULLDRAFT-001375</x:v>
      </x:c>
      <x:c r="C1391" t="str">
        <x:v>KTO001</x:v>
      </x:c>
      <x:c r="D1391"/>
      <x:c r="E1391" t="str">
        <x:v>KAT013</x:v>
      </x:c>
      <x:c r="F1391"/>
      <x:c r="G1391"/>
      <x:c r="H1391" t="str">
        <x:v>kein_match</x:v>
      </x:c>
      <x:c r="I1391" t="str">
        <x:v>Agent-Draft: keine finale Regelentscheidung</x:v>
      </x:c>
      <x:c r="J1391" t="n">
        <x:v>45698</x:v>
      </x:c>
      <x:c r="K1391"/>
      <x:c r="L1391"/>
      <x:c r="M1391" t="n">
        <x:v>-25.8</x:v>
      </x:c>
      <x:c r="N1391" t="str">
        <x:v>2025-02</x:v>
      </x:c>
      <x:c r="O1391" t="str">
        <x:v>Ausgabe</x:v>
      </x:c>
      <x:c r="P1391" t="str">
        <x:v>Ist</x:v>
      </x:c>
      <x:c r="Q1391" s="59" t="b">
        <x:v>0</x:v>
      </x:c>
      <x:c r="R1391" t="str">
        <x:v>kein_transfer</x:v>
      </x:c>
      <x:c r="S1391"/>
      <x:c r="T1391"/>
      <x:c r="U1391"/>
      <x:c r="V1391" s="59" t="b">
        <x:v>1</x:v>
      </x:c>
      <x:c r="W1391"/>
      <x:c r="X1391" t="str">
        <x:v>offen</x:v>
      </x:c>
      <x:c r="Y1391" t="str">
        <x:v>Agent-Draft; Kategorie und Person pruefen</x:v>
      </x:c>
    </x:row>
    <x:row r="1392">
      <x:c r="A1392" t="str">
        <x:v>TXN-RAW-IMP-20260516-FULLDRAFT-001376</x:v>
      </x:c>
      <x:c r="B1392" t="str">
        <x:v>RAW-IMP-20260516-FULLDRAFT-001376</x:v>
      </x:c>
      <x:c r="C1392" t="str">
        <x:v>KTO001</x:v>
      </x:c>
      <x:c r="D1392"/>
      <x:c r="E1392" t="str">
        <x:v>KAT013</x:v>
      </x:c>
      <x:c r="F1392"/>
      <x:c r="G1392"/>
      <x:c r="H1392" t="str">
        <x:v>kein_match</x:v>
      </x:c>
      <x:c r="I1392" t="str">
        <x:v>Agent-Draft: keine finale Regelentscheidung</x:v>
      </x:c>
      <x:c r="J1392" t="n">
        <x:v>45698</x:v>
      </x:c>
      <x:c r="K1392"/>
      <x:c r="L1392"/>
      <x:c r="M1392" t="n">
        <x:v>-31.86</x:v>
      </x:c>
      <x:c r="N1392" t="str">
        <x:v>2025-02</x:v>
      </x:c>
      <x:c r="O1392" t="str">
        <x:v>Ausgabe</x:v>
      </x:c>
      <x:c r="P1392" t="str">
        <x:v>Ist</x:v>
      </x:c>
      <x:c r="Q1392" s="59" t="b">
        <x:v>0</x:v>
      </x:c>
      <x:c r="R1392" t="str">
        <x:v>kein_transfer</x:v>
      </x:c>
      <x:c r="S1392"/>
      <x:c r="T1392"/>
      <x:c r="U1392"/>
      <x:c r="V1392" s="59" t="b">
        <x:v>1</x:v>
      </x:c>
      <x:c r="W1392"/>
      <x:c r="X1392" t="str">
        <x:v>offen</x:v>
      </x:c>
      <x:c r="Y1392" t="str">
        <x:v>Agent-Draft; Kategorie und Person pruefen</x:v>
      </x:c>
    </x:row>
    <x:row r="1393">
      <x:c r="A1393" t="str">
        <x:v>TXN-RAW-IMP-20260516-FULLDRAFT-001377</x:v>
      </x:c>
      <x:c r="B1393" t="str">
        <x:v>RAW-IMP-20260516-FULLDRAFT-001377</x:v>
      </x:c>
      <x:c r="C1393" t="str">
        <x:v>KTO001</x:v>
      </x:c>
      <x:c r="D1393"/>
      <x:c r="E1393" t="str">
        <x:v>KAT013</x:v>
      </x:c>
      <x:c r="F1393"/>
      <x:c r="G1393"/>
      <x:c r="H1393" t="str">
        <x:v>kein_match</x:v>
      </x:c>
      <x:c r="I1393" t="str">
        <x:v>Agent-Draft: keine finale Regelentscheidung</x:v>
      </x:c>
      <x:c r="J1393" t="n">
        <x:v>45698</x:v>
      </x:c>
      <x:c r="K1393"/>
      <x:c r="L1393"/>
      <x:c r="M1393" t="n">
        <x:v>-15.95</x:v>
      </x:c>
      <x:c r="N1393" t="str">
        <x:v>2025-02</x:v>
      </x:c>
      <x:c r="O1393" t="str">
        <x:v>Ausgabe</x:v>
      </x:c>
      <x:c r="P1393" t="str">
        <x:v>Ist</x:v>
      </x:c>
      <x:c r="Q1393" s="59" t="b">
        <x:v>0</x:v>
      </x:c>
      <x:c r="R1393" t="str">
        <x:v>kein_transfer</x:v>
      </x:c>
      <x:c r="S1393"/>
      <x:c r="T1393"/>
      <x:c r="U1393"/>
      <x:c r="V1393" s="59" t="b">
        <x:v>1</x:v>
      </x:c>
      <x:c r="W1393"/>
      <x:c r="X1393" t="str">
        <x:v>offen</x:v>
      </x:c>
      <x:c r="Y1393" t="str">
        <x:v>Agent-Draft; Kategorie und Person pruefen</x:v>
      </x:c>
    </x:row>
    <x:row r="1394">
      <x:c r="A1394" t="str">
        <x:v>TXN-RAW-IMP-20260516-FULLDRAFT-001378</x:v>
      </x:c>
      <x:c r="B1394" t="str">
        <x:v>RAW-IMP-20260516-FULLDRAFT-001378</x:v>
      </x:c>
      <x:c r="C1394" t="str">
        <x:v>KTO001</x:v>
      </x:c>
      <x:c r="D1394"/>
      <x:c r="E1394" t="str">
        <x:v>KAT013</x:v>
      </x:c>
      <x:c r="F1394"/>
      <x:c r="G1394"/>
      <x:c r="H1394" t="str">
        <x:v>kein_match</x:v>
      </x:c>
      <x:c r="I1394" t="str">
        <x:v>Agent-Draft: keine finale Regelentscheidung</x:v>
      </x:c>
      <x:c r="J1394" t="n">
        <x:v>45698</x:v>
      </x:c>
      <x:c r="K1394"/>
      <x:c r="L1394"/>
      <x:c r="M1394" t="n">
        <x:v>-36</x:v>
      </x:c>
      <x:c r="N1394" t="str">
        <x:v>2025-02</x:v>
      </x:c>
      <x:c r="O1394" t="str">
        <x:v>Ausgabe</x:v>
      </x:c>
      <x:c r="P1394" t="str">
        <x:v>Ist</x:v>
      </x:c>
      <x:c r="Q1394" s="59" t="b">
        <x:v>0</x:v>
      </x:c>
      <x:c r="R1394" t="str">
        <x:v>kein_transfer</x:v>
      </x:c>
      <x:c r="S1394"/>
      <x:c r="T1394"/>
      <x:c r="U1394"/>
      <x:c r="V1394" s="59" t="b">
        <x:v>1</x:v>
      </x:c>
      <x:c r="W1394"/>
      <x:c r="X1394" t="str">
        <x:v>offen</x:v>
      </x:c>
      <x:c r="Y1394" t="str">
        <x:v>Agent-Draft; Kategorie und Person pruefen</x:v>
      </x:c>
    </x:row>
    <x:row r="1395">
      <x:c r="A1395" t="str">
        <x:v>TXN-RAW-IMP-20260516-FULLDRAFT-001379</x:v>
      </x:c>
      <x:c r="B1395" t="str">
        <x:v>RAW-IMP-20260516-FULLDRAFT-001379</x:v>
      </x:c>
      <x:c r="C1395" t="str">
        <x:v>KTO001</x:v>
      </x:c>
      <x:c r="D1395"/>
      <x:c r="E1395" t="str">
        <x:v>KAT013</x:v>
      </x:c>
      <x:c r="F1395"/>
      <x:c r="G1395"/>
      <x:c r="H1395" t="str">
        <x:v>kein_match</x:v>
      </x:c>
      <x:c r="I1395" t="str">
        <x:v>Agent-Draft: keine finale Regelentscheidung</x:v>
      </x:c>
      <x:c r="J1395" t="n">
        <x:v>45698</x:v>
      </x:c>
      <x:c r="K1395"/>
      <x:c r="L1395"/>
      <x:c r="M1395" t="n">
        <x:v>-7</x:v>
      </x:c>
      <x:c r="N1395" t="str">
        <x:v>2025-02</x:v>
      </x:c>
      <x:c r="O1395" t="str">
        <x:v>Ausgabe</x:v>
      </x:c>
      <x:c r="P1395" t="str">
        <x:v>Ist</x:v>
      </x:c>
      <x:c r="Q1395" s="59" t="b">
        <x:v>0</x:v>
      </x:c>
      <x:c r="R1395" t="str">
        <x:v>kein_transfer</x:v>
      </x:c>
      <x:c r="S1395"/>
      <x:c r="T1395"/>
      <x:c r="U1395"/>
      <x:c r="V1395" s="59" t="b">
        <x:v>1</x:v>
      </x:c>
      <x:c r="W1395"/>
      <x:c r="X1395" t="str">
        <x:v>offen</x:v>
      </x:c>
      <x:c r="Y1395" t="str">
        <x:v>Agent-Draft; Kategorie und Person pruefen</x:v>
      </x:c>
    </x:row>
    <x:row r="1396">
      <x:c r="A1396" t="str">
        <x:v>TXN-RAW-IMP-20260516-FULLDRAFT-001380</x:v>
      </x:c>
      <x:c r="B1396" t="str">
        <x:v>RAW-IMP-20260516-FULLDRAFT-001380</x:v>
      </x:c>
      <x:c r="C1396" t="str">
        <x:v>KTO001</x:v>
      </x:c>
      <x:c r="D1396"/>
      <x:c r="E1396" t="str">
        <x:v>KAT013</x:v>
      </x:c>
      <x:c r="F1396"/>
      <x:c r="G1396"/>
      <x:c r="H1396" t="str">
        <x:v>kein_match</x:v>
      </x:c>
      <x:c r="I1396" t="str">
        <x:v>Agent-Draft: keine finale Regelentscheidung</x:v>
      </x:c>
      <x:c r="J1396" t="n">
        <x:v>45698</x:v>
      </x:c>
      <x:c r="K1396"/>
      <x:c r="L1396"/>
      <x:c r="M1396" t="n">
        <x:v>-30</x:v>
      </x:c>
      <x:c r="N1396" t="str">
        <x:v>2025-02</x:v>
      </x:c>
      <x:c r="O1396" t="str">
        <x:v>Ausgabe</x:v>
      </x:c>
      <x:c r="P1396" t="str">
        <x:v>Ist</x:v>
      </x:c>
      <x:c r="Q1396" s="59" t="b">
        <x:v>0</x:v>
      </x:c>
      <x:c r="R1396" t="str">
        <x:v>kein_transfer</x:v>
      </x:c>
      <x:c r="S1396"/>
      <x:c r="T1396"/>
      <x:c r="U1396"/>
      <x:c r="V1396" s="59" t="b">
        <x:v>1</x:v>
      </x:c>
      <x:c r="W1396"/>
      <x:c r="X1396" t="str">
        <x:v>offen</x:v>
      </x:c>
      <x:c r="Y1396" t="str">
        <x:v>Agent-Draft; Kategorie und Person pruefen</x:v>
      </x:c>
    </x:row>
    <x:row r="1397">
      <x:c r="A1397" t="str">
        <x:v>TXN-RAW-IMP-20260516-FULLDRAFT-001381</x:v>
      </x:c>
      <x:c r="B1397" t="str">
        <x:v>RAW-IMP-20260516-FULLDRAFT-001381</x:v>
      </x:c>
      <x:c r="C1397" t="str">
        <x:v>KTO001</x:v>
      </x:c>
      <x:c r="D1397"/>
      <x:c r="E1397" t="str">
        <x:v>KAT013</x:v>
      </x:c>
      <x:c r="F1397"/>
      <x:c r="G1397"/>
      <x:c r="H1397" t="str">
        <x:v>kein_match</x:v>
      </x:c>
      <x:c r="I1397" t="str">
        <x:v>Agent-Draft: keine finale Regelentscheidung</x:v>
      </x:c>
      <x:c r="J1397" t="n">
        <x:v>45698</x:v>
      </x:c>
      <x:c r="K1397"/>
      <x:c r="L1397"/>
      <x:c r="M1397" t="n">
        <x:v>-7</x:v>
      </x:c>
      <x:c r="N1397" t="str">
        <x:v>2025-02</x:v>
      </x:c>
      <x:c r="O1397" t="str">
        <x:v>Ausgabe</x:v>
      </x:c>
      <x:c r="P1397" t="str">
        <x:v>Ist</x:v>
      </x:c>
      <x:c r="Q1397" s="59" t="b">
        <x:v>0</x:v>
      </x:c>
      <x:c r="R1397" t="str">
        <x:v>kein_transfer</x:v>
      </x:c>
      <x:c r="S1397"/>
      <x:c r="T1397"/>
      <x:c r="U1397"/>
      <x:c r="V1397" s="59" t="b">
        <x:v>1</x:v>
      </x:c>
      <x:c r="W1397"/>
      <x:c r="X1397" t="str">
        <x:v>offen</x:v>
      </x:c>
      <x:c r="Y1397" t="str">
        <x:v>Agent-Draft; Kategorie und Person pruefen</x:v>
      </x:c>
    </x:row>
    <x:row r="1398">
      <x:c r="A1398" t="str">
        <x:v>TXN-RAW-IMP-20260516-FULLDRAFT-001382</x:v>
      </x:c>
      <x:c r="B1398" t="str">
        <x:v>RAW-IMP-20260516-FULLDRAFT-001382</x:v>
      </x:c>
      <x:c r="C1398" t="str">
        <x:v>KTO001</x:v>
      </x:c>
      <x:c r="D1398"/>
      <x:c r="E1398" t="str">
        <x:v>KAT013</x:v>
      </x:c>
      <x:c r="F1398"/>
      <x:c r="G1398"/>
      <x:c r="H1398" t="str">
        <x:v>kein_match</x:v>
      </x:c>
      <x:c r="I1398" t="str">
        <x:v>Agent-Draft: keine finale Regelentscheidung</x:v>
      </x:c>
      <x:c r="J1398" t="n">
        <x:v>45698</x:v>
      </x:c>
      <x:c r="K1398"/>
      <x:c r="L1398"/>
      <x:c r="M1398" t="n">
        <x:v>-18.14</x:v>
      </x:c>
      <x:c r="N1398" t="str">
        <x:v>2025-02</x:v>
      </x:c>
      <x:c r="O1398" t="str">
        <x:v>Ausgabe</x:v>
      </x:c>
      <x:c r="P1398" t="str">
        <x:v>Ist</x:v>
      </x:c>
      <x:c r="Q1398" s="59" t="b">
        <x:v>0</x:v>
      </x:c>
      <x:c r="R1398" t="str">
        <x:v>kein_transfer</x:v>
      </x:c>
      <x:c r="S1398"/>
      <x:c r="T1398"/>
      <x:c r="U1398"/>
      <x:c r="V1398" s="59" t="b">
        <x:v>1</x:v>
      </x:c>
      <x:c r="W1398"/>
      <x:c r="X1398" t="str">
        <x:v>offen</x:v>
      </x:c>
      <x:c r="Y1398" t="str">
        <x:v>Agent-Draft; Kategorie und Person pruefen</x:v>
      </x:c>
    </x:row>
    <x:row r="1399">
      <x:c r="A1399" t="str">
        <x:v>TXN-RAW-IMP-20260516-FULLDRAFT-001383</x:v>
      </x:c>
      <x:c r="B1399" t="str">
        <x:v>RAW-IMP-20260516-FULLDRAFT-001383</x:v>
      </x:c>
      <x:c r="C1399" t="str">
        <x:v>KTO001</x:v>
      </x:c>
      <x:c r="D1399"/>
      <x:c r="E1399" t="str">
        <x:v>KAT013</x:v>
      </x:c>
      <x:c r="F1399"/>
      <x:c r="G1399"/>
      <x:c r="H1399" t="str">
        <x:v>kein_match</x:v>
      </x:c>
      <x:c r="I1399" t="str">
        <x:v>Agent-Draft: keine finale Regelentscheidung</x:v>
      </x:c>
      <x:c r="J1399" t="n">
        <x:v>45695</x:v>
      </x:c>
      <x:c r="K1399"/>
      <x:c r="L1399"/>
      <x:c r="M1399" t="n">
        <x:v>-2.01</x:v>
      </x:c>
      <x:c r="N1399" t="str">
        <x:v>2025-02</x:v>
      </x:c>
      <x:c r="O1399" t="str">
        <x:v>Ausgabe</x:v>
      </x:c>
      <x:c r="P1399" t="str">
        <x:v>Ist</x:v>
      </x:c>
      <x:c r="Q1399" s="59" t="b">
        <x:v>0</x:v>
      </x:c>
      <x:c r="R1399" t="str">
        <x:v>kein_transfer</x:v>
      </x:c>
      <x:c r="S1399"/>
      <x:c r="T1399"/>
      <x:c r="U1399"/>
      <x:c r="V1399" s="59" t="b">
        <x:v>1</x:v>
      </x:c>
      <x:c r="W1399"/>
      <x:c r="X1399" t="str">
        <x:v>offen</x:v>
      </x:c>
      <x:c r="Y1399" t="str">
        <x:v>Agent-Draft; Kategorie und Person pruefen</x:v>
      </x:c>
    </x:row>
    <x:row r="1400">
      <x:c r="A1400" t="str">
        <x:v>TXN-RAW-IMP-20260516-FULLDRAFT-001384</x:v>
      </x:c>
      <x:c r="B1400" t="str">
        <x:v>RAW-IMP-20260516-FULLDRAFT-001384</x:v>
      </x:c>
      <x:c r="C1400" t="str">
        <x:v>KTO001</x:v>
      </x:c>
      <x:c r="D1400"/>
      <x:c r="E1400" t="str">
        <x:v>KAT013</x:v>
      </x:c>
      <x:c r="F1400"/>
      <x:c r="G1400"/>
      <x:c r="H1400" t="str">
        <x:v>kein_match</x:v>
      </x:c>
      <x:c r="I1400" t="str">
        <x:v>Agent-Draft: keine finale Regelentscheidung</x:v>
      </x:c>
      <x:c r="J1400" t="n">
        <x:v>45695</x:v>
      </x:c>
      <x:c r="K1400"/>
      <x:c r="L1400"/>
      <x:c r="M1400" t="n">
        <x:v>-3.8</x:v>
      </x:c>
      <x:c r="N1400" t="str">
        <x:v>2025-02</x:v>
      </x:c>
      <x:c r="O1400" t="str">
        <x:v>Ausgabe</x:v>
      </x:c>
      <x:c r="P1400" t="str">
        <x:v>Ist</x:v>
      </x:c>
      <x:c r="Q1400" s="59" t="b">
        <x:v>0</x:v>
      </x:c>
      <x:c r="R1400" t="str">
        <x:v>kein_transfer</x:v>
      </x:c>
      <x:c r="S1400"/>
      <x:c r="T1400"/>
      <x:c r="U1400"/>
      <x:c r="V1400" s="59" t="b">
        <x:v>1</x:v>
      </x:c>
      <x:c r="W1400"/>
      <x:c r="X1400" t="str">
        <x:v>offen</x:v>
      </x:c>
      <x:c r="Y1400" t="str">
        <x:v>Agent-Draft; Kategorie und Person pruefen</x:v>
      </x:c>
    </x:row>
    <x:row r="1401">
      <x:c r="A1401" t="str">
        <x:v>TXN-RAW-IMP-20260516-FULLDRAFT-001385</x:v>
      </x:c>
      <x:c r="B1401" t="str">
        <x:v>RAW-IMP-20260516-FULLDRAFT-001385</x:v>
      </x:c>
      <x:c r="C1401" t="str">
        <x:v>KTO001</x:v>
      </x:c>
      <x:c r="D1401"/>
      <x:c r="E1401" t="str">
        <x:v>KAT013</x:v>
      </x:c>
      <x:c r="F1401"/>
      <x:c r="G1401"/>
      <x:c r="H1401" t="str">
        <x:v>kein_match</x:v>
      </x:c>
      <x:c r="I1401" t="str">
        <x:v>Agent-Draft: keine finale Regelentscheidung</x:v>
      </x:c>
      <x:c r="J1401" t="n">
        <x:v>45695</x:v>
      </x:c>
      <x:c r="K1401"/>
      <x:c r="L1401"/>
      <x:c r="M1401" t="n">
        <x:v>-119.96</x:v>
      </x:c>
      <x:c r="N1401" t="str">
        <x:v>2025-02</x:v>
      </x:c>
      <x:c r="O1401" t="str">
        <x:v>Ausgabe</x:v>
      </x:c>
      <x:c r="P1401" t="str">
        <x:v>Ist</x:v>
      </x:c>
      <x:c r="Q1401" s="59" t="b">
        <x:v>0</x:v>
      </x:c>
      <x:c r="R1401" t="str">
        <x:v>kein_transfer</x:v>
      </x:c>
      <x:c r="S1401"/>
      <x:c r="T1401"/>
      <x:c r="U1401"/>
      <x:c r="V1401" s="59" t="b">
        <x:v>1</x:v>
      </x:c>
      <x:c r="W1401"/>
      <x:c r="X1401" t="str">
        <x:v>offen</x:v>
      </x:c>
      <x:c r="Y1401" t="str">
        <x:v>Agent-Draft; Kategorie und Person pruefen</x:v>
      </x:c>
    </x:row>
    <x:row r="1402">
      <x:c r="A1402" t="str">
        <x:v>TXN-RAW-IMP-20260516-FULLDRAFT-001386</x:v>
      </x:c>
      <x:c r="B1402" t="str">
        <x:v>RAW-IMP-20260516-FULLDRAFT-001386</x:v>
      </x:c>
      <x:c r="C1402" t="str">
        <x:v>KTO001</x:v>
      </x:c>
      <x:c r="D1402"/>
      <x:c r="E1402" t="str">
        <x:v>KAT013</x:v>
      </x:c>
      <x:c r="F1402"/>
      <x:c r="G1402"/>
      <x:c r="H1402" t="str">
        <x:v>kein_match</x:v>
      </x:c>
      <x:c r="I1402" t="str">
        <x:v>Agent-Draft: keine finale Regelentscheidung</x:v>
      </x:c>
      <x:c r="J1402" t="n">
        <x:v>45694</x:v>
      </x:c>
      <x:c r="K1402"/>
      <x:c r="L1402"/>
      <x:c r="M1402" t="n">
        <x:v>-61.93</x:v>
      </x:c>
      <x:c r="N1402" t="str">
        <x:v>2025-02</x:v>
      </x:c>
      <x:c r="O1402" t="str">
        <x:v>Ausgabe</x:v>
      </x:c>
      <x:c r="P1402" t="str">
        <x:v>Ist</x:v>
      </x:c>
      <x:c r="Q1402" s="59" t="b">
        <x:v>0</x:v>
      </x:c>
      <x:c r="R1402" t="str">
        <x:v>kein_transfer</x:v>
      </x:c>
      <x:c r="S1402"/>
      <x:c r="T1402"/>
      <x:c r="U1402"/>
      <x:c r="V1402" s="59" t="b">
        <x:v>1</x:v>
      </x:c>
      <x:c r="W1402"/>
      <x:c r="X1402" t="str">
        <x:v>offen</x:v>
      </x:c>
      <x:c r="Y1402" t="str">
        <x:v>Agent-Draft; Kategorie und Person pruefen</x:v>
      </x:c>
    </x:row>
    <x:row r="1403">
      <x:c r="A1403" t="str">
        <x:v>TXN-RAW-IMP-20260516-FULLDRAFT-001387</x:v>
      </x:c>
      <x:c r="B1403" t="str">
        <x:v>RAW-IMP-20260516-FULLDRAFT-001387</x:v>
      </x:c>
      <x:c r="C1403" t="str">
        <x:v>KTO001</x:v>
      </x:c>
      <x:c r="D1403"/>
      <x:c r="E1403" t="str">
        <x:v>KAT013</x:v>
      </x:c>
      <x:c r="F1403"/>
      <x:c r="G1403"/>
      <x:c r="H1403" t="str">
        <x:v>kein_match</x:v>
      </x:c>
      <x:c r="I1403" t="str">
        <x:v>Agent-Draft: keine finale Regelentscheidung</x:v>
      </x:c>
      <x:c r="J1403" t="n">
        <x:v>45694</x:v>
      </x:c>
      <x:c r="K1403"/>
      <x:c r="L1403"/>
      <x:c r="M1403" t="n">
        <x:v>-49.9</x:v>
      </x:c>
      <x:c r="N1403" t="str">
        <x:v>2025-02</x:v>
      </x:c>
      <x:c r="O1403" t="str">
        <x:v>Ausgabe</x:v>
      </x:c>
      <x:c r="P1403" t="str">
        <x:v>Ist</x:v>
      </x:c>
      <x:c r="Q1403" s="59" t="b">
        <x:v>0</x:v>
      </x:c>
      <x:c r="R1403" t="str">
        <x:v>kein_transfer</x:v>
      </x:c>
      <x:c r="S1403"/>
      <x:c r="T1403"/>
      <x:c r="U1403"/>
      <x:c r="V1403" s="59" t="b">
        <x:v>1</x:v>
      </x:c>
      <x:c r="W1403"/>
      <x:c r="X1403" t="str">
        <x:v>offen</x:v>
      </x:c>
      <x:c r="Y1403" t="str">
        <x:v>Agent-Draft; Kategorie und Person pruefen</x:v>
      </x:c>
    </x:row>
    <x:row r="1404">
      <x:c r="A1404" t="str">
        <x:v>TXN-RAW-IMP-20260516-FULLDRAFT-001388</x:v>
      </x:c>
      <x:c r="B1404" t="str">
        <x:v>RAW-IMP-20260516-FULLDRAFT-001388</x:v>
      </x:c>
      <x:c r="C1404" t="str">
        <x:v>KTO001</x:v>
      </x:c>
      <x:c r="D1404"/>
      <x:c r="E1404" t="str">
        <x:v>KAT013</x:v>
      </x:c>
      <x:c r="F1404"/>
      <x:c r="G1404"/>
      <x:c r="H1404" t="str">
        <x:v>kein_match</x:v>
      </x:c>
      <x:c r="I1404" t="str">
        <x:v>Agent-Draft: keine finale Regelentscheidung</x:v>
      </x:c>
      <x:c r="J1404" t="n">
        <x:v>45693</x:v>
      </x:c>
      <x:c r="K1404"/>
      <x:c r="L1404"/>
      <x:c r="M1404" t="n">
        <x:v>-4.29</x:v>
      </x:c>
      <x:c r="N1404" t="str">
        <x:v>2025-02</x:v>
      </x:c>
      <x:c r="O1404" t="str">
        <x:v>Ausgabe</x:v>
      </x:c>
      <x:c r="P1404" t="str">
        <x:v>Ist</x:v>
      </x:c>
      <x:c r="Q1404" s="59" t="b">
        <x:v>0</x:v>
      </x:c>
      <x:c r="R1404" t="str">
        <x:v>kein_transfer</x:v>
      </x:c>
      <x:c r="S1404"/>
      <x:c r="T1404"/>
      <x:c r="U1404"/>
      <x:c r="V1404" s="59" t="b">
        <x:v>1</x:v>
      </x:c>
      <x:c r="W1404"/>
      <x:c r="X1404" t="str">
        <x:v>offen</x:v>
      </x:c>
      <x:c r="Y1404" t="str">
        <x:v>Agent-Draft; Kategorie und Person pruefen</x:v>
      </x:c>
    </x:row>
    <x:row r="1405">
      <x:c r="A1405" t="str">
        <x:v>TXN-RAW-IMP-20260516-FULLDRAFT-001389</x:v>
      </x:c>
      <x:c r="B1405" t="str">
        <x:v>RAW-IMP-20260516-FULLDRAFT-001389</x:v>
      </x:c>
      <x:c r="C1405" t="str">
        <x:v>KTO001</x:v>
      </x:c>
      <x:c r="D1405"/>
      <x:c r="E1405" t="str">
        <x:v>KAT013</x:v>
      </x:c>
      <x:c r="F1405"/>
      <x:c r="G1405"/>
      <x:c r="H1405" t="str">
        <x:v>kein_match</x:v>
      </x:c>
      <x:c r="I1405" t="str">
        <x:v>Agent-Draft: keine finale Regelentscheidung</x:v>
      </x:c>
      <x:c r="J1405" t="n">
        <x:v>45693</x:v>
      </x:c>
      <x:c r="K1405"/>
      <x:c r="L1405"/>
      <x:c r="M1405" t="n">
        <x:v>-90</x:v>
      </x:c>
      <x:c r="N1405" t="str">
        <x:v>2025-02</x:v>
      </x:c>
      <x:c r="O1405" t="str">
        <x:v>Ausgabe</x:v>
      </x:c>
      <x:c r="P1405" t="str">
        <x:v>Ist</x:v>
      </x:c>
      <x:c r="Q1405" s="59" t="b">
        <x:v>0</x:v>
      </x:c>
      <x:c r="R1405" t="str">
        <x:v>kein_transfer</x:v>
      </x:c>
      <x:c r="S1405"/>
      <x:c r="T1405"/>
      <x:c r="U1405"/>
      <x:c r="V1405" s="59" t="b">
        <x:v>1</x:v>
      </x:c>
      <x:c r="W1405"/>
      <x:c r="X1405" t="str">
        <x:v>offen</x:v>
      </x:c>
      <x:c r="Y1405" t="str">
        <x:v>Agent-Draft; Kategorie und Person pruefen</x:v>
      </x:c>
    </x:row>
    <x:row r="1406">
      <x:c r="A1406" t="str">
        <x:v>TXN-RAW-IMP-20260516-FULLDRAFT-001390</x:v>
      </x:c>
      <x:c r="B1406" t="str">
        <x:v>RAW-IMP-20260516-FULLDRAFT-001390</x:v>
      </x:c>
      <x:c r="C1406" t="str">
        <x:v>KTO001</x:v>
      </x:c>
      <x:c r="D1406"/>
      <x:c r="E1406" t="str">
        <x:v>KAT013</x:v>
      </x:c>
      <x:c r="F1406"/>
      <x:c r="G1406"/>
      <x:c r="H1406" t="str">
        <x:v>kein_match</x:v>
      </x:c>
      <x:c r="I1406" t="str">
        <x:v>Agent-Draft: keine finale Regelentscheidung</x:v>
      </x:c>
      <x:c r="J1406" t="n">
        <x:v>45692</x:v>
      </x:c>
      <x:c r="K1406"/>
      <x:c r="L1406"/>
      <x:c r="M1406" t="n">
        <x:v>-7</x:v>
      </x:c>
      <x:c r="N1406" t="str">
        <x:v>2025-02</x:v>
      </x:c>
      <x:c r="O1406" t="str">
        <x:v>Ausgabe</x:v>
      </x:c>
      <x:c r="P1406" t="str">
        <x:v>Ist</x:v>
      </x:c>
      <x:c r="Q1406" s="59" t="b">
        <x:v>0</x:v>
      </x:c>
      <x:c r="R1406" t="str">
        <x:v>kein_transfer</x:v>
      </x:c>
      <x:c r="S1406"/>
      <x:c r="T1406"/>
      <x:c r="U1406"/>
      <x:c r="V1406" s="59" t="b">
        <x:v>1</x:v>
      </x:c>
      <x:c r="W1406"/>
      <x:c r="X1406" t="str">
        <x:v>offen</x:v>
      </x:c>
      <x:c r="Y1406" t="str">
        <x:v>Agent-Draft; Kategorie und Person pruefen</x:v>
      </x:c>
    </x:row>
    <x:row r="1407">
      <x:c r="A1407" t="str">
        <x:v>TXN-RAW-IMP-20260516-FULLDRAFT-001391</x:v>
      </x:c>
      <x:c r="B1407" t="str">
        <x:v>RAW-IMP-20260516-FULLDRAFT-001391</x:v>
      </x:c>
      <x:c r="C1407" t="str">
        <x:v>KTO001</x:v>
      </x:c>
      <x:c r="D1407"/>
      <x:c r="E1407" t="str">
        <x:v>KAT013</x:v>
      </x:c>
      <x:c r="F1407"/>
      <x:c r="G1407"/>
      <x:c r="H1407" t="str">
        <x:v>kein_match</x:v>
      </x:c>
      <x:c r="I1407" t="str">
        <x:v>Agent-Draft: keine finale Regelentscheidung</x:v>
      </x:c>
      <x:c r="J1407" t="n">
        <x:v>45692</x:v>
      </x:c>
      <x:c r="K1407"/>
      <x:c r="L1407"/>
      <x:c r="M1407" t="n">
        <x:v>-7</x:v>
      </x:c>
      <x:c r="N1407" t="str">
        <x:v>2025-02</x:v>
      </x:c>
      <x:c r="O1407" t="str">
        <x:v>Ausgabe</x:v>
      </x:c>
      <x:c r="P1407" t="str">
        <x:v>Ist</x:v>
      </x:c>
      <x:c r="Q1407" s="59" t="b">
        <x:v>0</x:v>
      </x:c>
      <x:c r="R1407" t="str">
        <x:v>kein_transfer</x:v>
      </x:c>
      <x:c r="S1407"/>
      <x:c r="T1407"/>
      <x:c r="U1407"/>
      <x:c r="V1407" s="59" t="b">
        <x:v>1</x:v>
      </x:c>
      <x:c r="W1407"/>
      <x:c r="X1407" t="str">
        <x:v>offen</x:v>
      </x:c>
      <x:c r="Y1407" t="str">
        <x:v>Agent-Draft; Kategorie und Person pruefen</x:v>
      </x:c>
    </x:row>
    <x:row r="1408">
      <x:c r="A1408" t="str">
        <x:v>TXN-RAW-IMP-20260516-FULLDRAFT-001392</x:v>
      </x:c>
      <x:c r="B1408" t="str">
        <x:v>RAW-IMP-20260516-FULLDRAFT-001392</x:v>
      </x:c>
      <x:c r="C1408" t="str">
        <x:v>KTO001</x:v>
      </x:c>
      <x:c r="D1408"/>
      <x:c r="E1408" t="str">
        <x:v>KAT013</x:v>
      </x:c>
      <x:c r="F1408"/>
      <x:c r="G1408"/>
      <x:c r="H1408" t="str">
        <x:v>kein_match</x:v>
      </x:c>
      <x:c r="I1408" t="str">
        <x:v>Agent-Draft: keine finale Regelentscheidung</x:v>
      </x:c>
      <x:c r="J1408" t="n">
        <x:v>45692</x:v>
      </x:c>
      <x:c r="K1408"/>
      <x:c r="L1408"/>
      <x:c r="M1408" t="n">
        <x:v>-9.27</x:v>
      </x:c>
      <x:c r="N1408" t="str">
        <x:v>2025-02</x:v>
      </x:c>
      <x:c r="O1408" t="str">
        <x:v>Ausgabe</x:v>
      </x:c>
      <x:c r="P1408" t="str">
        <x:v>Ist</x:v>
      </x:c>
      <x:c r="Q1408" s="59" t="b">
        <x:v>0</x:v>
      </x:c>
      <x:c r="R1408" t="str">
        <x:v>kein_transfer</x:v>
      </x:c>
      <x:c r="S1408"/>
      <x:c r="T1408"/>
      <x:c r="U1408"/>
      <x:c r="V1408" s="59" t="b">
        <x:v>1</x:v>
      </x:c>
      <x:c r="W1408"/>
      <x:c r="X1408" t="str">
        <x:v>offen</x:v>
      </x:c>
      <x:c r="Y1408" t="str">
        <x:v>Agent-Draft; Kategorie und Person pruefen</x:v>
      </x:c>
    </x:row>
    <x:row r="1409">
      <x:c r="A1409" t="str">
        <x:v>TXN-RAW-IMP-20260516-FULLDRAFT-001393</x:v>
      </x:c>
      <x:c r="B1409" t="str">
        <x:v>RAW-IMP-20260516-FULLDRAFT-001393</x:v>
      </x:c>
      <x:c r="C1409" t="str">
        <x:v>KTO001</x:v>
      </x:c>
      <x:c r="D1409"/>
      <x:c r="E1409" t="str">
        <x:v>KAT013</x:v>
      </x:c>
      <x:c r="F1409"/>
      <x:c r="G1409"/>
      <x:c r="H1409" t="str">
        <x:v>kein_match</x:v>
      </x:c>
      <x:c r="I1409" t="str">
        <x:v>Agent-Draft: keine finale Regelentscheidung</x:v>
      </x:c>
      <x:c r="J1409" t="n">
        <x:v>45692</x:v>
      </x:c>
      <x:c r="K1409"/>
      <x:c r="L1409"/>
      <x:c r="M1409" t="n">
        <x:v>-4.5</x:v>
      </x:c>
      <x:c r="N1409" t="str">
        <x:v>2025-02</x:v>
      </x:c>
      <x:c r="O1409" t="str">
        <x:v>Ausgabe</x:v>
      </x:c>
      <x:c r="P1409" t="str">
        <x:v>Ist</x:v>
      </x:c>
      <x:c r="Q1409" s="59" t="b">
        <x:v>0</x:v>
      </x:c>
      <x:c r="R1409" t="str">
        <x:v>kein_transfer</x:v>
      </x:c>
      <x:c r="S1409"/>
      <x:c r="T1409"/>
      <x:c r="U1409"/>
      <x:c r="V1409" s="59" t="b">
        <x:v>1</x:v>
      </x:c>
      <x:c r="W1409"/>
      <x:c r="X1409" t="str">
        <x:v>offen</x:v>
      </x:c>
      <x:c r="Y1409" t="str">
        <x:v>Agent-Draft; Kategorie und Person pruefen</x:v>
      </x:c>
    </x:row>
    <x:row r="1410">
      <x:c r="A1410" t="str">
        <x:v>TXN-RAW-IMP-20260516-FULLDRAFT-001394</x:v>
      </x:c>
      <x:c r="B1410" t="str">
        <x:v>RAW-IMP-20260516-FULLDRAFT-001394</x:v>
      </x:c>
      <x:c r="C1410" t="str">
        <x:v>KTO001</x:v>
      </x:c>
      <x:c r="D1410"/>
      <x:c r="E1410" t="str">
        <x:v>KAT013</x:v>
      </x:c>
      <x:c r="F1410"/>
      <x:c r="G1410"/>
      <x:c r="H1410" t="str">
        <x:v>kein_match</x:v>
      </x:c>
      <x:c r="I1410" t="str">
        <x:v>Agent-Draft: keine finale Regelentscheidung</x:v>
      </x:c>
      <x:c r="J1410" t="n">
        <x:v>45692</x:v>
      </x:c>
      <x:c r="K1410"/>
      <x:c r="L1410"/>
      <x:c r="M1410" t="n">
        <x:v>-128</x:v>
      </x:c>
      <x:c r="N1410" t="str">
        <x:v>2025-02</x:v>
      </x:c>
      <x:c r="O1410" t="str">
        <x:v>Ausgabe</x:v>
      </x:c>
      <x:c r="P1410" t="str">
        <x:v>Ist</x:v>
      </x:c>
      <x:c r="Q1410" s="59" t="b">
        <x:v>0</x:v>
      </x:c>
      <x:c r="R1410" t="str">
        <x:v>kein_transfer</x:v>
      </x:c>
      <x:c r="S1410"/>
      <x:c r="T1410"/>
      <x:c r="U1410"/>
      <x:c r="V1410" s="59" t="b">
        <x:v>1</x:v>
      </x:c>
      <x:c r="W1410"/>
      <x:c r="X1410" t="str">
        <x:v>offen</x:v>
      </x:c>
      <x:c r="Y1410" t="str">
        <x:v>Agent-Draft; Kategorie und Person pruefen</x:v>
      </x:c>
    </x:row>
    <x:row r="1411">
      <x:c r="A1411" t="str">
        <x:v>TXN-RAW-IMP-20260516-FULLDRAFT-001395</x:v>
      </x:c>
      <x:c r="B1411" t="str">
        <x:v>RAW-IMP-20260516-FULLDRAFT-001395</x:v>
      </x:c>
      <x:c r="C1411" t="str">
        <x:v>KTO001</x:v>
      </x:c>
      <x:c r="D1411"/>
      <x:c r="E1411" t="str">
        <x:v>KAT013</x:v>
      </x:c>
      <x:c r="F1411"/>
      <x:c r="G1411"/>
      <x:c r="H1411" t="str">
        <x:v>kein_match</x:v>
      </x:c>
      <x:c r="I1411" t="str">
        <x:v>Agent-Draft: keine finale Regelentscheidung</x:v>
      </x:c>
      <x:c r="J1411" t="n">
        <x:v>45692</x:v>
      </x:c>
      <x:c r="K1411"/>
      <x:c r="L1411"/>
      <x:c r="M1411" t="n">
        <x:v>-1.69</x:v>
      </x:c>
      <x:c r="N1411" t="str">
        <x:v>2025-02</x:v>
      </x:c>
      <x:c r="O1411" t="str">
        <x:v>Ausgabe</x:v>
      </x:c>
      <x:c r="P1411" t="str">
        <x:v>Ist</x:v>
      </x:c>
      <x:c r="Q1411" s="59" t="b">
        <x:v>0</x:v>
      </x:c>
      <x:c r="R1411" t="str">
        <x:v>kein_transfer</x:v>
      </x:c>
      <x:c r="S1411"/>
      <x:c r="T1411"/>
      <x:c r="U1411"/>
      <x:c r="V1411" s="59" t="b">
        <x:v>1</x:v>
      </x:c>
      <x:c r="W1411"/>
      <x:c r="X1411" t="str">
        <x:v>offen</x:v>
      </x:c>
      <x:c r="Y1411" t="str">
        <x:v>Agent-Draft; Kategorie und Person pruefen</x:v>
      </x:c>
    </x:row>
    <x:row r="1412">
      <x:c r="A1412" t="str">
        <x:v>TXN-RAW-IMP-20260516-FULLDRAFT-001396</x:v>
      </x:c>
      <x:c r="B1412" t="str">
        <x:v>RAW-IMP-20260516-FULLDRAFT-001396</x:v>
      </x:c>
      <x:c r="C1412" t="str">
        <x:v>KTO001</x:v>
      </x:c>
      <x:c r="D1412"/>
      <x:c r="E1412" t="str">
        <x:v>KAT013</x:v>
      </x:c>
      <x:c r="F1412"/>
      <x:c r="G1412"/>
      <x:c r="H1412" t="str">
        <x:v>kein_match</x:v>
      </x:c>
      <x:c r="I1412" t="str">
        <x:v>Agent-Draft: keine finale Regelentscheidung</x:v>
      </x:c>
      <x:c r="J1412" t="n">
        <x:v>45692</x:v>
      </x:c>
      <x:c r="K1412"/>
      <x:c r="L1412"/>
      <x:c r="M1412" t="n">
        <x:v>-25</x:v>
      </x:c>
      <x:c r="N1412" t="str">
        <x:v>2025-02</x:v>
      </x:c>
      <x:c r="O1412" t="str">
        <x:v>Ausgabe</x:v>
      </x:c>
      <x:c r="P1412" t="str">
        <x:v>Ist</x:v>
      </x:c>
      <x:c r="Q1412" s="59" t="b">
        <x:v>0</x:v>
      </x:c>
      <x:c r="R1412" t="str">
        <x:v>kein_transfer</x:v>
      </x:c>
      <x:c r="S1412"/>
      <x:c r="T1412"/>
      <x:c r="U1412"/>
      <x:c r="V1412" s="59" t="b">
        <x:v>1</x:v>
      </x:c>
      <x:c r="W1412"/>
      <x:c r="X1412" t="str">
        <x:v>offen</x:v>
      </x:c>
      <x:c r="Y1412" t="str">
        <x:v>Agent-Draft; Kategorie und Person pruefen</x:v>
      </x:c>
    </x:row>
    <x:row r="1413">
      <x:c r="A1413" t="str">
        <x:v>TXN-RAW-IMP-20260516-FULLDRAFT-001397</x:v>
      </x:c>
      <x:c r="B1413" t="str">
        <x:v>RAW-IMP-20260516-FULLDRAFT-001397</x:v>
      </x:c>
      <x:c r="C1413" t="str">
        <x:v>KTO001</x:v>
      </x:c>
      <x:c r="D1413"/>
      <x:c r="E1413" t="str">
        <x:v>KAT013</x:v>
      </x:c>
      <x:c r="F1413"/>
      <x:c r="G1413"/>
      <x:c r="H1413" t="str">
        <x:v>kein_match</x:v>
      </x:c>
      <x:c r="I1413" t="str">
        <x:v>Agent-Draft: keine finale Regelentscheidung</x:v>
      </x:c>
      <x:c r="J1413" t="n">
        <x:v>45692</x:v>
      </x:c>
      <x:c r="K1413"/>
      <x:c r="L1413"/>
      <x:c r="M1413" t="n">
        <x:v>-8.3</x:v>
      </x:c>
      <x:c r="N1413" t="str">
        <x:v>2025-02</x:v>
      </x:c>
      <x:c r="O1413" t="str">
        <x:v>Ausgabe</x:v>
      </x:c>
      <x:c r="P1413" t="str">
        <x:v>Ist</x:v>
      </x:c>
      <x:c r="Q1413" s="59" t="b">
        <x:v>0</x:v>
      </x:c>
      <x:c r="R1413" t="str">
        <x:v>kein_transfer</x:v>
      </x:c>
      <x:c r="S1413"/>
      <x:c r="T1413"/>
      <x:c r="U1413"/>
      <x:c r="V1413" s="59" t="b">
        <x:v>1</x:v>
      </x:c>
      <x:c r="W1413"/>
      <x:c r="X1413" t="str">
        <x:v>offen</x:v>
      </x:c>
      <x:c r="Y1413" t="str">
        <x:v>Agent-Draft; Kategorie und Person pruefen</x:v>
      </x:c>
    </x:row>
    <x:row r="1414">
      <x:c r="A1414" t="str">
        <x:v>TXN-RAW-IMP-20260516-FULLDRAFT-001398</x:v>
      </x:c>
      <x:c r="B1414" t="str">
        <x:v>RAW-IMP-20260516-FULLDRAFT-001398</x:v>
      </x:c>
      <x:c r="C1414" t="str">
        <x:v>KTO001</x:v>
      </x:c>
      <x:c r="D1414"/>
      <x:c r="E1414" t="str">
        <x:v>KAT013</x:v>
      </x:c>
      <x:c r="F1414"/>
      <x:c r="G1414"/>
      <x:c r="H1414" t="str">
        <x:v>kein_match</x:v>
      </x:c>
      <x:c r="I1414" t="str">
        <x:v>Agent-Draft: keine finale Regelentscheidung</x:v>
      </x:c>
      <x:c r="J1414" t="n">
        <x:v>45692</x:v>
      </x:c>
      <x:c r="K1414"/>
      <x:c r="L1414"/>
      <x:c r="M1414" t="n">
        <x:v>-57.5</x:v>
      </x:c>
      <x:c r="N1414" t="str">
        <x:v>2025-02</x:v>
      </x:c>
      <x:c r="O1414" t="str">
        <x:v>Ausgabe</x:v>
      </x:c>
      <x:c r="P1414" t="str">
        <x:v>Ist</x:v>
      </x:c>
      <x:c r="Q1414" s="59" t="b">
        <x:v>0</x:v>
      </x:c>
      <x:c r="R1414" t="str">
        <x:v>kein_transfer</x:v>
      </x:c>
      <x:c r="S1414"/>
      <x:c r="T1414"/>
      <x:c r="U1414"/>
      <x:c r="V1414" s="59" t="b">
        <x:v>1</x:v>
      </x:c>
      <x:c r="W1414"/>
      <x:c r="X1414" t="str">
        <x:v>offen</x:v>
      </x:c>
      <x:c r="Y1414" t="str">
        <x:v>Agent-Draft; Kategorie und Person pruefen</x:v>
      </x:c>
    </x:row>
    <x:row r="1415">
      <x:c r="A1415" t="str">
        <x:v>TXN-RAW-IMP-20260516-FULLDRAFT-001399</x:v>
      </x:c>
      <x:c r="B1415" t="str">
        <x:v>RAW-IMP-20260516-FULLDRAFT-001399</x:v>
      </x:c>
      <x:c r="C1415" t="str">
        <x:v>KTO001</x:v>
      </x:c>
      <x:c r="D1415"/>
      <x:c r="E1415" t="str">
        <x:v>KAT013</x:v>
      </x:c>
      <x:c r="F1415"/>
      <x:c r="G1415"/>
      <x:c r="H1415" t="str">
        <x:v>kein_match</x:v>
      </x:c>
      <x:c r="I1415" t="str">
        <x:v>Agent-Draft: keine finale Regelentscheidung</x:v>
      </x:c>
      <x:c r="J1415" t="n">
        <x:v>45692</x:v>
      </x:c>
      <x:c r="K1415"/>
      <x:c r="L1415"/>
      <x:c r="M1415" t="n">
        <x:v>-11.96</x:v>
      </x:c>
      <x:c r="N1415" t="str">
        <x:v>2025-02</x:v>
      </x:c>
      <x:c r="O1415" t="str">
        <x:v>Ausgabe</x:v>
      </x:c>
      <x:c r="P1415" t="str">
        <x:v>Ist</x:v>
      </x:c>
      <x:c r="Q1415" s="59" t="b">
        <x:v>0</x:v>
      </x:c>
      <x:c r="R1415" t="str">
        <x:v>kein_transfer</x:v>
      </x:c>
      <x:c r="S1415"/>
      <x:c r="T1415"/>
      <x:c r="U1415"/>
      <x:c r="V1415" s="59" t="b">
        <x:v>1</x:v>
      </x:c>
      <x:c r="W1415"/>
      <x:c r="X1415" t="str">
        <x:v>offen</x:v>
      </x:c>
      <x:c r="Y1415" t="str">
        <x:v>Agent-Draft; Kategorie und Person pruefen</x:v>
      </x:c>
    </x:row>
    <x:row r="1416">
      <x:c r="A1416" t="str">
        <x:v>TXN-RAW-IMP-20260516-FULLDRAFT-001400</x:v>
      </x:c>
      <x:c r="B1416" t="str">
        <x:v>RAW-IMP-20260516-FULLDRAFT-001400</x:v>
      </x:c>
      <x:c r="C1416" t="str">
        <x:v>KTO001</x:v>
      </x:c>
      <x:c r="D1416"/>
      <x:c r="E1416" t="str">
        <x:v>KAT013</x:v>
      </x:c>
      <x:c r="F1416"/>
      <x:c r="G1416"/>
      <x:c r="H1416" t="str">
        <x:v>kein_match</x:v>
      </x:c>
      <x:c r="I1416" t="str">
        <x:v>Agent-Draft: keine finale Regelentscheidung</x:v>
      </x:c>
      <x:c r="J1416" t="n">
        <x:v>45692</x:v>
      </x:c>
      <x:c r="K1416"/>
      <x:c r="L1416"/>
      <x:c r="M1416" t="n">
        <x:v>-53.3</x:v>
      </x:c>
      <x:c r="N1416" t="str">
        <x:v>2025-02</x:v>
      </x:c>
      <x:c r="O1416" t="str">
        <x:v>Ausgabe</x:v>
      </x:c>
      <x:c r="P1416" t="str">
        <x:v>Ist</x:v>
      </x:c>
      <x:c r="Q1416" s="59" t="b">
        <x:v>0</x:v>
      </x:c>
      <x:c r="R1416" t="str">
        <x:v>kein_transfer</x:v>
      </x:c>
      <x:c r="S1416"/>
      <x:c r="T1416"/>
      <x:c r="U1416"/>
      <x:c r="V1416" s="59" t="b">
        <x:v>1</x:v>
      </x:c>
      <x:c r="W1416"/>
      <x:c r="X1416" t="str">
        <x:v>offen</x:v>
      </x:c>
      <x:c r="Y1416" t="str">
        <x:v>Agent-Draft; Kategorie und Person pruefen</x:v>
      </x:c>
    </x:row>
    <x:row r="1417">
      <x:c r="A1417" t="str">
        <x:v>TXN-RAW-IMP-20260516-FULLDRAFT-001401</x:v>
      </x:c>
      <x:c r="B1417" t="str">
        <x:v>RAW-IMP-20260516-FULLDRAFT-001401</x:v>
      </x:c>
      <x:c r="C1417" t="str">
        <x:v>KTO001</x:v>
      </x:c>
      <x:c r="D1417"/>
      <x:c r="E1417" t="str">
        <x:v>KAT013</x:v>
      </x:c>
      <x:c r="F1417"/>
      <x:c r="G1417"/>
      <x:c r="H1417" t="str">
        <x:v>kein_match</x:v>
      </x:c>
      <x:c r="I1417" t="str">
        <x:v>Agent-Draft: keine finale Regelentscheidung</x:v>
      </x:c>
      <x:c r="J1417" t="n">
        <x:v>45692</x:v>
      </x:c>
      <x:c r="K1417"/>
      <x:c r="L1417"/>
      <x:c r="M1417" t="n">
        <x:v>-18.14</x:v>
      </x:c>
      <x:c r="N1417" t="str">
        <x:v>2025-02</x:v>
      </x:c>
      <x:c r="O1417" t="str">
        <x:v>Ausgabe</x:v>
      </x:c>
      <x:c r="P1417" t="str">
        <x:v>Ist</x:v>
      </x:c>
      <x:c r="Q1417" s="59" t="b">
        <x:v>0</x:v>
      </x:c>
      <x:c r="R1417" t="str">
        <x:v>kein_transfer</x:v>
      </x:c>
      <x:c r="S1417"/>
      <x:c r="T1417"/>
      <x:c r="U1417"/>
      <x:c r="V1417" s="59" t="b">
        <x:v>1</x:v>
      </x:c>
      <x:c r="W1417"/>
      <x:c r="X1417" t="str">
        <x:v>offen</x:v>
      </x:c>
      <x:c r="Y1417" t="str">
        <x:v>Agent-Draft; Kategorie und Person pruefen</x:v>
      </x:c>
    </x:row>
    <x:row r="1418">
      <x:c r="A1418" t="str">
        <x:v>TXN-RAW-IMP-20260516-FULLDRAFT-001402</x:v>
      </x:c>
      <x:c r="B1418" t="str">
        <x:v>RAW-IMP-20260516-FULLDRAFT-001402</x:v>
      </x:c>
      <x:c r="C1418" t="str">
        <x:v>KTO001</x:v>
      </x:c>
      <x:c r="D1418"/>
      <x:c r="E1418" t="str">
        <x:v>KAT013</x:v>
      </x:c>
      <x:c r="F1418"/>
      <x:c r="G1418"/>
      <x:c r="H1418" t="str">
        <x:v>kein_match</x:v>
      </x:c>
      <x:c r="I1418" t="str">
        <x:v>Agent-Draft: keine finale Regelentscheidung</x:v>
      </x:c>
      <x:c r="J1418" t="n">
        <x:v>45691</x:v>
      </x:c>
      <x:c r="K1418"/>
      <x:c r="L1418"/>
      <x:c r="M1418" t="n">
        <x:v>-15.95</x:v>
      </x:c>
      <x:c r="N1418" t="str">
        <x:v>2025-02</x:v>
      </x:c>
      <x:c r="O1418" t="str">
        <x:v>Ausgabe</x:v>
      </x:c>
      <x:c r="P1418" t="str">
        <x:v>Ist</x:v>
      </x:c>
      <x:c r="Q1418" s="59" t="b">
        <x:v>0</x:v>
      </x:c>
      <x:c r="R1418" t="str">
        <x:v>kein_transfer</x:v>
      </x:c>
      <x:c r="S1418"/>
      <x:c r="T1418"/>
      <x:c r="U1418"/>
      <x:c r="V1418" s="59" t="b">
        <x:v>1</x:v>
      </x:c>
      <x:c r="W1418"/>
      <x:c r="X1418" t="str">
        <x:v>offen</x:v>
      </x:c>
      <x:c r="Y1418" t="str">
        <x:v>Agent-Draft; Kategorie und Person pruefen</x:v>
      </x:c>
    </x:row>
    <x:row r="1419">
      <x:c r="A1419" t="str">
        <x:v>TXN-RAW-IMP-20260516-FULLDRAFT-001403</x:v>
      </x:c>
      <x:c r="B1419" t="str">
        <x:v>RAW-IMP-20260516-FULLDRAFT-001403</x:v>
      </x:c>
      <x:c r="C1419" t="str">
        <x:v>KTO001</x:v>
      </x:c>
      <x:c r="D1419"/>
      <x:c r="E1419" t="str">
        <x:v>KAT013</x:v>
      </x:c>
      <x:c r="F1419"/>
      <x:c r="G1419"/>
      <x:c r="H1419" t="str">
        <x:v>kein_match</x:v>
      </x:c>
      <x:c r="I1419" t="str">
        <x:v>Agent-Draft: keine finale Regelentscheidung</x:v>
      </x:c>
      <x:c r="J1419" t="n">
        <x:v>45691</x:v>
      </x:c>
      <x:c r="K1419"/>
      <x:c r="L1419"/>
      <x:c r="M1419" t="n">
        <x:v>-32.85</x:v>
      </x:c>
      <x:c r="N1419" t="str">
        <x:v>2025-02</x:v>
      </x:c>
      <x:c r="O1419" t="str">
        <x:v>Ausgabe</x:v>
      </x:c>
      <x:c r="P1419" t="str">
        <x:v>Ist</x:v>
      </x:c>
      <x:c r="Q1419" s="59" t="b">
        <x:v>0</x:v>
      </x:c>
      <x:c r="R1419" t="str">
        <x:v>kein_transfer</x:v>
      </x:c>
      <x:c r="S1419"/>
      <x:c r="T1419"/>
      <x:c r="U1419"/>
      <x:c r="V1419" s="59" t="b">
        <x:v>1</x:v>
      </x:c>
      <x:c r="W1419"/>
      <x:c r="X1419" t="str">
        <x:v>offen</x:v>
      </x:c>
      <x:c r="Y1419" t="str">
        <x:v>Agent-Draft; Kategorie und Person pruefen</x:v>
      </x:c>
    </x:row>
    <x:row r="1420">
      <x:c r="A1420" t="str">
        <x:v>TXN-RAW-IMP-20260516-FULLDRAFT-001404</x:v>
      </x:c>
      <x:c r="B1420" t="str">
        <x:v>RAW-IMP-20260516-FULLDRAFT-001404</x:v>
      </x:c>
      <x:c r="C1420" t="str">
        <x:v>KTO001</x:v>
      </x:c>
      <x:c r="D1420"/>
      <x:c r="E1420" t="str">
        <x:v>KAT013</x:v>
      </x:c>
      <x:c r="F1420"/>
      <x:c r="G1420"/>
      <x:c r="H1420" t="str">
        <x:v>kein_match</x:v>
      </x:c>
      <x:c r="I1420" t="str">
        <x:v>Agent-Draft: keine finale Regelentscheidung</x:v>
      </x:c>
      <x:c r="J1420" t="n">
        <x:v>45691</x:v>
      </x:c>
      <x:c r="K1420"/>
      <x:c r="L1420"/>
      <x:c r="M1420" t="n">
        <x:v>-2.29</x:v>
      </x:c>
      <x:c r="N1420" t="str">
        <x:v>2025-02</x:v>
      </x:c>
      <x:c r="O1420" t="str">
        <x:v>Ausgabe</x:v>
      </x:c>
      <x:c r="P1420" t="str">
        <x:v>Ist</x:v>
      </x:c>
      <x:c r="Q1420" s="59" t="b">
        <x:v>0</x:v>
      </x:c>
      <x:c r="R1420" t="str">
        <x:v>kein_transfer</x:v>
      </x:c>
      <x:c r="S1420"/>
      <x:c r="T1420"/>
      <x:c r="U1420"/>
      <x:c r="V1420" s="59" t="b">
        <x:v>1</x:v>
      </x:c>
      <x:c r="W1420"/>
      <x:c r="X1420" t="str">
        <x:v>offen</x:v>
      </x:c>
      <x:c r="Y1420" t="str">
        <x:v>Agent-Draft; Kategorie und Person pruefen</x:v>
      </x:c>
    </x:row>
    <x:row r="1421">
      <x:c r="A1421" t="str">
        <x:v>TXN-RAW-IMP-20260516-FULLDRAFT-001405</x:v>
      </x:c>
      <x:c r="B1421" t="str">
        <x:v>RAW-IMP-20260516-FULLDRAFT-001405</x:v>
      </x:c>
      <x:c r="C1421" t="str">
        <x:v>KTO001</x:v>
      </x:c>
      <x:c r="D1421"/>
      <x:c r="E1421" t="str">
        <x:v>KAT013</x:v>
      </x:c>
      <x:c r="F1421"/>
      <x:c r="G1421"/>
      <x:c r="H1421" t="str">
        <x:v>kein_match</x:v>
      </x:c>
      <x:c r="I1421" t="str">
        <x:v>Agent-Draft: keine finale Regelentscheidung</x:v>
      </x:c>
      <x:c r="J1421" t="n">
        <x:v>45691</x:v>
      </x:c>
      <x:c r="K1421"/>
      <x:c r="L1421"/>
      <x:c r="M1421" t="n">
        <x:v>-18.03</x:v>
      </x:c>
      <x:c r="N1421" t="str">
        <x:v>2025-02</x:v>
      </x:c>
      <x:c r="O1421" t="str">
        <x:v>Ausgabe</x:v>
      </x:c>
      <x:c r="P1421" t="str">
        <x:v>Ist</x:v>
      </x:c>
      <x:c r="Q1421" s="59" t="b">
        <x:v>0</x:v>
      </x:c>
      <x:c r="R1421" t="str">
        <x:v>kein_transfer</x:v>
      </x:c>
      <x:c r="S1421"/>
      <x:c r="T1421"/>
      <x:c r="U1421"/>
      <x:c r="V1421" s="59" t="b">
        <x:v>1</x:v>
      </x:c>
      <x:c r="W1421"/>
      <x:c r="X1421" t="str">
        <x:v>offen</x:v>
      </x:c>
      <x:c r="Y1421" t="str">
        <x:v>Agent-Draft; Kategorie und Person pruefen</x:v>
      </x:c>
    </x:row>
    <x:row r="1422">
      <x:c r="A1422" t="str">
        <x:v>TXN-RAW-IMP-20260516-FULLDRAFT-001406</x:v>
      </x:c>
      <x:c r="B1422" t="str">
        <x:v>RAW-IMP-20260516-FULLDRAFT-001406</x:v>
      </x:c>
      <x:c r="C1422" t="str">
        <x:v>KTO001</x:v>
      </x:c>
      <x:c r="D1422"/>
      <x:c r="E1422" t="str">
        <x:v>KAT013</x:v>
      </x:c>
      <x:c r="F1422"/>
      <x:c r="G1422"/>
      <x:c r="H1422" t="str">
        <x:v>kein_match</x:v>
      </x:c>
      <x:c r="I1422" t="str">
        <x:v>Agent-Draft: keine finale Regelentscheidung</x:v>
      </x:c>
      <x:c r="J1422" t="n">
        <x:v>45691</x:v>
      </x:c>
      <x:c r="K1422"/>
      <x:c r="L1422"/>
      <x:c r="M1422" t="n">
        <x:v>750</x:v>
      </x:c>
      <x:c r="N1422" t="str">
        <x:v>2025-02</x:v>
      </x:c>
      <x:c r="O1422" t="str">
        <x:v>Einnahme</x:v>
      </x:c>
      <x:c r="P1422" t="str">
        <x:v>Ist</x:v>
      </x:c>
      <x:c r="Q1422" s="59" t="b">
        <x:v>0</x:v>
      </x:c>
      <x:c r="R1422" t="str">
        <x:v>kein_transfer</x:v>
      </x:c>
      <x:c r="S1422"/>
      <x:c r="T1422"/>
      <x:c r="U1422"/>
      <x:c r="V1422" s="59" t="b">
        <x:v>1</x:v>
      </x:c>
      <x:c r="W1422"/>
      <x:c r="X1422" t="str">
        <x:v>offen</x:v>
      </x:c>
      <x:c r="Y1422" t="str">
        <x:v>Agent-Draft; Kategorie und Person pruefen</x:v>
      </x:c>
    </x:row>
    <x:row r="1423">
      <x:c r="A1423" t="str">
        <x:v>TXN-RAW-IMP-20260516-FULLDRAFT-001407</x:v>
      </x:c>
      <x:c r="B1423" t="str">
        <x:v>RAW-IMP-20260516-FULLDRAFT-001407</x:v>
      </x:c>
      <x:c r="C1423" t="str">
        <x:v>KTO001</x:v>
      </x:c>
      <x:c r="D1423"/>
      <x:c r="E1423" t="str">
        <x:v>KAT013</x:v>
      </x:c>
      <x:c r="F1423"/>
      <x:c r="G1423"/>
      <x:c r="H1423" t="str">
        <x:v>kein_match</x:v>
      </x:c>
      <x:c r="I1423" t="str">
        <x:v>Agent-Draft: keine finale Regelentscheidung</x:v>
      </x:c>
      <x:c r="J1423" t="n">
        <x:v>45691</x:v>
      </x:c>
      <x:c r="K1423"/>
      <x:c r="L1423"/>
      <x:c r="M1423" t="n">
        <x:v>-452.71</x:v>
      </x:c>
      <x:c r="N1423" t="str">
        <x:v>2025-02</x:v>
      </x:c>
      <x:c r="O1423" t="str">
        <x:v>Ausgabe</x:v>
      </x:c>
      <x:c r="P1423" t="str">
        <x:v>Ist</x:v>
      </x:c>
      <x:c r="Q1423" s="59" t="b">
        <x:v>0</x:v>
      </x:c>
      <x:c r="R1423" t="str">
        <x:v>kein_transfer</x:v>
      </x:c>
      <x:c r="S1423"/>
      <x:c r="T1423"/>
      <x:c r="U1423"/>
      <x:c r="V1423" s="59" t="b">
        <x:v>1</x:v>
      </x:c>
      <x:c r="W1423"/>
      <x:c r="X1423" t="str">
        <x:v>offen</x:v>
      </x:c>
      <x:c r="Y1423" t="str">
        <x:v>Agent-Draft; Kategorie und Person pruefen</x:v>
      </x:c>
    </x:row>
    <x:row r="1424">
      <x:c r="A1424" t="str">
        <x:v>TXN-RAW-IMP-20260516-FULLDRAFT-001408</x:v>
      </x:c>
      <x:c r="B1424" t="str">
        <x:v>RAW-IMP-20260516-FULLDRAFT-001408</x:v>
      </x:c>
      <x:c r="C1424" t="str">
        <x:v>KTO001</x:v>
      </x:c>
      <x:c r="D1424"/>
      <x:c r="E1424" t="str">
        <x:v>KAT013</x:v>
      </x:c>
      <x:c r="F1424"/>
      <x:c r="G1424"/>
      <x:c r="H1424" t="str">
        <x:v>kein_match</x:v>
      </x:c>
      <x:c r="I1424" t="str">
        <x:v>Agent-Draft: keine finale Regelentscheidung</x:v>
      </x:c>
      <x:c r="J1424" t="n">
        <x:v>45691</x:v>
      </x:c>
      <x:c r="K1424"/>
      <x:c r="L1424"/>
      <x:c r="M1424" t="n">
        <x:v>-312.67</x:v>
      </x:c>
      <x:c r="N1424" t="str">
        <x:v>2025-02</x:v>
      </x:c>
      <x:c r="O1424" t="str">
        <x:v>Ausgabe</x:v>
      </x:c>
      <x:c r="P1424" t="str">
        <x:v>Ist</x:v>
      </x:c>
      <x:c r="Q1424" s="59" t="b">
        <x:v>0</x:v>
      </x:c>
      <x:c r="R1424" t="str">
        <x:v>kein_transfer</x:v>
      </x:c>
      <x:c r="S1424"/>
      <x:c r="T1424"/>
      <x:c r="U1424"/>
      <x:c r="V1424" s="59" t="b">
        <x:v>1</x:v>
      </x:c>
      <x:c r="W1424"/>
      <x:c r="X1424" t="str">
        <x:v>offen</x:v>
      </x:c>
      <x:c r="Y1424" t="str">
        <x:v>Agent-Draft; Kategorie und Person pruefen</x:v>
      </x:c>
    </x:row>
    <x:row r="1425">
      <x:c r="A1425" t="str">
        <x:v>TXN-RAW-IMP-20260516-FULLDRAFT-001409</x:v>
      </x:c>
      <x:c r="B1425" t="str">
        <x:v>RAW-IMP-20260516-FULLDRAFT-001409</x:v>
      </x:c>
      <x:c r="C1425" t="str">
        <x:v>KTO001</x:v>
      </x:c>
      <x:c r="D1425"/>
      <x:c r="E1425" t="str">
        <x:v>KAT013</x:v>
      </x:c>
      <x:c r="F1425"/>
      <x:c r="G1425"/>
      <x:c r="H1425" t="str">
        <x:v>kein_match</x:v>
      </x:c>
      <x:c r="I1425" t="str">
        <x:v>Agent-Draft: keine finale Regelentscheidung</x:v>
      </x:c>
      <x:c r="J1425" t="n">
        <x:v>45691</x:v>
      </x:c>
      <x:c r="K1425"/>
      <x:c r="L1425"/>
      <x:c r="M1425" t="n">
        <x:v>-430.36</x:v>
      </x:c>
      <x:c r="N1425" t="str">
        <x:v>2025-02</x:v>
      </x:c>
      <x:c r="O1425" t="str">
        <x:v>Ausgabe</x:v>
      </x:c>
      <x:c r="P1425" t="str">
        <x:v>Ist</x:v>
      </x:c>
      <x:c r="Q1425" s="59" t="b">
        <x:v>0</x:v>
      </x:c>
      <x:c r="R1425" t="str">
        <x:v>kein_transfer</x:v>
      </x:c>
      <x:c r="S1425"/>
      <x:c r="T1425"/>
      <x:c r="U1425"/>
      <x:c r="V1425" s="59" t="b">
        <x:v>1</x:v>
      </x:c>
      <x:c r="W1425"/>
      <x:c r="X1425" t="str">
        <x:v>offen</x:v>
      </x:c>
      <x:c r="Y1425" t="str">
        <x:v>Agent-Draft; Kategorie und Person pruefen</x:v>
      </x:c>
    </x:row>
    <x:row r="1426">
      <x:c r="A1426" t="str">
        <x:v>TXN-RAW-IMP-20260516-FULLDRAFT-001410</x:v>
      </x:c>
      <x:c r="B1426" t="str">
        <x:v>RAW-IMP-20260516-FULLDRAFT-001410</x:v>
      </x:c>
      <x:c r="C1426" t="str">
        <x:v>KTO001</x:v>
      </x:c>
      <x:c r="D1426"/>
      <x:c r="E1426" t="str">
        <x:v>KAT013</x:v>
      </x:c>
      <x:c r="F1426"/>
      <x:c r="G1426"/>
      <x:c r="H1426" t="str">
        <x:v>kein_match</x:v>
      </x:c>
      <x:c r="I1426" t="str">
        <x:v>Agent-Draft: keine finale Regelentscheidung</x:v>
      </x:c>
      <x:c r="J1426" t="n">
        <x:v>45691</x:v>
      </x:c>
      <x:c r="K1426"/>
      <x:c r="L1426"/>
      <x:c r="M1426" t="n">
        <x:v>-600</x:v>
      </x:c>
      <x:c r="N1426" t="str">
        <x:v>2025-02</x:v>
      </x:c>
      <x:c r="O1426" t="str">
        <x:v>Ausgabe</x:v>
      </x:c>
      <x:c r="P1426" t="str">
        <x:v>Ist</x:v>
      </x:c>
      <x:c r="Q1426" s="59" t="b">
        <x:v>0</x:v>
      </x:c>
      <x:c r="R1426" t="str">
        <x:v>kein_transfer</x:v>
      </x:c>
      <x:c r="S1426"/>
      <x:c r="T1426"/>
      <x:c r="U1426"/>
      <x:c r="V1426" s="59" t="b">
        <x:v>1</x:v>
      </x:c>
      <x:c r="W1426"/>
      <x:c r="X1426" t="str">
        <x:v>offen</x:v>
      </x:c>
      <x:c r="Y1426" t="str">
        <x:v>Agent-Draft; Kategorie und Person pruefen</x:v>
      </x:c>
    </x:row>
    <x:row r="1427">
      <x:c r="A1427" t="str">
        <x:v>TXN-RAW-IMP-20260516-FULLDRAFT-001411</x:v>
      </x:c>
      <x:c r="B1427" t="str">
        <x:v>RAW-IMP-20260516-FULLDRAFT-001411</x:v>
      </x:c>
      <x:c r="C1427" t="str">
        <x:v>KTO001</x:v>
      </x:c>
      <x:c r="D1427"/>
      <x:c r="E1427" t="str">
        <x:v>KAT013</x:v>
      </x:c>
      <x:c r="F1427"/>
      <x:c r="G1427"/>
      <x:c r="H1427" t="str">
        <x:v>kein_match</x:v>
      </x:c>
      <x:c r="I1427" t="str">
        <x:v>Agent-Draft: keine finale Regelentscheidung</x:v>
      </x:c>
      <x:c r="J1427" t="n">
        <x:v>45691</x:v>
      </x:c>
      <x:c r="K1427"/>
      <x:c r="L1427"/>
      <x:c r="M1427" t="n">
        <x:v>-68.46</x:v>
      </x:c>
      <x:c r="N1427" t="str">
        <x:v>2025-02</x:v>
      </x:c>
      <x:c r="O1427" t="str">
        <x:v>Ausgabe</x:v>
      </x:c>
      <x:c r="P1427" t="str">
        <x:v>Ist</x:v>
      </x:c>
      <x:c r="Q1427" s="59" t="b">
        <x:v>0</x:v>
      </x:c>
      <x:c r="R1427" t="str">
        <x:v>kein_transfer</x:v>
      </x:c>
      <x:c r="S1427"/>
      <x:c r="T1427"/>
      <x:c r="U1427"/>
      <x:c r="V1427" s="59" t="b">
        <x:v>1</x:v>
      </x:c>
      <x:c r="W1427"/>
      <x:c r="X1427" t="str">
        <x:v>offen</x:v>
      </x:c>
      <x:c r="Y1427" t="str">
        <x:v>Agent-Draft; Kategorie und Person pruefen</x:v>
      </x:c>
    </x:row>
    <x:row r="1428">
      <x:c r="A1428" t="str">
        <x:v>TXN-RAW-IMP-20260516-FULLDRAFT-001412</x:v>
      </x:c>
      <x:c r="B1428" t="str">
        <x:v>RAW-IMP-20260516-FULLDRAFT-001412</x:v>
      </x:c>
      <x:c r="C1428" t="str">
        <x:v>KTO001</x:v>
      </x:c>
      <x:c r="D1428"/>
      <x:c r="E1428" t="str">
        <x:v>KAT013</x:v>
      </x:c>
      <x:c r="F1428"/>
      <x:c r="G1428"/>
      <x:c r="H1428" t="str">
        <x:v>kein_match</x:v>
      </x:c>
      <x:c r="I1428" t="str">
        <x:v>Agent-Draft: keine finale Regelentscheidung</x:v>
      </x:c>
      <x:c r="J1428" t="n">
        <x:v>45691</x:v>
      </x:c>
      <x:c r="K1428"/>
      <x:c r="L1428"/>
      <x:c r="M1428" t="n">
        <x:v>-162.17</x:v>
      </x:c>
      <x:c r="N1428" t="str">
        <x:v>2025-02</x:v>
      </x:c>
      <x:c r="O1428" t="str">
        <x:v>Ausgabe</x:v>
      </x:c>
      <x:c r="P1428" t="str">
        <x:v>Ist</x:v>
      </x:c>
      <x:c r="Q1428" s="59" t="b">
        <x:v>0</x:v>
      </x:c>
      <x:c r="R1428" t="str">
        <x:v>kein_transfer</x:v>
      </x:c>
      <x:c r="S1428"/>
      <x:c r="T1428"/>
      <x:c r="U1428"/>
      <x:c r="V1428" s="59" t="b">
        <x:v>1</x:v>
      </x:c>
      <x:c r="W1428"/>
      <x:c r="X1428" t="str">
        <x:v>offen</x:v>
      </x:c>
      <x:c r="Y1428" t="str">
        <x:v>Agent-Draft; Kategorie und Person pruefen</x:v>
      </x:c>
    </x:row>
    <x:row r="1429">
      <x:c r="A1429" t="str">
        <x:v>TXN-RAW-IMP-20260516-FULLDRAFT-001413</x:v>
      </x:c>
      <x:c r="B1429" t="str">
        <x:v>RAW-IMP-20260516-FULLDRAFT-001413</x:v>
      </x:c>
      <x:c r="C1429" t="str">
        <x:v>KTO001</x:v>
      </x:c>
      <x:c r="D1429"/>
      <x:c r="E1429" t="str">
        <x:v>KAT013</x:v>
      </x:c>
      <x:c r="F1429"/>
      <x:c r="G1429"/>
      <x:c r="H1429" t="str">
        <x:v>kein_match</x:v>
      </x:c>
      <x:c r="I1429" t="str">
        <x:v>Agent-Draft: keine finale Regelentscheidung</x:v>
      </x:c>
      <x:c r="J1429" t="n">
        <x:v>45691</x:v>
      </x:c>
      <x:c r="K1429"/>
      <x:c r="L1429"/>
      <x:c r="M1429" t="n">
        <x:v>-97.12</x:v>
      </x:c>
      <x:c r="N1429" t="str">
        <x:v>2025-02</x:v>
      </x:c>
      <x:c r="O1429" t="str">
        <x:v>Ausgabe</x:v>
      </x:c>
      <x:c r="P1429" t="str">
        <x:v>Ist</x:v>
      </x:c>
      <x:c r="Q1429" s="59" t="b">
        <x:v>0</x:v>
      </x:c>
      <x:c r="R1429" t="str">
        <x:v>kein_transfer</x:v>
      </x:c>
      <x:c r="S1429"/>
      <x:c r="T1429"/>
      <x:c r="U1429"/>
      <x:c r="V1429" s="59" t="b">
        <x:v>1</x:v>
      </x:c>
      <x:c r="W1429"/>
      <x:c r="X1429" t="str">
        <x:v>offen</x:v>
      </x:c>
      <x:c r="Y1429" t="str">
        <x:v>Agent-Draft; Kategorie und Person pruefen</x:v>
      </x:c>
    </x:row>
    <x:row r="1430">
      <x:c r="A1430" t="str">
        <x:v>TXN-RAW-IMP-20260516-FULLDRAFT-001414</x:v>
      </x:c>
      <x:c r="B1430" t="str">
        <x:v>RAW-IMP-20260516-FULLDRAFT-001414</x:v>
      </x:c>
      <x:c r="C1430" t="str">
        <x:v>KTO001</x:v>
      </x:c>
      <x:c r="D1430"/>
      <x:c r="E1430" t="str">
        <x:v>KAT013</x:v>
      </x:c>
      <x:c r="F1430"/>
      <x:c r="G1430"/>
      <x:c r="H1430" t="str">
        <x:v>kein_match</x:v>
      </x:c>
      <x:c r="I1430" t="str">
        <x:v>Agent-Draft: keine finale Regelentscheidung</x:v>
      </x:c>
      <x:c r="J1430" t="n">
        <x:v>45691</x:v>
      </x:c>
      <x:c r="K1430"/>
      <x:c r="L1430"/>
      <x:c r="M1430" t="n">
        <x:v>-1800</x:v>
      </x:c>
      <x:c r="N1430" t="str">
        <x:v>2025-02</x:v>
      </x:c>
      <x:c r="O1430" t="str">
        <x:v>Ausgabe</x:v>
      </x:c>
      <x:c r="P1430" t="str">
        <x:v>Ist</x:v>
      </x:c>
      <x:c r="Q1430" s="59" t="b">
        <x:v>0</x:v>
      </x:c>
      <x:c r="R1430" t="str">
        <x:v>kein_transfer</x:v>
      </x:c>
      <x:c r="S1430"/>
      <x:c r="T1430"/>
      <x:c r="U1430"/>
      <x:c r="V1430" s="59" t="b">
        <x:v>1</x:v>
      </x:c>
      <x:c r="W1430"/>
      <x:c r="X1430" t="str">
        <x:v>offen</x:v>
      </x:c>
      <x:c r="Y1430" t="str">
        <x:v>Agent-Draft; Kategorie und Person pruefen</x:v>
      </x:c>
    </x:row>
    <x:row r="1431">
      <x:c r="A1431" t="str">
        <x:v>TXN-RAW-IMP-20260516-FULLDRAFT-001415</x:v>
      </x:c>
      <x:c r="B1431" t="str">
        <x:v>RAW-IMP-20260516-FULLDRAFT-001415</x:v>
      </x:c>
      <x:c r="C1431" t="str">
        <x:v>KTO001</x:v>
      </x:c>
      <x:c r="D1431"/>
      <x:c r="E1431" t="str">
        <x:v>KAT013</x:v>
      </x:c>
      <x:c r="F1431"/>
      <x:c r="G1431"/>
      <x:c r="H1431" t="str">
        <x:v>kein_match</x:v>
      </x:c>
      <x:c r="I1431" t="str">
        <x:v>Agent-Draft: keine finale Regelentscheidung</x:v>
      </x:c>
      <x:c r="J1431" t="n">
        <x:v>45691</x:v>
      </x:c>
      <x:c r="K1431"/>
      <x:c r="L1431"/>
      <x:c r="M1431" t="n">
        <x:v>-1400</x:v>
      </x:c>
      <x:c r="N1431" t="str">
        <x:v>2025-02</x:v>
      </x:c>
      <x:c r="O1431" t="str">
        <x:v>Ausgabe</x:v>
      </x:c>
      <x:c r="P1431" t="str">
        <x:v>Ist</x:v>
      </x:c>
      <x:c r="Q1431" s="59" t="b">
        <x:v>0</x:v>
      </x:c>
      <x:c r="R1431" t="str">
        <x:v>kein_transfer</x:v>
      </x:c>
      <x:c r="S1431"/>
      <x:c r="T1431"/>
      <x:c r="U1431"/>
      <x:c r="V1431" s="59" t="b">
        <x:v>1</x:v>
      </x:c>
      <x:c r="W1431"/>
      <x:c r="X1431" t="str">
        <x:v>offen</x:v>
      </x:c>
      <x:c r="Y1431" t="str">
        <x:v>Agent-Draft; Kategorie und Person pruefen</x:v>
      </x:c>
    </x:row>
    <x:row r="1432">
      <x:c r="A1432" t="str">
        <x:v>TXN-RAW-IMP-20260516-FULLDRAFT-001416</x:v>
      </x:c>
      <x:c r="B1432" t="str">
        <x:v>RAW-IMP-20260516-FULLDRAFT-001416</x:v>
      </x:c>
      <x:c r="C1432" t="str">
        <x:v>KTO001</x:v>
      </x:c>
      <x:c r="D1432"/>
      <x:c r="E1432" t="str">
        <x:v>KAT013</x:v>
      </x:c>
      <x:c r="F1432"/>
      <x:c r="G1432"/>
      <x:c r="H1432" t="str">
        <x:v>kein_match</x:v>
      </x:c>
      <x:c r="I1432" t="str">
        <x:v>Agent-Draft: keine finale Regelentscheidung</x:v>
      </x:c>
      <x:c r="J1432" t="n">
        <x:v>45688</x:v>
      </x:c>
      <x:c r="K1432"/>
      <x:c r="L1432"/>
      <x:c r="M1432" t="n">
        <x:v>-7.99</x:v>
      </x:c>
      <x:c r="N1432" t="str">
        <x:v>2025-01</x:v>
      </x:c>
      <x:c r="O1432" t="str">
        <x:v>Ausgabe</x:v>
      </x:c>
      <x:c r="P1432" t="str">
        <x:v>Ist</x:v>
      </x:c>
      <x:c r="Q1432" s="59" t="b">
        <x:v>0</x:v>
      </x:c>
      <x:c r="R1432" t="str">
        <x:v>kein_transfer</x:v>
      </x:c>
      <x:c r="S1432"/>
      <x:c r="T1432"/>
      <x:c r="U1432"/>
      <x:c r="V1432" s="59" t="b">
        <x:v>1</x:v>
      </x:c>
      <x:c r="W1432"/>
      <x:c r="X1432" t="str">
        <x:v>offen</x:v>
      </x:c>
      <x:c r="Y1432" t="str">
        <x:v>Agent-Draft; Kategorie und Person pruefen</x:v>
      </x:c>
    </x:row>
    <x:row r="1433">
      <x:c r="A1433" t="str">
        <x:v>TXN-RAW-IMP-20260516-FULLDRAFT-001417</x:v>
      </x:c>
      <x:c r="B1433" t="str">
        <x:v>RAW-IMP-20260516-FULLDRAFT-001417</x:v>
      </x:c>
      <x:c r="C1433" t="str">
        <x:v>KTO001</x:v>
      </x:c>
      <x:c r="D1433"/>
      <x:c r="E1433" t="str">
        <x:v>KAT013</x:v>
      </x:c>
      <x:c r="F1433"/>
      <x:c r="G1433"/>
      <x:c r="H1433" t="str">
        <x:v>kein_match</x:v>
      </x:c>
      <x:c r="I1433" t="str">
        <x:v>Agent-Draft: keine finale Regelentscheidung</x:v>
      </x:c>
      <x:c r="J1433" t="n">
        <x:v>45688</x:v>
      </x:c>
      <x:c r="K1433"/>
      <x:c r="L1433"/>
      <x:c r="M1433" t="n">
        <x:v>-1</x:v>
      </x:c>
      <x:c r="N1433" t="str">
        <x:v>2025-01</x:v>
      </x:c>
      <x:c r="O1433" t="str">
        <x:v>Ausgabe</x:v>
      </x:c>
      <x:c r="P1433" t="str">
        <x:v>Ist</x:v>
      </x:c>
      <x:c r="Q1433" s="59" t="b">
        <x:v>0</x:v>
      </x:c>
      <x:c r="R1433" t="str">
        <x:v>kein_transfer</x:v>
      </x:c>
      <x:c r="S1433"/>
      <x:c r="T1433"/>
      <x:c r="U1433"/>
      <x:c r="V1433" s="59" t="b">
        <x:v>1</x:v>
      </x:c>
      <x:c r="W1433"/>
      <x:c r="X1433" t="str">
        <x:v>offen</x:v>
      </x:c>
      <x:c r="Y1433" t="str">
        <x:v>Agent-Draft; Kategorie und Person pruefen</x:v>
      </x:c>
    </x:row>
    <x:row r="1434">
      <x:c r="A1434" t="str">
        <x:v>TXN-RAW-IMP-20260516-FULLDRAFT-001418</x:v>
      </x:c>
      <x:c r="B1434" t="str">
        <x:v>RAW-IMP-20260516-FULLDRAFT-001418</x:v>
      </x:c>
      <x:c r="C1434" t="str">
        <x:v>KTO001</x:v>
      </x:c>
      <x:c r="D1434"/>
      <x:c r="E1434" t="str">
        <x:v>KAT013</x:v>
      </x:c>
      <x:c r="F1434"/>
      <x:c r="G1434"/>
      <x:c r="H1434" t="str">
        <x:v>kein_match</x:v>
      </x:c>
      <x:c r="I1434" t="str">
        <x:v>Agent-Draft: keine finale Regelentscheidung</x:v>
      </x:c>
      <x:c r="J1434" t="n">
        <x:v>45688</x:v>
      </x:c>
      <x:c r="K1434"/>
      <x:c r="L1434"/>
      <x:c r="M1434" t="n">
        <x:v>-76</x:v>
      </x:c>
      <x:c r="N1434" t="str">
        <x:v>2025-01</x:v>
      </x:c>
      <x:c r="O1434" t="str">
        <x:v>Ausgabe</x:v>
      </x:c>
      <x:c r="P1434" t="str">
        <x:v>Ist</x:v>
      </x:c>
      <x:c r="Q1434" s="59" t="b">
        <x:v>0</x:v>
      </x:c>
      <x:c r="R1434" t="str">
        <x:v>kein_transfer</x:v>
      </x:c>
      <x:c r="S1434"/>
      <x:c r="T1434"/>
      <x:c r="U1434"/>
      <x:c r="V1434" s="59" t="b">
        <x:v>1</x:v>
      </x:c>
      <x:c r="W1434"/>
      <x:c r="X1434" t="str">
        <x:v>offen</x:v>
      </x:c>
      <x:c r="Y1434" t="str">
        <x:v>Agent-Draft; Kategorie und Person pruefen</x:v>
      </x:c>
    </x:row>
    <x:row r="1435">
      <x:c r="A1435" t="str">
        <x:v>TXN-RAW-IMP-20260516-FULLDRAFT-001419</x:v>
      </x:c>
      <x:c r="B1435" t="str">
        <x:v>RAW-IMP-20260516-FULLDRAFT-001419</x:v>
      </x:c>
      <x:c r="C1435" t="str">
        <x:v>KTO001</x:v>
      </x:c>
      <x:c r="D1435"/>
      <x:c r="E1435" t="str">
        <x:v>KAT013</x:v>
      </x:c>
      <x:c r="F1435"/>
      <x:c r="G1435"/>
      <x:c r="H1435" t="str">
        <x:v>kein_match</x:v>
      </x:c>
      <x:c r="I1435" t="str">
        <x:v>Agent-Draft: keine finale Regelentscheidung</x:v>
      </x:c>
      <x:c r="J1435" t="n">
        <x:v>45688</x:v>
      </x:c>
      <x:c r="K1435"/>
      <x:c r="L1435"/>
      <x:c r="M1435" t="n">
        <x:v>-1153.94</x:v>
      </x:c>
      <x:c r="N1435" t="str">
        <x:v>2025-01</x:v>
      </x:c>
      <x:c r="O1435" t="str">
        <x:v>Ausgabe</x:v>
      </x:c>
      <x:c r="P1435" t="str">
        <x:v>Ist</x:v>
      </x:c>
      <x:c r="Q1435" s="59" t="b">
        <x:v>0</x:v>
      </x:c>
      <x:c r="R1435" t="str">
        <x:v>kein_transfer</x:v>
      </x:c>
      <x:c r="S1435"/>
      <x:c r="T1435"/>
      <x:c r="U1435"/>
      <x:c r="V1435" s="59" t="b">
        <x:v>1</x:v>
      </x:c>
      <x:c r="W1435"/>
      <x:c r="X1435" t="str">
        <x:v>offen</x:v>
      </x:c>
      <x:c r="Y1435" t="str">
        <x:v>Agent-Draft; Kategorie und Person pruefen</x:v>
      </x:c>
    </x:row>
    <x:row r="1436">
      <x:c r="A1436" t="str">
        <x:v>TXN-RAW-IMP-20260516-FULLDRAFT-001420</x:v>
      </x:c>
      <x:c r="B1436" t="str">
        <x:v>RAW-IMP-20260516-FULLDRAFT-001420</x:v>
      </x:c>
      <x:c r="C1436" t="str">
        <x:v>KTO001</x:v>
      </x:c>
      <x:c r="D1436"/>
      <x:c r="E1436" t="str">
        <x:v>KAT013</x:v>
      </x:c>
      <x:c r="F1436"/>
      <x:c r="G1436"/>
      <x:c r="H1436" t="str">
        <x:v>kein_match</x:v>
      </x:c>
      <x:c r="I1436" t="str">
        <x:v>Agent-Draft: keine finale Regelentscheidung</x:v>
      </x:c>
      <x:c r="J1436" t="n">
        <x:v>45687</x:v>
      </x:c>
      <x:c r="K1436"/>
      <x:c r="L1436"/>
      <x:c r="M1436" t="n">
        <x:v>7426.51</x:v>
      </x:c>
      <x:c r="N1436" t="str">
        <x:v>2025-01</x:v>
      </x:c>
      <x:c r="O1436" t="str">
        <x:v>Einnahme</x:v>
      </x:c>
      <x:c r="P1436" t="str">
        <x:v>Ist</x:v>
      </x:c>
      <x:c r="Q1436" s="59" t="b">
        <x:v>0</x:v>
      </x:c>
      <x:c r="R1436" t="str">
        <x:v>kein_transfer</x:v>
      </x:c>
      <x:c r="S1436"/>
      <x:c r="T1436"/>
      <x:c r="U1436"/>
      <x:c r="V1436" s="59" t="b">
        <x:v>1</x:v>
      </x:c>
      <x:c r="W1436"/>
      <x:c r="X1436" t="str">
        <x:v>offen</x:v>
      </x:c>
      <x:c r="Y1436" t="str">
        <x:v>Agent-Draft; Kategorie und Person pruefen</x:v>
      </x:c>
    </x:row>
    <x:row r="1437">
      <x:c r="A1437" t="str">
        <x:v>TXN-RAW-IMP-20260516-FULLDRAFT-001421</x:v>
      </x:c>
      <x:c r="B1437" t="str">
        <x:v>RAW-IMP-20260516-FULLDRAFT-001421</x:v>
      </x:c>
      <x:c r="C1437" t="str">
        <x:v>KTO001</x:v>
      </x:c>
      <x:c r="D1437"/>
      <x:c r="E1437" t="str">
        <x:v>KAT013</x:v>
      </x:c>
      <x:c r="F1437"/>
      <x:c r="G1437"/>
      <x:c r="H1437" t="str">
        <x:v>kein_match</x:v>
      </x:c>
      <x:c r="I1437" t="str">
        <x:v>Agent-Draft: keine finale Regelentscheidung</x:v>
      </x:c>
      <x:c r="J1437" t="n">
        <x:v>45687</x:v>
      </x:c>
      <x:c r="K1437"/>
      <x:c r="L1437"/>
      <x:c r="M1437" t="n">
        <x:v>-31.94</x:v>
      </x:c>
      <x:c r="N1437" t="str">
        <x:v>2025-01</x:v>
      </x:c>
      <x:c r="O1437" t="str">
        <x:v>Ausgabe</x:v>
      </x:c>
      <x:c r="P1437" t="str">
        <x:v>Ist</x:v>
      </x:c>
      <x:c r="Q1437" s="59" t="b">
        <x:v>0</x:v>
      </x:c>
      <x:c r="R1437" t="str">
        <x:v>kein_transfer</x:v>
      </x:c>
      <x:c r="S1437"/>
      <x:c r="T1437"/>
      <x:c r="U1437"/>
      <x:c r="V1437" s="59" t="b">
        <x:v>1</x:v>
      </x:c>
      <x:c r="W1437"/>
      <x:c r="X1437" t="str">
        <x:v>offen</x:v>
      </x:c>
      <x:c r="Y1437" t="str">
        <x:v>Agent-Draft; Kategorie und Person pruefen</x:v>
      </x:c>
    </x:row>
    <x:row r="1438">
      <x:c r="A1438" t="str">
        <x:v>TXN-RAW-IMP-20260516-FULLDRAFT-001422</x:v>
      </x:c>
      <x:c r="B1438" t="str">
        <x:v>RAW-IMP-20260516-FULLDRAFT-001422</x:v>
      </x:c>
      <x:c r="C1438" t="str">
        <x:v>KTO001</x:v>
      </x:c>
      <x:c r="D1438"/>
      <x:c r="E1438" t="str">
        <x:v>KAT013</x:v>
      </x:c>
      <x:c r="F1438"/>
      <x:c r="G1438"/>
      <x:c r="H1438" t="str">
        <x:v>kein_match</x:v>
      </x:c>
      <x:c r="I1438" t="str">
        <x:v>Agent-Draft: keine finale Regelentscheidung</x:v>
      </x:c>
      <x:c r="J1438" t="n">
        <x:v>45687</x:v>
      </x:c>
      <x:c r="K1438"/>
      <x:c r="L1438"/>
      <x:c r="M1438" t="n">
        <x:v>-10</x:v>
      </x:c>
      <x:c r="N1438" t="str">
        <x:v>2025-01</x:v>
      </x:c>
      <x:c r="O1438" t="str">
        <x:v>Ausgabe</x:v>
      </x:c>
      <x:c r="P1438" t="str">
        <x:v>Ist</x:v>
      </x:c>
      <x:c r="Q1438" s="59" t="b">
        <x:v>0</x:v>
      </x:c>
      <x:c r="R1438" t="str">
        <x:v>kein_transfer</x:v>
      </x:c>
      <x:c r="S1438"/>
      <x:c r="T1438"/>
      <x:c r="U1438"/>
      <x:c r="V1438" s="59" t="b">
        <x:v>1</x:v>
      </x:c>
      <x:c r="W1438"/>
      <x:c r="X1438" t="str">
        <x:v>offen</x:v>
      </x:c>
      <x:c r="Y1438" t="str">
        <x:v>Agent-Draft; Kategorie und Person pruefen</x:v>
      </x:c>
    </x:row>
    <x:row r="1439">
      <x:c r="A1439" t="str">
        <x:v>TXN-RAW-IMP-20260516-FULLDRAFT-001423</x:v>
      </x:c>
      <x:c r="B1439" t="str">
        <x:v>RAW-IMP-20260516-FULLDRAFT-001423</x:v>
      </x:c>
      <x:c r="C1439" t="str">
        <x:v>KTO001</x:v>
      </x:c>
      <x:c r="D1439"/>
      <x:c r="E1439" t="str">
        <x:v>KAT013</x:v>
      </x:c>
      <x:c r="F1439"/>
      <x:c r="G1439"/>
      <x:c r="H1439" t="str">
        <x:v>kein_match</x:v>
      </x:c>
      <x:c r="I1439" t="str">
        <x:v>Agent-Draft: keine finale Regelentscheidung</x:v>
      </x:c>
      <x:c r="J1439" t="n">
        <x:v>45687</x:v>
      </x:c>
      <x:c r="K1439"/>
      <x:c r="L1439"/>
      <x:c r="M1439" t="n">
        <x:v>-8.99</x:v>
      </x:c>
      <x:c r="N1439" t="str">
        <x:v>2025-01</x:v>
      </x:c>
      <x:c r="O1439" t="str">
        <x:v>Ausgabe</x:v>
      </x:c>
      <x:c r="P1439" t="str">
        <x:v>Ist</x:v>
      </x:c>
      <x:c r="Q1439" s="59" t="b">
        <x:v>0</x:v>
      </x:c>
      <x:c r="R1439" t="str">
        <x:v>kein_transfer</x:v>
      </x:c>
      <x:c r="S1439"/>
      <x:c r="T1439"/>
      <x:c r="U1439"/>
      <x:c r="V1439" s="59" t="b">
        <x:v>1</x:v>
      </x:c>
      <x:c r="W1439"/>
      <x:c r="X1439" t="str">
        <x:v>offen</x:v>
      </x:c>
      <x:c r="Y1439" t="str">
        <x:v>Agent-Draft; Kategorie und Person pruefen</x:v>
      </x:c>
    </x:row>
    <x:row r="1440">
      <x:c r="A1440" t="str">
        <x:v>TXN-RAW-IMP-20260516-FULLDRAFT-001424</x:v>
      </x:c>
      <x:c r="B1440" t="str">
        <x:v>RAW-IMP-20260516-FULLDRAFT-001424</x:v>
      </x:c>
      <x:c r="C1440" t="str">
        <x:v>KTO001</x:v>
      </x:c>
      <x:c r="D1440"/>
      <x:c r="E1440" t="str">
        <x:v>KAT013</x:v>
      </x:c>
      <x:c r="F1440"/>
      <x:c r="G1440"/>
      <x:c r="H1440" t="str">
        <x:v>kein_match</x:v>
      </x:c>
      <x:c r="I1440" t="str">
        <x:v>Agent-Draft: keine finale Regelentscheidung</x:v>
      </x:c>
      <x:c r="J1440" t="n">
        <x:v>45686</x:v>
      </x:c>
      <x:c r="K1440"/>
      <x:c r="L1440"/>
      <x:c r="M1440" t="n">
        <x:v>-51.1</x:v>
      </x:c>
      <x:c r="N1440" t="str">
        <x:v>2025-01</x:v>
      </x:c>
      <x:c r="O1440" t="str">
        <x:v>Ausgabe</x:v>
      </x:c>
      <x:c r="P1440" t="str">
        <x:v>Ist</x:v>
      </x:c>
      <x:c r="Q1440" s="59" t="b">
        <x:v>0</x:v>
      </x:c>
      <x:c r="R1440" t="str">
        <x:v>kein_transfer</x:v>
      </x:c>
      <x:c r="S1440"/>
      <x:c r="T1440"/>
      <x:c r="U1440"/>
      <x:c r="V1440" s="59" t="b">
        <x:v>1</x:v>
      </x:c>
      <x:c r="W1440"/>
      <x:c r="X1440" t="str">
        <x:v>offen</x:v>
      </x:c>
      <x:c r="Y1440" t="str">
        <x:v>Agent-Draft; Kategorie und Person pruefen</x:v>
      </x:c>
    </x:row>
    <x:row r="1441">
      <x:c r="A1441" t="str">
        <x:v>TXN-RAW-IMP-20260516-FULLDRAFT-001425</x:v>
      </x:c>
      <x:c r="B1441" t="str">
        <x:v>RAW-IMP-20260516-FULLDRAFT-001425</x:v>
      </x:c>
      <x:c r="C1441" t="str">
        <x:v>KTO001</x:v>
      </x:c>
      <x:c r="D1441"/>
      <x:c r="E1441" t="str">
        <x:v>KAT013</x:v>
      </x:c>
      <x:c r="F1441"/>
      <x:c r="G1441"/>
      <x:c r="H1441" t="str">
        <x:v>kein_match</x:v>
      </x:c>
      <x:c r="I1441" t="str">
        <x:v>Agent-Draft: keine finale Regelentscheidung</x:v>
      </x:c>
      <x:c r="J1441" t="n">
        <x:v>45686</x:v>
      </x:c>
      <x:c r="K1441"/>
      <x:c r="L1441"/>
      <x:c r="M1441" t="n">
        <x:v>-44.59</x:v>
      </x:c>
      <x:c r="N1441" t="str">
        <x:v>2025-01</x:v>
      </x:c>
      <x:c r="O1441" t="str">
        <x:v>Ausgabe</x:v>
      </x:c>
      <x:c r="P1441" t="str">
        <x:v>Ist</x:v>
      </x:c>
      <x:c r="Q1441" s="59" t="b">
        <x:v>0</x:v>
      </x:c>
      <x:c r="R1441" t="str">
        <x:v>kein_transfer</x:v>
      </x:c>
      <x:c r="S1441"/>
      <x:c r="T1441"/>
      <x:c r="U1441"/>
      <x:c r="V1441" s="59" t="b">
        <x:v>1</x:v>
      </x:c>
      <x:c r="W1441"/>
      <x:c r="X1441" t="str">
        <x:v>offen</x:v>
      </x:c>
      <x:c r="Y1441" t="str">
        <x:v>Agent-Draft; Kategorie und Person pruefen</x:v>
      </x:c>
    </x:row>
    <x:row r="1442">
      <x:c r="A1442" t="str">
        <x:v>TXN-RAW-IMP-20260516-FULLDRAFT-001426</x:v>
      </x:c>
      <x:c r="B1442" t="str">
        <x:v>RAW-IMP-20260516-FULLDRAFT-001426</x:v>
      </x:c>
      <x:c r="C1442" t="str">
        <x:v>KTO001</x:v>
      </x:c>
      <x:c r="D1442"/>
      <x:c r="E1442" t="str">
        <x:v>KAT013</x:v>
      </x:c>
      <x:c r="F1442"/>
      <x:c r="G1442"/>
      <x:c r="H1442" t="str">
        <x:v>kein_match</x:v>
      </x:c>
      <x:c r="I1442" t="str">
        <x:v>Agent-Draft: keine finale Regelentscheidung</x:v>
      </x:c>
      <x:c r="J1442" t="n">
        <x:v>45686</x:v>
      </x:c>
      <x:c r="K1442"/>
      <x:c r="L1442"/>
      <x:c r="M1442" t="n">
        <x:v>-26700</x:v>
      </x:c>
      <x:c r="N1442" t="str">
        <x:v>2025-01</x:v>
      </x:c>
      <x:c r="O1442" t="str">
        <x:v>Ausgabe</x:v>
      </x:c>
      <x:c r="P1442" t="str">
        <x:v>Ist</x:v>
      </x:c>
      <x:c r="Q1442" s="59" t="b">
        <x:v>0</x:v>
      </x:c>
      <x:c r="R1442" t="str">
        <x:v>kein_transfer</x:v>
      </x:c>
      <x:c r="S1442"/>
      <x:c r="T1442"/>
      <x:c r="U1442"/>
      <x:c r="V1442" s="59" t="b">
        <x:v>1</x:v>
      </x:c>
      <x:c r="W1442"/>
      <x:c r="X1442" t="str">
        <x:v>offen</x:v>
      </x:c>
      <x:c r="Y1442" t="str">
        <x:v>Agent-Draft; Kategorie und Person pruefen</x:v>
      </x:c>
    </x:row>
    <x:row r="1443">
      <x:c r="A1443" t="str">
        <x:v>TXN-RAW-IMP-20260516-FULLDRAFT-001427</x:v>
      </x:c>
      <x:c r="B1443" t="str">
        <x:v>RAW-IMP-20260516-FULLDRAFT-001427</x:v>
      </x:c>
      <x:c r="C1443" t="str">
        <x:v>KTO001</x:v>
      </x:c>
      <x:c r="D1443"/>
      <x:c r="E1443" t="str">
        <x:v>KAT013</x:v>
      </x:c>
      <x:c r="F1443"/>
      <x:c r="G1443"/>
      <x:c r="H1443" t="str">
        <x:v>kein_match</x:v>
      </x:c>
      <x:c r="I1443" t="str">
        <x:v>Agent-Draft: keine finale Regelentscheidung</x:v>
      </x:c>
      <x:c r="J1443" t="n">
        <x:v>45684</x:v>
      </x:c>
      <x:c r="K1443"/>
      <x:c r="L1443"/>
      <x:c r="M1443" t="n">
        <x:v>47.99</x:v>
      </x:c>
      <x:c r="N1443" t="str">
        <x:v>2025-01</x:v>
      </x:c>
      <x:c r="O1443" t="str">
        <x:v>Einnahme</x:v>
      </x:c>
      <x:c r="P1443" t="str">
        <x:v>Ist</x:v>
      </x:c>
      <x:c r="Q1443" s="59" t="b">
        <x:v>0</x:v>
      </x:c>
      <x:c r="R1443" t="str">
        <x:v>kein_transfer</x:v>
      </x:c>
      <x:c r="S1443"/>
      <x:c r="T1443"/>
      <x:c r="U1443"/>
      <x:c r="V1443" s="59" t="b">
        <x:v>1</x:v>
      </x:c>
      <x:c r="W1443"/>
      <x:c r="X1443" t="str">
        <x:v>offen</x:v>
      </x:c>
      <x:c r="Y1443" t="str">
        <x:v>Agent-Draft; Kategorie und Person pruefen</x:v>
      </x:c>
    </x:row>
    <x:row r="1444">
      <x:c r="A1444" t="str">
        <x:v>TXN-RAW-IMP-20260516-FULLDRAFT-001428</x:v>
      </x:c>
      <x:c r="B1444" t="str">
        <x:v>RAW-IMP-20260516-FULLDRAFT-001428</x:v>
      </x:c>
      <x:c r="C1444" t="str">
        <x:v>KTO001</x:v>
      </x:c>
      <x:c r="D1444"/>
      <x:c r="E1444" t="str">
        <x:v>KAT013</x:v>
      </x:c>
      <x:c r="F1444"/>
      <x:c r="G1444"/>
      <x:c r="H1444" t="str">
        <x:v>kein_match</x:v>
      </x:c>
      <x:c r="I1444" t="str">
        <x:v>Agent-Draft: keine finale Regelentscheidung</x:v>
      </x:c>
      <x:c r="J1444" t="n">
        <x:v>45684</x:v>
      </x:c>
      <x:c r="K1444"/>
      <x:c r="L1444"/>
      <x:c r="M1444" t="n">
        <x:v>-4.55</x:v>
      </x:c>
      <x:c r="N1444" t="str">
        <x:v>2025-01</x:v>
      </x:c>
      <x:c r="O1444" t="str">
        <x:v>Ausgabe</x:v>
      </x:c>
      <x:c r="P1444" t="str">
        <x:v>Ist</x:v>
      </x:c>
      <x:c r="Q1444" s="59" t="b">
        <x:v>0</x:v>
      </x:c>
      <x:c r="R1444" t="str">
        <x:v>kein_transfer</x:v>
      </x:c>
      <x:c r="S1444"/>
      <x:c r="T1444"/>
      <x:c r="U1444"/>
      <x:c r="V1444" s="59" t="b">
        <x:v>1</x:v>
      </x:c>
      <x:c r="W1444"/>
      <x:c r="X1444" t="str">
        <x:v>offen</x:v>
      </x:c>
      <x:c r="Y1444" t="str">
        <x:v>Agent-Draft; Kategorie und Person pruefen</x:v>
      </x:c>
    </x:row>
    <x:row r="1445">
      <x:c r="A1445" t="str">
        <x:v>TXN-RAW-IMP-20260516-FULLDRAFT-001429</x:v>
      </x:c>
      <x:c r="B1445" t="str">
        <x:v>RAW-IMP-20260516-FULLDRAFT-001429</x:v>
      </x:c>
      <x:c r="C1445" t="str">
        <x:v>KTO001</x:v>
      </x:c>
      <x:c r="D1445"/>
      <x:c r="E1445" t="str">
        <x:v>KAT013</x:v>
      </x:c>
      <x:c r="F1445"/>
      <x:c r="G1445"/>
      <x:c r="H1445" t="str">
        <x:v>kein_match</x:v>
      </x:c>
      <x:c r="I1445" t="str">
        <x:v>Agent-Draft: keine finale Regelentscheidung</x:v>
      </x:c>
      <x:c r="J1445" t="n">
        <x:v>45684</x:v>
      </x:c>
      <x:c r="K1445"/>
      <x:c r="L1445"/>
      <x:c r="M1445" t="n">
        <x:v>-1193</x:v>
      </x:c>
      <x:c r="N1445" t="str">
        <x:v>2025-01</x:v>
      </x:c>
      <x:c r="O1445" t="str">
        <x:v>Ausgabe</x:v>
      </x:c>
      <x:c r="P1445" t="str">
        <x:v>Ist</x:v>
      </x:c>
      <x:c r="Q1445" s="59" t="b">
        <x:v>0</x:v>
      </x:c>
      <x:c r="R1445" t="str">
        <x:v>kein_transfer</x:v>
      </x:c>
      <x:c r="S1445"/>
      <x:c r="T1445"/>
      <x:c r="U1445"/>
      <x:c r="V1445" s="59" t="b">
        <x:v>1</x:v>
      </x:c>
      <x:c r="W1445"/>
      <x:c r="X1445" t="str">
        <x:v>offen</x:v>
      </x:c>
      <x:c r="Y1445" t="str">
        <x:v>Agent-Draft; Kategorie und Person pruefen</x:v>
      </x:c>
    </x:row>
    <x:row r="1446">
      <x:c r="A1446" t="str">
        <x:v>TXN-RAW-IMP-20260516-FULLDRAFT-001430</x:v>
      </x:c>
      <x:c r="B1446" t="str">
        <x:v>RAW-IMP-20260516-FULLDRAFT-001430</x:v>
      </x:c>
      <x:c r="C1446" t="str">
        <x:v>KTO001</x:v>
      </x:c>
      <x:c r="D1446"/>
      <x:c r="E1446" t="str">
        <x:v>KAT013</x:v>
      </x:c>
      <x:c r="F1446"/>
      <x:c r="G1446"/>
      <x:c r="H1446" t="str">
        <x:v>kein_match</x:v>
      </x:c>
      <x:c r="I1446" t="str">
        <x:v>Agent-Draft: keine finale Regelentscheidung</x:v>
      </x:c>
      <x:c r="J1446" t="n">
        <x:v>45684</x:v>
      </x:c>
      <x:c r="K1446"/>
      <x:c r="L1446"/>
      <x:c r="M1446" t="n">
        <x:v>-107</x:v>
      </x:c>
      <x:c r="N1446" t="str">
        <x:v>2025-01</x:v>
      </x:c>
      <x:c r="O1446" t="str">
        <x:v>Ausgabe</x:v>
      </x:c>
      <x:c r="P1446" t="str">
        <x:v>Ist</x:v>
      </x:c>
      <x:c r="Q1446" s="59" t="b">
        <x:v>0</x:v>
      </x:c>
      <x:c r="R1446" t="str">
        <x:v>kein_transfer</x:v>
      </x:c>
      <x:c r="S1446"/>
      <x:c r="T1446"/>
      <x:c r="U1446"/>
      <x:c r="V1446" s="59" t="b">
        <x:v>1</x:v>
      </x:c>
      <x:c r="W1446"/>
      <x:c r="X1446" t="str">
        <x:v>offen</x:v>
      </x:c>
      <x:c r="Y1446" t="str">
        <x:v>Agent-Draft; Kategorie und Person pruefen</x:v>
      </x:c>
    </x:row>
    <x:row r="1447">
      <x:c r="A1447" t="str">
        <x:v>TXN-RAW-IMP-20260516-FULLDRAFT-001431</x:v>
      </x:c>
      <x:c r="B1447" t="str">
        <x:v>RAW-IMP-20260516-FULLDRAFT-001431</x:v>
      </x:c>
      <x:c r="C1447" t="str">
        <x:v>KTO001</x:v>
      </x:c>
      <x:c r="D1447"/>
      <x:c r="E1447" t="str">
        <x:v>KAT013</x:v>
      </x:c>
      <x:c r="F1447"/>
      <x:c r="G1447"/>
      <x:c r="H1447" t="str">
        <x:v>kein_match</x:v>
      </x:c>
      <x:c r="I1447" t="str">
        <x:v>Agent-Draft: keine finale Regelentscheidung</x:v>
      </x:c>
      <x:c r="J1447" t="n">
        <x:v>45684</x:v>
      </x:c>
      <x:c r="K1447"/>
      <x:c r="L1447"/>
      <x:c r="M1447" t="n">
        <x:v>-130.78</x:v>
      </x:c>
      <x:c r="N1447" t="str">
        <x:v>2025-01</x:v>
      </x:c>
      <x:c r="O1447" t="str">
        <x:v>Ausgabe</x:v>
      </x:c>
      <x:c r="P1447" t="str">
        <x:v>Ist</x:v>
      </x:c>
      <x:c r="Q1447" s="59" t="b">
        <x:v>0</x:v>
      </x:c>
      <x:c r="R1447" t="str">
        <x:v>kein_transfer</x:v>
      </x:c>
      <x:c r="S1447"/>
      <x:c r="T1447"/>
      <x:c r="U1447"/>
      <x:c r="V1447" s="59" t="b">
        <x:v>1</x:v>
      </x:c>
      <x:c r="W1447"/>
      <x:c r="X1447" t="str">
        <x:v>offen</x:v>
      </x:c>
      <x:c r="Y1447" t="str">
        <x:v>Agent-Draft; Kategorie und Person pruefen</x:v>
      </x:c>
    </x:row>
    <x:row r="1448">
      <x:c r="A1448" t="str">
        <x:v>TXN-RAW-IMP-20260516-FULLDRAFT-001432</x:v>
      </x:c>
      <x:c r="B1448" t="str">
        <x:v>RAW-IMP-20260516-FULLDRAFT-001432</x:v>
      </x:c>
      <x:c r="C1448" t="str">
        <x:v>KTO001</x:v>
      </x:c>
      <x:c r="D1448"/>
      <x:c r="E1448" t="str">
        <x:v>KAT013</x:v>
      </x:c>
      <x:c r="F1448"/>
      <x:c r="G1448"/>
      <x:c r="H1448" t="str">
        <x:v>kein_match</x:v>
      </x:c>
      <x:c r="I1448" t="str">
        <x:v>Agent-Draft: keine finale Regelentscheidung</x:v>
      </x:c>
      <x:c r="J1448" t="n">
        <x:v>45684</x:v>
      </x:c>
      <x:c r="K1448"/>
      <x:c r="L1448"/>
      <x:c r="M1448" t="n">
        <x:v>-15.35</x:v>
      </x:c>
      <x:c r="N1448" t="str">
        <x:v>2025-01</x:v>
      </x:c>
      <x:c r="O1448" t="str">
        <x:v>Ausgabe</x:v>
      </x:c>
      <x:c r="P1448" t="str">
        <x:v>Ist</x:v>
      </x:c>
      <x:c r="Q1448" s="59" t="b">
        <x:v>0</x:v>
      </x:c>
      <x:c r="R1448" t="str">
        <x:v>kein_transfer</x:v>
      </x:c>
      <x:c r="S1448"/>
      <x:c r="T1448"/>
      <x:c r="U1448"/>
      <x:c r="V1448" s="59" t="b">
        <x:v>1</x:v>
      </x:c>
      <x:c r="W1448"/>
      <x:c r="X1448" t="str">
        <x:v>offen</x:v>
      </x:c>
      <x:c r="Y1448" t="str">
        <x:v>Agent-Draft; Kategorie und Person pruefen</x:v>
      </x:c>
    </x:row>
    <x:row r="1449">
      <x:c r="A1449" t="str">
        <x:v>TXN-RAW-IMP-20260516-FULLDRAFT-001433</x:v>
      </x:c>
      <x:c r="B1449" t="str">
        <x:v>RAW-IMP-20260516-FULLDRAFT-001433</x:v>
      </x:c>
      <x:c r="C1449" t="str">
        <x:v>KTO001</x:v>
      </x:c>
      <x:c r="D1449"/>
      <x:c r="E1449" t="str">
        <x:v>KAT013</x:v>
      </x:c>
      <x:c r="F1449"/>
      <x:c r="G1449"/>
      <x:c r="H1449" t="str">
        <x:v>kein_match</x:v>
      </x:c>
      <x:c r="I1449" t="str">
        <x:v>Agent-Draft: keine finale Regelentscheidung</x:v>
      </x:c>
      <x:c r="J1449" t="n">
        <x:v>45684</x:v>
      </x:c>
      <x:c r="K1449"/>
      <x:c r="L1449"/>
      <x:c r="M1449" t="n">
        <x:v>-15.15</x:v>
      </x:c>
      <x:c r="N1449" t="str">
        <x:v>2025-01</x:v>
      </x:c>
      <x:c r="O1449" t="str">
        <x:v>Ausgabe</x:v>
      </x:c>
      <x:c r="P1449" t="str">
        <x:v>Ist</x:v>
      </x:c>
      <x:c r="Q1449" s="59" t="b">
        <x:v>0</x:v>
      </x:c>
      <x:c r="R1449" t="str">
        <x:v>kein_transfer</x:v>
      </x:c>
      <x:c r="S1449"/>
      <x:c r="T1449"/>
      <x:c r="U1449"/>
      <x:c r="V1449" s="59" t="b">
        <x:v>1</x:v>
      </x:c>
      <x:c r="W1449"/>
      <x:c r="X1449" t="str">
        <x:v>offen</x:v>
      </x:c>
      <x:c r="Y1449" t="str">
        <x:v>Agent-Draft; Kategorie und Person pruefen</x:v>
      </x:c>
    </x:row>
    <x:row r="1450">
      <x:c r="A1450" t="str">
        <x:v>TXN-RAW-IMP-20260516-FULLDRAFT-001434</x:v>
      </x:c>
      <x:c r="B1450" t="str">
        <x:v>RAW-IMP-20260516-FULLDRAFT-001434</x:v>
      </x:c>
      <x:c r="C1450" t="str">
        <x:v>KTO001</x:v>
      </x:c>
      <x:c r="D1450"/>
      <x:c r="E1450" t="str">
        <x:v>KAT013</x:v>
      </x:c>
      <x:c r="F1450"/>
      <x:c r="G1450"/>
      <x:c r="H1450" t="str">
        <x:v>kein_match</x:v>
      </x:c>
      <x:c r="I1450" t="str">
        <x:v>Agent-Draft: keine finale Regelentscheidung</x:v>
      </x:c>
      <x:c r="J1450" t="n">
        <x:v>45684</x:v>
      </x:c>
      <x:c r="K1450"/>
      <x:c r="L1450"/>
      <x:c r="M1450" t="n">
        <x:v>-9.76</x:v>
      </x:c>
      <x:c r="N1450" t="str">
        <x:v>2025-01</x:v>
      </x:c>
      <x:c r="O1450" t="str">
        <x:v>Ausgabe</x:v>
      </x:c>
      <x:c r="P1450" t="str">
        <x:v>Ist</x:v>
      </x:c>
      <x:c r="Q1450" s="59" t="b">
        <x:v>0</x:v>
      </x:c>
      <x:c r="R1450" t="str">
        <x:v>kein_transfer</x:v>
      </x:c>
      <x:c r="S1450"/>
      <x:c r="T1450"/>
      <x:c r="U1450"/>
      <x:c r="V1450" s="59" t="b">
        <x:v>1</x:v>
      </x:c>
      <x:c r="W1450"/>
      <x:c r="X1450" t="str">
        <x:v>offen</x:v>
      </x:c>
      <x:c r="Y1450" t="str">
        <x:v>Agent-Draft; Kategorie und Person pruefen</x:v>
      </x:c>
    </x:row>
    <x:row r="1451">
      <x:c r="A1451" t="str">
        <x:v>TXN-RAW-IMP-20260516-FULLDRAFT-001435</x:v>
      </x:c>
      <x:c r="B1451" t="str">
        <x:v>RAW-IMP-20260516-FULLDRAFT-001435</x:v>
      </x:c>
      <x:c r="C1451" t="str">
        <x:v>KTO001</x:v>
      </x:c>
      <x:c r="D1451"/>
      <x:c r="E1451" t="str">
        <x:v>KAT013</x:v>
      </x:c>
      <x:c r="F1451"/>
      <x:c r="G1451"/>
      <x:c r="H1451" t="str">
        <x:v>kein_match</x:v>
      </x:c>
      <x:c r="I1451" t="str">
        <x:v>Agent-Draft: keine finale Regelentscheidung</x:v>
      </x:c>
      <x:c r="J1451" t="n">
        <x:v>45680</x:v>
      </x:c>
      <x:c r="K1451"/>
      <x:c r="L1451"/>
      <x:c r="M1451" t="n">
        <x:v>-18.08</x:v>
      </x:c>
      <x:c r="N1451" t="str">
        <x:v>2025-01</x:v>
      </x:c>
      <x:c r="O1451" t="str">
        <x:v>Ausgabe</x:v>
      </x:c>
      <x:c r="P1451" t="str">
        <x:v>Ist</x:v>
      </x:c>
      <x:c r="Q1451" s="59" t="b">
        <x:v>0</x:v>
      </x:c>
      <x:c r="R1451" t="str">
        <x:v>kein_transfer</x:v>
      </x:c>
      <x:c r="S1451"/>
      <x:c r="T1451"/>
      <x:c r="U1451"/>
      <x:c r="V1451" s="59" t="b">
        <x:v>1</x:v>
      </x:c>
      <x:c r="W1451"/>
      <x:c r="X1451" t="str">
        <x:v>offen</x:v>
      </x:c>
      <x:c r="Y1451" t="str">
        <x:v>Agent-Draft; Kategorie und Person pruefen</x:v>
      </x:c>
    </x:row>
    <x:row r="1452">
      <x:c r="A1452" t="str">
        <x:v>TXN-RAW-IMP-20260516-FULLDRAFT-001436</x:v>
      </x:c>
      <x:c r="B1452" t="str">
        <x:v>RAW-IMP-20260516-FULLDRAFT-001436</x:v>
      </x:c>
      <x:c r="C1452" t="str">
        <x:v>KTO001</x:v>
      </x:c>
      <x:c r="D1452"/>
      <x:c r="E1452" t="str">
        <x:v>KAT013</x:v>
      </x:c>
      <x:c r="F1452"/>
      <x:c r="G1452"/>
      <x:c r="H1452" t="str">
        <x:v>kein_match</x:v>
      </x:c>
      <x:c r="I1452" t="str">
        <x:v>Agent-Draft: keine finale Regelentscheidung</x:v>
      </x:c>
      <x:c r="J1452" t="n">
        <x:v>45679</x:v>
      </x:c>
      <x:c r="K1452"/>
      <x:c r="L1452"/>
      <x:c r="M1452" t="n">
        <x:v>6000</x:v>
      </x:c>
      <x:c r="N1452" t="str">
        <x:v>2025-01</x:v>
      </x:c>
      <x:c r="O1452" t="str">
        <x:v>Einnahme</x:v>
      </x:c>
      <x:c r="P1452" t="str">
        <x:v>Ist</x:v>
      </x:c>
      <x:c r="Q1452" s="59" t="b">
        <x:v>0</x:v>
      </x:c>
      <x:c r="R1452" t="str">
        <x:v>kein_transfer</x:v>
      </x:c>
      <x:c r="S1452"/>
      <x:c r="T1452"/>
      <x:c r="U1452"/>
      <x:c r="V1452" s="59" t="b">
        <x:v>1</x:v>
      </x:c>
      <x:c r="W1452"/>
      <x:c r="X1452" t="str">
        <x:v>offen</x:v>
      </x:c>
      <x:c r="Y1452" t="str">
        <x:v>Agent-Draft; Kategorie und Person pruefen</x:v>
      </x:c>
    </x:row>
    <x:row r="1453">
      <x:c r="A1453" t="str">
        <x:v>TXN-RAW-IMP-20260516-FULLDRAFT-001437</x:v>
      </x:c>
      <x:c r="B1453" t="str">
        <x:v>RAW-IMP-20260516-FULLDRAFT-001437</x:v>
      </x:c>
      <x:c r="C1453" t="str">
        <x:v>KTO001</x:v>
      </x:c>
      <x:c r="D1453"/>
      <x:c r="E1453" t="str">
        <x:v>KAT013</x:v>
      </x:c>
      <x:c r="F1453"/>
      <x:c r="G1453"/>
      <x:c r="H1453" t="str">
        <x:v>kein_match</x:v>
      </x:c>
      <x:c r="I1453" t="str">
        <x:v>Agent-Draft: keine finale Regelentscheidung</x:v>
      </x:c>
      <x:c r="J1453" t="n">
        <x:v>45679</x:v>
      </x:c>
      <x:c r="K1453"/>
      <x:c r="L1453"/>
      <x:c r="M1453" t="n">
        <x:v>-5.67</x:v>
      </x:c>
      <x:c r="N1453" t="str">
        <x:v>2025-01</x:v>
      </x:c>
      <x:c r="O1453" t="str">
        <x:v>Ausgabe</x:v>
      </x:c>
      <x:c r="P1453" t="str">
        <x:v>Ist</x:v>
      </x:c>
      <x:c r="Q1453" s="59" t="b">
        <x:v>0</x:v>
      </x:c>
      <x:c r="R1453" t="str">
        <x:v>kein_transfer</x:v>
      </x:c>
      <x:c r="S1453"/>
      <x:c r="T1453"/>
      <x:c r="U1453"/>
      <x:c r="V1453" s="59" t="b">
        <x:v>1</x:v>
      </x:c>
      <x:c r="W1453"/>
      <x:c r="X1453" t="str">
        <x:v>offen</x:v>
      </x:c>
      <x:c r="Y1453" t="str">
        <x:v>Agent-Draft; Kategorie und Person pruefen</x:v>
      </x:c>
    </x:row>
    <x:row r="1454">
      <x:c r="A1454" t="str">
        <x:v>TXN-RAW-IMP-20260516-FULLDRAFT-001438</x:v>
      </x:c>
      <x:c r="B1454" t="str">
        <x:v>RAW-IMP-20260516-FULLDRAFT-001438</x:v>
      </x:c>
      <x:c r="C1454" t="str">
        <x:v>KTO001</x:v>
      </x:c>
      <x:c r="D1454"/>
      <x:c r="E1454" t="str">
        <x:v>KAT013</x:v>
      </x:c>
      <x:c r="F1454"/>
      <x:c r="G1454"/>
      <x:c r="H1454" t="str">
        <x:v>kein_match</x:v>
      </x:c>
      <x:c r="I1454" t="str">
        <x:v>Agent-Draft: keine finale Regelentscheidung</x:v>
      </x:c>
      <x:c r="J1454" t="n">
        <x:v>45679</x:v>
      </x:c>
      <x:c r="K1454"/>
      <x:c r="L1454"/>
      <x:c r="M1454" t="n">
        <x:v>-2.99</x:v>
      </x:c>
      <x:c r="N1454" t="str">
        <x:v>2025-01</x:v>
      </x:c>
      <x:c r="O1454" t="str">
        <x:v>Ausgabe</x:v>
      </x:c>
      <x:c r="P1454" t="str">
        <x:v>Ist</x:v>
      </x:c>
      <x:c r="Q1454" s="59" t="b">
        <x:v>0</x:v>
      </x:c>
      <x:c r="R1454" t="str">
        <x:v>kein_transfer</x:v>
      </x:c>
      <x:c r="S1454"/>
      <x:c r="T1454"/>
      <x:c r="U1454"/>
      <x:c r="V1454" s="59" t="b">
        <x:v>1</x:v>
      </x:c>
      <x:c r="W1454"/>
      <x:c r="X1454" t="str">
        <x:v>offen</x:v>
      </x:c>
      <x:c r="Y1454" t="str">
        <x:v>Agent-Draft; Kategorie und Person pruefen</x:v>
      </x:c>
    </x:row>
    <x:row r="1455">
      <x:c r="A1455" t="str">
        <x:v>TXN-RAW-IMP-20260516-FULLDRAFT-001439</x:v>
      </x:c>
      <x:c r="B1455" t="str">
        <x:v>RAW-IMP-20260516-FULLDRAFT-001439</x:v>
      </x:c>
      <x:c r="C1455" t="str">
        <x:v>KTO001</x:v>
      </x:c>
      <x:c r="D1455"/>
      <x:c r="E1455" t="str">
        <x:v>KAT013</x:v>
      </x:c>
      <x:c r="F1455"/>
      <x:c r="G1455"/>
      <x:c r="H1455" t="str">
        <x:v>kein_match</x:v>
      </x:c>
      <x:c r="I1455" t="str">
        <x:v>Agent-Draft: keine finale Regelentscheidung</x:v>
      </x:c>
      <x:c r="J1455" t="n">
        <x:v>45679</x:v>
      </x:c>
      <x:c r="K1455"/>
      <x:c r="L1455"/>
      <x:c r="M1455" t="n">
        <x:v>795</x:v>
      </x:c>
      <x:c r="N1455" t="str">
        <x:v>2025-01</x:v>
      </x:c>
      <x:c r="O1455" t="str">
        <x:v>Einnahme</x:v>
      </x:c>
      <x:c r="P1455" t="str">
        <x:v>Ist</x:v>
      </x:c>
      <x:c r="Q1455" s="59" t="b">
        <x:v>0</x:v>
      </x:c>
      <x:c r="R1455" t="str">
        <x:v>kein_transfer</x:v>
      </x:c>
      <x:c r="S1455"/>
      <x:c r="T1455"/>
      <x:c r="U1455"/>
      <x:c r="V1455" s="59" t="b">
        <x:v>1</x:v>
      </x:c>
      <x:c r="W1455"/>
      <x:c r="X1455" t="str">
        <x:v>offen</x:v>
      </x:c>
      <x:c r="Y1455" t="str">
        <x:v>Agent-Draft; Kategorie und Person pruefen</x:v>
      </x:c>
    </x:row>
    <x:row r="1456">
      <x:c r="A1456" t="str">
        <x:v>TXN-RAW-IMP-20260516-FULLDRAFT-001440</x:v>
      </x:c>
      <x:c r="B1456" t="str">
        <x:v>RAW-IMP-20260516-FULLDRAFT-001440</x:v>
      </x:c>
      <x:c r="C1456" t="str">
        <x:v>KTO001</x:v>
      </x:c>
      <x:c r="D1456"/>
      <x:c r="E1456" t="str">
        <x:v>KAT013</x:v>
      </x:c>
      <x:c r="F1456"/>
      <x:c r="G1456"/>
      <x:c r="H1456" t="str">
        <x:v>kein_match</x:v>
      </x:c>
      <x:c r="I1456" t="str">
        <x:v>Agent-Draft: keine finale Regelentscheidung</x:v>
      </x:c>
      <x:c r="J1456" t="n">
        <x:v>45678</x:v>
      </x:c>
      <x:c r="K1456"/>
      <x:c r="L1456"/>
      <x:c r="M1456" t="n">
        <x:v>-5.54</x:v>
      </x:c>
      <x:c r="N1456" t="str">
        <x:v>2025-01</x:v>
      </x:c>
      <x:c r="O1456" t="str">
        <x:v>Ausgabe</x:v>
      </x:c>
      <x:c r="P1456" t="str">
        <x:v>Ist</x:v>
      </x:c>
      <x:c r="Q1456" s="59" t="b">
        <x:v>0</x:v>
      </x:c>
      <x:c r="R1456" t="str">
        <x:v>kein_transfer</x:v>
      </x:c>
      <x:c r="S1456"/>
      <x:c r="T1456"/>
      <x:c r="U1456"/>
      <x:c r="V1456" s="59" t="b">
        <x:v>1</x:v>
      </x:c>
      <x:c r="W1456"/>
      <x:c r="X1456" t="str">
        <x:v>offen</x:v>
      </x:c>
      <x:c r="Y1456" t="str">
        <x:v>Agent-Draft; Kategorie und Person pruefen</x:v>
      </x:c>
    </x:row>
    <x:row r="1457">
      <x:c r="A1457" t="str">
        <x:v>TXN-RAW-IMP-20260516-FULLDRAFT-001441</x:v>
      </x:c>
      <x:c r="B1457" t="str">
        <x:v>RAW-IMP-20260516-FULLDRAFT-001441</x:v>
      </x:c>
      <x:c r="C1457" t="str">
        <x:v>KTO001</x:v>
      </x:c>
      <x:c r="D1457"/>
      <x:c r="E1457" t="str">
        <x:v>KAT013</x:v>
      </x:c>
      <x:c r="F1457"/>
      <x:c r="G1457"/>
      <x:c r="H1457" t="str">
        <x:v>kein_match</x:v>
      </x:c>
      <x:c r="I1457" t="str">
        <x:v>Agent-Draft: keine finale Regelentscheidung</x:v>
      </x:c>
      <x:c r="J1457" t="n">
        <x:v>45678</x:v>
      </x:c>
      <x:c r="K1457"/>
      <x:c r="L1457"/>
      <x:c r="M1457" t="n">
        <x:v>-6.4</x:v>
      </x:c>
      <x:c r="N1457" t="str">
        <x:v>2025-01</x:v>
      </x:c>
      <x:c r="O1457" t="str">
        <x:v>Ausgabe</x:v>
      </x:c>
      <x:c r="P1457" t="str">
        <x:v>Ist</x:v>
      </x:c>
      <x:c r="Q1457" s="59" t="b">
        <x:v>0</x:v>
      </x:c>
      <x:c r="R1457" t="str">
        <x:v>kein_transfer</x:v>
      </x:c>
      <x:c r="S1457"/>
      <x:c r="T1457"/>
      <x:c r="U1457"/>
      <x:c r="V1457" s="59" t="b">
        <x:v>1</x:v>
      </x:c>
      <x:c r="W1457"/>
      <x:c r="X1457" t="str">
        <x:v>offen</x:v>
      </x:c>
      <x:c r="Y1457" t="str">
        <x:v>Agent-Draft; Kategorie und Person pruefen</x:v>
      </x:c>
    </x:row>
    <x:row r="1458">
      <x:c r="A1458" t="str">
        <x:v>TXN-RAW-IMP-20260516-FULLDRAFT-001442</x:v>
      </x:c>
      <x:c r="B1458" t="str">
        <x:v>RAW-IMP-20260516-FULLDRAFT-001442</x:v>
      </x:c>
      <x:c r="C1458" t="str">
        <x:v>KTO001</x:v>
      </x:c>
      <x:c r="D1458"/>
      <x:c r="E1458" t="str">
        <x:v>KAT013</x:v>
      </x:c>
      <x:c r="F1458"/>
      <x:c r="G1458"/>
      <x:c r="H1458" t="str">
        <x:v>kein_match</x:v>
      </x:c>
      <x:c r="I1458" t="str">
        <x:v>Agent-Draft: keine finale Regelentscheidung</x:v>
      </x:c>
      <x:c r="J1458" t="n">
        <x:v>45678</x:v>
      </x:c>
      <x:c r="K1458"/>
      <x:c r="L1458"/>
      <x:c r="M1458" t="n">
        <x:v>-8.93</x:v>
      </x:c>
      <x:c r="N1458" t="str">
        <x:v>2025-01</x:v>
      </x:c>
      <x:c r="O1458" t="str">
        <x:v>Ausgabe</x:v>
      </x:c>
      <x:c r="P1458" t="str">
        <x:v>Ist</x:v>
      </x:c>
      <x:c r="Q1458" s="59" t="b">
        <x:v>0</x:v>
      </x:c>
      <x:c r="R1458" t="str">
        <x:v>kein_transfer</x:v>
      </x:c>
      <x:c r="S1458"/>
      <x:c r="T1458"/>
      <x:c r="U1458"/>
      <x:c r="V1458" s="59" t="b">
        <x:v>1</x:v>
      </x:c>
      <x:c r="W1458"/>
      <x:c r="X1458" t="str">
        <x:v>offen</x:v>
      </x:c>
      <x:c r="Y1458" t="str">
        <x:v>Agent-Draft; Kategorie und Person pruefen</x:v>
      </x:c>
    </x:row>
    <x:row r="1459">
      <x:c r="A1459" t="str">
        <x:v>TXN-RAW-IMP-20260516-FULLDRAFT-001443</x:v>
      </x:c>
      <x:c r="B1459" t="str">
        <x:v>RAW-IMP-20260516-FULLDRAFT-001443</x:v>
      </x:c>
      <x:c r="C1459" t="str">
        <x:v>KTO001</x:v>
      </x:c>
      <x:c r="D1459"/>
      <x:c r="E1459" t="str">
        <x:v>KAT013</x:v>
      </x:c>
      <x:c r="F1459"/>
      <x:c r="G1459"/>
      <x:c r="H1459" t="str">
        <x:v>kein_match</x:v>
      </x:c>
      <x:c r="I1459" t="str">
        <x:v>Agent-Draft: keine finale Regelentscheidung</x:v>
      </x:c>
      <x:c r="J1459" t="n">
        <x:v>45678</x:v>
      </x:c>
      <x:c r="K1459"/>
      <x:c r="L1459"/>
      <x:c r="M1459" t="n">
        <x:v>-48.35</x:v>
      </x:c>
      <x:c r="N1459" t="str">
        <x:v>2025-01</x:v>
      </x:c>
      <x:c r="O1459" t="str">
        <x:v>Ausgabe</x:v>
      </x:c>
      <x:c r="P1459" t="str">
        <x:v>Ist</x:v>
      </x:c>
      <x:c r="Q1459" s="59" t="b">
        <x:v>0</x:v>
      </x:c>
      <x:c r="R1459" t="str">
        <x:v>kein_transfer</x:v>
      </x:c>
      <x:c r="S1459"/>
      <x:c r="T1459"/>
      <x:c r="U1459"/>
      <x:c r="V1459" s="59" t="b">
        <x:v>1</x:v>
      </x:c>
      <x:c r="W1459"/>
      <x:c r="X1459" t="str">
        <x:v>offen</x:v>
      </x:c>
      <x:c r="Y1459" t="str">
        <x:v>Agent-Draft; Kategorie und Person pruefen</x:v>
      </x:c>
    </x:row>
    <x:row r="1460">
      <x:c r="A1460" t="str">
        <x:v>TXN-RAW-IMP-20260516-FULLDRAFT-001444</x:v>
      </x:c>
      <x:c r="B1460" t="str">
        <x:v>RAW-IMP-20260516-FULLDRAFT-001444</x:v>
      </x:c>
      <x:c r="C1460" t="str">
        <x:v>KTO001</x:v>
      </x:c>
      <x:c r="D1460"/>
      <x:c r="E1460" t="str">
        <x:v>KAT013</x:v>
      </x:c>
      <x:c r="F1460"/>
      <x:c r="G1460"/>
      <x:c r="H1460" t="str">
        <x:v>kein_match</x:v>
      </x:c>
      <x:c r="I1460" t="str">
        <x:v>Agent-Draft: keine finale Regelentscheidung</x:v>
      </x:c>
      <x:c r="J1460" t="n">
        <x:v>45678</x:v>
      </x:c>
      <x:c r="K1460"/>
      <x:c r="L1460"/>
      <x:c r="M1460" t="n">
        <x:v>-70</x:v>
      </x:c>
      <x:c r="N1460" t="str">
        <x:v>2025-01</x:v>
      </x:c>
      <x:c r="O1460" t="str">
        <x:v>Ausgabe</x:v>
      </x:c>
      <x:c r="P1460" t="str">
        <x:v>Ist</x:v>
      </x:c>
      <x:c r="Q1460" s="59" t="b">
        <x:v>0</x:v>
      </x:c>
      <x:c r="R1460" t="str">
        <x:v>kein_transfer</x:v>
      </x:c>
      <x:c r="S1460"/>
      <x:c r="T1460"/>
      <x:c r="U1460"/>
      <x:c r="V1460" s="59" t="b">
        <x:v>1</x:v>
      </x:c>
      <x:c r="W1460"/>
      <x:c r="X1460" t="str">
        <x:v>offen</x:v>
      </x:c>
      <x:c r="Y1460" t="str">
        <x:v>Agent-Draft; Kategorie und Person pruefen</x:v>
      </x:c>
    </x:row>
    <x:row r="1461">
      <x:c r="A1461" t="str">
        <x:v>TXN-RAW-IMP-20260516-FULLDRAFT-001445</x:v>
      </x:c>
      <x:c r="B1461" t="str">
        <x:v>RAW-IMP-20260516-FULLDRAFT-001445</x:v>
      </x:c>
      <x:c r="C1461" t="str">
        <x:v>KTO001</x:v>
      </x:c>
      <x:c r="D1461"/>
      <x:c r="E1461" t="str">
        <x:v>KAT013</x:v>
      </x:c>
      <x:c r="F1461"/>
      <x:c r="G1461"/>
      <x:c r="H1461" t="str">
        <x:v>kein_match</x:v>
      </x:c>
      <x:c r="I1461" t="str">
        <x:v>Agent-Draft: keine finale Regelentscheidung</x:v>
      </x:c>
      <x:c r="J1461" t="n">
        <x:v>45678</x:v>
      </x:c>
      <x:c r="K1461"/>
      <x:c r="L1461"/>
      <x:c r="M1461" t="n">
        <x:v>10000</x:v>
      </x:c>
      <x:c r="N1461" t="str">
        <x:v>2025-01</x:v>
      </x:c>
      <x:c r="O1461" t="str">
        <x:v>Einnahme</x:v>
      </x:c>
      <x:c r="P1461" t="str">
        <x:v>Ist</x:v>
      </x:c>
      <x:c r="Q1461" s="59" t="b">
        <x:v>0</x:v>
      </x:c>
      <x:c r="R1461" t="str">
        <x:v>unklar</x:v>
      </x:c>
      <x:c r="S1461"/>
      <x:c r="T1461"/>
      <x:c r="U1461"/>
      <x:c r="V1461" s="59" t="b">
        <x:v>1</x:v>
      </x:c>
      <x:c r="W1461" t="str">
        <x:v>Transferkandidat im Draft</x:v>
      </x:c>
      <x:c r="X1461" t="str">
        <x:v>offen</x:v>
      </x:c>
      <x:c r="Y1461" t="str">
        <x:v>Agent-Draft; Kategorie und Person pruefen</x:v>
      </x:c>
    </x:row>
    <x:row r="1462">
      <x:c r="A1462" t="str">
        <x:v>TXN-RAW-IMP-20260516-FULLDRAFT-001446</x:v>
      </x:c>
      <x:c r="B1462" t="str">
        <x:v>RAW-IMP-20260516-FULLDRAFT-001446</x:v>
      </x:c>
      <x:c r="C1462" t="str">
        <x:v>KTO001</x:v>
      </x:c>
      <x:c r="D1462"/>
      <x:c r="E1462" t="str">
        <x:v>KAT013</x:v>
      </x:c>
      <x:c r="F1462"/>
      <x:c r="G1462"/>
      <x:c r="H1462" t="str">
        <x:v>kein_match</x:v>
      </x:c>
      <x:c r="I1462" t="str">
        <x:v>Agent-Draft: keine finale Regelentscheidung</x:v>
      </x:c>
      <x:c r="J1462" t="n">
        <x:v>45678</x:v>
      </x:c>
      <x:c r="K1462"/>
      <x:c r="L1462"/>
      <x:c r="M1462" t="n">
        <x:v>3000</x:v>
      </x:c>
      <x:c r="N1462" t="str">
        <x:v>2025-01</x:v>
      </x:c>
      <x:c r="O1462" t="str">
        <x:v>Einnahme</x:v>
      </x:c>
      <x:c r="P1462" t="str">
        <x:v>Ist</x:v>
      </x:c>
      <x:c r="Q1462" s="59" t="b">
        <x:v>0</x:v>
      </x:c>
      <x:c r="R1462" t="str">
        <x:v>unklar</x:v>
      </x:c>
      <x:c r="S1462"/>
      <x:c r="T1462"/>
      <x:c r="U1462"/>
      <x:c r="V1462" s="59" t="b">
        <x:v>1</x:v>
      </x:c>
      <x:c r="W1462" t="str">
        <x:v>Transferkandidat im Draft</x:v>
      </x:c>
      <x:c r="X1462" t="str">
        <x:v>offen</x:v>
      </x:c>
      <x:c r="Y1462" t="str">
        <x:v>Agent-Draft; Kategorie und Person pruefen</x:v>
      </x:c>
    </x:row>
    <x:row r="1463">
      <x:c r="A1463" t="str">
        <x:v>TXN-RAW-IMP-20260516-FULLDRAFT-001447</x:v>
      </x:c>
      <x:c r="B1463" t="str">
        <x:v>RAW-IMP-20260516-FULLDRAFT-001447</x:v>
      </x:c>
      <x:c r="C1463" t="str">
        <x:v>KTO001</x:v>
      </x:c>
      <x:c r="D1463"/>
      <x:c r="E1463" t="str">
        <x:v>KAT013</x:v>
      </x:c>
      <x:c r="F1463"/>
      <x:c r="G1463"/>
      <x:c r="H1463" t="str">
        <x:v>kein_match</x:v>
      </x:c>
      <x:c r="I1463" t="str">
        <x:v>Agent-Draft: keine finale Regelentscheidung</x:v>
      </x:c>
      <x:c r="J1463" t="n">
        <x:v>45677</x:v>
      </x:c>
      <x:c r="K1463"/>
      <x:c r="L1463"/>
      <x:c r="M1463" t="n">
        <x:v>-4.99</x:v>
      </x:c>
      <x:c r="N1463" t="str">
        <x:v>2025-01</x:v>
      </x:c>
      <x:c r="O1463" t="str">
        <x:v>Ausgabe</x:v>
      </x:c>
      <x:c r="P1463" t="str">
        <x:v>Ist</x:v>
      </x:c>
      <x:c r="Q1463" s="59" t="b">
        <x:v>0</x:v>
      </x:c>
      <x:c r="R1463" t="str">
        <x:v>kein_transfer</x:v>
      </x:c>
      <x:c r="S1463"/>
      <x:c r="T1463"/>
      <x:c r="U1463"/>
      <x:c r="V1463" s="59" t="b">
        <x:v>1</x:v>
      </x:c>
      <x:c r="W1463"/>
      <x:c r="X1463" t="str">
        <x:v>offen</x:v>
      </x:c>
      <x:c r="Y1463" t="str">
        <x:v>Agent-Draft; Kategorie und Person pruefen</x:v>
      </x:c>
    </x:row>
    <x:row r="1464">
      <x:c r="A1464" t="str">
        <x:v>TXN-RAW-IMP-20260516-FULLDRAFT-001448</x:v>
      </x:c>
      <x:c r="B1464" t="str">
        <x:v>RAW-IMP-20260516-FULLDRAFT-001448</x:v>
      </x:c>
      <x:c r="C1464" t="str">
        <x:v>KTO001</x:v>
      </x:c>
      <x:c r="D1464"/>
      <x:c r="E1464" t="str">
        <x:v>KAT013</x:v>
      </x:c>
      <x:c r="F1464"/>
      <x:c r="G1464"/>
      <x:c r="H1464" t="str">
        <x:v>kein_match</x:v>
      </x:c>
      <x:c r="I1464" t="str">
        <x:v>Agent-Draft: keine finale Regelentscheidung</x:v>
      </x:c>
      <x:c r="J1464" t="n">
        <x:v>45674</x:v>
      </x:c>
      <x:c r="K1464"/>
      <x:c r="L1464"/>
      <x:c r="M1464" t="n">
        <x:v>2.5</x:v>
      </x:c>
      <x:c r="N1464" t="str">
        <x:v>2025-01</x:v>
      </x:c>
      <x:c r="O1464" t="str">
        <x:v>Einnahme</x:v>
      </x:c>
      <x:c r="P1464" t="str">
        <x:v>Ist</x:v>
      </x:c>
      <x:c r="Q1464" s="59" t="b">
        <x:v>0</x:v>
      </x:c>
      <x:c r="R1464" t="str">
        <x:v>kein_transfer</x:v>
      </x:c>
      <x:c r="S1464"/>
      <x:c r="T1464"/>
      <x:c r="U1464"/>
      <x:c r="V1464" s="59" t="b">
        <x:v>1</x:v>
      </x:c>
      <x:c r="W1464"/>
      <x:c r="X1464" t="str">
        <x:v>offen</x:v>
      </x:c>
      <x:c r="Y1464" t="str">
        <x:v>Agent-Draft; Kategorie und Person pruefen</x:v>
      </x:c>
    </x:row>
    <x:row r="1465">
      <x:c r="A1465" t="str">
        <x:v>TXN-RAW-IMP-20260516-FULLDRAFT-001449</x:v>
      </x:c>
      <x:c r="B1465" t="str">
        <x:v>RAW-IMP-20260516-FULLDRAFT-001449</x:v>
      </x:c>
      <x:c r="C1465" t="str">
        <x:v>KTO001</x:v>
      </x:c>
      <x:c r="D1465"/>
      <x:c r="E1465" t="str">
        <x:v>KAT013</x:v>
      </x:c>
      <x:c r="F1465"/>
      <x:c r="G1465"/>
      <x:c r="H1465" t="str">
        <x:v>kein_match</x:v>
      </x:c>
      <x:c r="I1465" t="str">
        <x:v>Agent-Draft: keine finale Regelentscheidung</x:v>
      </x:c>
      <x:c r="J1465" t="n">
        <x:v>45674</x:v>
      </x:c>
      <x:c r="K1465"/>
      <x:c r="L1465"/>
      <x:c r="M1465" t="n">
        <x:v>-9.51</x:v>
      </x:c>
      <x:c r="N1465" t="str">
        <x:v>2025-01</x:v>
      </x:c>
      <x:c r="O1465" t="str">
        <x:v>Ausgabe</x:v>
      </x:c>
      <x:c r="P1465" t="str">
        <x:v>Ist</x:v>
      </x:c>
      <x:c r="Q1465" s="59" t="b">
        <x:v>0</x:v>
      </x:c>
      <x:c r="R1465" t="str">
        <x:v>kein_transfer</x:v>
      </x:c>
      <x:c r="S1465"/>
      <x:c r="T1465"/>
      <x:c r="U1465"/>
      <x:c r="V1465" s="59" t="b">
        <x:v>1</x:v>
      </x:c>
      <x:c r="W1465"/>
      <x:c r="X1465" t="str">
        <x:v>offen</x:v>
      </x:c>
      <x:c r="Y1465" t="str">
        <x:v>Agent-Draft; Kategorie und Person pruefen</x:v>
      </x:c>
    </x:row>
    <x:row r="1466">
      <x:c r="A1466" t="str">
        <x:v>TXN-RAW-IMP-20260516-FULLDRAFT-001450</x:v>
      </x:c>
      <x:c r="B1466" t="str">
        <x:v>RAW-IMP-20260516-FULLDRAFT-001450</x:v>
      </x:c>
      <x:c r="C1466" t="str">
        <x:v>KTO001</x:v>
      </x:c>
      <x:c r="D1466"/>
      <x:c r="E1466" t="str">
        <x:v>KAT013</x:v>
      </x:c>
      <x:c r="F1466"/>
      <x:c r="G1466"/>
      <x:c r="H1466" t="str">
        <x:v>kein_match</x:v>
      </x:c>
      <x:c r="I1466" t="str">
        <x:v>Agent-Draft: keine finale Regelentscheidung</x:v>
      </x:c>
      <x:c r="J1466" t="n">
        <x:v>45674</x:v>
      </x:c>
      <x:c r="K1466"/>
      <x:c r="L1466"/>
      <x:c r="M1466" t="n">
        <x:v>-49.65</x:v>
      </x:c>
      <x:c r="N1466" t="str">
        <x:v>2025-01</x:v>
      </x:c>
      <x:c r="O1466" t="str">
        <x:v>Ausgabe</x:v>
      </x:c>
      <x:c r="P1466" t="str">
        <x:v>Ist</x:v>
      </x:c>
      <x:c r="Q1466" s="59" t="b">
        <x:v>0</x:v>
      </x:c>
      <x:c r="R1466" t="str">
        <x:v>kein_transfer</x:v>
      </x:c>
      <x:c r="S1466"/>
      <x:c r="T1466"/>
      <x:c r="U1466"/>
      <x:c r="V1466" s="59" t="b">
        <x:v>1</x:v>
      </x:c>
      <x:c r="W1466"/>
      <x:c r="X1466" t="str">
        <x:v>offen</x:v>
      </x:c>
      <x:c r="Y1466" t="str">
        <x:v>Agent-Draft; Kategorie und Person pruefen</x:v>
      </x:c>
    </x:row>
    <x:row r="1467">
      <x:c r="A1467" t="str">
        <x:v>TXN-RAW-IMP-20260516-FULLDRAFT-001451</x:v>
      </x:c>
      <x:c r="B1467" t="str">
        <x:v>RAW-IMP-20260516-FULLDRAFT-001451</x:v>
      </x:c>
      <x:c r="C1467" t="str">
        <x:v>KTO001</x:v>
      </x:c>
      <x:c r="D1467"/>
      <x:c r="E1467" t="str">
        <x:v>KAT013</x:v>
      </x:c>
      <x:c r="F1467"/>
      <x:c r="G1467"/>
      <x:c r="H1467" t="str">
        <x:v>kein_match</x:v>
      </x:c>
      <x:c r="I1467" t="str">
        <x:v>Agent-Draft: keine finale Regelentscheidung</x:v>
      </x:c>
      <x:c r="J1467" t="n">
        <x:v>45673</x:v>
      </x:c>
      <x:c r="K1467"/>
      <x:c r="L1467"/>
      <x:c r="M1467" t="n">
        <x:v>-10.1</x:v>
      </x:c>
      <x:c r="N1467" t="str">
        <x:v>2025-01</x:v>
      </x:c>
      <x:c r="O1467" t="str">
        <x:v>Ausgabe</x:v>
      </x:c>
      <x:c r="P1467" t="str">
        <x:v>Ist</x:v>
      </x:c>
      <x:c r="Q1467" s="59" t="b">
        <x:v>0</x:v>
      </x:c>
      <x:c r="R1467" t="str">
        <x:v>kein_transfer</x:v>
      </x:c>
      <x:c r="S1467"/>
      <x:c r="T1467"/>
      <x:c r="U1467"/>
      <x:c r="V1467" s="59" t="b">
        <x:v>1</x:v>
      </x:c>
      <x:c r="W1467"/>
      <x:c r="X1467" t="str">
        <x:v>offen</x:v>
      </x:c>
      <x:c r="Y1467" t="str">
        <x:v>Agent-Draft; Kategorie und Person pruefen</x:v>
      </x:c>
    </x:row>
    <x:row r="1468">
      <x:c r="A1468" t="str">
        <x:v>TXN-RAW-IMP-20260516-FULLDRAFT-001452</x:v>
      </x:c>
      <x:c r="B1468" t="str">
        <x:v>RAW-IMP-20260516-FULLDRAFT-001452</x:v>
      </x:c>
      <x:c r="C1468" t="str">
        <x:v>KTO001</x:v>
      </x:c>
      <x:c r="D1468"/>
      <x:c r="E1468" t="str">
        <x:v>KAT013</x:v>
      </x:c>
      <x:c r="F1468"/>
      <x:c r="G1468"/>
      <x:c r="H1468" t="str">
        <x:v>kein_match</x:v>
      </x:c>
      <x:c r="I1468" t="str">
        <x:v>Agent-Draft: keine finale Regelentscheidung</x:v>
      </x:c>
      <x:c r="J1468" t="n">
        <x:v>45673</x:v>
      </x:c>
      <x:c r="K1468"/>
      <x:c r="L1468"/>
      <x:c r="M1468" t="n">
        <x:v>-6.99</x:v>
      </x:c>
      <x:c r="N1468" t="str">
        <x:v>2025-01</x:v>
      </x:c>
      <x:c r="O1468" t="str">
        <x:v>Ausgabe</x:v>
      </x:c>
      <x:c r="P1468" t="str">
        <x:v>Ist</x:v>
      </x:c>
      <x:c r="Q1468" s="59" t="b">
        <x:v>0</x:v>
      </x:c>
      <x:c r="R1468" t="str">
        <x:v>kein_transfer</x:v>
      </x:c>
      <x:c r="S1468"/>
      <x:c r="T1468"/>
      <x:c r="U1468"/>
      <x:c r="V1468" s="59" t="b">
        <x:v>1</x:v>
      </x:c>
      <x:c r="W1468"/>
      <x:c r="X1468" t="str">
        <x:v>offen</x:v>
      </x:c>
      <x:c r="Y1468" t="str">
        <x:v>Agent-Draft; Kategorie und Person pruefen</x:v>
      </x:c>
    </x:row>
    <x:row r="1469">
      <x:c r="A1469" t="str">
        <x:v>TXN-RAW-IMP-20260516-FULLDRAFT-001453</x:v>
      </x:c>
      <x:c r="B1469" t="str">
        <x:v>RAW-IMP-20260516-FULLDRAFT-001453</x:v>
      </x:c>
      <x:c r="C1469" t="str">
        <x:v>KTO001</x:v>
      </x:c>
      <x:c r="D1469"/>
      <x:c r="E1469" t="str">
        <x:v>KAT013</x:v>
      </x:c>
      <x:c r="F1469"/>
      <x:c r="G1469"/>
      <x:c r="H1469" t="str">
        <x:v>kein_match</x:v>
      </x:c>
      <x:c r="I1469" t="str">
        <x:v>Agent-Draft: keine finale Regelentscheidung</x:v>
      </x:c>
      <x:c r="J1469" t="n">
        <x:v>45673</x:v>
      </x:c>
      <x:c r="K1469"/>
      <x:c r="L1469"/>
      <x:c r="M1469" t="n">
        <x:v>-6.99</x:v>
      </x:c>
      <x:c r="N1469" t="str">
        <x:v>2025-01</x:v>
      </x:c>
      <x:c r="O1469" t="str">
        <x:v>Ausgabe</x:v>
      </x:c>
      <x:c r="P1469" t="str">
        <x:v>Ist</x:v>
      </x:c>
      <x:c r="Q1469" s="59" t="b">
        <x:v>0</x:v>
      </x:c>
      <x:c r="R1469" t="str">
        <x:v>kein_transfer</x:v>
      </x:c>
      <x:c r="S1469"/>
      <x:c r="T1469"/>
      <x:c r="U1469"/>
      <x:c r="V1469" s="59" t="b">
        <x:v>1</x:v>
      </x:c>
      <x:c r="W1469"/>
      <x:c r="X1469" t="str">
        <x:v>offen</x:v>
      </x:c>
      <x:c r="Y1469" t="str">
        <x:v>Agent-Draft; Kategorie und Person pruefen</x:v>
      </x:c>
    </x:row>
    <x:row r="1470">
      <x:c r="A1470" t="str">
        <x:v>TXN-RAW-IMP-20260516-FULLDRAFT-001454</x:v>
      </x:c>
      <x:c r="B1470" t="str">
        <x:v>RAW-IMP-20260516-FULLDRAFT-001454</x:v>
      </x:c>
      <x:c r="C1470" t="str">
        <x:v>KTO001</x:v>
      </x:c>
      <x:c r="D1470"/>
      <x:c r="E1470" t="str">
        <x:v>KAT013</x:v>
      </x:c>
      <x:c r="F1470"/>
      <x:c r="G1470"/>
      <x:c r="H1470" t="str">
        <x:v>kein_match</x:v>
      </x:c>
      <x:c r="I1470" t="str">
        <x:v>Agent-Draft: keine finale Regelentscheidung</x:v>
      </x:c>
      <x:c r="J1470" t="n">
        <x:v>45673</x:v>
      </x:c>
      <x:c r="K1470"/>
      <x:c r="L1470"/>
      <x:c r="M1470" t="n">
        <x:v>-6.99</x:v>
      </x:c>
      <x:c r="N1470" t="str">
        <x:v>2025-01</x:v>
      </x:c>
      <x:c r="O1470" t="str">
        <x:v>Ausgabe</x:v>
      </x:c>
      <x:c r="P1470" t="str">
        <x:v>Ist</x:v>
      </x:c>
      <x:c r="Q1470" s="59" t="b">
        <x:v>0</x:v>
      </x:c>
      <x:c r="R1470" t="str">
        <x:v>kein_transfer</x:v>
      </x:c>
      <x:c r="S1470"/>
      <x:c r="T1470"/>
      <x:c r="U1470"/>
      <x:c r="V1470" s="59" t="b">
        <x:v>1</x:v>
      </x:c>
      <x:c r="W1470"/>
      <x:c r="X1470" t="str">
        <x:v>offen</x:v>
      </x:c>
      <x:c r="Y1470" t="str">
        <x:v>Agent-Draft; Kategorie und Person pruefen</x:v>
      </x:c>
    </x:row>
    <x:row r="1471">
      <x:c r="A1471" t="str">
        <x:v>TXN-RAW-IMP-20260516-FULLDRAFT-001455</x:v>
      </x:c>
      <x:c r="B1471" t="str">
        <x:v>RAW-IMP-20260516-FULLDRAFT-001455</x:v>
      </x:c>
      <x:c r="C1471" t="str">
        <x:v>KTO001</x:v>
      </x:c>
      <x:c r="D1471"/>
      <x:c r="E1471" t="str">
        <x:v>KAT013</x:v>
      </x:c>
      <x:c r="F1471"/>
      <x:c r="G1471"/>
      <x:c r="H1471" t="str">
        <x:v>kein_match</x:v>
      </x:c>
      <x:c r="I1471" t="str">
        <x:v>Agent-Draft: keine finale Regelentscheidung</x:v>
      </x:c>
      <x:c r="J1471" t="n">
        <x:v>45672</x:v>
      </x:c>
      <x:c r="K1471"/>
      <x:c r="L1471"/>
      <x:c r="M1471" t="n">
        <x:v>-897.9</x:v>
      </x:c>
      <x:c r="N1471" t="str">
        <x:v>2025-01</x:v>
      </x:c>
      <x:c r="O1471" t="str">
        <x:v>Ausgabe</x:v>
      </x:c>
      <x:c r="P1471" t="str">
        <x:v>Ist</x:v>
      </x:c>
      <x:c r="Q1471" s="59" t="b">
        <x:v>0</x:v>
      </x:c>
      <x:c r="R1471" t="str">
        <x:v>kein_transfer</x:v>
      </x:c>
      <x:c r="S1471"/>
      <x:c r="T1471"/>
      <x:c r="U1471"/>
      <x:c r="V1471" s="59" t="b">
        <x:v>1</x:v>
      </x:c>
      <x:c r="W1471"/>
      <x:c r="X1471" t="str">
        <x:v>offen</x:v>
      </x:c>
      <x:c r="Y1471" t="str">
        <x:v>Agent-Draft; Kategorie und Person pruefen</x:v>
      </x:c>
    </x:row>
    <x:row r="1472">
      <x:c r="A1472" t="str">
        <x:v>TXN-RAW-IMP-20260516-FULLDRAFT-001456</x:v>
      </x:c>
      <x:c r="B1472" t="str">
        <x:v>RAW-IMP-20260516-FULLDRAFT-001456</x:v>
      </x:c>
      <x:c r="C1472" t="str">
        <x:v>KTO001</x:v>
      </x:c>
      <x:c r="D1472"/>
      <x:c r="E1472" t="str">
        <x:v>KAT013</x:v>
      </x:c>
      <x:c r="F1472"/>
      <x:c r="G1472"/>
      <x:c r="H1472" t="str">
        <x:v>kein_match</x:v>
      </x:c>
      <x:c r="I1472" t="str">
        <x:v>Agent-Draft: keine finale Regelentscheidung</x:v>
      </x:c>
      <x:c r="J1472" t="n">
        <x:v>45672</x:v>
      </x:c>
      <x:c r="K1472"/>
      <x:c r="L1472"/>
      <x:c r="M1472" t="n">
        <x:v>-109.47</x:v>
      </x:c>
      <x:c r="N1472" t="str">
        <x:v>2025-01</x:v>
      </x:c>
      <x:c r="O1472" t="str">
        <x:v>Ausgabe</x:v>
      </x:c>
      <x:c r="P1472" t="str">
        <x:v>Ist</x:v>
      </x:c>
      <x:c r="Q1472" s="59" t="b">
        <x:v>0</x:v>
      </x:c>
      <x:c r="R1472" t="str">
        <x:v>kein_transfer</x:v>
      </x:c>
      <x:c r="S1472"/>
      <x:c r="T1472"/>
      <x:c r="U1472"/>
      <x:c r="V1472" s="59" t="b">
        <x:v>1</x:v>
      </x:c>
      <x:c r="W1472"/>
      <x:c r="X1472" t="str">
        <x:v>offen</x:v>
      </x:c>
      <x:c r="Y1472" t="str">
        <x:v>Agent-Draft; Kategorie und Person pruefen</x:v>
      </x:c>
    </x:row>
    <x:row r="1473">
      <x:c r="A1473" t="str">
        <x:v>TXN-RAW-IMP-20260516-FULLDRAFT-001457</x:v>
      </x:c>
      <x:c r="B1473" t="str">
        <x:v>RAW-IMP-20260516-FULLDRAFT-001457</x:v>
      </x:c>
      <x:c r="C1473" t="str">
        <x:v>KTO001</x:v>
      </x:c>
      <x:c r="D1473"/>
      <x:c r="E1473" t="str">
        <x:v>KAT013</x:v>
      </x:c>
      <x:c r="F1473"/>
      <x:c r="G1473"/>
      <x:c r="H1473" t="str">
        <x:v>kein_match</x:v>
      </x:c>
      <x:c r="I1473" t="str">
        <x:v>Agent-Draft: keine finale Regelentscheidung</x:v>
      </x:c>
      <x:c r="J1473" t="n">
        <x:v>45672</x:v>
      </x:c>
      <x:c r="K1473"/>
      <x:c r="L1473"/>
      <x:c r="M1473" t="n">
        <x:v>-147.48</x:v>
      </x:c>
      <x:c r="N1473" t="str">
        <x:v>2025-01</x:v>
      </x:c>
      <x:c r="O1473" t="str">
        <x:v>Ausgabe</x:v>
      </x:c>
      <x:c r="P1473" t="str">
        <x:v>Ist</x:v>
      </x:c>
      <x:c r="Q1473" s="59" t="b">
        <x:v>0</x:v>
      </x:c>
      <x:c r="R1473" t="str">
        <x:v>kein_transfer</x:v>
      </x:c>
      <x:c r="S1473"/>
      <x:c r="T1473"/>
      <x:c r="U1473"/>
      <x:c r="V1473" s="59" t="b">
        <x:v>1</x:v>
      </x:c>
      <x:c r="W1473"/>
      <x:c r="X1473" t="str">
        <x:v>offen</x:v>
      </x:c>
      <x:c r="Y1473" t="str">
        <x:v>Agent-Draft; Kategorie und Person pruefen</x:v>
      </x:c>
    </x:row>
    <x:row r="1474">
      <x:c r="A1474" t="str">
        <x:v>TXN-RAW-IMP-20260516-FULLDRAFT-001458</x:v>
      </x:c>
      <x:c r="B1474" t="str">
        <x:v>RAW-IMP-20260516-FULLDRAFT-001458</x:v>
      </x:c>
      <x:c r="C1474" t="str">
        <x:v>KTO001</x:v>
      </x:c>
      <x:c r="D1474"/>
      <x:c r="E1474" t="str">
        <x:v>KAT013</x:v>
      </x:c>
      <x:c r="F1474"/>
      <x:c r="G1474"/>
      <x:c r="H1474" t="str">
        <x:v>kein_match</x:v>
      </x:c>
      <x:c r="I1474" t="str">
        <x:v>Agent-Draft: keine finale Regelentscheidung</x:v>
      </x:c>
      <x:c r="J1474" t="n">
        <x:v>45672</x:v>
      </x:c>
      <x:c r="K1474"/>
      <x:c r="L1474"/>
      <x:c r="M1474" t="n">
        <x:v>-69.37</x:v>
      </x:c>
      <x:c r="N1474" t="str">
        <x:v>2025-01</x:v>
      </x:c>
      <x:c r="O1474" t="str">
        <x:v>Ausgabe</x:v>
      </x:c>
      <x:c r="P1474" t="str">
        <x:v>Ist</x:v>
      </x:c>
      <x:c r="Q1474" s="59" t="b">
        <x:v>0</x:v>
      </x:c>
      <x:c r="R1474" t="str">
        <x:v>kein_transfer</x:v>
      </x:c>
      <x:c r="S1474"/>
      <x:c r="T1474"/>
      <x:c r="U1474"/>
      <x:c r="V1474" s="59" t="b">
        <x:v>1</x:v>
      </x:c>
      <x:c r="W1474"/>
      <x:c r="X1474" t="str">
        <x:v>offen</x:v>
      </x:c>
      <x:c r="Y1474" t="str">
        <x:v>Agent-Draft; Kategorie und Person pruefen</x:v>
      </x:c>
    </x:row>
    <x:row r="1475">
      <x:c r="A1475" t="str">
        <x:v>TXN-RAW-IMP-20260516-FULLDRAFT-001459</x:v>
      </x:c>
      <x:c r="B1475" t="str">
        <x:v>RAW-IMP-20260516-FULLDRAFT-001459</x:v>
      </x:c>
      <x:c r="C1475" t="str">
        <x:v>KTO001</x:v>
      </x:c>
      <x:c r="D1475"/>
      <x:c r="E1475" t="str">
        <x:v>KAT013</x:v>
      </x:c>
      <x:c r="F1475"/>
      <x:c r="G1475"/>
      <x:c r="H1475" t="str">
        <x:v>kein_match</x:v>
      </x:c>
      <x:c r="I1475" t="str">
        <x:v>Agent-Draft: keine finale Regelentscheidung</x:v>
      </x:c>
      <x:c r="J1475" t="n">
        <x:v>45671</x:v>
      </x:c>
      <x:c r="K1475"/>
      <x:c r="L1475"/>
      <x:c r="M1475" t="n">
        <x:v>-9.45</x:v>
      </x:c>
      <x:c r="N1475" t="str">
        <x:v>2025-01</x:v>
      </x:c>
      <x:c r="O1475" t="str">
        <x:v>Ausgabe</x:v>
      </x:c>
      <x:c r="P1475" t="str">
        <x:v>Ist</x:v>
      </x:c>
      <x:c r="Q1475" s="59" t="b">
        <x:v>0</x:v>
      </x:c>
      <x:c r="R1475" t="str">
        <x:v>kein_transfer</x:v>
      </x:c>
      <x:c r="S1475"/>
      <x:c r="T1475"/>
      <x:c r="U1475"/>
      <x:c r="V1475" s="59" t="b">
        <x:v>1</x:v>
      </x:c>
      <x:c r="W1475"/>
      <x:c r="X1475" t="str">
        <x:v>offen</x:v>
      </x:c>
      <x:c r="Y1475" t="str">
        <x:v>Agent-Draft; Kategorie und Person pruefen</x:v>
      </x:c>
    </x:row>
    <x:row r="1476">
      <x:c r="A1476" t="str">
        <x:v>TXN-RAW-IMP-20260516-FULLDRAFT-001460</x:v>
      </x:c>
      <x:c r="B1476" t="str">
        <x:v>RAW-IMP-20260516-FULLDRAFT-001460</x:v>
      </x:c>
      <x:c r="C1476" t="str">
        <x:v>KTO001</x:v>
      </x:c>
      <x:c r="D1476"/>
      <x:c r="E1476" t="str">
        <x:v>KAT013</x:v>
      </x:c>
      <x:c r="F1476"/>
      <x:c r="G1476"/>
      <x:c r="H1476" t="str">
        <x:v>kein_match</x:v>
      </x:c>
      <x:c r="I1476" t="str">
        <x:v>Agent-Draft: keine finale Regelentscheidung</x:v>
      </x:c>
      <x:c r="J1476" t="n">
        <x:v>45671</x:v>
      </x:c>
      <x:c r="K1476"/>
      <x:c r="L1476"/>
      <x:c r="M1476" t="n">
        <x:v>-22.86</x:v>
      </x:c>
      <x:c r="N1476" t="str">
        <x:v>2025-01</x:v>
      </x:c>
      <x:c r="O1476" t="str">
        <x:v>Ausgabe</x:v>
      </x:c>
      <x:c r="P1476" t="str">
        <x:v>Ist</x:v>
      </x:c>
      <x:c r="Q1476" s="59" t="b">
        <x:v>0</x:v>
      </x:c>
      <x:c r="R1476" t="str">
        <x:v>kein_transfer</x:v>
      </x:c>
      <x:c r="S1476"/>
      <x:c r="T1476"/>
      <x:c r="U1476"/>
      <x:c r="V1476" s="59" t="b">
        <x:v>1</x:v>
      </x:c>
      <x:c r="W1476"/>
      <x:c r="X1476" t="str">
        <x:v>offen</x:v>
      </x:c>
      <x:c r="Y1476" t="str">
        <x:v>Agent-Draft; Kategorie und Person pruefen</x:v>
      </x:c>
    </x:row>
    <x:row r="1477">
      <x:c r="A1477" t="str">
        <x:v>TXN-RAW-IMP-20260516-FULLDRAFT-001461</x:v>
      </x:c>
      <x:c r="B1477" t="str">
        <x:v>RAW-IMP-20260516-FULLDRAFT-001461</x:v>
      </x:c>
      <x:c r="C1477" t="str">
        <x:v>KTO001</x:v>
      </x:c>
      <x:c r="D1477"/>
      <x:c r="E1477" t="str">
        <x:v>KAT013</x:v>
      </x:c>
      <x:c r="F1477"/>
      <x:c r="G1477"/>
      <x:c r="H1477" t="str">
        <x:v>kein_match</x:v>
      </x:c>
      <x:c r="I1477" t="str">
        <x:v>Agent-Draft: keine finale Regelentscheidung</x:v>
      </x:c>
      <x:c r="J1477" t="n">
        <x:v>45671</x:v>
      </x:c>
      <x:c r="K1477"/>
      <x:c r="L1477"/>
      <x:c r="M1477" t="n">
        <x:v>12.35</x:v>
      </x:c>
      <x:c r="N1477" t="str">
        <x:v>2025-01</x:v>
      </x:c>
      <x:c r="O1477" t="str">
        <x:v>Einnahme</x:v>
      </x:c>
      <x:c r="P1477" t="str">
        <x:v>Ist</x:v>
      </x:c>
      <x:c r="Q1477" s="59" t="b">
        <x:v>0</x:v>
      </x:c>
      <x:c r="R1477" t="str">
        <x:v>kein_transfer</x:v>
      </x:c>
      <x:c r="S1477"/>
      <x:c r="T1477"/>
      <x:c r="U1477"/>
      <x:c r="V1477" s="59" t="b">
        <x:v>1</x:v>
      </x:c>
      <x:c r="W1477"/>
      <x:c r="X1477" t="str">
        <x:v>offen</x:v>
      </x:c>
      <x:c r="Y1477" t="str">
        <x:v>Agent-Draft; Kategorie und Person pruefen</x:v>
      </x:c>
    </x:row>
    <x:row r="1478">
      <x:c r="A1478" t="str">
        <x:v>TXN-RAW-IMP-20260516-FULLDRAFT-001462</x:v>
      </x:c>
      <x:c r="B1478" t="str">
        <x:v>RAW-IMP-20260516-FULLDRAFT-001462</x:v>
      </x:c>
      <x:c r="C1478" t="str">
        <x:v>KTO001</x:v>
      </x:c>
      <x:c r="D1478"/>
      <x:c r="E1478" t="str">
        <x:v>KAT013</x:v>
      </x:c>
      <x:c r="F1478"/>
      <x:c r="G1478"/>
      <x:c r="H1478" t="str">
        <x:v>kein_match</x:v>
      </x:c>
      <x:c r="I1478" t="str">
        <x:v>Agent-Draft: keine finale Regelentscheidung</x:v>
      </x:c>
      <x:c r="J1478" t="n">
        <x:v>45671</x:v>
      </x:c>
      <x:c r="K1478"/>
      <x:c r="L1478"/>
      <x:c r="M1478" t="n">
        <x:v>-16.97</x:v>
      </x:c>
      <x:c r="N1478" t="str">
        <x:v>2025-01</x:v>
      </x:c>
      <x:c r="O1478" t="str">
        <x:v>Ausgabe</x:v>
      </x:c>
      <x:c r="P1478" t="str">
        <x:v>Ist</x:v>
      </x:c>
      <x:c r="Q1478" s="59" t="b">
        <x:v>0</x:v>
      </x:c>
      <x:c r="R1478" t="str">
        <x:v>kein_transfer</x:v>
      </x:c>
      <x:c r="S1478"/>
      <x:c r="T1478"/>
      <x:c r="U1478"/>
      <x:c r="V1478" s="59" t="b">
        <x:v>1</x:v>
      </x:c>
      <x:c r="W1478"/>
      <x:c r="X1478" t="str">
        <x:v>offen</x:v>
      </x:c>
      <x:c r="Y1478" t="str">
        <x:v>Agent-Draft; Kategorie und Person pruefen</x:v>
      </x:c>
    </x:row>
    <x:row r="1479">
      <x:c r="A1479" t="str">
        <x:v>TXN-RAW-IMP-20260516-FULLDRAFT-001463</x:v>
      </x:c>
      <x:c r="B1479" t="str">
        <x:v>RAW-IMP-20260516-FULLDRAFT-001463</x:v>
      </x:c>
      <x:c r="C1479" t="str">
        <x:v>KTO001</x:v>
      </x:c>
      <x:c r="D1479"/>
      <x:c r="E1479" t="str">
        <x:v>KAT013</x:v>
      </x:c>
      <x:c r="F1479"/>
      <x:c r="G1479"/>
      <x:c r="H1479" t="str">
        <x:v>kein_match</x:v>
      </x:c>
      <x:c r="I1479" t="str">
        <x:v>Agent-Draft: keine finale Regelentscheidung</x:v>
      </x:c>
      <x:c r="J1479" t="n">
        <x:v>45670</x:v>
      </x:c>
      <x:c r="K1479"/>
      <x:c r="L1479"/>
      <x:c r="M1479" t="n">
        <x:v>85.11</x:v>
      </x:c>
      <x:c r="N1479" t="str">
        <x:v>2025-01</x:v>
      </x:c>
      <x:c r="O1479" t="str">
        <x:v>Einnahme</x:v>
      </x:c>
      <x:c r="P1479" t="str">
        <x:v>Ist</x:v>
      </x:c>
      <x:c r="Q1479" s="59" t="b">
        <x:v>0</x:v>
      </x:c>
      <x:c r="R1479" t="str">
        <x:v>kein_transfer</x:v>
      </x:c>
      <x:c r="S1479"/>
      <x:c r="T1479"/>
      <x:c r="U1479"/>
      <x:c r="V1479" s="59" t="b">
        <x:v>1</x:v>
      </x:c>
      <x:c r="W1479"/>
      <x:c r="X1479" t="str">
        <x:v>offen</x:v>
      </x:c>
      <x:c r="Y1479" t="str">
        <x:v>Agent-Draft; Kategorie und Person pruefen</x:v>
      </x:c>
    </x:row>
    <x:row r="1480">
      <x:c r="A1480" t="str">
        <x:v>TXN-RAW-IMP-20260516-FULLDRAFT-001464</x:v>
      </x:c>
      <x:c r="B1480" t="str">
        <x:v>RAW-IMP-20260516-FULLDRAFT-001464</x:v>
      </x:c>
      <x:c r="C1480" t="str">
        <x:v>KTO001</x:v>
      </x:c>
      <x:c r="D1480"/>
      <x:c r="E1480" t="str">
        <x:v>KAT013</x:v>
      </x:c>
      <x:c r="F1480"/>
      <x:c r="G1480"/>
      <x:c r="H1480" t="str">
        <x:v>kein_match</x:v>
      </x:c>
      <x:c r="I1480" t="str">
        <x:v>Agent-Draft: keine finale Regelentscheidung</x:v>
      </x:c>
      <x:c r="J1480" t="n">
        <x:v>45670</x:v>
      </x:c>
      <x:c r="K1480"/>
      <x:c r="L1480"/>
      <x:c r="M1480" t="n">
        <x:v>9761.59</x:v>
      </x:c>
      <x:c r="N1480" t="str">
        <x:v>2025-01</x:v>
      </x:c>
      <x:c r="O1480" t="str">
        <x:v>Einnahme</x:v>
      </x:c>
      <x:c r="P1480" t="str">
        <x:v>Ist</x:v>
      </x:c>
      <x:c r="Q1480" s="59" t="b">
        <x:v>0</x:v>
      </x:c>
      <x:c r="R1480" t="str">
        <x:v>kein_transfer</x:v>
      </x:c>
      <x:c r="S1480"/>
      <x:c r="T1480"/>
      <x:c r="U1480"/>
      <x:c r="V1480" s="59" t="b">
        <x:v>1</x:v>
      </x:c>
      <x:c r="W1480"/>
      <x:c r="X1480" t="str">
        <x:v>offen</x:v>
      </x:c>
      <x:c r="Y1480" t="str">
        <x:v>Agent-Draft; Kategorie und Person pruefen</x:v>
      </x:c>
    </x:row>
    <x:row r="1481">
      <x:c r="A1481" t="str">
        <x:v>TXN-RAW-IMP-20260516-FULLDRAFT-001465</x:v>
      </x:c>
      <x:c r="B1481" t="str">
        <x:v>RAW-IMP-20260516-FULLDRAFT-001465</x:v>
      </x:c>
      <x:c r="C1481" t="str">
        <x:v>KTO001</x:v>
      </x:c>
      <x:c r="D1481"/>
      <x:c r="E1481" t="str">
        <x:v>KAT013</x:v>
      </x:c>
      <x:c r="F1481"/>
      <x:c r="G1481"/>
      <x:c r="H1481" t="str">
        <x:v>kein_match</x:v>
      </x:c>
      <x:c r="I1481" t="str">
        <x:v>Agent-Draft: keine finale Regelentscheidung</x:v>
      </x:c>
      <x:c r="J1481" t="n">
        <x:v>45670</x:v>
      </x:c>
      <x:c r="K1481"/>
      <x:c r="L1481"/>
      <x:c r="M1481" t="n">
        <x:v>-53.21</x:v>
      </x:c>
      <x:c r="N1481" t="str">
        <x:v>2025-01</x:v>
      </x:c>
      <x:c r="O1481" t="str">
        <x:v>Ausgabe</x:v>
      </x:c>
      <x:c r="P1481" t="str">
        <x:v>Ist</x:v>
      </x:c>
      <x:c r="Q1481" s="59" t="b">
        <x:v>0</x:v>
      </x:c>
      <x:c r="R1481" t="str">
        <x:v>kein_transfer</x:v>
      </x:c>
      <x:c r="S1481"/>
      <x:c r="T1481"/>
      <x:c r="U1481"/>
      <x:c r="V1481" s="59" t="b">
        <x:v>1</x:v>
      </x:c>
      <x:c r="W1481"/>
      <x:c r="X1481" t="str">
        <x:v>offen</x:v>
      </x:c>
      <x:c r="Y1481" t="str">
        <x:v>Agent-Draft; Kategorie und Person pruefen</x:v>
      </x:c>
    </x:row>
    <x:row r="1482">
      <x:c r="A1482" t="str">
        <x:v>TXN-RAW-IMP-20260516-FULLDRAFT-001466</x:v>
      </x:c>
      <x:c r="B1482" t="str">
        <x:v>RAW-IMP-20260516-FULLDRAFT-001466</x:v>
      </x:c>
      <x:c r="C1482" t="str">
        <x:v>KTO001</x:v>
      </x:c>
      <x:c r="D1482"/>
      <x:c r="E1482" t="str">
        <x:v>KAT013</x:v>
      </x:c>
      <x:c r="F1482"/>
      <x:c r="G1482"/>
      <x:c r="H1482" t="str">
        <x:v>kein_match</x:v>
      </x:c>
      <x:c r="I1482" t="str">
        <x:v>Agent-Draft: keine finale Regelentscheidung</x:v>
      </x:c>
      <x:c r="J1482" t="n">
        <x:v>45670</x:v>
      </x:c>
      <x:c r="K1482"/>
      <x:c r="L1482"/>
      <x:c r="M1482" t="n">
        <x:v>-23.02</x:v>
      </x:c>
      <x:c r="N1482" t="str">
        <x:v>2025-01</x:v>
      </x:c>
      <x:c r="O1482" t="str">
        <x:v>Ausgabe</x:v>
      </x:c>
      <x:c r="P1482" t="str">
        <x:v>Ist</x:v>
      </x:c>
      <x:c r="Q1482" s="59" t="b">
        <x:v>0</x:v>
      </x:c>
      <x:c r="R1482" t="str">
        <x:v>kein_transfer</x:v>
      </x:c>
      <x:c r="S1482"/>
      <x:c r="T1482"/>
      <x:c r="U1482"/>
      <x:c r="V1482" s="59" t="b">
        <x:v>1</x:v>
      </x:c>
      <x:c r="W1482"/>
      <x:c r="X1482" t="str">
        <x:v>offen</x:v>
      </x:c>
      <x:c r="Y1482" t="str">
        <x:v>Agent-Draft; Kategorie und Person pruefen</x:v>
      </x:c>
    </x:row>
    <x:row r="1483">
      <x:c r="A1483" t="str">
        <x:v>TXN-RAW-IMP-20260516-FULLDRAFT-001467</x:v>
      </x:c>
      <x:c r="B1483" t="str">
        <x:v>RAW-IMP-20260516-FULLDRAFT-001467</x:v>
      </x:c>
      <x:c r="C1483" t="str">
        <x:v>KTO001</x:v>
      </x:c>
      <x:c r="D1483"/>
      <x:c r="E1483" t="str">
        <x:v>KAT013</x:v>
      </x:c>
      <x:c r="F1483"/>
      <x:c r="G1483"/>
      <x:c r="H1483" t="str">
        <x:v>kein_match</x:v>
      </x:c>
      <x:c r="I1483" t="str">
        <x:v>Agent-Draft: keine finale Regelentscheidung</x:v>
      </x:c>
      <x:c r="J1483" t="n">
        <x:v>45670</x:v>
      </x:c>
      <x:c r="K1483"/>
      <x:c r="L1483"/>
      <x:c r="M1483" t="n">
        <x:v>-21</x:v>
      </x:c>
      <x:c r="N1483" t="str">
        <x:v>2025-01</x:v>
      </x:c>
      <x:c r="O1483" t="str">
        <x:v>Ausgabe</x:v>
      </x:c>
      <x:c r="P1483" t="str">
        <x:v>Ist</x:v>
      </x:c>
      <x:c r="Q1483" s="59" t="b">
        <x:v>0</x:v>
      </x:c>
      <x:c r="R1483" t="str">
        <x:v>kein_transfer</x:v>
      </x:c>
      <x:c r="S1483"/>
      <x:c r="T1483"/>
      <x:c r="U1483"/>
      <x:c r="V1483" s="59" t="b">
        <x:v>1</x:v>
      </x:c>
      <x:c r="W1483"/>
      <x:c r="X1483" t="str">
        <x:v>offen</x:v>
      </x:c>
      <x:c r="Y1483" t="str">
        <x:v>Agent-Draft; Kategorie und Person pruefen</x:v>
      </x:c>
    </x:row>
    <x:row r="1484">
      <x:c r="A1484" t="str">
        <x:v>TXN-RAW-IMP-20260516-FULLDRAFT-001468</x:v>
      </x:c>
      <x:c r="B1484" t="str">
        <x:v>RAW-IMP-20260516-FULLDRAFT-001468</x:v>
      </x:c>
      <x:c r="C1484" t="str">
        <x:v>KTO001</x:v>
      </x:c>
      <x:c r="D1484"/>
      <x:c r="E1484" t="str">
        <x:v>KAT013</x:v>
      </x:c>
      <x:c r="F1484"/>
      <x:c r="G1484"/>
      <x:c r="H1484" t="str">
        <x:v>kein_match</x:v>
      </x:c>
      <x:c r="I1484" t="str">
        <x:v>Agent-Draft: keine finale Regelentscheidung</x:v>
      </x:c>
      <x:c r="J1484" t="n">
        <x:v>45670</x:v>
      </x:c>
      <x:c r="K1484"/>
      <x:c r="L1484"/>
      <x:c r="M1484" t="n">
        <x:v>-27.36</x:v>
      </x:c>
      <x:c r="N1484" t="str">
        <x:v>2025-01</x:v>
      </x:c>
      <x:c r="O1484" t="str">
        <x:v>Ausgabe</x:v>
      </x:c>
      <x:c r="P1484" t="str">
        <x:v>Ist</x:v>
      </x:c>
      <x:c r="Q1484" s="59" t="b">
        <x:v>0</x:v>
      </x:c>
      <x:c r="R1484" t="str">
        <x:v>kein_transfer</x:v>
      </x:c>
      <x:c r="S1484"/>
      <x:c r="T1484"/>
      <x:c r="U1484"/>
      <x:c r="V1484" s="59" t="b">
        <x:v>1</x:v>
      </x:c>
      <x:c r="W1484"/>
      <x:c r="X1484" t="str">
        <x:v>offen</x:v>
      </x:c>
      <x:c r="Y1484" t="str">
        <x:v>Agent-Draft; Kategorie und Person pruefen</x:v>
      </x:c>
    </x:row>
    <x:row r="1485">
      <x:c r="A1485" t="str">
        <x:v>TXN-RAW-IMP-20260516-FULLDRAFT-001469</x:v>
      </x:c>
      <x:c r="B1485" t="str">
        <x:v>RAW-IMP-20260516-FULLDRAFT-001469</x:v>
      </x:c>
      <x:c r="C1485" t="str">
        <x:v>KTO001</x:v>
      </x:c>
      <x:c r="D1485"/>
      <x:c r="E1485" t="str">
        <x:v>KAT013</x:v>
      </x:c>
      <x:c r="F1485"/>
      <x:c r="G1485"/>
      <x:c r="H1485" t="str">
        <x:v>kein_match</x:v>
      </x:c>
      <x:c r="I1485" t="str">
        <x:v>Agent-Draft: keine finale Regelentscheidung</x:v>
      </x:c>
      <x:c r="J1485" t="n">
        <x:v>45670</x:v>
      </x:c>
      <x:c r="K1485"/>
      <x:c r="L1485"/>
      <x:c r="M1485" t="n">
        <x:v>-3.8</x:v>
      </x:c>
      <x:c r="N1485" t="str">
        <x:v>2025-01</x:v>
      </x:c>
      <x:c r="O1485" t="str">
        <x:v>Ausgabe</x:v>
      </x:c>
      <x:c r="P1485" t="str">
        <x:v>Ist</x:v>
      </x:c>
      <x:c r="Q1485" s="59" t="b">
        <x:v>0</x:v>
      </x:c>
      <x:c r="R1485" t="str">
        <x:v>kein_transfer</x:v>
      </x:c>
      <x:c r="S1485"/>
      <x:c r="T1485"/>
      <x:c r="U1485"/>
      <x:c r="V1485" s="59" t="b">
        <x:v>1</x:v>
      </x:c>
      <x:c r="W1485"/>
      <x:c r="X1485" t="str">
        <x:v>offen</x:v>
      </x:c>
      <x:c r="Y1485" t="str">
        <x:v>Agent-Draft; Kategorie und Person pruefen</x:v>
      </x:c>
    </x:row>
    <x:row r="1486">
      <x:c r="A1486" t="str">
        <x:v>TXN-RAW-IMP-20260516-FULLDRAFT-001470</x:v>
      </x:c>
      <x:c r="B1486" t="str">
        <x:v>RAW-IMP-20260516-FULLDRAFT-001470</x:v>
      </x:c>
      <x:c r="C1486" t="str">
        <x:v>KTO001</x:v>
      </x:c>
      <x:c r="D1486"/>
      <x:c r="E1486" t="str">
        <x:v>KAT013</x:v>
      </x:c>
      <x:c r="F1486"/>
      <x:c r="G1486"/>
      <x:c r="H1486" t="str">
        <x:v>kein_match</x:v>
      </x:c>
      <x:c r="I1486" t="str">
        <x:v>Agent-Draft: keine finale Regelentscheidung</x:v>
      </x:c>
      <x:c r="J1486" t="n">
        <x:v>45670</x:v>
      </x:c>
      <x:c r="K1486"/>
      <x:c r="L1486"/>
      <x:c r="M1486" t="n">
        <x:v>-11.88</x:v>
      </x:c>
      <x:c r="N1486" t="str">
        <x:v>2025-01</x:v>
      </x:c>
      <x:c r="O1486" t="str">
        <x:v>Ausgabe</x:v>
      </x:c>
      <x:c r="P1486" t="str">
        <x:v>Ist</x:v>
      </x:c>
      <x:c r="Q1486" s="59" t="b">
        <x:v>0</x:v>
      </x:c>
      <x:c r="R1486" t="str">
        <x:v>kein_transfer</x:v>
      </x:c>
      <x:c r="S1486"/>
      <x:c r="T1486"/>
      <x:c r="U1486"/>
      <x:c r="V1486" s="59" t="b">
        <x:v>1</x:v>
      </x:c>
      <x:c r="W1486"/>
      <x:c r="X1486" t="str">
        <x:v>offen</x:v>
      </x:c>
      <x:c r="Y1486" t="str">
        <x:v>Agent-Draft; Kategorie und Person pruefen</x:v>
      </x:c>
    </x:row>
    <x:row r="1487">
      <x:c r="A1487" t="str">
        <x:v>TXN-RAW-IMP-20260516-FULLDRAFT-001471</x:v>
      </x:c>
      <x:c r="B1487" t="str">
        <x:v>RAW-IMP-20260516-FULLDRAFT-001471</x:v>
      </x:c>
      <x:c r="C1487" t="str">
        <x:v>KTO001</x:v>
      </x:c>
      <x:c r="D1487"/>
      <x:c r="E1487" t="str">
        <x:v>KAT013</x:v>
      </x:c>
      <x:c r="F1487"/>
      <x:c r="G1487"/>
      <x:c r="H1487" t="str">
        <x:v>kein_match</x:v>
      </x:c>
      <x:c r="I1487" t="str">
        <x:v>Agent-Draft: keine finale Regelentscheidung</x:v>
      </x:c>
      <x:c r="J1487" t="n">
        <x:v>45667</x:v>
      </x:c>
      <x:c r="K1487"/>
      <x:c r="L1487"/>
      <x:c r="M1487" t="n">
        <x:v>-11.96</x:v>
      </x:c>
      <x:c r="N1487" t="str">
        <x:v>2025-01</x:v>
      </x:c>
      <x:c r="O1487" t="str">
        <x:v>Ausgabe</x:v>
      </x:c>
      <x:c r="P1487" t="str">
        <x:v>Ist</x:v>
      </x:c>
      <x:c r="Q1487" s="59" t="b">
        <x:v>0</x:v>
      </x:c>
      <x:c r="R1487" t="str">
        <x:v>kein_transfer</x:v>
      </x:c>
      <x:c r="S1487"/>
      <x:c r="T1487"/>
      <x:c r="U1487"/>
      <x:c r="V1487" s="59" t="b">
        <x:v>1</x:v>
      </x:c>
      <x:c r="W1487"/>
      <x:c r="X1487" t="str">
        <x:v>offen</x:v>
      </x:c>
      <x:c r="Y1487" t="str">
        <x:v>Agent-Draft; Kategorie und Person pruefen</x:v>
      </x:c>
    </x:row>
    <x:row r="1488">
      <x:c r="A1488" t="str">
        <x:v>TXN-RAW-IMP-20260516-FULLDRAFT-001472</x:v>
      </x:c>
      <x:c r="B1488" t="str">
        <x:v>RAW-IMP-20260516-FULLDRAFT-001472</x:v>
      </x:c>
      <x:c r="C1488" t="str">
        <x:v>KTO001</x:v>
      </x:c>
      <x:c r="D1488"/>
      <x:c r="E1488" t="str">
        <x:v>KAT013</x:v>
      </x:c>
      <x:c r="F1488"/>
      <x:c r="G1488"/>
      <x:c r="H1488" t="str">
        <x:v>kein_match</x:v>
      </x:c>
      <x:c r="I1488" t="str">
        <x:v>Agent-Draft: keine finale Regelentscheidung</x:v>
      </x:c>
      <x:c r="J1488" t="n">
        <x:v>45667</x:v>
      </x:c>
      <x:c r="K1488"/>
      <x:c r="L1488"/>
      <x:c r="M1488" t="n">
        <x:v>-23.63</x:v>
      </x:c>
      <x:c r="N1488" t="str">
        <x:v>2025-01</x:v>
      </x:c>
      <x:c r="O1488" t="str">
        <x:v>Ausgabe</x:v>
      </x:c>
      <x:c r="P1488" t="str">
        <x:v>Ist</x:v>
      </x:c>
      <x:c r="Q1488" s="59" t="b">
        <x:v>0</x:v>
      </x:c>
      <x:c r="R1488" t="str">
        <x:v>kein_transfer</x:v>
      </x:c>
      <x:c r="S1488"/>
      <x:c r="T1488"/>
      <x:c r="U1488"/>
      <x:c r="V1488" s="59" t="b">
        <x:v>1</x:v>
      </x:c>
      <x:c r="W1488"/>
      <x:c r="X1488" t="str">
        <x:v>offen</x:v>
      </x:c>
      <x:c r="Y1488" t="str">
        <x:v>Agent-Draft; Kategorie und Person pruefen</x:v>
      </x:c>
    </x:row>
    <x:row r="1489">
      <x:c r="A1489" t="str">
        <x:v>TXN-RAW-IMP-20260516-FULLDRAFT-001473</x:v>
      </x:c>
      <x:c r="B1489" t="str">
        <x:v>RAW-IMP-20260516-FULLDRAFT-001473</x:v>
      </x:c>
      <x:c r="C1489" t="str">
        <x:v>KTO001</x:v>
      </x:c>
      <x:c r="D1489"/>
      <x:c r="E1489" t="str">
        <x:v>KAT013</x:v>
      </x:c>
      <x:c r="F1489"/>
      <x:c r="G1489"/>
      <x:c r="H1489" t="str">
        <x:v>kein_match</x:v>
      </x:c>
      <x:c r="I1489" t="str">
        <x:v>Agent-Draft: keine finale Regelentscheidung</x:v>
      </x:c>
      <x:c r="J1489" t="n">
        <x:v>45667</x:v>
      </x:c>
      <x:c r="K1489"/>
      <x:c r="L1489"/>
      <x:c r="M1489" t="n">
        <x:v>-424.05</x:v>
      </x:c>
      <x:c r="N1489" t="str">
        <x:v>2025-01</x:v>
      </x:c>
      <x:c r="O1489" t="str">
        <x:v>Ausgabe</x:v>
      </x:c>
      <x:c r="P1489" t="str">
        <x:v>Ist</x:v>
      </x:c>
      <x:c r="Q1489" s="59" t="b">
        <x:v>0</x:v>
      </x:c>
      <x:c r="R1489" t="str">
        <x:v>kein_transfer</x:v>
      </x:c>
      <x:c r="S1489"/>
      <x:c r="T1489"/>
      <x:c r="U1489"/>
      <x:c r="V1489" s="59" t="b">
        <x:v>1</x:v>
      </x:c>
      <x:c r="W1489"/>
      <x:c r="X1489" t="str">
        <x:v>offen</x:v>
      </x:c>
      <x:c r="Y1489" t="str">
        <x:v>Agent-Draft; Kategorie und Person pruefen</x:v>
      </x:c>
    </x:row>
    <x:row r="1490">
      <x:c r="A1490" t="str">
        <x:v>TXN-RAW-IMP-20260516-FULLDRAFT-001474</x:v>
      </x:c>
      <x:c r="B1490" t="str">
        <x:v>RAW-IMP-20260516-FULLDRAFT-001474</x:v>
      </x:c>
      <x:c r="C1490" t="str">
        <x:v>KTO001</x:v>
      </x:c>
      <x:c r="D1490"/>
      <x:c r="E1490" t="str">
        <x:v>KAT013</x:v>
      </x:c>
      <x:c r="F1490"/>
      <x:c r="G1490"/>
      <x:c r="H1490" t="str">
        <x:v>kein_match</x:v>
      </x:c>
      <x:c r="I1490" t="str">
        <x:v>Agent-Draft: keine finale Regelentscheidung</x:v>
      </x:c>
      <x:c r="J1490" t="n">
        <x:v>45666</x:v>
      </x:c>
      <x:c r="K1490"/>
      <x:c r="L1490"/>
      <x:c r="M1490" t="n">
        <x:v>7</x:v>
      </x:c>
      <x:c r="N1490" t="str">
        <x:v>2025-01</x:v>
      </x:c>
      <x:c r="O1490" t="str">
        <x:v>Einnahme</x:v>
      </x:c>
      <x:c r="P1490" t="str">
        <x:v>Ist</x:v>
      </x:c>
      <x:c r="Q1490" s="59" t="b">
        <x:v>0</x:v>
      </x:c>
      <x:c r="R1490" t="str">
        <x:v>kein_transfer</x:v>
      </x:c>
      <x:c r="S1490"/>
      <x:c r="T1490"/>
      <x:c r="U1490"/>
      <x:c r="V1490" s="59" t="b">
        <x:v>1</x:v>
      </x:c>
      <x:c r="W1490"/>
      <x:c r="X1490" t="str">
        <x:v>offen</x:v>
      </x:c>
      <x:c r="Y1490" t="str">
        <x:v>Agent-Draft; Kategorie und Person pruefen</x:v>
      </x:c>
    </x:row>
    <x:row r="1491">
      <x:c r="A1491" t="str">
        <x:v>TXN-RAW-IMP-20260516-FULLDRAFT-001475</x:v>
      </x:c>
      <x:c r="B1491" t="str">
        <x:v>RAW-IMP-20260516-FULLDRAFT-001475</x:v>
      </x:c>
      <x:c r="C1491" t="str">
        <x:v>KTO001</x:v>
      </x:c>
      <x:c r="D1491"/>
      <x:c r="E1491" t="str">
        <x:v>KAT013</x:v>
      </x:c>
      <x:c r="F1491"/>
      <x:c r="G1491"/>
      <x:c r="H1491" t="str">
        <x:v>kein_match</x:v>
      </x:c>
      <x:c r="I1491" t="str">
        <x:v>Agent-Draft: keine finale Regelentscheidung</x:v>
      </x:c>
      <x:c r="J1491" t="n">
        <x:v>45666</x:v>
      </x:c>
      <x:c r="K1491"/>
      <x:c r="L1491"/>
      <x:c r="M1491" t="n">
        <x:v>-5</x:v>
      </x:c>
      <x:c r="N1491" t="str">
        <x:v>2025-01</x:v>
      </x:c>
      <x:c r="O1491" t="str">
        <x:v>Ausgabe</x:v>
      </x:c>
      <x:c r="P1491" t="str">
        <x:v>Ist</x:v>
      </x:c>
      <x:c r="Q1491" s="59" t="b">
        <x:v>0</x:v>
      </x:c>
      <x:c r="R1491" t="str">
        <x:v>kein_transfer</x:v>
      </x:c>
      <x:c r="S1491"/>
      <x:c r="T1491"/>
      <x:c r="U1491"/>
      <x:c r="V1491" s="59" t="b">
        <x:v>1</x:v>
      </x:c>
      <x:c r="W1491"/>
      <x:c r="X1491" t="str">
        <x:v>offen</x:v>
      </x:c>
      <x:c r="Y1491" t="str">
        <x:v>Agent-Draft; Kategorie und Person pruefen</x:v>
      </x:c>
    </x:row>
    <x:row r="1492">
      <x:c r="A1492" t="str">
        <x:v>TXN-RAW-IMP-20260516-FULLDRAFT-001476</x:v>
      </x:c>
      <x:c r="B1492" t="str">
        <x:v>RAW-IMP-20260516-FULLDRAFT-001476</x:v>
      </x:c>
      <x:c r="C1492" t="str">
        <x:v>KTO001</x:v>
      </x:c>
      <x:c r="D1492"/>
      <x:c r="E1492" t="str">
        <x:v>KAT013</x:v>
      </x:c>
      <x:c r="F1492"/>
      <x:c r="G1492"/>
      <x:c r="H1492" t="str">
        <x:v>kein_match</x:v>
      </x:c>
      <x:c r="I1492" t="str">
        <x:v>Agent-Draft: keine finale Regelentscheidung</x:v>
      </x:c>
      <x:c r="J1492" t="n">
        <x:v>45666</x:v>
      </x:c>
      <x:c r="K1492"/>
      <x:c r="L1492"/>
      <x:c r="M1492" t="n">
        <x:v>-18.14</x:v>
      </x:c>
      <x:c r="N1492" t="str">
        <x:v>2025-01</x:v>
      </x:c>
      <x:c r="O1492" t="str">
        <x:v>Ausgabe</x:v>
      </x:c>
      <x:c r="P1492" t="str">
        <x:v>Ist</x:v>
      </x:c>
      <x:c r="Q1492" s="59" t="b">
        <x:v>0</x:v>
      </x:c>
      <x:c r="R1492" t="str">
        <x:v>kein_transfer</x:v>
      </x:c>
      <x:c r="S1492"/>
      <x:c r="T1492"/>
      <x:c r="U1492"/>
      <x:c r="V1492" s="59" t="b">
        <x:v>1</x:v>
      </x:c>
      <x:c r="W1492"/>
      <x:c r="X1492" t="str">
        <x:v>offen</x:v>
      </x:c>
      <x:c r="Y1492" t="str">
        <x:v>Agent-Draft; Kategorie und Person pruefen</x:v>
      </x:c>
    </x:row>
    <x:row r="1493">
      <x:c r="A1493" t="str">
        <x:v>TXN-RAW-IMP-20260516-FULLDRAFT-001477</x:v>
      </x:c>
      <x:c r="B1493" t="str">
        <x:v>RAW-IMP-20260516-FULLDRAFT-001477</x:v>
      </x:c>
      <x:c r="C1493" t="str">
        <x:v>KTO001</x:v>
      </x:c>
      <x:c r="D1493"/>
      <x:c r="E1493" t="str">
        <x:v>KAT013</x:v>
      </x:c>
      <x:c r="F1493"/>
      <x:c r="G1493"/>
      <x:c r="H1493" t="str">
        <x:v>kein_match</x:v>
      </x:c>
      <x:c r="I1493" t="str">
        <x:v>Agent-Draft: keine finale Regelentscheidung</x:v>
      </x:c>
      <x:c r="J1493" t="n">
        <x:v>45665</x:v>
      </x:c>
      <x:c r="K1493"/>
      <x:c r="L1493"/>
      <x:c r="M1493" t="n">
        <x:v>-40.72</x:v>
      </x:c>
      <x:c r="N1493" t="str">
        <x:v>2025-01</x:v>
      </x:c>
      <x:c r="O1493" t="str">
        <x:v>Ausgabe</x:v>
      </x:c>
      <x:c r="P1493" t="str">
        <x:v>Ist</x:v>
      </x:c>
      <x:c r="Q1493" s="59" t="b">
        <x:v>0</x:v>
      </x:c>
      <x:c r="R1493" t="str">
        <x:v>kein_transfer</x:v>
      </x:c>
      <x:c r="S1493"/>
      <x:c r="T1493"/>
      <x:c r="U1493"/>
      <x:c r="V1493" s="59" t="b">
        <x:v>1</x:v>
      </x:c>
      <x:c r="W1493"/>
      <x:c r="X1493" t="str">
        <x:v>offen</x:v>
      </x:c>
      <x:c r="Y1493" t="str">
        <x:v>Agent-Draft; Kategorie und Person pruefen</x:v>
      </x:c>
    </x:row>
    <x:row r="1494">
      <x:c r="A1494" t="str">
        <x:v>TXN-RAW-IMP-20260516-FULLDRAFT-001478</x:v>
      </x:c>
      <x:c r="B1494" t="str">
        <x:v>RAW-IMP-20260516-FULLDRAFT-001478</x:v>
      </x:c>
      <x:c r="C1494" t="str">
        <x:v>KTO001</x:v>
      </x:c>
      <x:c r="D1494"/>
      <x:c r="E1494" t="str">
        <x:v>KAT013</x:v>
      </x:c>
      <x:c r="F1494"/>
      <x:c r="G1494"/>
      <x:c r="H1494" t="str">
        <x:v>kein_match</x:v>
      </x:c>
      <x:c r="I1494" t="str">
        <x:v>Agent-Draft: keine finale Regelentscheidung</x:v>
      </x:c>
      <x:c r="J1494" t="n">
        <x:v>45664</x:v>
      </x:c>
      <x:c r="K1494"/>
      <x:c r="L1494"/>
      <x:c r="M1494" t="n">
        <x:v>-61.93</x:v>
      </x:c>
      <x:c r="N1494" t="str">
        <x:v>2025-01</x:v>
      </x:c>
      <x:c r="O1494" t="str">
        <x:v>Ausgabe</x:v>
      </x:c>
      <x:c r="P1494" t="str">
        <x:v>Ist</x:v>
      </x:c>
      <x:c r="Q1494" s="59" t="b">
        <x:v>0</x:v>
      </x:c>
      <x:c r="R1494" t="str">
        <x:v>kein_transfer</x:v>
      </x:c>
      <x:c r="S1494"/>
      <x:c r="T1494"/>
      <x:c r="U1494"/>
      <x:c r="V1494" s="59" t="b">
        <x:v>1</x:v>
      </x:c>
      <x:c r="W1494"/>
      <x:c r="X1494" t="str">
        <x:v>offen</x:v>
      </x:c>
      <x:c r="Y1494" t="str">
        <x:v>Agent-Draft; Kategorie und Person pruefen</x:v>
      </x:c>
    </x:row>
    <x:row r="1495">
      <x:c r="A1495" t="str">
        <x:v>TXN-RAW-IMP-20260516-FULLDRAFT-001479</x:v>
      </x:c>
      <x:c r="B1495" t="str">
        <x:v>RAW-IMP-20260516-FULLDRAFT-001479</x:v>
      </x:c>
      <x:c r="C1495" t="str">
        <x:v>KTO001</x:v>
      </x:c>
      <x:c r="D1495"/>
      <x:c r="E1495" t="str">
        <x:v>KAT013</x:v>
      </x:c>
      <x:c r="F1495"/>
      <x:c r="G1495"/>
      <x:c r="H1495" t="str">
        <x:v>kein_match</x:v>
      </x:c>
      <x:c r="I1495" t="str">
        <x:v>Agent-Draft: keine finale Regelentscheidung</x:v>
      </x:c>
      <x:c r="J1495" t="n">
        <x:v>45664</x:v>
      </x:c>
      <x:c r="K1495"/>
      <x:c r="L1495"/>
      <x:c r="M1495" t="n">
        <x:v>500</x:v>
      </x:c>
      <x:c r="N1495" t="str">
        <x:v>2025-01</x:v>
      </x:c>
      <x:c r="O1495" t="str">
        <x:v>Einnahme</x:v>
      </x:c>
      <x:c r="P1495" t="str">
        <x:v>Ist</x:v>
      </x:c>
      <x:c r="Q1495" s="59" t="b">
        <x:v>0</x:v>
      </x:c>
      <x:c r="R1495" t="str">
        <x:v>unklar</x:v>
      </x:c>
      <x:c r="S1495"/>
      <x:c r="T1495"/>
      <x:c r="U1495"/>
      <x:c r="V1495" s="59" t="b">
        <x:v>1</x:v>
      </x:c>
      <x:c r="W1495" t="str">
        <x:v>Transferkandidat im Draft</x:v>
      </x:c>
      <x:c r="X1495" t="str">
        <x:v>offen</x:v>
      </x:c>
      <x:c r="Y1495" t="str">
        <x:v>Agent-Draft; Kategorie und Person pruefen</x:v>
      </x:c>
    </x:row>
    <x:row r="1496">
      <x:c r="A1496" t="str">
        <x:v>TXN-RAW-IMP-20260516-FULLDRAFT-001480</x:v>
      </x:c>
      <x:c r="B1496" t="str">
        <x:v>RAW-IMP-20260516-FULLDRAFT-001480</x:v>
      </x:c>
      <x:c r="C1496" t="str">
        <x:v>KTO001</x:v>
      </x:c>
      <x:c r="D1496"/>
      <x:c r="E1496" t="str">
        <x:v>KAT013</x:v>
      </x:c>
      <x:c r="F1496"/>
      <x:c r="G1496"/>
      <x:c r="H1496" t="str">
        <x:v>kein_match</x:v>
      </x:c>
      <x:c r="I1496" t="str">
        <x:v>Agent-Draft: keine finale Regelentscheidung</x:v>
      </x:c>
      <x:c r="J1496" t="n">
        <x:v>45663</x:v>
      </x:c>
      <x:c r="K1496"/>
      <x:c r="L1496"/>
      <x:c r="M1496" t="n">
        <x:v>-489.95</x:v>
      </x:c>
      <x:c r="N1496" t="str">
        <x:v>2025-01</x:v>
      </x:c>
      <x:c r="O1496" t="str">
        <x:v>Ausgabe</x:v>
      </x:c>
      <x:c r="P1496" t="str">
        <x:v>Ist</x:v>
      </x:c>
      <x:c r="Q1496" s="59" t="b">
        <x:v>0</x:v>
      </x:c>
      <x:c r="R1496" t="str">
        <x:v>kein_transfer</x:v>
      </x:c>
      <x:c r="S1496"/>
      <x:c r="T1496"/>
      <x:c r="U1496"/>
      <x:c r="V1496" s="59" t="b">
        <x:v>1</x:v>
      </x:c>
      <x:c r="W1496"/>
      <x:c r="X1496" t="str">
        <x:v>offen</x:v>
      </x:c>
      <x:c r="Y1496" t="str">
        <x:v>Agent-Draft; Kategorie und Person pruefen</x:v>
      </x:c>
    </x:row>
    <x:row r="1497">
      <x:c r="A1497" t="str">
        <x:v>TXN-RAW-IMP-20260516-FULLDRAFT-001481</x:v>
      </x:c>
      <x:c r="B1497" t="str">
        <x:v>RAW-IMP-20260516-FULLDRAFT-001481</x:v>
      </x:c>
      <x:c r="C1497" t="str">
        <x:v>KTO001</x:v>
      </x:c>
      <x:c r="D1497"/>
      <x:c r="E1497" t="str">
        <x:v>KAT013</x:v>
      </x:c>
      <x:c r="F1497"/>
      <x:c r="G1497"/>
      <x:c r="H1497" t="str">
        <x:v>kein_match</x:v>
      </x:c>
      <x:c r="I1497" t="str">
        <x:v>Agent-Draft: keine finale Regelentscheidung</x:v>
      </x:c>
      <x:c r="J1497" t="n">
        <x:v>45663</x:v>
      </x:c>
      <x:c r="K1497"/>
      <x:c r="L1497"/>
      <x:c r="M1497" t="n">
        <x:v>-2.15</x:v>
      </x:c>
      <x:c r="N1497" t="str">
        <x:v>2025-01</x:v>
      </x:c>
      <x:c r="O1497" t="str">
        <x:v>Ausgabe</x:v>
      </x:c>
      <x:c r="P1497" t="str">
        <x:v>Ist</x:v>
      </x:c>
      <x:c r="Q1497" s="59" t="b">
        <x:v>0</x:v>
      </x:c>
      <x:c r="R1497" t="str">
        <x:v>kein_transfer</x:v>
      </x:c>
      <x:c r="S1497"/>
      <x:c r="T1497"/>
      <x:c r="U1497"/>
      <x:c r="V1497" s="59" t="b">
        <x:v>1</x:v>
      </x:c>
      <x:c r="W1497"/>
      <x:c r="X1497" t="str">
        <x:v>offen</x:v>
      </x:c>
      <x:c r="Y1497" t="str">
        <x:v>Agent-Draft; Kategorie und Person pruefen</x:v>
      </x:c>
    </x:row>
    <x:row r="1498">
      <x:c r="A1498" t="str">
        <x:v>TXN-RAW-IMP-20260516-FULLDRAFT-001482</x:v>
      </x:c>
      <x:c r="B1498" t="str">
        <x:v>RAW-IMP-20260516-FULLDRAFT-001482</x:v>
      </x:c>
      <x:c r="C1498" t="str">
        <x:v>KTO001</x:v>
      </x:c>
      <x:c r="D1498"/>
      <x:c r="E1498" t="str">
        <x:v>KAT013</x:v>
      </x:c>
      <x:c r="F1498"/>
      <x:c r="G1498"/>
      <x:c r="H1498" t="str">
        <x:v>kein_match</x:v>
      </x:c>
      <x:c r="I1498" t="str">
        <x:v>Agent-Draft: keine finale Regelentscheidung</x:v>
      </x:c>
      <x:c r="J1498" t="n">
        <x:v>45663</x:v>
      </x:c>
      <x:c r="K1498"/>
      <x:c r="L1498"/>
      <x:c r="M1498" t="n">
        <x:v>-3.59</x:v>
      </x:c>
      <x:c r="N1498" t="str">
        <x:v>2025-01</x:v>
      </x:c>
      <x:c r="O1498" t="str">
        <x:v>Ausgabe</x:v>
      </x:c>
      <x:c r="P1498" t="str">
        <x:v>Ist</x:v>
      </x:c>
      <x:c r="Q1498" s="59" t="b">
        <x:v>0</x:v>
      </x:c>
      <x:c r="R1498" t="str">
        <x:v>kein_transfer</x:v>
      </x:c>
      <x:c r="S1498"/>
      <x:c r="T1498"/>
      <x:c r="U1498"/>
      <x:c r="V1498" s="59" t="b">
        <x:v>1</x:v>
      </x:c>
      <x:c r="W1498"/>
      <x:c r="X1498" t="str">
        <x:v>offen</x:v>
      </x:c>
      <x:c r="Y1498" t="str">
        <x:v>Agent-Draft; Kategorie und Person pruefen</x:v>
      </x:c>
    </x:row>
    <x:row r="1499">
      <x:c r="A1499" t="str">
        <x:v>TXN-RAW-IMP-20260516-FULLDRAFT-001483</x:v>
      </x:c>
      <x:c r="B1499" t="str">
        <x:v>RAW-IMP-20260516-FULLDRAFT-001483</x:v>
      </x:c>
      <x:c r="C1499" t="str">
        <x:v>KTO001</x:v>
      </x:c>
      <x:c r="D1499"/>
      <x:c r="E1499" t="str">
        <x:v>KAT013</x:v>
      </x:c>
      <x:c r="F1499"/>
      <x:c r="G1499"/>
      <x:c r="H1499" t="str">
        <x:v>kein_match</x:v>
      </x:c>
      <x:c r="I1499" t="str">
        <x:v>Agent-Draft: keine finale Regelentscheidung</x:v>
      </x:c>
      <x:c r="J1499" t="n">
        <x:v>45663</x:v>
      </x:c>
      <x:c r="K1499"/>
      <x:c r="L1499"/>
      <x:c r="M1499" t="n">
        <x:v>-5.48</x:v>
      </x:c>
      <x:c r="N1499" t="str">
        <x:v>2025-01</x:v>
      </x:c>
      <x:c r="O1499" t="str">
        <x:v>Ausgabe</x:v>
      </x:c>
      <x:c r="P1499" t="str">
        <x:v>Ist</x:v>
      </x:c>
      <x:c r="Q1499" s="59" t="b">
        <x:v>0</x:v>
      </x:c>
      <x:c r="R1499" t="str">
        <x:v>kein_transfer</x:v>
      </x:c>
      <x:c r="S1499"/>
      <x:c r="T1499"/>
      <x:c r="U1499"/>
      <x:c r="V1499" s="59" t="b">
        <x:v>1</x:v>
      </x:c>
      <x:c r="W1499"/>
      <x:c r="X1499" t="str">
        <x:v>offen</x:v>
      </x:c>
      <x:c r="Y1499" t="str">
        <x:v>Agent-Draft; Kategorie und Person pruefen</x:v>
      </x:c>
    </x:row>
    <x:row r="1500">
      <x:c r="A1500" t="str">
        <x:v>TXN-RAW-IMP-20260516-FULLDRAFT-001484</x:v>
      </x:c>
      <x:c r="B1500" t="str">
        <x:v>RAW-IMP-20260516-FULLDRAFT-001484</x:v>
      </x:c>
      <x:c r="C1500" t="str">
        <x:v>KTO001</x:v>
      </x:c>
      <x:c r="D1500"/>
      <x:c r="E1500" t="str">
        <x:v>KAT013</x:v>
      </x:c>
      <x:c r="F1500"/>
      <x:c r="G1500"/>
      <x:c r="H1500" t="str">
        <x:v>kein_match</x:v>
      </x:c>
      <x:c r="I1500" t="str">
        <x:v>Agent-Draft: keine finale Regelentscheidung</x:v>
      </x:c>
      <x:c r="J1500" t="n">
        <x:v>45663</x:v>
      </x:c>
      <x:c r="K1500"/>
      <x:c r="L1500"/>
      <x:c r="M1500" t="n">
        <x:v>-36.88</x:v>
      </x:c>
      <x:c r="N1500" t="str">
        <x:v>2025-01</x:v>
      </x:c>
      <x:c r="O1500" t="str">
        <x:v>Ausgabe</x:v>
      </x:c>
      <x:c r="P1500" t="str">
        <x:v>Ist</x:v>
      </x:c>
      <x:c r="Q1500" s="59" t="b">
        <x:v>0</x:v>
      </x:c>
      <x:c r="R1500" t="str">
        <x:v>kein_transfer</x:v>
      </x:c>
      <x:c r="S1500"/>
      <x:c r="T1500"/>
      <x:c r="U1500"/>
      <x:c r="V1500" s="59" t="b">
        <x:v>1</x:v>
      </x:c>
      <x:c r="W1500"/>
      <x:c r="X1500" t="str">
        <x:v>offen</x:v>
      </x:c>
      <x:c r="Y1500" t="str">
        <x:v>Agent-Draft; Kategorie und Person pruefen</x:v>
      </x:c>
    </x:row>
    <x:row r="1501">
      <x:c r="A1501" t="str">
        <x:v>TXN-RAW-IMP-20260516-FULLDRAFT-001485</x:v>
      </x:c>
      <x:c r="B1501" t="str">
        <x:v>RAW-IMP-20260516-FULLDRAFT-001485</x:v>
      </x:c>
      <x:c r="C1501" t="str">
        <x:v>KTO001</x:v>
      </x:c>
      <x:c r="D1501"/>
      <x:c r="E1501" t="str">
        <x:v>KAT013</x:v>
      </x:c>
      <x:c r="F1501"/>
      <x:c r="G1501"/>
      <x:c r="H1501" t="str">
        <x:v>kein_match</x:v>
      </x:c>
      <x:c r="I1501" t="str">
        <x:v>Agent-Draft: keine finale Regelentscheidung</x:v>
      </x:c>
      <x:c r="J1501" t="n">
        <x:v>45663</x:v>
      </x:c>
      <x:c r="K1501"/>
      <x:c r="L1501"/>
      <x:c r="M1501" t="n">
        <x:v>-208.93</x:v>
      </x:c>
      <x:c r="N1501" t="str">
        <x:v>2025-01</x:v>
      </x:c>
      <x:c r="O1501" t="str">
        <x:v>Ausgabe</x:v>
      </x:c>
      <x:c r="P1501" t="str">
        <x:v>Ist</x:v>
      </x:c>
      <x:c r="Q1501" s="59" t="b">
        <x:v>0</x:v>
      </x:c>
      <x:c r="R1501" t="str">
        <x:v>kein_transfer</x:v>
      </x:c>
      <x:c r="S1501"/>
      <x:c r="T1501"/>
      <x:c r="U1501"/>
      <x:c r="V1501" s="59" t="b">
        <x:v>1</x:v>
      </x:c>
      <x:c r="W1501"/>
      <x:c r="X1501" t="str">
        <x:v>offen</x:v>
      </x:c>
      <x:c r="Y1501" t="str">
        <x:v>Agent-Draft; Kategorie und Person pruefen</x:v>
      </x:c>
    </x:row>
    <x:row r="1502">
      <x:c r="A1502" t="str">
        <x:v>TXN-RAW-IMP-20260516-FULLDRAFT-001486</x:v>
      </x:c>
      <x:c r="B1502" t="str">
        <x:v>RAW-IMP-20260516-FULLDRAFT-001486</x:v>
      </x:c>
      <x:c r="C1502" t="str">
        <x:v>KTO001</x:v>
      </x:c>
      <x:c r="D1502"/>
      <x:c r="E1502" t="str">
        <x:v>KAT013</x:v>
      </x:c>
      <x:c r="F1502"/>
      <x:c r="G1502"/>
      <x:c r="H1502" t="str">
        <x:v>kein_match</x:v>
      </x:c>
      <x:c r="I1502" t="str">
        <x:v>Agent-Draft: keine finale Regelentscheidung</x:v>
      </x:c>
      <x:c r="J1502" t="n">
        <x:v>45663</x:v>
      </x:c>
      <x:c r="K1502"/>
      <x:c r="L1502"/>
      <x:c r="M1502" t="n">
        <x:v>-49.9</x:v>
      </x:c>
      <x:c r="N1502" t="str">
        <x:v>2025-01</x:v>
      </x:c>
      <x:c r="O1502" t="str">
        <x:v>Ausgabe</x:v>
      </x:c>
      <x:c r="P1502" t="str">
        <x:v>Ist</x:v>
      </x:c>
      <x:c r="Q1502" s="59" t="b">
        <x:v>0</x:v>
      </x:c>
      <x:c r="R1502" t="str">
        <x:v>kein_transfer</x:v>
      </x:c>
      <x:c r="S1502"/>
      <x:c r="T1502"/>
      <x:c r="U1502"/>
      <x:c r="V1502" s="59" t="b">
        <x:v>1</x:v>
      </x:c>
      <x:c r="W1502"/>
      <x:c r="X1502" t="str">
        <x:v>offen</x:v>
      </x:c>
      <x:c r="Y1502" t="str">
        <x:v>Agent-Draft; Kategorie und Person pruefen</x:v>
      </x:c>
    </x:row>
    <x:row r="1503">
      <x:c r="A1503" t="str">
        <x:v>TXN-RAW-IMP-20260516-FULLDRAFT-001487</x:v>
      </x:c>
      <x:c r="B1503" t="str">
        <x:v>RAW-IMP-20260516-FULLDRAFT-001487</x:v>
      </x:c>
      <x:c r="C1503" t="str">
        <x:v>KTO001</x:v>
      </x:c>
      <x:c r="D1503"/>
      <x:c r="E1503" t="str">
        <x:v>KAT013</x:v>
      </x:c>
      <x:c r="F1503"/>
      <x:c r="G1503"/>
      <x:c r="H1503" t="str">
        <x:v>kein_match</x:v>
      </x:c>
      <x:c r="I1503" t="str">
        <x:v>Agent-Draft: keine finale Regelentscheidung</x:v>
      </x:c>
      <x:c r="J1503" t="n">
        <x:v>45660</x:v>
      </x:c>
      <x:c r="K1503"/>
      <x:c r="L1503"/>
      <x:c r="M1503" t="n">
        <x:v>-5</x:v>
      </x:c>
      <x:c r="N1503" t="str">
        <x:v>2025-01</x:v>
      </x:c>
      <x:c r="O1503" t="str">
        <x:v>Ausgabe</x:v>
      </x:c>
      <x:c r="P1503" t="str">
        <x:v>Ist</x:v>
      </x:c>
      <x:c r="Q1503" s="59" t="b">
        <x:v>0</x:v>
      </x:c>
      <x:c r="R1503" t="str">
        <x:v>kein_transfer</x:v>
      </x:c>
      <x:c r="S1503"/>
      <x:c r="T1503"/>
      <x:c r="U1503"/>
      <x:c r="V1503" s="59" t="b">
        <x:v>1</x:v>
      </x:c>
      <x:c r="W1503"/>
      <x:c r="X1503" t="str">
        <x:v>offen</x:v>
      </x:c>
      <x:c r="Y1503" t="str">
        <x:v>Agent-Draft; Kategorie und Person pruefen</x:v>
      </x:c>
    </x:row>
    <x:row r="1504">
      <x:c r="A1504" t="str">
        <x:v>TXN-RAW-IMP-20260516-FULLDRAFT-001488</x:v>
      </x:c>
      <x:c r="B1504" t="str">
        <x:v>RAW-IMP-20260516-FULLDRAFT-001488</x:v>
      </x:c>
      <x:c r="C1504" t="str">
        <x:v>KTO001</x:v>
      </x:c>
      <x:c r="D1504"/>
      <x:c r="E1504" t="str">
        <x:v>KAT013</x:v>
      </x:c>
      <x:c r="F1504"/>
      <x:c r="G1504"/>
      <x:c r="H1504" t="str">
        <x:v>kein_match</x:v>
      </x:c>
      <x:c r="I1504" t="str">
        <x:v>Agent-Draft: keine finale Regelentscheidung</x:v>
      </x:c>
      <x:c r="J1504" t="n">
        <x:v>45660</x:v>
      </x:c>
      <x:c r="K1504"/>
      <x:c r="L1504"/>
      <x:c r="M1504" t="n">
        <x:v>-25.64</x:v>
      </x:c>
      <x:c r="N1504" t="str">
        <x:v>2025-01</x:v>
      </x:c>
      <x:c r="O1504" t="str">
        <x:v>Ausgabe</x:v>
      </x:c>
      <x:c r="P1504" t="str">
        <x:v>Ist</x:v>
      </x:c>
      <x:c r="Q1504" s="59" t="b">
        <x:v>0</x:v>
      </x:c>
      <x:c r="R1504" t="str">
        <x:v>kein_transfer</x:v>
      </x:c>
      <x:c r="S1504"/>
      <x:c r="T1504"/>
      <x:c r="U1504"/>
      <x:c r="V1504" s="59" t="b">
        <x:v>1</x:v>
      </x:c>
      <x:c r="W1504"/>
      <x:c r="X1504" t="str">
        <x:v>offen</x:v>
      </x:c>
      <x:c r="Y1504" t="str">
        <x:v>Agent-Draft; Kategorie und Person pruefen</x:v>
      </x:c>
    </x:row>
    <x:row r="1505">
      <x:c r="A1505" t="str">
        <x:v>TXN-RAW-IMP-20260516-FULLDRAFT-001489</x:v>
      </x:c>
      <x:c r="B1505" t="str">
        <x:v>RAW-IMP-20260516-FULLDRAFT-001489</x:v>
      </x:c>
      <x:c r="C1505" t="str">
        <x:v>KTO001</x:v>
      </x:c>
      <x:c r="D1505"/>
      <x:c r="E1505" t="str">
        <x:v>KAT013</x:v>
      </x:c>
      <x:c r="F1505"/>
      <x:c r="G1505"/>
      <x:c r="H1505" t="str">
        <x:v>kein_match</x:v>
      </x:c>
      <x:c r="I1505" t="str">
        <x:v>Agent-Draft: keine finale Regelentscheidung</x:v>
      </x:c>
      <x:c r="J1505" t="n">
        <x:v>45660</x:v>
      </x:c>
      <x:c r="K1505"/>
      <x:c r="L1505"/>
      <x:c r="M1505" t="n">
        <x:v>-53.3</x:v>
      </x:c>
      <x:c r="N1505" t="str">
        <x:v>2025-01</x:v>
      </x:c>
      <x:c r="O1505" t="str">
        <x:v>Ausgabe</x:v>
      </x:c>
      <x:c r="P1505" t="str">
        <x:v>Ist</x:v>
      </x:c>
      <x:c r="Q1505" s="59" t="b">
        <x:v>0</x:v>
      </x:c>
      <x:c r="R1505" t="str">
        <x:v>kein_transfer</x:v>
      </x:c>
      <x:c r="S1505"/>
      <x:c r="T1505"/>
      <x:c r="U1505"/>
      <x:c r="V1505" s="59" t="b">
        <x:v>1</x:v>
      </x:c>
      <x:c r="W1505"/>
      <x:c r="X1505" t="str">
        <x:v>offen</x:v>
      </x:c>
      <x:c r="Y1505" t="str">
        <x:v>Agent-Draft; Kategorie und Person pruefen</x:v>
      </x:c>
    </x:row>
    <x:row r="1506">
      <x:c r="A1506" t="str">
        <x:v>TXN-RAW-IMP-20260516-FULLDRAFT-001490</x:v>
      </x:c>
      <x:c r="B1506" t="str">
        <x:v>RAW-IMP-20260516-FULLDRAFT-001490</x:v>
      </x:c>
      <x:c r="C1506" t="str">
        <x:v>KTO001</x:v>
      </x:c>
      <x:c r="D1506"/>
      <x:c r="E1506" t="str">
        <x:v>KAT013</x:v>
      </x:c>
      <x:c r="F1506"/>
      <x:c r="G1506"/>
      <x:c r="H1506" t="str">
        <x:v>kein_match</x:v>
      </x:c>
      <x:c r="I1506" t="str">
        <x:v>Agent-Draft: keine finale Regelentscheidung</x:v>
      </x:c>
      <x:c r="J1506" t="n">
        <x:v>45660</x:v>
      </x:c>
      <x:c r="K1506"/>
      <x:c r="L1506"/>
      <x:c r="M1506" t="n">
        <x:v>-57.5</x:v>
      </x:c>
      <x:c r="N1506" t="str">
        <x:v>2025-01</x:v>
      </x:c>
      <x:c r="O1506" t="str">
        <x:v>Ausgabe</x:v>
      </x:c>
      <x:c r="P1506" t="str">
        <x:v>Ist</x:v>
      </x:c>
      <x:c r="Q1506" s="59" t="b">
        <x:v>0</x:v>
      </x:c>
      <x:c r="R1506" t="str">
        <x:v>kein_transfer</x:v>
      </x:c>
      <x:c r="S1506"/>
      <x:c r="T1506"/>
      <x:c r="U1506"/>
      <x:c r="V1506" s="59" t="b">
        <x:v>1</x:v>
      </x:c>
      <x:c r="W1506"/>
      <x:c r="X1506" t="str">
        <x:v>offen</x:v>
      </x:c>
      <x:c r="Y1506" t="str">
        <x:v>Agent-Draft; Kategorie und Person pruefen</x:v>
      </x:c>
    </x:row>
    <x:row r="1507">
      <x:c r="A1507" t="str">
        <x:v>TXN-RAW-IMP-20260516-FULLDRAFT-001491</x:v>
      </x:c>
      <x:c r="B1507" t="str">
        <x:v>RAW-IMP-20260516-FULLDRAFT-001491</x:v>
      </x:c>
      <x:c r="C1507" t="str">
        <x:v>KTO001</x:v>
      </x:c>
      <x:c r="D1507"/>
      <x:c r="E1507" t="str">
        <x:v>KAT013</x:v>
      </x:c>
      <x:c r="F1507"/>
      <x:c r="G1507"/>
      <x:c r="H1507" t="str">
        <x:v>kein_match</x:v>
      </x:c>
      <x:c r="I1507" t="str">
        <x:v>Agent-Draft: keine finale Regelentscheidung</x:v>
      </x:c>
      <x:c r="J1507" t="n">
        <x:v>45660</x:v>
      </x:c>
      <x:c r="K1507"/>
      <x:c r="L1507"/>
      <x:c r="M1507" t="n">
        <x:v>-600</x:v>
      </x:c>
      <x:c r="N1507" t="str">
        <x:v>2025-01</x:v>
      </x:c>
      <x:c r="O1507" t="str">
        <x:v>Ausgabe</x:v>
      </x:c>
      <x:c r="P1507" t="str">
        <x:v>Ist</x:v>
      </x:c>
      <x:c r="Q1507" s="59" t="b">
        <x:v>0</x:v>
      </x:c>
      <x:c r="R1507" t="str">
        <x:v>kein_transfer</x:v>
      </x:c>
      <x:c r="S1507"/>
      <x:c r="T1507"/>
      <x:c r="U1507"/>
      <x:c r="V1507" s="59" t="b">
        <x:v>1</x:v>
      </x:c>
      <x:c r="W1507"/>
      <x:c r="X1507" t="str">
        <x:v>offen</x:v>
      </x:c>
      <x:c r="Y1507" t="str">
        <x:v>Agent-Draft; Kategorie und Person pruefen</x:v>
      </x:c>
    </x:row>
    <x:row r="1508">
      <x:c r="A1508" t="str">
        <x:v>TXN-RAW-IMP-20260516-FULLDRAFT-001492</x:v>
      </x:c>
      <x:c r="B1508" t="str">
        <x:v>RAW-IMP-20260516-FULLDRAFT-001492</x:v>
      </x:c>
      <x:c r="C1508" t="str">
        <x:v>KTO001</x:v>
      </x:c>
      <x:c r="D1508"/>
      <x:c r="E1508" t="str">
        <x:v>KAT013</x:v>
      </x:c>
      <x:c r="F1508"/>
      <x:c r="G1508"/>
      <x:c r="H1508" t="str">
        <x:v>kein_match</x:v>
      </x:c>
      <x:c r="I1508" t="str">
        <x:v>Agent-Draft: keine finale Regelentscheidung</x:v>
      </x:c>
      <x:c r="J1508" t="n">
        <x:v>45659</x:v>
      </x:c>
      <x:c r="K1508"/>
      <x:c r="L1508"/>
      <x:c r="M1508" t="n">
        <x:v>-732</x:v>
      </x:c>
      <x:c r="N1508" t="str">
        <x:v>2025-01</x:v>
      </x:c>
      <x:c r="O1508" t="str">
        <x:v>Ausgabe</x:v>
      </x:c>
      <x:c r="P1508" t="str">
        <x:v>Ist</x:v>
      </x:c>
      <x:c r="Q1508" s="59" t="b">
        <x:v>0</x:v>
      </x:c>
      <x:c r="R1508" t="str">
        <x:v>kein_transfer</x:v>
      </x:c>
      <x:c r="S1508"/>
      <x:c r="T1508"/>
      <x:c r="U1508"/>
      <x:c r="V1508" s="59" t="b">
        <x:v>1</x:v>
      </x:c>
      <x:c r="W1508"/>
      <x:c r="X1508" t="str">
        <x:v>offen</x:v>
      </x:c>
      <x:c r="Y1508" t="str">
        <x:v>Agent-Draft; Kategorie und Person pruefen</x:v>
      </x:c>
    </x:row>
    <x:row r="1509">
      <x:c r="A1509" t="str">
        <x:v>TXN-RAW-IMP-20260516-FULLDRAFT-001493</x:v>
      </x:c>
      <x:c r="B1509" t="str">
        <x:v>RAW-IMP-20260516-FULLDRAFT-001493</x:v>
      </x:c>
      <x:c r="C1509" t="str">
        <x:v>KTO001</x:v>
      </x:c>
      <x:c r="D1509"/>
      <x:c r="E1509" t="str">
        <x:v>KAT013</x:v>
      </x:c>
      <x:c r="F1509"/>
      <x:c r="G1509"/>
      <x:c r="H1509" t="str">
        <x:v>kein_match</x:v>
      </x:c>
      <x:c r="I1509" t="str">
        <x:v>Agent-Draft: keine finale Regelentscheidung</x:v>
      </x:c>
      <x:c r="J1509" t="n">
        <x:v>45659</x:v>
      </x:c>
      <x:c r="K1509"/>
      <x:c r="L1509"/>
      <x:c r="M1509" t="n">
        <x:v>750</x:v>
      </x:c>
      <x:c r="N1509" t="str">
        <x:v>2025-01</x:v>
      </x:c>
      <x:c r="O1509" t="str">
        <x:v>Einnahme</x:v>
      </x:c>
      <x:c r="P1509" t="str">
        <x:v>Ist</x:v>
      </x:c>
      <x:c r="Q1509" s="59" t="b">
        <x:v>0</x:v>
      </x:c>
      <x:c r="R1509" t="str">
        <x:v>kein_transfer</x:v>
      </x:c>
      <x:c r="S1509"/>
      <x:c r="T1509"/>
      <x:c r="U1509"/>
      <x:c r="V1509" s="59" t="b">
        <x:v>1</x:v>
      </x:c>
      <x:c r="W1509"/>
      <x:c r="X1509" t="str">
        <x:v>offen</x:v>
      </x:c>
      <x:c r="Y1509" t="str">
        <x:v>Agent-Draft; Kategorie und Person pruefen</x:v>
      </x:c>
    </x:row>
    <x:row r="1510">
      <x:c r="A1510" t="str">
        <x:v>TXN-RAW-IMP-20260516-FULLDRAFT-001494</x:v>
      </x:c>
      <x:c r="B1510" t="str">
        <x:v>RAW-IMP-20260516-FULLDRAFT-001494</x:v>
      </x:c>
      <x:c r="C1510" t="str">
        <x:v>KTO001</x:v>
      </x:c>
      <x:c r="D1510"/>
      <x:c r="E1510" t="str">
        <x:v>KAT013</x:v>
      </x:c>
      <x:c r="F1510"/>
      <x:c r="G1510"/>
      <x:c r="H1510" t="str">
        <x:v>kein_match</x:v>
      </x:c>
      <x:c r="I1510" t="str">
        <x:v>Agent-Draft: keine finale Regelentscheidung</x:v>
      </x:c>
      <x:c r="J1510" t="n">
        <x:v>45659</x:v>
      </x:c>
      <x:c r="K1510"/>
      <x:c r="L1510"/>
      <x:c r="M1510" t="n">
        <x:v>-117.7</x:v>
      </x:c>
      <x:c r="N1510" t="str">
        <x:v>2025-01</x:v>
      </x:c>
      <x:c r="O1510" t="str">
        <x:v>Ausgabe</x:v>
      </x:c>
      <x:c r="P1510" t="str">
        <x:v>Ist</x:v>
      </x:c>
      <x:c r="Q1510" s="59" t="b">
        <x:v>0</x:v>
      </x:c>
      <x:c r="R1510" t="str">
        <x:v>kein_transfer</x:v>
      </x:c>
      <x:c r="S1510"/>
      <x:c r="T1510"/>
      <x:c r="U1510"/>
      <x:c r="V1510" s="59" t="b">
        <x:v>1</x:v>
      </x:c>
      <x:c r="W1510"/>
      <x:c r="X1510" t="str">
        <x:v>offen</x:v>
      </x:c>
      <x:c r="Y1510" t="str">
        <x:v>Agent-Draft; Kategorie und Person pruefen</x:v>
      </x:c>
    </x:row>
    <x:row r="1511">
      <x:c r="A1511" t="str">
        <x:v>TXN-RAW-IMP-20260516-FULLDRAFT-001495</x:v>
      </x:c>
      <x:c r="B1511" t="str">
        <x:v>RAW-IMP-20260516-FULLDRAFT-001495</x:v>
      </x:c>
      <x:c r="C1511" t="str">
        <x:v>KTO001</x:v>
      </x:c>
      <x:c r="D1511"/>
      <x:c r="E1511" t="str">
        <x:v>KAT013</x:v>
      </x:c>
      <x:c r="F1511"/>
      <x:c r="G1511"/>
      <x:c r="H1511" t="str">
        <x:v>kein_match</x:v>
      </x:c>
      <x:c r="I1511" t="str">
        <x:v>Agent-Draft: keine finale Regelentscheidung</x:v>
      </x:c>
      <x:c r="J1511" t="n">
        <x:v>45659</x:v>
      </x:c>
      <x:c r="K1511"/>
      <x:c r="L1511"/>
      <x:c r="M1511" t="n">
        <x:v>-162.17</x:v>
      </x:c>
      <x:c r="N1511" t="str">
        <x:v>2025-01</x:v>
      </x:c>
      <x:c r="O1511" t="str">
        <x:v>Ausgabe</x:v>
      </x:c>
      <x:c r="P1511" t="str">
        <x:v>Ist</x:v>
      </x:c>
      <x:c r="Q1511" s="59" t="b">
        <x:v>0</x:v>
      </x:c>
      <x:c r="R1511" t="str">
        <x:v>kein_transfer</x:v>
      </x:c>
      <x:c r="S1511"/>
      <x:c r="T1511"/>
      <x:c r="U1511"/>
      <x:c r="V1511" s="59" t="b">
        <x:v>1</x:v>
      </x:c>
      <x:c r="W1511"/>
      <x:c r="X1511" t="str">
        <x:v>offen</x:v>
      </x:c>
      <x:c r="Y1511" t="str">
        <x:v>Agent-Draft; Kategorie und Person pruefen</x:v>
      </x:c>
    </x:row>
    <x:row r="1512">
      <x:c r="A1512" t="str">
        <x:v>TXN-RAW-IMP-20260516-FULLDRAFT-001496</x:v>
      </x:c>
      <x:c r="B1512" t="str">
        <x:v>RAW-IMP-20260516-FULLDRAFT-001496</x:v>
      </x:c>
      <x:c r="C1512" t="str">
        <x:v>KTO001</x:v>
      </x:c>
      <x:c r="D1512"/>
      <x:c r="E1512" t="str">
        <x:v>KAT013</x:v>
      </x:c>
      <x:c r="F1512"/>
      <x:c r="G1512"/>
      <x:c r="H1512" t="str">
        <x:v>kein_match</x:v>
      </x:c>
      <x:c r="I1512" t="str">
        <x:v>Agent-Draft: keine finale Regelentscheidung</x:v>
      </x:c>
      <x:c r="J1512" t="n">
        <x:v>45659</x:v>
      </x:c>
      <x:c r="K1512"/>
      <x:c r="L1512"/>
      <x:c r="M1512" t="n">
        <x:v>-68.46</x:v>
      </x:c>
      <x:c r="N1512" t="str">
        <x:v>2025-01</x:v>
      </x:c>
      <x:c r="O1512" t="str">
        <x:v>Ausgabe</x:v>
      </x:c>
      <x:c r="P1512" t="str">
        <x:v>Ist</x:v>
      </x:c>
      <x:c r="Q1512" s="59" t="b">
        <x:v>0</x:v>
      </x:c>
      <x:c r="R1512" t="str">
        <x:v>kein_transfer</x:v>
      </x:c>
      <x:c r="S1512"/>
      <x:c r="T1512"/>
      <x:c r="U1512"/>
      <x:c r="V1512" s="59" t="b">
        <x:v>1</x:v>
      </x:c>
      <x:c r="W1512"/>
      <x:c r="X1512" t="str">
        <x:v>offen</x:v>
      </x:c>
      <x:c r="Y1512" t="str">
        <x:v>Agent-Draft; Kategorie und Person pruefen</x:v>
      </x:c>
    </x:row>
    <x:row r="1513">
      <x:c r="A1513" t="str">
        <x:v>TXN-RAW-IMP-20260516-FULLDRAFT-001497</x:v>
      </x:c>
      <x:c r="B1513" t="str">
        <x:v>RAW-IMP-20260516-FULLDRAFT-001497</x:v>
      </x:c>
      <x:c r="C1513" t="str">
        <x:v>KTO001</x:v>
      </x:c>
      <x:c r="D1513"/>
      <x:c r="E1513" t="str">
        <x:v>KAT013</x:v>
      </x:c>
      <x:c r="F1513"/>
      <x:c r="G1513"/>
      <x:c r="H1513" t="str">
        <x:v>kein_match</x:v>
      </x:c>
      <x:c r="I1513" t="str">
        <x:v>Agent-Draft: keine finale Regelentscheidung</x:v>
      </x:c>
      <x:c r="J1513" t="n">
        <x:v>45659</x:v>
      </x:c>
      <x:c r="K1513"/>
      <x:c r="L1513"/>
      <x:c r="M1513" t="n">
        <x:v>-43.91</x:v>
      </x:c>
      <x:c r="N1513" t="str">
        <x:v>2025-01</x:v>
      </x:c>
      <x:c r="O1513" t="str">
        <x:v>Ausgabe</x:v>
      </x:c>
      <x:c r="P1513" t="str">
        <x:v>Ist</x:v>
      </x:c>
      <x:c r="Q1513" s="59" t="b">
        <x:v>0</x:v>
      </x:c>
      <x:c r="R1513" t="str">
        <x:v>kein_transfer</x:v>
      </x:c>
      <x:c r="S1513"/>
      <x:c r="T1513"/>
      <x:c r="U1513"/>
      <x:c r="V1513" s="59" t="b">
        <x:v>1</x:v>
      </x:c>
      <x:c r="W1513"/>
      <x:c r="X1513" t="str">
        <x:v>offen</x:v>
      </x:c>
      <x:c r="Y1513" t="str">
        <x:v>Agent-Draft; Kategorie und Person pruefen</x:v>
      </x:c>
    </x:row>
    <x:row r="1514">
      <x:c r="A1514" t="str">
        <x:v>TXN-RAW-IMP-20260516-FULLDRAFT-001498</x:v>
      </x:c>
      <x:c r="B1514" t="str">
        <x:v>RAW-IMP-20260516-FULLDRAFT-001498</x:v>
      </x:c>
      <x:c r="C1514" t="str">
        <x:v>KTO001</x:v>
      </x:c>
      <x:c r="D1514"/>
      <x:c r="E1514" t="str">
        <x:v>KAT013</x:v>
      </x:c>
      <x:c r="F1514"/>
      <x:c r="G1514"/>
      <x:c r="H1514" t="str">
        <x:v>kein_match</x:v>
      </x:c>
      <x:c r="I1514" t="str">
        <x:v>Agent-Draft: keine finale Regelentscheidung</x:v>
      </x:c>
      <x:c r="J1514" t="n">
        <x:v>45659</x:v>
      </x:c>
      <x:c r="K1514"/>
      <x:c r="L1514"/>
      <x:c r="M1514" t="n">
        <x:v>-452.71</x:v>
      </x:c>
      <x:c r="N1514" t="str">
        <x:v>2025-01</x:v>
      </x:c>
      <x:c r="O1514" t="str">
        <x:v>Ausgabe</x:v>
      </x:c>
      <x:c r="P1514" t="str">
        <x:v>Ist</x:v>
      </x:c>
      <x:c r="Q1514" s="59" t="b">
        <x:v>0</x:v>
      </x:c>
      <x:c r="R1514" t="str">
        <x:v>kein_transfer</x:v>
      </x:c>
      <x:c r="S1514"/>
      <x:c r="T1514"/>
      <x:c r="U1514"/>
      <x:c r="V1514" s="59" t="b">
        <x:v>1</x:v>
      </x:c>
      <x:c r="W1514"/>
      <x:c r="X1514" t="str">
        <x:v>offen</x:v>
      </x:c>
      <x:c r="Y1514" t="str">
        <x:v>Agent-Draft; Kategorie und Person pruefen</x:v>
      </x:c>
    </x:row>
    <x:row r="1515">
      <x:c r="A1515" t="str">
        <x:v>TXN-RAW-IMP-20260516-FULLDRAFT-001499</x:v>
      </x:c>
      <x:c r="B1515" t="str">
        <x:v>RAW-IMP-20260516-FULLDRAFT-001499</x:v>
      </x:c>
      <x:c r="C1515" t="str">
        <x:v>KTO001</x:v>
      </x:c>
      <x:c r="D1515"/>
      <x:c r="E1515" t="str">
        <x:v>KAT013</x:v>
      </x:c>
      <x:c r="F1515"/>
      <x:c r="G1515"/>
      <x:c r="H1515" t="str">
        <x:v>kein_match</x:v>
      </x:c>
      <x:c r="I1515" t="str">
        <x:v>Agent-Draft: keine finale Regelentscheidung</x:v>
      </x:c>
      <x:c r="J1515" t="n">
        <x:v>45659</x:v>
      </x:c>
      <x:c r="K1515"/>
      <x:c r="L1515"/>
      <x:c r="M1515" t="n">
        <x:v>-97.12</x:v>
      </x:c>
      <x:c r="N1515" t="str">
        <x:v>2025-01</x:v>
      </x:c>
      <x:c r="O1515" t="str">
        <x:v>Ausgabe</x:v>
      </x:c>
      <x:c r="P1515" t="str">
        <x:v>Ist</x:v>
      </x:c>
      <x:c r="Q1515" s="59" t="b">
        <x:v>0</x:v>
      </x:c>
      <x:c r="R1515" t="str">
        <x:v>kein_transfer</x:v>
      </x:c>
      <x:c r="S1515"/>
      <x:c r="T1515"/>
      <x:c r="U1515"/>
      <x:c r="V1515" s="59" t="b">
        <x:v>1</x:v>
      </x:c>
      <x:c r="W1515"/>
      <x:c r="X1515" t="str">
        <x:v>offen</x:v>
      </x:c>
      <x:c r="Y1515" t="str">
        <x:v>Agent-Draft; Kategorie und Person pruefen</x:v>
      </x:c>
    </x:row>
    <x:row r="1516">
      <x:c r="A1516" t="str">
        <x:v>TXN-RAW-IMP-20260516-FULLDRAFT-001500</x:v>
      </x:c>
      <x:c r="B1516" t="str">
        <x:v>RAW-IMP-20260516-FULLDRAFT-001500</x:v>
      </x:c>
      <x:c r="C1516" t="str">
        <x:v>KTO001</x:v>
      </x:c>
      <x:c r="D1516"/>
      <x:c r="E1516" t="str">
        <x:v>KAT013</x:v>
      </x:c>
      <x:c r="F1516"/>
      <x:c r="G1516"/>
      <x:c r="H1516" t="str">
        <x:v>kein_match</x:v>
      </x:c>
      <x:c r="I1516" t="str">
        <x:v>Agent-Draft: keine finale Regelentscheidung</x:v>
      </x:c>
      <x:c r="J1516" t="n">
        <x:v>45659</x:v>
      </x:c>
      <x:c r="K1516"/>
      <x:c r="L1516"/>
      <x:c r="M1516" t="n">
        <x:v>-197.68</x:v>
      </x:c>
      <x:c r="N1516" t="str">
        <x:v>2025-01</x:v>
      </x:c>
      <x:c r="O1516" t="str">
        <x:v>Ausgabe</x:v>
      </x:c>
      <x:c r="P1516" t="str">
        <x:v>Ist</x:v>
      </x:c>
      <x:c r="Q1516" s="59" t="b">
        <x:v>0</x:v>
      </x:c>
      <x:c r="R1516" t="str">
        <x:v>kein_transfer</x:v>
      </x:c>
      <x:c r="S1516"/>
      <x:c r="T1516"/>
      <x:c r="U1516"/>
      <x:c r="V1516" s="59" t="b">
        <x:v>1</x:v>
      </x:c>
      <x:c r="W1516"/>
      <x:c r="X1516" t="str">
        <x:v>offen</x:v>
      </x:c>
      <x:c r="Y1516" t="str">
        <x:v>Agent-Draft; Kategorie und Person pruefen</x:v>
      </x:c>
    </x:row>
    <x:row r="1517">
      <x:c r="A1517" t="str">
        <x:v>TXN-RAW-IMP-20260516-FULLDRAFT-001501</x:v>
      </x:c>
      <x:c r="B1517" t="str">
        <x:v>RAW-IMP-20260516-FULLDRAFT-001501</x:v>
      </x:c>
      <x:c r="C1517" t="str">
        <x:v>KTO001</x:v>
      </x:c>
      <x:c r="D1517"/>
      <x:c r="E1517" t="str">
        <x:v>KAT013</x:v>
      </x:c>
      <x:c r="F1517"/>
      <x:c r="G1517"/>
      <x:c r="H1517" t="str">
        <x:v>kein_match</x:v>
      </x:c>
      <x:c r="I1517" t="str">
        <x:v>Agent-Draft: keine finale Regelentscheidung</x:v>
      </x:c>
      <x:c r="J1517" t="n">
        <x:v>45659</x:v>
      </x:c>
      <x:c r="K1517"/>
      <x:c r="L1517"/>
      <x:c r="M1517" t="n">
        <x:v>-8.99</x:v>
      </x:c>
      <x:c r="N1517" t="str">
        <x:v>2025-01</x:v>
      </x:c>
      <x:c r="O1517" t="str">
        <x:v>Ausgabe</x:v>
      </x:c>
      <x:c r="P1517" t="str">
        <x:v>Ist</x:v>
      </x:c>
      <x:c r="Q1517" s="59" t="b">
        <x:v>0</x:v>
      </x:c>
      <x:c r="R1517" t="str">
        <x:v>kein_transfer</x:v>
      </x:c>
      <x:c r="S1517"/>
      <x:c r="T1517"/>
      <x:c r="U1517"/>
      <x:c r="V1517" s="59" t="b">
        <x:v>1</x:v>
      </x:c>
      <x:c r="W1517"/>
      <x:c r="X1517" t="str">
        <x:v>offen</x:v>
      </x:c>
      <x:c r="Y1517" t="str">
        <x:v>Agent-Draft; Kategorie und Person pruefen</x:v>
      </x:c>
    </x:row>
    <x:row r="1518">
      <x:c r="A1518" t="str">
        <x:v>TXN-RAW-IMP-20260516-FULLDRAFT-001502</x:v>
      </x:c>
      <x:c r="B1518" t="str">
        <x:v>RAW-IMP-20260516-FULLDRAFT-001502</x:v>
      </x:c>
      <x:c r="C1518" t="str">
        <x:v>KTO001</x:v>
      </x:c>
      <x:c r="D1518"/>
      <x:c r="E1518" t="str">
        <x:v>KAT013</x:v>
      </x:c>
      <x:c r="F1518"/>
      <x:c r="G1518"/>
      <x:c r="H1518" t="str">
        <x:v>kein_match</x:v>
      </x:c>
      <x:c r="I1518" t="str">
        <x:v>Agent-Draft: keine finale Regelentscheidung</x:v>
      </x:c>
      <x:c r="J1518" t="n">
        <x:v>45659</x:v>
      </x:c>
      <x:c r="K1518"/>
      <x:c r="L1518"/>
      <x:c r="M1518" t="n">
        <x:v>-1800</x:v>
      </x:c>
      <x:c r="N1518" t="str">
        <x:v>2025-01</x:v>
      </x:c>
      <x:c r="O1518" t="str">
        <x:v>Ausgabe</x:v>
      </x:c>
      <x:c r="P1518" t="str">
        <x:v>Ist</x:v>
      </x:c>
      <x:c r="Q1518" s="59" t="b">
        <x:v>0</x:v>
      </x:c>
      <x:c r="R1518" t="str">
        <x:v>kein_transfer</x:v>
      </x:c>
      <x:c r="S1518"/>
      <x:c r="T1518"/>
      <x:c r="U1518"/>
      <x:c r="V1518" s="59" t="b">
        <x:v>1</x:v>
      </x:c>
      <x:c r="W1518"/>
      <x:c r="X1518" t="str">
        <x:v>offen</x:v>
      </x:c>
      <x:c r="Y1518" t="str">
        <x:v>Agent-Draft; Kategorie und Person pruefen</x:v>
      </x:c>
    </x:row>
    <x:row r="1519">
      <x:c r="A1519" t="str">
        <x:v>TXN-RAW-IMP-20260516-FULLDRAFT-001503</x:v>
      </x:c>
      <x:c r="B1519" t="str">
        <x:v>RAW-IMP-20260516-FULLDRAFT-001503</x:v>
      </x:c>
      <x:c r="C1519" t="str">
        <x:v>KTO001</x:v>
      </x:c>
      <x:c r="D1519"/>
      <x:c r="E1519" t="str">
        <x:v>KAT013</x:v>
      </x:c>
      <x:c r="F1519"/>
      <x:c r="G1519"/>
      <x:c r="H1519" t="str">
        <x:v>kein_match</x:v>
      </x:c>
      <x:c r="I1519" t="str">
        <x:v>Agent-Draft: keine finale Regelentscheidung</x:v>
      </x:c>
      <x:c r="J1519" t="n">
        <x:v>45659</x:v>
      </x:c>
      <x:c r="K1519"/>
      <x:c r="L1519"/>
      <x:c r="M1519" t="n">
        <x:v>-1400</x:v>
      </x:c>
      <x:c r="N1519" t="str">
        <x:v>2025-01</x:v>
      </x:c>
      <x:c r="O1519" t="str">
        <x:v>Ausgabe</x:v>
      </x:c>
      <x:c r="P1519" t="str">
        <x:v>Ist</x:v>
      </x:c>
      <x:c r="Q1519" s="59" t="b">
        <x:v>0</x:v>
      </x:c>
      <x:c r="R1519" t="str">
        <x:v>kein_transfer</x:v>
      </x:c>
      <x:c r="S1519"/>
      <x:c r="T1519"/>
      <x:c r="U1519"/>
      <x:c r="V1519" s="59" t="b">
        <x:v>1</x:v>
      </x:c>
      <x:c r="W1519"/>
      <x:c r="X1519" t="str">
        <x:v>offen</x:v>
      </x:c>
      <x:c r="Y1519" t="str">
        <x:v>Agent-Draft; Kategorie und Person pruefen</x:v>
      </x:c>
    </x:row>
    <x:row r="1520">
      <x:c r="A1520" t="str">
        <x:v>TXN-RAW-IMP-20260516-FULLDRAFT-001504</x:v>
      </x:c>
      <x:c r="B1520" t="str">
        <x:v>RAW-IMP-20260516-FULLDRAFT-001504</x:v>
      </x:c>
      <x:c r="C1520" t="str">
        <x:v>KTO001</x:v>
      </x:c>
      <x:c r="D1520"/>
      <x:c r="E1520" t="str">
        <x:v>KAT013</x:v>
      </x:c>
      <x:c r="F1520"/>
      <x:c r="G1520"/>
      <x:c r="H1520" t="str">
        <x:v>kein_match</x:v>
      </x:c>
      <x:c r="I1520" t="str">
        <x:v>Agent-Draft: keine finale Regelentscheidung</x:v>
      </x:c>
      <x:c r="J1520" t="n">
        <x:v>45659</x:v>
      </x:c>
      <x:c r="K1520"/>
      <x:c r="L1520"/>
      <x:c r="M1520" t="n">
        <x:v>-1153.94</x:v>
      </x:c>
      <x:c r="N1520" t="str">
        <x:v>2025-01</x:v>
      </x:c>
      <x:c r="O1520" t="str">
        <x:v>Ausgabe</x:v>
      </x:c>
      <x:c r="P1520" t="str">
        <x:v>Ist</x:v>
      </x:c>
      <x:c r="Q1520" s="59" t="b">
        <x:v>0</x:v>
      </x:c>
      <x:c r="R1520" t="str">
        <x:v>kein_transfer</x:v>
      </x:c>
      <x:c r="S1520"/>
      <x:c r="T1520"/>
      <x:c r="U1520"/>
      <x:c r="V1520" s="59" t="b">
        <x:v>1</x:v>
      </x:c>
      <x:c r="W1520"/>
      <x:c r="X1520" t="str">
        <x:v>offen</x:v>
      </x:c>
      <x:c r="Y1520" t="str">
        <x:v>Agent-Draft; Kategorie und Person pruefen</x:v>
      </x:c>
    </x:row>
    <x:row r="1521">
      <x:c r="A1521" t="str">
        <x:v>TXN-RAW-IMP-20260516-FULLDRAFT-001505</x:v>
      </x:c>
      <x:c r="B1521" t="str">
        <x:v>RAW-IMP-20260516-FULLDRAFT-001505</x:v>
      </x:c>
      <x:c r="C1521" t="str">
        <x:v>KTO001</x:v>
      </x:c>
      <x:c r="D1521"/>
      <x:c r="E1521" t="str">
        <x:v>KAT013</x:v>
      </x:c>
      <x:c r="F1521"/>
      <x:c r="G1521"/>
      <x:c r="H1521" t="str">
        <x:v>kein_match</x:v>
      </x:c>
      <x:c r="I1521" t="str">
        <x:v>Agent-Draft: keine finale Regelentscheidung</x:v>
      </x:c>
      <x:c r="J1521" t="n">
        <x:v>45656</x:v>
      </x:c>
      <x:c r="K1521"/>
      <x:c r="L1521"/>
      <x:c r="M1521" t="n">
        <x:v>0</x:v>
      </x:c>
      <x:c r="N1521" t="str">
        <x:v>2024-12</x:v>
      </x:c>
      <x:c r="O1521" t="str">
        <x:v>neutral</x:v>
      </x:c>
      <x:c r="P1521" t="str">
        <x:v>Ist</x:v>
      </x:c>
      <x:c r="Q1521" s="59" t="b">
        <x:v>0</x:v>
      </x:c>
      <x:c r="R1521" t="str">
        <x:v>kein_transfer</x:v>
      </x:c>
      <x:c r="S1521"/>
      <x:c r="T1521"/>
      <x:c r="U1521"/>
      <x:c r="V1521" s="59" t="b">
        <x:v>1</x:v>
      </x:c>
      <x:c r="W1521"/>
      <x:c r="X1521" t="str">
        <x:v>offen</x:v>
      </x:c>
      <x:c r="Y1521" t="str">
        <x:v>Agent-Draft; Kategorie und Person pruefen</x:v>
      </x:c>
    </x:row>
    <x:row r="1522">
      <x:c r="A1522" t="str">
        <x:v>TXN-RAW-IMP-20260516-FULLDRAFT-001506</x:v>
      </x:c>
      <x:c r="B1522" t="str">
        <x:v>RAW-IMP-20260516-FULLDRAFT-001506</x:v>
      </x:c>
      <x:c r="C1522" t="str">
        <x:v>KTO001</x:v>
      </x:c>
      <x:c r="D1522"/>
      <x:c r="E1522" t="str">
        <x:v>KAT013</x:v>
      </x:c>
      <x:c r="F1522"/>
      <x:c r="G1522"/>
      <x:c r="H1522" t="str">
        <x:v>kein_match</x:v>
      </x:c>
      <x:c r="I1522" t="str">
        <x:v>Agent-Draft: keine finale Regelentscheidung</x:v>
      </x:c>
      <x:c r="J1522" t="n">
        <x:v>45656</x:v>
      </x:c>
      <x:c r="K1522"/>
      <x:c r="L1522"/>
      <x:c r="M1522" t="n">
        <x:v>7815.84</x:v>
      </x:c>
      <x:c r="N1522" t="str">
        <x:v>2024-12</x:v>
      </x:c>
      <x:c r="O1522" t="str">
        <x:v>Einnahme</x:v>
      </x:c>
      <x:c r="P1522" t="str">
        <x:v>Ist</x:v>
      </x:c>
      <x:c r="Q1522" s="59" t="b">
        <x:v>0</x:v>
      </x:c>
      <x:c r="R1522" t="str">
        <x:v>kein_transfer</x:v>
      </x:c>
      <x:c r="S1522"/>
      <x:c r="T1522"/>
      <x:c r="U1522"/>
      <x:c r="V1522" s="59" t="b">
        <x:v>1</x:v>
      </x:c>
      <x:c r="W1522"/>
      <x:c r="X1522" t="str">
        <x:v>offen</x:v>
      </x:c>
      <x:c r="Y1522" t="str">
        <x:v>Agent-Draft; Kategorie und Person pruefen</x:v>
      </x:c>
    </x:row>
    <x:row r="1523">
      <x:c r="A1523" t="str">
        <x:v>TXN-RAW-IMP-20260516-FULLDRAFT-001507</x:v>
      </x:c>
      <x:c r="B1523" t="str">
        <x:v>RAW-IMP-20260516-FULLDRAFT-001507</x:v>
      </x:c>
      <x:c r="C1523" t="str">
        <x:v>KTO001</x:v>
      </x:c>
      <x:c r="D1523"/>
      <x:c r="E1523" t="str">
        <x:v>KAT013</x:v>
      </x:c>
      <x:c r="F1523"/>
      <x:c r="G1523"/>
      <x:c r="H1523" t="str">
        <x:v>kein_match</x:v>
      </x:c>
      <x:c r="I1523" t="str">
        <x:v>Agent-Draft: keine finale Regelentscheidung</x:v>
      </x:c>
      <x:c r="J1523" t="n">
        <x:v>45656</x:v>
      </x:c>
      <x:c r="K1523"/>
      <x:c r="L1523"/>
      <x:c r="M1523" t="n">
        <x:v>-6.45</x:v>
      </x:c>
      <x:c r="N1523" t="str">
        <x:v>2024-12</x:v>
      </x:c>
      <x:c r="O1523" t="str">
        <x:v>Ausgabe</x:v>
      </x:c>
      <x:c r="P1523" t="str">
        <x:v>Ist</x:v>
      </x:c>
      <x:c r="Q1523" s="59" t="b">
        <x:v>0</x:v>
      </x:c>
      <x:c r="R1523" t="str">
        <x:v>kein_transfer</x:v>
      </x:c>
      <x:c r="S1523"/>
      <x:c r="T1523"/>
      <x:c r="U1523"/>
      <x:c r="V1523" s="59" t="b">
        <x:v>1</x:v>
      </x:c>
      <x:c r="W1523"/>
      <x:c r="X1523" t="str">
        <x:v>offen</x:v>
      </x:c>
      <x:c r="Y1523" t="str">
        <x:v>Agent-Draft; Kategorie und Person pruefen</x:v>
      </x:c>
    </x:row>
    <x:row r="1524">
      <x:c r="A1524" t="str">
        <x:v>TXN-RAW-IMP-20260516-FULLDRAFT-001508</x:v>
      </x:c>
      <x:c r="B1524" t="str">
        <x:v>RAW-IMP-20260516-FULLDRAFT-001508</x:v>
      </x:c>
      <x:c r="C1524" t="str">
        <x:v>KTO001</x:v>
      </x:c>
      <x:c r="D1524"/>
      <x:c r="E1524" t="str">
        <x:v>KAT013</x:v>
      </x:c>
      <x:c r="F1524"/>
      <x:c r="G1524"/>
      <x:c r="H1524" t="str">
        <x:v>kein_match</x:v>
      </x:c>
      <x:c r="I1524" t="str">
        <x:v>Agent-Draft: keine finale Regelentscheidung</x:v>
      </x:c>
      <x:c r="J1524" t="n">
        <x:v>45656</x:v>
      </x:c>
      <x:c r="K1524"/>
      <x:c r="L1524"/>
      <x:c r="M1524" t="n">
        <x:v>-16.99</x:v>
      </x:c>
      <x:c r="N1524" t="str">
        <x:v>2024-12</x:v>
      </x:c>
      <x:c r="O1524" t="str">
        <x:v>Ausgabe</x:v>
      </x:c>
      <x:c r="P1524" t="str">
        <x:v>Ist</x:v>
      </x:c>
      <x:c r="Q1524" s="59" t="b">
        <x:v>0</x:v>
      </x:c>
      <x:c r="R1524" t="str">
        <x:v>kein_transfer</x:v>
      </x:c>
      <x:c r="S1524"/>
      <x:c r="T1524"/>
      <x:c r="U1524"/>
      <x:c r="V1524" s="59" t="b">
        <x:v>1</x:v>
      </x:c>
      <x:c r="W1524"/>
      <x:c r="X1524" t="str">
        <x:v>offen</x:v>
      </x:c>
      <x:c r="Y1524" t="str">
        <x:v>Agent-Draft; Kategorie und Person pruefen</x:v>
      </x:c>
    </x:row>
    <x:row r="1525">
      <x:c r="A1525" t="str">
        <x:v>TXN-RAW-IMP-20260516-FULLDRAFT-001509</x:v>
      </x:c>
      <x:c r="B1525" t="str">
        <x:v>RAW-IMP-20260516-FULLDRAFT-001509</x:v>
      </x:c>
      <x:c r="C1525" t="str">
        <x:v>KTO001</x:v>
      </x:c>
      <x:c r="D1525"/>
      <x:c r="E1525" t="str">
        <x:v>KAT013</x:v>
      </x:c>
      <x:c r="F1525"/>
      <x:c r="G1525"/>
      <x:c r="H1525" t="str">
        <x:v>kein_match</x:v>
      </x:c>
      <x:c r="I1525" t="str">
        <x:v>Agent-Draft: keine finale Regelentscheidung</x:v>
      </x:c>
      <x:c r="J1525" t="n">
        <x:v>45656</x:v>
      </x:c>
      <x:c r="K1525"/>
      <x:c r="L1525"/>
      <x:c r="M1525" t="n">
        <x:v>-16.1</x:v>
      </x:c>
      <x:c r="N1525" t="str">
        <x:v>2024-12</x:v>
      </x:c>
      <x:c r="O1525" t="str">
        <x:v>Ausgabe</x:v>
      </x:c>
      <x:c r="P1525" t="str">
        <x:v>Ist</x:v>
      </x:c>
      <x:c r="Q1525" s="59" t="b">
        <x:v>0</x:v>
      </x:c>
      <x:c r="R1525" t="str">
        <x:v>kein_transfer</x:v>
      </x:c>
      <x:c r="S1525"/>
      <x:c r="T1525"/>
      <x:c r="U1525"/>
      <x:c r="V1525" s="59" t="b">
        <x:v>1</x:v>
      </x:c>
      <x:c r="W1525"/>
      <x:c r="X1525" t="str">
        <x:v>offen</x:v>
      </x:c>
      <x:c r="Y1525" t="str">
        <x:v>Agent-Draft; Kategorie und Person pruefen</x:v>
      </x:c>
    </x:row>
    <x:row r="1526">
      <x:c r="A1526" t="str">
        <x:v>TXN-RAW-IMP-20260516-FULLDRAFT-001510</x:v>
      </x:c>
      <x:c r="B1526" t="str">
        <x:v>RAW-IMP-20260516-FULLDRAFT-001510</x:v>
      </x:c>
      <x:c r="C1526" t="str">
        <x:v>KTO001</x:v>
      </x:c>
      <x:c r="D1526"/>
      <x:c r="E1526" t="str">
        <x:v>KAT013</x:v>
      </x:c>
      <x:c r="F1526"/>
      <x:c r="G1526"/>
      <x:c r="H1526" t="str">
        <x:v>kein_match</x:v>
      </x:c>
      <x:c r="I1526" t="str">
        <x:v>Agent-Draft: keine finale Regelentscheidung</x:v>
      </x:c>
      <x:c r="J1526" t="n">
        <x:v>45656</x:v>
      </x:c>
      <x:c r="K1526"/>
      <x:c r="L1526"/>
      <x:c r="M1526" t="n">
        <x:v>-150.63</x:v>
      </x:c>
      <x:c r="N1526" t="str">
        <x:v>2024-12</x:v>
      </x:c>
      <x:c r="O1526" t="str">
        <x:v>Ausgabe</x:v>
      </x:c>
      <x:c r="P1526" t="str">
        <x:v>Ist</x:v>
      </x:c>
      <x:c r="Q1526" s="59" t="b">
        <x:v>0</x:v>
      </x:c>
      <x:c r="R1526" t="str">
        <x:v>kein_transfer</x:v>
      </x:c>
      <x:c r="S1526"/>
      <x:c r="T1526"/>
      <x:c r="U1526"/>
      <x:c r="V1526" s="59" t="b">
        <x:v>1</x:v>
      </x:c>
      <x:c r="W1526"/>
      <x:c r="X1526" t="str">
        <x:v>offen</x:v>
      </x:c>
      <x:c r="Y1526" t="str">
        <x:v>Agent-Draft; Kategorie und Person pruefen</x:v>
      </x:c>
    </x:row>
    <x:row r="1527">
      <x:c r="A1527" t="str">
        <x:v>TXN-RAW-IMP-20260516-FULLDRAFT-001511</x:v>
      </x:c>
      <x:c r="B1527" t="str">
        <x:v>RAW-IMP-20260516-FULLDRAFT-001511</x:v>
      </x:c>
      <x:c r="C1527" t="str">
        <x:v>KTO001</x:v>
      </x:c>
      <x:c r="D1527"/>
      <x:c r="E1527" t="str">
        <x:v>KAT013</x:v>
      </x:c>
      <x:c r="F1527"/>
      <x:c r="G1527"/>
      <x:c r="H1527" t="str">
        <x:v>kein_match</x:v>
      </x:c>
      <x:c r="I1527" t="str">
        <x:v>Agent-Draft: keine finale Regelentscheidung</x:v>
      </x:c>
      <x:c r="J1527" t="n">
        <x:v>45656</x:v>
      </x:c>
      <x:c r="K1527"/>
      <x:c r="L1527"/>
      <x:c r="M1527" t="n">
        <x:v>-41.12</x:v>
      </x:c>
      <x:c r="N1527" t="str">
        <x:v>2024-12</x:v>
      </x:c>
      <x:c r="O1527" t="str">
        <x:v>Ausgabe</x:v>
      </x:c>
      <x:c r="P1527" t="str">
        <x:v>Ist</x:v>
      </x:c>
      <x:c r="Q1527" s="59" t="b">
        <x:v>0</x:v>
      </x:c>
      <x:c r="R1527" t="str">
        <x:v>kein_transfer</x:v>
      </x:c>
      <x:c r="S1527"/>
      <x:c r="T1527"/>
      <x:c r="U1527"/>
      <x:c r="V1527" s="59" t="b">
        <x:v>1</x:v>
      </x:c>
      <x:c r="W1527"/>
      <x:c r="X1527" t="str">
        <x:v>offen</x:v>
      </x:c>
      <x:c r="Y1527" t="str">
        <x:v>Agent-Draft; Kategorie und Person pruefen</x:v>
      </x:c>
    </x:row>
    <x:row r="1528">
      <x:c r="A1528" t="str">
        <x:v>TXN-RAW-IMP-20260516-FULLDRAFT-001512</x:v>
      </x:c>
      <x:c r="B1528" t="str">
        <x:v>RAW-IMP-20260516-FULLDRAFT-001512</x:v>
      </x:c>
      <x:c r="C1528" t="str">
        <x:v>KTO001</x:v>
      </x:c>
      <x:c r="D1528"/>
      <x:c r="E1528" t="str">
        <x:v>KAT013</x:v>
      </x:c>
      <x:c r="F1528"/>
      <x:c r="G1528"/>
      <x:c r="H1528" t="str">
        <x:v>kein_match</x:v>
      </x:c>
      <x:c r="I1528" t="str">
        <x:v>Agent-Draft: keine finale Regelentscheidung</x:v>
      </x:c>
      <x:c r="J1528" t="n">
        <x:v>45656</x:v>
      </x:c>
      <x:c r="K1528"/>
      <x:c r="L1528"/>
      <x:c r="M1528" t="n">
        <x:v>-422</x:v>
      </x:c>
      <x:c r="N1528" t="str">
        <x:v>2024-12</x:v>
      </x:c>
      <x:c r="O1528" t="str">
        <x:v>Ausgabe</x:v>
      </x:c>
      <x:c r="P1528" t="str">
        <x:v>Ist</x:v>
      </x:c>
      <x:c r="Q1528" s="59" t="b">
        <x:v>0</x:v>
      </x:c>
      <x:c r="R1528" t="str">
        <x:v>kein_transfer</x:v>
      </x:c>
      <x:c r="S1528"/>
      <x:c r="T1528"/>
      <x:c r="U1528"/>
      <x:c r="V1528" s="59" t="b">
        <x:v>1</x:v>
      </x:c>
      <x:c r="W1528"/>
      <x:c r="X1528" t="str">
        <x:v>offen</x:v>
      </x:c>
      <x:c r="Y1528" t="str">
        <x:v>Agent-Draft; Kategorie und Person pruefen</x:v>
      </x:c>
    </x:row>
    <x:row r="1529">
      <x:c r="A1529" t="str">
        <x:v>TXN-RAW-IMP-20260516-FULLDRAFT-001513</x:v>
      </x:c>
      <x:c r="B1529" t="str">
        <x:v>RAW-IMP-20260516-FULLDRAFT-001513</x:v>
      </x:c>
      <x:c r="C1529" t="str">
        <x:v>KTO001</x:v>
      </x:c>
      <x:c r="D1529"/>
      <x:c r="E1529" t="str">
        <x:v>KAT013</x:v>
      </x:c>
      <x:c r="F1529"/>
      <x:c r="G1529"/>
      <x:c r="H1529" t="str">
        <x:v>kein_match</x:v>
      </x:c>
      <x:c r="I1529" t="str">
        <x:v>Agent-Draft: keine finale Regelentscheidung</x:v>
      </x:c>
      <x:c r="J1529" t="n">
        <x:v>45656</x:v>
      </x:c>
      <x:c r="K1529"/>
      <x:c r="L1529"/>
      <x:c r="M1529" t="n">
        <x:v>-10</x:v>
      </x:c>
      <x:c r="N1529" t="str">
        <x:v>2024-12</x:v>
      </x:c>
      <x:c r="O1529" t="str">
        <x:v>Ausgabe</x:v>
      </x:c>
      <x:c r="P1529" t="str">
        <x:v>Ist</x:v>
      </x:c>
      <x:c r="Q1529" s="59" t="b">
        <x:v>0</x:v>
      </x:c>
      <x:c r="R1529" t="str">
        <x:v>kein_transfer</x:v>
      </x:c>
      <x:c r="S1529"/>
      <x:c r="T1529"/>
      <x:c r="U1529"/>
      <x:c r="V1529" s="59" t="b">
        <x:v>1</x:v>
      </x:c>
      <x:c r="W1529"/>
      <x:c r="X1529" t="str">
        <x:v>offen</x:v>
      </x:c>
      <x:c r="Y1529" t="str">
        <x:v>Agent-Draft; Kategorie und Person pruefen</x:v>
      </x:c>
    </x:row>
    <x:row r="1530">
      <x:c r="A1530" t="str">
        <x:v>TXN-RAW-IMP-20260516-FULLDRAFT-001514</x:v>
      </x:c>
      <x:c r="B1530" t="str">
        <x:v>RAW-IMP-20260516-FULLDRAFT-001514</x:v>
      </x:c>
      <x:c r="C1530" t="str">
        <x:v>KTO001</x:v>
      </x:c>
      <x:c r="D1530"/>
      <x:c r="E1530" t="str">
        <x:v>KAT013</x:v>
      </x:c>
      <x:c r="F1530"/>
      <x:c r="G1530"/>
      <x:c r="H1530" t="str">
        <x:v>kein_match</x:v>
      </x:c>
      <x:c r="I1530" t="str">
        <x:v>Agent-Draft: keine finale Regelentscheidung</x:v>
      </x:c>
      <x:c r="J1530" t="n">
        <x:v>45653</x:v>
      </x:c>
      <x:c r="K1530"/>
      <x:c r="L1530"/>
      <x:c r="M1530" t="n">
        <x:v>-15.94</x:v>
      </x:c>
      <x:c r="N1530" t="str">
        <x:v>2024-12</x:v>
      </x:c>
      <x:c r="O1530" t="str">
        <x:v>Ausgabe</x:v>
      </x:c>
      <x:c r="P1530" t="str">
        <x:v>Ist</x:v>
      </x:c>
      <x:c r="Q1530" s="59" t="b">
        <x:v>0</x:v>
      </x:c>
      <x:c r="R1530" t="str">
        <x:v>kein_transfer</x:v>
      </x:c>
      <x:c r="S1530"/>
      <x:c r="T1530"/>
      <x:c r="U1530"/>
      <x:c r="V1530" s="59" t="b">
        <x:v>1</x:v>
      </x:c>
      <x:c r="W1530"/>
      <x:c r="X1530" t="str">
        <x:v>offen</x:v>
      </x:c>
      <x:c r="Y1530" t="str">
        <x:v>Agent-Draft; Kategorie und Person pruefen</x:v>
      </x:c>
    </x:row>
    <x:row r="1531">
      <x:c r="A1531" t="str">
        <x:v>TXN-RAW-IMP-20260516-FULLDRAFT-001515</x:v>
      </x:c>
      <x:c r="B1531" t="str">
        <x:v>RAW-IMP-20260516-FULLDRAFT-001515</x:v>
      </x:c>
      <x:c r="C1531" t="str">
        <x:v>KTO001</x:v>
      </x:c>
      <x:c r="D1531"/>
      <x:c r="E1531" t="str">
        <x:v>KAT013</x:v>
      </x:c>
      <x:c r="F1531"/>
      <x:c r="G1531"/>
      <x:c r="H1531" t="str">
        <x:v>kein_match</x:v>
      </x:c>
      <x:c r="I1531" t="str">
        <x:v>Agent-Draft: keine finale Regelentscheidung</x:v>
      </x:c>
      <x:c r="J1531" t="n">
        <x:v>45653</x:v>
      </x:c>
      <x:c r="K1531"/>
      <x:c r="L1531"/>
      <x:c r="M1531" t="n">
        <x:v>-12.98</x:v>
      </x:c>
      <x:c r="N1531" t="str">
        <x:v>2024-12</x:v>
      </x:c>
      <x:c r="O1531" t="str">
        <x:v>Ausgabe</x:v>
      </x:c>
      <x:c r="P1531" t="str">
        <x:v>Ist</x:v>
      </x:c>
      <x:c r="Q1531" s="59" t="b">
        <x:v>0</x:v>
      </x:c>
      <x:c r="R1531" t="str">
        <x:v>kein_transfer</x:v>
      </x:c>
      <x:c r="S1531"/>
      <x:c r="T1531"/>
      <x:c r="U1531"/>
      <x:c r="V1531" s="59" t="b">
        <x:v>1</x:v>
      </x:c>
      <x:c r="W1531"/>
      <x:c r="X1531" t="str">
        <x:v>offen</x:v>
      </x:c>
      <x:c r="Y1531" t="str">
        <x:v>Agent-Draft; Kategorie und Person pruefen</x:v>
      </x:c>
    </x:row>
    <x:row r="1532">
      <x:c r="A1532" t="str">
        <x:v>TXN-RAW-IMP-20260516-FULLDRAFT-001516</x:v>
      </x:c>
      <x:c r="B1532" t="str">
        <x:v>RAW-IMP-20260516-FULLDRAFT-001516</x:v>
      </x:c>
      <x:c r="C1532" t="str">
        <x:v>KTO001</x:v>
      </x:c>
      <x:c r="D1532"/>
      <x:c r="E1532" t="str">
        <x:v>KAT013</x:v>
      </x:c>
      <x:c r="F1532"/>
      <x:c r="G1532"/>
      <x:c r="H1532" t="str">
        <x:v>kein_match</x:v>
      </x:c>
      <x:c r="I1532" t="str">
        <x:v>Agent-Draft: keine finale Regelentscheidung</x:v>
      </x:c>
      <x:c r="J1532" t="n">
        <x:v>45653</x:v>
      </x:c>
      <x:c r="K1532"/>
      <x:c r="L1532"/>
      <x:c r="M1532" t="n">
        <x:v>-41.07</x:v>
      </x:c>
      <x:c r="N1532" t="str">
        <x:v>2024-12</x:v>
      </x:c>
      <x:c r="O1532" t="str">
        <x:v>Ausgabe</x:v>
      </x:c>
      <x:c r="P1532" t="str">
        <x:v>Ist</x:v>
      </x:c>
      <x:c r="Q1532" s="59" t="b">
        <x:v>0</x:v>
      </x:c>
      <x:c r="R1532" t="str">
        <x:v>kein_transfer</x:v>
      </x:c>
      <x:c r="S1532"/>
      <x:c r="T1532"/>
      <x:c r="U1532"/>
      <x:c r="V1532" s="59" t="b">
        <x:v>1</x:v>
      </x:c>
      <x:c r="W1532"/>
      <x:c r="X1532" t="str">
        <x:v>offen</x:v>
      </x:c>
      <x:c r="Y1532" t="str">
        <x:v>Agent-Draft; Kategorie und Person pruefen</x:v>
      </x:c>
    </x:row>
    <x:row r="1533">
      <x:c r="A1533" t="str">
        <x:v>TXN-RAW-IMP-20260516-FULLDRAFT-001517</x:v>
      </x:c>
      <x:c r="B1533" t="str">
        <x:v>RAW-IMP-20260516-FULLDRAFT-001517</x:v>
      </x:c>
      <x:c r="C1533" t="str">
        <x:v>KTO001</x:v>
      </x:c>
      <x:c r="D1533"/>
      <x:c r="E1533" t="str">
        <x:v>KAT013</x:v>
      </x:c>
      <x:c r="F1533"/>
      <x:c r="G1533"/>
      <x:c r="H1533" t="str">
        <x:v>kein_match</x:v>
      </x:c>
      <x:c r="I1533" t="str">
        <x:v>Agent-Draft: keine finale Regelentscheidung</x:v>
      </x:c>
      <x:c r="J1533" t="n">
        <x:v>45653</x:v>
      </x:c>
      <x:c r="K1533"/>
      <x:c r="L1533"/>
      <x:c r="M1533" t="n">
        <x:v>-31.44</x:v>
      </x:c>
      <x:c r="N1533" t="str">
        <x:v>2024-12</x:v>
      </x:c>
      <x:c r="O1533" t="str">
        <x:v>Ausgabe</x:v>
      </x:c>
      <x:c r="P1533" t="str">
        <x:v>Ist</x:v>
      </x:c>
      <x:c r="Q1533" s="59" t="b">
        <x:v>0</x:v>
      </x:c>
      <x:c r="R1533" t="str">
        <x:v>kein_transfer</x:v>
      </x:c>
      <x:c r="S1533"/>
      <x:c r="T1533"/>
      <x:c r="U1533"/>
      <x:c r="V1533" s="59" t="b">
        <x:v>1</x:v>
      </x:c>
      <x:c r="W1533"/>
      <x:c r="X1533" t="str">
        <x:v>offen</x:v>
      </x:c>
      <x:c r="Y1533" t="str">
        <x:v>Agent-Draft; Kategorie und Person pruefen</x:v>
      </x:c>
    </x:row>
    <x:row r="1534">
      <x:c r="A1534" t="str">
        <x:v>TXN-RAW-IMP-20260516-FULLDRAFT-001518</x:v>
      </x:c>
      <x:c r="B1534" t="str">
        <x:v>RAW-IMP-20260516-FULLDRAFT-001518</x:v>
      </x:c>
      <x:c r="C1534" t="str">
        <x:v>KTO001</x:v>
      </x:c>
      <x:c r="D1534"/>
      <x:c r="E1534" t="str">
        <x:v>KAT013</x:v>
      </x:c>
      <x:c r="F1534"/>
      <x:c r="G1534"/>
      <x:c r="H1534" t="str">
        <x:v>kein_match</x:v>
      </x:c>
      <x:c r="I1534" t="str">
        <x:v>Agent-Draft: keine finale Regelentscheidung</x:v>
      </x:c>
      <x:c r="J1534" t="n">
        <x:v>45653</x:v>
      </x:c>
      <x:c r="K1534"/>
      <x:c r="L1534"/>
      <x:c r="M1534" t="n">
        <x:v>-6.37</x:v>
      </x:c>
      <x:c r="N1534" t="str">
        <x:v>2024-12</x:v>
      </x:c>
      <x:c r="O1534" t="str">
        <x:v>Ausgabe</x:v>
      </x:c>
      <x:c r="P1534" t="str">
        <x:v>Ist</x:v>
      </x:c>
      <x:c r="Q1534" s="59" t="b">
        <x:v>0</x:v>
      </x:c>
      <x:c r="R1534" t="str">
        <x:v>kein_transfer</x:v>
      </x:c>
      <x:c r="S1534"/>
      <x:c r="T1534"/>
      <x:c r="U1534"/>
      <x:c r="V1534" s="59" t="b">
        <x:v>1</x:v>
      </x:c>
      <x:c r="W1534"/>
      <x:c r="X1534" t="str">
        <x:v>offen</x:v>
      </x:c>
      <x:c r="Y1534" t="str">
        <x:v>Agent-Draft; Kategorie und Person pruefen</x:v>
      </x:c>
    </x:row>
    <x:row r="1535">
      <x:c r="A1535" t="str">
        <x:v>TXN-RAW-IMP-20260516-FULLDRAFT-001519</x:v>
      </x:c>
      <x:c r="B1535" t="str">
        <x:v>RAW-IMP-20260516-FULLDRAFT-001519</x:v>
      </x:c>
      <x:c r="C1535" t="str">
        <x:v>KTO001</x:v>
      </x:c>
      <x:c r="D1535"/>
      <x:c r="E1535" t="str">
        <x:v>KAT013</x:v>
      </x:c>
      <x:c r="F1535"/>
      <x:c r="G1535"/>
      <x:c r="H1535" t="str">
        <x:v>kein_match</x:v>
      </x:c>
      <x:c r="I1535" t="str">
        <x:v>Agent-Draft: keine finale Regelentscheidung</x:v>
      </x:c>
      <x:c r="J1535" t="n">
        <x:v>45653</x:v>
      </x:c>
      <x:c r="K1535"/>
      <x:c r="L1535"/>
      <x:c r="M1535" t="n">
        <x:v>-23.19</x:v>
      </x:c>
      <x:c r="N1535" t="str">
        <x:v>2024-12</x:v>
      </x:c>
      <x:c r="O1535" t="str">
        <x:v>Ausgabe</x:v>
      </x:c>
      <x:c r="P1535" t="str">
        <x:v>Ist</x:v>
      </x:c>
      <x:c r="Q1535" s="59" t="b">
        <x:v>0</x:v>
      </x:c>
      <x:c r="R1535" t="str">
        <x:v>kein_transfer</x:v>
      </x:c>
      <x:c r="S1535"/>
      <x:c r="T1535"/>
      <x:c r="U1535"/>
      <x:c r="V1535" s="59" t="b">
        <x:v>1</x:v>
      </x:c>
      <x:c r="W1535"/>
      <x:c r="X1535" t="str">
        <x:v>offen</x:v>
      </x:c>
      <x:c r="Y1535" t="str">
        <x:v>Agent-Draft; Kategorie und Person pruefen</x:v>
      </x:c>
    </x:row>
    <x:row r="1536">
      <x:c r="A1536" t="str">
        <x:v>TXN-RAW-IMP-20260516-FULLDRAFT-001520</x:v>
      </x:c>
      <x:c r="B1536" t="str">
        <x:v>RAW-IMP-20260516-FULLDRAFT-001520</x:v>
      </x:c>
      <x:c r="C1536" t="str">
        <x:v>KTO001</x:v>
      </x:c>
      <x:c r="D1536"/>
      <x:c r="E1536" t="str">
        <x:v>KAT013</x:v>
      </x:c>
      <x:c r="F1536"/>
      <x:c r="G1536"/>
      <x:c r="H1536" t="str">
        <x:v>kein_match</x:v>
      </x:c>
      <x:c r="I1536" t="str">
        <x:v>Agent-Draft: keine finale Regelentscheidung</x:v>
      </x:c>
      <x:c r="J1536" t="n">
        <x:v>45653</x:v>
      </x:c>
      <x:c r="K1536"/>
      <x:c r="L1536"/>
      <x:c r="M1536" t="n">
        <x:v>-1.5</x:v>
      </x:c>
      <x:c r="N1536" t="str">
        <x:v>2024-12</x:v>
      </x:c>
      <x:c r="O1536" t="str">
        <x:v>Ausgabe</x:v>
      </x:c>
      <x:c r="P1536" t="str">
        <x:v>Ist</x:v>
      </x:c>
      <x:c r="Q1536" s="59" t="b">
        <x:v>0</x:v>
      </x:c>
      <x:c r="R1536" t="str">
        <x:v>kein_transfer</x:v>
      </x:c>
      <x:c r="S1536"/>
      <x:c r="T1536"/>
      <x:c r="U1536"/>
      <x:c r="V1536" s="59" t="b">
        <x:v>1</x:v>
      </x:c>
      <x:c r="W1536"/>
      <x:c r="X1536" t="str">
        <x:v>offen</x:v>
      </x:c>
      <x:c r="Y1536" t="str">
        <x:v>Agent-Draft; Kategorie und Person pruefen</x:v>
      </x:c>
    </x:row>
    <x:row r="1537">
      <x:c r="A1537" t="str">
        <x:v>TXN-RAW-IMP-20260516-FULLDRAFT-001521</x:v>
      </x:c>
      <x:c r="B1537" t="str">
        <x:v>RAW-IMP-20260516-FULLDRAFT-001521</x:v>
      </x:c>
      <x:c r="C1537" t="str">
        <x:v>KTO001</x:v>
      </x:c>
      <x:c r="D1537"/>
      <x:c r="E1537" t="str">
        <x:v>KAT013</x:v>
      </x:c>
      <x:c r="F1537"/>
      <x:c r="G1537"/>
      <x:c r="H1537" t="str">
        <x:v>kein_match</x:v>
      </x:c>
      <x:c r="I1537" t="str">
        <x:v>Agent-Draft: keine finale Regelentscheidung</x:v>
      </x:c>
      <x:c r="J1537" t="n">
        <x:v>45653</x:v>
      </x:c>
      <x:c r="K1537"/>
      <x:c r="L1537"/>
      <x:c r="M1537" t="n">
        <x:v>-7</x:v>
      </x:c>
      <x:c r="N1537" t="str">
        <x:v>2024-12</x:v>
      </x:c>
      <x:c r="O1537" t="str">
        <x:v>Ausgabe</x:v>
      </x:c>
      <x:c r="P1537" t="str">
        <x:v>Ist</x:v>
      </x:c>
      <x:c r="Q1537" s="59" t="b">
        <x:v>0</x:v>
      </x:c>
      <x:c r="R1537" t="str">
        <x:v>kein_transfer</x:v>
      </x:c>
      <x:c r="S1537"/>
      <x:c r="T1537"/>
      <x:c r="U1537"/>
      <x:c r="V1537" s="59" t="b">
        <x:v>1</x:v>
      </x:c>
      <x:c r="W1537"/>
      <x:c r="X1537" t="str">
        <x:v>offen</x:v>
      </x:c>
      <x:c r="Y1537" t="str">
        <x:v>Agent-Draft; Kategorie und Person pruefen</x:v>
      </x:c>
    </x:row>
    <x:row r="1538">
      <x:c r="A1538" t="str">
        <x:v>TXN-RAW-IMP-20260516-FULLDRAFT-001522</x:v>
      </x:c>
      <x:c r="B1538" t="str">
        <x:v>RAW-IMP-20260516-FULLDRAFT-001522</x:v>
      </x:c>
      <x:c r="C1538" t="str">
        <x:v>KTO001</x:v>
      </x:c>
      <x:c r="D1538"/>
      <x:c r="E1538" t="str">
        <x:v>KAT013</x:v>
      </x:c>
      <x:c r="F1538"/>
      <x:c r="G1538"/>
      <x:c r="H1538" t="str">
        <x:v>kein_match</x:v>
      </x:c>
      <x:c r="I1538" t="str">
        <x:v>Agent-Draft: keine finale Regelentscheidung</x:v>
      </x:c>
      <x:c r="J1538" t="n">
        <x:v>45653</x:v>
      </x:c>
      <x:c r="K1538"/>
      <x:c r="L1538"/>
      <x:c r="M1538" t="n">
        <x:v>-100</x:v>
      </x:c>
      <x:c r="N1538" t="str">
        <x:v>2024-12</x:v>
      </x:c>
      <x:c r="O1538" t="str">
        <x:v>Ausgabe</x:v>
      </x:c>
      <x:c r="P1538" t="str">
        <x:v>Ist</x:v>
      </x:c>
      <x:c r="Q1538" s="59" t="b">
        <x:v>0</x:v>
      </x:c>
      <x:c r="R1538" t="str">
        <x:v>kein_transfer</x:v>
      </x:c>
      <x:c r="S1538"/>
      <x:c r="T1538"/>
      <x:c r="U1538"/>
      <x:c r="V1538" s="59" t="b">
        <x:v>1</x:v>
      </x:c>
      <x:c r="W1538"/>
      <x:c r="X1538" t="str">
        <x:v>offen</x:v>
      </x:c>
      <x:c r="Y1538" t="str">
        <x:v>Agent-Draft; Kategorie und Person pruefen</x:v>
      </x:c>
    </x:row>
    <x:row r="1539">
      <x:c r="A1539" t="str">
        <x:v>TXN-RAW-IMP-20260516-FULLDRAFT-001523</x:v>
      </x:c>
      <x:c r="B1539" t="str">
        <x:v>RAW-IMP-20260516-FULLDRAFT-001523</x:v>
      </x:c>
      <x:c r="C1539" t="str">
        <x:v>KTO001</x:v>
      </x:c>
      <x:c r="D1539"/>
      <x:c r="E1539" t="str">
        <x:v>KAT013</x:v>
      </x:c>
      <x:c r="F1539"/>
      <x:c r="G1539"/>
      <x:c r="H1539" t="str">
        <x:v>kein_match</x:v>
      </x:c>
      <x:c r="I1539" t="str">
        <x:v>Agent-Draft: keine finale Regelentscheidung</x:v>
      </x:c>
      <x:c r="J1539" t="n">
        <x:v>45649</x:v>
      </x:c>
      <x:c r="K1539"/>
      <x:c r="L1539"/>
      <x:c r="M1539" t="n">
        <x:v>-2.99</x:v>
      </x:c>
      <x:c r="N1539" t="str">
        <x:v>2024-12</x:v>
      </x:c>
      <x:c r="O1539" t="str">
        <x:v>Ausgabe</x:v>
      </x:c>
      <x:c r="P1539" t="str">
        <x:v>Ist</x:v>
      </x:c>
      <x:c r="Q1539" s="59" t="b">
        <x:v>0</x:v>
      </x:c>
      <x:c r="R1539" t="str">
        <x:v>kein_transfer</x:v>
      </x:c>
      <x:c r="S1539"/>
      <x:c r="T1539"/>
      <x:c r="U1539"/>
      <x:c r="V1539" s="59" t="b">
        <x:v>1</x:v>
      </x:c>
      <x:c r="W1539"/>
      <x:c r="X1539" t="str">
        <x:v>offen</x:v>
      </x:c>
      <x:c r="Y1539" t="str">
        <x:v>Agent-Draft; Kategorie und Person pruefen</x:v>
      </x:c>
    </x:row>
    <x:row r="1540">
      <x:c r="A1540" t="str">
        <x:v>TXN-RAW-IMP-20260516-FULLDRAFT-001524</x:v>
      </x:c>
      <x:c r="B1540" t="str">
        <x:v>RAW-IMP-20260516-FULLDRAFT-001524</x:v>
      </x:c>
      <x:c r="C1540" t="str">
        <x:v>KTO001</x:v>
      </x:c>
      <x:c r="D1540"/>
      <x:c r="E1540" t="str">
        <x:v>KAT013</x:v>
      </x:c>
      <x:c r="F1540"/>
      <x:c r="G1540"/>
      <x:c r="H1540" t="str">
        <x:v>kein_match</x:v>
      </x:c>
      <x:c r="I1540" t="str">
        <x:v>Agent-Draft: keine finale Regelentscheidung</x:v>
      </x:c>
      <x:c r="J1540" t="n">
        <x:v>45649</x:v>
      </x:c>
      <x:c r="K1540"/>
      <x:c r="L1540"/>
      <x:c r="M1540" t="n">
        <x:v>-38.35</x:v>
      </x:c>
      <x:c r="N1540" t="str">
        <x:v>2024-12</x:v>
      </x:c>
      <x:c r="O1540" t="str">
        <x:v>Ausgabe</x:v>
      </x:c>
      <x:c r="P1540" t="str">
        <x:v>Ist</x:v>
      </x:c>
      <x:c r="Q1540" s="59" t="b">
        <x:v>0</x:v>
      </x:c>
      <x:c r="R1540" t="str">
        <x:v>kein_transfer</x:v>
      </x:c>
      <x:c r="S1540"/>
      <x:c r="T1540"/>
      <x:c r="U1540"/>
      <x:c r="V1540" s="59" t="b">
        <x:v>1</x:v>
      </x:c>
      <x:c r="W1540"/>
      <x:c r="X1540" t="str">
        <x:v>offen</x:v>
      </x:c>
      <x:c r="Y1540" t="str">
        <x:v>Agent-Draft; Kategorie und Person pruefen</x:v>
      </x:c>
    </x:row>
    <x:row r="1541">
      <x:c r="A1541" t="str">
        <x:v>TXN-RAW-IMP-20260516-FULLDRAFT-001525</x:v>
      </x:c>
      <x:c r="B1541" t="str">
        <x:v>RAW-IMP-20260516-FULLDRAFT-001525</x:v>
      </x:c>
      <x:c r="C1541" t="str">
        <x:v>KTO001</x:v>
      </x:c>
      <x:c r="D1541"/>
      <x:c r="E1541" t="str">
        <x:v>KAT013</x:v>
      </x:c>
      <x:c r="F1541"/>
      <x:c r="G1541"/>
      <x:c r="H1541" t="str">
        <x:v>kein_match</x:v>
      </x:c>
      <x:c r="I1541" t="str">
        <x:v>Agent-Draft: keine finale Regelentscheidung</x:v>
      </x:c>
      <x:c r="J1541" t="n">
        <x:v>45649</x:v>
      </x:c>
      <x:c r="K1541"/>
      <x:c r="L1541"/>
      <x:c r="M1541" t="n">
        <x:v>-214.91</x:v>
      </x:c>
      <x:c r="N1541" t="str">
        <x:v>2024-12</x:v>
      </x:c>
      <x:c r="O1541" t="str">
        <x:v>Ausgabe</x:v>
      </x:c>
      <x:c r="P1541" t="str">
        <x:v>Ist</x:v>
      </x:c>
      <x:c r="Q1541" s="59" t="b">
        <x:v>0</x:v>
      </x:c>
      <x:c r="R1541" t="str">
        <x:v>kein_transfer</x:v>
      </x:c>
      <x:c r="S1541"/>
      <x:c r="T1541"/>
      <x:c r="U1541"/>
      <x:c r="V1541" s="59" t="b">
        <x:v>1</x:v>
      </x:c>
      <x:c r="W1541"/>
      <x:c r="X1541" t="str">
        <x:v>offen</x:v>
      </x:c>
      <x:c r="Y1541" t="str">
        <x:v>Agent-Draft; Kategorie und Person pruefen</x:v>
      </x:c>
    </x:row>
    <x:row r="1542">
      <x:c r="A1542" t="str">
        <x:v>TXN-RAW-IMP-20260516-FULLDRAFT-001526</x:v>
      </x:c>
      <x:c r="B1542" t="str">
        <x:v>RAW-IMP-20260516-FULLDRAFT-001526</x:v>
      </x:c>
      <x:c r="C1542" t="str">
        <x:v>KTO001</x:v>
      </x:c>
      <x:c r="D1542"/>
      <x:c r="E1542" t="str">
        <x:v>KAT013</x:v>
      </x:c>
      <x:c r="F1542"/>
      <x:c r="G1542"/>
      <x:c r="H1542" t="str">
        <x:v>kein_match</x:v>
      </x:c>
      <x:c r="I1542" t="str">
        <x:v>Agent-Draft: keine finale Regelentscheidung</x:v>
      </x:c>
      <x:c r="J1542" t="n">
        <x:v>45646</x:v>
      </x:c>
      <x:c r="K1542"/>
      <x:c r="L1542"/>
      <x:c r="M1542" t="n">
        <x:v>-176.27</x:v>
      </x:c>
      <x:c r="N1542" t="str">
        <x:v>2024-12</x:v>
      </x:c>
      <x:c r="O1542" t="str">
        <x:v>Ausgabe</x:v>
      </x:c>
      <x:c r="P1542" t="str">
        <x:v>Ist</x:v>
      </x:c>
      <x:c r="Q1542" s="59" t="b">
        <x:v>0</x:v>
      </x:c>
      <x:c r="R1542" t="str">
        <x:v>kein_transfer</x:v>
      </x:c>
      <x:c r="S1542"/>
      <x:c r="T1542"/>
      <x:c r="U1542"/>
      <x:c r="V1542" s="59" t="b">
        <x:v>1</x:v>
      </x:c>
      <x:c r="W1542"/>
      <x:c r="X1542" t="str">
        <x:v>offen</x:v>
      </x:c>
      <x:c r="Y1542" t="str">
        <x:v>Agent-Draft; Kategorie und Person pruefen</x:v>
      </x:c>
    </x:row>
    <x:row r="1543">
      <x:c r="A1543" t="str">
        <x:v>TXN-RAW-IMP-20260516-FULLDRAFT-001527</x:v>
      </x:c>
      <x:c r="B1543" t="str">
        <x:v>RAW-IMP-20260516-FULLDRAFT-001527</x:v>
      </x:c>
      <x:c r="C1543" t="str">
        <x:v>KTO001</x:v>
      </x:c>
      <x:c r="D1543"/>
      <x:c r="E1543" t="str">
        <x:v>KAT013</x:v>
      </x:c>
      <x:c r="F1543"/>
      <x:c r="G1543"/>
      <x:c r="H1543" t="str">
        <x:v>kein_match</x:v>
      </x:c>
      <x:c r="I1543" t="str">
        <x:v>Agent-Draft: keine finale Regelentscheidung</x:v>
      </x:c>
      <x:c r="J1543" t="n">
        <x:v>45646</x:v>
      </x:c>
      <x:c r="K1543"/>
      <x:c r="L1543"/>
      <x:c r="M1543" t="n">
        <x:v>-19.58</x:v>
      </x:c>
      <x:c r="N1543" t="str">
        <x:v>2024-12</x:v>
      </x:c>
      <x:c r="O1543" t="str">
        <x:v>Ausgabe</x:v>
      </x:c>
      <x:c r="P1543" t="str">
        <x:v>Ist</x:v>
      </x:c>
      <x:c r="Q1543" s="59" t="b">
        <x:v>0</x:v>
      </x:c>
      <x:c r="R1543" t="str">
        <x:v>kein_transfer</x:v>
      </x:c>
      <x:c r="S1543"/>
      <x:c r="T1543"/>
      <x:c r="U1543"/>
      <x:c r="V1543" s="59" t="b">
        <x:v>1</x:v>
      </x:c>
      <x:c r="W1543"/>
      <x:c r="X1543" t="str">
        <x:v>offen</x:v>
      </x:c>
      <x:c r="Y1543" t="str">
        <x:v>Agent-Draft; Kategorie und Person pruefen</x:v>
      </x:c>
    </x:row>
    <x:row r="1544">
      <x:c r="A1544" t="str">
        <x:v>TXN-RAW-IMP-20260516-FULLDRAFT-001528</x:v>
      </x:c>
      <x:c r="B1544" t="str">
        <x:v>RAW-IMP-20260516-FULLDRAFT-001528</x:v>
      </x:c>
      <x:c r="C1544" t="str">
        <x:v>KTO001</x:v>
      </x:c>
      <x:c r="D1544"/>
      <x:c r="E1544" t="str">
        <x:v>KAT013</x:v>
      </x:c>
      <x:c r="F1544"/>
      <x:c r="G1544"/>
      <x:c r="H1544" t="str">
        <x:v>kein_match</x:v>
      </x:c>
      <x:c r="I1544" t="str">
        <x:v>Agent-Draft: keine finale Regelentscheidung</x:v>
      </x:c>
      <x:c r="J1544" t="n">
        <x:v>45644</x:v>
      </x:c>
      <x:c r="K1544"/>
      <x:c r="L1544"/>
      <x:c r="M1544" t="n">
        <x:v>-3</x:v>
      </x:c>
      <x:c r="N1544" t="str">
        <x:v>2024-12</x:v>
      </x:c>
      <x:c r="O1544" t="str">
        <x:v>Ausgabe</x:v>
      </x:c>
      <x:c r="P1544" t="str">
        <x:v>Ist</x:v>
      </x:c>
      <x:c r="Q1544" s="59" t="b">
        <x:v>0</x:v>
      </x:c>
      <x:c r="R1544" t="str">
        <x:v>kein_transfer</x:v>
      </x:c>
      <x:c r="S1544"/>
      <x:c r="T1544"/>
      <x:c r="U1544"/>
      <x:c r="V1544" s="59" t="b">
        <x:v>1</x:v>
      </x:c>
      <x:c r="W1544"/>
      <x:c r="X1544" t="str">
        <x:v>offen</x:v>
      </x:c>
      <x:c r="Y1544" t="str">
        <x:v>Agent-Draft; Kategorie und Person pruefen</x:v>
      </x:c>
    </x:row>
    <x:row r="1545">
      <x:c r="A1545" t="str">
        <x:v>TXN-RAW-IMP-20260516-FULLDRAFT-001529</x:v>
      </x:c>
      <x:c r="B1545" t="str">
        <x:v>RAW-IMP-20260516-FULLDRAFT-001529</x:v>
      </x:c>
      <x:c r="C1545" t="str">
        <x:v>KTO001</x:v>
      </x:c>
      <x:c r="D1545"/>
      <x:c r="E1545" t="str">
        <x:v>KAT013</x:v>
      </x:c>
      <x:c r="F1545"/>
      <x:c r="G1545"/>
      <x:c r="H1545" t="str">
        <x:v>kein_match</x:v>
      </x:c>
      <x:c r="I1545" t="str">
        <x:v>Agent-Draft: keine finale Regelentscheidung</x:v>
      </x:c>
      <x:c r="J1545" t="n">
        <x:v>45644</x:v>
      </x:c>
      <x:c r="K1545"/>
      <x:c r="L1545"/>
      <x:c r="M1545" t="n">
        <x:v>-15.75</x:v>
      </x:c>
      <x:c r="N1545" t="str">
        <x:v>2024-12</x:v>
      </x:c>
      <x:c r="O1545" t="str">
        <x:v>Ausgabe</x:v>
      </x:c>
      <x:c r="P1545" t="str">
        <x:v>Ist</x:v>
      </x:c>
      <x:c r="Q1545" s="59" t="b">
        <x:v>0</x:v>
      </x:c>
      <x:c r="R1545" t="str">
        <x:v>kein_transfer</x:v>
      </x:c>
      <x:c r="S1545"/>
      <x:c r="T1545"/>
      <x:c r="U1545"/>
      <x:c r="V1545" s="59" t="b">
        <x:v>1</x:v>
      </x:c>
      <x:c r="W1545"/>
      <x:c r="X1545" t="str">
        <x:v>offen</x:v>
      </x:c>
      <x:c r="Y1545" t="str">
        <x:v>Agent-Draft; Kategorie und Person pruefen</x:v>
      </x:c>
    </x:row>
    <x:row r="1546">
      <x:c r="A1546" t="str">
        <x:v>TXN-RAW-IMP-20260516-FULLDRAFT-001530</x:v>
      </x:c>
      <x:c r="B1546" t="str">
        <x:v>RAW-IMP-20260516-FULLDRAFT-001530</x:v>
      </x:c>
      <x:c r="C1546" t="str">
        <x:v>KTO001</x:v>
      </x:c>
      <x:c r="D1546"/>
      <x:c r="E1546" t="str">
        <x:v>KAT013</x:v>
      </x:c>
      <x:c r="F1546"/>
      <x:c r="G1546"/>
      <x:c r="H1546" t="str">
        <x:v>kein_match</x:v>
      </x:c>
      <x:c r="I1546" t="str">
        <x:v>Agent-Draft: keine finale Regelentscheidung</x:v>
      </x:c>
      <x:c r="J1546" t="n">
        <x:v>45644</x:v>
      </x:c>
      <x:c r="K1546"/>
      <x:c r="L1546"/>
      <x:c r="M1546" t="n">
        <x:v>-22.5</x:v>
      </x:c>
      <x:c r="N1546" t="str">
        <x:v>2024-12</x:v>
      </x:c>
      <x:c r="O1546" t="str">
        <x:v>Ausgabe</x:v>
      </x:c>
      <x:c r="P1546" t="str">
        <x:v>Ist</x:v>
      </x:c>
      <x:c r="Q1546" s="59" t="b">
        <x:v>0</x:v>
      </x:c>
      <x:c r="R1546" t="str">
        <x:v>kein_transfer</x:v>
      </x:c>
      <x:c r="S1546"/>
      <x:c r="T1546"/>
      <x:c r="U1546"/>
      <x:c r="V1546" s="59" t="b">
        <x:v>1</x:v>
      </x:c>
      <x:c r="W1546"/>
      <x:c r="X1546" t="str">
        <x:v>offen</x:v>
      </x:c>
      <x:c r="Y1546" t="str">
        <x:v>Agent-Draft; Kategorie und Person pruefen</x:v>
      </x:c>
    </x:row>
    <x:row r="1547">
      <x:c r="A1547" t="str">
        <x:v>TXN-RAW-IMP-20260516-FULLDRAFT-001531</x:v>
      </x:c>
      <x:c r="B1547" t="str">
        <x:v>RAW-IMP-20260516-FULLDRAFT-001531</x:v>
      </x:c>
      <x:c r="C1547" t="str">
        <x:v>KTO001</x:v>
      </x:c>
      <x:c r="D1547"/>
      <x:c r="E1547" t="str">
        <x:v>KAT013</x:v>
      </x:c>
      <x:c r="F1547"/>
      <x:c r="G1547"/>
      <x:c r="H1547" t="str">
        <x:v>kein_match</x:v>
      </x:c>
      <x:c r="I1547" t="str">
        <x:v>Agent-Draft: keine finale Regelentscheidung</x:v>
      </x:c>
      <x:c r="J1547" t="n">
        <x:v>45643</x:v>
      </x:c>
      <x:c r="K1547"/>
      <x:c r="L1547"/>
      <x:c r="M1547" t="n">
        <x:v>-2.34</x:v>
      </x:c>
      <x:c r="N1547" t="str">
        <x:v>2024-12</x:v>
      </x:c>
      <x:c r="O1547" t="str">
        <x:v>Ausgabe</x:v>
      </x:c>
      <x:c r="P1547" t="str">
        <x:v>Ist</x:v>
      </x:c>
      <x:c r="Q1547" s="59" t="b">
        <x:v>0</x:v>
      </x:c>
      <x:c r="R1547" t="str">
        <x:v>kein_transfer</x:v>
      </x:c>
      <x:c r="S1547"/>
      <x:c r="T1547"/>
      <x:c r="U1547"/>
      <x:c r="V1547" s="59" t="b">
        <x:v>1</x:v>
      </x:c>
      <x:c r="W1547"/>
      <x:c r="X1547" t="str">
        <x:v>offen</x:v>
      </x:c>
      <x:c r="Y1547" t="str">
        <x:v>Agent-Draft; Kategorie und Person pruefen</x:v>
      </x:c>
    </x:row>
    <x:row r="1548">
      <x:c r="A1548" t="str">
        <x:v>TXN-RAW-IMP-20260516-FULLDRAFT-001532</x:v>
      </x:c>
      <x:c r="B1548" t="str">
        <x:v>RAW-IMP-20260516-FULLDRAFT-001532</x:v>
      </x:c>
      <x:c r="C1548" t="str">
        <x:v>KTO001</x:v>
      </x:c>
      <x:c r="D1548"/>
      <x:c r="E1548" t="str">
        <x:v>KAT013</x:v>
      </x:c>
      <x:c r="F1548"/>
      <x:c r="G1548"/>
      <x:c r="H1548" t="str">
        <x:v>kein_match</x:v>
      </x:c>
      <x:c r="I1548" t="str">
        <x:v>Agent-Draft: keine finale Regelentscheidung</x:v>
      </x:c>
      <x:c r="J1548" t="n">
        <x:v>45643</x:v>
      </x:c>
      <x:c r="K1548"/>
      <x:c r="L1548"/>
      <x:c r="M1548" t="n">
        <x:v>-6.99</x:v>
      </x:c>
      <x:c r="N1548" t="str">
        <x:v>2024-12</x:v>
      </x:c>
      <x:c r="O1548" t="str">
        <x:v>Ausgabe</x:v>
      </x:c>
      <x:c r="P1548" t="str">
        <x:v>Ist</x:v>
      </x:c>
      <x:c r="Q1548" s="59" t="b">
        <x:v>0</x:v>
      </x:c>
      <x:c r="R1548" t="str">
        <x:v>kein_transfer</x:v>
      </x:c>
      <x:c r="S1548"/>
      <x:c r="T1548"/>
      <x:c r="U1548"/>
      <x:c r="V1548" s="59" t="b">
        <x:v>1</x:v>
      </x:c>
      <x:c r="W1548"/>
      <x:c r="X1548" t="str">
        <x:v>offen</x:v>
      </x:c>
      <x:c r="Y1548" t="str">
        <x:v>Agent-Draft; Kategorie und Person pruefen</x:v>
      </x:c>
    </x:row>
    <x:row r="1549">
      <x:c r="A1549" t="str">
        <x:v>TXN-RAW-IMP-20260516-FULLDRAFT-001533</x:v>
      </x:c>
      <x:c r="B1549" t="str">
        <x:v>RAW-IMP-20260516-FULLDRAFT-001533</x:v>
      </x:c>
      <x:c r="C1549" t="str">
        <x:v>KTO001</x:v>
      </x:c>
      <x:c r="D1549"/>
      <x:c r="E1549" t="str">
        <x:v>KAT013</x:v>
      </x:c>
      <x:c r="F1549"/>
      <x:c r="G1549"/>
      <x:c r="H1549" t="str">
        <x:v>kein_match</x:v>
      </x:c>
      <x:c r="I1549" t="str">
        <x:v>Agent-Draft: keine finale Regelentscheidung</x:v>
      </x:c>
      <x:c r="J1549" t="n">
        <x:v>45643</x:v>
      </x:c>
      <x:c r="K1549"/>
      <x:c r="L1549"/>
      <x:c r="M1549" t="n">
        <x:v>-6.99</x:v>
      </x:c>
      <x:c r="N1549" t="str">
        <x:v>2024-12</x:v>
      </x:c>
      <x:c r="O1549" t="str">
        <x:v>Ausgabe</x:v>
      </x:c>
      <x:c r="P1549" t="str">
        <x:v>Ist</x:v>
      </x:c>
      <x:c r="Q1549" s="59" t="b">
        <x:v>0</x:v>
      </x:c>
      <x:c r="R1549" t="str">
        <x:v>kein_transfer</x:v>
      </x:c>
      <x:c r="S1549"/>
      <x:c r="T1549"/>
      <x:c r="U1549"/>
      <x:c r="V1549" s="59" t="b">
        <x:v>1</x:v>
      </x:c>
      <x:c r="W1549"/>
      <x:c r="X1549" t="str">
        <x:v>offen</x:v>
      </x:c>
      <x:c r="Y1549" t="str">
        <x:v>Agent-Draft; Kategorie und Person pruefen</x:v>
      </x:c>
    </x:row>
    <x:row r="1550">
      <x:c r="A1550" t="str">
        <x:v>TXN-RAW-IMP-20260516-FULLDRAFT-001534</x:v>
      </x:c>
      <x:c r="B1550" t="str">
        <x:v>RAW-IMP-20260516-FULLDRAFT-001534</x:v>
      </x:c>
      <x:c r="C1550" t="str">
        <x:v>KTO001</x:v>
      </x:c>
      <x:c r="D1550"/>
      <x:c r="E1550" t="str">
        <x:v>KAT013</x:v>
      </x:c>
      <x:c r="F1550"/>
      <x:c r="G1550"/>
      <x:c r="H1550" t="str">
        <x:v>kein_match</x:v>
      </x:c>
      <x:c r="I1550" t="str">
        <x:v>Agent-Draft: keine finale Regelentscheidung</x:v>
      </x:c>
      <x:c r="J1550" t="n">
        <x:v>45643</x:v>
      </x:c>
      <x:c r="K1550"/>
      <x:c r="L1550"/>
      <x:c r="M1550" t="n">
        <x:v>-6.99</x:v>
      </x:c>
      <x:c r="N1550" t="str">
        <x:v>2024-12</x:v>
      </x:c>
      <x:c r="O1550" t="str">
        <x:v>Ausgabe</x:v>
      </x:c>
      <x:c r="P1550" t="str">
        <x:v>Ist</x:v>
      </x:c>
      <x:c r="Q1550" s="59" t="b">
        <x:v>0</x:v>
      </x:c>
      <x:c r="R1550" t="str">
        <x:v>kein_transfer</x:v>
      </x:c>
      <x:c r="S1550"/>
      <x:c r="T1550"/>
      <x:c r="U1550"/>
      <x:c r="V1550" s="59" t="b">
        <x:v>1</x:v>
      </x:c>
      <x:c r="W1550"/>
      <x:c r="X1550" t="str">
        <x:v>offen</x:v>
      </x:c>
      <x:c r="Y1550" t="str">
        <x:v>Agent-Draft; Kategorie und Person pruefen</x:v>
      </x:c>
    </x:row>
    <x:row r="1551">
      <x:c r="A1551" t="str">
        <x:v>TXN-RAW-IMP-20260516-FULLDRAFT-001535</x:v>
      </x:c>
      <x:c r="B1551" t="str">
        <x:v>RAW-IMP-20260516-FULLDRAFT-001535</x:v>
      </x:c>
      <x:c r="C1551" t="str">
        <x:v>KTO001</x:v>
      </x:c>
      <x:c r="D1551"/>
      <x:c r="E1551" t="str">
        <x:v>KAT013</x:v>
      </x:c>
      <x:c r="F1551"/>
      <x:c r="G1551"/>
      <x:c r="H1551" t="str">
        <x:v>kein_match</x:v>
      </x:c>
      <x:c r="I1551" t="str">
        <x:v>Agent-Draft: keine finale Regelentscheidung</x:v>
      </x:c>
      <x:c r="J1551" t="n">
        <x:v>45642</x:v>
      </x:c>
      <x:c r="K1551"/>
      <x:c r="L1551"/>
      <x:c r="M1551" t="n">
        <x:v>-16.89</x:v>
      </x:c>
      <x:c r="N1551" t="str">
        <x:v>2024-12</x:v>
      </x:c>
      <x:c r="O1551" t="str">
        <x:v>Ausgabe</x:v>
      </x:c>
      <x:c r="P1551" t="str">
        <x:v>Ist</x:v>
      </x:c>
      <x:c r="Q1551" s="59" t="b">
        <x:v>0</x:v>
      </x:c>
      <x:c r="R1551" t="str">
        <x:v>kein_transfer</x:v>
      </x:c>
      <x:c r="S1551"/>
      <x:c r="T1551"/>
      <x:c r="U1551"/>
      <x:c r="V1551" s="59" t="b">
        <x:v>1</x:v>
      </x:c>
      <x:c r="W1551"/>
      <x:c r="X1551" t="str">
        <x:v>offen</x:v>
      </x:c>
      <x:c r="Y1551" t="str">
        <x:v>Agent-Draft; Kategorie und Person pruefen</x:v>
      </x:c>
    </x:row>
    <x:row r="1552">
      <x:c r="A1552" t="str">
        <x:v>TXN-RAW-IMP-20260516-FULLDRAFT-001536</x:v>
      </x:c>
      <x:c r="B1552" t="str">
        <x:v>RAW-IMP-20260516-FULLDRAFT-001536</x:v>
      </x:c>
      <x:c r="C1552" t="str">
        <x:v>KTO001</x:v>
      </x:c>
      <x:c r="D1552"/>
      <x:c r="E1552" t="str">
        <x:v>KAT013</x:v>
      </x:c>
      <x:c r="F1552"/>
      <x:c r="G1552"/>
      <x:c r="H1552" t="str">
        <x:v>kein_match</x:v>
      </x:c>
      <x:c r="I1552" t="str">
        <x:v>Agent-Draft: keine finale Regelentscheidung</x:v>
      </x:c>
      <x:c r="J1552" t="n">
        <x:v>45639</x:v>
      </x:c>
      <x:c r="K1552"/>
      <x:c r="L1552"/>
      <x:c r="M1552" t="n">
        <x:v>-85.11</x:v>
      </x:c>
      <x:c r="N1552" t="str">
        <x:v>2024-12</x:v>
      </x:c>
      <x:c r="O1552" t="str">
        <x:v>Ausgabe</x:v>
      </x:c>
      <x:c r="P1552" t="str">
        <x:v>Ist</x:v>
      </x:c>
      <x:c r="Q1552" s="59" t="b">
        <x:v>0</x:v>
      </x:c>
      <x:c r="R1552" t="str">
        <x:v>kein_transfer</x:v>
      </x:c>
      <x:c r="S1552"/>
      <x:c r="T1552"/>
      <x:c r="U1552"/>
      <x:c r="V1552" s="59" t="b">
        <x:v>1</x:v>
      </x:c>
      <x:c r="W1552"/>
      <x:c r="X1552" t="str">
        <x:v>offen</x:v>
      </x:c>
      <x:c r="Y1552" t="str">
        <x:v>Agent-Draft; Kategorie und Person pruefen</x:v>
      </x:c>
    </x:row>
    <x:row r="1553">
      <x:c r="A1553" t="str">
        <x:v>TXN-RAW-IMP-20260516-FULLDRAFT-001537</x:v>
      </x:c>
      <x:c r="B1553" t="str">
        <x:v>RAW-IMP-20260516-FULLDRAFT-001537</x:v>
      </x:c>
      <x:c r="C1553" t="str">
        <x:v>KTO001</x:v>
      </x:c>
      <x:c r="D1553"/>
      <x:c r="E1553" t="str">
        <x:v>KAT013</x:v>
      </x:c>
      <x:c r="F1553"/>
      <x:c r="G1553"/>
      <x:c r="H1553" t="str">
        <x:v>kein_match</x:v>
      </x:c>
      <x:c r="I1553" t="str">
        <x:v>Agent-Draft: keine finale Regelentscheidung</x:v>
      </x:c>
      <x:c r="J1553" t="n">
        <x:v>45638</x:v>
      </x:c>
      <x:c r="K1553"/>
      <x:c r="L1553"/>
      <x:c r="M1553" t="n">
        <x:v>-397</x:v>
      </x:c>
      <x:c r="N1553" t="str">
        <x:v>2024-12</x:v>
      </x:c>
      <x:c r="O1553" t="str">
        <x:v>Ausgabe</x:v>
      </x:c>
      <x:c r="P1553" t="str">
        <x:v>Ist</x:v>
      </x:c>
      <x:c r="Q1553" s="59" t="b">
        <x:v>0</x:v>
      </x:c>
      <x:c r="R1553" t="str">
        <x:v>kein_transfer</x:v>
      </x:c>
      <x:c r="S1553"/>
      <x:c r="T1553"/>
      <x:c r="U1553"/>
      <x:c r="V1553" s="59" t="b">
        <x:v>1</x:v>
      </x:c>
      <x:c r="W1553"/>
      <x:c r="X1553" t="str">
        <x:v>offen</x:v>
      </x:c>
      <x:c r="Y1553" t="str">
        <x:v>Agent-Draft; Kategorie und Person pruefen</x:v>
      </x:c>
    </x:row>
    <x:row r="1554">
      <x:c r="A1554" t="str">
        <x:v>TXN-RAW-IMP-20260516-FULLDRAFT-001538</x:v>
      </x:c>
      <x:c r="B1554" t="str">
        <x:v>RAW-IMP-20260516-FULLDRAFT-001538</x:v>
      </x:c>
      <x:c r="C1554" t="str">
        <x:v>KTO001</x:v>
      </x:c>
      <x:c r="D1554"/>
      <x:c r="E1554" t="str">
        <x:v>KAT013</x:v>
      </x:c>
      <x:c r="F1554"/>
      <x:c r="G1554"/>
      <x:c r="H1554" t="str">
        <x:v>kein_match</x:v>
      </x:c>
      <x:c r="I1554" t="str">
        <x:v>Agent-Draft: keine finale Regelentscheidung</x:v>
      </x:c>
      <x:c r="J1554" t="n">
        <x:v>45637</x:v>
      </x:c>
      <x:c r="K1554"/>
      <x:c r="L1554"/>
      <x:c r="M1554" t="n">
        <x:v>10</x:v>
      </x:c>
      <x:c r="N1554" t="str">
        <x:v>2024-12</x:v>
      </x:c>
      <x:c r="O1554" t="str">
        <x:v>Einnahme</x:v>
      </x:c>
      <x:c r="P1554" t="str">
        <x:v>Ist</x:v>
      </x:c>
      <x:c r="Q1554" s="59" t="b">
        <x:v>0</x:v>
      </x:c>
      <x:c r="R1554" t="str">
        <x:v>kein_transfer</x:v>
      </x:c>
      <x:c r="S1554"/>
      <x:c r="T1554"/>
      <x:c r="U1554"/>
      <x:c r="V1554" s="59" t="b">
        <x:v>1</x:v>
      </x:c>
      <x:c r="W1554"/>
      <x:c r="X1554" t="str">
        <x:v>offen</x:v>
      </x:c>
      <x:c r="Y1554" t="str">
        <x:v>Agent-Draft; Kategorie und Person pruefen</x:v>
      </x:c>
    </x:row>
    <x:row r="1555">
      <x:c r="A1555" t="str">
        <x:v>TXN-RAW-IMP-20260516-FULLDRAFT-001539</x:v>
      </x:c>
      <x:c r="B1555" t="str">
        <x:v>RAW-IMP-20260516-FULLDRAFT-001539</x:v>
      </x:c>
      <x:c r="C1555" t="str">
        <x:v>KTO001</x:v>
      </x:c>
      <x:c r="D1555"/>
      <x:c r="E1555" t="str">
        <x:v>KAT013</x:v>
      </x:c>
      <x:c r="F1555"/>
      <x:c r="G1555"/>
      <x:c r="H1555" t="str">
        <x:v>kein_match</x:v>
      </x:c>
      <x:c r="I1555" t="str">
        <x:v>Agent-Draft: keine finale Regelentscheidung</x:v>
      </x:c>
      <x:c r="J1555" t="n">
        <x:v>45637</x:v>
      </x:c>
      <x:c r="K1555"/>
      <x:c r="L1555"/>
      <x:c r="M1555" t="n">
        <x:v>-4.98</x:v>
      </x:c>
      <x:c r="N1555" t="str">
        <x:v>2024-12</x:v>
      </x:c>
      <x:c r="O1555" t="str">
        <x:v>Ausgabe</x:v>
      </x:c>
      <x:c r="P1555" t="str">
        <x:v>Ist</x:v>
      </x:c>
      <x:c r="Q1555" s="59" t="b">
        <x:v>0</x:v>
      </x:c>
      <x:c r="R1555" t="str">
        <x:v>kein_transfer</x:v>
      </x:c>
      <x:c r="S1555"/>
      <x:c r="T1555"/>
      <x:c r="U1555"/>
      <x:c r="V1555" s="59" t="b">
        <x:v>1</x:v>
      </x:c>
      <x:c r="W1555"/>
      <x:c r="X1555" t="str">
        <x:v>offen</x:v>
      </x:c>
      <x:c r="Y1555" t="str">
        <x:v>Agent-Draft; Kategorie und Person pruefen</x:v>
      </x:c>
    </x:row>
    <x:row r="1556">
      <x:c r="A1556" t="str">
        <x:v>TXN-RAW-IMP-20260516-FULLDRAFT-001540</x:v>
      </x:c>
      <x:c r="B1556" t="str">
        <x:v>RAW-IMP-20260516-FULLDRAFT-001540</x:v>
      </x:c>
      <x:c r="C1556" t="str">
        <x:v>KTO001</x:v>
      </x:c>
      <x:c r="D1556"/>
      <x:c r="E1556" t="str">
        <x:v>KAT013</x:v>
      </x:c>
      <x:c r="F1556"/>
      <x:c r="G1556"/>
      <x:c r="H1556" t="str">
        <x:v>kein_match</x:v>
      </x:c>
      <x:c r="I1556" t="str">
        <x:v>Agent-Draft: keine finale Regelentscheidung</x:v>
      </x:c>
      <x:c r="J1556" t="n">
        <x:v>45636</x:v>
      </x:c>
      <x:c r="K1556"/>
      <x:c r="L1556"/>
      <x:c r="M1556" t="n">
        <x:v>-31.99</x:v>
      </x:c>
      <x:c r="N1556" t="str">
        <x:v>2024-12</x:v>
      </x:c>
      <x:c r="O1556" t="str">
        <x:v>Ausgabe</x:v>
      </x:c>
      <x:c r="P1556" t="str">
        <x:v>Ist</x:v>
      </x:c>
      <x:c r="Q1556" s="59" t="b">
        <x:v>0</x:v>
      </x:c>
      <x:c r="R1556" t="str">
        <x:v>kein_transfer</x:v>
      </x:c>
      <x:c r="S1556"/>
      <x:c r="T1556"/>
      <x:c r="U1556"/>
      <x:c r="V1556" s="59" t="b">
        <x:v>1</x:v>
      </x:c>
      <x:c r="W1556"/>
      <x:c r="X1556" t="str">
        <x:v>offen</x:v>
      </x:c>
      <x:c r="Y1556" t="str">
        <x:v>Agent-Draft; Kategorie und Person pruefen</x:v>
      </x:c>
    </x:row>
    <x:row r="1557">
      <x:c r="A1557" t="str">
        <x:v>TXN-RAW-IMP-20260516-FULLDRAFT-001541</x:v>
      </x:c>
      <x:c r="B1557" t="str">
        <x:v>RAW-IMP-20260516-FULLDRAFT-001541</x:v>
      </x:c>
      <x:c r="C1557" t="str">
        <x:v>KTO001</x:v>
      </x:c>
      <x:c r="D1557"/>
      <x:c r="E1557" t="str">
        <x:v>KAT013</x:v>
      </x:c>
      <x:c r="F1557"/>
      <x:c r="G1557"/>
      <x:c r="H1557" t="str">
        <x:v>kein_match</x:v>
      </x:c>
      <x:c r="I1557" t="str">
        <x:v>Agent-Draft: keine finale Regelentscheidung</x:v>
      </x:c>
      <x:c r="J1557" t="n">
        <x:v>45636</x:v>
      </x:c>
      <x:c r="K1557"/>
      <x:c r="L1557"/>
      <x:c r="M1557" t="n">
        <x:v>-10</x:v>
      </x:c>
      <x:c r="N1557" t="str">
        <x:v>2024-12</x:v>
      </x:c>
      <x:c r="O1557" t="str">
        <x:v>Ausgabe</x:v>
      </x:c>
      <x:c r="P1557" t="str">
        <x:v>Ist</x:v>
      </x:c>
      <x:c r="Q1557" s="59" t="b">
        <x:v>0</x:v>
      </x:c>
      <x:c r="R1557" t="str">
        <x:v>kein_transfer</x:v>
      </x:c>
      <x:c r="S1557"/>
      <x:c r="T1557"/>
      <x:c r="U1557"/>
      <x:c r="V1557" s="59" t="b">
        <x:v>1</x:v>
      </x:c>
      <x:c r="W1557"/>
      <x:c r="X1557" t="str">
        <x:v>offen</x:v>
      </x:c>
      <x:c r="Y1557" t="str">
        <x:v>Agent-Draft; Kategorie und Person pruefen</x:v>
      </x:c>
    </x:row>
    <x:row r="1558">
      <x:c r="A1558" t="str">
        <x:v>TXN-RAW-IMP-20260516-FULLDRAFT-001542</x:v>
      </x:c>
      <x:c r="B1558" t="str">
        <x:v>RAW-IMP-20260516-FULLDRAFT-001542</x:v>
      </x:c>
      <x:c r="C1558" t="str">
        <x:v>KTO001</x:v>
      </x:c>
      <x:c r="D1558"/>
      <x:c r="E1558" t="str">
        <x:v>KAT013</x:v>
      </x:c>
      <x:c r="F1558"/>
      <x:c r="G1558"/>
      <x:c r="H1558" t="str">
        <x:v>kein_match</x:v>
      </x:c>
      <x:c r="I1558" t="str">
        <x:v>Agent-Draft: keine finale Regelentscheidung</x:v>
      </x:c>
      <x:c r="J1558" t="n">
        <x:v>45635</x:v>
      </x:c>
      <x:c r="K1558"/>
      <x:c r="L1558"/>
      <x:c r="M1558" t="n">
        <x:v>-3.28</x:v>
      </x:c>
      <x:c r="N1558" t="str">
        <x:v>2024-12</x:v>
      </x:c>
      <x:c r="O1558" t="str">
        <x:v>Ausgabe</x:v>
      </x:c>
      <x:c r="P1558" t="str">
        <x:v>Ist</x:v>
      </x:c>
      <x:c r="Q1558" s="59" t="b">
        <x:v>0</x:v>
      </x:c>
      <x:c r="R1558" t="str">
        <x:v>kein_transfer</x:v>
      </x:c>
      <x:c r="S1558"/>
      <x:c r="T1558"/>
      <x:c r="U1558"/>
      <x:c r="V1558" s="59" t="b">
        <x:v>1</x:v>
      </x:c>
      <x:c r="W1558"/>
      <x:c r="X1558" t="str">
        <x:v>offen</x:v>
      </x:c>
      <x:c r="Y1558" t="str">
        <x:v>Agent-Draft; Kategorie und Person pruefen</x:v>
      </x:c>
    </x:row>
    <x:row r="1559">
      <x:c r="A1559" t="str">
        <x:v>TXN-RAW-IMP-20260516-FULLDRAFT-001543</x:v>
      </x:c>
      <x:c r="B1559" t="str">
        <x:v>RAW-IMP-20260516-FULLDRAFT-001543</x:v>
      </x:c>
      <x:c r="C1559" t="str">
        <x:v>KTO001</x:v>
      </x:c>
      <x:c r="D1559"/>
      <x:c r="E1559" t="str">
        <x:v>KAT013</x:v>
      </x:c>
      <x:c r="F1559"/>
      <x:c r="G1559"/>
      <x:c r="H1559" t="str">
        <x:v>kein_match</x:v>
      </x:c>
      <x:c r="I1559" t="str">
        <x:v>Agent-Draft: keine finale Regelentscheidung</x:v>
      </x:c>
      <x:c r="J1559" t="n">
        <x:v>45635</x:v>
      </x:c>
      <x:c r="K1559"/>
      <x:c r="L1559"/>
      <x:c r="M1559" t="n">
        <x:v>-27.99</x:v>
      </x:c>
      <x:c r="N1559" t="str">
        <x:v>2024-12</x:v>
      </x:c>
      <x:c r="O1559" t="str">
        <x:v>Ausgabe</x:v>
      </x:c>
      <x:c r="P1559" t="str">
        <x:v>Ist</x:v>
      </x:c>
      <x:c r="Q1559" s="59" t="b">
        <x:v>0</x:v>
      </x:c>
      <x:c r="R1559" t="str">
        <x:v>kein_transfer</x:v>
      </x:c>
      <x:c r="S1559"/>
      <x:c r="T1559"/>
      <x:c r="U1559"/>
      <x:c r="V1559" s="59" t="b">
        <x:v>1</x:v>
      </x:c>
      <x:c r="W1559"/>
      <x:c r="X1559" t="str">
        <x:v>offen</x:v>
      </x:c>
      <x:c r="Y1559" t="str">
        <x:v>Agent-Draft; Kategorie und Person pruefen</x:v>
      </x:c>
    </x:row>
    <x:row r="1560">
      <x:c r="A1560" t="str">
        <x:v>TXN-RAW-IMP-20260516-FULLDRAFT-001544</x:v>
      </x:c>
      <x:c r="B1560" t="str">
        <x:v>RAW-IMP-20260516-FULLDRAFT-001544</x:v>
      </x:c>
      <x:c r="C1560" t="str">
        <x:v>KTO001</x:v>
      </x:c>
      <x:c r="D1560"/>
      <x:c r="E1560" t="str">
        <x:v>KAT013</x:v>
      </x:c>
      <x:c r="F1560"/>
      <x:c r="G1560"/>
      <x:c r="H1560" t="str">
        <x:v>kein_match</x:v>
      </x:c>
      <x:c r="I1560" t="str">
        <x:v>Agent-Draft: keine finale Regelentscheidung</x:v>
      </x:c>
      <x:c r="J1560" t="n">
        <x:v>45635</x:v>
      </x:c>
      <x:c r="K1560"/>
      <x:c r="L1560"/>
      <x:c r="M1560" t="n">
        <x:v>-55.28</x:v>
      </x:c>
      <x:c r="N1560" t="str">
        <x:v>2024-12</x:v>
      </x:c>
      <x:c r="O1560" t="str">
        <x:v>Ausgabe</x:v>
      </x:c>
      <x:c r="P1560" t="str">
        <x:v>Ist</x:v>
      </x:c>
      <x:c r="Q1560" s="59" t="b">
        <x:v>0</x:v>
      </x:c>
      <x:c r="R1560" t="str">
        <x:v>kein_transfer</x:v>
      </x:c>
      <x:c r="S1560"/>
      <x:c r="T1560"/>
      <x:c r="U1560"/>
      <x:c r="V1560" s="59" t="b">
        <x:v>1</x:v>
      </x:c>
      <x:c r="W1560"/>
      <x:c r="X1560" t="str">
        <x:v>offen</x:v>
      </x:c>
      <x:c r="Y1560" t="str">
        <x:v>Agent-Draft; Kategorie und Person pruefen</x:v>
      </x:c>
    </x:row>
    <x:row r="1561">
      <x:c r="A1561" t="str">
        <x:v>TXN-RAW-IMP-20260516-FULLDRAFT-001545</x:v>
      </x:c>
      <x:c r="B1561" t="str">
        <x:v>RAW-IMP-20260516-FULLDRAFT-001545</x:v>
      </x:c>
      <x:c r="C1561" t="str">
        <x:v>KTO001</x:v>
      </x:c>
      <x:c r="D1561"/>
      <x:c r="E1561" t="str">
        <x:v>KAT013</x:v>
      </x:c>
      <x:c r="F1561"/>
      <x:c r="G1561"/>
      <x:c r="H1561" t="str">
        <x:v>kein_match</x:v>
      </x:c>
      <x:c r="I1561" t="str">
        <x:v>Agent-Draft: keine finale Regelentscheidung</x:v>
      </x:c>
      <x:c r="J1561" t="n">
        <x:v>45635</x:v>
      </x:c>
      <x:c r="K1561"/>
      <x:c r="L1561"/>
      <x:c r="M1561" t="n">
        <x:v>-9.04</x:v>
      </x:c>
      <x:c r="N1561" t="str">
        <x:v>2024-12</x:v>
      </x:c>
      <x:c r="O1561" t="str">
        <x:v>Ausgabe</x:v>
      </x:c>
      <x:c r="P1561" t="str">
        <x:v>Ist</x:v>
      </x:c>
      <x:c r="Q1561" s="59" t="b">
        <x:v>0</x:v>
      </x:c>
      <x:c r="R1561" t="str">
        <x:v>kein_transfer</x:v>
      </x:c>
      <x:c r="S1561"/>
      <x:c r="T1561"/>
      <x:c r="U1561"/>
      <x:c r="V1561" s="59" t="b">
        <x:v>1</x:v>
      </x:c>
      <x:c r="W1561"/>
      <x:c r="X1561" t="str">
        <x:v>offen</x:v>
      </x:c>
      <x:c r="Y1561" t="str">
        <x:v>Agent-Draft; Kategorie und Person pruefen</x:v>
      </x:c>
    </x:row>
    <x:row r="1562">
      <x:c r="A1562" t="str">
        <x:v>TXN-RAW-IMP-20260516-FULLDRAFT-001546</x:v>
      </x:c>
      <x:c r="B1562" t="str">
        <x:v>RAW-IMP-20260516-FULLDRAFT-001546</x:v>
      </x:c>
      <x:c r="C1562" t="str">
        <x:v>KTO001</x:v>
      </x:c>
      <x:c r="D1562"/>
      <x:c r="E1562" t="str">
        <x:v>KAT013</x:v>
      </x:c>
      <x:c r="F1562"/>
      <x:c r="G1562"/>
      <x:c r="H1562" t="str">
        <x:v>kein_match</x:v>
      </x:c>
      <x:c r="I1562" t="str">
        <x:v>Agent-Draft: keine finale Regelentscheidung</x:v>
      </x:c>
      <x:c r="J1562" t="n">
        <x:v>45632</x:v>
      </x:c>
      <x:c r="K1562"/>
      <x:c r="L1562"/>
      <x:c r="M1562" t="n">
        <x:v>-49.9</x:v>
      </x:c>
      <x:c r="N1562" t="str">
        <x:v>2024-12</x:v>
      </x:c>
      <x:c r="O1562" t="str">
        <x:v>Ausgabe</x:v>
      </x:c>
      <x:c r="P1562" t="str">
        <x:v>Ist</x:v>
      </x:c>
      <x:c r="Q1562" s="59" t="b">
        <x:v>0</x:v>
      </x:c>
      <x:c r="R1562" t="str">
        <x:v>kein_transfer</x:v>
      </x:c>
      <x:c r="S1562"/>
      <x:c r="T1562"/>
      <x:c r="U1562"/>
      <x:c r="V1562" s="59" t="b">
        <x:v>1</x:v>
      </x:c>
      <x:c r="W1562"/>
      <x:c r="X1562" t="str">
        <x:v>offen</x:v>
      </x:c>
      <x:c r="Y1562" t="str">
        <x:v>Agent-Draft; Kategorie und Person pruefen</x:v>
      </x:c>
    </x:row>
    <x:row r="1563">
      <x:c r="A1563" t="str">
        <x:v>TXN-RAW-IMP-20260516-FULLDRAFT-001547</x:v>
      </x:c>
      <x:c r="B1563" t="str">
        <x:v>RAW-IMP-20260516-FULLDRAFT-001547</x:v>
      </x:c>
      <x:c r="C1563" t="str">
        <x:v>KTO001</x:v>
      </x:c>
      <x:c r="D1563"/>
      <x:c r="E1563" t="str">
        <x:v>KAT013</x:v>
      </x:c>
      <x:c r="F1563"/>
      <x:c r="G1563"/>
      <x:c r="H1563" t="str">
        <x:v>kein_match</x:v>
      </x:c>
      <x:c r="I1563" t="str">
        <x:v>Agent-Draft: keine finale Regelentscheidung</x:v>
      </x:c>
      <x:c r="J1563" t="n">
        <x:v>45631</x:v>
      </x:c>
      <x:c r="K1563"/>
      <x:c r="L1563"/>
      <x:c r="M1563" t="n">
        <x:v>-1000</x:v>
      </x:c>
      <x:c r="N1563" t="str">
        <x:v>2024-12</x:v>
      </x:c>
      <x:c r="O1563" t="str">
        <x:v>Ausgabe</x:v>
      </x:c>
      <x:c r="P1563" t="str">
        <x:v>Ist</x:v>
      </x:c>
      <x:c r="Q1563" s="59" t="b">
        <x:v>0</x:v>
      </x:c>
      <x:c r="R1563" t="str">
        <x:v>kein_transfer</x:v>
      </x:c>
      <x:c r="S1563"/>
      <x:c r="T1563"/>
      <x:c r="U1563"/>
      <x:c r="V1563" s="59" t="b">
        <x:v>1</x:v>
      </x:c>
      <x:c r="W1563"/>
      <x:c r="X1563" t="str">
        <x:v>offen</x:v>
      </x:c>
      <x:c r="Y1563" t="str">
        <x:v>Agent-Draft; Kategorie und Person pruefen</x:v>
      </x:c>
    </x:row>
    <x:row r="1564">
      <x:c r="A1564" t="str">
        <x:v>TXN-RAW-IMP-20260516-FULLDRAFT-001548</x:v>
      </x:c>
      <x:c r="B1564" t="str">
        <x:v>RAW-IMP-20260516-FULLDRAFT-001548</x:v>
      </x:c>
      <x:c r="C1564" t="str">
        <x:v>KTO001</x:v>
      </x:c>
      <x:c r="D1564"/>
      <x:c r="E1564" t="str">
        <x:v>KAT013</x:v>
      </x:c>
      <x:c r="F1564"/>
      <x:c r="G1564"/>
      <x:c r="H1564" t="str">
        <x:v>kein_match</x:v>
      </x:c>
      <x:c r="I1564" t="str">
        <x:v>Agent-Draft: keine finale Regelentscheidung</x:v>
      </x:c>
      <x:c r="J1564" t="n">
        <x:v>45631</x:v>
      </x:c>
      <x:c r="K1564"/>
      <x:c r="L1564"/>
      <x:c r="M1564" t="n">
        <x:v>-60.1</x:v>
      </x:c>
      <x:c r="N1564" t="str">
        <x:v>2024-12</x:v>
      </x:c>
      <x:c r="O1564" t="str">
        <x:v>Ausgabe</x:v>
      </x:c>
      <x:c r="P1564" t="str">
        <x:v>Ist</x:v>
      </x:c>
      <x:c r="Q1564" s="59" t="b">
        <x:v>0</x:v>
      </x:c>
      <x:c r="R1564" t="str">
        <x:v>kein_transfer</x:v>
      </x:c>
      <x:c r="S1564"/>
      <x:c r="T1564"/>
      <x:c r="U1564"/>
      <x:c r="V1564" s="59" t="b">
        <x:v>1</x:v>
      </x:c>
      <x:c r="W1564"/>
      <x:c r="X1564" t="str">
        <x:v>offen</x:v>
      </x:c>
      <x:c r="Y1564" t="str">
        <x:v>Agent-Draft; Kategorie und Person pruefen</x:v>
      </x:c>
    </x:row>
    <x:row r="1565">
      <x:c r="A1565" t="str">
        <x:v>TXN-RAW-IMP-20260516-FULLDRAFT-001549</x:v>
      </x:c>
      <x:c r="B1565" t="str">
        <x:v>RAW-IMP-20260516-FULLDRAFT-001549</x:v>
      </x:c>
      <x:c r="C1565" t="str">
        <x:v>KTO001</x:v>
      </x:c>
      <x:c r="D1565"/>
      <x:c r="E1565" t="str">
        <x:v>KAT013</x:v>
      </x:c>
      <x:c r="F1565"/>
      <x:c r="G1565"/>
      <x:c r="H1565" t="str">
        <x:v>kein_match</x:v>
      </x:c>
      <x:c r="I1565" t="str">
        <x:v>Agent-Draft: keine finale Regelentscheidung</x:v>
      </x:c>
      <x:c r="J1565" t="n">
        <x:v>45631</x:v>
      </x:c>
      <x:c r="K1565"/>
      <x:c r="L1565"/>
      <x:c r="M1565" t="n">
        <x:v>-5.98</x:v>
      </x:c>
      <x:c r="N1565" t="str">
        <x:v>2024-12</x:v>
      </x:c>
      <x:c r="O1565" t="str">
        <x:v>Ausgabe</x:v>
      </x:c>
      <x:c r="P1565" t="str">
        <x:v>Ist</x:v>
      </x:c>
      <x:c r="Q1565" s="59" t="b">
        <x:v>0</x:v>
      </x:c>
      <x:c r="R1565" t="str">
        <x:v>kein_transfer</x:v>
      </x:c>
      <x:c r="S1565"/>
      <x:c r="T1565"/>
      <x:c r="U1565"/>
      <x:c r="V1565" s="59" t="b">
        <x:v>1</x:v>
      </x:c>
      <x:c r="W1565"/>
      <x:c r="X1565" t="str">
        <x:v>offen</x:v>
      </x:c>
      <x:c r="Y1565" t="str">
        <x:v>Agent-Draft; Kategorie und Person pruefen</x:v>
      </x:c>
    </x:row>
    <x:row r="1566">
      <x:c r="A1566" t="str">
        <x:v>TXN-RAW-IMP-20260516-FULLDRAFT-001550</x:v>
      </x:c>
      <x:c r="B1566" t="str">
        <x:v>RAW-IMP-20260516-FULLDRAFT-001550</x:v>
      </x:c>
      <x:c r="C1566" t="str">
        <x:v>KTO001</x:v>
      </x:c>
      <x:c r="D1566"/>
      <x:c r="E1566" t="str">
        <x:v>KAT013</x:v>
      </x:c>
      <x:c r="F1566"/>
      <x:c r="G1566"/>
      <x:c r="H1566" t="str">
        <x:v>kein_match</x:v>
      </x:c>
      <x:c r="I1566" t="str">
        <x:v>Agent-Draft: keine finale Regelentscheidung</x:v>
      </x:c>
      <x:c r="J1566" t="n">
        <x:v>45631</x:v>
      </x:c>
      <x:c r="K1566"/>
      <x:c r="L1566"/>
      <x:c r="M1566" t="n">
        <x:v>-22.24</x:v>
      </x:c>
      <x:c r="N1566" t="str">
        <x:v>2024-12</x:v>
      </x:c>
      <x:c r="O1566" t="str">
        <x:v>Ausgabe</x:v>
      </x:c>
      <x:c r="P1566" t="str">
        <x:v>Ist</x:v>
      </x:c>
      <x:c r="Q1566" s="59" t="b">
        <x:v>0</x:v>
      </x:c>
      <x:c r="R1566" t="str">
        <x:v>kein_transfer</x:v>
      </x:c>
      <x:c r="S1566"/>
      <x:c r="T1566"/>
      <x:c r="U1566"/>
      <x:c r="V1566" s="59" t="b">
        <x:v>1</x:v>
      </x:c>
      <x:c r="W1566"/>
      <x:c r="X1566" t="str">
        <x:v>offen</x:v>
      </x:c>
      <x:c r="Y1566" t="str">
        <x:v>Agent-Draft; Kategorie und Person pruefen</x:v>
      </x:c>
    </x:row>
    <x:row r="1567">
      <x:c r="A1567" t="str">
        <x:v>TXN-RAW-IMP-20260516-FULLDRAFT-001551</x:v>
      </x:c>
      <x:c r="B1567" t="str">
        <x:v>RAW-IMP-20260516-FULLDRAFT-001551</x:v>
      </x:c>
      <x:c r="C1567" t="str">
        <x:v>KTO001</x:v>
      </x:c>
      <x:c r="D1567"/>
      <x:c r="E1567" t="str">
        <x:v>KAT013</x:v>
      </x:c>
      <x:c r="F1567"/>
      <x:c r="G1567"/>
      <x:c r="H1567" t="str">
        <x:v>kein_match</x:v>
      </x:c>
      <x:c r="I1567" t="str">
        <x:v>Agent-Draft: keine finale Regelentscheidung</x:v>
      </x:c>
      <x:c r="J1567" t="n">
        <x:v>45630</x:v>
      </x:c>
      <x:c r="K1567"/>
      <x:c r="L1567"/>
      <x:c r="M1567" t="n">
        <x:v>-6.88</x:v>
      </x:c>
      <x:c r="N1567" t="str">
        <x:v>2024-12</x:v>
      </x:c>
      <x:c r="O1567" t="str">
        <x:v>Ausgabe</x:v>
      </x:c>
      <x:c r="P1567" t="str">
        <x:v>Ist</x:v>
      </x:c>
      <x:c r="Q1567" s="59" t="b">
        <x:v>0</x:v>
      </x:c>
      <x:c r="R1567" t="str">
        <x:v>kein_transfer</x:v>
      </x:c>
      <x:c r="S1567"/>
      <x:c r="T1567"/>
      <x:c r="U1567"/>
      <x:c r="V1567" s="59" t="b">
        <x:v>1</x:v>
      </x:c>
      <x:c r="W1567"/>
      <x:c r="X1567" t="str">
        <x:v>offen</x:v>
      </x:c>
      <x:c r="Y1567" t="str">
        <x:v>Agent-Draft; Kategorie und Person pruefen</x:v>
      </x:c>
    </x:row>
    <x:row r="1568">
      <x:c r="A1568" t="str">
        <x:v>TXN-RAW-IMP-20260516-FULLDRAFT-001552</x:v>
      </x:c>
      <x:c r="B1568" t="str">
        <x:v>RAW-IMP-20260516-FULLDRAFT-001552</x:v>
      </x:c>
      <x:c r="C1568" t="str">
        <x:v>KTO001</x:v>
      </x:c>
      <x:c r="D1568"/>
      <x:c r="E1568" t="str">
        <x:v>KAT013</x:v>
      </x:c>
      <x:c r="F1568"/>
      <x:c r="G1568"/>
      <x:c r="H1568" t="str">
        <x:v>kein_match</x:v>
      </x:c>
      <x:c r="I1568" t="str">
        <x:v>Agent-Draft: keine finale Regelentscheidung</x:v>
      </x:c>
      <x:c r="J1568" t="n">
        <x:v>45630</x:v>
      </x:c>
      <x:c r="K1568"/>
      <x:c r="L1568"/>
      <x:c r="M1568" t="n">
        <x:v>-18.14</x:v>
      </x:c>
      <x:c r="N1568" t="str">
        <x:v>2024-12</x:v>
      </x:c>
      <x:c r="O1568" t="str">
        <x:v>Ausgabe</x:v>
      </x:c>
      <x:c r="P1568" t="str">
        <x:v>Ist</x:v>
      </x:c>
      <x:c r="Q1568" s="59" t="b">
        <x:v>0</x:v>
      </x:c>
      <x:c r="R1568" t="str">
        <x:v>kein_transfer</x:v>
      </x:c>
      <x:c r="S1568"/>
      <x:c r="T1568"/>
      <x:c r="U1568"/>
      <x:c r="V1568" s="59" t="b">
        <x:v>1</x:v>
      </x:c>
      <x:c r="W1568"/>
      <x:c r="X1568" t="str">
        <x:v>offen</x:v>
      </x:c>
      <x:c r="Y1568" t="str">
        <x:v>Agent-Draft; Kategorie und Person pruefen</x:v>
      </x:c>
    </x:row>
    <x:row r="1569">
      <x:c r="A1569" t="str">
        <x:v>TXN-RAW-IMP-20260516-FULLDRAFT-001553</x:v>
      </x:c>
      <x:c r="B1569" t="str">
        <x:v>RAW-IMP-20260516-FULLDRAFT-001553</x:v>
      </x:c>
      <x:c r="C1569" t="str">
        <x:v>KTO001</x:v>
      </x:c>
      <x:c r="D1569"/>
      <x:c r="E1569" t="str">
        <x:v>KAT013</x:v>
      </x:c>
      <x:c r="F1569"/>
      <x:c r="G1569"/>
      <x:c r="H1569" t="str">
        <x:v>kein_match</x:v>
      </x:c>
      <x:c r="I1569" t="str">
        <x:v>Agent-Draft: keine finale Regelentscheidung</x:v>
      </x:c>
      <x:c r="J1569" t="n">
        <x:v>45629</x:v>
      </x:c>
      <x:c r="K1569"/>
      <x:c r="L1569"/>
      <x:c r="M1569" t="n">
        <x:v>10</x:v>
      </x:c>
      <x:c r="N1569" t="str">
        <x:v>2024-12</x:v>
      </x:c>
      <x:c r="O1569" t="str">
        <x:v>Einnahme</x:v>
      </x:c>
      <x:c r="P1569" t="str">
        <x:v>Ist</x:v>
      </x:c>
      <x:c r="Q1569" s="59" t="b">
        <x:v>0</x:v>
      </x:c>
      <x:c r="R1569" t="str">
        <x:v>kein_transfer</x:v>
      </x:c>
      <x:c r="S1569"/>
      <x:c r="T1569"/>
      <x:c r="U1569"/>
      <x:c r="V1569" s="59" t="b">
        <x:v>1</x:v>
      </x:c>
      <x:c r="W1569"/>
      <x:c r="X1569" t="str">
        <x:v>offen</x:v>
      </x:c>
      <x:c r="Y1569" t="str">
        <x:v>Agent-Draft; Kategorie und Person pruefen</x:v>
      </x:c>
    </x:row>
    <x:row r="1570">
      <x:c r="A1570" t="str">
        <x:v>TXN-RAW-IMP-20260516-FULLDRAFT-001554</x:v>
      </x:c>
      <x:c r="B1570" t="str">
        <x:v>RAW-IMP-20260516-FULLDRAFT-001554</x:v>
      </x:c>
      <x:c r="C1570" t="str">
        <x:v>KTO001</x:v>
      </x:c>
      <x:c r="D1570"/>
      <x:c r="E1570" t="str">
        <x:v>KAT013</x:v>
      </x:c>
      <x:c r="F1570"/>
      <x:c r="G1570"/>
      <x:c r="H1570" t="str">
        <x:v>kein_match</x:v>
      </x:c>
      <x:c r="I1570" t="str">
        <x:v>Agent-Draft: keine finale Regelentscheidung</x:v>
      </x:c>
      <x:c r="J1570" t="n">
        <x:v>45629</x:v>
      </x:c>
      <x:c r="K1570"/>
      <x:c r="L1570"/>
      <x:c r="M1570" t="n">
        <x:v>556.07</x:v>
      </x:c>
      <x:c r="N1570" t="str">
        <x:v>2024-12</x:v>
      </x:c>
      <x:c r="O1570" t="str">
        <x:v>Einnahme</x:v>
      </x:c>
      <x:c r="P1570" t="str">
        <x:v>Ist</x:v>
      </x:c>
      <x:c r="Q1570" s="59" t="b">
        <x:v>0</x:v>
      </x:c>
      <x:c r="R1570" t="str">
        <x:v>kein_transfer</x:v>
      </x:c>
      <x:c r="S1570"/>
      <x:c r="T1570"/>
      <x:c r="U1570"/>
      <x:c r="V1570" s="59" t="b">
        <x:v>1</x:v>
      </x:c>
      <x:c r="W1570"/>
      <x:c r="X1570" t="str">
        <x:v>offen</x:v>
      </x:c>
      <x:c r="Y1570" t="str">
        <x:v>Agent-Draft; Kategorie und Person pruefen</x:v>
      </x:c>
    </x:row>
    <x:row r="1571">
      <x:c r="A1571" t="str">
        <x:v>TXN-RAW-IMP-20260516-FULLDRAFT-001555</x:v>
      </x:c>
      <x:c r="B1571" t="str">
        <x:v>RAW-IMP-20260516-FULLDRAFT-001555</x:v>
      </x:c>
      <x:c r="C1571" t="str">
        <x:v>KTO001</x:v>
      </x:c>
      <x:c r="D1571"/>
      <x:c r="E1571" t="str">
        <x:v>KAT013</x:v>
      </x:c>
      <x:c r="F1571"/>
      <x:c r="G1571"/>
      <x:c r="H1571" t="str">
        <x:v>kein_match</x:v>
      </x:c>
      <x:c r="I1571" t="str">
        <x:v>Agent-Draft: keine finale Regelentscheidung</x:v>
      </x:c>
      <x:c r="J1571" t="n">
        <x:v>45629</x:v>
      </x:c>
      <x:c r="K1571"/>
      <x:c r="L1571"/>
      <x:c r="M1571" t="n">
        <x:v>-5</x:v>
      </x:c>
      <x:c r="N1571" t="str">
        <x:v>2024-12</x:v>
      </x:c>
      <x:c r="O1571" t="str">
        <x:v>Ausgabe</x:v>
      </x:c>
      <x:c r="P1571" t="str">
        <x:v>Ist</x:v>
      </x:c>
      <x:c r="Q1571" s="59" t="b">
        <x:v>0</x:v>
      </x:c>
      <x:c r="R1571" t="str">
        <x:v>kein_transfer</x:v>
      </x:c>
      <x:c r="S1571"/>
      <x:c r="T1571"/>
      <x:c r="U1571"/>
      <x:c r="V1571" s="59" t="b">
        <x:v>1</x:v>
      </x:c>
      <x:c r="W1571"/>
      <x:c r="X1571" t="str">
        <x:v>offen</x:v>
      </x:c>
      <x:c r="Y1571" t="str">
        <x:v>Agent-Draft; Kategorie und Person pruefen</x:v>
      </x:c>
    </x:row>
    <x:row r="1572">
      <x:c r="A1572" t="str">
        <x:v>TXN-RAW-IMP-20260516-FULLDRAFT-001556</x:v>
      </x:c>
      <x:c r="B1572" t="str">
        <x:v>RAW-IMP-20260516-FULLDRAFT-001556</x:v>
      </x:c>
      <x:c r="C1572" t="str">
        <x:v>KTO001</x:v>
      </x:c>
      <x:c r="D1572"/>
      <x:c r="E1572" t="str">
        <x:v>KAT013</x:v>
      </x:c>
      <x:c r="F1572"/>
      <x:c r="G1572"/>
      <x:c r="H1572" t="str">
        <x:v>kein_match</x:v>
      </x:c>
      <x:c r="I1572" t="str">
        <x:v>Agent-Draft: keine finale Regelentscheidung</x:v>
      </x:c>
      <x:c r="J1572" t="n">
        <x:v>45629</x:v>
      </x:c>
      <x:c r="K1572"/>
      <x:c r="L1572"/>
      <x:c r="M1572" t="n">
        <x:v>-57.5</x:v>
      </x:c>
      <x:c r="N1572" t="str">
        <x:v>2024-12</x:v>
      </x:c>
      <x:c r="O1572" t="str">
        <x:v>Ausgabe</x:v>
      </x:c>
      <x:c r="P1572" t="str">
        <x:v>Ist</x:v>
      </x:c>
      <x:c r="Q1572" s="59" t="b">
        <x:v>0</x:v>
      </x:c>
      <x:c r="R1572" t="str">
        <x:v>kein_transfer</x:v>
      </x:c>
      <x:c r="S1572"/>
      <x:c r="T1572"/>
      <x:c r="U1572"/>
      <x:c r="V1572" s="59" t="b">
        <x:v>1</x:v>
      </x:c>
      <x:c r="W1572"/>
      <x:c r="X1572" t="str">
        <x:v>offen</x:v>
      </x:c>
      <x:c r="Y1572" t="str">
        <x:v>Agent-Draft; Kategorie und Person pruefen</x:v>
      </x:c>
    </x:row>
    <x:row r="1573">
      <x:c r="A1573" t="str">
        <x:v>TXN-RAW-IMP-20260516-FULLDRAFT-001557</x:v>
      </x:c>
      <x:c r="B1573" t="str">
        <x:v>RAW-IMP-20260516-FULLDRAFT-001557</x:v>
      </x:c>
      <x:c r="C1573" t="str">
        <x:v>KTO001</x:v>
      </x:c>
      <x:c r="D1573"/>
      <x:c r="E1573" t="str">
        <x:v>KAT013</x:v>
      </x:c>
      <x:c r="F1573"/>
      <x:c r="G1573"/>
      <x:c r="H1573" t="str">
        <x:v>kein_match</x:v>
      </x:c>
      <x:c r="I1573" t="str">
        <x:v>Agent-Draft: keine finale Regelentscheidung</x:v>
      </x:c>
      <x:c r="J1573" t="n">
        <x:v>45629</x:v>
      </x:c>
      <x:c r="K1573"/>
      <x:c r="L1573"/>
      <x:c r="M1573" t="n">
        <x:v>-11.96</x:v>
      </x:c>
      <x:c r="N1573" t="str">
        <x:v>2024-12</x:v>
      </x:c>
      <x:c r="O1573" t="str">
        <x:v>Ausgabe</x:v>
      </x:c>
      <x:c r="P1573" t="str">
        <x:v>Ist</x:v>
      </x:c>
      <x:c r="Q1573" s="59" t="b">
        <x:v>0</x:v>
      </x:c>
      <x:c r="R1573" t="str">
        <x:v>kein_transfer</x:v>
      </x:c>
      <x:c r="S1573"/>
      <x:c r="T1573"/>
      <x:c r="U1573"/>
      <x:c r="V1573" s="59" t="b">
        <x:v>1</x:v>
      </x:c>
      <x:c r="W1573"/>
      <x:c r="X1573" t="str">
        <x:v>offen</x:v>
      </x:c>
      <x:c r="Y1573" t="str">
        <x:v>Agent-Draft; Kategorie und Person pruefen</x:v>
      </x:c>
    </x:row>
    <x:row r="1574">
      <x:c r="A1574" t="str">
        <x:v>TXN-RAW-IMP-20260516-FULLDRAFT-001558</x:v>
      </x:c>
      <x:c r="B1574" t="str">
        <x:v>RAW-IMP-20260516-FULLDRAFT-001558</x:v>
      </x:c>
      <x:c r="C1574" t="str">
        <x:v>KTO001</x:v>
      </x:c>
      <x:c r="D1574"/>
      <x:c r="E1574" t="str">
        <x:v>KAT013</x:v>
      </x:c>
      <x:c r="F1574"/>
      <x:c r="G1574"/>
      <x:c r="H1574" t="str">
        <x:v>kein_match</x:v>
      </x:c>
      <x:c r="I1574" t="str">
        <x:v>Agent-Draft: keine finale Regelentscheidung</x:v>
      </x:c>
      <x:c r="J1574" t="n">
        <x:v>45629</x:v>
      </x:c>
      <x:c r="K1574"/>
      <x:c r="L1574"/>
      <x:c r="M1574" t="n">
        <x:v>-53.3</x:v>
      </x:c>
      <x:c r="N1574" t="str">
        <x:v>2024-12</x:v>
      </x:c>
      <x:c r="O1574" t="str">
        <x:v>Ausgabe</x:v>
      </x:c>
      <x:c r="P1574" t="str">
        <x:v>Ist</x:v>
      </x:c>
      <x:c r="Q1574" s="59" t="b">
        <x:v>0</x:v>
      </x:c>
      <x:c r="R1574" t="str">
        <x:v>kein_transfer</x:v>
      </x:c>
      <x:c r="S1574"/>
      <x:c r="T1574"/>
      <x:c r="U1574"/>
      <x:c r="V1574" s="59" t="b">
        <x:v>1</x:v>
      </x:c>
      <x:c r="W1574"/>
      <x:c r="X1574" t="str">
        <x:v>offen</x:v>
      </x:c>
      <x:c r="Y1574" t="str">
        <x:v>Agent-Draft; Kategorie und Person pruefen</x:v>
      </x:c>
    </x:row>
    <x:row r="1575">
      <x:c r="A1575" t="str">
        <x:v>TXN-RAW-IMP-20260516-FULLDRAFT-001559</x:v>
      </x:c>
      <x:c r="B1575" t="str">
        <x:v>RAW-IMP-20260516-FULLDRAFT-001559</x:v>
      </x:c>
      <x:c r="C1575" t="str">
        <x:v>KTO001</x:v>
      </x:c>
      <x:c r="D1575"/>
      <x:c r="E1575" t="str">
        <x:v>KAT013</x:v>
      </x:c>
      <x:c r="F1575"/>
      <x:c r="G1575"/>
      <x:c r="H1575" t="str">
        <x:v>kein_match</x:v>
      </x:c>
      <x:c r="I1575" t="str">
        <x:v>Agent-Draft: keine finale Regelentscheidung</x:v>
      </x:c>
      <x:c r="J1575" t="n">
        <x:v>45629</x:v>
      </x:c>
      <x:c r="K1575"/>
      <x:c r="L1575"/>
      <x:c r="M1575" t="n">
        <x:v>-61.92</x:v>
      </x:c>
      <x:c r="N1575" t="str">
        <x:v>2024-12</x:v>
      </x:c>
      <x:c r="O1575" t="str">
        <x:v>Ausgabe</x:v>
      </x:c>
      <x:c r="P1575" t="str">
        <x:v>Ist</x:v>
      </x:c>
      <x:c r="Q1575" s="59" t="b">
        <x:v>0</x:v>
      </x:c>
      <x:c r="R1575" t="str">
        <x:v>kein_transfer</x:v>
      </x:c>
      <x:c r="S1575"/>
      <x:c r="T1575"/>
      <x:c r="U1575"/>
      <x:c r="V1575" s="59" t="b">
        <x:v>1</x:v>
      </x:c>
      <x:c r="W1575"/>
      <x:c r="X1575" t="str">
        <x:v>offen</x:v>
      </x:c>
      <x:c r="Y1575" t="str">
        <x:v>Agent-Draft; Kategorie und Person pruefen</x:v>
      </x:c>
    </x:row>
    <x:row r="1576">
      <x:c r="A1576" t="str">
        <x:v>TXN-RAW-IMP-20260516-FULLDRAFT-001560</x:v>
      </x:c>
      <x:c r="B1576" t="str">
        <x:v>RAW-IMP-20260516-FULLDRAFT-001560</x:v>
      </x:c>
      <x:c r="C1576" t="str">
        <x:v>KTO001</x:v>
      </x:c>
      <x:c r="D1576"/>
      <x:c r="E1576" t="str">
        <x:v>KAT013</x:v>
      </x:c>
      <x:c r="F1576"/>
      <x:c r="G1576"/>
      <x:c r="H1576" t="str">
        <x:v>kein_match</x:v>
      </x:c>
      <x:c r="I1576" t="str">
        <x:v>Agent-Draft: keine finale Regelentscheidung</x:v>
      </x:c>
      <x:c r="J1576" t="n">
        <x:v>45628</x:v>
      </x:c>
      <x:c r="K1576"/>
      <x:c r="L1576"/>
      <x:c r="M1576" t="n">
        <x:v>-36.99</x:v>
      </x:c>
      <x:c r="N1576" t="str">
        <x:v>2024-12</x:v>
      </x:c>
      <x:c r="O1576" t="str">
        <x:v>Ausgabe</x:v>
      </x:c>
      <x:c r="P1576" t="str">
        <x:v>Ist</x:v>
      </x:c>
      <x:c r="Q1576" s="59" t="b">
        <x:v>0</x:v>
      </x:c>
      <x:c r="R1576" t="str">
        <x:v>kein_transfer</x:v>
      </x:c>
      <x:c r="S1576"/>
      <x:c r="T1576"/>
      <x:c r="U1576"/>
      <x:c r="V1576" s="59" t="b">
        <x:v>1</x:v>
      </x:c>
      <x:c r="W1576"/>
      <x:c r="X1576" t="str">
        <x:v>offen</x:v>
      </x:c>
      <x:c r="Y1576" t="str">
        <x:v>Agent-Draft; Kategorie und Person pruefen</x:v>
      </x:c>
    </x:row>
    <x:row r="1577">
      <x:c r="A1577" t="str">
        <x:v>TXN-RAW-IMP-20260516-FULLDRAFT-001561</x:v>
      </x:c>
      <x:c r="B1577" t="str">
        <x:v>RAW-IMP-20260516-FULLDRAFT-001561</x:v>
      </x:c>
      <x:c r="C1577" t="str">
        <x:v>KTO001</x:v>
      </x:c>
      <x:c r="D1577"/>
      <x:c r="E1577" t="str">
        <x:v>KAT013</x:v>
      </x:c>
      <x:c r="F1577"/>
      <x:c r="G1577"/>
      <x:c r="H1577" t="str">
        <x:v>kein_match</x:v>
      </x:c>
      <x:c r="I1577" t="str">
        <x:v>Agent-Draft: keine finale Regelentscheidung</x:v>
      </x:c>
      <x:c r="J1577" t="n">
        <x:v>45628</x:v>
      </x:c>
      <x:c r="K1577"/>
      <x:c r="L1577"/>
      <x:c r="M1577" t="n">
        <x:v>-10.66</x:v>
      </x:c>
      <x:c r="N1577" t="str">
        <x:v>2024-12</x:v>
      </x:c>
      <x:c r="O1577" t="str">
        <x:v>Ausgabe</x:v>
      </x:c>
      <x:c r="P1577" t="str">
        <x:v>Ist</x:v>
      </x:c>
      <x:c r="Q1577" s="59" t="b">
        <x:v>0</x:v>
      </x:c>
      <x:c r="R1577" t="str">
        <x:v>kein_transfer</x:v>
      </x:c>
      <x:c r="S1577"/>
      <x:c r="T1577"/>
      <x:c r="U1577"/>
      <x:c r="V1577" s="59" t="b">
        <x:v>1</x:v>
      </x:c>
      <x:c r="W1577"/>
      <x:c r="X1577" t="str">
        <x:v>offen</x:v>
      </x:c>
      <x:c r="Y1577" t="str">
        <x:v>Agent-Draft; Kategorie und Person pruefen</x:v>
      </x:c>
    </x:row>
    <x:row r="1578">
      <x:c r="A1578" t="str">
        <x:v>TXN-RAW-IMP-20260516-FULLDRAFT-001562</x:v>
      </x:c>
      <x:c r="B1578" t="str">
        <x:v>RAW-IMP-20260516-FULLDRAFT-001562</x:v>
      </x:c>
      <x:c r="C1578" t="str">
        <x:v>KTO001</x:v>
      </x:c>
      <x:c r="D1578"/>
      <x:c r="E1578" t="str">
        <x:v>KAT013</x:v>
      </x:c>
      <x:c r="F1578"/>
      <x:c r="G1578"/>
      <x:c r="H1578" t="str">
        <x:v>kein_match</x:v>
      </x:c>
      <x:c r="I1578" t="str">
        <x:v>Agent-Draft: keine finale Regelentscheidung</x:v>
      </x:c>
      <x:c r="J1578" t="n">
        <x:v>45628</x:v>
      </x:c>
      <x:c r="K1578"/>
      <x:c r="L1578"/>
      <x:c r="M1578" t="n">
        <x:v>-103.09</x:v>
      </x:c>
      <x:c r="N1578" t="str">
        <x:v>2024-12</x:v>
      </x:c>
      <x:c r="O1578" t="str">
        <x:v>Ausgabe</x:v>
      </x:c>
      <x:c r="P1578" t="str">
        <x:v>Ist</x:v>
      </x:c>
      <x:c r="Q1578" s="59" t="b">
        <x:v>0</x:v>
      </x:c>
      <x:c r="R1578" t="str">
        <x:v>kein_transfer</x:v>
      </x:c>
      <x:c r="S1578"/>
      <x:c r="T1578"/>
      <x:c r="U1578"/>
      <x:c r="V1578" s="59" t="b">
        <x:v>1</x:v>
      </x:c>
      <x:c r="W1578"/>
      <x:c r="X1578" t="str">
        <x:v>offen</x:v>
      </x:c>
      <x:c r="Y1578" t="str">
        <x:v>Agent-Draft; Kategorie und Person pruefen</x:v>
      </x:c>
    </x:row>
    <x:row r="1579">
      <x:c r="A1579" t="str">
        <x:v>TXN-RAW-IMP-20260516-FULLDRAFT-001563</x:v>
      </x:c>
      <x:c r="B1579" t="str">
        <x:v>RAW-IMP-20260516-FULLDRAFT-001563</x:v>
      </x:c>
      <x:c r="C1579" t="str">
        <x:v>KTO001</x:v>
      </x:c>
      <x:c r="D1579"/>
      <x:c r="E1579" t="str">
        <x:v>KAT013</x:v>
      </x:c>
      <x:c r="F1579"/>
      <x:c r="G1579"/>
      <x:c r="H1579" t="str">
        <x:v>kein_match</x:v>
      </x:c>
      <x:c r="I1579" t="str">
        <x:v>Agent-Draft: keine finale Regelentscheidung</x:v>
      </x:c>
      <x:c r="J1579" t="n">
        <x:v>45628</x:v>
      </x:c>
      <x:c r="K1579"/>
      <x:c r="L1579"/>
      <x:c r="M1579" t="n">
        <x:v>-77.99</x:v>
      </x:c>
      <x:c r="N1579" t="str">
        <x:v>2024-12</x:v>
      </x:c>
      <x:c r="O1579" t="str">
        <x:v>Ausgabe</x:v>
      </x:c>
      <x:c r="P1579" t="str">
        <x:v>Ist</x:v>
      </x:c>
      <x:c r="Q1579" s="59" t="b">
        <x:v>0</x:v>
      </x:c>
      <x:c r="R1579" t="str">
        <x:v>kein_transfer</x:v>
      </x:c>
      <x:c r="S1579"/>
      <x:c r="T1579"/>
      <x:c r="U1579"/>
      <x:c r="V1579" s="59" t="b">
        <x:v>1</x:v>
      </x:c>
      <x:c r="W1579"/>
      <x:c r="X1579" t="str">
        <x:v>offen</x:v>
      </x:c>
      <x:c r="Y1579" t="str">
        <x:v>Agent-Draft; Kategorie und Person pruefen</x:v>
      </x:c>
    </x:row>
    <x:row r="1580">
      <x:c r="A1580" t="str">
        <x:v>TXN-RAW-IMP-20260516-FULLDRAFT-001564</x:v>
      </x:c>
      <x:c r="B1580" t="str">
        <x:v>RAW-IMP-20260516-FULLDRAFT-001564</x:v>
      </x:c>
      <x:c r="C1580" t="str">
        <x:v>KTO001</x:v>
      </x:c>
      <x:c r="D1580"/>
      <x:c r="E1580" t="str">
        <x:v>KAT013</x:v>
      </x:c>
      <x:c r="F1580"/>
      <x:c r="G1580"/>
      <x:c r="H1580" t="str">
        <x:v>kein_match</x:v>
      </x:c>
      <x:c r="I1580" t="str">
        <x:v>Agent-Draft: keine finale Regelentscheidung</x:v>
      </x:c>
      <x:c r="J1580" t="n">
        <x:v>45628</x:v>
      </x:c>
      <x:c r="K1580"/>
      <x:c r="L1580"/>
      <x:c r="M1580" t="n">
        <x:v>-14.3</x:v>
      </x:c>
      <x:c r="N1580" t="str">
        <x:v>2024-12</x:v>
      </x:c>
      <x:c r="O1580" t="str">
        <x:v>Ausgabe</x:v>
      </x:c>
      <x:c r="P1580" t="str">
        <x:v>Ist</x:v>
      </x:c>
      <x:c r="Q1580" s="59" t="b">
        <x:v>0</x:v>
      </x:c>
      <x:c r="R1580" t="str">
        <x:v>kein_transfer</x:v>
      </x:c>
      <x:c r="S1580"/>
      <x:c r="T1580"/>
      <x:c r="U1580"/>
      <x:c r="V1580" s="59" t="b">
        <x:v>1</x:v>
      </x:c>
      <x:c r="W1580"/>
      <x:c r="X1580" t="str">
        <x:v>offen</x:v>
      </x:c>
      <x:c r="Y1580" t="str">
        <x:v>Agent-Draft; Kategorie und Person pruefen</x:v>
      </x:c>
    </x:row>
    <x:row r="1581">
      <x:c r="A1581" t="str">
        <x:v>TXN-RAW-IMP-20260516-FULLDRAFT-001565</x:v>
      </x:c>
      <x:c r="B1581" t="str">
        <x:v>RAW-IMP-20260516-FULLDRAFT-001565</x:v>
      </x:c>
      <x:c r="C1581" t="str">
        <x:v>KTO001</x:v>
      </x:c>
      <x:c r="D1581"/>
      <x:c r="E1581" t="str">
        <x:v>KAT013</x:v>
      </x:c>
      <x:c r="F1581"/>
      <x:c r="G1581"/>
      <x:c r="H1581" t="str">
        <x:v>kein_match</x:v>
      </x:c>
      <x:c r="I1581" t="str">
        <x:v>Agent-Draft: keine finale Regelentscheidung</x:v>
      </x:c>
      <x:c r="J1581" t="n">
        <x:v>45628</x:v>
      </x:c>
      <x:c r="K1581"/>
      <x:c r="L1581"/>
      <x:c r="M1581" t="n">
        <x:v>750</x:v>
      </x:c>
      <x:c r="N1581" t="str">
        <x:v>2024-12</x:v>
      </x:c>
      <x:c r="O1581" t="str">
        <x:v>Einnahme</x:v>
      </x:c>
      <x:c r="P1581" t="str">
        <x:v>Ist</x:v>
      </x:c>
      <x:c r="Q1581" s="59" t="b">
        <x:v>0</x:v>
      </x:c>
      <x:c r="R1581" t="str">
        <x:v>kein_transfer</x:v>
      </x:c>
      <x:c r="S1581"/>
      <x:c r="T1581"/>
      <x:c r="U1581"/>
      <x:c r="V1581" s="59" t="b">
        <x:v>1</x:v>
      </x:c>
      <x:c r="W1581"/>
      <x:c r="X1581" t="str">
        <x:v>offen</x:v>
      </x:c>
      <x:c r="Y1581" t="str">
        <x:v>Agent-Draft; Kategorie und Person pruefen</x:v>
      </x:c>
    </x:row>
    <x:row r="1582">
      <x:c r="A1582" t="str">
        <x:v>TXN-RAW-IMP-20260516-FULLDRAFT-001566</x:v>
      </x:c>
      <x:c r="B1582" t="str">
        <x:v>RAW-IMP-20260516-FULLDRAFT-001566</x:v>
      </x:c>
      <x:c r="C1582" t="str">
        <x:v>KTO001</x:v>
      </x:c>
      <x:c r="D1582"/>
      <x:c r="E1582" t="str">
        <x:v>KAT013</x:v>
      </x:c>
      <x:c r="F1582"/>
      <x:c r="G1582"/>
      <x:c r="H1582" t="str">
        <x:v>kein_match</x:v>
      </x:c>
      <x:c r="I1582" t="str">
        <x:v>Agent-Draft: keine finale Regelentscheidung</x:v>
      </x:c>
      <x:c r="J1582" t="n">
        <x:v>45628</x:v>
      </x:c>
      <x:c r="K1582"/>
      <x:c r="L1582"/>
      <x:c r="M1582" t="n">
        <x:v>-22.99</x:v>
      </x:c>
      <x:c r="N1582" t="str">
        <x:v>2024-12</x:v>
      </x:c>
      <x:c r="O1582" t="str">
        <x:v>Ausgabe</x:v>
      </x:c>
      <x:c r="P1582" t="str">
        <x:v>Ist</x:v>
      </x:c>
      <x:c r="Q1582" s="59" t="b">
        <x:v>0</x:v>
      </x:c>
      <x:c r="R1582" t="str">
        <x:v>kein_transfer</x:v>
      </x:c>
      <x:c r="S1582"/>
      <x:c r="T1582"/>
      <x:c r="U1582"/>
      <x:c r="V1582" s="59" t="b">
        <x:v>1</x:v>
      </x:c>
      <x:c r="W1582"/>
      <x:c r="X1582" t="str">
        <x:v>offen</x:v>
      </x:c>
      <x:c r="Y1582" t="str">
        <x:v>Agent-Draft; Kategorie und Person pruefen</x:v>
      </x:c>
    </x:row>
    <x:row r="1583">
      <x:c r="A1583" t="str">
        <x:v>TXN-RAW-IMP-20260516-FULLDRAFT-001567</x:v>
      </x:c>
      <x:c r="B1583" t="str">
        <x:v>RAW-IMP-20260516-FULLDRAFT-001567</x:v>
      </x:c>
      <x:c r="C1583" t="str">
        <x:v>KTO001</x:v>
      </x:c>
      <x:c r="D1583"/>
      <x:c r="E1583" t="str">
        <x:v>KAT013</x:v>
      </x:c>
      <x:c r="F1583"/>
      <x:c r="G1583"/>
      <x:c r="H1583" t="str">
        <x:v>kein_match</x:v>
      </x:c>
      <x:c r="I1583" t="str">
        <x:v>Agent-Draft: keine finale Regelentscheidung</x:v>
      </x:c>
      <x:c r="J1583" t="n">
        <x:v>45628</x:v>
      </x:c>
      <x:c r="K1583"/>
      <x:c r="L1583"/>
      <x:c r="M1583" t="n">
        <x:v>-95</x:v>
      </x:c>
      <x:c r="N1583" t="str">
        <x:v>2024-12</x:v>
      </x:c>
      <x:c r="O1583" t="str">
        <x:v>Ausgabe</x:v>
      </x:c>
      <x:c r="P1583" t="str">
        <x:v>Ist</x:v>
      </x:c>
      <x:c r="Q1583" s="59" t="b">
        <x:v>0</x:v>
      </x:c>
      <x:c r="R1583" t="str">
        <x:v>kein_transfer</x:v>
      </x:c>
      <x:c r="S1583"/>
      <x:c r="T1583"/>
      <x:c r="U1583"/>
      <x:c r="V1583" s="59" t="b">
        <x:v>1</x:v>
      </x:c>
      <x:c r="W1583"/>
      <x:c r="X1583" t="str">
        <x:v>offen</x:v>
      </x:c>
      <x:c r="Y1583" t="str">
        <x:v>Agent-Draft; Kategorie und Person pruefen</x:v>
      </x:c>
    </x:row>
    <x:row r="1584">
      <x:c r="A1584" t="str">
        <x:v>TXN-RAW-IMP-20260516-FULLDRAFT-001568</x:v>
      </x:c>
      <x:c r="B1584" t="str">
        <x:v>RAW-IMP-20260516-FULLDRAFT-001568</x:v>
      </x:c>
      <x:c r="C1584" t="str">
        <x:v>KTO001</x:v>
      </x:c>
      <x:c r="D1584"/>
      <x:c r="E1584" t="str">
        <x:v>KAT013</x:v>
      </x:c>
      <x:c r="F1584"/>
      <x:c r="G1584"/>
      <x:c r="H1584" t="str">
        <x:v>kein_match</x:v>
      </x:c>
      <x:c r="I1584" t="str">
        <x:v>Agent-Draft: keine finale Regelentscheidung</x:v>
      </x:c>
      <x:c r="J1584" t="n">
        <x:v>45628</x:v>
      </x:c>
      <x:c r="K1584"/>
      <x:c r="L1584"/>
      <x:c r="M1584" t="n">
        <x:v>-5.8</x:v>
      </x:c>
      <x:c r="N1584" t="str">
        <x:v>2024-12</x:v>
      </x:c>
      <x:c r="O1584" t="str">
        <x:v>Ausgabe</x:v>
      </x:c>
      <x:c r="P1584" t="str">
        <x:v>Ist</x:v>
      </x:c>
      <x:c r="Q1584" s="59" t="b">
        <x:v>0</x:v>
      </x:c>
      <x:c r="R1584" t="str">
        <x:v>kein_transfer</x:v>
      </x:c>
      <x:c r="S1584"/>
      <x:c r="T1584"/>
      <x:c r="U1584"/>
      <x:c r="V1584" s="59" t="b">
        <x:v>1</x:v>
      </x:c>
      <x:c r="W1584"/>
      <x:c r="X1584" t="str">
        <x:v>offen</x:v>
      </x:c>
      <x:c r="Y1584" t="str">
        <x:v>Agent-Draft; Kategorie und Person pruefen</x:v>
      </x:c>
    </x:row>
    <x:row r="1585">
      <x:c r="A1585" t="str">
        <x:v>TXN-RAW-IMP-20260516-FULLDRAFT-001569</x:v>
      </x:c>
      <x:c r="B1585" t="str">
        <x:v>RAW-IMP-20260516-FULLDRAFT-001569</x:v>
      </x:c>
      <x:c r="C1585" t="str">
        <x:v>KTO001</x:v>
      </x:c>
      <x:c r="D1585"/>
      <x:c r="E1585" t="str">
        <x:v>KAT013</x:v>
      </x:c>
      <x:c r="F1585"/>
      <x:c r="G1585"/>
      <x:c r="H1585" t="str">
        <x:v>kein_match</x:v>
      </x:c>
      <x:c r="I1585" t="str">
        <x:v>Agent-Draft: keine finale Regelentscheidung</x:v>
      </x:c>
      <x:c r="J1585" t="n">
        <x:v>45628</x:v>
      </x:c>
      <x:c r="K1585"/>
      <x:c r="L1585"/>
      <x:c r="M1585" t="n">
        <x:v>-58.42</x:v>
      </x:c>
      <x:c r="N1585" t="str">
        <x:v>2024-12</x:v>
      </x:c>
      <x:c r="O1585" t="str">
        <x:v>Ausgabe</x:v>
      </x:c>
      <x:c r="P1585" t="str">
        <x:v>Ist</x:v>
      </x:c>
      <x:c r="Q1585" s="59" t="b">
        <x:v>0</x:v>
      </x:c>
      <x:c r="R1585" t="str">
        <x:v>kein_transfer</x:v>
      </x:c>
      <x:c r="S1585"/>
      <x:c r="T1585"/>
      <x:c r="U1585"/>
      <x:c r="V1585" s="59" t="b">
        <x:v>1</x:v>
      </x:c>
      <x:c r="W1585"/>
      <x:c r="X1585" t="str">
        <x:v>offen</x:v>
      </x:c>
      <x:c r="Y1585" t="str">
        <x:v>Agent-Draft; Kategorie und Person pruefen</x:v>
      </x:c>
    </x:row>
    <x:row r="1586">
      <x:c r="A1586" t="str">
        <x:v>TXN-RAW-IMP-20260516-FULLDRAFT-001570</x:v>
      </x:c>
      <x:c r="B1586" t="str">
        <x:v>RAW-IMP-20260516-FULLDRAFT-001570</x:v>
      </x:c>
      <x:c r="C1586" t="str">
        <x:v>KTO001</x:v>
      </x:c>
      <x:c r="D1586"/>
      <x:c r="E1586" t="str">
        <x:v>KAT013</x:v>
      </x:c>
      <x:c r="F1586"/>
      <x:c r="G1586"/>
      <x:c r="H1586" t="str">
        <x:v>kein_match</x:v>
      </x:c>
      <x:c r="I1586" t="str">
        <x:v>Agent-Draft: keine finale Regelentscheidung</x:v>
      </x:c>
      <x:c r="J1586" t="n">
        <x:v>45628</x:v>
      </x:c>
      <x:c r="K1586"/>
      <x:c r="L1586"/>
      <x:c r="M1586" t="n">
        <x:v>-104.94</x:v>
      </x:c>
      <x:c r="N1586" t="str">
        <x:v>2024-12</x:v>
      </x:c>
      <x:c r="O1586" t="str">
        <x:v>Ausgabe</x:v>
      </x:c>
      <x:c r="P1586" t="str">
        <x:v>Ist</x:v>
      </x:c>
      <x:c r="Q1586" s="59" t="b">
        <x:v>0</x:v>
      </x:c>
      <x:c r="R1586" t="str">
        <x:v>kein_transfer</x:v>
      </x:c>
      <x:c r="S1586"/>
      <x:c r="T1586"/>
      <x:c r="U1586"/>
      <x:c r="V1586" s="59" t="b">
        <x:v>1</x:v>
      </x:c>
      <x:c r="W1586"/>
      <x:c r="X1586" t="str">
        <x:v>offen</x:v>
      </x:c>
      <x:c r="Y1586" t="str">
        <x:v>Agent-Draft; Kategorie und Person pruefen</x:v>
      </x:c>
    </x:row>
    <x:row r="1587">
      <x:c r="A1587" t="str">
        <x:v>TXN-RAW-IMP-20260516-FULLDRAFT-001571</x:v>
      </x:c>
      <x:c r="B1587" t="str">
        <x:v>RAW-IMP-20260516-FULLDRAFT-001571</x:v>
      </x:c>
      <x:c r="C1587" t="str">
        <x:v>KTO001</x:v>
      </x:c>
      <x:c r="D1587"/>
      <x:c r="E1587" t="str">
        <x:v>KAT013</x:v>
      </x:c>
      <x:c r="F1587"/>
      <x:c r="G1587"/>
      <x:c r="H1587" t="str">
        <x:v>kein_match</x:v>
      </x:c>
      <x:c r="I1587" t="str">
        <x:v>Agent-Draft: keine finale Regelentscheidung</x:v>
      </x:c>
      <x:c r="J1587" t="n">
        <x:v>45628</x:v>
      </x:c>
      <x:c r="K1587"/>
      <x:c r="L1587"/>
      <x:c r="M1587" t="n">
        <x:v>-107.84</x:v>
      </x:c>
      <x:c r="N1587" t="str">
        <x:v>2024-12</x:v>
      </x:c>
      <x:c r="O1587" t="str">
        <x:v>Ausgabe</x:v>
      </x:c>
      <x:c r="P1587" t="str">
        <x:v>Ist</x:v>
      </x:c>
      <x:c r="Q1587" s="59" t="b">
        <x:v>0</x:v>
      </x:c>
      <x:c r="R1587" t="str">
        <x:v>kein_transfer</x:v>
      </x:c>
      <x:c r="S1587"/>
      <x:c r="T1587"/>
      <x:c r="U1587"/>
      <x:c r="V1587" s="59" t="b">
        <x:v>1</x:v>
      </x:c>
      <x:c r="W1587"/>
      <x:c r="X1587" t="str">
        <x:v>offen</x:v>
      </x:c>
      <x:c r="Y1587" t="str">
        <x:v>Agent-Draft; Kategorie und Person pruefen</x:v>
      </x:c>
    </x:row>
    <x:row r="1588">
      <x:c r="A1588" t="str">
        <x:v>TXN-RAW-IMP-20260516-FULLDRAFT-001572</x:v>
      </x:c>
      <x:c r="B1588" t="str">
        <x:v>RAW-IMP-20260516-FULLDRAFT-001572</x:v>
      </x:c>
      <x:c r="C1588" t="str">
        <x:v>KTO001</x:v>
      </x:c>
      <x:c r="D1588"/>
      <x:c r="E1588" t="str">
        <x:v>KAT013</x:v>
      </x:c>
      <x:c r="F1588"/>
      <x:c r="G1588"/>
      <x:c r="H1588" t="str">
        <x:v>kein_match</x:v>
      </x:c>
      <x:c r="I1588" t="str">
        <x:v>Agent-Draft: keine finale Regelentscheidung</x:v>
      </x:c>
      <x:c r="J1588" t="n">
        <x:v>45628</x:v>
      </x:c>
      <x:c r="K1588"/>
      <x:c r="L1588"/>
      <x:c r="M1588" t="n">
        <x:v>-16.72</x:v>
      </x:c>
      <x:c r="N1588" t="str">
        <x:v>2024-12</x:v>
      </x:c>
      <x:c r="O1588" t="str">
        <x:v>Ausgabe</x:v>
      </x:c>
      <x:c r="P1588" t="str">
        <x:v>Ist</x:v>
      </x:c>
      <x:c r="Q1588" s="59" t="b">
        <x:v>0</x:v>
      </x:c>
      <x:c r="R1588" t="str">
        <x:v>kein_transfer</x:v>
      </x:c>
      <x:c r="S1588"/>
      <x:c r="T1588"/>
      <x:c r="U1588"/>
      <x:c r="V1588" s="59" t="b">
        <x:v>1</x:v>
      </x:c>
      <x:c r="W1588"/>
      <x:c r="X1588" t="str">
        <x:v>offen</x:v>
      </x:c>
      <x:c r="Y1588" t="str">
        <x:v>Agent-Draft; Kategorie und Person pruefen</x:v>
      </x:c>
    </x:row>
    <x:row r="1589">
      <x:c r="A1589" t="str">
        <x:v>TXN-RAW-IMP-20260516-FULLDRAFT-001573</x:v>
      </x:c>
      <x:c r="B1589" t="str">
        <x:v>RAW-IMP-20260516-FULLDRAFT-001573</x:v>
      </x:c>
      <x:c r="C1589" t="str">
        <x:v>KTO001</x:v>
      </x:c>
      <x:c r="D1589"/>
      <x:c r="E1589" t="str">
        <x:v>KAT013</x:v>
      </x:c>
      <x:c r="F1589"/>
      <x:c r="G1589"/>
      <x:c r="H1589" t="str">
        <x:v>kein_match</x:v>
      </x:c>
      <x:c r="I1589" t="str">
        <x:v>Agent-Draft: keine finale Regelentscheidung</x:v>
      </x:c>
      <x:c r="J1589" t="n">
        <x:v>45628</x:v>
      </x:c>
      <x:c r="K1589"/>
      <x:c r="L1589"/>
      <x:c r="M1589" t="n">
        <x:v>-1.75</x:v>
      </x:c>
      <x:c r="N1589" t="str">
        <x:v>2024-12</x:v>
      </x:c>
      <x:c r="O1589" t="str">
        <x:v>Ausgabe</x:v>
      </x:c>
      <x:c r="P1589" t="str">
        <x:v>Ist</x:v>
      </x:c>
      <x:c r="Q1589" s="59" t="b">
        <x:v>0</x:v>
      </x:c>
      <x:c r="R1589" t="str">
        <x:v>kein_transfer</x:v>
      </x:c>
      <x:c r="S1589"/>
      <x:c r="T1589"/>
      <x:c r="U1589"/>
      <x:c r="V1589" s="59" t="b">
        <x:v>1</x:v>
      </x:c>
      <x:c r="W1589"/>
      <x:c r="X1589" t="str">
        <x:v>offen</x:v>
      </x:c>
      <x:c r="Y1589" t="str">
        <x:v>Agent-Draft; Kategorie und Person pruefen</x:v>
      </x:c>
    </x:row>
    <x:row r="1590">
      <x:c r="A1590" t="str">
        <x:v>TXN-RAW-IMP-20260516-FULLDRAFT-001574</x:v>
      </x:c>
      <x:c r="B1590" t="str">
        <x:v>RAW-IMP-20260516-FULLDRAFT-001574</x:v>
      </x:c>
      <x:c r="C1590" t="str">
        <x:v>KTO001</x:v>
      </x:c>
      <x:c r="D1590"/>
      <x:c r="E1590" t="str">
        <x:v>KAT013</x:v>
      </x:c>
      <x:c r="F1590"/>
      <x:c r="G1590"/>
      <x:c r="H1590" t="str">
        <x:v>kein_match</x:v>
      </x:c>
      <x:c r="I1590" t="str">
        <x:v>Agent-Draft: keine finale Regelentscheidung</x:v>
      </x:c>
      <x:c r="J1590" t="n">
        <x:v>45628</x:v>
      </x:c>
      <x:c r="K1590"/>
      <x:c r="L1590"/>
      <x:c r="M1590" t="n">
        <x:v>-600</x:v>
      </x:c>
      <x:c r="N1590" t="str">
        <x:v>2024-12</x:v>
      </x:c>
      <x:c r="O1590" t="str">
        <x:v>Ausgabe</x:v>
      </x:c>
      <x:c r="P1590" t="str">
        <x:v>Ist</x:v>
      </x:c>
      <x:c r="Q1590" s="59" t="b">
        <x:v>0</x:v>
      </x:c>
      <x:c r="R1590" t="str">
        <x:v>kein_transfer</x:v>
      </x:c>
      <x:c r="S1590"/>
      <x:c r="T1590"/>
      <x:c r="U1590"/>
      <x:c r="V1590" s="59" t="b">
        <x:v>1</x:v>
      </x:c>
      <x:c r="W1590"/>
      <x:c r="X1590" t="str">
        <x:v>offen</x:v>
      </x:c>
      <x:c r="Y1590" t="str">
        <x:v>Agent-Draft; Kategorie und Person pruefen</x:v>
      </x:c>
    </x:row>
    <x:row r="1591">
      <x:c r="A1591" t="str">
        <x:v>TXN-RAW-IMP-20260516-FULLDRAFT-001575</x:v>
      </x:c>
      <x:c r="B1591" t="str">
        <x:v>RAW-IMP-20260516-FULLDRAFT-001575</x:v>
      </x:c>
      <x:c r="C1591" t="str">
        <x:v>KTO001</x:v>
      </x:c>
      <x:c r="D1591"/>
      <x:c r="E1591" t="str">
        <x:v>KAT013</x:v>
      </x:c>
      <x:c r="F1591"/>
      <x:c r="G1591"/>
      <x:c r="H1591" t="str">
        <x:v>kein_match</x:v>
      </x:c>
      <x:c r="I1591" t="str">
        <x:v>Agent-Draft: keine finale Regelentscheidung</x:v>
      </x:c>
      <x:c r="J1591" t="n">
        <x:v>45628</x:v>
      </x:c>
      <x:c r="K1591"/>
      <x:c r="L1591"/>
      <x:c r="M1591" t="n">
        <x:v>-97.12</x:v>
      </x:c>
      <x:c r="N1591" t="str">
        <x:v>2024-12</x:v>
      </x:c>
      <x:c r="O1591" t="str">
        <x:v>Ausgabe</x:v>
      </x:c>
      <x:c r="P1591" t="str">
        <x:v>Ist</x:v>
      </x:c>
      <x:c r="Q1591" s="59" t="b">
        <x:v>0</x:v>
      </x:c>
      <x:c r="R1591" t="str">
        <x:v>kein_transfer</x:v>
      </x:c>
      <x:c r="S1591"/>
      <x:c r="T1591"/>
      <x:c r="U1591"/>
      <x:c r="V1591" s="59" t="b">
        <x:v>1</x:v>
      </x:c>
      <x:c r="W1591"/>
      <x:c r="X1591" t="str">
        <x:v>offen</x:v>
      </x:c>
      <x:c r="Y1591" t="str">
        <x:v>Agent-Draft; Kategorie und Person pruefen</x:v>
      </x:c>
    </x:row>
    <x:row r="1592">
      <x:c r="A1592" t="str">
        <x:v>TXN-RAW-IMP-20260516-FULLDRAFT-001576</x:v>
      </x:c>
      <x:c r="B1592" t="str">
        <x:v>RAW-IMP-20260516-FULLDRAFT-001576</x:v>
      </x:c>
      <x:c r="C1592" t="str">
        <x:v>KTO001</x:v>
      </x:c>
      <x:c r="D1592"/>
      <x:c r="E1592" t="str">
        <x:v>KAT013</x:v>
      </x:c>
      <x:c r="F1592"/>
      <x:c r="G1592"/>
      <x:c r="H1592" t="str">
        <x:v>kein_match</x:v>
      </x:c>
      <x:c r="I1592" t="str">
        <x:v>Agent-Draft: keine finale Regelentscheidung</x:v>
      </x:c>
      <x:c r="J1592" t="n">
        <x:v>45628</x:v>
      </x:c>
      <x:c r="K1592"/>
      <x:c r="L1592"/>
      <x:c r="M1592" t="n">
        <x:v>-8.99</x:v>
      </x:c>
      <x:c r="N1592" t="str">
        <x:v>2024-12</x:v>
      </x:c>
      <x:c r="O1592" t="str">
        <x:v>Ausgabe</x:v>
      </x:c>
      <x:c r="P1592" t="str">
        <x:v>Ist</x:v>
      </x:c>
      <x:c r="Q1592" s="59" t="b">
        <x:v>0</x:v>
      </x:c>
      <x:c r="R1592" t="str">
        <x:v>kein_transfer</x:v>
      </x:c>
      <x:c r="S1592"/>
      <x:c r="T1592"/>
      <x:c r="U1592"/>
      <x:c r="V1592" s="59" t="b">
        <x:v>1</x:v>
      </x:c>
      <x:c r="W1592"/>
      <x:c r="X1592" t="str">
        <x:v>offen</x:v>
      </x:c>
      <x:c r="Y1592" t="str">
        <x:v>Agent-Draft; Kategorie und Person pruefen</x:v>
      </x:c>
    </x:row>
    <x:row r="1593">
      <x:c r="A1593" t="str">
        <x:v>TXN-RAW-IMP-20260516-FULLDRAFT-001577</x:v>
      </x:c>
      <x:c r="B1593" t="str">
        <x:v>RAW-IMP-20260516-FULLDRAFT-001577</x:v>
      </x:c>
      <x:c r="C1593" t="str">
        <x:v>KTO001</x:v>
      </x:c>
      <x:c r="D1593"/>
      <x:c r="E1593" t="str">
        <x:v>KAT013</x:v>
      </x:c>
      <x:c r="F1593"/>
      <x:c r="G1593"/>
      <x:c r="H1593" t="str">
        <x:v>kein_match</x:v>
      </x:c>
      <x:c r="I1593" t="str">
        <x:v>Agent-Draft: keine finale Regelentscheidung</x:v>
      </x:c>
      <x:c r="J1593" t="n">
        <x:v>45628</x:v>
      </x:c>
      <x:c r="K1593"/>
      <x:c r="L1593"/>
      <x:c r="M1593" t="n">
        <x:v>-452.71</x:v>
      </x:c>
      <x:c r="N1593" t="str">
        <x:v>2024-12</x:v>
      </x:c>
      <x:c r="O1593" t="str">
        <x:v>Ausgabe</x:v>
      </x:c>
      <x:c r="P1593" t="str">
        <x:v>Ist</x:v>
      </x:c>
      <x:c r="Q1593" s="59" t="b">
        <x:v>0</x:v>
      </x:c>
      <x:c r="R1593" t="str">
        <x:v>kein_transfer</x:v>
      </x:c>
      <x:c r="S1593"/>
      <x:c r="T1593"/>
      <x:c r="U1593"/>
      <x:c r="V1593" s="59" t="b">
        <x:v>1</x:v>
      </x:c>
      <x:c r="W1593"/>
      <x:c r="X1593" t="str">
        <x:v>offen</x:v>
      </x:c>
      <x:c r="Y1593" t="str">
        <x:v>Agent-Draft; Kategorie und Person pruefen</x:v>
      </x:c>
    </x:row>
    <x:row r="1594">
      <x:c r="A1594" t="str">
        <x:v>TXN-RAW-IMP-20260516-FULLDRAFT-001578</x:v>
      </x:c>
      <x:c r="B1594" t="str">
        <x:v>RAW-IMP-20260516-FULLDRAFT-001578</x:v>
      </x:c>
      <x:c r="C1594" t="str">
        <x:v>KTO001</x:v>
      </x:c>
      <x:c r="D1594"/>
      <x:c r="E1594" t="str">
        <x:v>KAT013</x:v>
      </x:c>
      <x:c r="F1594"/>
      <x:c r="G1594"/>
      <x:c r="H1594" t="str">
        <x:v>kein_match</x:v>
      </x:c>
      <x:c r="I1594" t="str">
        <x:v>Agent-Draft: keine finale Regelentscheidung</x:v>
      </x:c>
      <x:c r="J1594" t="n">
        <x:v>45628</x:v>
      </x:c>
      <x:c r="K1594"/>
      <x:c r="L1594"/>
      <x:c r="M1594" t="n">
        <x:v>-162.17</x:v>
      </x:c>
      <x:c r="N1594" t="str">
        <x:v>2024-12</x:v>
      </x:c>
      <x:c r="O1594" t="str">
        <x:v>Ausgabe</x:v>
      </x:c>
      <x:c r="P1594" t="str">
        <x:v>Ist</x:v>
      </x:c>
      <x:c r="Q1594" s="59" t="b">
        <x:v>0</x:v>
      </x:c>
      <x:c r="R1594" t="str">
        <x:v>kein_transfer</x:v>
      </x:c>
      <x:c r="S1594"/>
      <x:c r="T1594"/>
      <x:c r="U1594"/>
      <x:c r="V1594" s="59" t="b">
        <x:v>1</x:v>
      </x:c>
      <x:c r="W1594"/>
      <x:c r="X1594" t="str">
        <x:v>offen</x:v>
      </x:c>
      <x:c r="Y1594" t="str">
        <x:v>Agent-Draft; Kategorie und Person pruefen</x:v>
      </x:c>
    </x:row>
    <x:row r="1595">
      <x:c r="A1595" t="str">
        <x:v>TXN-RAW-IMP-20260516-FULLDRAFT-001579</x:v>
      </x:c>
      <x:c r="B1595" t="str">
        <x:v>RAW-IMP-20260516-FULLDRAFT-001579</x:v>
      </x:c>
      <x:c r="C1595" t="str">
        <x:v>KTO001</x:v>
      </x:c>
      <x:c r="D1595"/>
      <x:c r="E1595" t="str">
        <x:v>KAT013</x:v>
      </x:c>
      <x:c r="F1595"/>
      <x:c r="G1595"/>
      <x:c r="H1595" t="str">
        <x:v>kein_match</x:v>
      </x:c>
      <x:c r="I1595" t="str">
        <x:v>Agent-Draft: keine finale Regelentscheidung</x:v>
      </x:c>
      <x:c r="J1595" t="n">
        <x:v>45628</x:v>
      </x:c>
      <x:c r="K1595"/>
      <x:c r="L1595"/>
      <x:c r="M1595" t="n">
        <x:v>-68.46</x:v>
      </x:c>
      <x:c r="N1595" t="str">
        <x:v>2024-12</x:v>
      </x:c>
      <x:c r="O1595" t="str">
        <x:v>Ausgabe</x:v>
      </x:c>
      <x:c r="P1595" t="str">
        <x:v>Ist</x:v>
      </x:c>
      <x:c r="Q1595" s="59" t="b">
        <x:v>0</x:v>
      </x:c>
      <x:c r="R1595" t="str">
        <x:v>kein_transfer</x:v>
      </x:c>
      <x:c r="S1595"/>
      <x:c r="T1595"/>
      <x:c r="U1595"/>
      <x:c r="V1595" s="59" t="b">
        <x:v>1</x:v>
      </x:c>
      <x:c r="W1595"/>
      <x:c r="X1595" t="str">
        <x:v>offen</x:v>
      </x:c>
      <x:c r="Y1595" t="str">
        <x:v>Agent-Draft; Kategorie und Person pruefen</x:v>
      </x:c>
    </x:row>
    <x:row r="1596">
      <x:c r="A1596" t="str">
        <x:v>TXN-RAW-IMP-20260516-FULLDRAFT-001580</x:v>
      </x:c>
      <x:c r="B1596" t="str">
        <x:v>RAW-IMP-20260516-FULLDRAFT-001580</x:v>
      </x:c>
      <x:c r="C1596" t="str">
        <x:v>KTO001</x:v>
      </x:c>
      <x:c r="D1596"/>
      <x:c r="E1596" t="str">
        <x:v>KAT013</x:v>
      </x:c>
      <x:c r="F1596"/>
      <x:c r="G1596"/>
      <x:c r="H1596" t="str">
        <x:v>kein_match</x:v>
      </x:c>
      <x:c r="I1596" t="str">
        <x:v>Agent-Draft: keine finale Regelentscheidung</x:v>
      </x:c>
      <x:c r="J1596" t="n">
        <x:v>45628</x:v>
      </x:c>
      <x:c r="K1596"/>
      <x:c r="L1596"/>
      <x:c r="M1596" t="n">
        <x:v>-91.24</x:v>
      </x:c>
      <x:c r="N1596" t="str">
        <x:v>2024-12</x:v>
      </x:c>
      <x:c r="O1596" t="str">
        <x:v>Ausgabe</x:v>
      </x:c>
      <x:c r="P1596" t="str">
        <x:v>Ist</x:v>
      </x:c>
      <x:c r="Q1596" s="59" t="b">
        <x:v>0</x:v>
      </x:c>
      <x:c r="R1596" t="str">
        <x:v>kein_transfer</x:v>
      </x:c>
      <x:c r="S1596"/>
      <x:c r="T1596"/>
      <x:c r="U1596"/>
      <x:c r="V1596" s="59" t="b">
        <x:v>1</x:v>
      </x:c>
      <x:c r="W1596"/>
      <x:c r="X1596" t="str">
        <x:v>offen</x:v>
      </x:c>
      <x:c r="Y1596" t="str">
        <x:v>Agent-Draft; Kategorie und Person pruefen</x:v>
      </x:c>
    </x:row>
    <x:row r="1597">
      <x:c r="A1597" t="str">
        <x:v>TXN-RAW-IMP-20260516-FULLDRAFT-001581</x:v>
      </x:c>
      <x:c r="B1597" t="str">
        <x:v>RAW-IMP-20260516-FULLDRAFT-001581</x:v>
      </x:c>
      <x:c r="C1597" t="str">
        <x:v>KTO001</x:v>
      </x:c>
      <x:c r="D1597"/>
      <x:c r="E1597" t="str">
        <x:v>KAT013</x:v>
      </x:c>
      <x:c r="F1597"/>
      <x:c r="G1597"/>
      <x:c r="H1597" t="str">
        <x:v>kein_match</x:v>
      </x:c>
      <x:c r="I1597" t="str">
        <x:v>Agent-Draft: keine finale Regelentscheidung</x:v>
      </x:c>
      <x:c r="J1597" t="n">
        <x:v>45628</x:v>
      </x:c>
      <x:c r="K1597"/>
      <x:c r="L1597"/>
      <x:c r="M1597" t="n">
        <x:v>-422</x:v>
      </x:c>
      <x:c r="N1597" t="str">
        <x:v>2024-12</x:v>
      </x:c>
      <x:c r="O1597" t="str">
        <x:v>Ausgabe</x:v>
      </x:c>
      <x:c r="P1597" t="str">
        <x:v>Ist</x:v>
      </x:c>
      <x:c r="Q1597" s="59" t="b">
        <x:v>0</x:v>
      </x:c>
      <x:c r="R1597" t="str">
        <x:v>kein_transfer</x:v>
      </x:c>
      <x:c r="S1597"/>
      <x:c r="T1597"/>
      <x:c r="U1597"/>
      <x:c r="V1597" s="59" t="b">
        <x:v>1</x:v>
      </x:c>
      <x:c r="W1597"/>
      <x:c r="X1597" t="str">
        <x:v>offen</x:v>
      </x:c>
      <x:c r="Y1597" t="str">
        <x:v>Agent-Draft; Kategorie und Person pruefen</x:v>
      </x:c>
    </x:row>
    <x:row r="1598">
      <x:c r="A1598" t="str">
        <x:v>TXN-RAW-IMP-20260516-FULLDRAFT-001582</x:v>
      </x:c>
      <x:c r="B1598" t="str">
        <x:v>RAW-IMP-20260516-FULLDRAFT-001582</x:v>
      </x:c>
      <x:c r="C1598" t="str">
        <x:v>KTO001</x:v>
      </x:c>
      <x:c r="D1598"/>
      <x:c r="E1598" t="str">
        <x:v>KAT013</x:v>
      </x:c>
      <x:c r="F1598"/>
      <x:c r="G1598"/>
      <x:c r="H1598" t="str">
        <x:v>kein_match</x:v>
      </x:c>
      <x:c r="I1598" t="str">
        <x:v>Agent-Draft: keine finale Regelentscheidung</x:v>
      </x:c>
      <x:c r="J1598" t="n">
        <x:v>45628</x:v>
      </x:c>
      <x:c r="K1598"/>
      <x:c r="L1598"/>
      <x:c r="M1598" t="n">
        <x:v>-1400</x:v>
      </x:c>
      <x:c r="N1598" t="str">
        <x:v>2024-12</x:v>
      </x:c>
      <x:c r="O1598" t="str">
        <x:v>Ausgabe</x:v>
      </x:c>
      <x:c r="P1598" t="str">
        <x:v>Ist</x:v>
      </x:c>
      <x:c r="Q1598" s="59" t="b">
        <x:v>0</x:v>
      </x:c>
      <x:c r="R1598" t="str">
        <x:v>kein_transfer</x:v>
      </x:c>
      <x:c r="S1598"/>
      <x:c r="T1598"/>
      <x:c r="U1598"/>
      <x:c r="V1598" s="59" t="b">
        <x:v>1</x:v>
      </x:c>
      <x:c r="W1598"/>
      <x:c r="X1598" t="str">
        <x:v>offen</x:v>
      </x:c>
      <x:c r="Y1598" t="str">
        <x:v>Agent-Draft; Kategorie und Person pruefen</x:v>
      </x:c>
    </x:row>
    <x:row r="1599">
      <x:c r="A1599" t="str">
        <x:v>TXN-RAW-IMP-20260516-FULLDRAFT-001583</x:v>
      </x:c>
      <x:c r="B1599" t="str">
        <x:v>RAW-IMP-20260516-FULLDRAFT-001583</x:v>
      </x:c>
      <x:c r="C1599" t="str">
        <x:v>KTO001</x:v>
      </x:c>
      <x:c r="D1599"/>
      <x:c r="E1599" t="str">
        <x:v>KAT013</x:v>
      </x:c>
      <x:c r="F1599"/>
      <x:c r="G1599"/>
      <x:c r="H1599" t="str">
        <x:v>kein_match</x:v>
      </x:c>
      <x:c r="I1599" t="str">
        <x:v>Agent-Draft: keine finale Regelentscheidung</x:v>
      </x:c>
      <x:c r="J1599" t="n">
        <x:v>45628</x:v>
      </x:c>
      <x:c r="K1599"/>
      <x:c r="L1599"/>
      <x:c r="M1599" t="n">
        <x:v>-1800</x:v>
      </x:c>
      <x:c r="N1599" t="str">
        <x:v>2024-12</x:v>
      </x:c>
      <x:c r="O1599" t="str">
        <x:v>Ausgabe</x:v>
      </x:c>
      <x:c r="P1599" t="str">
        <x:v>Ist</x:v>
      </x:c>
      <x:c r="Q1599" s="59" t="b">
        <x:v>0</x:v>
      </x:c>
      <x:c r="R1599" t="str">
        <x:v>kein_transfer</x:v>
      </x:c>
      <x:c r="S1599"/>
      <x:c r="T1599"/>
      <x:c r="U1599"/>
      <x:c r="V1599" s="59" t="b">
        <x:v>1</x:v>
      </x:c>
      <x:c r="W1599"/>
      <x:c r="X1599" t="str">
        <x:v>offen</x:v>
      </x:c>
      <x:c r="Y1599" t="str">
        <x:v>Agent-Draft; Kategorie und Person pruefen</x:v>
      </x:c>
    </x:row>
    <x:row r="1600">
      <x:c r="A1600" t="str">
        <x:v>TXN-RAW-IMP-20260516-FULLDRAFT-001584</x:v>
      </x:c>
      <x:c r="B1600" t="str">
        <x:v>RAW-IMP-20260516-FULLDRAFT-001584</x:v>
      </x:c>
      <x:c r="C1600" t="str">
        <x:v>KTO001</x:v>
      </x:c>
      <x:c r="D1600"/>
      <x:c r="E1600" t="str">
        <x:v>KAT013</x:v>
      </x:c>
      <x:c r="F1600"/>
      <x:c r="G1600"/>
      <x:c r="H1600" t="str">
        <x:v>kein_match</x:v>
      </x:c>
      <x:c r="I1600" t="str">
        <x:v>Agent-Draft: keine finale Regelentscheidung</x:v>
      </x:c>
      <x:c r="J1600" t="n">
        <x:v>45628</x:v>
      </x:c>
      <x:c r="K1600"/>
      <x:c r="L1600"/>
      <x:c r="M1600" t="n">
        <x:v>-10</x:v>
      </x:c>
      <x:c r="N1600" t="str">
        <x:v>2024-12</x:v>
      </x:c>
      <x:c r="O1600" t="str">
        <x:v>Ausgabe</x:v>
      </x:c>
      <x:c r="P1600" t="str">
        <x:v>Ist</x:v>
      </x:c>
      <x:c r="Q1600" s="59" t="b">
        <x:v>0</x:v>
      </x:c>
      <x:c r="R1600" t="str">
        <x:v>kein_transfer</x:v>
      </x:c>
      <x:c r="S1600"/>
      <x:c r="T1600"/>
      <x:c r="U1600"/>
      <x:c r="V1600" s="59" t="b">
        <x:v>1</x:v>
      </x:c>
      <x:c r="W1600"/>
      <x:c r="X1600" t="str">
        <x:v>offen</x:v>
      </x:c>
      <x:c r="Y1600" t="str">
        <x:v>Agent-Draft; Kategorie und Person pruefen</x:v>
      </x:c>
    </x:row>
    <x:row r="1601">
      <x:c r="A1601" t="str">
        <x:v>TXN-RAW-IMP-20260516-FULLDRAFT-001585</x:v>
      </x:c>
      <x:c r="B1601" t="str">
        <x:v>RAW-IMP-20260516-FULLDRAFT-001585</x:v>
      </x:c>
      <x:c r="C1601" t="str">
        <x:v>KTO001</x:v>
      </x:c>
      <x:c r="D1601"/>
      <x:c r="E1601" t="str">
        <x:v>KAT013</x:v>
      </x:c>
      <x:c r="F1601"/>
      <x:c r="G1601"/>
      <x:c r="H1601" t="str">
        <x:v>kein_match</x:v>
      </x:c>
      <x:c r="I1601" t="str">
        <x:v>Agent-Draft: keine finale Regelentscheidung</x:v>
      </x:c>
      <x:c r="J1601" t="n">
        <x:v>45628</x:v>
      </x:c>
      <x:c r="K1601"/>
      <x:c r="L1601"/>
      <x:c r="M1601" t="n">
        <x:v>-1153.94</x:v>
      </x:c>
      <x:c r="N1601" t="str">
        <x:v>2024-12</x:v>
      </x:c>
      <x:c r="O1601" t="str">
        <x:v>Ausgabe</x:v>
      </x:c>
      <x:c r="P1601" t="str">
        <x:v>Ist</x:v>
      </x:c>
      <x:c r="Q1601" s="59" t="b">
        <x:v>0</x:v>
      </x:c>
      <x:c r="R1601" t="str">
        <x:v>kein_transfer</x:v>
      </x:c>
      <x:c r="S1601"/>
      <x:c r="T1601"/>
      <x:c r="U1601"/>
      <x:c r="V1601" s="59" t="b">
        <x:v>1</x:v>
      </x:c>
      <x:c r="W1601"/>
      <x:c r="X1601" t="str">
        <x:v>offen</x:v>
      </x:c>
      <x:c r="Y1601" t="str">
        <x:v>Agent-Draft; Kategorie und Person pruefen</x:v>
      </x:c>
    </x:row>
    <x:row r="1602">
      <x:c r="A1602" t="str">
        <x:v>TXN-RAW-IMP-20260516-FULLDRAFT-001586</x:v>
      </x:c>
      <x:c r="B1602" t="str">
        <x:v>RAW-IMP-20260516-FULLDRAFT-001586</x:v>
      </x:c>
      <x:c r="C1602" t="str">
        <x:v>KTO001</x:v>
      </x:c>
      <x:c r="D1602"/>
      <x:c r="E1602" t="str">
        <x:v>KAT013</x:v>
      </x:c>
      <x:c r="F1602"/>
      <x:c r="G1602"/>
      <x:c r="H1602" t="str">
        <x:v>kein_match</x:v>
      </x:c>
      <x:c r="I1602" t="str">
        <x:v>Agent-Draft: keine finale Regelentscheidung</x:v>
      </x:c>
      <x:c r="J1602" t="n">
        <x:v>45625</x:v>
      </x:c>
      <x:c r="K1602"/>
      <x:c r="L1602"/>
      <x:c r="M1602" t="n">
        <x:v>-1.69</x:v>
      </x:c>
      <x:c r="N1602" t="str">
        <x:v>2024-11</x:v>
      </x:c>
      <x:c r="O1602" t="str">
        <x:v>Ausgabe</x:v>
      </x:c>
      <x:c r="P1602" t="str">
        <x:v>Ist</x:v>
      </x:c>
      <x:c r="Q1602" s="59" t="b">
        <x:v>0</x:v>
      </x:c>
      <x:c r="R1602" t="str">
        <x:v>kein_transfer</x:v>
      </x:c>
      <x:c r="S1602"/>
      <x:c r="T1602"/>
      <x:c r="U1602"/>
      <x:c r="V1602" s="59" t="b">
        <x:v>1</x:v>
      </x:c>
      <x:c r="W1602"/>
      <x:c r="X1602" t="str">
        <x:v>offen</x:v>
      </x:c>
      <x:c r="Y1602" t="str">
        <x:v>Agent-Draft; Kategorie und Person pruefen</x:v>
      </x:c>
    </x:row>
    <x:row r="1603">
      <x:c r="A1603" t="str">
        <x:v>TXN-RAW-IMP-20260516-FULLDRAFT-001587</x:v>
      </x:c>
      <x:c r="B1603" t="str">
        <x:v>RAW-IMP-20260516-FULLDRAFT-001587</x:v>
      </x:c>
      <x:c r="C1603" t="str">
        <x:v>KTO001</x:v>
      </x:c>
      <x:c r="D1603"/>
      <x:c r="E1603" t="str">
        <x:v>KAT013</x:v>
      </x:c>
      <x:c r="F1603"/>
      <x:c r="G1603"/>
      <x:c r="H1603" t="str">
        <x:v>kein_match</x:v>
      </x:c>
      <x:c r="I1603" t="str">
        <x:v>Agent-Draft: keine finale Regelentscheidung</x:v>
      </x:c>
      <x:c r="J1603" t="n">
        <x:v>45624</x:v>
      </x:c>
      <x:c r="K1603"/>
      <x:c r="L1603"/>
      <x:c r="M1603" t="n">
        <x:v>7247.5</x:v>
      </x:c>
      <x:c r="N1603" t="str">
        <x:v>2024-11</x:v>
      </x:c>
      <x:c r="O1603" t="str">
        <x:v>Einnahme</x:v>
      </x:c>
      <x:c r="P1603" t="str">
        <x:v>Ist</x:v>
      </x:c>
      <x:c r="Q1603" s="59" t="b">
        <x:v>0</x:v>
      </x:c>
      <x:c r="R1603" t="str">
        <x:v>kein_transfer</x:v>
      </x:c>
      <x:c r="S1603"/>
      <x:c r="T1603"/>
      <x:c r="U1603"/>
      <x:c r="V1603" s="59" t="b">
        <x:v>1</x:v>
      </x:c>
      <x:c r="W1603"/>
      <x:c r="X1603" t="str">
        <x:v>offen</x:v>
      </x:c>
      <x:c r="Y1603" t="str">
        <x:v>Agent-Draft; Kategorie und Person pruefen</x:v>
      </x:c>
    </x:row>
    <x:row r="1604">
      <x:c r="A1604" t="str">
        <x:v>TXN-RAW-IMP-20260516-FULLDRAFT-001588</x:v>
      </x:c>
      <x:c r="B1604" t="str">
        <x:v>RAW-IMP-20260516-FULLDRAFT-001588</x:v>
      </x:c>
      <x:c r="C1604" t="str">
        <x:v>KTO001</x:v>
      </x:c>
      <x:c r="D1604"/>
      <x:c r="E1604" t="str">
        <x:v>KAT013</x:v>
      </x:c>
      <x:c r="F1604"/>
      <x:c r="G1604"/>
      <x:c r="H1604" t="str">
        <x:v>kein_match</x:v>
      </x:c>
      <x:c r="I1604" t="str">
        <x:v>Agent-Draft: keine finale Regelentscheidung</x:v>
      </x:c>
      <x:c r="J1604" t="n">
        <x:v>45624</x:v>
      </x:c>
      <x:c r="K1604"/>
      <x:c r="L1604"/>
      <x:c r="M1604" t="n">
        <x:v>-11.99</x:v>
      </x:c>
      <x:c r="N1604" t="str">
        <x:v>2024-11</x:v>
      </x:c>
      <x:c r="O1604" t="str">
        <x:v>Ausgabe</x:v>
      </x:c>
      <x:c r="P1604" t="str">
        <x:v>Ist</x:v>
      </x:c>
      <x:c r="Q1604" s="59" t="b">
        <x:v>0</x:v>
      </x:c>
      <x:c r="R1604" t="str">
        <x:v>kein_transfer</x:v>
      </x:c>
      <x:c r="S1604"/>
      <x:c r="T1604"/>
      <x:c r="U1604"/>
      <x:c r="V1604" s="59" t="b">
        <x:v>1</x:v>
      </x:c>
      <x:c r="W1604"/>
      <x:c r="X1604" t="str">
        <x:v>offen</x:v>
      </x:c>
      <x:c r="Y1604" t="str">
        <x:v>Agent-Draft; Kategorie und Person pruefen</x:v>
      </x:c>
    </x:row>
    <x:row r="1605">
      <x:c r="A1605" t="str">
        <x:v>TXN-RAW-IMP-20260516-FULLDRAFT-001589</x:v>
      </x:c>
      <x:c r="B1605" t="str">
        <x:v>RAW-IMP-20260516-FULLDRAFT-001589</x:v>
      </x:c>
      <x:c r="C1605" t="str">
        <x:v>KTO001</x:v>
      </x:c>
      <x:c r="D1605"/>
      <x:c r="E1605" t="str">
        <x:v>KAT013</x:v>
      </x:c>
      <x:c r="F1605"/>
      <x:c r="G1605"/>
      <x:c r="H1605" t="str">
        <x:v>kein_match</x:v>
      </x:c>
      <x:c r="I1605" t="str">
        <x:v>Agent-Draft: keine finale Regelentscheidung</x:v>
      </x:c>
      <x:c r="J1605" t="n">
        <x:v>45624</x:v>
      </x:c>
      <x:c r="K1605"/>
      <x:c r="L1605"/>
      <x:c r="M1605" t="n">
        <x:v>-107.52</x:v>
      </x:c>
      <x:c r="N1605" t="str">
        <x:v>2024-11</x:v>
      </x:c>
      <x:c r="O1605" t="str">
        <x:v>Ausgabe</x:v>
      </x:c>
      <x:c r="P1605" t="str">
        <x:v>Ist</x:v>
      </x:c>
      <x:c r="Q1605" s="59" t="b">
        <x:v>0</x:v>
      </x:c>
      <x:c r="R1605" t="str">
        <x:v>kein_transfer</x:v>
      </x:c>
      <x:c r="S1605"/>
      <x:c r="T1605"/>
      <x:c r="U1605"/>
      <x:c r="V1605" s="59" t="b">
        <x:v>1</x:v>
      </x:c>
      <x:c r="W1605"/>
      <x:c r="X1605" t="str">
        <x:v>offen</x:v>
      </x:c>
      <x:c r="Y1605" t="str">
        <x:v>Agent-Draft; Kategorie und Person pruefen</x:v>
      </x:c>
    </x:row>
    <x:row r="1606">
      <x:c r="A1606" t="str">
        <x:v>TXN-RAW-IMP-20260516-FULLDRAFT-001590</x:v>
      </x:c>
      <x:c r="B1606" t="str">
        <x:v>RAW-IMP-20260516-FULLDRAFT-001590</x:v>
      </x:c>
      <x:c r="C1606" t="str">
        <x:v>KTO001</x:v>
      </x:c>
      <x:c r="D1606"/>
      <x:c r="E1606" t="str">
        <x:v>KAT013</x:v>
      </x:c>
      <x:c r="F1606"/>
      <x:c r="G1606"/>
      <x:c r="H1606" t="str">
        <x:v>kein_match</x:v>
      </x:c>
      <x:c r="I1606" t="str">
        <x:v>Agent-Draft: keine finale Regelentscheidung</x:v>
      </x:c>
      <x:c r="J1606" t="n">
        <x:v>45623</x:v>
      </x:c>
      <x:c r="K1606"/>
      <x:c r="L1606"/>
      <x:c r="M1606" t="n">
        <x:v>-222.99</x:v>
      </x:c>
      <x:c r="N1606" t="str">
        <x:v>2024-11</x:v>
      </x:c>
      <x:c r="O1606" t="str">
        <x:v>Ausgabe</x:v>
      </x:c>
      <x:c r="P1606" t="str">
        <x:v>Ist</x:v>
      </x:c>
      <x:c r="Q1606" s="59" t="b">
        <x:v>0</x:v>
      </x:c>
      <x:c r="R1606" t="str">
        <x:v>kein_transfer</x:v>
      </x:c>
      <x:c r="S1606"/>
      <x:c r="T1606"/>
      <x:c r="U1606"/>
      <x:c r="V1606" s="59" t="b">
        <x:v>1</x:v>
      </x:c>
      <x:c r="W1606"/>
      <x:c r="X1606" t="str">
        <x:v>offen</x:v>
      </x:c>
      <x:c r="Y1606" t="str">
        <x:v>Agent-Draft; Kategorie und Person pruefen</x:v>
      </x:c>
    </x:row>
    <x:row r="1607">
      <x:c r="A1607" t="str">
        <x:v>TXN-RAW-IMP-20260516-FULLDRAFT-001591</x:v>
      </x:c>
      <x:c r="B1607" t="str">
        <x:v>RAW-IMP-20260516-FULLDRAFT-001591</x:v>
      </x:c>
      <x:c r="C1607" t="str">
        <x:v>KTO001</x:v>
      </x:c>
      <x:c r="D1607"/>
      <x:c r="E1607" t="str">
        <x:v>KAT013</x:v>
      </x:c>
      <x:c r="F1607"/>
      <x:c r="G1607"/>
      <x:c r="H1607" t="str">
        <x:v>kein_match</x:v>
      </x:c>
      <x:c r="I1607" t="str">
        <x:v>Agent-Draft: keine finale Regelentscheidung</x:v>
      </x:c>
      <x:c r="J1607" t="n">
        <x:v>45622</x:v>
      </x:c>
      <x:c r="K1607"/>
      <x:c r="L1607"/>
      <x:c r="M1607" t="n">
        <x:v>-6.4</x:v>
      </x:c>
      <x:c r="N1607" t="str">
        <x:v>2024-11</x:v>
      </x:c>
      <x:c r="O1607" t="str">
        <x:v>Ausgabe</x:v>
      </x:c>
      <x:c r="P1607" t="str">
        <x:v>Ist</x:v>
      </x:c>
      <x:c r="Q1607" s="59" t="b">
        <x:v>0</x:v>
      </x:c>
      <x:c r="R1607" t="str">
        <x:v>kein_transfer</x:v>
      </x:c>
      <x:c r="S1607"/>
      <x:c r="T1607"/>
      <x:c r="U1607"/>
      <x:c r="V1607" s="59" t="b">
        <x:v>1</x:v>
      </x:c>
      <x:c r="W1607"/>
      <x:c r="X1607" t="str">
        <x:v>offen</x:v>
      </x:c>
      <x:c r="Y1607" t="str">
        <x:v>Agent-Draft; Kategorie und Person pruefen</x:v>
      </x:c>
    </x:row>
    <x:row r="1608">
      <x:c r="A1608" t="str">
        <x:v>TXN-RAW-IMP-20260516-FULLDRAFT-001592</x:v>
      </x:c>
      <x:c r="B1608" t="str">
        <x:v>RAW-IMP-20260516-FULLDRAFT-001592</x:v>
      </x:c>
      <x:c r="C1608" t="str">
        <x:v>KTO001</x:v>
      </x:c>
      <x:c r="D1608"/>
      <x:c r="E1608" t="str">
        <x:v>KAT013</x:v>
      </x:c>
      <x:c r="F1608"/>
      <x:c r="G1608"/>
      <x:c r="H1608" t="str">
        <x:v>kein_match</x:v>
      </x:c>
      <x:c r="I1608" t="str">
        <x:v>Agent-Draft: keine finale Regelentscheidung</x:v>
      </x:c>
      <x:c r="J1608" t="n">
        <x:v>45622</x:v>
      </x:c>
      <x:c r="K1608"/>
      <x:c r="L1608"/>
      <x:c r="M1608" t="n">
        <x:v>-7.44</x:v>
      </x:c>
      <x:c r="N1608" t="str">
        <x:v>2024-11</x:v>
      </x:c>
      <x:c r="O1608" t="str">
        <x:v>Ausgabe</x:v>
      </x:c>
      <x:c r="P1608" t="str">
        <x:v>Ist</x:v>
      </x:c>
      <x:c r="Q1608" s="59" t="b">
        <x:v>0</x:v>
      </x:c>
      <x:c r="R1608" t="str">
        <x:v>kein_transfer</x:v>
      </x:c>
      <x:c r="S1608"/>
      <x:c r="T1608"/>
      <x:c r="U1608"/>
      <x:c r="V1608" s="59" t="b">
        <x:v>1</x:v>
      </x:c>
      <x:c r="W1608"/>
      <x:c r="X1608" t="str">
        <x:v>offen</x:v>
      </x:c>
      <x:c r="Y1608" t="str">
        <x:v>Agent-Draft; Kategorie und Person pruefen</x:v>
      </x:c>
    </x:row>
    <x:row r="1609">
      <x:c r="A1609" t="str">
        <x:v>TXN-RAW-IMP-20260516-FULLDRAFT-001593</x:v>
      </x:c>
      <x:c r="B1609" t="str">
        <x:v>RAW-IMP-20260516-FULLDRAFT-001593</x:v>
      </x:c>
      <x:c r="C1609" t="str">
        <x:v>KTO001</x:v>
      </x:c>
      <x:c r="D1609"/>
      <x:c r="E1609" t="str">
        <x:v>KAT013</x:v>
      </x:c>
      <x:c r="F1609"/>
      <x:c r="G1609"/>
      <x:c r="H1609" t="str">
        <x:v>kein_match</x:v>
      </x:c>
      <x:c r="I1609" t="str">
        <x:v>Agent-Draft: keine finale Regelentscheidung</x:v>
      </x:c>
      <x:c r="J1609" t="n">
        <x:v>45621</x:v>
      </x:c>
      <x:c r="K1609"/>
      <x:c r="L1609"/>
      <x:c r="M1609" t="n">
        <x:v>-47.86</x:v>
      </x:c>
      <x:c r="N1609" t="str">
        <x:v>2024-11</x:v>
      </x:c>
      <x:c r="O1609" t="str">
        <x:v>Ausgabe</x:v>
      </x:c>
      <x:c r="P1609" t="str">
        <x:v>Ist</x:v>
      </x:c>
      <x:c r="Q1609" s="59" t="b">
        <x:v>0</x:v>
      </x:c>
      <x:c r="R1609" t="str">
        <x:v>kein_transfer</x:v>
      </x:c>
      <x:c r="S1609"/>
      <x:c r="T1609"/>
      <x:c r="U1609"/>
      <x:c r="V1609" s="59" t="b">
        <x:v>1</x:v>
      </x:c>
      <x:c r="W1609"/>
      <x:c r="X1609" t="str">
        <x:v>offen</x:v>
      </x:c>
      <x:c r="Y1609" t="str">
        <x:v>Agent-Draft; Kategorie und Person pruefen</x:v>
      </x:c>
    </x:row>
    <x:row r="1610">
      <x:c r="A1610" t="str">
        <x:v>TXN-RAW-IMP-20260516-FULLDRAFT-001594</x:v>
      </x:c>
      <x:c r="B1610" t="str">
        <x:v>RAW-IMP-20260516-FULLDRAFT-001594</x:v>
      </x:c>
      <x:c r="C1610" t="str">
        <x:v>KTO001</x:v>
      </x:c>
      <x:c r="D1610"/>
      <x:c r="E1610" t="str">
        <x:v>KAT013</x:v>
      </x:c>
      <x:c r="F1610"/>
      <x:c r="G1610"/>
      <x:c r="H1610" t="str">
        <x:v>kein_match</x:v>
      </x:c>
      <x:c r="I1610" t="str">
        <x:v>Agent-Draft: keine finale Regelentscheidung</x:v>
      </x:c>
      <x:c r="J1610" t="n">
        <x:v>45621</x:v>
      </x:c>
      <x:c r="K1610"/>
      <x:c r="L1610"/>
      <x:c r="M1610" t="n">
        <x:v>-8</x:v>
      </x:c>
      <x:c r="N1610" t="str">
        <x:v>2024-11</x:v>
      </x:c>
      <x:c r="O1610" t="str">
        <x:v>Ausgabe</x:v>
      </x:c>
      <x:c r="P1610" t="str">
        <x:v>Ist</x:v>
      </x:c>
      <x:c r="Q1610" s="59" t="b">
        <x:v>0</x:v>
      </x:c>
      <x:c r="R1610" t="str">
        <x:v>kein_transfer</x:v>
      </x:c>
      <x:c r="S1610"/>
      <x:c r="T1610"/>
      <x:c r="U1610"/>
      <x:c r="V1610" s="59" t="b">
        <x:v>1</x:v>
      </x:c>
      <x:c r="W1610"/>
      <x:c r="X1610" t="str">
        <x:v>offen</x:v>
      </x:c>
      <x:c r="Y1610" t="str">
        <x:v>Agent-Draft; Kategorie und Person pruefen</x:v>
      </x:c>
    </x:row>
    <x:row r="1611">
      <x:c r="A1611" t="str">
        <x:v>TXN-RAW-IMP-20260516-FULLDRAFT-001595</x:v>
      </x:c>
      <x:c r="B1611" t="str">
        <x:v>RAW-IMP-20260516-FULLDRAFT-001595</x:v>
      </x:c>
      <x:c r="C1611" t="str">
        <x:v>KTO001</x:v>
      </x:c>
      <x:c r="D1611"/>
      <x:c r="E1611" t="str">
        <x:v>KAT013</x:v>
      </x:c>
      <x:c r="F1611"/>
      <x:c r="G1611"/>
      <x:c r="H1611" t="str">
        <x:v>kein_match</x:v>
      </x:c>
      <x:c r="I1611" t="str">
        <x:v>Agent-Draft: keine finale Regelentscheidung</x:v>
      </x:c>
      <x:c r="J1611" t="n">
        <x:v>45621</x:v>
      </x:c>
      <x:c r="K1611"/>
      <x:c r="L1611"/>
      <x:c r="M1611" t="n">
        <x:v>-65</x:v>
      </x:c>
      <x:c r="N1611" t="str">
        <x:v>2024-11</x:v>
      </x:c>
      <x:c r="O1611" t="str">
        <x:v>Ausgabe</x:v>
      </x:c>
      <x:c r="P1611" t="str">
        <x:v>Ist</x:v>
      </x:c>
      <x:c r="Q1611" s="59" t="b">
        <x:v>0</x:v>
      </x:c>
      <x:c r="R1611" t="str">
        <x:v>kein_transfer</x:v>
      </x:c>
      <x:c r="S1611"/>
      <x:c r="T1611"/>
      <x:c r="U1611"/>
      <x:c r="V1611" s="59" t="b">
        <x:v>1</x:v>
      </x:c>
      <x:c r="W1611"/>
      <x:c r="X1611" t="str">
        <x:v>offen</x:v>
      </x:c>
      <x:c r="Y1611" t="str">
        <x:v>Agent-Draft; Kategorie und Person pruefen</x:v>
      </x:c>
    </x:row>
    <x:row r="1612">
      <x:c r="A1612" t="str">
        <x:v>TXN-RAW-IMP-20260516-FULLDRAFT-001596</x:v>
      </x:c>
      <x:c r="B1612" t="str">
        <x:v>RAW-IMP-20260516-FULLDRAFT-001596</x:v>
      </x:c>
      <x:c r="C1612" t="str">
        <x:v>KTO001</x:v>
      </x:c>
      <x:c r="D1612"/>
      <x:c r="E1612" t="str">
        <x:v>KAT013</x:v>
      </x:c>
      <x:c r="F1612"/>
      <x:c r="G1612"/>
      <x:c r="H1612" t="str">
        <x:v>kein_match</x:v>
      </x:c>
      <x:c r="I1612" t="str">
        <x:v>Agent-Draft: keine finale Regelentscheidung</x:v>
      </x:c>
      <x:c r="J1612" t="n">
        <x:v>45621</x:v>
      </x:c>
      <x:c r="K1612"/>
      <x:c r="L1612"/>
      <x:c r="M1612" t="n">
        <x:v>-18.14</x:v>
      </x:c>
      <x:c r="N1612" t="str">
        <x:v>2024-11</x:v>
      </x:c>
      <x:c r="O1612" t="str">
        <x:v>Ausgabe</x:v>
      </x:c>
      <x:c r="P1612" t="str">
        <x:v>Ist</x:v>
      </x:c>
      <x:c r="Q1612" s="59" t="b">
        <x:v>0</x:v>
      </x:c>
      <x:c r="R1612" t="str">
        <x:v>kein_transfer</x:v>
      </x:c>
      <x:c r="S1612"/>
      <x:c r="T1612"/>
      <x:c r="U1612"/>
      <x:c r="V1612" s="59" t="b">
        <x:v>1</x:v>
      </x:c>
      <x:c r="W1612"/>
      <x:c r="X1612" t="str">
        <x:v>offen</x:v>
      </x:c>
      <x:c r="Y1612" t="str">
        <x:v>Agent-Draft; Kategorie und Person pruefen</x:v>
      </x:c>
    </x:row>
    <x:row r="1613">
      <x:c r="A1613" t="str">
        <x:v>TXN-RAW-IMP-20260516-FULLDRAFT-001597</x:v>
      </x:c>
      <x:c r="B1613" t="str">
        <x:v>RAW-IMP-20260516-FULLDRAFT-001597</x:v>
      </x:c>
      <x:c r="C1613" t="str">
        <x:v>KTO001</x:v>
      </x:c>
      <x:c r="D1613"/>
      <x:c r="E1613" t="str">
        <x:v>KAT013</x:v>
      </x:c>
      <x:c r="F1613"/>
      <x:c r="G1613"/>
      <x:c r="H1613" t="str">
        <x:v>kein_match</x:v>
      </x:c>
      <x:c r="I1613" t="str">
        <x:v>Agent-Draft: keine finale Regelentscheidung</x:v>
      </x:c>
      <x:c r="J1613" t="n">
        <x:v>45618</x:v>
      </x:c>
      <x:c r="K1613"/>
      <x:c r="L1613"/>
      <x:c r="M1613" t="n">
        <x:v>-26.85</x:v>
      </x:c>
      <x:c r="N1613" t="str">
        <x:v>2024-11</x:v>
      </x:c>
      <x:c r="O1613" t="str">
        <x:v>Ausgabe</x:v>
      </x:c>
      <x:c r="P1613" t="str">
        <x:v>Ist</x:v>
      </x:c>
      <x:c r="Q1613" s="59" t="b">
        <x:v>0</x:v>
      </x:c>
      <x:c r="R1613" t="str">
        <x:v>kein_transfer</x:v>
      </x:c>
      <x:c r="S1613"/>
      <x:c r="T1613"/>
      <x:c r="U1613"/>
      <x:c r="V1613" s="59" t="b">
        <x:v>1</x:v>
      </x:c>
      <x:c r="W1613"/>
      <x:c r="X1613" t="str">
        <x:v>offen</x:v>
      </x:c>
      <x:c r="Y1613" t="str">
        <x:v>Agent-Draft; Kategorie und Person pruefen</x:v>
      </x:c>
    </x:row>
    <x:row r="1614">
      <x:c r="A1614" t="str">
        <x:v>TXN-RAW-IMP-20260516-FULLDRAFT-001598</x:v>
      </x:c>
      <x:c r="B1614" t="str">
        <x:v>RAW-IMP-20260516-FULLDRAFT-001598</x:v>
      </x:c>
      <x:c r="C1614" t="str">
        <x:v>KTO001</x:v>
      </x:c>
      <x:c r="D1614"/>
      <x:c r="E1614" t="str">
        <x:v>KAT013</x:v>
      </x:c>
      <x:c r="F1614"/>
      <x:c r="G1614"/>
      <x:c r="H1614" t="str">
        <x:v>kein_match</x:v>
      </x:c>
      <x:c r="I1614" t="str">
        <x:v>Agent-Draft: keine finale Regelentscheidung</x:v>
      </x:c>
      <x:c r="J1614" t="n">
        <x:v>45618</x:v>
      </x:c>
      <x:c r="K1614"/>
      <x:c r="L1614"/>
      <x:c r="M1614" t="n">
        <x:v>-2.99</x:v>
      </x:c>
      <x:c r="N1614" t="str">
        <x:v>2024-11</x:v>
      </x:c>
      <x:c r="O1614" t="str">
        <x:v>Ausgabe</x:v>
      </x:c>
      <x:c r="P1614" t="str">
        <x:v>Ist</x:v>
      </x:c>
      <x:c r="Q1614" s="59" t="b">
        <x:v>0</x:v>
      </x:c>
      <x:c r="R1614" t="str">
        <x:v>kein_transfer</x:v>
      </x:c>
      <x:c r="S1614"/>
      <x:c r="T1614"/>
      <x:c r="U1614"/>
      <x:c r="V1614" s="59" t="b">
        <x:v>1</x:v>
      </x:c>
      <x:c r="W1614"/>
      <x:c r="X1614" t="str">
        <x:v>offen</x:v>
      </x:c>
      <x:c r="Y1614" t="str">
        <x:v>Agent-Draft; Kategorie und Person pruefen</x:v>
      </x:c>
    </x:row>
    <x:row r="1615">
      <x:c r="A1615" t="str">
        <x:v>TXN-RAW-IMP-20260516-FULLDRAFT-001599</x:v>
      </x:c>
      <x:c r="B1615" t="str">
        <x:v>RAW-IMP-20260516-FULLDRAFT-001599</x:v>
      </x:c>
      <x:c r="C1615" t="str">
        <x:v>KTO001</x:v>
      </x:c>
      <x:c r="D1615"/>
      <x:c r="E1615" t="str">
        <x:v>KAT013</x:v>
      </x:c>
      <x:c r="F1615"/>
      <x:c r="G1615"/>
      <x:c r="H1615" t="str">
        <x:v>kein_match</x:v>
      </x:c>
      <x:c r="I1615" t="str">
        <x:v>Agent-Draft: keine finale Regelentscheidung</x:v>
      </x:c>
      <x:c r="J1615" t="n">
        <x:v>45618</x:v>
      </x:c>
      <x:c r="K1615"/>
      <x:c r="L1615"/>
      <x:c r="M1615" t="n">
        <x:v>-3.99</x:v>
      </x:c>
      <x:c r="N1615" t="str">
        <x:v>2024-11</x:v>
      </x:c>
      <x:c r="O1615" t="str">
        <x:v>Ausgabe</x:v>
      </x:c>
      <x:c r="P1615" t="str">
        <x:v>Ist</x:v>
      </x:c>
      <x:c r="Q1615" s="59" t="b">
        <x:v>0</x:v>
      </x:c>
      <x:c r="R1615" t="str">
        <x:v>kein_transfer</x:v>
      </x:c>
      <x:c r="S1615"/>
      <x:c r="T1615"/>
      <x:c r="U1615"/>
      <x:c r="V1615" s="59" t="b">
        <x:v>1</x:v>
      </x:c>
      <x:c r="W1615"/>
      <x:c r="X1615" t="str">
        <x:v>offen</x:v>
      </x:c>
      <x:c r="Y1615" t="str">
        <x:v>Agent-Draft; Kategorie und Person pruefen</x:v>
      </x:c>
    </x:row>
    <x:row r="1616">
      <x:c r="A1616" t="str">
        <x:v>TXN-RAW-IMP-20260516-FULLDRAFT-001600</x:v>
      </x:c>
      <x:c r="B1616" t="str">
        <x:v>RAW-IMP-20260516-FULLDRAFT-001600</x:v>
      </x:c>
      <x:c r="C1616" t="str">
        <x:v>KTO001</x:v>
      </x:c>
      <x:c r="D1616"/>
      <x:c r="E1616" t="str">
        <x:v>KAT013</x:v>
      </x:c>
      <x:c r="F1616"/>
      <x:c r="G1616"/>
      <x:c r="H1616" t="str">
        <x:v>kein_match</x:v>
      </x:c>
      <x:c r="I1616" t="str">
        <x:v>Agent-Draft: keine finale Regelentscheidung</x:v>
      </x:c>
      <x:c r="J1616" t="n">
        <x:v>45617</x:v>
      </x:c>
      <x:c r="K1616"/>
      <x:c r="L1616"/>
      <x:c r="M1616" t="n">
        <x:v>-48</x:v>
      </x:c>
      <x:c r="N1616" t="str">
        <x:v>2024-11</x:v>
      </x:c>
      <x:c r="O1616" t="str">
        <x:v>Ausgabe</x:v>
      </x:c>
      <x:c r="P1616" t="str">
        <x:v>Ist</x:v>
      </x:c>
      <x:c r="Q1616" s="59" t="b">
        <x:v>0</x:v>
      </x:c>
      <x:c r="R1616" t="str">
        <x:v>kein_transfer</x:v>
      </x:c>
      <x:c r="S1616"/>
      <x:c r="T1616"/>
      <x:c r="U1616"/>
      <x:c r="V1616" s="59" t="b">
        <x:v>1</x:v>
      </x:c>
      <x:c r="W1616"/>
      <x:c r="X1616" t="str">
        <x:v>offen</x:v>
      </x:c>
      <x:c r="Y1616" t="str">
        <x:v>Agent-Draft; Kategorie und Person pruefen</x:v>
      </x:c>
    </x:row>
    <x:row r="1617">
      <x:c r="A1617" t="str">
        <x:v>TXN-RAW-IMP-20260516-FULLDRAFT-001601</x:v>
      </x:c>
      <x:c r="B1617" t="str">
        <x:v>RAW-IMP-20260516-FULLDRAFT-001601</x:v>
      </x:c>
      <x:c r="C1617" t="str">
        <x:v>KTO001</x:v>
      </x:c>
      <x:c r="D1617"/>
      <x:c r="E1617" t="str">
        <x:v>KAT013</x:v>
      </x:c>
      <x:c r="F1617"/>
      <x:c r="G1617"/>
      <x:c r="H1617" t="str">
        <x:v>kein_match</x:v>
      </x:c>
      <x:c r="I1617" t="str">
        <x:v>Agent-Draft: keine finale Regelentscheidung</x:v>
      </x:c>
      <x:c r="J1617" t="n">
        <x:v>45616</x:v>
      </x:c>
      <x:c r="K1617"/>
      <x:c r="L1617"/>
      <x:c r="M1617" t="n">
        <x:v>-40.41</x:v>
      </x:c>
      <x:c r="N1617" t="str">
        <x:v>2024-11</x:v>
      </x:c>
      <x:c r="O1617" t="str">
        <x:v>Ausgabe</x:v>
      </x:c>
      <x:c r="P1617" t="str">
        <x:v>Ist</x:v>
      </x:c>
      <x:c r="Q1617" s="59" t="b">
        <x:v>0</x:v>
      </x:c>
      <x:c r="R1617" t="str">
        <x:v>kein_transfer</x:v>
      </x:c>
      <x:c r="S1617"/>
      <x:c r="T1617"/>
      <x:c r="U1617"/>
      <x:c r="V1617" s="59" t="b">
        <x:v>1</x:v>
      </x:c>
      <x:c r="W1617"/>
      <x:c r="X1617" t="str">
        <x:v>offen</x:v>
      </x:c>
      <x:c r="Y1617" t="str">
        <x:v>Agent-Draft; Kategorie und Person pruefen</x:v>
      </x:c>
    </x:row>
    <x:row r="1618">
      <x:c r="A1618" t="str">
        <x:v>TXN-RAW-IMP-20260516-FULLDRAFT-001602</x:v>
      </x:c>
      <x:c r="B1618" t="str">
        <x:v>RAW-IMP-20260516-FULLDRAFT-001602</x:v>
      </x:c>
      <x:c r="C1618" t="str">
        <x:v>KTO001</x:v>
      </x:c>
      <x:c r="D1618"/>
      <x:c r="E1618" t="str">
        <x:v>KAT013</x:v>
      </x:c>
      <x:c r="F1618"/>
      <x:c r="G1618"/>
      <x:c r="H1618" t="str">
        <x:v>kein_match</x:v>
      </x:c>
      <x:c r="I1618" t="str">
        <x:v>Agent-Draft: keine finale Regelentscheidung</x:v>
      </x:c>
      <x:c r="J1618" t="n">
        <x:v>45615</x:v>
      </x:c>
      <x:c r="K1618"/>
      <x:c r="L1618"/>
      <x:c r="M1618" t="n">
        <x:v>-23.94</x:v>
      </x:c>
      <x:c r="N1618" t="str">
        <x:v>2024-11</x:v>
      </x:c>
      <x:c r="O1618" t="str">
        <x:v>Ausgabe</x:v>
      </x:c>
      <x:c r="P1618" t="str">
        <x:v>Ist</x:v>
      </x:c>
      <x:c r="Q1618" s="59" t="b">
        <x:v>0</x:v>
      </x:c>
      <x:c r="R1618" t="str">
        <x:v>kein_transfer</x:v>
      </x:c>
      <x:c r="S1618"/>
      <x:c r="T1618"/>
      <x:c r="U1618"/>
      <x:c r="V1618" s="59" t="b">
        <x:v>1</x:v>
      </x:c>
      <x:c r="W1618"/>
      <x:c r="X1618" t="str">
        <x:v>offen</x:v>
      </x:c>
      <x:c r="Y1618" t="str">
        <x:v>Agent-Draft; Kategorie und Person pruefen</x:v>
      </x:c>
    </x:row>
    <x:row r="1619">
      <x:c r="A1619" t="str">
        <x:v>TXN-RAW-IMP-20260516-FULLDRAFT-001603</x:v>
      </x:c>
      <x:c r="B1619" t="str">
        <x:v>RAW-IMP-20260516-FULLDRAFT-001603</x:v>
      </x:c>
      <x:c r="C1619" t="str">
        <x:v>KTO001</x:v>
      </x:c>
      <x:c r="D1619"/>
      <x:c r="E1619" t="str">
        <x:v>KAT013</x:v>
      </x:c>
      <x:c r="F1619"/>
      <x:c r="G1619"/>
      <x:c r="H1619" t="str">
        <x:v>kein_match</x:v>
      </x:c>
      <x:c r="I1619" t="str">
        <x:v>Agent-Draft: keine finale Regelentscheidung</x:v>
      </x:c>
      <x:c r="J1619" t="n">
        <x:v>45614</x:v>
      </x:c>
      <x:c r="K1619"/>
      <x:c r="L1619"/>
      <x:c r="M1619" t="n">
        <x:v>664.9</x:v>
      </x:c>
      <x:c r="N1619" t="str">
        <x:v>2024-11</x:v>
      </x:c>
      <x:c r="O1619" t="str">
        <x:v>Einnahme</x:v>
      </x:c>
      <x:c r="P1619" t="str">
        <x:v>Ist</x:v>
      </x:c>
      <x:c r="Q1619" s="59" t="b">
        <x:v>0</x:v>
      </x:c>
      <x:c r="R1619" t="str">
        <x:v>kein_transfer</x:v>
      </x:c>
      <x:c r="S1619"/>
      <x:c r="T1619"/>
      <x:c r="U1619"/>
      <x:c r="V1619" s="59" t="b">
        <x:v>1</x:v>
      </x:c>
      <x:c r="W1619"/>
      <x:c r="X1619" t="str">
        <x:v>offen</x:v>
      </x:c>
      <x:c r="Y1619" t="str">
        <x:v>Agent-Draft; Kategorie und Person pruefen</x:v>
      </x:c>
    </x:row>
    <x:row r="1620">
      <x:c r="A1620" t="str">
        <x:v>TXN-RAW-IMP-20260516-FULLDRAFT-001604</x:v>
      </x:c>
      <x:c r="B1620" t="str">
        <x:v>RAW-IMP-20260516-FULLDRAFT-001604</x:v>
      </x:c>
      <x:c r="C1620" t="str">
        <x:v>KTO001</x:v>
      </x:c>
      <x:c r="D1620"/>
      <x:c r="E1620" t="str">
        <x:v>KAT013</x:v>
      </x:c>
      <x:c r="F1620"/>
      <x:c r="G1620"/>
      <x:c r="H1620" t="str">
        <x:v>kein_match</x:v>
      </x:c>
      <x:c r="I1620" t="str">
        <x:v>Agent-Draft: keine finale Regelentscheidung</x:v>
      </x:c>
      <x:c r="J1620" t="n">
        <x:v>45614</x:v>
      </x:c>
      <x:c r="K1620"/>
      <x:c r="L1620"/>
      <x:c r="M1620" t="n">
        <x:v>-7.03</x:v>
      </x:c>
      <x:c r="N1620" t="str">
        <x:v>2024-11</x:v>
      </x:c>
      <x:c r="O1620" t="str">
        <x:v>Ausgabe</x:v>
      </x:c>
      <x:c r="P1620" t="str">
        <x:v>Ist</x:v>
      </x:c>
      <x:c r="Q1620" s="59" t="b">
        <x:v>0</x:v>
      </x:c>
      <x:c r="R1620" t="str">
        <x:v>kein_transfer</x:v>
      </x:c>
      <x:c r="S1620"/>
      <x:c r="T1620"/>
      <x:c r="U1620"/>
      <x:c r="V1620" s="59" t="b">
        <x:v>1</x:v>
      </x:c>
      <x:c r="W1620"/>
      <x:c r="X1620" t="str">
        <x:v>offen</x:v>
      </x:c>
      <x:c r="Y1620" t="str">
        <x:v>Agent-Draft; Kategorie und Person pruefen</x:v>
      </x:c>
    </x:row>
    <x:row r="1621">
      <x:c r="A1621" t="str">
        <x:v>TXN-RAW-IMP-20260516-FULLDRAFT-001605</x:v>
      </x:c>
      <x:c r="B1621" t="str">
        <x:v>RAW-IMP-20260516-FULLDRAFT-001605</x:v>
      </x:c>
      <x:c r="C1621" t="str">
        <x:v>KTO001</x:v>
      </x:c>
      <x:c r="D1621"/>
      <x:c r="E1621" t="str">
        <x:v>KAT013</x:v>
      </x:c>
      <x:c r="F1621"/>
      <x:c r="G1621"/>
      <x:c r="H1621" t="str">
        <x:v>kein_match</x:v>
      </x:c>
      <x:c r="I1621" t="str">
        <x:v>Agent-Draft: keine finale Regelentscheidung</x:v>
      </x:c>
      <x:c r="J1621" t="n">
        <x:v>45614</x:v>
      </x:c>
      <x:c r="K1621"/>
      <x:c r="L1621"/>
      <x:c r="M1621" t="n">
        <x:v>-42.97</x:v>
      </x:c>
      <x:c r="N1621" t="str">
        <x:v>2024-11</x:v>
      </x:c>
      <x:c r="O1621" t="str">
        <x:v>Ausgabe</x:v>
      </x:c>
      <x:c r="P1621" t="str">
        <x:v>Ist</x:v>
      </x:c>
      <x:c r="Q1621" s="59" t="b">
        <x:v>0</x:v>
      </x:c>
      <x:c r="R1621" t="str">
        <x:v>kein_transfer</x:v>
      </x:c>
      <x:c r="S1621"/>
      <x:c r="T1621"/>
      <x:c r="U1621"/>
      <x:c r="V1621" s="59" t="b">
        <x:v>1</x:v>
      </x:c>
      <x:c r="W1621"/>
      <x:c r="X1621" t="str">
        <x:v>offen</x:v>
      </x:c>
      <x:c r="Y1621" t="str">
        <x:v>Agent-Draft; Kategorie und Person pruefen</x:v>
      </x:c>
    </x:row>
    <x:row r="1622">
      <x:c r="A1622" t="str">
        <x:v>TXN-RAW-IMP-20260516-FULLDRAFT-001606</x:v>
      </x:c>
      <x:c r="B1622" t="str">
        <x:v>RAW-IMP-20260516-FULLDRAFT-001606</x:v>
      </x:c>
      <x:c r="C1622" t="str">
        <x:v>KTO001</x:v>
      </x:c>
      <x:c r="D1622"/>
      <x:c r="E1622" t="str">
        <x:v>KAT013</x:v>
      </x:c>
      <x:c r="F1622"/>
      <x:c r="G1622"/>
      <x:c r="H1622" t="str">
        <x:v>kein_match</x:v>
      </x:c>
      <x:c r="I1622" t="str">
        <x:v>Agent-Draft: keine finale Regelentscheidung</x:v>
      </x:c>
      <x:c r="J1622" t="n">
        <x:v>45614</x:v>
      </x:c>
      <x:c r="K1622"/>
      <x:c r="L1622"/>
      <x:c r="M1622" t="n">
        <x:v>-30.27</x:v>
      </x:c>
      <x:c r="N1622" t="str">
        <x:v>2024-11</x:v>
      </x:c>
      <x:c r="O1622" t="str">
        <x:v>Ausgabe</x:v>
      </x:c>
      <x:c r="P1622" t="str">
        <x:v>Ist</x:v>
      </x:c>
      <x:c r="Q1622" s="59" t="b">
        <x:v>0</x:v>
      </x:c>
      <x:c r="R1622" t="str">
        <x:v>kein_transfer</x:v>
      </x:c>
      <x:c r="S1622"/>
      <x:c r="T1622"/>
      <x:c r="U1622"/>
      <x:c r="V1622" s="59" t="b">
        <x:v>1</x:v>
      </x:c>
      <x:c r="W1622"/>
      <x:c r="X1622" t="str">
        <x:v>offen</x:v>
      </x:c>
      <x:c r="Y1622" t="str">
        <x:v>Agent-Draft; Kategorie und Person pruefen</x:v>
      </x:c>
    </x:row>
    <x:row r="1623">
      <x:c r="A1623" t="str">
        <x:v>TXN-RAW-IMP-20260516-FULLDRAFT-001607</x:v>
      </x:c>
      <x:c r="B1623" t="str">
        <x:v>RAW-IMP-20260516-FULLDRAFT-001607</x:v>
      </x:c>
      <x:c r="C1623" t="str">
        <x:v>KTO001</x:v>
      </x:c>
      <x:c r="D1623"/>
      <x:c r="E1623" t="str">
        <x:v>KAT013</x:v>
      </x:c>
      <x:c r="F1623"/>
      <x:c r="G1623"/>
      <x:c r="H1623" t="str">
        <x:v>kein_match</x:v>
      </x:c>
      <x:c r="I1623" t="str">
        <x:v>Agent-Draft: keine finale Regelentscheidung</x:v>
      </x:c>
      <x:c r="J1623" t="n">
        <x:v>45614</x:v>
      </x:c>
      <x:c r="K1623"/>
      <x:c r="L1623"/>
      <x:c r="M1623" t="n">
        <x:v>-13.34</x:v>
      </x:c>
      <x:c r="N1623" t="str">
        <x:v>2024-11</x:v>
      </x:c>
      <x:c r="O1623" t="str">
        <x:v>Ausgabe</x:v>
      </x:c>
      <x:c r="P1623" t="str">
        <x:v>Ist</x:v>
      </x:c>
      <x:c r="Q1623" s="59" t="b">
        <x:v>0</x:v>
      </x:c>
      <x:c r="R1623" t="str">
        <x:v>kein_transfer</x:v>
      </x:c>
      <x:c r="S1623"/>
      <x:c r="T1623"/>
      <x:c r="U1623"/>
      <x:c r="V1623" s="59" t="b">
        <x:v>1</x:v>
      </x:c>
      <x:c r="W1623"/>
      <x:c r="X1623" t="str">
        <x:v>offen</x:v>
      </x:c>
      <x:c r="Y1623" t="str">
        <x:v>Agent-Draft; Kategorie und Person pruefen</x:v>
      </x:c>
    </x:row>
    <x:row r="1624">
      <x:c r="A1624" t="str">
        <x:v>TXN-RAW-IMP-20260516-FULLDRAFT-001608</x:v>
      </x:c>
      <x:c r="B1624" t="str">
        <x:v>RAW-IMP-20260516-FULLDRAFT-001608</x:v>
      </x:c>
      <x:c r="C1624" t="str">
        <x:v>KTO001</x:v>
      </x:c>
      <x:c r="D1624"/>
      <x:c r="E1624" t="str">
        <x:v>KAT013</x:v>
      </x:c>
      <x:c r="F1624"/>
      <x:c r="G1624"/>
      <x:c r="H1624" t="str">
        <x:v>kein_match</x:v>
      </x:c>
      <x:c r="I1624" t="str">
        <x:v>Agent-Draft: keine finale Regelentscheidung</x:v>
      </x:c>
      <x:c r="J1624" t="n">
        <x:v>45614</x:v>
      </x:c>
      <x:c r="K1624"/>
      <x:c r="L1624"/>
      <x:c r="M1624" t="n">
        <x:v>-21</x:v>
      </x:c>
      <x:c r="N1624" t="str">
        <x:v>2024-11</x:v>
      </x:c>
      <x:c r="O1624" t="str">
        <x:v>Ausgabe</x:v>
      </x:c>
      <x:c r="P1624" t="str">
        <x:v>Ist</x:v>
      </x:c>
      <x:c r="Q1624" s="59" t="b">
        <x:v>0</x:v>
      </x:c>
      <x:c r="R1624" t="str">
        <x:v>kein_transfer</x:v>
      </x:c>
      <x:c r="S1624"/>
      <x:c r="T1624"/>
      <x:c r="U1624"/>
      <x:c r="V1624" s="59" t="b">
        <x:v>1</x:v>
      </x:c>
      <x:c r="W1624"/>
      <x:c r="X1624" t="str">
        <x:v>offen</x:v>
      </x:c>
      <x:c r="Y1624" t="str">
        <x:v>Agent-Draft; Kategorie und Person pruefen</x:v>
      </x:c>
    </x:row>
    <x:row r="1625">
      <x:c r="A1625" t="str">
        <x:v>TXN-RAW-IMP-20260516-FULLDRAFT-001609</x:v>
      </x:c>
      <x:c r="B1625" t="str">
        <x:v>RAW-IMP-20260516-FULLDRAFT-001609</x:v>
      </x:c>
      <x:c r="C1625" t="str">
        <x:v>KTO001</x:v>
      </x:c>
      <x:c r="D1625"/>
      <x:c r="E1625" t="str">
        <x:v>KAT013</x:v>
      </x:c>
      <x:c r="F1625"/>
      <x:c r="G1625"/>
      <x:c r="H1625" t="str">
        <x:v>kein_match</x:v>
      </x:c>
      <x:c r="I1625" t="str">
        <x:v>Agent-Draft: keine finale Regelentscheidung</x:v>
      </x:c>
      <x:c r="J1625" t="n">
        <x:v>45614</x:v>
      </x:c>
      <x:c r="K1625"/>
      <x:c r="L1625"/>
      <x:c r="M1625" t="n">
        <x:v>-58.93</x:v>
      </x:c>
      <x:c r="N1625" t="str">
        <x:v>2024-11</x:v>
      </x:c>
      <x:c r="O1625" t="str">
        <x:v>Ausgabe</x:v>
      </x:c>
      <x:c r="P1625" t="str">
        <x:v>Ist</x:v>
      </x:c>
      <x:c r="Q1625" s="59" t="b">
        <x:v>0</x:v>
      </x:c>
      <x:c r="R1625" t="str">
        <x:v>kein_transfer</x:v>
      </x:c>
      <x:c r="S1625"/>
      <x:c r="T1625"/>
      <x:c r="U1625"/>
      <x:c r="V1625" s="59" t="b">
        <x:v>1</x:v>
      </x:c>
      <x:c r="W1625"/>
      <x:c r="X1625" t="str">
        <x:v>offen</x:v>
      </x:c>
      <x:c r="Y1625" t="str">
        <x:v>Agent-Draft; Kategorie und Person pruefen</x:v>
      </x:c>
    </x:row>
    <x:row r="1626">
      <x:c r="A1626" t="str">
        <x:v>TXN-RAW-IMP-20260516-FULLDRAFT-001610</x:v>
      </x:c>
      <x:c r="B1626" t="str">
        <x:v>RAW-IMP-20260516-FULLDRAFT-001610</x:v>
      </x:c>
      <x:c r="C1626" t="str">
        <x:v>KTO001</x:v>
      </x:c>
      <x:c r="D1626"/>
      <x:c r="E1626" t="str">
        <x:v>KAT013</x:v>
      </x:c>
      <x:c r="F1626"/>
      <x:c r="G1626"/>
      <x:c r="H1626" t="str">
        <x:v>kein_match</x:v>
      </x:c>
      <x:c r="I1626" t="str">
        <x:v>Agent-Draft: keine finale Regelentscheidung</x:v>
      </x:c>
      <x:c r="J1626" t="n">
        <x:v>45614</x:v>
      </x:c>
      <x:c r="K1626"/>
      <x:c r="L1626"/>
      <x:c r="M1626" t="n">
        <x:v>-8.23</x:v>
      </x:c>
      <x:c r="N1626" t="str">
        <x:v>2024-11</x:v>
      </x:c>
      <x:c r="O1626" t="str">
        <x:v>Ausgabe</x:v>
      </x:c>
      <x:c r="P1626" t="str">
        <x:v>Ist</x:v>
      </x:c>
      <x:c r="Q1626" s="59" t="b">
        <x:v>0</x:v>
      </x:c>
      <x:c r="R1626" t="str">
        <x:v>kein_transfer</x:v>
      </x:c>
      <x:c r="S1626"/>
      <x:c r="T1626"/>
      <x:c r="U1626"/>
      <x:c r="V1626" s="59" t="b">
        <x:v>1</x:v>
      </x:c>
      <x:c r="W1626"/>
      <x:c r="X1626" t="str">
        <x:v>offen</x:v>
      </x:c>
      <x:c r="Y1626" t="str">
        <x:v>Agent-Draft; Kategorie und Person pruefen</x:v>
      </x:c>
    </x:row>
    <x:row r="1627">
      <x:c r="A1627" t="str">
        <x:v>TXN-RAW-IMP-20260516-FULLDRAFT-001611</x:v>
      </x:c>
      <x:c r="B1627" t="str">
        <x:v>RAW-IMP-20260516-FULLDRAFT-001611</x:v>
      </x:c>
      <x:c r="C1627" t="str">
        <x:v>KTO001</x:v>
      </x:c>
      <x:c r="D1627"/>
      <x:c r="E1627" t="str">
        <x:v>KAT013</x:v>
      </x:c>
      <x:c r="F1627"/>
      <x:c r="G1627"/>
      <x:c r="H1627" t="str">
        <x:v>kein_match</x:v>
      </x:c>
      <x:c r="I1627" t="str">
        <x:v>Agent-Draft: keine finale Regelentscheidung</x:v>
      </x:c>
      <x:c r="J1627" t="n">
        <x:v>45614</x:v>
      </x:c>
      <x:c r="K1627"/>
      <x:c r="L1627"/>
      <x:c r="M1627" t="n">
        <x:v>-7.14</x:v>
      </x:c>
      <x:c r="N1627" t="str">
        <x:v>2024-11</x:v>
      </x:c>
      <x:c r="O1627" t="str">
        <x:v>Ausgabe</x:v>
      </x:c>
      <x:c r="P1627" t="str">
        <x:v>Ist</x:v>
      </x:c>
      <x:c r="Q1627" s="59" t="b">
        <x:v>0</x:v>
      </x:c>
      <x:c r="R1627" t="str">
        <x:v>kein_transfer</x:v>
      </x:c>
      <x:c r="S1627"/>
      <x:c r="T1627"/>
      <x:c r="U1627"/>
      <x:c r="V1627" s="59" t="b">
        <x:v>1</x:v>
      </x:c>
      <x:c r="W1627"/>
      <x:c r="X1627" t="str">
        <x:v>offen</x:v>
      </x:c>
      <x:c r="Y1627" t="str">
        <x:v>Agent-Draft; Kategorie und Person pruefen</x:v>
      </x:c>
    </x:row>
    <x:row r="1628">
      <x:c r="A1628" t="str">
        <x:v>TXN-RAW-IMP-20260516-FULLDRAFT-001612</x:v>
      </x:c>
      <x:c r="B1628" t="str">
        <x:v>RAW-IMP-20260516-FULLDRAFT-001612</x:v>
      </x:c>
      <x:c r="C1628" t="str">
        <x:v>KTO001</x:v>
      </x:c>
      <x:c r="D1628"/>
      <x:c r="E1628" t="str">
        <x:v>KAT013</x:v>
      </x:c>
      <x:c r="F1628"/>
      <x:c r="G1628"/>
      <x:c r="H1628" t="str">
        <x:v>kein_match</x:v>
      </x:c>
      <x:c r="I1628" t="str">
        <x:v>Agent-Draft: keine finale Regelentscheidung</x:v>
      </x:c>
      <x:c r="J1628" t="n">
        <x:v>45611</x:v>
      </x:c>
      <x:c r="K1628"/>
      <x:c r="L1628"/>
      <x:c r="M1628" t="n">
        <x:v>-24.2</x:v>
      </x:c>
      <x:c r="N1628" t="str">
        <x:v>2024-11</x:v>
      </x:c>
      <x:c r="O1628" t="str">
        <x:v>Ausgabe</x:v>
      </x:c>
      <x:c r="P1628" t="str">
        <x:v>Ist</x:v>
      </x:c>
      <x:c r="Q1628" s="59" t="b">
        <x:v>0</x:v>
      </x:c>
      <x:c r="R1628" t="str">
        <x:v>kein_transfer</x:v>
      </x:c>
      <x:c r="S1628"/>
      <x:c r="T1628"/>
      <x:c r="U1628"/>
      <x:c r="V1628" s="59" t="b">
        <x:v>1</x:v>
      </x:c>
      <x:c r="W1628"/>
      <x:c r="X1628" t="str">
        <x:v>offen</x:v>
      </x:c>
      <x:c r="Y1628" t="str">
        <x:v>Agent-Draft; Kategorie und Person pruefen</x:v>
      </x:c>
    </x:row>
    <x:row r="1629">
      <x:c r="A1629" t="str">
        <x:v>TXN-RAW-IMP-20260516-FULLDRAFT-001613</x:v>
      </x:c>
      <x:c r="B1629" t="str">
        <x:v>RAW-IMP-20260516-FULLDRAFT-001613</x:v>
      </x:c>
      <x:c r="C1629" t="str">
        <x:v>KTO001</x:v>
      </x:c>
      <x:c r="D1629"/>
      <x:c r="E1629" t="str">
        <x:v>KAT013</x:v>
      </x:c>
      <x:c r="F1629"/>
      <x:c r="G1629"/>
      <x:c r="H1629" t="str">
        <x:v>kein_match</x:v>
      </x:c>
      <x:c r="I1629" t="str">
        <x:v>Agent-Draft: keine finale Regelentscheidung</x:v>
      </x:c>
      <x:c r="J1629" t="n">
        <x:v>45611</x:v>
      </x:c>
      <x:c r="K1629"/>
      <x:c r="L1629"/>
      <x:c r="M1629" t="n">
        <x:v>-29.59</x:v>
      </x:c>
      <x:c r="N1629" t="str">
        <x:v>2024-11</x:v>
      </x:c>
      <x:c r="O1629" t="str">
        <x:v>Ausgabe</x:v>
      </x:c>
      <x:c r="P1629" t="str">
        <x:v>Ist</x:v>
      </x:c>
      <x:c r="Q1629" s="59" t="b">
        <x:v>0</x:v>
      </x:c>
      <x:c r="R1629" t="str">
        <x:v>kein_transfer</x:v>
      </x:c>
      <x:c r="S1629"/>
      <x:c r="T1629"/>
      <x:c r="U1629"/>
      <x:c r="V1629" s="59" t="b">
        <x:v>1</x:v>
      </x:c>
      <x:c r="W1629"/>
      <x:c r="X1629" t="str">
        <x:v>offen</x:v>
      </x:c>
      <x:c r="Y1629" t="str">
        <x:v>Agent-Draft; Kategorie und Person pruefen</x:v>
      </x:c>
    </x:row>
    <x:row r="1630">
      <x:c r="A1630" t="str">
        <x:v>TXN-RAW-IMP-20260516-FULLDRAFT-001614</x:v>
      </x:c>
      <x:c r="B1630" t="str">
        <x:v>RAW-IMP-20260516-FULLDRAFT-001614</x:v>
      </x:c>
      <x:c r="C1630" t="str">
        <x:v>KTO001</x:v>
      </x:c>
      <x:c r="D1630"/>
      <x:c r="E1630" t="str">
        <x:v>KAT013</x:v>
      </x:c>
      <x:c r="F1630"/>
      <x:c r="G1630"/>
      <x:c r="H1630" t="str">
        <x:v>kein_match</x:v>
      </x:c>
      <x:c r="I1630" t="str">
        <x:v>Agent-Draft: keine finale Regelentscheidung</x:v>
      </x:c>
      <x:c r="J1630" t="n">
        <x:v>45611</x:v>
      </x:c>
      <x:c r="K1630"/>
      <x:c r="L1630"/>
      <x:c r="M1630" t="n">
        <x:v>-6.99</x:v>
      </x:c>
      <x:c r="N1630" t="str">
        <x:v>2024-11</x:v>
      </x:c>
      <x:c r="O1630" t="str">
        <x:v>Ausgabe</x:v>
      </x:c>
      <x:c r="P1630" t="str">
        <x:v>Ist</x:v>
      </x:c>
      <x:c r="Q1630" s="59" t="b">
        <x:v>0</x:v>
      </x:c>
      <x:c r="R1630" t="str">
        <x:v>kein_transfer</x:v>
      </x:c>
      <x:c r="S1630"/>
      <x:c r="T1630"/>
      <x:c r="U1630"/>
      <x:c r="V1630" s="59" t="b">
        <x:v>1</x:v>
      </x:c>
      <x:c r="W1630"/>
      <x:c r="X1630" t="str">
        <x:v>offen</x:v>
      </x:c>
      <x:c r="Y1630" t="str">
        <x:v>Agent-Draft; Kategorie und Person pruefen</x:v>
      </x:c>
    </x:row>
    <x:row r="1631">
      <x:c r="A1631" t="str">
        <x:v>TXN-RAW-IMP-20260516-FULLDRAFT-001615</x:v>
      </x:c>
      <x:c r="B1631" t="str">
        <x:v>RAW-IMP-20260516-FULLDRAFT-001615</x:v>
      </x:c>
      <x:c r="C1631" t="str">
        <x:v>KTO001</x:v>
      </x:c>
      <x:c r="D1631"/>
      <x:c r="E1631" t="str">
        <x:v>KAT013</x:v>
      </x:c>
      <x:c r="F1631"/>
      <x:c r="G1631"/>
      <x:c r="H1631" t="str">
        <x:v>kein_match</x:v>
      </x:c>
      <x:c r="I1631" t="str">
        <x:v>Agent-Draft: keine finale Regelentscheidung</x:v>
      </x:c>
      <x:c r="J1631" t="n">
        <x:v>45611</x:v>
      </x:c>
      <x:c r="K1631"/>
      <x:c r="L1631"/>
      <x:c r="M1631" t="n">
        <x:v>-6.99</x:v>
      </x:c>
      <x:c r="N1631" t="str">
        <x:v>2024-11</x:v>
      </x:c>
      <x:c r="O1631" t="str">
        <x:v>Ausgabe</x:v>
      </x:c>
      <x:c r="P1631" t="str">
        <x:v>Ist</x:v>
      </x:c>
      <x:c r="Q1631" s="59" t="b">
        <x:v>0</x:v>
      </x:c>
      <x:c r="R1631" t="str">
        <x:v>kein_transfer</x:v>
      </x:c>
      <x:c r="S1631"/>
      <x:c r="T1631"/>
      <x:c r="U1631"/>
      <x:c r="V1631" s="59" t="b">
        <x:v>1</x:v>
      </x:c>
      <x:c r="W1631"/>
      <x:c r="X1631" t="str">
        <x:v>offen</x:v>
      </x:c>
      <x:c r="Y1631" t="str">
        <x:v>Agent-Draft; Kategorie und Person pruefen</x:v>
      </x:c>
    </x:row>
    <x:row r="1632">
      <x:c r="A1632" t="str">
        <x:v>TXN-RAW-IMP-20260516-FULLDRAFT-001616</x:v>
      </x:c>
      <x:c r="B1632" t="str">
        <x:v>RAW-IMP-20260516-FULLDRAFT-001616</x:v>
      </x:c>
      <x:c r="C1632" t="str">
        <x:v>KTO001</x:v>
      </x:c>
      <x:c r="D1632"/>
      <x:c r="E1632" t="str">
        <x:v>KAT013</x:v>
      </x:c>
      <x:c r="F1632"/>
      <x:c r="G1632"/>
      <x:c r="H1632" t="str">
        <x:v>kein_match</x:v>
      </x:c>
      <x:c r="I1632" t="str">
        <x:v>Agent-Draft: keine finale Regelentscheidung</x:v>
      </x:c>
      <x:c r="J1632" t="n">
        <x:v>45611</x:v>
      </x:c>
      <x:c r="K1632"/>
      <x:c r="L1632"/>
      <x:c r="M1632" t="n">
        <x:v>-6.99</x:v>
      </x:c>
      <x:c r="N1632" t="str">
        <x:v>2024-11</x:v>
      </x:c>
      <x:c r="O1632" t="str">
        <x:v>Ausgabe</x:v>
      </x:c>
      <x:c r="P1632" t="str">
        <x:v>Ist</x:v>
      </x:c>
      <x:c r="Q1632" s="59" t="b">
        <x:v>0</x:v>
      </x:c>
      <x:c r="R1632" t="str">
        <x:v>kein_transfer</x:v>
      </x:c>
      <x:c r="S1632"/>
      <x:c r="T1632"/>
      <x:c r="U1632"/>
      <x:c r="V1632" s="59" t="b">
        <x:v>1</x:v>
      </x:c>
      <x:c r="W1632"/>
      <x:c r="X1632" t="str">
        <x:v>offen</x:v>
      </x:c>
      <x:c r="Y1632" t="str">
        <x:v>Agent-Draft; Kategorie und Person pruefen</x:v>
      </x:c>
    </x:row>
    <x:row r="1633">
      <x:c r="A1633" t="str">
        <x:v>TXN-RAW-IMP-20260516-FULLDRAFT-001617</x:v>
      </x:c>
      <x:c r="B1633" t="str">
        <x:v>RAW-IMP-20260516-FULLDRAFT-001617</x:v>
      </x:c>
      <x:c r="C1633" t="str">
        <x:v>KTO001</x:v>
      </x:c>
      <x:c r="D1633"/>
      <x:c r="E1633" t="str">
        <x:v>KAT013</x:v>
      </x:c>
      <x:c r="F1633"/>
      <x:c r="G1633"/>
      <x:c r="H1633" t="str">
        <x:v>kein_match</x:v>
      </x:c>
      <x:c r="I1633" t="str">
        <x:v>Agent-Draft: keine finale Regelentscheidung</x:v>
      </x:c>
      <x:c r="J1633" t="n">
        <x:v>45610</x:v>
      </x:c>
      <x:c r="K1633"/>
      <x:c r="L1633"/>
      <x:c r="M1633" t="n">
        <x:v>-12.99</x:v>
      </x:c>
      <x:c r="N1633" t="str">
        <x:v>2024-11</x:v>
      </x:c>
      <x:c r="O1633" t="str">
        <x:v>Ausgabe</x:v>
      </x:c>
      <x:c r="P1633" t="str">
        <x:v>Ist</x:v>
      </x:c>
      <x:c r="Q1633" s="59" t="b">
        <x:v>0</x:v>
      </x:c>
      <x:c r="R1633" t="str">
        <x:v>kein_transfer</x:v>
      </x:c>
      <x:c r="S1633"/>
      <x:c r="T1633"/>
      <x:c r="U1633"/>
      <x:c r="V1633" s="59" t="b">
        <x:v>1</x:v>
      </x:c>
      <x:c r="W1633"/>
      <x:c r="X1633" t="str">
        <x:v>offen</x:v>
      </x:c>
      <x:c r="Y1633" t="str">
        <x:v>Agent-Draft; Kategorie und Person pruefen</x:v>
      </x:c>
    </x:row>
    <x:row r="1634">
      <x:c r="A1634" t="str">
        <x:v>TXN-RAW-IMP-20260516-FULLDRAFT-001618</x:v>
      </x:c>
      <x:c r="B1634" t="str">
        <x:v>RAW-IMP-20260516-FULLDRAFT-001618</x:v>
      </x:c>
      <x:c r="C1634" t="str">
        <x:v>KTO001</x:v>
      </x:c>
      <x:c r="D1634"/>
      <x:c r="E1634" t="str">
        <x:v>KAT013</x:v>
      </x:c>
      <x:c r="F1634"/>
      <x:c r="G1634"/>
      <x:c r="H1634" t="str">
        <x:v>kein_match</x:v>
      </x:c>
      <x:c r="I1634" t="str">
        <x:v>Agent-Draft: keine finale Regelentscheidung</x:v>
      </x:c>
      <x:c r="J1634" t="n">
        <x:v>45609</x:v>
      </x:c>
      <x:c r="K1634"/>
      <x:c r="L1634"/>
      <x:c r="M1634" t="n">
        <x:v>-2.29</x:v>
      </x:c>
      <x:c r="N1634" t="str">
        <x:v>2024-11</x:v>
      </x:c>
      <x:c r="O1634" t="str">
        <x:v>Ausgabe</x:v>
      </x:c>
      <x:c r="P1634" t="str">
        <x:v>Ist</x:v>
      </x:c>
      <x:c r="Q1634" s="59" t="b">
        <x:v>0</x:v>
      </x:c>
      <x:c r="R1634" t="str">
        <x:v>kein_transfer</x:v>
      </x:c>
      <x:c r="S1634"/>
      <x:c r="T1634"/>
      <x:c r="U1634"/>
      <x:c r="V1634" s="59" t="b">
        <x:v>1</x:v>
      </x:c>
      <x:c r="W1634"/>
      <x:c r="X1634" t="str">
        <x:v>offen</x:v>
      </x:c>
      <x:c r="Y1634" t="str">
        <x:v>Agent-Draft; Kategorie und Person pruefen</x:v>
      </x:c>
    </x:row>
    <x:row r="1635">
      <x:c r="A1635" t="str">
        <x:v>TXN-RAW-IMP-20260516-FULLDRAFT-001619</x:v>
      </x:c>
      <x:c r="B1635" t="str">
        <x:v>RAW-IMP-20260516-FULLDRAFT-001619</x:v>
      </x:c>
      <x:c r="C1635" t="str">
        <x:v>KTO001</x:v>
      </x:c>
      <x:c r="D1635"/>
      <x:c r="E1635" t="str">
        <x:v>KAT013</x:v>
      </x:c>
      <x:c r="F1635"/>
      <x:c r="G1635"/>
      <x:c r="H1635" t="str">
        <x:v>kein_match</x:v>
      </x:c>
      <x:c r="I1635" t="str">
        <x:v>Agent-Draft: keine finale Regelentscheidung</x:v>
      </x:c>
      <x:c r="J1635" t="n">
        <x:v>45609</x:v>
      </x:c>
      <x:c r="K1635"/>
      <x:c r="L1635"/>
      <x:c r="M1635" t="n">
        <x:v>-18.14</x:v>
      </x:c>
      <x:c r="N1635" t="str">
        <x:v>2024-11</x:v>
      </x:c>
      <x:c r="O1635" t="str">
        <x:v>Ausgabe</x:v>
      </x:c>
      <x:c r="P1635" t="str">
        <x:v>Ist</x:v>
      </x:c>
      <x:c r="Q1635" s="59" t="b">
        <x:v>0</x:v>
      </x:c>
      <x:c r="R1635" t="str">
        <x:v>kein_transfer</x:v>
      </x:c>
      <x:c r="S1635"/>
      <x:c r="T1635"/>
      <x:c r="U1635"/>
      <x:c r="V1635" s="59" t="b">
        <x:v>1</x:v>
      </x:c>
      <x:c r="W1635"/>
      <x:c r="X1635" t="str">
        <x:v>offen</x:v>
      </x:c>
      <x:c r="Y1635" t="str">
        <x:v>Agent-Draft; Kategorie und Person pruefen</x:v>
      </x:c>
    </x:row>
    <x:row r="1636">
      <x:c r="A1636" t="str">
        <x:v>TXN-RAW-IMP-20260516-FULLDRAFT-001620</x:v>
      </x:c>
      <x:c r="B1636" t="str">
        <x:v>RAW-IMP-20260516-FULLDRAFT-001620</x:v>
      </x:c>
      <x:c r="C1636" t="str">
        <x:v>KTO001</x:v>
      </x:c>
      <x:c r="D1636"/>
      <x:c r="E1636" t="str">
        <x:v>KAT013</x:v>
      </x:c>
      <x:c r="F1636"/>
      <x:c r="G1636"/>
      <x:c r="H1636" t="str">
        <x:v>kein_match</x:v>
      </x:c>
      <x:c r="I1636" t="str">
        <x:v>Agent-Draft: keine finale Regelentscheidung</x:v>
      </x:c>
      <x:c r="J1636" t="n">
        <x:v>45607</x:v>
      </x:c>
      <x:c r="K1636"/>
      <x:c r="L1636"/>
      <x:c r="M1636" t="n">
        <x:v>-140</x:v>
      </x:c>
      <x:c r="N1636" t="str">
        <x:v>2024-11</x:v>
      </x:c>
      <x:c r="O1636" t="str">
        <x:v>Ausgabe</x:v>
      </x:c>
      <x:c r="P1636" t="str">
        <x:v>Ist</x:v>
      </x:c>
      <x:c r="Q1636" s="59" t="b">
        <x:v>0</x:v>
      </x:c>
      <x:c r="R1636" t="str">
        <x:v>kein_transfer</x:v>
      </x:c>
      <x:c r="S1636"/>
      <x:c r="T1636"/>
      <x:c r="U1636"/>
      <x:c r="V1636" s="59" t="b">
        <x:v>1</x:v>
      </x:c>
      <x:c r="W1636"/>
      <x:c r="X1636" t="str">
        <x:v>offen</x:v>
      </x:c>
      <x:c r="Y1636" t="str">
        <x:v>Agent-Draft; Kategorie und Person pruefen</x:v>
      </x:c>
    </x:row>
    <x:row r="1637">
      <x:c r="A1637" t="str">
        <x:v>TXN-RAW-IMP-20260516-FULLDRAFT-001621</x:v>
      </x:c>
      <x:c r="B1637" t="str">
        <x:v>RAW-IMP-20260516-FULLDRAFT-001621</x:v>
      </x:c>
      <x:c r="C1637" t="str">
        <x:v>KTO001</x:v>
      </x:c>
      <x:c r="D1637"/>
      <x:c r="E1637" t="str">
        <x:v>KAT013</x:v>
      </x:c>
      <x:c r="F1637"/>
      <x:c r="G1637"/>
      <x:c r="H1637" t="str">
        <x:v>kein_match</x:v>
      </x:c>
      <x:c r="I1637" t="str">
        <x:v>Agent-Draft: keine finale Regelentscheidung</x:v>
      </x:c>
      <x:c r="J1637" t="n">
        <x:v>45607</x:v>
      </x:c>
      <x:c r="K1637"/>
      <x:c r="L1637"/>
      <x:c r="M1637" t="n">
        <x:v>-144.72</x:v>
      </x:c>
      <x:c r="N1637" t="str">
        <x:v>2024-11</x:v>
      </x:c>
      <x:c r="O1637" t="str">
        <x:v>Ausgabe</x:v>
      </x:c>
      <x:c r="P1637" t="str">
        <x:v>Ist</x:v>
      </x:c>
      <x:c r="Q1637" s="59" t="b">
        <x:v>0</x:v>
      </x:c>
      <x:c r="R1637" t="str">
        <x:v>kein_transfer</x:v>
      </x:c>
      <x:c r="S1637"/>
      <x:c r="T1637"/>
      <x:c r="U1637"/>
      <x:c r="V1637" s="59" t="b">
        <x:v>1</x:v>
      </x:c>
      <x:c r="W1637"/>
      <x:c r="X1637" t="str">
        <x:v>offen</x:v>
      </x:c>
      <x:c r="Y1637" t="str">
        <x:v>Agent-Draft; Kategorie und Person pruefen</x:v>
      </x:c>
    </x:row>
    <x:row r="1638">
      <x:c r="A1638" t="str">
        <x:v>TXN-RAW-IMP-20260516-FULLDRAFT-001622</x:v>
      </x:c>
      <x:c r="B1638" t="str">
        <x:v>RAW-IMP-20260516-FULLDRAFT-001622</x:v>
      </x:c>
      <x:c r="C1638" t="str">
        <x:v>KTO001</x:v>
      </x:c>
      <x:c r="D1638"/>
      <x:c r="E1638" t="str">
        <x:v>KAT013</x:v>
      </x:c>
      <x:c r="F1638"/>
      <x:c r="G1638"/>
      <x:c r="H1638" t="str">
        <x:v>kein_match</x:v>
      </x:c>
      <x:c r="I1638" t="str">
        <x:v>Agent-Draft: keine finale Regelentscheidung</x:v>
      </x:c>
      <x:c r="J1638" t="n">
        <x:v>45607</x:v>
      </x:c>
      <x:c r="K1638"/>
      <x:c r="L1638"/>
      <x:c r="M1638" t="n">
        <x:v>-83</x:v>
      </x:c>
      <x:c r="N1638" t="str">
        <x:v>2024-11</x:v>
      </x:c>
      <x:c r="O1638" t="str">
        <x:v>Ausgabe</x:v>
      </x:c>
      <x:c r="P1638" t="str">
        <x:v>Ist</x:v>
      </x:c>
      <x:c r="Q1638" s="59" t="b">
        <x:v>0</x:v>
      </x:c>
      <x:c r="R1638" t="str">
        <x:v>kein_transfer</x:v>
      </x:c>
      <x:c r="S1638"/>
      <x:c r="T1638"/>
      <x:c r="U1638"/>
      <x:c r="V1638" s="59" t="b">
        <x:v>1</x:v>
      </x:c>
      <x:c r="W1638"/>
      <x:c r="X1638" t="str">
        <x:v>offen</x:v>
      </x:c>
      <x:c r="Y1638" t="str">
        <x:v>Agent-Draft; Kategorie und Person pruefen</x:v>
      </x:c>
    </x:row>
    <x:row r="1639">
      <x:c r="A1639" t="str">
        <x:v>TXN-RAW-IMP-20260516-FULLDRAFT-001623</x:v>
      </x:c>
      <x:c r="B1639" t="str">
        <x:v>RAW-IMP-20260516-FULLDRAFT-001623</x:v>
      </x:c>
      <x:c r="C1639" t="str">
        <x:v>KTO001</x:v>
      </x:c>
      <x:c r="D1639"/>
      <x:c r="E1639" t="str">
        <x:v>KAT013</x:v>
      </x:c>
      <x:c r="F1639"/>
      <x:c r="G1639"/>
      <x:c r="H1639" t="str">
        <x:v>kein_match</x:v>
      </x:c>
      <x:c r="I1639" t="str">
        <x:v>Agent-Draft: keine finale Regelentscheidung</x:v>
      </x:c>
      <x:c r="J1639" t="n">
        <x:v>45604</x:v>
      </x:c>
      <x:c r="K1639"/>
      <x:c r="L1639"/>
      <x:c r="M1639" t="n">
        <x:v>75</x:v>
      </x:c>
      <x:c r="N1639" t="str">
        <x:v>2024-11</x:v>
      </x:c>
      <x:c r="O1639" t="str">
        <x:v>Einnahme</x:v>
      </x:c>
      <x:c r="P1639" t="str">
        <x:v>Ist</x:v>
      </x:c>
      <x:c r="Q1639" s="59" t="b">
        <x:v>0</x:v>
      </x:c>
      <x:c r="R1639" t="str">
        <x:v>kein_transfer</x:v>
      </x:c>
      <x:c r="S1639"/>
      <x:c r="T1639"/>
      <x:c r="U1639"/>
      <x:c r="V1639" s="59" t="b">
        <x:v>1</x:v>
      </x:c>
      <x:c r="W1639"/>
      <x:c r="X1639" t="str">
        <x:v>offen</x:v>
      </x:c>
      <x:c r="Y1639" t="str">
        <x:v>Agent-Draft; Kategorie und Person pruefen</x:v>
      </x:c>
    </x:row>
    <x:row r="1640">
      <x:c r="A1640" t="str">
        <x:v>TXN-RAW-IMP-20260516-FULLDRAFT-001624</x:v>
      </x:c>
      <x:c r="B1640" t="str">
        <x:v>RAW-IMP-20260516-FULLDRAFT-001624</x:v>
      </x:c>
      <x:c r="C1640" t="str">
        <x:v>KTO001</x:v>
      </x:c>
      <x:c r="D1640"/>
      <x:c r="E1640" t="str">
        <x:v>KAT013</x:v>
      </x:c>
      <x:c r="F1640"/>
      <x:c r="G1640"/>
      <x:c r="H1640" t="str">
        <x:v>kein_match</x:v>
      </x:c>
      <x:c r="I1640" t="str">
        <x:v>Agent-Draft: keine finale Regelentscheidung</x:v>
      </x:c>
      <x:c r="J1640" t="n">
        <x:v>45603</x:v>
      </x:c>
      <x:c r="K1640"/>
      <x:c r="L1640"/>
      <x:c r="M1640" t="n">
        <x:v>-15.76</x:v>
      </x:c>
      <x:c r="N1640" t="str">
        <x:v>2024-11</x:v>
      </x:c>
      <x:c r="O1640" t="str">
        <x:v>Ausgabe</x:v>
      </x:c>
      <x:c r="P1640" t="str">
        <x:v>Ist</x:v>
      </x:c>
      <x:c r="Q1640" s="59" t="b">
        <x:v>0</x:v>
      </x:c>
      <x:c r="R1640" t="str">
        <x:v>kein_transfer</x:v>
      </x:c>
      <x:c r="S1640"/>
      <x:c r="T1640"/>
      <x:c r="U1640"/>
      <x:c r="V1640" s="59" t="b">
        <x:v>1</x:v>
      </x:c>
      <x:c r="W1640"/>
      <x:c r="X1640" t="str">
        <x:v>offen</x:v>
      </x:c>
      <x:c r="Y1640" t="str">
        <x:v>Agent-Draft; Kategorie und Person pruefen</x:v>
      </x:c>
    </x:row>
    <x:row r="1641">
      <x:c r="A1641" t="str">
        <x:v>TXN-RAW-IMP-20260516-FULLDRAFT-001625</x:v>
      </x:c>
      <x:c r="B1641" t="str">
        <x:v>RAW-IMP-20260516-FULLDRAFT-001625</x:v>
      </x:c>
      <x:c r="C1641" t="str">
        <x:v>KTO001</x:v>
      </x:c>
      <x:c r="D1641"/>
      <x:c r="E1641" t="str">
        <x:v>KAT013</x:v>
      </x:c>
      <x:c r="F1641"/>
      <x:c r="G1641"/>
      <x:c r="H1641" t="str">
        <x:v>kein_match</x:v>
      </x:c>
      <x:c r="I1641" t="str">
        <x:v>Agent-Draft: keine finale Regelentscheidung</x:v>
      </x:c>
      <x:c r="J1641" t="n">
        <x:v>45602</x:v>
      </x:c>
      <x:c r="K1641"/>
      <x:c r="L1641"/>
      <x:c r="M1641" t="n">
        <x:v>-49.9</x:v>
      </x:c>
      <x:c r="N1641" t="str">
        <x:v>2024-11</x:v>
      </x:c>
      <x:c r="O1641" t="str">
        <x:v>Ausgabe</x:v>
      </x:c>
      <x:c r="P1641" t="str">
        <x:v>Ist</x:v>
      </x:c>
      <x:c r="Q1641" s="59" t="b">
        <x:v>0</x:v>
      </x:c>
      <x:c r="R1641" t="str">
        <x:v>kein_transfer</x:v>
      </x:c>
      <x:c r="S1641"/>
      <x:c r="T1641"/>
      <x:c r="U1641"/>
      <x:c r="V1641" s="59" t="b">
        <x:v>1</x:v>
      </x:c>
      <x:c r="W1641"/>
      <x:c r="X1641" t="str">
        <x:v>offen</x:v>
      </x:c>
      <x:c r="Y1641" t="str">
        <x:v>Agent-Draft; Kategorie und Person pruefen</x:v>
      </x:c>
    </x:row>
    <x:row r="1642">
      <x:c r="A1642" t="str">
        <x:v>TXN-RAW-IMP-20260516-FULLDRAFT-001626</x:v>
      </x:c>
      <x:c r="B1642" t="str">
        <x:v>RAW-IMP-20260516-FULLDRAFT-001626</x:v>
      </x:c>
      <x:c r="C1642" t="str">
        <x:v>KTO001</x:v>
      </x:c>
      <x:c r="D1642"/>
      <x:c r="E1642" t="str">
        <x:v>KAT013</x:v>
      </x:c>
      <x:c r="F1642"/>
      <x:c r="G1642"/>
      <x:c r="H1642" t="str">
        <x:v>kein_match</x:v>
      </x:c>
      <x:c r="I1642" t="str">
        <x:v>Agent-Draft: keine finale Regelentscheidung</x:v>
      </x:c>
      <x:c r="J1642" t="n">
        <x:v>45601</x:v>
      </x:c>
      <x:c r="K1642"/>
      <x:c r="L1642"/>
      <x:c r="M1642" t="n">
        <x:v>-53.3</x:v>
      </x:c>
      <x:c r="N1642" t="str">
        <x:v>2024-11</x:v>
      </x:c>
      <x:c r="O1642" t="str">
        <x:v>Ausgabe</x:v>
      </x:c>
      <x:c r="P1642" t="str">
        <x:v>Ist</x:v>
      </x:c>
      <x:c r="Q1642" s="59" t="b">
        <x:v>0</x:v>
      </x:c>
      <x:c r="R1642" t="str">
        <x:v>kein_transfer</x:v>
      </x:c>
      <x:c r="S1642"/>
      <x:c r="T1642"/>
      <x:c r="U1642"/>
      <x:c r="V1642" s="59" t="b">
        <x:v>1</x:v>
      </x:c>
      <x:c r="W1642"/>
      <x:c r="X1642" t="str">
        <x:v>offen</x:v>
      </x:c>
      <x:c r="Y1642" t="str">
        <x:v>Agent-Draft; Kategorie und Person pruefen</x:v>
      </x:c>
    </x:row>
    <x:row r="1643">
      <x:c r="A1643" t="str">
        <x:v>TXN-RAW-IMP-20260516-FULLDRAFT-001627</x:v>
      </x:c>
      <x:c r="B1643" t="str">
        <x:v>RAW-IMP-20260516-FULLDRAFT-001627</x:v>
      </x:c>
      <x:c r="C1643" t="str">
        <x:v>KTO001</x:v>
      </x:c>
      <x:c r="D1643"/>
      <x:c r="E1643" t="str">
        <x:v>KAT013</x:v>
      </x:c>
      <x:c r="F1643"/>
      <x:c r="G1643"/>
      <x:c r="H1643" t="str">
        <x:v>kein_match</x:v>
      </x:c>
      <x:c r="I1643" t="str">
        <x:v>Agent-Draft: keine finale Regelentscheidung</x:v>
      </x:c>
      <x:c r="J1643" t="n">
        <x:v>45601</x:v>
      </x:c>
      <x:c r="K1643"/>
      <x:c r="L1643"/>
      <x:c r="M1643" t="n">
        <x:v>-57.5</x:v>
      </x:c>
      <x:c r="N1643" t="str">
        <x:v>2024-11</x:v>
      </x:c>
      <x:c r="O1643" t="str">
        <x:v>Ausgabe</x:v>
      </x:c>
      <x:c r="P1643" t="str">
        <x:v>Ist</x:v>
      </x:c>
      <x:c r="Q1643" s="59" t="b">
        <x:v>0</x:v>
      </x:c>
      <x:c r="R1643" t="str">
        <x:v>kein_transfer</x:v>
      </x:c>
      <x:c r="S1643"/>
      <x:c r="T1643"/>
      <x:c r="U1643"/>
      <x:c r="V1643" s="59" t="b">
        <x:v>1</x:v>
      </x:c>
      <x:c r="W1643"/>
      <x:c r="X1643" t="str">
        <x:v>offen</x:v>
      </x:c>
      <x:c r="Y1643" t="str">
        <x:v>Agent-Draft; Kategorie und Person pruefen</x:v>
      </x:c>
    </x:row>
    <x:row r="1644">
      <x:c r="A1644" t="str">
        <x:v>TXN-RAW-IMP-20260516-FULLDRAFT-001628</x:v>
      </x:c>
      <x:c r="B1644" t="str">
        <x:v>RAW-IMP-20260516-FULLDRAFT-001628</x:v>
      </x:c>
      <x:c r="C1644" t="str">
        <x:v>KTO001</x:v>
      </x:c>
      <x:c r="D1644"/>
      <x:c r="E1644" t="str">
        <x:v>KAT013</x:v>
      </x:c>
      <x:c r="F1644"/>
      <x:c r="G1644"/>
      <x:c r="H1644" t="str">
        <x:v>kein_match</x:v>
      </x:c>
      <x:c r="I1644" t="str">
        <x:v>Agent-Draft: keine finale Regelentscheidung</x:v>
      </x:c>
      <x:c r="J1644" t="n">
        <x:v>45601</x:v>
      </x:c>
      <x:c r="K1644"/>
      <x:c r="L1644"/>
      <x:c r="M1644" t="n">
        <x:v>-55.78</x:v>
      </x:c>
      <x:c r="N1644" t="str">
        <x:v>2024-11</x:v>
      </x:c>
      <x:c r="O1644" t="str">
        <x:v>Ausgabe</x:v>
      </x:c>
      <x:c r="P1644" t="str">
        <x:v>Ist</x:v>
      </x:c>
      <x:c r="Q1644" s="59" t="b">
        <x:v>0</x:v>
      </x:c>
      <x:c r="R1644" t="str">
        <x:v>kein_transfer</x:v>
      </x:c>
      <x:c r="S1644"/>
      <x:c r="T1644"/>
      <x:c r="U1644"/>
      <x:c r="V1644" s="59" t="b">
        <x:v>1</x:v>
      </x:c>
      <x:c r="W1644"/>
      <x:c r="X1644" t="str">
        <x:v>offen</x:v>
      </x:c>
      <x:c r="Y1644" t="str">
        <x:v>Agent-Draft; Kategorie und Person pruefen</x:v>
      </x:c>
    </x:row>
    <x:row r="1645">
      <x:c r="A1645" t="str">
        <x:v>TXN-RAW-IMP-20260516-FULLDRAFT-001629</x:v>
      </x:c>
      <x:c r="B1645" t="str">
        <x:v>RAW-IMP-20260516-FULLDRAFT-001629</x:v>
      </x:c>
      <x:c r="C1645" t="str">
        <x:v>KTO001</x:v>
      </x:c>
      <x:c r="D1645"/>
      <x:c r="E1645" t="str">
        <x:v>KAT013</x:v>
      </x:c>
      <x:c r="F1645"/>
      <x:c r="G1645"/>
      <x:c r="H1645" t="str">
        <x:v>kein_match</x:v>
      </x:c>
      <x:c r="I1645" t="str">
        <x:v>Agent-Draft: keine finale Regelentscheidung</x:v>
      </x:c>
      <x:c r="J1645" t="n">
        <x:v>45600</x:v>
      </x:c>
      <x:c r="K1645"/>
      <x:c r="L1645"/>
      <x:c r="M1645" t="n">
        <x:v>-36.84</x:v>
      </x:c>
      <x:c r="N1645" t="str">
        <x:v>2024-11</x:v>
      </x:c>
      <x:c r="O1645" t="str">
        <x:v>Ausgabe</x:v>
      </x:c>
      <x:c r="P1645" t="str">
        <x:v>Ist</x:v>
      </x:c>
      <x:c r="Q1645" s="59" t="b">
        <x:v>0</x:v>
      </x:c>
      <x:c r="R1645" t="str">
        <x:v>kein_transfer</x:v>
      </x:c>
      <x:c r="S1645"/>
      <x:c r="T1645"/>
      <x:c r="U1645"/>
      <x:c r="V1645" s="59" t="b">
        <x:v>1</x:v>
      </x:c>
      <x:c r="W1645"/>
      <x:c r="X1645" t="str">
        <x:v>offen</x:v>
      </x:c>
      <x:c r="Y1645" t="str">
        <x:v>Agent-Draft; Kategorie und Person pruefen</x:v>
      </x:c>
    </x:row>
    <x:row r="1646">
      <x:c r="A1646" t="str">
        <x:v>TXN-RAW-IMP-20260516-FULLDRAFT-001630</x:v>
      </x:c>
      <x:c r="B1646" t="str">
        <x:v>RAW-IMP-20260516-FULLDRAFT-001630</x:v>
      </x:c>
      <x:c r="C1646" t="str">
        <x:v>KTO001</x:v>
      </x:c>
      <x:c r="D1646"/>
      <x:c r="E1646" t="str">
        <x:v>KAT013</x:v>
      </x:c>
      <x:c r="F1646"/>
      <x:c r="G1646"/>
      <x:c r="H1646" t="str">
        <x:v>kein_match</x:v>
      </x:c>
      <x:c r="I1646" t="str">
        <x:v>Agent-Draft: keine finale Regelentscheidung</x:v>
      </x:c>
      <x:c r="J1646" t="n">
        <x:v>45600</x:v>
      </x:c>
      <x:c r="K1646"/>
      <x:c r="L1646"/>
      <x:c r="M1646" t="n">
        <x:v>-1.9</x:v>
      </x:c>
      <x:c r="N1646" t="str">
        <x:v>2024-11</x:v>
      </x:c>
      <x:c r="O1646" t="str">
        <x:v>Ausgabe</x:v>
      </x:c>
      <x:c r="P1646" t="str">
        <x:v>Ist</x:v>
      </x:c>
      <x:c r="Q1646" s="59" t="b">
        <x:v>0</x:v>
      </x:c>
      <x:c r="R1646" t="str">
        <x:v>kein_transfer</x:v>
      </x:c>
      <x:c r="S1646"/>
      <x:c r="T1646"/>
      <x:c r="U1646"/>
      <x:c r="V1646" s="59" t="b">
        <x:v>1</x:v>
      </x:c>
      <x:c r="W1646"/>
      <x:c r="X1646" t="str">
        <x:v>offen</x:v>
      </x:c>
      <x:c r="Y1646" t="str">
        <x:v>Agent-Draft; Kategorie und Person pruefen</x:v>
      </x:c>
    </x:row>
    <x:row r="1647">
      <x:c r="A1647" t="str">
        <x:v>TXN-RAW-IMP-20260516-FULLDRAFT-001631</x:v>
      </x:c>
      <x:c r="B1647" t="str">
        <x:v>RAW-IMP-20260516-FULLDRAFT-001631</x:v>
      </x:c>
      <x:c r="C1647" t="str">
        <x:v>KTO001</x:v>
      </x:c>
      <x:c r="D1647"/>
      <x:c r="E1647" t="str">
        <x:v>KAT013</x:v>
      </x:c>
      <x:c r="F1647"/>
      <x:c r="G1647"/>
      <x:c r="H1647" t="str">
        <x:v>kein_match</x:v>
      </x:c>
      <x:c r="I1647" t="str">
        <x:v>Agent-Draft: keine finale Regelentscheidung</x:v>
      </x:c>
      <x:c r="J1647" t="n">
        <x:v>45600</x:v>
      </x:c>
      <x:c r="K1647"/>
      <x:c r="L1647"/>
      <x:c r="M1647" t="n">
        <x:v>-10</x:v>
      </x:c>
      <x:c r="N1647" t="str">
        <x:v>2024-11</x:v>
      </x:c>
      <x:c r="O1647" t="str">
        <x:v>Ausgabe</x:v>
      </x:c>
      <x:c r="P1647" t="str">
        <x:v>Ist</x:v>
      </x:c>
      <x:c r="Q1647" s="59" t="b">
        <x:v>0</x:v>
      </x:c>
      <x:c r="R1647" t="str">
        <x:v>kein_transfer</x:v>
      </x:c>
      <x:c r="S1647"/>
      <x:c r="T1647"/>
      <x:c r="U1647"/>
      <x:c r="V1647" s="59" t="b">
        <x:v>1</x:v>
      </x:c>
      <x:c r="W1647"/>
      <x:c r="X1647" t="str">
        <x:v>offen</x:v>
      </x:c>
      <x:c r="Y1647" t="str">
        <x:v>Agent-Draft; Kategorie und Person pruefen</x:v>
      </x:c>
    </x:row>
    <x:row r="1648">
      <x:c r="A1648" t="str">
        <x:v>TXN-RAW-IMP-20260516-FULLDRAFT-001632</x:v>
      </x:c>
      <x:c r="B1648" t="str">
        <x:v>RAW-IMP-20260516-FULLDRAFT-001632</x:v>
      </x:c>
      <x:c r="C1648" t="str">
        <x:v>KTO001</x:v>
      </x:c>
      <x:c r="D1648"/>
      <x:c r="E1648" t="str">
        <x:v>KAT013</x:v>
      </x:c>
      <x:c r="F1648"/>
      <x:c r="G1648"/>
      <x:c r="H1648" t="str">
        <x:v>kein_match</x:v>
      </x:c>
      <x:c r="I1648" t="str">
        <x:v>Agent-Draft: keine finale Regelentscheidung</x:v>
      </x:c>
      <x:c r="J1648" t="n">
        <x:v>45600</x:v>
      </x:c>
      <x:c r="K1648"/>
      <x:c r="L1648"/>
      <x:c r="M1648" t="n">
        <x:v>-5</x:v>
      </x:c>
      <x:c r="N1648" t="str">
        <x:v>2024-11</x:v>
      </x:c>
      <x:c r="O1648" t="str">
        <x:v>Ausgabe</x:v>
      </x:c>
      <x:c r="P1648" t="str">
        <x:v>Ist</x:v>
      </x:c>
      <x:c r="Q1648" s="59" t="b">
        <x:v>0</x:v>
      </x:c>
      <x:c r="R1648" t="str">
        <x:v>kein_transfer</x:v>
      </x:c>
      <x:c r="S1648"/>
      <x:c r="T1648"/>
      <x:c r="U1648"/>
      <x:c r="V1648" s="59" t="b">
        <x:v>1</x:v>
      </x:c>
      <x:c r="W1648"/>
      <x:c r="X1648" t="str">
        <x:v>offen</x:v>
      </x:c>
      <x:c r="Y1648" t="str">
        <x:v>Agent-Draft; Kategorie und Person pruefen</x:v>
      </x:c>
    </x:row>
    <x:row r="1649">
      <x:c r="A1649" t="str">
        <x:v>TXN-RAW-IMP-20260516-FULLDRAFT-001633</x:v>
      </x:c>
      <x:c r="B1649" t="str">
        <x:v>RAW-IMP-20260516-FULLDRAFT-001633</x:v>
      </x:c>
      <x:c r="C1649" t="str">
        <x:v>KTO001</x:v>
      </x:c>
      <x:c r="D1649"/>
      <x:c r="E1649" t="str">
        <x:v>KAT013</x:v>
      </x:c>
      <x:c r="F1649"/>
      <x:c r="G1649"/>
      <x:c r="H1649" t="str">
        <x:v>kein_match</x:v>
      </x:c>
      <x:c r="I1649" t="str">
        <x:v>Agent-Draft: keine finale Regelentscheidung</x:v>
      </x:c>
      <x:c r="J1649" t="n">
        <x:v>45600</x:v>
      </x:c>
      <x:c r="K1649"/>
      <x:c r="L1649"/>
      <x:c r="M1649" t="n">
        <x:v>-3.9</x:v>
      </x:c>
      <x:c r="N1649" t="str">
        <x:v>2024-11</x:v>
      </x:c>
      <x:c r="O1649" t="str">
        <x:v>Ausgabe</x:v>
      </x:c>
      <x:c r="P1649" t="str">
        <x:v>Ist</x:v>
      </x:c>
      <x:c r="Q1649" s="59" t="b">
        <x:v>0</x:v>
      </x:c>
      <x:c r="R1649" t="str">
        <x:v>kein_transfer</x:v>
      </x:c>
      <x:c r="S1649"/>
      <x:c r="T1649"/>
      <x:c r="U1649"/>
      <x:c r="V1649" s="59" t="b">
        <x:v>1</x:v>
      </x:c>
      <x:c r="W1649"/>
      <x:c r="X1649" t="str">
        <x:v>offen</x:v>
      </x:c>
      <x:c r="Y1649" t="str">
        <x:v>Agent-Draft; Kategorie und Person pruefen</x:v>
      </x:c>
    </x:row>
    <x:row r="1650">
      <x:c r="A1650" t="str">
        <x:v>TXN-RAW-IMP-20260516-FULLDRAFT-001634</x:v>
      </x:c>
      <x:c r="B1650" t="str">
        <x:v>RAW-IMP-20260516-FULLDRAFT-001634</x:v>
      </x:c>
      <x:c r="C1650" t="str">
        <x:v>KTO001</x:v>
      </x:c>
      <x:c r="D1650"/>
      <x:c r="E1650" t="str">
        <x:v>KAT013</x:v>
      </x:c>
      <x:c r="F1650"/>
      <x:c r="G1650"/>
      <x:c r="H1650" t="str">
        <x:v>kein_match</x:v>
      </x:c>
      <x:c r="I1650" t="str">
        <x:v>Agent-Draft: keine finale Regelentscheidung</x:v>
      </x:c>
      <x:c r="J1650" t="n">
        <x:v>45600</x:v>
      </x:c>
      <x:c r="K1650"/>
      <x:c r="L1650"/>
      <x:c r="M1650" t="n">
        <x:v>-2.5</x:v>
      </x:c>
      <x:c r="N1650" t="str">
        <x:v>2024-11</x:v>
      </x:c>
      <x:c r="O1650" t="str">
        <x:v>Ausgabe</x:v>
      </x:c>
      <x:c r="P1650" t="str">
        <x:v>Ist</x:v>
      </x:c>
      <x:c r="Q1650" s="59" t="b">
        <x:v>0</x:v>
      </x:c>
      <x:c r="R1650" t="str">
        <x:v>kein_transfer</x:v>
      </x:c>
      <x:c r="S1650"/>
      <x:c r="T1650"/>
      <x:c r="U1650"/>
      <x:c r="V1650" s="59" t="b">
        <x:v>1</x:v>
      </x:c>
      <x:c r="W1650"/>
      <x:c r="X1650" t="str">
        <x:v>offen</x:v>
      </x:c>
      <x:c r="Y1650" t="str">
        <x:v>Agent-Draft; Kategorie und Person pruefen</x:v>
      </x:c>
    </x:row>
    <x:row r="1651">
      <x:c r="A1651" t="str">
        <x:v>TXN-RAW-IMP-20260516-FULLDRAFT-001635</x:v>
      </x:c>
      <x:c r="B1651" t="str">
        <x:v>RAW-IMP-20260516-FULLDRAFT-001635</x:v>
      </x:c>
      <x:c r="C1651" t="str">
        <x:v>KTO001</x:v>
      </x:c>
      <x:c r="D1651"/>
      <x:c r="E1651" t="str">
        <x:v>KAT013</x:v>
      </x:c>
      <x:c r="F1651"/>
      <x:c r="G1651"/>
      <x:c r="H1651" t="str">
        <x:v>kein_match</x:v>
      </x:c>
      <x:c r="I1651" t="str">
        <x:v>Agent-Draft: keine finale Regelentscheidung</x:v>
      </x:c>
      <x:c r="J1651" t="n">
        <x:v>45600</x:v>
      </x:c>
      <x:c r="K1651"/>
      <x:c r="L1651"/>
      <x:c r="M1651" t="n">
        <x:v>-47.03</x:v>
      </x:c>
      <x:c r="N1651" t="str">
        <x:v>2024-11</x:v>
      </x:c>
      <x:c r="O1651" t="str">
        <x:v>Ausgabe</x:v>
      </x:c>
      <x:c r="P1651" t="str">
        <x:v>Ist</x:v>
      </x:c>
      <x:c r="Q1651" s="59" t="b">
        <x:v>0</x:v>
      </x:c>
      <x:c r="R1651" t="str">
        <x:v>kein_transfer</x:v>
      </x:c>
      <x:c r="S1651"/>
      <x:c r="T1651"/>
      <x:c r="U1651"/>
      <x:c r="V1651" s="59" t="b">
        <x:v>1</x:v>
      </x:c>
      <x:c r="W1651"/>
      <x:c r="X1651" t="str">
        <x:v>offen</x:v>
      </x:c>
      <x:c r="Y1651" t="str">
        <x:v>Agent-Draft; Kategorie und Person pruefen</x:v>
      </x:c>
    </x:row>
    <x:row r="1652">
      <x:c r="A1652" t="str">
        <x:v>TXN-RAW-IMP-20260516-FULLDRAFT-001636</x:v>
      </x:c>
      <x:c r="B1652" t="str">
        <x:v>RAW-IMP-20260516-FULLDRAFT-001636</x:v>
      </x:c>
      <x:c r="C1652" t="str">
        <x:v>KTO001</x:v>
      </x:c>
      <x:c r="D1652"/>
      <x:c r="E1652" t="str">
        <x:v>KAT013</x:v>
      </x:c>
      <x:c r="F1652"/>
      <x:c r="G1652"/>
      <x:c r="H1652" t="str">
        <x:v>kein_match</x:v>
      </x:c>
      <x:c r="I1652" t="str">
        <x:v>Agent-Draft: keine finale Regelentscheidung</x:v>
      </x:c>
      <x:c r="J1652" t="n">
        <x:v>45600</x:v>
      </x:c>
      <x:c r="K1652"/>
      <x:c r="L1652"/>
      <x:c r="M1652" t="n">
        <x:v>-27.54</x:v>
      </x:c>
      <x:c r="N1652" t="str">
        <x:v>2024-11</x:v>
      </x:c>
      <x:c r="O1652" t="str">
        <x:v>Ausgabe</x:v>
      </x:c>
      <x:c r="P1652" t="str">
        <x:v>Ist</x:v>
      </x:c>
      <x:c r="Q1652" s="59" t="b">
        <x:v>0</x:v>
      </x:c>
      <x:c r="R1652" t="str">
        <x:v>kein_transfer</x:v>
      </x:c>
      <x:c r="S1652"/>
      <x:c r="T1652"/>
      <x:c r="U1652"/>
      <x:c r="V1652" s="59" t="b">
        <x:v>1</x:v>
      </x:c>
      <x:c r="W1652"/>
      <x:c r="X1652" t="str">
        <x:v>offen</x:v>
      </x:c>
      <x:c r="Y1652" t="str">
        <x:v>Agent-Draft; Kategorie und Person pruefen</x:v>
      </x:c>
    </x:row>
    <x:row r="1653">
      <x:c r="A1653" t="str">
        <x:v>TXN-RAW-IMP-20260516-FULLDRAFT-001637</x:v>
      </x:c>
      <x:c r="B1653" t="str">
        <x:v>RAW-IMP-20260516-FULLDRAFT-001637</x:v>
      </x:c>
      <x:c r="C1653" t="str">
        <x:v>KTO001</x:v>
      </x:c>
      <x:c r="D1653"/>
      <x:c r="E1653" t="str">
        <x:v>KAT013</x:v>
      </x:c>
      <x:c r="F1653"/>
      <x:c r="G1653"/>
      <x:c r="H1653" t="str">
        <x:v>kein_match</x:v>
      </x:c>
      <x:c r="I1653" t="str">
        <x:v>Agent-Draft: keine finale Regelentscheidung</x:v>
      </x:c>
      <x:c r="J1653" t="n">
        <x:v>45600</x:v>
      </x:c>
      <x:c r="K1653"/>
      <x:c r="L1653"/>
      <x:c r="M1653" t="n">
        <x:v>-23.7</x:v>
      </x:c>
      <x:c r="N1653" t="str">
        <x:v>2024-11</x:v>
      </x:c>
      <x:c r="O1653" t="str">
        <x:v>Ausgabe</x:v>
      </x:c>
      <x:c r="P1653" t="str">
        <x:v>Ist</x:v>
      </x:c>
      <x:c r="Q1653" s="59" t="b">
        <x:v>0</x:v>
      </x:c>
      <x:c r="R1653" t="str">
        <x:v>kein_transfer</x:v>
      </x:c>
      <x:c r="S1653"/>
      <x:c r="T1653"/>
      <x:c r="U1653"/>
      <x:c r="V1653" s="59" t="b">
        <x:v>1</x:v>
      </x:c>
      <x:c r="W1653"/>
      <x:c r="X1653" t="str">
        <x:v>offen</x:v>
      </x:c>
      <x:c r="Y1653" t="str">
        <x:v>Agent-Draft; Kategorie und Person pruefen</x:v>
      </x:c>
    </x:row>
    <x:row r="1654">
      <x:c r="A1654" t="str">
        <x:v>TXN-RAW-IMP-20260516-FULLDRAFT-001638</x:v>
      </x:c>
      <x:c r="B1654" t="str">
        <x:v>RAW-IMP-20260516-FULLDRAFT-001638</x:v>
      </x:c>
      <x:c r="C1654" t="str">
        <x:v>KTO001</x:v>
      </x:c>
      <x:c r="D1654"/>
      <x:c r="E1654" t="str">
        <x:v>KAT013</x:v>
      </x:c>
      <x:c r="F1654"/>
      <x:c r="G1654"/>
      <x:c r="H1654" t="str">
        <x:v>kein_match</x:v>
      </x:c>
      <x:c r="I1654" t="str">
        <x:v>Agent-Draft: keine finale Regelentscheidung</x:v>
      </x:c>
      <x:c r="J1654" t="n">
        <x:v>45600</x:v>
      </x:c>
      <x:c r="K1654"/>
      <x:c r="L1654"/>
      <x:c r="M1654" t="n">
        <x:v>-6.93</x:v>
      </x:c>
      <x:c r="N1654" t="str">
        <x:v>2024-11</x:v>
      </x:c>
      <x:c r="O1654" t="str">
        <x:v>Ausgabe</x:v>
      </x:c>
      <x:c r="P1654" t="str">
        <x:v>Ist</x:v>
      </x:c>
      <x:c r="Q1654" s="59" t="b">
        <x:v>0</x:v>
      </x:c>
      <x:c r="R1654" t="str">
        <x:v>kein_transfer</x:v>
      </x:c>
      <x:c r="S1654"/>
      <x:c r="T1654"/>
      <x:c r="U1654"/>
      <x:c r="V1654" s="59" t="b">
        <x:v>1</x:v>
      </x:c>
      <x:c r="W1654"/>
      <x:c r="X1654" t="str">
        <x:v>offen</x:v>
      </x:c>
      <x:c r="Y1654" t="str">
        <x:v>Agent-Draft; Kategorie und Person pruefen</x:v>
      </x:c>
    </x:row>
    <x:row r="1655">
      <x:c r="A1655" t="str">
        <x:v>TXN-RAW-IMP-20260516-FULLDRAFT-001639</x:v>
      </x:c>
      <x:c r="B1655" t="str">
        <x:v>RAW-IMP-20260516-FULLDRAFT-001639</x:v>
      </x:c>
      <x:c r="C1655" t="str">
        <x:v>KTO001</x:v>
      </x:c>
      <x:c r="D1655"/>
      <x:c r="E1655" t="str">
        <x:v>KAT013</x:v>
      </x:c>
      <x:c r="F1655"/>
      <x:c r="G1655"/>
      <x:c r="H1655" t="str">
        <x:v>kein_match</x:v>
      </x:c>
      <x:c r="I1655" t="str">
        <x:v>Agent-Draft: keine finale Regelentscheidung</x:v>
      </x:c>
      <x:c r="J1655" t="n">
        <x:v>45600</x:v>
      </x:c>
      <x:c r="K1655"/>
      <x:c r="L1655"/>
      <x:c r="M1655" t="n">
        <x:v>-68.46</x:v>
      </x:c>
      <x:c r="N1655" t="str">
        <x:v>2024-11</x:v>
      </x:c>
      <x:c r="O1655" t="str">
        <x:v>Ausgabe</x:v>
      </x:c>
      <x:c r="P1655" t="str">
        <x:v>Ist</x:v>
      </x:c>
      <x:c r="Q1655" s="59" t="b">
        <x:v>0</x:v>
      </x:c>
      <x:c r="R1655" t="str">
        <x:v>kein_transfer</x:v>
      </x:c>
      <x:c r="S1655"/>
      <x:c r="T1655"/>
      <x:c r="U1655"/>
      <x:c r="V1655" s="59" t="b">
        <x:v>1</x:v>
      </x:c>
      <x:c r="W1655"/>
      <x:c r="X1655" t="str">
        <x:v>offen</x:v>
      </x:c>
      <x:c r="Y1655" t="str">
        <x:v>Agent-Draft; Kategorie und Person pruefen</x:v>
      </x:c>
    </x:row>
    <x:row r="1656">
      <x:c r="A1656" t="str">
        <x:v>TXN-RAW-IMP-20260516-FULLDRAFT-001640</x:v>
      </x:c>
      <x:c r="B1656" t="str">
        <x:v>RAW-IMP-20260516-FULLDRAFT-001640</x:v>
      </x:c>
      <x:c r="C1656" t="str">
        <x:v>KTO001</x:v>
      </x:c>
      <x:c r="D1656"/>
      <x:c r="E1656" t="str">
        <x:v>KAT013</x:v>
      </x:c>
      <x:c r="F1656"/>
      <x:c r="G1656"/>
      <x:c r="H1656" t="str">
        <x:v>kein_match</x:v>
      </x:c>
      <x:c r="I1656" t="str">
        <x:v>Agent-Draft: keine finale Regelentscheidung</x:v>
      </x:c>
      <x:c r="J1656" t="n">
        <x:v>45600</x:v>
      </x:c>
      <x:c r="K1656"/>
      <x:c r="L1656"/>
      <x:c r="M1656" t="n">
        <x:v>-11.96</x:v>
      </x:c>
      <x:c r="N1656" t="str">
        <x:v>2024-11</x:v>
      </x:c>
      <x:c r="O1656" t="str">
        <x:v>Ausgabe</x:v>
      </x:c>
      <x:c r="P1656" t="str">
        <x:v>Ist</x:v>
      </x:c>
      <x:c r="Q1656" s="59" t="b">
        <x:v>0</x:v>
      </x:c>
      <x:c r="R1656" t="str">
        <x:v>kein_transfer</x:v>
      </x:c>
      <x:c r="S1656"/>
      <x:c r="T1656"/>
      <x:c r="U1656"/>
      <x:c r="V1656" s="59" t="b">
        <x:v>1</x:v>
      </x:c>
      <x:c r="W1656"/>
      <x:c r="X1656" t="str">
        <x:v>offen</x:v>
      </x:c>
      <x:c r="Y1656" t="str">
        <x:v>Agent-Draft; Kategorie und Person pruefen</x:v>
      </x:c>
    </x:row>
    <x:row r="1657">
      <x:c r="A1657" t="str">
        <x:v>TXN-RAW-IMP-20260516-FULLDRAFT-001641</x:v>
      </x:c>
      <x:c r="B1657" t="str">
        <x:v>RAW-IMP-20260516-FULLDRAFT-001641</x:v>
      </x:c>
      <x:c r="C1657" t="str">
        <x:v>KTO001</x:v>
      </x:c>
      <x:c r="D1657"/>
      <x:c r="E1657" t="str">
        <x:v>KAT013</x:v>
      </x:c>
      <x:c r="F1657"/>
      <x:c r="G1657"/>
      <x:c r="H1657" t="str">
        <x:v>kein_match</x:v>
      </x:c>
      <x:c r="I1657" t="str">
        <x:v>Agent-Draft: keine finale Regelentscheidung</x:v>
      </x:c>
      <x:c r="J1657" t="n">
        <x:v>45600</x:v>
      </x:c>
      <x:c r="K1657"/>
      <x:c r="L1657"/>
      <x:c r="M1657" t="n">
        <x:v>-2000</x:v>
      </x:c>
      <x:c r="N1657" t="str">
        <x:v>2024-11</x:v>
      </x:c>
      <x:c r="O1657" t="str">
        <x:v>Ausgabe</x:v>
      </x:c>
      <x:c r="P1657" t="str">
        <x:v>Ist</x:v>
      </x:c>
      <x:c r="Q1657" s="59" t="b">
        <x:v>0</x:v>
      </x:c>
      <x:c r="R1657" t="str">
        <x:v>unklar</x:v>
      </x:c>
      <x:c r="S1657"/>
      <x:c r="T1657"/>
      <x:c r="U1657"/>
      <x:c r="V1657" s="59" t="b">
        <x:v>1</x:v>
      </x:c>
      <x:c r="W1657" t="str">
        <x:v>Transferkandidat im Draft</x:v>
      </x:c>
      <x:c r="X1657" t="str">
        <x:v>offen</x:v>
      </x:c>
      <x:c r="Y1657" t="str">
        <x:v>Agent-Draft; Kategorie und Person pruefen</x:v>
      </x:c>
    </x:row>
    <x:row r="1658">
      <x:c r="A1658" t="str">
        <x:v>TXN-RAW-IMP-20260516-FULLDRAFT-001642</x:v>
      </x:c>
      <x:c r="B1658" t="str">
        <x:v>RAW-IMP-20260516-FULLDRAFT-001642</x:v>
      </x:c>
      <x:c r="C1658" t="str">
        <x:v>KTO001</x:v>
      </x:c>
      <x:c r="D1658"/>
      <x:c r="E1658" t="str">
        <x:v>KAT013</x:v>
      </x:c>
      <x:c r="F1658"/>
      <x:c r="G1658"/>
      <x:c r="H1658" t="str">
        <x:v>kein_match</x:v>
      </x:c>
      <x:c r="I1658" t="str">
        <x:v>Agent-Draft: keine finale Regelentscheidung</x:v>
      </x:c>
      <x:c r="J1658" t="n">
        <x:v>45597</x:v>
      </x:c>
      <x:c r="K1658"/>
      <x:c r="L1658"/>
      <x:c r="M1658" t="n">
        <x:v>2147.91</x:v>
      </x:c>
      <x:c r="N1658" t="str">
        <x:v>2024-11</x:v>
      </x:c>
      <x:c r="O1658" t="str">
        <x:v>Einnahme</x:v>
      </x:c>
      <x:c r="P1658" t="str">
        <x:v>Ist</x:v>
      </x:c>
      <x:c r="Q1658" s="59" t="b">
        <x:v>0</x:v>
      </x:c>
      <x:c r="R1658" t="str">
        <x:v>kein_transfer</x:v>
      </x:c>
      <x:c r="S1658"/>
      <x:c r="T1658"/>
      <x:c r="U1658"/>
      <x:c r="V1658" s="59" t="b">
        <x:v>1</x:v>
      </x:c>
      <x:c r="W1658"/>
      <x:c r="X1658" t="str">
        <x:v>offen</x:v>
      </x:c>
      <x:c r="Y1658" t="str">
        <x:v>Agent-Draft; Kategorie und Person pruefen</x:v>
      </x:c>
    </x:row>
    <x:row r="1659">
      <x:c r="A1659" t="str">
        <x:v>TXN-RAW-IMP-20260516-FULLDRAFT-001643</x:v>
      </x:c>
      <x:c r="B1659" t="str">
        <x:v>RAW-IMP-20260516-FULLDRAFT-001643</x:v>
      </x:c>
      <x:c r="C1659" t="str">
        <x:v>KTO001</x:v>
      </x:c>
      <x:c r="D1659"/>
      <x:c r="E1659" t="str">
        <x:v>KAT013</x:v>
      </x:c>
      <x:c r="F1659"/>
      <x:c r="G1659"/>
      <x:c r="H1659" t="str">
        <x:v>kein_match</x:v>
      </x:c>
      <x:c r="I1659" t="str">
        <x:v>Agent-Draft: keine finale Regelentscheidung</x:v>
      </x:c>
      <x:c r="J1659" t="n">
        <x:v>45597</x:v>
      </x:c>
      <x:c r="K1659"/>
      <x:c r="L1659"/>
      <x:c r="M1659" t="n">
        <x:v>750</x:v>
      </x:c>
      <x:c r="N1659" t="str">
        <x:v>2024-11</x:v>
      </x:c>
      <x:c r="O1659" t="str">
        <x:v>Einnahme</x:v>
      </x:c>
      <x:c r="P1659" t="str">
        <x:v>Ist</x:v>
      </x:c>
      <x:c r="Q1659" s="59" t="b">
        <x:v>0</x:v>
      </x:c>
      <x:c r="R1659" t="str">
        <x:v>kein_transfer</x:v>
      </x:c>
      <x:c r="S1659"/>
      <x:c r="T1659"/>
      <x:c r="U1659"/>
      <x:c r="V1659" s="59" t="b">
        <x:v>1</x:v>
      </x:c>
      <x:c r="W1659"/>
      <x:c r="X1659" t="str">
        <x:v>offen</x:v>
      </x:c>
      <x:c r="Y1659" t="str">
        <x:v>Agent-Draft; Kategorie und Person pruefen</x:v>
      </x:c>
    </x:row>
    <x:row r="1660">
      <x:c r="A1660" t="str">
        <x:v>TXN-RAW-IMP-20260516-FULLDRAFT-001644</x:v>
      </x:c>
      <x:c r="B1660" t="str">
        <x:v>RAW-IMP-20260516-FULLDRAFT-001644</x:v>
      </x:c>
      <x:c r="C1660" t="str">
        <x:v>KTO001</x:v>
      </x:c>
      <x:c r="D1660"/>
      <x:c r="E1660" t="str">
        <x:v>KAT013</x:v>
      </x:c>
      <x:c r="F1660"/>
      <x:c r="G1660"/>
      <x:c r="H1660" t="str">
        <x:v>kein_match</x:v>
      </x:c>
      <x:c r="I1660" t="str">
        <x:v>Agent-Draft: keine finale Regelentscheidung</x:v>
      </x:c>
      <x:c r="J1660" t="n">
        <x:v>45597</x:v>
      </x:c>
      <x:c r="K1660"/>
      <x:c r="L1660"/>
      <x:c r="M1660" t="n">
        <x:v>-23.92</x:v>
      </x:c>
      <x:c r="N1660" t="str">
        <x:v>2024-11</x:v>
      </x:c>
      <x:c r="O1660" t="str">
        <x:v>Ausgabe</x:v>
      </x:c>
      <x:c r="P1660" t="str">
        <x:v>Ist</x:v>
      </x:c>
      <x:c r="Q1660" s="59" t="b">
        <x:v>0</x:v>
      </x:c>
      <x:c r="R1660" t="str">
        <x:v>kein_transfer</x:v>
      </x:c>
      <x:c r="S1660"/>
      <x:c r="T1660"/>
      <x:c r="U1660"/>
      <x:c r="V1660" s="59" t="b">
        <x:v>1</x:v>
      </x:c>
      <x:c r="W1660"/>
      <x:c r="X1660" t="str">
        <x:v>offen</x:v>
      </x:c>
      <x:c r="Y1660" t="str">
        <x:v>Agent-Draft; Kategorie und Person pruefen</x:v>
      </x:c>
    </x:row>
    <x:row r="1661">
      <x:c r="A1661" t="str">
        <x:v>TXN-RAW-IMP-20260516-FULLDRAFT-001645</x:v>
      </x:c>
      <x:c r="B1661" t="str">
        <x:v>RAW-IMP-20260516-FULLDRAFT-001645</x:v>
      </x:c>
      <x:c r="C1661" t="str">
        <x:v>KTO001</x:v>
      </x:c>
      <x:c r="D1661"/>
      <x:c r="E1661" t="str">
        <x:v>KAT013</x:v>
      </x:c>
      <x:c r="F1661"/>
      <x:c r="G1661"/>
      <x:c r="H1661" t="str">
        <x:v>kein_match</x:v>
      </x:c>
      <x:c r="I1661" t="str">
        <x:v>Agent-Draft: keine finale Regelentscheidung</x:v>
      </x:c>
      <x:c r="J1661" t="n">
        <x:v>45597</x:v>
      </x:c>
      <x:c r="K1661"/>
      <x:c r="L1661"/>
      <x:c r="M1661" t="n">
        <x:v>-1800</x:v>
      </x:c>
      <x:c r="N1661" t="str">
        <x:v>2024-11</x:v>
      </x:c>
      <x:c r="O1661" t="str">
        <x:v>Ausgabe</x:v>
      </x:c>
      <x:c r="P1661" t="str">
        <x:v>Ist</x:v>
      </x:c>
      <x:c r="Q1661" s="59" t="b">
        <x:v>0</x:v>
      </x:c>
      <x:c r="R1661" t="str">
        <x:v>kein_transfer</x:v>
      </x:c>
      <x:c r="S1661"/>
      <x:c r="T1661"/>
      <x:c r="U1661"/>
      <x:c r="V1661" s="59" t="b">
        <x:v>1</x:v>
      </x:c>
      <x:c r="W1661"/>
      <x:c r="X1661" t="str">
        <x:v>offen</x:v>
      </x:c>
      <x:c r="Y1661" t="str">
        <x:v>Agent-Draft; Kategorie und Person pruefen</x:v>
      </x:c>
    </x:row>
    <x:row r="1662">
      <x:c r="A1662" t="str">
        <x:v>TXN-RAW-IMP-20260516-FULLDRAFT-001646</x:v>
      </x:c>
      <x:c r="B1662" t="str">
        <x:v>RAW-IMP-20260516-FULLDRAFT-001646</x:v>
      </x:c>
      <x:c r="C1662" t="str">
        <x:v>KTO001</x:v>
      </x:c>
      <x:c r="D1662"/>
      <x:c r="E1662" t="str">
        <x:v>KAT013</x:v>
      </x:c>
      <x:c r="F1662"/>
      <x:c r="G1662"/>
      <x:c r="H1662" t="str">
        <x:v>kein_match</x:v>
      </x:c>
      <x:c r="I1662" t="str">
        <x:v>Agent-Draft: keine finale Regelentscheidung</x:v>
      </x:c>
      <x:c r="J1662" t="n">
        <x:v>45597</x:v>
      </x:c>
      <x:c r="K1662"/>
      <x:c r="L1662"/>
      <x:c r="M1662" t="n">
        <x:v>-452.71</x:v>
      </x:c>
      <x:c r="N1662" t="str">
        <x:v>2024-11</x:v>
      </x:c>
      <x:c r="O1662" t="str">
        <x:v>Ausgabe</x:v>
      </x:c>
      <x:c r="P1662" t="str">
        <x:v>Ist</x:v>
      </x:c>
      <x:c r="Q1662" s="59" t="b">
        <x:v>0</x:v>
      </x:c>
      <x:c r="R1662" t="str">
        <x:v>kein_transfer</x:v>
      </x:c>
      <x:c r="S1662"/>
      <x:c r="T1662"/>
      <x:c r="U1662"/>
      <x:c r="V1662" s="59" t="b">
        <x:v>1</x:v>
      </x:c>
      <x:c r="W1662"/>
      <x:c r="X1662" t="str">
        <x:v>offen</x:v>
      </x:c>
      <x:c r="Y1662" t="str">
        <x:v>Agent-Draft; Kategorie und Person pruefen</x:v>
      </x:c>
    </x:row>
    <x:row r="1663">
      <x:c r="A1663" t="str">
        <x:v>TXN-RAW-IMP-20260516-FULLDRAFT-001647</x:v>
      </x:c>
      <x:c r="B1663" t="str">
        <x:v>RAW-IMP-20260516-FULLDRAFT-001647</x:v>
      </x:c>
      <x:c r="C1663" t="str">
        <x:v>KTO001</x:v>
      </x:c>
      <x:c r="D1663"/>
      <x:c r="E1663" t="str">
        <x:v>KAT013</x:v>
      </x:c>
      <x:c r="F1663"/>
      <x:c r="G1663"/>
      <x:c r="H1663" t="str">
        <x:v>kein_match</x:v>
      </x:c>
      <x:c r="I1663" t="str">
        <x:v>Agent-Draft: keine finale Regelentscheidung</x:v>
      </x:c>
      <x:c r="J1663" t="n">
        <x:v>45597</x:v>
      </x:c>
      <x:c r="K1663"/>
      <x:c r="L1663"/>
      <x:c r="M1663" t="n">
        <x:v>-15</x:v>
      </x:c>
      <x:c r="N1663" t="str">
        <x:v>2024-11</x:v>
      </x:c>
      <x:c r="O1663" t="str">
        <x:v>Ausgabe</x:v>
      </x:c>
      <x:c r="P1663" t="str">
        <x:v>Ist</x:v>
      </x:c>
      <x:c r="Q1663" s="59" t="b">
        <x:v>0</x:v>
      </x:c>
      <x:c r="R1663" t="str">
        <x:v>kein_transfer</x:v>
      </x:c>
      <x:c r="S1663"/>
      <x:c r="T1663"/>
      <x:c r="U1663"/>
      <x:c r="V1663" s="59" t="b">
        <x:v>1</x:v>
      </x:c>
      <x:c r="W1663"/>
      <x:c r="X1663" t="str">
        <x:v>offen</x:v>
      </x:c>
      <x:c r="Y1663" t="str">
        <x:v>Agent-Draft; Kategorie und Person pruefen</x:v>
      </x:c>
    </x:row>
    <x:row r="1664">
      <x:c r="A1664" t="str">
        <x:v>TXN-RAW-IMP-20260516-FULLDRAFT-001648</x:v>
      </x:c>
      <x:c r="B1664" t="str">
        <x:v>RAW-IMP-20260516-FULLDRAFT-001648</x:v>
      </x:c>
      <x:c r="C1664" t="str">
        <x:v>KTO001</x:v>
      </x:c>
      <x:c r="D1664"/>
      <x:c r="E1664" t="str">
        <x:v>KAT013</x:v>
      </x:c>
      <x:c r="F1664"/>
      <x:c r="G1664"/>
      <x:c r="H1664" t="str">
        <x:v>kein_match</x:v>
      </x:c>
      <x:c r="I1664" t="str">
        <x:v>Agent-Draft: keine finale Regelentscheidung</x:v>
      </x:c>
      <x:c r="J1664" t="n">
        <x:v>45597</x:v>
      </x:c>
      <x:c r="K1664"/>
      <x:c r="L1664"/>
      <x:c r="M1664" t="n">
        <x:v>-98.9</x:v>
      </x:c>
      <x:c r="N1664" t="str">
        <x:v>2024-11</x:v>
      </x:c>
      <x:c r="O1664" t="str">
        <x:v>Ausgabe</x:v>
      </x:c>
      <x:c r="P1664" t="str">
        <x:v>Ist</x:v>
      </x:c>
      <x:c r="Q1664" s="59" t="b">
        <x:v>0</x:v>
      </x:c>
      <x:c r="R1664" t="str">
        <x:v>kein_transfer</x:v>
      </x:c>
      <x:c r="S1664"/>
      <x:c r="T1664"/>
      <x:c r="U1664"/>
      <x:c r="V1664" s="59" t="b">
        <x:v>1</x:v>
      </x:c>
      <x:c r="W1664"/>
      <x:c r="X1664" t="str">
        <x:v>offen</x:v>
      </x:c>
      <x:c r="Y1664" t="str">
        <x:v>Agent-Draft; Kategorie und Person pruefen</x:v>
      </x:c>
    </x:row>
    <x:row r="1665">
      <x:c r="A1665" t="str">
        <x:v>TXN-RAW-IMP-20260516-FULLDRAFT-001649</x:v>
      </x:c>
      <x:c r="B1665" t="str">
        <x:v>RAW-IMP-20260516-FULLDRAFT-001649</x:v>
      </x:c>
      <x:c r="C1665" t="str">
        <x:v>KTO001</x:v>
      </x:c>
      <x:c r="D1665"/>
      <x:c r="E1665" t="str">
        <x:v>KAT013</x:v>
      </x:c>
      <x:c r="F1665"/>
      <x:c r="G1665"/>
      <x:c r="H1665" t="str">
        <x:v>kein_match</x:v>
      </x:c>
      <x:c r="I1665" t="str">
        <x:v>Agent-Draft: keine finale Regelentscheidung</x:v>
      </x:c>
      <x:c r="J1665" t="n">
        <x:v>45597</x:v>
      </x:c>
      <x:c r="K1665"/>
      <x:c r="L1665"/>
      <x:c r="M1665" t="n">
        <x:v>-1400</x:v>
      </x:c>
      <x:c r="N1665" t="str">
        <x:v>2024-11</x:v>
      </x:c>
      <x:c r="O1665" t="str">
        <x:v>Ausgabe</x:v>
      </x:c>
      <x:c r="P1665" t="str">
        <x:v>Ist</x:v>
      </x:c>
      <x:c r="Q1665" s="59" t="b">
        <x:v>0</x:v>
      </x:c>
      <x:c r="R1665" t="str">
        <x:v>kein_transfer</x:v>
      </x:c>
      <x:c r="S1665"/>
      <x:c r="T1665"/>
      <x:c r="U1665"/>
      <x:c r="V1665" s="59" t="b">
        <x:v>1</x:v>
      </x:c>
      <x:c r="W1665"/>
      <x:c r="X1665" t="str">
        <x:v>offen</x:v>
      </x:c>
      <x:c r="Y1665" t="str">
        <x:v>Agent-Draft; Kategorie und Person pruefen</x:v>
      </x:c>
    </x:row>
    <x:row r="1666">
      <x:c r="A1666" t="str">
        <x:v>TXN-RAW-IMP-20260516-FULLDRAFT-001650</x:v>
      </x:c>
      <x:c r="B1666" t="str">
        <x:v>RAW-IMP-20260516-FULLDRAFT-001650</x:v>
      </x:c>
      <x:c r="C1666" t="str">
        <x:v>KTO001</x:v>
      </x:c>
      <x:c r="D1666"/>
      <x:c r="E1666" t="str">
        <x:v>KAT013</x:v>
      </x:c>
      <x:c r="F1666"/>
      <x:c r="G1666"/>
      <x:c r="H1666" t="str">
        <x:v>kein_match</x:v>
      </x:c>
      <x:c r="I1666" t="str">
        <x:v>Agent-Draft: keine finale Regelentscheidung</x:v>
      </x:c>
      <x:c r="J1666" t="n">
        <x:v>45597</x:v>
      </x:c>
      <x:c r="K1666"/>
      <x:c r="L1666"/>
      <x:c r="M1666" t="n">
        <x:v>-600</x:v>
      </x:c>
      <x:c r="N1666" t="str">
        <x:v>2024-11</x:v>
      </x:c>
      <x:c r="O1666" t="str">
        <x:v>Ausgabe</x:v>
      </x:c>
      <x:c r="P1666" t="str">
        <x:v>Ist</x:v>
      </x:c>
      <x:c r="Q1666" s="59" t="b">
        <x:v>0</x:v>
      </x:c>
      <x:c r="R1666" t="str">
        <x:v>kein_transfer</x:v>
      </x:c>
      <x:c r="S1666"/>
      <x:c r="T1666"/>
      <x:c r="U1666"/>
      <x:c r="V1666" s="59" t="b">
        <x:v>1</x:v>
      </x:c>
      <x:c r="W1666"/>
      <x:c r="X1666" t="str">
        <x:v>offen</x:v>
      </x:c>
      <x:c r="Y1666" t="str">
        <x:v>Agent-Draft; Kategorie und Person pruefen</x:v>
      </x:c>
    </x:row>
    <x:row r="1667">
      <x:c r="A1667" t="str">
        <x:v>TXN-RAW-IMP-20260516-FULLDRAFT-001651</x:v>
      </x:c>
      <x:c r="B1667" t="str">
        <x:v>RAW-IMP-20260516-FULLDRAFT-001651</x:v>
      </x:c>
      <x:c r="C1667" t="str">
        <x:v>KTO001</x:v>
      </x:c>
      <x:c r="D1667"/>
      <x:c r="E1667" t="str">
        <x:v>KAT013</x:v>
      </x:c>
      <x:c r="F1667"/>
      <x:c r="G1667"/>
      <x:c r="H1667" t="str">
        <x:v>kein_match</x:v>
      </x:c>
      <x:c r="I1667" t="str">
        <x:v>Agent-Draft: keine finale Regelentscheidung</x:v>
      </x:c>
      <x:c r="J1667" t="n">
        <x:v>45597</x:v>
      </x:c>
      <x:c r="K1667"/>
      <x:c r="L1667"/>
      <x:c r="M1667" t="n">
        <x:v>-422</x:v>
      </x:c>
      <x:c r="N1667" t="str">
        <x:v>2024-11</x:v>
      </x:c>
      <x:c r="O1667" t="str">
        <x:v>Ausgabe</x:v>
      </x:c>
      <x:c r="P1667" t="str">
        <x:v>Ist</x:v>
      </x:c>
      <x:c r="Q1667" s="59" t="b">
        <x:v>0</x:v>
      </x:c>
      <x:c r="R1667" t="str">
        <x:v>kein_transfer</x:v>
      </x:c>
      <x:c r="S1667"/>
      <x:c r="T1667"/>
      <x:c r="U1667"/>
      <x:c r="V1667" s="59" t="b">
        <x:v>1</x:v>
      </x:c>
      <x:c r="W1667"/>
      <x:c r="X1667" t="str">
        <x:v>offen</x:v>
      </x:c>
      <x:c r="Y1667" t="str">
        <x:v>Agent-Draft; Kategorie und Person pruefen</x:v>
      </x:c>
    </x:row>
    <x:row r="1668">
      <x:c r="A1668" t="str">
        <x:v>TXN-RAW-IMP-20260516-FULLDRAFT-001652</x:v>
      </x:c>
      <x:c r="B1668" t="str">
        <x:v>RAW-IMP-20260516-FULLDRAFT-001652</x:v>
      </x:c>
      <x:c r="C1668" t="str">
        <x:v>KTO001</x:v>
      </x:c>
      <x:c r="D1668"/>
      <x:c r="E1668" t="str">
        <x:v>KAT013</x:v>
      </x:c>
      <x:c r="F1668"/>
      <x:c r="G1668"/>
      <x:c r="H1668" t="str">
        <x:v>kein_match</x:v>
      </x:c>
      <x:c r="I1668" t="str">
        <x:v>Agent-Draft: keine finale Regelentscheidung</x:v>
      </x:c>
      <x:c r="J1668" t="n">
        <x:v>45597</x:v>
      </x:c>
      <x:c r="K1668"/>
      <x:c r="L1668"/>
      <x:c r="M1668" t="n">
        <x:v>-162.17</x:v>
      </x:c>
      <x:c r="N1668" t="str">
        <x:v>2024-11</x:v>
      </x:c>
      <x:c r="O1668" t="str">
        <x:v>Ausgabe</x:v>
      </x:c>
      <x:c r="P1668" t="str">
        <x:v>Ist</x:v>
      </x:c>
      <x:c r="Q1668" s="59" t="b">
        <x:v>0</x:v>
      </x:c>
      <x:c r="R1668" t="str">
        <x:v>kein_transfer</x:v>
      </x:c>
      <x:c r="S1668"/>
      <x:c r="T1668"/>
      <x:c r="U1668"/>
      <x:c r="V1668" s="59" t="b">
        <x:v>1</x:v>
      </x:c>
      <x:c r="W1668"/>
      <x:c r="X1668" t="str">
        <x:v>offen</x:v>
      </x:c>
      <x:c r="Y1668" t="str">
        <x:v>Agent-Draft; Kategorie und Person pruefen</x:v>
      </x:c>
    </x:row>
    <x:row r="1669">
      <x:c r="A1669" t="str">
        <x:v>TXN-RAW-IMP-20260516-FULLDRAFT-001653</x:v>
      </x:c>
      <x:c r="B1669" t="str">
        <x:v>RAW-IMP-20260516-FULLDRAFT-001653</x:v>
      </x:c>
      <x:c r="C1669" t="str">
        <x:v>KTO001</x:v>
      </x:c>
      <x:c r="D1669"/>
      <x:c r="E1669" t="str">
        <x:v>KAT013</x:v>
      </x:c>
      <x:c r="F1669"/>
      <x:c r="G1669"/>
      <x:c r="H1669" t="str">
        <x:v>kein_match</x:v>
      </x:c>
      <x:c r="I1669" t="str">
        <x:v>Agent-Draft: keine finale Regelentscheidung</x:v>
      </x:c>
      <x:c r="J1669" t="n">
        <x:v>45597</x:v>
      </x:c>
      <x:c r="K1669"/>
      <x:c r="L1669"/>
      <x:c r="M1669" t="n">
        <x:v>-97.12</x:v>
      </x:c>
      <x:c r="N1669" t="str">
        <x:v>2024-11</x:v>
      </x:c>
      <x:c r="O1669" t="str">
        <x:v>Ausgabe</x:v>
      </x:c>
      <x:c r="P1669" t="str">
        <x:v>Ist</x:v>
      </x:c>
      <x:c r="Q1669" s="59" t="b">
        <x:v>0</x:v>
      </x:c>
      <x:c r="R1669" t="str">
        <x:v>kein_transfer</x:v>
      </x:c>
      <x:c r="S1669"/>
      <x:c r="T1669"/>
      <x:c r="U1669"/>
      <x:c r="V1669" s="59" t="b">
        <x:v>1</x:v>
      </x:c>
      <x:c r="W1669"/>
      <x:c r="X1669" t="str">
        <x:v>offen</x:v>
      </x:c>
      <x:c r="Y1669" t="str">
        <x:v>Agent-Draft; Kategorie und Person pruefen</x:v>
      </x:c>
    </x:row>
    <x:row r="1670">
      <x:c r="A1670" t="str">
        <x:v>TXN-RAW-IMP-20260516-FULLDRAFT-001654</x:v>
      </x:c>
      <x:c r="B1670" t="str">
        <x:v>RAW-IMP-20260516-FULLDRAFT-001654</x:v>
      </x:c>
      <x:c r="C1670" t="str">
        <x:v>KTO001</x:v>
      </x:c>
      <x:c r="D1670"/>
      <x:c r="E1670" t="str">
        <x:v>KAT013</x:v>
      </x:c>
      <x:c r="F1670"/>
      <x:c r="G1670"/>
      <x:c r="H1670" t="str">
        <x:v>kein_match</x:v>
      </x:c>
      <x:c r="I1670" t="str">
        <x:v>Agent-Draft: keine finale Regelentscheidung</x:v>
      </x:c>
      <x:c r="J1670" t="n">
        <x:v>45596</x:v>
      </x:c>
      <x:c r="K1670"/>
      <x:c r="L1670"/>
      <x:c r="M1670" t="n">
        <x:v>2.13</x:v>
      </x:c>
      <x:c r="N1670" t="str">
        <x:v>2024-10</x:v>
      </x:c>
      <x:c r="O1670" t="str">
        <x:v>Einnahme</x:v>
      </x:c>
      <x:c r="P1670" t="str">
        <x:v>Ist</x:v>
      </x:c>
      <x:c r="Q1670" s="59" t="b">
        <x:v>0</x:v>
      </x:c>
      <x:c r="R1670" t="str">
        <x:v>kein_transfer</x:v>
      </x:c>
      <x:c r="S1670"/>
      <x:c r="T1670"/>
      <x:c r="U1670"/>
      <x:c r="V1670" s="59" t="b">
        <x:v>1</x:v>
      </x:c>
      <x:c r="W1670"/>
      <x:c r="X1670" t="str">
        <x:v>offen</x:v>
      </x:c>
      <x:c r="Y1670" t="str">
        <x:v>Agent-Draft; Kategorie und Person pruefen</x:v>
      </x:c>
    </x:row>
    <x:row r="1671">
      <x:c r="A1671" t="str">
        <x:v>TXN-RAW-IMP-20260516-FULLDRAFT-001655</x:v>
      </x:c>
      <x:c r="B1671" t="str">
        <x:v>RAW-IMP-20260516-FULLDRAFT-001655</x:v>
      </x:c>
      <x:c r="C1671" t="str">
        <x:v>KTO001</x:v>
      </x:c>
      <x:c r="D1671"/>
      <x:c r="E1671" t="str">
        <x:v>KAT013</x:v>
      </x:c>
      <x:c r="F1671"/>
      <x:c r="G1671"/>
      <x:c r="H1671" t="str">
        <x:v>kein_match</x:v>
      </x:c>
      <x:c r="I1671" t="str">
        <x:v>Agent-Draft: keine finale Regelentscheidung</x:v>
      </x:c>
      <x:c r="J1671" t="n">
        <x:v>45596</x:v>
      </x:c>
      <x:c r="K1671"/>
      <x:c r="L1671"/>
      <x:c r="M1671" t="n">
        <x:v>-10.99</x:v>
      </x:c>
      <x:c r="N1671" t="str">
        <x:v>2024-10</x:v>
      </x:c>
      <x:c r="O1671" t="str">
        <x:v>Ausgabe</x:v>
      </x:c>
      <x:c r="P1671" t="str">
        <x:v>Ist</x:v>
      </x:c>
      <x:c r="Q1671" s="59" t="b">
        <x:v>0</x:v>
      </x:c>
      <x:c r="R1671" t="str">
        <x:v>kein_transfer</x:v>
      </x:c>
      <x:c r="S1671"/>
      <x:c r="T1671"/>
      <x:c r="U1671"/>
      <x:c r="V1671" s="59" t="b">
        <x:v>1</x:v>
      </x:c>
      <x:c r="W1671"/>
      <x:c r="X1671" t="str">
        <x:v>offen</x:v>
      </x:c>
      <x:c r="Y1671" t="str">
        <x:v>Agent-Draft; Kategorie und Person pruefen</x:v>
      </x:c>
    </x:row>
    <x:row r="1672">
      <x:c r="A1672" t="str">
        <x:v>TXN-RAW-IMP-20260516-FULLDRAFT-001656</x:v>
      </x:c>
      <x:c r="B1672" t="str">
        <x:v>RAW-IMP-20260516-FULLDRAFT-001656</x:v>
      </x:c>
      <x:c r="C1672" t="str">
        <x:v>KTO001</x:v>
      </x:c>
      <x:c r="D1672"/>
      <x:c r="E1672" t="str">
        <x:v>KAT013</x:v>
      </x:c>
      <x:c r="F1672"/>
      <x:c r="G1672"/>
      <x:c r="H1672" t="str">
        <x:v>kein_match</x:v>
      </x:c>
      <x:c r="I1672" t="str">
        <x:v>Agent-Draft: keine finale Regelentscheidung</x:v>
      </x:c>
      <x:c r="J1672" t="n">
        <x:v>45596</x:v>
      </x:c>
      <x:c r="K1672"/>
      <x:c r="L1672"/>
      <x:c r="M1672" t="n">
        <x:v>-1153.94</x:v>
      </x:c>
      <x:c r="N1672" t="str">
        <x:v>2024-10</x:v>
      </x:c>
      <x:c r="O1672" t="str">
        <x:v>Ausgabe</x:v>
      </x:c>
      <x:c r="P1672" t="str">
        <x:v>Ist</x:v>
      </x:c>
      <x:c r="Q1672" s="59" t="b">
        <x:v>0</x:v>
      </x:c>
      <x:c r="R1672" t="str">
        <x:v>kein_transfer</x:v>
      </x:c>
      <x:c r="S1672"/>
      <x:c r="T1672"/>
      <x:c r="U1672"/>
      <x:c r="V1672" s="59" t="b">
        <x:v>1</x:v>
      </x:c>
      <x:c r="W1672"/>
      <x:c r="X1672" t="str">
        <x:v>offen</x:v>
      </x:c>
      <x:c r="Y1672" t="str">
        <x:v>Agent-Draft; Kategorie und Person pruefen</x:v>
      </x:c>
    </x:row>
    <x:row r="1673">
      <x:c r="A1673" t="str">
        <x:v>TXN-RAW-IMP-20260516-FULLDRAFT-001657</x:v>
      </x:c>
      <x:c r="B1673" t="str">
        <x:v>RAW-IMP-20260516-FULLDRAFT-001657</x:v>
      </x:c>
      <x:c r="C1673" t="str">
        <x:v>KTO001</x:v>
      </x:c>
      <x:c r="D1673"/>
      <x:c r="E1673" t="str">
        <x:v>KAT013</x:v>
      </x:c>
      <x:c r="F1673"/>
      <x:c r="G1673"/>
      <x:c r="H1673" t="str">
        <x:v>kein_match</x:v>
      </x:c>
      <x:c r="I1673" t="str">
        <x:v>Agent-Draft: keine finale Regelentscheidung</x:v>
      </x:c>
      <x:c r="J1673" t="n">
        <x:v>45595</x:v>
      </x:c>
      <x:c r="K1673"/>
      <x:c r="L1673"/>
      <x:c r="M1673" t="n">
        <x:v>-11.5</x:v>
      </x:c>
      <x:c r="N1673" t="str">
        <x:v>2024-10</x:v>
      </x:c>
      <x:c r="O1673" t="str">
        <x:v>Ausgabe</x:v>
      </x:c>
      <x:c r="P1673" t="str">
        <x:v>Ist</x:v>
      </x:c>
      <x:c r="Q1673" s="59" t="b">
        <x:v>0</x:v>
      </x:c>
      <x:c r="R1673" t="str">
        <x:v>kein_transfer</x:v>
      </x:c>
      <x:c r="S1673"/>
      <x:c r="T1673"/>
      <x:c r="U1673"/>
      <x:c r="V1673" s="59" t="b">
        <x:v>1</x:v>
      </x:c>
      <x:c r="W1673"/>
      <x:c r="X1673" t="str">
        <x:v>offen</x:v>
      </x:c>
      <x:c r="Y1673" t="str">
        <x:v>Agent-Draft; Kategorie und Person pruefen</x:v>
      </x:c>
    </x:row>
    <x:row r="1674">
      <x:c r="A1674" t="str">
        <x:v>TXN-RAW-IMP-20260516-FULLDRAFT-001658</x:v>
      </x:c>
      <x:c r="B1674" t="str">
        <x:v>RAW-IMP-20260516-FULLDRAFT-001658</x:v>
      </x:c>
      <x:c r="C1674" t="str">
        <x:v>KTO001</x:v>
      </x:c>
      <x:c r="D1674"/>
      <x:c r="E1674" t="str">
        <x:v>KAT013</x:v>
      </x:c>
      <x:c r="F1674"/>
      <x:c r="G1674"/>
      <x:c r="H1674" t="str">
        <x:v>kein_match</x:v>
      </x:c>
      <x:c r="I1674" t="str">
        <x:v>Agent-Draft: keine finale Regelentscheidung</x:v>
      </x:c>
      <x:c r="J1674" t="n">
        <x:v>45595</x:v>
      </x:c>
      <x:c r="K1674"/>
      <x:c r="L1674"/>
      <x:c r="M1674" t="n">
        <x:v>-6.63</x:v>
      </x:c>
      <x:c r="N1674" t="str">
        <x:v>2024-10</x:v>
      </x:c>
      <x:c r="O1674" t="str">
        <x:v>Ausgabe</x:v>
      </x:c>
      <x:c r="P1674" t="str">
        <x:v>Ist</x:v>
      </x:c>
      <x:c r="Q1674" s="59" t="b">
        <x:v>0</x:v>
      </x:c>
      <x:c r="R1674" t="str">
        <x:v>kein_transfer</x:v>
      </x:c>
      <x:c r="S1674"/>
      <x:c r="T1674"/>
      <x:c r="U1674"/>
      <x:c r="V1674" s="59" t="b">
        <x:v>1</x:v>
      </x:c>
      <x:c r="W1674"/>
      <x:c r="X1674" t="str">
        <x:v>offen</x:v>
      </x:c>
      <x:c r="Y1674" t="str">
        <x:v>Agent-Draft; Kategorie und Person pruefen</x:v>
      </x:c>
    </x:row>
    <x:row r="1675">
      <x:c r="A1675" t="str">
        <x:v>TXN-RAW-IMP-20260516-FULLDRAFT-001659</x:v>
      </x:c>
      <x:c r="B1675" t="str">
        <x:v>RAW-IMP-20260516-FULLDRAFT-001659</x:v>
      </x:c>
      <x:c r="C1675" t="str">
        <x:v>KTO001</x:v>
      </x:c>
      <x:c r="D1675"/>
      <x:c r="E1675" t="str">
        <x:v>KAT013</x:v>
      </x:c>
      <x:c r="F1675"/>
      <x:c r="G1675"/>
      <x:c r="H1675" t="str">
        <x:v>kein_match</x:v>
      </x:c>
      <x:c r="I1675" t="str">
        <x:v>Agent-Draft: keine finale Regelentscheidung</x:v>
      </x:c>
      <x:c r="J1675" t="n">
        <x:v>45595</x:v>
      </x:c>
      <x:c r="K1675"/>
      <x:c r="L1675"/>
      <x:c r="M1675" t="n">
        <x:v>-8.99</x:v>
      </x:c>
      <x:c r="N1675" t="str">
        <x:v>2024-10</x:v>
      </x:c>
      <x:c r="O1675" t="str">
        <x:v>Ausgabe</x:v>
      </x:c>
      <x:c r="P1675" t="str">
        <x:v>Ist</x:v>
      </x:c>
      <x:c r="Q1675" s="59" t="b">
        <x:v>0</x:v>
      </x:c>
      <x:c r="R1675" t="str">
        <x:v>kein_transfer</x:v>
      </x:c>
      <x:c r="S1675"/>
      <x:c r="T1675"/>
      <x:c r="U1675"/>
      <x:c r="V1675" s="59" t="b">
        <x:v>1</x:v>
      </x:c>
      <x:c r="W1675"/>
      <x:c r="X1675" t="str">
        <x:v>offen</x:v>
      </x:c>
      <x:c r="Y1675" t="str">
        <x:v>Agent-Draft; Kategorie und Person pruefen</x:v>
      </x:c>
    </x:row>
    <x:row r="1676">
      <x:c r="A1676" t="str">
        <x:v>TXN-RAW-IMP-20260516-FULLDRAFT-001660</x:v>
      </x:c>
      <x:c r="B1676" t="str">
        <x:v>RAW-IMP-20260516-FULLDRAFT-001660</x:v>
      </x:c>
      <x:c r="C1676" t="str">
        <x:v>KTO001</x:v>
      </x:c>
      <x:c r="D1676"/>
      <x:c r="E1676" t="str">
        <x:v>KAT013</x:v>
      </x:c>
      <x:c r="F1676"/>
      <x:c r="G1676"/>
      <x:c r="H1676" t="str">
        <x:v>kein_match</x:v>
      </x:c>
      <x:c r="I1676" t="str">
        <x:v>Agent-Draft: keine finale Regelentscheidung</x:v>
      </x:c>
      <x:c r="J1676" t="n">
        <x:v>45594</x:v>
      </x:c>
      <x:c r="K1676"/>
      <x:c r="L1676"/>
      <x:c r="M1676" t="n">
        <x:v>7247.5</x:v>
      </x:c>
      <x:c r="N1676" t="str">
        <x:v>2024-10</x:v>
      </x:c>
      <x:c r="O1676" t="str">
        <x:v>Einnahme</x:v>
      </x:c>
      <x:c r="P1676" t="str">
        <x:v>Ist</x:v>
      </x:c>
      <x:c r="Q1676" s="59" t="b">
        <x:v>0</x:v>
      </x:c>
      <x:c r="R1676" t="str">
        <x:v>kein_transfer</x:v>
      </x:c>
      <x:c r="S1676"/>
      <x:c r="T1676"/>
      <x:c r="U1676"/>
      <x:c r="V1676" s="59" t="b">
        <x:v>1</x:v>
      </x:c>
      <x:c r="W1676"/>
      <x:c r="X1676" t="str">
        <x:v>offen</x:v>
      </x:c>
      <x:c r="Y1676" t="str">
        <x:v>Agent-Draft; Kategorie und Person pruefen</x:v>
      </x:c>
    </x:row>
    <x:row r="1677">
      <x:c r="A1677" t="str">
        <x:v>TXN-RAW-IMP-20260516-FULLDRAFT-001661</x:v>
      </x:c>
      <x:c r="B1677" t="str">
        <x:v>RAW-IMP-20260516-FULLDRAFT-001661</x:v>
      </x:c>
      <x:c r="C1677" t="str">
        <x:v>KTO001</x:v>
      </x:c>
      <x:c r="D1677"/>
      <x:c r="E1677" t="str">
        <x:v>KAT013</x:v>
      </x:c>
      <x:c r="F1677"/>
      <x:c r="G1677"/>
      <x:c r="H1677" t="str">
        <x:v>kein_match</x:v>
      </x:c>
      <x:c r="I1677" t="str">
        <x:v>Agent-Draft: keine finale Regelentscheidung</x:v>
      </x:c>
      <x:c r="J1677" t="n">
        <x:v>45594</x:v>
      </x:c>
      <x:c r="K1677"/>
      <x:c r="L1677"/>
      <x:c r="M1677" t="n">
        <x:v>-8.37</x:v>
      </x:c>
      <x:c r="N1677" t="str">
        <x:v>2024-10</x:v>
      </x:c>
      <x:c r="O1677" t="str">
        <x:v>Ausgabe</x:v>
      </x:c>
      <x:c r="P1677" t="str">
        <x:v>Ist</x:v>
      </x:c>
      <x:c r="Q1677" s="59" t="b">
        <x:v>0</x:v>
      </x:c>
      <x:c r="R1677" t="str">
        <x:v>kein_transfer</x:v>
      </x:c>
      <x:c r="S1677"/>
      <x:c r="T1677"/>
      <x:c r="U1677"/>
      <x:c r="V1677" s="59" t="b">
        <x:v>1</x:v>
      </x:c>
      <x:c r="W1677"/>
      <x:c r="X1677" t="str">
        <x:v>offen</x:v>
      </x:c>
      <x:c r="Y1677" t="str">
        <x:v>Agent-Draft; Kategorie und Person pruefen</x:v>
      </x:c>
    </x:row>
    <x:row r="1678">
      <x:c r="A1678" t="str">
        <x:v>TXN-RAW-IMP-20260516-FULLDRAFT-001662</x:v>
      </x:c>
      <x:c r="B1678" t="str">
        <x:v>RAW-IMP-20260516-FULLDRAFT-001662</x:v>
      </x:c>
      <x:c r="C1678" t="str">
        <x:v>KTO001</x:v>
      </x:c>
      <x:c r="D1678"/>
      <x:c r="E1678" t="str">
        <x:v>KAT013</x:v>
      </x:c>
      <x:c r="F1678"/>
      <x:c r="G1678"/>
      <x:c r="H1678" t="str">
        <x:v>kein_match</x:v>
      </x:c>
      <x:c r="I1678" t="str">
        <x:v>Agent-Draft: keine finale Regelentscheidung</x:v>
      </x:c>
      <x:c r="J1678" t="n">
        <x:v>45594</x:v>
      </x:c>
      <x:c r="K1678"/>
      <x:c r="L1678"/>
      <x:c r="M1678" t="n">
        <x:v>-865.48</x:v>
      </x:c>
      <x:c r="N1678" t="str">
        <x:v>2024-10</x:v>
      </x:c>
      <x:c r="O1678" t="str">
        <x:v>Ausgabe</x:v>
      </x:c>
      <x:c r="P1678" t="str">
        <x:v>Ist</x:v>
      </x:c>
      <x:c r="Q1678" s="59" t="b">
        <x:v>0</x:v>
      </x:c>
      <x:c r="R1678" t="str">
        <x:v>kein_transfer</x:v>
      </x:c>
      <x:c r="S1678"/>
      <x:c r="T1678"/>
      <x:c r="U1678"/>
      <x:c r="V1678" s="59" t="b">
        <x:v>1</x:v>
      </x:c>
      <x:c r="W1678"/>
      <x:c r="X1678" t="str">
        <x:v>offen</x:v>
      </x:c>
      <x:c r="Y1678" t="str">
        <x:v>Agent-Draft; Kategorie und Person pruefen</x:v>
      </x:c>
    </x:row>
    <x:row r="1679">
      <x:c r="A1679" t="str">
        <x:v>TXN-RAW-IMP-20260516-FULLDRAFT-001663</x:v>
      </x:c>
      <x:c r="B1679" t="str">
        <x:v>RAW-IMP-20260516-FULLDRAFT-001663</x:v>
      </x:c>
      <x:c r="C1679" t="str">
        <x:v>KTO001</x:v>
      </x:c>
      <x:c r="D1679"/>
      <x:c r="E1679" t="str">
        <x:v>KAT013</x:v>
      </x:c>
      <x:c r="F1679"/>
      <x:c r="G1679"/>
      <x:c r="H1679" t="str">
        <x:v>kein_match</x:v>
      </x:c>
      <x:c r="I1679" t="str">
        <x:v>Agent-Draft: keine finale Regelentscheidung</x:v>
      </x:c>
      <x:c r="J1679" t="n">
        <x:v>45593</x:v>
      </x:c>
      <x:c r="K1679"/>
      <x:c r="L1679"/>
      <x:c r="M1679" t="n">
        <x:v>-500</x:v>
      </x:c>
      <x:c r="N1679" t="str">
        <x:v>2024-10</x:v>
      </x:c>
      <x:c r="O1679" t="str">
        <x:v>Ausgabe</x:v>
      </x:c>
      <x:c r="P1679" t="str">
        <x:v>Ist</x:v>
      </x:c>
      <x:c r="Q1679" s="59" t="b">
        <x:v>0</x:v>
      </x:c>
      <x:c r="R1679" t="str">
        <x:v>kein_transfer</x:v>
      </x:c>
      <x:c r="S1679"/>
      <x:c r="T1679"/>
      <x:c r="U1679"/>
      <x:c r="V1679" s="59" t="b">
        <x:v>1</x:v>
      </x:c>
      <x:c r="W1679"/>
      <x:c r="X1679" t="str">
        <x:v>offen</x:v>
      </x:c>
      <x:c r="Y1679" t="str">
        <x:v>Agent-Draft; Kategorie und Person pruefen</x:v>
      </x:c>
    </x:row>
    <x:row r="1680">
      <x:c r="A1680" t="str">
        <x:v>TXN-RAW-IMP-20260516-FULLDRAFT-001664</x:v>
      </x:c>
      <x:c r="B1680" t="str">
        <x:v>RAW-IMP-20260516-FULLDRAFT-001664</x:v>
      </x:c>
      <x:c r="C1680" t="str">
        <x:v>KTO001</x:v>
      </x:c>
      <x:c r="D1680"/>
      <x:c r="E1680" t="str">
        <x:v>KAT013</x:v>
      </x:c>
      <x:c r="F1680"/>
      <x:c r="G1680"/>
      <x:c r="H1680" t="str">
        <x:v>kein_match</x:v>
      </x:c>
      <x:c r="I1680" t="str">
        <x:v>Agent-Draft: keine finale Regelentscheidung</x:v>
      </x:c>
      <x:c r="J1680" t="n">
        <x:v>45593</x:v>
      </x:c>
      <x:c r="K1680"/>
      <x:c r="L1680"/>
      <x:c r="M1680" t="n">
        <x:v>-84.5</x:v>
      </x:c>
      <x:c r="N1680" t="str">
        <x:v>2024-10</x:v>
      </x:c>
      <x:c r="O1680" t="str">
        <x:v>Ausgabe</x:v>
      </x:c>
      <x:c r="P1680" t="str">
        <x:v>Ist</x:v>
      </x:c>
      <x:c r="Q1680" s="59" t="b">
        <x:v>0</x:v>
      </x:c>
      <x:c r="R1680" t="str">
        <x:v>kein_transfer</x:v>
      </x:c>
      <x:c r="S1680"/>
      <x:c r="T1680"/>
      <x:c r="U1680"/>
      <x:c r="V1680" s="59" t="b">
        <x:v>1</x:v>
      </x:c>
      <x:c r="W1680"/>
      <x:c r="X1680" t="str">
        <x:v>offen</x:v>
      </x:c>
      <x:c r="Y1680" t="str">
        <x:v>Agent-Draft; Kategorie und Person pruefen</x:v>
      </x:c>
    </x:row>
    <x:row r="1681">
      <x:c r="A1681" t="str">
        <x:v>TXN-RAW-IMP-20260516-FULLDRAFT-001665</x:v>
      </x:c>
      <x:c r="B1681" t="str">
        <x:v>RAW-IMP-20260516-FULLDRAFT-001665</x:v>
      </x:c>
      <x:c r="C1681" t="str">
        <x:v>KTO001</x:v>
      </x:c>
      <x:c r="D1681"/>
      <x:c r="E1681" t="str">
        <x:v>KAT013</x:v>
      </x:c>
      <x:c r="F1681"/>
      <x:c r="G1681"/>
      <x:c r="H1681" t="str">
        <x:v>kein_match</x:v>
      </x:c>
      <x:c r="I1681" t="str">
        <x:v>Agent-Draft: keine finale Regelentscheidung</x:v>
      </x:c>
      <x:c r="J1681" t="n">
        <x:v>45593</x:v>
      </x:c>
      <x:c r="K1681"/>
      <x:c r="L1681"/>
      <x:c r="M1681" t="n">
        <x:v>-93.33</x:v>
      </x:c>
      <x:c r="N1681" t="str">
        <x:v>2024-10</x:v>
      </x:c>
      <x:c r="O1681" t="str">
        <x:v>Ausgabe</x:v>
      </x:c>
      <x:c r="P1681" t="str">
        <x:v>Ist</x:v>
      </x:c>
      <x:c r="Q1681" s="59" t="b">
        <x:v>0</x:v>
      </x:c>
      <x:c r="R1681" t="str">
        <x:v>kein_transfer</x:v>
      </x:c>
      <x:c r="S1681"/>
      <x:c r="T1681"/>
      <x:c r="U1681"/>
      <x:c r="V1681" s="59" t="b">
        <x:v>1</x:v>
      </x:c>
      <x:c r="W1681"/>
      <x:c r="X1681" t="str">
        <x:v>offen</x:v>
      </x:c>
      <x:c r="Y1681" t="str">
        <x:v>Agent-Draft; Kategorie und Person pruefen</x:v>
      </x:c>
    </x:row>
    <x:row r="1682">
      <x:c r="A1682" t="str">
        <x:v>TXN-RAW-IMP-20260516-FULLDRAFT-001666</x:v>
      </x:c>
      <x:c r="B1682" t="str">
        <x:v>RAW-IMP-20260516-FULLDRAFT-001666</x:v>
      </x:c>
      <x:c r="C1682" t="str">
        <x:v>KTO001</x:v>
      </x:c>
      <x:c r="D1682"/>
      <x:c r="E1682" t="str">
        <x:v>KAT013</x:v>
      </x:c>
      <x:c r="F1682"/>
      <x:c r="G1682"/>
      <x:c r="H1682" t="str">
        <x:v>kein_match</x:v>
      </x:c>
      <x:c r="I1682" t="str">
        <x:v>Agent-Draft: keine finale Regelentscheidung</x:v>
      </x:c>
      <x:c r="J1682" t="n">
        <x:v>45593</x:v>
      </x:c>
      <x:c r="K1682"/>
      <x:c r="L1682"/>
      <x:c r="M1682" t="n">
        <x:v>-55.5</x:v>
      </x:c>
      <x:c r="N1682" t="str">
        <x:v>2024-10</x:v>
      </x:c>
      <x:c r="O1682" t="str">
        <x:v>Ausgabe</x:v>
      </x:c>
      <x:c r="P1682" t="str">
        <x:v>Ist</x:v>
      </x:c>
      <x:c r="Q1682" s="59" t="b">
        <x:v>0</x:v>
      </x:c>
      <x:c r="R1682" t="str">
        <x:v>kein_transfer</x:v>
      </x:c>
      <x:c r="S1682"/>
      <x:c r="T1682"/>
      <x:c r="U1682"/>
      <x:c r="V1682" s="59" t="b">
        <x:v>1</x:v>
      </x:c>
      <x:c r="W1682"/>
      <x:c r="X1682" t="str">
        <x:v>offen</x:v>
      </x:c>
      <x:c r="Y1682" t="str">
        <x:v>Agent-Draft; Kategorie und Person pruefen</x:v>
      </x:c>
    </x:row>
    <x:row r="1683">
      <x:c r="A1683" t="str">
        <x:v>TXN-RAW-IMP-20260516-FULLDRAFT-001667</x:v>
      </x:c>
      <x:c r="B1683" t="str">
        <x:v>RAW-IMP-20260516-FULLDRAFT-001667</x:v>
      </x:c>
      <x:c r="C1683" t="str">
        <x:v>KTO001</x:v>
      </x:c>
      <x:c r="D1683"/>
      <x:c r="E1683" t="str">
        <x:v>KAT013</x:v>
      </x:c>
      <x:c r="F1683"/>
      <x:c r="G1683"/>
      <x:c r="H1683" t="str">
        <x:v>kein_match</x:v>
      </x:c>
      <x:c r="I1683" t="str">
        <x:v>Agent-Draft: keine finale Regelentscheidung</x:v>
      </x:c>
      <x:c r="J1683" t="n">
        <x:v>45593</x:v>
      </x:c>
      <x:c r="K1683"/>
      <x:c r="L1683"/>
      <x:c r="M1683" t="n">
        <x:v>-10.56</x:v>
      </x:c>
      <x:c r="N1683" t="str">
        <x:v>2024-10</x:v>
      </x:c>
      <x:c r="O1683" t="str">
        <x:v>Ausgabe</x:v>
      </x:c>
      <x:c r="P1683" t="str">
        <x:v>Ist</x:v>
      </x:c>
      <x:c r="Q1683" s="59" t="b">
        <x:v>0</x:v>
      </x:c>
      <x:c r="R1683" t="str">
        <x:v>kein_transfer</x:v>
      </x:c>
      <x:c r="S1683"/>
      <x:c r="T1683"/>
      <x:c r="U1683"/>
      <x:c r="V1683" s="59" t="b">
        <x:v>1</x:v>
      </x:c>
      <x:c r="W1683"/>
      <x:c r="X1683" t="str">
        <x:v>offen</x:v>
      </x:c>
      <x:c r="Y1683" t="str">
        <x:v>Agent-Draft; Kategorie und Person pruefen</x:v>
      </x:c>
    </x:row>
    <x:row r="1684">
      <x:c r="A1684" t="str">
        <x:v>TXN-RAW-IMP-20260516-FULLDRAFT-001668</x:v>
      </x:c>
      <x:c r="B1684" t="str">
        <x:v>RAW-IMP-20260516-FULLDRAFT-001668</x:v>
      </x:c>
      <x:c r="C1684" t="str">
        <x:v>KTO001</x:v>
      </x:c>
      <x:c r="D1684"/>
      <x:c r="E1684" t="str">
        <x:v>KAT013</x:v>
      </x:c>
      <x:c r="F1684"/>
      <x:c r="G1684"/>
      <x:c r="H1684" t="str">
        <x:v>kein_match</x:v>
      </x:c>
      <x:c r="I1684" t="str">
        <x:v>Agent-Draft: keine finale Regelentscheidung</x:v>
      </x:c>
      <x:c r="J1684" t="n">
        <x:v>45593</x:v>
      </x:c>
      <x:c r="K1684"/>
      <x:c r="L1684"/>
      <x:c r="M1684" t="n">
        <x:v>0.99</x:v>
      </x:c>
      <x:c r="N1684" t="str">
        <x:v>2024-10</x:v>
      </x:c>
      <x:c r="O1684" t="str">
        <x:v>Einnahme</x:v>
      </x:c>
      <x:c r="P1684" t="str">
        <x:v>Ist</x:v>
      </x:c>
      <x:c r="Q1684" s="59" t="b">
        <x:v>0</x:v>
      </x:c>
      <x:c r="R1684" t="str">
        <x:v>kein_transfer</x:v>
      </x:c>
      <x:c r="S1684"/>
      <x:c r="T1684"/>
      <x:c r="U1684"/>
      <x:c r="V1684" s="59" t="b">
        <x:v>1</x:v>
      </x:c>
      <x:c r="W1684"/>
      <x:c r="X1684" t="str">
        <x:v>offen</x:v>
      </x:c>
      <x:c r="Y1684" t="str">
        <x:v>Agent-Draft; Kategorie und Person pruefen</x:v>
      </x:c>
    </x:row>
    <x:row r="1685">
      <x:c r="A1685" t="str">
        <x:v>TXN-RAW-IMP-20260516-FULLDRAFT-001669</x:v>
      </x:c>
      <x:c r="B1685" t="str">
        <x:v>RAW-IMP-20260516-FULLDRAFT-001669</x:v>
      </x:c>
      <x:c r="C1685" t="str">
        <x:v>KTO001</x:v>
      </x:c>
      <x:c r="D1685"/>
      <x:c r="E1685" t="str">
        <x:v>KAT013</x:v>
      </x:c>
      <x:c r="F1685"/>
      <x:c r="G1685"/>
      <x:c r="H1685" t="str">
        <x:v>kein_match</x:v>
      </x:c>
      <x:c r="I1685" t="str">
        <x:v>Agent-Draft: keine finale Regelentscheidung</x:v>
      </x:c>
      <x:c r="J1685" t="n">
        <x:v>45590</x:v>
      </x:c>
      <x:c r="K1685"/>
      <x:c r="L1685"/>
      <x:c r="M1685" t="n">
        <x:v>-12.45</x:v>
      </x:c>
      <x:c r="N1685" t="str">
        <x:v>2024-10</x:v>
      </x:c>
      <x:c r="O1685" t="str">
        <x:v>Ausgabe</x:v>
      </x:c>
      <x:c r="P1685" t="str">
        <x:v>Ist</x:v>
      </x:c>
      <x:c r="Q1685" s="59" t="b">
        <x:v>0</x:v>
      </x:c>
      <x:c r="R1685" t="str">
        <x:v>kein_transfer</x:v>
      </x:c>
      <x:c r="S1685"/>
      <x:c r="T1685"/>
      <x:c r="U1685"/>
      <x:c r="V1685" s="59" t="b">
        <x:v>1</x:v>
      </x:c>
      <x:c r="W1685"/>
      <x:c r="X1685" t="str">
        <x:v>offen</x:v>
      </x:c>
      <x:c r="Y1685" t="str">
        <x:v>Agent-Draft; Kategorie und Person pruefen</x:v>
      </x:c>
    </x:row>
    <x:row r="1686">
      <x:c r="A1686" t="str">
        <x:v>TXN-RAW-IMP-20260516-FULLDRAFT-001670</x:v>
      </x:c>
      <x:c r="B1686" t="str">
        <x:v>RAW-IMP-20260516-FULLDRAFT-001670</x:v>
      </x:c>
      <x:c r="C1686" t="str">
        <x:v>KTO001</x:v>
      </x:c>
      <x:c r="D1686"/>
      <x:c r="E1686" t="str">
        <x:v>KAT013</x:v>
      </x:c>
      <x:c r="F1686"/>
      <x:c r="G1686"/>
      <x:c r="H1686" t="str">
        <x:v>kein_match</x:v>
      </x:c>
      <x:c r="I1686" t="str">
        <x:v>Agent-Draft: keine finale Regelentscheidung</x:v>
      </x:c>
      <x:c r="J1686" t="n">
        <x:v>45589</x:v>
      </x:c>
      <x:c r="K1686"/>
      <x:c r="L1686"/>
      <x:c r="M1686" t="n">
        <x:v>-8</x:v>
      </x:c>
      <x:c r="N1686" t="str">
        <x:v>2024-10</x:v>
      </x:c>
      <x:c r="O1686" t="str">
        <x:v>Ausgabe</x:v>
      </x:c>
      <x:c r="P1686" t="str">
        <x:v>Ist</x:v>
      </x:c>
      <x:c r="Q1686" s="59" t="b">
        <x:v>0</x:v>
      </x:c>
      <x:c r="R1686" t="str">
        <x:v>kein_transfer</x:v>
      </x:c>
      <x:c r="S1686"/>
      <x:c r="T1686"/>
      <x:c r="U1686"/>
      <x:c r="V1686" s="59" t="b">
        <x:v>1</x:v>
      </x:c>
      <x:c r="W1686"/>
      <x:c r="X1686" t="str">
        <x:v>offen</x:v>
      </x:c>
      <x:c r="Y1686" t="str">
        <x:v>Agent-Draft; Kategorie und Person pruefen</x:v>
      </x:c>
    </x:row>
    <x:row r="1687">
      <x:c r="A1687" t="str">
        <x:v>TXN-RAW-IMP-20260516-FULLDRAFT-001671</x:v>
      </x:c>
      <x:c r="B1687" t="str">
        <x:v>RAW-IMP-20260516-FULLDRAFT-001671</x:v>
      </x:c>
      <x:c r="C1687" t="str">
        <x:v>KTO001</x:v>
      </x:c>
      <x:c r="D1687"/>
      <x:c r="E1687" t="str">
        <x:v>KAT013</x:v>
      </x:c>
      <x:c r="F1687"/>
      <x:c r="G1687"/>
      <x:c r="H1687" t="str">
        <x:v>kein_match</x:v>
      </x:c>
      <x:c r="I1687" t="str">
        <x:v>Agent-Draft: keine finale Regelentscheidung</x:v>
      </x:c>
      <x:c r="J1687" t="n">
        <x:v>45589</x:v>
      </x:c>
      <x:c r="K1687"/>
      <x:c r="L1687"/>
      <x:c r="M1687" t="n">
        <x:v>-4.5</x:v>
      </x:c>
      <x:c r="N1687" t="str">
        <x:v>2024-10</x:v>
      </x:c>
      <x:c r="O1687" t="str">
        <x:v>Ausgabe</x:v>
      </x:c>
      <x:c r="P1687" t="str">
        <x:v>Ist</x:v>
      </x:c>
      <x:c r="Q1687" s="59" t="b">
        <x:v>0</x:v>
      </x:c>
      <x:c r="R1687" t="str">
        <x:v>kein_transfer</x:v>
      </x:c>
      <x:c r="S1687"/>
      <x:c r="T1687"/>
      <x:c r="U1687"/>
      <x:c r="V1687" s="59" t="b">
        <x:v>1</x:v>
      </x:c>
      <x:c r="W1687"/>
      <x:c r="X1687" t="str">
        <x:v>offen</x:v>
      </x:c>
      <x:c r="Y1687" t="str">
        <x:v>Agent-Draft; Kategorie und Person pruefen</x:v>
      </x:c>
    </x:row>
    <x:row r="1688">
      <x:c r="A1688" t="str">
        <x:v>TXN-RAW-IMP-20260516-FULLDRAFT-001672</x:v>
      </x:c>
      <x:c r="B1688" t="str">
        <x:v>RAW-IMP-20260516-FULLDRAFT-001672</x:v>
      </x:c>
      <x:c r="C1688" t="str">
        <x:v>KTO001</x:v>
      </x:c>
      <x:c r="D1688"/>
      <x:c r="E1688" t="str">
        <x:v>KAT013</x:v>
      </x:c>
      <x:c r="F1688"/>
      <x:c r="G1688"/>
      <x:c r="H1688" t="str">
        <x:v>kein_match</x:v>
      </x:c>
      <x:c r="I1688" t="str">
        <x:v>Agent-Draft: keine finale Regelentscheidung</x:v>
      </x:c>
      <x:c r="J1688" t="n">
        <x:v>45589</x:v>
      </x:c>
      <x:c r="K1688"/>
      <x:c r="L1688"/>
      <x:c r="M1688" t="n">
        <x:v>-4.25</x:v>
      </x:c>
      <x:c r="N1688" t="str">
        <x:v>2024-10</x:v>
      </x:c>
      <x:c r="O1688" t="str">
        <x:v>Ausgabe</x:v>
      </x:c>
      <x:c r="P1688" t="str">
        <x:v>Ist</x:v>
      </x:c>
      <x:c r="Q1688" s="59" t="b">
        <x:v>0</x:v>
      </x:c>
      <x:c r="R1688" t="str">
        <x:v>kein_transfer</x:v>
      </x:c>
      <x:c r="S1688"/>
      <x:c r="T1688"/>
      <x:c r="U1688"/>
      <x:c r="V1688" s="59" t="b">
        <x:v>1</x:v>
      </x:c>
      <x:c r="W1688"/>
      <x:c r="X1688" t="str">
        <x:v>offen</x:v>
      </x:c>
      <x:c r="Y1688" t="str">
        <x:v>Agent-Draft; Kategorie und Person pruefen</x:v>
      </x:c>
    </x:row>
    <x:row r="1689">
      <x:c r="A1689" t="str">
        <x:v>TXN-RAW-IMP-20260516-FULLDRAFT-001673</x:v>
      </x:c>
      <x:c r="B1689" t="str">
        <x:v>RAW-IMP-20260516-FULLDRAFT-001673</x:v>
      </x:c>
      <x:c r="C1689" t="str">
        <x:v>KTO001</x:v>
      </x:c>
      <x:c r="D1689"/>
      <x:c r="E1689" t="str">
        <x:v>KAT013</x:v>
      </x:c>
      <x:c r="F1689"/>
      <x:c r="G1689"/>
      <x:c r="H1689" t="str">
        <x:v>kein_match</x:v>
      </x:c>
      <x:c r="I1689" t="str">
        <x:v>Agent-Draft: keine finale Regelentscheidung</x:v>
      </x:c>
      <x:c r="J1689" t="n">
        <x:v>45589</x:v>
      </x:c>
      <x:c r="K1689"/>
      <x:c r="L1689"/>
      <x:c r="M1689" t="n">
        <x:v>-24.23</x:v>
      </x:c>
      <x:c r="N1689" t="str">
        <x:v>2024-10</x:v>
      </x:c>
      <x:c r="O1689" t="str">
        <x:v>Ausgabe</x:v>
      </x:c>
      <x:c r="P1689" t="str">
        <x:v>Ist</x:v>
      </x:c>
      <x:c r="Q1689" s="59" t="b">
        <x:v>0</x:v>
      </x:c>
      <x:c r="R1689" t="str">
        <x:v>kein_transfer</x:v>
      </x:c>
      <x:c r="S1689"/>
      <x:c r="T1689"/>
      <x:c r="U1689"/>
      <x:c r="V1689" s="59" t="b">
        <x:v>1</x:v>
      </x:c>
      <x:c r="W1689"/>
      <x:c r="X1689" t="str">
        <x:v>offen</x:v>
      </x:c>
      <x:c r="Y1689" t="str">
        <x:v>Agent-Draft; Kategorie und Person pruefen</x:v>
      </x:c>
    </x:row>
    <x:row r="1690">
      <x:c r="A1690" t="str">
        <x:v>TXN-RAW-IMP-20260516-FULLDRAFT-001674</x:v>
      </x:c>
      <x:c r="B1690" t="str">
        <x:v>RAW-IMP-20260516-FULLDRAFT-001674</x:v>
      </x:c>
      <x:c r="C1690" t="str">
        <x:v>KTO001</x:v>
      </x:c>
      <x:c r="D1690"/>
      <x:c r="E1690" t="str">
        <x:v>KAT013</x:v>
      </x:c>
      <x:c r="F1690"/>
      <x:c r="G1690"/>
      <x:c r="H1690" t="str">
        <x:v>kein_match</x:v>
      </x:c>
      <x:c r="I1690" t="str">
        <x:v>Agent-Draft: keine finale Regelentscheidung</x:v>
      </x:c>
      <x:c r="J1690" t="n">
        <x:v>45589</x:v>
      </x:c>
      <x:c r="K1690"/>
      <x:c r="L1690"/>
      <x:c r="M1690" t="n">
        <x:v>-4.7</x:v>
      </x:c>
      <x:c r="N1690" t="str">
        <x:v>2024-10</x:v>
      </x:c>
      <x:c r="O1690" t="str">
        <x:v>Ausgabe</x:v>
      </x:c>
      <x:c r="P1690" t="str">
        <x:v>Ist</x:v>
      </x:c>
      <x:c r="Q1690" s="59" t="b">
        <x:v>0</x:v>
      </x:c>
      <x:c r="R1690" t="str">
        <x:v>kein_transfer</x:v>
      </x:c>
      <x:c r="S1690"/>
      <x:c r="T1690"/>
      <x:c r="U1690"/>
      <x:c r="V1690" s="59" t="b">
        <x:v>1</x:v>
      </x:c>
      <x:c r="W1690"/>
      <x:c r="X1690" t="str">
        <x:v>offen</x:v>
      </x:c>
      <x:c r="Y1690" t="str">
        <x:v>Agent-Draft; Kategorie und Person pruefen</x:v>
      </x:c>
    </x:row>
    <x:row r="1691">
      <x:c r="A1691" t="str">
        <x:v>TXN-RAW-IMP-20260516-FULLDRAFT-001675</x:v>
      </x:c>
      <x:c r="B1691" t="str">
        <x:v>RAW-IMP-20260516-FULLDRAFT-001675</x:v>
      </x:c>
      <x:c r="C1691" t="str">
        <x:v>KTO001</x:v>
      </x:c>
      <x:c r="D1691"/>
      <x:c r="E1691" t="str">
        <x:v>KAT013</x:v>
      </x:c>
      <x:c r="F1691"/>
      <x:c r="G1691"/>
      <x:c r="H1691" t="str">
        <x:v>kein_match</x:v>
      </x:c>
      <x:c r="I1691" t="str">
        <x:v>Agent-Draft: keine finale Regelentscheidung</x:v>
      </x:c>
      <x:c r="J1691" t="n">
        <x:v>45587</x:v>
      </x:c>
      <x:c r="K1691"/>
      <x:c r="L1691"/>
      <x:c r="M1691" t="n">
        <x:v>-4.23</x:v>
      </x:c>
      <x:c r="N1691" t="str">
        <x:v>2024-10</x:v>
      </x:c>
      <x:c r="O1691" t="str">
        <x:v>Ausgabe</x:v>
      </x:c>
      <x:c r="P1691" t="str">
        <x:v>Ist</x:v>
      </x:c>
      <x:c r="Q1691" s="59" t="b">
        <x:v>0</x:v>
      </x:c>
      <x:c r="R1691" t="str">
        <x:v>kein_transfer</x:v>
      </x:c>
      <x:c r="S1691"/>
      <x:c r="T1691"/>
      <x:c r="U1691"/>
      <x:c r="V1691" s="59" t="b">
        <x:v>1</x:v>
      </x:c>
      <x:c r="W1691"/>
      <x:c r="X1691" t="str">
        <x:v>offen</x:v>
      </x:c>
      <x:c r="Y1691" t="str">
        <x:v>Agent-Draft; Kategorie und Person pruefen</x:v>
      </x:c>
    </x:row>
    <x:row r="1692">
      <x:c r="A1692" t="str">
        <x:v>TXN-RAW-IMP-20260516-FULLDRAFT-001676</x:v>
      </x:c>
      <x:c r="B1692" t="str">
        <x:v>RAW-IMP-20260516-FULLDRAFT-001676</x:v>
      </x:c>
      <x:c r="C1692" t="str">
        <x:v>KTO001</x:v>
      </x:c>
      <x:c r="D1692"/>
      <x:c r="E1692" t="str">
        <x:v>KAT013</x:v>
      </x:c>
      <x:c r="F1692"/>
      <x:c r="G1692"/>
      <x:c r="H1692" t="str">
        <x:v>kein_match</x:v>
      </x:c>
      <x:c r="I1692" t="str">
        <x:v>Agent-Draft: keine finale Regelentscheidung</x:v>
      </x:c>
      <x:c r="J1692" t="n">
        <x:v>45587</x:v>
      </x:c>
      <x:c r="K1692"/>
      <x:c r="L1692"/>
      <x:c r="M1692" t="n">
        <x:v>-2.99</x:v>
      </x:c>
      <x:c r="N1692" t="str">
        <x:v>2024-10</x:v>
      </x:c>
      <x:c r="O1692" t="str">
        <x:v>Ausgabe</x:v>
      </x:c>
      <x:c r="P1692" t="str">
        <x:v>Ist</x:v>
      </x:c>
      <x:c r="Q1692" s="59" t="b">
        <x:v>0</x:v>
      </x:c>
      <x:c r="R1692" t="str">
        <x:v>kein_transfer</x:v>
      </x:c>
      <x:c r="S1692"/>
      <x:c r="T1692"/>
      <x:c r="U1692"/>
      <x:c r="V1692" s="59" t="b">
        <x:v>1</x:v>
      </x:c>
      <x:c r="W1692"/>
      <x:c r="X1692" t="str">
        <x:v>offen</x:v>
      </x:c>
      <x:c r="Y1692" t="str">
        <x:v>Agent-Draft; Kategorie und Person pruefen</x:v>
      </x:c>
    </x:row>
    <x:row r="1693">
      <x:c r="A1693" t="str">
        <x:v>TXN-RAW-IMP-20260516-FULLDRAFT-001677</x:v>
      </x:c>
      <x:c r="B1693" t="str">
        <x:v>RAW-IMP-20260516-FULLDRAFT-001677</x:v>
      </x:c>
      <x:c r="C1693" t="str">
        <x:v>KTO001</x:v>
      </x:c>
      <x:c r="D1693"/>
      <x:c r="E1693" t="str">
        <x:v>KAT013</x:v>
      </x:c>
      <x:c r="F1693"/>
      <x:c r="G1693"/>
      <x:c r="H1693" t="str">
        <x:v>kein_match</x:v>
      </x:c>
      <x:c r="I1693" t="str">
        <x:v>Agent-Draft: keine finale Regelentscheidung</x:v>
      </x:c>
      <x:c r="J1693" t="n">
        <x:v>45586</x:v>
      </x:c>
      <x:c r="K1693"/>
      <x:c r="L1693"/>
      <x:c r="M1693" t="n">
        <x:v>-82</x:v>
      </x:c>
      <x:c r="N1693" t="str">
        <x:v>2024-10</x:v>
      </x:c>
      <x:c r="O1693" t="str">
        <x:v>Ausgabe</x:v>
      </x:c>
      <x:c r="P1693" t="str">
        <x:v>Ist</x:v>
      </x:c>
      <x:c r="Q1693" s="59" t="b">
        <x:v>0</x:v>
      </x:c>
      <x:c r="R1693" t="str">
        <x:v>kein_transfer</x:v>
      </x:c>
      <x:c r="S1693"/>
      <x:c r="T1693"/>
      <x:c r="U1693"/>
      <x:c r="V1693" s="59" t="b">
        <x:v>1</x:v>
      </x:c>
      <x:c r="W1693"/>
      <x:c r="X1693" t="str">
        <x:v>offen</x:v>
      </x:c>
      <x:c r="Y1693" t="str">
        <x:v>Agent-Draft; Kategorie und Person pruefen</x:v>
      </x:c>
    </x:row>
    <x:row r="1694">
      <x:c r="A1694" t="str">
        <x:v>TXN-RAW-IMP-20260516-FULLDRAFT-001678</x:v>
      </x:c>
      <x:c r="B1694" t="str">
        <x:v>RAW-IMP-20260516-FULLDRAFT-001678</x:v>
      </x:c>
      <x:c r="C1694" t="str">
        <x:v>KTO001</x:v>
      </x:c>
      <x:c r="D1694"/>
      <x:c r="E1694" t="str">
        <x:v>KAT013</x:v>
      </x:c>
      <x:c r="F1694"/>
      <x:c r="G1694"/>
      <x:c r="H1694" t="str">
        <x:v>kein_match</x:v>
      </x:c>
      <x:c r="I1694" t="str">
        <x:v>Agent-Draft: keine finale Regelentscheidung</x:v>
      </x:c>
      <x:c r="J1694" t="n">
        <x:v>45586</x:v>
      </x:c>
      <x:c r="K1694"/>
      <x:c r="L1694"/>
      <x:c r="M1694" t="n">
        <x:v>-11.47</x:v>
      </x:c>
      <x:c r="N1694" t="str">
        <x:v>2024-10</x:v>
      </x:c>
      <x:c r="O1694" t="str">
        <x:v>Ausgabe</x:v>
      </x:c>
      <x:c r="P1694" t="str">
        <x:v>Ist</x:v>
      </x:c>
      <x:c r="Q1694" s="59" t="b">
        <x:v>0</x:v>
      </x:c>
      <x:c r="R1694" t="str">
        <x:v>kein_transfer</x:v>
      </x:c>
      <x:c r="S1694"/>
      <x:c r="T1694"/>
      <x:c r="U1694"/>
      <x:c r="V1694" s="59" t="b">
        <x:v>1</x:v>
      </x:c>
      <x:c r="W1694"/>
      <x:c r="X1694" t="str">
        <x:v>offen</x:v>
      </x:c>
      <x:c r="Y1694" t="str">
        <x:v>Agent-Draft; Kategorie und Person pruefen</x:v>
      </x:c>
    </x:row>
    <x:row r="1695">
      <x:c r="A1695" t="str">
        <x:v>TXN-RAW-IMP-20260516-FULLDRAFT-001679</x:v>
      </x:c>
      <x:c r="B1695" t="str">
        <x:v>RAW-IMP-20260516-FULLDRAFT-001679</x:v>
      </x:c>
      <x:c r="C1695" t="str">
        <x:v>KTO001</x:v>
      </x:c>
      <x:c r="D1695"/>
      <x:c r="E1695" t="str">
        <x:v>KAT013</x:v>
      </x:c>
      <x:c r="F1695"/>
      <x:c r="G1695"/>
      <x:c r="H1695" t="str">
        <x:v>kein_match</x:v>
      </x:c>
      <x:c r="I1695" t="str">
        <x:v>Agent-Draft: keine finale Regelentscheidung</x:v>
      </x:c>
      <x:c r="J1695" t="n">
        <x:v>45586</x:v>
      </x:c>
      <x:c r="K1695"/>
      <x:c r="L1695"/>
      <x:c r="M1695" t="n">
        <x:v>-39.64</x:v>
      </x:c>
      <x:c r="N1695" t="str">
        <x:v>2024-10</x:v>
      </x:c>
      <x:c r="O1695" t="str">
        <x:v>Ausgabe</x:v>
      </x:c>
      <x:c r="P1695" t="str">
        <x:v>Ist</x:v>
      </x:c>
      <x:c r="Q1695" s="59" t="b">
        <x:v>0</x:v>
      </x:c>
      <x:c r="R1695" t="str">
        <x:v>kein_transfer</x:v>
      </x:c>
      <x:c r="S1695"/>
      <x:c r="T1695"/>
      <x:c r="U1695"/>
      <x:c r="V1695" s="59" t="b">
        <x:v>1</x:v>
      </x:c>
      <x:c r="W1695"/>
      <x:c r="X1695" t="str">
        <x:v>offen</x:v>
      </x:c>
      <x:c r="Y1695" t="str">
        <x:v>Agent-Draft; Kategorie und Person pruefen</x:v>
      </x:c>
    </x:row>
    <x:row r="1696">
      <x:c r="A1696" t="str">
        <x:v>TXN-RAW-IMP-20260516-FULLDRAFT-001680</x:v>
      </x:c>
      <x:c r="B1696" t="str">
        <x:v>RAW-IMP-20260516-FULLDRAFT-001680</x:v>
      </x:c>
      <x:c r="C1696" t="str">
        <x:v>KTO001</x:v>
      </x:c>
      <x:c r="D1696"/>
      <x:c r="E1696" t="str">
        <x:v>KAT013</x:v>
      </x:c>
      <x:c r="F1696"/>
      <x:c r="G1696"/>
      <x:c r="H1696" t="str">
        <x:v>kein_match</x:v>
      </x:c>
      <x:c r="I1696" t="str">
        <x:v>Agent-Draft: keine finale Regelentscheidung</x:v>
      </x:c>
      <x:c r="J1696" t="n">
        <x:v>45586</x:v>
      </x:c>
      <x:c r="K1696"/>
      <x:c r="L1696"/>
      <x:c r="M1696" t="n">
        <x:v>-49.8</x:v>
      </x:c>
      <x:c r="N1696" t="str">
        <x:v>2024-10</x:v>
      </x:c>
      <x:c r="O1696" t="str">
        <x:v>Ausgabe</x:v>
      </x:c>
      <x:c r="P1696" t="str">
        <x:v>Ist</x:v>
      </x:c>
      <x:c r="Q1696" s="59" t="b">
        <x:v>0</x:v>
      </x:c>
      <x:c r="R1696" t="str">
        <x:v>kein_transfer</x:v>
      </x:c>
      <x:c r="S1696"/>
      <x:c r="T1696"/>
      <x:c r="U1696"/>
      <x:c r="V1696" s="59" t="b">
        <x:v>1</x:v>
      </x:c>
      <x:c r="W1696"/>
      <x:c r="X1696" t="str">
        <x:v>offen</x:v>
      </x:c>
      <x:c r="Y1696" t="str">
        <x:v>Agent-Draft; Kategorie und Person pruefen</x:v>
      </x:c>
    </x:row>
    <x:row r="1697">
      <x:c r="A1697" t="str">
        <x:v>TXN-RAW-IMP-20260516-FULLDRAFT-001681</x:v>
      </x:c>
      <x:c r="B1697" t="str">
        <x:v>RAW-IMP-20260516-FULLDRAFT-001681</x:v>
      </x:c>
      <x:c r="C1697" t="str">
        <x:v>KTO001</x:v>
      </x:c>
      <x:c r="D1697"/>
      <x:c r="E1697" t="str">
        <x:v>KAT013</x:v>
      </x:c>
      <x:c r="F1697"/>
      <x:c r="G1697"/>
      <x:c r="H1697" t="str">
        <x:v>kein_match</x:v>
      </x:c>
      <x:c r="I1697" t="str">
        <x:v>Agent-Draft: keine finale Regelentscheidung</x:v>
      </x:c>
      <x:c r="J1697" t="n">
        <x:v>45583</x:v>
      </x:c>
      <x:c r="K1697"/>
      <x:c r="L1697"/>
      <x:c r="M1697" t="n">
        <x:v>-20</x:v>
      </x:c>
      <x:c r="N1697" t="str">
        <x:v>2024-10</x:v>
      </x:c>
      <x:c r="O1697" t="str">
        <x:v>Ausgabe</x:v>
      </x:c>
      <x:c r="P1697" t="str">
        <x:v>Ist</x:v>
      </x:c>
      <x:c r="Q1697" s="59" t="b">
        <x:v>0</x:v>
      </x:c>
      <x:c r="R1697" t="str">
        <x:v>kein_transfer</x:v>
      </x:c>
      <x:c r="S1697"/>
      <x:c r="T1697"/>
      <x:c r="U1697"/>
      <x:c r="V1697" s="59" t="b">
        <x:v>1</x:v>
      </x:c>
      <x:c r="W1697"/>
      <x:c r="X1697" t="str">
        <x:v>offen</x:v>
      </x:c>
      <x:c r="Y1697" t="str">
        <x:v>Agent-Draft; Kategorie und Person pruefen</x:v>
      </x:c>
    </x:row>
    <x:row r="1698">
      <x:c r="A1698" t="str">
        <x:v>TXN-RAW-IMP-20260516-FULLDRAFT-001682</x:v>
      </x:c>
      <x:c r="B1698" t="str">
        <x:v>RAW-IMP-20260516-FULLDRAFT-001682</x:v>
      </x:c>
      <x:c r="C1698" t="str">
        <x:v>KTO001</x:v>
      </x:c>
      <x:c r="D1698"/>
      <x:c r="E1698" t="str">
        <x:v>KAT013</x:v>
      </x:c>
      <x:c r="F1698"/>
      <x:c r="G1698"/>
      <x:c r="H1698" t="str">
        <x:v>kein_match</x:v>
      </x:c>
      <x:c r="I1698" t="str">
        <x:v>Agent-Draft: keine finale Regelentscheidung</x:v>
      </x:c>
      <x:c r="J1698" t="n">
        <x:v>45583</x:v>
      </x:c>
      <x:c r="K1698"/>
      <x:c r="L1698"/>
      <x:c r="M1698" t="n">
        <x:v>-23.86</x:v>
      </x:c>
      <x:c r="N1698" t="str">
        <x:v>2024-10</x:v>
      </x:c>
      <x:c r="O1698" t="str">
        <x:v>Ausgabe</x:v>
      </x:c>
      <x:c r="P1698" t="str">
        <x:v>Ist</x:v>
      </x:c>
      <x:c r="Q1698" s="59" t="b">
        <x:v>0</x:v>
      </x:c>
      <x:c r="R1698" t="str">
        <x:v>kein_transfer</x:v>
      </x:c>
      <x:c r="S1698"/>
      <x:c r="T1698"/>
      <x:c r="U1698"/>
      <x:c r="V1698" s="59" t="b">
        <x:v>1</x:v>
      </x:c>
      <x:c r="W1698"/>
      <x:c r="X1698" t="str">
        <x:v>offen</x:v>
      </x:c>
      <x:c r="Y1698" t="str">
        <x:v>Agent-Draft; Kategorie und Person pruefen</x:v>
      </x:c>
    </x:row>
    <x:row r="1699">
      <x:c r="A1699" t="str">
        <x:v>TXN-RAW-IMP-20260516-FULLDRAFT-001683</x:v>
      </x:c>
      <x:c r="B1699" t="str">
        <x:v>RAW-IMP-20260516-FULLDRAFT-001683</x:v>
      </x:c>
      <x:c r="C1699" t="str">
        <x:v>KTO001</x:v>
      </x:c>
      <x:c r="D1699"/>
      <x:c r="E1699" t="str">
        <x:v>KAT013</x:v>
      </x:c>
      <x:c r="F1699"/>
      <x:c r="G1699"/>
      <x:c r="H1699" t="str">
        <x:v>kein_match</x:v>
      </x:c>
      <x:c r="I1699" t="str">
        <x:v>Agent-Draft: keine finale Regelentscheidung</x:v>
      </x:c>
      <x:c r="J1699" t="n">
        <x:v>45582</x:v>
      </x:c>
      <x:c r="K1699"/>
      <x:c r="L1699"/>
      <x:c r="M1699" t="n">
        <x:v>-6.99</x:v>
      </x:c>
      <x:c r="N1699" t="str">
        <x:v>2024-10</x:v>
      </x:c>
      <x:c r="O1699" t="str">
        <x:v>Ausgabe</x:v>
      </x:c>
      <x:c r="P1699" t="str">
        <x:v>Ist</x:v>
      </x:c>
      <x:c r="Q1699" s="59" t="b">
        <x:v>0</x:v>
      </x:c>
      <x:c r="R1699" t="str">
        <x:v>kein_transfer</x:v>
      </x:c>
      <x:c r="S1699"/>
      <x:c r="T1699"/>
      <x:c r="U1699"/>
      <x:c r="V1699" s="59" t="b">
        <x:v>1</x:v>
      </x:c>
      <x:c r="W1699"/>
      <x:c r="X1699" t="str">
        <x:v>offen</x:v>
      </x:c>
      <x:c r="Y1699" t="str">
        <x:v>Agent-Draft; Kategorie und Person pruefen</x:v>
      </x:c>
    </x:row>
    <x:row r="1700">
      <x:c r="A1700" t="str">
        <x:v>TXN-RAW-IMP-20260516-FULLDRAFT-001684</x:v>
      </x:c>
      <x:c r="B1700" t="str">
        <x:v>RAW-IMP-20260516-FULLDRAFT-001684</x:v>
      </x:c>
      <x:c r="C1700" t="str">
        <x:v>KTO001</x:v>
      </x:c>
      <x:c r="D1700"/>
      <x:c r="E1700" t="str">
        <x:v>KAT013</x:v>
      </x:c>
      <x:c r="F1700"/>
      <x:c r="G1700"/>
      <x:c r="H1700" t="str">
        <x:v>kein_match</x:v>
      </x:c>
      <x:c r="I1700" t="str">
        <x:v>Agent-Draft: keine finale Regelentscheidung</x:v>
      </x:c>
      <x:c r="J1700" t="n">
        <x:v>45582</x:v>
      </x:c>
      <x:c r="K1700"/>
      <x:c r="L1700"/>
      <x:c r="M1700" t="n">
        <x:v>-6.99</x:v>
      </x:c>
      <x:c r="N1700" t="str">
        <x:v>2024-10</x:v>
      </x:c>
      <x:c r="O1700" t="str">
        <x:v>Ausgabe</x:v>
      </x:c>
      <x:c r="P1700" t="str">
        <x:v>Ist</x:v>
      </x:c>
      <x:c r="Q1700" s="59" t="b">
        <x:v>0</x:v>
      </x:c>
      <x:c r="R1700" t="str">
        <x:v>kein_transfer</x:v>
      </x:c>
      <x:c r="S1700"/>
      <x:c r="T1700"/>
      <x:c r="U1700"/>
      <x:c r="V1700" s="59" t="b">
        <x:v>1</x:v>
      </x:c>
      <x:c r="W1700"/>
      <x:c r="X1700" t="str">
        <x:v>offen</x:v>
      </x:c>
      <x:c r="Y1700" t="str">
        <x:v>Agent-Draft; Kategorie und Person pruefen</x:v>
      </x:c>
    </x:row>
    <x:row r="1701">
      <x:c r="A1701" t="str">
        <x:v>TXN-RAW-IMP-20260516-FULLDRAFT-001685</x:v>
      </x:c>
      <x:c r="B1701" t="str">
        <x:v>RAW-IMP-20260516-FULLDRAFT-001685</x:v>
      </x:c>
      <x:c r="C1701" t="str">
        <x:v>KTO001</x:v>
      </x:c>
      <x:c r="D1701"/>
      <x:c r="E1701" t="str">
        <x:v>KAT013</x:v>
      </x:c>
      <x:c r="F1701"/>
      <x:c r="G1701"/>
      <x:c r="H1701" t="str">
        <x:v>kein_match</x:v>
      </x:c>
      <x:c r="I1701" t="str">
        <x:v>Agent-Draft: keine finale Regelentscheidung</x:v>
      </x:c>
      <x:c r="J1701" t="n">
        <x:v>45582</x:v>
      </x:c>
      <x:c r="K1701"/>
      <x:c r="L1701"/>
      <x:c r="M1701" t="n">
        <x:v>-6.99</x:v>
      </x:c>
      <x:c r="N1701" t="str">
        <x:v>2024-10</x:v>
      </x:c>
      <x:c r="O1701" t="str">
        <x:v>Ausgabe</x:v>
      </x:c>
      <x:c r="P1701" t="str">
        <x:v>Ist</x:v>
      </x:c>
      <x:c r="Q1701" s="59" t="b">
        <x:v>0</x:v>
      </x:c>
      <x:c r="R1701" t="str">
        <x:v>kein_transfer</x:v>
      </x:c>
      <x:c r="S1701"/>
      <x:c r="T1701"/>
      <x:c r="U1701"/>
      <x:c r="V1701" s="59" t="b">
        <x:v>1</x:v>
      </x:c>
      <x:c r="W1701"/>
      <x:c r="X1701" t="str">
        <x:v>offen</x:v>
      </x:c>
      <x:c r="Y1701" t="str">
        <x:v>Agent-Draft; Kategorie und Person pruefen</x:v>
      </x:c>
    </x:row>
    <x:row r="1702">
      <x:c r="A1702" t="str">
        <x:v>TXN-RAW-IMP-20260516-FULLDRAFT-001686</x:v>
      </x:c>
      <x:c r="B1702" t="str">
        <x:v>RAW-IMP-20260516-FULLDRAFT-001686</x:v>
      </x:c>
      <x:c r="C1702" t="str">
        <x:v>KTO001</x:v>
      </x:c>
      <x:c r="D1702"/>
      <x:c r="E1702" t="str">
        <x:v>KAT013</x:v>
      </x:c>
      <x:c r="F1702"/>
      <x:c r="G1702"/>
      <x:c r="H1702" t="str">
        <x:v>kein_match</x:v>
      </x:c>
      <x:c r="I1702" t="str">
        <x:v>Agent-Draft: keine finale Regelentscheidung</x:v>
      </x:c>
      <x:c r="J1702" t="n">
        <x:v>45581</x:v>
      </x:c>
      <x:c r="K1702"/>
      <x:c r="L1702"/>
      <x:c r="M1702" t="n">
        <x:v>-799.15</x:v>
      </x:c>
      <x:c r="N1702" t="str">
        <x:v>2024-10</x:v>
      </x:c>
      <x:c r="O1702" t="str">
        <x:v>Ausgabe</x:v>
      </x:c>
      <x:c r="P1702" t="str">
        <x:v>Ist</x:v>
      </x:c>
      <x:c r="Q1702" s="59" t="b">
        <x:v>0</x:v>
      </x:c>
      <x:c r="R1702" t="str">
        <x:v>kein_transfer</x:v>
      </x:c>
      <x:c r="S1702"/>
      <x:c r="T1702"/>
      <x:c r="U1702"/>
      <x:c r="V1702" s="59" t="b">
        <x:v>1</x:v>
      </x:c>
      <x:c r="W1702"/>
      <x:c r="X1702" t="str">
        <x:v>offen</x:v>
      </x:c>
      <x:c r="Y1702" t="str">
        <x:v>Agent-Draft; Kategorie und Person pruefen</x:v>
      </x:c>
    </x:row>
    <x:row r="1703">
      <x:c r="A1703" t="str">
        <x:v>TXN-RAW-IMP-20260516-FULLDRAFT-001687</x:v>
      </x:c>
      <x:c r="B1703" t="str">
        <x:v>RAW-IMP-20260516-FULLDRAFT-001687</x:v>
      </x:c>
      <x:c r="C1703" t="str">
        <x:v>KTO001</x:v>
      </x:c>
      <x:c r="D1703"/>
      <x:c r="E1703" t="str">
        <x:v>KAT013</x:v>
      </x:c>
      <x:c r="F1703"/>
      <x:c r="G1703"/>
      <x:c r="H1703" t="str">
        <x:v>kein_match</x:v>
      </x:c>
      <x:c r="I1703" t="str">
        <x:v>Agent-Draft: keine finale Regelentscheidung</x:v>
      </x:c>
      <x:c r="J1703" t="n">
        <x:v>45580</x:v>
      </x:c>
      <x:c r="K1703"/>
      <x:c r="L1703"/>
      <x:c r="M1703" t="n">
        <x:v>-74.93</x:v>
      </x:c>
      <x:c r="N1703" t="str">
        <x:v>2024-10</x:v>
      </x:c>
      <x:c r="O1703" t="str">
        <x:v>Ausgabe</x:v>
      </x:c>
      <x:c r="P1703" t="str">
        <x:v>Ist</x:v>
      </x:c>
      <x:c r="Q1703" s="59" t="b">
        <x:v>0</x:v>
      </x:c>
      <x:c r="R1703" t="str">
        <x:v>kein_transfer</x:v>
      </x:c>
      <x:c r="S1703"/>
      <x:c r="T1703"/>
      <x:c r="U1703"/>
      <x:c r="V1703" s="59" t="b">
        <x:v>1</x:v>
      </x:c>
      <x:c r="W1703"/>
      <x:c r="X1703" t="str">
        <x:v>offen</x:v>
      </x:c>
      <x:c r="Y1703" t="str">
        <x:v>Agent-Draft; Kategorie und Person pruefen</x:v>
      </x:c>
    </x:row>
    <x:row r="1704">
      <x:c r="A1704" t="str">
        <x:v>TXN-RAW-IMP-20260516-FULLDRAFT-001688</x:v>
      </x:c>
      <x:c r="B1704" t="str">
        <x:v>RAW-IMP-20260516-FULLDRAFT-001688</x:v>
      </x:c>
      <x:c r="C1704" t="str">
        <x:v>KTO001</x:v>
      </x:c>
      <x:c r="D1704"/>
      <x:c r="E1704" t="str">
        <x:v>KAT013</x:v>
      </x:c>
      <x:c r="F1704"/>
      <x:c r="G1704"/>
      <x:c r="H1704" t="str">
        <x:v>kein_match</x:v>
      </x:c>
      <x:c r="I1704" t="str">
        <x:v>Agent-Draft: keine finale Regelentscheidung</x:v>
      </x:c>
      <x:c r="J1704" t="n">
        <x:v>45580</x:v>
      </x:c>
      <x:c r="K1704"/>
      <x:c r="L1704"/>
      <x:c r="M1704" t="n">
        <x:v>-4.99</x:v>
      </x:c>
      <x:c r="N1704" t="str">
        <x:v>2024-10</x:v>
      </x:c>
      <x:c r="O1704" t="str">
        <x:v>Ausgabe</x:v>
      </x:c>
      <x:c r="P1704" t="str">
        <x:v>Ist</x:v>
      </x:c>
      <x:c r="Q1704" s="59" t="b">
        <x:v>0</x:v>
      </x:c>
      <x:c r="R1704" t="str">
        <x:v>kein_transfer</x:v>
      </x:c>
      <x:c r="S1704"/>
      <x:c r="T1704"/>
      <x:c r="U1704"/>
      <x:c r="V1704" s="59" t="b">
        <x:v>1</x:v>
      </x:c>
      <x:c r="W1704"/>
      <x:c r="X1704" t="str">
        <x:v>offen</x:v>
      </x:c>
      <x:c r="Y1704" t="str">
        <x:v>Agent-Draft; Kategorie und Person pruefen</x:v>
      </x:c>
    </x:row>
    <x:row r="1705">
      <x:c r="A1705" t="str">
        <x:v>TXN-RAW-IMP-20260516-FULLDRAFT-001689</x:v>
      </x:c>
      <x:c r="B1705" t="str">
        <x:v>RAW-IMP-20260516-FULLDRAFT-001689</x:v>
      </x:c>
      <x:c r="C1705" t="str">
        <x:v>KTO001</x:v>
      </x:c>
      <x:c r="D1705"/>
      <x:c r="E1705" t="str">
        <x:v>KAT013</x:v>
      </x:c>
      <x:c r="F1705"/>
      <x:c r="G1705"/>
      <x:c r="H1705" t="str">
        <x:v>kein_match</x:v>
      </x:c>
      <x:c r="I1705" t="str">
        <x:v>Agent-Draft: keine finale Regelentscheidung</x:v>
      </x:c>
      <x:c r="J1705" t="n">
        <x:v>45579</x:v>
      </x:c>
      <x:c r="K1705"/>
      <x:c r="L1705"/>
      <x:c r="M1705" t="n">
        <x:v>-15.5</x:v>
      </x:c>
      <x:c r="N1705" t="str">
        <x:v>2024-10</x:v>
      </x:c>
      <x:c r="O1705" t="str">
        <x:v>Ausgabe</x:v>
      </x:c>
      <x:c r="P1705" t="str">
        <x:v>Ist</x:v>
      </x:c>
      <x:c r="Q1705" s="59" t="b">
        <x:v>0</x:v>
      </x:c>
      <x:c r="R1705" t="str">
        <x:v>kein_transfer</x:v>
      </x:c>
      <x:c r="S1705"/>
      <x:c r="T1705"/>
      <x:c r="U1705"/>
      <x:c r="V1705" s="59" t="b">
        <x:v>1</x:v>
      </x:c>
      <x:c r="W1705"/>
      <x:c r="X1705" t="str">
        <x:v>offen</x:v>
      </x:c>
      <x:c r="Y1705" t="str">
        <x:v>Agent-Draft; Kategorie und Person pruefen</x:v>
      </x:c>
    </x:row>
    <x:row r="1706">
      <x:c r="A1706" t="str">
        <x:v>TXN-RAW-IMP-20260516-FULLDRAFT-001690</x:v>
      </x:c>
      <x:c r="B1706" t="str">
        <x:v>RAW-IMP-20260516-FULLDRAFT-001690</x:v>
      </x:c>
      <x:c r="C1706" t="str">
        <x:v>KTO001</x:v>
      </x:c>
      <x:c r="D1706"/>
      <x:c r="E1706" t="str">
        <x:v>KAT013</x:v>
      </x:c>
      <x:c r="F1706"/>
      <x:c r="G1706"/>
      <x:c r="H1706" t="str">
        <x:v>kein_match</x:v>
      </x:c>
      <x:c r="I1706" t="str">
        <x:v>Agent-Draft: keine finale Regelentscheidung</x:v>
      </x:c>
      <x:c r="J1706" t="n">
        <x:v>45579</x:v>
      </x:c>
      <x:c r="K1706"/>
      <x:c r="L1706"/>
      <x:c r="M1706" t="n">
        <x:v>-7</x:v>
      </x:c>
      <x:c r="N1706" t="str">
        <x:v>2024-10</x:v>
      </x:c>
      <x:c r="O1706" t="str">
        <x:v>Ausgabe</x:v>
      </x:c>
      <x:c r="P1706" t="str">
        <x:v>Ist</x:v>
      </x:c>
      <x:c r="Q1706" s="59" t="b">
        <x:v>0</x:v>
      </x:c>
      <x:c r="R1706" t="str">
        <x:v>kein_transfer</x:v>
      </x:c>
      <x:c r="S1706"/>
      <x:c r="T1706"/>
      <x:c r="U1706"/>
      <x:c r="V1706" s="59" t="b">
        <x:v>1</x:v>
      </x:c>
      <x:c r="W1706"/>
      <x:c r="X1706" t="str">
        <x:v>offen</x:v>
      </x:c>
      <x:c r="Y1706" t="str">
        <x:v>Agent-Draft; Kategorie und Person pruefen</x:v>
      </x:c>
    </x:row>
    <x:row r="1707">
      <x:c r="A1707" t="str">
        <x:v>TXN-RAW-IMP-20260516-FULLDRAFT-001691</x:v>
      </x:c>
      <x:c r="B1707" t="str">
        <x:v>RAW-IMP-20260516-FULLDRAFT-001691</x:v>
      </x:c>
      <x:c r="C1707" t="str">
        <x:v>KTO001</x:v>
      </x:c>
      <x:c r="D1707"/>
      <x:c r="E1707" t="str">
        <x:v>KAT013</x:v>
      </x:c>
      <x:c r="F1707"/>
      <x:c r="G1707"/>
      <x:c r="H1707" t="str">
        <x:v>kein_match</x:v>
      </x:c>
      <x:c r="I1707" t="str">
        <x:v>Agent-Draft: keine finale Regelentscheidung</x:v>
      </x:c>
      <x:c r="J1707" t="n">
        <x:v>45579</x:v>
      </x:c>
      <x:c r="K1707"/>
      <x:c r="L1707"/>
      <x:c r="M1707" t="n">
        <x:v>-25.8</x:v>
      </x:c>
      <x:c r="N1707" t="str">
        <x:v>2024-10</x:v>
      </x:c>
      <x:c r="O1707" t="str">
        <x:v>Ausgabe</x:v>
      </x:c>
      <x:c r="P1707" t="str">
        <x:v>Ist</x:v>
      </x:c>
      <x:c r="Q1707" s="59" t="b">
        <x:v>0</x:v>
      </x:c>
      <x:c r="R1707" t="str">
        <x:v>kein_transfer</x:v>
      </x:c>
      <x:c r="S1707"/>
      <x:c r="T1707"/>
      <x:c r="U1707"/>
      <x:c r="V1707" s="59" t="b">
        <x:v>1</x:v>
      </x:c>
      <x:c r="W1707"/>
      <x:c r="X1707" t="str">
        <x:v>offen</x:v>
      </x:c>
      <x:c r="Y1707" t="str">
        <x:v>Agent-Draft; Kategorie und Person pruefen</x:v>
      </x:c>
    </x:row>
    <x:row r="1708">
      <x:c r="A1708" t="str">
        <x:v>TXN-RAW-IMP-20260516-FULLDRAFT-001692</x:v>
      </x:c>
      <x:c r="B1708" t="str">
        <x:v>RAW-IMP-20260516-FULLDRAFT-001692</x:v>
      </x:c>
      <x:c r="C1708" t="str">
        <x:v>KTO001</x:v>
      </x:c>
      <x:c r="D1708"/>
      <x:c r="E1708" t="str">
        <x:v>KAT013</x:v>
      </x:c>
      <x:c r="F1708"/>
      <x:c r="G1708"/>
      <x:c r="H1708" t="str">
        <x:v>kein_match</x:v>
      </x:c>
      <x:c r="I1708" t="str">
        <x:v>Agent-Draft: keine finale Regelentscheidung</x:v>
      </x:c>
      <x:c r="J1708" t="n">
        <x:v>45579</x:v>
      </x:c>
      <x:c r="K1708"/>
      <x:c r="L1708"/>
      <x:c r="M1708" t="n">
        <x:v>-38.9</x:v>
      </x:c>
      <x:c r="N1708" t="str">
        <x:v>2024-10</x:v>
      </x:c>
      <x:c r="O1708" t="str">
        <x:v>Ausgabe</x:v>
      </x:c>
      <x:c r="P1708" t="str">
        <x:v>Ist</x:v>
      </x:c>
      <x:c r="Q1708" s="59" t="b">
        <x:v>0</x:v>
      </x:c>
      <x:c r="R1708" t="str">
        <x:v>kein_transfer</x:v>
      </x:c>
      <x:c r="S1708"/>
      <x:c r="T1708"/>
      <x:c r="U1708"/>
      <x:c r="V1708" s="59" t="b">
        <x:v>1</x:v>
      </x:c>
      <x:c r="W1708"/>
      <x:c r="X1708" t="str">
        <x:v>offen</x:v>
      </x:c>
      <x:c r="Y1708" t="str">
        <x:v>Agent-Draft; Kategorie und Person pruefen</x:v>
      </x:c>
    </x:row>
    <x:row r="1709">
      <x:c r="A1709" t="str">
        <x:v>TXN-RAW-IMP-20260516-FULLDRAFT-001693</x:v>
      </x:c>
      <x:c r="B1709" t="str">
        <x:v>RAW-IMP-20260516-FULLDRAFT-001693</x:v>
      </x:c>
      <x:c r="C1709" t="str">
        <x:v>KTO001</x:v>
      </x:c>
      <x:c r="D1709"/>
      <x:c r="E1709" t="str">
        <x:v>KAT013</x:v>
      </x:c>
      <x:c r="F1709"/>
      <x:c r="G1709"/>
      <x:c r="H1709" t="str">
        <x:v>kein_match</x:v>
      </x:c>
      <x:c r="I1709" t="str">
        <x:v>Agent-Draft: keine finale Regelentscheidung</x:v>
      </x:c>
      <x:c r="J1709" t="n">
        <x:v>45579</x:v>
      </x:c>
      <x:c r="K1709"/>
      <x:c r="L1709"/>
      <x:c r="M1709" t="n">
        <x:v>-60.95</x:v>
      </x:c>
      <x:c r="N1709" t="str">
        <x:v>2024-10</x:v>
      </x:c>
      <x:c r="O1709" t="str">
        <x:v>Ausgabe</x:v>
      </x:c>
      <x:c r="P1709" t="str">
        <x:v>Ist</x:v>
      </x:c>
      <x:c r="Q1709" s="59" t="b">
        <x:v>0</x:v>
      </x:c>
      <x:c r="R1709" t="str">
        <x:v>kein_transfer</x:v>
      </x:c>
      <x:c r="S1709"/>
      <x:c r="T1709"/>
      <x:c r="U1709"/>
      <x:c r="V1709" s="59" t="b">
        <x:v>1</x:v>
      </x:c>
      <x:c r="W1709"/>
      <x:c r="X1709" t="str">
        <x:v>offen</x:v>
      </x:c>
      <x:c r="Y1709" t="str">
        <x:v>Agent-Draft; Kategorie und Person pruefen</x:v>
      </x:c>
    </x:row>
    <x:row r="1710">
      <x:c r="A1710" t="str">
        <x:v>TXN-RAW-IMP-20260516-FULLDRAFT-001694</x:v>
      </x:c>
      <x:c r="B1710" t="str">
        <x:v>RAW-IMP-20260516-FULLDRAFT-001694</x:v>
      </x:c>
      <x:c r="C1710" t="str">
        <x:v>KTO001</x:v>
      </x:c>
      <x:c r="D1710"/>
      <x:c r="E1710" t="str">
        <x:v>KAT013</x:v>
      </x:c>
      <x:c r="F1710"/>
      <x:c r="G1710"/>
      <x:c r="H1710" t="str">
        <x:v>kein_match</x:v>
      </x:c>
      <x:c r="I1710" t="str">
        <x:v>Agent-Draft: keine finale Regelentscheidung</x:v>
      </x:c>
      <x:c r="J1710" t="n">
        <x:v>45579</x:v>
      </x:c>
      <x:c r="K1710"/>
      <x:c r="L1710"/>
      <x:c r="M1710" t="n">
        <x:v>-43.9</x:v>
      </x:c>
      <x:c r="N1710" t="str">
        <x:v>2024-10</x:v>
      </x:c>
      <x:c r="O1710" t="str">
        <x:v>Ausgabe</x:v>
      </x:c>
      <x:c r="P1710" t="str">
        <x:v>Ist</x:v>
      </x:c>
      <x:c r="Q1710" s="59" t="b">
        <x:v>0</x:v>
      </x:c>
      <x:c r="R1710" t="str">
        <x:v>kein_transfer</x:v>
      </x:c>
      <x:c r="S1710"/>
      <x:c r="T1710"/>
      <x:c r="U1710"/>
      <x:c r="V1710" s="59" t="b">
        <x:v>1</x:v>
      </x:c>
      <x:c r="W1710"/>
      <x:c r="X1710" t="str">
        <x:v>offen</x:v>
      </x:c>
      <x:c r="Y1710" t="str">
        <x:v>Agent-Draft; Kategorie und Person pruefen</x:v>
      </x:c>
    </x:row>
    <x:row r="1711">
      <x:c r="A1711" t="str">
        <x:v>TXN-RAW-IMP-20260516-FULLDRAFT-001695</x:v>
      </x:c>
      <x:c r="B1711" t="str">
        <x:v>RAW-IMP-20260516-FULLDRAFT-001695</x:v>
      </x:c>
      <x:c r="C1711" t="str">
        <x:v>KTO001</x:v>
      </x:c>
      <x:c r="D1711"/>
      <x:c r="E1711" t="str">
        <x:v>KAT013</x:v>
      </x:c>
      <x:c r="F1711"/>
      <x:c r="G1711"/>
      <x:c r="H1711" t="str">
        <x:v>kein_match</x:v>
      </x:c>
      <x:c r="I1711" t="str">
        <x:v>Agent-Draft: keine finale Regelentscheidung</x:v>
      </x:c>
      <x:c r="J1711" t="n">
        <x:v>45579</x:v>
      </x:c>
      <x:c r="K1711"/>
      <x:c r="L1711"/>
      <x:c r="M1711" t="n">
        <x:v>-36</x:v>
      </x:c>
      <x:c r="N1711" t="str">
        <x:v>2024-10</x:v>
      </x:c>
      <x:c r="O1711" t="str">
        <x:v>Ausgabe</x:v>
      </x:c>
      <x:c r="P1711" t="str">
        <x:v>Ist</x:v>
      </x:c>
      <x:c r="Q1711" s="59" t="b">
        <x:v>0</x:v>
      </x:c>
      <x:c r="R1711" t="str">
        <x:v>kein_transfer</x:v>
      </x:c>
      <x:c r="S1711"/>
      <x:c r="T1711"/>
      <x:c r="U1711"/>
      <x:c r="V1711" s="59" t="b">
        <x:v>1</x:v>
      </x:c>
      <x:c r="W1711"/>
      <x:c r="X1711" t="str">
        <x:v>offen</x:v>
      </x:c>
      <x:c r="Y1711" t="str">
        <x:v>Agent-Draft; Kategorie und Person pruefen</x:v>
      </x:c>
    </x:row>
    <x:row r="1712">
      <x:c r="A1712" t="str">
        <x:v>TXN-RAW-IMP-20260516-FULLDRAFT-001696</x:v>
      </x:c>
      <x:c r="B1712" t="str">
        <x:v>RAW-IMP-20260516-FULLDRAFT-001696</x:v>
      </x:c>
      <x:c r="C1712" t="str">
        <x:v>KTO001</x:v>
      </x:c>
      <x:c r="D1712"/>
      <x:c r="E1712" t="str">
        <x:v>KAT013</x:v>
      </x:c>
      <x:c r="F1712"/>
      <x:c r="G1712"/>
      <x:c r="H1712" t="str">
        <x:v>kein_match</x:v>
      </x:c>
      <x:c r="I1712" t="str">
        <x:v>Agent-Draft: keine finale Regelentscheidung</x:v>
      </x:c>
      <x:c r="J1712" t="n">
        <x:v>45579</x:v>
      </x:c>
      <x:c r="K1712"/>
      <x:c r="L1712"/>
      <x:c r="M1712" t="n">
        <x:v>-12.7</x:v>
      </x:c>
      <x:c r="N1712" t="str">
        <x:v>2024-10</x:v>
      </x:c>
      <x:c r="O1712" t="str">
        <x:v>Ausgabe</x:v>
      </x:c>
      <x:c r="P1712" t="str">
        <x:v>Ist</x:v>
      </x:c>
      <x:c r="Q1712" s="59" t="b">
        <x:v>0</x:v>
      </x:c>
      <x:c r="R1712" t="str">
        <x:v>kein_transfer</x:v>
      </x:c>
      <x:c r="S1712"/>
      <x:c r="T1712"/>
      <x:c r="U1712"/>
      <x:c r="V1712" s="59" t="b">
        <x:v>1</x:v>
      </x:c>
      <x:c r="W1712"/>
      <x:c r="X1712" t="str">
        <x:v>offen</x:v>
      </x:c>
      <x:c r="Y1712" t="str">
        <x:v>Agent-Draft; Kategorie und Person pruefen</x:v>
      </x:c>
    </x:row>
    <x:row r="1713">
      <x:c r="A1713" t="str">
        <x:v>TXN-RAW-IMP-20260516-FULLDRAFT-001697</x:v>
      </x:c>
      <x:c r="B1713" t="str">
        <x:v>RAW-IMP-20260516-FULLDRAFT-001697</x:v>
      </x:c>
      <x:c r="C1713" t="str">
        <x:v>KTO001</x:v>
      </x:c>
      <x:c r="D1713"/>
      <x:c r="E1713" t="str">
        <x:v>KAT013</x:v>
      </x:c>
      <x:c r="F1713"/>
      <x:c r="G1713"/>
      <x:c r="H1713" t="str">
        <x:v>kein_match</x:v>
      </x:c>
      <x:c r="I1713" t="str">
        <x:v>Agent-Draft: keine finale Regelentscheidung</x:v>
      </x:c>
      <x:c r="J1713" t="n">
        <x:v>45579</x:v>
      </x:c>
      <x:c r="K1713"/>
      <x:c r="L1713"/>
      <x:c r="M1713" t="n">
        <x:v>-205</x:v>
      </x:c>
      <x:c r="N1713" t="str">
        <x:v>2024-10</x:v>
      </x:c>
      <x:c r="O1713" t="str">
        <x:v>Ausgabe</x:v>
      </x:c>
      <x:c r="P1713" t="str">
        <x:v>Ist</x:v>
      </x:c>
      <x:c r="Q1713" s="59" t="b">
        <x:v>0</x:v>
      </x:c>
      <x:c r="R1713" t="str">
        <x:v>kein_transfer</x:v>
      </x:c>
      <x:c r="S1713"/>
      <x:c r="T1713"/>
      <x:c r="U1713"/>
      <x:c r="V1713" s="59" t="b">
        <x:v>1</x:v>
      </x:c>
      <x:c r="W1713"/>
      <x:c r="X1713" t="str">
        <x:v>offen</x:v>
      </x:c>
      <x:c r="Y1713" t="str">
        <x:v>Agent-Draft; Kategorie und Person pruefen</x:v>
      </x:c>
    </x:row>
    <x:row r="1714">
      <x:c r="A1714" t="str">
        <x:v>TXN-RAW-IMP-20260516-FULLDRAFT-001698</x:v>
      </x:c>
      <x:c r="B1714" t="str">
        <x:v>RAW-IMP-20260516-FULLDRAFT-001698</x:v>
      </x:c>
      <x:c r="C1714" t="str">
        <x:v>KTO001</x:v>
      </x:c>
      <x:c r="D1714"/>
      <x:c r="E1714" t="str">
        <x:v>KAT013</x:v>
      </x:c>
      <x:c r="F1714"/>
      <x:c r="G1714"/>
      <x:c r="H1714" t="str">
        <x:v>kein_match</x:v>
      </x:c>
      <x:c r="I1714" t="str">
        <x:v>Agent-Draft: keine finale Regelentscheidung</x:v>
      </x:c>
      <x:c r="J1714" t="n">
        <x:v>45579</x:v>
      </x:c>
      <x:c r="K1714"/>
      <x:c r="L1714"/>
      <x:c r="M1714" t="n">
        <x:v>-7.06</x:v>
      </x:c>
      <x:c r="N1714" t="str">
        <x:v>2024-10</x:v>
      </x:c>
      <x:c r="O1714" t="str">
        <x:v>Ausgabe</x:v>
      </x:c>
      <x:c r="P1714" t="str">
        <x:v>Ist</x:v>
      </x:c>
      <x:c r="Q1714" s="59" t="b">
        <x:v>0</x:v>
      </x:c>
      <x:c r="R1714" t="str">
        <x:v>kein_transfer</x:v>
      </x:c>
      <x:c r="S1714"/>
      <x:c r="T1714"/>
      <x:c r="U1714"/>
      <x:c r="V1714" s="59" t="b">
        <x:v>1</x:v>
      </x:c>
      <x:c r="W1714"/>
      <x:c r="X1714" t="str">
        <x:v>offen</x:v>
      </x:c>
      <x:c r="Y1714" t="str">
        <x:v>Agent-Draft; Kategorie und Person pruefen</x:v>
      </x:c>
    </x:row>
    <x:row r="1715">
      <x:c r="A1715" t="str">
        <x:v>TXN-RAW-IMP-20260516-FULLDRAFT-001699</x:v>
      </x:c>
      <x:c r="B1715" t="str">
        <x:v>RAW-IMP-20260516-FULLDRAFT-001699</x:v>
      </x:c>
      <x:c r="C1715" t="str">
        <x:v>KTO001</x:v>
      </x:c>
      <x:c r="D1715"/>
      <x:c r="E1715" t="str">
        <x:v>KAT013</x:v>
      </x:c>
      <x:c r="F1715"/>
      <x:c r="G1715"/>
      <x:c r="H1715" t="str">
        <x:v>kein_match</x:v>
      </x:c>
      <x:c r="I1715" t="str">
        <x:v>Agent-Draft: keine finale Regelentscheidung</x:v>
      </x:c>
      <x:c r="J1715" t="n">
        <x:v>45576</x:v>
      </x:c>
      <x:c r="K1715"/>
      <x:c r="L1715"/>
      <x:c r="M1715" t="n">
        <x:v>-199.99</x:v>
      </x:c>
      <x:c r="N1715" t="str">
        <x:v>2024-10</x:v>
      </x:c>
      <x:c r="O1715" t="str">
        <x:v>Ausgabe</x:v>
      </x:c>
      <x:c r="P1715" t="str">
        <x:v>Ist</x:v>
      </x:c>
      <x:c r="Q1715" s="59" t="b">
        <x:v>0</x:v>
      </x:c>
      <x:c r="R1715" t="str">
        <x:v>kein_transfer</x:v>
      </x:c>
      <x:c r="S1715"/>
      <x:c r="T1715"/>
      <x:c r="U1715"/>
      <x:c r="V1715" s="59" t="b">
        <x:v>1</x:v>
      </x:c>
      <x:c r="W1715"/>
      <x:c r="X1715" t="str">
        <x:v>offen</x:v>
      </x:c>
      <x:c r="Y1715" t="str">
        <x:v>Agent-Draft; Kategorie und Person pruefen</x:v>
      </x:c>
    </x:row>
    <x:row r="1716">
      <x:c r="A1716" t="str">
        <x:v>TXN-RAW-IMP-20260516-FULLDRAFT-001700</x:v>
      </x:c>
      <x:c r="B1716" t="str">
        <x:v>RAW-IMP-20260516-FULLDRAFT-001700</x:v>
      </x:c>
      <x:c r="C1716" t="str">
        <x:v>KTO001</x:v>
      </x:c>
      <x:c r="D1716"/>
      <x:c r="E1716" t="str">
        <x:v>KAT013</x:v>
      </x:c>
      <x:c r="F1716"/>
      <x:c r="G1716"/>
      <x:c r="H1716" t="str">
        <x:v>kein_match</x:v>
      </x:c>
      <x:c r="I1716" t="str">
        <x:v>Agent-Draft: keine finale Regelentscheidung</x:v>
      </x:c>
      <x:c r="J1716" t="n">
        <x:v>45575</x:v>
      </x:c>
      <x:c r="K1716"/>
      <x:c r="L1716"/>
      <x:c r="M1716" t="n">
        <x:v>-6.99</x:v>
      </x:c>
      <x:c r="N1716" t="str">
        <x:v>2024-10</x:v>
      </x:c>
      <x:c r="O1716" t="str">
        <x:v>Ausgabe</x:v>
      </x:c>
      <x:c r="P1716" t="str">
        <x:v>Ist</x:v>
      </x:c>
      <x:c r="Q1716" s="59" t="b">
        <x:v>0</x:v>
      </x:c>
      <x:c r="R1716" t="str">
        <x:v>kein_transfer</x:v>
      </x:c>
      <x:c r="S1716"/>
      <x:c r="T1716"/>
      <x:c r="U1716"/>
      <x:c r="V1716" s="59" t="b">
        <x:v>1</x:v>
      </x:c>
      <x:c r="W1716"/>
      <x:c r="X1716" t="str">
        <x:v>offen</x:v>
      </x:c>
      <x:c r="Y1716" t="str">
        <x:v>Agent-Draft; Kategorie und Person pruefen</x:v>
      </x:c>
    </x:row>
    <x:row r="1717">
      <x:c r="A1717" t="str">
        <x:v>TXN-RAW-IMP-20260516-FULLDRAFT-001701</x:v>
      </x:c>
      <x:c r="B1717" t="str">
        <x:v>RAW-IMP-20260516-FULLDRAFT-001701</x:v>
      </x:c>
      <x:c r="C1717" t="str">
        <x:v>KTO001</x:v>
      </x:c>
      <x:c r="D1717"/>
      <x:c r="E1717" t="str">
        <x:v>KAT013</x:v>
      </x:c>
      <x:c r="F1717"/>
      <x:c r="G1717"/>
      <x:c r="H1717" t="str">
        <x:v>kein_match</x:v>
      </x:c>
      <x:c r="I1717" t="str">
        <x:v>Agent-Draft: keine finale Regelentscheidung</x:v>
      </x:c>
      <x:c r="J1717" t="n">
        <x:v>45575</x:v>
      </x:c>
      <x:c r="K1717"/>
      <x:c r="L1717"/>
      <x:c r="M1717" t="n">
        <x:v>-5.99</x:v>
      </x:c>
      <x:c r="N1717" t="str">
        <x:v>2024-10</x:v>
      </x:c>
      <x:c r="O1717" t="str">
        <x:v>Ausgabe</x:v>
      </x:c>
      <x:c r="P1717" t="str">
        <x:v>Ist</x:v>
      </x:c>
      <x:c r="Q1717" s="59" t="b">
        <x:v>0</x:v>
      </x:c>
      <x:c r="R1717" t="str">
        <x:v>kein_transfer</x:v>
      </x:c>
      <x:c r="S1717"/>
      <x:c r="T1717"/>
      <x:c r="U1717"/>
      <x:c r="V1717" s="59" t="b">
        <x:v>1</x:v>
      </x:c>
      <x:c r="W1717"/>
      <x:c r="X1717" t="str">
        <x:v>offen</x:v>
      </x:c>
      <x:c r="Y1717" t="str">
        <x:v>Agent-Draft; Kategorie und Person pruefen</x:v>
      </x:c>
    </x:row>
    <x:row r="1718">
      <x:c r="A1718" t="str">
        <x:v>TXN-RAW-IMP-20260516-FULLDRAFT-001702</x:v>
      </x:c>
      <x:c r="B1718" t="str">
        <x:v>RAW-IMP-20260516-FULLDRAFT-001702</x:v>
      </x:c>
      <x:c r="C1718" t="str">
        <x:v>KTO001</x:v>
      </x:c>
      <x:c r="D1718"/>
      <x:c r="E1718" t="str">
        <x:v>KAT013</x:v>
      </x:c>
      <x:c r="F1718"/>
      <x:c r="G1718"/>
      <x:c r="H1718" t="str">
        <x:v>kein_match</x:v>
      </x:c>
      <x:c r="I1718" t="str">
        <x:v>Agent-Draft: keine finale Regelentscheidung</x:v>
      </x:c>
      <x:c r="J1718" t="n">
        <x:v>45573</x:v>
      </x:c>
      <x:c r="K1718"/>
      <x:c r="L1718"/>
      <x:c r="M1718" t="n">
        <x:v>-77.78</x:v>
      </x:c>
      <x:c r="N1718" t="str">
        <x:v>2024-10</x:v>
      </x:c>
      <x:c r="O1718" t="str">
        <x:v>Ausgabe</x:v>
      </x:c>
      <x:c r="P1718" t="str">
        <x:v>Ist</x:v>
      </x:c>
      <x:c r="Q1718" s="59" t="b">
        <x:v>0</x:v>
      </x:c>
      <x:c r="R1718" t="str">
        <x:v>kein_transfer</x:v>
      </x:c>
      <x:c r="S1718"/>
      <x:c r="T1718"/>
      <x:c r="U1718"/>
      <x:c r="V1718" s="59" t="b">
        <x:v>1</x:v>
      </x:c>
      <x:c r="W1718"/>
      <x:c r="X1718" t="str">
        <x:v>offen</x:v>
      </x:c>
      <x:c r="Y1718" t="str">
        <x:v>Agent-Draft; Kategorie und Person pruefen</x:v>
      </x:c>
    </x:row>
    <x:row r="1719">
      <x:c r="A1719" t="str">
        <x:v>TXN-RAW-IMP-20260516-FULLDRAFT-001703</x:v>
      </x:c>
      <x:c r="B1719" t="str">
        <x:v>RAW-IMP-20260516-FULLDRAFT-001703</x:v>
      </x:c>
      <x:c r="C1719" t="str">
        <x:v>KTO001</x:v>
      </x:c>
      <x:c r="D1719"/>
      <x:c r="E1719" t="str">
        <x:v>KAT013</x:v>
      </x:c>
      <x:c r="F1719"/>
      <x:c r="G1719"/>
      <x:c r="H1719" t="str">
        <x:v>kein_match</x:v>
      </x:c>
      <x:c r="I1719" t="str">
        <x:v>Agent-Draft: keine finale Regelentscheidung</x:v>
      </x:c>
      <x:c r="J1719" t="n">
        <x:v>45573</x:v>
      </x:c>
      <x:c r="K1719"/>
      <x:c r="L1719"/>
      <x:c r="M1719" t="n">
        <x:v>-18.14</x:v>
      </x:c>
      <x:c r="N1719" t="str">
        <x:v>2024-10</x:v>
      </x:c>
      <x:c r="O1719" t="str">
        <x:v>Ausgabe</x:v>
      </x:c>
      <x:c r="P1719" t="str">
        <x:v>Ist</x:v>
      </x:c>
      <x:c r="Q1719" s="59" t="b">
        <x:v>0</x:v>
      </x:c>
      <x:c r="R1719" t="str">
        <x:v>kein_transfer</x:v>
      </x:c>
      <x:c r="S1719"/>
      <x:c r="T1719"/>
      <x:c r="U1719"/>
      <x:c r="V1719" s="59" t="b">
        <x:v>1</x:v>
      </x:c>
      <x:c r="W1719"/>
      <x:c r="X1719" t="str">
        <x:v>offen</x:v>
      </x:c>
      <x:c r="Y1719" t="str">
        <x:v>Agent-Draft; Kategorie und Person pruefen</x:v>
      </x:c>
    </x:row>
    <x:row r="1720">
      <x:c r="A1720" t="str">
        <x:v>TXN-RAW-IMP-20260516-FULLDRAFT-001704</x:v>
      </x:c>
      <x:c r="B1720" t="str">
        <x:v>RAW-IMP-20260516-FULLDRAFT-001704</x:v>
      </x:c>
      <x:c r="C1720" t="str">
        <x:v>KTO001</x:v>
      </x:c>
      <x:c r="D1720"/>
      <x:c r="E1720" t="str">
        <x:v>KAT013</x:v>
      </x:c>
      <x:c r="F1720"/>
      <x:c r="G1720"/>
      <x:c r="H1720" t="str">
        <x:v>kein_match</x:v>
      </x:c>
      <x:c r="I1720" t="str">
        <x:v>Agent-Draft: keine finale Regelentscheidung</x:v>
      </x:c>
      <x:c r="J1720" t="n">
        <x:v>45572</x:v>
      </x:c>
      <x:c r="K1720"/>
      <x:c r="L1720"/>
      <x:c r="M1720" t="n">
        <x:v>-30</x:v>
      </x:c>
      <x:c r="N1720" t="str">
        <x:v>2024-10</x:v>
      </x:c>
      <x:c r="O1720" t="str">
        <x:v>Ausgabe</x:v>
      </x:c>
      <x:c r="P1720" t="str">
        <x:v>Ist</x:v>
      </x:c>
      <x:c r="Q1720" s="59" t="b">
        <x:v>0</x:v>
      </x:c>
      <x:c r="R1720" t="str">
        <x:v>kein_transfer</x:v>
      </x:c>
      <x:c r="S1720"/>
      <x:c r="T1720"/>
      <x:c r="U1720"/>
      <x:c r="V1720" s="59" t="b">
        <x:v>1</x:v>
      </x:c>
      <x:c r="W1720"/>
      <x:c r="X1720" t="str">
        <x:v>offen</x:v>
      </x:c>
      <x:c r="Y1720" t="str">
        <x:v>Agent-Draft; Kategorie und Person pruefen</x:v>
      </x:c>
    </x:row>
    <x:row r="1721">
      <x:c r="A1721" t="str">
        <x:v>TXN-RAW-IMP-20260516-FULLDRAFT-001705</x:v>
      </x:c>
      <x:c r="B1721" t="str">
        <x:v>RAW-IMP-20260516-FULLDRAFT-001705</x:v>
      </x:c>
      <x:c r="C1721" t="str">
        <x:v>KTO001</x:v>
      </x:c>
      <x:c r="D1721"/>
      <x:c r="E1721" t="str">
        <x:v>KAT013</x:v>
      </x:c>
      <x:c r="F1721"/>
      <x:c r="G1721"/>
      <x:c r="H1721" t="str">
        <x:v>kein_match</x:v>
      </x:c>
      <x:c r="I1721" t="str">
        <x:v>Agent-Draft: keine finale Regelentscheidung</x:v>
      </x:c>
      <x:c r="J1721" t="n">
        <x:v>45572</x:v>
      </x:c>
      <x:c r="K1721"/>
      <x:c r="L1721"/>
      <x:c r="M1721" t="n">
        <x:v>-80</x:v>
      </x:c>
      <x:c r="N1721" t="str">
        <x:v>2024-10</x:v>
      </x:c>
      <x:c r="O1721" t="str">
        <x:v>Ausgabe</x:v>
      </x:c>
      <x:c r="P1721" t="str">
        <x:v>Ist</x:v>
      </x:c>
      <x:c r="Q1721" s="59" t="b">
        <x:v>0</x:v>
      </x:c>
      <x:c r="R1721" t="str">
        <x:v>kein_transfer</x:v>
      </x:c>
      <x:c r="S1721"/>
      <x:c r="T1721"/>
      <x:c r="U1721"/>
      <x:c r="V1721" s="59" t="b">
        <x:v>1</x:v>
      </x:c>
      <x:c r="W1721"/>
      <x:c r="X1721" t="str">
        <x:v>offen</x:v>
      </x:c>
      <x:c r="Y1721" t="str">
        <x:v>Agent-Draft; Kategorie und Person pruefen</x:v>
      </x:c>
    </x:row>
    <x:row r="1722">
      <x:c r="A1722" t="str">
        <x:v>TXN-RAW-IMP-20260516-FULLDRAFT-001706</x:v>
      </x:c>
      <x:c r="B1722" t="str">
        <x:v>RAW-IMP-20260516-FULLDRAFT-001706</x:v>
      </x:c>
      <x:c r="C1722" t="str">
        <x:v>KTO001</x:v>
      </x:c>
      <x:c r="D1722"/>
      <x:c r="E1722" t="str">
        <x:v>KAT013</x:v>
      </x:c>
      <x:c r="F1722"/>
      <x:c r="G1722"/>
      <x:c r="H1722" t="str">
        <x:v>kein_match</x:v>
      </x:c>
      <x:c r="I1722" t="str">
        <x:v>Agent-Draft: keine finale Regelentscheidung</x:v>
      </x:c>
      <x:c r="J1722" t="n">
        <x:v>45572</x:v>
      </x:c>
      <x:c r="K1722"/>
      <x:c r="L1722"/>
      <x:c r="M1722" t="n">
        <x:v>-40.06</x:v>
      </x:c>
      <x:c r="N1722" t="str">
        <x:v>2024-10</x:v>
      </x:c>
      <x:c r="O1722" t="str">
        <x:v>Ausgabe</x:v>
      </x:c>
      <x:c r="P1722" t="str">
        <x:v>Ist</x:v>
      </x:c>
      <x:c r="Q1722" s="59" t="b">
        <x:v>0</x:v>
      </x:c>
      <x:c r="R1722" t="str">
        <x:v>kein_transfer</x:v>
      </x:c>
      <x:c r="S1722"/>
      <x:c r="T1722"/>
      <x:c r="U1722"/>
      <x:c r="V1722" s="59" t="b">
        <x:v>1</x:v>
      </x:c>
      <x:c r="W1722"/>
      <x:c r="X1722" t="str">
        <x:v>offen</x:v>
      </x:c>
      <x:c r="Y1722" t="str">
        <x:v>Agent-Draft; Kategorie und Person pruefen</x:v>
      </x:c>
    </x:row>
    <x:row r="1723">
      <x:c r="A1723" t="str">
        <x:v>TXN-RAW-IMP-20260516-FULLDRAFT-001707</x:v>
      </x:c>
      <x:c r="B1723" t="str">
        <x:v>RAW-IMP-20260516-FULLDRAFT-001707</x:v>
      </x:c>
      <x:c r="C1723" t="str">
        <x:v>KTO001</x:v>
      </x:c>
      <x:c r="D1723"/>
      <x:c r="E1723" t="str">
        <x:v>KAT013</x:v>
      </x:c>
      <x:c r="F1723"/>
      <x:c r="G1723"/>
      <x:c r="H1723" t="str">
        <x:v>kein_match</x:v>
      </x:c>
      <x:c r="I1723" t="str">
        <x:v>Agent-Draft: keine finale Regelentscheidung</x:v>
      </x:c>
      <x:c r="J1723" t="n">
        <x:v>45572</x:v>
      </x:c>
      <x:c r="K1723"/>
      <x:c r="L1723"/>
      <x:c r="M1723" t="n">
        <x:v>-10.44</x:v>
      </x:c>
      <x:c r="N1723" t="str">
        <x:v>2024-10</x:v>
      </x:c>
      <x:c r="O1723" t="str">
        <x:v>Ausgabe</x:v>
      </x:c>
      <x:c r="P1723" t="str">
        <x:v>Ist</x:v>
      </x:c>
      <x:c r="Q1723" s="59" t="b">
        <x:v>0</x:v>
      </x:c>
      <x:c r="R1723" t="str">
        <x:v>kein_transfer</x:v>
      </x:c>
      <x:c r="S1723"/>
      <x:c r="T1723"/>
      <x:c r="U1723"/>
      <x:c r="V1723" s="59" t="b">
        <x:v>1</x:v>
      </x:c>
      <x:c r="W1723"/>
      <x:c r="X1723" t="str">
        <x:v>offen</x:v>
      </x:c>
      <x:c r="Y1723" t="str">
        <x:v>Agent-Draft; Kategorie und Person pruefen</x:v>
      </x:c>
    </x:row>
    <x:row r="1724">
      <x:c r="A1724" t="str">
        <x:v>TXN-RAW-IMP-20260516-FULLDRAFT-001708</x:v>
      </x:c>
      <x:c r="B1724" t="str">
        <x:v>RAW-IMP-20260516-FULLDRAFT-001708</x:v>
      </x:c>
      <x:c r="C1724" t="str">
        <x:v>KTO001</x:v>
      </x:c>
      <x:c r="D1724"/>
      <x:c r="E1724" t="str">
        <x:v>KAT013</x:v>
      </x:c>
      <x:c r="F1724"/>
      <x:c r="G1724"/>
      <x:c r="H1724" t="str">
        <x:v>kein_match</x:v>
      </x:c>
      <x:c r="I1724" t="str">
        <x:v>Agent-Draft: keine finale Regelentscheidung</x:v>
      </x:c>
      <x:c r="J1724" t="n">
        <x:v>45572</x:v>
      </x:c>
      <x:c r="K1724"/>
      <x:c r="L1724"/>
      <x:c r="M1724" t="n">
        <x:v>-43.63</x:v>
      </x:c>
      <x:c r="N1724" t="str">
        <x:v>2024-10</x:v>
      </x:c>
      <x:c r="O1724" t="str">
        <x:v>Ausgabe</x:v>
      </x:c>
      <x:c r="P1724" t="str">
        <x:v>Ist</x:v>
      </x:c>
      <x:c r="Q1724" s="59" t="b">
        <x:v>0</x:v>
      </x:c>
      <x:c r="R1724" t="str">
        <x:v>kein_transfer</x:v>
      </x:c>
      <x:c r="S1724"/>
      <x:c r="T1724"/>
      <x:c r="U1724"/>
      <x:c r="V1724" s="59" t="b">
        <x:v>1</x:v>
      </x:c>
      <x:c r="W1724"/>
      <x:c r="X1724" t="str">
        <x:v>offen</x:v>
      </x:c>
      <x:c r="Y1724" t="str">
        <x:v>Agent-Draft; Kategorie und Person pruefen</x:v>
      </x:c>
    </x:row>
    <x:row r="1725">
      <x:c r="A1725" t="str">
        <x:v>TXN-RAW-IMP-20260516-FULLDRAFT-001709</x:v>
      </x:c>
      <x:c r="B1725" t="str">
        <x:v>RAW-IMP-20260516-FULLDRAFT-001709</x:v>
      </x:c>
      <x:c r="C1725" t="str">
        <x:v>KTO001</x:v>
      </x:c>
      <x:c r="D1725"/>
      <x:c r="E1725" t="str">
        <x:v>KAT013</x:v>
      </x:c>
      <x:c r="F1725"/>
      <x:c r="G1725"/>
      <x:c r="H1725" t="str">
        <x:v>kein_match</x:v>
      </x:c>
      <x:c r="I1725" t="str">
        <x:v>Agent-Draft: keine finale Regelentscheidung</x:v>
      </x:c>
      <x:c r="J1725" t="n">
        <x:v>45572</x:v>
      </x:c>
      <x:c r="K1725"/>
      <x:c r="L1725"/>
      <x:c r="M1725" t="n">
        <x:v>-34</x:v>
      </x:c>
      <x:c r="N1725" t="str">
        <x:v>2024-10</x:v>
      </x:c>
      <x:c r="O1725" t="str">
        <x:v>Ausgabe</x:v>
      </x:c>
      <x:c r="P1725" t="str">
        <x:v>Ist</x:v>
      </x:c>
      <x:c r="Q1725" s="59" t="b">
        <x:v>0</x:v>
      </x:c>
      <x:c r="R1725" t="str">
        <x:v>kein_transfer</x:v>
      </x:c>
      <x:c r="S1725"/>
      <x:c r="T1725"/>
      <x:c r="U1725"/>
      <x:c r="V1725" s="59" t="b">
        <x:v>1</x:v>
      </x:c>
      <x:c r="W1725"/>
      <x:c r="X1725" t="str">
        <x:v>offen</x:v>
      </x:c>
      <x:c r="Y1725" t="str">
        <x:v>Agent-Draft; Kategorie und Person pruefen</x:v>
      </x:c>
    </x:row>
    <x:row r="1726">
      <x:c r="A1726" t="str">
        <x:v>TXN-RAW-IMP-20260516-FULLDRAFT-001710</x:v>
      </x:c>
      <x:c r="B1726" t="str">
        <x:v>RAW-IMP-20260516-FULLDRAFT-001710</x:v>
      </x:c>
      <x:c r="C1726" t="str">
        <x:v>KTO001</x:v>
      </x:c>
      <x:c r="D1726"/>
      <x:c r="E1726" t="str">
        <x:v>KAT013</x:v>
      </x:c>
      <x:c r="F1726"/>
      <x:c r="G1726"/>
      <x:c r="H1726" t="str">
        <x:v>kein_match</x:v>
      </x:c>
      <x:c r="I1726" t="str">
        <x:v>Agent-Draft: keine finale Regelentscheidung</x:v>
      </x:c>
      <x:c r="J1726" t="n">
        <x:v>45572</x:v>
      </x:c>
      <x:c r="K1726"/>
      <x:c r="L1726"/>
      <x:c r="M1726" t="n">
        <x:v>-0.99</x:v>
      </x:c>
      <x:c r="N1726" t="str">
        <x:v>2024-10</x:v>
      </x:c>
      <x:c r="O1726" t="str">
        <x:v>Ausgabe</x:v>
      </x:c>
      <x:c r="P1726" t="str">
        <x:v>Ist</x:v>
      </x:c>
      <x:c r="Q1726" s="59" t="b">
        <x:v>0</x:v>
      </x:c>
      <x:c r="R1726" t="str">
        <x:v>kein_transfer</x:v>
      </x:c>
      <x:c r="S1726"/>
      <x:c r="T1726"/>
      <x:c r="U1726"/>
      <x:c r="V1726" s="59" t="b">
        <x:v>1</x:v>
      </x:c>
      <x:c r="W1726"/>
      <x:c r="X1726" t="str">
        <x:v>offen</x:v>
      </x:c>
      <x:c r="Y1726" t="str">
        <x:v>Agent-Draft; Kategorie und Person pruefen</x:v>
      </x:c>
    </x:row>
    <x:row r="1727">
      <x:c r="A1727" t="str">
        <x:v>TXN-RAW-IMP-20260516-FULLDRAFT-001711</x:v>
      </x:c>
      <x:c r="B1727" t="str">
        <x:v>RAW-IMP-20260516-FULLDRAFT-001711</x:v>
      </x:c>
      <x:c r="C1727" t="str">
        <x:v>KTO001</x:v>
      </x:c>
      <x:c r="D1727"/>
      <x:c r="E1727" t="str">
        <x:v>KAT013</x:v>
      </x:c>
      <x:c r="F1727"/>
      <x:c r="G1727"/>
      <x:c r="H1727" t="str">
        <x:v>kein_match</x:v>
      </x:c>
      <x:c r="I1727" t="str">
        <x:v>Agent-Draft: keine finale Regelentscheidung</x:v>
      </x:c>
      <x:c r="J1727" t="n">
        <x:v>45572</x:v>
      </x:c>
      <x:c r="K1727"/>
      <x:c r="L1727"/>
      <x:c r="M1727" t="n">
        <x:v>-34</x:v>
      </x:c>
      <x:c r="N1727" t="str">
        <x:v>2024-10</x:v>
      </x:c>
      <x:c r="O1727" t="str">
        <x:v>Ausgabe</x:v>
      </x:c>
      <x:c r="P1727" t="str">
        <x:v>Ist</x:v>
      </x:c>
      <x:c r="Q1727" s="59" t="b">
        <x:v>0</x:v>
      </x:c>
      <x:c r="R1727" t="str">
        <x:v>kein_transfer</x:v>
      </x:c>
      <x:c r="S1727"/>
      <x:c r="T1727"/>
      <x:c r="U1727"/>
      <x:c r="V1727" s="59" t="b">
        <x:v>1</x:v>
      </x:c>
      <x:c r="W1727"/>
      <x:c r="X1727" t="str">
        <x:v>offen</x:v>
      </x:c>
      <x:c r="Y1727" t="str">
        <x:v>Agent-Draft; Kategorie und Person pruefen</x:v>
      </x:c>
    </x:row>
    <x:row r="1728">
      <x:c r="A1728" t="str">
        <x:v>TXN-RAW-IMP-20260516-FULLDRAFT-001712</x:v>
      </x:c>
      <x:c r="B1728" t="str">
        <x:v>RAW-IMP-20260516-FULLDRAFT-001712</x:v>
      </x:c>
      <x:c r="C1728" t="str">
        <x:v>KTO001</x:v>
      </x:c>
      <x:c r="D1728"/>
      <x:c r="E1728" t="str">
        <x:v>KAT013</x:v>
      </x:c>
      <x:c r="F1728"/>
      <x:c r="G1728"/>
      <x:c r="H1728" t="str">
        <x:v>kein_match</x:v>
      </x:c>
      <x:c r="I1728" t="str">
        <x:v>Agent-Draft: keine finale Regelentscheidung</x:v>
      </x:c>
      <x:c r="J1728" t="n">
        <x:v>45572</x:v>
      </x:c>
      <x:c r="K1728"/>
      <x:c r="L1728"/>
      <x:c r="M1728" t="n">
        <x:v>-11.78</x:v>
      </x:c>
      <x:c r="N1728" t="str">
        <x:v>2024-10</x:v>
      </x:c>
      <x:c r="O1728" t="str">
        <x:v>Ausgabe</x:v>
      </x:c>
      <x:c r="P1728" t="str">
        <x:v>Ist</x:v>
      </x:c>
      <x:c r="Q1728" s="59" t="b">
        <x:v>0</x:v>
      </x:c>
      <x:c r="R1728" t="str">
        <x:v>kein_transfer</x:v>
      </x:c>
      <x:c r="S1728"/>
      <x:c r="T1728"/>
      <x:c r="U1728"/>
      <x:c r="V1728" s="59" t="b">
        <x:v>1</x:v>
      </x:c>
      <x:c r="W1728"/>
      <x:c r="X1728" t="str">
        <x:v>offen</x:v>
      </x:c>
      <x:c r="Y1728" t="str">
        <x:v>Agent-Draft; Kategorie und Person pruefen</x:v>
      </x:c>
    </x:row>
    <x:row r="1729">
      <x:c r="A1729" t="str">
        <x:v>TXN-RAW-IMP-20260516-FULLDRAFT-001713</x:v>
      </x:c>
      <x:c r="B1729" t="str">
        <x:v>RAW-IMP-20260516-FULLDRAFT-001713</x:v>
      </x:c>
      <x:c r="C1729" t="str">
        <x:v>KTO001</x:v>
      </x:c>
      <x:c r="D1729"/>
      <x:c r="E1729" t="str">
        <x:v>KAT013</x:v>
      </x:c>
      <x:c r="F1729"/>
      <x:c r="G1729"/>
      <x:c r="H1729" t="str">
        <x:v>kein_match</x:v>
      </x:c>
      <x:c r="I1729" t="str">
        <x:v>Agent-Draft: keine finale Regelentscheidung</x:v>
      </x:c>
      <x:c r="J1729" t="n">
        <x:v>45572</x:v>
      </x:c>
      <x:c r="K1729"/>
      <x:c r="L1729"/>
      <x:c r="M1729" t="n">
        <x:v>-125.5</x:v>
      </x:c>
      <x:c r="N1729" t="str">
        <x:v>2024-10</x:v>
      </x:c>
      <x:c r="O1729" t="str">
        <x:v>Ausgabe</x:v>
      </x:c>
      <x:c r="P1729" t="str">
        <x:v>Ist</x:v>
      </x:c>
      <x:c r="Q1729" s="59" t="b">
        <x:v>0</x:v>
      </x:c>
      <x:c r="R1729" t="str">
        <x:v>kein_transfer</x:v>
      </x:c>
      <x:c r="S1729"/>
      <x:c r="T1729"/>
      <x:c r="U1729"/>
      <x:c r="V1729" s="59" t="b">
        <x:v>1</x:v>
      </x:c>
      <x:c r="W1729"/>
      <x:c r="X1729" t="str">
        <x:v>offen</x:v>
      </x:c>
      <x:c r="Y1729" t="str">
        <x:v>Agent-Draft; Kategorie und Person pruefen</x:v>
      </x:c>
    </x:row>
    <x:row r="1730">
      <x:c r="A1730" t="str">
        <x:v>TXN-RAW-IMP-20260516-FULLDRAFT-001714</x:v>
      </x:c>
      <x:c r="B1730" t="str">
        <x:v>RAW-IMP-20260516-FULLDRAFT-001714</x:v>
      </x:c>
      <x:c r="C1730" t="str">
        <x:v>KTO001</x:v>
      </x:c>
      <x:c r="D1730"/>
      <x:c r="E1730" t="str">
        <x:v>KAT013</x:v>
      </x:c>
      <x:c r="F1730"/>
      <x:c r="G1730"/>
      <x:c r="H1730" t="str">
        <x:v>kein_match</x:v>
      </x:c>
      <x:c r="I1730" t="str">
        <x:v>Agent-Draft: keine finale Regelentscheidung</x:v>
      </x:c>
      <x:c r="J1730" t="n">
        <x:v>45572</x:v>
      </x:c>
      <x:c r="K1730"/>
      <x:c r="L1730"/>
      <x:c r="M1730" t="n">
        <x:v>-6</x:v>
      </x:c>
      <x:c r="N1730" t="str">
        <x:v>2024-10</x:v>
      </x:c>
      <x:c r="O1730" t="str">
        <x:v>Ausgabe</x:v>
      </x:c>
      <x:c r="P1730" t="str">
        <x:v>Ist</x:v>
      </x:c>
      <x:c r="Q1730" s="59" t="b">
        <x:v>0</x:v>
      </x:c>
      <x:c r="R1730" t="str">
        <x:v>kein_transfer</x:v>
      </x:c>
      <x:c r="S1730"/>
      <x:c r="T1730"/>
      <x:c r="U1730"/>
      <x:c r="V1730" s="59" t="b">
        <x:v>1</x:v>
      </x:c>
      <x:c r="W1730"/>
      <x:c r="X1730" t="str">
        <x:v>offen</x:v>
      </x:c>
      <x:c r="Y1730" t="str">
        <x:v>Agent-Draft; Kategorie und Person pruefen</x:v>
      </x:c>
    </x:row>
    <x:row r="1731">
      <x:c r="A1731" t="str">
        <x:v>TXN-RAW-IMP-20260516-FULLDRAFT-001715</x:v>
      </x:c>
      <x:c r="B1731" t="str">
        <x:v>RAW-IMP-20260516-FULLDRAFT-001715</x:v>
      </x:c>
      <x:c r="C1731" t="str">
        <x:v>KTO001</x:v>
      </x:c>
      <x:c r="D1731"/>
      <x:c r="E1731" t="str">
        <x:v>KAT013</x:v>
      </x:c>
      <x:c r="F1731"/>
      <x:c r="G1731"/>
      <x:c r="H1731" t="str">
        <x:v>kein_match</x:v>
      </x:c>
      <x:c r="I1731" t="str">
        <x:v>Agent-Draft: keine finale Regelentscheidung</x:v>
      </x:c>
      <x:c r="J1731" t="n">
        <x:v>45572</x:v>
      </x:c>
      <x:c r="K1731"/>
      <x:c r="L1731"/>
      <x:c r="M1731" t="n">
        <x:v>-13.9</x:v>
      </x:c>
      <x:c r="N1731" t="str">
        <x:v>2024-10</x:v>
      </x:c>
      <x:c r="O1731" t="str">
        <x:v>Ausgabe</x:v>
      </x:c>
      <x:c r="P1731" t="str">
        <x:v>Ist</x:v>
      </x:c>
      <x:c r="Q1731" s="59" t="b">
        <x:v>0</x:v>
      </x:c>
      <x:c r="R1731" t="str">
        <x:v>kein_transfer</x:v>
      </x:c>
      <x:c r="S1731"/>
      <x:c r="T1731"/>
      <x:c r="U1731"/>
      <x:c r="V1731" s="59" t="b">
        <x:v>1</x:v>
      </x:c>
      <x:c r="W1731"/>
      <x:c r="X1731" t="str">
        <x:v>offen</x:v>
      </x:c>
      <x:c r="Y1731" t="str">
        <x:v>Agent-Draft; Kategorie und Person pruefen</x:v>
      </x:c>
    </x:row>
    <x:row r="1732">
      <x:c r="A1732" t="str">
        <x:v>TXN-RAW-IMP-20260516-FULLDRAFT-001716</x:v>
      </x:c>
      <x:c r="B1732" t="str">
        <x:v>RAW-IMP-20260516-FULLDRAFT-001716</x:v>
      </x:c>
      <x:c r="C1732" t="str">
        <x:v>KTO001</x:v>
      </x:c>
      <x:c r="D1732"/>
      <x:c r="E1732" t="str">
        <x:v>KAT013</x:v>
      </x:c>
      <x:c r="F1732"/>
      <x:c r="G1732"/>
      <x:c r="H1732" t="str">
        <x:v>kein_match</x:v>
      </x:c>
      <x:c r="I1732" t="str">
        <x:v>Agent-Draft: keine finale Regelentscheidung</x:v>
      </x:c>
      <x:c r="J1732" t="n">
        <x:v>45572</x:v>
      </x:c>
      <x:c r="K1732"/>
      <x:c r="L1732"/>
      <x:c r="M1732" t="n">
        <x:v>-30</x:v>
      </x:c>
      <x:c r="N1732" t="str">
        <x:v>2024-10</x:v>
      </x:c>
      <x:c r="O1732" t="str">
        <x:v>Ausgabe</x:v>
      </x:c>
      <x:c r="P1732" t="str">
        <x:v>Ist</x:v>
      </x:c>
      <x:c r="Q1732" s="59" t="b">
        <x:v>0</x:v>
      </x:c>
      <x:c r="R1732" t="str">
        <x:v>kein_transfer</x:v>
      </x:c>
      <x:c r="S1732"/>
      <x:c r="T1732"/>
      <x:c r="U1732"/>
      <x:c r="V1732" s="59" t="b">
        <x:v>1</x:v>
      </x:c>
      <x:c r="W1732"/>
      <x:c r="X1732" t="str">
        <x:v>offen</x:v>
      </x:c>
      <x:c r="Y1732" t="str">
        <x:v>Agent-Draft; Kategorie und Person pruefen</x:v>
      </x:c>
    </x:row>
    <x:row r="1733">
      <x:c r="A1733" t="str">
        <x:v>TXN-RAW-IMP-20260516-FULLDRAFT-001717</x:v>
      </x:c>
      <x:c r="B1733" t="str">
        <x:v>RAW-IMP-20260516-FULLDRAFT-001717</x:v>
      </x:c>
      <x:c r="C1733" t="str">
        <x:v>KTO001</x:v>
      </x:c>
      <x:c r="D1733"/>
      <x:c r="E1733" t="str">
        <x:v>KAT013</x:v>
      </x:c>
      <x:c r="F1733"/>
      <x:c r="G1733"/>
      <x:c r="H1733" t="str">
        <x:v>kein_match</x:v>
      </x:c>
      <x:c r="I1733" t="str">
        <x:v>Agent-Draft: keine finale Regelentscheidung</x:v>
      </x:c>
      <x:c r="J1733" t="n">
        <x:v>45572</x:v>
      </x:c>
      <x:c r="K1733"/>
      <x:c r="L1733"/>
      <x:c r="M1733" t="n">
        <x:v>-30</x:v>
      </x:c>
      <x:c r="N1733" t="str">
        <x:v>2024-10</x:v>
      </x:c>
      <x:c r="O1733" t="str">
        <x:v>Ausgabe</x:v>
      </x:c>
      <x:c r="P1733" t="str">
        <x:v>Ist</x:v>
      </x:c>
      <x:c r="Q1733" s="59" t="b">
        <x:v>0</x:v>
      </x:c>
      <x:c r="R1733" t="str">
        <x:v>kein_transfer</x:v>
      </x:c>
      <x:c r="S1733"/>
      <x:c r="T1733"/>
      <x:c r="U1733"/>
      <x:c r="V1733" s="59" t="b">
        <x:v>1</x:v>
      </x:c>
      <x:c r="W1733"/>
      <x:c r="X1733" t="str">
        <x:v>offen</x:v>
      </x:c>
      <x:c r="Y1733" t="str">
        <x:v>Agent-Draft; Kategorie und Person pruefen</x:v>
      </x:c>
    </x:row>
    <x:row r="1734">
      <x:c r="A1734" t="str">
        <x:v>TXN-RAW-IMP-20260516-FULLDRAFT-001718</x:v>
      </x:c>
      <x:c r="B1734" t="str">
        <x:v>RAW-IMP-20260516-FULLDRAFT-001718</x:v>
      </x:c>
      <x:c r="C1734" t="str">
        <x:v>KTO001</x:v>
      </x:c>
      <x:c r="D1734"/>
      <x:c r="E1734" t="str">
        <x:v>KAT013</x:v>
      </x:c>
      <x:c r="F1734"/>
      <x:c r="G1734"/>
      <x:c r="H1734" t="str">
        <x:v>kein_match</x:v>
      </x:c>
      <x:c r="I1734" t="str">
        <x:v>Agent-Draft: keine finale Regelentscheidung</x:v>
      </x:c>
      <x:c r="J1734" t="n">
        <x:v>45572</x:v>
      </x:c>
      <x:c r="K1734"/>
      <x:c r="L1734"/>
      <x:c r="M1734" t="n">
        <x:v>-225</x:v>
      </x:c>
      <x:c r="N1734" t="str">
        <x:v>2024-10</x:v>
      </x:c>
      <x:c r="O1734" t="str">
        <x:v>Ausgabe</x:v>
      </x:c>
      <x:c r="P1734" t="str">
        <x:v>Ist</x:v>
      </x:c>
      <x:c r="Q1734" s="59" t="b">
        <x:v>0</x:v>
      </x:c>
      <x:c r="R1734" t="str">
        <x:v>kein_transfer</x:v>
      </x:c>
      <x:c r="S1734"/>
      <x:c r="T1734"/>
      <x:c r="U1734"/>
      <x:c r="V1734" s="59" t="b">
        <x:v>1</x:v>
      </x:c>
      <x:c r="W1734"/>
      <x:c r="X1734" t="str">
        <x:v>offen</x:v>
      </x:c>
      <x:c r="Y1734" t="str">
        <x:v>Agent-Draft; Kategorie und Person pruefen</x:v>
      </x:c>
    </x:row>
    <x:row r="1735">
      <x:c r="A1735" t="str">
        <x:v>TXN-RAW-IMP-20260516-FULLDRAFT-001719</x:v>
      </x:c>
      <x:c r="B1735" t="str">
        <x:v>RAW-IMP-20260516-FULLDRAFT-001719</x:v>
      </x:c>
      <x:c r="C1735" t="str">
        <x:v>KTO001</x:v>
      </x:c>
      <x:c r="D1735"/>
      <x:c r="E1735" t="str">
        <x:v>KAT013</x:v>
      </x:c>
      <x:c r="F1735"/>
      <x:c r="G1735"/>
      <x:c r="H1735" t="str">
        <x:v>kein_match</x:v>
      </x:c>
      <x:c r="I1735" t="str">
        <x:v>Agent-Draft: keine finale Regelentscheidung</x:v>
      </x:c>
      <x:c r="J1735" t="n">
        <x:v>45572</x:v>
      </x:c>
      <x:c r="K1735"/>
      <x:c r="L1735"/>
      <x:c r="M1735" t="n">
        <x:v>-27.5</x:v>
      </x:c>
      <x:c r="N1735" t="str">
        <x:v>2024-10</x:v>
      </x:c>
      <x:c r="O1735" t="str">
        <x:v>Ausgabe</x:v>
      </x:c>
      <x:c r="P1735" t="str">
        <x:v>Ist</x:v>
      </x:c>
      <x:c r="Q1735" s="59" t="b">
        <x:v>0</x:v>
      </x:c>
      <x:c r="R1735" t="str">
        <x:v>kein_transfer</x:v>
      </x:c>
      <x:c r="S1735"/>
      <x:c r="T1735"/>
      <x:c r="U1735"/>
      <x:c r="V1735" s="59" t="b">
        <x:v>1</x:v>
      </x:c>
      <x:c r="W1735"/>
      <x:c r="X1735" t="str">
        <x:v>offen</x:v>
      </x:c>
      <x:c r="Y1735" t="str">
        <x:v>Agent-Draft; Kategorie und Person pruefen</x:v>
      </x:c>
    </x:row>
    <x:row r="1736">
      <x:c r="A1736" t="str">
        <x:v>TXN-RAW-IMP-20260516-FULLDRAFT-001720</x:v>
      </x:c>
      <x:c r="B1736" t="str">
        <x:v>RAW-IMP-20260516-FULLDRAFT-001720</x:v>
      </x:c>
      <x:c r="C1736" t="str">
        <x:v>KTO001</x:v>
      </x:c>
      <x:c r="D1736"/>
      <x:c r="E1736" t="str">
        <x:v>KAT013</x:v>
      </x:c>
      <x:c r="F1736"/>
      <x:c r="G1736"/>
      <x:c r="H1736" t="str">
        <x:v>kein_match</x:v>
      </x:c>
      <x:c r="I1736" t="str">
        <x:v>Agent-Draft: keine finale Regelentscheidung</x:v>
      </x:c>
      <x:c r="J1736" t="n">
        <x:v>45572</x:v>
      </x:c>
      <x:c r="K1736"/>
      <x:c r="L1736"/>
      <x:c r="M1736" t="n">
        <x:v>-36.9</x:v>
      </x:c>
      <x:c r="N1736" t="str">
        <x:v>2024-10</x:v>
      </x:c>
      <x:c r="O1736" t="str">
        <x:v>Ausgabe</x:v>
      </x:c>
      <x:c r="P1736" t="str">
        <x:v>Ist</x:v>
      </x:c>
      <x:c r="Q1736" s="59" t="b">
        <x:v>0</x:v>
      </x:c>
      <x:c r="R1736" t="str">
        <x:v>kein_transfer</x:v>
      </x:c>
      <x:c r="S1736"/>
      <x:c r="T1736"/>
      <x:c r="U1736"/>
      <x:c r="V1736" s="59" t="b">
        <x:v>1</x:v>
      </x:c>
      <x:c r="W1736"/>
      <x:c r="X1736" t="str">
        <x:v>offen</x:v>
      </x:c>
      <x:c r="Y1736" t="str">
        <x:v>Agent-Draft; Kategorie und Person pruefen</x:v>
      </x:c>
    </x:row>
    <x:row r="1737">
      <x:c r="A1737" t="str">
        <x:v>TXN-RAW-IMP-20260516-FULLDRAFT-001721</x:v>
      </x:c>
      <x:c r="B1737" t="str">
        <x:v>RAW-IMP-20260516-FULLDRAFT-001721</x:v>
      </x:c>
      <x:c r="C1737" t="str">
        <x:v>KTO001</x:v>
      </x:c>
      <x:c r="D1737"/>
      <x:c r="E1737" t="str">
        <x:v>KAT013</x:v>
      </x:c>
      <x:c r="F1737"/>
      <x:c r="G1737"/>
      <x:c r="H1737" t="str">
        <x:v>kein_match</x:v>
      </x:c>
      <x:c r="I1737" t="str">
        <x:v>Agent-Draft: keine finale Regelentscheidung</x:v>
      </x:c>
      <x:c r="J1737" t="n">
        <x:v>45572</x:v>
      </x:c>
      <x:c r="K1737"/>
      <x:c r="L1737"/>
      <x:c r="M1737" t="n">
        <x:v>-61.94</x:v>
      </x:c>
      <x:c r="N1737" t="str">
        <x:v>2024-10</x:v>
      </x:c>
      <x:c r="O1737" t="str">
        <x:v>Ausgabe</x:v>
      </x:c>
      <x:c r="P1737" t="str">
        <x:v>Ist</x:v>
      </x:c>
      <x:c r="Q1737" s="59" t="b">
        <x:v>0</x:v>
      </x:c>
      <x:c r="R1737" t="str">
        <x:v>kein_transfer</x:v>
      </x:c>
      <x:c r="S1737"/>
      <x:c r="T1737"/>
      <x:c r="U1737"/>
      <x:c r="V1737" s="59" t="b">
        <x:v>1</x:v>
      </x:c>
      <x:c r="W1737"/>
      <x:c r="X1737" t="str">
        <x:v>offen</x:v>
      </x:c>
      <x:c r="Y1737" t="str">
        <x:v>Agent-Draft; Kategorie und Person pruefen</x:v>
      </x:c>
    </x:row>
    <x:row r="1738">
      <x:c r="A1738" t="str">
        <x:v>TXN-RAW-IMP-20260516-FULLDRAFT-001722</x:v>
      </x:c>
      <x:c r="B1738" t="str">
        <x:v>RAW-IMP-20260516-FULLDRAFT-001722</x:v>
      </x:c>
      <x:c r="C1738" t="str">
        <x:v>KTO001</x:v>
      </x:c>
      <x:c r="D1738"/>
      <x:c r="E1738" t="str">
        <x:v>KAT013</x:v>
      </x:c>
      <x:c r="F1738"/>
      <x:c r="G1738"/>
      <x:c r="H1738" t="str">
        <x:v>kein_match</x:v>
      </x:c>
      <x:c r="I1738" t="str">
        <x:v>Agent-Draft: keine finale Regelentscheidung</x:v>
      </x:c>
      <x:c r="J1738" t="n">
        <x:v>45572</x:v>
      </x:c>
      <x:c r="K1738"/>
      <x:c r="L1738"/>
      <x:c r="M1738" t="n">
        <x:v>-49.9</x:v>
      </x:c>
      <x:c r="N1738" t="str">
        <x:v>2024-10</x:v>
      </x:c>
      <x:c r="O1738" t="str">
        <x:v>Ausgabe</x:v>
      </x:c>
      <x:c r="P1738" t="str">
        <x:v>Ist</x:v>
      </x:c>
      <x:c r="Q1738" s="59" t="b">
        <x:v>0</x:v>
      </x:c>
      <x:c r="R1738" t="str">
        <x:v>kein_transfer</x:v>
      </x:c>
      <x:c r="S1738"/>
      <x:c r="T1738"/>
      <x:c r="U1738"/>
      <x:c r="V1738" s="59" t="b">
        <x:v>1</x:v>
      </x:c>
      <x:c r="W1738"/>
      <x:c r="X1738" t="str">
        <x:v>offen</x:v>
      </x:c>
      <x:c r="Y1738" t="str">
        <x:v>Agent-Draft; Kategorie und Person pruefen</x:v>
      </x:c>
    </x:row>
    <x:row r="1739">
      <x:c r="A1739" t="str">
        <x:v>TXN-RAW-IMP-20260516-FULLDRAFT-001723</x:v>
      </x:c>
      <x:c r="B1739" t="str">
        <x:v>RAW-IMP-20260516-FULLDRAFT-001723</x:v>
      </x:c>
      <x:c r="C1739" t="str">
        <x:v>KTO001</x:v>
      </x:c>
      <x:c r="D1739"/>
      <x:c r="E1739" t="str">
        <x:v>KAT013</x:v>
      </x:c>
      <x:c r="F1739"/>
      <x:c r="G1739"/>
      <x:c r="H1739" t="str">
        <x:v>kein_match</x:v>
      </x:c>
      <x:c r="I1739" t="str">
        <x:v>Agent-Draft: keine finale Regelentscheidung</x:v>
      </x:c>
      <x:c r="J1739" t="n">
        <x:v>45569</x:v>
      </x:c>
      <x:c r="K1739"/>
      <x:c r="L1739"/>
      <x:c r="M1739" t="n">
        <x:v>-2.99</x:v>
      </x:c>
      <x:c r="N1739" t="str">
        <x:v>2024-10</x:v>
      </x:c>
      <x:c r="O1739" t="str">
        <x:v>Ausgabe</x:v>
      </x:c>
      <x:c r="P1739" t="str">
        <x:v>Ist</x:v>
      </x:c>
      <x:c r="Q1739" s="59" t="b">
        <x:v>0</x:v>
      </x:c>
      <x:c r="R1739" t="str">
        <x:v>kein_transfer</x:v>
      </x:c>
      <x:c r="S1739"/>
      <x:c r="T1739"/>
      <x:c r="U1739"/>
      <x:c r="V1739" s="59" t="b">
        <x:v>1</x:v>
      </x:c>
      <x:c r="W1739"/>
      <x:c r="X1739" t="str">
        <x:v>offen</x:v>
      </x:c>
      <x:c r="Y1739" t="str">
        <x:v>Agent-Draft; Kategorie und Person pruefen</x:v>
      </x:c>
    </x:row>
    <x:row r="1740">
      <x:c r="A1740" t="str">
        <x:v>TXN-RAW-IMP-20260516-FULLDRAFT-001724</x:v>
      </x:c>
      <x:c r="B1740" t="str">
        <x:v>RAW-IMP-20260516-FULLDRAFT-001724</x:v>
      </x:c>
      <x:c r="C1740" t="str">
        <x:v>KTO001</x:v>
      </x:c>
      <x:c r="D1740"/>
      <x:c r="E1740" t="str">
        <x:v>KAT013</x:v>
      </x:c>
      <x:c r="F1740"/>
      <x:c r="G1740"/>
      <x:c r="H1740" t="str">
        <x:v>kein_match</x:v>
      </x:c>
      <x:c r="I1740" t="str">
        <x:v>Agent-Draft: keine finale Regelentscheidung</x:v>
      </x:c>
      <x:c r="J1740" t="n">
        <x:v>45569</x:v>
      </x:c>
      <x:c r="K1740"/>
      <x:c r="L1740"/>
      <x:c r="M1740" t="n">
        <x:v>-14</x:v>
      </x:c>
      <x:c r="N1740" t="str">
        <x:v>2024-10</x:v>
      </x:c>
      <x:c r="O1740" t="str">
        <x:v>Ausgabe</x:v>
      </x:c>
      <x:c r="P1740" t="str">
        <x:v>Ist</x:v>
      </x:c>
      <x:c r="Q1740" s="59" t="b">
        <x:v>0</x:v>
      </x:c>
      <x:c r="R1740" t="str">
        <x:v>kein_transfer</x:v>
      </x:c>
      <x:c r="S1740"/>
      <x:c r="T1740"/>
      <x:c r="U1740"/>
      <x:c r="V1740" s="59" t="b">
        <x:v>1</x:v>
      </x:c>
      <x:c r="W1740"/>
      <x:c r="X1740" t="str">
        <x:v>offen</x:v>
      </x:c>
      <x:c r="Y1740" t="str">
        <x:v>Agent-Draft; Kategorie und Person pruefen</x:v>
      </x:c>
    </x:row>
    <x:row r="1741">
      <x:c r="A1741" t="str">
        <x:v>TXN-RAW-IMP-20260516-FULLDRAFT-001725</x:v>
      </x:c>
      <x:c r="B1741" t="str">
        <x:v>RAW-IMP-20260516-FULLDRAFT-001725</x:v>
      </x:c>
      <x:c r="C1741" t="str">
        <x:v>KTO001</x:v>
      </x:c>
      <x:c r="D1741"/>
      <x:c r="E1741" t="str">
        <x:v>KAT013</x:v>
      </x:c>
      <x:c r="F1741"/>
      <x:c r="G1741"/>
      <x:c r="H1741" t="str">
        <x:v>kein_match</x:v>
      </x:c>
      <x:c r="I1741" t="str">
        <x:v>Agent-Draft: keine finale Regelentscheidung</x:v>
      </x:c>
      <x:c r="J1741" t="n">
        <x:v>45569</x:v>
      </x:c>
      <x:c r="K1741"/>
      <x:c r="L1741"/>
      <x:c r="M1741" t="n">
        <x:v>-27.77</x:v>
      </x:c>
      <x:c r="N1741" t="str">
        <x:v>2024-10</x:v>
      </x:c>
      <x:c r="O1741" t="str">
        <x:v>Ausgabe</x:v>
      </x:c>
      <x:c r="P1741" t="str">
        <x:v>Ist</x:v>
      </x:c>
      <x:c r="Q1741" s="59" t="b">
        <x:v>0</x:v>
      </x:c>
      <x:c r="R1741" t="str">
        <x:v>kein_transfer</x:v>
      </x:c>
      <x:c r="S1741"/>
      <x:c r="T1741"/>
      <x:c r="U1741"/>
      <x:c r="V1741" s="59" t="b">
        <x:v>1</x:v>
      </x:c>
      <x:c r="W1741"/>
      <x:c r="X1741" t="str">
        <x:v>offen</x:v>
      </x:c>
      <x:c r="Y1741" t="str">
        <x:v>Agent-Draft; Kategorie und Person pruefen</x:v>
      </x:c>
    </x:row>
    <x:row r="1742">
      <x:c r="A1742" t="str">
        <x:v>TXN-RAW-IMP-20260516-FULLDRAFT-001726</x:v>
      </x:c>
      <x:c r="B1742" t="str">
        <x:v>RAW-IMP-20260516-FULLDRAFT-001726</x:v>
      </x:c>
      <x:c r="C1742" t="str">
        <x:v>KTO001</x:v>
      </x:c>
      <x:c r="D1742"/>
      <x:c r="E1742" t="str">
        <x:v>KAT013</x:v>
      </x:c>
      <x:c r="F1742"/>
      <x:c r="G1742"/>
      <x:c r="H1742" t="str">
        <x:v>kein_match</x:v>
      </x:c>
      <x:c r="I1742" t="str">
        <x:v>Agent-Draft: keine finale Regelentscheidung</x:v>
      </x:c>
      <x:c r="J1742" t="n">
        <x:v>45569</x:v>
      </x:c>
      <x:c r="K1742"/>
      <x:c r="L1742"/>
      <x:c r="M1742" t="n">
        <x:v>-1.5</x:v>
      </x:c>
      <x:c r="N1742" t="str">
        <x:v>2024-10</x:v>
      </x:c>
      <x:c r="O1742" t="str">
        <x:v>Ausgabe</x:v>
      </x:c>
      <x:c r="P1742" t="str">
        <x:v>Ist</x:v>
      </x:c>
      <x:c r="Q1742" s="59" t="b">
        <x:v>0</x:v>
      </x:c>
      <x:c r="R1742" t="str">
        <x:v>kein_transfer</x:v>
      </x:c>
      <x:c r="S1742"/>
      <x:c r="T1742"/>
      <x:c r="U1742"/>
      <x:c r="V1742" s="59" t="b">
        <x:v>1</x:v>
      </x:c>
      <x:c r="W1742"/>
      <x:c r="X1742" t="str">
        <x:v>offen</x:v>
      </x:c>
      <x:c r="Y1742" t="str">
        <x:v>Agent-Draft; Kategorie und Person pruefen</x:v>
      </x:c>
    </x:row>
    <x:row r="1743">
      <x:c r="A1743" t="str">
        <x:v>TXN-RAW-IMP-20260516-FULLDRAFT-001727</x:v>
      </x:c>
      <x:c r="B1743" t="str">
        <x:v>RAW-IMP-20260516-FULLDRAFT-001727</x:v>
      </x:c>
      <x:c r="C1743" t="str">
        <x:v>KTO001</x:v>
      </x:c>
      <x:c r="D1743"/>
      <x:c r="E1743" t="str">
        <x:v>KAT013</x:v>
      </x:c>
      <x:c r="F1743"/>
      <x:c r="G1743"/>
      <x:c r="H1743" t="str">
        <x:v>kein_match</x:v>
      </x:c>
      <x:c r="I1743" t="str">
        <x:v>Agent-Draft: keine finale Regelentscheidung</x:v>
      </x:c>
      <x:c r="J1743" t="n">
        <x:v>45569</x:v>
      </x:c>
      <x:c r="K1743"/>
      <x:c r="L1743"/>
      <x:c r="M1743" t="n">
        <x:v>-120</x:v>
      </x:c>
      <x:c r="N1743" t="str">
        <x:v>2024-10</x:v>
      </x:c>
      <x:c r="O1743" t="str">
        <x:v>Ausgabe</x:v>
      </x:c>
      <x:c r="P1743" t="str">
        <x:v>Ist</x:v>
      </x:c>
      <x:c r="Q1743" s="59" t="b">
        <x:v>0</x:v>
      </x:c>
      <x:c r="R1743" t="str">
        <x:v>kein_transfer</x:v>
      </x:c>
      <x:c r="S1743"/>
      <x:c r="T1743"/>
      <x:c r="U1743"/>
      <x:c r="V1743" s="59" t="b">
        <x:v>1</x:v>
      </x:c>
      <x:c r="W1743"/>
      <x:c r="X1743" t="str">
        <x:v>offen</x:v>
      </x:c>
      <x:c r="Y1743" t="str">
        <x:v>Agent-Draft; Kategorie und Person pruefen</x:v>
      </x:c>
    </x:row>
    <x:row r="1744">
      <x:c r="A1744" t="str">
        <x:v>TXN-RAW-IMP-20260516-FULLDRAFT-001728</x:v>
      </x:c>
      <x:c r="B1744" t="str">
        <x:v>RAW-IMP-20260516-FULLDRAFT-001728</x:v>
      </x:c>
      <x:c r="C1744" t="str">
        <x:v>KTO001</x:v>
      </x:c>
      <x:c r="D1744"/>
      <x:c r="E1744" t="str">
        <x:v>KAT013</x:v>
      </x:c>
      <x:c r="F1744"/>
      <x:c r="G1744"/>
      <x:c r="H1744" t="str">
        <x:v>kein_match</x:v>
      </x:c>
      <x:c r="I1744" t="str">
        <x:v>Agent-Draft: keine finale Regelentscheidung</x:v>
      </x:c>
      <x:c r="J1744" t="n">
        <x:v>45569</x:v>
      </x:c>
      <x:c r="K1744"/>
      <x:c r="L1744"/>
      <x:c r="M1744" t="n">
        <x:v>-53.24</x:v>
      </x:c>
      <x:c r="N1744" t="str">
        <x:v>2024-10</x:v>
      </x:c>
      <x:c r="O1744" t="str">
        <x:v>Ausgabe</x:v>
      </x:c>
      <x:c r="P1744" t="str">
        <x:v>Ist</x:v>
      </x:c>
      <x:c r="Q1744" s="59" t="b">
        <x:v>0</x:v>
      </x:c>
      <x:c r="R1744" t="str">
        <x:v>kein_transfer</x:v>
      </x:c>
      <x:c r="S1744"/>
      <x:c r="T1744"/>
      <x:c r="U1744"/>
      <x:c r="V1744" s="59" t="b">
        <x:v>1</x:v>
      </x:c>
      <x:c r="W1744"/>
      <x:c r="X1744" t="str">
        <x:v>offen</x:v>
      </x:c>
      <x:c r="Y1744" t="str">
        <x:v>Agent-Draft; Kategorie und Person pruefen</x:v>
      </x:c>
    </x:row>
    <x:row r="1745">
      <x:c r="A1745" t="str">
        <x:v>TXN-RAW-IMP-20260516-FULLDRAFT-001729</x:v>
      </x:c>
      <x:c r="B1745" t="str">
        <x:v>RAW-IMP-20260516-FULLDRAFT-001729</x:v>
      </x:c>
      <x:c r="C1745" t="str">
        <x:v>KTO001</x:v>
      </x:c>
      <x:c r="D1745"/>
      <x:c r="E1745" t="str">
        <x:v>KAT013</x:v>
      </x:c>
      <x:c r="F1745"/>
      <x:c r="G1745"/>
      <x:c r="H1745" t="str">
        <x:v>kein_match</x:v>
      </x:c>
      <x:c r="I1745" t="str">
        <x:v>Agent-Draft: keine finale Regelentscheidung</x:v>
      </x:c>
      <x:c r="J1745" t="n">
        <x:v>45569</x:v>
      </x:c>
      <x:c r="K1745"/>
      <x:c r="L1745"/>
      <x:c r="M1745" t="n">
        <x:v>-57.5</x:v>
      </x:c>
      <x:c r="N1745" t="str">
        <x:v>2024-10</x:v>
      </x:c>
      <x:c r="O1745" t="str">
        <x:v>Ausgabe</x:v>
      </x:c>
      <x:c r="P1745" t="str">
        <x:v>Ist</x:v>
      </x:c>
      <x:c r="Q1745" s="59" t="b">
        <x:v>0</x:v>
      </x:c>
      <x:c r="R1745" t="str">
        <x:v>kein_transfer</x:v>
      </x:c>
      <x:c r="S1745"/>
      <x:c r="T1745"/>
      <x:c r="U1745"/>
      <x:c r="V1745" s="59" t="b">
        <x:v>1</x:v>
      </x:c>
      <x:c r="W1745"/>
      <x:c r="X1745" t="str">
        <x:v>offen</x:v>
      </x:c>
      <x:c r="Y1745" t="str">
        <x:v>Agent-Draft; Kategorie und Person pruefen</x:v>
      </x:c>
    </x:row>
    <x:row r="1746">
      <x:c r="A1746" t="str">
        <x:v>TXN-RAW-IMP-20260516-FULLDRAFT-001730</x:v>
      </x:c>
      <x:c r="B1746" t="str">
        <x:v>RAW-IMP-20260516-FULLDRAFT-001730</x:v>
      </x:c>
      <x:c r="C1746" t="str">
        <x:v>KTO001</x:v>
      </x:c>
      <x:c r="D1746"/>
      <x:c r="E1746" t="str">
        <x:v>KAT013</x:v>
      </x:c>
      <x:c r="F1746"/>
      <x:c r="G1746"/>
      <x:c r="H1746" t="str">
        <x:v>kein_match</x:v>
      </x:c>
      <x:c r="I1746" t="str">
        <x:v>Agent-Draft: keine finale Regelentscheidung</x:v>
      </x:c>
      <x:c r="J1746" t="n">
        <x:v>45567</x:v>
      </x:c>
      <x:c r="K1746"/>
      <x:c r="L1746"/>
      <x:c r="M1746" t="n">
        <x:v>-21</x:v>
      </x:c>
      <x:c r="N1746" t="str">
        <x:v>2024-10</x:v>
      </x:c>
      <x:c r="O1746" t="str">
        <x:v>Ausgabe</x:v>
      </x:c>
      <x:c r="P1746" t="str">
        <x:v>Ist</x:v>
      </x:c>
      <x:c r="Q1746" s="59" t="b">
        <x:v>0</x:v>
      </x:c>
      <x:c r="R1746" t="str">
        <x:v>kein_transfer</x:v>
      </x:c>
      <x:c r="S1746"/>
      <x:c r="T1746"/>
      <x:c r="U1746"/>
      <x:c r="V1746" s="59" t="b">
        <x:v>1</x:v>
      </x:c>
      <x:c r="W1746"/>
      <x:c r="X1746" t="str">
        <x:v>offen</x:v>
      </x:c>
      <x:c r="Y1746" t="str">
        <x:v>Agent-Draft; Kategorie und Person pruefen</x:v>
      </x:c>
    </x:row>
    <x:row r="1747">
      <x:c r="A1747" t="str">
        <x:v>TXN-RAW-IMP-20260516-FULLDRAFT-001731</x:v>
      </x:c>
      <x:c r="B1747" t="str">
        <x:v>RAW-IMP-20260516-FULLDRAFT-001731</x:v>
      </x:c>
      <x:c r="C1747" t="str">
        <x:v>KTO001</x:v>
      </x:c>
      <x:c r="D1747"/>
      <x:c r="E1747" t="str">
        <x:v>KAT013</x:v>
      </x:c>
      <x:c r="F1747"/>
      <x:c r="G1747"/>
      <x:c r="H1747" t="str">
        <x:v>kein_match</x:v>
      </x:c>
      <x:c r="I1747" t="str">
        <x:v>Agent-Draft: keine finale Regelentscheidung</x:v>
      </x:c>
      <x:c r="J1747" t="n">
        <x:v>45567</x:v>
      </x:c>
      <x:c r="K1747"/>
      <x:c r="L1747"/>
      <x:c r="M1747" t="n">
        <x:v>-130</x:v>
      </x:c>
      <x:c r="N1747" t="str">
        <x:v>2024-10</x:v>
      </x:c>
      <x:c r="O1747" t="str">
        <x:v>Ausgabe</x:v>
      </x:c>
      <x:c r="P1747" t="str">
        <x:v>Ist</x:v>
      </x:c>
      <x:c r="Q1747" s="59" t="b">
        <x:v>0</x:v>
      </x:c>
      <x:c r="R1747" t="str">
        <x:v>kein_transfer</x:v>
      </x:c>
      <x:c r="S1747"/>
      <x:c r="T1747"/>
      <x:c r="U1747"/>
      <x:c r="V1747" s="59" t="b">
        <x:v>1</x:v>
      </x:c>
      <x:c r="W1747"/>
      <x:c r="X1747" t="str">
        <x:v>offen</x:v>
      </x:c>
      <x:c r="Y1747" t="str">
        <x:v>Agent-Draft; Kategorie und Person pruefen</x:v>
      </x:c>
    </x:row>
    <x:row r="1748">
      <x:c r="A1748" t="str">
        <x:v>TXN-RAW-IMP-20260516-FULLDRAFT-001732</x:v>
      </x:c>
      <x:c r="B1748" t="str">
        <x:v>RAW-IMP-20260516-FULLDRAFT-001732</x:v>
      </x:c>
      <x:c r="C1748" t="str">
        <x:v>KTO001</x:v>
      </x:c>
      <x:c r="D1748"/>
      <x:c r="E1748" t="str">
        <x:v>KAT013</x:v>
      </x:c>
      <x:c r="F1748"/>
      <x:c r="G1748"/>
      <x:c r="H1748" t="str">
        <x:v>kein_match</x:v>
      </x:c>
      <x:c r="I1748" t="str">
        <x:v>Agent-Draft: keine finale Regelentscheidung</x:v>
      </x:c>
      <x:c r="J1748" t="n">
        <x:v>45567</x:v>
      </x:c>
      <x:c r="K1748"/>
      <x:c r="L1748"/>
      <x:c r="M1748" t="n">
        <x:v>-81.99</x:v>
      </x:c>
      <x:c r="N1748" t="str">
        <x:v>2024-10</x:v>
      </x:c>
      <x:c r="O1748" t="str">
        <x:v>Ausgabe</x:v>
      </x:c>
      <x:c r="P1748" t="str">
        <x:v>Ist</x:v>
      </x:c>
      <x:c r="Q1748" s="59" t="b">
        <x:v>0</x:v>
      </x:c>
      <x:c r="R1748" t="str">
        <x:v>kein_transfer</x:v>
      </x:c>
      <x:c r="S1748"/>
      <x:c r="T1748"/>
      <x:c r="U1748"/>
      <x:c r="V1748" s="59" t="b">
        <x:v>1</x:v>
      </x:c>
      <x:c r="W1748"/>
      <x:c r="X1748" t="str">
        <x:v>offen</x:v>
      </x:c>
      <x:c r="Y1748" t="str">
        <x:v>Agent-Draft; Kategorie und Person pruefen</x:v>
      </x:c>
    </x:row>
    <x:row r="1749">
      <x:c r="A1749" t="str">
        <x:v>TXN-RAW-IMP-20260516-FULLDRAFT-001733</x:v>
      </x:c>
      <x:c r="B1749" t="str">
        <x:v>RAW-IMP-20260516-FULLDRAFT-001733</x:v>
      </x:c>
      <x:c r="C1749" t="str">
        <x:v>KTO001</x:v>
      </x:c>
      <x:c r="D1749"/>
      <x:c r="E1749" t="str">
        <x:v>KAT013</x:v>
      </x:c>
      <x:c r="F1749"/>
      <x:c r="G1749"/>
      <x:c r="H1749" t="str">
        <x:v>kein_match</x:v>
      </x:c>
      <x:c r="I1749" t="str">
        <x:v>Agent-Draft: keine finale Regelentscheidung</x:v>
      </x:c>
      <x:c r="J1749" t="n">
        <x:v>45567</x:v>
      </x:c>
      <x:c r="K1749"/>
      <x:c r="L1749"/>
      <x:c r="M1749" t="n">
        <x:v>3787.18</x:v>
      </x:c>
      <x:c r="N1749" t="str">
        <x:v>2024-10</x:v>
      </x:c>
      <x:c r="O1749" t="str">
        <x:v>Einnahme</x:v>
      </x:c>
      <x:c r="P1749" t="str">
        <x:v>Ist</x:v>
      </x:c>
      <x:c r="Q1749" s="59" t="b">
        <x:v>0</x:v>
      </x:c>
      <x:c r="R1749" t="str">
        <x:v>kein_transfer</x:v>
      </x:c>
      <x:c r="S1749"/>
      <x:c r="T1749"/>
      <x:c r="U1749"/>
      <x:c r="V1749" s="59" t="b">
        <x:v>1</x:v>
      </x:c>
      <x:c r="W1749"/>
      <x:c r="X1749" t="str">
        <x:v>offen</x:v>
      </x:c>
      <x:c r="Y1749" t="str">
        <x:v>Agent-Draft; Kategorie und Person pruefen</x:v>
      </x:c>
    </x:row>
    <x:row r="1750">
      <x:c r="A1750" t="str">
        <x:v>TXN-RAW-IMP-20260516-FULLDRAFT-001734</x:v>
      </x:c>
      <x:c r="B1750" t="str">
        <x:v>RAW-IMP-20260516-FULLDRAFT-001734</x:v>
      </x:c>
      <x:c r="C1750" t="str">
        <x:v>KTO001</x:v>
      </x:c>
      <x:c r="D1750"/>
      <x:c r="E1750" t="str">
        <x:v>KAT013</x:v>
      </x:c>
      <x:c r="F1750"/>
      <x:c r="G1750"/>
      <x:c r="H1750" t="str">
        <x:v>kein_match</x:v>
      </x:c>
      <x:c r="I1750" t="str">
        <x:v>Agent-Draft: keine finale Regelentscheidung</x:v>
      </x:c>
      <x:c r="J1750" t="n">
        <x:v>45567</x:v>
      </x:c>
      <x:c r="K1750"/>
      <x:c r="L1750"/>
      <x:c r="M1750" t="n">
        <x:v>-23.63</x:v>
      </x:c>
      <x:c r="N1750" t="str">
        <x:v>2024-10</x:v>
      </x:c>
      <x:c r="O1750" t="str">
        <x:v>Ausgabe</x:v>
      </x:c>
      <x:c r="P1750" t="str">
        <x:v>Ist</x:v>
      </x:c>
      <x:c r="Q1750" s="59" t="b">
        <x:v>0</x:v>
      </x:c>
      <x:c r="R1750" t="str">
        <x:v>kein_transfer</x:v>
      </x:c>
      <x:c r="S1750"/>
      <x:c r="T1750"/>
      <x:c r="U1750"/>
      <x:c r="V1750" s="59" t="b">
        <x:v>1</x:v>
      </x:c>
      <x:c r="W1750"/>
      <x:c r="X1750" t="str">
        <x:v>offen</x:v>
      </x:c>
      <x:c r="Y1750" t="str">
        <x:v>Agent-Draft; Kategorie und Person pruefen</x:v>
      </x:c>
    </x:row>
    <x:row r="1751">
      <x:c r="A1751" t="str">
        <x:v>TXN-RAW-IMP-20260516-FULLDRAFT-001735</x:v>
      </x:c>
      <x:c r="B1751" t="str">
        <x:v>RAW-IMP-20260516-FULLDRAFT-001735</x:v>
      </x:c>
      <x:c r="C1751" t="str">
        <x:v>KTO001</x:v>
      </x:c>
      <x:c r="D1751"/>
      <x:c r="E1751" t="str">
        <x:v>KAT013</x:v>
      </x:c>
      <x:c r="F1751"/>
      <x:c r="G1751"/>
      <x:c r="H1751" t="str">
        <x:v>kein_match</x:v>
      </x:c>
      <x:c r="I1751" t="str">
        <x:v>Agent-Draft: keine finale Regelentscheidung</x:v>
      </x:c>
      <x:c r="J1751" t="n">
        <x:v>45567</x:v>
      </x:c>
      <x:c r="K1751"/>
      <x:c r="L1751"/>
      <x:c r="M1751" t="n">
        <x:v>-11.96</x:v>
      </x:c>
      <x:c r="N1751" t="str">
        <x:v>2024-10</x:v>
      </x:c>
      <x:c r="O1751" t="str">
        <x:v>Ausgabe</x:v>
      </x:c>
      <x:c r="P1751" t="str">
        <x:v>Ist</x:v>
      </x:c>
      <x:c r="Q1751" s="59" t="b">
        <x:v>0</x:v>
      </x:c>
      <x:c r="R1751" t="str">
        <x:v>kein_transfer</x:v>
      </x:c>
      <x:c r="S1751"/>
      <x:c r="T1751"/>
      <x:c r="U1751"/>
      <x:c r="V1751" s="59" t="b">
        <x:v>1</x:v>
      </x:c>
      <x:c r="W1751"/>
      <x:c r="X1751" t="str">
        <x:v>offen</x:v>
      </x:c>
      <x:c r="Y1751" t="str">
        <x:v>Agent-Draft; Kategorie und Person pruefen</x:v>
      </x:c>
    </x:row>
    <x:row r="1752">
      <x:c r="A1752" t="str">
        <x:v>TXN-RAW-IMP-20260516-FULLDRAFT-001736</x:v>
      </x:c>
      <x:c r="B1752" t="str">
        <x:v>RAW-IMP-20260516-FULLDRAFT-001736</x:v>
      </x:c>
      <x:c r="C1752" t="str">
        <x:v>KTO001</x:v>
      </x:c>
      <x:c r="D1752"/>
      <x:c r="E1752" t="str">
        <x:v>KAT013</x:v>
      </x:c>
      <x:c r="F1752"/>
      <x:c r="G1752"/>
      <x:c r="H1752" t="str">
        <x:v>kein_match</x:v>
      </x:c>
      <x:c r="I1752" t="str">
        <x:v>Agent-Draft: keine finale Regelentscheidung</x:v>
      </x:c>
      <x:c r="J1752" t="n">
        <x:v>45566</x:v>
      </x:c>
      <x:c r="K1752"/>
      <x:c r="L1752"/>
      <x:c r="M1752" t="n">
        <x:v>750</x:v>
      </x:c>
      <x:c r="N1752" t="str">
        <x:v>2024-10</x:v>
      </x:c>
      <x:c r="O1752" t="str">
        <x:v>Einnahme</x:v>
      </x:c>
      <x:c r="P1752" t="str">
        <x:v>Ist</x:v>
      </x:c>
      <x:c r="Q1752" s="59" t="b">
        <x:v>0</x:v>
      </x:c>
      <x:c r="R1752" t="str">
        <x:v>kein_transfer</x:v>
      </x:c>
      <x:c r="S1752"/>
      <x:c r="T1752"/>
      <x:c r="U1752"/>
      <x:c r="V1752" s="59" t="b">
        <x:v>1</x:v>
      </x:c>
      <x:c r="W1752"/>
      <x:c r="X1752" t="str">
        <x:v>offen</x:v>
      </x:c>
      <x:c r="Y1752" t="str">
        <x:v>Agent-Draft; Kategorie und Person pruefen</x:v>
      </x:c>
    </x:row>
    <x:row r="1753">
      <x:c r="A1753" t="str">
        <x:v>TXN-RAW-IMP-20260516-FULLDRAFT-001737</x:v>
      </x:c>
      <x:c r="B1753" t="str">
        <x:v>RAW-IMP-20260516-FULLDRAFT-001737</x:v>
      </x:c>
      <x:c r="C1753" t="str">
        <x:v>KTO001</x:v>
      </x:c>
      <x:c r="D1753"/>
      <x:c r="E1753" t="str">
        <x:v>KAT013</x:v>
      </x:c>
      <x:c r="F1753"/>
      <x:c r="G1753"/>
      <x:c r="H1753" t="str">
        <x:v>kein_match</x:v>
      </x:c>
      <x:c r="I1753" t="str">
        <x:v>Agent-Draft: keine finale Regelentscheidung</x:v>
      </x:c>
      <x:c r="J1753" t="n">
        <x:v>45566</x:v>
      </x:c>
      <x:c r="K1753"/>
      <x:c r="L1753"/>
      <x:c r="M1753" t="n">
        <x:v>-600</x:v>
      </x:c>
      <x:c r="N1753" t="str">
        <x:v>2024-10</x:v>
      </x:c>
      <x:c r="O1753" t="str">
        <x:v>Ausgabe</x:v>
      </x:c>
      <x:c r="P1753" t="str">
        <x:v>Ist</x:v>
      </x:c>
      <x:c r="Q1753" s="59" t="b">
        <x:v>0</x:v>
      </x:c>
      <x:c r="R1753" t="str">
        <x:v>kein_transfer</x:v>
      </x:c>
      <x:c r="S1753"/>
      <x:c r="T1753"/>
      <x:c r="U1753"/>
      <x:c r="V1753" s="59" t="b">
        <x:v>1</x:v>
      </x:c>
      <x:c r="W1753"/>
      <x:c r="X1753" t="str">
        <x:v>offen</x:v>
      </x:c>
      <x:c r="Y1753" t="str">
        <x:v>Agent-Draft; Kategorie und Person pruefen</x:v>
      </x:c>
    </x:row>
    <x:row r="1754">
      <x:c r="A1754" t="str">
        <x:v>TXN-RAW-IMP-20260516-FULLDRAFT-001738</x:v>
      </x:c>
      <x:c r="B1754" t="str">
        <x:v>RAW-IMP-20260516-FULLDRAFT-001738</x:v>
      </x:c>
      <x:c r="C1754" t="str">
        <x:v>KTO001</x:v>
      </x:c>
      <x:c r="D1754"/>
      <x:c r="E1754" t="str">
        <x:v>KAT013</x:v>
      </x:c>
      <x:c r="F1754"/>
      <x:c r="G1754"/>
      <x:c r="H1754" t="str">
        <x:v>kein_match</x:v>
      </x:c>
      <x:c r="I1754" t="str">
        <x:v>Agent-Draft: keine finale Regelentscheidung</x:v>
      </x:c>
      <x:c r="J1754" t="n">
        <x:v>45566</x:v>
      </x:c>
      <x:c r="K1754"/>
      <x:c r="L1754"/>
      <x:c r="M1754" t="n">
        <x:v>-66.15</x:v>
      </x:c>
      <x:c r="N1754" t="str">
        <x:v>2024-10</x:v>
      </x:c>
      <x:c r="O1754" t="str">
        <x:v>Ausgabe</x:v>
      </x:c>
      <x:c r="P1754" t="str">
        <x:v>Ist</x:v>
      </x:c>
      <x:c r="Q1754" s="59" t="b">
        <x:v>0</x:v>
      </x:c>
      <x:c r="R1754" t="str">
        <x:v>kein_transfer</x:v>
      </x:c>
      <x:c r="S1754"/>
      <x:c r="T1754"/>
      <x:c r="U1754"/>
      <x:c r="V1754" s="59" t="b">
        <x:v>1</x:v>
      </x:c>
      <x:c r="W1754"/>
      <x:c r="X1754" t="str">
        <x:v>offen</x:v>
      </x:c>
      <x:c r="Y1754" t="str">
        <x:v>Agent-Draft; Kategorie und Person pruefen</x:v>
      </x:c>
    </x:row>
    <x:row r="1755">
      <x:c r="A1755" t="str">
        <x:v>TXN-RAW-IMP-20260516-FULLDRAFT-001739</x:v>
      </x:c>
      <x:c r="B1755" t="str">
        <x:v>RAW-IMP-20260516-FULLDRAFT-001739</x:v>
      </x:c>
      <x:c r="C1755" t="str">
        <x:v>KTO001</x:v>
      </x:c>
      <x:c r="D1755"/>
      <x:c r="E1755" t="str">
        <x:v>KAT013</x:v>
      </x:c>
      <x:c r="F1755"/>
      <x:c r="G1755"/>
      <x:c r="H1755" t="str">
        <x:v>kein_match</x:v>
      </x:c>
      <x:c r="I1755" t="str">
        <x:v>Agent-Draft: keine finale Regelentscheidung</x:v>
      </x:c>
      <x:c r="J1755" t="n">
        <x:v>45566</x:v>
      </x:c>
      <x:c r="K1755"/>
      <x:c r="L1755"/>
      <x:c r="M1755" t="n">
        <x:v>-452.71</x:v>
      </x:c>
      <x:c r="N1755" t="str">
        <x:v>2024-10</x:v>
      </x:c>
      <x:c r="O1755" t="str">
        <x:v>Ausgabe</x:v>
      </x:c>
      <x:c r="P1755" t="str">
        <x:v>Ist</x:v>
      </x:c>
      <x:c r="Q1755" s="59" t="b">
        <x:v>0</x:v>
      </x:c>
      <x:c r="R1755" t="str">
        <x:v>kein_transfer</x:v>
      </x:c>
      <x:c r="S1755"/>
      <x:c r="T1755"/>
      <x:c r="U1755"/>
      <x:c r="V1755" s="59" t="b">
        <x:v>1</x:v>
      </x:c>
      <x:c r="W1755"/>
      <x:c r="X1755" t="str">
        <x:v>offen</x:v>
      </x:c>
      <x:c r="Y1755" t="str">
        <x:v>Agent-Draft; Kategorie und Person pruefen</x:v>
      </x:c>
    </x:row>
    <x:row r="1756">
      <x:c r="A1756" t="str">
        <x:v>TXN-RAW-IMP-20260516-FULLDRAFT-001740</x:v>
      </x:c>
      <x:c r="B1756" t="str">
        <x:v>RAW-IMP-20260516-FULLDRAFT-001740</x:v>
      </x:c>
      <x:c r="C1756" t="str">
        <x:v>KTO001</x:v>
      </x:c>
      <x:c r="D1756"/>
      <x:c r="E1756" t="str">
        <x:v>KAT013</x:v>
      </x:c>
      <x:c r="F1756"/>
      <x:c r="G1756"/>
      <x:c r="H1756" t="str">
        <x:v>kein_match</x:v>
      </x:c>
      <x:c r="I1756" t="str">
        <x:v>Agent-Draft: keine finale Regelentscheidung</x:v>
      </x:c>
      <x:c r="J1756" t="n">
        <x:v>45566</x:v>
      </x:c>
      <x:c r="K1756"/>
      <x:c r="L1756"/>
      <x:c r="M1756" t="n">
        <x:v>-35.12</x:v>
      </x:c>
      <x:c r="N1756" t="str">
        <x:v>2024-10</x:v>
      </x:c>
      <x:c r="O1756" t="str">
        <x:v>Ausgabe</x:v>
      </x:c>
      <x:c r="P1756" t="str">
        <x:v>Ist</x:v>
      </x:c>
      <x:c r="Q1756" s="59" t="b">
        <x:v>0</x:v>
      </x:c>
      <x:c r="R1756" t="str">
        <x:v>kein_transfer</x:v>
      </x:c>
      <x:c r="S1756"/>
      <x:c r="T1756"/>
      <x:c r="U1756"/>
      <x:c r="V1756" s="59" t="b">
        <x:v>1</x:v>
      </x:c>
      <x:c r="W1756"/>
      <x:c r="X1756" t="str">
        <x:v>offen</x:v>
      </x:c>
      <x:c r="Y1756" t="str">
        <x:v>Agent-Draft; Kategorie und Person pruefen</x:v>
      </x:c>
    </x:row>
    <x:row r="1757">
      <x:c r="A1757" t="str">
        <x:v>TXN-RAW-IMP-20260516-FULLDRAFT-001741</x:v>
      </x:c>
      <x:c r="B1757" t="str">
        <x:v>RAW-IMP-20260516-FULLDRAFT-001741</x:v>
      </x:c>
      <x:c r="C1757" t="str">
        <x:v>KTO001</x:v>
      </x:c>
      <x:c r="D1757"/>
      <x:c r="E1757" t="str">
        <x:v>KAT013</x:v>
      </x:c>
      <x:c r="F1757"/>
      <x:c r="G1757"/>
      <x:c r="H1757" t="str">
        <x:v>kein_match</x:v>
      </x:c>
      <x:c r="I1757" t="str">
        <x:v>Agent-Draft: keine finale Regelentscheidung</x:v>
      </x:c>
      <x:c r="J1757" t="n">
        <x:v>45566</x:v>
      </x:c>
      <x:c r="K1757"/>
      <x:c r="L1757"/>
      <x:c r="M1757" t="n">
        <x:v>-53.3</x:v>
      </x:c>
      <x:c r="N1757" t="str">
        <x:v>2024-10</x:v>
      </x:c>
      <x:c r="O1757" t="str">
        <x:v>Ausgabe</x:v>
      </x:c>
      <x:c r="P1757" t="str">
        <x:v>Ist</x:v>
      </x:c>
      <x:c r="Q1757" s="59" t="b">
        <x:v>0</x:v>
      </x:c>
      <x:c r="R1757" t="str">
        <x:v>kein_transfer</x:v>
      </x:c>
      <x:c r="S1757"/>
      <x:c r="T1757"/>
      <x:c r="U1757"/>
      <x:c r="V1757" s="59" t="b">
        <x:v>1</x:v>
      </x:c>
      <x:c r="W1757"/>
      <x:c r="X1757" t="str">
        <x:v>offen</x:v>
      </x:c>
      <x:c r="Y1757" t="str">
        <x:v>Agent-Draft; Kategorie und Person pruefen</x:v>
      </x:c>
    </x:row>
    <x:row r="1758">
      <x:c r="A1758" t="str">
        <x:v>TXN-RAW-IMP-20260516-FULLDRAFT-001742</x:v>
      </x:c>
      <x:c r="B1758" t="str">
        <x:v>RAW-IMP-20260516-FULLDRAFT-001742</x:v>
      </x:c>
      <x:c r="C1758" t="str">
        <x:v>KTO001</x:v>
      </x:c>
      <x:c r="D1758"/>
      <x:c r="E1758" t="str">
        <x:v>KAT013</x:v>
      </x:c>
      <x:c r="F1758"/>
      <x:c r="G1758"/>
      <x:c r="H1758" t="str">
        <x:v>kein_match</x:v>
      </x:c>
      <x:c r="I1758" t="str">
        <x:v>Agent-Draft: keine finale Regelentscheidung</x:v>
      </x:c>
      <x:c r="J1758" t="n">
        <x:v>45566</x:v>
      </x:c>
      <x:c r="K1758"/>
      <x:c r="L1758"/>
      <x:c r="M1758" t="n">
        <x:v>-1800</x:v>
      </x:c>
      <x:c r="N1758" t="str">
        <x:v>2024-10</x:v>
      </x:c>
      <x:c r="O1758" t="str">
        <x:v>Ausgabe</x:v>
      </x:c>
      <x:c r="P1758" t="str">
        <x:v>Ist</x:v>
      </x:c>
      <x:c r="Q1758" s="59" t="b">
        <x:v>0</x:v>
      </x:c>
      <x:c r="R1758" t="str">
        <x:v>kein_transfer</x:v>
      </x:c>
      <x:c r="S1758"/>
      <x:c r="T1758"/>
      <x:c r="U1758"/>
      <x:c r="V1758" s="59" t="b">
        <x:v>1</x:v>
      </x:c>
      <x:c r="W1758"/>
      <x:c r="X1758" t="str">
        <x:v>offen</x:v>
      </x:c>
      <x:c r="Y1758" t="str">
        <x:v>Agent-Draft; Kategorie und Person pruefen</x:v>
      </x:c>
    </x:row>
    <x:row r="1759">
      <x:c r="A1759" t="str">
        <x:v>TXN-RAW-IMP-20260516-FULLDRAFT-001743</x:v>
      </x:c>
      <x:c r="B1759" t="str">
        <x:v>RAW-IMP-20260516-FULLDRAFT-001743</x:v>
      </x:c>
      <x:c r="C1759" t="str">
        <x:v>KTO001</x:v>
      </x:c>
      <x:c r="D1759"/>
      <x:c r="E1759" t="str">
        <x:v>KAT013</x:v>
      </x:c>
      <x:c r="F1759"/>
      <x:c r="G1759"/>
      <x:c r="H1759" t="str">
        <x:v>kein_match</x:v>
      </x:c>
      <x:c r="I1759" t="str">
        <x:v>Agent-Draft: keine finale Regelentscheidung</x:v>
      </x:c>
      <x:c r="J1759" t="n">
        <x:v>45566</x:v>
      </x:c>
      <x:c r="K1759"/>
      <x:c r="L1759"/>
      <x:c r="M1759" t="n">
        <x:v>-1400</x:v>
      </x:c>
      <x:c r="N1759" t="str">
        <x:v>2024-10</x:v>
      </x:c>
      <x:c r="O1759" t="str">
        <x:v>Ausgabe</x:v>
      </x:c>
      <x:c r="P1759" t="str">
        <x:v>Ist</x:v>
      </x:c>
      <x:c r="Q1759" s="59" t="b">
        <x:v>0</x:v>
      </x:c>
      <x:c r="R1759" t="str">
        <x:v>kein_transfer</x:v>
      </x:c>
      <x:c r="S1759"/>
      <x:c r="T1759"/>
      <x:c r="U1759"/>
      <x:c r="V1759" s="59" t="b">
        <x:v>1</x:v>
      </x:c>
      <x:c r="W1759"/>
      <x:c r="X1759" t="str">
        <x:v>offen</x:v>
      </x:c>
      <x:c r="Y1759" t="str">
        <x:v>Agent-Draft; Kategorie und Person pruefen</x:v>
      </x:c>
    </x:row>
    <x:row r="1760">
      <x:c r="A1760" t="str">
        <x:v>TXN-RAW-IMP-20260516-FULLDRAFT-001744</x:v>
      </x:c>
      <x:c r="B1760" t="str">
        <x:v>RAW-IMP-20260516-FULLDRAFT-001744</x:v>
      </x:c>
      <x:c r="C1760" t="str">
        <x:v>KTO001</x:v>
      </x:c>
      <x:c r="D1760"/>
      <x:c r="E1760" t="str">
        <x:v>KAT013</x:v>
      </x:c>
      <x:c r="F1760"/>
      <x:c r="G1760"/>
      <x:c r="H1760" t="str">
        <x:v>kein_match</x:v>
      </x:c>
      <x:c r="I1760" t="str">
        <x:v>Agent-Draft: keine finale Regelentscheidung</x:v>
      </x:c>
      <x:c r="J1760" t="n">
        <x:v>45566</x:v>
      </x:c>
      <x:c r="K1760"/>
      <x:c r="L1760"/>
      <x:c r="M1760" t="n">
        <x:v>-97.12</x:v>
      </x:c>
      <x:c r="N1760" t="str">
        <x:v>2024-10</x:v>
      </x:c>
      <x:c r="O1760" t="str">
        <x:v>Ausgabe</x:v>
      </x:c>
      <x:c r="P1760" t="str">
        <x:v>Ist</x:v>
      </x:c>
      <x:c r="Q1760" s="59" t="b">
        <x:v>0</x:v>
      </x:c>
      <x:c r="R1760" t="str">
        <x:v>kein_transfer</x:v>
      </x:c>
      <x:c r="S1760"/>
      <x:c r="T1760"/>
      <x:c r="U1760"/>
      <x:c r="V1760" s="59" t="b">
        <x:v>1</x:v>
      </x:c>
      <x:c r="W1760"/>
      <x:c r="X1760" t="str">
        <x:v>offen</x:v>
      </x:c>
      <x:c r="Y1760" t="str">
        <x:v>Agent-Draft; Kategorie und Person pruefen</x:v>
      </x:c>
    </x:row>
    <x:row r="1761">
      <x:c r="A1761" t="str">
        <x:v>TXN-RAW-IMP-20260516-FULLDRAFT-001745</x:v>
      </x:c>
      <x:c r="B1761" t="str">
        <x:v>RAW-IMP-20260516-FULLDRAFT-001745</x:v>
      </x:c>
      <x:c r="C1761" t="str">
        <x:v>KTO001</x:v>
      </x:c>
      <x:c r="D1761"/>
      <x:c r="E1761" t="str">
        <x:v>KAT013</x:v>
      </x:c>
      <x:c r="F1761"/>
      <x:c r="G1761"/>
      <x:c r="H1761" t="str">
        <x:v>kein_match</x:v>
      </x:c>
      <x:c r="I1761" t="str">
        <x:v>Agent-Draft: keine finale Regelentscheidung</x:v>
      </x:c>
      <x:c r="J1761" t="n">
        <x:v>45566</x:v>
      </x:c>
      <x:c r="K1761"/>
      <x:c r="L1761"/>
      <x:c r="M1761" t="n">
        <x:v>-162.17</x:v>
      </x:c>
      <x:c r="N1761" t="str">
        <x:v>2024-10</x:v>
      </x:c>
      <x:c r="O1761" t="str">
        <x:v>Ausgabe</x:v>
      </x:c>
      <x:c r="P1761" t="str">
        <x:v>Ist</x:v>
      </x:c>
      <x:c r="Q1761" s="59" t="b">
        <x:v>0</x:v>
      </x:c>
      <x:c r="R1761" t="str">
        <x:v>kein_transfer</x:v>
      </x:c>
      <x:c r="S1761"/>
      <x:c r="T1761"/>
      <x:c r="U1761"/>
      <x:c r="V1761" s="59" t="b">
        <x:v>1</x:v>
      </x:c>
      <x:c r="W1761"/>
      <x:c r="X1761" t="str">
        <x:v>offen</x:v>
      </x:c>
      <x:c r="Y1761" t="str">
        <x:v>Agent-Draft; Kategorie und Person pruefen</x:v>
      </x:c>
    </x:row>
    <x:row r="1762">
      <x:c r="A1762" t="str">
        <x:v>TXN-RAW-IMP-20260516-FULLDRAFT-001746</x:v>
      </x:c>
      <x:c r="B1762" t="str">
        <x:v>RAW-IMP-20260516-FULLDRAFT-001746</x:v>
      </x:c>
      <x:c r="C1762" t="str">
        <x:v>KTO001</x:v>
      </x:c>
      <x:c r="D1762"/>
      <x:c r="E1762" t="str">
        <x:v>KAT013</x:v>
      </x:c>
      <x:c r="F1762"/>
      <x:c r="G1762"/>
      <x:c r="H1762" t="str">
        <x:v>kein_match</x:v>
      </x:c>
      <x:c r="I1762" t="str">
        <x:v>Agent-Draft: keine finale Regelentscheidung</x:v>
      </x:c>
      <x:c r="J1762" t="n">
        <x:v>45566</x:v>
      </x:c>
      <x:c r="K1762"/>
      <x:c r="L1762"/>
      <x:c r="M1762" t="n">
        <x:v>0</x:v>
      </x:c>
      <x:c r="N1762" t="str">
        <x:v>2024-10</x:v>
      </x:c>
      <x:c r="O1762" t="str">
        <x:v>neutral</x:v>
      </x:c>
      <x:c r="P1762" t="str">
        <x:v>Ist</x:v>
      </x:c>
      <x:c r="Q1762" s="59" t="b">
        <x:v>0</x:v>
      </x:c>
      <x:c r="R1762" t="str">
        <x:v>kein_transfer</x:v>
      </x:c>
      <x:c r="S1762"/>
      <x:c r="T1762"/>
      <x:c r="U1762"/>
      <x:c r="V1762" s="59" t="b">
        <x:v>1</x:v>
      </x:c>
      <x:c r="W1762"/>
      <x:c r="X1762" t="str">
        <x:v>offen</x:v>
      </x:c>
      <x:c r="Y1762" t="str">
        <x:v>Agent-Draft; Kategorie und Person pruefen</x:v>
      </x:c>
    </x:row>
    <x:row r="1763">
      <x:c r="A1763" t="str">
        <x:v>TXN-RAW-IMP-20260516-FULLDRAFT-001747</x:v>
      </x:c>
      <x:c r="B1763" t="str">
        <x:v>RAW-IMP-20260516-FULLDRAFT-001747</x:v>
      </x:c>
      <x:c r="C1763" t="str">
        <x:v>KTO001</x:v>
      </x:c>
      <x:c r="D1763"/>
      <x:c r="E1763" t="str">
        <x:v>KAT013</x:v>
      </x:c>
      <x:c r="F1763"/>
      <x:c r="G1763"/>
      <x:c r="H1763" t="str">
        <x:v>kein_match</x:v>
      </x:c>
      <x:c r="I1763" t="str">
        <x:v>Agent-Draft: keine finale Regelentscheidung</x:v>
      </x:c>
      <x:c r="J1763" t="n">
        <x:v>45565</x:v>
      </x:c>
      <x:c r="K1763"/>
      <x:c r="L1763"/>
      <x:c r="M1763" t="n">
        <x:v>-25</x:v>
      </x:c>
      <x:c r="N1763" t="str">
        <x:v>2024-09</x:v>
      </x:c>
      <x:c r="O1763" t="str">
        <x:v>Ausgabe</x:v>
      </x:c>
      <x:c r="P1763" t="str">
        <x:v>Ist</x:v>
      </x:c>
      <x:c r="Q1763" s="59" t="b">
        <x:v>0</x:v>
      </x:c>
      <x:c r="R1763" t="str">
        <x:v>kein_transfer</x:v>
      </x:c>
      <x:c r="S1763"/>
      <x:c r="T1763"/>
      <x:c r="U1763"/>
      <x:c r="V1763" s="59" t="b">
        <x:v>1</x:v>
      </x:c>
      <x:c r="W1763"/>
      <x:c r="X1763" t="str">
        <x:v>offen</x:v>
      </x:c>
      <x:c r="Y1763" t="str">
        <x:v>Agent-Draft; Kategorie und Person pruefen</x:v>
      </x:c>
    </x:row>
    <x:row r="1764">
      <x:c r="A1764" t="str">
        <x:v>TXN-RAW-IMP-20260516-FULLDRAFT-001748</x:v>
      </x:c>
      <x:c r="B1764" t="str">
        <x:v>RAW-IMP-20260516-FULLDRAFT-001748</x:v>
      </x:c>
      <x:c r="C1764" t="str">
        <x:v>KTO001</x:v>
      </x:c>
      <x:c r="D1764"/>
      <x:c r="E1764" t="str">
        <x:v>KAT013</x:v>
      </x:c>
      <x:c r="F1764"/>
      <x:c r="G1764"/>
      <x:c r="H1764" t="str">
        <x:v>kein_match</x:v>
      </x:c>
      <x:c r="I1764" t="str">
        <x:v>Agent-Draft: keine finale Regelentscheidung</x:v>
      </x:c>
      <x:c r="J1764" t="n">
        <x:v>45565</x:v>
      </x:c>
      <x:c r="K1764"/>
      <x:c r="L1764"/>
      <x:c r="M1764" t="n">
        <x:v>-103.2</x:v>
      </x:c>
      <x:c r="N1764" t="str">
        <x:v>2024-09</x:v>
      </x:c>
      <x:c r="O1764" t="str">
        <x:v>Ausgabe</x:v>
      </x:c>
      <x:c r="P1764" t="str">
        <x:v>Ist</x:v>
      </x:c>
      <x:c r="Q1764" s="59" t="b">
        <x:v>0</x:v>
      </x:c>
      <x:c r="R1764" t="str">
        <x:v>kein_transfer</x:v>
      </x:c>
      <x:c r="S1764"/>
      <x:c r="T1764"/>
      <x:c r="U1764"/>
      <x:c r="V1764" s="59" t="b">
        <x:v>1</x:v>
      </x:c>
      <x:c r="W1764"/>
      <x:c r="X1764" t="str">
        <x:v>offen</x:v>
      </x:c>
      <x:c r="Y1764" t="str">
        <x:v>Agent-Draft; Kategorie und Person pruefen</x:v>
      </x:c>
    </x:row>
    <x:row r="1765">
      <x:c r="A1765" t="str">
        <x:v>TXN-RAW-IMP-20260516-FULLDRAFT-001749</x:v>
      </x:c>
      <x:c r="B1765" t="str">
        <x:v>RAW-IMP-20260516-FULLDRAFT-001749</x:v>
      </x:c>
      <x:c r="C1765" t="str">
        <x:v>KTO001</x:v>
      </x:c>
      <x:c r="D1765"/>
      <x:c r="E1765" t="str">
        <x:v>KAT013</x:v>
      </x:c>
      <x:c r="F1765"/>
      <x:c r="G1765"/>
      <x:c r="H1765" t="str">
        <x:v>kein_match</x:v>
      </x:c>
      <x:c r="I1765" t="str">
        <x:v>Agent-Draft: keine finale Regelentscheidung</x:v>
      </x:c>
      <x:c r="J1765" t="n">
        <x:v>45565</x:v>
      </x:c>
      <x:c r="K1765"/>
      <x:c r="L1765"/>
      <x:c r="M1765" t="n">
        <x:v>-72.91</x:v>
      </x:c>
      <x:c r="N1765" t="str">
        <x:v>2024-09</x:v>
      </x:c>
      <x:c r="O1765" t="str">
        <x:v>Ausgabe</x:v>
      </x:c>
      <x:c r="P1765" t="str">
        <x:v>Ist</x:v>
      </x:c>
      <x:c r="Q1765" s="59" t="b">
        <x:v>0</x:v>
      </x:c>
      <x:c r="R1765" t="str">
        <x:v>kein_transfer</x:v>
      </x:c>
      <x:c r="S1765"/>
      <x:c r="T1765"/>
      <x:c r="U1765"/>
      <x:c r="V1765" s="59" t="b">
        <x:v>1</x:v>
      </x:c>
      <x:c r="W1765"/>
      <x:c r="X1765" t="str">
        <x:v>offen</x:v>
      </x:c>
      <x:c r="Y1765" t="str">
        <x:v>Agent-Draft; Kategorie und Person pruefen</x:v>
      </x:c>
    </x:row>
    <x:row r="1766">
      <x:c r="A1766" t="str">
        <x:v>TXN-RAW-IMP-20260516-FULLDRAFT-001750</x:v>
      </x:c>
      <x:c r="B1766" t="str">
        <x:v>RAW-IMP-20260516-FULLDRAFT-001750</x:v>
      </x:c>
      <x:c r="C1766" t="str">
        <x:v>KTO001</x:v>
      </x:c>
      <x:c r="D1766"/>
      <x:c r="E1766" t="str">
        <x:v>KAT013</x:v>
      </x:c>
      <x:c r="F1766"/>
      <x:c r="G1766"/>
      <x:c r="H1766" t="str">
        <x:v>kein_match</x:v>
      </x:c>
      <x:c r="I1766" t="str">
        <x:v>Agent-Draft: keine finale Regelentscheidung</x:v>
      </x:c>
      <x:c r="J1766" t="n">
        <x:v>45565</x:v>
      </x:c>
      <x:c r="K1766"/>
      <x:c r="L1766"/>
      <x:c r="M1766" t="n">
        <x:v>-5.72</x:v>
      </x:c>
      <x:c r="N1766" t="str">
        <x:v>2024-09</x:v>
      </x:c>
      <x:c r="O1766" t="str">
        <x:v>Ausgabe</x:v>
      </x:c>
      <x:c r="P1766" t="str">
        <x:v>Ist</x:v>
      </x:c>
      <x:c r="Q1766" s="59" t="b">
        <x:v>0</x:v>
      </x:c>
      <x:c r="R1766" t="str">
        <x:v>kein_transfer</x:v>
      </x:c>
      <x:c r="S1766"/>
      <x:c r="T1766"/>
      <x:c r="U1766"/>
      <x:c r="V1766" s="59" t="b">
        <x:v>1</x:v>
      </x:c>
      <x:c r="W1766"/>
      <x:c r="X1766" t="str">
        <x:v>offen</x:v>
      </x:c>
      <x:c r="Y1766" t="str">
        <x:v>Agent-Draft; Kategorie und Person pruefen</x:v>
      </x:c>
    </x:row>
    <x:row r="1767">
      <x:c r="A1767" t="str">
        <x:v>TXN-RAW-IMP-20260516-FULLDRAFT-001751</x:v>
      </x:c>
      <x:c r="B1767" t="str">
        <x:v>RAW-IMP-20260516-FULLDRAFT-001751</x:v>
      </x:c>
      <x:c r="C1767" t="str">
        <x:v>KTO001</x:v>
      </x:c>
      <x:c r="D1767"/>
      <x:c r="E1767" t="str">
        <x:v>KAT013</x:v>
      </x:c>
      <x:c r="F1767"/>
      <x:c r="G1767"/>
      <x:c r="H1767" t="str">
        <x:v>kein_match</x:v>
      </x:c>
      <x:c r="I1767" t="str">
        <x:v>Agent-Draft: keine finale Regelentscheidung</x:v>
      </x:c>
      <x:c r="J1767" t="n">
        <x:v>45565</x:v>
      </x:c>
      <x:c r="K1767"/>
      <x:c r="L1767"/>
      <x:c r="M1767" t="n">
        <x:v>-47.21</x:v>
      </x:c>
      <x:c r="N1767" t="str">
        <x:v>2024-09</x:v>
      </x:c>
      <x:c r="O1767" t="str">
        <x:v>Ausgabe</x:v>
      </x:c>
      <x:c r="P1767" t="str">
        <x:v>Ist</x:v>
      </x:c>
      <x:c r="Q1767" s="59" t="b">
        <x:v>0</x:v>
      </x:c>
      <x:c r="R1767" t="str">
        <x:v>kein_transfer</x:v>
      </x:c>
      <x:c r="S1767"/>
      <x:c r="T1767"/>
      <x:c r="U1767"/>
      <x:c r="V1767" s="59" t="b">
        <x:v>1</x:v>
      </x:c>
      <x:c r="W1767"/>
      <x:c r="X1767" t="str">
        <x:v>offen</x:v>
      </x:c>
      <x:c r="Y1767" t="str">
        <x:v>Agent-Draft; Kategorie und Person pruefen</x:v>
      </x:c>
    </x:row>
    <x:row r="1768">
      <x:c r="A1768" t="str">
        <x:v>TXN-RAW-IMP-20260516-FULLDRAFT-001752</x:v>
      </x:c>
      <x:c r="B1768" t="str">
        <x:v>RAW-IMP-20260516-FULLDRAFT-001752</x:v>
      </x:c>
      <x:c r="C1768" t="str">
        <x:v>KTO001</x:v>
      </x:c>
      <x:c r="D1768"/>
      <x:c r="E1768" t="str">
        <x:v>KAT013</x:v>
      </x:c>
      <x:c r="F1768"/>
      <x:c r="G1768"/>
      <x:c r="H1768" t="str">
        <x:v>kein_match</x:v>
      </x:c>
      <x:c r="I1768" t="str">
        <x:v>Agent-Draft: keine finale Regelentscheidung</x:v>
      </x:c>
      <x:c r="J1768" t="n">
        <x:v>45565</x:v>
      </x:c>
      <x:c r="K1768"/>
      <x:c r="L1768"/>
      <x:c r="M1768" t="n">
        <x:v>-422</x:v>
      </x:c>
      <x:c r="N1768" t="str">
        <x:v>2024-09</x:v>
      </x:c>
      <x:c r="O1768" t="str">
        <x:v>Ausgabe</x:v>
      </x:c>
      <x:c r="P1768" t="str">
        <x:v>Ist</x:v>
      </x:c>
      <x:c r="Q1768" s="59" t="b">
        <x:v>0</x:v>
      </x:c>
      <x:c r="R1768" t="str">
        <x:v>kein_transfer</x:v>
      </x:c>
      <x:c r="S1768"/>
      <x:c r="T1768"/>
      <x:c r="U1768"/>
      <x:c r="V1768" s="59" t="b">
        <x:v>1</x:v>
      </x:c>
      <x:c r="W1768"/>
      <x:c r="X1768" t="str">
        <x:v>offen</x:v>
      </x:c>
      <x:c r="Y1768" t="str">
        <x:v>Agent-Draft; Kategorie und Person pruefen</x:v>
      </x:c>
    </x:row>
    <x:row r="1769">
      <x:c r="A1769" t="str">
        <x:v>TXN-RAW-IMP-20260516-FULLDRAFT-001753</x:v>
      </x:c>
      <x:c r="B1769" t="str">
        <x:v>RAW-IMP-20260516-FULLDRAFT-001753</x:v>
      </x:c>
      <x:c r="C1769" t="str">
        <x:v>KTO001</x:v>
      </x:c>
      <x:c r="D1769"/>
      <x:c r="E1769" t="str">
        <x:v>KAT013</x:v>
      </x:c>
      <x:c r="F1769"/>
      <x:c r="G1769"/>
      <x:c r="H1769" t="str">
        <x:v>kein_match</x:v>
      </x:c>
      <x:c r="I1769" t="str">
        <x:v>Agent-Draft: keine finale Regelentscheidung</x:v>
      </x:c>
      <x:c r="J1769" t="n">
        <x:v>45565</x:v>
      </x:c>
      <x:c r="K1769"/>
      <x:c r="L1769"/>
      <x:c r="M1769" t="n">
        <x:v>-106</x:v>
      </x:c>
      <x:c r="N1769" t="str">
        <x:v>2024-09</x:v>
      </x:c>
      <x:c r="O1769" t="str">
        <x:v>Ausgabe</x:v>
      </x:c>
      <x:c r="P1769" t="str">
        <x:v>Ist</x:v>
      </x:c>
      <x:c r="Q1769" s="59" t="b">
        <x:v>0</x:v>
      </x:c>
      <x:c r="R1769" t="str">
        <x:v>kein_transfer</x:v>
      </x:c>
      <x:c r="S1769"/>
      <x:c r="T1769"/>
      <x:c r="U1769"/>
      <x:c r="V1769" s="59" t="b">
        <x:v>1</x:v>
      </x:c>
      <x:c r="W1769"/>
      <x:c r="X1769" t="str">
        <x:v>offen</x:v>
      </x:c>
      <x:c r="Y1769" t="str">
        <x:v>Agent-Draft; Kategorie und Person pruefen</x:v>
      </x:c>
    </x:row>
    <x:row r="1770">
      <x:c r="A1770" t="str">
        <x:v>TXN-RAW-IMP-20260516-FULLDRAFT-001754</x:v>
      </x:c>
      <x:c r="B1770" t="str">
        <x:v>RAW-IMP-20260516-FULLDRAFT-001754</x:v>
      </x:c>
      <x:c r="C1770" t="str">
        <x:v>KTO001</x:v>
      </x:c>
      <x:c r="D1770"/>
      <x:c r="E1770" t="str">
        <x:v>KAT013</x:v>
      </x:c>
      <x:c r="F1770"/>
      <x:c r="G1770"/>
      <x:c r="H1770" t="str">
        <x:v>kein_match</x:v>
      </x:c>
      <x:c r="I1770" t="str">
        <x:v>Agent-Draft: keine finale Regelentscheidung</x:v>
      </x:c>
      <x:c r="J1770" t="n">
        <x:v>45565</x:v>
      </x:c>
      <x:c r="K1770"/>
      <x:c r="L1770"/>
      <x:c r="M1770" t="n">
        <x:v>-1153.94</x:v>
      </x:c>
      <x:c r="N1770" t="str">
        <x:v>2024-09</x:v>
      </x:c>
      <x:c r="O1770" t="str">
        <x:v>Ausgabe</x:v>
      </x:c>
      <x:c r="P1770" t="str">
        <x:v>Ist</x:v>
      </x:c>
      <x:c r="Q1770" s="59" t="b">
        <x:v>0</x:v>
      </x:c>
      <x:c r="R1770" t="str">
        <x:v>kein_transfer</x:v>
      </x:c>
      <x:c r="S1770"/>
      <x:c r="T1770"/>
      <x:c r="U1770"/>
      <x:c r="V1770" s="59" t="b">
        <x:v>1</x:v>
      </x:c>
      <x:c r="W1770"/>
      <x:c r="X1770" t="str">
        <x:v>offen</x:v>
      </x:c>
      <x:c r="Y1770" t="str">
        <x:v>Agent-Draft; Kategorie und Person pruefen</x:v>
      </x:c>
    </x:row>
    <x:row r="1771">
      <x:c r="A1771" t="str">
        <x:v>TXN-RAW-IMP-20260516-FULLDRAFT-001755</x:v>
      </x:c>
      <x:c r="B1771" t="str">
        <x:v>RAW-IMP-20260516-FULLDRAFT-001755</x:v>
      </x:c>
      <x:c r="C1771" t="str">
        <x:v>KTO001</x:v>
      </x:c>
      <x:c r="D1771"/>
      <x:c r="E1771" t="str">
        <x:v>KAT013</x:v>
      </x:c>
      <x:c r="F1771"/>
      <x:c r="G1771"/>
      <x:c r="H1771" t="str">
        <x:v>kein_match</x:v>
      </x:c>
      <x:c r="I1771" t="str">
        <x:v>Agent-Draft: keine finale Regelentscheidung</x:v>
      </x:c>
      <x:c r="J1771" t="n">
        <x:v>45565</x:v>
      </x:c>
      <x:c r="K1771"/>
      <x:c r="L1771"/>
      <x:c r="M1771" t="n">
        <x:v>-40</x:v>
      </x:c>
      <x:c r="N1771" t="str">
        <x:v>2024-09</x:v>
      </x:c>
      <x:c r="O1771" t="str">
        <x:v>Ausgabe</x:v>
      </x:c>
      <x:c r="P1771" t="str">
        <x:v>Ist</x:v>
      </x:c>
      <x:c r="Q1771" s="59" t="b">
        <x:v>0</x:v>
      </x:c>
      <x:c r="R1771" t="str">
        <x:v>kein_transfer</x:v>
      </x:c>
      <x:c r="S1771"/>
      <x:c r="T1771"/>
      <x:c r="U1771"/>
      <x:c r="V1771" s="59" t="b">
        <x:v>1</x:v>
      </x:c>
      <x:c r="W1771"/>
      <x:c r="X1771" t="str">
        <x:v>offen</x:v>
      </x:c>
      <x:c r="Y1771" t="str">
        <x:v>Agent-Draft; Kategorie und Person pruefen</x:v>
      </x:c>
    </x:row>
    <x:row r="1772">
      <x:c r="A1772" t="str">
        <x:v>TXN-RAW-IMP-20260516-FULLDRAFT-001756</x:v>
      </x:c>
      <x:c r="B1772" t="str">
        <x:v>RAW-IMP-20260516-FULLDRAFT-001756</x:v>
      </x:c>
      <x:c r="C1772" t="str">
        <x:v>KTO001</x:v>
      </x:c>
      <x:c r="D1772"/>
      <x:c r="E1772" t="str">
        <x:v>KAT013</x:v>
      </x:c>
      <x:c r="F1772"/>
      <x:c r="G1772"/>
      <x:c r="H1772" t="str">
        <x:v>kein_match</x:v>
      </x:c>
      <x:c r="I1772" t="str">
        <x:v>Agent-Draft: keine finale Regelentscheidung</x:v>
      </x:c>
      <x:c r="J1772" t="n">
        <x:v>45562</x:v>
      </x:c>
      <x:c r="K1772"/>
      <x:c r="L1772"/>
      <x:c r="M1772" t="n">
        <x:v>7419.74</x:v>
      </x:c>
      <x:c r="N1772" t="str">
        <x:v>2024-09</x:v>
      </x:c>
      <x:c r="O1772" t="str">
        <x:v>Einnahme</x:v>
      </x:c>
      <x:c r="P1772" t="str">
        <x:v>Ist</x:v>
      </x:c>
      <x:c r="Q1772" s="59" t="b">
        <x:v>0</x:v>
      </x:c>
      <x:c r="R1772" t="str">
        <x:v>kein_transfer</x:v>
      </x:c>
      <x:c r="S1772"/>
      <x:c r="T1772"/>
      <x:c r="U1772"/>
      <x:c r="V1772" s="59" t="b">
        <x:v>1</x:v>
      </x:c>
      <x:c r="W1772"/>
      <x:c r="X1772" t="str">
        <x:v>offen</x:v>
      </x:c>
      <x:c r="Y1772" t="str">
        <x:v>Agent-Draft; Kategorie und Person pruefen</x:v>
      </x:c>
    </x:row>
    <x:row r="1773">
      <x:c r="A1773" t="str">
        <x:v>TXN-RAW-IMP-20260516-FULLDRAFT-001757</x:v>
      </x:c>
      <x:c r="B1773" t="str">
        <x:v>RAW-IMP-20260516-FULLDRAFT-001757</x:v>
      </x:c>
      <x:c r="C1773" t="str">
        <x:v>KTO001</x:v>
      </x:c>
      <x:c r="D1773"/>
      <x:c r="E1773" t="str">
        <x:v>KAT013</x:v>
      </x:c>
      <x:c r="F1773"/>
      <x:c r="G1773"/>
      <x:c r="H1773" t="str">
        <x:v>kein_match</x:v>
      </x:c>
      <x:c r="I1773" t="str">
        <x:v>Agent-Draft: keine finale Regelentscheidung</x:v>
      </x:c>
      <x:c r="J1773" t="n">
        <x:v>45562</x:v>
      </x:c>
      <x:c r="K1773"/>
      <x:c r="L1773"/>
      <x:c r="M1773" t="n">
        <x:v>-7</x:v>
      </x:c>
      <x:c r="N1773" t="str">
        <x:v>2024-09</x:v>
      </x:c>
      <x:c r="O1773" t="str">
        <x:v>Ausgabe</x:v>
      </x:c>
      <x:c r="P1773" t="str">
        <x:v>Ist</x:v>
      </x:c>
      <x:c r="Q1773" s="59" t="b">
        <x:v>0</x:v>
      </x:c>
      <x:c r="R1773" t="str">
        <x:v>kein_transfer</x:v>
      </x:c>
      <x:c r="S1773"/>
      <x:c r="T1773"/>
      <x:c r="U1773"/>
      <x:c r="V1773" s="59" t="b">
        <x:v>1</x:v>
      </x:c>
      <x:c r="W1773"/>
      <x:c r="X1773" t="str">
        <x:v>offen</x:v>
      </x:c>
      <x:c r="Y1773" t="str">
        <x:v>Agent-Draft; Kategorie und Person pruefen</x:v>
      </x:c>
    </x:row>
    <x:row r="1774">
      <x:c r="A1774" t="str">
        <x:v>TXN-RAW-IMP-20260516-FULLDRAFT-001758</x:v>
      </x:c>
      <x:c r="B1774" t="str">
        <x:v>RAW-IMP-20260516-FULLDRAFT-001758</x:v>
      </x:c>
      <x:c r="C1774" t="str">
        <x:v>KTO001</x:v>
      </x:c>
      <x:c r="D1774"/>
      <x:c r="E1774" t="str">
        <x:v>KAT013</x:v>
      </x:c>
      <x:c r="F1774"/>
      <x:c r="G1774"/>
      <x:c r="H1774" t="str">
        <x:v>kein_match</x:v>
      </x:c>
      <x:c r="I1774" t="str">
        <x:v>Agent-Draft: keine finale Regelentscheidung</x:v>
      </x:c>
      <x:c r="J1774" t="n">
        <x:v>45560</x:v>
      </x:c>
      <x:c r="K1774"/>
      <x:c r="L1774"/>
      <x:c r="M1774" t="n">
        <x:v>-6.5</x:v>
      </x:c>
      <x:c r="N1774" t="str">
        <x:v>2024-09</x:v>
      </x:c>
      <x:c r="O1774" t="str">
        <x:v>Ausgabe</x:v>
      </x:c>
      <x:c r="P1774" t="str">
        <x:v>Ist</x:v>
      </x:c>
      <x:c r="Q1774" s="59" t="b">
        <x:v>0</x:v>
      </x:c>
      <x:c r="R1774" t="str">
        <x:v>kein_transfer</x:v>
      </x:c>
      <x:c r="S1774"/>
      <x:c r="T1774"/>
      <x:c r="U1774"/>
      <x:c r="V1774" s="59" t="b">
        <x:v>1</x:v>
      </x:c>
      <x:c r="W1774"/>
      <x:c r="X1774" t="str">
        <x:v>offen</x:v>
      </x:c>
      <x:c r="Y1774" t="str">
        <x:v>Agent-Draft; Kategorie und Person pruefen</x:v>
      </x:c>
    </x:row>
    <x:row r="1775">
      <x:c r="A1775" t="str">
        <x:v>TXN-RAW-IMP-20260516-FULLDRAFT-001759</x:v>
      </x:c>
      <x:c r="B1775" t="str">
        <x:v>RAW-IMP-20260516-FULLDRAFT-001759</x:v>
      </x:c>
      <x:c r="C1775" t="str">
        <x:v>KTO001</x:v>
      </x:c>
      <x:c r="D1775"/>
      <x:c r="E1775" t="str">
        <x:v>KAT013</x:v>
      </x:c>
      <x:c r="F1775"/>
      <x:c r="G1775"/>
      <x:c r="H1775" t="str">
        <x:v>kein_match</x:v>
      </x:c>
      <x:c r="I1775" t="str">
        <x:v>Agent-Draft: keine finale Regelentscheidung</x:v>
      </x:c>
      <x:c r="J1775" t="n">
        <x:v>45560</x:v>
      </x:c>
      <x:c r="K1775"/>
      <x:c r="L1775"/>
      <x:c r="M1775" t="n">
        <x:v>-39.99</x:v>
      </x:c>
      <x:c r="N1775" t="str">
        <x:v>2024-09</x:v>
      </x:c>
      <x:c r="O1775" t="str">
        <x:v>Ausgabe</x:v>
      </x:c>
      <x:c r="P1775" t="str">
        <x:v>Ist</x:v>
      </x:c>
      <x:c r="Q1775" s="59" t="b">
        <x:v>0</x:v>
      </x:c>
      <x:c r="R1775" t="str">
        <x:v>kein_transfer</x:v>
      </x:c>
      <x:c r="S1775"/>
      <x:c r="T1775"/>
      <x:c r="U1775"/>
      <x:c r="V1775" s="59" t="b">
        <x:v>1</x:v>
      </x:c>
      <x:c r="W1775"/>
      <x:c r="X1775" t="str">
        <x:v>offen</x:v>
      </x:c>
      <x:c r="Y1775" t="str">
        <x:v>Agent-Draft; Kategorie und Person pruefen</x:v>
      </x:c>
    </x:row>
    <x:row r="1776">
      <x:c r="A1776" t="str">
        <x:v>TXN-RAW-IMP-20260516-FULLDRAFT-001760</x:v>
      </x:c>
      <x:c r="B1776" t="str">
        <x:v>RAW-IMP-20260516-FULLDRAFT-001760</x:v>
      </x:c>
      <x:c r="C1776" t="str">
        <x:v>KTO001</x:v>
      </x:c>
      <x:c r="D1776"/>
      <x:c r="E1776" t="str">
        <x:v>KAT013</x:v>
      </x:c>
      <x:c r="F1776"/>
      <x:c r="G1776"/>
      <x:c r="H1776" t="str">
        <x:v>kein_match</x:v>
      </x:c>
      <x:c r="I1776" t="str">
        <x:v>Agent-Draft: keine finale Regelentscheidung</x:v>
      </x:c>
      <x:c r="J1776" t="n">
        <x:v>45559</x:v>
      </x:c>
      <x:c r="K1776"/>
      <x:c r="L1776"/>
      <x:c r="M1776" t="n">
        <x:v>159.28</x:v>
      </x:c>
      <x:c r="N1776" t="str">
        <x:v>2024-09</x:v>
      </x:c>
      <x:c r="O1776" t="str">
        <x:v>Einnahme</x:v>
      </x:c>
      <x:c r="P1776" t="str">
        <x:v>Ist</x:v>
      </x:c>
      <x:c r="Q1776" s="59" t="b">
        <x:v>0</x:v>
      </x:c>
      <x:c r="R1776" t="str">
        <x:v>kein_transfer</x:v>
      </x:c>
      <x:c r="S1776"/>
      <x:c r="T1776"/>
      <x:c r="U1776"/>
      <x:c r="V1776" s="59" t="b">
        <x:v>1</x:v>
      </x:c>
      <x:c r="W1776"/>
      <x:c r="X1776" t="str">
        <x:v>offen</x:v>
      </x:c>
      <x:c r="Y1776" t="str">
        <x:v>Agent-Draft; Kategorie und Person pruefen</x:v>
      </x:c>
    </x:row>
    <x:row r="1777">
      <x:c r="A1777" t="str">
        <x:v>TXN-RAW-IMP-20260516-FULLDRAFT-001761</x:v>
      </x:c>
      <x:c r="B1777" t="str">
        <x:v>RAW-IMP-20260516-FULLDRAFT-001761</x:v>
      </x:c>
      <x:c r="C1777" t="str">
        <x:v>KTO001</x:v>
      </x:c>
      <x:c r="D1777"/>
      <x:c r="E1777" t="str">
        <x:v>KAT013</x:v>
      </x:c>
      <x:c r="F1777"/>
      <x:c r="G1777"/>
      <x:c r="H1777" t="str">
        <x:v>kein_match</x:v>
      </x:c>
      <x:c r="I1777" t="str">
        <x:v>Agent-Draft: keine finale Regelentscheidung</x:v>
      </x:c>
      <x:c r="J1777" t="n">
        <x:v>45559</x:v>
      </x:c>
      <x:c r="K1777"/>
      <x:c r="L1777"/>
      <x:c r="M1777" t="n">
        <x:v>-77.64</x:v>
      </x:c>
      <x:c r="N1777" t="str">
        <x:v>2024-09</x:v>
      </x:c>
      <x:c r="O1777" t="str">
        <x:v>Ausgabe</x:v>
      </x:c>
      <x:c r="P1777" t="str">
        <x:v>Ist</x:v>
      </x:c>
      <x:c r="Q1777" s="59" t="b">
        <x:v>0</x:v>
      </x:c>
      <x:c r="R1777" t="str">
        <x:v>kein_transfer</x:v>
      </x:c>
      <x:c r="S1777"/>
      <x:c r="T1777"/>
      <x:c r="U1777"/>
      <x:c r="V1777" s="59" t="b">
        <x:v>1</x:v>
      </x:c>
      <x:c r="W1777"/>
      <x:c r="X1777" t="str">
        <x:v>offen</x:v>
      </x:c>
      <x:c r="Y1777" t="str">
        <x:v>Agent-Draft; Kategorie und Person pruefen</x:v>
      </x:c>
    </x:row>
    <x:row r="1778">
      <x:c r="A1778" t="str">
        <x:v>TXN-RAW-IMP-20260516-FULLDRAFT-001762</x:v>
      </x:c>
      <x:c r="B1778" t="str">
        <x:v>RAW-IMP-20260516-FULLDRAFT-001762</x:v>
      </x:c>
      <x:c r="C1778" t="str">
        <x:v>KTO001</x:v>
      </x:c>
      <x:c r="D1778"/>
      <x:c r="E1778" t="str">
        <x:v>KAT013</x:v>
      </x:c>
      <x:c r="F1778"/>
      <x:c r="G1778"/>
      <x:c r="H1778" t="str">
        <x:v>kein_match</x:v>
      </x:c>
      <x:c r="I1778" t="str">
        <x:v>Agent-Draft: keine finale Regelentscheidung</x:v>
      </x:c>
      <x:c r="J1778" t="n">
        <x:v>45559</x:v>
      </x:c>
      <x:c r="K1778"/>
      <x:c r="L1778"/>
      <x:c r="M1778" t="n">
        <x:v>-8</x:v>
      </x:c>
      <x:c r="N1778" t="str">
        <x:v>2024-09</x:v>
      </x:c>
      <x:c r="O1778" t="str">
        <x:v>Ausgabe</x:v>
      </x:c>
      <x:c r="P1778" t="str">
        <x:v>Ist</x:v>
      </x:c>
      <x:c r="Q1778" s="59" t="b">
        <x:v>0</x:v>
      </x:c>
      <x:c r="R1778" t="str">
        <x:v>kein_transfer</x:v>
      </x:c>
      <x:c r="S1778"/>
      <x:c r="T1778"/>
      <x:c r="U1778"/>
      <x:c r="V1778" s="59" t="b">
        <x:v>1</x:v>
      </x:c>
      <x:c r="W1778"/>
      <x:c r="X1778" t="str">
        <x:v>offen</x:v>
      </x:c>
      <x:c r="Y1778" t="str">
        <x:v>Agent-Draft; Kategorie und Person pruefen</x:v>
      </x:c>
    </x:row>
    <x:row r="1779">
      <x:c r="A1779" t="str">
        <x:v>TXN-RAW-IMP-20260516-FULLDRAFT-001763</x:v>
      </x:c>
      <x:c r="B1779" t="str">
        <x:v>RAW-IMP-20260516-FULLDRAFT-001763</x:v>
      </x:c>
      <x:c r="C1779" t="str">
        <x:v>KTO001</x:v>
      </x:c>
      <x:c r="D1779"/>
      <x:c r="E1779" t="str">
        <x:v>KAT013</x:v>
      </x:c>
      <x:c r="F1779"/>
      <x:c r="G1779"/>
      <x:c r="H1779" t="str">
        <x:v>kein_match</x:v>
      </x:c>
      <x:c r="I1779" t="str">
        <x:v>Agent-Draft: keine finale Regelentscheidung</x:v>
      </x:c>
      <x:c r="J1779" t="n">
        <x:v>45558</x:v>
      </x:c>
      <x:c r="K1779"/>
      <x:c r="L1779"/>
      <x:c r="M1779" t="n">
        <x:v>20</x:v>
      </x:c>
      <x:c r="N1779" t="str">
        <x:v>2024-09</x:v>
      </x:c>
      <x:c r="O1779" t="str">
        <x:v>Einnahme</x:v>
      </x:c>
      <x:c r="P1779" t="str">
        <x:v>Ist</x:v>
      </x:c>
      <x:c r="Q1779" s="59" t="b">
        <x:v>0</x:v>
      </x:c>
      <x:c r="R1779" t="str">
        <x:v>kein_transfer</x:v>
      </x:c>
      <x:c r="S1779"/>
      <x:c r="T1779"/>
      <x:c r="U1779"/>
      <x:c r="V1779" s="59" t="b">
        <x:v>1</x:v>
      </x:c>
      <x:c r="W1779"/>
      <x:c r="X1779" t="str">
        <x:v>offen</x:v>
      </x:c>
      <x:c r="Y1779" t="str">
        <x:v>Agent-Draft; Kategorie und Person pruefen</x:v>
      </x:c>
    </x:row>
    <x:row r="1780">
      <x:c r="A1780" t="str">
        <x:v>TXN-RAW-IMP-20260516-FULLDRAFT-001764</x:v>
      </x:c>
      <x:c r="B1780" t="str">
        <x:v>RAW-IMP-20260516-FULLDRAFT-001764</x:v>
      </x:c>
      <x:c r="C1780" t="str">
        <x:v>KTO001</x:v>
      </x:c>
      <x:c r="D1780"/>
      <x:c r="E1780" t="str">
        <x:v>KAT013</x:v>
      </x:c>
      <x:c r="F1780"/>
      <x:c r="G1780"/>
      <x:c r="H1780" t="str">
        <x:v>kein_match</x:v>
      </x:c>
      <x:c r="I1780" t="str">
        <x:v>Agent-Draft: keine finale Regelentscheidung</x:v>
      </x:c>
      <x:c r="J1780" t="n">
        <x:v>45558</x:v>
      </x:c>
      <x:c r="K1780"/>
      <x:c r="L1780"/>
      <x:c r="M1780" t="n">
        <x:v>25</x:v>
      </x:c>
      <x:c r="N1780" t="str">
        <x:v>2024-09</x:v>
      </x:c>
      <x:c r="O1780" t="str">
        <x:v>Einnahme</x:v>
      </x:c>
      <x:c r="P1780" t="str">
        <x:v>Ist</x:v>
      </x:c>
      <x:c r="Q1780" s="59" t="b">
        <x:v>0</x:v>
      </x:c>
      <x:c r="R1780" t="str">
        <x:v>kein_transfer</x:v>
      </x:c>
      <x:c r="S1780"/>
      <x:c r="T1780"/>
      <x:c r="U1780"/>
      <x:c r="V1780" s="59" t="b">
        <x:v>1</x:v>
      </x:c>
      <x:c r="W1780"/>
      <x:c r="X1780" t="str">
        <x:v>offen</x:v>
      </x:c>
      <x:c r="Y1780" t="str">
        <x:v>Agent-Draft; Kategorie und Person pruefen</x:v>
      </x:c>
    </x:row>
    <x:row r="1781">
      <x:c r="A1781" t="str">
        <x:v>TXN-RAW-IMP-20260516-FULLDRAFT-001765</x:v>
      </x:c>
      <x:c r="B1781" t="str">
        <x:v>RAW-IMP-20260516-FULLDRAFT-001765</x:v>
      </x:c>
      <x:c r="C1781" t="str">
        <x:v>KTO001</x:v>
      </x:c>
      <x:c r="D1781"/>
      <x:c r="E1781" t="str">
        <x:v>KAT013</x:v>
      </x:c>
      <x:c r="F1781"/>
      <x:c r="G1781"/>
      <x:c r="H1781" t="str">
        <x:v>kein_match</x:v>
      </x:c>
      <x:c r="I1781" t="str">
        <x:v>Agent-Draft: keine finale Regelentscheidung</x:v>
      </x:c>
      <x:c r="J1781" t="n">
        <x:v>45558</x:v>
      </x:c>
      <x:c r="K1781"/>
      <x:c r="L1781"/>
      <x:c r="M1781" t="n">
        <x:v>-17.4</x:v>
      </x:c>
      <x:c r="N1781" t="str">
        <x:v>2024-09</x:v>
      </x:c>
      <x:c r="O1781" t="str">
        <x:v>Ausgabe</x:v>
      </x:c>
      <x:c r="P1781" t="str">
        <x:v>Ist</x:v>
      </x:c>
      <x:c r="Q1781" s="59" t="b">
        <x:v>0</x:v>
      </x:c>
      <x:c r="R1781" t="str">
        <x:v>kein_transfer</x:v>
      </x:c>
      <x:c r="S1781"/>
      <x:c r="T1781"/>
      <x:c r="U1781"/>
      <x:c r="V1781" s="59" t="b">
        <x:v>1</x:v>
      </x:c>
      <x:c r="W1781"/>
      <x:c r="X1781" t="str">
        <x:v>offen</x:v>
      </x:c>
      <x:c r="Y1781" t="str">
        <x:v>Agent-Draft; Kategorie und Person pruefen</x:v>
      </x:c>
    </x:row>
    <x:row r="1782">
      <x:c r="A1782" t="str">
        <x:v>TXN-RAW-IMP-20260516-FULLDRAFT-001766</x:v>
      </x:c>
      <x:c r="B1782" t="str">
        <x:v>RAW-IMP-20260516-FULLDRAFT-001766</x:v>
      </x:c>
      <x:c r="C1782" t="str">
        <x:v>KTO001</x:v>
      </x:c>
      <x:c r="D1782"/>
      <x:c r="E1782" t="str">
        <x:v>KAT013</x:v>
      </x:c>
      <x:c r="F1782"/>
      <x:c r="G1782"/>
      <x:c r="H1782" t="str">
        <x:v>kein_match</x:v>
      </x:c>
      <x:c r="I1782" t="str">
        <x:v>Agent-Draft: keine finale Regelentscheidung</x:v>
      </x:c>
      <x:c r="J1782" t="n">
        <x:v>45558</x:v>
      </x:c>
      <x:c r="K1782"/>
      <x:c r="L1782"/>
      <x:c r="M1782" t="n">
        <x:v>-89.19</x:v>
      </x:c>
      <x:c r="N1782" t="str">
        <x:v>2024-09</x:v>
      </x:c>
      <x:c r="O1782" t="str">
        <x:v>Ausgabe</x:v>
      </x:c>
      <x:c r="P1782" t="str">
        <x:v>Ist</x:v>
      </x:c>
      <x:c r="Q1782" s="59" t="b">
        <x:v>0</x:v>
      </x:c>
      <x:c r="R1782" t="str">
        <x:v>kein_transfer</x:v>
      </x:c>
      <x:c r="S1782"/>
      <x:c r="T1782"/>
      <x:c r="U1782"/>
      <x:c r="V1782" s="59" t="b">
        <x:v>1</x:v>
      </x:c>
      <x:c r="W1782"/>
      <x:c r="X1782" t="str">
        <x:v>offen</x:v>
      </x:c>
      <x:c r="Y1782" t="str">
        <x:v>Agent-Draft; Kategorie und Person pruefen</x:v>
      </x:c>
    </x:row>
    <x:row r="1783">
      <x:c r="A1783" t="str">
        <x:v>TXN-RAW-IMP-20260516-FULLDRAFT-001767</x:v>
      </x:c>
      <x:c r="B1783" t="str">
        <x:v>RAW-IMP-20260516-FULLDRAFT-001767</x:v>
      </x:c>
      <x:c r="C1783" t="str">
        <x:v>KTO001</x:v>
      </x:c>
      <x:c r="D1783"/>
      <x:c r="E1783" t="str">
        <x:v>KAT013</x:v>
      </x:c>
      <x:c r="F1783"/>
      <x:c r="G1783"/>
      <x:c r="H1783" t="str">
        <x:v>kein_match</x:v>
      </x:c>
      <x:c r="I1783" t="str">
        <x:v>Agent-Draft: keine finale Regelentscheidung</x:v>
      </x:c>
      <x:c r="J1783" t="n">
        <x:v>45558</x:v>
      </x:c>
      <x:c r="K1783"/>
      <x:c r="L1783"/>
      <x:c r="M1783" t="n">
        <x:v>-9</x:v>
      </x:c>
      <x:c r="N1783" t="str">
        <x:v>2024-09</x:v>
      </x:c>
      <x:c r="O1783" t="str">
        <x:v>Ausgabe</x:v>
      </x:c>
      <x:c r="P1783" t="str">
        <x:v>Ist</x:v>
      </x:c>
      <x:c r="Q1783" s="59" t="b">
        <x:v>0</x:v>
      </x:c>
      <x:c r="R1783" t="str">
        <x:v>kein_transfer</x:v>
      </x:c>
      <x:c r="S1783"/>
      <x:c r="T1783"/>
      <x:c r="U1783"/>
      <x:c r="V1783" s="59" t="b">
        <x:v>1</x:v>
      </x:c>
      <x:c r="W1783"/>
      <x:c r="X1783" t="str">
        <x:v>offen</x:v>
      </x:c>
      <x:c r="Y1783" t="str">
        <x:v>Agent-Draft; Kategorie und Person pruefen</x:v>
      </x:c>
    </x:row>
    <x:row r="1784">
      <x:c r="A1784" t="str">
        <x:v>TXN-RAW-IMP-20260516-FULLDRAFT-001768</x:v>
      </x:c>
      <x:c r="B1784" t="str">
        <x:v>RAW-IMP-20260516-FULLDRAFT-001768</x:v>
      </x:c>
      <x:c r="C1784" t="str">
        <x:v>KTO001</x:v>
      </x:c>
      <x:c r="D1784"/>
      <x:c r="E1784" t="str">
        <x:v>KAT013</x:v>
      </x:c>
      <x:c r="F1784"/>
      <x:c r="G1784"/>
      <x:c r="H1784" t="str">
        <x:v>kein_match</x:v>
      </x:c>
      <x:c r="I1784" t="str">
        <x:v>Agent-Draft: keine finale Regelentscheidung</x:v>
      </x:c>
      <x:c r="J1784" t="n">
        <x:v>45558</x:v>
      </x:c>
      <x:c r="K1784"/>
      <x:c r="L1784"/>
      <x:c r="M1784" t="n">
        <x:v>-2.99</x:v>
      </x:c>
      <x:c r="N1784" t="str">
        <x:v>2024-09</x:v>
      </x:c>
      <x:c r="O1784" t="str">
        <x:v>Ausgabe</x:v>
      </x:c>
      <x:c r="P1784" t="str">
        <x:v>Ist</x:v>
      </x:c>
      <x:c r="Q1784" s="59" t="b">
        <x:v>0</x:v>
      </x:c>
      <x:c r="R1784" t="str">
        <x:v>kein_transfer</x:v>
      </x:c>
      <x:c r="S1784"/>
      <x:c r="T1784"/>
      <x:c r="U1784"/>
      <x:c r="V1784" s="59" t="b">
        <x:v>1</x:v>
      </x:c>
      <x:c r="W1784"/>
      <x:c r="X1784" t="str">
        <x:v>offen</x:v>
      </x:c>
      <x:c r="Y1784" t="str">
        <x:v>Agent-Draft; Kategorie und Person pruefen</x:v>
      </x:c>
    </x:row>
    <x:row r="1785">
      <x:c r="A1785" t="str">
        <x:v>TXN-RAW-IMP-20260516-FULLDRAFT-001769</x:v>
      </x:c>
      <x:c r="B1785" t="str">
        <x:v>RAW-IMP-20260516-FULLDRAFT-001769</x:v>
      </x:c>
      <x:c r="C1785" t="str">
        <x:v>KTO001</x:v>
      </x:c>
      <x:c r="D1785"/>
      <x:c r="E1785" t="str">
        <x:v>KAT013</x:v>
      </x:c>
      <x:c r="F1785"/>
      <x:c r="G1785"/>
      <x:c r="H1785" t="str">
        <x:v>kein_match</x:v>
      </x:c>
      <x:c r="I1785" t="str">
        <x:v>Agent-Draft: keine finale Regelentscheidung</x:v>
      </x:c>
      <x:c r="J1785" t="n">
        <x:v>45555</x:v>
      </x:c>
      <x:c r="K1785"/>
      <x:c r="L1785"/>
      <x:c r="M1785" t="n">
        <x:v>-74.54</x:v>
      </x:c>
      <x:c r="N1785" t="str">
        <x:v>2024-09</x:v>
      </x:c>
      <x:c r="O1785" t="str">
        <x:v>Ausgabe</x:v>
      </x:c>
      <x:c r="P1785" t="str">
        <x:v>Ist</x:v>
      </x:c>
      <x:c r="Q1785" s="59" t="b">
        <x:v>0</x:v>
      </x:c>
      <x:c r="R1785" t="str">
        <x:v>kein_transfer</x:v>
      </x:c>
      <x:c r="S1785"/>
      <x:c r="T1785"/>
      <x:c r="U1785"/>
      <x:c r="V1785" s="59" t="b">
        <x:v>1</x:v>
      </x:c>
      <x:c r="W1785"/>
      <x:c r="X1785" t="str">
        <x:v>offen</x:v>
      </x:c>
      <x:c r="Y1785" t="str">
        <x:v>Agent-Draft; Kategorie und Person pruefen</x:v>
      </x:c>
    </x:row>
    <x:row r="1786">
      <x:c r="A1786" t="str">
        <x:v>TXN-RAW-IMP-20260516-FULLDRAFT-001770</x:v>
      </x:c>
      <x:c r="B1786" t="str">
        <x:v>RAW-IMP-20260516-FULLDRAFT-001770</x:v>
      </x:c>
      <x:c r="C1786" t="str">
        <x:v>KTO001</x:v>
      </x:c>
      <x:c r="D1786"/>
      <x:c r="E1786" t="str">
        <x:v>KAT013</x:v>
      </x:c>
      <x:c r="F1786"/>
      <x:c r="G1786"/>
      <x:c r="H1786" t="str">
        <x:v>kein_match</x:v>
      </x:c>
      <x:c r="I1786" t="str">
        <x:v>Agent-Draft: keine finale Regelentscheidung</x:v>
      </x:c>
      <x:c r="J1786" t="n">
        <x:v>45554</x:v>
      </x:c>
      <x:c r="K1786"/>
      <x:c r="L1786"/>
      <x:c r="M1786" t="n">
        <x:v>-6.99</x:v>
      </x:c>
      <x:c r="N1786" t="str">
        <x:v>2024-09</x:v>
      </x:c>
      <x:c r="O1786" t="str">
        <x:v>Ausgabe</x:v>
      </x:c>
      <x:c r="P1786" t="str">
        <x:v>Ist</x:v>
      </x:c>
      <x:c r="Q1786" s="59" t="b">
        <x:v>0</x:v>
      </x:c>
      <x:c r="R1786" t="str">
        <x:v>kein_transfer</x:v>
      </x:c>
      <x:c r="S1786"/>
      <x:c r="T1786"/>
      <x:c r="U1786"/>
      <x:c r="V1786" s="59" t="b">
        <x:v>1</x:v>
      </x:c>
      <x:c r="W1786"/>
      <x:c r="X1786" t="str">
        <x:v>offen</x:v>
      </x:c>
      <x:c r="Y1786" t="str">
        <x:v>Agent-Draft; Kategorie und Person pruefen</x:v>
      </x:c>
    </x:row>
    <x:row r="1787">
      <x:c r="A1787" t="str">
        <x:v>TXN-RAW-IMP-20260516-FULLDRAFT-001771</x:v>
      </x:c>
      <x:c r="B1787" t="str">
        <x:v>RAW-IMP-20260516-FULLDRAFT-001771</x:v>
      </x:c>
      <x:c r="C1787" t="str">
        <x:v>KTO001</x:v>
      </x:c>
      <x:c r="D1787"/>
      <x:c r="E1787" t="str">
        <x:v>KAT013</x:v>
      </x:c>
      <x:c r="F1787"/>
      <x:c r="G1787"/>
      <x:c r="H1787" t="str">
        <x:v>kein_match</x:v>
      </x:c>
      <x:c r="I1787" t="str">
        <x:v>Agent-Draft: keine finale Regelentscheidung</x:v>
      </x:c>
      <x:c r="J1787" t="n">
        <x:v>45554</x:v>
      </x:c>
      <x:c r="K1787"/>
      <x:c r="L1787"/>
      <x:c r="M1787" t="n">
        <x:v>-9.99</x:v>
      </x:c>
      <x:c r="N1787" t="str">
        <x:v>2024-09</x:v>
      </x:c>
      <x:c r="O1787" t="str">
        <x:v>Ausgabe</x:v>
      </x:c>
      <x:c r="P1787" t="str">
        <x:v>Ist</x:v>
      </x:c>
      <x:c r="Q1787" s="59" t="b">
        <x:v>0</x:v>
      </x:c>
      <x:c r="R1787" t="str">
        <x:v>kein_transfer</x:v>
      </x:c>
      <x:c r="S1787"/>
      <x:c r="T1787"/>
      <x:c r="U1787"/>
      <x:c r="V1787" s="59" t="b">
        <x:v>1</x:v>
      </x:c>
      <x:c r="W1787"/>
      <x:c r="X1787" t="str">
        <x:v>offen</x:v>
      </x:c>
      <x:c r="Y1787" t="str">
        <x:v>Agent-Draft; Kategorie und Person pruefen</x:v>
      </x:c>
    </x:row>
    <x:row r="1788">
      <x:c r="A1788" t="str">
        <x:v>TXN-RAW-IMP-20260516-FULLDRAFT-001772</x:v>
      </x:c>
      <x:c r="B1788" t="str">
        <x:v>RAW-IMP-20260516-FULLDRAFT-001772</x:v>
      </x:c>
      <x:c r="C1788" t="str">
        <x:v>KTO001</x:v>
      </x:c>
      <x:c r="D1788"/>
      <x:c r="E1788" t="str">
        <x:v>KAT013</x:v>
      </x:c>
      <x:c r="F1788"/>
      <x:c r="G1788"/>
      <x:c r="H1788" t="str">
        <x:v>kein_match</x:v>
      </x:c>
      <x:c r="I1788" t="str">
        <x:v>Agent-Draft: keine finale Regelentscheidung</x:v>
      </x:c>
      <x:c r="J1788" t="n">
        <x:v>45553</x:v>
      </x:c>
      <x:c r="K1788"/>
      <x:c r="L1788"/>
      <x:c r="M1788" t="n">
        <x:v>-7</x:v>
      </x:c>
      <x:c r="N1788" t="str">
        <x:v>2024-09</x:v>
      </x:c>
      <x:c r="O1788" t="str">
        <x:v>Ausgabe</x:v>
      </x:c>
      <x:c r="P1788" t="str">
        <x:v>Ist</x:v>
      </x:c>
      <x:c r="Q1788" s="59" t="b">
        <x:v>0</x:v>
      </x:c>
      <x:c r="R1788" t="str">
        <x:v>kein_transfer</x:v>
      </x:c>
      <x:c r="S1788"/>
      <x:c r="T1788"/>
      <x:c r="U1788"/>
      <x:c r="V1788" s="59" t="b">
        <x:v>1</x:v>
      </x:c>
      <x:c r="W1788"/>
      <x:c r="X1788" t="str">
        <x:v>offen</x:v>
      </x:c>
      <x:c r="Y1788" t="str">
        <x:v>Agent-Draft; Kategorie und Person pruefen</x:v>
      </x:c>
    </x:row>
    <x:row r="1789">
      <x:c r="A1789" t="str">
        <x:v>TXN-RAW-IMP-20260516-FULLDRAFT-001773</x:v>
      </x:c>
      <x:c r="B1789" t="str">
        <x:v>RAW-IMP-20260516-FULLDRAFT-001773</x:v>
      </x:c>
      <x:c r="C1789" t="str">
        <x:v>KTO001</x:v>
      </x:c>
      <x:c r="D1789"/>
      <x:c r="E1789" t="str">
        <x:v>KAT013</x:v>
      </x:c>
      <x:c r="F1789"/>
      <x:c r="G1789"/>
      <x:c r="H1789" t="str">
        <x:v>kein_match</x:v>
      </x:c>
      <x:c r="I1789" t="str">
        <x:v>Agent-Draft: keine finale Regelentscheidung</x:v>
      </x:c>
      <x:c r="J1789" t="n">
        <x:v>45552</x:v>
      </x:c>
      <x:c r="K1789"/>
      <x:c r="L1789"/>
      <x:c r="M1789" t="n">
        <x:v>-57.25</x:v>
      </x:c>
      <x:c r="N1789" t="str">
        <x:v>2024-09</x:v>
      </x:c>
      <x:c r="O1789" t="str">
        <x:v>Ausgabe</x:v>
      </x:c>
      <x:c r="P1789" t="str">
        <x:v>Ist</x:v>
      </x:c>
      <x:c r="Q1789" s="59" t="b">
        <x:v>0</x:v>
      </x:c>
      <x:c r="R1789" t="str">
        <x:v>kein_transfer</x:v>
      </x:c>
      <x:c r="S1789"/>
      <x:c r="T1789"/>
      <x:c r="U1789"/>
      <x:c r="V1789" s="59" t="b">
        <x:v>1</x:v>
      </x:c>
      <x:c r="W1789"/>
      <x:c r="X1789" t="str">
        <x:v>offen</x:v>
      </x:c>
      <x:c r="Y1789" t="str">
        <x:v>Agent-Draft; Kategorie und Person pruefen</x:v>
      </x:c>
    </x:row>
    <x:row r="1790">
      <x:c r="A1790" t="str">
        <x:v>TXN-RAW-IMP-20260516-FULLDRAFT-001774</x:v>
      </x:c>
      <x:c r="B1790" t="str">
        <x:v>RAW-IMP-20260516-FULLDRAFT-001774</x:v>
      </x:c>
      <x:c r="C1790" t="str">
        <x:v>KTO001</x:v>
      </x:c>
      <x:c r="D1790"/>
      <x:c r="E1790" t="str">
        <x:v>KAT013</x:v>
      </x:c>
      <x:c r="F1790"/>
      <x:c r="G1790"/>
      <x:c r="H1790" t="str">
        <x:v>kein_match</x:v>
      </x:c>
      <x:c r="I1790" t="str">
        <x:v>Agent-Draft: keine finale Regelentscheidung</x:v>
      </x:c>
      <x:c r="J1790" t="n">
        <x:v>45552</x:v>
      </x:c>
      <x:c r="K1790"/>
      <x:c r="L1790"/>
      <x:c r="M1790" t="n">
        <x:v>-3</x:v>
      </x:c>
      <x:c r="N1790" t="str">
        <x:v>2024-09</x:v>
      </x:c>
      <x:c r="O1790" t="str">
        <x:v>Ausgabe</x:v>
      </x:c>
      <x:c r="P1790" t="str">
        <x:v>Ist</x:v>
      </x:c>
      <x:c r="Q1790" s="59" t="b">
        <x:v>0</x:v>
      </x:c>
      <x:c r="R1790" t="str">
        <x:v>kein_transfer</x:v>
      </x:c>
      <x:c r="S1790"/>
      <x:c r="T1790"/>
      <x:c r="U1790"/>
      <x:c r="V1790" s="59" t="b">
        <x:v>1</x:v>
      </x:c>
      <x:c r="W1790"/>
      <x:c r="X1790" t="str">
        <x:v>offen</x:v>
      </x:c>
      <x:c r="Y1790" t="str">
        <x:v>Agent-Draft; Kategorie und Person pruefen</x:v>
      </x:c>
    </x:row>
    <x:row r="1791">
      <x:c r="A1791" t="str">
        <x:v>TXN-RAW-IMP-20260516-FULLDRAFT-001775</x:v>
      </x:c>
      <x:c r="B1791" t="str">
        <x:v>RAW-IMP-20260516-FULLDRAFT-001775</x:v>
      </x:c>
      <x:c r="C1791" t="str">
        <x:v>KTO001</x:v>
      </x:c>
      <x:c r="D1791"/>
      <x:c r="E1791" t="str">
        <x:v>KAT013</x:v>
      </x:c>
      <x:c r="F1791"/>
      <x:c r="G1791"/>
      <x:c r="H1791" t="str">
        <x:v>kein_match</x:v>
      </x:c>
      <x:c r="I1791" t="str">
        <x:v>Agent-Draft: keine finale Regelentscheidung</x:v>
      </x:c>
      <x:c r="J1791" t="n">
        <x:v>45552</x:v>
      </x:c>
      <x:c r="K1791"/>
      <x:c r="L1791"/>
      <x:c r="M1791" t="n">
        <x:v>-1.25</x:v>
      </x:c>
      <x:c r="N1791" t="str">
        <x:v>2024-09</x:v>
      </x:c>
      <x:c r="O1791" t="str">
        <x:v>Ausgabe</x:v>
      </x:c>
      <x:c r="P1791" t="str">
        <x:v>Ist</x:v>
      </x:c>
      <x:c r="Q1791" s="59" t="b">
        <x:v>0</x:v>
      </x:c>
      <x:c r="R1791" t="str">
        <x:v>kein_transfer</x:v>
      </x:c>
      <x:c r="S1791"/>
      <x:c r="T1791"/>
      <x:c r="U1791"/>
      <x:c r="V1791" s="59" t="b">
        <x:v>1</x:v>
      </x:c>
      <x:c r="W1791"/>
      <x:c r="X1791" t="str">
        <x:v>offen</x:v>
      </x:c>
      <x:c r="Y1791" t="str">
        <x:v>Agent-Draft; Kategorie und Person pruefen</x:v>
      </x:c>
    </x:row>
    <x:row r="1792">
      <x:c r="A1792" t="str">
        <x:v>TXN-RAW-IMP-20260516-FULLDRAFT-001776</x:v>
      </x:c>
      <x:c r="B1792" t="str">
        <x:v>RAW-IMP-20260516-FULLDRAFT-001776</x:v>
      </x:c>
      <x:c r="C1792" t="str">
        <x:v>KTO001</x:v>
      </x:c>
      <x:c r="D1792"/>
      <x:c r="E1792" t="str">
        <x:v>KAT013</x:v>
      </x:c>
      <x:c r="F1792"/>
      <x:c r="G1792"/>
      <x:c r="H1792" t="str">
        <x:v>kein_match</x:v>
      </x:c>
      <x:c r="I1792" t="str">
        <x:v>Agent-Draft: keine finale Regelentscheidung</x:v>
      </x:c>
      <x:c r="J1792" t="n">
        <x:v>45552</x:v>
      </x:c>
      <x:c r="K1792"/>
      <x:c r="L1792"/>
      <x:c r="M1792" t="n">
        <x:v>-29.96</x:v>
      </x:c>
      <x:c r="N1792" t="str">
        <x:v>2024-09</x:v>
      </x:c>
      <x:c r="O1792" t="str">
        <x:v>Ausgabe</x:v>
      </x:c>
      <x:c r="P1792" t="str">
        <x:v>Ist</x:v>
      </x:c>
      <x:c r="Q1792" s="59" t="b">
        <x:v>0</x:v>
      </x:c>
      <x:c r="R1792" t="str">
        <x:v>kein_transfer</x:v>
      </x:c>
      <x:c r="S1792"/>
      <x:c r="T1792"/>
      <x:c r="U1792"/>
      <x:c r="V1792" s="59" t="b">
        <x:v>1</x:v>
      </x:c>
      <x:c r="W1792"/>
      <x:c r="X1792" t="str">
        <x:v>offen</x:v>
      </x:c>
      <x:c r="Y1792" t="str">
        <x:v>Agent-Draft; Kategorie und Person pruefen</x:v>
      </x:c>
    </x:row>
    <x:row r="1793">
      <x:c r="A1793" t="str">
        <x:v>TXN-RAW-IMP-20260516-FULLDRAFT-001777</x:v>
      </x:c>
      <x:c r="B1793" t="str">
        <x:v>RAW-IMP-20260516-FULLDRAFT-001777</x:v>
      </x:c>
      <x:c r="C1793" t="str">
        <x:v>KTO001</x:v>
      </x:c>
      <x:c r="D1793"/>
      <x:c r="E1793" t="str">
        <x:v>KAT013</x:v>
      </x:c>
      <x:c r="F1793"/>
      <x:c r="G1793"/>
      <x:c r="H1793" t="str">
        <x:v>kein_match</x:v>
      </x:c>
      <x:c r="I1793" t="str">
        <x:v>Agent-Draft: keine finale Regelentscheidung</x:v>
      </x:c>
      <x:c r="J1793" t="n">
        <x:v>45552</x:v>
      </x:c>
      <x:c r="K1793"/>
      <x:c r="L1793"/>
      <x:c r="M1793" t="n">
        <x:v>-3.45</x:v>
      </x:c>
      <x:c r="N1793" t="str">
        <x:v>2024-09</x:v>
      </x:c>
      <x:c r="O1793" t="str">
        <x:v>Ausgabe</x:v>
      </x:c>
      <x:c r="P1793" t="str">
        <x:v>Ist</x:v>
      </x:c>
      <x:c r="Q1793" s="59" t="b">
        <x:v>0</x:v>
      </x:c>
      <x:c r="R1793" t="str">
        <x:v>kein_transfer</x:v>
      </x:c>
      <x:c r="S1793"/>
      <x:c r="T1793"/>
      <x:c r="U1793"/>
      <x:c r="V1793" s="59" t="b">
        <x:v>1</x:v>
      </x:c>
      <x:c r="W1793"/>
      <x:c r="X1793" t="str">
        <x:v>offen</x:v>
      </x:c>
      <x:c r="Y1793" t="str">
        <x:v>Agent-Draft; Kategorie und Person pruefen</x:v>
      </x:c>
    </x:row>
    <x:row r="1794">
      <x:c r="A1794" t="str">
        <x:v>TXN-RAW-IMP-20260516-FULLDRAFT-001778</x:v>
      </x:c>
      <x:c r="B1794" t="str">
        <x:v>RAW-IMP-20260516-FULLDRAFT-001778</x:v>
      </x:c>
      <x:c r="C1794" t="str">
        <x:v>KTO001</x:v>
      </x:c>
      <x:c r="D1794"/>
      <x:c r="E1794" t="str">
        <x:v>KAT013</x:v>
      </x:c>
      <x:c r="F1794"/>
      <x:c r="G1794"/>
      <x:c r="H1794" t="str">
        <x:v>kein_match</x:v>
      </x:c>
      <x:c r="I1794" t="str">
        <x:v>Agent-Draft: keine finale Regelentscheidung</x:v>
      </x:c>
      <x:c r="J1794" t="n">
        <x:v>45552</x:v>
      </x:c>
      <x:c r="K1794"/>
      <x:c r="L1794"/>
      <x:c r="M1794" t="n">
        <x:v>-6.99</x:v>
      </x:c>
      <x:c r="N1794" t="str">
        <x:v>2024-09</x:v>
      </x:c>
      <x:c r="O1794" t="str">
        <x:v>Ausgabe</x:v>
      </x:c>
      <x:c r="P1794" t="str">
        <x:v>Ist</x:v>
      </x:c>
      <x:c r="Q1794" s="59" t="b">
        <x:v>0</x:v>
      </x:c>
      <x:c r="R1794" t="str">
        <x:v>kein_transfer</x:v>
      </x:c>
      <x:c r="S1794"/>
      <x:c r="T1794"/>
      <x:c r="U1794"/>
      <x:c r="V1794" s="59" t="b">
        <x:v>1</x:v>
      </x:c>
      <x:c r="W1794"/>
      <x:c r="X1794" t="str">
        <x:v>offen</x:v>
      </x:c>
      <x:c r="Y1794" t="str">
        <x:v>Agent-Draft; Kategorie und Person pruefen</x:v>
      </x:c>
    </x:row>
    <x:row r="1795">
      <x:c r="A1795" t="str">
        <x:v>TXN-RAW-IMP-20260516-FULLDRAFT-001779</x:v>
      </x:c>
      <x:c r="B1795" t="str">
        <x:v>RAW-IMP-20260516-FULLDRAFT-001779</x:v>
      </x:c>
      <x:c r="C1795" t="str">
        <x:v>KTO001</x:v>
      </x:c>
      <x:c r="D1795"/>
      <x:c r="E1795" t="str">
        <x:v>KAT013</x:v>
      </x:c>
      <x:c r="F1795"/>
      <x:c r="G1795"/>
      <x:c r="H1795" t="str">
        <x:v>kein_match</x:v>
      </x:c>
      <x:c r="I1795" t="str">
        <x:v>Agent-Draft: keine finale Regelentscheidung</x:v>
      </x:c>
      <x:c r="J1795" t="n">
        <x:v>45552</x:v>
      </x:c>
      <x:c r="K1795"/>
      <x:c r="L1795"/>
      <x:c r="M1795" t="n">
        <x:v>-7.38</x:v>
      </x:c>
      <x:c r="N1795" t="str">
        <x:v>2024-09</x:v>
      </x:c>
      <x:c r="O1795" t="str">
        <x:v>Ausgabe</x:v>
      </x:c>
      <x:c r="P1795" t="str">
        <x:v>Ist</x:v>
      </x:c>
      <x:c r="Q1795" s="59" t="b">
        <x:v>0</x:v>
      </x:c>
      <x:c r="R1795" t="str">
        <x:v>kein_transfer</x:v>
      </x:c>
      <x:c r="S1795"/>
      <x:c r="T1795"/>
      <x:c r="U1795"/>
      <x:c r="V1795" s="59" t="b">
        <x:v>1</x:v>
      </x:c>
      <x:c r="W1795"/>
      <x:c r="X1795" t="str">
        <x:v>offen</x:v>
      </x:c>
      <x:c r="Y1795" t="str">
        <x:v>Agent-Draft; Kategorie und Person pruefen</x:v>
      </x:c>
    </x:row>
    <x:row r="1796">
      <x:c r="A1796" t="str">
        <x:v>TXN-RAW-IMP-20260516-FULLDRAFT-001780</x:v>
      </x:c>
      <x:c r="B1796" t="str">
        <x:v>RAW-IMP-20260516-FULLDRAFT-001780</x:v>
      </x:c>
      <x:c r="C1796" t="str">
        <x:v>KTO001</x:v>
      </x:c>
      <x:c r="D1796"/>
      <x:c r="E1796" t="str">
        <x:v>KAT013</x:v>
      </x:c>
      <x:c r="F1796"/>
      <x:c r="G1796"/>
      <x:c r="H1796" t="str">
        <x:v>kein_match</x:v>
      </x:c>
      <x:c r="I1796" t="str">
        <x:v>Agent-Draft: keine finale Regelentscheidung</x:v>
      </x:c>
      <x:c r="J1796" t="n">
        <x:v>45552</x:v>
      </x:c>
      <x:c r="K1796"/>
      <x:c r="L1796"/>
      <x:c r="M1796" t="n">
        <x:v>-6.99</x:v>
      </x:c>
      <x:c r="N1796" t="str">
        <x:v>2024-09</x:v>
      </x:c>
      <x:c r="O1796" t="str">
        <x:v>Ausgabe</x:v>
      </x:c>
      <x:c r="P1796" t="str">
        <x:v>Ist</x:v>
      </x:c>
      <x:c r="Q1796" s="59" t="b">
        <x:v>0</x:v>
      </x:c>
      <x:c r="R1796" t="str">
        <x:v>kein_transfer</x:v>
      </x:c>
      <x:c r="S1796"/>
      <x:c r="T1796"/>
      <x:c r="U1796"/>
      <x:c r="V1796" s="59" t="b">
        <x:v>1</x:v>
      </x:c>
      <x:c r="W1796"/>
      <x:c r="X1796" t="str">
        <x:v>offen</x:v>
      </x:c>
      <x:c r="Y1796" t="str">
        <x:v>Agent-Draft; Kategorie und Person pruefen</x:v>
      </x:c>
    </x:row>
    <x:row r="1797">
      <x:c r="A1797" t="str">
        <x:v>TXN-RAW-IMP-20260516-FULLDRAFT-001781</x:v>
      </x:c>
      <x:c r="B1797" t="str">
        <x:v>RAW-IMP-20260516-FULLDRAFT-001781</x:v>
      </x:c>
      <x:c r="C1797" t="str">
        <x:v>KTO001</x:v>
      </x:c>
      <x:c r="D1797"/>
      <x:c r="E1797" t="str">
        <x:v>KAT013</x:v>
      </x:c>
      <x:c r="F1797"/>
      <x:c r="G1797"/>
      <x:c r="H1797" t="str">
        <x:v>kein_match</x:v>
      </x:c>
      <x:c r="I1797" t="str">
        <x:v>Agent-Draft: keine finale Regelentscheidung</x:v>
      </x:c>
      <x:c r="J1797" t="n">
        <x:v>45551</x:v>
      </x:c>
      <x:c r="K1797"/>
      <x:c r="L1797"/>
      <x:c r="M1797" t="n">
        <x:v>-22.09</x:v>
      </x:c>
      <x:c r="N1797" t="str">
        <x:v>2024-09</x:v>
      </x:c>
      <x:c r="O1797" t="str">
        <x:v>Ausgabe</x:v>
      </x:c>
      <x:c r="P1797" t="str">
        <x:v>Ist</x:v>
      </x:c>
      <x:c r="Q1797" s="59" t="b">
        <x:v>0</x:v>
      </x:c>
      <x:c r="R1797" t="str">
        <x:v>kein_transfer</x:v>
      </x:c>
      <x:c r="S1797"/>
      <x:c r="T1797"/>
      <x:c r="U1797"/>
      <x:c r="V1797" s="59" t="b">
        <x:v>1</x:v>
      </x:c>
      <x:c r="W1797"/>
      <x:c r="X1797" t="str">
        <x:v>offen</x:v>
      </x:c>
      <x:c r="Y1797" t="str">
        <x:v>Agent-Draft; Kategorie und Person pruefen</x:v>
      </x:c>
    </x:row>
    <x:row r="1798">
      <x:c r="A1798" t="str">
        <x:v>TXN-RAW-IMP-20260516-FULLDRAFT-001782</x:v>
      </x:c>
      <x:c r="B1798" t="str">
        <x:v>RAW-IMP-20260516-FULLDRAFT-001782</x:v>
      </x:c>
      <x:c r="C1798" t="str">
        <x:v>KTO001</x:v>
      </x:c>
      <x:c r="D1798"/>
      <x:c r="E1798" t="str">
        <x:v>KAT013</x:v>
      </x:c>
      <x:c r="F1798"/>
      <x:c r="G1798"/>
      <x:c r="H1798" t="str">
        <x:v>kein_match</x:v>
      </x:c>
      <x:c r="I1798" t="str">
        <x:v>Agent-Draft: keine finale Regelentscheidung</x:v>
      </x:c>
      <x:c r="J1798" t="n">
        <x:v>45551</x:v>
      </x:c>
      <x:c r="K1798"/>
      <x:c r="L1798"/>
      <x:c r="M1798" t="n">
        <x:v>-120</x:v>
      </x:c>
      <x:c r="N1798" t="str">
        <x:v>2024-09</x:v>
      </x:c>
      <x:c r="O1798" t="str">
        <x:v>Ausgabe</x:v>
      </x:c>
      <x:c r="P1798" t="str">
        <x:v>Ist</x:v>
      </x:c>
      <x:c r="Q1798" s="59" t="b">
        <x:v>0</x:v>
      </x:c>
      <x:c r="R1798" t="str">
        <x:v>kein_transfer</x:v>
      </x:c>
      <x:c r="S1798"/>
      <x:c r="T1798"/>
      <x:c r="U1798"/>
      <x:c r="V1798" s="59" t="b">
        <x:v>1</x:v>
      </x:c>
      <x:c r="W1798"/>
      <x:c r="X1798" t="str">
        <x:v>offen</x:v>
      </x:c>
      <x:c r="Y1798" t="str">
        <x:v>Agent-Draft; Kategorie und Person pruefen</x:v>
      </x:c>
    </x:row>
    <x:row r="1799">
      <x:c r="A1799" t="str">
        <x:v>TXN-RAW-IMP-20260516-FULLDRAFT-001783</x:v>
      </x:c>
      <x:c r="B1799" t="str">
        <x:v>RAW-IMP-20260516-FULLDRAFT-001783</x:v>
      </x:c>
      <x:c r="C1799" t="str">
        <x:v>KTO001</x:v>
      </x:c>
      <x:c r="D1799"/>
      <x:c r="E1799" t="str">
        <x:v>KAT013</x:v>
      </x:c>
      <x:c r="F1799"/>
      <x:c r="G1799"/>
      <x:c r="H1799" t="str">
        <x:v>kein_match</x:v>
      </x:c>
      <x:c r="I1799" t="str">
        <x:v>Agent-Draft: keine finale Regelentscheidung</x:v>
      </x:c>
      <x:c r="J1799" t="n">
        <x:v>45551</x:v>
      </x:c>
      <x:c r="K1799"/>
      <x:c r="L1799"/>
      <x:c r="M1799" t="n">
        <x:v>-72.27</x:v>
      </x:c>
      <x:c r="N1799" t="str">
        <x:v>2024-09</x:v>
      </x:c>
      <x:c r="O1799" t="str">
        <x:v>Ausgabe</x:v>
      </x:c>
      <x:c r="P1799" t="str">
        <x:v>Ist</x:v>
      </x:c>
      <x:c r="Q1799" s="59" t="b">
        <x:v>0</x:v>
      </x:c>
      <x:c r="R1799" t="str">
        <x:v>kein_transfer</x:v>
      </x:c>
      <x:c r="S1799"/>
      <x:c r="T1799"/>
      <x:c r="U1799"/>
      <x:c r="V1799" s="59" t="b">
        <x:v>1</x:v>
      </x:c>
      <x:c r="W1799"/>
      <x:c r="X1799" t="str">
        <x:v>offen</x:v>
      </x:c>
      <x:c r="Y1799" t="str">
        <x:v>Agent-Draft; Kategorie und Person pruefen</x:v>
      </x:c>
    </x:row>
    <x:row r="1800">
      <x:c r="A1800" t="str">
        <x:v>TXN-RAW-IMP-20260516-FULLDRAFT-001784</x:v>
      </x:c>
      <x:c r="B1800" t="str">
        <x:v>RAW-IMP-20260516-FULLDRAFT-001784</x:v>
      </x:c>
      <x:c r="C1800" t="str">
        <x:v>KTO001</x:v>
      </x:c>
      <x:c r="D1800"/>
      <x:c r="E1800" t="str">
        <x:v>KAT013</x:v>
      </x:c>
      <x:c r="F1800"/>
      <x:c r="G1800"/>
      <x:c r="H1800" t="str">
        <x:v>kein_match</x:v>
      </x:c>
      <x:c r="I1800" t="str">
        <x:v>Agent-Draft: keine finale Regelentscheidung</x:v>
      </x:c>
      <x:c r="J1800" t="n">
        <x:v>45551</x:v>
      </x:c>
      <x:c r="K1800"/>
      <x:c r="L1800"/>
      <x:c r="M1800" t="n">
        <x:v>-115.25</x:v>
      </x:c>
      <x:c r="N1800" t="str">
        <x:v>2024-09</x:v>
      </x:c>
      <x:c r="O1800" t="str">
        <x:v>Ausgabe</x:v>
      </x:c>
      <x:c r="P1800" t="str">
        <x:v>Ist</x:v>
      </x:c>
      <x:c r="Q1800" s="59" t="b">
        <x:v>0</x:v>
      </x:c>
      <x:c r="R1800" t="str">
        <x:v>kein_transfer</x:v>
      </x:c>
      <x:c r="S1800"/>
      <x:c r="T1800"/>
      <x:c r="U1800"/>
      <x:c r="V1800" s="59" t="b">
        <x:v>1</x:v>
      </x:c>
      <x:c r="W1800"/>
      <x:c r="X1800" t="str">
        <x:v>offen</x:v>
      </x:c>
      <x:c r="Y1800" t="str">
        <x:v>Agent-Draft; Kategorie und Person pruefen</x:v>
      </x:c>
    </x:row>
    <x:row r="1801">
      <x:c r="A1801" t="str">
        <x:v>TXN-RAW-IMP-20260516-FULLDRAFT-001785</x:v>
      </x:c>
      <x:c r="B1801" t="str">
        <x:v>RAW-IMP-20260516-FULLDRAFT-001785</x:v>
      </x:c>
      <x:c r="C1801" t="str">
        <x:v>KTO001</x:v>
      </x:c>
      <x:c r="D1801"/>
      <x:c r="E1801" t="str">
        <x:v>KAT013</x:v>
      </x:c>
      <x:c r="F1801"/>
      <x:c r="G1801"/>
      <x:c r="H1801" t="str">
        <x:v>kein_match</x:v>
      </x:c>
      <x:c r="I1801" t="str">
        <x:v>Agent-Draft: keine finale Regelentscheidung</x:v>
      </x:c>
      <x:c r="J1801" t="n">
        <x:v>45548</x:v>
      </x:c>
      <x:c r="K1801"/>
      <x:c r="L1801"/>
      <x:c r="M1801" t="n">
        <x:v>-18.42</x:v>
      </x:c>
      <x:c r="N1801" t="str">
        <x:v>2024-09</x:v>
      </x:c>
      <x:c r="O1801" t="str">
        <x:v>Ausgabe</x:v>
      </x:c>
      <x:c r="P1801" t="str">
        <x:v>Ist</x:v>
      </x:c>
      <x:c r="Q1801" s="59" t="b">
        <x:v>0</x:v>
      </x:c>
      <x:c r="R1801" t="str">
        <x:v>kein_transfer</x:v>
      </x:c>
      <x:c r="S1801"/>
      <x:c r="T1801"/>
      <x:c r="U1801"/>
      <x:c r="V1801" s="59" t="b">
        <x:v>1</x:v>
      </x:c>
      <x:c r="W1801"/>
      <x:c r="X1801" t="str">
        <x:v>offen</x:v>
      </x:c>
      <x:c r="Y1801" t="str">
        <x:v>Agent-Draft; Kategorie und Person pruefen</x:v>
      </x:c>
    </x:row>
    <x:row r="1802">
      <x:c r="A1802" t="str">
        <x:v>TXN-RAW-IMP-20260516-FULLDRAFT-001786</x:v>
      </x:c>
      <x:c r="B1802" t="str">
        <x:v>RAW-IMP-20260516-FULLDRAFT-001786</x:v>
      </x:c>
      <x:c r="C1802" t="str">
        <x:v>KTO001</x:v>
      </x:c>
      <x:c r="D1802"/>
      <x:c r="E1802" t="str">
        <x:v>KAT013</x:v>
      </x:c>
      <x:c r="F1802"/>
      <x:c r="G1802"/>
      <x:c r="H1802" t="str">
        <x:v>kein_match</x:v>
      </x:c>
      <x:c r="I1802" t="str">
        <x:v>Agent-Draft: keine finale Regelentscheidung</x:v>
      </x:c>
      <x:c r="J1802" t="n">
        <x:v>45547</x:v>
      </x:c>
      <x:c r="K1802"/>
      <x:c r="L1802"/>
      <x:c r="M1802" t="n">
        <x:v>-72.4</x:v>
      </x:c>
      <x:c r="N1802" t="str">
        <x:v>2024-09</x:v>
      </x:c>
      <x:c r="O1802" t="str">
        <x:v>Ausgabe</x:v>
      </x:c>
      <x:c r="P1802" t="str">
        <x:v>Ist</x:v>
      </x:c>
      <x:c r="Q1802" s="59" t="b">
        <x:v>0</x:v>
      </x:c>
      <x:c r="R1802" t="str">
        <x:v>kein_transfer</x:v>
      </x:c>
      <x:c r="S1802"/>
      <x:c r="T1802"/>
      <x:c r="U1802"/>
      <x:c r="V1802" s="59" t="b">
        <x:v>1</x:v>
      </x:c>
      <x:c r="W1802"/>
      <x:c r="X1802" t="str">
        <x:v>offen</x:v>
      </x:c>
      <x:c r="Y1802" t="str">
        <x:v>Agent-Draft; Kategorie und Person pruefen</x:v>
      </x:c>
    </x:row>
    <x:row r="1803">
      <x:c r="A1803" t="str">
        <x:v>TXN-RAW-IMP-20260516-FULLDRAFT-001787</x:v>
      </x:c>
      <x:c r="B1803" t="str">
        <x:v>RAW-IMP-20260516-FULLDRAFT-001787</x:v>
      </x:c>
      <x:c r="C1803" t="str">
        <x:v>KTO001</x:v>
      </x:c>
      <x:c r="D1803"/>
      <x:c r="E1803" t="str">
        <x:v>KAT013</x:v>
      </x:c>
      <x:c r="F1803"/>
      <x:c r="G1803"/>
      <x:c r="H1803" t="str">
        <x:v>kein_match</x:v>
      </x:c>
      <x:c r="I1803" t="str">
        <x:v>Agent-Draft: keine finale Regelentscheidung</x:v>
      </x:c>
      <x:c r="J1803" t="n">
        <x:v>45546</x:v>
      </x:c>
      <x:c r="K1803"/>
      <x:c r="L1803"/>
      <x:c r="M1803" t="n">
        <x:v>-42.61</x:v>
      </x:c>
      <x:c r="N1803" t="str">
        <x:v>2024-09</x:v>
      </x:c>
      <x:c r="O1803" t="str">
        <x:v>Ausgabe</x:v>
      </x:c>
      <x:c r="P1803" t="str">
        <x:v>Ist</x:v>
      </x:c>
      <x:c r="Q1803" s="59" t="b">
        <x:v>0</x:v>
      </x:c>
      <x:c r="R1803" t="str">
        <x:v>kein_transfer</x:v>
      </x:c>
      <x:c r="S1803"/>
      <x:c r="T1803"/>
      <x:c r="U1803"/>
      <x:c r="V1803" s="59" t="b">
        <x:v>1</x:v>
      </x:c>
      <x:c r="W1803"/>
      <x:c r="X1803" t="str">
        <x:v>offen</x:v>
      </x:c>
      <x:c r="Y1803" t="str">
        <x:v>Agent-Draft; Kategorie und Person pruefen</x:v>
      </x:c>
    </x:row>
    <x:row r="1804">
      <x:c r="A1804" t="str">
        <x:v>TXN-RAW-IMP-20260516-FULLDRAFT-001788</x:v>
      </x:c>
      <x:c r="B1804" t="str">
        <x:v>RAW-IMP-20260516-FULLDRAFT-001788</x:v>
      </x:c>
      <x:c r="C1804" t="str">
        <x:v>KTO001</x:v>
      </x:c>
      <x:c r="D1804"/>
      <x:c r="E1804" t="str">
        <x:v>KAT013</x:v>
      </x:c>
      <x:c r="F1804"/>
      <x:c r="G1804"/>
      <x:c r="H1804" t="str">
        <x:v>kein_match</x:v>
      </x:c>
      <x:c r="I1804" t="str">
        <x:v>Agent-Draft: keine finale Regelentscheidung</x:v>
      </x:c>
      <x:c r="J1804" t="n">
        <x:v>45546</x:v>
      </x:c>
      <x:c r="K1804"/>
      <x:c r="L1804"/>
      <x:c r="M1804" t="n">
        <x:v>-75</x:v>
      </x:c>
      <x:c r="N1804" t="str">
        <x:v>2024-09</x:v>
      </x:c>
      <x:c r="O1804" t="str">
        <x:v>Ausgabe</x:v>
      </x:c>
      <x:c r="P1804" t="str">
        <x:v>Ist</x:v>
      </x:c>
      <x:c r="Q1804" s="59" t="b">
        <x:v>0</x:v>
      </x:c>
      <x:c r="R1804" t="str">
        <x:v>kein_transfer</x:v>
      </x:c>
      <x:c r="S1804"/>
      <x:c r="T1804"/>
      <x:c r="U1804"/>
      <x:c r="V1804" s="59" t="b">
        <x:v>1</x:v>
      </x:c>
      <x:c r="W1804"/>
      <x:c r="X1804" t="str">
        <x:v>offen</x:v>
      </x:c>
      <x:c r="Y1804" t="str">
        <x:v>Agent-Draft; Kategorie und Person pruefen</x:v>
      </x:c>
    </x:row>
    <x:row r="1805">
      <x:c r="A1805" t="str">
        <x:v>TXN-RAW-IMP-20260516-FULLDRAFT-001789</x:v>
      </x:c>
      <x:c r="B1805" t="str">
        <x:v>RAW-IMP-20260516-FULLDRAFT-001789</x:v>
      </x:c>
      <x:c r="C1805" t="str">
        <x:v>KTO001</x:v>
      </x:c>
      <x:c r="D1805"/>
      <x:c r="E1805" t="str">
        <x:v>KAT013</x:v>
      </x:c>
      <x:c r="F1805"/>
      <x:c r="G1805"/>
      <x:c r="H1805" t="str">
        <x:v>kein_match</x:v>
      </x:c>
      <x:c r="I1805" t="str">
        <x:v>Agent-Draft: keine finale Regelentscheidung</x:v>
      </x:c>
      <x:c r="J1805" t="n">
        <x:v>45545</x:v>
      </x:c>
      <x:c r="K1805"/>
      <x:c r="L1805"/>
      <x:c r="M1805" t="n">
        <x:v>-1.15</x:v>
      </x:c>
      <x:c r="N1805" t="str">
        <x:v>2024-09</x:v>
      </x:c>
      <x:c r="O1805" t="str">
        <x:v>Ausgabe</x:v>
      </x:c>
      <x:c r="P1805" t="str">
        <x:v>Ist</x:v>
      </x:c>
      <x:c r="Q1805" s="59" t="b">
        <x:v>0</x:v>
      </x:c>
      <x:c r="R1805" t="str">
        <x:v>kein_transfer</x:v>
      </x:c>
      <x:c r="S1805"/>
      <x:c r="T1805"/>
      <x:c r="U1805"/>
      <x:c r="V1805" s="59" t="b">
        <x:v>1</x:v>
      </x:c>
      <x:c r="W1805"/>
      <x:c r="X1805" t="str">
        <x:v>offen</x:v>
      </x:c>
      <x:c r="Y1805" t="str">
        <x:v>Agent-Draft; Kategorie und Person pruefen</x:v>
      </x:c>
    </x:row>
    <x:row r="1806">
      <x:c r="A1806" t="str">
        <x:v>TXN-RAW-IMP-20260516-FULLDRAFT-001790</x:v>
      </x:c>
      <x:c r="B1806" t="str">
        <x:v>RAW-IMP-20260516-FULLDRAFT-001790</x:v>
      </x:c>
      <x:c r="C1806" t="str">
        <x:v>KTO001</x:v>
      </x:c>
      <x:c r="D1806"/>
      <x:c r="E1806" t="str">
        <x:v>KAT013</x:v>
      </x:c>
      <x:c r="F1806"/>
      <x:c r="G1806"/>
      <x:c r="H1806" t="str">
        <x:v>kein_match</x:v>
      </x:c>
      <x:c r="I1806" t="str">
        <x:v>Agent-Draft: keine finale Regelentscheidung</x:v>
      </x:c>
      <x:c r="J1806" t="n">
        <x:v>45545</x:v>
      </x:c>
      <x:c r="K1806"/>
      <x:c r="L1806"/>
      <x:c r="M1806" t="n">
        <x:v>-6.9</x:v>
      </x:c>
      <x:c r="N1806" t="str">
        <x:v>2024-09</x:v>
      </x:c>
      <x:c r="O1806" t="str">
        <x:v>Ausgabe</x:v>
      </x:c>
      <x:c r="P1806" t="str">
        <x:v>Ist</x:v>
      </x:c>
      <x:c r="Q1806" s="59" t="b">
        <x:v>0</x:v>
      </x:c>
      <x:c r="R1806" t="str">
        <x:v>kein_transfer</x:v>
      </x:c>
      <x:c r="S1806"/>
      <x:c r="T1806"/>
      <x:c r="U1806"/>
      <x:c r="V1806" s="59" t="b">
        <x:v>1</x:v>
      </x:c>
      <x:c r="W1806"/>
      <x:c r="X1806" t="str">
        <x:v>offen</x:v>
      </x:c>
      <x:c r="Y1806" t="str">
        <x:v>Agent-Draft; Kategorie und Person pruefen</x:v>
      </x:c>
    </x:row>
    <x:row r="1807">
      <x:c r="A1807" t="str">
        <x:v>TXN-RAW-IMP-20260516-FULLDRAFT-001791</x:v>
      </x:c>
      <x:c r="B1807" t="str">
        <x:v>RAW-IMP-20260516-FULLDRAFT-001791</x:v>
      </x:c>
      <x:c r="C1807" t="str">
        <x:v>KTO001</x:v>
      </x:c>
      <x:c r="D1807"/>
      <x:c r="E1807" t="str">
        <x:v>KAT013</x:v>
      </x:c>
      <x:c r="F1807"/>
      <x:c r="G1807"/>
      <x:c r="H1807" t="str">
        <x:v>kein_match</x:v>
      </x:c>
      <x:c r="I1807" t="str">
        <x:v>Agent-Draft: keine finale Regelentscheidung</x:v>
      </x:c>
      <x:c r="J1807" t="n">
        <x:v>45545</x:v>
      </x:c>
      <x:c r="K1807"/>
      <x:c r="L1807"/>
      <x:c r="M1807" t="n">
        <x:v>-5.58</x:v>
      </x:c>
      <x:c r="N1807" t="str">
        <x:v>2024-09</x:v>
      </x:c>
      <x:c r="O1807" t="str">
        <x:v>Ausgabe</x:v>
      </x:c>
      <x:c r="P1807" t="str">
        <x:v>Ist</x:v>
      </x:c>
      <x:c r="Q1807" s="59" t="b">
        <x:v>0</x:v>
      </x:c>
      <x:c r="R1807" t="str">
        <x:v>kein_transfer</x:v>
      </x:c>
      <x:c r="S1807"/>
      <x:c r="T1807"/>
      <x:c r="U1807"/>
      <x:c r="V1807" s="59" t="b">
        <x:v>1</x:v>
      </x:c>
      <x:c r="W1807"/>
      <x:c r="X1807" t="str">
        <x:v>offen</x:v>
      </x:c>
      <x:c r="Y1807" t="str">
        <x:v>Agent-Draft; Kategorie und Person pruefen</x:v>
      </x:c>
    </x:row>
    <x:row r="1808">
      <x:c r="A1808" t="str">
        <x:v>TXN-RAW-IMP-20260516-FULLDRAFT-001792</x:v>
      </x:c>
      <x:c r="B1808" t="str">
        <x:v>RAW-IMP-20260516-FULLDRAFT-001792</x:v>
      </x:c>
      <x:c r="C1808" t="str">
        <x:v>KTO001</x:v>
      </x:c>
      <x:c r="D1808"/>
      <x:c r="E1808" t="str">
        <x:v>KAT013</x:v>
      </x:c>
      <x:c r="F1808"/>
      <x:c r="G1808"/>
      <x:c r="H1808" t="str">
        <x:v>kein_match</x:v>
      </x:c>
      <x:c r="I1808" t="str">
        <x:v>Agent-Draft: keine finale Regelentscheidung</x:v>
      </x:c>
      <x:c r="J1808" t="n">
        <x:v>45545</x:v>
      </x:c>
      <x:c r="K1808"/>
      <x:c r="L1808"/>
      <x:c r="M1808" t="n">
        <x:v>-5.99</x:v>
      </x:c>
      <x:c r="N1808" t="str">
        <x:v>2024-09</x:v>
      </x:c>
      <x:c r="O1808" t="str">
        <x:v>Ausgabe</x:v>
      </x:c>
      <x:c r="P1808" t="str">
        <x:v>Ist</x:v>
      </x:c>
      <x:c r="Q1808" s="59" t="b">
        <x:v>0</x:v>
      </x:c>
      <x:c r="R1808" t="str">
        <x:v>kein_transfer</x:v>
      </x:c>
      <x:c r="S1808"/>
      <x:c r="T1808"/>
      <x:c r="U1808"/>
      <x:c r="V1808" s="59" t="b">
        <x:v>1</x:v>
      </x:c>
      <x:c r="W1808"/>
      <x:c r="X1808" t="str">
        <x:v>offen</x:v>
      </x:c>
      <x:c r="Y1808" t="str">
        <x:v>Agent-Draft; Kategorie und Person pruefen</x:v>
      </x:c>
    </x:row>
    <x:row r="1809">
      <x:c r="A1809" t="str">
        <x:v>TXN-RAW-IMP-20260516-FULLDRAFT-001793</x:v>
      </x:c>
      <x:c r="B1809" t="str">
        <x:v>RAW-IMP-20260516-FULLDRAFT-001793</x:v>
      </x:c>
      <x:c r="C1809" t="str">
        <x:v>KTO001</x:v>
      </x:c>
      <x:c r="D1809"/>
      <x:c r="E1809" t="str">
        <x:v>KAT013</x:v>
      </x:c>
      <x:c r="F1809"/>
      <x:c r="G1809"/>
      <x:c r="H1809" t="str">
        <x:v>kein_match</x:v>
      </x:c>
      <x:c r="I1809" t="str">
        <x:v>Agent-Draft: keine finale Regelentscheidung</x:v>
      </x:c>
      <x:c r="J1809" t="n">
        <x:v>45544</x:v>
      </x:c>
      <x:c r="K1809"/>
      <x:c r="L1809"/>
      <x:c r="M1809" t="n">
        <x:v>-7</x:v>
      </x:c>
      <x:c r="N1809" t="str">
        <x:v>2024-09</x:v>
      </x:c>
      <x:c r="O1809" t="str">
        <x:v>Ausgabe</x:v>
      </x:c>
      <x:c r="P1809" t="str">
        <x:v>Ist</x:v>
      </x:c>
      <x:c r="Q1809" s="59" t="b">
        <x:v>0</x:v>
      </x:c>
      <x:c r="R1809" t="str">
        <x:v>kein_transfer</x:v>
      </x:c>
      <x:c r="S1809"/>
      <x:c r="T1809"/>
      <x:c r="U1809"/>
      <x:c r="V1809" s="59" t="b">
        <x:v>1</x:v>
      </x:c>
      <x:c r="W1809"/>
      <x:c r="X1809" t="str">
        <x:v>offen</x:v>
      </x:c>
      <x:c r="Y1809" t="str">
        <x:v>Agent-Draft; Kategorie und Person pruefen</x:v>
      </x:c>
    </x:row>
    <x:row r="1810">
      <x:c r="A1810" t="str">
        <x:v>TXN-RAW-IMP-20260516-FULLDRAFT-001794</x:v>
      </x:c>
      <x:c r="B1810" t="str">
        <x:v>RAW-IMP-20260516-FULLDRAFT-001794</x:v>
      </x:c>
      <x:c r="C1810" t="str">
        <x:v>KTO001</x:v>
      </x:c>
      <x:c r="D1810"/>
      <x:c r="E1810" t="str">
        <x:v>KAT013</x:v>
      </x:c>
      <x:c r="F1810"/>
      <x:c r="G1810"/>
      <x:c r="H1810" t="str">
        <x:v>kein_match</x:v>
      </x:c>
      <x:c r="I1810" t="str">
        <x:v>Agent-Draft: keine finale Regelentscheidung</x:v>
      </x:c>
      <x:c r="J1810" t="n">
        <x:v>45544</x:v>
      </x:c>
      <x:c r="K1810"/>
      <x:c r="L1810"/>
      <x:c r="M1810" t="n">
        <x:v>-209.8</x:v>
      </x:c>
      <x:c r="N1810" t="str">
        <x:v>2024-09</x:v>
      </x:c>
      <x:c r="O1810" t="str">
        <x:v>Ausgabe</x:v>
      </x:c>
      <x:c r="P1810" t="str">
        <x:v>Ist</x:v>
      </x:c>
      <x:c r="Q1810" s="59" t="b">
        <x:v>0</x:v>
      </x:c>
      <x:c r="R1810" t="str">
        <x:v>kein_transfer</x:v>
      </x:c>
      <x:c r="S1810"/>
      <x:c r="T1810"/>
      <x:c r="U1810"/>
      <x:c r="V1810" s="59" t="b">
        <x:v>1</x:v>
      </x:c>
      <x:c r="W1810"/>
      <x:c r="X1810" t="str">
        <x:v>offen</x:v>
      </x:c>
      <x:c r="Y1810" t="str">
        <x:v>Agent-Draft; Kategorie und Person pruefen</x:v>
      </x:c>
    </x:row>
    <x:row r="1811">
      <x:c r="A1811" t="str">
        <x:v>TXN-RAW-IMP-20260516-FULLDRAFT-001795</x:v>
      </x:c>
      <x:c r="B1811" t="str">
        <x:v>RAW-IMP-20260516-FULLDRAFT-001795</x:v>
      </x:c>
      <x:c r="C1811" t="str">
        <x:v>KTO001</x:v>
      </x:c>
      <x:c r="D1811"/>
      <x:c r="E1811" t="str">
        <x:v>KAT013</x:v>
      </x:c>
      <x:c r="F1811"/>
      <x:c r="G1811"/>
      <x:c r="H1811" t="str">
        <x:v>kein_match</x:v>
      </x:c>
      <x:c r="I1811" t="str">
        <x:v>Agent-Draft: keine finale Regelentscheidung</x:v>
      </x:c>
      <x:c r="J1811" t="n">
        <x:v>45544</x:v>
      </x:c>
      <x:c r="K1811"/>
      <x:c r="L1811"/>
      <x:c r="M1811" t="n">
        <x:v>-58.83</x:v>
      </x:c>
      <x:c r="N1811" t="str">
        <x:v>2024-09</x:v>
      </x:c>
      <x:c r="O1811" t="str">
        <x:v>Ausgabe</x:v>
      </x:c>
      <x:c r="P1811" t="str">
        <x:v>Ist</x:v>
      </x:c>
      <x:c r="Q1811" s="59" t="b">
        <x:v>0</x:v>
      </x:c>
      <x:c r="R1811" t="str">
        <x:v>kein_transfer</x:v>
      </x:c>
      <x:c r="S1811"/>
      <x:c r="T1811"/>
      <x:c r="U1811"/>
      <x:c r="V1811" s="59" t="b">
        <x:v>1</x:v>
      </x:c>
      <x:c r="W1811"/>
      <x:c r="X1811" t="str">
        <x:v>offen</x:v>
      </x:c>
      <x:c r="Y1811" t="str">
        <x:v>Agent-Draft; Kategorie und Person pruefen</x:v>
      </x:c>
    </x:row>
    <x:row r="1812">
      <x:c r="A1812" t="str">
        <x:v>TXN-RAW-IMP-20260516-FULLDRAFT-001796</x:v>
      </x:c>
      <x:c r="B1812" t="str">
        <x:v>RAW-IMP-20260516-FULLDRAFT-001796</x:v>
      </x:c>
      <x:c r="C1812" t="str">
        <x:v>KTO001</x:v>
      </x:c>
      <x:c r="D1812"/>
      <x:c r="E1812" t="str">
        <x:v>KAT013</x:v>
      </x:c>
      <x:c r="F1812"/>
      <x:c r="G1812"/>
      <x:c r="H1812" t="str">
        <x:v>kein_match</x:v>
      </x:c>
      <x:c r="I1812" t="str">
        <x:v>Agent-Draft: keine finale Regelentscheidung</x:v>
      </x:c>
      <x:c r="J1812" t="n">
        <x:v>45544</x:v>
      </x:c>
      <x:c r="K1812"/>
      <x:c r="L1812"/>
      <x:c r="M1812" t="n">
        <x:v>-0.99</x:v>
      </x:c>
      <x:c r="N1812" t="str">
        <x:v>2024-09</x:v>
      </x:c>
      <x:c r="O1812" t="str">
        <x:v>Ausgabe</x:v>
      </x:c>
      <x:c r="P1812" t="str">
        <x:v>Ist</x:v>
      </x:c>
      <x:c r="Q1812" s="59" t="b">
        <x:v>0</x:v>
      </x:c>
      <x:c r="R1812" t="str">
        <x:v>kein_transfer</x:v>
      </x:c>
      <x:c r="S1812"/>
      <x:c r="T1812"/>
      <x:c r="U1812"/>
      <x:c r="V1812" s="59" t="b">
        <x:v>1</x:v>
      </x:c>
      <x:c r="W1812"/>
      <x:c r="X1812" t="str">
        <x:v>offen</x:v>
      </x:c>
      <x:c r="Y1812" t="str">
        <x:v>Agent-Draft; Kategorie und Person pruefen</x:v>
      </x:c>
    </x:row>
    <x:row r="1813">
      <x:c r="A1813" t="str">
        <x:v>TXN-RAW-IMP-20260516-FULLDRAFT-001797</x:v>
      </x:c>
      <x:c r="B1813" t="str">
        <x:v>RAW-IMP-20260516-FULLDRAFT-001797</x:v>
      </x:c>
      <x:c r="C1813" t="str">
        <x:v>KTO001</x:v>
      </x:c>
      <x:c r="D1813"/>
      <x:c r="E1813" t="str">
        <x:v>KAT013</x:v>
      </x:c>
      <x:c r="F1813"/>
      <x:c r="G1813"/>
      <x:c r="H1813" t="str">
        <x:v>kein_match</x:v>
      </x:c>
      <x:c r="I1813" t="str">
        <x:v>Agent-Draft: keine finale Regelentscheidung</x:v>
      </x:c>
      <x:c r="J1813" t="n">
        <x:v>45544</x:v>
      </x:c>
      <x:c r="K1813"/>
      <x:c r="L1813"/>
      <x:c r="M1813" t="n">
        <x:v>-0.99</x:v>
      </x:c>
      <x:c r="N1813" t="str">
        <x:v>2024-09</x:v>
      </x:c>
      <x:c r="O1813" t="str">
        <x:v>Ausgabe</x:v>
      </x:c>
      <x:c r="P1813" t="str">
        <x:v>Ist</x:v>
      </x:c>
      <x:c r="Q1813" s="59" t="b">
        <x:v>0</x:v>
      </x:c>
      <x:c r="R1813" t="str">
        <x:v>kein_transfer</x:v>
      </x:c>
      <x:c r="S1813"/>
      <x:c r="T1813"/>
      <x:c r="U1813"/>
      <x:c r="V1813" s="59" t="b">
        <x:v>1</x:v>
      </x:c>
      <x:c r="W1813"/>
      <x:c r="X1813" t="str">
        <x:v>offen</x:v>
      </x:c>
      <x:c r="Y1813" t="str">
        <x:v>Agent-Draft; Kategorie und Person pruefen</x:v>
      </x:c>
    </x:row>
    <x:row r="1814">
      <x:c r="A1814" t="str">
        <x:v>TXN-RAW-IMP-20260516-FULLDRAFT-001798</x:v>
      </x:c>
      <x:c r="B1814" t="str">
        <x:v>RAW-IMP-20260516-FULLDRAFT-001798</x:v>
      </x:c>
      <x:c r="C1814" t="str">
        <x:v>KTO001</x:v>
      </x:c>
      <x:c r="D1814"/>
      <x:c r="E1814" t="str">
        <x:v>KAT013</x:v>
      </x:c>
      <x:c r="F1814"/>
      <x:c r="G1814"/>
      <x:c r="H1814" t="str">
        <x:v>kein_match</x:v>
      </x:c>
      <x:c r="I1814" t="str">
        <x:v>Agent-Draft: keine finale Regelentscheidung</x:v>
      </x:c>
      <x:c r="J1814" t="n">
        <x:v>45541</x:v>
      </x:c>
      <x:c r="K1814"/>
      <x:c r="L1814"/>
      <x:c r="M1814" t="n">
        <x:v>149.8</x:v>
      </x:c>
      <x:c r="N1814" t="str">
        <x:v>2024-09</x:v>
      </x:c>
      <x:c r="O1814" t="str">
        <x:v>Einnahme</x:v>
      </x:c>
      <x:c r="P1814" t="str">
        <x:v>Ist</x:v>
      </x:c>
      <x:c r="Q1814" s="59" t="b">
        <x:v>0</x:v>
      </x:c>
      <x:c r="R1814" t="str">
        <x:v>kein_transfer</x:v>
      </x:c>
      <x:c r="S1814"/>
      <x:c r="T1814"/>
      <x:c r="U1814"/>
      <x:c r="V1814" s="59" t="b">
        <x:v>1</x:v>
      </x:c>
      <x:c r="W1814"/>
      <x:c r="X1814" t="str">
        <x:v>offen</x:v>
      </x:c>
      <x:c r="Y1814" t="str">
        <x:v>Agent-Draft; Kategorie und Person pruefen</x:v>
      </x:c>
    </x:row>
    <x:row r="1815">
      <x:c r="A1815" t="str">
        <x:v>TXN-RAW-IMP-20260516-FULLDRAFT-001799</x:v>
      </x:c>
      <x:c r="B1815" t="str">
        <x:v>RAW-IMP-20260516-FULLDRAFT-001799</x:v>
      </x:c>
      <x:c r="C1815" t="str">
        <x:v>KTO001</x:v>
      </x:c>
      <x:c r="D1815"/>
      <x:c r="E1815" t="str">
        <x:v>KAT013</x:v>
      </x:c>
      <x:c r="F1815"/>
      <x:c r="G1815"/>
      <x:c r="H1815" t="str">
        <x:v>kein_match</x:v>
      </x:c>
      <x:c r="I1815" t="str">
        <x:v>Agent-Draft: keine finale Regelentscheidung</x:v>
      </x:c>
      <x:c r="J1815" t="n">
        <x:v>45541</x:v>
      </x:c>
      <x:c r="K1815"/>
      <x:c r="L1815"/>
      <x:c r="M1815" t="n">
        <x:v>-49.9</x:v>
      </x:c>
      <x:c r="N1815" t="str">
        <x:v>2024-09</x:v>
      </x:c>
      <x:c r="O1815" t="str">
        <x:v>Ausgabe</x:v>
      </x:c>
      <x:c r="P1815" t="str">
        <x:v>Ist</x:v>
      </x:c>
      <x:c r="Q1815" s="59" t="b">
        <x:v>0</x:v>
      </x:c>
      <x:c r="R1815" t="str">
        <x:v>kein_transfer</x:v>
      </x:c>
      <x:c r="S1815"/>
      <x:c r="T1815"/>
      <x:c r="U1815"/>
      <x:c r="V1815" s="59" t="b">
        <x:v>1</x:v>
      </x:c>
      <x:c r="W1815"/>
      <x:c r="X1815" t="str">
        <x:v>offen</x:v>
      </x:c>
      <x:c r="Y1815" t="str">
        <x:v>Agent-Draft; Kategorie und Person pruefen</x:v>
      </x:c>
    </x:row>
    <x:row r="1816">
      <x:c r="A1816" t="str">
        <x:v>TXN-RAW-IMP-20260516-FULLDRAFT-001800</x:v>
      </x:c>
      <x:c r="B1816" t="str">
        <x:v>RAW-IMP-20260516-FULLDRAFT-001800</x:v>
      </x:c>
      <x:c r="C1816" t="str">
        <x:v>KTO001</x:v>
      </x:c>
      <x:c r="D1816"/>
      <x:c r="E1816" t="str">
        <x:v>KAT013</x:v>
      </x:c>
      <x:c r="F1816"/>
      <x:c r="G1816"/>
      <x:c r="H1816" t="str">
        <x:v>kein_match</x:v>
      </x:c>
      <x:c r="I1816" t="str">
        <x:v>Agent-Draft: keine finale Regelentscheidung</x:v>
      </x:c>
      <x:c r="J1816" t="n">
        <x:v>45540</x:v>
      </x:c>
      <x:c r="K1816"/>
      <x:c r="L1816"/>
      <x:c r="M1816" t="n">
        <x:v>-5.95</x:v>
      </x:c>
      <x:c r="N1816" t="str">
        <x:v>2024-09</x:v>
      </x:c>
      <x:c r="O1816" t="str">
        <x:v>Ausgabe</x:v>
      </x:c>
      <x:c r="P1816" t="str">
        <x:v>Ist</x:v>
      </x:c>
      <x:c r="Q1816" s="59" t="b">
        <x:v>0</x:v>
      </x:c>
      <x:c r="R1816" t="str">
        <x:v>kein_transfer</x:v>
      </x:c>
      <x:c r="S1816"/>
      <x:c r="T1816"/>
      <x:c r="U1816"/>
      <x:c r="V1816" s="59" t="b">
        <x:v>1</x:v>
      </x:c>
      <x:c r="W1816"/>
      <x:c r="X1816" t="str">
        <x:v>offen</x:v>
      </x:c>
      <x:c r="Y1816" t="str">
        <x:v>Agent-Draft; Kategorie und Person pruefen</x:v>
      </x:c>
    </x:row>
    <x:row r="1817">
      <x:c r="A1817" t="str">
        <x:v>TXN-RAW-IMP-20260516-FULLDRAFT-001801</x:v>
      </x:c>
      <x:c r="B1817" t="str">
        <x:v>RAW-IMP-20260516-FULLDRAFT-001801</x:v>
      </x:c>
      <x:c r="C1817" t="str">
        <x:v>KTO001</x:v>
      </x:c>
      <x:c r="D1817"/>
      <x:c r="E1817" t="str">
        <x:v>KAT013</x:v>
      </x:c>
      <x:c r="F1817"/>
      <x:c r="G1817"/>
      <x:c r="H1817" t="str">
        <x:v>kein_match</x:v>
      </x:c>
      <x:c r="I1817" t="str">
        <x:v>Agent-Draft: keine finale Regelentscheidung</x:v>
      </x:c>
      <x:c r="J1817" t="n">
        <x:v>45540</x:v>
      </x:c>
      <x:c r="K1817"/>
      <x:c r="L1817"/>
      <x:c r="M1817" t="n">
        <x:v>-78.55</x:v>
      </x:c>
      <x:c r="N1817" t="str">
        <x:v>2024-09</x:v>
      </x:c>
      <x:c r="O1817" t="str">
        <x:v>Ausgabe</x:v>
      </x:c>
      <x:c r="P1817" t="str">
        <x:v>Ist</x:v>
      </x:c>
      <x:c r="Q1817" s="59" t="b">
        <x:v>0</x:v>
      </x:c>
      <x:c r="R1817" t="str">
        <x:v>kein_transfer</x:v>
      </x:c>
      <x:c r="S1817"/>
      <x:c r="T1817"/>
      <x:c r="U1817"/>
      <x:c r="V1817" s="59" t="b">
        <x:v>1</x:v>
      </x:c>
      <x:c r="W1817"/>
      <x:c r="X1817" t="str">
        <x:v>offen</x:v>
      </x:c>
      <x:c r="Y1817" t="str">
        <x:v>Agent-Draft; Kategorie und Person pruefen</x:v>
      </x:c>
    </x:row>
    <x:row r="1818">
      <x:c r="A1818" t="str">
        <x:v>TXN-RAW-IMP-20260516-FULLDRAFT-001802</x:v>
      </x:c>
      <x:c r="B1818" t="str">
        <x:v>RAW-IMP-20260516-FULLDRAFT-001802</x:v>
      </x:c>
      <x:c r="C1818" t="str">
        <x:v>KTO001</x:v>
      </x:c>
      <x:c r="D1818"/>
      <x:c r="E1818" t="str">
        <x:v>KAT013</x:v>
      </x:c>
      <x:c r="F1818"/>
      <x:c r="G1818"/>
      <x:c r="H1818" t="str">
        <x:v>kein_match</x:v>
      </x:c>
      <x:c r="I1818" t="str">
        <x:v>Agent-Draft: keine finale Regelentscheidung</x:v>
      </x:c>
      <x:c r="J1818" t="n">
        <x:v>45540</x:v>
      </x:c>
      <x:c r="K1818"/>
      <x:c r="L1818"/>
      <x:c r="M1818" t="n">
        <x:v>-61.94</x:v>
      </x:c>
      <x:c r="N1818" t="str">
        <x:v>2024-09</x:v>
      </x:c>
      <x:c r="O1818" t="str">
        <x:v>Ausgabe</x:v>
      </x:c>
      <x:c r="P1818" t="str">
        <x:v>Ist</x:v>
      </x:c>
      <x:c r="Q1818" s="59" t="b">
        <x:v>0</x:v>
      </x:c>
      <x:c r="R1818" t="str">
        <x:v>kein_transfer</x:v>
      </x:c>
      <x:c r="S1818"/>
      <x:c r="T1818"/>
      <x:c r="U1818"/>
      <x:c r="V1818" s="59" t="b">
        <x:v>1</x:v>
      </x:c>
      <x:c r="W1818"/>
      <x:c r="X1818" t="str">
        <x:v>offen</x:v>
      </x:c>
      <x:c r="Y1818" t="str">
        <x:v>Agent-Draft; Kategorie und Person pruefen</x:v>
      </x:c>
    </x:row>
    <x:row r="1819">
      <x:c r="A1819" t="str">
        <x:v>TXN-RAW-IMP-20260516-FULLDRAFT-001803</x:v>
      </x:c>
      <x:c r="B1819" t="str">
        <x:v>RAW-IMP-20260516-FULLDRAFT-001803</x:v>
      </x:c>
      <x:c r="C1819" t="str">
        <x:v>KTO001</x:v>
      </x:c>
      <x:c r="D1819"/>
      <x:c r="E1819" t="str">
        <x:v>KAT013</x:v>
      </x:c>
      <x:c r="F1819"/>
      <x:c r="G1819"/>
      <x:c r="H1819" t="str">
        <x:v>kein_match</x:v>
      </x:c>
      <x:c r="I1819" t="str">
        <x:v>Agent-Draft: keine finale Regelentscheidung</x:v>
      </x:c>
      <x:c r="J1819" t="n">
        <x:v>45538</x:v>
      </x:c>
      <x:c r="K1819"/>
      <x:c r="L1819"/>
      <x:c r="M1819" t="n">
        <x:v>-118</x:v>
      </x:c>
      <x:c r="N1819" t="str">
        <x:v>2024-09</x:v>
      </x:c>
      <x:c r="O1819" t="str">
        <x:v>Ausgabe</x:v>
      </x:c>
      <x:c r="P1819" t="str">
        <x:v>Ist</x:v>
      </x:c>
      <x:c r="Q1819" s="59" t="b">
        <x:v>0</x:v>
      </x:c>
      <x:c r="R1819" t="str">
        <x:v>kein_transfer</x:v>
      </x:c>
      <x:c r="S1819"/>
      <x:c r="T1819"/>
      <x:c r="U1819"/>
      <x:c r="V1819" s="59" t="b">
        <x:v>1</x:v>
      </x:c>
      <x:c r="W1819"/>
      <x:c r="X1819" t="str">
        <x:v>offen</x:v>
      </x:c>
      <x:c r="Y1819" t="str">
        <x:v>Agent-Draft; Kategorie und Person pruefen</x:v>
      </x:c>
    </x:row>
    <x:row r="1820">
      <x:c r="A1820" t="str">
        <x:v>TXN-RAW-IMP-20260516-FULLDRAFT-001804</x:v>
      </x:c>
      <x:c r="B1820" t="str">
        <x:v>RAW-IMP-20260516-FULLDRAFT-001804</x:v>
      </x:c>
      <x:c r="C1820" t="str">
        <x:v>KTO001</x:v>
      </x:c>
      <x:c r="D1820"/>
      <x:c r="E1820" t="str">
        <x:v>KAT013</x:v>
      </x:c>
      <x:c r="F1820"/>
      <x:c r="G1820"/>
      <x:c r="H1820" t="str">
        <x:v>kein_match</x:v>
      </x:c>
      <x:c r="I1820" t="str">
        <x:v>Agent-Draft: keine finale Regelentscheidung</x:v>
      </x:c>
      <x:c r="J1820" t="n">
        <x:v>45538</x:v>
      </x:c>
      <x:c r="K1820"/>
      <x:c r="L1820"/>
      <x:c r="M1820" t="n">
        <x:v>118</x:v>
      </x:c>
      <x:c r="N1820" t="str">
        <x:v>2024-09</x:v>
      </x:c>
      <x:c r="O1820" t="str">
        <x:v>Einnahme</x:v>
      </x:c>
      <x:c r="P1820" t="str">
        <x:v>Ist</x:v>
      </x:c>
      <x:c r="Q1820" s="59" t="b">
        <x:v>0</x:v>
      </x:c>
      <x:c r="R1820" t="str">
        <x:v>kein_transfer</x:v>
      </x:c>
      <x:c r="S1820"/>
      <x:c r="T1820"/>
      <x:c r="U1820"/>
      <x:c r="V1820" s="59" t="b">
        <x:v>1</x:v>
      </x:c>
      <x:c r="W1820"/>
      <x:c r="X1820" t="str">
        <x:v>offen</x:v>
      </x:c>
      <x:c r="Y1820" t="str">
        <x:v>Agent-Draft; Kategorie und Person pruefen</x:v>
      </x:c>
    </x:row>
    <x:row r="1821">
      <x:c r="A1821" t="str">
        <x:v>TXN-RAW-IMP-20260516-FULLDRAFT-001805</x:v>
      </x:c>
      <x:c r="B1821" t="str">
        <x:v>RAW-IMP-20260516-FULLDRAFT-001805</x:v>
      </x:c>
      <x:c r="C1821" t="str">
        <x:v>KTO001</x:v>
      </x:c>
      <x:c r="D1821"/>
      <x:c r="E1821" t="str">
        <x:v>KAT013</x:v>
      </x:c>
      <x:c r="F1821"/>
      <x:c r="G1821"/>
      <x:c r="H1821" t="str">
        <x:v>kein_match</x:v>
      </x:c>
      <x:c r="I1821" t="str">
        <x:v>Agent-Draft: keine finale Regelentscheidung</x:v>
      </x:c>
      <x:c r="J1821" t="n">
        <x:v>45538</x:v>
      </x:c>
      <x:c r="K1821"/>
      <x:c r="L1821"/>
      <x:c r="M1821" t="n">
        <x:v>-6.98</x:v>
      </x:c>
      <x:c r="N1821" t="str">
        <x:v>2024-09</x:v>
      </x:c>
      <x:c r="O1821" t="str">
        <x:v>Ausgabe</x:v>
      </x:c>
      <x:c r="P1821" t="str">
        <x:v>Ist</x:v>
      </x:c>
      <x:c r="Q1821" s="59" t="b">
        <x:v>0</x:v>
      </x:c>
      <x:c r="R1821" t="str">
        <x:v>kein_transfer</x:v>
      </x:c>
      <x:c r="S1821"/>
      <x:c r="T1821"/>
      <x:c r="U1821"/>
      <x:c r="V1821" s="59" t="b">
        <x:v>1</x:v>
      </x:c>
      <x:c r="W1821"/>
      <x:c r="X1821" t="str">
        <x:v>offen</x:v>
      </x:c>
      <x:c r="Y1821" t="str">
        <x:v>Agent-Draft; Kategorie und Person pruefen</x:v>
      </x:c>
    </x:row>
    <x:row r="1822">
      <x:c r="A1822" t="str">
        <x:v>TXN-RAW-IMP-20260516-FULLDRAFT-001806</x:v>
      </x:c>
      <x:c r="B1822" t="str">
        <x:v>RAW-IMP-20260516-FULLDRAFT-001806</x:v>
      </x:c>
      <x:c r="C1822" t="str">
        <x:v>KTO001</x:v>
      </x:c>
      <x:c r="D1822"/>
      <x:c r="E1822" t="str">
        <x:v>KAT013</x:v>
      </x:c>
      <x:c r="F1822"/>
      <x:c r="G1822"/>
      <x:c r="H1822" t="str">
        <x:v>kein_match</x:v>
      </x:c>
      <x:c r="I1822" t="str">
        <x:v>Agent-Draft: keine finale Regelentscheidung</x:v>
      </x:c>
      <x:c r="J1822" t="n">
        <x:v>45538</x:v>
      </x:c>
      <x:c r="K1822"/>
      <x:c r="L1822"/>
      <x:c r="M1822" t="n">
        <x:v>-220.2</x:v>
      </x:c>
      <x:c r="N1822" t="str">
        <x:v>2024-09</x:v>
      </x:c>
      <x:c r="O1822" t="str">
        <x:v>Ausgabe</x:v>
      </x:c>
      <x:c r="P1822" t="str">
        <x:v>Ist</x:v>
      </x:c>
      <x:c r="Q1822" s="59" t="b">
        <x:v>0</x:v>
      </x:c>
      <x:c r="R1822" t="str">
        <x:v>kein_transfer</x:v>
      </x:c>
      <x:c r="S1822"/>
      <x:c r="T1822"/>
      <x:c r="U1822"/>
      <x:c r="V1822" s="59" t="b">
        <x:v>1</x:v>
      </x:c>
      <x:c r="W1822"/>
      <x:c r="X1822" t="str">
        <x:v>offen</x:v>
      </x:c>
      <x:c r="Y1822" t="str">
        <x:v>Agent-Draft; Kategorie und Person pruefen</x:v>
      </x:c>
    </x:row>
    <x:row r="1823">
      <x:c r="A1823" t="str">
        <x:v>TXN-RAW-IMP-20260516-FULLDRAFT-001807</x:v>
      </x:c>
      <x:c r="B1823" t="str">
        <x:v>RAW-IMP-20260516-FULLDRAFT-001807</x:v>
      </x:c>
      <x:c r="C1823" t="str">
        <x:v>KTO001</x:v>
      </x:c>
      <x:c r="D1823"/>
      <x:c r="E1823" t="str">
        <x:v>KAT013</x:v>
      </x:c>
      <x:c r="F1823"/>
      <x:c r="G1823"/>
      <x:c r="H1823" t="str">
        <x:v>kein_match</x:v>
      </x:c>
      <x:c r="I1823" t="str">
        <x:v>Agent-Draft: keine finale Regelentscheidung</x:v>
      </x:c>
      <x:c r="J1823" t="n">
        <x:v>45538</x:v>
      </x:c>
      <x:c r="K1823"/>
      <x:c r="L1823"/>
      <x:c r="M1823" t="n">
        <x:v>-18.14</x:v>
      </x:c>
      <x:c r="N1823" t="str">
        <x:v>2024-09</x:v>
      </x:c>
      <x:c r="O1823" t="str">
        <x:v>Ausgabe</x:v>
      </x:c>
      <x:c r="P1823" t="str">
        <x:v>Ist</x:v>
      </x:c>
      <x:c r="Q1823" s="59" t="b">
        <x:v>0</x:v>
      </x:c>
      <x:c r="R1823" t="str">
        <x:v>kein_transfer</x:v>
      </x:c>
      <x:c r="S1823"/>
      <x:c r="T1823"/>
      <x:c r="U1823"/>
      <x:c r="V1823" s="59" t="b">
        <x:v>1</x:v>
      </x:c>
      <x:c r="W1823"/>
      <x:c r="X1823" t="str">
        <x:v>offen</x:v>
      </x:c>
      <x:c r="Y1823" t="str">
        <x:v>Agent-Draft; Kategorie und Person pruefen</x:v>
      </x:c>
    </x:row>
    <x:row r="1824">
      <x:c r="A1824" t="str">
        <x:v>TXN-RAW-IMP-20260516-FULLDRAFT-001808</x:v>
      </x:c>
      <x:c r="B1824" t="str">
        <x:v>RAW-IMP-20260516-FULLDRAFT-001808</x:v>
      </x:c>
      <x:c r="C1824" t="str">
        <x:v>KTO001</x:v>
      </x:c>
      <x:c r="D1824"/>
      <x:c r="E1824" t="str">
        <x:v>KAT013</x:v>
      </x:c>
      <x:c r="F1824"/>
      <x:c r="G1824"/>
      <x:c r="H1824" t="str">
        <x:v>kein_match</x:v>
      </x:c>
      <x:c r="I1824" t="str">
        <x:v>Agent-Draft: keine finale Regelentscheidung</x:v>
      </x:c>
      <x:c r="J1824" t="n">
        <x:v>45538</x:v>
      </x:c>
      <x:c r="K1824"/>
      <x:c r="L1824"/>
      <x:c r="M1824" t="n">
        <x:v>-53.3</x:v>
      </x:c>
      <x:c r="N1824" t="str">
        <x:v>2024-09</x:v>
      </x:c>
      <x:c r="O1824" t="str">
        <x:v>Ausgabe</x:v>
      </x:c>
      <x:c r="P1824" t="str">
        <x:v>Ist</x:v>
      </x:c>
      <x:c r="Q1824" s="59" t="b">
        <x:v>0</x:v>
      </x:c>
      <x:c r="R1824" t="str">
        <x:v>kein_transfer</x:v>
      </x:c>
      <x:c r="S1824"/>
      <x:c r="T1824"/>
      <x:c r="U1824"/>
      <x:c r="V1824" s="59" t="b">
        <x:v>1</x:v>
      </x:c>
      <x:c r="W1824"/>
      <x:c r="X1824" t="str">
        <x:v>offen</x:v>
      </x:c>
      <x:c r="Y1824" t="str">
        <x:v>Agent-Draft; Kategorie und Person pruefen</x:v>
      </x:c>
    </x:row>
    <x:row r="1825">
      <x:c r="A1825" t="str">
        <x:v>TXN-RAW-IMP-20260516-FULLDRAFT-001809</x:v>
      </x:c>
      <x:c r="B1825" t="str">
        <x:v>RAW-IMP-20260516-FULLDRAFT-001809</x:v>
      </x:c>
      <x:c r="C1825" t="str">
        <x:v>KTO001</x:v>
      </x:c>
      <x:c r="D1825"/>
      <x:c r="E1825" t="str">
        <x:v>KAT013</x:v>
      </x:c>
      <x:c r="F1825"/>
      <x:c r="G1825"/>
      <x:c r="H1825" t="str">
        <x:v>kein_match</x:v>
      </x:c>
      <x:c r="I1825" t="str">
        <x:v>Agent-Draft: keine finale Regelentscheidung</x:v>
      </x:c>
      <x:c r="J1825" t="n">
        <x:v>45538</x:v>
      </x:c>
      <x:c r="K1825"/>
      <x:c r="L1825"/>
      <x:c r="M1825" t="n">
        <x:v>-11.96</x:v>
      </x:c>
      <x:c r="N1825" t="str">
        <x:v>2024-09</x:v>
      </x:c>
      <x:c r="O1825" t="str">
        <x:v>Ausgabe</x:v>
      </x:c>
      <x:c r="P1825" t="str">
        <x:v>Ist</x:v>
      </x:c>
      <x:c r="Q1825" s="59" t="b">
        <x:v>0</x:v>
      </x:c>
      <x:c r="R1825" t="str">
        <x:v>kein_transfer</x:v>
      </x:c>
      <x:c r="S1825"/>
      <x:c r="T1825"/>
      <x:c r="U1825"/>
      <x:c r="V1825" s="59" t="b">
        <x:v>1</x:v>
      </x:c>
      <x:c r="W1825"/>
      <x:c r="X1825" t="str">
        <x:v>offen</x:v>
      </x:c>
      <x:c r="Y1825" t="str">
        <x:v>Agent-Draft; Kategorie und Person pruefen</x:v>
      </x:c>
    </x:row>
    <x:row r="1826">
      <x:c r="A1826" t="str">
        <x:v>TXN-RAW-IMP-20260516-FULLDRAFT-001810</x:v>
      </x:c>
      <x:c r="B1826" t="str">
        <x:v>RAW-IMP-20260516-FULLDRAFT-001810</x:v>
      </x:c>
      <x:c r="C1826" t="str">
        <x:v>KTO001</x:v>
      </x:c>
      <x:c r="D1826"/>
      <x:c r="E1826" t="str">
        <x:v>KAT013</x:v>
      </x:c>
      <x:c r="F1826"/>
      <x:c r="G1826"/>
      <x:c r="H1826" t="str">
        <x:v>kein_match</x:v>
      </x:c>
      <x:c r="I1826" t="str">
        <x:v>Agent-Draft: keine finale Regelentscheidung</x:v>
      </x:c>
      <x:c r="J1826" t="n">
        <x:v>45538</x:v>
      </x:c>
      <x:c r="K1826"/>
      <x:c r="L1826"/>
      <x:c r="M1826" t="n">
        <x:v>-57.5</x:v>
      </x:c>
      <x:c r="N1826" t="str">
        <x:v>2024-09</x:v>
      </x:c>
      <x:c r="O1826" t="str">
        <x:v>Ausgabe</x:v>
      </x:c>
      <x:c r="P1826" t="str">
        <x:v>Ist</x:v>
      </x:c>
      <x:c r="Q1826" s="59" t="b">
        <x:v>0</x:v>
      </x:c>
      <x:c r="R1826" t="str">
        <x:v>kein_transfer</x:v>
      </x:c>
      <x:c r="S1826"/>
      <x:c r="T1826"/>
      <x:c r="U1826"/>
      <x:c r="V1826" s="59" t="b">
        <x:v>1</x:v>
      </x:c>
      <x:c r="W1826"/>
      <x:c r="X1826" t="str">
        <x:v>offen</x:v>
      </x:c>
      <x:c r="Y1826" t="str">
        <x:v>Agent-Draft; Kategorie und Person pruefen</x:v>
      </x:c>
    </x:row>
    <x:row r="1827">
      <x:c r="A1827" t="str">
        <x:v>TXN-RAW-IMP-20260516-FULLDRAFT-001811</x:v>
      </x:c>
      <x:c r="B1827" t="str">
        <x:v>RAW-IMP-20260516-FULLDRAFT-001811</x:v>
      </x:c>
      <x:c r="C1827" t="str">
        <x:v>KTO001</x:v>
      </x:c>
      <x:c r="D1827"/>
      <x:c r="E1827" t="str">
        <x:v>KAT013</x:v>
      </x:c>
      <x:c r="F1827"/>
      <x:c r="G1827"/>
      <x:c r="H1827" t="str">
        <x:v>kein_match</x:v>
      </x:c>
      <x:c r="I1827" t="str">
        <x:v>Agent-Draft: keine finale Regelentscheidung</x:v>
      </x:c>
      <x:c r="J1827" t="n">
        <x:v>45537</x:v>
      </x:c>
      <x:c r="K1827"/>
      <x:c r="L1827"/>
      <x:c r="M1827" t="n">
        <x:v>-123.99</x:v>
      </x:c>
      <x:c r="N1827" t="str">
        <x:v>2024-09</x:v>
      </x:c>
      <x:c r="O1827" t="str">
        <x:v>Ausgabe</x:v>
      </x:c>
      <x:c r="P1827" t="str">
        <x:v>Ist</x:v>
      </x:c>
      <x:c r="Q1827" s="59" t="b">
        <x:v>0</x:v>
      </x:c>
      <x:c r="R1827" t="str">
        <x:v>kein_transfer</x:v>
      </x:c>
      <x:c r="S1827"/>
      <x:c r="T1827"/>
      <x:c r="U1827"/>
      <x:c r="V1827" s="59" t="b">
        <x:v>1</x:v>
      </x:c>
      <x:c r="W1827"/>
      <x:c r="X1827" t="str">
        <x:v>offen</x:v>
      </x:c>
      <x:c r="Y1827" t="str">
        <x:v>Agent-Draft; Kategorie und Person pruefen</x:v>
      </x:c>
    </x:row>
    <x:row r="1828">
      <x:c r="A1828" t="str">
        <x:v>TXN-RAW-IMP-20260516-FULLDRAFT-001812</x:v>
      </x:c>
      <x:c r="B1828" t="str">
        <x:v>RAW-IMP-20260516-FULLDRAFT-001812</x:v>
      </x:c>
      <x:c r="C1828" t="str">
        <x:v>KTO001</x:v>
      </x:c>
      <x:c r="D1828"/>
      <x:c r="E1828" t="str">
        <x:v>KAT013</x:v>
      </x:c>
      <x:c r="F1828"/>
      <x:c r="G1828"/>
      <x:c r="H1828" t="str">
        <x:v>kein_match</x:v>
      </x:c>
      <x:c r="I1828" t="str">
        <x:v>Agent-Draft: keine finale Regelentscheidung</x:v>
      </x:c>
      <x:c r="J1828" t="n">
        <x:v>45537</x:v>
      </x:c>
      <x:c r="K1828"/>
      <x:c r="L1828"/>
      <x:c r="M1828" t="n">
        <x:v>750</x:v>
      </x:c>
      <x:c r="N1828" t="str">
        <x:v>2024-09</x:v>
      </x:c>
      <x:c r="O1828" t="str">
        <x:v>Einnahme</x:v>
      </x:c>
      <x:c r="P1828" t="str">
        <x:v>Ist</x:v>
      </x:c>
      <x:c r="Q1828" s="59" t="b">
        <x:v>0</x:v>
      </x:c>
      <x:c r="R1828" t="str">
        <x:v>kein_transfer</x:v>
      </x:c>
      <x:c r="S1828"/>
      <x:c r="T1828"/>
      <x:c r="U1828"/>
      <x:c r="V1828" s="59" t="b">
        <x:v>1</x:v>
      </x:c>
      <x:c r="W1828"/>
      <x:c r="X1828" t="str">
        <x:v>offen</x:v>
      </x:c>
      <x:c r="Y1828" t="str">
        <x:v>Agent-Draft; Kategorie und Person pruefen</x:v>
      </x:c>
    </x:row>
    <x:row r="1829">
      <x:c r="A1829" t="str">
        <x:v>TXN-RAW-IMP-20260516-FULLDRAFT-001813</x:v>
      </x:c>
      <x:c r="B1829" t="str">
        <x:v>RAW-IMP-20260516-FULLDRAFT-001813</x:v>
      </x:c>
      <x:c r="C1829" t="str">
        <x:v>KTO001</x:v>
      </x:c>
      <x:c r="D1829"/>
      <x:c r="E1829" t="str">
        <x:v>KAT013</x:v>
      </x:c>
      <x:c r="F1829"/>
      <x:c r="G1829"/>
      <x:c r="H1829" t="str">
        <x:v>kein_match</x:v>
      </x:c>
      <x:c r="I1829" t="str">
        <x:v>Agent-Draft: keine finale Regelentscheidung</x:v>
      </x:c>
      <x:c r="J1829" t="n">
        <x:v>45537</x:v>
      </x:c>
      <x:c r="K1829"/>
      <x:c r="L1829"/>
      <x:c r="M1829" t="n">
        <x:v>-207.54</x:v>
      </x:c>
      <x:c r="N1829" t="str">
        <x:v>2024-09</x:v>
      </x:c>
      <x:c r="O1829" t="str">
        <x:v>Ausgabe</x:v>
      </x:c>
      <x:c r="P1829" t="str">
        <x:v>Ist</x:v>
      </x:c>
      <x:c r="Q1829" s="59" t="b">
        <x:v>0</x:v>
      </x:c>
      <x:c r="R1829" t="str">
        <x:v>kein_transfer</x:v>
      </x:c>
      <x:c r="S1829"/>
      <x:c r="T1829"/>
      <x:c r="U1829"/>
      <x:c r="V1829" s="59" t="b">
        <x:v>1</x:v>
      </x:c>
      <x:c r="W1829"/>
      <x:c r="X1829" t="str">
        <x:v>offen</x:v>
      </x:c>
      <x:c r="Y1829" t="str">
        <x:v>Agent-Draft; Kategorie und Person pruefen</x:v>
      </x:c>
    </x:row>
    <x:row r="1830">
      <x:c r="A1830" t="str">
        <x:v>TXN-RAW-IMP-20260516-FULLDRAFT-001814</x:v>
      </x:c>
      <x:c r="B1830" t="str">
        <x:v>RAW-IMP-20260516-FULLDRAFT-001814</x:v>
      </x:c>
      <x:c r="C1830" t="str">
        <x:v>KTO001</x:v>
      </x:c>
      <x:c r="D1830"/>
      <x:c r="E1830" t="str">
        <x:v>KAT013</x:v>
      </x:c>
      <x:c r="F1830"/>
      <x:c r="G1830"/>
      <x:c r="H1830" t="str">
        <x:v>kein_match</x:v>
      </x:c>
      <x:c r="I1830" t="str">
        <x:v>Agent-Draft: keine finale Regelentscheidung</x:v>
      </x:c>
      <x:c r="J1830" t="n">
        <x:v>45537</x:v>
      </x:c>
      <x:c r="K1830"/>
      <x:c r="L1830"/>
      <x:c r="M1830" t="n">
        <x:v>-52.95</x:v>
      </x:c>
      <x:c r="N1830" t="str">
        <x:v>2024-09</x:v>
      </x:c>
      <x:c r="O1830" t="str">
        <x:v>Ausgabe</x:v>
      </x:c>
      <x:c r="P1830" t="str">
        <x:v>Ist</x:v>
      </x:c>
      <x:c r="Q1830" s="59" t="b">
        <x:v>0</x:v>
      </x:c>
      <x:c r="R1830" t="str">
        <x:v>kein_transfer</x:v>
      </x:c>
      <x:c r="S1830"/>
      <x:c r="T1830"/>
      <x:c r="U1830"/>
      <x:c r="V1830" s="59" t="b">
        <x:v>1</x:v>
      </x:c>
      <x:c r="W1830"/>
      <x:c r="X1830" t="str">
        <x:v>offen</x:v>
      </x:c>
      <x:c r="Y1830" t="str">
        <x:v>Agent-Draft; Kategorie und Person pruefen</x:v>
      </x:c>
    </x:row>
    <x:row r="1831">
      <x:c r="A1831" t="str">
        <x:v>TXN-RAW-IMP-20260516-FULLDRAFT-001815</x:v>
      </x:c>
      <x:c r="B1831" t="str">
        <x:v>RAW-IMP-20260516-FULLDRAFT-001815</x:v>
      </x:c>
      <x:c r="C1831" t="str">
        <x:v>KTO001</x:v>
      </x:c>
      <x:c r="D1831"/>
      <x:c r="E1831" t="str">
        <x:v>KAT013</x:v>
      </x:c>
      <x:c r="F1831"/>
      <x:c r="G1831"/>
      <x:c r="H1831" t="str">
        <x:v>kein_match</x:v>
      </x:c>
      <x:c r="I1831" t="str">
        <x:v>Agent-Draft: keine finale Regelentscheidung</x:v>
      </x:c>
      <x:c r="J1831" t="n">
        <x:v>45537</x:v>
      </x:c>
      <x:c r="K1831"/>
      <x:c r="L1831"/>
      <x:c r="M1831" t="n">
        <x:v>-18.99</x:v>
      </x:c>
      <x:c r="N1831" t="str">
        <x:v>2024-09</x:v>
      </x:c>
      <x:c r="O1831" t="str">
        <x:v>Ausgabe</x:v>
      </x:c>
      <x:c r="P1831" t="str">
        <x:v>Ist</x:v>
      </x:c>
      <x:c r="Q1831" s="59" t="b">
        <x:v>0</x:v>
      </x:c>
      <x:c r="R1831" t="str">
        <x:v>kein_transfer</x:v>
      </x:c>
      <x:c r="S1831"/>
      <x:c r="T1831"/>
      <x:c r="U1831"/>
      <x:c r="V1831" s="59" t="b">
        <x:v>1</x:v>
      </x:c>
      <x:c r="W1831"/>
      <x:c r="X1831" t="str">
        <x:v>offen</x:v>
      </x:c>
      <x:c r="Y1831" t="str">
        <x:v>Agent-Draft; Kategorie und Person pruefen</x:v>
      </x:c>
    </x:row>
    <x:row r="1832">
      <x:c r="A1832" t="str">
        <x:v>TXN-RAW-IMP-20260516-FULLDRAFT-001816</x:v>
      </x:c>
      <x:c r="B1832" t="str">
        <x:v>RAW-IMP-20260516-FULLDRAFT-001816</x:v>
      </x:c>
      <x:c r="C1832" t="str">
        <x:v>KTO001</x:v>
      </x:c>
      <x:c r="D1832"/>
      <x:c r="E1832" t="str">
        <x:v>KAT013</x:v>
      </x:c>
      <x:c r="F1832"/>
      <x:c r="G1832"/>
      <x:c r="H1832" t="str">
        <x:v>kein_match</x:v>
      </x:c>
      <x:c r="I1832" t="str">
        <x:v>Agent-Draft: keine finale Regelentscheidung</x:v>
      </x:c>
      <x:c r="J1832" t="n">
        <x:v>45537</x:v>
      </x:c>
      <x:c r="K1832"/>
      <x:c r="L1832"/>
      <x:c r="M1832" t="n">
        <x:v>-96.71</x:v>
      </x:c>
      <x:c r="N1832" t="str">
        <x:v>2024-09</x:v>
      </x:c>
      <x:c r="O1832" t="str">
        <x:v>Ausgabe</x:v>
      </x:c>
      <x:c r="P1832" t="str">
        <x:v>Ist</x:v>
      </x:c>
      <x:c r="Q1832" s="59" t="b">
        <x:v>0</x:v>
      </x:c>
      <x:c r="R1832" t="str">
        <x:v>kein_transfer</x:v>
      </x:c>
      <x:c r="S1832"/>
      <x:c r="T1832"/>
      <x:c r="U1832"/>
      <x:c r="V1832" s="59" t="b">
        <x:v>1</x:v>
      </x:c>
      <x:c r="W1832"/>
      <x:c r="X1832" t="str">
        <x:v>offen</x:v>
      </x:c>
      <x:c r="Y1832" t="str">
        <x:v>Agent-Draft; Kategorie und Person pruefen</x:v>
      </x:c>
    </x:row>
    <x:row r="1833">
      <x:c r="A1833" t="str">
        <x:v>TXN-RAW-IMP-20260516-FULLDRAFT-001817</x:v>
      </x:c>
      <x:c r="B1833" t="str">
        <x:v>RAW-IMP-20260516-FULLDRAFT-001817</x:v>
      </x:c>
      <x:c r="C1833" t="str">
        <x:v>KTO001</x:v>
      </x:c>
      <x:c r="D1833"/>
      <x:c r="E1833" t="str">
        <x:v>KAT013</x:v>
      </x:c>
      <x:c r="F1833"/>
      <x:c r="G1833"/>
      <x:c r="H1833" t="str">
        <x:v>kein_match</x:v>
      </x:c>
      <x:c r="I1833" t="str">
        <x:v>Agent-Draft: keine finale Regelentscheidung</x:v>
      </x:c>
      <x:c r="J1833" t="n">
        <x:v>45537</x:v>
      </x:c>
      <x:c r="K1833"/>
      <x:c r="L1833"/>
      <x:c r="M1833" t="n">
        <x:v>-452.71</x:v>
      </x:c>
      <x:c r="N1833" t="str">
        <x:v>2024-09</x:v>
      </x:c>
      <x:c r="O1833" t="str">
        <x:v>Ausgabe</x:v>
      </x:c>
      <x:c r="P1833" t="str">
        <x:v>Ist</x:v>
      </x:c>
      <x:c r="Q1833" s="59" t="b">
        <x:v>0</x:v>
      </x:c>
      <x:c r="R1833" t="str">
        <x:v>kein_transfer</x:v>
      </x:c>
      <x:c r="S1833"/>
      <x:c r="T1833"/>
      <x:c r="U1833"/>
      <x:c r="V1833" s="59" t="b">
        <x:v>1</x:v>
      </x:c>
      <x:c r="W1833"/>
      <x:c r="X1833" t="str">
        <x:v>offen</x:v>
      </x:c>
      <x:c r="Y1833" t="str">
        <x:v>Agent-Draft; Kategorie und Person pruefen</x:v>
      </x:c>
    </x:row>
    <x:row r="1834">
      <x:c r="A1834" t="str">
        <x:v>TXN-RAW-IMP-20260516-FULLDRAFT-001818</x:v>
      </x:c>
      <x:c r="B1834" t="str">
        <x:v>RAW-IMP-20260516-FULLDRAFT-001818</x:v>
      </x:c>
      <x:c r="C1834" t="str">
        <x:v>KTO001</x:v>
      </x:c>
      <x:c r="D1834"/>
      <x:c r="E1834" t="str">
        <x:v>KAT013</x:v>
      </x:c>
      <x:c r="F1834"/>
      <x:c r="G1834"/>
      <x:c r="H1834" t="str">
        <x:v>kein_match</x:v>
      </x:c>
      <x:c r="I1834" t="str">
        <x:v>Agent-Draft: keine finale Regelentscheidung</x:v>
      </x:c>
      <x:c r="J1834" t="n">
        <x:v>45537</x:v>
      </x:c>
      <x:c r="K1834"/>
      <x:c r="L1834"/>
      <x:c r="M1834" t="n">
        <x:v>-97.12</x:v>
      </x:c>
      <x:c r="N1834" t="str">
        <x:v>2024-09</x:v>
      </x:c>
      <x:c r="O1834" t="str">
        <x:v>Ausgabe</x:v>
      </x:c>
      <x:c r="P1834" t="str">
        <x:v>Ist</x:v>
      </x:c>
      <x:c r="Q1834" s="59" t="b">
        <x:v>0</x:v>
      </x:c>
      <x:c r="R1834" t="str">
        <x:v>kein_transfer</x:v>
      </x:c>
      <x:c r="S1834"/>
      <x:c r="T1834"/>
      <x:c r="U1834"/>
      <x:c r="V1834" s="59" t="b">
        <x:v>1</x:v>
      </x:c>
      <x:c r="W1834"/>
      <x:c r="X1834" t="str">
        <x:v>offen</x:v>
      </x:c>
      <x:c r="Y1834" t="str">
        <x:v>Agent-Draft; Kategorie und Person pruefen</x:v>
      </x:c>
    </x:row>
    <x:row r="1835">
      <x:c r="A1835" t="str">
        <x:v>TXN-RAW-IMP-20260516-FULLDRAFT-001819</x:v>
      </x:c>
      <x:c r="B1835" t="str">
        <x:v>RAW-IMP-20260516-FULLDRAFT-001819</x:v>
      </x:c>
      <x:c r="C1835" t="str">
        <x:v>KTO001</x:v>
      </x:c>
      <x:c r="D1835"/>
      <x:c r="E1835" t="str">
        <x:v>KAT013</x:v>
      </x:c>
      <x:c r="F1835"/>
      <x:c r="G1835"/>
      <x:c r="H1835" t="str">
        <x:v>kein_match</x:v>
      </x:c>
      <x:c r="I1835" t="str">
        <x:v>Agent-Draft: keine finale Regelentscheidung</x:v>
      </x:c>
      <x:c r="J1835" t="n">
        <x:v>45537</x:v>
      </x:c>
      <x:c r="K1835"/>
      <x:c r="L1835"/>
      <x:c r="M1835" t="n">
        <x:v>-66.15</x:v>
      </x:c>
      <x:c r="N1835" t="str">
        <x:v>2024-09</x:v>
      </x:c>
      <x:c r="O1835" t="str">
        <x:v>Ausgabe</x:v>
      </x:c>
      <x:c r="P1835" t="str">
        <x:v>Ist</x:v>
      </x:c>
      <x:c r="Q1835" s="59" t="b">
        <x:v>0</x:v>
      </x:c>
      <x:c r="R1835" t="str">
        <x:v>kein_transfer</x:v>
      </x:c>
      <x:c r="S1835"/>
      <x:c r="T1835"/>
      <x:c r="U1835"/>
      <x:c r="V1835" s="59" t="b">
        <x:v>1</x:v>
      </x:c>
      <x:c r="W1835"/>
      <x:c r="X1835" t="str">
        <x:v>offen</x:v>
      </x:c>
      <x:c r="Y1835" t="str">
        <x:v>Agent-Draft; Kategorie und Person pruefen</x:v>
      </x:c>
    </x:row>
    <x:row r="1836">
      <x:c r="A1836" t="str">
        <x:v>TXN-RAW-IMP-20260516-FULLDRAFT-001820</x:v>
      </x:c>
      <x:c r="B1836" t="str">
        <x:v>RAW-IMP-20260516-FULLDRAFT-001820</x:v>
      </x:c>
      <x:c r="C1836" t="str">
        <x:v>KTO001</x:v>
      </x:c>
      <x:c r="D1836"/>
      <x:c r="E1836" t="str">
        <x:v>KAT013</x:v>
      </x:c>
      <x:c r="F1836"/>
      <x:c r="G1836"/>
      <x:c r="H1836" t="str">
        <x:v>kein_match</x:v>
      </x:c>
      <x:c r="I1836" t="str">
        <x:v>Agent-Draft: keine finale Regelentscheidung</x:v>
      </x:c>
      <x:c r="J1836" t="n">
        <x:v>45537</x:v>
      </x:c>
      <x:c r="K1836"/>
      <x:c r="L1836"/>
      <x:c r="M1836" t="n">
        <x:v>-162.17</x:v>
      </x:c>
      <x:c r="N1836" t="str">
        <x:v>2024-09</x:v>
      </x:c>
      <x:c r="O1836" t="str">
        <x:v>Ausgabe</x:v>
      </x:c>
      <x:c r="P1836" t="str">
        <x:v>Ist</x:v>
      </x:c>
      <x:c r="Q1836" s="59" t="b">
        <x:v>0</x:v>
      </x:c>
      <x:c r="R1836" t="str">
        <x:v>kein_transfer</x:v>
      </x:c>
      <x:c r="S1836"/>
      <x:c r="T1836"/>
      <x:c r="U1836"/>
      <x:c r="V1836" s="59" t="b">
        <x:v>1</x:v>
      </x:c>
      <x:c r="W1836"/>
      <x:c r="X1836" t="str">
        <x:v>offen</x:v>
      </x:c>
      <x:c r="Y1836" t="str">
        <x:v>Agent-Draft; Kategorie und Person pruefen</x:v>
      </x:c>
    </x:row>
    <x:row r="1837">
      <x:c r="A1837" t="str">
        <x:v>TXN-RAW-IMP-20260516-FULLDRAFT-001821</x:v>
      </x:c>
      <x:c r="B1837" t="str">
        <x:v>RAW-IMP-20260516-FULLDRAFT-001821</x:v>
      </x:c>
      <x:c r="C1837" t="str">
        <x:v>KTO001</x:v>
      </x:c>
      <x:c r="D1837"/>
      <x:c r="E1837" t="str">
        <x:v>KAT013</x:v>
      </x:c>
      <x:c r="F1837"/>
      <x:c r="G1837"/>
      <x:c r="H1837" t="str">
        <x:v>kein_match</x:v>
      </x:c>
      <x:c r="I1837" t="str">
        <x:v>Agent-Draft: keine finale Regelentscheidung</x:v>
      </x:c>
      <x:c r="J1837" t="n">
        <x:v>45537</x:v>
      </x:c>
      <x:c r="K1837"/>
      <x:c r="L1837"/>
      <x:c r="M1837" t="n">
        <x:v>-422</x:v>
      </x:c>
      <x:c r="N1837" t="str">
        <x:v>2024-09</x:v>
      </x:c>
      <x:c r="O1837" t="str">
        <x:v>Ausgabe</x:v>
      </x:c>
      <x:c r="P1837" t="str">
        <x:v>Ist</x:v>
      </x:c>
      <x:c r="Q1837" s="59" t="b">
        <x:v>0</x:v>
      </x:c>
      <x:c r="R1837" t="str">
        <x:v>kein_transfer</x:v>
      </x:c>
      <x:c r="S1837"/>
      <x:c r="T1837"/>
      <x:c r="U1837"/>
      <x:c r="V1837" s="59" t="b">
        <x:v>1</x:v>
      </x:c>
      <x:c r="W1837"/>
      <x:c r="X1837" t="str">
        <x:v>offen</x:v>
      </x:c>
      <x:c r="Y1837" t="str">
        <x:v>Agent-Draft; Kategorie und Person pruefen</x:v>
      </x:c>
    </x:row>
    <x:row r="1838">
      <x:c r="A1838" t="str">
        <x:v>TXN-RAW-IMP-20260516-FULLDRAFT-001822</x:v>
      </x:c>
      <x:c r="B1838" t="str">
        <x:v>RAW-IMP-20260516-FULLDRAFT-001822</x:v>
      </x:c>
      <x:c r="C1838" t="str">
        <x:v>KTO001</x:v>
      </x:c>
      <x:c r="D1838"/>
      <x:c r="E1838" t="str">
        <x:v>KAT013</x:v>
      </x:c>
      <x:c r="F1838"/>
      <x:c r="G1838"/>
      <x:c r="H1838" t="str">
        <x:v>kein_match</x:v>
      </x:c>
      <x:c r="I1838" t="str">
        <x:v>Agent-Draft: keine finale Regelentscheidung</x:v>
      </x:c>
      <x:c r="J1838" t="n">
        <x:v>45537</x:v>
      </x:c>
      <x:c r="K1838"/>
      <x:c r="L1838"/>
      <x:c r="M1838" t="n">
        <x:v>-600</x:v>
      </x:c>
      <x:c r="N1838" t="str">
        <x:v>2024-09</x:v>
      </x:c>
      <x:c r="O1838" t="str">
        <x:v>Ausgabe</x:v>
      </x:c>
      <x:c r="P1838" t="str">
        <x:v>Ist</x:v>
      </x:c>
      <x:c r="Q1838" s="59" t="b">
        <x:v>0</x:v>
      </x:c>
      <x:c r="R1838" t="str">
        <x:v>kein_transfer</x:v>
      </x:c>
      <x:c r="S1838"/>
      <x:c r="T1838"/>
      <x:c r="U1838"/>
      <x:c r="V1838" s="59" t="b">
        <x:v>1</x:v>
      </x:c>
      <x:c r="W1838"/>
      <x:c r="X1838" t="str">
        <x:v>offen</x:v>
      </x:c>
      <x:c r="Y1838" t="str">
        <x:v>Agent-Draft; Kategorie und Person pruefen</x:v>
      </x:c>
    </x:row>
    <x:row r="1839">
      <x:c r="A1839" t="str">
        <x:v>TXN-RAW-IMP-20260516-FULLDRAFT-001823</x:v>
      </x:c>
      <x:c r="B1839" t="str">
        <x:v>RAW-IMP-20260516-FULLDRAFT-001823</x:v>
      </x:c>
      <x:c r="C1839" t="str">
        <x:v>KTO001</x:v>
      </x:c>
      <x:c r="D1839"/>
      <x:c r="E1839" t="str">
        <x:v>KAT013</x:v>
      </x:c>
      <x:c r="F1839"/>
      <x:c r="G1839"/>
      <x:c r="H1839" t="str">
        <x:v>kein_match</x:v>
      </x:c>
      <x:c r="I1839" t="str">
        <x:v>Agent-Draft: keine finale Regelentscheidung</x:v>
      </x:c>
      <x:c r="J1839" t="n">
        <x:v>45537</x:v>
      </x:c>
      <x:c r="K1839"/>
      <x:c r="L1839"/>
      <x:c r="M1839" t="n">
        <x:v>-1400</x:v>
      </x:c>
      <x:c r="N1839" t="str">
        <x:v>2024-09</x:v>
      </x:c>
      <x:c r="O1839" t="str">
        <x:v>Ausgabe</x:v>
      </x:c>
      <x:c r="P1839" t="str">
        <x:v>Ist</x:v>
      </x:c>
      <x:c r="Q1839" s="59" t="b">
        <x:v>0</x:v>
      </x:c>
      <x:c r="R1839" t="str">
        <x:v>kein_transfer</x:v>
      </x:c>
      <x:c r="S1839"/>
      <x:c r="T1839"/>
      <x:c r="U1839"/>
      <x:c r="V1839" s="59" t="b">
        <x:v>1</x:v>
      </x:c>
      <x:c r="W1839"/>
      <x:c r="X1839" t="str">
        <x:v>offen</x:v>
      </x:c>
      <x:c r="Y1839" t="str">
        <x:v>Agent-Draft; Kategorie und Person pruefen</x:v>
      </x:c>
    </x:row>
    <x:row r="1840">
      <x:c r="A1840" t="str">
        <x:v>TXN-RAW-IMP-20260516-FULLDRAFT-001824</x:v>
      </x:c>
      <x:c r="B1840" t="str">
        <x:v>RAW-IMP-20260516-FULLDRAFT-001824</x:v>
      </x:c>
      <x:c r="C1840" t="str">
        <x:v>KTO001</x:v>
      </x:c>
      <x:c r="D1840"/>
      <x:c r="E1840" t="str">
        <x:v>KAT013</x:v>
      </x:c>
      <x:c r="F1840"/>
      <x:c r="G1840"/>
      <x:c r="H1840" t="str">
        <x:v>kein_match</x:v>
      </x:c>
      <x:c r="I1840" t="str">
        <x:v>Agent-Draft: keine finale Regelentscheidung</x:v>
      </x:c>
      <x:c r="J1840" t="n">
        <x:v>45537</x:v>
      </x:c>
      <x:c r="K1840"/>
      <x:c r="L1840"/>
      <x:c r="M1840" t="n">
        <x:v>-1800</x:v>
      </x:c>
      <x:c r="N1840" t="str">
        <x:v>2024-09</x:v>
      </x:c>
      <x:c r="O1840" t="str">
        <x:v>Ausgabe</x:v>
      </x:c>
      <x:c r="P1840" t="str">
        <x:v>Ist</x:v>
      </x:c>
      <x:c r="Q1840" s="59" t="b">
        <x:v>0</x:v>
      </x:c>
      <x:c r="R1840" t="str">
        <x:v>kein_transfer</x:v>
      </x:c>
      <x:c r="S1840"/>
      <x:c r="T1840"/>
      <x:c r="U1840"/>
      <x:c r="V1840" s="59" t="b">
        <x:v>1</x:v>
      </x:c>
      <x:c r="W1840"/>
      <x:c r="X1840" t="str">
        <x:v>offen</x:v>
      </x:c>
      <x:c r="Y1840" t="str">
        <x:v>Agent-Draft; Kategorie und Person pruefen</x:v>
      </x:c>
    </x:row>
    <x:row r="1841">
      <x:c r="A1841" t="str">
        <x:v>TXN-RAW-IMP-20260516-FULLDRAFT-001825</x:v>
      </x:c>
      <x:c r="B1841" t="str">
        <x:v>RAW-IMP-20260516-FULLDRAFT-001825</x:v>
      </x:c>
      <x:c r="C1841" t="str">
        <x:v>KTO001</x:v>
      </x:c>
      <x:c r="D1841"/>
      <x:c r="E1841" t="str">
        <x:v>KAT013</x:v>
      </x:c>
      <x:c r="F1841"/>
      <x:c r="G1841"/>
      <x:c r="H1841" t="str">
        <x:v>kein_match</x:v>
      </x:c>
      <x:c r="I1841" t="str">
        <x:v>Agent-Draft: keine finale Regelentscheidung</x:v>
      </x:c>
      <x:c r="J1841" t="n">
        <x:v>45537</x:v>
      </x:c>
      <x:c r="K1841"/>
      <x:c r="L1841"/>
      <x:c r="M1841" t="n">
        <x:v>-1153.94</x:v>
      </x:c>
      <x:c r="N1841" t="str">
        <x:v>2024-09</x:v>
      </x:c>
      <x:c r="O1841" t="str">
        <x:v>Ausgabe</x:v>
      </x:c>
      <x:c r="P1841" t="str">
        <x:v>Ist</x:v>
      </x:c>
      <x:c r="Q1841" s="59" t="b">
        <x:v>0</x:v>
      </x:c>
      <x:c r="R1841" t="str">
        <x:v>kein_transfer</x:v>
      </x:c>
      <x:c r="S1841"/>
      <x:c r="T1841"/>
      <x:c r="U1841"/>
      <x:c r="V1841" s="59" t="b">
        <x:v>1</x:v>
      </x:c>
      <x:c r="W1841"/>
      <x:c r="X1841" t="str">
        <x:v>offen</x:v>
      </x:c>
      <x:c r="Y1841" t="str">
        <x:v>Agent-Draft; Kategorie und Person pruefen</x:v>
      </x:c>
    </x:row>
    <x:row r="1842">
      <x:c r="A1842" t="str">
        <x:v>TXN-RAW-IMP-20260516-FULLDRAFT-001826</x:v>
      </x:c>
      <x:c r="B1842" t="str">
        <x:v>RAW-IMP-20260516-FULLDRAFT-001826</x:v>
      </x:c>
      <x:c r="C1842" t="str">
        <x:v>KTO001</x:v>
      </x:c>
      <x:c r="D1842"/>
      <x:c r="E1842" t="str">
        <x:v>KAT013</x:v>
      </x:c>
      <x:c r="F1842"/>
      <x:c r="G1842"/>
      <x:c r="H1842" t="str">
        <x:v>kein_match</x:v>
      </x:c>
      <x:c r="I1842" t="str">
        <x:v>Agent-Draft: keine finale Regelentscheidung</x:v>
      </x:c>
      <x:c r="J1842" t="n">
        <x:v>45534</x:v>
      </x:c>
      <x:c r="K1842"/>
      <x:c r="L1842"/>
      <x:c r="M1842" t="n">
        <x:v>-161</x:v>
      </x:c>
      <x:c r="N1842" t="str">
        <x:v>2024-08</x:v>
      </x:c>
      <x:c r="O1842" t="str">
        <x:v>Ausgabe</x:v>
      </x:c>
      <x:c r="P1842" t="str">
        <x:v>Ist</x:v>
      </x:c>
      <x:c r="Q1842" s="59" t="b">
        <x:v>0</x:v>
      </x:c>
      <x:c r="R1842" t="str">
        <x:v>kein_transfer</x:v>
      </x:c>
      <x:c r="S1842"/>
      <x:c r="T1842"/>
      <x:c r="U1842"/>
      <x:c r="V1842" s="59" t="b">
        <x:v>1</x:v>
      </x:c>
      <x:c r="W1842"/>
      <x:c r="X1842" t="str">
        <x:v>offen</x:v>
      </x:c>
      <x:c r="Y1842" t="str">
        <x:v>Agent-Draft; Kategorie und Person pruefen</x:v>
      </x:c>
    </x:row>
    <x:row r="1843">
      <x:c r="A1843" t="str">
        <x:v>TXN-RAW-IMP-20260516-FULLDRAFT-001827</x:v>
      </x:c>
      <x:c r="B1843" t="str">
        <x:v>RAW-IMP-20260516-FULLDRAFT-001827</x:v>
      </x:c>
      <x:c r="C1843" t="str">
        <x:v>KTO001</x:v>
      </x:c>
      <x:c r="D1843"/>
      <x:c r="E1843" t="str">
        <x:v>KAT013</x:v>
      </x:c>
      <x:c r="F1843"/>
      <x:c r="G1843"/>
      <x:c r="H1843" t="str">
        <x:v>kein_match</x:v>
      </x:c>
      <x:c r="I1843" t="str">
        <x:v>Agent-Draft: keine finale Regelentscheidung</x:v>
      </x:c>
      <x:c r="J1843" t="n">
        <x:v>45533</x:v>
      </x:c>
      <x:c r="K1843"/>
      <x:c r="L1843"/>
      <x:c r="M1843" t="n">
        <x:v>85.8</x:v>
      </x:c>
      <x:c r="N1843" t="str">
        <x:v>2024-08</x:v>
      </x:c>
      <x:c r="O1843" t="str">
        <x:v>Einnahme</x:v>
      </x:c>
      <x:c r="P1843" t="str">
        <x:v>Ist</x:v>
      </x:c>
      <x:c r="Q1843" s="59" t="b">
        <x:v>0</x:v>
      </x:c>
      <x:c r="R1843" t="str">
        <x:v>kein_transfer</x:v>
      </x:c>
      <x:c r="S1843"/>
      <x:c r="T1843"/>
      <x:c r="U1843"/>
      <x:c r="V1843" s="59" t="b">
        <x:v>1</x:v>
      </x:c>
      <x:c r="W1843"/>
      <x:c r="X1843" t="str">
        <x:v>offen</x:v>
      </x:c>
      <x:c r="Y1843" t="str">
        <x:v>Agent-Draft; Kategorie und Person pruefen</x:v>
      </x:c>
    </x:row>
    <x:row r="1844">
      <x:c r="A1844" t="str">
        <x:v>TXN-RAW-IMP-20260516-FULLDRAFT-001828</x:v>
      </x:c>
      <x:c r="B1844" t="str">
        <x:v>RAW-IMP-20260516-FULLDRAFT-001828</x:v>
      </x:c>
      <x:c r="C1844" t="str">
        <x:v>KTO001</x:v>
      </x:c>
      <x:c r="D1844"/>
      <x:c r="E1844" t="str">
        <x:v>KAT013</x:v>
      </x:c>
      <x:c r="F1844"/>
      <x:c r="G1844"/>
      <x:c r="H1844" t="str">
        <x:v>kein_match</x:v>
      </x:c>
      <x:c r="I1844" t="str">
        <x:v>Agent-Draft: keine finale Regelentscheidung</x:v>
      </x:c>
      <x:c r="J1844" t="n">
        <x:v>45533</x:v>
      </x:c>
      <x:c r="K1844"/>
      <x:c r="L1844"/>
      <x:c r="M1844" t="n">
        <x:v>7566.26</x:v>
      </x:c>
      <x:c r="N1844" t="str">
        <x:v>2024-08</x:v>
      </x:c>
      <x:c r="O1844" t="str">
        <x:v>Einnahme</x:v>
      </x:c>
      <x:c r="P1844" t="str">
        <x:v>Ist</x:v>
      </x:c>
      <x:c r="Q1844" s="59" t="b">
        <x:v>0</x:v>
      </x:c>
      <x:c r="R1844" t="str">
        <x:v>kein_transfer</x:v>
      </x:c>
      <x:c r="S1844"/>
      <x:c r="T1844"/>
      <x:c r="U1844"/>
      <x:c r="V1844" s="59" t="b">
        <x:v>1</x:v>
      </x:c>
      <x:c r="W1844"/>
      <x:c r="X1844" t="str">
        <x:v>offen</x:v>
      </x:c>
      <x:c r="Y1844" t="str">
        <x:v>Agent-Draft; Kategorie und Person pruefen</x:v>
      </x:c>
    </x:row>
    <x:row r="1845">
      <x:c r="A1845" t="str">
        <x:v>TXN-RAW-IMP-20260516-FULLDRAFT-001829</x:v>
      </x:c>
      <x:c r="B1845" t="str">
        <x:v>RAW-IMP-20260516-FULLDRAFT-001829</x:v>
      </x:c>
      <x:c r="C1845" t="str">
        <x:v>KTO001</x:v>
      </x:c>
      <x:c r="D1845"/>
      <x:c r="E1845" t="str">
        <x:v>KAT013</x:v>
      </x:c>
      <x:c r="F1845"/>
      <x:c r="G1845"/>
      <x:c r="H1845" t="str">
        <x:v>kein_match</x:v>
      </x:c>
      <x:c r="I1845" t="str">
        <x:v>Agent-Draft: keine finale Regelentscheidung</x:v>
      </x:c>
      <x:c r="J1845" t="n">
        <x:v>45532</x:v>
      </x:c>
      <x:c r="K1845"/>
      <x:c r="L1845"/>
      <x:c r="M1845" t="n">
        <x:v>-1049.2</x:v>
      </x:c>
      <x:c r="N1845" t="str">
        <x:v>2024-08</x:v>
      </x:c>
      <x:c r="O1845" t="str">
        <x:v>Ausgabe</x:v>
      </x:c>
      <x:c r="P1845" t="str">
        <x:v>Ist</x:v>
      </x:c>
      <x:c r="Q1845" s="59" t="b">
        <x:v>0</x:v>
      </x:c>
      <x:c r="R1845" t="str">
        <x:v>kein_transfer</x:v>
      </x:c>
      <x:c r="S1845"/>
      <x:c r="T1845"/>
      <x:c r="U1845"/>
      <x:c r="V1845" s="59" t="b">
        <x:v>1</x:v>
      </x:c>
      <x:c r="W1845"/>
      <x:c r="X1845" t="str">
        <x:v>offen</x:v>
      </x:c>
      <x:c r="Y1845" t="str">
        <x:v>Agent-Draft; Kategorie und Person pruefen</x:v>
      </x:c>
    </x:row>
    <x:row r="1846">
      <x:c r="A1846" t="str">
        <x:v>TXN-RAW-IMP-20260516-FULLDRAFT-001830</x:v>
      </x:c>
      <x:c r="B1846" t="str">
        <x:v>RAW-IMP-20260516-FULLDRAFT-001830</x:v>
      </x:c>
      <x:c r="C1846" t="str">
        <x:v>KTO001</x:v>
      </x:c>
      <x:c r="D1846"/>
      <x:c r="E1846" t="str">
        <x:v>KAT013</x:v>
      </x:c>
      <x:c r="F1846"/>
      <x:c r="G1846"/>
      <x:c r="H1846" t="str">
        <x:v>kein_match</x:v>
      </x:c>
      <x:c r="I1846" t="str">
        <x:v>Agent-Draft: keine finale Regelentscheidung</x:v>
      </x:c>
      <x:c r="J1846" t="n">
        <x:v>45531</x:v>
      </x:c>
      <x:c r="K1846"/>
      <x:c r="L1846"/>
      <x:c r="M1846" t="n">
        <x:v>-6.5</x:v>
      </x:c>
      <x:c r="N1846" t="str">
        <x:v>2024-08</x:v>
      </x:c>
      <x:c r="O1846" t="str">
        <x:v>Ausgabe</x:v>
      </x:c>
      <x:c r="P1846" t="str">
        <x:v>Ist</x:v>
      </x:c>
      <x:c r="Q1846" s="59" t="b">
        <x:v>0</x:v>
      </x:c>
      <x:c r="R1846" t="str">
        <x:v>kein_transfer</x:v>
      </x:c>
      <x:c r="S1846"/>
      <x:c r="T1846"/>
      <x:c r="U1846"/>
      <x:c r="V1846" s="59" t="b">
        <x:v>1</x:v>
      </x:c>
      <x:c r="W1846"/>
      <x:c r="X1846" t="str">
        <x:v>offen</x:v>
      </x:c>
      <x:c r="Y1846" t="str">
        <x:v>Agent-Draft; Kategorie und Person pruefen</x:v>
      </x:c>
    </x:row>
    <x:row r="1847">
      <x:c r="A1847" t="str">
        <x:v>TXN-RAW-IMP-20260516-FULLDRAFT-001831</x:v>
      </x:c>
      <x:c r="B1847" t="str">
        <x:v>RAW-IMP-20260516-FULLDRAFT-001831</x:v>
      </x:c>
      <x:c r="C1847" t="str">
        <x:v>KTO001</x:v>
      </x:c>
      <x:c r="D1847"/>
      <x:c r="E1847" t="str">
        <x:v>KAT013</x:v>
      </x:c>
      <x:c r="F1847"/>
      <x:c r="G1847"/>
      <x:c r="H1847" t="str">
        <x:v>kein_match</x:v>
      </x:c>
      <x:c r="I1847" t="str">
        <x:v>Agent-Draft: keine finale Regelentscheidung</x:v>
      </x:c>
      <x:c r="J1847" t="n">
        <x:v>45530</x:v>
      </x:c>
      <x:c r="K1847"/>
      <x:c r="L1847"/>
      <x:c r="M1847" t="n">
        <x:v>-2.39</x:v>
      </x:c>
      <x:c r="N1847" t="str">
        <x:v>2024-08</x:v>
      </x:c>
      <x:c r="O1847" t="str">
        <x:v>Ausgabe</x:v>
      </x:c>
      <x:c r="P1847" t="str">
        <x:v>Ist</x:v>
      </x:c>
      <x:c r="Q1847" s="59" t="b">
        <x:v>0</x:v>
      </x:c>
      <x:c r="R1847" t="str">
        <x:v>kein_transfer</x:v>
      </x:c>
      <x:c r="S1847"/>
      <x:c r="T1847"/>
      <x:c r="U1847"/>
      <x:c r="V1847" s="59" t="b">
        <x:v>1</x:v>
      </x:c>
      <x:c r="W1847"/>
      <x:c r="X1847" t="str">
        <x:v>offen</x:v>
      </x:c>
      <x:c r="Y1847" t="str">
        <x:v>Agent-Draft; Kategorie und Person pruefen</x:v>
      </x:c>
    </x:row>
    <x:row r="1848">
      <x:c r="A1848" t="str">
        <x:v>TXN-RAW-IMP-20260516-FULLDRAFT-001832</x:v>
      </x:c>
      <x:c r="B1848" t="str">
        <x:v>RAW-IMP-20260516-FULLDRAFT-001832</x:v>
      </x:c>
      <x:c r="C1848" t="str">
        <x:v>KTO001</x:v>
      </x:c>
      <x:c r="D1848"/>
      <x:c r="E1848" t="str">
        <x:v>KAT013</x:v>
      </x:c>
      <x:c r="F1848"/>
      <x:c r="G1848"/>
      <x:c r="H1848" t="str">
        <x:v>kein_match</x:v>
      </x:c>
      <x:c r="I1848" t="str">
        <x:v>Agent-Draft: keine finale Regelentscheidung</x:v>
      </x:c>
      <x:c r="J1848" t="n">
        <x:v>45530</x:v>
      </x:c>
      <x:c r="K1848"/>
      <x:c r="L1848"/>
      <x:c r="M1848" t="n">
        <x:v>-6.5</x:v>
      </x:c>
      <x:c r="N1848" t="str">
        <x:v>2024-08</x:v>
      </x:c>
      <x:c r="O1848" t="str">
        <x:v>Ausgabe</x:v>
      </x:c>
      <x:c r="P1848" t="str">
        <x:v>Ist</x:v>
      </x:c>
      <x:c r="Q1848" s="59" t="b">
        <x:v>0</x:v>
      </x:c>
      <x:c r="R1848" t="str">
        <x:v>kein_transfer</x:v>
      </x:c>
      <x:c r="S1848"/>
      <x:c r="T1848"/>
      <x:c r="U1848"/>
      <x:c r="V1848" s="59" t="b">
        <x:v>1</x:v>
      </x:c>
      <x:c r="W1848"/>
      <x:c r="X1848" t="str">
        <x:v>offen</x:v>
      </x:c>
      <x:c r="Y1848" t="str">
        <x:v>Agent-Draft; Kategorie und Person pruefen</x:v>
      </x:c>
    </x:row>
    <x:row r="1849">
      <x:c r="A1849" t="str">
        <x:v>TXN-RAW-IMP-20260516-FULLDRAFT-001833</x:v>
      </x:c>
      <x:c r="B1849" t="str">
        <x:v>RAW-IMP-20260516-FULLDRAFT-001833</x:v>
      </x:c>
      <x:c r="C1849" t="str">
        <x:v>KTO001</x:v>
      </x:c>
      <x:c r="D1849"/>
      <x:c r="E1849" t="str">
        <x:v>KAT013</x:v>
      </x:c>
      <x:c r="F1849"/>
      <x:c r="G1849"/>
      <x:c r="H1849" t="str">
        <x:v>kein_match</x:v>
      </x:c>
      <x:c r="I1849" t="str">
        <x:v>Agent-Draft: keine finale Regelentscheidung</x:v>
      </x:c>
      <x:c r="J1849" t="n">
        <x:v>45530</x:v>
      </x:c>
      <x:c r="K1849"/>
      <x:c r="L1849"/>
      <x:c r="M1849" t="n">
        <x:v>-59.7</x:v>
      </x:c>
      <x:c r="N1849" t="str">
        <x:v>2024-08</x:v>
      </x:c>
      <x:c r="O1849" t="str">
        <x:v>Ausgabe</x:v>
      </x:c>
      <x:c r="P1849" t="str">
        <x:v>Ist</x:v>
      </x:c>
      <x:c r="Q1849" s="59" t="b">
        <x:v>0</x:v>
      </x:c>
      <x:c r="R1849" t="str">
        <x:v>kein_transfer</x:v>
      </x:c>
      <x:c r="S1849"/>
      <x:c r="T1849"/>
      <x:c r="U1849"/>
      <x:c r="V1849" s="59" t="b">
        <x:v>1</x:v>
      </x:c>
      <x:c r="W1849"/>
      <x:c r="X1849" t="str">
        <x:v>offen</x:v>
      </x:c>
      <x:c r="Y1849" t="str">
        <x:v>Agent-Draft; Kategorie und Person pruefen</x:v>
      </x:c>
    </x:row>
    <x:row r="1850">
      <x:c r="A1850" t="str">
        <x:v>TXN-RAW-IMP-20260516-FULLDRAFT-001834</x:v>
      </x:c>
      <x:c r="B1850" t="str">
        <x:v>RAW-IMP-20260516-FULLDRAFT-001834</x:v>
      </x:c>
      <x:c r="C1850" t="str">
        <x:v>KTO001</x:v>
      </x:c>
      <x:c r="D1850"/>
      <x:c r="E1850" t="str">
        <x:v>KAT013</x:v>
      </x:c>
      <x:c r="F1850"/>
      <x:c r="G1850"/>
      <x:c r="H1850" t="str">
        <x:v>kein_match</x:v>
      </x:c>
      <x:c r="I1850" t="str">
        <x:v>Agent-Draft: keine finale Regelentscheidung</x:v>
      </x:c>
      <x:c r="J1850" t="n">
        <x:v>45530</x:v>
      </x:c>
      <x:c r="K1850"/>
      <x:c r="L1850"/>
      <x:c r="M1850" t="n">
        <x:v>-2</x:v>
      </x:c>
      <x:c r="N1850" t="str">
        <x:v>2024-08</x:v>
      </x:c>
      <x:c r="O1850" t="str">
        <x:v>Ausgabe</x:v>
      </x:c>
      <x:c r="P1850" t="str">
        <x:v>Ist</x:v>
      </x:c>
      <x:c r="Q1850" s="59" t="b">
        <x:v>0</x:v>
      </x:c>
      <x:c r="R1850" t="str">
        <x:v>kein_transfer</x:v>
      </x:c>
      <x:c r="S1850"/>
      <x:c r="T1850"/>
      <x:c r="U1850"/>
      <x:c r="V1850" s="59" t="b">
        <x:v>1</x:v>
      </x:c>
      <x:c r="W1850"/>
      <x:c r="X1850" t="str">
        <x:v>offen</x:v>
      </x:c>
      <x:c r="Y1850" t="str">
        <x:v>Agent-Draft; Kategorie und Person pruefen</x:v>
      </x:c>
    </x:row>
    <x:row r="1851">
      <x:c r="A1851" t="str">
        <x:v>TXN-RAW-IMP-20260516-FULLDRAFT-001835</x:v>
      </x:c>
      <x:c r="B1851" t="str">
        <x:v>RAW-IMP-20260516-FULLDRAFT-001835</x:v>
      </x:c>
      <x:c r="C1851" t="str">
        <x:v>KTO001</x:v>
      </x:c>
      <x:c r="D1851"/>
      <x:c r="E1851" t="str">
        <x:v>KAT013</x:v>
      </x:c>
      <x:c r="F1851"/>
      <x:c r="G1851"/>
      <x:c r="H1851" t="str">
        <x:v>kein_match</x:v>
      </x:c>
      <x:c r="I1851" t="str">
        <x:v>Agent-Draft: keine finale Regelentscheidung</x:v>
      </x:c>
      <x:c r="J1851" t="n">
        <x:v>45530</x:v>
      </x:c>
      <x:c r="K1851"/>
      <x:c r="L1851"/>
      <x:c r="M1851" t="n">
        <x:v>-40</x:v>
      </x:c>
      <x:c r="N1851" t="str">
        <x:v>2024-08</x:v>
      </x:c>
      <x:c r="O1851" t="str">
        <x:v>Ausgabe</x:v>
      </x:c>
      <x:c r="P1851" t="str">
        <x:v>Ist</x:v>
      </x:c>
      <x:c r="Q1851" s="59" t="b">
        <x:v>0</x:v>
      </x:c>
      <x:c r="R1851" t="str">
        <x:v>kein_transfer</x:v>
      </x:c>
      <x:c r="S1851"/>
      <x:c r="T1851"/>
      <x:c r="U1851"/>
      <x:c r="V1851" s="59" t="b">
        <x:v>1</x:v>
      </x:c>
      <x:c r="W1851"/>
      <x:c r="X1851" t="str">
        <x:v>offen</x:v>
      </x:c>
      <x:c r="Y1851" t="str">
        <x:v>Agent-Draft; Kategorie und Person pruefen</x:v>
      </x:c>
    </x:row>
    <x:row r="1852">
      <x:c r="A1852" t="str">
        <x:v>TXN-RAW-IMP-20260516-FULLDRAFT-001836</x:v>
      </x:c>
      <x:c r="B1852" t="str">
        <x:v>RAW-IMP-20260516-FULLDRAFT-001836</x:v>
      </x:c>
      <x:c r="C1852" t="str">
        <x:v>KTO001</x:v>
      </x:c>
      <x:c r="D1852"/>
      <x:c r="E1852" t="str">
        <x:v>KAT013</x:v>
      </x:c>
      <x:c r="F1852"/>
      <x:c r="G1852"/>
      <x:c r="H1852" t="str">
        <x:v>kein_match</x:v>
      </x:c>
      <x:c r="I1852" t="str">
        <x:v>Agent-Draft: keine finale Regelentscheidung</x:v>
      </x:c>
      <x:c r="J1852" t="n">
        <x:v>45530</x:v>
      </x:c>
      <x:c r="K1852"/>
      <x:c r="L1852"/>
      <x:c r="M1852" t="n">
        <x:v>-16.2</x:v>
      </x:c>
      <x:c r="N1852" t="str">
        <x:v>2024-08</x:v>
      </x:c>
      <x:c r="O1852" t="str">
        <x:v>Ausgabe</x:v>
      </x:c>
      <x:c r="P1852" t="str">
        <x:v>Ist</x:v>
      </x:c>
      <x:c r="Q1852" s="59" t="b">
        <x:v>0</x:v>
      </x:c>
      <x:c r="R1852" t="str">
        <x:v>kein_transfer</x:v>
      </x:c>
      <x:c r="S1852"/>
      <x:c r="T1852"/>
      <x:c r="U1852"/>
      <x:c r="V1852" s="59" t="b">
        <x:v>1</x:v>
      </x:c>
      <x:c r="W1852"/>
      <x:c r="X1852" t="str">
        <x:v>offen</x:v>
      </x:c>
      <x:c r="Y1852" t="str">
        <x:v>Agent-Draft; Kategorie und Person pruefen</x:v>
      </x:c>
    </x:row>
    <x:row r="1853">
      <x:c r="A1853" t="str">
        <x:v>TXN-RAW-IMP-20260516-FULLDRAFT-001837</x:v>
      </x:c>
      <x:c r="B1853" t="str">
        <x:v>RAW-IMP-20260516-FULLDRAFT-001837</x:v>
      </x:c>
      <x:c r="C1853" t="str">
        <x:v>KTO001</x:v>
      </x:c>
      <x:c r="D1853"/>
      <x:c r="E1853" t="str">
        <x:v>KAT013</x:v>
      </x:c>
      <x:c r="F1853"/>
      <x:c r="G1853"/>
      <x:c r="H1853" t="str">
        <x:v>kein_match</x:v>
      </x:c>
      <x:c r="I1853" t="str">
        <x:v>Agent-Draft: keine finale Regelentscheidung</x:v>
      </x:c>
      <x:c r="J1853" t="n">
        <x:v>45530</x:v>
      </x:c>
      <x:c r="K1853"/>
      <x:c r="L1853"/>
      <x:c r="M1853" t="n">
        <x:v>-62.59</x:v>
      </x:c>
      <x:c r="N1853" t="str">
        <x:v>2024-08</x:v>
      </x:c>
      <x:c r="O1853" t="str">
        <x:v>Ausgabe</x:v>
      </x:c>
      <x:c r="P1853" t="str">
        <x:v>Ist</x:v>
      </x:c>
      <x:c r="Q1853" s="59" t="b">
        <x:v>0</x:v>
      </x:c>
      <x:c r="R1853" t="str">
        <x:v>kein_transfer</x:v>
      </x:c>
      <x:c r="S1853"/>
      <x:c r="T1853"/>
      <x:c r="U1853"/>
      <x:c r="V1853" s="59" t="b">
        <x:v>1</x:v>
      </x:c>
      <x:c r="W1853"/>
      <x:c r="X1853" t="str">
        <x:v>offen</x:v>
      </x:c>
      <x:c r="Y1853" t="str">
        <x:v>Agent-Draft; Kategorie und Person pruefen</x:v>
      </x:c>
    </x:row>
    <x:row r="1854">
      <x:c r="A1854" t="str">
        <x:v>TXN-RAW-IMP-20260516-FULLDRAFT-001838</x:v>
      </x:c>
      <x:c r="B1854" t="str">
        <x:v>RAW-IMP-20260516-FULLDRAFT-001838</x:v>
      </x:c>
      <x:c r="C1854" t="str">
        <x:v>KTO001</x:v>
      </x:c>
      <x:c r="D1854"/>
      <x:c r="E1854" t="str">
        <x:v>KAT013</x:v>
      </x:c>
      <x:c r="F1854"/>
      <x:c r="G1854"/>
      <x:c r="H1854" t="str">
        <x:v>kein_match</x:v>
      </x:c>
      <x:c r="I1854" t="str">
        <x:v>Agent-Draft: keine finale Regelentscheidung</x:v>
      </x:c>
      <x:c r="J1854" t="n">
        <x:v>45530</x:v>
      </x:c>
      <x:c r="K1854"/>
      <x:c r="L1854"/>
      <x:c r="M1854" t="n">
        <x:v>-20.26</x:v>
      </x:c>
      <x:c r="N1854" t="str">
        <x:v>2024-08</x:v>
      </x:c>
      <x:c r="O1854" t="str">
        <x:v>Ausgabe</x:v>
      </x:c>
      <x:c r="P1854" t="str">
        <x:v>Ist</x:v>
      </x:c>
      <x:c r="Q1854" s="59" t="b">
        <x:v>0</x:v>
      </x:c>
      <x:c r="R1854" t="str">
        <x:v>kein_transfer</x:v>
      </x:c>
      <x:c r="S1854"/>
      <x:c r="T1854"/>
      <x:c r="U1854"/>
      <x:c r="V1854" s="59" t="b">
        <x:v>1</x:v>
      </x:c>
      <x:c r="W1854"/>
      <x:c r="X1854" t="str">
        <x:v>offen</x:v>
      </x:c>
      <x:c r="Y1854" t="str">
        <x:v>Agent-Draft; Kategorie und Person pruefen</x:v>
      </x:c>
    </x:row>
    <x:row r="1855">
      <x:c r="A1855" t="str">
        <x:v>TXN-RAW-IMP-20260516-FULLDRAFT-001839</x:v>
      </x:c>
      <x:c r="B1855" t="str">
        <x:v>RAW-IMP-20260516-FULLDRAFT-001839</x:v>
      </x:c>
      <x:c r="C1855" t="str">
        <x:v>KTO001</x:v>
      </x:c>
      <x:c r="D1855"/>
      <x:c r="E1855" t="str">
        <x:v>KAT013</x:v>
      </x:c>
      <x:c r="F1855"/>
      <x:c r="G1855"/>
      <x:c r="H1855" t="str">
        <x:v>kein_match</x:v>
      </x:c>
      <x:c r="I1855" t="str">
        <x:v>Agent-Draft: keine finale Regelentscheidung</x:v>
      </x:c>
      <x:c r="J1855" t="n">
        <x:v>45527</x:v>
      </x:c>
      <x:c r="K1855"/>
      <x:c r="L1855"/>
      <x:c r="M1855" t="n">
        <x:v>-9.14</x:v>
      </x:c>
      <x:c r="N1855" t="str">
        <x:v>2024-08</x:v>
      </x:c>
      <x:c r="O1855" t="str">
        <x:v>Ausgabe</x:v>
      </x:c>
      <x:c r="P1855" t="str">
        <x:v>Ist</x:v>
      </x:c>
      <x:c r="Q1855" s="59" t="b">
        <x:v>0</x:v>
      </x:c>
      <x:c r="R1855" t="str">
        <x:v>kein_transfer</x:v>
      </x:c>
      <x:c r="S1855"/>
      <x:c r="T1855"/>
      <x:c r="U1855"/>
      <x:c r="V1855" s="59" t="b">
        <x:v>1</x:v>
      </x:c>
      <x:c r="W1855"/>
      <x:c r="X1855" t="str">
        <x:v>offen</x:v>
      </x:c>
      <x:c r="Y1855" t="str">
        <x:v>Agent-Draft; Kategorie und Person pruefen</x:v>
      </x:c>
    </x:row>
    <x:row r="1856">
      <x:c r="A1856" t="str">
        <x:v>TXN-RAW-IMP-20260516-FULLDRAFT-001840</x:v>
      </x:c>
      <x:c r="B1856" t="str">
        <x:v>RAW-IMP-20260516-FULLDRAFT-001840</x:v>
      </x:c>
      <x:c r="C1856" t="str">
        <x:v>KTO001</x:v>
      </x:c>
      <x:c r="D1856"/>
      <x:c r="E1856" t="str">
        <x:v>KAT013</x:v>
      </x:c>
      <x:c r="F1856"/>
      <x:c r="G1856"/>
      <x:c r="H1856" t="str">
        <x:v>kein_match</x:v>
      </x:c>
      <x:c r="I1856" t="str">
        <x:v>Agent-Draft: keine finale Regelentscheidung</x:v>
      </x:c>
      <x:c r="J1856" t="n">
        <x:v>45527</x:v>
      </x:c>
      <x:c r="K1856"/>
      <x:c r="L1856"/>
      <x:c r="M1856" t="n">
        <x:v>-4.5</x:v>
      </x:c>
      <x:c r="N1856" t="str">
        <x:v>2024-08</x:v>
      </x:c>
      <x:c r="O1856" t="str">
        <x:v>Ausgabe</x:v>
      </x:c>
      <x:c r="P1856" t="str">
        <x:v>Ist</x:v>
      </x:c>
      <x:c r="Q1856" s="59" t="b">
        <x:v>0</x:v>
      </x:c>
      <x:c r="R1856" t="str">
        <x:v>kein_transfer</x:v>
      </x:c>
      <x:c r="S1856"/>
      <x:c r="T1856"/>
      <x:c r="U1856"/>
      <x:c r="V1856" s="59" t="b">
        <x:v>1</x:v>
      </x:c>
      <x:c r="W1856"/>
      <x:c r="X1856" t="str">
        <x:v>offen</x:v>
      </x:c>
      <x:c r="Y1856" t="str">
        <x:v>Agent-Draft; Kategorie und Person pruefen</x:v>
      </x:c>
    </x:row>
    <x:row r="1857">
      <x:c r="A1857" t="str">
        <x:v>TXN-RAW-IMP-20260516-FULLDRAFT-001841</x:v>
      </x:c>
      <x:c r="B1857" t="str">
        <x:v>RAW-IMP-20260516-FULLDRAFT-001841</x:v>
      </x:c>
      <x:c r="C1857" t="str">
        <x:v>KTO001</x:v>
      </x:c>
      <x:c r="D1857"/>
      <x:c r="E1857" t="str">
        <x:v>KAT013</x:v>
      </x:c>
      <x:c r="F1857"/>
      <x:c r="G1857"/>
      <x:c r="H1857" t="str">
        <x:v>kein_match</x:v>
      </x:c>
      <x:c r="I1857" t="str">
        <x:v>Agent-Draft: keine finale Regelentscheidung</x:v>
      </x:c>
      <x:c r="J1857" t="n">
        <x:v>45526</x:v>
      </x:c>
      <x:c r="K1857"/>
      <x:c r="L1857"/>
      <x:c r="M1857" t="n">
        <x:v>215.92</x:v>
      </x:c>
      <x:c r="N1857" t="str">
        <x:v>2024-08</x:v>
      </x:c>
      <x:c r="O1857" t="str">
        <x:v>Einnahme</x:v>
      </x:c>
      <x:c r="P1857" t="str">
        <x:v>Ist</x:v>
      </x:c>
      <x:c r="Q1857" s="59" t="b">
        <x:v>0</x:v>
      </x:c>
      <x:c r="R1857" t="str">
        <x:v>kein_transfer</x:v>
      </x:c>
      <x:c r="S1857"/>
      <x:c r="T1857"/>
      <x:c r="U1857"/>
      <x:c r="V1857" s="59" t="b">
        <x:v>1</x:v>
      </x:c>
      <x:c r="W1857"/>
      <x:c r="X1857" t="str">
        <x:v>offen</x:v>
      </x:c>
      <x:c r="Y1857" t="str">
        <x:v>Agent-Draft; Kategorie und Person pruefen</x:v>
      </x:c>
    </x:row>
    <x:row r="1858">
      <x:c r="A1858" t="str">
        <x:v>TXN-RAW-IMP-20260516-FULLDRAFT-001842</x:v>
      </x:c>
      <x:c r="B1858" t="str">
        <x:v>RAW-IMP-20260516-FULLDRAFT-001842</x:v>
      </x:c>
      <x:c r="C1858" t="str">
        <x:v>KTO001</x:v>
      </x:c>
      <x:c r="D1858"/>
      <x:c r="E1858" t="str">
        <x:v>KAT013</x:v>
      </x:c>
      <x:c r="F1858"/>
      <x:c r="G1858"/>
      <x:c r="H1858" t="str">
        <x:v>kein_match</x:v>
      </x:c>
      <x:c r="I1858" t="str">
        <x:v>Agent-Draft: keine finale Regelentscheidung</x:v>
      </x:c>
      <x:c r="J1858" t="n">
        <x:v>45526</x:v>
      </x:c>
      <x:c r="K1858"/>
      <x:c r="L1858"/>
      <x:c r="M1858" t="n">
        <x:v>-2.99</x:v>
      </x:c>
      <x:c r="N1858" t="str">
        <x:v>2024-08</x:v>
      </x:c>
      <x:c r="O1858" t="str">
        <x:v>Ausgabe</x:v>
      </x:c>
      <x:c r="P1858" t="str">
        <x:v>Ist</x:v>
      </x:c>
      <x:c r="Q1858" s="59" t="b">
        <x:v>0</x:v>
      </x:c>
      <x:c r="R1858" t="str">
        <x:v>kein_transfer</x:v>
      </x:c>
      <x:c r="S1858"/>
      <x:c r="T1858"/>
      <x:c r="U1858"/>
      <x:c r="V1858" s="59" t="b">
        <x:v>1</x:v>
      </x:c>
      <x:c r="W1858"/>
      <x:c r="X1858" t="str">
        <x:v>offen</x:v>
      </x:c>
      <x:c r="Y1858" t="str">
        <x:v>Agent-Draft; Kategorie und Person pruefen</x:v>
      </x:c>
    </x:row>
    <x:row r="1859">
      <x:c r="A1859" t="str">
        <x:v>TXN-RAW-IMP-20260516-FULLDRAFT-001843</x:v>
      </x:c>
      <x:c r="B1859" t="str">
        <x:v>RAW-IMP-20260516-FULLDRAFT-001843</x:v>
      </x:c>
      <x:c r="C1859" t="str">
        <x:v>KTO001</x:v>
      </x:c>
      <x:c r="D1859"/>
      <x:c r="E1859" t="str">
        <x:v>KAT013</x:v>
      </x:c>
      <x:c r="F1859"/>
      <x:c r="G1859"/>
      <x:c r="H1859" t="str">
        <x:v>kein_match</x:v>
      </x:c>
      <x:c r="I1859" t="str">
        <x:v>Agent-Draft: keine finale Regelentscheidung</x:v>
      </x:c>
      <x:c r="J1859" t="n">
        <x:v>45526</x:v>
      </x:c>
      <x:c r="K1859"/>
      <x:c r="L1859"/>
      <x:c r="M1859" t="n">
        <x:v>-18.14</x:v>
      </x:c>
      <x:c r="N1859" t="str">
        <x:v>2024-08</x:v>
      </x:c>
      <x:c r="O1859" t="str">
        <x:v>Ausgabe</x:v>
      </x:c>
      <x:c r="P1859" t="str">
        <x:v>Ist</x:v>
      </x:c>
      <x:c r="Q1859" s="59" t="b">
        <x:v>0</x:v>
      </x:c>
      <x:c r="R1859" t="str">
        <x:v>kein_transfer</x:v>
      </x:c>
      <x:c r="S1859"/>
      <x:c r="T1859"/>
      <x:c r="U1859"/>
      <x:c r="V1859" s="59" t="b">
        <x:v>1</x:v>
      </x:c>
      <x:c r="W1859"/>
      <x:c r="X1859" t="str">
        <x:v>offen</x:v>
      </x:c>
      <x:c r="Y1859" t="str">
        <x:v>Agent-Draft; Kategorie und Person pruefen</x:v>
      </x:c>
    </x:row>
    <x:row r="1860">
      <x:c r="A1860" t="str">
        <x:v>TXN-RAW-IMP-20260516-FULLDRAFT-001844</x:v>
      </x:c>
      <x:c r="B1860" t="str">
        <x:v>RAW-IMP-20260516-FULLDRAFT-001844</x:v>
      </x:c>
      <x:c r="C1860" t="str">
        <x:v>KTO001</x:v>
      </x:c>
      <x:c r="D1860"/>
      <x:c r="E1860" t="str">
        <x:v>KAT013</x:v>
      </x:c>
      <x:c r="F1860"/>
      <x:c r="G1860"/>
      <x:c r="H1860" t="str">
        <x:v>kein_match</x:v>
      </x:c>
      <x:c r="I1860" t="str">
        <x:v>Agent-Draft: keine finale Regelentscheidung</x:v>
      </x:c>
      <x:c r="J1860" t="n">
        <x:v>45525</x:v>
      </x:c>
      <x:c r="K1860"/>
      <x:c r="L1860"/>
      <x:c r="M1860" t="n">
        <x:v>-78.4</x:v>
      </x:c>
      <x:c r="N1860" t="str">
        <x:v>2024-08</x:v>
      </x:c>
      <x:c r="O1860" t="str">
        <x:v>Ausgabe</x:v>
      </x:c>
      <x:c r="P1860" t="str">
        <x:v>Ist</x:v>
      </x:c>
      <x:c r="Q1860" s="59" t="b">
        <x:v>0</x:v>
      </x:c>
      <x:c r="R1860" t="str">
        <x:v>kein_transfer</x:v>
      </x:c>
      <x:c r="S1860"/>
      <x:c r="T1860"/>
      <x:c r="U1860"/>
      <x:c r="V1860" s="59" t="b">
        <x:v>1</x:v>
      </x:c>
      <x:c r="W1860"/>
      <x:c r="X1860" t="str">
        <x:v>offen</x:v>
      </x:c>
      <x:c r="Y1860" t="str">
        <x:v>Agent-Draft; Kategorie und Person pruefen</x:v>
      </x:c>
    </x:row>
    <x:row r="1861">
      <x:c r="A1861" t="str">
        <x:v>TXN-RAW-IMP-20260516-FULLDRAFT-001845</x:v>
      </x:c>
      <x:c r="B1861" t="str">
        <x:v>RAW-IMP-20260516-FULLDRAFT-001845</x:v>
      </x:c>
      <x:c r="C1861" t="str">
        <x:v>KTO001</x:v>
      </x:c>
      <x:c r="D1861"/>
      <x:c r="E1861" t="str">
        <x:v>KAT013</x:v>
      </x:c>
      <x:c r="F1861"/>
      <x:c r="G1861"/>
      <x:c r="H1861" t="str">
        <x:v>kein_match</x:v>
      </x:c>
      <x:c r="I1861" t="str">
        <x:v>Agent-Draft: keine finale Regelentscheidung</x:v>
      </x:c>
      <x:c r="J1861" t="n">
        <x:v>45525</x:v>
      </x:c>
      <x:c r="K1861"/>
      <x:c r="L1861"/>
      <x:c r="M1861" t="n">
        <x:v>-1.19</x:v>
      </x:c>
      <x:c r="N1861" t="str">
        <x:v>2024-08</x:v>
      </x:c>
      <x:c r="O1861" t="str">
        <x:v>Ausgabe</x:v>
      </x:c>
      <x:c r="P1861" t="str">
        <x:v>Ist</x:v>
      </x:c>
      <x:c r="Q1861" s="59" t="b">
        <x:v>0</x:v>
      </x:c>
      <x:c r="R1861" t="str">
        <x:v>kein_transfer</x:v>
      </x:c>
      <x:c r="S1861"/>
      <x:c r="T1861"/>
      <x:c r="U1861"/>
      <x:c r="V1861" s="59" t="b">
        <x:v>1</x:v>
      </x:c>
      <x:c r="W1861"/>
      <x:c r="X1861" t="str">
        <x:v>offen</x:v>
      </x:c>
      <x:c r="Y1861" t="str">
        <x:v>Agent-Draft; Kategorie und Person pruefen</x:v>
      </x:c>
    </x:row>
    <x:row r="1862">
      <x:c r="A1862" t="str">
        <x:v>TXN-RAW-IMP-20260516-FULLDRAFT-001846</x:v>
      </x:c>
      <x:c r="B1862" t="str">
        <x:v>RAW-IMP-20260516-FULLDRAFT-001846</x:v>
      </x:c>
      <x:c r="C1862" t="str">
        <x:v>KTO001</x:v>
      </x:c>
      <x:c r="D1862"/>
      <x:c r="E1862" t="str">
        <x:v>KAT013</x:v>
      </x:c>
      <x:c r="F1862"/>
      <x:c r="G1862"/>
      <x:c r="H1862" t="str">
        <x:v>kein_match</x:v>
      </x:c>
      <x:c r="I1862" t="str">
        <x:v>Agent-Draft: keine finale Regelentscheidung</x:v>
      </x:c>
      <x:c r="J1862" t="n">
        <x:v>45525</x:v>
      </x:c>
      <x:c r="K1862"/>
      <x:c r="L1862"/>
      <x:c r="M1862" t="n">
        <x:v>-36.03</x:v>
      </x:c>
      <x:c r="N1862" t="str">
        <x:v>2024-08</x:v>
      </x:c>
      <x:c r="O1862" t="str">
        <x:v>Ausgabe</x:v>
      </x:c>
      <x:c r="P1862" t="str">
        <x:v>Ist</x:v>
      </x:c>
      <x:c r="Q1862" s="59" t="b">
        <x:v>0</x:v>
      </x:c>
      <x:c r="R1862" t="str">
        <x:v>kein_transfer</x:v>
      </x:c>
      <x:c r="S1862"/>
      <x:c r="T1862"/>
      <x:c r="U1862"/>
      <x:c r="V1862" s="59" t="b">
        <x:v>1</x:v>
      </x:c>
      <x:c r="W1862"/>
      <x:c r="X1862" t="str">
        <x:v>offen</x:v>
      </x:c>
      <x:c r="Y1862" t="str">
        <x:v>Agent-Draft; Kategorie und Person pruefen</x:v>
      </x:c>
    </x:row>
    <x:row r="1863">
      <x:c r="A1863" t="str">
        <x:v>TXN-RAW-IMP-20260516-FULLDRAFT-001847</x:v>
      </x:c>
      <x:c r="B1863" t="str">
        <x:v>RAW-IMP-20260516-FULLDRAFT-001847</x:v>
      </x:c>
      <x:c r="C1863" t="str">
        <x:v>KTO001</x:v>
      </x:c>
      <x:c r="D1863"/>
      <x:c r="E1863" t="str">
        <x:v>KAT013</x:v>
      </x:c>
      <x:c r="F1863"/>
      <x:c r="G1863"/>
      <x:c r="H1863" t="str">
        <x:v>kein_match</x:v>
      </x:c>
      <x:c r="I1863" t="str">
        <x:v>Agent-Draft: keine finale Regelentscheidung</x:v>
      </x:c>
      <x:c r="J1863" t="n">
        <x:v>45525</x:v>
      </x:c>
      <x:c r="K1863"/>
      <x:c r="L1863"/>
      <x:c r="M1863" t="n">
        <x:v>-69</x:v>
      </x:c>
      <x:c r="N1863" t="str">
        <x:v>2024-08</x:v>
      </x:c>
      <x:c r="O1863" t="str">
        <x:v>Ausgabe</x:v>
      </x:c>
      <x:c r="P1863" t="str">
        <x:v>Ist</x:v>
      </x:c>
      <x:c r="Q1863" s="59" t="b">
        <x:v>0</x:v>
      </x:c>
      <x:c r="R1863" t="str">
        <x:v>kein_transfer</x:v>
      </x:c>
      <x:c r="S1863"/>
      <x:c r="T1863"/>
      <x:c r="U1863"/>
      <x:c r="V1863" s="59" t="b">
        <x:v>1</x:v>
      </x:c>
      <x:c r="W1863"/>
      <x:c r="X1863" t="str">
        <x:v>offen</x:v>
      </x:c>
      <x:c r="Y1863" t="str">
        <x:v>Agent-Draft; Kategorie und Person pruefen</x:v>
      </x:c>
    </x:row>
    <x:row r="1864">
      <x:c r="A1864" t="str">
        <x:v>TXN-RAW-IMP-20260516-FULLDRAFT-001848</x:v>
      </x:c>
      <x:c r="B1864" t="str">
        <x:v>RAW-IMP-20260516-FULLDRAFT-001848</x:v>
      </x:c>
      <x:c r="C1864" t="str">
        <x:v>KTO001</x:v>
      </x:c>
      <x:c r="D1864"/>
      <x:c r="E1864" t="str">
        <x:v>KAT013</x:v>
      </x:c>
      <x:c r="F1864"/>
      <x:c r="G1864"/>
      <x:c r="H1864" t="str">
        <x:v>kein_match</x:v>
      </x:c>
      <x:c r="I1864" t="str">
        <x:v>Agent-Draft: keine finale Regelentscheidung</x:v>
      </x:c>
      <x:c r="J1864" t="n">
        <x:v>45524</x:v>
      </x:c>
      <x:c r="K1864"/>
      <x:c r="L1864"/>
      <x:c r="M1864" t="n">
        <x:v>-4.99</x:v>
      </x:c>
      <x:c r="N1864" t="str">
        <x:v>2024-08</x:v>
      </x:c>
      <x:c r="O1864" t="str">
        <x:v>Ausgabe</x:v>
      </x:c>
      <x:c r="P1864" t="str">
        <x:v>Ist</x:v>
      </x:c>
      <x:c r="Q1864" s="59" t="b">
        <x:v>0</x:v>
      </x:c>
      <x:c r="R1864" t="str">
        <x:v>kein_transfer</x:v>
      </x:c>
      <x:c r="S1864"/>
      <x:c r="T1864"/>
      <x:c r="U1864"/>
      <x:c r="V1864" s="59" t="b">
        <x:v>1</x:v>
      </x:c>
      <x:c r="W1864"/>
      <x:c r="X1864" t="str">
        <x:v>offen</x:v>
      </x:c>
      <x:c r="Y1864" t="str">
        <x:v>Agent-Draft; Kategorie und Person pruefen</x:v>
      </x:c>
    </x:row>
    <x:row r="1865">
      <x:c r="A1865" t="str">
        <x:v>TXN-RAW-IMP-20260516-FULLDRAFT-001849</x:v>
      </x:c>
      <x:c r="B1865" t="str">
        <x:v>RAW-IMP-20260516-FULLDRAFT-001849</x:v>
      </x:c>
      <x:c r="C1865" t="str">
        <x:v>KTO001</x:v>
      </x:c>
      <x:c r="D1865"/>
      <x:c r="E1865" t="str">
        <x:v>KAT013</x:v>
      </x:c>
      <x:c r="F1865"/>
      <x:c r="G1865"/>
      <x:c r="H1865" t="str">
        <x:v>kein_match</x:v>
      </x:c>
      <x:c r="I1865" t="str">
        <x:v>Agent-Draft: keine finale Regelentscheidung</x:v>
      </x:c>
      <x:c r="J1865" t="n">
        <x:v>45524</x:v>
      </x:c>
      <x:c r="K1865"/>
      <x:c r="L1865"/>
      <x:c r="M1865" t="n">
        <x:v>-121.01</x:v>
      </x:c>
      <x:c r="N1865" t="str">
        <x:v>2024-08</x:v>
      </x:c>
      <x:c r="O1865" t="str">
        <x:v>Ausgabe</x:v>
      </x:c>
      <x:c r="P1865" t="str">
        <x:v>Ist</x:v>
      </x:c>
      <x:c r="Q1865" s="59" t="b">
        <x:v>0</x:v>
      </x:c>
      <x:c r="R1865" t="str">
        <x:v>kein_transfer</x:v>
      </x:c>
      <x:c r="S1865"/>
      <x:c r="T1865"/>
      <x:c r="U1865"/>
      <x:c r="V1865" s="59" t="b">
        <x:v>1</x:v>
      </x:c>
      <x:c r="W1865"/>
      <x:c r="X1865" t="str">
        <x:v>offen</x:v>
      </x:c>
      <x:c r="Y1865" t="str">
        <x:v>Agent-Draft; Kategorie und Person pruefen</x:v>
      </x:c>
    </x:row>
    <x:row r="1866">
      <x:c r="A1866" t="str">
        <x:v>TXN-RAW-IMP-20260516-FULLDRAFT-001850</x:v>
      </x:c>
      <x:c r="B1866" t="str">
        <x:v>RAW-IMP-20260516-FULLDRAFT-001850</x:v>
      </x:c>
      <x:c r="C1866" t="str">
        <x:v>KTO001</x:v>
      </x:c>
      <x:c r="D1866"/>
      <x:c r="E1866" t="str">
        <x:v>KAT013</x:v>
      </x:c>
      <x:c r="F1866"/>
      <x:c r="G1866"/>
      <x:c r="H1866" t="str">
        <x:v>kein_match</x:v>
      </x:c>
      <x:c r="I1866" t="str">
        <x:v>Agent-Draft: keine finale Regelentscheidung</x:v>
      </x:c>
      <x:c r="J1866" t="n">
        <x:v>45524</x:v>
      </x:c>
      <x:c r="K1866"/>
      <x:c r="L1866"/>
      <x:c r="M1866" t="n">
        <x:v>-29.99</x:v>
      </x:c>
      <x:c r="N1866" t="str">
        <x:v>2024-08</x:v>
      </x:c>
      <x:c r="O1866" t="str">
        <x:v>Ausgabe</x:v>
      </x:c>
      <x:c r="P1866" t="str">
        <x:v>Ist</x:v>
      </x:c>
      <x:c r="Q1866" s="59" t="b">
        <x:v>0</x:v>
      </x:c>
      <x:c r="R1866" t="str">
        <x:v>kein_transfer</x:v>
      </x:c>
      <x:c r="S1866"/>
      <x:c r="T1866"/>
      <x:c r="U1866"/>
      <x:c r="V1866" s="59" t="b">
        <x:v>1</x:v>
      </x:c>
      <x:c r="W1866"/>
      <x:c r="X1866" t="str">
        <x:v>offen</x:v>
      </x:c>
      <x:c r="Y1866" t="str">
        <x:v>Agent-Draft; Kategorie und Person pruefen</x:v>
      </x:c>
    </x:row>
    <x:row r="1867">
      <x:c r="A1867" t="str">
        <x:v>TXN-RAW-IMP-20260516-FULLDRAFT-001851</x:v>
      </x:c>
      <x:c r="B1867" t="str">
        <x:v>RAW-IMP-20260516-FULLDRAFT-001851</x:v>
      </x:c>
      <x:c r="C1867" t="str">
        <x:v>KTO001</x:v>
      </x:c>
      <x:c r="D1867"/>
      <x:c r="E1867" t="str">
        <x:v>KAT013</x:v>
      </x:c>
      <x:c r="F1867"/>
      <x:c r="G1867"/>
      <x:c r="H1867" t="str">
        <x:v>kein_match</x:v>
      </x:c>
      <x:c r="I1867" t="str">
        <x:v>Agent-Draft: keine finale Regelentscheidung</x:v>
      </x:c>
      <x:c r="J1867" t="n">
        <x:v>45523</x:v>
      </x:c>
      <x:c r="K1867"/>
      <x:c r="L1867"/>
      <x:c r="M1867" t="n">
        <x:v>-11.99</x:v>
      </x:c>
      <x:c r="N1867" t="str">
        <x:v>2024-08</x:v>
      </x:c>
      <x:c r="O1867" t="str">
        <x:v>Ausgabe</x:v>
      </x:c>
      <x:c r="P1867" t="str">
        <x:v>Ist</x:v>
      </x:c>
      <x:c r="Q1867" s="59" t="b">
        <x:v>0</x:v>
      </x:c>
      <x:c r="R1867" t="str">
        <x:v>kein_transfer</x:v>
      </x:c>
      <x:c r="S1867"/>
      <x:c r="T1867"/>
      <x:c r="U1867"/>
      <x:c r="V1867" s="59" t="b">
        <x:v>1</x:v>
      </x:c>
      <x:c r="W1867"/>
      <x:c r="X1867" t="str">
        <x:v>offen</x:v>
      </x:c>
      <x:c r="Y1867" t="str">
        <x:v>Agent-Draft; Kategorie und Person pruefen</x:v>
      </x:c>
    </x:row>
    <x:row r="1868">
      <x:c r="A1868" t="str">
        <x:v>TXN-RAW-IMP-20260516-FULLDRAFT-001852</x:v>
      </x:c>
      <x:c r="B1868" t="str">
        <x:v>RAW-IMP-20260516-FULLDRAFT-001852</x:v>
      </x:c>
      <x:c r="C1868" t="str">
        <x:v>KTO001</x:v>
      </x:c>
      <x:c r="D1868"/>
      <x:c r="E1868" t="str">
        <x:v>KAT013</x:v>
      </x:c>
      <x:c r="F1868"/>
      <x:c r="G1868"/>
      <x:c r="H1868" t="str">
        <x:v>kein_match</x:v>
      </x:c>
      <x:c r="I1868" t="str">
        <x:v>Agent-Draft: keine finale Regelentscheidung</x:v>
      </x:c>
      <x:c r="J1868" t="n">
        <x:v>45523</x:v>
      </x:c>
      <x:c r="K1868"/>
      <x:c r="L1868"/>
      <x:c r="M1868" t="n">
        <x:v>-77.55</x:v>
      </x:c>
      <x:c r="N1868" t="str">
        <x:v>2024-08</x:v>
      </x:c>
      <x:c r="O1868" t="str">
        <x:v>Ausgabe</x:v>
      </x:c>
      <x:c r="P1868" t="str">
        <x:v>Ist</x:v>
      </x:c>
      <x:c r="Q1868" s="59" t="b">
        <x:v>0</x:v>
      </x:c>
      <x:c r="R1868" t="str">
        <x:v>kein_transfer</x:v>
      </x:c>
      <x:c r="S1868"/>
      <x:c r="T1868"/>
      <x:c r="U1868"/>
      <x:c r="V1868" s="59" t="b">
        <x:v>1</x:v>
      </x:c>
      <x:c r="W1868"/>
      <x:c r="X1868" t="str">
        <x:v>offen</x:v>
      </x:c>
      <x:c r="Y1868" t="str">
        <x:v>Agent-Draft; Kategorie und Person pruefen</x:v>
      </x:c>
    </x:row>
    <x:row r="1869">
      <x:c r="A1869" t="str">
        <x:v>TXN-RAW-IMP-20260516-FULLDRAFT-001853</x:v>
      </x:c>
      <x:c r="B1869" t="str">
        <x:v>RAW-IMP-20260516-FULLDRAFT-001853</x:v>
      </x:c>
      <x:c r="C1869" t="str">
        <x:v>KTO001</x:v>
      </x:c>
      <x:c r="D1869"/>
      <x:c r="E1869" t="str">
        <x:v>KAT013</x:v>
      </x:c>
      <x:c r="F1869"/>
      <x:c r="G1869"/>
      <x:c r="H1869" t="str">
        <x:v>kein_match</x:v>
      </x:c>
      <x:c r="I1869" t="str">
        <x:v>Agent-Draft: keine finale Regelentscheidung</x:v>
      </x:c>
      <x:c r="J1869" t="n">
        <x:v>45523</x:v>
      </x:c>
      <x:c r="K1869"/>
      <x:c r="L1869"/>
      <x:c r="M1869" t="n">
        <x:v>-469.3</x:v>
      </x:c>
      <x:c r="N1869" t="str">
        <x:v>2024-08</x:v>
      </x:c>
      <x:c r="O1869" t="str">
        <x:v>Ausgabe</x:v>
      </x:c>
      <x:c r="P1869" t="str">
        <x:v>Ist</x:v>
      </x:c>
      <x:c r="Q1869" s="59" t="b">
        <x:v>0</x:v>
      </x:c>
      <x:c r="R1869" t="str">
        <x:v>kein_transfer</x:v>
      </x:c>
      <x:c r="S1869"/>
      <x:c r="T1869"/>
      <x:c r="U1869"/>
      <x:c r="V1869" s="59" t="b">
        <x:v>1</x:v>
      </x:c>
      <x:c r="W1869"/>
      <x:c r="X1869" t="str">
        <x:v>offen</x:v>
      </x:c>
      <x:c r="Y1869" t="str">
        <x:v>Agent-Draft; Kategorie und Person pruefen</x:v>
      </x:c>
    </x:row>
    <x:row r="1870">
      <x:c r="A1870" t="str">
        <x:v>TXN-RAW-IMP-20260516-FULLDRAFT-001854</x:v>
      </x:c>
      <x:c r="B1870" t="str">
        <x:v>RAW-IMP-20260516-FULLDRAFT-001854</x:v>
      </x:c>
      <x:c r="C1870" t="str">
        <x:v>KTO001</x:v>
      </x:c>
      <x:c r="D1870"/>
      <x:c r="E1870" t="str">
        <x:v>KAT013</x:v>
      </x:c>
      <x:c r="F1870"/>
      <x:c r="G1870"/>
      <x:c r="H1870" t="str">
        <x:v>kein_match</x:v>
      </x:c>
      <x:c r="I1870" t="str">
        <x:v>Agent-Draft: keine finale Regelentscheidung</x:v>
      </x:c>
      <x:c r="J1870" t="n">
        <x:v>45523</x:v>
      </x:c>
      <x:c r="K1870"/>
      <x:c r="L1870"/>
      <x:c r="M1870" t="n">
        <x:v>-21</x:v>
      </x:c>
      <x:c r="N1870" t="str">
        <x:v>2024-08</x:v>
      </x:c>
      <x:c r="O1870" t="str">
        <x:v>Ausgabe</x:v>
      </x:c>
      <x:c r="P1870" t="str">
        <x:v>Ist</x:v>
      </x:c>
      <x:c r="Q1870" s="59" t="b">
        <x:v>0</x:v>
      </x:c>
      <x:c r="R1870" t="str">
        <x:v>kein_transfer</x:v>
      </x:c>
      <x:c r="S1870"/>
      <x:c r="T1870"/>
      <x:c r="U1870"/>
      <x:c r="V1870" s="59" t="b">
        <x:v>1</x:v>
      </x:c>
      <x:c r="W1870"/>
      <x:c r="X1870" t="str">
        <x:v>offen</x:v>
      </x:c>
      <x:c r="Y1870" t="str">
        <x:v>Agent-Draft; Kategorie und Person pruefen</x:v>
      </x:c>
    </x:row>
    <x:row r="1871">
      <x:c r="A1871" t="str">
        <x:v>TXN-RAW-IMP-20260516-FULLDRAFT-001855</x:v>
      </x:c>
      <x:c r="B1871" t="str">
        <x:v>RAW-IMP-20260516-FULLDRAFT-001855</x:v>
      </x:c>
      <x:c r="C1871" t="str">
        <x:v>KTO001</x:v>
      </x:c>
      <x:c r="D1871"/>
      <x:c r="E1871" t="str">
        <x:v>KAT013</x:v>
      </x:c>
      <x:c r="F1871"/>
      <x:c r="G1871"/>
      <x:c r="H1871" t="str">
        <x:v>kein_match</x:v>
      </x:c>
      <x:c r="I1871" t="str">
        <x:v>Agent-Draft: keine finale Regelentscheidung</x:v>
      </x:c>
      <x:c r="J1871" t="n">
        <x:v>45523</x:v>
      </x:c>
      <x:c r="K1871"/>
      <x:c r="L1871"/>
      <x:c r="M1871" t="n">
        <x:v>-4.5</x:v>
      </x:c>
      <x:c r="N1871" t="str">
        <x:v>2024-08</x:v>
      </x:c>
      <x:c r="O1871" t="str">
        <x:v>Ausgabe</x:v>
      </x:c>
      <x:c r="P1871" t="str">
        <x:v>Ist</x:v>
      </x:c>
      <x:c r="Q1871" s="59" t="b">
        <x:v>0</x:v>
      </x:c>
      <x:c r="R1871" t="str">
        <x:v>kein_transfer</x:v>
      </x:c>
      <x:c r="S1871"/>
      <x:c r="T1871"/>
      <x:c r="U1871"/>
      <x:c r="V1871" s="59" t="b">
        <x:v>1</x:v>
      </x:c>
      <x:c r="W1871"/>
      <x:c r="X1871" t="str">
        <x:v>offen</x:v>
      </x:c>
      <x:c r="Y1871" t="str">
        <x:v>Agent-Draft; Kategorie und Person pruefen</x:v>
      </x:c>
    </x:row>
    <x:row r="1872">
      <x:c r="A1872" t="str">
        <x:v>TXN-RAW-IMP-20260516-FULLDRAFT-001856</x:v>
      </x:c>
      <x:c r="B1872" t="str">
        <x:v>RAW-IMP-20260516-FULLDRAFT-001856</x:v>
      </x:c>
      <x:c r="C1872" t="str">
        <x:v>KTO001</x:v>
      </x:c>
      <x:c r="D1872"/>
      <x:c r="E1872" t="str">
        <x:v>KAT013</x:v>
      </x:c>
      <x:c r="F1872"/>
      <x:c r="G1872"/>
      <x:c r="H1872" t="str">
        <x:v>kein_match</x:v>
      </x:c>
      <x:c r="I1872" t="str">
        <x:v>Agent-Draft: keine finale Regelentscheidung</x:v>
      </x:c>
      <x:c r="J1872" t="n">
        <x:v>45520</x:v>
      </x:c>
      <x:c r="K1872"/>
      <x:c r="L1872"/>
      <x:c r="M1872" t="n">
        <x:v>-100</x:v>
      </x:c>
      <x:c r="N1872" t="str">
        <x:v>2024-08</x:v>
      </x:c>
      <x:c r="O1872" t="str">
        <x:v>Ausgabe</x:v>
      </x:c>
      <x:c r="P1872" t="str">
        <x:v>Ist</x:v>
      </x:c>
      <x:c r="Q1872" s="59" t="b">
        <x:v>0</x:v>
      </x:c>
      <x:c r="R1872" t="str">
        <x:v>kein_transfer</x:v>
      </x:c>
      <x:c r="S1872"/>
      <x:c r="T1872"/>
      <x:c r="U1872"/>
      <x:c r="V1872" s="59" t="b">
        <x:v>1</x:v>
      </x:c>
      <x:c r="W1872"/>
      <x:c r="X1872" t="str">
        <x:v>offen</x:v>
      </x:c>
      <x:c r="Y1872" t="str">
        <x:v>Agent-Draft; Kategorie und Person pruefen</x:v>
      </x:c>
    </x:row>
    <x:row r="1873">
      <x:c r="A1873" t="str">
        <x:v>TXN-RAW-IMP-20260516-FULLDRAFT-001857</x:v>
      </x:c>
      <x:c r="B1873" t="str">
        <x:v>RAW-IMP-20260516-FULLDRAFT-001857</x:v>
      </x:c>
      <x:c r="C1873" t="str">
        <x:v>KTO001</x:v>
      </x:c>
      <x:c r="D1873"/>
      <x:c r="E1873" t="str">
        <x:v>KAT013</x:v>
      </x:c>
      <x:c r="F1873"/>
      <x:c r="G1873"/>
      <x:c r="H1873" t="str">
        <x:v>kein_match</x:v>
      </x:c>
      <x:c r="I1873" t="str">
        <x:v>Agent-Draft: keine finale Regelentscheidung</x:v>
      </x:c>
      <x:c r="J1873" t="n">
        <x:v>45519</x:v>
      </x:c>
      <x:c r="K1873"/>
      <x:c r="L1873"/>
      <x:c r="M1873" t="n">
        <x:v>-7.99</x:v>
      </x:c>
      <x:c r="N1873" t="str">
        <x:v>2024-08</x:v>
      </x:c>
      <x:c r="O1873" t="str">
        <x:v>Ausgabe</x:v>
      </x:c>
      <x:c r="P1873" t="str">
        <x:v>Ist</x:v>
      </x:c>
      <x:c r="Q1873" s="59" t="b">
        <x:v>0</x:v>
      </x:c>
      <x:c r="R1873" t="str">
        <x:v>kein_transfer</x:v>
      </x:c>
      <x:c r="S1873"/>
      <x:c r="T1873"/>
      <x:c r="U1873"/>
      <x:c r="V1873" s="59" t="b">
        <x:v>1</x:v>
      </x:c>
      <x:c r="W1873"/>
      <x:c r="X1873" t="str">
        <x:v>offen</x:v>
      </x:c>
      <x:c r="Y1873" t="str">
        <x:v>Agent-Draft; Kategorie und Person pruefen</x:v>
      </x:c>
    </x:row>
    <x:row r="1874">
      <x:c r="A1874" t="str">
        <x:v>TXN-RAW-IMP-20260516-FULLDRAFT-001858</x:v>
      </x:c>
      <x:c r="B1874" t="str">
        <x:v>RAW-IMP-20260516-FULLDRAFT-001858</x:v>
      </x:c>
      <x:c r="C1874" t="str">
        <x:v>KTO001</x:v>
      </x:c>
      <x:c r="D1874"/>
      <x:c r="E1874" t="str">
        <x:v>KAT013</x:v>
      </x:c>
      <x:c r="F1874"/>
      <x:c r="G1874"/>
      <x:c r="H1874" t="str">
        <x:v>kein_match</x:v>
      </x:c>
      <x:c r="I1874" t="str">
        <x:v>Agent-Draft: keine finale Regelentscheidung</x:v>
      </x:c>
      <x:c r="J1874" t="n">
        <x:v>45519</x:v>
      </x:c>
      <x:c r="K1874"/>
      <x:c r="L1874"/>
      <x:c r="M1874" t="n">
        <x:v>-33</x:v>
      </x:c>
      <x:c r="N1874" t="str">
        <x:v>2024-08</x:v>
      </x:c>
      <x:c r="O1874" t="str">
        <x:v>Ausgabe</x:v>
      </x:c>
      <x:c r="P1874" t="str">
        <x:v>Ist</x:v>
      </x:c>
      <x:c r="Q1874" s="59" t="b">
        <x:v>0</x:v>
      </x:c>
      <x:c r="R1874" t="str">
        <x:v>kein_transfer</x:v>
      </x:c>
      <x:c r="S1874"/>
      <x:c r="T1874"/>
      <x:c r="U1874"/>
      <x:c r="V1874" s="59" t="b">
        <x:v>1</x:v>
      </x:c>
      <x:c r="W1874"/>
      <x:c r="X1874" t="str">
        <x:v>offen</x:v>
      </x:c>
      <x:c r="Y1874" t="str">
        <x:v>Agent-Draft; Kategorie und Person pruefen</x:v>
      </x:c>
    </x:row>
    <x:row r="1875">
      <x:c r="A1875" t="str">
        <x:v>TXN-RAW-IMP-20260516-FULLDRAFT-001859</x:v>
      </x:c>
      <x:c r="B1875" t="str">
        <x:v>RAW-IMP-20260516-FULLDRAFT-001859</x:v>
      </x:c>
      <x:c r="C1875" t="str">
        <x:v>KTO001</x:v>
      </x:c>
      <x:c r="D1875"/>
      <x:c r="E1875" t="str">
        <x:v>KAT013</x:v>
      </x:c>
      <x:c r="F1875"/>
      <x:c r="G1875"/>
      <x:c r="H1875" t="str">
        <x:v>kein_match</x:v>
      </x:c>
      <x:c r="I1875" t="str">
        <x:v>Agent-Draft: keine finale Regelentscheidung</x:v>
      </x:c>
      <x:c r="J1875" t="n">
        <x:v>45519</x:v>
      </x:c>
      <x:c r="K1875"/>
      <x:c r="L1875"/>
      <x:c r="M1875" t="n">
        <x:v>-6.99</x:v>
      </x:c>
      <x:c r="N1875" t="str">
        <x:v>2024-08</x:v>
      </x:c>
      <x:c r="O1875" t="str">
        <x:v>Ausgabe</x:v>
      </x:c>
      <x:c r="P1875" t="str">
        <x:v>Ist</x:v>
      </x:c>
      <x:c r="Q1875" s="59" t="b">
        <x:v>0</x:v>
      </x:c>
      <x:c r="R1875" t="str">
        <x:v>kein_transfer</x:v>
      </x:c>
      <x:c r="S1875"/>
      <x:c r="T1875"/>
      <x:c r="U1875"/>
      <x:c r="V1875" s="59" t="b">
        <x:v>1</x:v>
      </x:c>
      <x:c r="W1875"/>
      <x:c r="X1875" t="str">
        <x:v>offen</x:v>
      </x:c>
      <x:c r="Y1875" t="str">
        <x:v>Agent-Draft; Kategorie und Person pruefen</x:v>
      </x:c>
    </x:row>
    <x:row r="1876">
      <x:c r="A1876" t="str">
        <x:v>TXN-RAW-IMP-20260516-FULLDRAFT-001860</x:v>
      </x:c>
      <x:c r="B1876" t="str">
        <x:v>RAW-IMP-20260516-FULLDRAFT-001860</x:v>
      </x:c>
      <x:c r="C1876" t="str">
        <x:v>KTO001</x:v>
      </x:c>
      <x:c r="D1876"/>
      <x:c r="E1876" t="str">
        <x:v>KAT013</x:v>
      </x:c>
      <x:c r="F1876"/>
      <x:c r="G1876"/>
      <x:c r="H1876" t="str">
        <x:v>kein_match</x:v>
      </x:c>
      <x:c r="I1876" t="str">
        <x:v>Agent-Draft: keine finale Regelentscheidung</x:v>
      </x:c>
      <x:c r="J1876" t="n">
        <x:v>45519</x:v>
      </x:c>
      <x:c r="K1876"/>
      <x:c r="L1876"/>
      <x:c r="M1876" t="n">
        <x:v>-12.45</x:v>
      </x:c>
      <x:c r="N1876" t="str">
        <x:v>2024-08</x:v>
      </x:c>
      <x:c r="O1876" t="str">
        <x:v>Ausgabe</x:v>
      </x:c>
      <x:c r="P1876" t="str">
        <x:v>Ist</x:v>
      </x:c>
      <x:c r="Q1876" s="59" t="b">
        <x:v>0</x:v>
      </x:c>
      <x:c r="R1876" t="str">
        <x:v>kein_transfer</x:v>
      </x:c>
      <x:c r="S1876"/>
      <x:c r="T1876"/>
      <x:c r="U1876"/>
      <x:c r="V1876" s="59" t="b">
        <x:v>1</x:v>
      </x:c>
      <x:c r="W1876"/>
      <x:c r="X1876" t="str">
        <x:v>offen</x:v>
      </x:c>
      <x:c r="Y1876" t="str">
        <x:v>Agent-Draft; Kategorie und Person pruefen</x:v>
      </x:c>
    </x:row>
    <x:row r="1877">
      <x:c r="A1877" t="str">
        <x:v>TXN-RAW-IMP-20260516-FULLDRAFT-001861</x:v>
      </x:c>
      <x:c r="B1877" t="str">
        <x:v>RAW-IMP-20260516-FULLDRAFT-001861</x:v>
      </x:c>
      <x:c r="C1877" t="str">
        <x:v>KTO001</x:v>
      </x:c>
      <x:c r="D1877"/>
      <x:c r="E1877" t="str">
        <x:v>KAT013</x:v>
      </x:c>
      <x:c r="F1877"/>
      <x:c r="G1877"/>
      <x:c r="H1877" t="str">
        <x:v>kein_match</x:v>
      </x:c>
      <x:c r="I1877" t="str">
        <x:v>Agent-Draft: keine finale Regelentscheidung</x:v>
      </x:c>
      <x:c r="J1877" t="n">
        <x:v>45519</x:v>
      </x:c>
      <x:c r="K1877"/>
      <x:c r="L1877"/>
      <x:c r="M1877" t="n">
        <x:v>-6.99</x:v>
      </x:c>
      <x:c r="N1877" t="str">
        <x:v>2024-08</x:v>
      </x:c>
      <x:c r="O1877" t="str">
        <x:v>Ausgabe</x:v>
      </x:c>
      <x:c r="P1877" t="str">
        <x:v>Ist</x:v>
      </x:c>
      <x:c r="Q1877" s="59" t="b">
        <x:v>0</x:v>
      </x:c>
      <x:c r="R1877" t="str">
        <x:v>kein_transfer</x:v>
      </x:c>
      <x:c r="S1877"/>
      <x:c r="T1877"/>
      <x:c r="U1877"/>
      <x:c r="V1877" s="59" t="b">
        <x:v>1</x:v>
      </x:c>
      <x:c r="W1877"/>
      <x:c r="X1877" t="str">
        <x:v>offen</x:v>
      </x:c>
      <x:c r="Y1877" t="str">
        <x:v>Agent-Draft; Kategorie und Person pruefen</x:v>
      </x:c>
    </x:row>
    <x:row r="1878">
      <x:c r="A1878" t="str">
        <x:v>TXN-RAW-IMP-20260516-FULLDRAFT-001862</x:v>
      </x:c>
      <x:c r="B1878" t="str">
        <x:v>RAW-IMP-20260516-FULLDRAFT-001862</x:v>
      </x:c>
      <x:c r="C1878" t="str">
        <x:v>KTO001</x:v>
      </x:c>
      <x:c r="D1878"/>
      <x:c r="E1878" t="str">
        <x:v>KAT013</x:v>
      </x:c>
      <x:c r="F1878"/>
      <x:c r="G1878"/>
      <x:c r="H1878" t="str">
        <x:v>kein_match</x:v>
      </x:c>
      <x:c r="I1878" t="str">
        <x:v>Agent-Draft: keine finale Regelentscheidung</x:v>
      </x:c>
      <x:c r="J1878" t="n">
        <x:v>45518</x:v>
      </x:c>
      <x:c r="K1878"/>
      <x:c r="L1878"/>
      <x:c r="M1878" t="n">
        <x:v>-80.88</x:v>
      </x:c>
      <x:c r="N1878" t="str">
        <x:v>2024-08</x:v>
      </x:c>
      <x:c r="O1878" t="str">
        <x:v>Ausgabe</x:v>
      </x:c>
      <x:c r="P1878" t="str">
        <x:v>Ist</x:v>
      </x:c>
      <x:c r="Q1878" s="59" t="b">
        <x:v>0</x:v>
      </x:c>
      <x:c r="R1878" t="str">
        <x:v>kein_transfer</x:v>
      </x:c>
      <x:c r="S1878"/>
      <x:c r="T1878"/>
      <x:c r="U1878"/>
      <x:c r="V1878" s="59" t="b">
        <x:v>1</x:v>
      </x:c>
      <x:c r="W1878"/>
      <x:c r="X1878" t="str">
        <x:v>offen</x:v>
      </x:c>
      <x:c r="Y1878" t="str">
        <x:v>Agent-Draft; Kategorie und Person pruefen</x:v>
      </x:c>
    </x:row>
    <x:row r="1879">
      <x:c r="A1879" t="str">
        <x:v>TXN-RAW-IMP-20260516-FULLDRAFT-001863</x:v>
      </x:c>
      <x:c r="B1879" t="str">
        <x:v>RAW-IMP-20260516-FULLDRAFT-001863</x:v>
      </x:c>
      <x:c r="C1879" t="str">
        <x:v>KTO001</x:v>
      </x:c>
      <x:c r="D1879"/>
      <x:c r="E1879" t="str">
        <x:v>KAT013</x:v>
      </x:c>
      <x:c r="F1879"/>
      <x:c r="G1879"/>
      <x:c r="H1879" t="str">
        <x:v>kein_match</x:v>
      </x:c>
      <x:c r="I1879" t="str">
        <x:v>Agent-Draft: keine finale Regelentscheidung</x:v>
      </x:c>
      <x:c r="J1879" t="n">
        <x:v>45518</x:v>
      </x:c>
      <x:c r="K1879"/>
      <x:c r="L1879"/>
      <x:c r="M1879" t="n">
        <x:v>-1.2</x:v>
      </x:c>
      <x:c r="N1879" t="str">
        <x:v>2024-08</x:v>
      </x:c>
      <x:c r="O1879" t="str">
        <x:v>Ausgabe</x:v>
      </x:c>
      <x:c r="P1879" t="str">
        <x:v>Ist</x:v>
      </x:c>
      <x:c r="Q1879" s="59" t="b">
        <x:v>0</x:v>
      </x:c>
      <x:c r="R1879" t="str">
        <x:v>kein_transfer</x:v>
      </x:c>
      <x:c r="S1879"/>
      <x:c r="T1879"/>
      <x:c r="U1879"/>
      <x:c r="V1879" s="59" t="b">
        <x:v>1</x:v>
      </x:c>
      <x:c r="W1879"/>
      <x:c r="X1879" t="str">
        <x:v>offen</x:v>
      </x:c>
      <x:c r="Y1879" t="str">
        <x:v>Agent-Draft; Kategorie und Person pruefen</x:v>
      </x:c>
    </x:row>
    <x:row r="1880">
      <x:c r="A1880" t="str">
        <x:v>TXN-RAW-IMP-20260516-FULLDRAFT-001864</x:v>
      </x:c>
      <x:c r="B1880" t="str">
        <x:v>RAW-IMP-20260516-FULLDRAFT-001864</x:v>
      </x:c>
      <x:c r="C1880" t="str">
        <x:v>KTO001</x:v>
      </x:c>
      <x:c r="D1880"/>
      <x:c r="E1880" t="str">
        <x:v>KAT013</x:v>
      </x:c>
      <x:c r="F1880"/>
      <x:c r="G1880"/>
      <x:c r="H1880" t="str">
        <x:v>kein_match</x:v>
      </x:c>
      <x:c r="I1880" t="str">
        <x:v>Agent-Draft: keine finale Regelentscheidung</x:v>
      </x:c>
      <x:c r="J1880" t="n">
        <x:v>45517</x:v>
      </x:c>
      <x:c r="K1880"/>
      <x:c r="L1880"/>
      <x:c r="M1880" t="n">
        <x:v>-17.7</x:v>
      </x:c>
      <x:c r="N1880" t="str">
        <x:v>2024-08</x:v>
      </x:c>
      <x:c r="O1880" t="str">
        <x:v>Ausgabe</x:v>
      </x:c>
      <x:c r="P1880" t="str">
        <x:v>Ist</x:v>
      </x:c>
      <x:c r="Q1880" s="59" t="b">
        <x:v>0</x:v>
      </x:c>
      <x:c r="R1880" t="str">
        <x:v>kein_transfer</x:v>
      </x:c>
      <x:c r="S1880"/>
      <x:c r="T1880"/>
      <x:c r="U1880"/>
      <x:c r="V1880" s="59" t="b">
        <x:v>1</x:v>
      </x:c>
      <x:c r="W1880"/>
      <x:c r="X1880" t="str">
        <x:v>offen</x:v>
      </x:c>
      <x:c r="Y1880" t="str">
        <x:v>Agent-Draft; Kategorie und Person pruefen</x:v>
      </x:c>
    </x:row>
    <x:row r="1881">
      <x:c r="A1881" t="str">
        <x:v>TXN-RAW-IMP-20260516-FULLDRAFT-001865</x:v>
      </x:c>
      <x:c r="B1881" t="str">
        <x:v>RAW-IMP-20260516-FULLDRAFT-001865</x:v>
      </x:c>
      <x:c r="C1881" t="str">
        <x:v>KTO001</x:v>
      </x:c>
      <x:c r="D1881"/>
      <x:c r="E1881" t="str">
        <x:v>KAT013</x:v>
      </x:c>
      <x:c r="F1881"/>
      <x:c r="G1881"/>
      <x:c r="H1881" t="str">
        <x:v>kein_match</x:v>
      </x:c>
      <x:c r="I1881" t="str">
        <x:v>Agent-Draft: keine finale Regelentscheidung</x:v>
      </x:c>
      <x:c r="J1881" t="n">
        <x:v>45517</x:v>
      </x:c>
      <x:c r="K1881"/>
      <x:c r="L1881"/>
      <x:c r="M1881" t="n">
        <x:v>-2.16</x:v>
      </x:c>
      <x:c r="N1881" t="str">
        <x:v>2024-08</x:v>
      </x:c>
      <x:c r="O1881" t="str">
        <x:v>Ausgabe</x:v>
      </x:c>
      <x:c r="P1881" t="str">
        <x:v>Ist</x:v>
      </x:c>
      <x:c r="Q1881" s="59" t="b">
        <x:v>0</x:v>
      </x:c>
      <x:c r="R1881" t="str">
        <x:v>kein_transfer</x:v>
      </x:c>
      <x:c r="S1881"/>
      <x:c r="T1881"/>
      <x:c r="U1881"/>
      <x:c r="V1881" s="59" t="b">
        <x:v>1</x:v>
      </x:c>
      <x:c r="W1881"/>
      <x:c r="X1881" t="str">
        <x:v>offen</x:v>
      </x:c>
      <x:c r="Y1881" t="str">
        <x:v>Agent-Draft; Kategorie und Person pruefen</x:v>
      </x:c>
    </x:row>
    <x:row r="1882">
      <x:c r="A1882" t="str">
        <x:v>TXN-RAW-IMP-20260516-FULLDRAFT-001866</x:v>
      </x:c>
      <x:c r="B1882" t="str">
        <x:v>RAW-IMP-20260516-FULLDRAFT-001866</x:v>
      </x:c>
      <x:c r="C1882" t="str">
        <x:v>KTO001</x:v>
      </x:c>
      <x:c r="D1882"/>
      <x:c r="E1882" t="str">
        <x:v>KAT013</x:v>
      </x:c>
      <x:c r="F1882"/>
      <x:c r="G1882"/>
      <x:c r="H1882" t="str">
        <x:v>kein_match</x:v>
      </x:c>
      <x:c r="I1882" t="str">
        <x:v>Agent-Draft: keine finale Regelentscheidung</x:v>
      </x:c>
      <x:c r="J1882" t="n">
        <x:v>45517</x:v>
      </x:c>
      <x:c r="K1882"/>
      <x:c r="L1882"/>
      <x:c r="M1882" t="n">
        <x:v>-24.21</x:v>
      </x:c>
      <x:c r="N1882" t="str">
        <x:v>2024-08</x:v>
      </x:c>
      <x:c r="O1882" t="str">
        <x:v>Ausgabe</x:v>
      </x:c>
      <x:c r="P1882" t="str">
        <x:v>Ist</x:v>
      </x:c>
      <x:c r="Q1882" s="59" t="b">
        <x:v>0</x:v>
      </x:c>
      <x:c r="R1882" t="str">
        <x:v>kein_transfer</x:v>
      </x:c>
      <x:c r="S1882"/>
      <x:c r="T1882"/>
      <x:c r="U1882"/>
      <x:c r="V1882" s="59" t="b">
        <x:v>1</x:v>
      </x:c>
      <x:c r="W1882"/>
      <x:c r="X1882" t="str">
        <x:v>offen</x:v>
      </x:c>
      <x:c r="Y1882" t="str">
        <x:v>Agent-Draft; Kategorie und Person pruefen</x:v>
      </x:c>
    </x:row>
    <x:row r="1883">
      <x:c r="A1883" t="str">
        <x:v>TXN-RAW-IMP-20260516-FULLDRAFT-001867</x:v>
      </x:c>
      <x:c r="B1883" t="str">
        <x:v>RAW-IMP-20260516-FULLDRAFT-001867</x:v>
      </x:c>
      <x:c r="C1883" t="str">
        <x:v>KTO001</x:v>
      </x:c>
      <x:c r="D1883"/>
      <x:c r="E1883" t="str">
        <x:v>KAT013</x:v>
      </x:c>
      <x:c r="F1883"/>
      <x:c r="G1883"/>
      <x:c r="H1883" t="str">
        <x:v>kein_match</x:v>
      </x:c>
      <x:c r="I1883" t="str">
        <x:v>Agent-Draft: keine finale Regelentscheidung</x:v>
      </x:c>
      <x:c r="J1883" t="n">
        <x:v>45517</x:v>
      </x:c>
      <x:c r="K1883"/>
      <x:c r="L1883"/>
      <x:c r="M1883" t="n">
        <x:v>-6.5</x:v>
      </x:c>
      <x:c r="N1883" t="str">
        <x:v>2024-08</x:v>
      </x:c>
      <x:c r="O1883" t="str">
        <x:v>Ausgabe</x:v>
      </x:c>
      <x:c r="P1883" t="str">
        <x:v>Ist</x:v>
      </x:c>
      <x:c r="Q1883" s="59" t="b">
        <x:v>0</x:v>
      </x:c>
      <x:c r="R1883" t="str">
        <x:v>kein_transfer</x:v>
      </x:c>
      <x:c r="S1883"/>
      <x:c r="T1883"/>
      <x:c r="U1883"/>
      <x:c r="V1883" s="59" t="b">
        <x:v>1</x:v>
      </x:c>
      <x:c r="W1883"/>
      <x:c r="X1883" t="str">
        <x:v>offen</x:v>
      </x:c>
      <x:c r="Y1883" t="str">
        <x:v>Agent-Draft; Kategorie und Person pruefen</x:v>
      </x:c>
    </x:row>
    <x:row r="1884">
      <x:c r="A1884" t="str">
        <x:v>TXN-RAW-IMP-20260516-FULLDRAFT-001868</x:v>
      </x:c>
      <x:c r="B1884" t="str">
        <x:v>RAW-IMP-20260516-FULLDRAFT-001868</x:v>
      </x:c>
      <x:c r="C1884" t="str">
        <x:v>KTO001</x:v>
      </x:c>
      <x:c r="D1884"/>
      <x:c r="E1884" t="str">
        <x:v>KAT013</x:v>
      </x:c>
      <x:c r="F1884"/>
      <x:c r="G1884"/>
      <x:c r="H1884" t="str">
        <x:v>kein_match</x:v>
      </x:c>
      <x:c r="I1884" t="str">
        <x:v>Agent-Draft: keine finale Regelentscheidung</x:v>
      </x:c>
      <x:c r="J1884" t="n">
        <x:v>45516</x:v>
      </x:c>
      <x:c r="K1884"/>
      <x:c r="L1884"/>
      <x:c r="M1884" t="n">
        <x:v>-14.95</x:v>
      </x:c>
      <x:c r="N1884" t="str">
        <x:v>2024-08</x:v>
      </x:c>
      <x:c r="O1884" t="str">
        <x:v>Ausgabe</x:v>
      </x:c>
      <x:c r="P1884" t="str">
        <x:v>Ist</x:v>
      </x:c>
      <x:c r="Q1884" s="59" t="b">
        <x:v>0</x:v>
      </x:c>
      <x:c r="R1884" t="str">
        <x:v>kein_transfer</x:v>
      </x:c>
      <x:c r="S1884"/>
      <x:c r="T1884"/>
      <x:c r="U1884"/>
      <x:c r="V1884" s="59" t="b">
        <x:v>1</x:v>
      </x:c>
      <x:c r="W1884"/>
      <x:c r="X1884" t="str">
        <x:v>offen</x:v>
      </x:c>
      <x:c r="Y1884" t="str">
        <x:v>Agent-Draft; Kategorie und Person pruefen</x:v>
      </x:c>
    </x:row>
    <x:row r="1885">
      <x:c r="A1885" t="str">
        <x:v>TXN-RAW-IMP-20260516-FULLDRAFT-001869</x:v>
      </x:c>
      <x:c r="B1885" t="str">
        <x:v>RAW-IMP-20260516-FULLDRAFT-001869</x:v>
      </x:c>
      <x:c r="C1885" t="str">
        <x:v>KTO001</x:v>
      </x:c>
      <x:c r="D1885"/>
      <x:c r="E1885" t="str">
        <x:v>KAT013</x:v>
      </x:c>
      <x:c r="F1885"/>
      <x:c r="G1885"/>
      <x:c r="H1885" t="str">
        <x:v>kein_match</x:v>
      </x:c>
      <x:c r="I1885" t="str">
        <x:v>Agent-Draft: keine finale Regelentscheidung</x:v>
      </x:c>
      <x:c r="J1885" t="n">
        <x:v>45516</x:v>
      </x:c>
      <x:c r="K1885"/>
      <x:c r="L1885"/>
      <x:c r="M1885" t="n">
        <x:v>-43</x:v>
      </x:c>
      <x:c r="N1885" t="str">
        <x:v>2024-08</x:v>
      </x:c>
      <x:c r="O1885" t="str">
        <x:v>Ausgabe</x:v>
      </x:c>
      <x:c r="P1885" t="str">
        <x:v>Ist</x:v>
      </x:c>
      <x:c r="Q1885" s="59" t="b">
        <x:v>0</x:v>
      </x:c>
      <x:c r="R1885" t="str">
        <x:v>kein_transfer</x:v>
      </x:c>
      <x:c r="S1885"/>
      <x:c r="T1885"/>
      <x:c r="U1885"/>
      <x:c r="V1885" s="59" t="b">
        <x:v>1</x:v>
      </x:c>
      <x:c r="W1885"/>
      <x:c r="X1885" t="str">
        <x:v>offen</x:v>
      </x:c>
      <x:c r="Y1885" t="str">
        <x:v>Agent-Draft; Kategorie und Person pruefen</x:v>
      </x:c>
    </x:row>
    <x:row r="1886">
      <x:c r="A1886" t="str">
        <x:v>TXN-RAW-IMP-20260516-FULLDRAFT-001870</x:v>
      </x:c>
      <x:c r="B1886" t="str">
        <x:v>RAW-IMP-20260516-FULLDRAFT-001870</x:v>
      </x:c>
      <x:c r="C1886" t="str">
        <x:v>KTO001</x:v>
      </x:c>
      <x:c r="D1886"/>
      <x:c r="E1886" t="str">
        <x:v>KAT013</x:v>
      </x:c>
      <x:c r="F1886"/>
      <x:c r="G1886"/>
      <x:c r="H1886" t="str">
        <x:v>kein_match</x:v>
      </x:c>
      <x:c r="I1886" t="str">
        <x:v>Agent-Draft: keine finale Regelentscheidung</x:v>
      </x:c>
      <x:c r="J1886" t="n">
        <x:v>45516</x:v>
      </x:c>
      <x:c r="K1886"/>
      <x:c r="L1886"/>
      <x:c r="M1886" t="n">
        <x:v>-5.18</x:v>
      </x:c>
      <x:c r="N1886" t="str">
        <x:v>2024-08</x:v>
      </x:c>
      <x:c r="O1886" t="str">
        <x:v>Ausgabe</x:v>
      </x:c>
      <x:c r="P1886" t="str">
        <x:v>Ist</x:v>
      </x:c>
      <x:c r="Q1886" s="59" t="b">
        <x:v>0</x:v>
      </x:c>
      <x:c r="R1886" t="str">
        <x:v>kein_transfer</x:v>
      </x:c>
      <x:c r="S1886"/>
      <x:c r="T1886"/>
      <x:c r="U1886"/>
      <x:c r="V1886" s="59" t="b">
        <x:v>1</x:v>
      </x:c>
      <x:c r="W1886"/>
      <x:c r="X1886" t="str">
        <x:v>offen</x:v>
      </x:c>
      <x:c r="Y1886" t="str">
        <x:v>Agent-Draft; Kategorie und Person pruefen</x:v>
      </x:c>
    </x:row>
    <x:row r="1887">
      <x:c r="A1887" t="str">
        <x:v>TXN-RAW-IMP-20260516-FULLDRAFT-001871</x:v>
      </x:c>
      <x:c r="B1887" t="str">
        <x:v>RAW-IMP-20260516-FULLDRAFT-001871</x:v>
      </x:c>
      <x:c r="C1887" t="str">
        <x:v>KTO001</x:v>
      </x:c>
      <x:c r="D1887"/>
      <x:c r="E1887" t="str">
        <x:v>KAT013</x:v>
      </x:c>
      <x:c r="F1887"/>
      <x:c r="G1887"/>
      <x:c r="H1887" t="str">
        <x:v>kein_match</x:v>
      </x:c>
      <x:c r="I1887" t="str">
        <x:v>Agent-Draft: keine finale Regelentscheidung</x:v>
      </x:c>
      <x:c r="J1887" t="n">
        <x:v>45516</x:v>
      </x:c>
      <x:c r="K1887"/>
      <x:c r="L1887"/>
      <x:c r="M1887" t="n">
        <x:v>-54.46</x:v>
      </x:c>
      <x:c r="N1887" t="str">
        <x:v>2024-08</x:v>
      </x:c>
      <x:c r="O1887" t="str">
        <x:v>Ausgabe</x:v>
      </x:c>
      <x:c r="P1887" t="str">
        <x:v>Ist</x:v>
      </x:c>
      <x:c r="Q1887" s="59" t="b">
        <x:v>0</x:v>
      </x:c>
      <x:c r="R1887" t="str">
        <x:v>kein_transfer</x:v>
      </x:c>
      <x:c r="S1887"/>
      <x:c r="T1887"/>
      <x:c r="U1887"/>
      <x:c r="V1887" s="59" t="b">
        <x:v>1</x:v>
      </x:c>
      <x:c r="W1887"/>
      <x:c r="X1887" t="str">
        <x:v>offen</x:v>
      </x:c>
      <x:c r="Y1887" t="str">
        <x:v>Agent-Draft; Kategorie und Person pruefen</x:v>
      </x:c>
    </x:row>
    <x:row r="1888">
      <x:c r="A1888" t="str">
        <x:v>TXN-RAW-IMP-20260516-FULLDRAFT-001872</x:v>
      </x:c>
      <x:c r="B1888" t="str">
        <x:v>RAW-IMP-20260516-FULLDRAFT-001872</x:v>
      </x:c>
      <x:c r="C1888" t="str">
        <x:v>KTO001</x:v>
      </x:c>
      <x:c r="D1888"/>
      <x:c r="E1888" t="str">
        <x:v>KAT013</x:v>
      </x:c>
      <x:c r="F1888"/>
      <x:c r="G1888"/>
      <x:c r="H1888" t="str">
        <x:v>kein_match</x:v>
      </x:c>
      <x:c r="I1888" t="str">
        <x:v>Agent-Draft: keine finale Regelentscheidung</x:v>
      </x:c>
      <x:c r="J1888" t="n">
        <x:v>45516</x:v>
      </x:c>
      <x:c r="K1888"/>
      <x:c r="L1888"/>
      <x:c r="M1888" t="n">
        <x:v>-134.14</x:v>
      </x:c>
      <x:c r="N1888" t="str">
        <x:v>2024-08</x:v>
      </x:c>
      <x:c r="O1888" t="str">
        <x:v>Ausgabe</x:v>
      </x:c>
      <x:c r="P1888" t="str">
        <x:v>Ist</x:v>
      </x:c>
      <x:c r="Q1888" s="59" t="b">
        <x:v>0</x:v>
      </x:c>
      <x:c r="R1888" t="str">
        <x:v>kein_transfer</x:v>
      </x:c>
      <x:c r="S1888"/>
      <x:c r="T1888"/>
      <x:c r="U1888"/>
      <x:c r="V1888" s="59" t="b">
        <x:v>1</x:v>
      </x:c>
      <x:c r="W1888"/>
      <x:c r="X1888" t="str">
        <x:v>offen</x:v>
      </x:c>
      <x:c r="Y1888" t="str">
        <x:v>Agent-Draft; Kategorie und Person pruefen</x:v>
      </x:c>
    </x:row>
    <x:row r="1889">
      <x:c r="A1889" t="str">
        <x:v>TXN-RAW-IMP-20260516-FULLDRAFT-001873</x:v>
      </x:c>
      <x:c r="B1889" t="str">
        <x:v>RAW-IMP-20260516-FULLDRAFT-001873</x:v>
      </x:c>
      <x:c r="C1889" t="str">
        <x:v>KTO001</x:v>
      </x:c>
      <x:c r="D1889"/>
      <x:c r="E1889" t="str">
        <x:v>KAT013</x:v>
      </x:c>
      <x:c r="F1889"/>
      <x:c r="G1889"/>
      <x:c r="H1889" t="str">
        <x:v>kein_match</x:v>
      </x:c>
      <x:c r="I1889" t="str">
        <x:v>Agent-Draft: keine finale Regelentscheidung</x:v>
      </x:c>
      <x:c r="J1889" t="n">
        <x:v>45516</x:v>
      </x:c>
      <x:c r="K1889"/>
      <x:c r="L1889"/>
      <x:c r="M1889" t="n">
        <x:v>-4.8</x:v>
      </x:c>
      <x:c r="N1889" t="str">
        <x:v>2024-08</x:v>
      </x:c>
      <x:c r="O1889" t="str">
        <x:v>Ausgabe</x:v>
      </x:c>
      <x:c r="P1889" t="str">
        <x:v>Ist</x:v>
      </x:c>
      <x:c r="Q1889" s="59" t="b">
        <x:v>0</x:v>
      </x:c>
      <x:c r="R1889" t="str">
        <x:v>kein_transfer</x:v>
      </x:c>
      <x:c r="S1889"/>
      <x:c r="T1889"/>
      <x:c r="U1889"/>
      <x:c r="V1889" s="59" t="b">
        <x:v>1</x:v>
      </x:c>
      <x:c r="W1889"/>
      <x:c r="X1889" t="str">
        <x:v>offen</x:v>
      </x:c>
      <x:c r="Y1889" t="str">
        <x:v>Agent-Draft; Kategorie und Person pruefen</x:v>
      </x:c>
    </x:row>
    <x:row r="1890">
      <x:c r="A1890" t="str">
        <x:v>TXN-RAW-IMP-20260516-FULLDRAFT-001874</x:v>
      </x:c>
      <x:c r="B1890" t="str">
        <x:v>RAW-IMP-20260516-FULLDRAFT-001874</x:v>
      </x:c>
      <x:c r="C1890" t="str">
        <x:v>KTO001</x:v>
      </x:c>
      <x:c r="D1890"/>
      <x:c r="E1890" t="str">
        <x:v>KAT013</x:v>
      </x:c>
      <x:c r="F1890"/>
      <x:c r="G1890"/>
      <x:c r="H1890" t="str">
        <x:v>kein_match</x:v>
      </x:c>
      <x:c r="I1890" t="str">
        <x:v>Agent-Draft: keine finale Regelentscheidung</x:v>
      </x:c>
      <x:c r="J1890" t="n">
        <x:v>45516</x:v>
      </x:c>
      <x:c r="K1890"/>
      <x:c r="L1890"/>
      <x:c r="M1890" t="n">
        <x:v>-55</x:v>
      </x:c>
      <x:c r="N1890" t="str">
        <x:v>2024-08</x:v>
      </x:c>
      <x:c r="O1890" t="str">
        <x:v>Ausgabe</x:v>
      </x:c>
      <x:c r="P1890" t="str">
        <x:v>Ist</x:v>
      </x:c>
      <x:c r="Q1890" s="59" t="b">
        <x:v>0</x:v>
      </x:c>
      <x:c r="R1890" t="str">
        <x:v>kein_transfer</x:v>
      </x:c>
      <x:c r="S1890"/>
      <x:c r="T1890"/>
      <x:c r="U1890"/>
      <x:c r="V1890" s="59" t="b">
        <x:v>1</x:v>
      </x:c>
      <x:c r="W1890"/>
      <x:c r="X1890" t="str">
        <x:v>offen</x:v>
      </x:c>
      <x:c r="Y1890" t="str">
        <x:v>Agent-Draft; Kategorie und Person pruefen</x:v>
      </x:c>
    </x:row>
    <x:row r="1891">
      <x:c r="A1891" t="str">
        <x:v>TXN-RAW-IMP-20260516-FULLDRAFT-001875</x:v>
      </x:c>
      <x:c r="B1891" t="str">
        <x:v>RAW-IMP-20260516-FULLDRAFT-001875</x:v>
      </x:c>
      <x:c r="C1891" t="str">
        <x:v>KTO001</x:v>
      </x:c>
      <x:c r="D1891"/>
      <x:c r="E1891" t="str">
        <x:v>KAT013</x:v>
      </x:c>
      <x:c r="F1891"/>
      <x:c r="G1891"/>
      <x:c r="H1891" t="str">
        <x:v>kein_match</x:v>
      </x:c>
      <x:c r="I1891" t="str">
        <x:v>Agent-Draft: keine finale Regelentscheidung</x:v>
      </x:c>
      <x:c r="J1891" t="n">
        <x:v>45516</x:v>
      </x:c>
      <x:c r="K1891"/>
      <x:c r="L1891"/>
      <x:c r="M1891" t="n">
        <x:v>-4.8</x:v>
      </x:c>
      <x:c r="N1891" t="str">
        <x:v>2024-08</x:v>
      </x:c>
      <x:c r="O1891" t="str">
        <x:v>Ausgabe</x:v>
      </x:c>
      <x:c r="P1891" t="str">
        <x:v>Ist</x:v>
      </x:c>
      <x:c r="Q1891" s="59" t="b">
        <x:v>0</x:v>
      </x:c>
      <x:c r="R1891" t="str">
        <x:v>kein_transfer</x:v>
      </x:c>
      <x:c r="S1891"/>
      <x:c r="T1891"/>
      <x:c r="U1891"/>
      <x:c r="V1891" s="59" t="b">
        <x:v>1</x:v>
      </x:c>
      <x:c r="W1891"/>
      <x:c r="X1891" t="str">
        <x:v>offen</x:v>
      </x:c>
      <x:c r="Y1891" t="str">
        <x:v>Agent-Draft; Kategorie und Person pruefen</x:v>
      </x:c>
    </x:row>
    <x:row r="1892">
      <x:c r="A1892" t="str">
        <x:v>TXN-RAW-IMP-20260516-FULLDRAFT-001876</x:v>
      </x:c>
      <x:c r="B1892" t="str">
        <x:v>RAW-IMP-20260516-FULLDRAFT-001876</x:v>
      </x:c>
      <x:c r="C1892" t="str">
        <x:v>KTO001</x:v>
      </x:c>
      <x:c r="D1892"/>
      <x:c r="E1892" t="str">
        <x:v>KAT013</x:v>
      </x:c>
      <x:c r="F1892"/>
      <x:c r="G1892"/>
      <x:c r="H1892" t="str">
        <x:v>kein_match</x:v>
      </x:c>
      <x:c r="I1892" t="str">
        <x:v>Agent-Draft: keine finale Regelentscheidung</x:v>
      </x:c>
      <x:c r="J1892" t="n">
        <x:v>45516</x:v>
      </x:c>
      <x:c r="K1892"/>
      <x:c r="L1892"/>
      <x:c r="M1892" t="n">
        <x:v>-81.25</x:v>
      </x:c>
      <x:c r="N1892" t="str">
        <x:v>2024-08</x:v>
      </x:c>
      <x:c r="O1892" t="str">
        <x:v>Ausgabe</x:v>
      </x:c>
      <x:c r="P1892" t="str">
        <x:v>Ist</x:v>
      </x:c>
      <x:c r="Q1892" s="59" t="b">
        <x:v>0</x:v>
      </x:c>
      <x:c r="R1892" t="str">
        <x:v>kein_transfer</x:v>
      </x:c>
      <x:c r="S1892"/>
      <x:c r="T1892"/>
      <x:c r="U1892"/>
      <x:c r="V1892" s="59" t="b">
        <x:v>1</x:v>
      </x:c>
      <x:c r="W1892"/>
      <x:c r="X1892" t="str">
        <x:v>offen</x:v>
      </x:c>
      <x:c r="Y1892" t="str">
        <x:v>Agent-Draft; Kategorie und Person pruefen</x:v>
      </x:c>
    </x:row>
    <x:row r="1893">
      <x:c r="A1893" t="str">
        <x:v>TXN-RAW-IMP-20260516-FULLDRAFT-001877</x:v>
      </x:c>
      <x:c r="B1893" t="str">
        <x:v>RAW-IMP-20260516-FULLDRAFT-001877</x:v>
      </x:c>
      <x:c r="C1893" t="str">
        <x:v>KTO001</x:v>
      </x:c>
      <x:c r="D1893"/>
      <x:c r="E1893" t="str">
        <x:v>KAT013</x:v>
      </x:c>
      <x:c r="F1893"/>
      <x:c r="G1893"/>
      <x:c r="H1893" t="str">
        <x:v>kein_match</x:v>
      </x:c>
      <x:c r="I1893" t="str">
        <x:v>Agent-Draft: keine finale Regelentscheidung</x:v>
      </x:c>
      <x:c r="J1893" t="n">
        <x:v>45516</x:v>
      </x:c>
      <x:c r="K1893"/>
      <x:c r="L1893"/>
      <x:c r="M1893" t="n">
        <x:v>-5.99</x:v>
      </x:c>
      <x:c r="N1893" t="str">
        <x:v>2024-08</x:v>
      </x:c>
      <x:c r="O1893" t="str">
        <x:v>Ausgabe</x:v>
      </x:c>
      <x:c r="P1893" t="str">
        <x:v>Ist</x:v>
      </x:c>
      <x:c r="Q1893" s="59" t="b">
        <x:v>0</x:v>
      </x:c>
      <x:c r="R1893" t="str">
        <x:v>kein_transfer</x:v>
      </x:c>
      <x:c r="S1893"/>
      <x:c r="T1893"/>
      <x:c r="U1893"/>
      <x:c r="V1893" s="59" t="b">
        <x:v>1</x:v>
      </x:c>
      <x:c r="W1893"/>
      <x:c r="X1893" t="str">
        <x:v>offen</x:v>
      </x:c>
      <x:c r="Y1893" t="str">
        <x:v>Agent-Draft; Kategorie und Person pruefen</x:v>
      </x:c>
    </x:row>
    <x:row r="1894">
      <x:c r="A1894" t="str">
        <x:v>TXN-RAW-IMP-20260516-FULLDRAFT-001878</x:v>
      </x:c>
      <x:c r="B1894" t="str">
        <x:v>RAW-IMP-20260516-FULLDRAFT-001878</x:v>
      </x:c>
      <x:c r="C1894" t="str">
        <x:v>KTO001</x:v>
      </x:c>
      <x:c r="D1894"/>
      <x:c r="E1894" t="str">
        <x:v>KAT013</x:v>
      </x:c>
      <x:c r="F1894"/>
      <x:c r="G1894"/>
      <x:c r="H1894" t="str">
        <x:v>kein_match</x:v>
      </x:c>
      <x:c r="I1894" t="str">
        <x:v>Agent-Draft: keine finale Regelentscheidung</x:v>
      </x:c>
      <x:c r="J1894" t="n">
        <x:v>45513</x:v>
      </x:c>
      <x:c r="K1894"/>
      <x:c r="L1894"/>
      <x:c r="M1894" t="n">
        <x:v>-19.84</x:v>
      </x:c>
      <x:c r="N1894" t="str">
        <x:v>2024-08</x:v>
      </x:c>
      <x:c r="O1894" t="str">
        <x:v>Ausgabe</x:v>
      </x:c>
      <x:c r="P1894" t="str">
        <x:v>Ist</x:v>
      </x:c>
      <x:c r="Q1894" s="59" t="b">
        <x:v>0</x:v>
      </x:c>
      <x:c r="R1894" t="str">
        <x:v>kein_transfer</x:v>
      </x:c>
      <x:c r="S1894"/>
      <x:c r="T1894"/>
      <x:c r="U1894"/>
      <x:c r="V1894" s="59" t="b">
        <x:v>1</x:v>
      </x:c>
      <x:c r="W1894"/>
      <x:c r="X1894" t="str">
        <x:v>offen</x:v>
      </x:c>
      <x:c r="Y1894" t="str">
        <x:v>Agent-Draft; Kategorie und Person pruefen</x:v>
      </x:c>
    </x:row>
    <x:row r="1895">
      <x:c r="A1895" t="str">
        <x:v>TXN-RAW-IMP-20260516-FULLDRAFT-001879</x:v>
      </x:c>
      <x:c r="B1895" t="str">
        <x:v>RAW-IMP-20260516-FULLDRAFT-001879</x:v>
      </x:c>
      <x:c r="C1895" t="str">
        <x:v>KTO001</x:v>
      </x:c>
      <x:c r="D1895"/>
      <x:c r="E1895" t="str">
        <x:v>KAT013</x:v>
      </x:c>
      <x:c r="F1895"/>
      <x:c r="G1895"/>
      <x:c r="H1895" t="str">
        <x:v>kein_match</x:v>
      </x:c>
      <x:c r="I1895" t="str">
        <x:v>Agent-Draft: keine finale Regelentscheidung</x:v>
      </x:c>
      <x:c r="J1895" t="n">
        <x:v>45513</x:v>
      </x:c>
      <x:c r="K1895"/>
      <x:c r="L1895"/>
      <x:c r="M1895" t="n">
        <x:v>-29.95</x:v>
      </x:c>
      <x:c r="N1895" t="str">
        <x:v>2024-08</x:v>
      </x:c>
      <x:c r="O1895" t="str">
        <x:v>Ausgabe</x:v>
      </x:c>
      <x:c r="P1895" t="str">
        <x:v>Ist</x:v>
      </x:c>
      <x:c r="Q1895" s="59" t="b">
        <x:v>0</x:v>
      </x:c>
      <x:c r="R1895" t="str">
        <x:v>kein_transfer</x:v>
      </x:c>
      <x:c r="S1895"/>
      <x:c r="T1895"/>
      <x:c r="U1895"/>
      <x:c r="V1895" s="59" t="b">
        <x:v>1</x:v>
      </x:c>
      <x:c r="W1895"/>
      <x:c r="X1895" t="str">
        <x:v>offen</x:v>
      </x:c>
      <x:c r="Y1895" t="str">
        <x:v>Agent-Draft; Kategorie und Person pruefen</x:v>
      </x:c>
    </x:row>
    <x:row r="1896">
      <x:c r="A1896" t="str">
        <x:v>TXN-RAW-IMP-20260516-FULLDRAFT-001880</x:v>
      </x:c>
      <x:c r="B1896" t="str">
        <x:v>RAW-IMP-20260516-FULLDRAFT-001880</x:v>
      </x:c>
      <x:c r="C1896" t="str">
        <x:v>KTO001</x:v>
      </x:c>
      <x:c r="D1896"/>
      <x:c r="E1896" t="str">
        <x:v>KAT013</x:v>
      </x:c>
      <x:c r="F1896"/>
      <x:c r="G1896"/>
      <x:c r="H1896" t="str">
        <x:v>kein_match</x:v>
      </x:c>
      <x:c r="I1896" t="str">
        <x:v>Agent-Draft: keine finale Regelentscheidung</x:v>
      </x:c>
      <x:c r="J1896" t="n">
        <x:v>45513</x:v>
      </x:c>
      <x:c r="K1896"/>
      <x:c r="L1896"/>
      <x:c r="M1896" t="n">
        <x:v>-12.15</x:v>
      </x:c>
      <x:c r="N1896" t="str">
        <x:v>2024-08</x:v>
      </x:c>
      <x:c r="O1896" t="str">
        <x:v>Ausgabe</x:v>
      </x:c>
      <x:c r="P1896" t="str">
        <x:v>Ist</x:v>
      </x:c>
      <x:c r="Q1896" s="59" t="b">
        <x:v>0</x:v>
      </x:c>
      <x:c r="R1896" t="str">
        <x:v>kein_transfer</x:v>
      </x:c>
      <x:c r="S1896"/>
      <x:c r="T1896"/>
      <x:c r="U1896"/>
      <x:c r="V1896" s="59" t="b">
        <x:v>1</x:v>
      </x:c>
      <x:c r="W1896"/>
      <x:c r="X1896" t="str">
        <x:v>offen</x:v>
      </x:c>
      <x:c r="Y1896" t="str">
        <x:v>Agent-Draft; Kategorie und Person pruefen</x:v>
      </x:c>
    </x:row>
    <x:row r="1897">
      <x:c r="A1897" t="str">
        <x:v>TXN-RAW-IMP-20260516-FULLDRAFT-001881</x:v>
      </x:c>
      <x:c r="B1897" t="str">
        <x:v>RAW-IMP-20260516-FULLDRAFT-001881</x:v>
      </x:c>
      <x:c r="C1897" t="str">
        <x:v>KTO001</x:v>
      </x:c>
      <x:c r="D1897"/>
      <x:c r="E1897" t="str">
        <x:v>KAT013</x:v>
      </x:c>
      <x:c r="F1897"/>
      <x:c r="G1897"/>
      <x:c r="H1897" t="str">
        <x:v>kein_match</x:v>
      </x:c>
      <x:c r="I1897" t="str">
        <x:v>Agent-Draft: keine finale Regelentscheidung</x:v>
      </x:c>
      <x:c r="J1897" t="n">
        <x:v>45512</x:v>
      </x:c>
      <x:c r="K1897"/>
      <x:c r="L1897"/>
      <x:c r="M1897" t="n">
        <x:v>-8.09</x:v>
      </x:c>
      <x:c r="N1897" t="str">
        <x:v>2024-08</x:v>
      </x:c>
      <x:c r="O1897" t="str">
        <x:v>Ausgabe</x:v>
      </x:c>
      <x:c r="P1897" t="str">
        <x:v>Ist</x:v>
      </x:c>
      <x:c r="Q1897" s="59" t="b">
        <x:v>0</x:v>
      </x:c>
      <x:c r="R1897" t="str">
        <x:v>kein_transfer</x:v>
      </x:c>
      <x:c r="S1897"/>
      <x:c r="T1897"/>
      <x:c r="U1897"/>
      <x:c r="V1897" s="59" t="b">
        <x:v>1</x:v>
      </x:c>
      <x:c r="W1897"/>
      <x:c r="X1897" t="str">
        <x:v>offen</x:v>
      </x:c>
      <x:c r="Y1897" t="str">
        <x:v>Agent-Draft; Kategorie und Person pruefen</x:v>
      </x:c>
    </x:row>
    <x:row r="1898">
      <x:c r="A1898" t="str">
        <x:v>TXN-RAW-IMP-20260516-FULLDRAFT-001882</x:v>
      </x:c>
      <x:c r="B1898" t="str">
        <x:v>RAW-IMP-20260516-FULLDRAFT-001882</x:v>
      </x:c>
      <x:c r="C1898" t="str">
        <x:v>KTO001</x:v>
      </x:c>
      <x:c r="D1898"/>
      <x:c r="E1898" t="str">
        <x:v>KAT013</x:v>
      </x:c>
      <x:c r="F1898"/>
      <x:c r="G1898"/>
      <x:c r="H1898" t="str">
        <x:v>kein_match</x:v>
      </x:c>
      <x:c r="I1898" t="str">
        <x:v>Agent-Draft: keine finale Regelentscheidung</x:v>
      </x:c>
      <x:c r="J1898" t="n">
        <x:v>45512</x:v>
      </x:c>
      <x:c r="K1898"/>
      <x:c r="L1898"/>
      <x:c r="M1898" t="n">
        <x:v>-15</x:v>
      </x:c>
      <x:c r="N1898" t="str">
        <x:v>2024-08</x:v>
      </x:c>
      <x:c r="O1898" t="str">
        <x:v>Ausgabe</x:v>
      </x:c>
      <x:c r="P1898" t="str">
        <x:v>Ist</x:v>
      </x:c>
      <x:c r="Q1898" s="59" t="b">
        <x:v>0</x:v>
      </x:c>
      <x:c r="R1898" t="str">
        <x:v>kein_transfer</x:v>
      </x:c>
      <x:c r="S1898"/>
      <x:c r="T1898"/>
      <x:c r="U1898"/>
      <x:c r="V1898" s="59" t="b">
        <x:v>1</x:v>
      </x:c>
      <x:c r="W1898"/>
      <x:c r="X1898" t="str">
        <x:v>offen</x:v>
      </x:c>
      <x:c r="Y1898" t="str">
        <x:v>Agent-Draft; Kategorie und Person pruefen</x:v>
      </x:c>
    </x:row>
    <x:row r="1899">
      <x:c r="A1899" t="str">
        <x:v>TXN-RAW-IMP-20260516-FULLDRAFT-001883</x:v>
      </x:c>
      <x:c r="B1899" t="str">
        <x:v>RAW-IMP-20260516-FULLDRAFT-001883</x:v>
      </x:c>
      <x:c r="C1899" t="str">
        <x:v>KTO001</x:v>
      </x:c>
      <x:c r="D1899"/>
      <x:c r="E1899" t="str">
        <x:v>KAT013</x:v>
      </x:c>
      <x:c r="F1899"/>
      <x:c r="G1899"/>
      <x:c r="H1899" t="str">
        <x:v>kein_match</x:v>
      </x:c>
      <x:c r="I1899" t="str">
        <x:v>Agent-Draft: keine finale Regelentscheidung</x:v>
      </x:c>
      <x:c r="J1899" t="n">
        <x:v>45512</x:v>
      </x:c>
      <x:c r="K1899"/>
      <x:c r="L1899"/>
      <x:c r="M1899" t="n">
        <x:v>-15</x:v>
      </x:c>
      <x:c r="N1899" t="str">
        <x:v>2024-08</x:v>
      </x:c>
      <x:c r="O1899" t="str">
        <x:v>Ausgabe</x:v>
      </x:c>
      <x:c r="P1899" t="str">
        <x:v>Ist</x:v>
      </x:c>
      <x:c r="Q1899" s="59" t="b">
        <x:v>0</x:v>
      </x:c>
      <x:c r="R1899" t="str">
        <x:v>kein_transfer</x:v>
      </x:c>
      <x:c r="S1899"/>
      <x:c r="T1899"/>
      <x:c r="U1899"/>
      <x:c r="V1899" s="59" t="b">
        <x:v>1</x:v>
      </x:c>
      <x:c r="W1899"/>
      <x:c r="X1899" t="str">
        <x:v>offen</x:v>
      </x:c>
      <x:c r="Y1899" t="str">
        <x:v>Agent-Draft; Kategorie und Person pruefen</x:v>
      </x:c>
    </x:row>
    <x:row r="1900">
      <x:c r="A1900" t="str">
        <x:v>TXN-RAW-IMP-20260516-FULLDRAFT-001884</x:v>
      </x:c>
      <x:c r="B1900" t="str">
        <x:v>RAW-IMP-20260516-FULLDRAFT-001884</x:v>
      </x:c>
      <x:c r="C1900" t="str">
        <x:v>KTO001</x:v>
      </x:c>
      <x:c r="D1900"/>
      <x:c r="E1900" t="str">
        <x:v>KAT013</x:v>
      </x:c>
      <x:c r="F1900"/>
      <x:c r="G1900"/>
      <x:c r="H1900" t="str">
        <x:v>kein_match</x:v>
      </x:c>
      <x:c r="I1900" t="str">
        <x:v>Agent-Draft: keine finale Regelentscheidung</x:v>
      </x:c>
      <x:c r="J1900" t="n">
        <x:v>45510</x:v>
      </x:c>
      <x:c r="K1900"/>
      <x:c r="L1900"/>
      <x:c r="M1900" t="n">
        <x:v>-1.8</x:v>
      </x:c>
      <x:c r="N1900" t="str">
        <x:v>2024-08</x:v>
      </x:c>
      <x:c r="O1900" t="str">
        <x:v>Ausgabe</x:v>
      </x:c>
      <x:c r="P1900" t="str">
        <x:v>Ist</x:v>
      </x:c>
      <x:c r="Q1900" s="59" t="b">
        <x:v>0</x:v>
      </x:c>
      <x:c r="R1900" t="str">
        <x:v>kein_transfer</x:v>
      </x:c>
      <x:c r="S1900"/>
      <x:c r="T1900"/>
      <x:c r="U1900"/>
      <x:c r="V1900" s="59" t="b">
        <x:v>1</x:v>
      </x:c>
      <x:c r="W1900"/>
      <x:c r="X1900" t="str">
        <x:v>offen</x:v>
      </x:c>
      <x:c r="Y1900" t="str">
        <x:v>Agent-Draft; Kategorie und Person pruefen</x:v>
      </x:c>
    </x:row>
    <x:row r="1901">
      <x:c r="A1901" t="str">
        <x:v>TXN-RAW-IMP-20260516-FULLDRAFT-001885</x:v>
      </x:c>
      <x:c r="B1901" t="str">
        <x:v>RAW-IMP-20260516-FULLDRAFT-001885</x:v>
      </x:c>
      <x:c r="C1901" t="str">
        <x:v>KTO001</x:v>
      </x:c>
      <x:c r="D1901"/>
      <x:c r="E1901" t="str">
        <x:v>KAT013</x:v>
      </x:c>
      <x:c r="F1901"/>
      <x:c r="G1901"/>
      <x:c r="H1901" t="str">
        <x:v>kein_match</x:v>
      </x:c>
      <x:c r="I1901" t="str">
        <x:v>Agent-Draft: keine finale Regelentscheidung</x:v>
      </x:c>
      <x:c r="J1901" t="n">
        <x:v>45510</x:v>
      </x:c>
      <x:c r="K1901"/>
      <x:c r="L1901"/>
      <x:c r="M1901" t="n">
        <x:v>-61.94</x:v>
      </x:c>
      <x:c r="N1901" t="str">
        <x:v>2024-08</x:v>
      </x:c>
      <x:c r="O1901" t="str">
        <x:v>Ausgabe</x:v>
      </x:c>
      <x:c r="P1901" t="str">
        <x:v>Ist</x:v>
      </x:c>
      <x:c r="Q1901" s="59" t="b">
        <x:v>0</x:v>
      </x:c>
      <x:c r="R1901" t="str">
        <x:v>kein_transfer</x:v>
      </x:c>
      <x:c r="S1901"/>
      <x:c r="T1901"/>
      <x:c r="U1901"/>
      <x:c r="V1901" s="59" t="b">
        <x:v>1</x:v>
      </x:c>
      <x:c r="W1901"/>
      <x:c r="X1901" t="str">
        <x:v>offen</x:v>
      </x:c>
      <x:c r="Y1901" t="str">
        <x:v>Agent-Draft; Kategorie und Person pruefen</x:v>
      </x:c>
    </x:row>
    <x:row r="1902">
      <x:c r="A1902" t="str">
        <x:v>TXN-RAW-IMP-20260516-FULLDRAFT-001886</x:v>
      </x:c>
      <x:c r="B1902" t="str">
        <x:v>RAW-IMP-20260516-FULLDRAFT-001886</x:v>
      </x:c>
      <x:c r="C1902" t="str">
        <x:v>KTO001</x:v>
      </x:c>
      <x:c r="D1902"/>
      <x:c r="E1902" t="str">
        <x:v>KAT013</x:v>
      </x:c>
      <x:c r="F1902"/>
      <x:c r="G1902"/>
      <x:c r="H1902" t="str">
        <x:v>kein_match</x:v>
      </x:c>
      <x:c r="I1902" t="str">
        <x:v>Agent-Draft: keine finale Regelentscheidung</x:v>
      </x:c>
      <x:c r="J1902" t="n">
        <x:v>45510</x:v>
      </x:c>
      <x:c r="K1902"/>
      <x:c r="L1902"/>
      <x:c r="M1902" t="n">
        <x:v>-49.9</x:v>
      </x:c>
      <x:c r="N1902" t="str">
        <x:v>2024-08</x:v>
      </x:c>
      <x:c r="O1902" t="str">
        <x:v>Ausgabe</x:v>
      </x:c>
      <x:c r="P1902" t="str">
        <x:v>Ist</x:v>
      </x:c>
      <x:c r="Q1902" s="59" t="b">
        <x:v>0</x:v>
      </x:c>
      <x:c r="R1902" t="str">
        <x:v>kein_transfer</x:v>
      </x:c>
      <x:c r="S1902"/>
      <x:c r="T1902"/>
      <x:c r="U1902"/>
      <x:c r="V1902" s="59" t="b">
        <x:v>1</x:v>
      </x:c>
      <x:c r="W1902"/>
      <x:c r="X1902" t="str">
        <x:v>offen</x:v>
      </x:c>
      <x:c r="Y1902" t="str">
        <x:v>Agent-Draft; Kategorie und Person pruefen</x:v>
      </x:c>
    </x:row>
    <x:row r="1903">
      <x:c r="A1903" t="str">
        <x:v>TXN-RAW-IMP-20260516-FULLDRAFT-001887</x:v>
      </x:c>
      <x:c r="B1903" t="str">
        <x:v>RAW-IMP-20260516-FULLDRAFT-001887</x:v>
      </x:c>
      <x:c r="C1903" t="str">
        <x:v>KTO001</x:v>
      </x:c>
      <x:c r="D1903"/>
      <x:c r="E1903" t="str">
        <x:v>KAT013</x:v>
      </x:c>
      <x:c r="F1903"/>
      <x:c r="G1903"/>
      <x:c r="H1903" t="str">
        <x:v>kein_match</x:v>
      </x:c>
      <x:c r="I1903" t="str">
        <x:v>Agent-Draft: keine finale Regelentscheidung</x:v>
      </x:c>
      <x:c r="J1903" t="n">
        <x:v>45509</x:v>
      </x:c>
      <x:c r="K1903"/>
      <x:c r="L1903"/>
      <x:c r="M1903" t="n">
        <x:v>-71.54</x:v>
      </x:c>
      <x:c r="N1903" t="str">
        <x:v>2024-08</x:v>
      </x:c>
      <x:c r="O1903" t="str">
        <x:v>Ausgabe</x:v>
      </x:c>
      <x:c r="P1903" t="str">
        <x:v>Ist</x:v>
      </x:c>
      <x:c r="Q1903" s="59" t="b">
        <x:v>0</x:v>
      </x:c>
      <x:c r="R1903" t="str">
        <x:v>kein_transfer</x:v>
      </x:c>
      <x:c r="S1903"/>
      <x:c r="T1903"/>
      <x:c r="U1903"/>
      <x:c r="V1903" s="59" t="b">
        <x:v>1</x:v>
      </x:c>
      <x:c r="W1903"/>
      <x:c r="X1903" t="str">
        <x:v>offen</x:v>
      </x:c>
      <x:c r="Y1903" t="str">
        <x:v>Agent-Draft; Kategorie und Person pruefen</x:v>
      </x:c>
    </x:row>
    <x:row r="1904">
      <x:c r="A1904" t="str">
        <x:v>TXN-RAW-IMP-20260516-FULLDRAFT-001888</x:v>
      </x:c>
      <x:c r="B1904" t="str">
        <x:v>RAW-IMP-20260516-FULLDRAFT-001888</x:v>
      </x:c>
      <x:c r="C1904" t="str">
        <x:v>KTO001</x:v>
      </x:c>
      <x:c r="D1904"/>
      <x:c r="E1904" t="str">
        <x:v>KAT013</x:v>
      </x:c>
      <x:c r="F1904"/>
      <x:c r="G1904"/>
      <x:c r="H1904" t="str">
        <x:v>kein_match</x:v>
      </x:c>
      <x:c r="I1904" t="str">
        <x:v>Agent-Draft: keine finale Regelentscheidung</x:v>
      </x:c>
      <x:c r="J1904" t="n">
        <x:v>45509</x:v>
      </x:c>
      <x:c r="K1904"/>
      <x:c r="L1904"/>
      <x:c r="M1904" t="n">
        <x:v>-29.99</x:v>
      </x:c>
      <x:c r="N1904" t="str">
        <x:v>2024-08</x:v>
      </x:c>
      <x:c r="O1904" t="str">
        <x:v>Ausgabe</x:v>
      </x:c>
      <x:c r="P1904" t="str">
        <x:v>Ist</x:v>
      </x:c>
      <x:c r="Q1904" s="59" t="b">
        <x:v>0</x:v>
      </x:c>
      <x:c r="R1904" t="str">
        <x:v>kein_transfer</x:v>
      </x:c>
      <x:c r="S1904"/>
      <x:c r="T1904"/>
      <x:c r="U1904"/>
      <x:c r="V1904" s="59" t="b">
        <x:v>1</x:v>
      </x:c>
      <x:c r="W1904"/>
      <x:c r="X1904" t="str">
        <x:v>offen</x:v>
      </x:c>
      <x:c r="Y1904" t="str">
        <x:v>Agent-Draft; Kategorie und Person pruefen</x:v>
      </x:c>
    </x:row>
    <x:row r="1905">
      <x:c r="A1905" t="str">
        <x:v>TXN-RAW-IMP-20260516-FULLDRAFT-001889</x:v>
      </x:c>
      <x:c r="B1905" t="str">
        <x:v>RAW-IMP-20260516-FULLDRAFT-001889</x:v>
      </x:c>
      <x:c r="C1905" t="str">
        <x:v>KTO001</x:v>
      </x:c>
      <x:c r="D1905"/>
      <x:c r="E1905" t="str">
        <x:v>KAT013</x:v>
      </x:c>
      <x:c r="F1905"/>
      <x:c r="G1905"/>
      <x:c r="H1905" t="str">
        <x:v>kein_match</x:v>
      </x:c>
      <x:c r="I1905" t="str">
        <x:v>Agent-Draft: keine finale Regelentscheidung</x:v>
      </x:c>
      <x:c r="J1905" t="n">
        <x:v>45509</x:v>
      </x:c>
      <x:c r="K1905"/>
      <x:c r="L1905"/>
      <x:c r="M1905" t="n">
        <x:v>-7.5</x:v>
      </x:c>
      <x:c r="N1905" t="str">
        <x:v>2024-08</x:v>
      </x:c>
      <x:c r="O1905" t="str">
        <x:v>Ausgabe</x:v>
      </x:c>
      <x:c r="P1905" t="str">
        <x:v>Ist</x:v>
      </x:c>
      <x:c r="Q1905" s="59" t="b">
        <x:v>0</x:v>
      </x:c>
      <x:c r="R1905" t="str">
        <x:v>kein_transfer</x:v>
      </x:c>
      <x:c r="S1905"/>
      <x:c r="T1905"/>
      <x:c r="U1905"/>
      <x:c r="V1905" s="59" t="b">
        <x:v>1</x:v>
      </x:c>
      <x:c r="W1905"/>
      <x:c r="X1905" t="str">
        <x:v>offen</x:v>
      </x:c>
      <x:c r="Y1905" t="str">
        <x:v>Agent-Draft; Kategorie und Person pruefen</x:v>
      </x:c>
    </x:row>
    <x:row r="1906">
      <x:c r="A1906" t="str">
        <x:v>TXN-RAW-IMP-20260516-FULLDRAFT-001890</x:v>
      </x:c>
      <x:c r="B1906" t="str">
        <x:v>RAW-IMP-20260516-FULLDRAFT-001890</x:v>
      </x:c>
      <x:c r="C1906" t="str">
        <x:v>KTO001</x:v>
      </x:c>
      <x:c r="D1906"/>
      <x:c r="E1906" t="str">
        <x:v>KAT013</x:v>
      </x:c>
      <x:c r="F1906"/>
      <x:c r="G1906"/>
      <x:c r="H1906" t="str">
        <x:v>kein_match</x:v>
      </x:c>
      <x:c r="I1906" t="str">
        <x:v>Agent-Draft: keine finale Regelentscheidung</x:v>
      </x:c>
      <x:c r="J1906" t="n">
        <x:v>45509</x:v>
      </x:c>
      <x:c r="K1906"/>
      <x:c r="L1906"/>
      <x:c r="M1906" t="n">
        <x:v>-19.5</x:v>
      </x:c>
      <x:c r="N1906" t="str">
        <x:v>2024-08</x:v>
      </x:c>
      <x:c r="O1906" t="str">
        <x:v>Ausgabe</x:v>
      </x:c>
      <x:c r="P1906" t="str">
        <x:v>Ist</x:v>
      </x:c>
      <x:c r="Q1906" s="59" t="b">
        <x:v>0</x:v>
      </x:c>
      <x:c r="R1906" t="str">
        <x:v>kein_transfer</x:v>
      </x:c>
      <x:c r="S1906"/>
      <x:c r="T1906"/>
      <x:c r="U1906"/>
      <x:c r="V1906" s="59" t="b">
        <x:v>1</x:v>
      </x:c>
      <x:c r="W1906"/>
      <x:c r="X1906" t="str">
        <x:v>offen</x:v>
      </x:c>
      <x:c r="Y1906" t="str">
        <x:v>Agent-Draft; Kategorie und Person pruefen</x:v>
      </x:c>
    </x:row>
    <x:row r="1907">
      <x:c r="A1907" t="str">
        <x:v>TXN-RAW-IMP-20260516-FULLDRAFT-001891</x:v>
      </x:c>
      <x:c r="B1907" t="str">
        <x:v>RAW-IMP-20260516-FULLDRAFT-001891</x:v>
      </x:c>
      <x:c r="C1907" t="str">
        <x:v>KTO001</x:v>
      </x:c>
      <x:c r="D1907"/>
      <x:c r="E1907" t="str">
        <x:v>KAT013</x:v>
      </x:c>
      <x:c r="F1907"/>
      <x:c r="G1907"/>
      <x:c r="H1907" t="str">
        <x:v>kein_match</x:v>
      </x:c>
      <x:c r="I1907" t="str">
        <x:v>Agent-Draft: keine finale Regelentscheidung</x:v>
      </x:c>
      <x:c r="J1907" t="n">
        <x:v>45509</x:v>
      </x:c>
      <x:c r="K1907"/>
      <x:c r="L1907"/>
      <x:c r="M1907" t="n">
        <x:v>-36.82</x:v>
      </x:c>
      <x:c r="N1907" t="str">
        <x:v>2024-08</x:v>
      </x:c>
      <x:c r="O1907" t="str">
        <x:v>Ausgabe</x:v>
      </x:c>
      <x:c r="P1907" t="str">
        <x:v>Ist</x:v>
      </x:c>
      <x:c r="Q1907" s="59" t="b">
        <x:v>0</x:v>
      </x:c>
      <x:c r="R1907" t="str">
        <x:v>kein_transfer</x:v>
      </x:c>
      <x:c r="S1907"/>
      <x:c r="T1907"/>
      <x:c r="U1907"/>
      <x:c r="V1907" s="59" t="b">
        <x:v>1</x:v>
      </x:c>
      <x:c r="W1907"/>
      <x:c r="X1907" t="str">
        <x:v>offen</x:v>
      </x:c>
      <x:c r="Y1907" t="str">
        <x:v>Agent-Draft; Kategorie und Person pruefen</x:v>
      </x:c>
    </x:row>
    <x:row r="1908">
      <x:c r="A1908" t="str">
        <x:v>TXN-RAW-IMP-20260516-FULLDRAFT-001892</x:v>
      </x:c>
      <x:c r="B1908" t="str">
        <x:v>RAW-IMP-20260516-FULLDRAFT-001892</x:v>
      </x:c>
      <x:c r="C1908" t="str">
        <x:v>KTO001</x:v>
      </x:c>
      <x:c r="D1908"/>
      <x:c r="E1908" t="str">
        <x:v>KAT013</x:v>
      </x:c>
      <x:c r="F1908"/>
      <x:c r="G1908"/>
      <x:c r="H1908" t="str">
        <x:v>kein_match</x:v>
      </x:c>
      <x:c r="I1908" t="str">
        <x:v>Agent-Draft: keine finale Regelentscheidung</x:v>
      </x:c>
      <x:c r="J1908" t="n">
        <x:v>45509</x:v>
      </x:c>
      <x:c r="K1908"/>
      <x:c r="L1908"/>
      <x:c r="M1908" t="n">
        <x:v>-3.99</x:v>
      </x:c>
      <x:c r="N1908" t="str">
        <x:v>2024-08</x:v>
      </x:c>
      <x:c r="O1908" t="str">
        <x:v>Ausgabe</x:v>
      </x:c>
      <x:c r="P1908" t="str">
        <x:v>Ist</x:v>
      </x:c>
      <x:c r="Q1908" s="59" t="b">
        <x:v>0</x:v>
      </x:c>
      <x:c r="R1908" t="str">
        <x:v>kein_transfer</x:v>
      </x:c>
      <x:c r="S1908"/>
      <x:c r="T1908"/>
      <x:c r="U1908"/>
      <x:c r="V1908" s="59" t="b">
        <x:v>1</x:v>
      </x:c>
      <x:c r="W1908"/>
      <x:c r="X1908" t="str">
        <x:v>offen</x:v>
      </x:c>
      <x:c r="Y1908" t="str">
        <x:v>Agent-Draft; Kategorie und Person pruefen</x:v>
      </x:c>
    </x:row>
    <x:row r="1909">
      <x:c r="A1909" t="str">
        <x:v>TXN-RAW-IMP-20260516-FULLDRAFT-001893</x:v>
      </x:c>
      <x:c r="B1909" t="str">
        <x:v>RAW-IMP-20260516-FULLDRAFT-001893</x:v>
      </x:c>
      <x:c r="C1909" t="str">
        <x:v>KTO001</x:v>
      </x:c>
      <x:c r="D1909"/>
      <x:c r="E1909" t="str">
        <x:v>KAT013</x:v>
      </x:c>
      <x:c r="F1909"/>
      <x:c r="G1909"/>
      <x:c r="H1909" t="str">
        <x:v>kein_match</x:v>
      </x:c>
      <x:c r="I1909" t="str">
        <x:v>Agent-Draft: keine finale Regelentscheidung</x:v>
      </x:c>
      <x:c r="J1909" t="n">
        <x:v>45509</x:v>
      </x:c>
      <x:c r="K1909"/>
      <x:c r="L1909"/>
      <x:c r="M1909" t="n">
        <x:v>-17.65</x:v>
      </x:c>
      <x:c r="N1909" t="str">
        <x:v>2024-08</x:v>
      </x:c>
      <x:c r="O1909" t="str">
        <x:v>Ausgabe</x:v>
      </x:c>
      <x:c r="P1909" t="str">
        <x:v>Ist</x:v>
      </x:c>
      <x:c r="Q1909" s="59" t="b">
        <x:v>0</x:v>
      </x:c>
      <x:c r="R1909" t="str">
        <x:v>kein_transfer</x:v>
      </x:c>
      <x:c r="S1909"/>
      <x:c r="T1909"/>
      <x:c r="U1909"/>
      <x:c r="V1909" s="59" t="b">
        <x:v>1</x:v>
      </x:c>
      <x:c r="W1909"/>
      <x:c r="X1909" t="str">
        <x:v>offen</x:v>
      </x:c>
      <x:c r="Y1909" t="str">
        <x:v>Agent-Draft; Kategorie und Person pruefen</x:v>
      </x:c>
    </x:row>
    <x:row r="1910">
      <x:c r="A1910" t="str">
        <x:v>TXN-RAW-IMP-20260516-FULLDRAFT-001894</x:v>
      </x:c>
      <x:c r="B1910" t="str">
        <x:v>RAW-IMP-20260516-FULLDRAFT-001894</x:v>
      </x:c>
      <x:c r="C1910" t="str">
        <x:v>KTO001</x:v>
      </x:c>
      <x:c r="D1910"/>
      <x:c r="E1910" t="str">
        <x:v>KAT013</x:v>
      </x:c>
      <x:c r="F1910"/>
      <x:c r="G1910"/>
      <x:c r="H1910" t="str">
        <x:v>kein_match</x:v>
      </x:c>
      <x:c r="I1910" t="str">
        <x:v>Agent-Draft: keine finale Regelentscheidung</x:v>
      </x:c>
      <x:c r="J1910" t="n">
        <x:v>45509</x:v>
      </x:c>
      <x:c r="K1910"/>
      <x:c r="L1910"/>
      <x:c r="M1910" t="n">
        <x:v>-11.47</x:v>
      </x:c>
      <x:c r="N1910" t="str">
        <x:v>2024-08</x:v>
      </x:c>
      <x:c r="O1910" t="str">
        <x:v>Ausgabe</x:v>
      </x:c>
      <x:c r="P1910" t="str">
        <x:v>Ist</x:v>
      </x:c>
      <x:c r="Q1910" s="59" t="b">
        <x:v>0</x:v>
      </x:c>
      <x:c r="R1910" t="str">
        <x:v>kein_transfer</x:v>
      </x:c>
      <x:c r="S1910"/>
      <x:c r="T1910"/>
      <x:c r="U1910"/>
      <x:c r="V1910" s="59" t="b">
        <x:v>1</x:v>
      </x:c>
      <x:c r="W1910"/>
      <x:c r="X1910" t="str">
        <x:v>offen</x:v>
      </x:c>
      <x:c r="Y1910" t="str">
        <x:v>Agent-Draft; Kategorie und Person pruefen</x:v>
      </x:c>
    </x:row>
    <x:row r="1911">
      <x:c r="A1911" t="str">
        <x:v>TXN-RAW-IMP-20260516-FULLDRAFT-001895</x:v>
      </x:c>
      <x:c r="B1911" t="str">
        <x:v>RAW-IMP-20260516-FULLDRAFT-001895</x:v>
      </x:c>
      <x:c r="C1911" t="str">
        <x:v>KTO001</x:v>
      </x:c>
      <x:c r="D1911"/>
      <x:c r="E1911" t="str">
        <x:v>KAT013</x:v>
      </x:c>
      <x:c r="F1911"/>
      <x:c r="G1911"/>
      <x:c r="H1911" t="str">
        <x:v>kein_match</x:v>
      </x:c>
      <x:c r="I1911" t="str">
        <x:v>Agent-Draft: keine finale Regelentscheidung</x:v>
      </x:c>
      <x:c r="J1911" t="n">
        <x:v>45509</x:v>
      </x:c>
      <x:c r="K1911"/>
      <x:c r="L1911"/>
      <x:c r="M1911" t="n">
        <x:v>-186.94</x:v>
      </x:c>
      <x:c r="N1911" t="str">
        <x:v>2024-08</x:v>
      </x:c>
      <x:c r="O1911" t="str">
        <x:v>Ausgabe</x:v>
      </x:c>
      <x:c r="P1911" t="str">
        <x:v>Ist</x:v>
      </x:c>
      <x:c r="Q1911" s="59" t="b">
        <x:v>0</x:v>
      </x:c>
      <x:c r="R1911" t="str">
        <x:v>kein_transfer</x:v>
      </x:c>
      <x:c r="S1911"/>
      <x:c r="T1911"/>
      <x:c r="U1911"/>
      <x:c r="V1911" s="59" t="b">
        <x:v>1</x:v>
      </x:c>
      <x:c r="W1911"/>
      <x:c r="X1911" t="str">
        <x:v>offen</x:v>
      </x:c>
      <x:c r="Y1911" t="str">
        <x:v>Agent-Draft; Kategorie und Person pruefen</x:v>
      </x:c>
    </x:row>
    <x:row r="1912">
      <x:c r="A1912" t="str">
        <x:v>TXN-RAW-IMP-20260516-FULLDRAFT-001896</x:v>
      </x:c>
      <x:c r="B1912" t="str">
        <x:v>RAW-IMP-20260516-FULLDRAFT-001896</x:v>
      </x:c>
      <x:c r="C1912" t="str">
        <x:v>KTO001</x:v>
      </x:c>
      <x:c r="D1912"/>
      <x:c r="E1912" t="str">
        <x:v>KAT013</x:v>
      </x:c>
      <x:c r="F1912"/>
      <x:c r="G1912"/>
      <x:c r="H1912" t="str">
        <x:v>kein_match</x:v>
      </x:c>
      <x:c r="I1912" t="str">
        <x:v>Agent-Draft: keine finale Regelentscheidung</x:v>
      </x:c>
      <x:c r="J1912" t="n">
        <x:v>45509</x:v>
      </x:c>
      <x:c r="K1912"/>
      <x:c r="L1912"/>
      <x:c r="M1912" t="n">
        <x:v>-205.66</x:v>
      </x:c>
      <x:c r="N1912" t="str">
        <x:v>2024-08</x:v>
      </x:c>
      <x:c r="O1912" t="str">
        <x:v>Ausgabe</x:v>
      </x:c>
      <x:c r="P1912" t="str">
        <x:v>Ist</x:v>
      </x:c>
      <x:c r="Q1912" s="59" t="b">
        <x:v>0</x:v>
      </x:c>
      <x:c r="R1912" t="str">
        <x:v>kein_transfer</x:v>
      </x:c>
      <x:c r="S1912"/>
      <x:c r="T1912"/>
      <x:c r="U1912"/>
      <x:c r="V1912" s="59" t="b">
        <x:v>1</x:v>
      </x:c>
      <x:c r="W1912"/>
      <x:c r="X1912" t="str">
        <x:v>offen</x:v>
      </x:c>
      <x:c r="Y1912" t="str">
        <x:v>Agent-Draft; Kategorie und Person pruefen</x:v>
      </x:c>
    </x:row>
    <x:row r="1913">
      <x:c r="A1913" t="str">
        <x:v>TXN-RAW-IMP-20260516-FULLDRAFT-001897</x:v>
      </x:c>
      <x:c r="B1913" t="str">
        <x:v>RAW-IMP-20260516-FULLDRAFT-001897</x:v>
      </x:c>
      <x:c r="C1913" t="str">
        <x:v>KTO001</x:v>
      </x:c>
      <x:c r="D1913"/>
      <x:c r="E1913" t="str">
        <x:v>KAT013</x:v>
      </x:c>
      <x:c r="F1913"/>
      <x:c r="G1913"/>
      <x:c r="H1913" t="str">
        <x:v>kein_match</x:v>
      </x:c>
      <x:c r="I1913" t="str">
        <x:v>Agent-Draft: keine finale Regelentscheidung</x:v>
      </x:c>
      <x:c r="J1913" t="n">
        <x:v>45509</x:v>
      </x:c>
      <x:c r="K1913"/>
      <x:c r="L1913"/>
      <x:c r="M1913" t="n">
        <x:v>-172.27</x:v>
      </x:c>
      <x:c r="N1913" t="str">
        <x:v>2024-08</x:v>
      </x:c>
      <x:c r="O1913" t="str">
        <x:v>Ausgabe</x:v>
      </x:c>
      <x:c r="P1913" t="str">
        <x:v>Ist</x:v>
      </x:c>
      <x:c r="Q1913" s="59" t="b">
        <x:v>0</x:v>
      </x:c>
      <x:c r="R1913" t="str">
        <x:v>kein_transfer</x:v>
      </x:c>
      <x:c r="S1913"/>
      <x:c r="T1913"/>
      <x:c r="U1913"/>
      <x:c r="V1913" s="59" t="b">
        <x:v>1</x:v>
      </x:c>
      <x:c r="W1913"/>
      <x:c r="X1913" t="str">
        <x:v>offen</x:v>
      </x:c>
      <x:c r="Y1913" t="str">
        <x:v>Agent-Draft; Kategorie und Person pruefen</x:v>
      </x:c>
    </x:row>
    <x:row r="1914">
      <x:c r="A1914" t="str">
        <x:v>TXN-RAW-IMP-20260516-FULLDRAFT-001898</x:v>
      </x:c>
      <x:c r="B1914" t="str">
        <x:v>RAW-IMP-20260516-FULLDRAFT-001898</x:v>
      </x:c>
      <x:c r="C1914" t="str">
        <x:v>KTO001</x:v>
      </x:c>
      <x:c r="D1914"/>
      <x:c r="E1914" t="str">
        <x:v>KAT013</x:v>
      </x:c>
      <x:c r="F1914"/>
      <x:c r="G1914"/>
      <x:c r="H1914" t="str">
        <x:v>kein_match</x:v>
      </x:c>
      <x:c r="I1914" t="str">
        <x:v>Agent-Draft: keine finale Regelentscheidung</x:v>
      </x:c>
      <x:c r="J1914" t="n">
        <x:v>45509</x:v>
      </x:c>
      <x:c r="K1914"/>
      <x:c r="L1914"/>
      <x:c r="M1914" t="n">
        <x:v>-6.07</x:v>
      </x:c>
      <x:c r="N1914" t="str">
        <x:v>2024-08</x:v>
      </x:c>
      <x:c r="O1914" t="str">
        <x:v>Ausgabe</x:v>
      </x:c>
      <x:c r="P1914" t="str">
        <x:v>Ist</x:v>
      </x:c>
      <x:c r="Q1914" s="59" t="b">
        <x:v>0</x:v>
      </x:c>
      <x:c r="R1914" t="str">
        <x:v>kein_transfer</x:v>
      </x:c>
      <x:c r="S1914"/>
      <x:c r="T1914"/>
      <x:c r="U1914"/>
      <x:c r="V1914" s="59" t="b">
        <x:v>1</x:v>
      </x:c>
      <x:c r="W1914"/>
      <x:c r="X1914" t="str">
        <x:v>offen</x:v>
      </x:c>
      <x:c r="Y1914" t="str">
        <x:v>Agent-Draft; Kategorie und Person pruefen</x:v>
      </x:c>
    </x:row>
    <x:row r="1915">
      <x:c r="A1915" t="str">
        <x:v>TXN-RAW-IMP-20260516-FULLDRAFT-001899</x:v>
      </x:c>
      <x:c r="B1915" t="str">
        <x:v>RAW-IMP-20260516-FULLDRAFT-001899</x:v>
      </x:c>
      <x:c r="C1915" t="str">
        <x:v>KTO001</x:v>
      </x:c>
      <x:c r="D1915"/>
      <x:c r="E1915" t="str">
        <x:v>KAT013</x:v>
      </x:c>
      <x:c r="F1915"/>
      <x:c r="G1915"/>
      <x:c r="H1915" t="str">
        <x:v>kein_match</x:v>
      </x:c>
      <x:c r="I1915" t="str">
        <x:v>Agent-Draft: keine finale Regelentscheidung</x:v>
      </x:c>
      <x:c r="J1915" t="n">
        <x:v>45506</x:v>
      </x:c>
      <x:c r="K1915"/>
      <x:c r="L1915"/>
      <x:c r="M1915" t="n">
        <x:v>-54.5</x:v>
      </x:c>
      <x:c r="N1915" t="str">
        <x:v>2024-08</x:v>
      </x:c>
      <x:c r="O1915" t="str">
        <x:v>Ausgabe</x:v>
      </x:c>
      <x:c r="P1915" t="str">
        <x:v>Ist</x:v>
      </x:c>
      <x:c r="Q1915" s="59" t="b">
        <x:v>0</x:v>
      </x:c>
      <x:c r="R1915" t="str">
        <x:v>kein_transfer</x:v>
      </x:c>
      <x:c r="S1915"/>
      <x:c r="T1915"/>
      <x:c r="U1915"/>
      <x:c r="V1915" s="59" t="b">
        <x:v>1</x:v>
      </x:c>
      <x:c r="W1915"/>
      <x:c r="X1915" t="str">
        <x:v>offen</x:v>
      </x:c>
      <x:c r="Y1915" t="str">
        <x:v>Agent-Draft; Kategorie und Person pruefen</x:v>
      </x:c>
    </x:row>
    <x:row r="1916">
      <x:c r="A1916" t="str">
        <x:v>TXN-RAW-IMP-20260516-FULLDRAFT-001900</x:v>
      </x:c>
      <x:c r="B1916" t="str">
        <x:v>RAW-IMP-20260516-FULLDRAFT-001900</x:v>
      </x:c>
      <x:c r="C1916" t="str">
        <x:v>KTO001</x:v>
      </x:c>
      <x:c r="D1916"/>
      <x:c r="E1916" t="str">
        <x:v>KAT013</x:v>
      </x:c>
      <x:c r="F1916"/>
      <x:c r="G1916"/>
      <x:c r="H1916" t="str">
        <x:v>kein_match</x:v>
      </x:c>
      <x:c r="I1916" t="str">
        <x:v>Agent-Draft: keine finale Regelentscheidung</x:v>
      </x:c>
      <x:c r="J1916" t="n">
        <x:v>45506</x:v>
      </x:c>
      <x:c r="K1916"/>
      <x:c r="L1916"/>
      <x:c r="M1916" t="n">
        <x:v>-11.96</x:v>
      </x:c>
      <x:c r="N1916" t="str">
        <x:v>2024-08</x:v>
      </x:c>
      <x:c r="O1916" t="str">
        <x:v>Ausgabe</x:v>
      </x:c>
      <x:c r="P1916" t="str">
        <x:v>Ist</x:v>
      </x:c>
      <x:c r="Q1916" s="59" t="b">
        <x:v>0</x:v>
      </x:c>
      <x:c r="R1916" t="str">
        <x:v>kein_transfer</x:v>
      </x:c>
      <x:c r="S1916"/>
      <x:c r="T1916"/>
      <x:c r="U1916"/>
      <x:c r="V1916" s="59" t="b">
        <x:v>1</x:v>
      </x:c>
      <x:c r="W1916"/>
      <x:c r="X1916" t="str">
        <x:v>offen</x:v>
      </x:c>
      <x:c r="Y1916" t="str">
        <x:v>Agent-Draft; Kategorie und Person pruefen</x:v>
      </x:c>
    </x:row>
    <x:row r="1917">
      <x:c r="A1917" t="str">
        <x:v>TXN-RAW-IMP-20260516-FULLDRAFT-001901</x:v>
      </x:c>
      <x:c r="B1917" t="str">
        <x:v>RAW-IMP-20260516-FULLDRAFT-001901</x:v>
      </x:c>
      <x:c r="C1917" t="str">
        <x:v>KTO001</x:v>
      </x:c>
      <x:c r="D1917"/>
      <x:c r="E1917" t="str">
        <x:v>KAT013</x:v>
      </x:c>
      <x:c r="F1917"/>
      <x:c r="G1917"/>
      <x:c r="H1917" t="str">
        <x:v>kein_match</x:v>
      </x:c>
      <x:c r="I1917" t="str">
        <x:v>Agent-Draft: keine finale Regelentscheidung</x:v>
      </x:c>
      <x:c r="J1917" t="n">
        <x:v>45505</x:v>
      </x:c>
      <x:c r="K1917"/>
      <x:c r="L1917"/>
      <x:c r="M1917" t="n">
        <x:v>750</x:v>
      </x:c>
      <x:c r="N1917" t="str">
        <x:v>2024-08</x:v>
      </x:c>
      <x:c r="O1917" t="str">
        <x:v>Einnahme</x:v>
      </x:c>
      <x:c r="P1917" t="str">
        <x:v>Ist</x:v>
      </x:c>
      <x:c r="Q1917" s="59" t="b">
        <x:v>0</x:v>
      </x:c>
      <x:c r="R1917" t="str">
        <x:v>kein_transfer</x:v>
      </x:c>
      <x:c r="S1917"/>
      <x:c r="T1917"/>
      <x:c r="U1917"/>
      <x:c r="V1917" s="59" t="b">
        <x:v>1</x:v>
      </x:c>
      <x:c r="W1917"/>
      <x:c r="X1917" t="str">
        <x:v>offen</x:v>
      </x:c>
      <x:c r="Y1917" t="str">
        <x:v>Agent-Draft; Kategorie und Person pruefen</x:v>
      </x:c>
    </x:row>
    <x:row r="1918">
      <x:c r="A1918" t="str">
        <x:v>TXN-RAW-IMP-20260516-FULLDRAFT-001902</x:v>
      </x:c>
      <x:c r="B1918" t="str">
        <x:v>RAW-IMP-20260516-FULLDRAFT-001902</x:v>
      </x:c>
      <x:c r="C1918" t="str">
        <x:v>KTO001</x:v>
      </x:c>
      <x:c r="D1918"/>
      <x:c r="E1918" t="str">
        <x:v>KAT013</x:v>
      </x:c>
      <x:c r="F1918"/>
      <x:c r="G1918"/>
      <x:c r="H1918" t="str">
        <x:v>kein_match</x:v>
      </x:c>
      <x:c r="I1918" t="str">
        <x:v>Agent-Draft: keine finale Regelentscheidung</x:v>
      </x:c>
      <x:c r="J1918" t="n">
        <x:v>45505</x:v>
      </x:c>
      <x:c r="K1918"/>
      <x:c r="L1918"/>
      <x:c r="M1918" t="n">
        <x:v>-29.24</x:v>
      </x:c>
      <x:c r="N1918" t="str">
        <x:v>2024-08</x:v>
      </x:c>
      <x:c r="O1918" t="str">
        <x:v>Ausgabe</x:v>
      </x:c>
      <x:c r="P1918" t="str">
        <x:v>Ist</x:v>
      </x:c>
      <x:c r="Q1918" s="59" t="b">
        <x:v>0</x:v>
      </x:c>
      <x:c r="R1918" t="str">
        <x:v>kein_transfer</x:v>
      </x:c>
      <x:c r="S1918"/>
      <x:c r="T1918"/>
      <x:c r="U1918"/>
      <x:c r="V1918" s="59" t="b">
        <x:v>1</x:v>
      </x:c>
      <x:c r="W1918"/>
      <x:c r="X1918" t="str">
        <x:v>offen</x:v>
      </x:c>
      <x:c r="Y1918" t="str">
        <x:v>Agent-Draft; Kategorie und Person pruefen</x:v>
      </x:c>
    </x:row>
    <x:row r="1919">
      <x:c r="A1919" t="str">
        <x:v>TXN-RAW-IMP-20260516-FULLDRAFT-001903</x:v>
      </x:c>
      <x:c r="B1919" t="str">
        <x:v>RAW-IMP-20260516-FULLDRAFT-001903</x:v>
      </x:c>
      <x:c r="C1919" t="str">
        <x:v>KTO001</x:v>
      </x:c>
      <x:c r="D1919"/>
      <x:c r="E1919" t="str">
        <x:v>KAT013</x:v>
      </x:c>
      <x:c r="F1919"/>
      <x:c r="G1919"/>
      <x:c r="H1919" t="str">
        <x:v>kein_match</x:v>
      </x:c>
      <x:c r="I1919" t="str">
        <x:v>Agent-Draft: keine finale Regelentscheidung</x:v>
      </x:c>
      <x:c r="J1919" t="n">
        <x:v>45505</x:v>
      </x:c>
      <x:c r="K1919"/>
      <x:c r="L1919"/>
      <x:c r="M1919" t="n">
        <x:v>-162.17</x:v>
      </x:c>
      <x:c r="N1919" t="str">
        <x:v>2024-08</x:v>
      </x:c>
      <x:c r="O1919" t="str">
        <x:v>Ausgabe</x:v>
      </x:c>
      <x:c r="P1919" t="str">
        <x:v>Ist</x:v>
      </x:c>
      <x:c r="Q1919" s="59" t="b">
        <x:v>0</x:v>
      </x:c>
      <x:c r="R1919" t="str">
        <x:v>kein_transfer</x:v>
      </x:c>
      <x:c r="S1919"/>
      <x:c r="T1919"/>
      <x:c r="U1919"/>
      <x:c r="V1919" s="59" t="b">
        <x:v>1</x:v>
      </x:c>
      <x:c r="W1919"/>
      <x:c r="X1919" t="str">
        <x:v>offen</x:v>
      </x:c>
      <x:c r="Y1919" t="str">
        <x:v>Agent-Draft; Kategorie und Person pruefen</x:v>
      </x:c>
    </x:row>
    <x:row r="1920">
      <x:c r="A1920" t="str">
        <x:v>TXN-RAW-IMP-20260516-FULLDRAFT-001904</x:v>
      </x:c>
      <x:c r="B1920" t="str">
        <x:v>RAW-IMP-20260516-FULLDRAFT-001904</x:v>
      </x:c>
      <x:c r="C1920" t="str">
        <x:v>KTO001</x:v>
      </x:c>
      <x:c r="D1920"/>
      <x:c r="E1920" t="str">
        <x:v>KAT013</x:v>
      </x:c>
      <x:c r="F1920"/>
      <x:c r="G1920"/>
      <x:c r="H1920" t="str">
        <x:v>kein_match</x:v>
      </x:c>
      <x:c r="I1920" t="str">
        <x:v>Agent-Draft: keine finale Regelentscheidung</x:v>
      </x:c>
      <x:c r="J1920" t="n">
        <x:v>45505</x:v>
      </x:c>
      <x:c r="K1920"/>
      <x:c r="L1920"/>
      <x:c r="M1920" t="n">
        <x:v>-1400</x:v>
      </x:c>
      <x:c r="N1920" t="str">
        <x:v>2024-08</x:v>
      </x:c>
      <x:c r="O1920" t="str">
        <x:v>Ausgabe</x:v>
      </x:c>
      <x:c r="P1920" t="str">
        <x:v>Ist</x:v>
      </x:c>
      <x:c r="Q1920" s="59" t="b">
        <x:v>0</x:v>
      </x:c>
      <x:c r="R1920" t="str">
        <x:v>kein_transfer</x:v>
      </x:c>
      <x:c r="S1920"/>
      <x:c r="T1920"/>
      <x:c r="U1920"/>
      <x:c r="V1920" s="59" t="b">
        <x:v>1</x:v>
      </x:c>
      <x:c r="W1920"/>
      <x:c r="X1920" t="str">
        <x:v>offen</x:v>
      </x:c>
      <x:c r="Y1920" t="str">
        <x:v>Agent-Draft; Kategorie und Person pruefen</x:v>
      </x:c>
    </x:row>
    <x:row r="1921">
      <x:c r="A1921" t="str">
        <x:v>TXN-RAW-IMP-20260516-FULLDRAFT-001905</x:v>
      </x:c>
      <x:c r="B1921" t="str">
        <x:v>RAW-IMP-20260516-FULLDRAFT-001905</x:v>
      </x:c>
      <x:c r="C1921" t="str">
        <x:v>KTO001</x:v>
      </x:c>
      <x:c r="D1921"/>
      <x:c r="E1921" t="str">
        <x:v>KAT013</x:v>
      </x:c>
      <x:c r="F1921"/>
      <x:c r="G1921"/>
      <x:c r="H1921" t="str">
        <x:v>kein_match</x:v>
      </x:c>
      <x:c r="I1921" t="str">
        <x:v>Agent-Draft: keine finale Regelentscheidung</x:v>
      </x:c>
      <x:c r="J1921" t="n">
        <x:v>45505</x:v>
      </x:c>
      <x:c r="K1921"/>
      <x:c r="L1921"/>
      <x:c r="M1921" t="n">
        <x:v>-97.12</x:v>
      </x:c>
      <x:c r="N1921" t="str">
        <x:v>2024-08</x:v>
      </x:c>
      <x:c r="O1921" t="str">
        <x:v>Ausgabe</x:v>
      </x:c>
      <x:c r="P1921" t="str">
        <x:v>Ist</x:v>
      </x:c>
      <x:c r="Q1921" s="59" t="b">
        <x:v>0</x:v>
      </x:c>
      <x:c r="R1921" t="str">
        <x:v>kein_transfer</x:v>
      </x:c>
      <x:c r="S1921"/>
      <x:c r="T1921"/>
      <x:c r="U1921"/>
      <x:c r="V1921" s="59" t="b">
        <x:v>1</x:v>
      </x:c>
      <x:c r="W1921"/>
      <x:c r="X1921" t="str">
        <x:v>offen</x:v>
      </x:c>
      <x:c r="Y1921" t="str">
        <x:v>Agent-Draft; Kategorie und Person pruefen</x:v>
      </x:c>
    </x:row>
    <x:row r="1922">
      <x:c r="A1922" t="str">
        <x:v>TXN-RAW-IMP-20260516-FULLDRAFT-001906</x:v>
      </x:c>
      <x:c r="B1922" t="str">
        <x:v>RAW-IMP-20260516-FULLDRAFT-001906</x:v>
      </x:c>
      <x:c r="C1922" t="str">
        <x:v>KTO001</x:v>
      </x:c>
      <x:c r="D1922"/>
      <x:c r="E1922" t="str">
        <x:v>KAT013</x:v>
      </x:c>
      <x:c r="F1922"/>
      <x:c r="G1922"/>
      <x:c r="H1922" t="str">
        <x:v>kein_match</x:v>
      </x:c>
      <x:c r="I1922" t="str">
        <x:v>Agent-Draft: keine finale Regelentscheidung</x:v>
      </x:c>
      <x:c r="J1922" t="n">
        <x:v>45505</x:v>
      </x:c>
      <x:c r="K1922"/>
      <x:c r="L1922"/>
      <x:c r="M1922" t="n">
        <x:v>-66.15</x:v>
      </x:c>
      <x:c r="N1922" t="str">
        <x:v>2024-08</x:v>
      </x:c>
      <x:c r="O1922" t="str">
        <x:v>Ausgabe</x:v>
      </x:c>
      <x:c r="P1922" t="str">
        <x:v>Ist</x:v>
      </x:c>
      <x:c r="Q1922" s="59" t="b">
        <x:v>0</x:v>
      </x:c>
      <x:c r="R1922" t="str">
        <x:v>kein_transfer</x:v>
      </x:c>
      <x:c r="S1922"/>
      <x:c r="T1922"/>
      <x:c r="U1922"/>
      <x:c r="V1922" s="59" t="b">
        <x:v>1</x:v>
      </x:c>
      <x:c r="W1922"/>
      <x:c r="X1922" t="str">
        <x:v>offen</x:v>
      </x:c>
      <x:c r="Y1922" t="str">
        <x:v>Agent-Draft; Kategorie und Person pruefen</x:v>
      </x:c>
    </x:row>
    <x:row r="1923">
      <x:c r="A1923" t="str">
        <x:v>TXN-RAW-IMP-20260516-FULLDRAFT-001907</x:v>
      </x:c>
      <x:c r="B1923" t="str">
        <x:v>RAW-IMP-20260516-FULLDRAFT-001907</x:v>
      </x:c>
      <x:c r="C1923" t="str">
        <x:v>KTO001</x:v>
      </x:c>
      <x:c r="D1923"/>
      <x:c r="E1923" t="str">
        <x:v>KAT013</x:v>
      </x:c>
      <x:c r="F1923"/>
      <x:c r="G1923"/>
      <x:c r="H1923" t="str">
        <x:v>kein_match</x:v>
      </x:c>
      <x:c r="I1923" t="str">
        <x:v>Agent-Draft: keine finale Regelentscheidung</x:v>
      </x:c>
      <x:c r="J1923" t="n">
        <x:v>45505</x:v>
      </x:c>
      <x:c r="K1923"/>
      <x:c r="L1923"/>
      <x:c r="M1923" t="n">
        <x:v>-1800</x:v>
      </x:c>
      <x:c r="N1923" t="str">
        <x:v>2024-08</x:v>
      </x:c>
      <x:c r="O1923" t="str">
        <x:v>Ausgabe</x:v>
      </x:c>
      <x:c r="P1923" t="str">
        <x:v>Ist</x:v>
      </x:c>
      <x:c r="Q1923" s="59" t="b">
        <x:v>0</x:v>
      </x:c>
      <x:c r="R1923" t="str">
        <x:v>kein_transfer</x:v>
      </x:c>
      <x:c r="S1923"/>
      <x:c r="T1923"/>
      <x:c r="U1923"/>
      <x:c r="V1923" s="59" t="b">
        <x:v>1</x:v>
      </x:c>
      <x:c r="W1923"/>
      <x:c r="X1923" t="str">
        <x:v>offen</x:v>
      </x:c>
      <x:c r="Y1923" t="str">
        <x:v>Agent-Draft; Kategorie und Person pruefen</x:v>
      </x:c>
    </x:row>
    <x:row r="1924">
      <x:c r="A1924" t="str">
        <x:v>TXN-RAW-IMP-20260516-FULLDRAFT-001908</x:v>
      </x:c>
      <x:c r="B1924" t="str">
        <x:v>RAW-IMP-20260516-FULLDRAFT-001908</x:v>
      </x:c>
      <x:c r="C1924" t="str">
        <x:v>KTO001</x:v>
      </x:c>
      <x:c r="D1924"/>
      <x:c r="E1924" t="str">
        <x:v>KAT013</x:v>
      </x:c>
      <x:c r="F1924"/>
      <x:c r="G1924"/>
      <x:c r="H1924" t="str">
        <x:v>kein_match</x:v>
      </x:c>
      <x:c r="I1924" t="str">
        <x:v>Agent-Draft: keine finale Regelentscheidung</x:v>
      </x:c>
      <x:c r="J1924" t="n">
        <x:v>45505</x:v>
      </x:c>
      <x:c r="K1924"/>
      <x:c r="L1924"/>
      <x:c r="M1924" t="n">
        <x:v>-100</x:v>
      </x:c>
      <x:c r="N1924" t="str">
        <x:v>2024-08</x:v>
      </x:c>
      <x:c r="O1924" t="str">
        <x:v>Ausgabe</x:v>
      </x:c>
      <x:c r="P1924" t="str">
        <x:v>Ist</x:v>
      </x:c>
      <x:c r="Q1924" s="59" t="b">
        <x:v>0</x:v>
      </x:c>
      <x:c r="R1924" t="str">
        <x:v>kein_transfer</x:v>
      </x:c>
      <x:c r="S1924"/>
      <x:c r="T1924"/>
      <x:c r="U1924"/>
      <x:c r="V1924" s="59" t="b">
        <x:v>1</x:v>
      </x:c>
      <x:c r="W1924"/>
      <x:c r="X1924" t="str">
        <x:v>offen</x:v>
      </x:c>
      <x:c r="Y1924" t="str">
        <x:v>Agent-Draft; Kategorie und Person pruefen</x:v>
      </x:c>
    </x:row>
    <x:row r="1925">
      <x:c r="A1925" t="str">
        <x:v>TXN-RAW-IMP-20260516-FULLDRAFT-001909</x:v>
      </x:c>
      <x:c r="B1925" t="str">
        <x:v>RAW-IMP-20260516-FULLDRAFT-001909</x:v>
      </x:c>
      <x:c r="C1925" t="str">
        <x:v>KTO001</x:v>
      </x:c>
      <x:c r="D1925"/>
      <x:c r="E1925" t="str">
        <x:v>KAT013</x:v>
      </x:c>
      <x:c r="F1925"/>
      <x:c r="G1925"/>
      <x:c r="H1925" t="str">
        <x:v>kein_match</x:v>
      </x:c>
      <x:c r="I1925" t="str">
        <x:v>Agent-Draft: keine finale Regelentscheidung</x:v>
      </x:c>
      <x:c r="J1925" t="n">
        <x:v>45505</x:v>
      </x:c>
      <x:c r="K1925"/>
      <x:c r="L1925"/>
      <x:c r="M1925" t="n">
        <x:v>-53.3</x:v>
      </x:c>
      <x:c r="N1925" t="str">
        <x:v>2024-08</x:v>
      </x:c>
      <x:c r="O1925" t="str">
        <x:v>Ausgabe</x:v>
      </x:c>
      <x:c r="P1925" t="str">
        <x:v>Ist</x:v>
      </x:c>
      <x:c r="Q1925" s="59" t="b">
        <x:v>0</x:v>
      </x:c>
      <x:c r="R1925" t="str">
        <x:v>kein_transfer</x:v>
      </x:c>
      <x:c r="S1925"/>
      <x:c r="T1925"/>
      <x:c r="U1925"/>
      <x:c r="V1925" s="59" t="b">
        <x:v>1</x:v>
      </x:c>
      <x:c r="W1925"/>
      <x:c r="X1925" t="str">
        <x:v>offen</x:v>
      </x:c>
      <x:c r="Y1925" t="str">
        <x:v>Agent-Draft; Kategorie und Person pruefen</x:v>
      </x:c>
    </x:row>
    <x:row r="1926">
      <x:c r="A1926" t="str">
        <x:v>TXN-RAW-IMP-20260516-FULLDRAFT-001910</x:v>
      </x:c>
      <x:c r="B1926" t="str">
        <x:v>RAW-IMP-20260516-FULLDRAFT-001910</x:v>
      </x:c>
      <x:c r="C1926" t="str">
        <x:v>KTO001</x:v>
      </x:c>
      <x:c r="D1926"/>
      <x:c r="E1926" t="str">
        <x:v>KAT013</x:v>
      </x:c>
      <x:c r="F1926"/>
      <x:c r="G1926"/>
      <x:c r="H1926" t="str">
        <x:v>kein_match</x:v>
      </x:c>
      <x:c r="I1926" t="str">
        <x:v>Agent-Draft: keine finale Regelentscheidung</x:v>
      </x:c>
      <x:c r="J1926" t="n">
        <x:v>45505</x:v>
      </x:c>
      <x:c r="K1926"/>
      <x:c r="L1926"/>
      <x:c r="M1926" t="n">
        <x:v>-452.71</x:v>
      </x:c>
      <x:c r="N1926" t="str">
        <x:v>2024-08</x:v>
      </x:c>
      <x:c r="O1926" t="str">
        <x:v>Ausgabe</x:v>
      </x:c>
      <x:c r="P1926" t="str">
        <x:v>Ist</x:v>
      </x:c>
      <x:c r="Q1926" s="59" t="b">
        <x:v>0</x:v>
      </x:c>
      <x:c r="R1926" t="str">
        <x:v>kein_transfer</x:v>
      </x:c>
      <x:c r="S1926"/>
      <x:c r="T1926"/>
      <x:c r="U1926"/>
      <x:c r="V1926" s="59" t="b">
        <x:v>1</x:v>
      </x:c>
      <x:c r="W1926"/>
      <x:c r="X1926" t="str">
        <x:v>offen</x:v>
      </x:c>
      <x:c r="Y1926" t="str">
        <x:v>Agent-Draft; Kategorie und Person pruefen</x:v>
      </x:c>
    </x:row>
    <x:row r="1927">
      <x:c r="A1927" t="str">
        <x:v>TXN-RAW-IMP-20260516-FULLDRAFT-001911</x:v>
      </x:c>
      <x:c r="B1927" t="str">
        <x:v>RAW-IMP-20260516-FULLDRAFT-001911</x:v>
      </x:c>
      <x:c r="C1927" t="str">
        <x:v>KTO001</x:v>
      </x:c>
      <x:c r="D1927"/>
      <x:c r="E1927" t="str">
        <x:v>KAT013</x:v>
      </x:c>
      <x:c r="F1927"/>
      <x:c r="G1927"/>
      <x:c r="H1927" t="str">
        <x:v>kein_match</x:v>
      </x:c>
      <x:c r="I1927" t="str">
        <x:v>Agent-Draft: keine finale Regelentscheidung</x:v>
      </x:c>
      <x:c r="J1927" t="n">
        <x:v>45505</x:v>
      </x:c>
      <x:c r="K1927"/>
      <x:c r="L1927"/>
      <x:c r="M1927" t="n">
        <x:v>-54</x:v>
      </x:c>
      <x:c r="N1927" t="str">
        <x:v>2024-08</x:v>
      </x:c>
      <x:c r="O1927" t="str">
        <x:v>Ausgabe</x:v>
      </x:c>
      <x:c r="P1927" t="str">
        <x:v>Ist</x:v>
      </x:c>
      <x:c r="Q1927" s="59" t="b">
        <x:v>0</x:v>
      </x:c>
      <x:c r="R1927" t="str">
        <x:v>kein_transfer</x:v>
      </x:c>
      <x:c r="S1927"/>
      <x:c r="T1927"/>
      <x:c r="U1927"/>
      <x:c r="V1927" s="59" t="b">
        <x:v>1</x:v>
      </x:c>
      <x:c r="W1927"/>
      <x:c r="X1927" t="str">
        <x:v>offen</x:v>
      </x:c>
      <x:c r="Y1927" t="str">
        <x:v>Agent-Draft; Kategorie und Person pruefen</x:v>
      </x:c>
    </x:row>
    <x:row r="1928">
      <x:c r="A1928" t="str">
        <x:v>TXN-RAW-IMP-20260516-FULLDRAFT-001912</x:v>
      </x:c>
      <x:c r="B1928" t="str">
        <x:v>RAW-IMP-20260516-FULLDRAFT-001912</x:v>
      </x:c>
      <x:c r="C1928" t="str">
        <x:v>KTO001</x:v>
      </x:c>
      <x:c r="D1928"/>
      <x:c r="E1928" t="str">
        <x:v>KAT013</x:v>
      </x:c>
      <x:c r="F1928"/>
      <x:c r="G1928"/>
      <x:c r="H1928" t="str">
        <x:v>kein_match</x:v>
      </x:c>
      <x:c r="I1928" t="str">
        <x:v>Agent-Draft: keine finale Regelentscheidung</x:v>
      </x:c>
      <x:c r="J1928" t="n">
        <x:v>45504</x:v>
      </x:c>
      <x:c r="K1928"/>
      <x:c r="L1928"/>
      <x:c r="M1928" t="n">
        <x:v>600</x:v>
      </x:c>
      <x:c r="N1928" t="str">
        <x:v>2024-07</x:v>
      </x:c>
      <x:c r="O1928" t="str">
        <x:v>Einnahme</x:v>
      </x:c>
      <x:c r="P1928" t="str">
        <x:v>Ist</x:v>
      </x:c>
      <x:c r="Q1928" s="59" t="b">
        <x:v>0</x:v>
      </x:c>
      <x:c r="R1928" t="str">
        <x:v>kein_transfer</x:v>
      </x:c>
      <x:c r="S1928"/>
      <x:c r="T1928"/>
      <x:c r="U1928"/>
      <x:c r="V1928" s="59" t="b">
        <x:v>1</x:v>
      </x:c>
      <x:c r="W1928"/>
      <x:c r="X1928" t="str">
        <x:v>offen</x:v>
      </x:c>
      <x:c r="Y1928" t="str">
        <x:v>Agent-Draft; Kategorie und Person pruefen</x:v>
      </x:c>
    </x:row>
    <x:row r="1929">
      <x:c r="A1929" t="str">
        <x:v>TXN-RAW-IMP-20260516-FULLDRAFT-001913</x:v>
      </x:c>
      <x:c r="B1929" t="str">
        <x:v>RAW-IMP-20260516-FULLDRAFT-001913</x:v>
      </x:c>
      <x:c r="C1929" t="str">
        <x:v>KTO001</x:v>
      </x:c>
      <x:c r="D1929"/>
      <x:c r="E1929" t="str">
        <x:v>KAT013</x:v>
      </x:c>
      <x:c r="F1929"/>
      <x:c r="G1929"/>
      <x:c r="H1929" t="str">
        <x:v>kein_match</x:v>
      </x:c>
      <x:c r="I1929" t="str">
        <x:v>Agent-Draft: keine finale Regelentscheidung</x:v>
      </x:c>
      <x:c r="J1929" t="n">
        <x:v>45504</x:v>
      </x:c>
      <x:c r="K1929"/>
      <x:c r="L1929"/>
      <x:c r="M1929" t="n">
        <x:v>-24.5</x:v>
      </x:c>
      <x:c r="N1929" t="str">
        <x:v>2024-07</x:v>
      </x:c>
      <x:c r="O1929" t="str">
        <x:v>Ausgabe</x:v>
      </x:c>
      <x:c r="P1929" t="str">
        <x:v>Ist</x:v>
      </x:c>
      <x:c r="Q1929" s="59" t="b">
        <x:v>0</x:v>
      </x:c>
      <x:c r="R1929" t="str">
        <x:v>kein_transfer</x:v>
      </x:c>
      <x:c r="S1929"/>
      <x:c r="T1929"/>
      <x:c r="U1929"/>
      <x:c r="V1929" s="59" t="b">
        <x:v>1</x:v>
      </x:c>
      <x:c r="W1929"/>
      <x:c r="X1929" t="str">
        <x:v>offen</x:v>
      </x:c>
      <x:c r="Y1929" t="str">
        <x:v>Agent-Draft; Kategorie und Person pruefen</x:v>
      </x:c>
    </x:row>
    <x:row r="1930">
      <x:c r="A1930" t="str">
        <x:v>TXN-RAW-IMP-20260516-FULLDRAFT-001914</x:v>
      </x:c>
      <x:c r="B1930" t="str">
        <x:v>RAW-IMP-20260516-FULLDRAFT-001914</x:v>
      </x:c>
      <x:c r="C1930" t="str">
        <x:v>KTO001</x:v>
      </x:c>
      <x:c r="D1930"/>
      <x:c r="E1930" t="str">
        <x:v>KAT013</x:v>
      </x:c>
      <x:c r="F1930"/>
      <x:c r="G1930"/>
      <x:c r="H1930" t="str">
        <x:v>kein_match</x:v>
      </x:c>
      <x:c r="I1930" t="str">
        <x:v>Agent-Draft: keine finale Regelentscheidung</x:v>
      </x:c>
      <x:c r="J1930" t="n">
        <x:v>45504</x:v>
      </x:c>
      <x:c r="K1930"/>
      <x:c r="L1930"/>
      <x:c r="M1930" t="n">
        <x:v>-422</x:v>
      </x:c>
      <x:c r="N1930" t="str">
        <x:v>2024-07</x:v>
      </x:c>
      <x:c r="O1930" t="str">
        <x:v>Ausgabe</x:v>
      </x:c>
      <x:c r="P1930" t="str">
        <x:v>Ist</x:v>
      </x:c>
      <x:c r="Q1930" s="59" t="b">
        <x:v>0</x:v>
      </x:c>
      <x:c r="R1930" t="str">
        <x:v>kein_transfer</x:v>
      </x:c>
      <x:c r="S1930"/>
      <x:c r="T1930"/>
      <x:c r="U1930"/>
      <x:c r="V1930" s="59" t="b">
        <x:v>1</x:v>
      </x:c>
      <x:c r="W1930"/>
      <x:c r="X1930" t="str">
        <x:v>offen</x:v>
      </x:c>
      <x:c r="Y1930" t="str">
        <x:v>Agent-Draft; Kategorie und Person pruefen</x:v>
      </x:c>
    </x:row>
    <x:row r="1931">
      <x:c r="A1931" t="str">
        <x:v>TXN-RAW-IMP-20260516-FULLDRAFT-001915</x:v>
      </x:c>
      <x:c r="B1931" t="str">
        <x:v>RAW-IMP-20260516-FULLDRAFT-001915</x:v>
      </x:c>
      <x:c r="C1931" t="str">
        <x:v>KTO001</x:v>
      </x:c>
      <x:c r="D1931"/>
      <x:c r="E1931" t="str">
        <x:v>KAT013</x:v>
      </x:c>
      <x:c r="F1931"/>
      <x:c r="G1931"/>
      <x:c r="H1931" t="str">
        <x:v>kein_match</x:v>
      </x:c>
      <x:c r="I1931" t="str">
        <x:v>Agent-Draft: keine finale Regelentscheidung</x:v>
      </x:c>
      <x:c r="J1931" t="n">
        <x:v>45504</x:v>
      </x:c>
      <x:c r="K1931"/>
      <x:c r="L1931"/>
      <x:c r="M1931" t="n">
        <x:v>-1153.94</x:v>
      </x:c>
      <x:c r="N1931" t="str">
        <x:v>2024-07</x:v>
      </x:c>
      <x:c r="O1931" t="str">
        <x:v>Ausgabe</x:v>
      </x:c>
      <x:c r="P1931" t="str">
        <x:v>Ist</x:v>
      </x:c>
      <x:c r="Q1931" s="59" t="b">
        <x:v>0</x:v>
      </x:c>
      <x:c r="R1931" t="str">
        <x:v>kein_transfer</x:v>
      </x:c>
      <x:c r="S1931"/>
      <x:c r="T1931"/>
      <x:c r="U1931"/>
      <x:c r="V1931" s="59" t="b">
        <x:v>1</x:v>
      </x:c>
      <x:c r="W1931"/>
      <x:c r="X1931" t="str">
        <x:v>offen</x:v>
      </x:c>
      <x:c r="Y1931" t="str">
        <x:v>Agent-Draft; Kategorie und Person pruefen</x:v>
      </x:c>
    </x:row>
    <x:row r="1932">
      <x:c r="A1932" t="str">
        <x:v>TXN-RAW-IMP-20260516-FULLDRAFT-001916</x:v>
      </x:c>
      <x:c r="B1932" t="str">
        <x:v>RAW-IMP-20260516-FULLDRAFT-001916</x:v>
      </x:c>
      <x:c r="C1932" t="str">
        <x:v>KTO001</x:v>
      </x:c>
      <x:c r="D1932"/>
      <x:c r="E1932" t="str">
        <x:v>KAT013</x:v>
      </x:c>
      <x:c r="F1932"/>
      <x:c r="G1932"/>
      <x:c r="H1932" t="str">
        <x:v>kein_match</x:v>
      </x:c>
      <x:c r="I1932" t="str">
        <x:v>Agent-Draft: keine finale Regelentscheidung</x:v>
      </x:c>
      <x:c r="J1932" t="n">
        <x:v>45503</x:v>
      </x:c>
      <x:c r="K1932"/>
      <x:c r="L1932"/>
      <x:c r="M1932" t="n">
        <x:v>6814</x:v>
      </x:c>
      <x:c r="N1932" t="str">
        <x:v>2024-07</x:v>
      </x:c>
      <x:c r="O1932" t="str">
        <x:v>Einnahme</x:v>
      </x:c>
      <x:c r="P1932" t="str">
        <x:v>Ist</x:v>
      </x:c>
      <x:c r="Q1932" s="59" t="b">
        <x:v>0</x:v>
      </x:c>
      <x:c r="R1932" t="str">
        <x:v>kein_transfer</x:v>
      </x:c>
      <x:c r="S1932"/>
      <x:c r="T1932"/>
      <x:c r="U1932"/>
      <x:c r="V1932" s="59" t="b">
        <x:v>1</x:v>
      </x:c>
      <x:c r="W1932"/>
      <x:c r="X1932" t="str">
        <x:v>offen</x:v>
      </x:c>
      <x:c r="Y1932" t="str">
        <x:v>Agent-Draft; Kategorie und Person pruefen</x:v>
      </x:c>
    </x:row>
    <x:row r="1933">
      <x:c r="A1933" t="str">
        <x:v>TXN-RAW-IMP-20260516-FULLDRAFT-001917</x:v>
      </x:c>
      <x:c r="B1933" t="str">
        <x:v>RAW-IMP-20260516-FULLDRAFT-001917</x:v>
      </x:c>
      <x:c r="C1933" t="str">
        <x:v>KTO001</x:v>
      </x:c>
      <x:c r="D1933"/>
      <x:c r="E1933" t="str">
        <x:v>KAT013</x:v>
      </x:c>
      <x:c r="F1933"/>
      <x:c r="G1933"/>
      <x:c r="H1933" t="str">
        <x:v>kein_match</x:v>
      </x:c>
      <x:c r="I1933" t="str">
        <x:v>Agent-Draft: keine finale Regelentscheidung</x:v>
      </x:c>
      <x:c r="J1933" t="n">
        <x:v>45503</x:v>
      </x:c>
      <x:c r="K1933"/>
      <x:c r="L1933"/>
      <x:c r="M1933" t="n">
        <x:v>-1.99</x:v>
      </x:c>
      <x:c r="N1933" t="str">
        <x:v>2024-07</x:v>
      </x:c>
      <x:c r="O1933" t="str">
        <x:v>Ausgabe</x:v>
      </x:c>
      <x:c r="P1933" t="str">
        <x:v>Ist</x:v>
      </x:c>
      <x:c r="Q1933" s="59" t="b">
        <x:v>0</x:v>
      </x:c>
      <x:c r="R1933" t="str">
        <x:v>kein_transfer</x:v>
      </x:c>
      <x:c r="S1933"/>
      <x:c r="T1933"/>
      <x:c r="U1933"/>
      <x:c r="V1933" s="59" t="b">
        <x:v>1</x:v>
      </x:c>
      <x:c r="W1933"/>
      <x:c r="X1933" t="str">
        <x:v>offen</x:v>
      </x:c>
      <x:c r="Y1933" t="str">
        <x:v>Agent-Draft; Kategorie und Person pruefen</x:v>
      </x:c>
    </x:row>
    <x:row r="1934">
      <x:c r="A1934" t="str">
        <x:v>TXN-RAW-IMP-20260516-FULLDRAFT-001918</x:v>
      </x:c>
      <x:c r="B1934" t="str">
        <x:v>RAW-IMP-20260516-FULLDRAFT-001918</x:v>
      </x:c>
      <x:c r="C1934" t="str">
        <x:v>KTO001</x:v>
      </x:c>
      <x:c r="D1934"/>
      <x:c r="E1934" t="str">
        <x:v>KAT013</x:v>
      </x:c>
      <x:c r="F1934"/>
      <x:c r="G1934"/>
      <x:c r="H1934" t="str">
        <x:v>kein_match</x:v>
      </x:c>
      <x:c r="I1934" t="str">
        <x:v>Agent-Draft: keine finale Regelentscheidung</x:v>
      </x:c>
      <x:c r="J1934" t="n">
        <x:v>45503</x:v>
      </x:c>
      <x:c r="K1934"/>
      <x:c r="L1934"/>
      <x:c r="M1934" t="n">
        <x:v>-106.09</x:v>
      </x:c>
      <x:c r="N1934" t="str">
        <x:v>2024-07</x:v>
      </x:c>
      <x:c r="O1934" t="str">
        <x:v>Ausgabe</x:v>
      </x:c>
      <x:c r="P1934" t="str">
        <x:v>Ist</x:v>
      </x:c>
      <x:c r="Q1934" s="59" t="b">
        <x:v>0</x:v>
      </x:c>
      <x:c r="R1934" t="str">
        <x:v>kein_transfer</x:v>
      </x:c>
      <x:c r="S1934"/>
      <x:c r="T1934"/>
      <x:c r="U1934"/>
      <x:c r="V1934" s="59" t="b">
        <x:v>1</x:v>
      </x:c>
      <x:c r="W1934"/>
      <x:c r="X1934" t="str">
        <x:v>offen</x:v>
      </x:c>
      <x:c r="Y1934" t="str">
        <x:v>Agent-Draft; Kategorie und Person pruefen</x:v>
      </x:c>
    </x:row>
    <x:row r="1935">
      <x:c r="A1935" t="str">
        <x:v>TXN-RAW-IMP-20260516-FULLDRAFT-001919</x:v>
      </x:c>
      <x:c r="B1935" t="str">
        <x:v>RAW-IMP-20260516-FULLDRAFT-001919</x:v>
      </x:c>
      <x:c r="C1935" t="str">
        <x:v>KTO001</x:v>
      </x:c>
      <x:c r="D1935"/>
      <x:c r="E1935" t="str">
        <x:v>KAT013</x:v>
      </x:c>
      <x:c r="F1935"/>
      <x:c r="G1935"/>
      <x:c r="H1935" t="str">
        <x:v>kein_match</x:v>
      </x:c>
      <x:c r="I1935" t="str">
        <x:v>Agent-Draft: keine finale Regelentscheidung</x:v>
      </x:c>
      <x:c r="J1935" t="n">
        <x:v>45503</x:v>
      </x:c>
      <x:c r="K1935"/>
      <x:c r="L1935"/>
      <x:c r="M1935" t="n">
        <x:v>-49.88</x:v>
      </x:c>
      <x:c r="N1935" t="str">
        <x:v>2024-07</x:v>
      </x:c>
      <x:c r="O1935" t="str">
        <x:v>Ausgabe</x:v>
      </x:c>
      <x:c r="P1935" t="str">
        <x:v>Ist</x:v>
      </x:c>
      <x:c r="Q1935" s="59" t="b">
        <x:v>0</x:v>
      </x:c>
      <x:c r="R1935" t="str">
        <x:v>kein_transfer</x:v>
      </x:c>
      <x:c r="S1935"/>
      <x:c r="T1935"/>
      <x:c r="U1935"/>
      <x:c r="V1935" s="59" t="b">
        <x:v>1</x:v>
      </x:c>
      <x:c r="W1935"/>
      <x:c r="X1935" t="str">
        <x:v>offen</x:v>
      </x:c>
      <x:c r="Y1935" t="str">
        <x:v>Agent-Draft; Kategorie und Person pruefen</x:v>
      </x:c>
    </x:row>
    <x:row r="1936">
      <x:c r="A1936" t="str">
        <x:v>TXN-RAW-IMP-20260516-FULLDRAFT-001920</x:v>
      </x:c>
      <x:c r="B1936" t="str">
        <x:v>RAW-IMP-20260516-FULLDRAFT-001920</x:v>
      </x:c>
      <x:c r="C1936" t="str">
        <x:v>KTO001</x:v>
      </x:c>
      <x:c r="D1936"/>
      <x:c r="E1936" t="str">
        <x:v>KAT013</x:v>
      </x:c>
      <x:c r="F1936"/>
      <x:c r="G1936"/>
      <x:c r="H1936" t="str">
        <x:v>kein_match</x:v>
      </x:c>
      <x:c r="I1936" t="str">
        <x:v>Agent-Draft: keine finale Regelentscheidung</x:v>
      </x:c>
      <x:c r="J1936" t="n">
        <x:v>45503</x:v>
      </x:c>
      <x:c r="K1936"/>
      <x:c r="L1936"/>
      <x:c r="M1936" t="n">
        <x:v>-82</x:v>
      </x:c>
      <x:c r="N1936" t="str">
        <x:v>2024-07</x:v>
      </x:c>
      <x:c r="O1936" t="str">
        <x:v>Ausgabe</x:v>
      </x:c>
      <x:c r="P1936" t="str">
        <x:v>Ist</x:v>
      </x:c>
      <x:c r="Q1936" s="59" t="b">
        <x:v>0</x:v>
      </x:c>
      <x:c r="R1936" t="str">
        <x:v>kein_transfer</x:v>
      </x:c>
      <x:c r="S1936"/>
      <x:c r="T1936"/>
      <x:c r="U1936"/>
      <x:c r="V1936" s="59" t="b">
        <x:v>1</x:v>
      </x:c>
      <x:c r="W1936"/>
      <x:c r="X1936" t="str">
        <x:v>offen</x:v>
      </x:c>
      <x:c r="Y1936" t="str">
        <x:v>Agent-Draft; Kategorie und Person pruefen</x:v>
      </x:c>
    </x:row>
    <x:row r="1937">
      <x:c r="A1937" t="str">
        <x:v>TXN-RAW-IMP-20260516-FULLDRAFT-001921</x:v>
      </x:c>
      <x:c r="B1937" t="str">
        <x:v>RAW-IMP-20260516-FULLDRAFT-001921</x:v>
      </x:c>
      <x:c r="C1937" t="str">
        <x:v>KTO001</x:v>
      </x:c>
      <x:c r="D1937"/>
      <x:c r="E1937" t="str">
        <x:v>KAT013</x:v>
      </x:c>
      <x:c r="F1937"/>
      <x:c r="G1937"/>
      <x:c r="H1937" t="str">
        <x:v>kein_match</x:v>
      </x:c>
      <x:c r="I1937" t="str">
        <x:v>Agent-Draft: keine finale Regelentscheidung</x:v>
      </x:c>
      <x:c r="J1937" t="n">
        <x:v>45502</x:v>
      </x:c>
      <x:c r="K1937"/>
      <x:c r="L1937"/>
      <x:c r="M1937" t="n">
        <x:v>-6.95</x:v>
      </x:c>
      <x:c r="N1937" t="str">
        <x:v>2024-07</x:v>
      </x:c>
      <x:c r="O1937" t="str">
        <x:v>Ausgabe</x:v>
      </x:c>
      <x:c r="P1937" t="str">
        <x:v>Ist</x:v>
      </x:c>
      <x:c r="Q1937" s="59" t="b">
        <x:v>0</x:v>
      </x:c>
      <x:c r="R1937" t="str">
        <x:v>kein_transfer</x:v>
      </x:c>
      <x:c r="S1937"/>
      <x:c r="T1937"/>
      <x:c r="U1937"/>
      <x:c r="V1937" s="59" t="b">
        <x:v>1</x:v>
      </x:c>
      <x:c r="W1937"/>
      <x:c r="X1937" t="str">
        <x:v>offen</x:v>
      </x:c>
      <x:c r="Y1937" t="str">
        <x:v>Agent-Draft; Kategorie und Person pruefen</x:v>
      </x:c>
    </x:row>
    <x:row r="1938">
      <x:c r="A1938" t="str">
        <x:v>TXN-RAW-IMP-20260516-FULLDRAFT-001922</x:v>
      </x:c>
      <x:c r="B1938" t="str">
        <x:v>RAW-IMP-20260516-FULLDRAFT-001922</x:v>
      </x:c>
      <x:c r="C1938" t="str">
        <x:v>KTO001</x:v>
      </x:c>
      <x:c r="D1938"/>
      <x:c r="E1938" t="str">
        <x:v>KAT013</x:v>
      </x:c>
      <x:c r="F1938"/>
      <x:c r="G1938"/>
      <x:c r="H1938" t="str">
        <x:v>kein_match</x:v>
      </x:c>
      <x:c r="I1938" t="str">
        <x:v>Agent-Draft: keine finale Regelentscheidung</x:v>
      </x:c>
      <x:c r="J1938" t="n">
        <x:v>45502</x:v>
      </x:c>
      <x:c r="K1938"/>
      <x:c r="L1938"/>
      <x:c r="M1938" t="n">
        <x:v>-30</x:v>
      </x:c>
      <x:c r="N1938" t="str">
        <x:v>2024-07</x:v>
      </x:c>
      <x:c r="O1938" t="str">
        <x:v>Ausgabe</x:v>
      </x:c>
      <x:c r="P1938" t="str">
        <x:v>Ist</x:v>
      </x:c>
      <x:c r="Q1938" s="59" t="b">
        <x:v>0</x:v>
      </x:c>
      <x:c r="R1938" t="str">
        <x:v>kein_transfer</x:v>
      </x:c>
      <x:c r="S1938"/>
      <x:c r="T1938"/>
      <x:c r="U1938"/>
      <x:c r="V1938" s="59" t="b">
        <x:v>1</x:v>
      </x:c>
      <x:c r="W1938"/>
      <x:c r="X1938" t="str">
        <x:v>offen</x:v>
      </x:c>
      <x:c r="Y1938" t="str">
        <x:v>Agent-Draft; Kategorie und Person pruefen</x:v>
      </x:c>
    </x:row>
    <x:row r="1939">
      <x:c r="A1939" t="str">
        <x:v>TXN-RAW-IMP-20260516-FULLDRAFT-001923</x:v>
      </x:c>
      <x:c r="B1939" t="str">
        <x:v>RAW-IMP-20260516-FULLDRAFT-001923</x:v>
      </x:c>
      <x:c r="C1939" t="str">
        <x:v>KTO001</x:v>
      </x:c>
      <x:c r="D1939"/>
      <x:c r="E1939" t="str">
        <x:v>KAT013</x:v>
      </x:c>
      <x:c r="F1939"/>
      <x:c r="G1939"/>
      <x:c r="H1939" t="str">
        <x:v>kein_match</x:v>
      </x:c>
      <x:c r="I1939" t="str">
        <x:v>Agent-Draft: keine finale Regelentscheidung</x:v>
      </x:c>
      <x:c r="J1939" t="n">
        <x:v>45502</x:v>
      </x:c>
      <x:c r="K1939"/>
      <x:c r="L1939"/>
      <x:c r="M1939" t="n">
        <x:v>-2.5</x:v>
      </x:c>
      <x:c r="N1939" t="str">
        <x:v>2024-07</x:v>
      </x:c>
      <x:c r="O1939" t="str">
        <x:v>Ausgabe</x:v>
      </x:c>
      <x:c r="P1939" t="str">
        <x:v>Ist</x:v>
      </x:c>
      <x:c r="Q1939" s="59" t="b">
        <x:v>0</x:v>
      </x:c>
      <x:c r="R1939" t="str">
        <x:v>kein_transfer</x:v>
      </x:c>
      <x:c r="S1939"/>
      <x:c r="T1939"/>
      <x:c r="U1939"/>
      <x:c r="V1939" s="59" t="b">
        <x:v>1</x:v>
      </x:c>
      <x:c r="W1939"/>
      <x:c r="X1939" t="str">
        <x:v>offen</x:v>
      </x:c>
      <x:c r="Y1939" t="str">
        <x:v>Agent-Draft; Kategorie und Person pruefen</x:v>
      </x:c>
    </x:row>
    <x:row r="1940">
      <x:c r="A1940" t="str">
        <x:v>TXN-RAW-IMP-20260516-FULLDRAFT-001924</x:v>
      </x:c>
      <x:c r="B1940" t="str">
        <x:v>RAW-IMP-20260516-FULLDRAFT-001924</x:v>
      </x:c>
      <x:c r="C1940" t="str">
        <x:v>KTO001</x:v>
      </x:c>
      <x:c r="D1940"/>
      <x:c r="E1940" t="str">
        <x:v>KAT013</x:v>
      </x:c>
      <x:c r="F1940"/>
      <x:c r="G1940"/>
      <x:c r="H1940" t="str">
        <x:v>kein_match</x:v>
      </x:c>
      <x:c r="I1940" t="str">
        <x:v>Agent-Draft: keine finale Regelentscheidung</x:v>
      </x:c>
      <x:c r="J1940" t="n">
        <x:v>45502</x:v>
      </x:c>
      <x:c r="K1940"/>
      <x:c r="L1940"/>
      <x:c r="M1940" t="n">
        <x:v>-27.8</x:v>
      </x:c>
      <x:c r="N1940" t="str">
        <x:v>2024-07</x:v>
      </x:c>
      <x:c r="O1940" t="str">
        <x:v>Ausgabe</x:v>
      </x:c>
      <x:c r="P1940" t="str">
        <x:v>Ist</x:v>
      </x:c>
      <x:c r="Q1940" s="59" t="b">
        <x:v>0</x:v>
      </x:c>
      <x:c r="R1940" t="str">
        <x:v>kein_transfer</x:v>
      </x:c>
      <x:c r="S1940"/>
      <x:c r="T1940"/>
      <x:c r="U1940"/>
      <x:c r="V1940" s="59" t="b">
        <x:v>1</x:v>
      </x:c>
      <x:c r="W1940"/>
      <x:c r="X1940" t="str">
        <x:v>offen</x:v>
      </x:c>
      <x:c r="Y1940" t="str">
        <x:v>Agent-Draft; Kategorie und Person pruefen</x:v>
      </x:c>
    </x:row>
    <x:row r="1941">
      <x:c r="A1941" t="str">
        <x:v>TXN-RAW-IMP-20260516-FULLDRAFT-001925</x:v>
      </x:c>
      <x:c r="B1941" t="str">
        <x:v>RAW-IMP-20260516-FULLDRAFT-001925</x:v>
      </x:c>
      <x:c r="C1941" t="str">
        <x:v>KTO001</x:v>
      </x:c>
      <x:c r="D1941"/>
      <x:c r="E1941" t="str">
        <x:v>KAT013</x:v>
      </x:c>
      <x:c r="F1941"/>
      <x:c r="G1941"/>
      <x:c r="H1941" t="str">
        <x:v>kein_match</x:v>
      </x:c>
      <x:c r="I1941" t="str">
        <x:v>Agent-Draft: keine finale Regelentscheidung</x:v>
      </x:c>
      <x:c r="J1941" t="n">
        <x:v>45502</x:v>
      </x:c>
      <x:c r="K1941"/>
      <x:c r="L1941"/>
      <x:c r="M1941" t="n">
        <x:v>-2.35</x:v>
      </x:c>
      <x:c r="N1941" t="str">
        <x:v>2024-07</x:v>
      </x:c>
      <x:c r="O1941" t="str">
        <x:v>Ausgabe</x:v>
      </x:c>
      <x:c r="P1941" t="str">
        <x:v>Ist</x:v>
      </x:c>
      <x:c r="Q1941" s="59" t="b">
        <x:v>0</x:v>
      </x:c>
      <x:c r="R1941" t="str">
        <x:v>kein_transfer</x:v>
      </x:c>
      <x:c r="S1941"/>
      <x:c r="T1941"/>
      <x:c r="U1941"/>
      <x:c r="V1941" s="59" t="b">
        <x:v>1</x:v>
      </x:c>
      <x:c r="W1941"/>
      <x:c r="X1941" t="str">
        <x:v>offen</x:v>
      </x:c>
      <x:c r="Y1941" t="str">
        <x:v>Agent-Draft; Kategorie und Person pruefen</x:v>
      </x:c>
    </x:row>
    <x:row r="1942">
      <x:c r="A1942" t="str">
        <x:v>TXN-RAW-IMP-20260516-FULLDRAFT-001926</x:v>
      </x:c>
      <x:c r="B1942" t="str">
        <x:v>RAW-IMP-20260516-FULLDRAFT-001926</x:v>
      </x:c>
      <x:c r="C1942" t="str">
        <x:v>KTO001</x:v>
      </x:c>
      <x:c r="D1942"/>
      <x:c r="E1942" t="str">
        <x:v>KAT013</x:v>
      </x:c>
      <x:c r="F1942"/>
      <x:c r="G1942"/>
      <x:c r="H1942" t="str">
        <x:v>kein_match</x:v>
      </x:c>
      <x:c r="I1942" t="str">
        <x:v>Agent-Draft: keine finale Regelentscheidung</x:v>
      </x:c>
      <x:c r="J1942" t="n">
        <x:v>45502</x:v>
      </x:c>
      <x:c r="K1942"/>
      <x:c r="L1942"/>
      <x:c r="M1942" t="n">
        <x:v>-200</x:v>
      </x:c>
      <x:c r="N1942" t="str">
        <x:v>2024-07</x:v>
      </x:c>
      <x:c r="O1942" t="str">
        <x:v>Ausgabe</x:v>
      </x:c>
      <x:c r="P1942" t="str">
        <x:v>Ist</x:v>
      </x:c>
      <x:c r="Q1942" s="59" t="b">
        <x:v>0</x:v>
      </x:c>
      <x:c r="R1942" t="str">
        <x:v>kein_transfer</x:v>
      </x:c>
      <x:c r="S1942"/>
      <x:c r="T1942"/>
      <x:c r="U1942"/>
      <x:c r="V1942" s="59" t="b">
        <x:v>1</x:v>
      </x:c>
      <x:c r="W1942"/>
      <x:c r="X1942" t="str">
        <x:v>offen</x:v>
      </x:c>
      <x:c r="Y1942" t="str">
        <x:v>Agent-Draft; Kategorie und Person pruefen</x:v>
      </x:c>
    </x:row>
    <x:row r="1943">
      <x:c r="A1943" t="str">
        <x:v>TXN-RAW-IMP-20260516-FULLDRAFT-001927</x:v>
      </x:c>
      <x:c r="B1943" t="str">
        <x:v>RAW-IMP-20260516-FULLDRAFT-001927</x:v>
      </x:c>
      <x:c r="C1943" t="str">
        <x:v>KTO001</x:v>
      </x:c>
      <x:c r="D1943"/>
      <x:c r="E1943" t="str">
        <x:v>KAT013</x:v>
      </x:c>
      <x:c r="F1943"/>
      <x:c r="G1943"/>
      <x:c r="H1943" t="str">
        <x:v>kein_match</x:v>
      </x:c>
      <x:c r="I1943" t="str">
        <x:v>Agent-Draft: keine finale Regelentscheidung</x:v>
      </x:c>
      <x:c r="J1943" t="n">
        <x:v>45499</x:v>
      </x:c>
      <x:c r="K1943"/>
      <x:c r="L1943"/>
      <x:c r="M1943" t="n">
        <x:v>-19.01</x:v>
      </x:c>
      <x:c r="N1943" t="str">
        <x:v>2024-07</x:v>
      </x:c>
      <x:c r="O1943" t="str">
        <x:v>Ausgabe</x:v>
      </x:c>
      <x:c r="P1943" t="str">
        <x:v>Ist</x:v>
      </x:c>
      <x:c r="Q1943" s="59" t="b">
        <x:v>0</x:v>
      </x:c>
      <x:c r="R1943" t="str">
        <x:v>kein_transfer</x:v>
      </x:c>
      <x:c r="S1943"/>
      <x:c r="T1943"/>
      <x:c r="U1943"/>
      <x:c r="V1943" s="59" t="b">
        <x:v>1</x:v>
      </x:c>
      <x:c r="W1943"/>
      <x:c r="X1943" t="str">
        <x:v>offen</x:v>
      </x:c>
      <x:c r="Y1943" t="str">
        <x:v>Agent-Draft; Kategorie und Person pruefen</x:v>
      </x:c>
    </x:row>
    <x:row r="1944">
      <x:c r="A1944" t="str">
        <x:v>TXN-RAW-IMP-20260516-FULLDRAFT-001928</x:v>
      </x:c>
      <x:c r="B1944" t="str">
        <x:v>RAW-IMP-20260516-FULLDRAFT-001928</x:v>
      </x:c>
      <x:c r="C1944" t="str">
        <x:v>KTO001</x:v>
      </x:c>
      <x:c r="D1944"/>
      <x:c r="E1944" t="str">
        <x:v>KAT013</x:v>
      </x:c>
      <x:c r="F1944"/>
      <x:c r="G1944"/>
      <x:c r="H1944" t="str">
        <x:v>kein_match</x:v>
      </x:c>
      <x:c r="I1944" t="str">
        <x:v>Agent-Draft: keine finale Regelentscheidung</x:v>
      </x:c>
      <x:c r="J1944" t="n">
        <x:v>45499</x:v>
      </x:c>
      <x:c r="K1944"/>
      <x:c r="L1944"/>
      <x:c r="M1944" t="n">
        <x:v>-5</x:v>
      </x:c>
      <x:c r="N1944" t="str">
        <x:v>2024-07</x:v>
      </x:c>
      <x:c r="O1944" t="str">
        <x:v>Ausgabe</x:v>
      </x:c>
      <x:c r="P1944" t="str">
        <x:v>Ist</x:v>
      </x:c>
      <x:c r="Q1944" s="59" t="b">
        <x:v>0</x:v>
      </x:c>
      <x:c r="R1944" t="str">
        <x:v>kein_transfer</x:v>
      </x:c>
      <x:c r="S1944"/>
      <x:c r="T1944"/>
      <x:c r="U1944"/>
      <x:c r="V1944" s="59" t="b">
        <x:v>1</x:v>
      </x:c>
      <x:c r="W1944"/>
      <x:c r="X1944" t="str">
        <x:v>offen</x:v>
      </x:c>
      <x:c r="Y1944" t="str">
        <x:v>Agent-Draft; Kategorie und Person pruefen</x:v>
      </x:c>
    </x:row>
    <x:row r="1945">
      <x:c r="A1945" t="str">
        <x:v>TXN-RAW-IMP-20260516-FULLDRAFT-001929</x:v>
      </x:c>
      <x:c r="B1945" t="str">
        <x:v>RAW-IMP-20260516-FULLDRAFT-001929</x:v>
      </x:c>
      <x:c r="C1945" t="str">
        <x:v>KTO001</x:v>
      </x:c>
      <x:c r="D1945"/>
      <x:c r="E1945" t="str">
        <x:v>KAT013</x:v>
      </x:c>
      <x:c r="F1945"/>
      <x:c r="G1945"/>
      <x:c r="H1945" t="str">
        <x:v>kein_match</x:v>
      </x:c>
      <x:c r="I1945" t="str">
        <x:v>Agent-Draft: keine finale Regelentscheidung</x:v>
      </x:c>
      <x:c r="J1945" t="n">
        <x:v>45498</x:v>
      </x:c>
      <x:c r="K1945"/>
      <x:c r="L1945"/>
      <x:c r="M1945" t="n">
        <x:v>308.37</x:v>
      </x:c>
      <x:c r="N1945" t="str">
        <x:v>2024-07</x:v>
      </x:c>
      <x:c r="O1945" t="str">
        <x:v>Einnahme</x:v>
      </x:c>
      <x:c r="P1945" t="str">
        <x:v>Ist</x:v>
      </x:c>
      <x:c r="Q1945" s="59" t="b">
        <x:v>0</x:v>
      </x:c>
      <x:c r="R1945" t="str">
        <x:v>kein_transfer</x:v>
      </x:c>
      <x:c r="S1945"/>
      <x:c r="T1945"/>
      <x:c r="U1945"/>
      <x:c r="V1945" s="59" t="b">
        <x:v>1</x:v>
      </x:c>
      <x:c r="W1945"/>
      <x:c r="X1945" t="str">
        <x:v>offen</x:v>
      </x:c>
      <x:c r="Y1945" t="str">
        <x:v>Agent-Draft; Kategorie und Person pruefen</x:v>
      </x:c>
    </x:row>
    <x:row r="1946">
      <x:c r="A1946" t="str">
        <x:v>TXN-RAW-IMP-20260516-FULLDRAFT-001930</x:v>
      </x:c>
      <x:c r="B1946" t="str">
        <x:v>RAW-IMP-20260516-FULLDRAFT-001930</x:v>
      </x:c>
      <x:c r="C1946" t="str">
        <x:v>KTO001</x:v>
      </x:c>
      <x:c r="D1946"/>
      <x:c r="E1946" t="str">
        <x:v>KAT013</x:v>
      </x:c>
      <x:c r="F1946"/>
      <x:c r="G1946"/>
      <x:c r="H1946" t="str">
        <x:v>kein_match</x:v>
      </x:c>
      <x:c r="I1946" t="str">
        <x:v>Agent-Draft: keine finale Regelentscheidung</x:v>
      </x:c>
      <x:c r="J1946" t="n">
        <x:v>45498</x:v>
      </x:c>
      <x:c r="K1946"/>
      <x:c r="L1946"/>
      <x:c r="M1946" t="n">
        <x:v>-33.02</x:v>
      </x:c>
      <x:c r="N1946" t="str">
        <x:v>2024-07</x:v>
      </x:c>
      <x:c r="O1946" t="str">
        <x:v>Ausgabe</x:v>
      </x:c>
      <x:c r="P1946" t="str">
        <x:v>Ist</x:v>
      </x:c>
      <x:c r="Q1946" s="59" t="b">
        <x:v>0</x:v>
      </x:c>
      <x:c r="R1946" t="str">
        <x:v>kein_transfer</x:v>
      </x:c>
      <x:c r="S1946"/>
      <x:c r="T1946"/>
      <x:c r="U1946"/>
      <x:c r="V1946" s="59" t="b">
        <x:v>1</x:v>
      </x:c>
      <x:c r="W1946"/>
      <x:c r="X1946" t="str">
        <x:v>offen</x:v>
      </x:c>
      <x:c r="Y1946" t="str">
        <x:v>Agent-Draft; Kategorie und Person pruefen</x:v>
      </x:c>
    </x:row>
    <x:row r="1947">
      <x:c r="A1947" t="str">
        <x:v>TXN-RAW-IMP-20260516-FULLDRAFT-001931</x:v>
      </x:c>
      <x:c r="B1947" t="str">
        <x:v>RAW-IMP-20260516-FULLDRAFT-001931</x:v>
      </x:c>
      <x:c r="C1947" t="str">
        <x:v>KTO001</x:v>
      </x:c>
      <x:c r="D1947"/>
      <x:c r="E1947" t="str">
        <x:v>KAT013</x:v>
      </x:c>
      <x:c r="F1947"/>
      <x:c r="G1947"/>
      <x:c r="H1947" t="str">
        <x:v>kein_match</x:v>
      </x:c>
      <x:c r="I1947" t="str">
        <x:v>Agent-Draft: keine finale Regelentscheidung</x:v>
      </x:c>
      <x:c r="J1947" t="n">
        <x:v>45497</x:v>
      </x:c>
      <x:c r="K1947"/>
      <x:c r="L1947"/>
      <x:c r="M1947" t="n">
        <x:v>-3.4</x:v>
      </x:c>
      <x:c r="N1947" t="str">
        <x:v>2024-07</x:v>
      </x:c>
      <x:c r="O1947" t="str">
        <x:v>Ausgabe</x:v>
      </x:c>
      <x:c r="P1947" t="str">
        <x:v>Ist</x:v>
      </x:c>
      <x:c r="Q1947" s="59" t="b">
        <x:v>0</x:v>
      </x:c>
      <x:c r="R1947" t="str">
        <x:v>kein_transfer</x:v>
      </x:c>
      <x:c r="S1947"/>
      <x:c r="T1947"/>
      <x:c r="U1947"/>
      <x:c r="V1947" s="59" t="b">
        <x:v>1</x:v>
      </x:c>
      <x:c r="W1947"/>
      <x:c r="X1947" t="str">
        <x:v>offen</x:v>
      </x:c>
      <x:c r="Y1947" t="str">
        <x:v>Agent-Draft; Kategorie und Person pruefen</x:v>
      </x:c>
    </x:row>
    <x:row r="1948">
      <x:c r="A1948" t="str">
        <x:v>TXN-RAW-IMP-20260516-FULLDRAFT-001932</x:v>
      </x:c>
      <x:c r="B1948" t="str">
        <x:v>RAW-IMP-20260516-FULLDRAFT-001932</x:v>
      </x:c>
      <x:c r="C1948" t="str">
        <x:v>KTO001</x:v>
      </x:c>
      <x:c r="D1948"/>
      <x:c r="E1948" t="str">
        <x:v>KAT013</x:v>
      </x:c>
      <x:c r="F1948"/>
      <x:c r="G1948"/>
      <x:c r="H1948" t="str">
        <x:v>kein_match</x:v>
      </x:c>
      <x:c r="I1948" t="str">
        <x:v>Agent-Draft: keine finale Regelentscheidung</x:v>
      </x:c>
      <x:c r="J1948" t="n">
        <x:v>45497</x:v>
      </x:c>
      <x:c r="K1948"/>
      <x:c r="L1948"/>
      <x:c r="M1948" t="n">
        <x:v>-3.1</x:v>
      </x:c>
      <x:c r="N1948" t="str">
        <x:v>2024-07</x:v>
      </x:c>
      <x:c r="O1948" t="str">
        <x:v>Ausgabe</x:v>
      </x:c>
      <x:c r="P1948" t="str">
        <x:v>Ist</x:v>
      </x:c>
      <x:c r="Q1948" s="59" t="b">
        <x:v>0</x:v>
      </x:c>
      <x:c r="R1948" t="str">
        <x:v>kein_transfer</x:v>
      </x:c>
      <x:c r="S1948"/>
      <x:c r="T1948"/>
      <x:c r="U1948"/>
      <x:c r="V1948" s="59" t="b">
        <x:v>1</x:v>
      </x:c>
      <x:c r="W1948"/>
      <x:c r="X1948" t="str">
        <x:v>offen</x:v>
      </x:c>
      <x:c r="Y1948" t="str">
        <x:v>Agent-Draft; Kategorie und Person pruefen</x:v>
      </x:c>
    </x:row>
    <x:row r="1949">
      <x:c r="A1949" t="str">
        <x:v>TXN-RAW-IMP-20260516-FULLDRAFT-001933</x:v>
      </x:c>
      <x:c r="B1949" t="str">
        <x:v>RAW-IMP-20260516-FULLDRAFT-001933</x:v>
      </x:c>
      <x:c r="C1949" t="str">
        <x:v>KTO001</x:v>
      </x:c>
      <x:c r="D1949"/>
      <x:c r="E1949" t="str">
        <x:v>KAT013</x:v>
      </x:c>
      <x:c r="F1949"/>
      <x:c r="G1949"/>
      <x:c r="H1949" t="str">
        <x:v>kein_match</x:v>
      </x:c>
      <x:c r="I1949" t="str">
        <x:v>Agent-Draft: keine finale Regelentscheidung</x:v>
      </x:c>
      <x:c r="J1949" t="n">
        <x:v>45497</x:v>
      </x:c>
      <x:c r="K1949"/>
      <x:c r="L1949"/>
      <x:c r="M1949" t="n">
        <x:v>-88.34</x:v>
      </x:c>
      <x:c r="N1949" t="str">
        <x:v>2024-07</x:v>
      </x:c>
      <x:c r="O1949" t="str">
        <x:v>Ausgabe</x:v>
      </x:c>
      <x:c r="P1949" t="str">
        <x:v>Ist</x:v>
      </x:c>
      <x:c r="Q1949" s="59" t="b">
        <x:v>0</x:v>
      </x:c>
      <x:c r="R1949" t="str">
        <x:v>kein_transfer</x:v>
      </x:c>
      <x:c r="S1949"/>
      <x:c r="T1949"/>
      <x:c r="U1949"/>
      <x:c r="V1949" s="59" t="b">
        <x:v>1</x:v>
      </x:c>
      <x:c r="W1949"/>
      <x:c r="X1949" t="str">
        <x:v>offen</x:v>
      </x:c>
      <x:c r="Y1949" t="str">
        <x:v>Agent-Draft; Kategorie und Person pruefen</x:v>
      </x:c>
    </x:row>
    <x:row r="1950">
      <x:c r="A1950" t="str">
        <x:v>TXN-RAW-IMP-20260516-FULLDRAFT-001934</x:v>
      </x:c>
      <x:c r="B1950" t="str">
        <x:v>RAW-IMP-20260516-FULLDRAFT-001934</x:v>
      </x:c>
      <x:c r="C1950" t="str">
        <x:v>KTO001</x:v>
      </x:c>
      <x:c r="D1950"/>
      <x:c r="E1950" t="str">
        <x:v>KAT013</x:v>
      </x:c>
      <x:c r="F1950"/>
      <x:c r="G1950"/>
      <x:c r="H1950" t="str">
        <x:v>kein_match</x:v>
      </x:c>
      <x:c r="I1950" t="str">
        <x:v>Agent-Draft: keine finale Regelentscheidung</x:v>
      </x:c>
      <x:c r="J1950" t="n">
        <x:v>45497</x:v>
      </x:c>
      <x:c r="K1950"/>
      <x:c r="L1950"/>
      <x:c r="M1950" t="n">
        <x:v>-18</x:v>
      </x:c>
      <x:c r="N1950" t="str">
        <x:v>2024-07</x:v>
      </x:c>
      <x:c r="O1950" t="str">
        <x:v>Ausgabe</x:v>
      </x:c>
      <x:c r="P1950" t="str">
        <x:v>Ist</x:v>
      </x:c>
      <x:c r="Q1950" s="59" t="b">
        <x:v>0</x:v>
      </x:c>
      <x:c r="R1950" t="str">
        <x:v>kein_transfer</x:v>
      </x:c>
      <x:c r="S1950"/>
      <x:c r="T1950"/>
      <x:c r="U1950"/>
      <x:c r="V1950" s="59" t="b">
        <x:v>1</x:v>
      </x:c>
      <x:c r="W1950"/>
      <x:c r="X1950" t="str">
        <x:v>offen</x:v>
      </x:c>
      <x:c r="Y1950" t="str">
        <x:v>Agent-Draft; Kategorie und Person pruefen</x:v>
      </x:c>
    </x:row>
    <x:row r="1951">
      <x:c r="A1951" t="str">
        <x:v>TXN-RAW-IMP-20260516-FULLDRAFT-001935</x:v>
      </x:c>
      <x:c r="B1951" t="str">
        <x:v>RAW-IMP-20260516-FULLDRAFT-001935</x:v>
      </x:c>
      <x:c r="C1951" t="str">
        <x:v>KTO001</x:v>
      </x:c>
      <x:c r="D1951"/>
      <x:c r="E1951" t="str">
        <x:v>KAT013</x:v>
      </x:c>
      <x:c r="F1951"/>
      <x:c r="G1951"/>
      <x:c r="H1951" t="str">
        <x:v>kein_match</x:v>
      </x:c>
      <x:c r="I1951" t="str">
        <x:v>Agent-Draft: keine finale Regelentscheidung</x:v>
      </x:c>
      <x:c r="J1951" t="n">
        <x:v>45497</x:v>
      </x:c>
      <x:c r="K1951"/>
      <x:c r="L1951"/>
      <x:c r="M1951" t="n">
        <x:v>-15.7</x:v>
      </x:c>
      <x:c r="N1951" t="str">
        <x:v>2024-07</x:v>
      </x:c>
      <x:c r="O1951" t="str">
        <x:v>Ausgabe</x:v>
      </x:c>
      <x:c r="P1951" t="str">
        <x:v>Ist</x:v>
      </x:c>
      <x:c r="Q1951" s="59" t="b">
        <x:v>0</x:v>
      </x:c>
      <x:c r="R1951" t="str">
        <x:v>kein_transfer</x:v>
      </x:c>
      <x:c r="S1951"/>
      <x:c r="T1951"/>
      <x:c r="U1951"/>
      <x:c r="V1951" s="59" t="b">
        <x:v>1</x:v>
      </x:c>
      <x:c r="W1951"/>
      <x:c r="X1951" t="str">
        <x:v>offen</x:v>
      </x:c>
      <x:c r="Y1951" t="str">
        <x:v>Agent-Draft; Kategorie und Person pruefen</x:v>
      </x:c>
    </x:row>
    <x:row r="1952">
      <x:c r="A1952" t="str">
        <x:v>TXN-RAW-IMP-20260516-FULLDRAFT-001936</x:v>
      </x:c>
      <x:c r="B1952" t="str">
        <x:v>RAW-IMP-20260516-FULLDRAFT-001936</x:v>
      </x:c>
      <x:c r="C1952" t="str">
        <x:v>KTO001</x:v>
      </x:c>
      <x:c r="D1952"/>
      <x:c r="E1952" t="str">
        <x:v>KAT013</x:v>
      </x:c>
      <x:c r="F1952"/>
      <x:c r="G1952"/>
      <x:c r="H1952" t="str">
        <x:v>kein_match</x:v>
      </x:c>
      <x:c r="I1952" t="str">
        <x:v>Agent-Draft: keine finale Regelentscheidung</x:v>
      </x:c>
      <x:c r="J1952" t="n">
        <x:v>45497</x:v>
      </x:c>
      <x:c r="K1952"/>
      <x:c r="L1952"/>
      <x:c r="M1952" t="n">
        <x:v>-3.99</x:v>
      </x:c>
      <x:c r="N1952" t="str">
        <x:v>2024-07</x:v>
      </x:c>
      <x:c r="O1952" t="str">
        <x:v>Ausgabe</x:v>
      </x:c>
      <x:c r="P1952" t="str">
        <x:v>Ist</x:v>
      </x:c>
      <x:c r="Q1952" s="59" t="b">
        <x:v>0</x:v>
      </x:c>
      <x:c r="R1952" t="str">
        <x:v>kein_transfer</x:v>
      </x:c>
      <x:c r="S1952"/>
      <x:c r="T1952"/>
      <x:c r="U1952"/>
      <x:c r="V1952" s="59" t="b">
        <x:v>1</x:v>
      </x:c>
      <x:c r="W1952"/>
      <x:c r="X1952" t="str">
        <x:v>offen</x:v>
      </x:c>
      <x:c r="Y1952" t="str">
        <x:v>Agent-Draft; Kategorie und Person pruefen</x:v>
      </x:c>
    </x:row>
    <x:row r="1953">
      <x:c r="A1953" t="str">
        <x:v>TXN-RAW-IMP-20260516-FULLDRAFT-001937</x:v>
      </x:c>
      <x:c r="B1953" t="str">
        <x:v>RAW-IMP-20260516-FULLDRAFT-001937</x:v>
      </x:c>
      <x:c r="C1953" t="str">
        <x:v>KTO001</x:v>
      </x:c>
      <x:c r="D1953"/>
      <x:c r="E1953" t="str">
        <x:v>KAT013</x:v>
      </x:c>
      <x:c r="F1953"/>
      <x:c r="G1953"/>
      <x:c r="H1953" t="str">
        <x:v>kein_match</x:v>
      </x:c>
      <x:c r="I1953" t="str">
        <x:v>Agent-Draft: keine finale Regelentscheidung</x:v>
      </x:c>
      <x:c r="J1953" t="n">
        <x:v>45496</x:v>
      </x:c>
      <x:c r="K1953"/>
      <x:c r="L1953"/>
      <x:c r="M1953" t="n">
        <x:v>-52.5</x:v>
      </x:c>
      <x:c r="N1953" t="str">
        <x:v>2024-07</x:v>
      </x:c>
      <x:c r="O1953" t="str">
        <x:v>Ausgabe</x:v>
      </x:c>
      <x:c r="P1953" t="str">
        <x:v>Ist</x:v>
      </x:c>
      <x:c r="Q1953" s="59" t="b">
        <x:v>0</x:v>
      </x:c>
      <x:c r="R1953" t="str">
        <x:v>kein_transfer</x:v>
      </x:c>
      <x:c r="S1953"/>
      <x:c r="T1953"/>
      <x:c r="U1953"/>
      <x:c r="V1953" s="59" t="b">
        <x:v>1</x:v>
      </x:c>
      <x:c r="W1953"/>
      <x:c r="X1953" t="str">
        <x:v>offen</x:v>
      </x:c>
      <x:c r="Y1953" t="str">
        <x:v>Agent-Draft; Kategorie und Person pruefen</x:v>
      </x:c>
    </x:row>
    <x:row r="1954">
      <x:c r="A1954" t="str">
        <x:v>TXN-RAW-IMP-20260516-FULLDRAFT-001938</x:v>
      </x:c>
      <x:c r="B1954" t="str">
        <x:v>RAW-IMP-20260516-FULLDRAFT-001938</x:v>
      </x:c>
      <x:c r="C1954" t="str">
        <x:v>KTO001</x:v>
      </x:c>
      <x:c r="D1954"/>
      <x:c r="E1954" t="str">
        <x:v>KAT013</x:v>
      </x:c>
      <x:c r="F1954"/>
      <x:c r="G1954"/>
      <x:c r="H1954" t="str">
        <x:v>kein_match</x:v>
      </x:c>
      <x:c r="I1954" t="str">
        <x:v>Agent-Draft: keine finale Regelentscheidung</x:v>
      </x:c>
      <x:c r="J1954" t="n">
        <x:v>45496</x:v>
      </x:c>
      <x:c r="K1954"/>
      <x:c r="L1954"/>
      <x:c r="M1954" t="n">
        <x:v>-60</x:v>
      </x:c>
      <x:c r="N1954" t="str">
        <x:v>2024-07</x:v>
      </x:c>
      <x:c r="O1954" t="str">
        <x:v>Ausgabe</x:v>
      </x:c>
      <x:c r="P1954" t="str">
        <x:v>Ist</x:v>
      </x:c>
      <x:c r="Q1954" s="59" t="b">
        <x:v>0</x:v>
      </x:c>
      <x:c r="R1954" t="str">
        <x:v>kein_transfer</x:v>
      </x:c>
      <x:c r="S1954"/>
      <x:c r="T1954"/>
      <x:c r="U1954"/>
      <x:c r="V1954" s="59" t="b">
        <x:v>1</x:v>
      </x:c>
      <x:c r="W1954"/>
      <x:c r="X1954" t="str">
        <x:v>offen</x:v>
      </x:c>
      <x:c r="Y1954" t="str">
        <x:v>Agent-Draft; Kategorie und Person pruefen</x:v>
      </x:c>
    </x:row>
    <x:row r="1955">
      <x:c r="A1955" t="str">
        <x:v>TXN-RAW-IMP-20260516-FULLDRAFT-001939</x:v>
      </x:c>
      <x:c r="B1955" t="str">
        <x:v>RAW-IMP-20260516-FULLDRAFT-001939</x:v>
      </x:c>
      <x:c r="C1955" t="str">
        <x:v>KTO001</x:v>
      </x:c>
      <x:c r="D1955"/>
      <x:c r="E1955" t="str">
        <x:v>KAT013</x:v>
      </x:c>
      <x:c r="F1955"/>
      <x:c r="G1955"/>
      <x:c r="H1955" t="str">
        <x:v>kein_match</x:v>
      </x:c>
      <x:c r="I1955" t="str">
        <x:v>Agent-Draft: keine finale Regelentscheidung</x:v>
      </x:c>
      <x:c r="J1955" t="n">
        <x:v>45496</x:v>
      </x:c>
      <x:c r="K1955"/>
      <x:c r="L1955"/>
      <x:c r="M1955" t="n">
        <x:v>-2.3</x:v>
      </x:c>
      <x:c r="N1955" t="str">
        <x:v>2024-07</x:v>
      </x:c>
      <x:c r="O1955" t="str">
        <x:v>Ausgabe</x:v>
      </x:c>
      <x:c r="P1955" t="str">
        <x:v>Ist</x:v>
      </x:c>
      <x:c r="Q1955" s="59" t="b">
        <x:v>0</x:v>
      </x:c>
      <x:c r="R1955" t="str">
        <x:v>kein_transfer</x:v>
      </x:c>
      <x:c r="S1955"/>
      <x:c r="T1955"/>
      <x:c r="U1955"/>
      <x:c r="V1955" s="59" t="b">
        <x:v>1</x:v>
      </x:c>
      <x:c r="W1955"/>
      <x:c r="X1955" t="str">
        <x:v>offen</x:v>
      </x:c>
      <x:c r="Y1955" t="str">
        <x:v>Agent-Draft; Kategorie und Person pruefen</x:v>
      </x:c>
    </x:row>
    <x:row r="1956">
      <x:c r="A1956" t="str">
        <x:v>TXN-RAW-IMP-20260516-FULLDRAFT-001940</x:v>
      </x:c>
      <x:c r="B1956" t="str">
        <x:v>RAW-IMP-20260516-FULLDRAFT-001940</x:v>
      </x:c>
      <x:c r="C1956" t="str">
        <x:v>KTO001</x:v>
      </x:c>
      <x:c r="D1956"/>
      <x:c r="E1956" t="str">
        <x:v>KAT013</x:v>
      </x:c>
      <x:c r="F1956"/>
      <x:c r="G1956"/>
      <x:c r="H1956" t="str">
        <x:v>kein_match</x:v>
      </x:c>
      <x:c r="I1956" t="str">
        <x:v>Agent-Draft: keine finale Regelentscheidung</x:v>
      </x:c>
      <x:c r="J1956" t="n">
        <x:v>45496</x:v>
      </x:c>
      <x:c r="K1956"/>
      <x:c r="L1956"/>
      <x:c r="M1956" t="n">
        <x:v>-9.2</x:v>
      </x:c>
      <x:c r="N1956" t="str">
        <x:v>2024-07</x:v>
      </x:c>
      <x:c r="O1956" t="str">
        <x:v>Ausgabe</x:v>
      </x:c>
      <x:c r="P1956" t="str">
        <x:v>Ist</x:v>
      </x:c>
      <x:c r="Q1956" s="59" t="b">
        <x:v>0</x:v>
      </x:c>
      <x:c r="R1956" t="str">
        <x:v>kein_transfer</x:v>
      </x:c>
      <x:c r="S1956"/>
      <x:c r="T1956"/>
      <x:c r="U1956"/>
      <x:c r="V1956" s="59" t="b">
        <x:v>1</x:v>
      </x:c>
      <x:c r="W1956"/>
      <x:c r="X1956" t="str">
        <x:v>offen</x:v>
      </x:c>
      <x:c r="Y1956" t="str">
        <x:v>Agent-Draft; Kategorie und Person pruefen</x:v>
      </x:c>
    </x:row>
    <x:row r="1957">
      <x:c r="A1957" t="str">
        <x:v>TXN-RAW-IMP-20260516-FULLDRAFT-001941</x:v>
      </x:c>
      <x:c r="B1957" t="str">
        <x:v>RAW-IMP-20260516-FULLDRAFT-001941</x:v>
      </x:c>
      <x:c r="C1957" t="str">
        <x:v>KTO001</x:v>
      </x:c>
      <x:c r="D1957"/>
      <x:c r="E1957" t="str">
        <x:v>KAT013</x:v>
      </x:c>
      <x:c r="F1957"/>
      <x:c r="G1957"/>
      <x:c r="H1957" t="str">
        <x:v>kein_match</x:v>
      </x:c>
      <x:c r="I1957" t="str">
        <x:v>Agent-Draft: keine finale Regelentscheidung</x:v>
      </x:c>
      <x:c r="J1957" t="n">
        <x:v>45496</x:v>
      </x:c>
      <x:c r="K1957"/>
      <x:c r="L1957"/>
      <x:c r="M1957" t="n">
        <x:v>-21.28</x:v>
      </x:c>
      <x:c r="N1957" t="str">
        <x:v>2024-07</x:v>
      </x:c>
      <x:c r="O1957" t="str">
        <x:v>Ausgabe</x:v>
      </x:c>
      <x:c r="P1957" t="str">
        <x:v>Ist</x:v>
      </x:c>
      <x:c r="Q1957" s="59" t="b">
        <x:v>0</x:v>
      </x:c>
      <x:c r="R1957" t="str">
        <x:v>kein_transfer</x:v>
      </x:c>
      <x:c r="S1957"/>
      <x:c r="T1957"/>
      <x:c r="U1957"/>
      <x:c r="V1957" s="59" t="b">
        <x:v>1</x:v>
      </x:c>
      <x:c r="W1957"/>
      <x:c r="X1957" t="str">
        <x:v>offen</x:v>
      </x:c>
      <x:c r="Y1957" t="str">
        <x:v>Agent-Draft; Kategorie und Person pruefen</x:v>
      </x:c>
    </x:row>
    <x:row r="1958">
      <x:c r="A1958" t="str">
        <x:v>TXN-RAW-IMP-20260516-FULLDRAFT-001942</x:v>
      </x:c>
      <x:c r="B1958" t="str">
        <x:v>RAW-IMP-20260516-FULLDRAFT-001942</x:v>
      </x:c>
      <x:c r="C1958" t="str">
        <x:v>KTO001</x:v>
      </x:c>
      <x:c r="D1958"/>
      <x:c r="E1958" t="str">
        <x:v>KAT013</x:v>
      </x:c>
      <x:c r="F1958"/>
      <x:c r="G1958"/>
      <x:c r="H1958" t="str">
        <x:v>kein_match</x:v>
      </x:c>
      <x:c r="I1958" t="str">
        <x:v>Agent-Draft: keine finale Regelentscheidung</x:v>
      </x:c>
      <x:c r="J1958" t="n">
        <x:v>45496</x:v>
      </x:c>
      <x:c r="K1958"/>
      <x:c r="L1958"/>
      <x:c r="M1958" t="n">
        <x:v>-33.2</x:v>
      </x:c>
      <x:c r="N1958" t="str">
        <x:v>2024-07</x:v>
      </x:c>
      <x:c r="O1958" t="str">
        <x:v>Ausgabe</x:v>
      </x:c>
      <x:c r="P1958" t="str">
        <x:v>Ist</x:v>
      </x:c>
      <x:c r="Q1958" s="59" t="b">
        <x:v>0</x:v>
      </x:c>
      <x:c r="R1958" t="str">
        <x:v>kein_transfer</x:v>
      </x:c>
      <x:c r="S1958"/>
      <x:c r="T1958"/>
      <x:c r="U1958"/>
      <x:c r="V1958" s="59" t="b">
        <x:v>1</x:v>
      </x:c>
      <x:c r="W1958"/>
      <x:c r="X1958" t="str">
        <x:v>offen</x:v>
      </x:c>
      <x:c r="Y1958" t="str">
        <x:v>Agent-Draft; Kategorie und Person pruefen</x:v>
      </x:c>
    </x:row>
    <x:row r="1959">
      <x:c r="A1959" t="str">
        <x:v>TXN-RAW-IMP-20260516-FULLDRAFT-001943</x:v>
      </x:c>
      <x:c r="B1959" t="str">
        <x:v>RAW-IMP-20260516-FULLDRAFT-001943</x:v>
      </x:c>
      <x:c r="C1959" t="str">
        <x:v>KTO001</x:v>
      </x:c>
      <x:c r="D1959"/>
      <x:c r="E1959" t="str">
        <x:v>KAT013</x:v>
      </x:c>
      <x:c r="F1959"/>
      <x:c r="G1959"/>
      <x:c r="H1959" t="str">
        <x:v>kein_match</x:v>
      </x:c>
      <x:c r="I1959" t="str">
        <x:v>Agent-Draft: keine finale Regelentscheidung</x:v>
      </x:c>
      <x:c r="J1959" t="n">
        <x:v>45496</x:v>
      </x:c>
      <x:c r="K1959"/>
      <x:c r="L1959"/>
      <x:c r="M1959" t="n">
        <x:v>-16.45</x:v>
      </x:c>
      <x:c r="N1959" t="str">
        <x:v>2024-07</x:v>
      </x:c>
      <x:c r="O1959" t="str">
        <x:v>Ausgabe</x:v>
      </x:c>
      <x:c r="P1959" t="str">
        <x:v>Ist</x:v>
      </x:c>
      <x:c r="Q1959" s="59" t="b">
        <x:v>0</x:v>
      </x:c>
      <x:c r="R1959" t="str">
        <x:v>kein_transfer</x:v>
      </x:c>
      <x:c r="S1959"/>
      <x:c r="T1959"/>
      <x:c r="U1959"/>
      <x:c r="V1959" s="59" t="b">
        <x:v>1</x:v>
      </x:c>
      <x:c r="W1959"/>
      <x:c r="X1959" t="str">
        <x:v>offen</x:v>
      </x:c>
      <x:c r="Y1959" t="str">
        <x:v>Agent-Draft; Kategorie und Person pruefen</x:v>
      </x:c>
    </x:row>
    <x:row r="1960">
      <x:c r="A1960" t="str">
        <x:v>TXN-RAW-IMP-20260516-FULLDRAFT-001944</x:v>
      </x:c>
      <x:c r="B1960" t="str">
        <x:v>RAW-IMP-20260516-FULLDRAFT-001944</x:v>
      </x:c>
      <x:c r="C1960" t="str">
        <x:v>KTO001</x:v>
      </x:c>
      <x:c r="D1960"/>
      <x:c r="E1960" t="str">
        <x:v>KAT013</x:v>
      </x:c>
      <x:c r="F1960"/>
      <x:c r="G1960"/>
      <x:c r="H1960" t="str">
        <x:v>kein_match</x:v>
      </x:c>
      <x:c r="I1960" t="str">
        <x:v>Agent-Draft: keine finale Regelentscheidung</x:v>
      </x:c>
      <x:c r="J1960" t="n">
        <x:v>45496</x:v>
      </x:c>
      <x:c r="K1960"/>
      <x:c r="L1960"/>
      <x:c r="M1960" t="n">
        <x:v>-50</x:v>
      </x:c>
      <x:c r="N1960" t="str">
        <x:v>2024-07</x:v>
      </x:c>
      <x:c r="O1960" t="str">
        <x:v>Ausgabe</x:v>
      </x:c>
      <x:c r="P1960" t="str">
        <x:v>Ist</x:v>
      </x:c>
      <x:c r="Q1960" s="59" t="b">
        <x:v>0</x:v>
      </x:c>
      <x:c r="R1960" t="str">
        <x:v>kein_transfer</x:v>
      </x:c>
      <x:c r="S1960"/>
      <x:c r="T1960"/>
      <x:c r="U1960"/>
      <x:c r="V1960" s="59" t="b">
        <x:v>1</x:v>
      </x:c>
      <x:c r="W1960"/>
      <x:c r="X1960" t="str">
        <x:v>offen</x:v>
      </x:c>
      <x:c r="Y1960" t="str">
        <x:v>Agent-Draft; Kategorie und Person pruefen</x:v>
      </x:c>
    </x:row>
    <x:row r="1961">
      <x:c r="A1961" t="str">
        <x:v>TXN-RAW-IMP-20260516-FULLDRAFT-001945</x:v>
      </x:c>
      <x:c r="B1961" t="str">
        <x:v>RAW-IMP-20260516-FULLDRAFT-001945</x:v>
      </x:c>
      <x:c r="C1961" t="str">
        <x:v>KTO001</x:v>
      </x:c>
      <x:c r="D1961"/>
      <x:c r="E1961" t="str">
        <x:v>KAT013</x:v>
      </x:c>
      <x:c r="F1961"/>
      <x:c r="G1961"/>
      <x:c r="H1961" t="str">
        <x:v>kein_match</x:v>
      </x:c>
      <x:c r="I1961" t="str">
        <x:v>Agent-Draft: keine finale Regelentscheidung</x:v>
      </x:c>
      <x:c r="J1961" t="n">
        <x:v>45496</x:v>
      </x:c>
      <x:c r="K1961"/>
      <x:c r="L1961"/>
      <x:c r="M1961" t="n">
        <x:v>9.51</x:v>
      </x:c>
      <x:c r="N1961" t="str">
        <x:v>2024-07</x:v>
      </x:c>
      <x:c r="O1961" t="str">
        <x:v>Einnahme</x:v>
      </x:c>
      <x:c r="P1961" t="str">
        <x:v>Ist</x:v>
      </x:c>
      <x:c r="Q1961" s="59" t="b">
        <x:v>0</x:v>
      </x:c>
      <x:c r="R1961" t="str">
        <x:v>kein_transfer</x:v>
      </x:c>
      <x:c r="S1961"/>
      <x:c r="T1961"/>
      <x:c r="U1961"/>
      <x:c r="V1961" s="59" t="b">
        <x:v>1</x:v>
      </x:c>
      <x:c r="W1961"/>
      <x:c r="X1961" t="str">
        <x:v>offen</x:v>
      </x:c>
      <x:c r="Y1961" t="str">
        <x:v>Agent-Draft; Kategorie und Person pruefen</x:v>
      </x:c>
    </x:row>
    <x:row r="1962">
      <x:c r="A1962" t="str">
        <x:v>TXN-RAW-IMP-20260516-FULLDRAFT-001946</x:v>
      </x:c>
      <x:c r="B1962" t="str">
        <x:v>RAW-IMP-20260516-FULLDRAFT-001946</x:v>
      </x:c>
      <x:c r="C1962" t="str">
        <x:v>KTO001</x:v>
      </x:c>
      <x:c r="D1962"/>
      <x:c r="E1962" t="str">
        <x:v>KAT013</x:v>
      </x:c>
      <x:c r="F1962"/>
      <x:c r="G1962"/>
      <x:c r="H1962" t="str">
        <x:v>kein_match</x:v>
      </x:c>
      <x:c r="I1962" t="str">
        <x:v>Agent-Draft: keine finale Regelentscheidung</x:v>
      </x:c>
      <x:c r="J1962" t="n">
        <x:v>45495</x:v>
      </x:c>
      <x:c r="K1962"/>
      <x:c r="L1962"/>
      <x:c r="M1962" t="n">
        <x:v>-30</x:v>
      </x:c>
      <x:c r="N1962" t="str">
        <x:v>2024-07</x:v>
      </x:c>
      <x:c r="O1962" t="str">
        <x:v>Ausgabe</x:v>
      </x:c>
      <x:c r="P1962" t="str">
        <x:v>Ist</x:v>
      </x:c>
      <x:c r="Q1962" s="59" t="b">
        <x:v>0</x:v>
      </x:c>
      <x:c r="R1962" t="str">
        <x:v>kein_transfer</x:v>
      </x:c>
      <x:c r="S1962"/>
      <x:c r="T1962"/>
      <x:c r="U1962"/>
      <x:c r="V1962" s="59" t="b">
        <x:v>1</x:v>
      </x:c>
      <x:c r="W1962"/>
      <x:c r="X1962" t="str">
        <x:v>offen</x:v>
      </x:c>
      <x:c r="Y1962" t="str">
        <x:v>Agent-Draft; Kategorie und Person pruefen</x:v>
      </x:c>
    </x:row>
    <x:row r="1963">
      <x:c r="A1963" t="str">
        <x:v>TXN-RAW-IMP-20260516-FULLDRAFT-001947</x:v>
      </x:c>
      <x:c r="B1963" t="str">
        <x:v>RAW-IMP-20260516-FULLDRAFT-001947</x:v>
      </x:c>
      <x:c r="C1963" t="str">
        <x:v>KTO001</x:v>
      </x:c>
      <x:c r="D1963"/>
      <x:c r="E1963" t="str">
        <x:v>KAT013</x:v>
      </x:c>
      <x:c r="F1963"/>
      <x:c r="G1963"/>
      <x:c r="H1963" t="str">
        <x:v>kein_match</x:v>
      </x:c>
      <x:c r="I1963" t="str">
        <x:v>Agent-Draft: keine finale Regelentscheidung</x:v>
      </x:c>
      <x:c r="J1963" t="n">
        <x:v>45495</x:v>
      </x:c>
      <x:c r="K1963"/>
      <x:c r="L1963"/>
      <x:c r="M1963" t="n">
        <x:v>-28</x:v>
      </x:c>
      <x:c r="N1963" t="str">
        <x:v>2024-07</x:v>
      </x:c>
      <x:c r="O1963" t="str">
        <x:v>Ausgabe</x:v>
      </x:c>
      <x:c r="P1963" t="str">
        <x:v>Ist</x:v>
      </x:c>
      <x:c r="Q1963" s="59" t="b">
        <x:v>0</x:v>
      </x:c>
      <x:c r="R1963" t="str">
        <x:v>kein_transfer</x:v>
      </x:c>
      <x:c r="S1963"/>
      <x:c r="T1963"/>
      <x:c r="U1963"/>
      <x:c r="V1963" s="59" t="b">
        <x:v>1</x:v>
      </x:c>
      <x:c r="W1963"/>
      <x:c r="X1963" t="str">
        <x:v>offen</x:v>
      </x:c>
      <x:c r="Y1963" t="str">
        <x:v>Agent-Draft; Kategorie und Person pruefen</x:v>
      </x:c>
    </x:row>
    <x:row r="1964">
      <x:c r="A1964" t="str">
        <x:v>TXN-RAW-IMP-20260516-FULLDRAFT-001948</x:v>
      </x:c>
      <x:c r="B1964" t="str">
        <x:v>RAW-IMP-20260516-FULLDRAFT-001948</x:v>
      </x:c>
      <x:c r="C1964" t="str">
        <x:v>KTO001</x:v>
      </x:c>
      <x:c r="D1964"/>
      <x:c r="E1964" t="str">
        <x:v>KAT013</x:v>
      </x:c>
      <x:c r="F1964"/>
      <x:c r="G1964"/>
      <x:c r="H1964" t="str">
        <x:v>kein_match</x:v>
      </x:c>
      <x:c r="I1964" t="str">
        <x:v>Agent-Draft: keine finale Regelentscheidung</x:v>
      </x:c>
      <x:c r="J1964" t="n">
        <x:v>45495</x:v>
      </x:c>
      <x:c r="K1964"/>
      <x:c r="L1964"/>
      <x:c r="M1964" t="n">
        <x:v>-10.2</x:v>
      </x:c>
      <x:c r="N1964" t="str">
        <x:v>2024-07</x:v>
      </x:c>
      <x:c r="O1964" t="str">
        <x:v>Ausgabe</x:v>
      </x:c>
      <x:c r="P1964" t="str">
        <x:v>Ist</x:v>
      </x:c>
      <x:c r="Q1964" s="59" t="b">
        <x:v>0</x:v>
      </x:c>
      <x:c r="R1964" t="str">
        <x:v>kein_transfer</x:v>
      </x:c>
      <x:c r="S1964"/>
      <x:c r="T1964"/>
      <x:c r="U1964"/>
      <x:c r="V1964" s="59" t="b">
        <x:v>1</x:v>
      </x:c>
      <x:c r="W1964"/>
      <x:c r="X1964" t="str">
        <x:v>offen</x:v>
      </x:c>
      <x:c r="Y1964" t="str">
        <x:v>Agent-Draft; Kategorie und Person pruefen</x:v>
      </x:c>
    </x:row>
    <x:row r="1965">
      <x:c r="A1965" t="str">
        <x:v>TXN-RAW-IMP-20260516-FULLDRAFT-001949</x:v>
      </x:c>
      <x:c r="B1965" t="str">
        <x:v>RAW-IMP-20260516-FULLDRAFT-001949</x:v>
      </x:c>
      <x:c r="C1965" t="str">
        <x:v>KTO001</x:v>
      </x:c>
      <x:c r="D1965"/>
      <x:c r="E1965" t="str">
        <x:v>KAT013</x:v>
      </x:c>
      <x:c r="F1965"/>
      <x:c r="G1965"/>
      <x:c r="H1965" t="str">
        <x:v>kein_match</x:v>
      </x:c>
      <x:c r="I1965" t="str">
        <x:v>Agent-Draft: keine finale Regelentscheidung</x:v>
      </x:c>
      <x:c r="J1965" t="n">
        <x:v>45495</x:v>
      </x:c>
      <x:c r="K1965"/>
      <x:c r="L1965"/>
      <x:c r="M1965" t="n">
        <x:v>-10.5</x:v>
      </x:c>
      <x:c r="N1965" t="str">
        <x:v>2024-07</x:v>
      </x:c>
      <x:c r="O1965" t="str">
        <x:v>Ausgabe</x:v>
      </x:c>
      <x:c r="P1965" t="str">
        <x:v>Ist</x:v>
      </x:c>
      <x:c r="Q1965" s="59" t="b">
        <x:v>0</x:v>
      </x:c>
      <x:c r="R1965" t="str">
        <x:v>kein_transfer</x:v>
      </x:c>
      <x:c r="S1965"/>
      <x:c r="T1965"/>
      <x:c r="U1965"/>
      <x:c r="V1965" s="59" t="b">
        <x:v>1</x:v>
      </x:c>
      <x:c r="W1965"/>
      <x:c r="X1965" t="str">
        <x:v>offen</x:v>
      </x:c>
      <x:c r="Y1965" t="str">
        <x:v>Agent-Draft; Kategorie und Person pruefen</x:v>
      </x:c>
    </x:row>
    <x:row r="1966">
      <x:c r="A1966" t="str">
        <x:v>TXN-RAW-IMP-20260516-FULLDRAFT-001950</x:v>
      </x:c>
      <x:c r="B1966" t="str">
        <x:v>RAW-IMP-20260516-FULLDRAFT-001950</x:v>
      </x:c>
      <x:c r="C1966" t="str">
        <x:v>KTO001</x:v>
      </x:c>
      <x:c r="D1966"/>
      <x:c r="E1966" t="str">
        <x:v>KAT013</x:v>
      </x:c>
      <x:c r="F1966"/>
      <x:c r="G1966"/>
      <x:c r="H1966" t="str">
        <x:v>kein_match</x:v>
      </x:c>
      <x:c r="I1966" t="str">
        <x:v>Agent-Draft: keine finale Regelentscheidung</x:v>
      </x:c>
      <x:c r="J1966" t="n">
        <x:v>45495</x:v>
      </x:c>
      <x:c r="K1966"/>
      <x:c r="L1966"/>
      <x:c r="M1966" t="n">
        <x:v>-90</x:v>
      </x:c>
      <x:c r="N1966" t="str">
        <x:v>2024-07</x:v>
      </x:c>
      <x:c r="O1966" t="str">
        <x:v>Ausgabe</x:v>
      </x:c>
      <x:c r="P1966" t="str">
        <x:v>Ist</x:v>
      </x:c>
      <x:c r="Q1966" s="59" t="b">
        <x:v>0</x:v>
      </x:c>
      <x:c r="R1966" t="str">
        <x:v>kein_transfer</x:v>
      </x:c>
      <x:c r="S1966"/>
      <x:c r="T1966"/>
      <x:c r="U1966"/>
      <x:c r="V1966" s="59" t="b">
        <x:v>1</x:v>
      </x:c>
      <x:c r="W1966"/>
      <x:c r="X1966" t="str">
        <x:v>offen</x:v>
      </x:c>
      <x:c r="Y1966" t="str">
        <x:v>Agent-Draft; Kategorie und Person pruefen</x:v>
      </x:c>
    </x:row>
    <x:row r="1967">
      <x:c r="A1967" t="str">
        <x:v>TXN-RAW-IMP-20260516-FULLDRAFT-001951</x:v>
      </x:c>
      <x:c r="B1967" t="str">
        <x:v>RAW-IMP-20260516-FULLDRAFT-001951</x:v>
      </x:c>
      <x:c r="C1967" t="str">
        <x:v>KTO001</x:v>
      </x:c>
      <x:c r="D1967"/>
      <x:c r="E1967" t="str">
        <x:v>KAT013</x:v>
      </x:c>
      <x:c r="F1967"/>
      <x:c r="G1967"/>
      <x:c r="H1967" t="str">
        <x:v>kein_match</x:v>
      </x:c>
      <x:c r="I1967" t="str">
        <x:v>Agent-Draft: keine finale Regelentscheidung</x:v>
      </x:c>
      <x:c r="J1967" t="n">
        <x:v>45495</x:v>
      </x:c>
      <x:c r="K1967"/>
      <x:c r="L1967"/>
      <x:c r="M1967" t="n">
        <x:v>-28</x:v>
      </x:c>
      <x:c r="N1967" t="str">
        <x:v>2024-07</x:v>
      </x:c>
      <x:c r="O1967" t="str">
        <x:v>Ausgabe</x:v>
      </x:c>
      <x:c r="P1967" t="str">
        <x:v>Ist</x:v>
      </x:c>
      <x:c r="Q1967" s="59" t="b">
        <x:v>0</x:v>
      </x:c>
      <x:c r="R1967" t="str">
        <x:v>kein_transfer</x:v>
      </x:c>
      <x:c r="S1967"/>
      <x:c r="T1967"/>
      <x:c r="U1967"/>
      <x:c r="V1967" s="59" t="b">
        <x:v>1</x:v>
      </x:c>
      <x:c r="W1967"/>
      <x:c r="X1967" t="str">
        <x:v>offen</x:v>
      </x:c>
      <x:c r="Y1967" t="str">
        <x:v>Agent-Draft; Kategorie und Person pruefen</x:v>
      </x:c>
    </x:row>
    <x:row r="1968">
      <x:c r="A1968" t="str">
        <x:v>TXN-RAW-IMP-20260516-FULLDRAFT-001952</x:v>
      </x:c>
      <x:c r="B1968" t="str">
        <x:v>RAW-IMP-20260516-FULLDRAFT-001952</x:v>
      </x:c>
      <x:c r="C1968" t="str">
        <x:v>KTO001</x:v>
      </x:c>
      <x:c r="D1968"/>
      <x:c r="E1968" t="str">
        <x:v>KAT013</x:v>
      </x:c>
      <x:c r="F1968"/>
      <x:c r="G1968"/>
      <x:c r="H1968" t="str">
        <x:v>kein_match</x:v>
      </x:c>
      <x:c r="I1968" t="str">
        <x:v>Agent-Draft: keine finale Regelentscheidung</x:v>
      </x:c>
      <x:c r="J1968" t="n">
        <x:v>45495</x:v>
      </x:c>
      <x:c r="K1968"/>
      <x:c r="L1968"/>
      <x:c r="M1968" t="n">
        <x:v>-36.8</x:v>
      </x:c>
      <x:c r="N1968" t="str">
        <x:v>2024-07</x:v>
      </x:c>
      <x:c r="O1968" t="str">
        <x:v>Ausgabe</x:v>
      </x:c>
      <x:c r="P1968" t="str">
        <x:v>Ist</x:v>
      </x:c>
      <x:c r="Q1968" s="59" t="b">
        <x:v>0</x:v>
      </x:c>
      <x:c r="R1968" t="str">
        <x:v>kein_transfer</x:v>
      </x:c>
      <x:c r="S1968"/>
      <x:c r="T1968"/>
      <x:c r="U1968"/>
      <x:c r="V1968" s="59" t="b">
        <x:v>1</x:v>
      </x:c>
      <x:c r="W1968"/>
      <x:c r="X1968" t="str">
        <x:v>offen</x:v>
      </x:c>
      <x:c r="Y1968" t="str">
        <x:v>Agent-Draft; Kategorie und Person pruefen</x:v>
      </x:c>
    </x:row>
    <x:row r="1969">
      <x:c r="A1969" t="str">
        <x:v>TXN-RAW-IMP-20260516-FULLDRAFT-001953</x:v>
      </x:c>
      <x:c r="B1969" t="str">
        <x:v>RAW-IMP-20260516-FULLDRAFT-001953</x:v>
      </x:c>
      <x:c r="C1969" t="str">
        <x:v>KTO001</x:v>
      </x:c>
      <x:c r="D1969"/>
      <x:c r="E1969" t="str">
        <x:v>KAT013</x:v>
      </x:c>
      <x:c r="F1969"/>
      <x:c r="G1969"/>
      <x:c r="H1969" t="str">
        <x:v>kein_match</x:v>
      </x:c>
      <x:c r="I1969" t="str">
        <x:v>Agent-Draft: keine finale Regelentscheidung</x:v>
      </x:c>
      <x:c r="J1969" t="n">
        <x:v>45495</x:v>
      </x:c>
      <x:c r="K1969"/>
      <x:c r="L1969"/>
      <x:c r="M1969" t="n">
        <x:v>-35</x:v>
      </x:c>
      <x:c r="N1969" t="str">
        <x:v>2024-07</x:v>
      </x:c>
      <x:c r="O1969" t="str">
        <x:v>Ausgabe</x:v>
      </x:c>
      <x:c r="P1969" t="str">
        <x:v>Ist</x:v>
      </x:c>
      <x:c r="Q1969" s="59" t="b">
        <x:v>0</x:v>
      </x:c>
      <x:c r="R1969" t="str">
        <x:v>kein_transfer</x:v>
      </x:c>
      <x:c r="S1969"/>
      <x:c r="T1969"/>
      <x:c r="U1969"/>
      <x:c r="V1969" s="59" t="b">
        <x:v>1</x:v>
      </x:c>
      <x:c r="W1969"/>
      <x:c r="X1969" t="str">
        <x:v>offen</x:v>
      </x:c>
      <x:c r="Y1969" t="str">
        <x:v>Agent-Draft; Kategorie und Person pruefen</x:v>
      </x:c>
    </x:row>
    <x:row r="1970">
      <x:c r="A1970" t="str">
        <x:v>TXN-RAW-IMP-20260516-FULLDRAFT-001954</x:v>
      </x:c>
      <x:c r="B1970" t="str">
        <x:v>RAW-IMP-20260516-FULLDRAFT-001954</x:v>
      </x:c>
      <x:c r="C1970" t="str">
        <x:v>KTO001</x:v>
      </x:c>
      <x:c r="D1970"/>
      <x:c r="E1970" t="str">
        <x:v>KAT013</x:v>
      </x:c>
      <x:c r="F1970"/>
      <x:c r="G1970"/>
      <x:c r="H1970" t="str">
        <x:v>kein_match</x:v>
      </x:c>
      <x:c r="I1970" t="str">
        <x:v>Agent-Draft: keine finale Regelentscheidung</x:v>
      </x:c>
      <x:c r="J1970" t="n">
        <x:v>45495</x:v>
      </x:c>
      <x:c r="K1970"/>
      <x:c r="L1970"/>
      <x:c r="M1970" t="n">
        <x:v>-10.2</x:v>
      </x:c>
      <x:c r="N1970" t="str">
        <x:v>2024-07</x:v>
      </x:c>
      <x:c r="O1970" t="str">
        <x:v>Ausgabe</x:v>
      </x:c>
      <x:c r="P1970" t="str">
        <x:v>Ist</x:v>
      </x:c>
      <x:c r="Q1970" s="59" t="b">
        <x:v>0</x:v>
      </x:c>
      <x:c r="R1970" t="str">
        <x:v>kein_transfer</x:v>
      </x:c>
      <x:c r="S1970"/>
      <x:c r="T1970"/>
      <x:c r="U1970"/>
      <x:c r="V1970" s="59" t="b">
        <x:v>1</x:v>
      </x:c>
      <x:c r="W1970"/>
      <x:c r="X1970" t="str">
        <x:v>offen</x:v>
      </x:c>
      <x:c r="Y1970" t="str">
        <x:v>Agent-Draft; Kategorie und Person pruefen</x:v>
      </x:c>
    </x:row>
    <x:row r="1971">
      <x:c r="A1971" t="str">
        <x:v>TXN-RAW-IMP-20260516-FULLDRAFT-001955</x:v>
      </x:c>
      <x:c r="B1971" t="str">
        <x:v>RAW-IMP-20260516-FULLDRAFT-001955</x:v>
      </x:c>
      <x:c r="C1971" t="str">
        <x:v>KTO001</x:v>
      </x:c>
      <x:c r="D1971"/>
      <x:c r="E1971" t="str">
        <x:v>KAT013</x:v>
      </x:c>
      <x:c r="F1971"/>
      <x:c r="G1971"/>
      <x:c r="H1971" t="str">
        <x:v>kein_match</x:v>
      </x:c>
      <x:c r="I1971" t="str">
        <x:v>Agent-Draft: keine finale Regelentscheidung</x:v>
      </x:c>
      <x:c r="J1971" t="n">
        <x:v>45495</x:v>
      </x:c>
      <x:c r="K1971"/>
      <x:c r="L1971"/>
      <x:c r="M1971" t="n">
        <x:v>-17.65</x:v>
      </x:c>
      <x:c r="N1971" t="str">
        <x:v>2024-07</x:v>
      </x:c>
      <x:c r="O1971" t="str">
        <x:v>Ausgabe</x:v>
      </x:c>
      <x:c r="P1971" t="str">
        <x:v>Ist</x:v>
      </x:c>
      <x:c r="Q1971" s="59" t="b">
        <x:v>0</x:v>
      </x:c>
      <x:c r="R1971" t="str">
        <x:v>kein_transfer</x:v>
      </x:c>
      <x:c r="S1971"/>
      <x:c r="T1971"/>
      <x:c r="U1971"/>
      <x:c r="V1971" s="59" t="b">
        <x:v>1</x:v>
      </x:c>
      <x:c r="W1971"/>
      <x:c r="X1971" t="str">
        <x:v>offen</x:v>
      </x:c>
      <x:c r="Y1971" t="str">
        <x:v>Agent-Draft; Kategorie und Person pruefen</x:v>
      </x:c>
    </x:row>
    <x:row r="1972">
      <x:c r="A1972" t="str">
        <x:v>TXN-RAW-IMP-20260516-FULLDRAFT-001956</x:v>
      </x:c>
      <x:c r="B1972" t="str">
        <x:v>RAW-IMP-20260516-FULLDRAFT-001956</x:v>
      </x:c>
      <x:c r="C1972" t="str">
        <x:v>KTO001</x:v>
      </x:c>
      <x:c r="D1972"/>
      <x:c r="E1972" t="str">
        <x:v>KAT013</x:v>
      </x:c>
      <x:c r="F1972"/>
      <x:c r="G1972"/>
      <x:c r="H1972" t="str">
        <x:v>kein_match</x:v>
      </x:c>
      <x:c r="I1972" t="str">
        <x:v>Agent-Draft: keine finale Regelentscheidung</x:v>
      </x:c>
      <x:c r="J1972" t="n">
        <x:v>45495</x:v>
      </x:c>
      <x:c r="K1972"/>
      <x:c r="L1972"/>
      <x:c r="M1972" t="n">
        <x:v>-2.99</x:v>
      </x:c>
      <x:c r="N1972" t="str">
        <x:v>2024-07</x:v>
      </x:c>
      <x:c r="O1972" t="str">
        <x:v>Ausgabe</x:v>
      </x:c>
      <x:c r="P1972" t="str">
        <x:v>Ist</x:v>
      </x:c>
      <x:c r="Q1972" s="59" t="b">
        <x:v>0</x:v>
      </x:c>
      <x:c r="R1972" t="str">
        <x:v>kein_transfer</x:v>
      </x:c>
      <x:c r="S1972"/>
      <x:c r="T1972"/>
      <x:c r="U1972"/>
      <x:c r="V1972" s="59" t="b">
        <x:v>1</x:v>
      </x:c>
      <x:c r="W1972"/>
      <x:c r="X1972" t="str">
        <x:v>offen</x:v>
      </x:c>
      <x:c r="Y1972" t="str">
        <x:v>Agent-Draft; Kategorie und Person pruefen</x:v>
      </x:c>
    </x:row>
    <x:row r="1973">
      <x:c r="A1973" t="str">
        <x:v>TXN-RAW-IMP-20260516-FULLDRAFT-001957</x:v>
      </x:c>
      <x:c r="B1973" t="str">
        <x:v>RAW-IMP-20260516-FULLDRAFT-001957</x:v>
      </x:c>
      <x:c r="C1973" t="str">
        <x:v>KTO001</x:v>
      </x:c>
      <x:c r="D1973"/>
      <x:c r="E1973" t="str">
        <x:v>KAT013</x:v>
      </x:c>
      <x:c r="F1973"/>
      <x:c r="G1973"/>
      <x:c r="H1973" t="str">
        <x:v>kein_match</x:v>
      </x:c>
      <x:c r="I1973" t="str">
        <x:v>Agent-Draft: keine finale Regelentscheidung</x:v>
      </x:c>
      <x:c r="J1973" t="n">
        <x:v>45495</x:v>
      </x:c>
      <x:c r="K1973"/>
      <x:c r="L1973"/>
      <x:c r="M1973" t="n">
        <x:v>0.42</x:v>
      </x:c>
      <x:c r="N1973" t="str">
        <x:v>2024-07</x:v>
      </x:c>
      <x:c r="O1973" t="str">
        <x:v>Einnahme</x:v>
      </x:c>
      <x:c r="P1973" t="str">
        <x:v>Ist</x:v>
      </x:c>
      <x:c r="Q1973" s="59" t="b">
        <x:v>0</x:v>
      </x:c>
      <x:c r="R1973" t="str">
        <x:v>kein_transfer</x:v>
      </x:c>
      <x:c r="S1973"/>
      <x:c r="T1973"/>
      <x:c r="U1973"/>
      <x:c r="V1973" s="59" t="b">
        <x:v>1</x:v>
      </x:c>
      <x:c r="W1973"/>
      <x:c r="X1973" t="str">
        <x:v>offen</x:v>
      </x:c>
      <x:c r="Y1973" t="str">
        <x:v>Agent-Draft; Kategorie und Person pruefen</x:v>
      </x:c>
    </x:row>
    <x:row r="1974">
      <x:c r="A1974" t="str">
        <x:v>TXN-RAW-IMP-20260516-FULLDRAFT-001958</x:v>
      </x:c>
      <x:c r="B1974" t="str">
        <x:v>RAW-IMP-20260516-FULLDRAFT-001958</x:v>
      </x:c>
      <x:c r="C1974" t="str">
        <x:v>KTO001</x:v>
      </x:c>
      <x:c r="D1974"/>
      <x:c r="E1974" t="str">
        <x:v>KAT013</x:v>
      </x:c>
      <x:c r="F1974"/>
      <x:c r="G1974"/>
      <x:c r="H1974" t="str">
        <x:v>kein_match</x:v>
      </x:c>
      <x:c r="I1974" t="str">
        <x:v>Agent-Draft: keine finale Regelentscheidung</x:v>
      </x:c>
      <x:c r="J1974" t="n">
        <x:v>45495</x:v>
      </x:c>
      <x:c r="K1974"/>
      <x:c r="L1974"/>
      <x:c r="M1974" t="n">
        <x:v>-10.2</x:v>
      </x:c>
      <x:c r="N1974" t="str">
        <x:v>2024-07</x:v>
      </x:c>
      <x:c r="O1974" t="str">
        <x:v>Ausgabe</x:v>
      </x:c>
      <x:c r="P1974" t="str">
        <x:v>Ist</x:v>
      </x:c>
      <x:c r="Q1974" s="59" t="b">
        <x:v>0</x:v>
      </x:c>
      <x:c r="R1974" t="str">
        <x:v>kein_transfer</x:v>
      </x:c>
      <x:c r="S1974"/>
      <x:c r="T1974"/>
      <x:c r="U1974"/>
      <x:c r="V1974" s="59" t="b">
        <x:v>1</x:v>
      </x:c>
      <x:c r="W1974"/>
      <x:c r="X1974" t="str">
        <x:v>offen</x:v>
      </x:c>
      <x:c r="Y1974" t="str">
        <x:v>Agent-Draft; Kategorie und Person pruefen</x:v>
      </x:c>
    </x:row>
    <x:row r="1975">
      <x:c r="A1975" t="str">
        <x:v>TXN-RAW-IMP-20260516-FULLDRAFT-001959</x:v>
      </x:c>
      <x:c r="B1975" t="str">
        <x:v>RAW-IMP-20260516-FULLDRAFT-001959</x:v>
      </x:c>
      <x:c r="C1975" t="str">
        <x:v>KTO001</x:v>
      </x:c>
      <x:c r="D1975"/>
      <x:c r="E1975" t="str">
        <x:v>KAT013</x:v>
      </x:c>
      <x:c r="F1975"/>
      <x:c r="G1975"/>
      <x:c r="H1975" t="str">
        <x:v>kein_match</x:v>
      </x:c>
      <x:c r="I1975" t="str">
        <x:v>Agent-Draft: keine finale Regelentscheidung</x:v>
      </x:c>
      <x:c r="J1975" t="n">
        <x:v>45495</x:v>
      </x:c>
      <x:c r="K1975"/>
      <x:c r="L1975"/>
      <x:c r="M1975" t="n">
        <x:v>-75.54</x:v>
      </x:c>
      <x:c r="N1975" t="str">
        <x:v>2024-07</x:v>
      </x:c>
      <x:c r="O1975" t="str">
        <x:v>Ausgabe</x:v>
      </x:c>
      <x:c r="P1975" t="str">
        <x:v>Ist</x:v>
      </x:c>
      <x:c r="Q1975" s="59" t="b">
        <x:v>0</x:v>
      </x:c>
      <x:c r="R1975" t="str">
        <x:v>kein_transfer</x:v>
      </x:c>
      <x:c r="S1975"/>
      <x:c r="T1975"/>
      <x:c r="U1975"/>
      <x:c r="V1975" s="59" t="b">
        <x:v>1</x:v>
      </x:c>
      <x:c r="W1975"/>
      <x:c r="X1975" t="str">
        <x:v>offen</x:v>
      </x:c>
      <x:c r="Y1975" t="str">
        <x:v>Agent-Draft; Kategorie und Person pruefen</x:v>
      </x:c>
    </x:row>
    <x:row r="1976">
      <x:c r="A1976" t="str">
        <x:v>TXN-RAW-IMP-20260516-FULLDRAFT-001960</x:v>
      </x:c>
      <x:c r="B1976" t="str">
        <x:v>RAW-IMP-20260516-FULLDRAFT-001960</x:v>
      </x:c>
      <x:c r="C1976" t="str">
        <x:v>KTO001</x:v>
      </x:c>
      <x:c r="D1976"/>
      <x:c r="E1976" t="str">
        <x:v>KAT013</x:v>
      </x:c>
      <x:c r="F1976"/>
      <x:c r="G1976"/>
      <x:c r="H1976" t="str">
        <x:v>kein_match</x:v>
      </x:c>
      <x:c r="I1976" t="str">
        <x:v>Agent-Draft: keine finale Regelentscheidung</x:v>
      </x:c>
      <x:c r="J1976" t="n">
        <x:v>45495</x:v>
      </x:c>
      <x:c r="K1976"/>
      <x:c r="L1976"/>
      <x:c r="M1976" t="n">
        <x:v>-100.75</x:v>
      </x:c>
      <x:c r="N1976" t="str">
        <x:v>2024-07</x:v>
      </x:c>
      <x:c r="O1976" t="str">
        <x:v>Ausgabe</x:v>
      </x:c>
      <x:c r="P1976" t="str">
        <x:v>Ist</x:v>
      </x:c>
      <x:c r="Q1976" s="59" t="b">
        <x:v>0</x:v>
      </x:c>
      <x:c r="R1976" t="str">
        <x:v>kein_transfer</x:v>
      </x:c>
      <x:c r="S1976"/>
      <x:c r="T1976"/>
      <x:c r="U1976"/>
      <x:c r="V1976" s="59" t="b">
        <x:v>1</x:v>
      </x:c>
      <x:c r="W1976"/>
      <x:c r="X1976" t="str">
        <x:v>offen</x:v>
      </x:c>
      <x:c r="Y1976" t="str">
        <x:v>Agent-Draft; Kategorie und Person pruefen</x:v>
      </x:c>
    </x:row>
    <x:row r="1977">
      <x:c r="A1977" t="str">
        <x:v>TXN-RAW-IMP-20260516-FULLDRAFT-001961</x:v>
      </x:c>
      <x:c r="B1977" t="str">
        <x:v>RAW-IMP-20260516-FULLDRAFT-001961</x:v>
      </x:c>
      <x:c r="C1977" t="str">
        <x:v>KTO001</x:v>
      </x:c>
      <x:c r="D1977"/>
      <x:c r="E1977" t="str">
        <x:v>KAT013</x:v>
      </x:c>
      <x:c r="F1977"/>
      <x:c r="G1977"/>
      <x:c r="H1977" t="str">
        <x:v>kein_match</x:v>
      </x:c>
      <x:c r="I1977" t="str">
        <x:v>Agent-Draft: keine finale Regelentscheidung</x:v>
      </x:c>
      <x:c r="J1977" t="n">
        <x:v>45495</x:v>
      </x:c>
      <x:c r="K1977"/>
      <x:c r="L1977"/>
      <x:c r="M1977" t="n">
        <x:v>-5.15</x:v>
      </x:c>
      <x:c r="N1977" t="str">
        <x:v>2024-07</x:v>
      </x:c>
      <x:c r="O1977" t="str">
        <x:v>Ausgabe</x:v>
      </x:c>
      <x:c r="P1977" t="str">
        <x:v>Ist</x:v>
      </x:c>
      <x:c r="Q1977" s="59" t="b">
        <x:v>0</x:v>
      </x:c>
      <x:c r="R1977" t="str">
        <x:v>kein_transfer</x:v>
      </x:c>
      <x:c r="S1977"/>
      <x:c r="T1977"/>
      <x:c r="U1977"/>
      <x:c r="V1977" s="59" t="b">
        <x:v>1</x:v>
      </x:c>
      <x:c r="W1977"/>
      <x:c r="X1977" t="str">
        <x:v>offen</x:v>
      </x:c>
      <x:c r="Y1977" t="str">
        <x:v>Agent-Draft; Kategorie und Person pruefen</x:v>
      </x:c>
    </x:row>
    <x:row r="1978">
      <x:c r="A1978" t="str">
        <x:v>TXN-RAW-IMP-20260516-FULLDRAFT-001962</x:v>
      </x:c>
      <x:c r="B1978" t="str">
        <x:v>RAW-IMP-20260516-FULLDRAFT-001962</x:v>
      </x:c>
      <x:c r="C1978" t="str">
        <x:v>KTO001</x:v>
      </x:c>
      <x:c r="D1978"/>
      <x:c r="E1978" t="str">
        <x:v>KAT013</x:v>
      </x:c>
      <x:c r="F1978"/>
      <x:c r="G1978"/>
      <x:c r="H1978" t="str">
        <x:v>kein_match</x:v>
      </x:c>
      <x:c r="I1978" t="str">
        <x:v>Agent-Draft: keine finale Regelentscheidung</x:v>
      </x:c>
      <x:c r="J1978" t="n">
        <x:v>45492</x:v>
      </x:c>
      <x:c r="K1978"/>
      <x:c r="L1978"/>
      <x:c r="M1978" t="n">
        <x:v>-58</x:v>
      </x:c>
      <x:c r="N1978" t="str">
        <x:v>2024-07</x:v>
      </x:c>
      <x:c r="O1978" t="str">
        <x:v>Ausgabe</x:v>
      </x:c>
      <x:c r="P1978" t="str">
        <x:v>Ist</x:v>
      </x:c>
      <x:c r="Q1978" s="59" t="b">
        <x:v>0</x:v>
      </x:c>
      <x:c r="R1978" t="str">
        <x:v>kein_transfer</x:v>
      </x:c>
      <x:c r="S1978"/>
      <x:c r="T1978"/>
      <x:c r="U1978"/>
      <x:c r="V1978" s="59" t="b">
        <x:v>1</x:v>
      </x:c>
      <x:c r="W1978"/>
      <x:c r="X1978" t="str">
        <x:v>offen</x:v>
      </x:c>
      <x:c r="Y1978" t="str">
        <x:v>Agent-Draft; Kategorie und Person pruefen</x:v>
      </x:c>
    </x:row>
    <x:row r="1979">
      <x:c r="A1979" t="str">
        <x:v>TXN-RAW-IMP-20260516-FULLDRAFT-001963</x:v>
      </x:c>
      <x:c r="B1979" t="str">
        <x:v>RAW-IMP-20260516-FULLDRAFT-001963</x:v>
      </x:c>
      <x:c r="C1979" t="str">
        <x:v>KTO001</x:v>
      </x:c>
      <x:c r="D1979"/>
      <x:c r="E1979" t="str">
        <x:v>KAT013</x:v>
      </x:c>
      <x:c r="F1979"/>
      <x:c r="G1979"/>
      <x:c r="H1979" t="str">
        <x:v>kein_match</x:v>
      </x:c>
      <x:c r="I1979" t="str">
        <x:v>Agent-Draft: keine finale Regelentscheidung</x:v>
      </x:c>
      <x:c r="J1979" t="n">
        <x:v>45492</x:v>
      </x:c>
      <x:c r="K1979"/>
      <x:c r="L1979"/>
      <x:c r="M1979" t="n">
        <x:v>-44.04</x:v>
      </x:c>
      <x:c r="N1979" t="str">
        <x:v>2024-07</x:v>
      </x:c>
      <x:c r="O1979" t="str">
        <x:v>Ausgabe</x:v>
      </x:c>
      <x:c r="P1979" t="str">
        <x:v>Ist</x:v>
      </x:c>
      <x:c r="Q1979" s="59" t="b">
        <x:v>0</x:v>
      </x:c>
      <x:c r="R1979" t="str">
        <x:v>kein_transfer</x:v>
      </x:c>
      <x:c r="S1979"/>
      <x:c r="T1979"/>
      <x:c r="U1979"/>
      <x:c r="V1979" s="59" t="b">
        <x:v>1</x:v>
      </x:c>
      <x:c r="W1979"/>
      <x:c r="X1979" t="str">
        <x:v>offen</x:v>
      </x:c>
      <x:c r="Y1979" t="str">
        <x:v>Agent-Draft; Kategorie und Person pruefen</x:v>
      </x:c>
    </x:row>
    <x:row r="1980">
      <x:c r="A1980" t="str">
        <x:v>TXN-RAW-IMP-20260516-FULLDRAFT-001964</x:v>
      </x:c>
      <x:c r="B1980" t="str">
        <x:v>RAW-IMP-20260516-FULLDRAFT-001964</x:v>
      </x:c>
      <x:c r="C1980" t="str">
        <x:v>KTO001</x:v>
      </x:c>
      <x:c r="D1980"/>
      <x:c r="E1980" t="str">
        <x:v>KAT013</x:v>
      </x:c>
      <x:c r="F1980"/>
      <x:c r="G1980"/>
      <x:c r="H1980" t="str">
        <x:v>kein_match</x:v>
      </x:c>
      <x:c r="I1980" t="str">
        <x:v>Agent-Draft: keine finale Regelentscheidung</x:v>
      </x:c>
      <x:c r="J1980" t="n">
        <x:v>45492</x:v>
      </x:c>
      <x:c r="K1980"/>
      <x:c r="L1980"/>
      <x:c r="M1980" t="n">
        <x:v>-82</x:v>
      </x:c>
      <x:c r="N1980" t="str">
        <x:v>2024-07</x:v>
      </x:c>
      <x:c r="O1980" t="str">
        <x:v>Ausgabe</x:v>
      </x:c>
      <x:c r="P1980" t="str">
        <x:v>Ist</x:v>
      </x:c>
      <x:c r="Q1980" s="59" t="b">
        <x:v>0</x:v>
      </x:c>
      <x:c r="R1980" t="str">
        <x:v>kein_transfer</x:v>
      </x:c>
      <x:c r="S1980"/>
      <x:c r="T1980"/>
      <x:c r="U1980"/>
      <x:c r="V1980" s="59" t="b">
        <x:v>1</x:v>
      </x:c>
      <x:c r="W1980"/>
      <x:c r="X1980" t="str">
        <x:v>offen</x:v>
      </x:c>
      <x:c r="Y1980" t="str">
        <x:v>Agent-Draft; Kategorie und Person pruefen</x:v>
      </x:c>
    </x:row>
    <x:row r="1981">
      <x:c r="A1981" t="str">
        <x:v>TXN-RAW-IMP-20260516-FULLDRAFT-001965</x:v>
      </x:c>
      <x:c r="B1981" t="str">
        <x:v>RAW-IMP-20260516-FULLDRAFT-001965</x:v>
      </x:c>
      <x:c r="C1981" t="str">
        <x:v>KTO001</x:v>
      </x:c>
      <x:c r="D1981"/>
      <x:c r="E1981" t="str">
        <x:v>KAT013</x:v>
      </x:c>
      <x:c r="F1981"/>
      <x:c r="G1981"/>
      <x:c r="H1981" t="str">
        <x:v>kein_match</x:v>
      </x:c>
      <x:c r="I1981" t="str">
        <x:v>Agent-Draft: keine finale Regelentscheidung</x:v>
      </x:c>
      <x:c r="J1981" t="n">
        <x:v>45491</x:v>
      </x:c>
      <x:c r="K1981"/>
      <x:c r="L1981"/>
      <x:c r="M1981" t="n">
        <x:v>-5.25</x:v>
      </x:c>
      <x:c r="N1981" t="str">
        <x:v>2024-07</x:v>
      </x:c>
      <x:c r="O1981" t="str">
        <x:v>Ausgabe</x:v>
      </x:c>
      <x:c r="P1981" t="str">
        <x:v>Ist</x:v>
      </x:c>
      <x:c r="Q1981" s="59" t="b">
        <x:v>0</x:v>
      </x:c>
      <x:c r="R1981" t="str">
        <x:v>kein_transfer</x:v>
      </x:c>
      <x:c r="S1981"/>
      <x:c r="T1981"/>
      <x:c r="U1981"/>
      <x:c r="V1981" s="59" t="b">
        <x:v>1</x:v>
      </x:c>
      <x:c r="W1981"/>
      <x:c r="X1981" t="str">
        <x:v>offen</x:v>
      </x:c>
      <x:c r="Y1981" t="str">
        <x:v>Agent-Draft; Kategorie und Person pruefen</x:v>
      </x:c>
    </x:row>
    <x:row r="1982">
      <x:c r="A1982" t="str">
        <x:v>TXN-RAW-IMP-20260516-FULLDRAFT-001966</x:v>
      </x:c>
      <x:c r="B1982" t="str">
        <x:v>RAW-IMP-20260516-FULLDRAFT-001966</x:v>
      </x:c>
      <x:c r="C1982" t="str">
        <x:v>KTO001</x:v>
      </x:c>
      <x:c r="D1982"/>
      <x:c r="E1982" t="str">
        <x:v>KAT013</x:v>
      </x:c>
      <x:c r="F1982"/>
      <x:c r="G1982"/>
      <x:c r="H1982" t="str">
        <x:v>kein_match</x:v>
      </x:c>
      <x:c r="I1982" t="str">
        <x:v>Agent-Draft: keine finale Regelentscheidung</x:v>
      </x:c>
      <x:c r="J1982" t="n">
        <x:v>45491</x:v>
      </x:c>
      <x:c r="K1982"/>
      <x:c r="L1982"/>
      <x:c r="M1982" t="n">
        <x:v>-5</x:v>
      </x:c>
      <x:c r="N1982" t="str">
        <x:v>2024-07</x:v>
      </x:c>
      <x:c r="O1982" t="str">
        <x:v>Ausgabe</x:v>
      </x:c>
      <x:c r="P1982" t="str">
        <x:v>Ist</x:v>
      </x:c>
      <x:c r="Q1982" s="59" t="b">
        <x:v>0</x:v>
      </x:c>
      <x:c r="R1982" t="str">
        <x:v>kein_transfer</x:v>
      </x:c>
      <x:c r="S1982"/>
      <x:c r="T1982"/>
      <x:c r="U1982"/>
      <x:c r="V1982" s="59" t="b">
        <x:v>1</x:v>
      </x:c>
      <x:c r="W1982"/>
      <x:c r="X1982" t="str">
        <x:v>offen</x:v>
      </x:c>
      <x:c r="Y1982" t="str">
        <x:v>Agent-Draft; Kategorie und Person pruefen</x:v>
      </x:c>
    </x:row>
    <x:row r="1983">
      <x:c r="A1983" t="str">
        <x:v>TXN-RAW-IMP-20260516-FULLDRAFT-001967</x:v>
      </x:c>
      <x:c r="B1983" t="str">
        <x:v>RAW-IMP-20260516-FULLDRAFT-001967</x:v>
      </x:c>
      <x:c r="C1983" t="str">
        <x:v>KTO001</x:v>
      </x:c>
      <x:c r="D1983"/>
      <x:c r="E1983" t="str">
        <x:v>KAT013</x:v>
      </x:c>
      <x:c r="F1983"/>
      <x:c r="G1983"/>
      <x:c r="H1983" t="str">
        <x:v>kein_match</x:v>
      </x:c>
      <x:c r="I1983" t="str">
        <x:v>Agent-Draft: keine finale Regelentscheidung</x:v>
      </x:c>
      <x:c r="J1983" t="n">
        <x:v>45491</x:v>
      </x:c>
      <x:c r="K1983"/>
      <x:c r="L1983"/>
      <x:c r="M1983" t="n">
        <x:v>-18.1</x:v>
      </x:c>
      <x:c r="N1983" t="str">
        <x:v>2024-07</x:v>
      </x:c>
      <x:c r="O1983" t="str">
        <x:v>Ausgabe</x:v>
      </x:c>
      <x:c r="P1983" t="str">
        <x:v>Ist</x:v>
      </x:c>
      <x:c r="Q1983" s="59" t="b">
        <x:v>0</x:v>
      </x:c>
      <x:c r="R1983" t="str">
        <x:v>kein_transfer</x:v>
      </x:c>
      <x:c r="S1983"/>
      <x:c r="T1983"/>
      <x:c r="U1983"/>
      <x:c r="V1983" s="59" t="b">
        <x:v>1</x:v>
      </x:c>
      <x:c r="W1983"/>
      <x:c r="X1983" t="str">
        <x:v>offen</x:v>
      </x:c>
      <x:c r="Y1983" t="str">
        <x:v>Agent-Draft; Kategorie und Person pruefen</x:v>
      </x:c>
    </x:row>
    <x:row r="1984">
      <x:c r="A1984" t="str">
        <x:v>TXN-RAW-IMP-20260516-FULLDRAFT-001968</x:v>
      </x:c>
      <x:c r="B1984" t="str">
        <x:v>RAW-IMP-20260516-FULLDRAFT-001968</x:v>
      </x:c>
      <x:c r="C1984" t="str">
        <x:v>KTO001</x:v>
      </x:c>
      <x:c r="D1984"/>
      <x:c r="E1984" t="str">
        <x:v>KAT013</x:v>
      </x:c>
      <x:c r="F1984"/>
      <x:c r="G1984"/>
      <x:c r="H1984" t="str">
        <x:v>kein_match</x:v>
      </x:c>
      <x:c r="I1984" t="str">
        <x:v>Agent-Draft: keine finale Regelentscheidung</x:v>
      </x:c>
      <x:c r="J1984" t="n">
        <x:v>45491</x:v>
      </x:c>
      <x:c r="K1984"/>
      <x:c r="L1984"/>
      <x:c r="M1984" t="n">
        <x:v>-81.25</x:v>
      </x:c>
      <x:c r="N1984" t="str">
        <x:v>2024-07</x:v>
      </x:c>
      <x:c r="O1984" t="str">
        <x:v>Ausgabe</x:v>
      </x:c>
      <x:c r="P1984" t="str">
        <x:v>Ist</x:v>
      </x:c>
      <x:c r="Q1984" s="59" t="b">
        <x:v>0</x:v>
      </x:c>
      <x:c r="R1984" t="str">
        <x:v>kein_transfer</x:v>
      </x:c>
      <x:c r="S1984"/>
      <x:c r="T1984"/>
      <x:c r="U1984"/>
      <x:c r="V1984" s="59" t="b">
        <x:v>1</x:v>
      </x:c>
      <x:c r="W1984"/>
      <x:c r="X1984" t="str">
        <x:v>offen</x:v>
      </x:c>
      <x:c r="Y1984" t="str">
        <x:v>Agent-Draft; Kategorie und Person pruefen</x:v>
      </x:c>
    </x:row>
    <x:row r="1985">
      <x:c r="A1985" t="str">
        <x:v>TXN-RAW-IMP-20260516-FULLDRAFT-001969</x:v>
      </x:c>
      <x:c r="B1985" t="str">
        <x:v>RAW-IMP-20260516-FULLDRAFT-001969</x:v>
      </x:c>
      <x:c r="C1985" t="str">
        <x:v>KTO001</x:v>
      </x:c>
      <x:c r="D1985"/>
      <x:c r="E1985" t="str">
        <x:v>KAT013</x:v>
      </x:c>
      <x:c r="F1985"/>
      <x:c r="G1985"/>
      <x:c r="H1985" t="str">
        <x:v>kein_match</x:v>
      </x:c>
      <x:c r="I1985" t="str">
        <x:v>Agent-Draft: keine finale Regelentscheidung</x:v>
      </x:c>
      <x:c r="J1985" t="n">
        <x:v>45490</x:v>
      </x:c>
      <x:c r="K1985"/>
      <x:c r="L1985"/>
      <x:c r="M1985" t="n">
        <x:v>-160</x:v>
      </x:c>
      <x:c r="N1985" t="str">
        <x:v>2024-07</x:v>
      </x:c>
      <x:c r="O1985" t="str">
        <x:v>Ausgabe</x:v>
      </x:c>
      <x:c r="P1985" t="str">
        <x:v>Ist</x:v>
      </x:c>
      <x:c r="Q1985" s="59" t="b">
        <x:v>0</x:v>
      </x:c>
      <x:c r="R1985" t="str">
        <x:v>kein_transfer</x:v>
      </x:c>
      <x:c r="S1985"/>
      <x:c r="T1985"/>
      <x:c r="U1985"/>
      <x:c r="V1985" s="59" t="b">
        <x:v>1</x:v>
      </x:c>
      <x:c r="W1985"/>
      <x:c r="X1985" t="str">
        <x:v>offen</x:v>
      </x:c>
      <x:c r="Y1985" t="str">
        <x:v>Agent-Draft; Kategorie und Person pruefen</x:v>
      </x:c>
    </x:row>
    <x:row r="1986">
      <x:c r="A1986" t="str">
        <x:v>TXN-RAW-IMP-20260516-FULLDRAFT-001970</x:v>
      </x:c>
      <x:c r="B1986" t="str">
        <x:v>RAW-IMP-20260516-FULLDRAFT-001970</x:v>
      </x:c>
      <x:c r="C1986" t="str">
        <x:v>KTO001</x:v>
      </x:c>
      <x:c r="D1986"/>
      <x:c r="E1986" t="str">
        <x:v>KAT013</x:v>
      </x:c>
      <x:c r="F1986"/>
      <x:c r="G1986"/>
      <x:c r="H1986" t="str">
        <x:v>kein_match</x:v>
      </x:c>
      <x:c r="I1986" t="str">
        <x:v>Agent-Draft: keine finale Regelentscheidung</x:v>
      </x:c>
      <x:c r="J1986" t="n">
        <x:v>45490</x:v>
      </x:c>
      <x:c r="K1986"/>
      <x:c r="L1986"/>
      <x:c r="M1986" t="n">
        <x:v>-5.99</x:v>
      </x:c>
      <x:c r="N1986" t="str">
        <x:v>2024-07</x:v>
      </x:c>
      <x:c r="O1986" t="str">
        <x:v>Ausgabe</x:v>
      </x:c>
      <x:c r="P1986" t="str">
        <x:v>Ist</x:v>
      </x:c>
      <x:c r="Q1986" s="59" t="b">
        <x:v>0</x:v>
      </x:c>
      <x:c r="R1986" t="str">
        <x:v>kein_transfer</x:v>
      </x:c>
      <x:c r="S1986"/>
      <x:c r="T1986"/>
      <x:c r="U1986"/>
      <x:c r="V1986" s="59" t="b">
        <x:v>1</x:v>
      </x:c>
      <x:c r="W1986"/>
      <x:c r="X1986" t="str">
        <x:v>offen</x:v>
      </x:c>
      <x:c r="Y1986" t="str">
        <x:v>Agent-Draft; Kategorie und Person pruefen</x:v>
      </x:c>
    </x:row>
    <x:row r="1987">
      <x:c r="A1987" t="str">
        <x:v>TXN-RAW-IMP-20260516-FULLDRAFT-001971</x:v>
      </x:c>
      <x:c r="B1987" t="str">
        <x:v>RAW-IMP-20260516-FULLDRAFT-001971</x:v>
      </x:c>
      <x:c r="C1987" t="str">
        <x:v>KTO001</x:v>
      </x:c>
      <x:c r="D1987"/>
      <x:c r="E1987" t="str">
        <x:v>KAT013</x:v>
      </x:c>
      <x:c r="F1987"/>
      <x:c r="G1987"/>
      <x:c r="H1987" t="str">
        <x:v>kein_match</x:v>
      </x:c>
      <x:c r="I1987" t="str">
        <x:v>Agent-Draft: keine finale Regelentscheidung</x:v>
      </x:c>
      <x:c r="J1987" t="n">
        <x:v>45490</x:v>
      </x:c>
      <x:c r="K1987"/>
      <x:c r="L1987"/>
      <x:c r="M1987" t="n">
        <x:v>-6.99</x:v>
      </x:c>
      <x:c r="N1987" t="str">
        <x:v>2024-07</x:v>
      </x:c>
      <x:c r="O1987" t="str">
        <x:v>Ausgabe</x:v>
      </x:c>
      <x:c r="P1987" t="str">
        <x:v>Ist</x:v>
      </x:c>
      <x:c r="Q1987" s="59" t="b">
        <x:v>0</x:v>
      </x:c>
      <x:c r="R1987" t="str">
        <x:v>kein_transfer</x:v>
      </x:c>
      <x:c r="S1987"/>
      <x:c r="T1987"/>
      <x:c r="U1987"/>
      <x:c r="V1987" s="59" t="b">
        <x:v>1</x:v>
      </x:c>
      <x:c r="W1987"/>
      <x:c r="X1987" t="str">
        <x:v>offen</x:v>
      </x:c>
      <x:c r="Y1987" t="str">
        <x:v>Agent-Draft; Kategorie und Person pruefen</x:v>
      </x:c>
    </x:row>
    <x:row r="1988">
      <x:c r="A1988" t="str">
        <x:v>TXN-RAW-IMP-20260516-FULLDRAFT-001972</x:v>
      </x:c>
      <x:c r="B1988" t="str">
        <x:v>RAW-IMP-20260516-FULLDRAFT-001972</x:v>
      </x:c>
      <x:c r="C1988" t="str">
        <x:v>KTO001</x:v>
      </x:c>
      <x:c r="D1988"/>
      <x:c r="E1988" t="str">
        <x:v>KAT013</x:v>
      </x:c>
      <x:c r="F1988"/>
      <x:c r="G1988"/>
      <x:c r="H1988" t="str">
        <x:v>kein_match</x:v>
      </x:c>
      <x:c r="I1988" t="str">
        <x:v>Agent-Draft: keine finale Regelentscheidung</x:v>
      </x:c>
      <x:c r="J1988" t="n">
        <x:v>45490</x:v>
      </x:c>
      <x:c r="K1988"/>
      <x:c r="L1988"/>
      <x:c r="M1988" t="n">
        <x:v>-7.38</x:v>
      </x:c>
      <x:c r="N1988" t="str">
        <x:v>2024-07</x:v>
      </x:c>
      <x:c r="O1988" t="str">
        <x:v>Ausgabe</x:v>
      </x:c>
      <x:c r="P1988" t="str">
        <x:v>Ist</x:v>
      </x:c>
      <x:c r="Q1988" s="59" t="b">
        <x:v>0</x:v>
      </x:c>
      <x:c r="R1988" t="str">
        <x:v>kein_transfer</x:v>
      </x:c>
      <x:c r="S1988"/>
      <x:c r="T1988"/>
      <x:c r="U1988"/>
      <x:c r="V1988" s="59" t="b">
        <x:v>1</x:v>
      </x:c>
      <x:c r="W1988"/>
      <x:c r="X1988" t="str">
        <x:v>offen</x:v>
      </x:c>
      <x:c r="Y1988" t="str">
        <x:v>Agent-Draft; Kategorie und Person pruefen</x:v>
      </x:c>
    </x:row>
    <x:row r="1989">
      <x:c r="A1989" t="str">
        <x:v>TXN-RAW-IMP-20260516-FULLDRAFT-001973</x:v>
      </x:c>
      <x:c r="B1989" t="str">
        <x:v>RAW-IMP-20260516-FULLDRAFT-001973</x:v>
      </x:c>
      <x:c r="C1989" t="str">
        <x:v>KTO001</x:v>
      </x:c>
      <x:c r="D1989"/>
      <x:c r="E1989" t="str">
        <x:v>KAT013</x:v>
      </x:c>
      <x:c r="F1989"/>
      <x:c r="G1989"/>
      <x:c r="H1989" t="str">
        <x:v>kein_match</x:v>
      </x:c>
      <x:c r="I1989" t="str">
        <x:v>Agent-Draft: keine finale Regelentscheidung</x:v>
      </x:c>
      <x:c r="J1989" t="n">
        <x:v>45489</x:v>
      </x:c>
      <x:c r="K1989"/>
      <x:c r="L1989"/>
      <x:c r="M1989" t="n">
        <x:v>-54.65</x:v>
      </x:c>
      <x:c r="N1989" t="str">
        <x:v>2024-07</x:v>
      </x:c>
      <x:c r="O1989" t="str">
        <x:v>Ausgabe</x:v>
      </x:c>
      <x:c r="P1989" t="str">
        <x:v>Ist</x:v>
      </x:c>
      <x:c r="Q1989" s="59" t="b">
        <x:v>0</x:v>
      </x:c>
      <x:c r="R1989" t="str">
        <x:v>kein_transfer</x:v>
      </x:c>
      <x:c r="S1989"/>
      <x:c r="T1989"/>
      <x:c r="U1989"/>
      <x:c r="V1989" s="59" t="b">
        <x:v>1</x:v>
      </x:c>
      <x:c r="W1989"/>
      <x:c r="X1989" t="str">
        <x:v>offen</x:v>
      </x:c>
      <x:c r="Y1989" t="str">
        <x:v>Agent-Draft; Kategorie und Person pruefen</x:v>
      </x:c>
    </x:row>
    <x:row r="1990">
      <x:c r="A1990" t="str">
        <x:v>TXN-RAW-IMP-20260516-FULLDRAFT-001974</x:v>
      </x:c>
      <x:c r="B1990" t="str">
        <x:v>RAW-IMP-20260516-FULLDRAFT-001974</x:v>
      </x:c>
      <x:c r="C1990" t="str">
        <x:v>KTO001</x:v>
      </x:c>
      <x:c r="D1990"/>
      <x:c r="E1990" t="str">
        <x:v>KAT013</x:v>
      </x:c>
      <x:c r="F1990"/>
      <x:c r="G1990"/>
      <x:c r="H1990" t="str">
        <x:v>kein_match</x:v>
      </x:c>
      <x:c r="I1990" t="str">
        <x:v>Agent-Draft: keine finale Regelentscheidung</x:v>
      </x:c>
      <x:c r="J1990" t="n">
        <x:v>45489</x:v>
      </x:c>
      <x:c r="K1990"/>
      <x:c r="L1990"/>
      <x:c r="M1990" t="n">
        <x:v>-7729.65</x:v>
      </x:c>
      <x:c r="N1990" t="str">
        <x:v>2024-07</x:v>
      </x:c>
      <x:c r="O1990" t="str">
        <x:v>Ausgabe</x:v>
      </x:c>
      <x:c r="P1990" t="str">
        <x:v>Ist</x:v>
      </x:c>
      <x:c r="Q1990" s="59" t="b">
        <x:v>0</x:v>
      </x:c>
      <x:c r="R1990" t="str">
        <x:v>kein_transfer</x:v>
      </x:c>
      <x:c r="S1990"/>
      <x:c r="T1990"/>
      <x:c r="U1990"/>
      <x:c r="V1990" s="59" t="b">
        <x:v>1</x:v>
      </x:c>
      <x:c r="W1990"/>
      <x:c r="X1990" t="str">
        <x:v>offen</x:v>
      </x:c>
      <x:c r="Y1990" t="str">
        <x:v>Agent-Draft; Kategorie und Person pruefen</x:v>
      </x:c>
    </x:row>
    <x:row r="1991">
      <x:c r="A1991" t="str">
        <x:v>TXN-RAW-IMP-20260516-FULLDRAFT-001975</x:v>
      </x:c>
      <x:c r="B1991" t="str">
        <x:v>RAW-IMP-20260516-FULLDRAFT-001975</x:v>
      </x:c>
      <x:c r="C1991" t="str">
        <x:v>KTO001</x:v>
      </x:c>
      <x:c r="D1991"/>
      <x:c r="E1991" t="str">
        <x:v>KAT013</x:v>
      </x:c>
      <x:c r="F1991"/>
      <x:c r="G1991"/>
      <x:c r="H1991" t="str">
        <x:v>kein_match</x:v>
      </x:c>
      <x:c r="I1991" t="str">
        <x:v>Agent-Draft: keine finale Regelentscheidung</x:v>
      </x:c>
      <x:c r="J1991" t="n">
        <x:v>45488</x:v>
      </x:c>
      <x:c r="K1991"/>
      <x:c r="L1991"/>
      <x:c r="M1991" t="n">
        <x:v>-89.9</x:v>
      </x:c>
      <x:c r="N1991" t="str">
        <x:v>2024-07</x:v>
      </x:c>
      <x:c r="O1991" t="str">
        <x:v>Ausgabe</x:v>
      </x:c>
      <x:c r="P1991" t="str">
        <x:v>Ist</x:v>
      </x:c>
      <x:c r="Q1991" s="59" t="b">
        <x:v>0</x:v>
      </x:c>
      <x:c r="R1991" t="str">
        <x:v>kein_transfer</x:v>
      </x:c>
      <x:c r="S1991"/>
      <x:c r="T1991"/>
      <x:c r="U1991"/>
      <x:c r="V1991" s="59" t="b">
        <x:v>1</x:v>
      </x:c>
      <x:c r="W1991"/>
      <x:c r="X1991" t="str">
        <x:v>offen</x:v>
      </x:c>
      <x:c r="Y1991" t="str">
        <x:v>Agent-Draft; Kategorie und Person pruefen</x:v>
      </x:c>
    </x:row>
    <x:row r="1992">
      <x:c r="A1992" t="str">
        <x:v>TXN-RAW-IMP-20260516-FULLDRAFT-001976</x:v>
      </x:c>
      <x:c r="B1992" t="str">
        <x:v>RAW-IMP-20260516-FULLDRAFT-001976</x:v>
      </x:c>
      <x:c r="C1992" t="str">
        <x:v>KTO001</x:v>
      </x:c>
      <x:c r="D1992"/>
      <x:c r="E1992" t="str">
        <x:v>KAT013</x:v>
      </x:c>
      <x:c r="F1992"/>
      <x:c r="G1992"/>
      <x:c r="H1992" t="str">
        <x:v>kein_match</x:v>
      </x:c>
      <x:c r="I1992" t="str">
        <x:v>Agent-Draft: keine finale Regelentscheidung</x:v>
      </x:c>
      <x:c r="J1992" t="n">
        <x:v>45488</x:v>
      </x:c>
      <x:c r="K1992"/>
      <x:c r="L1992"/>
      <x:c r="M1992" t="n">
        <x:v>-5.32</x:v>
      </x:c>
      <x:c r="N1992" t="str">
        <x:v>2024-07</x:v>
      </x:c>
      <x:c r="O1992" t="str">
        <x:v>Ausgabe</x:v>
      </x:c>
      <x:c r="P1992" t="str">
        <x:v>Ist</x:v>
      </x:c>
      <x:c r="Q1992" s="59" t="b">
        <x:v>0</x:v>
      </x:c>
      <x:c r="R1992" t="str">
        <x:v>kein_transfer</x:v>
      </x:c>
      <x:c r="S1992"/>
      <x:c r="T1992"/>
      <x:c r="U1992"/>
      <x:c r="V1992" s="59" t="b">
        <x:v>1</x:v>
      </x:c>
      <x:c r="W1992"/>
      <x:c r="X1992" t="str">
        <x:v>offen</x:v>
      </x:c>
      <x:c r="Y1992" t="str">
        <x:v>Agent-Draft; Kategorie und Person pruefen</x:v>
      </x:c>
    </x:row>
    <x:row r="1993">
      <x:c r="A1993" t="str">
        <x:v>TXN-RAW-IMP-20260516-FULLDRAFT-001977</x:v>
      </x:c>
      <x:c r="B1993" t="str">
        <x:v>RAW-IMP-20260516-FULLDRAFT-001977</x:v>
      </x:c>
      <x:c r="C1993" t="str">
        <x:v>KTO001</x:v>
      </x:c>
      <x:c r="D1993"/>
      <x:c r="E1993" t="str">
        <x:v>KAT013</x:v>
      </x:c>
      <x:c r="F1993"/>
      <x:c r="G1993"/>
      <x:c r="H1993" t="str">
        <x:v>kein_match</x:v>
      </x:c>
      <x:c r="I1993" t="str">
        <x:v>Agent-Draft: keine finale Regelentscheidung</x:v>
      </x:c>
      <x:c r="J1993" t="n">
        <x:v>45488</x:v>
      </x:c>
      <x:c r="K1993"/>
      <x:c r="L1993"/>
      <x:c r="M1993" t="n">
        <x:v>-11</x:v>
      </x:c>
      <x:c r="N1993" t="str">
        <x:v>2024-07</x:v>
      </x:c>
      <x:c r="O1993" t="str">
        <x:v>Ausgabe</x:v>
      </x:c>
      <x:c r="P1993" t="str">
        <x:v>Ist</x:v>
      </x:c>
      <x:c r="Q1993" s="59" t="b">
        <x:v>0</x:v>
      </x:c>
      <x:c r="R1993" t="str">
        <x:v>kein_transfer</x:v>
      </x:c>
      <x:c r="S1993"/>
      <x:c r="T1993"/>
      <x:c r="U1993"/>
      <x:c r="V1993" s="59" t="b">
        <x:v>1</x:v>
      </x:c>
      <x:c r="W1993"/>
      <x:c r="X1993" t="str">
        <x:v>offen</x:v>
      </x:c>
      <x:c r="Y1993" t="str">
        <x:v>Agent-Draft; Kategorie und Person pruefen</x:v>
      </x:c>
    </x:row>
    <x:row r="1994">
      <x:c r="A1994" t="str">
        <x:v>TXN-RAW-IMP-20260516-FULLDRAFT-001978</x:v>
      </x:c>
      <x:c r="B1994" t="str">
        <x:v>RAW-IMP-20260516-FULLDRAFT-001978</x:v>
      </x:c>
      <x:c r="C1994" t="str">
        <x:v>KTO001</x:v>
      </x:c>
      <x:c r="D1994"/>
      <x:c r="E1994" t="str">
        <x:v>KAT013</x:v>
      </x:c>
      <x:c r="F1994"/>
      <x:c r="G1994"/>
      <x:c r="H1994" t="str">
        <x:v>kein_match</x:v>
      </x:c>
      <x:c r="I1994" t="str">
        <x:v>Agent-Draft: keine finale Regelentscheidung</x:v>
      </x:c>
      <x:c r="J1994" t="n">
        <x:v>45488</x:v>
      </x:c>
      <x:c r="K1994"/>
      <x:c r="L1994"/>
      <x:c r="M1994" t="n">
        <x:v>-10.8</x:v>
      </x:c>
      <x:c r="N1994" t="str">
        <x:v>2024-07</x:v>
      </x:c>
      <x:c r="O1994" t="str">
        <x:v>Ausgabe</x:v>
      </x:c>
      <x:c r="P1994" t="str">
        <x:v>Ist</x:v>
      </x:c>
      <x:c r="Q1994" s="59" t="b">
        <x:v>0</x:v>
      </x:c>
      <x:c r="R1994" t="str">
        <x:v>kein_transfer</x:v>
      </x:c>
      <x:c r="S1994"/>
      <x:c r="T1994"/>
      <x:c r="U1994"/>
      <x:c r="V1994" s="59" t="b">
        <x:v>1</x:v>
      </x:c>
      <x:c r="W1994"/>
      <x:c r="X1994" t="str">
        <x:v>offen</x:v>
      </x:c>
      <x:c r="Y1994" t="str">
        <x:v>Agent-Draft; Kategorie und Person pruefen</x:v>
      </x:c>
    </x:row>
    <x:row r="1995">
      <x:c r="A1995" t="str">
        <x:v>TXN-RAW-IMP-20260516-FULLDRAFT-001979</x:v>
      </x:c>
      <x:c r="B1995" t="str">
        <x:v>RAW-IMP-20260516-FULLDRAFT-001979</x:v>
      </x:c>
      <x:c r="C1995" t="str">
        <x:v>KTO001</x:v>
      </x:c>
      <x:c r="D1995"/>
      <x:c r="E1995" t="str">
        <x:v>KAT013</x:v>
      </x:c>
      <x:c r="F1995"/>
      <x:c r="G1995"/>
      <x:c r="H1995" t="str">
        <x:v>kein_match</x:v>
      </x:c>
      <x:c r="I1995" t="str">
        <x:v>Agent-Draft: keine finale Regelentscheidung</x:v>
      </x:c>
      <x:c r="J1995" t="n">
        <x:v>45488</x:v>
      </x:c>
      <x:c r="K1995"/>
      <x:c r="L1995"/>
      <x:c r="M1995" t="n">
        <x:v>-48</x:v>
      </x:c>
      <x:c r="N1995" t="str">
        <x:v>2024-07</x:v>
      </x:c>
      <x:c r="O1995" t="str">
        <x:v>Ausgabe</x:v>
      </x:c>
      <x:c r="P1995" t="str">
        <x:v>Ist</x:v>
      </x:c>
      <x:c r="Q1995" s="59" t="b">
        <x:v>0</x:v>
      </x:c>
      <x:c r="R1995" t="str">
        <x:v>kein_transfer</x:v>
      </x:c>
      <x:c r="S1995"/>
      <x:c r="T1995"/>
      <x:c r="U1995"/>
      <x:c r="V1995" s="59" t="b">
        <x:v>1</x:v>
      </x:c>
      <x:c r="W1995"/>
      <x:c r="X1995" t="str">
        <x:v>offen</x:v>
      </x:c>
      <x:c r="Y1995" t="str">
        <x:v>Agent-Draft; Kategorie und Person pruefen</x:v>
      </x:c>
    </x:row>
    <x:row r="1996">
      <x:c r="A1996" t="str">
        <x:v>TXN-RAW-IMP-20260516-FULLDRAFT-001980</x:v>
      </x:c>
      <x:c r="B1996" t="str">
        <x:v>RAW-IMP-20260516-FULLDRAFT-001980</x:v>
      </x:c>
      <x:c r="C1996" t="str">
        <x:v>KTO001</x:v>
      </x:c>
      <x:c r="D1996"/>
      <x:c r="E1996" t="str">
        <x:v>KAT013</x:v>
      </x:c>
      <x:c r="F1996"/>
      <x:c r="G1996"/>
      <x:c r="H1996" t="str">
        <x:v>kein_match</x:v>
      </x:c>
      <x:c r="I1996" t="str">
        <x:v>Agent-Draft: keine finale Regelentscheidung</x:v>
      </x:c>
      <x:c r="J1996" t="n">
        <x:v>45488</x:v>
      </x:c>
      <x:c r="K1996"/>
      <x:c r="L1996"/>
      <x:c r="M1996" t="n">
        <x:v>-17.59</x:v>
      </x:c>
      <x:c r="N1996" t="str">
        <x:v>2024-07</x:v>
      </x:c>
      <x:c r="O1996" t="str">
        <x:v>Ausgabe</x:v>
      </x:c>
      <x:c r="P1996" t="str">
        <x:v>Ist</x:v>
      </x:c>
      <x:c r="Q1996" s="59" t="b">
        <x:v>0</x:v>
      </x:c>
      <x:c r="R1996" t="str">
        <x:v>kein_transfer</x:v>
      </x:c>
      <x:c r="S1996"/>
      <x:c r="T1996"/>
      <x:c r="U1996"/>
      <x:c r="V1996" s="59" t="b">
        <x:v>1</x:v>
      </x:c>
      <x:c r="W1996"/>
      <x:c r="X1996" t="str">
        <x:v>offen</x:v>
      </x:c>
      <x:c r="Y1996" t="str">
        <x:v>Agent-Draft; Kategorie und Person pruefen</x:v>
      </x:c>
    </x:row>
    <x:row r="1997">
      <x:c r="A1997" t="str">
        <x:v>TXN-RAW-IMP-20260516-FULLDRAFT-001981</x:v>
      </x:c>
      <x:c r="B1997" t="str">
        <x:v>RAW-IMP-20260516-FULLDRAFT-001981</x:v>
      </x:c>
      <x:c r="C1997" t="str">
        <x:v>KTO001</x:v>
      </x:c>
      <x:c r="D1997"/>
      <x:c r="E1997" t="str">
        <x:v>KAT013</x:v>
      </x:c>
      <x:c r="F1997"/>
      <x:c r="G1997"/>
      <x:c r="H1997" t="str">
        <x:v>kein_match</x:v>
      </x:c>
      <x:c r="I1997" t="str">
        <x:v>Agent-Draft: keine finale Regelentscheidung</x:v>
      </x:c>
      <x:c r="J1997" t="n">
        <x:v>45488</x:v>
      </x:c>
      <x:c r="K1997"/>
      <x:c r="L1997"/>
      <x:c r="M1997" t="n">
        <x:v>-1</x:v>
      </x:c>
      <x:c r="N1997" t="str">
        <x:v>2024-07</x:v>
      </x:c>
      <x:c r="O1997" t="str">
        <x:v>Ausgabe</x:v>
      </x:c>
      <x:c r="P1997" t="str">
        <x:v>Ist</x:v>
      </x:c>
      <x:c r="Q1997" s="59" t="b">
        <x:v>0</x:v>
      </x:c>
      <x:c r="R1997" t="str">
        <x:v>kein_transfer</x:v>
      </x:c>
      <x:c r="S1997"/>
      <x:c r="T1997"/>
      <x:c r="U1997"/>
      <x:c r="V1997" s="59" t="b">
        <x:v>1</x:v>
      </x:c>
      <x:c r="W1997"/>
      <x:c r="X1997" t="str">
        <x:v>offen</x:v>
      </x:c>
      <x:c r="Y1997" t="str">
        <x:v>Agent-Draft; Kategorie und Person pruefen</x:v>
      </x:c>
    </x:row>
    <x:row r="1998">
      <x:c r="A1998" t="str">
        <x:v>TXN-RAW-IMP-20260516-FULLDRAFT-001982</x:v>
      </x:c>
      <x:c r="B1998" t="str">
        <x:v>RAW-IMP-20260516-FULLDRAFT-001982</x:v>
      </x:c>
      <x:c r="C1998" t="str">
        <x:v>KTO001</x:v>
      </x:c>
      <x:c r="D1998"/>
      <x:c r="E1998" t="str">
        <x:v>KAT013</x:v>
      </x:c>
      <x:c r="F1998"/>
      <x:c r="G1998"/>
      <x:c r="H1998" t="str">
        <x:v>kein_match</x:v>
      </x:c>
      <x:c r="I1998" t="str">
        <x:v>Agent-Draft: keine finale Regelentscheidung</x:v>
      </x:c>
      <x:c r="J1998" t="n">
        <x:v>45488</x:v>
      </x:c>
      <x:c r="K1998"/>
      <x:c r="L1998"/>
      <x:c r="M1998" t="n">
        <x:v>-1</x:v>
      </x:c>
      <x:c r="N1998" t="str">
        <x:v>2024-07</x:v>
      </x:c>
      <x:c r="O1998" t="str">
        <x:v>Ausgabe</x:v>
      </x:c>
      <x:c r="P1998" t="str">
        <x:v>Ist</x:v>
      </x:c>
      <x:c r="Q1998" s="59" t="b">
        <x:v>0</x:v>
      </x:c>
      <x:c r="R1998" t="str">
        <x:v>kein_transfer</x:v>
      </x:c>
      <x:c r="S1998"/>
      <x:c r="T1998"/>
      <x:c r="U1998"/>
      <x:c r="V1998" s="59" t="b">
        <x:v>1</x:v>
      </x:c>
      <x:c r="W1998"/>
      <x:c r="X1998" t="str">
        <x:v>offen</x:v>
      </x:c>
      <x:c r="Y1998" t="str">
        <x:v>Agent-Draft; Kategorie und Person pruefen</x:v>
      </x:c>
    </x:row>
    <x:row r="1999">
      <x:c r="A1999" t="str">
        <x:v>TXN-RAW-IMP-20260516-FULLDRAFT-001983</x:v>
      </x:c>
      <x:c r="B1999" t="str">
        <x:v>RAW-IMP-20260516-FULLDRAFT-001983</x:v>
      </x:c>
      <x:c r="C1999" t="str">
        <x:v>KTO001</x:v>
      </x:c>
      <x:c r="D1999"/>
      <x:c r="E1999" t="str">
        <x:v>KAT013</x:v>
      </x:c>
      <x:c r="F1999"/>
      <x:c r="G1999"/>
      <x:c r="H1999" t="str">
        <x:v>kein_match</x:v>
      </x:c>
      <x:c r="I1999" t="str">
        <x:v>Agent-Draft: keine finale Regelentscheidung</x:v>
      </x:c>
      <x:c r="J1999" t="n">
        <x:v>45488</x:v>
      </x:c>
      <x:c r="K1999"/>
      <x:c r="L1999"/>
      <x:c r="M1999" t="n">
        <x:v>-18.93</x:v>
      </x:c>
      <x:c r="N1999" t="str">
        <x:v>2024-07</x:v>
      </x:c>
      <x:c r="O1999" t="str">
        <x:v>Ausgabe</x:v>
      </x:c>
      <x:c r="P1999" t="str">
        <x:v>Ist</x:v>
      </x:c>
      <x:c r="Q1999" s="59" t="b">
        <x:v>0</x:v>
      </x:c>
      <x:c r="R1999" t="str">
        <x:v>kein_transfer</x:v>
      </x:c>
      <x:c r="S1999"/>
      <x:c r="T1999"/>
      <x:c r="U1999"/>
      <x:c r="V1999" s="59" t="b">
        <x:v>1</x:v>
      </x:c>
      <x:c r="W1999"/>
      <x:c r="X1999" t="str">
        <x:v>offen</x:v>
      </x:c>
      <x:c r="Y1999" t="str">
        <x:v>Agent-Draft; Kategorie und Person pruefen</x:v>
      </x:c>
    </x:row>
    <x:row r="2000">
      <x:c r="A2000" t="str">
        <x:v>TXN-RAW-IMP-20260516-FULLDRAFT-001984</x:v>
      </x:c>
      <x:c r="B2000" t="str">
        <x:v>RAW-IMP-20260516-FULLDRAFT-001984</x:v>
      </x:c>
      <x:c r="C2000" t="str">
        <x:v>KTO001</x:v>
      </x:c>
      <x:c r="D2000"/>
      <x:c r="E2000" t="str">
        <x:v>KAT013</x:v>
      </x:c>
      <x:c r="F2000"/>
      <x:c r="G2000"/>
      <x:c r="H2000" t="str">
        <x:v>kein_match</x:v>
      </x:c>
      <x:c r="I2000" t="str">
        <x:v>Agent-Draft: keine finale Regelentscheidung</x:v>
      </x:c>
      <x:c r="J2000" t="n">
        <x:v>45488</x:v>
      </x:c>
      <x:c r="K2000"/>
      <x:c r="L2000"/>
      <x:c r="M2000" t="n">
        <x:v>-13.92</x:v>
      </x:c>
      <x:c r="N2000" t="str">
        <x:v>2024-07</x:v>
      </x:c>
      <x:c r="O2000" t="str">
        <x:v>Ausgabe</x:v>
      </x:c>
      <x:c r="P2000" t="str">
        <x:v>Ist</x:v>
      </x:c>
      <x:c r="Q2000" s="59" t="b">
        <x:v>0</x:v>
      </x:c>
      <x:c r="R2000" t="str">
        <x:v>kein_transfer</x:v>
      </x:c>
      <x:c r="S2000"/>
      <x:c r="T2000"/>
      <x:c r="U2000"/>
      <x:c r="V2000" s="59" t="b">
        <x:v>1</x:v>
      </x:c>
      <x:c r="W2000"/>
      <x:c r="X2000" t="str">
        <x:v>offen</x:v>
      </x:c>
      <x:c r="Y2000" t="str">
        <x:v>Agent-Draft; Kategorie und Person pruefen</x:v>
      </x:c>
    </x:row>
    <x:row r="2001">
      <x:c r="A2001" t="str">
        <x:v>TXN-RAW-IMP-20260516-FULLDRAFT-001985</x:v>
      </x:c>
      <x:c r="B2001" t="str">
        <x:v>RAW-IMP-20260516-FULLDRAFT-001985</x:v>
      </x:c>
      <x:c r="C2001" t="str">
        <x:v>KTO001</x:v>
      </x:c>
      <x:c r="D2001"/>
      <x:c r="E2001" t="str">
        <x:v>KAT013</x:v>
      </x:c>
      <x:c r="F2001"/>
      <x:c r="G2001"/>
      <x:c r="H2001" t="str">
        <x:v>kein_match</x:v>
      </x:c>
      <x:c r="I2001" t="str">
        <x:v>Agent-Draft: keine finale Regelentscheidung</x:v>
      </x:c>
      <x:c r="J2001" t="n">
        <x:v>45488</x:v>
      </x:c>
      <x:c r="K2001"/>
      <x:c r="L2001"/>
      <x:c r="M2001" t="n">
        <x:v>9000</x:v>
      </x:c>
      <x:c r="N2001" t="str">
        <x:v>2024-07</x:v>
      </x:c>
      <x:c r="O2001" t="str">
        <x:v>Einnahme</x:v>
      </x:c>
      <x:c r="P2001" t="str">
        <x:v>Ist</x:v>
      </x:c>
      <x:c r="Q2001" s="59" t="b">
        <x:v>0</x:v>
      </x:c>
      <x:c r="R2001" t="str">
        <x:v>unklar</x:v>
      </x:c>
      <x:c r="S2001"/>
      <x:c r="T2001"/>
      <x:c r="U2001"/>
      <x:c r="V2001" s="59" t="b">
        <x:v>1</x:v>
      </x:c>
      <x:c r="W2001" t="str">
        <x:v>Transferkandidat im Draft</x:v>
      </x:c>
      <x:c r="X2001" t="str">
        <x:v>offen</x:v>
      </x:c>
      <x:c r="Y2001" t="str">
        <x:v>Agent-Draft; Kategorie und Person pruefen</x:v>
      </x:c>
    </x:row>
    <x:row r="2002">
      <x:c r="A2002" t="str">
        <x:v>TXN-RAW-IMP-20260516-FULLDRAFT-001986</x:v>
      </x:c>
      <x:c r="B2002" t="str">
        <x:v>RAW-IMP-20260516-FULLDRAFT-001986</x:v>
      </x:c>
      <x:c r="C2002" t="str">
        <x:v>KTO001</x:v>
      </x:c>
      <x:c r="D2002"/>
      <x:c r="E2002" t="str">
        <x:v>KAT013</x:v>
      </x:c>
      <x:c r="F2002"/>
      <x:c r="G2002"/>
      <x:c r="H2002" t="str">
        <x:v>kein_match</x:v>
      </x:c>
      <x:c r="I2002" t="str">
        <x:v>Agent-Draft: keine finale Regelentscheidung</x:v>
      </x:c>
      <x:c r="J2002" t="n">
        <x:v>45485</x:v>
      </x:c>
      <x:c r="K2002"/>
      <x:c r="L2002"/>
      <x:c r="M2002" t="n">
        <x:v>-12.99</x:v>
      </x:c>
      <x:c r="N2002" t="str">
        <x:v>2024-07</x:v>
      </x:c>
      <x:c r="O2002" t="str">
        <x:v>Ausgabe</x:v>
      </x:c>
      <x:c r="P2002" t="str">
        <x:v>Ist</x:v>
      </x:c>
      <x:c r="Q2002" s="59" t="b">
        <x:v>0</x:v>
      </x:c>
      <x:c r="R2002" t="str">
        <x:v>kein_transfer</x:v>
      </x:c>
      <x:c r="S2002"/>
      <x:c r="T2002"/>
      <x:c r="U2002"/>
      <x:c r="V2002" s="59" t="b">
        <x:v>1</x:v>
      </x:c>
      <x:c r="W2002"/>
      <x:c r="X2002" t="str">
        <x:v>offen</x:v>
      </x:c>
      <x:c r="Y2002" t="str">
        <x:v>Agent-Draft; Kategorie und Person pruefen</x:v>
      </x:c>
    </x:row>
    <x:row r="2003">
      <x:c r="A2003" t="str">
        <x:v>TXN-RAW-IMP-20260516-FULLDRAFT-001987</x:v>
      </x:c>
      <x:c r="B2003" t="str">
        <x:v>RAW-IMP-20260516-FULLDRAFT-001987</x:v>
      </x:c>
      <x:c r="C2003" t="str">
        <x:v>KTO001</x:v>
      </x:c>
      <x:c r="D2003"/>
      <x:c r="E2003" t="str">
        <x:v>KAT013</x:v>
      </x:c>
      <x:c r="F2003"/>
      <x:c r="G2003"/>
      <x:c r="H2003" t="str">
        <x:v>kein_match</x:v>
      </x:c>
      <x:c r="I2003" t="str">
        <x:v>Agent-Draft: keine finale Regelentscheidung</x:v>
      </x:c>
      <x:c r="J2003" t="n">
        <x:v>45485</x:v>
      </x:c>
      <x:c r="K2003"/>
      <x:c r="L2003"/>
      <x:c r="M2003" t="n">
        <x:v>-56</x:v>
      </x:c>
      <x:c r="N2003" t="str">
        <x:v>2024-07</x:v>
      </x:c>
      <x:c r="O2003" t="str">
        <x:v>Ausgabe</x:v>
      </x:c>
      <x:c r="P2003" t="str">
        <x:v>Ist</x:v>
      </x:c>
      <x:c r="Q2003" s="59" t="b">
        <x:v>0</x:v>
      </x:c>
      <x:c r="R2003" t="str">
        <x:v>kein_transfer</x:v>
      </x:c>
      <x:c r="S2003"/>
      <x:c r="T2003"/>
      <x:c r="U2003"/>
      <x:c r="V2003" s="59" t="b">
        <x:v>1</x:v>
      </x:c>
      <x:c r="W2003"/>
      <x:c r="X2003" t="str">
        <x:v>offen</x:v>
      </x:c>
      <x:c r="Y2003" t="str">
        <x:v>Agent-Draft; Kategorie und Person pruefen</x:v>
      </x:c>
    </x:row>
    <x:row r="2004">
      <x:c r="A2004" t="str">
        <x:v>TXN-RAW-IMP-20260516-FULLDRAFT-001988</x:v>
      </x:c>
      <x:c r="B2004" t="str">
        <x:v>RAW-IMP-20260516-FULLDRAFT-001988</x:v>
      </x:c>
      <x:c r="C2004" t="str">
        <x:v>KTO001</x:v>
      </x:c>
      <x:c r="D2004"/>
      <x:c r="E2004" t="str">
        <x:v>KAT013</x:v>
      </x:c>
      <x:c r="F2004"/>
      <x:c r="G2004"/>
      <x:c r="H2004" t="str">
        <x:v>kein_match</x:v>
      </x:c>
      <x:c r="I2004" t="str">
        <x:v>Agent-Draft: keine finale Regelentscheidung</x:v>
      </x:c>
      <x:c r="J2004" t="n">
        <x:v>45485</x:v>
      </x:c>
      <x:c r="K2004"/>
      <x:c r="L2004"/>
      <x:c r="M2004" t="n">
        <x:v>-250</x:v>
      </x:c>
      <x:c r="N2004" t="str">
        <x:v>2024-07</x:v>
      </x:c>
      <x:c r="O2004" t="str">
        <x:v>Ausgabe</x:v>
      </x:c>
      <x:c r="P2004" t="str">
        <x:v>Ist</x:v>
      </x:c>
      <x:c r="Q2004" s="59" t="b">
        <x:v>0</x:v>
      </x:c>
      <x:c r="R2004" t="str">
        <x:v>kein_transfer</x:v>
      </x:c>
      <x:c r="S2004"/>
      <x:c r="T2004"/>
      <x:c r="U2004"/>
      <x:c r="V2004" s="59" t="b">
        <x:v>1</x:v>
      </x:c>
      <x:c r="W2004"/>
      <x:c r="X2004" t="str">
        <x:v>offen</x:v>
      </x:c>
      <x:c r="Y2004" t="str">
        <x:v>Agent-Draft; Kategorie und Person pruefen</x:v>
      </x:c>
    </x:row>
    <x:row r="2005">
      <x:c r="A2005" t="str">
        <x:v>TXN-RAW-IMP-20260516-FULLDRAFT-001989</x:v>
      </x:c>
      <x:c r="B2005" t="str">
        <x:v>RAW-IMP-20260516-FULLDRAFT-001989</x:v>
      </x:c>
      <x:c r="C2005" t="str">
        <x:v>KTO001</x:v>
      </x:c>
      <x:c r="D2005"/>
      <x:c r="E2005" t="str">
        <x:v>KAT013</x:v>
      </x:c>
      <x:c r="F2005"/>
      <x:c r="G2005"/>
      <x:c r="H2005" t="str">
        <x:v>kein_match</x:v>
      </x:c>
      <x:c r="I2005" t="str">
        <x:v>Agent-Draft: keine finale Regelentscheidung</x:v>
      </x:c>
      <x:c r="J2005" t="n">
        <x:v>45485</x:v>
      </x:c>
      <x:c r="K2005"/>
      <x:c r="L2005"/>
      <x:c r="M2005" t="n">
        <x:v>-12.14</x:v>
      </x:c>
      <x:c r="N2005" t="str">
        <x:v>2024-07</x:v>
      </x:c>
      <x:c r="O2005" t="str">
        <x:v>Ausgabe</x:v>
      </x:c>
      <x:c r="P2005" t="str">
        <x:v>Ist</x:v>
      </x:c>
      <x:c r="Q2005" s="59" t="b">
        <x:v>0</x:v>
      </x:c>
      <x:c r="R2005" t="str">
        <x:v>kein_transfer</x:v>
      </x:c>
      <x:c r="S2005"/>
      <x:c r="T2005"/>
      <x:c r="U2005"/>
      <x:c r="V2005" s="59" t="b">
        <x:v>1</x:v>
      </x:c>
      <x:c r="W2005"/>
      <x:c r="X2005" t="str">
        <x:v>offen</x:v>
      </x:c>
      <x:c r="Y2005" t="str">
        <x:v>Agent-Draft; Kategorie und Person pruefen</x:v>
      </x:c>
    </x:row>
    <x:row r="2006">
      <x:c r="A2006" t="str">
        <x:v>TXN-RAW-IMP-20260516-FULLDRAFT-001990</x:v>
      </x:c>
      <x:c r="B2006" t="str">
        <x:v>RAW-IMP-20260516-FULLDRAFT-001990</x:v>
      </x:c>
      <x:c r="C2006" t="str">
        <x:v>KTO001</x:v>
      </x:c>
      <x:c r="D2006"/>
      <x:c r="E2006" t="str">
        <x:v>KAT013</x:v>
      </x:c>
      <x:c r="F2006"/>
      <x:c r="G2006"/>
      <x:c r="H2006" t="str">
        <x:v>kein_match</x:v>
      </x:c>
      <x:c r="I2006" t="str">
        <x:v>Agent-Draft: keine finale Regelentscheidung</x:v>
      </x:c>
      <x:c r="J2006" t="n">
        <x:v>45484</x:v>
      </x:c>
      <x:c r="K2006"/>
      <x:c r="L2006"/>
      <x:c r="M2006" t="n">
        <x:v>-185</x:v>
      </x:c>
      <x:c r="N2006" t="str">
        <x:v>2024-07</x:v>
      </x:c>
      <x:c r="O2006" t="str">
        <x:v>Ausgabe</x:v>
      </x:c>
      <x:c r="P2006" t="str">
        <x:v>Ist</x:v>
      </x:c>
      <x:c r="Q2006" s="59" t="b">
        <x:v>0</x:v>
      </x:c>
      <x:c r="R2006" t="str">
        <x:v>kein_transfer</x:v>
      </x:c>
      <x:c r="S2006"/>
      <x:c r="T2006"/>
      <x:c r="U2006"/>
      <x:c r="V2006" s="59" t="b">
        <x:v>1</x:v>
      </x:c>
      <x:c r="W2006"/>
      <x:c r="X2006" t="str">
        <x:v>offen</x:v>
      </x:c>
      <x:c r="Y2006" t="str">
        <x:v>Agent-Draft; Kategorie und Person pruefen</x:v>
      </x:c>
    </x:row>
    <x:row r="2007">
      <x:c r="A2007" t="str">
        <x:v>TXN-RAW-IMP-20260516-FULLDRAFT-001991</x:v>
      </x:c>
      <x:c r="B2007" t="str">
        <x:v>RAW-IMP-20260516-FULLDRAFT-001991</x:v>
      </x:c>
      <x:c r="C2007" t="str">
        <x:v>KTO001</x:v>
      </x:c>
      <x:c r="D2007"/>
      <x:c r="E2007" t="str">
        <x:v>KAT013</x:v>
      </x:c>
      <x:c r="F2007"/>
      <x:c r="G2007"/>
      <x:c r="H2007" t="str">
        <x:v>kein_match</x:v>
      </x:c>
      <x:c r="I2007" t="str">
        <x:v>Agent-Draft: keine finale Regelentscheidung</x:v>
      </x:c>
      <x:c r="J2007" t="n">
        <x:v>45484</x:v>
      </x:c>
      <x:c r="K2007"/>
      <x:c r="L2007"/>
      <x:c r="M2007" t="n">
        <x:v>-8.05</x:v>
      </x:c>
      <x:c r="N2007" t="str">
        <x:v>2024-07</x:v>
      </x:c>
      <x:c r="O2007" t="str">
        <x:v>Ausgabe</x:v>
      </x:c>
      <x:c r="P2007" t="str">
        <x:v>Ist</x:v>
      </x:c>
      <x:c r="Q2007" s="59" t="b">
        <x:v>0</x:v>
      </x:c>
      <x:c r="R2007" t="str">
        <x:v>kein_transfer</x:v>
      </x:c>
      <x:c r="S2007"/>
      <x:c r="T2007"/>
      <x:c r="U2007"/>
      <x:c r="V2007" s="59" t="b">
        <x:v>1</x:v>
      </x:c>
      <x:c r="W2007"/>
      <x:c r="X2007" t="str">
        <x:v>offen</x:v>
      </x:c>
      <x:c r="Y2007" t="str">
        <x:v>Agent-Draft; Kategorie und Person pruefen</x:v>
      </x:c>
    </x:row>
    <x:row r="2008">
      <x:c r="A2008" t="str">
        <x:v>TXN-RAW-IMP-20260516-FULLDRAFT-001992</x:v>
      </x:c>
      <x:c r="B2008" t="str">
        <x:v>RAW-IMP-20260516-FULLDRAFT-001992</x:v>
      </x:c>
      <x:c r="C2008" t="str">
        <x:v>KTO001</x:v>
      </x:c>
      <x:c r="D2008"/>
      <x:c r="E2008" t="str">
        <x:v>KAT013</x:v>
      </x:c>
      <x:c r="F2008"/>
      <x:c r="G2008"/>
      <x:c r="H2008" t="str">
        <x:v>kein_match</x:v>
      </x:c>
      <x:c r="I2008" t="str">
        <x:v>Agent-Draft: keine finale Regelentscheidung</x:v>
      </x:c>
      <x:c r="J2008" t="n">
        <x:v>45484</x:v>
      </x:c>
      <x:c r="K2008"/>
      <x:c r="L2008"/>
      <x:c r="M2008" t="n">
        <x:v>-4.81</x:v>
      </x:c>
      <x:c r="N2008" t="str">
        <x:v>2024-07</x:v>
      </x:c>
      <x:c r="O2008" t="str">
        <x:v>Ausgabe</x:v>
      </x:c>
      <x:c r="P2008" t="str">
        <x:v>Ist</x:v>
      </x:c>
      <x:c r="Q2008" s="59" t="b">
        <x:v>0</x:v>
      </x:c>
      <x:c r="R2008" t="str">
        <x:v>kein_transfer</x:v>
      </x:c>
      <x:c r="S2008"/>
      <x:c r="T2008"/>
      <x:c r="U2008"/>
      <x:c r="V2008" s="59" t="b">
        <x:v>1</x:v>
      </x:c>
      <x:c r="W2008"/>
      <x:c r="X2008" t="str">
        <x:v>offen</x:v>
      </x:c>
      <x:c r="Y2008" t="str">
        <x:v>Agent-Draft; Kategorie und Person pruefen</x:v>
      </x:c>
    </x:row>
    <x:row r="2009">
      <x:c r="A2009" t="str">
        <x:v>TXN-RAW-IMP-20260516-FULLDRAFT-001993</x:v>
      </x:c>
      <x:c r="B2009" t="str">
        <x:v>RAW-IMP-20260516-FULLDRAFT-001993</x:v>
      </x:c>
      <x:c r="C2009" t="str">
        <x:v>KTO001</x:v>
      </x:c>
      <x:c r="D2009"/>
      <x:c r="E2009" t="str">
        <x:v>KAT013</x:v>
      </x:c>
      <x:c r="F2009"/>
      <x:c r="G2009"/>
      <x:c r="H2009" t="str">
        <x:v>kein_match</x:v>
      </x:c>
      <x:c r="I2009" t="str">
        <x:v>Agent-Draft: keine finale Regelentscheidung</x:v>
      </x:c>
      <x:c r="J2009" t="n">
        <x:v>45484</x:v>
      </x:c>
      <x:c r="K2009"/>
      <x:c r="L2009"/>
      <x:c r="M2009" t="n">
        <x:v>-5.8</x:v>
      </x:c>
      <x:c r="N2009" t="str">
        <x:v>2024-07</x:v>
      </x:c>
      <x:c r="O2009" t="str">
        <x:v>Ausgabe</x:v>
      </x:c>
      <x:c r="P2009" t="str">
        <x:v>Ist</x:v>
      </x:c>
      <x:c r="Q2009" s="59" t="b">
        <x:v>0</x:v>
      </x:c>
      <x:c r="R2009" t="str">
        <x:v>kein_transfer</x:v>
      </x:c>
      <x:c r="S2009"/>
      <x:c r="T2009"/>
      <x:c r="U2009"/>
      <x:c r="V2009" s="59" t="b">
        <x:v>1</x:v>
      </x:c>
      <x:c r="W2009"/>
      <x:c r="X2009" t="str">
        <x:v>offen</x:v>
      </x:c>
      <x:c r="Y2009" t="str">
        <x:v>Agent-Draft; Kategorie und Person pruefen</x:v>
      </x:c>
    </x:row>
    <x:row r="2010">
      <x:c r="A2010" t="str">
        <x:v>TXN-RAW-IMP-20260516-FULLDRAFT-001994</x:v>
      </x:c>
      <x:c r="B2010" t="str">
        <x:v>RAW-IMP-20260516-FULLDRAFT-001994</x:v>
      </x:c>
      <x:c r="C2010" t="str">
        <x:v>KTO001</x:v>
      </x:c>
      <x:c r="D2010"/>
      <x:c r="E2010" t="str">
        <x:v>KAT013</x:v>
      </x:c>
      <x:c r="F2010"/>
      <x:c r="G2010"/>
      <x:c r="H2010" t="str">
        <x:v>kein_match</x:v>
      </x:c>
      <x:c r="I2010" t="str">
        <x:v>Agent-Draft: keine finale Regelentscheidung</x:v>
      </x:c>
      <x:c r="J2010" t="n">
        <x:v>45484</x:v>
      </x:c>
      <x:c r="K2010"/>
      <x:c r="L2010"/>
      <x:c r="M2010" t="n">
        <x:v>-11</x:v>
      </x:c>
      <x:c r="N2010" t="str">
        <x:v>2024-07</x:v>
      </x:c>
      <x:c r="O2010" t="str">
        <x:v>Ausgabe</x:v>
      </x:c>
      <x:c r="P2010" t="str">
        <x:v>Ist</x:v>
      </x:c>
      <x:c r="Q2010" s="59" t="b">
        <x:v>0</x:v>
      </x:c>
      <x:c r="R2010" t="str">
        <x:v>kein_transfer</x:v>
      </x:c>
      <x:c r="S2010"/>
      <x:c r="T2010"/>
      <x:c r="U2010"/>
      <x:c r="V2010" s="59" t="b">
        <x:v>1</x:v>
      </x:c>
      <x:c r="W2010"/>
      <x:c r="X2010" t="str">
        <x:v>offen</x:v>
      </x:c>
      <x:c r="Y2010" t="str">
        <x:v>Agent-Draft; Kategorie und Person pruefen</x:v>
      </x:c>
    </x:row>
    <x:row r="2011">
      <x:c r="A2011" t="str">
        <x:v>TXN-RAW-IMP-20260516-FULLDRAFT-001995</x:v>
      </x:c>
      <x:c r="B2011" t="str">
        <x:v>RAW-IMP-20260516-FULLDRAFT-001995</x:v>
      </x:c>
      <x:c r="C2011" t="str">
        <x:v>KTO001</x:v>
      </x:c>
      <x:c r="D2011"/>
      <x:c r="E2011" t="str">
        <x:v>KAT013</x:v>
      </x:c>
      <x:c r="F2011"/>
      <x:c r="G2011"/>
      <x:c r="H2011" t="str">
        <x:v>kein_match</x:v>
      </x:c>
      <x:c r="I2011" t="str">
        <x:v>Agent-Draft: keine finale Regelentscheidung</x:v>
      </x:c>
      <x:c r="J2011" t="n">
        <x:v>45484</x:v>
      </x:c>
      <x:c r="K2011"/>
      <x:c r="L2011"/>
      <x:c r="M2011" t="n">
        <x:v>-57.55</x:v>
      </x:c>
      <x:c r="N2011" t="str">
        <x:v>2024-07</x:v>
      </x:c>
      <x:c r="O2011" t="str">
        <x:v>Ausgabe</x:v>
      </x:c>
      <x:c r="P2011" t="str">
        <x:v>Ist</x:v>
      </x:c>
      <x:c r="Q2011" s="59" t="b">
        <x:v>0</x:v>
      </x:c>
      <x:c r="R2011" t="str">
        <x:v>kein_transfer</x:v>
      </x:c>
      <x:c r="S2011"/>
      <x:c r="T2011"/>
      <x:c r="U2011"/>
      <x:c r="V2011" s="59" t="b">
        <x:v>1</x:v>
      </x:c>
      <x:c r="W2011"/>
      <x:c r="X2011" t="str">
        <x:v>offen</x:v>
      </x:c>
      <x:c r="Y2011" t="str">
        <x:v>Agent-Draft; Kategorie und Person pruefen</x:v>
      </x:c>
    </x:row>
    <x:row r="2012">
      <x:c r="A2012" t="str">
        <x:v>TXN-RAW-IMP-20260516-FULLDRAFT-001996</x:v>
      </x:c>
      <x:c r="B2012" t="str">
        <x:v>RAW-IMP-20260516-FULLDRAFT-001996</x:v>
      </x:c>
      <x:c r="C2012" t="str">
        <x:v>KTO001</x:v>
      </x:c>
      <x:c r="D2012"/>
      <x:c r="E2012" t="str">
        <x:v>KAT013</x:v>
      </x:c>
      <x:c r="F2012"/>
      <x:c r="G2012"/>
      <x:c r="H2012" t="str">
        <x:v>kein_match</x:v>
      </x:c>
      <x:c r="I2012" t="str">
        <x:v>Agent-Draft: keine finale Regelentscheidung</x:v>
      </x:c>
      <x:c r="J2012" t="n">
        <x:v>45483</x:v>
      </x:c>
      <x:c r="K2012"/>
      <x:c r="L2012"/>
      <x:c r="M2012" t="n">
        <x:v>-57.9</x:v>
      </x:c>
      <x:c r="N2012" t="str">
        <x:v>2024-07</x:v>
      </x:c>
      <x:c r="O2012" t="str">
        <x:v>Ausgabe</x:v>
      </x:c>
      <x:c r="P2012" t="str">
        <x:v>Ist</x:v>
      </x:c>
      <x:c r="Q2012" s="59" t="b">
        <x:v>0</x:v>
      </x:c>
      <x:c r="R2012" t="str">
        <x:v>kein_transfer</x:v>
      </x:c>
      <x:c r="S2012"/>
      <x:c r="T2012"/>
      <x:c r="U2012"/>
      <x:c r="V2012" s="59" t="b">
        <x:v>1</x:v>
      </x:c>
      <x:c r="W2012"/>
      <x:c r="X2012" t="str">
        <x:v>offen</x:v>
      </x:c>
      <x:c r="Y2012" t="str">
        <x:v>Agent-Draft; Kategorie und Person pruefen</x:v>
      </x:c>
    </x:row>
    <x:row r="2013">
      <x:c r="A2013" t="str">
        <x:v>TXN-RAW-IMP-20260516-FULLDRAFT-001997</x:v>
      </x:c>
      <x:c r="B2013" t="str">
        <x:v>RAW-IMP-20260516-FULLDRAFT-001997</x:v>
      </x:c>
      <x:c r="C2013" t="str">
        <x:v>KTO001</x:v>
      </x:c>
      <x:c r="D2013"/>
      <x:c r="E2013" t="str">
        <x:v>KAT013</x:v>
      </x:c>
      <x:c r="F2013"/>
      <x:c r="G2013"/>
      <x:c r="H2013" t="str">
        <x:v>kein_match</x:v>
      </x:c>
      <x:c r="I2013" t="str">
        <x:v>Agent-Draft: keine finale Regelentscheidung</x:v>
      </x:c>
      <x:c r="J2013" t="n">
        <x:v>45483</x:v>
      </x:c>
      <x:c r="K2013"/>
      <x:c r="L2013"/>
      <x:c r="M2013" t="n">
        <x:v>-5.99</x:v>
      </x:c>
      <x:c r="N2013" t="str">
        <x:v>2024-07</x:v>
      </x:c>
      <x:c r="O2013" t="str">
        <x:v>Ausgabe</x:v>
      </x:c>
      <x:c r="P2013" t="str">
        <x:v>Ist</x:v>
      </x:c>
      <x:c r="Q2013" s="59" t="b">
        <x:v>0</x:v>
      </x:c>
      <x:c r="R2013" t="str">
        <x:v>kein_transfer</x:v>
      </x:c>
      <x:c r="S2013"/>
      <x:c r="T2013"/>
      <x:c r="U2013"/>
      <x:c r="V2013" s="59" t="b">
        <x:v>1</x:v>
      </x:c>
      <x:c r="W2013"/>
      <x:c r="X2013" t="str">
        <x:v>offen</x:v>
      </x:c>
      <x:c r="Y2013" t="str">
        <x:v>Agent-Draft; Kategorie und Person pruefen</x:v>
      </x:c>
    </x:row>
    <x:row r="2014">
      <x:c r="A2014" t="str">
        <x:v>TXN-RAW-IMP-20260516-FULLDRAFT-001998</x:v>
      </x:c>
      <x:c r="B2014" t="str">
        <x:v>RAW-IMP-20260516-FULLDRAFT-001998</x:v>
      </x:c>
      <x:c r="C2014" t="str">
        <x:v>KTO001</x:v>
      </x:c>
      <x:c r="D2014"/>
      <x:c r="E2014" t="str">
        <x:v>KAT013</x:v>
      </x:c>
      <x:c r="F2014"/>
      <x:c r="G2014"/>
      <x:c r="H2014" t="str">
        <x:v>kein_match</x:v>
      </x:c>
      <x:c r="I2014" t="str">
        <x:v>Agent-Draft: keine finale Regelentscheidung</x:v>
      </x:c>
      <x:c r="J2014" t="n">
        <x:v>45483</x:v>
      </x:c>
      <x:c r="K2014"/>
      <x:c r="L2014"/>
      <x:c r="M2014" t="n">
        <x:v>-5.74</x:v>
      </x:c>
      <x:c r="N2014" t="str">
        <x:v>2024-07</x:v>
      </x:c>
      <x:c r="O2014" t="str">
        <x:v>Ausgabe</x:v>
      </x:c>
      <x:c r="P2014" t="str">
        <x:v>Ist</x:v>
      </x:c>
      <x:c r="Q2014" s="59" t="b">
        <x:v>0</x:v>
      </x:c>
      <x:c r="R2014" t="str">
        <x:v>kein_transfer</x:v>
      </x:c>
      <x:c r="S2014"/>
      <x:c r="T2014"/>
      <x:c r="U2014"/>
      <x:c r="V2014" s="59" t="b">
        <x:v>1</x:v>
      </x:c>
      <x:c r="W2014"/>
      <x:c r="X2014" t="str">
        <x:v>offen</x:v>
      </x:c>
      <x:c r="Y2014" t="str">
        <x:v>Agent-Draft; Kategorie und Person pruefen</x:v>
      </x:c>
    </x:row>
    <x:row r="2015">
      <x:c r="A2015" t="str">
        <x:v>TXN-RAW-IMP-20260516-FULLDRAFT-001999</x:v>
      </x:c>
      <x:c r="B2015" t="str">
        <x:v>RAW-IMP-20260516-FULLDRAFT-001999</x:v>
      </x:c>
      <x:c r="C2015" t="str">
        <x:v>KTO001</x:v>
      </x:c>
      <x:c r="D2015"/>
      <x:c r="E2015" t="str">
        <x:v>KAT013</x:v>
      </x:c>
      <x:c r="F2015"/>
      <x:c r="G2015"/>
      <x:c r="H2015" t="str">
        <x:v>kein_match</x:v>
      </x:c>
      <x:c r="I2015" t="str">
        <x:v>Agent-Draft: keine finale Regelentscheidung</x:v>
      </x:c>
      <x:c r="J2015" t="n">
        <x:v>45482</x:v>
      </x:c>
      <x:c r="K2015"/>
      <x:c r="L2015"/>
      <x:c r="M2015" t="n">
        <x:v>-45</x:v>
      </x:c>
      <x:c r="N2015" t="str">
        <x:v>2024-07</x:v>
      </x:c>
      <x:c r="O2015" t="str">
        <x:v>Ausgabe</x:v>
      </x:c>
      <x:c r="P2015" t="str">
        <x:v>Ist</x:v>
      </x:c>
      <x:c r="Q2015" s="59" t="b">
        <x:v>0</x:v>
      </x:c>
      <x:c r="R2015" t="str">
        <x:v>kein_transfer</x:v>
      </x:c>
      <x:c r="S2015"/>
      <x:c r="T2015"/>
      <x:c r="U2015"/>
      <x:c r="V2015" s="59" t="b">
        <x:v>1</x:v>
      </x:c>
      <x:c r="W2015"/>
      <x:c r="X2015" t="str">
        <x:v>offen</x:v>
      </x:c>
      <x:c r="Y2015" t="str">
        <x:v>Agent-Draft; Kategorie und Person pruefen</x:v>
      </x:c>
    </x:row>
    <x:row r="2016">
      <x:c r="A2016" t="str">
        <x:v>TXN-RAW-IMP-20260516-FULLDRAFT-002000</x:v>
      </x:c>
      <x:c r="B2016" t="str">
        <x:v>RAW-IMP-20260516-FULLDRAFT-002000</x:v>
      </x:c>
      <x:c r="C2016" t="str">
        <x:v>KTO001</x:v>
      </x:c>
      <x:c r="D2016"/>
      <x:c r="E2016" t="str">
        <x:v>KAT013</x:v>
      </x:c>
      <x:c r="F2016"/>
      <x:c r="G2016"/>
      <x:c r="H2016" t="str">
        <x:v>kein_match</x:v>
      </x:c>
      <x:c r="I2016" t="str">
        <x:v>Agent-Draft: keine finale Regelentscheidung</x:v>
      </x:c>
      <x:c r="J2016" t="n">
        <x:v>45482</x:v>
      </x:c>
      <x:c r="K2016"/>
      <x:c r="L2016"/>
      <x:c r="M2016" t="n">
        <x:v>-625.9</x:v>
      </x:c>
      <x:c r="N2016" t="str">
        <x:v>2024-07</x:v>
      </x:c>
      <x:c r="O2016" t="str">
        <x:v>Ausgabe</x:v>
      </x:c>
      <x:c r="P2016" t="str">
        <x:v>Ist</x:v>
      </x:c>
      <x:c r="Q2016" s="59" t="b">
        <x:v>0</x:v>
      </x:c>
      <x:c r="R2016" t="str">
        <x:v>kein_transfer</x:v>
      </x:c>
      <x:c r="S2016"/>
      <x:c r="T2016"/>
      <x:c r="U2016"/>
      <x:c r="V2016" s="59" t="b">
        <x:v>1</x:v>
      </x:c>
      <x:c r="W2016"/>
      <x:c r="X2016" t="str">
        <x:v>offen</x:v>
      </x:c>
      <x:c r="Y2016" t="str">
        <x:v>Agent-Draft; Kategorie und Person pruefen</x:v>
      </x:c>
    </x:row>
    <x:row r="2017">
      <x:c r="A2017" t="str">
        <x:v>TXN-RAW-IMP-20260516-FULLDRAFT-002001</x:v>
      </x:c>
      <x:c r="B2017" t="str">
        <x:v>RAW-IMP-20260516-FULLDRAFT-002001</x:v>
      </x:c>
      <x:c r="C2017" t="str">
        <x:v>KTO001</x:v>
      </x:c>
      <x:c r="D2017"/>
      <x:c r="E2017" t="str">
        <x:v>KAT013</x:v>
      </x:c>
      <x:c r="F2017"/>
      <x:c r="G2017"/>
      <x:c r="H2017" t="str">
        <x:v>kein_match</x:v>
      </x:c>
      <x:c r="I2017" t="str">
        <x:v>Agent-Draft: keine finale Regelentscheidung</x:v>
      </x:c>
      <x:c r="J2017" t="n">
        <x:v>45481</x:v>
      </x:c>
      <x:c r="K2017"/>
      <x:c r="L2017"/>
      <x:c r="M2017" t="n">
        <x:v>-10.7</x:v>
      </x:c>
      <x:c r="N2017" t="str">
        <x:v>2024-07</x:v>
      </x:c>
      <x:c r="O2017" t="str">
        <x:v>Ausgabe</x:v>
      </x:c>
      <x:c r="P2017" t="str">
        <x:v>Ist</x:v>
      </x:c>
      <x:c r="Q2017" s="59" t="b">
        <x:v>0</x:v>
      </x:c>
      <x:c r="R2017" t="str">
        <x:v>kein_transfer</x:v>
      </x:c>
      <x:c r="S2017"/>
      <x:c r="T2017"/>
      <x:c r="U2017"/>
      <x:c r="V2017" s="59" t="b">
        <x:v>1</x:v>
      </x:c>
      <x:c r="W2017"/>
      <x:c r="X2017" t="str">
        <x:v>offen</x:v>
      </x:c>
      <x:c r="Y2017" t="str">
        <x:v>Agent-Draft; Kategorie und Person pruefen</x:v>
      </x:c>
    </x:row>
    <x:row r="2018">
      <x:c r="A2018" t="str">
        <x:v>TXN-RAW-IMP-20260516-FULLDRAFT-002002</x:v>
      </x:c>
      <x:c r="B2018" t="str">
        <x:v>RAW-IMP-20260516-FULLDRAFT-002002</x:v>
      </x:c>
      <x:c r="C2018" t="str">
        <x:v>KTO001</x:v>
      </x:c>
      <x:c r="D2018"/>
      <x:c r="E2018" t="str">
        <x:v>KAT013</x:v>
      </x:c>
      <x:c r="F2018"/>
      <x:c r="G2018"/>
      <x:c r="H2018" t="str">
        <x:v>kein_match</x:v>
      </x:c>
      <x:c r="I2018" t="str">
        <x:v>Agent-Draft: keine finale Regelentscheidung</x:v>
      </x:c>
      <x:c r="J2018" t="n">
        <x:v>45481</x:v>
      </x:c>
      <x:c r="K2018"/>
      <x:c r="L2018"/>
      <x:c r="M2018" t="n">
        <x:v>-24.29</x:v>
      </x:c>
      <x:c r="N2018" t="str">
        <x:v>2024-07</x:v>
      </x:c>
      <x:c r="O2018" t="str">
        <x:v>Ausgabe</x:v>
      </x:c>
      <x:c r="P2018" t="str">
        <x:v>Ist</x:v>
      </x:c>
      <x:c r="Q2018" s="59" t="b">
        <x:v>0</x:v>
      </x:c>
      <x:c r="R2018" t="str">
        <x:v>kein_transfer</x:v>
      </x:c>
      <x:c r="S2018"/>
      <x:c r="T2018"/>
      <x:c r="U2018"/>
      <x:c r="V2018" s="59" t="b">
        <x:v>1</x:v>
      </x:c>
      <x:c r="W2018"/>
      <x:c r="X2018" t="str">
        <x:v>offen</x:v>
      </x:c>
      <x:c r="Y2018" t="str">
        <x:v>Agent-Draft; Kategorie und Person pruefen</x:v>
      </x:c>
    </x:row>
    <x:row r="2019">
      <x:c r="A2019" t="str">
        <x:v>TXN-RAW-IMP-20260516-FULLDRAFT-002003</x:v>
      </x:c>
      <x:c r="B2019" t="str">
        <x:v>RAW-IMP-20260516-FULLDRAFT-002003</x:v>
      </x:c>
      <x:c r="C2019" t="str">
        <x:v>KTO001</x:v>
      </x:c>
      <x:c r="D2019"/>
      <x:c r="E2019" t="str">
        <x:v>KAT013</x:v>
      </x:c>
      <x:c r="F2019"/>
      <x:c r="G2019"/>
      <x:c r="H2019" t="str">
        <x:v>kein_match</x:v>
      </x:c>
      <x:c r="I2019" t="str">
        <x:v>Agent-Draft: keine finale Regelentscheidung</x:v>
      </x:c>
      <x:c r="J2019" t="n">
        <x:v>45481</x:v>
      </x:c>
      <x:c r="K2019"/>
      <x:c r="L2019"/>
      <x:c r="M2019" t="n">
        <x:v>-193.06</x:v>
      </x:c>
      <x:c r="N2019" t="str">
        <x:v>2024-07</x:v>
      </x:c>
      <x:c r="O2019" t="str">
        <x:v>Ausgabe</x:v>
      </x:c>
      <x:c r="P2019" t="str">
        <x:v>Ist</x:v>
      </x:c>
      <x:c r="Q2019" s="59" t="b">
        <x:v>0</x:v>
      </x:c>
      <x:c r="R2019" t="str">
        <x:v>kein_transfer</x:v>
      </x:c>
      <x:c r="S2019"/>
      <x:c r="T2019"/>
      <x:c r="U2019"/>
      <x:c r="V2019" s="59" t="b">
        <x:v>1</x:v>
      </x:c>
      <x:c r="W2019"/>
      <x:c r="X2019" t="str">
        <x:v>offen</x:v>
      </x:c>
      <x:c r="Y2019" t="str">
        <x:v>Agent-Draft; Kategorie und Person pruefen</x:v>
      </x:c>
    </x:row>
    <x:row r="2020">
      <x:c r="A2020" t="str">
        <x:v>TXN-RAW-IMP-20260516-FULLDRAFT-002004</x:v>
      </x:c>
      <x:c r="B2020" t="str">
        <x:v>RAW-IMP-20260516-FULLDRAFT-002004</x:v>
      </x:c>
      <x:c r="C2020" t="str">
        <x:v>KTO001</x:v>
      </x:c>
      <x:c r="D2020"/>
      <x:c r="E2020" t="str">
        <x:v>KAT013</x:v>
      </x:c>
      <x:c r="F2020"/>
      <x:c r="G2020"/>
      <x:c r="H2020" t="str">
        <x:v>kein_match</x:v>
      </x:c>
      <x:c r="I2020" t="str">
        <x:v>Agent-Draft: keine finale Regelentscheidung</x:v>
      </x:c>
      <x:c r="J2020" t="n">
        <x:v>45481</x:v>
      </x:c>
      <x:c r="K2020"/>
      <x:c r="L2020"/>
      <x:c r="M2020" t="n">
        <x:v>-70</x:v>
      </x:c>
      <x:c r="N2020" t="str">
        <x:v>2024-07</x:v>
      </x:c>
      <x:c r="O2020" t="str">
        <x:v>Ausgabe</x:v>
      </x:c>
      <x:c r="P2020" t="str">
        <x:v>Ist</x:v>
      </x:c>
      <x:c r="Q2020" s="59" t="b">
        <x:v>0</x:v>
      </x:c>
      <x:c r="R2020" t="str">
        <x:v>kein_transfer</x:v>
      </x:c>
      <x:c r="S2020"/>
      <x:c r="T2020"/>
      <x:c r="U2020"/>
      <x:c r="V2020" s="59" t="b">
        <x:v>1</x:v>
      </x:c>
      <x:c r="W2020"/>
      <x:c r="X2020" t="str">
        <x:v>offen</x:v>
      </x:c>
      <x:c r="Y2020" t="str">
        <x:v>Agent-Draft; Kategorie und Person pruefen</x:v>
      </x:c>
    </x:row>
    <x:row r="2021">
      <x:c r="A2021" t="str">
        <x:v>TXN-RAW-IMP-20260516-FULLDRAFT-002005</x:v>
      </x:c>
      <x:c r="B2021" t="str">
        <x:v>RAW-IMP-20260516-FULLDRAFT-002005</x:v>
      </x:c>
      <x:c r="C2021" t="str">
        <x:v>KTO001</x:v>
      </x:c>
      <x:c r="D2021"/>
      <x:c r="E2021" t="str">
        <x:v>KAT013</x:v>
      </x:c>
      <x:c r="F2021"/>
      <x:c r="G2021"/>
      <x:c r="H2021" t="str">
        <x:v>kein_match</x:v>
      </x:c>
      <x:c r="I2021" t="str">
        <x:v>Agent-Draft: keine finale Regelentscheidung</x:v>
      </x:c>
      <x:c r="J2021" t="n">
        <x:v>45481</x:v>
      </x:c>
      <x:c r="K2021"/>
      <x:c r="L2021"/>
      <x:c r="M2021" t="n">
        <x:v>-32</x:v>
      </x:c>
      <x:c r="N2021" t="str">
        <x:v>2024-07</x:v>
      </x:c>
      <x:c r="O2021" t="str">
        <x:v>Ausgabe</x:v>
      </x:c>
      <x:c r="P2021" t="str">
        <x:v>Ist</x:v>
      </x:c>
      <x:c r="Q2021" s="59" t="b">
        <x:v>0</x:v>
      </x:c>
      <x:c r="R2021" t="str">
        <x:v>kein_transfer</x:v>
      </x:c>
      <x:c r="S2021"/>
      <x:c r="T2021"/>
      <x:c r="U2021"/>
      <x:c r="V2021" s="59" t="b">
        <x:v>1</x:v>
      </x:c>
      <x:c r="W2021"/>
      <x:c r="X2021" t="str">
        <x:v>offen</x:v>
      </x:c>
      <x:c r="Y2021" t="str">
        <x:v>Agent-Draft; Kategorie und Person pruefen</x:v>
      </x:c>
    </x:row>
    <x:row r="2022">
      <x:c r="A2022" t="str">
        <x:v>TXN-RAW-IMP-20260516-FULLDRAFT-002006</x:v>
      </x:c>
      <x:c r="B2022" t="str">
        <x:v>RAW-IMP-20260516-FULLDRAFT-002006</x:v>
      </x:c>
      <x:c r="C2022" t="str">
        <x:v>KTO001</x:v>
      </x:c>
      <x:c r="D2022"/>
      <x:c r="E2022" t="str">
        <x:v>KAT013</x:v>
      </x:c>
      <x:c r="F2022"/>
      <x:c r="G2022"/>
      <x:c r="H2022" t="str">
        <x:v>kein_match</x:v>
      </x:c>
      <x:c r="I2022" t="str">
        <x:v>Agent-Draft: keine finale Regelentscheidung</x:v>
      </x:c>
      <x:c r="J2022" t="n">
        <x:v>45481</x:v>
      </x:c>
      <x:c r="K2022"/>
      <x:c r="L2022"/>
      <x:c r="M2022" t="n">
        <x:v>-115.62</x:v>
      </x:c>
      <x:c r="N2022" t="str">
        <x:v>2024-07</x:v>
      </x:c>
      <x:c r="O2022" t="str">
        <x:v>Ausgabe</x:v>
      </x:c>
      <x:c r="P2022" t="str">
        <x:v>Ist</x:v>
      </x:c>
      <x:c r="Q2022" s="59" t="b">
        <x:v>0</x:v>
      </x:c>
      <x:c r="R2022" t="str">
        <x:v>kein_transfer</x:v>
      </x:c>
      <x:c r="S2022"/>
      <x:c r="T2022"/>
      <x:c r="U2022"/>
      <x:c r="V2022" s="59" t="b">
        <x:v>1</x:v>
      </x:c>
      <x:c r="W2022"/>
      <x:c r="X2022" t="str">
        <x:v>offen</x:v>
      </x:c>
      <x:c r="Y2022" t="str">
        <x:v>Agent-Draft; Kategorie und Person pruefen</x:v>
      </x:c>
    </x:row>
    <x:row r="2023">
      <x:c r="A2023" t="str">
        <x:v>TXN-RAW-IMP-20260516-FULLDRAFT-002007</x:v>
      </x:c>
      <x:c r="B2023" t="str">
        <x:v>RAW-IMP-20260516-FULLDRAFT-002007</x:v>
      </x:c>
      <x:c r="C2023" t="str">
        <x:v>KTO001</x:v>
      </x:c>
      <x:c r="D2023"/>
      <x:c r="E2023" t="str">
        <x:v>KAT013</x:v>
      </x:c>
      <x:c r="F2023"/>
      <x:c r="G2023"/>
      <x:c r="H2023" t="str">
        <x:v>kein_match</x:v>
      </x:c>
      <x:c r="I2023" t="str">
        <x:v>Agent-Draft: keine finale Regelentscheidung</x:v>
      </x:c>
      <x:c r="J2023" t="n">
        <x:v>45481</x:v>
      </x:c>
      <x:c r="K2023"/>
      <x:c r="L2023"/>
      <x:c r="M2023" t="n">
        <x:v>-125.75</x:v>
      </x:c>
      <x:c r="N2023" t="str">
        <x:v>2024-07</x:v>
      </x:c>
      <x:c r="O2023" t="str">
        <x:v>Ausgabe</x:v>
      </x:c>
      <x:c r="P2023" t="str">
        <x:v>Ist</x:v>
      </x:c>
      <x:c r="Q2023" s="59" t="b">
        <x:v>0</x:v>
      </x:c>
      <x:c r="R2023" t="str">
        <x:v>kein_transfer</x:v>
      </x:c>
      <x:c r="S2023"/>
      <x:c r="T2023"/>
      <x:c r="U2023"/>
      <x:c r="V2023" s="59" t="b">
        <x:v>1</x:v>
      </x:c>
      <x:c r="W2023"/>
      <x:c r="X2023" t="str">
        <x:v>offen</x:v>
      </x:c>
      <x:c r="Y2023" t="str">
        <x:v>Agent-Draft; Kategorie und Person pruefen</x:v>
      </x:c>
    </x:row>
    <x:row r="2024">
      <x:c r="A2024" t="str">
        <x:v>TXN-RAW-IMP-20260516-FULLDRAFT-002008</x:v>
      </x:c>
      <x:c r="B2024" t="str">
        <x:v>RAW-IMP-20260516-FULLDRAFT-002008</x:v>
      </x:c>
      <x:c r="C2024" t="str">
        <x:v>KTO001</x:v>
      </x:c>
      <x:c r="D2024"/>
      <x:c r="E2024" t="str">
        <x:v>KAT013</x:v>
      </x:c>
      <x:c r="F2024"/>
      <x:c r="G2024"/>
      <x:c r="H2024" t="str">
        <x:v>kein_match</x:v>
      </x:c>
      <x:c r="I2024" t="str">
        <x:v>Agent-Draft: keine finale Regelentscheidung</x:v>
      </x:c>
      <x:c r="J2024" t="n">
        <x:v>45481</x:v>
      </x:c>
      <x:c r="K2024"/>
      <x:c r="L2024"/>
      <x:c r="M2024" t="n">
        <x:v>-25.3</x:v>
      </x:c>
      <x:c r="N2024" t="str">
        <x:v>2024-07</x:v>
      </x:c>
      <x:c r="O2024" t="str">
        <x:v>Ausgabe</x:v>
      </x:c>
      <x:c r="P2024" t="str">
        <x:v>Ist</x:v>
      </x:c>
      <x:c r="Q2024" s="59" t="b">
        <x:v>0</x:v>
      </x:c>
      <x:c r="R2024" t="str">
        <x:v>kein_transfer</x:v>
      </x:c>
      <x:c r="S2024"/>
      <x:c r="T2024"/>
      <x:c r="U2024"/>
      <x:c r="V2024" s="59" t="b">
        <x:v>1</x:v>
      </x:c>
      <x:c r="W2024"/>
      <x:c r="X2024" t="str">
        <x:v>offen</x:v>
      </x:c>
      <x:c r="Y2024" t="str">
        <x:v>Agent-Draft; Kategorie und Person pruefen</x:v>
      </x:c>
    </x:row>
    <x:row r="2025">
      <x:c r="A2025" t="str">
        <x:v>TXN-RAW-IMP-20260516-FULLDRAFT-002009</x:v>
      </x:c>
      <x:c r="B2025" t="str">
        <x:v>RAW-IMP-20260516-FULLDRAFT-002009</x:v>
      </x:c>
      <x:c r="C2025" t="str">
        <x:v>KTO001</x:v>
      </x:c>
      <x:c r="D2025"/>
      <x:c r="E2025" t="str">
        <x:v>KAT013</x:v>
      </x:c>
      <x:c r="F2025"/>
      <x:c r="G2025"/>
      <x:c r="H2025" t="str">
        <x:v>kein_match</x:v>
      </x:c>
      <x:c r="I2025" t="str">
        <x:v>Agent-Draft: keine finale Regelentscheidung</x:v>
      </x:c>
      <x:c r="J2025" t="n">
        <x:v>45481</x:v>
      </x:c>
      <x:c r="K2025"/>
      <x:c r="L2025"/>
      <x:c r="M2025" t="n">
        <x:v>-3.9</x:v>
      </x:c>
      <x:c r="N2025" t="str">
        <x:v>2024-07</x:v>
      </x:c>
      <x:c r="O2025" t="str">
        <x:v>Ausgabe</x:v>
      </x:c>
      <x:c r="P2025" t="str">
        <x:v>Ist</x:v>
      </x:c>
      <x:c r="Q2025" s="59" t="b">
        <x:v>0</x:v>
      </x:c>
      <x:c r="R2025" t="str">
        <x:v>kein_transfer</x:v>
      </x:c>
      <x:c r="S2025"/>
      <x:c r="T2025"/>
      <x:c r="U2025"/>
      <x:c r="V2025" s="59" t="b">
        <x:v>1</x:v>
      </x:c>
      <x:c r="W2025"/>
      <x:c r="X2025" t="str">
        <x:v>offen</x:v>
      </x:c>
      <x:c r="Y2025" t="str">
        <x:v>Agent-Draft; Kategorie und Person pruefen</x:v>
      </x:c>
    </x:row>
    <x:row r="2026">
      <x:c r="A2026" t="str">
        <x:v>TXN-RAW-IMP-20260516-FULLDRAFT-002010</x:v>
      </x:c>
      <x:c r="B2026" t="str">
        <x:v>RAW-IMP-20260516-FULLDRAFT-002010</x:v>
      </x:c>
      <x:c r="C2026" t="str">
        <x:v>KTO001</x:v>
      </x:c>
      <x:c r="D2026"/>
      <x:c r="E2026" t="str">
        <x:v>KAT013</x:v>
      </x:c>
      <x:c r="F2026"/>
      <x:c r="G2026"/>
      <x:c r="H2026" t="str">
        <x:v>kein_match</x:v>
      </x:c>
      <x:c r="I2026" t="str">
        <x:v>Agent-Draft: keine finale Regelentscheidung</x:v>
      </x:c>
      <x:c r="J2026" t="n">
        <x:v>45481</x:v>
      </x:c>
      <x:c r="K2026"/>
      <x:c r="L2026"/>
      <x:c r="M2026" t="n">
        <x:v>-42</x:v>
      </x:c>
      <x:c r="N2026" t="str">
        <x:v>2024-07</x:v>
      </x:c>
      <x:c r="O2026" t="str">
        <x:v>Ausgabe</x:v>
      </x:c>
      <x:c r="P2026" t="str">
        <x:v>Ist</x:v>
      </x:c>
      <x:c r="Q2026" s="59" t="b">
        <x:v>0</x:v>
      </x:c>
      <x:c r="R2026" t="str">
        <x:v>kein_transfer</x:v>
      </x:c>
      <x:c r="S2026"/>
      <x:c r="T2026"/>
      <x:c r="U2026"/>
      <x:c r="V2026" s="59" t="b">
        <x:v>1</x:v>
      </x:c>
      <x:c r="W2026"/>
      <x:c r="X2026" t="str">
        <x:v>offen</x:v>
      </x:c>
      <x:c r="Y2026" t="str">
        <x:v>Agent-Draft; Kategorie und Person pruefen</x:v>
      </x:c>
    </x:row>
    <x:row r="2027">
      <x:c r="A2027" t="str">
        <x:v>TXN-RAW-IMP-20260516-FULLDRAFT-002011</x:v>
      </x:c>
      <x:c r="B2027" t="str">
        <x:v>RAW-IMP-20260516-FULLDRAFT-002011</x:v>
      </x:c>
      <x:c r="C2027" t="str">
        <x:v>KTO001</x:v>
      </x:c>
      <x:c r="D2027"/>
      <x:c r="E2027" t="str">
        <x:v>KAT013</x:v>
      </x:c>
      <x:c r="F2027"/>
      <x:c r="G2027"/>
      <x:c r="H2027" t="str">
        <x:v>kein_match</x:v>
      </x:c>
      <x:c r="I2027" t="str">
        <x:v>Agent-Draft: keine finale Regelentscheidung</x:v>
      </x:c>
      <x:c r="J2027" t="n">
        <x:v>45481</x:v>
      </x:c>
      <x:c r="K2027"/>
      <x:c r="L2027"/>
      <x:c r="M2027" t="n">
        <x:v>-48.98</x:v>
      </x:c>
      <x:c r="N2027" t="str">
        <x:v>2024-07</x:v>
      </x:c>
      <x:c r="O2027" t="str">
        <x:v>Ausgabe</x:v>
      </x:c>
      <x:c r="P2027" t="str">
        <x:v>Ist</x:v>
      </x:c>
      <x:c r="Q2027" s="59" t="b">
        <x:v>0</x:v>
      </x:c>
      <x:c r="R2027" t="str">
        <x:v>kein_transfer</x:v>
      </x:c>
      <x:c r="S2027"/>
      <x:c r="T2027"/>
      <x:c r="U2027"/>
      <x:c r="V2027" s="59" t="b">
        <x:v>1</x:v>
      </x:c>
      <x:c r="W2027"/>
      <x:c r="X2027" t="str">
        <x:v>offen</x:v>
      </x:c>
      <x:c r="Y2027" t="str">
        <x:v>Agent-Draft; Kategorie und Person pruefen</x:v>
      </x:c>
    </x:row>
    <x:row r="2028">
      <x:c r="A2028" t="str">
        <x:v>TXN-RAW-IMP-20260516-FULLDRAFT-002012</x:v>
      </x:c>
      <x:c r="B2028" t="str">
        <x:v>RAW-IMP-20260516-FULLDRAFT-002012</x:v>
      </x:c>
      <x:c r="C2028" t="str">
        <x:v>KTO001</x:v>
      </x:c>
      <x:c r="D2028"/>
      <x:c r="E2028" t="str">
        <x:v>KAT013</x:v>
      </x:c>
      <x:c r="F2028"/>
      <x:c r="G2028"/>
      <x:c r="H2028" t="str">
        <x:v>kein_match</x:v>
      </x:c>
      <x:c r="I2028" t="str">
        <x:v>Agent-Draft: keine finale Regelentscheidung</x:v>
      </x:c>
      <x:c r="J2028" t="n">
        <x:v>45481</x:v>
      </x:c>
      <x:c r="K2028"/>
      <x:c r="L2028"/>
      <x:c r="M2028" t="n">
        <x:v>-3.1</x:v>
      </x:c>
      <x:c r="N2028" t="str">
        <x:v>2024-07</x:v>
      </x:c>
      <x:c r="O2028" t="str">
        <x:v>Ausgabe</x:v>
      </x:c>
      <x:c r="P2028" t="str">
        <x:v>Ist</x:v>
      </x:c>
      <x:c r="Q2028" s="59" t="b">
        <x:v>0</x:v>
      </x:c>
      <x:c r="R2028" t="str">
        <x:v>kein_transfer</x:v>
      </x:c>
      <x:c r="S2028"/>
      <x:c r="T2028"/>
      <x:c r="U2028"/>
      <x:c r="V2028" s="59" t="b">
        <x:v>1</x:v>
      </x:c>
      <x:c r="W2028"/>
      <x:c r="X2028" t="str">
        <x:v>offen</x:v>
      </x:c>
      <x:c r="Y2028" t="str">
        <x:v>Agent-Draft; Kategorie und Person pruefen</x:v>
      </x:c>
    </x:row>
    <x:row r="2029">
      <x:c r="A2029" t="str">
        <x:v>TXN-RAW-IMP-20260516-FULLDRAFT-002013</x:v>
      </x:c>
      <x:c r="B2029" t="str">
        <x:v>RAW-IMP-20260516-FULLDRAFT-002013</x:v>
      </x:c>
      <x:c r="C2029" t="str">
        <x:v>KTO001</x:v>
      </x:c>
      <x:c r="D2029"/>
      <x:c r="E2029" t="str">
        <x:v>KAT013</x:v>
      </x:c>
      <x:c r="F2029"/>
      <x:c r="G2029"/>
      <x:c r="H2029" t="str">
        <x:v>kein_match</x:v>
      </x:c>
      <x:c r="I2029" t="str">
        <x:v>Agent-Draft: keine finale Regelentscheidung</x:v>
      </x:c>
      <x:c r="J2029" t="n">
        <x:v>45481</x:v>
      </x:c>
      <x:c r="K2029"/>
      <x:c r="L2029"/>
      <x:c r="M2029" t="n">
        <x:v>-18</x:v>
      </x:c>
      <x:c r="N2029" t="str">
        <x:v>2024-07</x:v>
      </x:c>
      <x:c r="O2029" t="str">
        <x:v>Ausgabe</x:v>
      </x:c>
      <x:c r="P2029" t="str">
        <x:v>Ist</x:v>
      </x:c>
      <x:c r="Q2029" s="59" t="b">
        <x:v>0</x:v>
      </x:c>
      <x:c r="R2029" t="str">
        <x:v>kein_transfer</x:v>
      </x:c>
      <x:c r="S2029"/>
      <x:c r="T2029"/>
      <x:c r="U2029"/>
      <x:c r="V2029" s="59" t="b">
        <x:v>1</x:v>
      </x:c>
      <x:c r="W2029"/>
      <x:c r="X2029" t="str">
        <x:v>offen</x:v>
      </x:c>
      <x:c r="Y2029" t="str">
        <x:v>Agent-Draft; Kategorie und Person pruefen</x:v>
      </x:c>
    </x:row>
    <x:row r="2030">
      <x:c r="A2030" t="str">
        <x:v>TXN-RAW-IMP-20260516-FULLDRAFT-002014</x:v>
      </x:c>
      <x:c r="B2030" t="str">
        <x:v>RAW-IMP-20260516-FULLDRAFT-002014</x:v>
      </x:c>
      <x:c r="C2030" t="str">
        <x:v>KTO001</x:v>
      </x:c>
      <x:c r="D2030"/>
      <x:c r="E2030" t="str">
        <x:v>KAT013</x:v>
      </x:c>
      <x:c r="F2030"/>
      <x:c r="G2030"/>
      <x:c r="H2030" t="str">
        <x:v>kein_match</x:v>
      </x:c>
      <x:c r="I2030" t="str">
        <x:v>Agent-Draft: keine finale Regelentscheidung</x:v>
      </x:c>
      <x:c r="J2030" t="n">
        <x:v>45481</x:v>
      </x:c>
      <x:c r="K2030"/>
      <x:c r="L2030"/>
      <x:c r="M2030" t="n">
        <x:v>-49.9</x:v>
      </x:c>
      <x:c r="N2030" t="str">
        <x:v>2024-07</x:v>
      </x:c>
      <x:c r="O2030" t="str">
        <x:v>Ausgabe</x:v>
      </x:c>
      <x:c r="P2030" t="str">
        <x:v>Ist</x:v>
      </x:c>
      <x:c r="Q2030" s="59" t="b">
        <x:v>0</x:v>
      </x:c>
      <x:c r="R2030" t="str">
        <x:v>kein_transfer</x:v>
      </x:c>
      <x:c r="S2030"/>
      <x:c r="T2030"/>
      <x:c r="U2030"/>
      <x:c r="V2030" s="59" t="b">
        <x:v>1</x:v>
      </x:c>
      <x:c r="W2030"/>
      <x:c r="X2030" t="str">
        <x:v>offen</x:v>
      </x:c>
      <x:c r="Y2030" t="str">
        <x:v>Agent-Draft; Kategorie und Person pruefen</x:v>
      </x:c>
    </x:row>
    <x:row r="2031">
      <x:c r="A2031" t="str">
        <x:v>TXN-RAW-IMP-20260516-FULLDRAFT-002015</x:v>
      </x:c>
      <x:c r="B2031" t="str">
        <x:v>RAW-IMP-20260516-FULLDRAFT-002015</x:v>
      </x:c>
      <x:c r="C2031" t="str">
        <x:v>KTO001</x:v>
      </x:c>
      <x:c r="D2031"/>
      <x:c r="E2031" t="str">
        <x:v>KAT013</x:v>
      </x:c>
      <x:c r="F2031"/>
      <x:c r="G2031"/>
      <x:c r="H2031" t="str">
        <x:v>kein_match</x:v>
      </x:c>
      <x:c r="I2031" t="str">
        <x:v>Agent-Draft: keine finale Regelentscheidung</x:v>
      </x:c>
      <x:c r="J2031" t="n">
        <x:v>45478</x:v>
      </x:c>
      <x:c r="K2031"/>
      <x:c r="L2031"/>
      <x:c r="M2031" t="n">
        <x:v>-109.83</x:v>
      </x:c>
      <x:c r="N2031" t="str">
        <x:v>2024-07</x:v>
      </x:c>
      <x:c r="O2031" t="str">
        <x:v>Ausgabe</x:v>
      </x:c>
      <x:c r="P2031" t="str">
        <x:v>Ist</x:v>
      </x:c>
      <x:c r="Q2031" s="59" t="b">
        <x:v>0</x:v>
      </x:c>
      <x:c r="R2031" t="str">
        <x:v>kein_transfer</x:v>
      </x:c>
      <x:c r="S2031"/>
      <x:c r="T2031"/>
      <x:c r="U2031"/>
      <x:c r="V2031" s="59" t="b">
        <x:v>1</x:v>
      </x:c>
      <x:c r="W2031"/>
      <x:c r="X2031" t="str">
        <x:v>offen</x:v>
      </x:c>
      <x:c r="Y2031" t="str">
        <x:v>Agent-Draft; Kategorie und Person pruefen</x:v>
      </x:c>
    </x:row>
    <x:row r="2032">
      <x:c r="A2032" t="str">
        <x:v>TXN-RAW-IMP-20260516-FULLDRAFT-002016</x:v>
      </x:c>
      <x:c r="B2032" t="str">
        <x:v>RAW-IMP-20260516-FULLDRAFT-002016</x:v>
      </x:c>
      <x:c r="C2032" t="str">
        <x:v>KTO001</x:v>
      </x:c>
      <x:c r="D2032"/>
      <x:c r="E2032" t="str">
        <x:v>KAT013</x:v>
      </x:c>
      <x:c r="F2032"/>
      <x:c r="G2032"/>
      <x:c r="H2032" t="str">
        <x:v>kein_match</x:v>
      </x:c>
      <x:c r="I2032" t="str">
        <x:v>Agent-Draft: keine finale Regelentscheidung</x:v>
      </x:c>
      <x:c r="J2032" t="n">
        <x:v>45478</x:v>
      </x:c>
      <x:c r="K2032"/>
      <x:c r="L2032"/>
      <x:c r="M2032" t="n">
        <x:v>-19.5</x:v>
      </x:c>
      <x:c r="N2032" t="str">
        <x:v>2024-07</x:v>
      </x:c>
      <x:c r="O2032" t="str">
        <x:v>Ausgabe</x:v>
      </x:c>
      <x:c r="P2032" t="str">
        <x:v>Ist</x:v>
      </x:c>
      <x:c r="Q2032" s="59" t="b">
        <x:v>0</x:v>
      </x:c>
      <x:c r="R2032" t="str">
        <x:v>kein_transfer</x:v>
      </x:c>
      <x:c r="S2032"/>
      <x:c r="T2032"/>
      <x:c r="U2032"/>
      <x:c r="V2032" s="59" t="b">
        <x:v>1</x:v>
      </x:c>
      <x:c r="W2032"/>
      <x:c r="X2032" t="str">
        <x:v>offen</x:v>
      </x:c>
      <x:c r="Y2032" t="str">
        <x:v>Agent-Draft; Kategorie und Person pruefen</x:v>
      </x:c>
    </x:row>
    <x:row r="2033">
      <x:c r="A2033" t="str">
        <x:v>TXN-RAW-IMP-20260516-FULLDRAFT-002017</x:v>
      </x:c>
      <x:c r="B2033" t="str">
        <x:v>RAW-IMP-20260516-FULLDRAFT-002017</x:v>
      </x:c>
      <x:c r="C2033" t="str">
        <x:v>KTO001</x:v>
      </x:c>
      <x:c r="D2033"/>
      <x:c r="E2033" t="str">
        <x:v>KAT013</x:v>
      </x:c>
      <x:c r="F2033"/>
      <x:c r="G2033"/>
      <x:c r="H2033" t="str">
        <x:v>kein_match</x:v>
      </x:c>
      <x:c r="I2033" t="str">
        <x:v>Agent-Draft: keine finale Regelentscheidung</x:v>
      </x:c>
      <x:c r="J2033" t="n">
        <x:v>45478</x:v>
      </x:c>
      <x:c r="K2033"/>
      <x:c r="L2033"/>
      <x:c r="M2033" t="n">
        <x:v>-11.18</x:v>
      </x:c>
      <x:c r="N2033" t="str">
        <x:v>2024-07</x:v>
      </x:c>
      <x:c r="O2033" t="str">
        <x:v>Ausgabe</x:v>
      </x:c>
      <x:c r="P2033" t="str">
        <x:v>Ist</x:v>
      </x:c>
      <x:c r="Q2033" s="59" t="b">
        <x:v>0</x:v>
      </x:c>
      <x:c r="R2033" t="str">
        <x:v>kein_transfer</x:v>
      </x:c>
      <x:c r="S2033"/>
      <x:c r="T2033"/>
      <x:c r="U2033"/>
      <x:c r="V2033" s="59" t="b">
        <x:v>1</x:v>
      </x:c>
      <x:c r="W2033"/>
      <x:c r="X2033" t="str">
        <x:v>offen</x:v>
      </x:c>
      <x:c r="Y2033" t="str">
        <x:v>Agent-Draft; Kategorie und Person pruefen</x:v>
      </x:c>
    </x:row>
    <x:row r="2034">
      <x:c r="A2034" t="str">
        <x:v>TXN-RAW-IMP-20260516-FULLDRAFT-002018</x:v>
      </x:c>
      <x:c r="B2034" t="str">
        <x:v>RAW-IMP-20260516-FULLDRAFT-002018</x:v>
      </x:c>
      <x:c r="C2034" t="str">
        <x:v>KTO001</x:v>
      </x:c>
      <x:c r="D2034"/>
      <x:c r="E2034" t="str">
        <x:v>KAT013</x:v>
      </x:c>
      <x:c r="F2034"/>
      <x:c r="G2034"/>
      <x:c r="H2034" t="str">
        <x:v>kein_match</x:v>
      </x:c>
      <x:c r="I2034" t="str">
        <x:v>Agent-Draft: keine finale Regelentscheidung</x:v>
      </x:c>
      <x:c r="J2034" t="n">
        <x:v>45478</x:v>
      </x:c>
      <x:c r="K2034"/>
      <x:c r="L2034"/>
      <x:c r="M2034" t="n">
        <x:v>-350</x:v>
      </x:c>
      <x:c r="N2034" t="str">
        <x:v>2024-07</x:v>
      </x:c>
      <x:c r="O2034" t="str">
        <x:v>Ausgabe</x:v>
      </x:c>
      <x:c r="P2034" t="str">
        <x:v>Ist</x:v>
      </x:c>
      <x:c r="Q2034" s="59" t="b">
        <x:v>0</x:v>
      </x:c>
      <x:c r="R2034" t="str">
        <x:v>kein_transfer</x:v>
      </x:c>
      <x:c r="S2034"/>
      <x:c r="T2034"/>
      <x:c r="U2034"/>
      <x:c r="V2034" s="59" t="b">
        <x:v>1</x:v>
      </x:c>
      <x:c r="W2034"/>
      <x:c r="X2034" t="str">
        <x:v>offen</x:v>
      </x:c>
      <x:c r="Y2034" t="str">
        <x:v>Agent-Draft; Kategorie und Person pruefen</x:v>
      </x:c>
    </x:row>
    <x:row r="2035">
      <x:c r="A2035" t="str">
        <x:v>TXN-RAW-IMP-20260516-FULLDRAFT-002019</x:v>
      </x:c>
      <x:c r="B2035" t="str">
        <x:v>RAW-IMP-20260516-FULLDRAFT-002019</x:v>
      </x:c>
      <x:c r="C2035" t="str">
        <x:v>KTO001</x:v>
      </x:c>
      <x:c r="D2035"/>
      <x:c r="E2035" t="str">
        <x:v>KAT013</x:v>
      </x:c>
      <x:c r="F2035"/>
      <x:c r="G2035"/>
      <x:c r="H2035" t="str">
        <x:v>kein_match</x:v>
      </x:c>
      <x:c r="I2035" t="str">
        <x:v>Agent-Draft: keine finale Regelentscheidung</x:v>
      </x:c>
      <x:c r="J2035" t="n">
        <x:v>45477</x:v>
      </x:c>
      <x:c r="K2035"/>
      <x:c r="L2035"/>
      <x:c r="M2035" t="n">
        <x:v>-64.39</x:v>
      </x:c>
      <x:c r="N2035" t="str">
        <x:v>2024-07</x:v>
      </x:c>
      <x:c r="O2035" t="str">
        <x:v>Ausgabe</x:v>
      </x:c>
      <x:c r="P2035" t="str">
        <x:v>Ist</x:v>
      </x:c>
      <x:c r="Q2035" s="59" t="b">
        <x:v>0</x:v>
      </x:c>
      <x:c r="R2035" t="str">
        <x:v>kein_transfer</x:v>
      </x:c>
      <x:c r="S2035"/>
      <x:c r="T2035"/>
      <x:c r="U2035"/>
      <x:c r="V2035" s="59" t="b">
        <x:v>1</x:v>
      </x:c>
      <x:c r="W2035"/>
      <x:c r="X2035" t="str">
        <x:v>offen</x:v>
      </x:c>
      <x:c r="Y2035" t="str">
        <x:v>Agent-Draft; Kategorie und Person pruefen</x:v>
      </x:c>
    </x:row>
    <x:row r="2036">
      <x:c r="A2036" t="str">
        <x:v>TXN-RAW-IMP-20260516-FULLDRAFT-002020</x:v>
      </x:c>
      <x:c r="B2036" t="str">
        <x:v>RAW-IMP-20260516-FULLDRAFT-002020</x:v>
      </x:c>
      <x:c r="C2036" t="str">
        <x:v>KTO001</x:v>
      </x:c>
      <x:c r="D2036"/>
      <x:c r="E2036" t="str">
        <x:v>KAT013</x:v>
      </x:c>
      <x:c r="F2036"/>
      <x:c r="G2036"/>
      <x:c r="H2036" t="str">
        <x:v>kein_match</x:v>
      </x:c>
      <x:c r="I2036" t="str">
        <x:v>Agent-Draft: keine finale Regelentscheidung</x:v>
      </x:c>
      <x:c r="J2036" t="n">
        <x:v>45477</x:v>
      </x:c>
      <x:c r="K2036"/>
      <x:c r="L2036"/>
      <x:c r="M2036" t="n">
        <x:v>-3.81</x:v>
      </x:c>
      <x:c r="N2036" t="str">
        <x:v>2024-07</x:v>
      </x:c>
      <x:c r="O2036" t="str">
        <x:v>Ausgabe</x:v>
      </x:c>
      <x:c r="P2036" t="str">
        <x:v>Ist</x:v>
      </x:c>
      <x:c r="Q2036" s="59" t="b">
        <x:v>0</x:v>
      </x:c>
      <x:c r="R2036" t="str">
        <x:v>kein_transfer</x:v>
      </x:c>
      <x:c r="S2036"/>
      <x:c r="T2036"/>
      <x:c r="U2036"/>
      <x:c r="V2036" s="59" t="b">
        <x:v>1</x:v>
      </x:c>
      <x:c r="W2036"/>
      <x:c r="X2036" t="str">
        <x:v>offen</x:v>
      </x:c>
      <x:c r="Y2036" t="str">
        <x:v>Agent-Draft; Kategorie und Person pruefen</x:v>
      </x:c>
    </x:row>
    <x:row r="2037">
      <x:c r="A2037" t="str">
        <x:v>TXN-RAW-IMP-20260516-FULLDRAFT-002021</x:v>
      </x:c>
      <x:c r="B2037" t="str">
        <x:v>RAW-IMP-20260516-FULLDRAFT-002021</x:v>
      </x:c>
      <x:c r="C2037" t="str">
        <x:v>KTO001</x:v>
      </x:c>
      <x:c r="D2037"/>
      <x:c r="E2037" t="str">
        <x:v>KAT013</x:v>
      </x:c>
      <x:c r="F2037"/>
      <x:c r="G2037"/>
      <x:c r="H2037" t="str">
        <x:v>kein_match</x:v>
      </x:c>
      <x:c r="I2037" t="str">
        <x:v>Agent-Draft: keine finale Regelentscheidung</x:v>
      </x:c>
      <x:c r="J2037" t="n">
        <x:v>45477</x:v>
      </x:c>
      <x:c r="K2037"/>
      <x:c r="L2037"/>
      <x:c r="M2037" t="n">
        <x:v>-21.95</x:v>
      </x:c>
      <x:c r="N2037" t="str">
        <x:v>2024-07</x:v>
      </x:c>
      <x:c r="O2037" t="str">
        <x:v>Ausgabe</x:v>
      </x:c>
      <x:c r="P2037" t="str">
        <x:v>Ist</x:v>
      </x:c>
      <x:c r="Q2037" s="59" t="b">
        <x:v>0</x:v>
      </x:c>
      <x:c r="R2037" t="str">
        <x:v>kein_transfer</x:v>
      </x:c>
      <x:c r="S2037"/>
      <x:c r="T2037"/>
      <x:c r="U2037"/>
      <x:c r="V2037" s="59" t="b">
        <x:v>1</x:v>
      </x:c>
      <x:c r="W2037"/>
      <x:c r="X2037" t="str">
        <x:v>offen</x:v>
      </x:c>
      <x:c r="Y2037" t="str">
        <x:v>Agent-Draft; Kategorie und Person pruefen</x:v>
      </x:c>
    </x:row>
    <x:row r="2038">
      <x:c r="A2038" t="str">
        <x:v>TXN-RAW-IMP-20260516-FULLDRAFT-002022</x:v>
      </x:c>
      <x:c r="B2038" t="str">
        <x:v>RAW-IMP-20260516-FULLDRAFT-002022</x:v>
      </x:c>
      <x:c r="C2038" t="str">
        <x:v>KTO001</x:v>
      </x:c>
      <x:c r="D2038"/>
      <x:c r="E2038" t="str">
        <x:v>KAT013</x:v>
      </x:c>
      <x:c r="F2038"/>
      <x:c r="G2038"/>
      <x:c r="H2038" t="str">
        <x:v>kein_match</x:v>
      </x:c>
      <x:c r="I2038" t="str">
        <x:v>Agent-Draft: keine finale Regelentscheidung</x:v>
      </x:c>
      <x:c r="J2038" t="n">
        <x:v>45477</x:v>
      </x:c>
      <x:c r="K2038"/>
      <x:c r="L2038"/>
      <x:c r="M2038" t="n">
        <x:v>-101.95</x:v>
      </x:c>
      <x:c r="N2038" t="str">
        <x:v>2024-07</x:v>
      </x:c>
      <x:c r="O2038" t="str">
        <x:v>Ausgabe</x:v>
      </x:c>
      <x:c r="P2038" t="str">
        <x:v>Ist</x:v>
      </x:c>
      <x:c r="Q2038" s="59" t="b">
        <x:v>0</x:v>
      </x:c>
      <x:c r="R2038" t="str">
        <x:v>kein_transfer</x:v>
      </x:c>
      <x:c r="S2038"/>
      <x:c r="T2038"/>
      <x:c r="U2038"/>
      <x:c r="V2038" s="59" t="b">
        <x:v>1</x:v>
      </x:c>
      <x:c r="W2038"/>
      <x:c r="X2038" t="str">
        <x:v>offen</x:v>
      </x:c>
      <x:c r="Y2038" t="str">
        <x:v>Agent-Draft; Kategorie und Person pruefen</x:v>
      </x:c>
    </x:row>
    <x:row r="2039">
      <x:c r="A2039" t="str">
        <x:v>TXN-RAW-IMP-20260516-FULLDRAFT-002023</x:v>
      </x:c>
      <x:c r="B2039" t="str">
        <x:v>RAW-IMP-20260516-FULLDRAFT-002023</x:v>
      </x:c>
      <x:c r="C2039" t="str">
        <x:v>KTO001</x:v>
      </x:c>
      <x:c r="D2039"/>
      <x:c r="E2039" t="str">
        <x:v>KAT013</x:v>
      </x:c>
      <x:c r="F2039"/>
      <x:c r="G2039"/>
      <x:c r="H2039" t="str">
        <x:v>kein_match</x:v>
      </x:c>
      <x:c r="I2039" t="str">
        <x:v>Agent-Draft: keine finale Regelentscheidung</x:v>
      </x:c>
      <x:c r="J2039" t="n">
        <x:v>45477</x:v>
      </x:c>
      <x:c r="K2039"/>
      <x:c r="L2039"/>
      <x:c r="M2039" t="n">
        <x:v>-0.99</x:v>
      </x:c>
      <x:c r="N2039" t="str">
        <x:v>2024-07</x:v>
      </x:c>
      <x:c r="O2039" t="str">
        <x:v>Ausgabe</x:v>
      </x:c>
      <x:c r="P2039" t="str">
        <x:v>Ist</x:v>
      </x:c>
      <x:c r="Q2039" s="59" t="b">
        <x:v>0</x:v>
      </x:c>
      <x:c r="R2039" t="str">
        <x:v>kein_transfer</x:v>
      </x:c>
      <x:c r="S2039"/>
      <x:c r="T2039"/>
      <x:c r="U2039"/>
      <x:c r="V2039" s="59" t="b">
        <x:v>1</x:v>
      </x:c>
      <x:c r="W2039"/>
      <x:c r="X2039" t="str">
        <x:v>offen</x:v>
      </x:c>
      <x:c r="Y2039" t="str">
        <x:v>Agent-Draft; Kategorie und Person pruefen</x:v>
      </x:c>
    </x:row>
    <x:row r="2040">
      <x:c r="A2040" t="str">
        <x:v>TXN-RAW-IMP-20260516-FULLDRAFT-002024</x:v>
      </x:c>
      <x:c r="B2040" t="str">
        <x:v>RAW-IMP-20260516-FULLDRAFT-002024</x:v>
      </x:c>
      <x:c r="C2040" t="str">
        <x:v>KTO001</x:v>
      </x:c>
      <x:c r="D2040"/>
      <x:c r="E2040" t="str">
        <x:v>KAT013</x:v>
      </x:c>
      <x:c r="F2040"/>
      <x:c r="G2040"/>
      <x:c r="H2040" t="str">
        <x:v>kein_match</x:v>
      </x:c>
      <x:c r="I2040" t="str">
        <x:v>Agent-Draft: keine finale Regelentscheidung</x:v>
      </x:c>
      <x:c r="J2040" t="n">
        <x:v>45477</x:v>
      </x:c>
      <x:c r="K2040"/>
      <x:c r="L2040"/>
      <x:c r="M2040" t="n">
        <x:v>-61.94</x:v>
      </x:c>
      <x:c r="N2040" t="str">
        <x:v>2024-07</x:v>
      </x:c>
      <x:c r="O2040" t="str">
        <x:v>Ausgabe</x:v>
      </x:c>
      <x:c r="P2040" t="str">
        <x:v>Ist</x:v>
      </x:c>
      <x:c r="Q2040" s="59" t="b">
        <x:v>0</x:v>
      </x:c>
      <x:c r="R2040" t="str">
        <x:v>kein_transfer</x:v>
      </x:c>
      <x:c r="S2040"/>
      <x:c r="T2040"/>
      <x:c r="U2040"/>
      <x:c r="V2040" s="59" t="b">
        <x:v>1</x:v>
      </x:c>
      <x:c r="W2040"/>
      <x:c r="X2040" t="str">
        <x:v>offen</x:v>
      </x:c>
      <x:c r="Y2040" t="str">
        <x:v>Agent-Draft; Kategorie und Person pruefen</x:v>
      </x:c>
    </x:row>
    <x:row r="2041">
      <x:c r="A2041" t="str">
        <x:v>TXN-RAW-IMP-20260516-FULLDRAFT-002025</x:v>
      </x:c>
      <x:c r="B2041" t="str">
        <x:v>RAW-IMP-20260516-FULLDRAFT-002025</x:v>
      </x:c>
      <x:c r="C2041" t="str">
        <x:v>KTO001</x:v>
      </x:c>
      <x:c r="D2041"/>
      <x:c r="E2041" t="str">
        <x:v>KAT013</x:v>
      </x:c>
      <x:c r="F2041"/>
      <x:c r="G2041"/>
      <x:c r="H2041" t="str">
        <x:v>kein_match</x:v>
      </x:c>
      <x:c r="I2041" t="str">
        <x:v>Agent-Draft: keine finale Regelentscheidung</x:v>
      </x:c>
      <x:c r="J2041" t="n">
        <x:v>45475</x:v>
      </x:c>
      <x:c r="K2041"/>
      <x:c r="L2041"/>
      <x:c r="M2041" t="n">
        <x:v>-194.36</x:v>
      </x:c>
      <x:c r="N2041" t="str">
        <x:v>2024-07</x:v>
      </x:c>
      <x:c r="O2041" t="str">
        <x:v>Ausgabe</x:v>
      </x:c>
      <x:c r="P2041" t="str">
        <x:v>Ist</x:v>
      </x:c>
      <x:c r="Q2041" s="59" t="b">
        <x:v>0</x:v>
      </x:c>
      <x:c r="R2041" t="str">
        <x:v>kein_transfer</x:v>
      </x:c>
      <x:c r="S2041"/>
      <x:c r="T2041"/>
      <x:c r="U2041"/>
      <x:c r="V2041" s="59" t="b">
        <x:v>1</x:v>
      </x:c>
      <x:c r="W2041"/>
      <x:c r="X2041" t="str">
        <x:v>offen</x:v>
      </x:c>
      <x:c r="Y2041" t="str">
        <x:v>Agent-Draft; Kategorie und Person pruefen</x:v>
      </x:c>
    </x:row>
    <x:row r="2042">
      <x:c r="A2042" t="str">
        <x:v>TXN-RAW-IMP-20260516-FULLDRAFT-002026</x:v>
      </x:c>
      <x:c r="B2042" t="str">
        <x:v>RAW-IMP-20260516-FULLDRAFT-002026</x:v>
      </x:c>
      <x:c r="C2042" t="str">
        <x:v>KTO001</x:v>
      </x:c>
      <x:c r="D2042"/>
      <x:c r="E2042" t="str">
        <x:v>KAT013</x:v>
      </x:c>
      <x:c r="F2042"/>
      <x:c r="G2042"/>
      <x:c r="H2042" t="str">
        <x:v>kein_match</x:v>
      </x:c>
      <x:c r="I2042" t="str">
        <x:v>Agent-Draft: keine finale Regelentscheidung</x:v>
      </x:c>
      <x:c r="J2042" t="n">
        <x:v>45475</x:v>
      </x:c>
      <x:c r="K2042"/>
      <x:c r="L2042"/>
      <x:c r="M2042" t="n">
        <x:v>-12.47</x:v>
      </x:c>
      <x:c r="N2042" t="str">
        <x:v>2024-07</x:v>
      </x:c>
      <x:c r="O2042" t="str">
        <x:v>Ausgabe</x:v>
      </x:c>
      <x:c r="P2042" t="str">
        <x:v>Ist</x:v>
      </x:c>
      <x:c r="Q2042" s="59" t="b">
        <x:v>0</x:v>
      </x:c>
      <x:c r="R2042" t="str">
        <x:v>kein_transfer</x:v>
      </x:c>
      <x:c r="S2042"/>
      <x:c r="T2042"/>
      <x:c r="U2042"/>
      <x:c r="V2042" s="59" t="b">
        <x:v>1</x:v>
      </x:c>
      <x:c r="W2042"/>
      <x:c r="X2042" t="str">
        <x:v>offen</x:v>
      </x:c>
      <x:c r="Y2042" t="str">
        <x:v>Agent-Draft; Kategorie und Person pruefen</x:v>
      </x:c>
    </x:row>
    <x:row r="2043">
      <x:c r="A2043" t="str">
        <x:v>TXN-RAW-IMP-20260516-FULLDRAFT-002027</x:v>
      </x:c>
      <x:c r="B2043" t="str">
        <x:v>RAW-IMP-20260516-FULLDRAFT-002027</x:v>
      </x:c>
      <x:c r="C2043" t="str">
        <x:v>KTO001</x:v>
      </x:c>
      <x:c r="D2043"/>
      <x:c r="E2043" t="str">
        <x:v>KAT013</x:v>
      </x:c>
      <x:c r="F2043"/>
      <x:c r="G2043"/>
      <x:c r="H2043" t="str">
        <x:v>kein_match</x:v>
      </x:c>
      <x:c r="I2043" t="str">
        <x:v>Agent-Draft: keine finale Regelentscheidung</x:v>
      </x:c>
      <x:c r="J2043" t="n">
        <x:v>45475</x:v>
      </x:c>
      <x:c r="K2043"/>
      <x:c r="L2043"/>
      <x:c r="M2043" t="n">
        <x:v>-23.63</x:v>
      </x:c>
      <x:c r="N2043" t="str">
        <x:v>2024-07</x:v>
      </x:c>
      <x:c r="O2043" t="str">
        <x:v>Ausgabe</x:v>
      </x:c>
      <x:c r="P2043" t="str">
        <x:v>Ist</x:v>
      </x:c>
      <x:c r="Q2043" s="59" t="b">
        <x:v>0</x:v>
      </x:c>
      <x:c r="R2043" t="str">
        <x:v>kein_transfer</x:v>
      </x:c>
      <x:c r="S2043"/>
      <x:c r="T2043"/>
      <x:c r="U2043"/>
      <x:c r="V2043" s="59" t="b">
        <x:v>1</x:v>
      </x:c>
      <x:c r="W2043"/>
      <x:c r="X2043" t="str">
        <x:v>offen</x:v>
      </x:c>
      <x:c r="Y2043" t="str">
        <x:v>Agent-Draft; Kategorie und Person pruefen</x:v>
      </x:c>
    </x:row>
    <x:row r="2044">
      <x:c r="A2044" t="str">
        <x:v>TXN-RAW-IMP-20260516-FULLDRAFT-002028</x:v>
      </x:c>
      <x:c r="B2044" t="str">
        <x:v>RAW-IMP-20260516-FULLDRAFT-002028</x:v>
      </x:c>
      <x:c r="C2044" t="str">
        <x:v>KTO001</x:v>
      </x:c>
      <x:c r="D2044"/>
      <x:c r="E2044" t="str">
        <x:v>KAT013</x:v>
      </x:c>
      <x:c r="F2044"/>
      <x:c r="G2044"/>
      <x:c r="H2044" t="str">
        <x:v>kein_match</x:v>
      </x:c>
      <x:c r="I2044" t="str">
        <x:v>Agent-Draft: keine finale Regelentscheidung</x:v>
      </x:c>
      <x:c r="J2044" t="n">
        <x:v>45475</x:v>
      </x:c>
      <x:c r="K2044"/>
      <x:c r="L2044"/>
      <x:c r="M2044" t="n">
        <x:v>-11.96</x:v>
      </x:c>
      <x:c r="N2044" t="str">
        <x:v>2024-07</x:v>
      </x:c>
      <x:c r="O2044" t="str">
        <x:v>Ausgabe</x:v>
      </x:c>
      <x:c r="P2044" t="str">
        <x:v>Ist</x:v>
      </x:c>
      <x:c r="Q2044" s="59" t="b">
        <x:v>0</x:v>
      </x:c>
      <x:c r="R2044" t="str">
        <x:v>kein_transfer</x:v>
      </x:c>
      <x:c r="S2044"/>
      <x:c r="T2044"/>
      <x:c r="U2044"/>
      <x:c r="V2044" s="59" t="b">
        <x:v>1</x:v>
      </x:c>
      <x:c r="W2044"/>
      <x:c r="X2044" t="str">
        <x:v>offen</x:v>
      </x:c>
      <x:c r="Y2044" t="str">
        <x:v>Agent-Draft; Kategorie und Person pruefen</x:v>
      </x:c>
    </x:row>
    <x:row r="2045">
      <x:c r="A2045" t="str">
        <x:v>TXN-RAW-IMP-20260516-FULLDRAFT-002029</x:v>
      </x:c>
      <x:c r="B2045" t="str">
        <x:v>RAW-IMP-20260516-FULLDRAFT-002029</x:v>
      </x:c>
      <x:c r="C2045" t="str">
        <x:v>KTO001</x:v>
      </x:c>
      <x:c r="D2045"/>
      <x:c r="E2045" t="str">
        <x:v>KAT013</x:v>
      </x:c>
      <x:c r="F2045"/>
      <x:c r="G2045"/>
      <x:c r="H2045" t="str">
        <x:v>kein_match</x:v>
      </x:c>
      <x:c r="I2045" t="str">
        <x:v>Agent-Draft: keine finale Regelentscheidung</x:v>
      </x:c>
      <x:c r="J2045" t="n">
        <x:v>45475</x:v>
      </x:c>
      <x:c r="K2045"/>
      <x:c r="L2045"/>
      <x:c r="M2045" t="n">
        <x:v>-18.14</x:v>
      </x:c>
      <x:c r="N2045" t="str">
        <x:v>2024-07</x:v>
      </x:c>
      <x:c r="O2045" t="str">
        <x:v>Ausgabe</x:v>
      </x:c>
      <x:c r="P2045" t="str">
        <x:v>Ist</x:v>
      </x:c>
      <x:c r="Q2045" s="59" t="b">
        <x:v>0</x:v>
      </x:c>
      <x:c r="R2045" t="str">
        <x:v>kein_transfer</x:v>
      </x:c>
      <x:c r="S2045"/>
      <x:c r="T2045"/>
      <x:c r="U2045"/>
      <x:c r="V2045" s="59" t="b">
        <x:v>1</x:v>
      </x:c>
      <x:c r="W2045"/>
      <x:c r="X2045" t="str">
        <x:v>offen</x:v>
      </x:c>
      <x:c r="Y2045" t="str">
        <x:v>Agent-Draft; Kategorie und Person pruefen</x:v>
      </x:c>
    </x:row>
    <x:row r="2046">
      <x:c r="A2046" t="str">
        <x:v>TXN-RAW-IMP-20260516-FULLDRAFT-002030</x:v>
      </x:c>
      <x:c r="B2046" t="str">
        <x:v>RAW-IMP-20260516-FULLDRAFT-002030</x:v>
      </x:c>
      <x:c r="C2046" t="str">
        <x:v>KTO001</x:v>
      </x:c>
      <x:c r="D2046"/>
      <x:c r="E2046" t="str">
        <x:v>KAT013</x:v>
      </x:c>
      <x:c r="F2046"/>
      <x:c r="G2046"/>
      <x:c r="H2046" t="str">
        <x:v>kein_match</x:v>
      </x:c>
      <x:c r="I2046" t="str">
        <x:v>Agent-Draft: keine finale Regelentscheidung</x:v>
      </x:c>
      <x:c r="J2046" t="n">
        <x:v>45475</x:v>
      </x:c>
      <x:c r="K2046"/>
      <x:c r="L2046"/>
      <x:c r="M2046" t="n">
        <x:v>-54.5</x:v>
      </x:c>
      <x:c r="N2046" t="str">
        <x:v>2024-07</x:v>
      </x:c>
      <x:c r="O2046" t="str">
        <x:v>Ausgabe</x:v>
      </x:c>
      <x:c r="P2046" t="str">
        <x:v>Ist</x:v>
      </x:c>
      <x:c r="Q2046" s="59" t="b">
        <x:v>0</x:v>
      </x:c>
      <x:c r="R2046" t="str">
        <x:v>kein_transfer</x:v>
      </x:c>
      <x:c r="S2046"/>
      <x:c r="T2046"/>
      <x:c r="U2046"/>
      <x:c r="V2046" s="59" t="b">
        <x:v>1</x:v>
      </x:c>
      <x:c r="W2046"/>
      <x:c r="X2046" t="str">
        <x:v>offen</x:v>
      </x:c>
      <x:c r="Y2046" t="str">
        <x:v>Agent-Draft; Kategorie und Person pruefen</x:v>
      </x:c>
    </x:row>
    <x:row r="2047">
      <x:c r="A2047" t="str">
        <x:v>TXN-RAW-IMP-20260516-FULLDRAFT-002031</x:v>
      </x:c>
      <x:c r="B2047" t="str">
        <x:v>RAW-IMP-20260516-FULLDRAFT-002031</x:v>
      </x:c>
      <x:c r="C2047" t="str">
        <x:v>KTO001</x:v>
      </x:c>
      <x:c r="D2047"/>
      <x:c r="E2047" t="str">
        <x:v>KAT013</x:v>
      </x:c>
      <x:c r="F2047"/>
      <x:c r="G2047"/>
      <x:c r="H2047" t="str">
        <x:v>kein_match</x:v>
      </x:c>
      <x:c r="I2047" t="str">
        <x:v>Agent-Draft: keine finale Regelentscheidung</x:v>
      </x:c>
      <x:c r="J2047" t="n">
        <x:v>45475</x:v>
      </x:c>
      <x:c r="K2047"/>
      <x:c r="L2047"/>
      <x:c r="M2047" t="n">
        <x:v>-53.3</x:v>
      </x:c>
      <x:c r="N2047" t="str">
        <x:v>2024-07</x:v>
      </x:c>
      <x:c r="O2047" t="str">
        <x:v>Ausgabe</x:v>
      </x:c>
      <x:c r="P2047" t="str">
        <x:v>Ist</x:v>
      </x:c>
      <x:c r="Q2047" s="59" t="b">
        <x:v>0</x:v>
      </x:c>
      <x:c r="R2047" t="str">
        <x:v>kein_transfer</x:v>
      </x:c>
      <x:c r="S2047"/>
      <x:c r="T2047"/>
      <x:c r="U2047"/>
      <x:c r="V2047" s="59" t="b">
        <x:v>1</x:v>
      </x:c>
      <x:c r="W2047"/>
      <x:c r="X2047" t="str">
        <x:v>offen</x:v>
      </x:c>
      <x:c r="Y2047" t="str">
        <x:v>Agent-Draft; Kategorie und Person pruefen</x:v>
      </x:c>
    </x:row>
    <x:row r="2048">
      <x:c r="A2048" t="str">
        <x:v>TXN-RAW-IMP-20260516-FULLDRAFT-002032</x:v>
      </x:c>
      <x:c r="B2048" t="str">
        <x:v>RAW-IMP-20260516-FULLDRAFT-002032</x:v>
      </x:c>
      <x:c r="C2048" t="str">
        <x:v>KTO001</x:v>
      </x:c>
      <x:c r="D2048"/>
      <x:c r="E2048" t="str">
        <x:v>KAT013</x:v>
      </x:c>
      <x:c r="F2048"/>
      <x:c r="G2048"/>
      <x:c r="H2048" t="str">
        <x:v>kein_match</x:v>
      </x:c>
      <x:c r="I2048" t="str">
        <x:v>Agent-Draft: keine finale Regelentscheidung</x:v>
      </x:c>
      <x:c r="J2048" t="n">
        <x:v>45474</x:v>
      </x:c>
      <x:c r="K2048"/>
      <x:c r="L2048"/>
      <x:c r="M2048" t="n">
        <x:v>-133.66</x:v>
      </x:c>
      <x:c r="N2048" t="str">
        <x:v>2024-07</x:v>
      </x:c>
      <x:c r="O2048" t="str">
        <x:v>Ausgabe</x:v>
      </x:c>
      <x:c r="P2048" t="str">
        <x:v>Ist</x:v>
      </x:c>
      <x:c r="Q2048" s="59" t="b">
        <x:v>0</x:v>
      </x:c>
      <x:c r="R2048" t="str">
        <x:v>kein_transfer</x:v>
      </x:c>
      <x:c r="S2048"/>
      <x:c r="T2048"/>
      <x:c r="U2048"/>
      <x:c r="V2048" s="59" t="b">
        <x:v>1</x:v>
      </x:c>
      <x:c r="W2048"/>
      <x:c r="X2048" t="str">
        <x:v>offen</x:v>
      </x:c>
      <x:c r="Y2048" t="str">
        <x:v>Agent-Draft; Kategorie und Person pruefen</x:v>
      </x:c>
    </x:row>
    <x:row r="2049">
      <x:c r="A2049" t="str">
        <x:v>TXN-RAW-IMP-20260516-FULLDRAFT-002033</x:v>
      </x:c>
      <x:c r="B2049" t="str">
        <x:v>RAW-IMP-20260516-FULLDRAFT-002033</x:v>
      </x:c>
      <x:c r="C2049" t="str">
        <x:v>KTO001</x:v>
      </x:c>
      <x:c r="D2049"/>
      <x:c r="E2049" t="str">
        <x:v>KAT013</x:v>
      </x:c>
      <x:c r="F2049"/>
      <x:c r="G2049"/>
      <x:c r="H2049" t="str">
        <x:v>kein_match</x:v>
      </x:c>
      <x:c r="I2049" t="str">
        <x:v>Agent-Draft: keine finale Regelentscheidung</x:v>
      </x:c>
      <x:c r="J2049" t="n">
        <x:v>45474</x:v>
      </x:c>
      <x:c r="K2049"/>
      <x:c r="L2049"/>
      <x:c r="M2049" t="n">
        <x:v>-7.35</x:v>
      </x:c>
      <x:c r="N2049" t="str">
        <x:v>2024-07</x:v>
      </x:c>
      <x:c r="O2049" t="str">
        <x:v>Ausgabe</x:v>
      </x:c>
      <x:c r="P2049" t="str">
        <x:v>Ist</x:v>
      </x:c>
      <x:c r="Q2049" s="59" t="b">
        <x:v>0</x:v>
      </x:c>
      <x:c r="R2049" t="str">
        <x:v>kein_transfer</x:v>
      </x:c>
      <x:c r="S2049"/>
      <x:c r="T2049"/>
      <x:c r="U2049"/>
      <x:c r="V2049" s="59" t="b">
        <x:v>1</x:v>
      </x:c>
      <x:c r="W2049"/>
      <x:c r="X2049" t="str">
        <x:v>offen</x:v>
      </x:c>
      <x:c r="Y2049" t="str">
        <x:v>Agent-Draft; Kategorie und Person pruefen</x:v>
      </x:c>
    </x:row>
    <x:row r="2050">
      <x:c r="A2050" t="str">
        <x:v>TXN-RAW-IMP-20260516-FULLDRAFT-002034</x:v>
      </x:c>
      <x:c r="B2050" t="str">
        <x:v>RAW-IMP-20260516-FULLDRAFT-002034</x:v>
      </x:c>
      <x:c r="C2050" t="str">
        <x:v>KTO001</x:v>
      </x:c>
      <x:c r="D2050"/>
      <x:c r="E2050" t="str">
        <x:v>KAT013</x:v>
      </x:c>
      <x:c r="F2050"/>
      <x:c r="G2050"/>
      <x:c r="H2050" t="str">
        <x:v>kein_match</x:v>
      </x:c>
      <x:c r="I2050" t="str">
        <x:v>Agent-Draft: keine finale Regelentscheidung</x:v>
      </x:c>
      <x:c r="J2050" t="n">
        <x:v>45474</x:v>
      </x:c>
      <x:c r="K2050"/>
      <x:c r="L2050"/>
      <x:c r="M2050" t="n">
        <x:v>750</x:v>
      </x:c>
      <x:c r="N2050" t="str">
        <x:v>2024-07</x:v>
      </x:c>
      <x:c r="O2050" t="str">
        <x:v>Einnahme</x:v>
      </x:c>
      <x:c r="P2050" t="str">
        <x:v>Ist</x:v>
      </x:c>
      <x:c r="Q2050" s="59" t="b">
        <x:v>0</x:v>
      </x:c>
      <x:c r="R2050" t="str">
        <x:v>kein_transfer</x:v>
      </x:c>
      <x:c r="S2050"/>
      <x:c r="T2050"/>
      <x:c r="U2050"/>
      <x:c r="V2050" s="59" t="b">
        <x:v>1</x:v>
      </x:c>
      <x:c r="W2050"/>
      <x:c r="X2050" t="str">
        <x:v>offen</x:v>
      </x:c>
      <x:c r="Y2050" t="str">
        <x:v>Agent-Draft; Kategorie und Person pruefen</x:v>
      </x:c>
    </x:row>
    <x:row r="2051">
      <x:c r="A2051" t="str">
        <x:v>TXN-RAW-IMP-20260516-FULLDRAFT-002035</x:v>
      </x:c>
      <x:c r="B2051" t="str">
        <x:v>RAW-IMP-20260516-FULLDRAFT-002035</x:v>
      </x:c>
      <x:c r="C2051" t="str">
        <x:v>KTO001</x:v>
      </x:c>
      <x:c r="D2051"/>
      <x:c r="E2051" t="str">
        <x:v>KAT013</x:v>
      </x:c>
      <x:c r="F2051"/>
      <x:c r="G2051"/>
      <x:c r="H2051" t="str">
        <x:v>kein_match</x:v>
      </x:c>
      <x:c r="I2051" t="str">
        <x:v>Agent-Draft: keine finale Regelentscheidung</x:v>
      </x:c>
      <x:c r="J2051" t="n">
        <x:v>45474</x:v>
      </x:c>
      <x:c r="K2051"/>
      <x:c r="L2051"/>
      <x:c r="M2051" t="n">
        <x:v>-111.61</x:v>
      </x:c>
      <x:c r="N2051" t="str">
        <x:v>2024-07</x:v>
      </x:c>
      <x:c r="O2051" t="str">
        <x:v>Ausgabe</x:v>
      </x:c>
      <x:c r="P2051" t="str">
        <x:v>Ist</x:v>
      </x:c>
      <x:c r="Q2051" s="59" t="b">
        <x:v>0</x:v>
      </x:c>
      <x:c r="R2051" t="str">
        <x:v>kein_transfer</x:v>
      </x:c>
      <x:c r="S2051"/>
      <x:c r="T2051"/>
      <x:c r="U2051"/>
      <x:c r="V2051" s="59" t="b">
        <x:v>1</x:v>
      </x:c>
      <x:c r="W2051"/>
      <x:c r="X2051" t="str">
        <x:v>offen</x:v>
      </x:c>
      <x:c r="Y2051" t="str">
        <x:v>Agent-Draft; Kategorie und Person pruefen</x:v>
      </x:c>
    </x:row>
    <x:row r="2052">
      <x:c r="A2052" t="str">
        <x:v>TXN-RAW-IMP-20260516-FULLDRAFT-002036</x:v>
      </x:c>
      <x:c r="B2052" t="str">
        <x:v>RAW-IMP-20260516-FULLDRAFT-002036</x:v>
      </x:c>
      <x:c r="C2052" t="str">
        <x:v>KTO001</x:v>
      </x:c>
      <x:c r="D2052"/>
      <x:c r="E2052" t="str">
        <x:v>KAT013</x:v>
      </x:c>
      <x:c r="F2052"/>
      <x:c r="G2052"/>
      <x:c r="H2052" t="str">
        <x:v>kein_match</x:v>
      </x:c>
      <x:c r="I2052" t="str">
        <x:v>Agent-Draft: keine finale Regelentscheidung</x:v>
      </x:c>
      <x:c r="J2052" t="n">
        <x:v>45474</x:v>
      </x:c>
      <x:c r="K2052"/>
      <x:c r="L2052"/>
      <x:c r="M2052" t="n">
        <x:v>-100</x:v>
      </x:c>
      <x:c r="N2052" t="str">
        <x:v>2024-07</x:v>
      </x:c>
      <x:c r="O2052" t="str">
        <x:v>Ausgabe</x:v>
      </x:c>
      <x:c r="P2052" t="str">
        <x:v>Ist</x:v>
      </x:c>
      <x:c r="Q2052" s="59" t="b">
        <x:v>0</x:v>
      </x:c>
      <x:c r="R2052" t="str">
        <x:v>kein_transfer</x:v>
      </x:c>
      <x:c r="S2052"/>
      <x:c r="T2052"/>
      <x:c r="U2052"/>
      <x:c r="V2052" s="59" t="b">
        <x:v>1</x:v>
      </x:c>
      <x:c r="W2052"/>
      <x:c r="X2052" t="str">
        <x:v>offen</x:v>
      </x:c>
      <x:c r="Y2052" t="str">
        <x:v>Agent-Draft; Kategorie und Person pruefen</x:v>
      </x:c>
    </x:row>
    <x:row r="2053">
      <x:c r="A2053" t="str">
        <x:v>TXN-RAW-IMP-20260516-FULLDRAFT-002037</x:v>
      </x:c>
      <x:c r="B2053" t="str">
        <x:v>RAW-IMP-20260516-FULLDRAFT-002037</x:v>
      </x:c>
      <x:c r="C2053" t="str">
        <x:v>KTO001</x:v>
      </x:c>
      <x:c r="D2053"/>
      <x:c r="E2053" t="str">
        <x:v>KAT013</x:v>
      </x:c>
      <x:c r="F2053"/>
      <x:c r="G2053"/>
      <x:c r="H2053" t="str">
        <x:v>kein_match</x:v>
      </x:c>
      <x:c r="I2053" t="str">
        <x:v>Agent-Draft: keine finale Regelentscheidung</x:v>
      </x:c>
      <x:c r="J2053" t="n">
        <x:v>45474</x:v>
      </x:c>
      <x:c r="K2053"/>
      <x:c r="L2053"/>
      <x:c r="M2053" t="n">
        <x:v>-1800</x:v>
      </x:c>
      <x:c r="N2053" t="str">
        <x:v>2024-07</x:v>
      </x:c>
      <x:c r="O2053" t="str">
        <x:v>Ausgabe</x:v>
      </x:c>
      <x:c r="P2053" t="str">
        <x:v>Ist</x:v>
      </x:c>
      <x:c r="Q2053" s="59" t="b">
        <x:v>0</x:v>
      </x:c>
      <x:c r="R2053" t="str">
        <x:v>kein_transfer</x:v>
      </x:c>
      <x:c r="S2053"/>
      <x:c r="T2053"/>
      <x:c r="U2053"/>
      <x:c r="V2053" s="59" t="b">
        <x:v>1</x:v>
      </x:c>
      <x:c r="W2053"/>
      <x:c r="X2053" t="str">
        <x:v>offen</x:v>
      </x:c>
      <x:c r="Y2053" t="str">
        <x:v>Agent-Draft; Kategorie und Person pruefen</x:v>
      </x:c>
    </x:row>
    <x:row r="2054">
      <x:c r="A2054" t="str">
        <x:v>TXN-RAW-IMP-20260516-FULLDRAFT-002038</x:v>
      </x:c>
      <x:c r="B2054" t="str">
        <x:v>RAW-IMP-20260516-FULLDRAFT-002038</x:v>
      </x:c>
      <x:c r="C2054" t="str">
        <x:v>KTO001</x:v>
      </x:c>
      <x:c r="D2054"/>
      <x:c r="E2054" t="str">
        <x:v>KAT013</x:v>
      </x:c>
      <x:c r="F2054"/>
      <x:c r="G2054"/>
      <x:c r="H2054" t="str">
        <x:v>kein_match</x:v>
      </x:c>
      <x:c r="I2054" t="str">
        <x:v>Agent-Draft: keine finale Regelentscheidung</x:v>
      </x:c>
      <x:c r="J2054" t="n">
        <x:v>45474</x:v>
      </x:c>
      <x:c r="K2054"/>
      <x:c r="L2054"/>
      <x:c r="M2054" t="n">
        <x:v>-422</x:v>
      </x:c>
      <x:c r="N2054" t="str">
        <x:v>2024-07</x:v>
      </x:c>
      <x:c r="O2054" t="str">
        <x:v>Ausgabe</x:v>
      </x:c>
      <x:c r="P2054" t="str">
        <x:v>Ist</x:v>
      </x:c>
      <x:c r="Q2054" s="59" t="b">
        <x:v>0</x:v>
      </x:c>
      <x:c r="R2054" t="str">
        <x:v>kein_transfer</x:v>
      </x:c>
      <x:c r="S2054"/>
      <x:c r="T2054"/>
      <x:c r="U2054"/>
      <x:c r="V2054" s="59" t="b">
        <x:v>1</x:v>
      </x:c>
      <x:c r="W2054"/>
      <x:c r="X2054" t="str">
        <x:v>offen</x:v>
      </x:c>
      <x:c r="Y2054" t="str">
        <x:v>Agent-Draft; Kategorie und Person pruefen</x:v>
      </x:c>
    </x:row>
    <x:row r="2055">
      <x:c r="A2055" t="str">
        <x:v>TXN-RAW-IMP-20260516-FULLDRAFT-002039</x:v>
      </x:c>
      <x:c r="B2055" t="str">
        <x:v>RAW-IMP-20260516-FULLDRAFT-002039</x:v>
      </x:c>
      <x:c r="C2055" t="str">
        <x:v>KTO001</x:v>
      </x:c>
      <x:c r="D2055"/>
      <x:c r="E2055" t="str">
        <x:v>KAT013</x:v>
      </x:c>
      <x:c r="F2055"/>
      <x:c r="G2055"/>
      <x:c r="H2055" t="str">
        <x:v>kein_match</x:v>
      </x:c>
      <x:c r="I2055" t="str">
        <x:v>Agent-Draft: keine finale Regelentscheidung</x:v>
      </x:c>
      <x:c r="J2055" t="n">
        <x:v>45474</x:v>
      </x:c>
      <x:c r="K2055"/>
      <x:c r="L2055"/>
      <x:c r="M2055" t="n">
        <x:v>-452.71</x:v>
      </x:c>
      <x:c r="N2055" t="str">
        <x:v>2024-07</x:v>
      </x:c>
      <x:c r="O2055" t="str">
        <x:v>Ausgabe</x:v>
      </x:c>
      <x:c r="P2055" t="str">
        <x:v>Ist</x:v>
      </x:c>
      <x:c r="Q2055" s="59" t="b">
        <x:v>0</x:v>
      </x:c>
      <x:c r="R2055" t="str">
        <x:v>kein_transfer</x:v>
      </x:c>
      <x:c r="S2055"/>
      <x:c r="T2055"/>
      <x:c r="U2055"/>
      <x:c r="V2055" s="59" t="b">
        <x:v>1</x:v>
      </x:c>
      <x:c r="W2055"/>
      <x:c r="X2055" t="str">
        <x:v>offen</x:v>
      </x:c>
      <x:c r="Y2055" t="str">
        <x:v>Agent-Draft; Kategorie und Person pruefen</x:v>
      </x:c>
    </x:row>
    <x:row r="2056">
      <x:c r="A2056" t="str">
        <x:v>TXN-RAW-IMP-20260516-FULLDRAFT-002040</x:v>
      </x:c>
      <x:c r="B2056" t="str">
        <x:v>RAW-IMP-20260516-FULLDRAFT-002040</x:v>
      </x:c>
      <x:c r="C2056" t="str">
        <x:v>KTO001</x:v>
      </x:c>
      <x:c r="D2056"/>
      <x:c r="E2056" t="str">
        <x:v>KAT013</x:v>
      </x:c>
      <x:c r="F2056"/>
      <x:c r="G2056"/>
      <x:c r="H2056" t="str">
        <x:v>kein_match</x:v>
      </x:c>
      <x:c r="I2056" t="str">
        <x:v>Agent-Draft: keine finale Regelentscheidung</x:v>
      </x:c>
      <x:c r="J2056" t="n">
        <x:v>45474</x:v>
      </x:c>
      <x:c r="K2056"/>
      <x:c r="L2056"/>
      <x:c r="M2056" t="n">
        <x:v>-1400</x:v>
      </x:c>
      <x:c r="N2056" t="str">
        <x:v>2024-07</x:v>
      </x:c>
      <x:c r="O2056" t="str">
        <x:v>Ausgabe</x:v>
      </x:c>
      <x:c r="P2056" t="str">
        <x:v>Ist</x:v>
      </x:c>
      <x:c r="Q2056" s="59" t="b">
        <x:v>0</x:v>
      </x:c>
      <x:c r="R2056" t="str">
        <x:v>kein_transfer</x:v>
      </x:c>
      <x:c r="S2056"/>
      <x:c r="T2056"/>
      <x:c r="U2056"/>
      <x:c r="V2056" s="59" t="b">
        <x:v>1</x:v>
      </x:c>
      <x:c r="W2056"/>
      <x:c r="X2056" t="str">
        <x:v>offen</x:v>
      </x:c>
      <x:c r="Y2056" t="str">
        <x:v>Agent-Draft; Kategorie und Person pruefen</x:v>
      </x:c>
    </x:row>
    <x:row r="2057">
      <x:c r="A2057" t="str">
        <x:v>TXN-RAW-IMP-20260516-FULLDRAFT-002041</x:v>
      </x:c>
      <x:c r="B2057" t="str">
        <x:v>RAW-IMP-20260516-FULLDRAFT-002041</x:v>
      </x:c>
      <x:c r="C2057" t="str">
        <x:v>KTO001</x:v>
      </x:c>
      <x:c r="D2057"/>
      <x:c r="E2057" t="str">
        <x:v>KAT013</x:v>
      </x:c>
      <x:c r="F2057"/>
      <x:c r="G2057"/>
      <x:c r="H2057" t="str">
        <x:v>kein_match</x:v>
      </x:c>
      <x:c r="I2057" t="str">
        <x:v>Agent-Draft: keine finale Regelentscheidung</x:v>
      </x:c>
      <x:c r="J2057" t="n">
        <x:v>45474</x:v>
      </x:c>
      <x:c r="K2057"/>
      <x:c r="L2057"/>
      <x:c r="M2057" t="n">
        <x:v>-66.15</x:v>
      </x:c>
      <x:c r="N2057" t="str">
        <x:v>2024-07</x:v>
      </x:c>
      <x:c r="O2057" t="str">
        <x:v>Ausgabe</x:v>
      </x:c>
      <x:c r="P2057" t="str">
        <x:v>Ist</x:v>
      </x:c>
      <x:c r="Q2057" s="59" t="b">
        <x:v>0</x:v>
      </x:c>
      <x:c r="R2057" t="str">
        <x:v>kein_transfer</x:v>
      </x:c>
      <x:c r="S2057"/>
      <x:c r="T2057"/>
      <x:c r="U2057"/>
      <x:c r="V2057" s="59" t="b">
        <x:v>1</x:v>
      </x:c>
      <x:c r="W2057"/>
      <x:c r="X2057" t="str">
        <x:v>offen</x:v>
      </x:c>
      <x:c r="Y2057" t="str">
        <x:v>Agent-Draft; Kategorie und Person pruefen</x:v>
      </x:c>
    </x:row>
    <x:row r="2058">
      <x:c r="A2058" t="str">
        <x:v>TXN-RAW-IMP-20260516-FULLDRAFT-002042</x:v>
      </x:c>
      <x:c r="B2058" t="str">
        <x:v>RAW-IMP-20260516-FULLDRAFT-002042</x:v>
      </x:c>
      <x:c r="C2058" t="str">
        <x:v>KTO001</x:v>
      </x:c>
      <x:c r="D2058"/>
      <x:c r="E2058" t="str">
        <x:v>KAT013</x:v>
      </x:c>
      <x:c r="F2058"/>
      <x:c r="G2058"/>
      <x:c r="H2058" t="str">
        <x:v>kein_match</x:v>
      </x:c>
      <x:c r="I2058" t="str">
        <x:v>Agent-Draft: keine finale Regelentscheidung</x:v>
      </x:c>
      <x:c r="J2058" t="n">
        <x:v>45474</x:v>
      </x:c>
      <x:c r="K2058"/>
      <x:c r="L2058"/>
      <x:c r="M2058" t="n">
        <x:v>-97.12</x:v>
      </x:c>
      <x:c r="N2058" t="str">
        <x:v>2024-07</x:v>
      </x:c>
      <x:c r="O2058" t="str">
        <x:v>Ausgabe</x:v>
      </x:c>
      <x:c r="P2058" t="str">
        <x:v>Ist</x:v>
      </x:c>
      <x:c r="Q2058" s="59" t="b">
        <x:v>0</x:v>
      </x:c>
      <x:c r="R2058" t="str">
        <x:v>kein_transfer</x:v>
      </x:c>
      <x:c r="S2058"/>
      <x:c r="T2058"/>
      <x:c r="U2058"/>
      <x:c r="V2058" s="59" t="b">
        <x:v>1</x:v>
      </x:c>
      <x:c r="W2058"/>
      <x:c r="X2058" t="str">
        <x:v>offen</x:v>
      </x:c>
      <x:c r="Y2058" t="str">
        <x:v>Agent-Draft; Kategorie und Person pruefen</x:v>
      </x:c>
    </x:row>
    <x:row r="2059">
      <x:c r="A2059" t="str">
        <x:v>TXN-RAW-IMP-20260516-FULLDRAFT-002043</x:v>
      </x:c>
      <x:c r="B2059" t="str">
        <x:v>RAW-IMP-20260516-FULLDRAFT-002043</x:v>
      </x:c>
      <x:c r="C2059" t="str">
        <x:v>KTO001</x:v>
      </x:c>
      <x:c r="D2059"/>
      <x:c r="E2059" t="str">
        <x:v>KAT013</x:v>
      </x:c>
      <x:c r="F2059"/>
      <x:c r="G2059"/>
      <x:c r="H2059" t="str">
        <x:v>kein_match</x:v>
      </x:c>
      <x:c r="I2059" t="str">
        <x:v>Agent-Draft: keine finale Regelentscheidung</x:v>
      </x:c>
      <x:c r="J2059" t="n">
        <x:v>45474</x:v>
      </x:c>
      <x:c r="K2059"/>
      <x:c r="L2059"/>
      <x:c r="M2059" t="n">
        <x:v>-162.17</x:v>
      </x:c>
      <x:c r="N2059" t="str">
        <x:v>2024-07</x:v>
      </x:c>
      <x:c r="O2059" t="str">
        <x:v>Ausgabe</x:v>
      </x:c>
      <x:c r="P2059" t="str">
        <x:v>Ist</x:v>
      </x:c>
      <x:c r="Q2059" s="59" t="b">
        <x:v>0</x:v>
      </x:c>
      <x:c r="R2059" t="str">
        <x:v>kein_transfer</x:v>
      </x:c>
      <x:c r="S2059"/>
      <x:c r="T2059"/>
      <x:c r="U2059"/>
      <x:c r="V2059" s="59" t="b">
        <x:v>1</x:v>
      </x:c>
      <x:c r="W2059"/>
      <x:c r="X2059" t="str">
        <x:v>offen</x:v>
      </x:c>
      <x:c r="Y2059" t="str">
        <x:v>Agent-Draft; Kategorie und Person pruefen</x:v>
      </x:c>
    </x:row>
    <x:row r="2060">
      <x:c r="A2060" t="str">
        <x:v>TXN-RAW-IMP-20260516-FULLDRAFT-002044</x:v>
      </x:c>
      <x:c r="B2060" t="str">
        <x:v>RAW-IMP-20260516-FULLDRAFT-002044</x:v>
      </x:c>
      <x:c r="C2060" t="str">
        <x:v>KTO001</x:v>
      </x:c>
      <x:c r="D2060"/>
      <x:c r="E2060" t="str">
        <x:v>KAT013</x:v>
      </x:c>
      <x:c r="F2060"/>
      <x:c r="G2060"/>
      <x:c r="H2060" t="str">
        <x:v>kein_match</x:v>
      </x:c>
      <x:c r="I2060" t="str">
        <x:v>Agent-Draft: keine finale Regelentscheidung</x:v>
      </x:c>
      <x:c r="J2060" t="n">
        <x:v>45474</x:v>
      </x:c>
      <x:c r="K2060"/>
      <x:c r="L2060"/>
      <x:c r="M2060" t="n">
        <x:v>-1153.94</x:v>
      </x:c>
      <x:c r="N2060" t="str">
        <x:v>2024-07</x:v>
      </x:c>
      <x:c r="O2060" t="str">
        <x:v>Ausgabe</x:v>
      </x:c>
      <x:c r="P2060" t="str">
        <x:v>Ist</x:v>
      </x:c>
      <x:c r="Q2060" s="59" t="b">
        <x:v>0</x:v>
      </x:c>
      <x:c r="R2060" t="str">
        <x:v>kein_transfer</x:v>
      </x:c>
      <x:c r="S2060"/>
      <x:c r="T2060"/>
      <x:c r="U2060"/>
      <x:c r="V2060" s="59" t="b">
        <x:v>1</x:v>
      </x:c>
      <x:c r="W2060"/>
      <x:c r="X2060" t="str">
        <x:v>offen</x:v>
      </x:c>
      <x:c r="Y2060" t="str">
        <x:v>Agent-Draft; Kategorie und Person pruefen</x:v>
      </x:c>
    </x:row>
    <x:row r="2061">
      <x:c r="A2061" t="str">
        <x:v>TXN-RAW-IMP-20260516-FULLDRAFT-002045</x:v>
      </x:c>
      <x:c r="B2061" t="str">
        <x:v>RAW-IMP-20260516-FULLDRAFT-002045</x:v>
      </x:c>
      <x:c r="C2061" t="str">
        <x:v>KTO001</x:v>
      </x:c>
      <x:c r="D2061"/>
      <x:c r="E2061" t="str">
        <x:v>KAT013</x:v>
      </x:c>
      <x:c r="F2061"/>
      <x:c r="G2061"/>
      <x:c r="H2061" t="str">
        <x:v>kein_match</x:v>
      </x:c>
      <x:c r="I2061" t="str">
        <x:v>Agent-Draft: keine finale Regelentscheidung</x:v>
      </x:c>
      <x:c r="J2061" t="n">
        <x:v>45474</x:v>
      </x:c>
      <x:c r="K2061"/>
      <x:c r="L2061"/>
      <x:c r="M2061" t="n">
        <x:v>0</x:v>
      </x:c>
      <x:c r="N2061" t="str">
        <x:v>2024-07</x:v>
      </x:c>
      <x:c r="O2061" t="str">
        <x:v>neutral</x:v>
      </x:c>
      <x:c r="P2061" t="str">
        <x:v>Ist</x:v>
      </x:c>
      <x:c r="Q2061" s="59" t="b">
        <x:v>0</x:v>
      </x:c>
      <x:c r="R2061" t="str">
        <x:v>kein_transfer</x:v>
      </x:c>
      <x:c r="S2061"/>
      <x:c r="T2061"/>
      <x:c r="U2061"/>
      <x:c r="V2061" s="59" t="b">
        <x:v>1</x:v>
      </x:c>
      <x:c r="W2061"/>
      <x:c r="X2061" t="str">
        <x:v>offen</x:v>
      </x:c>
      <x:c r="Y2061" t="str">
        <x:v>Agent-Draft; Kategorie und Person pruefen</x:v>
      </x:c>
    </x:row>
    <x:row r="2062">
      <x:c r="A2062" t="str">
        <x:v>TXN-RAW-IMP-20260516-FULLDRAFT-002046</x:v>
      </x:c>
      <x:c r="B2062" t="str">
        <x:v>RAW-IMP-20260516-FULLDRAFT-002046</x:v>
      </x:c>
      <x:c r="C2062" t="str">
        <x:v>KTO001</x:v>
      </x:c>
      <x:c r="D2062"/>
      <x:c r="E2062" t="str">
        <x:v>KAT013</x:v>
      </x:c>
      <x:c r="F2062"/>
      <x:c r="G2062"/>
      <x:c r="H2062" t="str">
        <x:v>kein_match</x:v>
      </x:c>
      <x:c r="I2062" t="str">
        <x:v>Agent-Draft: keine finale Regelentscheidung</x:v>
      </x:c>
      <x:c r="J2062" t="n">
        <x:v>45471</x:v>
      </x:c>
      <x:c r="K2062"/>
      <x:c r="L2062"/>
      <x:c r="M2062" t="n">
        <x:v>-18.47</x:v>
      </x:c>
      <x:c r="N2062" t="str">
        <x:v>2024-06</x:v>
      </x:c>
      <x:c r="O2062" t="str">
        <x:v>Ausgabe</x:v>
      </x:c>
      <x:c r="P2062" t="str">
        <x:v>Ist</x:v>
      </x:c>
      <x:c r="Q2062" s="59" t="b">
        <x:v>0</x:v>
      </x:c>
      <x:c r="R2062" t="str">
        <x:v>kein_transfer</x:v>
      </x:c>
      <x:c r="S2062"/>
      <x:c r="T2062"/>
      <x:c r="U2062"/>
      <x:c r="V2062" s="59" t="b">
        <x:v>1</x:v>
      </x:c>
      <x:c r="W2062"/>
      <x:c r="X2062" t="str">
        <x:v>offen</x:v>
      </x:c>
      <x:c r="Y2062" t="str">
        <x:v>Agent-Draft; Kategorie und Person pruefen</x:v>
      </x:c>
    </x:row>
    <x:row r="2063">
      <x:c r="A2063" t="str">
        <x:v>TXN-RAW-IMP-20260516-FULLDRAFT-002047</x:v>
      </x:c>
      <x:c r="B2063" t="str">
        <x:v>RAW-IMP-20260516-FULLDRAFT-002047</x:v>
      </x:c>
      <x:c r="C2063" t="str">
        <x:v>KTO001</x:v>
      </x:c>
      <x:c r="D2063"/>
      <x:c r="E2063" t="str">
        <x:v>KAT013</x:v>
      </x:c>
      <x:c r="F2063"/>
      <x:c r="G2063"/>
      <x:c r="H2063" t="str">
        <x:v>kein_match</x:v>
      </x:c>
      <x:c r="I2063" t="str">
        <x:v>Agent-Draft: keine finale Regelentscheidung</x:v>
      </x:c>
      <x:c r="J2063" t="n">
        <x:v>45470</x:v>
      </x:c>
      <x:c r="K2063"/>
      <x:c r="L2063"/>
      <x:c r="M2063" t="n">
        <x:v>-16.5</x:v>
      </x:c>
      <x:c r="N2063" t="str">
        <x:v>2024-06</x:v>
      </x:c>
      <x:c r="O2063" t="str">
        <x:v>Ausgabe</x:v>
      </x:c>
      <x:c r="P2063" t="str">
        <x:v>Ist</x:v>
      </x:c>
      <x:c r="Q2063" s="59" t="b">
        <x:v>0</x:v>
      </x:c>
      <x:c r="R2063" t="str">
        <x:v>kein_transfer</x:v>
      </x:c>
      <x:c r="S2063"/>
      <x:c r="T2063"/>
      <x:c r="U2063"/>
      <x:c r="V2063" s="59" t="b">
        <x:v>1</x:v>
      </x:c>
      <x:c r="W2063"/>
      <x:c r="X2063" t="str">
        <x:v>offen</x:v>
      </x:c>
      <x:c r="Y2063" t="str">
        <x:v>Agent-Draft; Kategorie und Person pruefen</x:v>
      </x:c>
    </x:row>
    <x:row r="2064">
      <x:c r="A2064" t="str">
        <x:v>TXN-RAW-IMP-20260516-FULLDRAFT-002048</x:v>
      </x:c>
      <x:c r="B2064" t="str">
        <x:v>RAW-IMP-20260516-FULLDRAFT-002048</x:v>
      </x:c>
      <x:c r="C2064" t="str">
        <x:v>KTO001</x:v>
      </x:c>
      <x:c r="D2064"/>
      <x:c r="E2064" t="str">
        <x:v>KAT013</x:v>
      </x:c>
      <x:c r="F2064"/>
      <x:c r="G2064"/>
      <x:c r="H2064" t="str">
        <x:v>kein_match</x:v>
      </x:c>
      <x:c r="I2064" t="str">
        <x:v>Agent-Draft: keine finale Regelentscheidung</x:v>
      </x:c>
      <x:c r="J2064" t="n">
        <x:v>45470</x:v>
      </x:c>
      <x:c r="K2064"/>
      <x:c r="L2064"/>
      <x:c r="M2064" t="n">
        <x:v>7636.34</x:v>
      </x:c>
      <x:c r="N2064" t="str">
        <x:v>2024-06</x:v>
      </x:c>
      <x:c r="O2064" t="str">
        <x:v>Einnahme</x:v>
      </x:c>
      <x:c r="P2064" t="str">
        <x:v>Ist</x:v>
      </x:c>
      <x:c r="Q2064" s="59" t="b">
        <x:v>0</x:v>
      </x:c>
      <x:c r="R2064" t="str">
        <x:v>kein_transfer</x:v>
      </x:c>
      <x:c r="S2064"/>
      <x:c r="T2064"/>
      <x:c r="U2064"/>
      <x:c r="V2064" s="59" t="b">
        <x:v>1</x:v>
      </x:c>
      <x:c r="W2064"/>
      <x:c r="X2064" t="str">
        <x:v>offen</x:v>
      </x:c>
      <x:c r="Y2064" t="str">
        <x:v>Agent-Draft; Kategorie und Person pruefen</x:v>
      </x:c>
    </x:row>
    <x:row r="2065">
      <x:c r="A2065" t="str">
        <x:v>TXN-RAW-IMP-20260516-FULLDRAFT-002049</x:v>
      </x:c>
      <x:c r="B2065" t="str">
        <x:v>RAW-IMP-20260516-FULLDRAFT-002049</x:v>
      </x:c>
      <x:c r="C2065" t="str">
        <x:v>KTO001</x:v>
      </x:c>
      <x:c r="D2065"/>
      <x:c r="E2065" t="str">
        <x:v>KAT013</x:v>
      </x:c>
      <x:c r="F2065"/>
      <x:c r="G2065"/>
      <x:c r="H2065" t="str">
        <x:v>kein_match</x:v>
      </x:c>
      <x:c r="I2065" t="str">
        <x:v>Agent-Draft: keine finale Regelentscheidung</x:v>
      </x:c>
      <x:c r="J2065" t="n">
        <x:v>45469</x:v>
      </x:c>
      <x:c r="K2065"/>
      <x:c r="L2065"/>
      <x:c r="M2065" t="n">
        <x:v>-2.9</x:v>
      </x:c>
      <x:c r="N2065" t="str">
        <x:v>2024-06</x:v>
      </x:c>
      <x:c r="O2065" t="str">
        <x:v>Ausgabe</x:v>
      </x:c>
      <x:c r="P2065" t="str">
        <x:v>Ist</x:v>
      </x:c>
      <x:c r="Q2065" s="59" t="b">
        <x:v>0</x:v>
      </x:c>
      <x:c r="R2065" t="str">
        <x:v>kein_transfer</x:v>
      </x:c>
      <x:c r="S2065"/>
      <x:c r="T2065"/>
      <x:c r="U2065"/>
      <x:c r="V2065" s="59" t="b">
        <x:v>1</x:v>
      </x:c>
      <x:c r="W2065"/>
      <x:c r="X2065" t="str">
        <x:v>offen</x:v>
      </x:c>
      <x:c r="Y2065" t="str">
        <x:v>Agent-Draft; Kategorie und Person pruefen</x:v>
      </x:c>
    </x:row>
    <x:row r="2066">
      <x:c r="A2066" t="str">
        <x:v>TXN-RAW-IMP-20260516-FULLDRAFT-002050</x:v>
      </x:c>
      <x:c r="B2066" t="str">
        <x:v>RAW-IMP-20260516-FULLDRAFT-002050</x:v>
      </x:c>
      <x:c r="C2066" t="str">
        <x:v>KTO001</x:v>
      </x:c>
      <x:c r="D2066"/>
      <x:c r="E2066" t="str">
        <x:v>KAT013</x:v>
      </x:c>
      <x:c r="F2066"/>
      <x:c r="G2066"/>
      <x:c r="H2066" t="str">
        <x:v>kein_match</x:v>
      </x:c>
      <x:c r="I2066" t="str">
        <x:v>Agent-Draft: keine finale Regelentscheidung</x:v>
      </x:c>
      <x:c r="J2066" t="n">
        <x:v>45469</x:v>
      </x:c>
      <x:c r="K2066"/>
      <x:c r="L2066"/>
      <x:c r="M2066" t="n">
        <x:v>-10</x:v>
      </x:c>
      <x:c r="N2066" t="str">
        <x:v>2024-06</x:v>
      </x:c>
      <x:c r="O2066" t="str">
        <x:v>Ausgabe</x:v>
      </x:c>
      <x:c r="P2066" t="str">
        <x:v>Ist</x:v>
      </x:c>
      <x:c r="Q2066" s="59" t="b">
        <x:v>0</x:v>
      </x:c>
      <x:c r="R2066" t="str">
        <x:v>kein_transfer</x:v>
      </x:c>
      <x:c r="S2066"/>
      <x:c r="T2066"/>
      <x:c r="U2066"/>
      <x:c r="V2066" s="59" t="b">
        <x:v>1</x:v>
      </x:c>
      <x:c r="W2066"/>
      <x:c r="X2066" t="str">
        <x:v>offen</x:v>
      </x:c>
      <x:c r="Y2066" t="str">
        <x:v>Agent-Draft; Kategorie und Person pruefen</x:v>
      </x:c>
    </x:row>
    <x:row r="2067">
      <x:c r="A2067" t="str">
        <x:v>TXN-RAW-IMP-20260516-FULLDRAFT-002051</x:v>
      </x:c>
      <x:c r="B2067" t="str">
        <x:v>RAW-IMP-20260516-FULLDRAFT-002051</x:v>
      </x:c>
      <x:c r="C2067" t="str">
        <x:v>KTO001</x:v>
      </x:c>
      <x:c r="D2067"/>
      <x:c r="E2067" t="str">
        <x:v>KAT013</x:v>
      </x:c>
      <x:c r="F2067"/>
      <x:c r="G2067"/>
      <x:c r="H2067" t="str">
        <x:v>kein_match</x:v>
      </x:c>
      <x:c r="I2067" t="str">
        <x:v>Agent-Draft: keine finale Regelentscheidung</x:v>
      </x:c>
      <x:c r="J2067" t="n">
        <x:v>45469</x:v>
      </x:c>
      <x:c r="K2067"/>
      <x:c r="L2067"/>
      <x:c r="M2067" t="n">
        <x:v>-21.6</x:v>
      </x:c>
      <x:c r="N2067" t="str">
        <x:v>2024-06</x:v>
      </x:c>
      <x:c r="O2067" t="str">
        <x:v>Ausgabe</x:v>
      </x:c>
      <x:c r="P2067" t="str">
        <x:v>Ist</x:v>
      </x:c>
      <x:c r="Q2067" s="59" t="b">
        <x:v>0</x:v>
      </x:c>
      <x:c r="R2067" t="str">
        <x:v>kein_transfer</x:v>
      </x:c>
      <x:c r="S2067"/>
      <x:c r="T2067"/>
      <x:c r="U2067"/>
      <x:c r="V2067" s="59" t="b">
        <x:v>1</x:v>
      </x:c>
      <x:c r="W2067"/>
      <x:c r="X2067" t="str">
        <x:v>offen</x:v>
      </x:c>
      <x:c r="Y2067" t="str">
        <x:v>Agent-Draft; Kategorie und Person pruefen</x:v>
      </x:c>
    </x:row>
    <x:row r="2068">
      <x:c r="A2068" t="str">
        <x:v>TXN-RAW-IMP-20260516-FULLDRAFT-002052</x:v>
      </x:c>
      <x:c r="B2068" t="str">
        <x:v>RAW-IMP-20260516-FULLDRAFT-002052</x:v>
      </x:c>
      <x:c r="C2068" t="str">
        <x:v>KTO001</x:v>
      </x:c>
      <x:c r="D2068"/>
      <x:c r="E2068" t="str">
        <x:v>KAT013</x:v>
      </x:c>
      <x:c r="F2068"/>
      <x:c r="G2068"/>
      <x:c r="H2068" t="str">
        <x:v>kein_match</x:v>
      </x:c>
      <x:c r="I2068" t="str">
        <x:v>Agent-Draft: keine finale Regelentscheidung</x:v>
      </x:c>
      <x:c r="J2068" t="n">
        <x:v>45469</x:v>
      </x:c>
      <x:c r="K2068"/>
      <x:c r="L2068"/>
      <x:c r="M2068" t="n">
        <x:v>-2475.61</x:v>
      </x:c>
      <x:c r="N2068" t="str">
        <x:v>2024-06</x:v>
      </x:c>
      <x:c r="O2068" t="str">
        <x:v>Ausgabe</x:v>
      </x:c>
      <x:c r="P2068" t="str">
        <x:v>Ist</x:v>
      </x:c>
      <x:c r="Q2068" s="59" t="b">
        <x:v>0</x:v>
      </x:c>
      <x:c r="R2068" t="str">
        <x:v>kein_transfer</x:v>
      </x:c>
      <x:c r="S2068"/>
      <x:c r="T2068"/>
      <x:c r="U2068"/>
      <x:c r="V2068" s="59" t="b">
        <x:v>1</x:v>
      </x:c>
      <x:c r="W2068"/>
      <x:c r="X2068" t="str">
        <x:v>offen</x:v>
      </x:c>
      <x:c r="Y2068" t="str">
        <x:v>Agent-Draft; Kategorie und Person pruefen</x:v>
      </x:c>
    </x:row>
    <x:row r="2069">
      <x:c r="A2069" t="str">
        <x:v>TXN-RAW-IMP-20260516-FULLDRAFT-002053</x:v>
      </x:c>
      <x:c r="B2069" t="str">
        <x:v>RAW-IMP-20260516-FULLDRAFT-002053</x:v>
      </x:c>
      <x:c r="C2069" t="str">
        <x:v>KTO001</x:v>
      </x:c>
      <x:c r="D2069"/>
      <x:c r="E2069" t="str">
        <x:v>KAT013</x:v>
      </x:c>
      <x:c r="F2069"/>
      <x:c r="G2069"/>
      <x:c r="H2069" t="str">
        <x:v>kein_match</x:v>
      </x:c>
      <x:c r="I2069" t="str">
        <x:v>Agent-Draft: keine finale Regelentscheidung</x:v>
      </x:c>
      <x:c r="J2069" t="n">
        <x:v>45469</x:v>
      </x:c>
      <x:c r="K2069"/>
      <x:c r="L2069"/>
      <x:c r="M2069" t="n">
        <x:v>-732</x:v>
      </x:c>
      <x:c r="N2069" t="str">
        <x:v>2024-06</x:v>
      </x:c>
      <x:c r="O2069" t="str">
        <x:v>Ausgabe</x:v>
      </x:c>
      <x:c r="P2069" t="str">
        <x:v>Ist</x:v>
      </x:c>
      <x:c r="Q2069" s="59" t="b">
        <x:v>0</x:v>
      </x:c>
      <x:c r="R2069" t="str">
        <x:v>kein_transfer</x:v>
      </x:c>
      <x:c r="S2069"/>
      <x:c r="T2069"/>
      <x:c r="U2069"/>
      <x:c r="V2069" s="59" t="b">
        <x:v>1</x:v>
      </x:c>
      <x:c r="W2069"/>
      <x:c r="X2069" t="str">
        <x:v>offen</x:v>
      </x:c>
      <x:c r="Y2069" t="str">
        <x:v>Agent-Draft; Kategorie und Person pruefen</x:v>
      </x:c>
    </x:row>
    <x:row r="2070">
      <x:c r="A2070" t="str">
        <x:v>TXN-RAW-IMP-20260516-FULLDRAFT-002054</x:v>
      </x:c>
      <x:c r="B2070" t="str">
        <x:v>RAW-IMP-20260516-FULLDRAFT-002054</x:v>
      </x:c>
      <x:c r="C2070" t="str">
        <x:v>KTO001</x:v>
      </x:c>
      <x:c r="D2070"/>
      <x:c r="E2070" t="str">
        <x:v>KAT013</x:v>
      </x:c>
      <x:c r="F2070"/>
      <x:c r="G2070"/>
      <x:c r="H2070" t="str">
        <x:v>kein_match</x:v>
      </x:c>
      <x:c r="I2070" t="str">
        <x:v>Agent-Draft: keine finale Regelentscheidung</x:v>
      </x:c>
      <x:c r="J2070" t="n">
        <x:v>45468</x:v>
      </x:c>
      <x:c r="K2070"/>
      <x:c r="L2070"/>
      <x:c r="M2070" t="n">
        <x:v>-4.99</x:v>
      </x:c>
      <x:c r="N2070" t="str">
        <x:v>2024-06</x:v>
      </x:c>
      <x:c r="O2070" t="str">
        <x:v>Ausgabe</x:v>
      </x:c>
      <x:c r="P2070" t="str">
        <x:v>Ist</x:v>
      </x:c>
      <x:c r="Q2070" s="59" t="b">
        <x:v>0</x:v>
      </x:c>
      <x:c r="R2070" t="str">
        <x:v>kein_transfer</x:v>
      </x:c>
      <x:c r="S2070"/>
      <x:c r="T2070"/>
      <x:c r="U2070"/>
      <x:c r="V2070" s="59" t="b">
        <x:v>1</x:v>
      </x:c>
      <x:c r="W2070"/>
      <x:c r="X2070" t="str">
        <x:v>offen</x:v>
      </x:c>
      <x:c r="Y2070" t="str">
        <x:v>Agent-Draft; Kategorie und Person pruefen</x:v>
      </x:c>
    </x:row>
    <x:row r="2071">
      <x:c r="A2071" t="str">
        <x:v>TXN-RAW-IMP-20260516-FULLDRAFT-002055</x:v>
      </x:c>
      <x:c r="B2071" t="str">
        <x:v>RAW-IMP-20260516-FULLDRAFT-002055</x:v>
      </x:c>
      <x:c r="C2071" t="str">
        <x:v>KTO001</x:v>
      </x:c>
      <x:c r="D2071"/>
      <x:c r="E2071" t="str">
        <x:v>KAT013</x:v>
      </x:c>
      <x:c r="F2071"/>
      <x:c r="G2071"/>
      <x:c r="H2071" t="str">
        <x:v>kein_match</x:v>
      </x:c>
      <x:c r="I2071" t="str">
        <x:v>Agent-Draft: keine finale Regelentscheidung</x:v>
      </x:c>
      <x:c r="J2071" t="n">
        <x:v>45468</x:v>
      </x:c>
      <x:c r="K2071"/>
      <x:c r="L2071"/>
      <x:c r="M2071" t="n">
        <x:v>-10.72</x:v>
      </x:c>
      <x:c r="N2071" t="str">
        <x:v>2024-06</x:v>
      </x:c>
      <x:c r="O2071" t="str">
        <x:v>Ausgabe</x:v>
      </x:c>
      <x:c r="P2071" t="str">
        <x:v>Ist</x:v>
      </x:c>
      <x:c r="Q2071" s="59" t="b">
        <x:v>0</x:v>
      </x:c>
      <x:c r="R2071" t="str">
        <x:v>kein_transfer</x:v>
      </x:c>
      <x:c r="S2071"/>
      <x:c r="T2071"/>
      <x:c r="U2071"/>
      <x:c r="V2071" s="59" t="b">
        <x:v>1</x:v>
      </x:c>
      <x:c r="W2071"/>
      <x:c r="X2071" t="str">
        <x:v>offen</x:v>
      </x:c>
      <x:c r="Y2071" t="str">
        <x:v>Agent-Draft; Kategorie und Person pruefen</x:v>
      </x:c>
    </x:row>
    <x:row r="2072">
      <x:c r="A2072" t="str">
        <x:v>TXN-RAW-IMP-20260516-FULLDRAFT-002056</x:v>
      </x:c>
      <x:c r="B2072" t="str">
        <x:v>RAW-IMP-20260516-FULLDRAFT-002056</x:v>
      </x:c>
      <x:c r="C2072" t="str">
        <x:v>KTO001</x:v>
      </x:c>
      <x:c r="D2072"/>
      <x:c r="E2072" t="str">
        <x:v>KAT013</x:v>
      </x:c>
      <x:c r="F2072"/>
      <x:c r="G2072"/>
      <x:c r="H2072" t="str">
        <x:v>kein_match</x:v>
      </x:c>
      <x:c r="I2072" t="str">
        <x:v>Agent-Draft: keine finale Regelentscheidung</x:v>
      </x:c>
      <x:c r="J2072" t="n">
        <x:v>45468</x:v>
      </x:c>
      <x:c r="K2072"/>
      <x:c r="L2072"/>
      <x:c r="M2072" t="n">
        <x:v>-74.43</x:v>
      </x:c>
      <x:c r="N2072" t="str">
        <x:v>2024-06</x:v>
      </x:c>
      <x:c r="O2072" t="str">
        <x:v>Ausgabe</x:v>
      </x:c>
      <x:c r="P2072" t="str">
        <x:v>Ist</x:v>
      </x:c>
      <x:c r="Q2072" s="59" t="b">
        <x:v>0</x:v>
      </x:c>
      <x:c r="R2072" t="str">
        <x:v>kein_transfer</x:v>
      </x:c>
      <x:c r="S2072"/>
      <x:c r="T2072"/>
      <x:c r="U2072"/>
      <x:c r="V2072" s="59" t="b">
        <x:v>1</x:v>
      </x:c>
      <x:c r="W2072"/>
      <x:c r="X2072" t="str">
        <x:v>offen</x:v>
      </x:c>
      <x:c r="Y2072" t="str">
        <x:v>Agent-Draft; Kategorie und Person pruefen</x:v>
      </x:c>
    </x:row>
    <x:row r="2073">
      <x:c r="A2073" t="str">
        <x:v>TXN-RAW-IMP-20260516-FULLDRAFT-002057</x:v>
      </x:c>
      <x:c r="B2073" t="str">
        <x:v>RAW-IMP-20260516-FULLDRAFT-002057</x:v>
      </x:c>
      <x:c r="C2073" t="str">
        <x:v>KTO001</x:v>
      </x:c>
      <x:c r="D2073"/>
      <x:c r="E2073" t="str">
        <x:v>KAT013</x:v>
      </x:c>
      <x:c r="F2073"/>
      <x:c r="G2073"/>
      <x:c r="H2073" t="str">
        <x:v>kein_match</x:v>
      </x:c>
      <x:c r="I2073" t="str">
        <x:v>Agent-Draft: keine finale Regelentscheidung</x:v>
      </x:c>
      <x:c r="J2073" t="n">
        <x:v>45467</x:v>
      </x:c>
      <x:c r="K2073"/>
      <x:c r="L2073"/>
      <x:c r="M2073" t="n">
        <x:v>-3.2</x:v>
      </x:c>
      <x:c r="N2073" t="str">
        <x:v>2024-06</x:v>
      </x:c>
      <x:c r="O2073" t="str">
        <x:v>Ausgabe</x:v>
      </x:c>
      <x:c r="P2073" t="str">
        <x:v>Ist</x:v>
      </x:c>
      <x:c r="Q2073" s="59" t="b">
        <x:v>0</x:v>
      </x:c>
      <x:c r="R2073" t="str">
        <x:v>kein_transfer</x:v>
      </x:c>
      <x:c r="S2073"/>
      <x:c r="T2073"/>
      <x:c r="U2073"/>
      <x:c r="V2073" s="59" t="b">
        <x:v>1</x:v>
      </x:c>
      <x:c r="W2073"/>
      <x:c r="X2073" t="str">
        <x:v>offen</x:v>
      </x:c>
      <x:c r="Y2073" t="str">
        <x:v>Agent-Draft; Kategorie und Person pruefen</x:v>
      </x:c>
    </x:row>
    <x:row r="2074">
      <x:c r="A2074" t="str">
        <x:v>TXN-RAW-IMP-20260516-FULLDRAFT-002058</x:v>
      </x:c>
      <x:c r="B2074" t="str">
        <x:v>RAW-IMP-20260516-FULLDRAFT-002058</x:v>
      </x:c>
      <x:c r="C2074" t="str">
        <x:v>KTO001</x:v>
      </x:c>
      <x:c r="D2074"/>
      <x:c r="E2074" t="str">
        <x:v>KAT013</x:v>
      </x:c>
      <x:c r="F2074"/>
      <x:c r="G2074"/>
      <x:c r="H2074" t="str">
        <x:v>kein_match</x:v>
      </x:c>
      <x:c r="I2074" t="str">
        <x:v>Agent-Draft: keine finale Regelentscheidung</x:v>
      </x:c>
      <x:c r="J2074" t="n">
        <x:v>45467</x:v>
      </x:c>
      <x:c r="K2074"/>
      <x:c r="L2074"/>
      <x:c r="M2074" t="n">
        <x:v>-90.03</x:v>
      </x:c>
      <x:c r="N2074" t="str">
        <x:v>2024-06</x:v>
      </x:c>
      <x:c r="O2074" t="str">
        <x:v>Ausgabe</x:v>
      </x:c>
      <x:c r="P2074" t="str">
        <x:v>Ist</x:v>
      </x:c>
      <x:c r="Q2074" s="59" t="b">
        <x:v>0</x:v>
      </x:c>
      <x:c r="R2074" t="str">
        <x:v>kein_transfer</x:v>
      </x:c>
      <x:c r="S2074"/>
      <x:c r="T2074"/>
      <x:c r="U2074"/>
      <x:c r="V2074" s="59" t="b">
        <x:v>1</x:v>
      </x:c>
      <x:c r="W2074"/>
      <x:c r="X2074" t="str">
        <x:v>offen</x:v>
      </x:c>
      <x:c r="Y2074" t="str">
        <x:v>Agent-Draft; Kategorie und Person pruefen</x:v>
      </x:c>
    </x:row>
    <x:row r="2075">
      <x:c r="A2075" t="str">
        <x:v>TXN-RAW-IMP-20260516-FULLDRAFT-002059</x:v>
      </x:c>
      <x:c r="B2075" t="str">
        <x:v>RAW-IMP-20260516-FULLDRAFT-002059</x:v>
      </x:c>
      <x:c r="C2075" t="str">
        <x:v>KTO001</x:v>
      </x:c>
      <x:c r="D2075"/>
      <x:c r="E2075" t="str">
        <x:v>KAT013</x:v>
      </x:c>
      <x:c r="F2075"/>
      <x:c r="G2075"/>
      <x:c r="H2075" t="str">
        <x:v>kein_match</x:v>
      </x:c>
      <x:c r="I2075" t="str">
        <x:v>Agent-Draft: keine finale Regelentscheidung</x:v>
      </x:c>
      <x:c r="J2075" t="n">
        <x:v>45467</x:v>
      </x:c>
      <x:c r="K2075"/>
      <x:c r="L2075"/>
      <x:c r="M2075" t="n">
        <x:v>-83.85</x:v>
      </x:c>
      <x:c r="N2075" t="str">
        <x:v>2024-06</x:v>
      </x:c>
      <x:c r="O2075" t="str">
        <x:v>Ausgabe</x:v>
      </x:c>
      <x:c r="P2075" t="str">
        <x:v>Ist</x:v>
      </x:c>
      <x:c r="Q2075" s="59" t="b">
        <x:v>0</x:v>
      </x:c>
      <x:c r="R2075" t="str">
        <x:v>kein_transfer</x:v>
      </x:c>
      <x:c r="S2075"/>
      <x:c r="T2075"/>
      <x:c r="U2075"/>
      <x:c r="V2075" s="59" t="b">
        <x:v>1</x:v>
      </x:c>
      <x:c r="W2075"/>
      <x:c r="X2075" t="str">
        <x:v>offen</x:v>
      </x:c>
      <x:c r="Y2075" t="str">
        <x:v>Agent-Draft; Kategorie und Person pruefen</x:v>
      </x:c>
    </x:row>
    <x:row r="2076">
      <x:c r="A2076" t="str">
        <x:v>TXN-RAW-IMP-20260516-FULLDRAFT-002060</x:v>
      </x:c>
      <x:c r="B2076" t="str">
        <x:v>RAW-IMP-20260516-FULLDRAFT-002060</x:v>
      </x:c>
      <x:c r="C2076" t="str">
        <x:v>KTO001</x:v>
      </x:c>
      <x:c r="D2076"/>
      <x:c r="E2076" t="str">
        <x:v>KAT013</x:v>
      </x:c>
      <x:c r="F2076"/>
      <x:c r="G2076"/>
      <x:c r="H2076" t="str">
        <x:v>kein_match</x:v>
      </x:c>
      <x:c r="I2076" t="str">
        <x:v>Agent-Draft: keine finale Regelentscheidung</x:v>
      </x:c>
      <x:c r="J2076" t="n">
        <x:v>45467</x:v>
      </x:c>
      <x:c r="K2076"/>
      <x:c r="L2076"/>
      <x:c r="M2076" t="n">
        <x:v>-10.99</x:v>
      </x:c>
      <x:c r="N2076" t="str">
        <x:v>2024-06</x:v>
      </x:c>
      <x:c r="O2076" t="str">
        <x:v>Ausgabe</x:v>
      </x:c>
      <x:c r="P2076" t="str">
        <x:v>Ist</x:v>
      </x:c>
      <x:c r="Q2076" s="59" t="b">
        <x:v>0</x:v>
      </x:c>
      <x:c r="R2076" t="str">
        <x:v>kein_transfer</x:v>
      </x:c>
      <x:c r="S2076"/>
      <x:c r="T2076"/>
      <x:c r="U2076"/>
      <x:c r="V2076" s="59" t="b">
        <x:v>1</x:v>
      </x:c>
      <x:c r="W2076"/>
      <x:c r="X2076" t="str">
        <x:v>offen</x:v>
      </x:c>
      <x:c r="Y2076" t="str">
        <x:v>Agent-Draft; Kategorie und Person pruefen</x:v>
      </x:c>
    </x:row>
    <x:row r="2077">
      <x:c r="A2077" t="str">
        <x:v>TXN-RAW-IMP-20260516-FULLDRAFT-002061</x:v>
      </x:c>
      <x:c r="B2077" t="str">
        <x:v>RAW-IMP-20260516-FULLDRAFT-002061</x:v>
      </x:c>
      <x:c r="C2077" t="str">
        <x:v>KTO001</x:v>
      </x:c>
      <x:c r="D2077"/>
      <x:c r="E2077" t="str">
        <x:v>KAT013</x:v>
      </x:c>
      <x:c r="F2077"/>
      <x:c r="G2077"/>
      <x:c r="H2077" t="str">
        <x:v>kein_match</x:v>
      </x:c>
      <x:c r="I2077" t="str">
        <x:v>Agent-Draft: keine finale Regelentscheidung</x:v>
      </x:c>
      <x:c r="J2077" t="n">
        <x:v>45467</x:v>
      </x:c>
      <x:c r="K2077"/>
      <x:c r="L2077"/>
      <x:c r="M2077" t="n">
        <x:v>-1.2</x:v>
      </x:c>
      <x:c r="N2077" t="str">
        <x:v>2024-06</x:v>
      </x:c>
      <x:c r="O2077" t="str">
        <x:v>Ausgabe</x:v>
      </x:c>
      <x:c r="P2077" t="str">
        <x:v>Ist</x:v>
      </x:c>
      <x:c r="Q2077" s="59" t="b">
        <x:v>0</x:v>
      </x:c>
      <x:c r="R2077" t="str">
        <x:v>kein_transfer</x:v>
      </x:c>
      <x:c r="S2077"/>
      <x:c r="T2077"/>
      <x:c r="U2077"/>
      <x:c r="V2077" s="59" t="b">
        <x:v>1</x:v>
      </x:c>
      <x:c r="W2077"/>
      <x:c r="X2077" t="str">
        <x:v>offen</x:v>
      </x:c>
      <x:c r="Y2077" t="str">
        <x:v>Agent-Draft; Kategorie und Person pruefen</x:v>
      </x:c>
    </x:row>
    <x:row r="2078">
      <x:c r="A2078" t="str">
        <x:v>TXN-RAW-IMP-20260516-FULLDRAFT-002062</x:v>
      </x:c>
      <x:c r="B2078" t="str">
        <x:v>RAW-IMP-20260516-FULLDRAFT-002062</x:v>
      </x:c>
      <x:c r="C2078" t="str">
        <x:v>KTO001</x:v>
      </x:c>
      <x:c r="D2078"/>
      <x:c r="E2078" t="str">
        <x:v>KAT013</x:v>
      </x:c>
      <x:c r="F2078"/>
      <x:c r="G2078"/>
      <x:c r="H2078" t="str">
        <x:v>kein_match</x:v>
      </x:c>
      <x:c r="I2078" t="str">
        <x:v>Agent-Draft: keine finale Regelentscheidung</x:v>
      </x:c>
      <x:c r="J2078" t="n">
        <x:v>45467</x:v>
      </x:c>
      <x:c r="K2078"/>
      <x:c r="L2078"/>
      <x:c r="M2078" t="n">
        <x:v>-6</x:v>
      </x:c>
      <x:c r="N2078" t="str">
        <x:v>2024-06</x:v>
      </x:c>
      <x:c r="O2078" t="str">
        <x:v>Ausgabe</x:v>
      </x:c>
      <x:c r="P2078" t="str">
        <x:v>Ist</x:v>
      </x:c>
      <x:c r="Q2078" s="59" t="b">
        <x:v>0</x:v>
      </x:c>
      <x:c r="R2078" t="str">
        <x:v>kein_transfer</x:v>
      </x:c>
      <x:c r="S2078"/>
      <x:c r="T2078"/>
      <x:c r="U2078"/>
      <x:c r="V2078" s="59" t="b">
        <x:v>1</x:v>
      </x:c>
      <x:c r="W2078"/>
      <x:c r="X2078" t="str">
        <x:v>offen</x:v>
      </x:c>
      <x:c r="Y2078" t="str">
        <x:v>Agent-Draft; Kategorie und Person pruefen</x:v>
      </x:c>
    </x:row>
    <x:row r="2079">
      <x:c r="A2079" t="str">
        <x:v>TXN-RAW-IMP-20260516-FULLDRAFT-002063</x:v>
      </x:c>
      <x:c r="B2079" t="str">
        <x:v>RAW-IMP-20260516-FULLDRAFT-002063</x:v>
      </x:c>
      <x:c r="C2079" t="str">
        <x:v>KTO001</x:v>
      </x:c>
      <x:c r="D2079"/>
      <x:c r="E2079" t="str">
        <x:v>KAT013</x:v>
      </x:c>
      <x:c r="F2079"/>
      <x:c r="G2079"/>
      <x:c r="H2079" t="str">
        <x:v>kein_match</x:v>
      </x:c>
      <x:c r="I2079" t="str">
        <x:v>Agent-Draft: keine finale Regelentscheidung</x:v>
      </x:c>
      <x:c r="J2079" t="n">
        <x:v>45467</x:v>
      </x:c>
      <x:c r="K2079"/>
      <x:c r="L2079"/>
      <x:c r="M2079" t="n">
        <x:v>-5</x:v>
      </x:c>
      <x:c r="N2079" t="str">
        <x:v>2024-06</x:v>
      </x:c>
      <x:c r="O2079" t="str">
        <x:v>Ausgabe</x:v>
      </x:c>
      <x:c r="P2079" t="str">
        <x:v>Ist</x:v>
      </x:c>
      <x:c r="Q2079" s="59" t="b">
        <x:v>0</x:v>
      </x:c>
      <x:c r="R2079" t="str">
        <x:v>kein_transfer</x:v>
      </x:c>
      <x:c r="S2079"/>
      <x:c r="T2079"/>
      <x:c r="U2079"/>
      <x:c r="V2079" s="59" t="b">
        <x:v>1</x:v>
      </x:c>
      <x:c r="W2079"/>
      <x:c r="X2079" t="str">
        <x:v>offen</x:v>
      </x:c>
      <x:c r="Y2079" t="str">
        <x:v>Agent-Draft; Kategorie und Person pruefen</x:v>
      </x:c>
    </x:row>
    <x:row r="2080">
      <x:c r="A2080" t="str">
        <x:v>TXN-RAW-IMP-20260516-FULLDRAFT-002064</x:v>
      </x:c>
      <x:c r="B2080" t="str">
        <x:v>RAW-IMP-20260516-FULLDRAFT-002064</x:v>
      </x:c>
      <x:c r="C2080" t="str">
        <x:v>KTO001</x:v>
      </x:c>
      <x:c r="D2080"/>
      <x:c r="E2080" t="str">
        <x:v>KAT013</x:v>
      </x:c>
      <x:c r="F2080"/>
      <x:c r="G2080"/>
      <x:c r="H2080" t="str">
        <x:v>kein_match</x:v>
      </x:c>
      <x:c r="I2080" t="str">
        <x:v>Agent-Draft: keine finale Regelentscheidung</x:v>
      </x:c>
      <x:c r="J2080" t="n">
        <x:v>45467</x:v>
      </x:c>
      <x:c r="K2080"/>
      <x:c r="L2080"/>
      <x:c r="M2080" t="n">
        <x:v>-4.77</x:v>
      </x:c>
      <x:c r="N2080" t="str">
        <x:v>2024-06</x:v>
      </x:c>
      <x:c r="O2080" t="str">
        <x:v>Ausgabe</x:v>
      </x:c>
      <x:c r="P2080" t="str">
        <x:v>Ist</x:v>
      </x:c>
      <x:c r="Q2080" s="59" t="b">
        <x:v>0</x:v>
      </x:c>
      <x:c r="R2080" t="str">
        <x:v>kein_transfer</x:v>
      </x:c>
      <x:c r="S2080"/>
      <x:c r="T2080"/>
      <x:c r="U2080"/>
      <x:c r="V2080" s="59" t="b">
        <x:v>1</x:v>
      </x:c>
      <x:c r="W2080"/>
      <x:c r="X2080" t="str">
        <x:v>offen</x:v>
      </x:c>
      <x:c r="Y2080" t="str">
        <x:v>Agent-Draft; Kategorie und Person pruefen</x:v>
      </x:c>
    </x:row>
    <x:row r="2081">
      <x:c r="A2081" t="str">
        <x:v>TXN-RAW-IMP-20260516-FULLDRAFT-002065</x:v>
      </x:c>
      <x:c r="B2081" t="str">
        <x:v>RAW-IMP-20260516-FULLDRAFT-002065</x:v>
      </x:c>
      <x:c r="C2081" t="str">
        <x:v>KTO001</x:v>
      </x:c>
      <x:c r="D2081"/>
      <x:c r="E2081" t="str">
        <x:v>KAT013</x:v>
      </x:c>
      <x:c r="F2081"/>
      <x:c r="G2081"/>
      <x:c r="H2081" t="str">
        <x:v>kein_match</x:v>
      </x:c>
      <x:c r="I2081" t="str">
        <x:v>Agent-Draft: keine finale Regelentscheidung</x:v>
      </x:c>
      <x:c r="J2081" t="n">
        <x:v>45464</x:v>
      </x:c>
      <x:c r="K2081"/>
      <x:c r="L2081"/>
      <x:c r="M2081" t="n">
        <x:v>-5</x:v>
      </x:c>
      <x:c r="N2081" t="str">
        <x:v>2024-06</x:v>
      </x:c>
      <x:c r="O2081" t="str">
        <x:v>Ausgabe</x:v>
      </x:c>
      <x:c r="P2081" t="str">
        <x:v>Ist</x:v>
      </x:c>
      <x:c r="Q2081" s="59" t="b">
        <x:v>0</x:v>
      </x:c>
      <x:c r="R2081" t="str">
        <x:v>kein_transfer</x:v>
      </x:c>
      <x:c r="S2081"/>
      <x:c r="T2081"/>
      <x:c r="U2081"/>
      <x:c r="V2081" s="59" t="b">
        <x:v>1</x:v>
      </x:c>
      <x:c r="W2081"/>
      <x:c r="X2081" t="str">
        <x:v>offen</x:v>
      </x:c>
      <x:c r="Y2081" t="str">
        <x:v>Agent-Draft; Kategorie und Person pruefen</x:v>
      </x:c>
    </x:row>
    <x:row r="2082">
      <x:c r="A2082" t="str">
        <x:v>TXN-RAW-IMP-20260516-FULLDRAFT-002066</x:v>
      </x:c>
      <x:c r="B2082" t="str">
        <x:v>RAW-IMP-20260516-FULLDRAFT-002066</x:v>
      </x:c>
      <x:c r="C2082" t="str">
        <x:v>KTO001</x:v>
      </x:c>
      <x:c r="D2082"/>
      <x:c r="E2082" t="str">
        <x:v>KAT013</x:v>
      </x:c>
      <x:c r="F2082"/>
      <x:c r="G2082"/>
      <x:c r="H2082" t="str">
        <x:v>kein_match</x:v>
      </x:c>
      <x:c r="I2082" t="str">
        <x:v>Agent-Draft: keine finale Regelentscheidung</x:v>
      </x:c>
      <x:c r="J2082" t="n">
        <x:v>45464</x:v>
      </x:c>
      <x:c r="K2082"/>
      <x:c r="L2082"/>
      <x:c r="M2082" t="n">
        <x:v>-2.81</x:v>
      </x:c>
      <x:c r="N2082" t="str">
        <x:v>2024-06</x:v>
      </x:c>
      <x:c r="O2082" t="str">
        <x:v>Ausgabe</x:v>
      </x:c>
      <x:c r="P2082" t="str">
        <x:v>Ist</x:v>
      </x:c>
      <x:c r="Q2082" s="59" t="b">
        <x:v>0</x:v>
      </x:c>
      <x:c r="R2082" t="str">
        <x:v>kein_transfer</x:v>
      </x:c>
      <x:c r="S2082"/>
      <x:c r="T2082"/>
      <x:c r="U2082"/>
      <x:c r="V2082" s="59" t="b">
        <x:v>1</x:v>
      </x:c>
      <x:c r="W2082"/>
      <x:c r="X2082" t="str">
        <x:v>offen</x:v>
      </x:c>
      <x:c r="Y2082" t="str">
        <x:v>Agent-Draft; Kategorie und Person pruefen</x:v>
      </x:c>
    </x:row>
    <x:row r="2083">
      <x:c r="A2083" t="str">
        <x:v>TXN-RAW-IMP-20260516-FULLDRAFT-002067</x:v>
      </x:c>
      <x:c r="B2083" t="str">
        <x:v>RAW-IMP-20260516-FULLDRAFT-002067</x:v>
      </x:c>
      <x:c r="C2083" t="str">
        <x:v>KTO001</x:v>
      </x:c>
      <x:c r="D2083"/>
      <x:c r="E2083" t="str">
        <x:v>KAT013</x:v>
      </x:c>
      <x:c r="F2083"/>
      <x:c r="G2083"/>
      <x:c r="H2083" t="str">
        <x:v>kein_match</x:v>
      </x:c>
      <x:c r="I2083" t="str">
        <x:v>Agent-Draft: keine finale Regelentscheidung</x:v>
      </x:c>
      <x:c r="J2083" t="n">
        <x:v>45463</x:v>
      </x:c>
      <x:c r="K2083"/>
      <x:c r="L2083"/>
      <x:c r="M2083" t="n">
        <x:v>-300</x:v>
      </x:c>
      <x:c r="N2083" t="str">
        <x:v>2024-06</x:v>
      </x:c>
      <x:c r="O2083" t="str">
        <x:v>Ausgabe</x:v>
      </x:c>
      <x:c r="P2083" t="str">
        <x:v>Ist</x:v>
      </x:c>
      <x:c r="Q2083" s="59" t="b">
        <x:v>0</x:v>
      </x:c>
      <x:c r="R2083" t="str">
        <x:v>kein_transfer</x:v>
      </x:c>
      <x:c r="S2083"/>
      <x:c r="T2083"/>
      <x:c r="U2083"/>
      <x:c r="V2083" s="59" t="b">
        <x:v>1</x:v>
      </x:c>
      <x:c r="W2083"/>
      <x:c r="X2083" t="str">
        <x:v>offen</x:v>
      </x:c>
      <x:c r="Y2083" t="str">
        <x:v>Agent-Draft; Kategorie und Person pruefen</x:v>
      </x:c>
    </x:row>
    <x:row r="2084">
      <x:c r="A2084" t="str">
        <x:v>TXN-RAW-IMP-20260516-FULLDRAFT-002068</x:v>
      </x:c>
      <x:c r="B2084" t="str">
        <x:v>RAW-IMP-20260516-FULLDRAFT-002068</x:v>
      </x:c>
      <x:c r="C2084" t="str">
        <x:v>KTO001</x:v>
      </x:c>
      <x:c r="D2084"/>
      <x:c r="E2084" t="str">
        <x:v>KAT013</x:v>
      </x:c>
      <x:c r="F2084"/>
      <x:c r="G2084"/>
      <x:c r="H2084" t="str">
        <x:v>kein_match</x:v>
      </x:c>
      <x:c r="I2084" t="str">
        <x:v>Agent-Draft: keine finale Regelentscheidung</x:v>
      </x:c>
      <x:c r="J2084" t="n">
        <x:v>45463</x:v>
      </x:c>
      <x:c r="K2084"/>
      <x:c r="L2084"/>
      <x:c r="M2084" t="n">
        <x:v>-12.5</x:v>
      </x:c>
      <x:c r="N2084" t="str">
        <x:v>2024-06</x:v>
      </x:c>
      <x:c r="O2084" t="str">
        <x:v>Ausgabe</x:v>
      </x:c>
      <x:c r="P2084" t="str">
        <x:v>Ist</x:v>
      </x:c>
      <x:c r="Q2084" s="59" t="b">
        <x:v>0</x:v>
      </x:c>
      <x:c r="R2084" t="str">
        <x:v>kein_transfer</x:v>
      </x:c>
      <x:c r="S2084"/>
      <x:c r="T2084"/>
      <x:c r="U2084"/>
      <x:c r="V2084" s="59" t="b">
        <x:v>1</x:v>
      </x:c>
      <x:c r="W2084"/>
      <x:c r="X2084" t="str">
        <x:v>offen</x:v>
      </x:c>
      <x:c r="Y2084" t="str">
        <x:v>Agent-Draft; Kategorie und Person pruefen</x:v>
      </x:c>
    </x:row>
    <x:row r="2085">
      <x:c r="A2085" t="str">
        <x:v>TXN-RAW-IMP-20260516-FULLDRAFT-002069</x:v>
      </x:c>
      <x:c r="B2085" t="str">
        <x:v>RAW-IMP-20260516-FULLDRAFT-002069</x:v>
      </x:c>
      <x:c r="C2085" t="str">
        <x:v>KTO001</x:v>
      </x:c>
      <x:c r="D2085"/>
      <x:c r="E2085" t="str">
        <x:v>KAT013</x:v>
      </x:c>
      <x:c r="F2085"/>
      <x:c r="G2085"/>
      <x:c r="H2085" t="str">
        <x:v>kein_match</x:v>
      </x:c>
      <x:c r="I2085" t="str">
        <x:v>Agent-Draft: keine finale Regelentscheidung</x:v>
      </x:c>
      <x:c r="J2085" t="n">
        <x:v>45463</x:v>
      </x:c>
      <x:c r="K2085"/>
      <x:c r="L2085"/>
      <x:c r="M2085" t="n">
        <x:v>-49.68</x:v>
      </x:c>
      <x:c r="N2085" t="str">
        <x:v>2024-06</x:v>
      </x:c>
      <x:c r="O2085" t="str">
        <x:v>Ausgabe</x:v>
      </x:c>
      <x:c r="P2085" t="str">
        <x:v>Ist</x:v>
      </x:c>
      <x:c r="Q2085" s="59" t="b">
        <x:v>0</x:v>
      </x:c>
      <x:c r="R2085" t="str">
        <x:v>kein_transfer</x:v>
      </x:c>
      <x:c r="S2085"/>
      <x:c r="T2085"/>
      <x:c r="U2085"/>
      <x:c r="V2085" s="59" t="b">
        <x:v>1</x:v>
      </x:c>
      <x:c r="W2085"/>
      <x:c r="X2085" t="str">
        <x:v>offen</x:v>
      </x:c>
      <x:c r="Y2085" t="str">
        <x:v>Agent-Draft; Kategorie und Person pruefen</x:v>
      </x:c>
    </x:row>
    <x:row r="2086">
      <x:c r="A2086" t="str">
        <x:v>TXN-RAW-IMP-20260516-FULLDRAFT-002070</x:v>
      </x:c>
      <x:c r="B2086" t="str">
        <x:v>RAW-IMP-20260516-FULLDRAFT-002070</x:v>
      </x:c>
      <x:c r="C2086" t="str">
        <x:v>KTO001</x:v>
      </x:c>
      <x:c r="D2086"/>
      <x:c r="E2086" t="str">
        <x:v>KAT013</x:v>
      </x:c>
      <x:c r="F2086"/>
      <x:c r="G2086"/>
      <x:c r="H2086" t="str">
        <x:v>kein_match</x:v>
      </x:c>
      <x:c r="I2086" t="str">
        <x:v>Agent-Draft: keine finale Regelentscheidung</x:v>
      </x:c>
      <x:c r="J2086" t="n">
        <x:v>45462</x:v>
      </x:c>
      <x:c r="K2086"/>
      <x:c r="L2086"/>
      <x:c r="M2086" t="n">
        <x:v>-2.93</x:v>
      </x:c>
      <x:c r="N2086" t="str">
        <x:v>2024-06</x:v>
      </x:c>
      <x:c r="O2086" t="str">
        <x:v>Ausgabe</x:v>
      </x:c>
      <x:c r="P2086" t="str">
        <x:v>Ist</x:v>
      </x:c>
      <x:c r="Q2086" s="59" t="b">
        <x:v>0</x:v>
      </x:c>
      <x:c r="R2086" t="str">
        <x:v>kein_transfer</x:v>
      </x:c>
      <x:c r="S2086"/>
      <x:c r="T2086"/>
      <x:c r="U2086"/>
      <x:c r="V2086" s="59" t="b">
        <x:v>1</x:v>
      </x:c>
      <x:c r="W2086"/>
      <x:c r="X2086" t="str">
        <x:v>offen</x:v>
      </x:c>
      <x:c r="Y2086" t="str">
        <x:v>Agent-Draft; Kategorie und Person pruefen</x:v>
      </x:c>
    </x:row>
    <x:row r="2087">
      <x:c r="A2087" t="str">
        <x:v>TXN-RAW-IMP-20260516-FULLDRAFT-002071</x:v>
      </x:c>
      <x:c r="B2087" t="str">
        <x:v>RAW-IMP-20260516-FULLDRAFT-002071</x:v>
      </x:c>
      <x:c r="C2087" t="str">
        <x:v>KTO001</x:v>
      </x:c>
      <x:c r="D2087"/>
      <x:c r="E2087" t="str">
        <x:v>KAT013</x:v>
      </x:c>
      <x:c r="F2087"/>
      <x:c r="G2087"/>
      <x:c r="H2087" t="str">
        <x:v>kein_match</x:v>
      </x:c>
      <x:c r="I2087" t="str">
        <x:v>Agent-Draft: keine finale Regelentscheidung</x:v>
      </x:c>
      <x:c r="J2087" t="n">
        <x:v>45461</x:v>
      </x:c>
      <x:c r="K2087"/>
      <x:c r="L2087"/>
      <x:c r="M2087" t="n">
        <x:v>-4</x:v>
      </x:c>
      <x:c r="N2087" t="str">
        <x:v>2024-06</x:v>
      </x:c>
      <x:c r="O2087" t="str">
        <x:v>Ausgabe</x:v>
      </x:c>
      <x:c r="P2087" t="str">
        <x:v>Ist</x:v>
      </x:c>
      <x:c r="Q2087" s="59" t="b">
        <x:v>0</x:v>
      </x:c>
      <x:c r="R2087" t="str">
        <x:v>kein_transfer</x:v>
      </x:c>
      <x:c r="S2087"/>
      <x:c r="T2087"/>
      <x:c r="U2087"/>
      <x:c r="V2087" s="59" t="b">
        <x:v>1</x:v>
      </x:c>
      <x:c r="W2087"/>
      <x:c r="X2087" t="str">
        <x:v>offen</x:v>
      </x:c>
      <x:c r="Y2087" t="str">
        <x:v>Agent-Draft; Kategorie und Person pruefen</x:v>
      </x:c>
    </x:row>
    <x:row r="2088">
      <x:c r="A2088" t="str">
        <x:v>TXN-RAW-IMP-20260516-FULLDRAFT-002072</x:v>
      </x:c>
      <x:c r="B2088" t="str">
        <x:v>RAW-IMP-20260516-FULLDRAFT-002072</x:v>
      </x:c>
      <x:c r="C2088" t="str">
        <x:v>KTO001</x:v>
      </x:c>
      <x:c r="D2088"/>
      <x:c r="E2088" t="str">
        <x:v>KAT013</x:v>
      </x:c>
      <x:c r="F2088"/>
      <x:c r="G2088"/>
      <x:c r="H2088" t="str">
        <x:v>kein_match</x:v>
      </x:c>
      <x:c r="I2088" t="str">
        <x:v>Agent-Draft: keine finale Regelentscheidung</x:v>
      </x:c>
      <x:c r="J2088" t="n">
        <x:v>45461</x:v>
      </x:c>
      <x:c r="K2088"/>
      <x:c r="L2088"/>
      <x:c r="M2088" t="n">
        <x:v>1295</x:v>
      </x:c>
      <x:c r="N2088" t="str">
        <x:v>2024-06</x:v>
      </x:c>
      <x:c r="O2088" t="str">
        <x:v>Einnahme</x:v>
      </x:c>
      <x:c r="P2088" t="str">
        <x:v>Ist</x:v>
      </x:c>
      <x:c r="Q2088" s="59" t="b">
        <x:v>0</x:v>
      </x:c>
      <x:c r="R2088" t="str">
        <x:v>kein_transfer</x:v>
      </x:c>
      <x:c r="S2088"/>
      <x:c r="T2088"/>
      <x:c r="U2088"/>
      <x:c r="V2088" s="59" t="b">
        <x:v>1</x:v>
      </x:c>
      <x:c r="W2088"/>
      <x:c r="X2088" t="str">
        <x:v>offen</x:v>
      </x:c>
      <x:c r="Y2088" t="str">
        <x:v>Agent-Draft; Kategorie und Person pruefen</x:v>
      </x:c>
    </x:row>
    <x:row r="2089">
      <x:c r="A2089" t="str">
        <x:v>TXN-RAW-IMP-20260516-FULLDRAFT-002073</x:v>
      </x:c>
      <x:c r="B2089" t="str">
        <x:v>RAW-IMP-20260516-FULLDRAFT-002073</x:v>
      </x:c>
      <x:c r="C2089" t="str">
        <x:v>KTO001</x:v>
      </x:c>
      <x:c r="D2089"/>
      <x:c r="E2089" t="str">
        <x:v>KAT013</x:v>
      </x:c>
      <x:c r="F2089"/>
      <x:c r="G2089"/>
      <x:c r="H2089" t="str">
        <x:v>kein_match</x:v>
      </x:c>
      <x:c r="I2089" t="str">
        <x:v>Agent-Draft: keine finale Regelentscheidung</x:v>
      </x:c>
      <x:c r="J2089" t="n">
        <x:v>45461</x:v>
      </x:c>
      <x:c r="K2089"/>
      <x:c r="L2089"/>
      <x:c r="M2089" t="n">
        <x:v>-162.5</x:v>
      </x:c>
      <x:c r="N2089" t="str">
        <x:v>2024-06</x:v>
      </x:c>
      <x:c r="O2089" t="str">
        <x:v>Ausgabe</x:v>
      </x:c>
      <x:c r="P2089" t="str">
        <x:v>Ist</x:v>
      </x:c>
      <x:c r="Q2089" s="59" t="b">
        <x:v>0</x:v>
      </x:c>
      <x:c r="R2089" t="str">
        <x:v>kein_transfer</x:v>
      </x:c>
      <x:c r="S2089"/>
      <x:c r="T2089"/>
      <x:c r="U2089"/>
      <x:c r="V2089" s="59" t="b">
        <x:v>1</x:v>
      </x:c>
      <x:c r="W2089"/>
      <x:c r="X2089" t="str">
        <x:v>offen</x:v>
      </x:c>
      <x:c r="Y2089" t="str">
        <x:v>Agent-Draft; Kategorie und Person pruefen</x:v>
      </x:c>
    </x:row>
    <x:row r="2090">
      <x:c r="A2090" t="str">
        <x:v>TXN-RAW-IMP-20260516-FULLDRAFT-002074</x:v>
      </x:c>
      <x:c r="B2090" t="str">
        <x:v>RAW-IMP-20260516-FULLDRAFT-002074</x:v>
      </x:c>
      <x:c r="C2090" t="str">
        <x:v>KTO001</x:v>
      </x:c>
      <x:c r="D2090"/>
      <x:c r="E2090" t="str">
        <x:v>KAT013</x:v>
      </x:c>
      <x:c r="F2090"/>
      <x:c r="G2090"/>
      <x:c r="H2090" t="str">
        <x:v>kein_match</x:v>
      </x:c>
      <x:c r="I2090" t="str">
        <x:v>Agent-Draft: keine finale Regelentscheidung</x:v>
      </x:c>
      <x:c r="J2090" t="n">
        <x:v>45461</x:v>
      </x:c>
      <x:c r="K2090"/>
      <x:c r="L2090"/>
      <x:c r="M2090" t="n">
        <x:v>-260.09</x:v>
      </x:c>
      <x:c r="N2090" t="str">
        <x:v>2024-06</x:v>
      </x:c>
      <x:c r="O2090" t="str">
        <x:v>Ausgabe</x:v>
      </x:c>
      <x:c r="P2090" t="str">
        <x:v>Ist</x:v>
      </x:c>
      <x:c r="Q2090" s="59" t="b">
        <x:v>0</x:v>
      </x:c>
      <x:c r="R2090" t="str">
        <x:v>kein_transfer</x:v>
      </x:c>
      <x:c r="S2090"/>
      <x:c r="T2090"/>
      <x:c r="U2090"/>
      <x:c r="V2090" s="59" t="b">
        <x:v>1</x:v>
      </x:c>
      <x:c r="W2090"/>
      <x:c r="X2090" t="str">
        <x:v>offen</x:v>
      </x:c>
      <x:c r="Y2090" t="str">
        <x:v>Agent-Draft; Kategorie und Person pruefen</x:v>
      </x:c>
    </x:row>
    <x:row r="2091">
      <x:c r="A2091" t="str">
        <x:v>TXN-RAW-IMP-20260516-FULLDRAFT-002075</x:v>
      </x:c>
      <x:c r="B2091" t="str">
        <x:v>RAW-IMP-20260516-FULLDRAFT-002075</x:v>
      </x:c>
      <x:c r="C2091" t="str">
        <x:v>KTO001</x:v>
      </x:c>
      <x:c r="D2091"/>
      <x:c r="E2091" t="str">
        <x:v>KAT013</x:v>
      </x:c>
      <x:c r="F2091"/>
      <x:c r="G2091"/>
      <x:c r="H2091" t="str">
        <x:v>kein_match</x:v>
      </x:c>
      <x:c r="I2091" t="str">
        <x:v>Agent-Draft: keine finale Regelentscheidung</x:v>
      </x:c>
      <x:c r="J2091" t="n">
        <x:v>45460</x:v>
      </x:c>
      <x:c r="K2091"/>
      <x:c r="L2091"/>
      <x:c r="M2091" t="n">
        <x:v>-86.87</x:v>
      </x:c>
      <x:c r="N2091" t="str">
        <x:v>2024-06</x:v>
      </x:c>
      <x:c r="O2091" t="str">
        <x:v>Ausgabe</x:v>
      </x:c>
      <x:c r="P2091" t="str">
        <x:v>Ist</x:v>
      </x:c>
      <x:c r="Q2091" s="59" t="b">
        <x:v>0</x:v>
      </x:c>
      <x:c r="R2091" t="str">
        <x:v>kein_transfer</x:v>
      </x:c>
      <x:c r="S2091"/>
      <x:c r="T2091"/>
      <x:c r="U2091"/>
      <x:c r="V2091" s="59" t="b">
        <x:v>1</x:v>
      </x:c>
      <x:c r="W2091"/>
      <x:c r="X2091" t="str">
        <x:v>offen</x:v>
      </x:c>
      <x:c r="Y2091" t="str">
        <x:v>Agent-Draft; Kategorie und Person pruefen</x:v>
      </x:c>
    </x:row>
    <x:row r="2092">
      <x:c r="A2092" t="str">
        <x:v>TXN-RAW-IMP-20260516-FULLDRAFT-002076</x:v>
      </x:c>
      <x:c r="B2092" t="str">
        <x:v>RAW-IMP-20260516-FULLDRAFT-002076</x:v>
      </x:c>
      <x:c r="C2092" t="str">
        <x:v>KTO001</x:v>
      </x:c>
      <x:c r="D2092"/>
      <x:c r="E2092" t="str">
        <x:v>KAT013</x:v>
      </x:c>
      <x:c r="F2092"/>
      <x:c r="G2092"/>
      <x:c r="H2092" t="str">
        <x:v>kein_match</x:v>
      </x:c>
      <x:c r="I2092" t="str">
        <x:v>Agent-Draft: keine finale Regelentscheidung</x:v>
      </x:c>
      <x:c r="J2092" t="n">
        <x:v>45460</x:v>
      </x:c>
      <x:c r="K2092"/>
      <x:c r="L2092"/>
      <x:c r="M2092" t="n">
        <x:v>-100</x:v>
      </x:c>
      <x:c r="N2092" t="str">
        <x:v>2024-06</x:v>
      </x:c>
      <x:c r="O2092" t="str">
        <x:v>Ausgabe</x:v>
      </x:c>
      <x:c r="P2092" t="str">
        <x:v>Ist</x:v>
      </x:c>
      <x:c r="Q2092" s="59" t="b">
        <x:v>0</x:v>
      </x:c>
      <x:c r="R2092" t="str">
        <x:v>kein_transfer</x:v>
      </x:c>
      <x:c r="S2092"/>
      <x:c r="T2092"/>
      <x:c r="U2092"/>
      <x:c r="V2092" s="59" t="b">
        <x:v>1</x:v>
      </x:c>
      <x:c r="W2092"/>
      <x:c r="X2092" t="str">
        <x:v>offen</x:v>
      </x:c>
      <x:c r="Y2092" t="str">
        <x:v>Agent-Draft; Kategorie und Person pruefen</x:v>
      </x:c>
    </x:row>
    <x:row r="2093">
      <x:c r="A2093" t="str">
        <x:v>TXN-RAW-IMP-20260516-FULLDRAFT-002077</x:v>
      </x:c>
      <x:c r="B2093" t="str">
        <x:v>RAW-IMP-20260516-FULLDRAFT-002077</x:v>
      </x:c>
      <x:c r="C2093" t="str">
        <x:v>KTO001</x:v>
      </x:c>
      <x:c r="D2093"/>
      <x:c r="E2093" t="str">
        <x:v>KAT013</x:v>
      </x:c>
      <x:c r="F2093"/>
      <x:c r="G2093"/>
      <x:c r="H2093" t="str">
        <x:v>kein_match</x:v>
      </x:c>
      <x:c r="I2093" t="str">
        <x:v>Agent-Draft: keine finale Regelentscheidung</x:v>
      </x:c>
      <x:c r="J2093" t="n">
        <x:v>45460</x:v>
      </x:c>
      <x:c r="K2093"/>
      <x:c r="L2093"/>
      <x:c r="M2093" t="n">
        <x:v>-999.99</x:v>
      </x:c>
      <x:c r="N2093" t="str">
        <x:v>2024-06</x:v>
      </x:c>
      <x:c r="O2093" t="str">
        <x:v>Ausgabe</x:v>
      </x:c>
      <x:c r="P2093" t="str">
        <x:v>Ist</x:v>
      </x:c>
      <x:c r="Q2093" s="59" t="b">
        <x:v>0</x:v>
      </x:c>
      <x:c r="R2093" t="str">
        <x:v>kein_transfer</x:v>
      </x:c>
      <x:c r="S2093"/>
      <x:c r="T2093"/>
      <x:c r="U2093"/>
      <x:c r="V2093" s="59" t="b">
        <x:v>1</x:v>
      </x:c>
      <x:c r="W2093"/>
      <x:c r="X2093" t="str">
        <x:v>offen</x:v>
      </x:c>
      <x:c r="Y2093" t="str">
        <x:v>Agent-Draft; Kategorie und Person pruefen</x:v>
      </x:c>
    </x:row>
    <x:row r="2094">
      <x:c r="A2094" t="str">
        <x:v>TXN-RAW-IMP-20260516-FULLDRAFT-002078</x:v>
      </x:c>
      <x:c r="B2094" t="str">
        <x:v>RAW-IMP-20260516-FULLDRAFT-002078</x:v>
      </x:c>
      <x:c r="C2094" t="str">
        <x:v>KTO001</x:v>
      </x:c>
      <x:c r="D2094"/>
      <x:c r="E2094" t="str">
        <x:v>KAT013</x:v>
      </x:c>
      <x:c r="F2094"/>
      <x:c r="G2094"/>
      <x:c r="H2094" t="str">
        <x:v>kein_match</x:v>
      </x:c>
      <x:c r="I2094" t="str">
        <x:v>Agent-Draft: keine finale Regelentscheidung</x:v>
      </x:c>
      <x:c r="J2094" t="n">
        <x:v>45460</x:v>
      </x:c>
      <x:c r="K2094"/>
      <x:c r="L2094"/>
      <x:c r="M2094" t="n">
        <x:v>-89.34</x:v>
      </x:c>
      <x:c r="N2094" t="str">
        <x:v>2024-06</x:v>
      </x:c>
      <x:c r="O2094" t="str">
        <x:v>Ausgabe</x:v>
      </x:c>
      <x:c r="P2094" t="str">
        <x:v>Ist</x:v>
      </x:c>
      <x:c r="Q2094" s="59" t="b">
        <x:v>0</x:v>
      </x:c>
      <x:c r="R2094" t="str">
        <x:v>kein_transfer</x:v>
      </x:c>
      <x:c r="S2094"/>
      <x:c r="T2094"/>
      <x:c r="U2094"/>
      <x:c r="V2094" s="59" t="b">
        <x:v>1</x:v>
      </x:c>
      <x:c r="W2094"/>
      <x:c r="X2094" t="str">
        <x:v>offen</x:v>
      </x:c>
      <x:c r="Y2094" t="str">
        <x:v>Agent-Draft; Kategorie und Person pruefen</x:v>
      </x:c>
    </x:row>
    <x:row r="2095">
      <x:c r="A2095" t="str">
        <x:v>TXN-RAW-IMP-20260516-FULLDRAFT-002079</x:v>
      </x:c>
      <x:c r="B2095" t="str">
        <x:v>RAW-IMP-20260516-FULLDRAFT-002079</x:v>
      </x:c>
      <x:c r="C2095" t="str">
        <x:v>KTO001</x:v>
      </x:c>
      <x:c r="D2095"/>
      <x:c r="E2095" t="str">
        <x:v>KAT013</x:v>
      </x:c>
      <x:c r="F2095"/>
      <x:c r="G2095"/>
      <x:c r="H2095" t="str">
        <x:v>kein_match</x:v>
      </x:c>
      <x:c r="I2095" t="str">
        <x:v>Agent-Draft: keine finale Regelentscheidung</x:v>
      </x:c>
      <x:c r="J2095" t="n">
        <x:v>45460</x:v>
      </x:c>
      <x:c r="K2095"/>
      <x:c r="L2095"/>
      <x:c r="M2095" t="n">
        <x:v>-6.99</x:v>
      </x:c>
      <x:c r="N2095" t="str">
        <x:v>2024-06</x:v>
      </x:c>
      <x:c r="O2095" t="str">
        <x:v>Ausgabe</x:v>
      </x:c>
      <x:c r="P2095" t="str">
        <x:v>Ist</x:v>
      </x:c>
      <x:c r="Q2095" s="59" t="b">
        <x:v>0</x:v>
      </x:c>
      <x:c r="R2095" t="str">
        <x:v>kein_transfer</x:v>
      </x:c>
      <x:c r="S2095"/>
      <x:c r="T2095"/>
      <x:c r="U2095"/>
      <x:c r="V2095" s="59" t="b">
        <x:v>1</x:v>
      </x:c>
      <x:c r="W2095"/>
      <x:c r="X2095" t="str">
        <x:v>offen</x:v>
      </x:c>
      <x:c r="Y2095" t="str">
        <x:v>Agent-Draft; Kategorie und Person pruefen</x:v>
      </x:c>
    </x:row>
    <x:row r="2096">
      <x:c r="A2096" t="str">
        <x:v>TXN-RAW-IMP-20260516-FULLDRAFT-002080</x:v>
      </x:c>
      <x:c r="B2096" t="str">
        <x:v>RAW-IMP-20260516-FULLDRAFT-002080</x:v>
      </x:c>
      <x:c r="C2096" t="str">
        <x:v>KTO001</x:v>
      </x:c>
      <x:c r="D2096"/>
      <x:c r="E2096" t="str">
        <x:v>KAT013</x:v>
      </x:c>
      <x:c r="F2096"/>
      <x:c r="G2096"/>
      <x:c r="H2096" t="str">
        <x:v>kein_match</x:v>
      </x:c>
      <x:c r="I2096" t="str">
        <x:v>Agent-Draft: keine finale Regelentscheidung</x:v>
      </x:c>
      <x:c r="J2096" t="n">
        <x:v>45460</x:v>
      </x:c>
      <x:c r="K2096"/>
      <x:c r="L2096"/>
      <x:c r="M2096" t="n">
        <x:v>-6.99</x:v>
      </x:c>
      <x:c r="N2096" t="str">
        <x:v>2024-06</x:v>
      </x:c>
      <x:c r="O2096" t="str">
        <x:v>Ausgabe</x:v>
      </x:c>
      <x:c r="P2096" t="str">
        <x:v>Ist</x:v>
      </x:c>
      <x:c r="Q2096" s="59" t="b">
        <x:v>0</x:v>
      </x:c>
      <x:c r="R2096" t="str">
        <x:v>kein_transfer</x:v>
      </x:c>
      <x:c r="S2096"/>
      <x:c r="T2096"/>
      <x:c r="U2096"/>
      <x:c r="V2096" s="59" t="b">
        <x:v>1</x:v>
      </x:c>
      <x:c r="W2096"/>
      <x:c r="X2096" t="str">
        <x:v>offen</x:v>
      </x:c>
      <x:c r="Y2096" t="str">
        <x:v>Agent-Draft; Kategorie und Person pruefen</x:v>
      </x:c>
    </x:row>
    <x:row r="2097">
      <x:c r="A2097" t="str">
        <x:v>TXN-RAW-IMP-20260516-FULLDRAFT-002081</x:v>
      </x:c>
      <x:c r="B2097" t="str">
        <x:v>RAW-IMP-20260516-FULLDRAFT-002081</x:v>
      </x:c>
      <x:c r="C2097" t="str">
        <x:v>KTO001</x:v>
      </x:c>
      <x:c r="D2097"/>
      <x:c r="E2097" t="str">
        <x:v>KAT013</x:v>
      </x:c>
      <x:c r="F2097"/>
      <x:c r="G2097"/>
      <x:c r="H2097" t="str">
        <x:v>kein_match</x:v>
      </x:c>
      <x:c r="I2097" t="str">
        <x:v>Agent-Draft: keine finale Regelentscheidung</x:v>
      </x:c>
      <x:c r="J2097" t="n">
        <x:v>45460</x:v>
      </x:c>
      <x:c r="K2097"/>
      <x:c r="L2097"/>
      <x:c r="M2097" t="n">
        <x:v>-6.99</x:v>
      </x:c>
      <x:c r="N2097" t="str">
        <x:v>2024-06</x:v>
      </x:c>
      <x:c r="O2097" t="str">
        <x:v>Ausgabe</x:v>
      </x:c>
      <x:c r="P2097" t="str">
        <x:v>Ist</x:v>
      </x:c>
      <x:c r="Q2097" s="59" t="b">
        <x:v>0</x:v>
      </x:c>
      <x:c r="R2097" t="str">
        <x:v>kein_transfer</x:v>
      </x:c>
      <x:c r="S2097"/>
      <x:c r="T2097"/>
      <x:c r="U2097"/>
      <x:c r="V2097" s="59" t="b">
        <x:v>1</x:v>
      </x:c>
      <x:c r="W2097"/>
      <x:c r="X2097" t="str">
        <x:v>offen</x:v>
      </x:c>
      <x:c r="Y2097" t="str">
        <x:v>Agent-Draft; Kategorie und Person pruefen</x:v>
      </x:c>
    </x:row>
    <x:row r="2098">
      <x:c r="A2098" t="str">
        <x:v>TXN-RAW-IMP-20260516-FULLDRAFT-002082</x:v>
      </x:c>
      <x:c r="B2098" t="str">
        <x:v>RAW-IMP-20260516-FULLDRAFT-002082</x:v>
      </x:c>
      <x:c r="C2098" t="str">
        <x:v>KTO001</x:v>
      </x:c>
      <x:c r="D2098"/>
      <x:c r="E2098" t="str">
        <x:v>KAT013</x:v>
      </x:c>
      <x:c r="F2098"/>
      <x:c r="G2098"/>
      <x:c r="H2098" t="str">
        <x:v>kein_match</x:v>
      </x:c>
      <x:c r="I2098" t="str">
        <x:v>Agent-Draft: keine finale Regelentscheidung</x:v>
      </x:c>
      <x:c r="J2098" t="n">
        <x:v>45460</x:v>
      </x:c>
      <x:c r="K2098"/>
      <x:c r="L2098"/>
      <x:c r="M2098" t="n">
        <x:v>-3787.18</x:v>
      </x:c>
      <x:c r="N2098" t="str">
        <x:v>2024-06</x:v>
      </x:c>
      <x:c r="O2098" t="str">
        <x:v>Ausgabe</x:v>
      </x:c>
      <x:c r="P2098" t="str">
        <x:v>Ist</x:v>
      </x:c>
      <x:c r="Q2098" s="59" t="b">
        <x:v>0</x:v>
      </x:c>
      <x:c r="R2098" t="str">
        <x:v>kein_transfer</x:v>
      </x:c>
      <x:c r="S2098"/>
      <x:c r="T2098"/>
      <x:c r="U2098"/>
      <x:c r="V2098" s="59" t="b">
        <x:v>1</x:v>
      </x:c>
      <x:c r="W2098"/>
      <x:c r="X2098" t="str">
        <x:v>offen</x:v>
      </x:c>
      <x:c r="Y2098" t="str">
        <x:v>Agent-Draft; Kategorie und Person pruefen</x:v>
      </x:c>
    </x:row>
    <x:row r="2099">
      <x:c r="A2099" t="str">
        <x:v>TXN-RAW-IMP-20260516-FULLDRAFT-002083</x:v>
      </x:c>
      <x:c r="B2099" t="str">
        <x:v>RAW-IMP-20260516-FULLDRAFT-002083</x:v>
      </x:c>
      <x:c r="C2099" t="str">
        <x:v>KTO001</x:v>
      </x:c>
      <x:c r="D2099"/>
      <x:c r="E2099" t="str">
        <x:v>KAT013</x:v>
      </x:c>
      <x:c r="F2099"/>
      <x:c r="G2099"/>
      <x:c r="H2099" t="str">
        <x:v>kein_match</x:v>
      </x:c>
      <x:c r="I2099" t="str">
        <x:v>Agent-Draft: keine finale Regelentscheidung</x:v>
      </x:c>
      <x:c r="J2099" t="n">
        <x:v>45457</x:v>
      </x:c>
      <x:c r="K2099"/>
      <x:c r="L2099"/>
      <x:c r="M2099" t="n">
        <x:v>-26.52</x:v>
      </x:c>
      <x:c r="N2099" t="str">
        <x:v>2024-06</x:v>
      </x:c>
      <x:c r="O2099" t="str">
        <x:v>Ausgabe</x:v>
      </x:c>
      <x:c r="P2099" t="str">
        <x:v>Ist</x:v>
      </x:c>
      <x:c r="Q2099" s="59" t="b">
        <x:v>0</x:v>
      </x:c>
      <x:c r="R2099" t="str">
        <x:v>kein_transfer</x:v>
      </x:c>
      <x:c r="S2099"/>
      <x:c r="T2099"/>
      <x:c r="U2099"/>
      <x:c r="V2099" s="59" t="b">
        <x:v>1</x:v>
      </x:c>
      <x:c r="W2099"/>
      <x:c r="X2099" t="str">
        <x:v>offen</x:v>
      </x:c>
      <x:c r="Y2099" t="str">
        <x:v>Agent-Draft; Kategorie und Person pruefen</x:v>
      </x:c>
    </x:row>
    <x:row r="2100">
      <x:c r="A2100" t="str">
        <x:v>TXN-RAW-IMP-20260516-FULLDRAFT-002084</x:v>
      </x:c>
      <x:c r="B2100" t="str">
        <x:v>RAW-IMP-20260516-FULLDRAFT-002084</x:v>
      </x:c>
      <x:c r="C2100" t="str">
        <x:v>KTO001</x:v>
      </x:c>
      <x:c r="D2100"/>
      <x:c r="E2100" t="str">
        <x:v>KAT013</x:v>
      </x:c>
      <x:c r="F2100"/>
      <x:c r="G2100"/>
      <x:c r="H2100" t="str">
        <x:v>kein_match</x:v>
      </x:c>
      <x:c r="I2100" t="str">
        <x:v>Agent-Draft: keine finale Regelentscheidung</x:v>
      </x:c>
      <x:c r="J2100" t="n">
        <x:v>45457</x:v>
      </x:c>
      <x:c r="K2100"/>
      <x:c r="L2100"/>
      <x:c r="M2100" t="n">
        <x:v>-14</x:v>
      </x:c>
      <x:c r="N2100" t="str">
        <x:v>2024-06</x:v>
      </x:c>
      <x:c r="O2100" t="str">
        <x:v>Ausgabe</x:v>
      </x:c>
      <x:c r="P2100" t="str">
        <x:v>Ist</x:v>
      </x:c>
      <x:c r="Q2100" s="59" t="b">
        <x:v>0</x:v>
      </x:c>
      <x:c r="R2100" t="str">
        <x:v>kein_transfer</x:v>
      </x:c>
      <x:c r="S2100"/>
      <x:c r="T2100"/>
      <x:c r="U2100"/>
      <x:c r="V2100" s="59" t="b">
        <x:v>1</x:v>
      </x:c>
      <x:c r="W2100"/>
      <x:c r="X2100" t="str">
        <x:v>offen</x:v>
      </x:c>
      <x:c r="Y2100" t="str">
        <x:v>Agent-Draft; Kategorie und Person pruefen</x:v>
      </x:c>
    </x:row>
    <x:row r="2101">
      <x:c r="A2101" t="str">
        <x:v>TXN-RAW-IMP-20260516-FULLDRAFT-002085</x:v>
      </x:c>
      <x:c r="B2101" t="str">
        <x:v>RAW-IMP-20260516-FULLDRAFT-002085</x:v>
      </x:c>
      <x:c r="C2101" t="str">
        <x:v>KTO001</x:v>
      </x:c>
      <x:c r="D2101"/>
      <x:c r="E2101" t="str">
        <x:v>KAT013</x:v>
      </x:c>
      <x:c r="F2101"/>
      <x:c r="G2101"/>
      <x:c r="H2101" t="str">
        <x:v>kein_match</x:v>
      </x:c>
      <x:c r="I2101" t="str">
        <x:v>Agent-Draft: keine finale Regelentscheidung</x:v>
      </x:c>
      <x:c r="J2101" t="n">
        <x:v>45457</x:v>
      </x:c>
      <x:c r="K2101"/>
      <x:c r="L2101"/>
      <x:c r="M2101" t="n">
        <x:v>-7.5</x:v>
      </x:c>
      <x:c r="N2101" t="str">
        <x:v>2024-06</x:v>
      </x:c>
      <x:c r="O2101" t="str">
        <x:v>Ausgabe</x:v>
      </x:c>
      <x:c r="P2101" t="str">
        <x:v>Ist</x:v>
      </x:c>
      <x:c r="Q2101" s="59" t="b">
        <x:v>0</x:v>
      </x:c>
      <x:c r="R2101" t="str">
        <x:v>kein_transfer</x:v>
      </x:c>
      <x:c r="S2101"/>
      <x:c r="T2101"/>
      <x:c r="U2101"/>
      <x:c r="V2101" s="59" t="b">
        <x:v>1</x:v>
      </x:c>
      <x:c r="W2101"/>
      <x:c r="X2101" t="str">
        <x:v>offen</x:v>
      </x:c>
      <x:c r="Y2101" t="str">
        <x:v>Agent-Draft; Kategorie und Person pruefen</x:v>
      </x:c>
    </x:row>
    <x:row r="2102">
      <x:c r="A2102" t="str">
        <x:v>TXN-RAW-IMP-20260516-FULLDRAFT-002086</x:v>
      </x:c>
      <x:c r="B2102" t="str">
        <x:v>RAW-IMP-20260516-FULLDRAFT-002086</x:v>
      </x:c>
      <x:c r="C2102" t="str">
        <x:v>KTO001</x:v>
      </x:c>
      <x:c r="D2102"/>
      <x:c r="E2102" t="str">
        <x:v>KAT013</x:v>
      </x:c>
      <x:c r="F2102"/>
      <x:c r="G2102"/>
      <x:c r="H2102" t="str">
        <x:v>kein_match</x:v>
      </x:c>
      <x:c r="I2102" t="str">
        <x:v>Agent-Draft: keine finale Regelentscheidung</x:v>
      </x:c>
      <x:c r="J2102" t="n">
        <x:v>45457</x:v>
      </x:c>
      <x:c r="K2102"/>
      <x:c r="L2102"/>
      <x:c r="M2102" t="n">
        <x:v>-17</x:v>
      </x:c>
      <x:c r="N2102" t="str">
        <x:v>2024-06</x:v>
      </x:c>
      <x:c r="O2102" t="str">
        <x:v>Ausgabe</x:v>
      </x:c>
      <x:c r="P2102" t="str">
        <x:v>Ist</x:v>
      </x:c>
      <x:c r="Q2102" s="59" t="b">
        <x:v>0</x:v>
      </x:c>
      <x:c r="R2102" t="str">
        <x:v>kein_transfer</x:v>
      </x:c>
      <x:c r="S2102"/>
      <x:c r="T2102"/>
      <x:c r="U2102"/>
      <x:c r="V2102" s="59" t="b">
        <x:v>1</x:v>
      </x:c>
      <x:c r="W2102"/>
      <x:c r="X2102" t="str">
        <x:v>offen</x:v>
      </x:c>
      <x:c r="Y2102" t="str">
        <x:v>Agent-Draft; Kategorie und Person pruefen</x:v>
      </x:c>
    </x:row>
    <x:row r="2103">
      <x:c r="A2103" t="str">
        <x:v>TXN-RAW-IMP-20260516-FULLDRAFT-002087</x:v>
      </x:c>
      <x:c r="B2103" t="str">
        <x:v>RAW-IMP-20260516-FULLDRAFT-002087</x:v>
      </x:c>
      <x:c r="C2103" t="str">
        <x:v>KTO001</x:v>
      </x:c>
      <x:c r="D2103"/>
      <x:c r="E2103" t="str">
        <x:v>KAT013</x:v>
      </x:c>
      <x:c r="F2103"/>
      <x:c r="G2103"/>
      <x:c r="H2103" t="str">
        <x:v>kein_match</x:v>
      </x:c>
      <x:c r="I2103" t="str">
        <x:v>Agent-Draft: keine finale Regelentscheidung</x:v>
      </x:c>
      <x:c r="J2103" t="n">
        <x:v>45457</x:v>
      </x:c>
      <x:c r="K2103"/>
      <x:c r="L2103"/>
      <x:c r="M2103" t="n">
        <x:v>-171.98</x:v>
      </x:c>
      <x:c r="N2103" t="str">
        <x:v>2024-06</x:v>
      </x:c>
      <x:c r="O2103" t="str">
        <x:v>Ausgabe</x:v>
      </x:c>
      <x:c r="P2103" t="str">
        <x:v>Ist</x:v>
      </x:c>
      <x:c r="Q2103" s="59" t="b">
        <x:v>0</x:v>
      </x:c>
      <x:c r="R2103" t="str">
        <x:v>kein_transfer</x:v>
      </x:c>
      <x:c r="S2103"/>
      <x:c r="T2103"/>
      <x:c r="U2103"/>
      <x:c r="V2103" s="59" t="b">
        <x:v>1</x:v>
      </x:c>
      <x:c r="W2103"/>
      <x:c r="X2103" t="str">
        <x:v>offen</x:v>
      </x:c>
      <x:c r="Y2103" t="str">
        <x:v>Agent-Draft; Kategorie und Person pruefen</x:v>
      </x:c>
    </x:row>
    <x:row r="2104">
      <x:c r="A2104" t="str">
        <x:v>TXN-RAW-IMP-20260516-FULLDRAFT-002088</x:v>
      </x:c>
      <x:c r="B2104" t="str">
        <x:v>RAW-IMP-20260516-FULLDRAFT-002088</x:v>
      </x:c>
      <x:c r="C2104" t="str">
        <x:v>KTO001</x:v>
      </x:c>
      <x:c r="D2104"/>
      <x:c r="E2104" t="str">
        <x:v>KAT013</x:v>
      </x:c>
      <x:c r="F2104"/>
      <x:c r="G2104"/>
      <x:c r="H2104" t="str">
        <x:v>kein_match</x:v>
      </x:c>
      <x:c r="I2104" t="str">
        <x:v>Agent-Draft: keine finale Regelentscheidung</x:v>
      </x:c>
      <x:c r="J2104" t="n">
        <x:v>45457</x:v>
      </x:c>
      <x:c r="K2104"/>
      <x:c r="L2104"/>
      <x:c r="M2104" t="n">
        <x:v>1295</x:v>
      </x:c>
      <x:c r="N2104" t="str">
        <x:v>2024-06</x:v>
      </x:c>
      <x:c r="O2104" t="str">
        <x:v>Einnahme</x:v>
      </x:c>
      <x:c r="P2104" t="str">
        <x:v>Ist</x:v>
      </x:c>
      <x:c r="Q2104" s="59" t="b">
        <x:v>0</x:v>
      </x:c>
      <x:c r="R2104" t="str">
        <x:v>kein_transfer</x:v>
      </x:c>
      <x:c r="S2104"/>
      <x:c r="T2104"/>
      <x:c r="U2104"/>
      <x:c r="V2104" s="59" t="b">
        <x:v>1</x:v>
      </x:c>
      <x:c r="W2104"/>
      <x:c r="X2104" t="str">
        <x:v>offen</x:v>
      </x:c>
      <x:c r="Y2104" t="str">
        <x:v>Agent-Draft; Kategorie und Person pruefen</x:v>
      </x:c>
    </x:row>
    <x:row r="2105">
      <x:c r="A2105" t="str">
        <x:v>TXN-RAW-IMP-20260516-FULLDRAFT-002089</x:v>
      </x:c>
      <x:c r="B2105" t="str">
        <x:v>RAW-IMP-20260516-FULLDRAFT-002089</x:v>
      </x:c>
      <x:c r="C2105" t="str">
        <x:v>KTO001</x:v>
      </x:c>
      <x:c r="D2105"/>
      <x:c r="E2105" t="str">
        <x:v>KAT013</x:v>
      </x:c>
      <x:c r="F2105"/>
      <x:c r="G2105"/>
      <x:c r="H2105" t="str">
        <x:v>kein_match</x:v>
      </x:c>
      <x:c r="I2105" t="str">
        <x:v>Agent-Draft: keine finale Regelentscheidung</x:v>
      </x:c>
      <x:c r="J2105" t="n">
        <x:v>45456</x:v>
      </x:c>
      <x:c r="K2105"/>
      <x:c r="L2105"/>
      <x:c r="M2105" t="n">
        <x:v>-33</x:v>
      </x:c>
      <x:c r="N2105" t="str">
        <x:v>2024-06</x:v>
      </x:c>
      <x:c r="O2105" t="str">
        <x:v>Ausgabe</x:v>
      </x:c>
      <x:c r="P2105" t="str">
        <x:v>Ist</x:v>
      </x:c>
      <x:c r="Q2105" s="59" t="b">
        <x:v>0</x:v>
      </x:c>
      <x:c r="R2105" t="str">
        <x:v>kein_transfer</x:v>
      </x:c>
      <x:c r="S2105"/>
      <x:c r="T2105"/>
      <x:c r="U2105"/>
      <x:c r="V2105" s="59" t="b">
        <x:v>1</x:v>
      </x:c>
      <x:c r="W2105"/>
      <x:c r="X2105" t="str">
        <x:v>offen</x:v>
      </x:c>
      <x:c r="Y2105" t="str">
        <x:v>Agent-Draft; Kategorie und Person pruefen</x:v>
      </x:c>
    </x:row>
    <x:row r="2106">
      <x:c r="A2106" t="str">
        <x:v>TXN-RAW-IMP-20260516-FULLDRAFT-002090</x:v>
      </x:c>
      <x:c r="B2106" t="str">
        <x:v>RAW-IMP-20260516-FULLDRAFT-002090</x:v>
      </x:c>
      <x:c r="C2106" t="str">
        <x:v>KTO001</x:v>
      </x:c>
      <x:c r="D2106"/>
      <x:c r="E2106" t="str">
        <x:v>KAT013</x:v>
      </x:c>
      <x:c r="F2106"/>
      <x:c r="G2106"/>
      <x:c r="H2106" t="str">
        <x:v>kein_match</x:v>
      </x:c>
      <x:c r="I2106" t="str">
        <x:v>Agent-Draft: keine finale Regelentscheidung</x:v>
      </x:c>
      <x:c r="J2106" t="n">
        <x:v>45455</x:v>
      </x:c>
      <x:c r="K2106"/>
      <x:c r="L2106"/>
      <x:c r="M2106" t="n">
        <x:v>-2.71</x:v>
      </x:c>
      <x:c r="N2106" t="str">
        <x:v>2024-06</x:v>
      </x:c>
      <x:c r="O2106" t="str">
        <x:v>Ausgabe</x:v>
      </x:c>
      <x:c r="P2106" t="str">
        <x:v>Ist</x:v>
      </x:c>
      <x:c r="Q2106" s="59" t="b">
        <x:v>0</x:v>
      </x:c>
      <x:c r="R2106" t="str">
        <x:v>kein_transfer</x:v>
      </x:c>
      <x:c r="S2106"/>
      <x:c r="T2106"/>
      <x:c r="U2106"/>
      <x:c r="V2106" s="59" t="b">
        <x:v>1</x:v>
      </x:c>
      <x:c r="W2106"/>
      <x:c r="X2106" t="str">
        <x:v>offen</x:v>
      </x:c>
      <x:c r="Y2106" t="str">
        <x:v>Agent-Draft; Kategorie und Person pruefen</x:v>
      </x:c>
    </x:row>
    <x:row r="2107">
      <x:c r="A2107" t="str">
        <x:v>TXN-RAW-IMP-20260516-FULLDRAFT-002091</x:v>
      </x:c>
      <x:c r="B2107" t="str">
        <x:v>RAW-IMP-20260516-FULLDRAFT-002091</x:v>
      </x:c>
      <x:c r="C2107" t="str">
        <x:v>KTO001</x:v>
      </x:c>
      <x:c r="D2107"/>
      <x:c r="E2107" t="str">
        <x:v>KAT013</x:v>
      </x:c>
      <x:c r="F2107"/>
      <x:c r="G2107"/>
      <x:c r="H2107" t="str">
        <x:v>kein_match</x:v>
      </x:c>
      <x:c r="I2107" t="str">
        <x:v>Agent-Draft: keine finale Regelentscheidung</x:v>
      </x:c>
      <x:c r="J2107" t="n">
        <x:v>45455</x:v>
      </x:c>
      <x:c r="K2107"/>
      <x:c r="L2107"/>
      <x:c r="M2107" t="n">
        <x:v>-10.32</x:v>
      </x:c>
      <x:c r="N2107" t="str">
        <x:v>2024-06</x:v>
      </x:c>
      <x:c r="O2107" t="str">
        <x:v>Ausgabe</x:v>
      </x:c>
      <x:c r="P2107" t="str">
        <x:v>Ist</x:v>
      </x:c>
      <x:c r="Q2107" s="59" t="b">
        <x:v>0</x:v>
      </x:c>
      <x:c r="R2107" t="str">
        <x:v>kein_transfer</x:v>
      </x:c>
      <x:c r="S2107"/>
      <x:c r="T2107"/>
      <x:c r="U2107"/>
      <x:c r="V2107" s="59" t="b">
        <x:v>1</x:v>
      </x:c>
      <x:c r="W2107"/>
      <x:c r="X2107" t="str">
        <x:v>offen</x:v>
      </x:c>
      <x:c r="Y2107" t="str">
        <x:v>Agent-Draft; Kategorie und Person pruefen</x:v>
      </x:c>
    </x:row>
    <x:row r="2108">
      <x:c r="A2108" t="str">
        <x:v>TXN-RAW-IMP-20260516-FULLDRAFT-002092</x:v>
      </x:c>
      <x:c r="B2108" t="str">
        <x:v>RAW-IMP-20260516-FULLDRAFT-002092</x:v>
      </x:c>
      <x:c r="C2108" t="str">
        <x:v>KTO001</x:v>
      </x:c>
      <x:c r="D2108"/>
      <x:c r="E2108" t="str">
        <x:v>KAT013</x:v>
      </x:c>
      <x:c r="F2108"/>
      <x:c r="G2108"/>
      <x:c r="H2108" t="str">
        <x:v>kein_match</x:v>
      </x:c>
      <x:c r="I2108" t="str">
        <x:v>Agent-Draft: keine finale Regelentscheidung</x:v>
      </x:c>
      <x:c r="J2108" t="n">
        <x:v>45455</x:v>
      </x:c>
      <x:c r="K2108"/>
      <x:c r="L2108"/>
      <x:c r="M2108" t="n">
        <x:v>-5.45</x:v>
      </x:c>
      <x:c r="N2108" t="str">
        <x:v>2024-06</x:v>
      </x:c>
      <x:c r="O2108" t="str">
        <x:v>Ausgabe</x:v>
      </x:c>
      <x:c r="P2108" t="str">
        <x:v>Ist</x:v>
      </x:c>
      <x:c r="Q2108" s="59" t="b">
        <x:v>0</x:v>
      </x:c>
      <x:c r="R2108" t="str">
        <x:v>kein_transfer</x:v>
      </x:c>
      <x:c r="S2108"/>
      <x:c r="T2108"/>
      <x:c r="U2108"/>
      <x:c r="V2108" s="59" t="b">
        <x:v>1</x:v>
      </x:c>
      <x:c r="W2108"/>
      <x:c r="X2108" t="str">
        <x:v>offen</x:v>
      </x:c>
      <x:c r="Y2108" t="str">
        <x:v>Agent-Draft; Kategorie und Person pruefen</x:v>
      </x:c>
    </x:row>
    <x:row r="2109">
      <x:c r="A2109" t="str">
        <x:v>TXN-RAW-IMP-20260516-FULLDRAFT-002093</x:v>
      </x:c>
      <x:c r="B2109" t="str">
        <x:v>RAW-IMP-20260516-FULLDRAFT-002093</x:v>
      </x:c>
      <x:c r="C2109" t="str">
        <x:v>KTO001</x:v>
      </x:c>
      <x:c r="D2109"/>
      <x:c r="E2109" t="str">
        <x:v>KAT013</x:v>
      </x:c>
      <x:c r="F2109"/>
      <x:c r="G2109"/>
      <x:c r="H2109" t="str">
        <x:v>kein_match</x:v>
      </x:c>
      <x:c r="I2109" t="str">
        <x:v>Agent-Draft: keine finale Regelentscheidung</x:v>
      </x:c>
      <x:c r="J2109" t="n">
        <x:v>45454</x:v>
      </x:c>
      <x:c r="K2109"/>
      <x:c r="L2109"/>
      <x:c r="M2109" t="n">
        <x:v>-106.8</x:v>
      </x:c>
      <x:c r="N2109" t="str">
        <x:v>2024-06</x:v>
      </x:c>
      <x:c r="O2109" t="str">
        <x:v>Ausgabe</x:v>
      </x:c>
      <x:c r="P2109" t="str">
        <x:v>Ist</x:v>
      </x:c>
      <x:c r="Q2109" s="59" t="b">
        <x:v>0</x:v>
      </x:c>
      <x:c r="R2109" t="str">
        <x:v>kein_transfer</x:v>
      </x:c>
      <x:c r="S2109"/>
      <x:c r="T2109"/>
      <x:c r="U2109"/>
      <x:c r="V2109" s="59" t="b">
        <x:v>1</x:v>
      </x:c>
      <x:c r="W2109"/>
      <x:c r="X2109" t="str">
        <x:v>offen</x:v>
      </x:c>
      <x:c r="Y2109" t="str">
        <x:v>Agent-Draft; Kategorie und Person pruefen</x:v>
      </x:c>
    </x:row>
    <x:row r="2110">
      <x:c r="A2110" t="str">
        <x:v>TXN-RAW-IMP-20260516-FULLDRAFT-002094</x:v>
      </x:c>
      <x:c r="B2110" t="str">
        <x:v>RAW-IMP-20260516-FULLDRAFT-002094</x:v>
      </x:c>
      <x:c r="C2110" t="str">
        <x:v>KTO001</x:v>
      </x:c>
      <x:c r="D2110"/>
      <x:c r="E2110" t="str">
        <x:v>KAT013</x:v>
      </x:c>
      <x:c r="F2110"/>
      <x:c r="G2110"/>
      <x:c r="H2110" t="str">
        <x:v>kein_match</x:v>
      </x:c>
      <x:c r="I2110" t="str">
        <x:v>Agent-Draft: keine finale Regelentscheidung</x:v>
      </x:c>
      <x:c r="J2110" t="n">
        <x:v>45454</x:v>
      </x:c>
      <x:c r="K2110"/>
      <x:c r="L2110"/>
      <x:c r="M2110" t="n">
        <x:v>-47.84</x:v>
      </x:c>
      <x:c r="N2110" t="str">
        <x:v>2024-06</x:v>
      </x:c>
      <x:c r="O2110" t="str">
        <x:v>Ausgabe</x:v>
      </x:c>
      <x:c r="P2110" t="str">
        <x:v>Ist</x:v>
      </x:c>
      <x:c r="Q2110" s="59" t="b">
        <x:v>0</x:v>
      </x:c>
      <x:c r="R2110" t="str">
        <x:v>kein_transfer</x:v>
      </x:c>
      <x:c r="S2110"/>
      <x:c r="T2110"/>
      <x:c r="U2110"/>
      <x:c r="V2110" s="59" t="b">
        <x:v>1</x:v>
      </x:c>
      <x:c r="W2110"/>
      <x:c r="X2110" t="str">
        <x:v>offen</x:v>
      </x:c>
      <x:c r="Y2110" t="str">
        <x:v>Agent-Draft; Kategorie und Person pruefen</x:v>
      </x:c>
    </x:row>
    <x:row r="2111">
      <x:c r="A2111" t="str">
        <x:v>TXN-RAW-IMP-20260516-FULLDRAFT-002095</x:v>
      </x:c>
      <x:c r="B2111" t="str">
        <x:v>RAW-IMP-20260516-FULLDRAFT-002095</x:v>
      </x:c>
      <x:c r="C2111" t="str">
        <x:v>KTO001</x:v>
      </x:c>
      <x:c r="D2111"/>
      <x:c r="E2111" t="str">
        <x:v>KAT013</x:v>
      </x:c>
      <x:c r="F2111"/>
      <x:c r="G2111"/>
      <x:c r="H2111" t="str">
        <x:v>kein_match</x:v>
      </x:c>
      <x:c r="I2111" t="str">
        <x:v>Agent-Draft: keine finale Regelentscheidung</x:v>
      </x:c>
      <x:c r="J2111" t="n">
        <x:v>45454</x:v>
      </x:c>
      <x:c r="K2111"/>
      <x:c r="L2111"/>
      <x:c r="M2111" t="n">
        <x:v>-5.99</x:v>
      </x:c>
      <x:c r="N2111" t="str">
        <x:v>2024-06</x:v>
      </x:c>
      <x:c r="O2111" t="str">
        <x:v>Ausgabe</x:v>
      </x:c>
      <x:c r="P2111" t="str">
        <x:v>Ist</x:v>
      </x:c>
      <x:c r="Q2111" s="59" t="b">
        <x:v>0</x:v>
      </x:c>
      <x:c r="R2111" t="str">
        <x:v>kein_transfer</x:v>
      </x:c>
      <x:c r="S2111"/>
      <x:c r="T2111"/>
      <x:c r="U2111"/>
      <x:c r="V2111" s="59" t="b">
        <x:v>1</x:v>
      </x:c>
      <x:c r="W2111"/>
      <x:c r="X2111" t="str">
        <x:v>offen</x:v>
      </x:c>
      <x:c r="Y2111" t="str">
        <x:v>Agent-Draft; Kategorie und Person pruefen</x:v>
      </x:c>
    </x:row>
    <x:row r="2112">
      <x:c r="A2112" t="str">
        <x:v>TXN-RAW-IMP-20260516-FULLDRAFT-002096</x:v>
      </x:c>
      <x:c r="B2112" t="str">
        <x:v>RAW-IMP-20260516-FULLDRAFT-002096</x:v>
      </x:c>
      <x:c r="C2112" t="str">
        <x:v>KTO001</x:v>
      </x:c>
      <x:c r="D2112"/>
      <x:c r="E2112" t="str">
        <x:v>KAT013</x:v>
      </x:c>
      <x:c r="F2112"/>
      <x:c r="G2112"/>
      <x:c r="H2112" t="str">
        <x:v>kein_match</x:v>
      </x:c>
      <x:c r="I2112" t="str">
        <x:v>Agent-Draft: keine finale Regelentscheidung</x:v>
      </x:c>
      <x:c r="J2112" t="n">
        <x:v>45453</x:v>
      </x:c>
      <x:c r="K2112"/>
      <x:c r="L2112"/>
      <x:c r="M2112" t="n">
        <x:v>-2590</x:v>
      </x:c>
      <x:c r="N2112" t="str">
        <x:v>2024-06</x:v>
      </x:c>
      <x:c r="O2112" t="str">
        <x:v>Ausgabe</x:v>
      </x:c>
      <x:c r="P2112" t="str">
        <x:v>Ist</x:v>
      </x:c>
      <x:c r="Q2112" s="59" t="b">
        <x:v>0</x:v>
      </x:c>
      <x:c r="R2112" t="str">
        <x:v>kein_transfer</x:v>
      </x:c>
      <x:c r="S2112"/>
      <x:c r="T2112"/>
      <x:c r="U2112"/>
      <x:c r="V2112" s="59" t="b">
        <x:v>1</x:v>
      </x:c>
      <x:c r="W2112"/>
      <x:c r="X2112" t="str">
        <x:v>offen</x:v>
      </x:c>
      <x:c r="Y2112" t="str">
        <x:v>Agent-Draft; Kategorie und Person pruefen</x:v>
      </x:c>
    </x:row>
    <x:row r="2113">
      <x:c r="A2113" t="str">
        <x:v>TXN-RAW-IMP-20260516-FULLDRAFT-002097</x:v>
      </x:c>
      <x:c r="B2113" t="str">
        <x:v>RAW-IMP-20260516-FULLDRAFT-002097</x:v>
      </x:c>
      <x:c r="C2113" t="str">
        <x:v>KTO001</x:v>
      </x:c>
      <x:c r="D2113"/>
      <x:c r="E2113" t="str">
        <x:v>KAT013</x:v>
      </x:c>
      <x:c r="F2113"/>
      <x:c r="G2113"/>
      <x:c r="H2113" t="str">
        <x:v>kein_match</x:v>
      </x:c>
      <x:c r="I2113" t="str">
        <x:v>Agent-Draft: keine finale Regelentscheidung</x:v>
      </x:c>
      <x:c r="J2113" t="n">
        <x:v>45453</x:v>
      </x:c>
      <x:c r="K2113"/>
      <x:c r="L2113"/>
      <x:c r="M2113" t="n">
        <x:v>-25.55</x:v>
      </x:c>
      <x:c r="N2113" t="str">
        <x:v>2024-06</x:v>
      </x:c>
      <x:c r="O2113" t="str">
        <x:v>Ausgabe</x:v>
      </x:c>
      <x:c r="P2113" t="str">
        <x:v>Ist</x:v>
      </x:c>
      <x:c r="Q2113" s="59" t="b">
        <x:v>0</x:v>
      </x:c>
      <x:c r="R2113" t="str">
        <x:v>kein_transfer</x:v>
      </x:c>
      <x:c r="S2113"/>
      <x:c r="T2113"/>
      <x:c r="U2113"/>
      <x:c r="V2113" s="59" t="b">
        <x:v>1</x:v>
      </x:c>
      <x:c r="W2113"/>
      <x:c r="X2113" t="str">
        <x:v>offen</x:v>
      </x:c>
      <x:c r="Y2113" t="str">
        <x:v>Agent-Draft; Kategorie und Person pruefen</x:v>
      </x:c>
    </x:row>
    <x:row r="2114">
      <x:c r="A2114" t="str">
        <x:v>TXN-RAW-IMP-20260516-FULLDRAFT-002098</x:v>
      </x:c>
      <x:c r="B2114" t="str">
        <x:v>RAW-IMP-20260516-FULLDRAFT-002098</x:v>
      </x:c>
      <x:c r="C2114" t="str">
        <x:v>KTO001</x:v>
      </x:c>
      <x:c r="D2114"/>
      <x:c r="E2114" t="str">
        <x:v>KAT013</x:v>
      </x:c>
      <x:c r="F2114"/>
      <x:c r="G2114"/>
      <x:c r="H2114" t="str">
        <x:v>kein_match</x:v>
      </x:c>
      <x:c r="I2114" t="str">
        <x:v>Agent-Draft: keine finale Regelentscheidung</x:v>
      </x:c>
      <x:c r="J2114" t="n">
        <x:v>45453</x:v>
      </x:c>
      <x:c r="K2114"/>
      <x:c r="L2114"/>
      <x:c r="M2114" t="n">
        <x:v>-131.83</x:v>
      </x:c>
      <x:c r="N2114" t="str">
        <x:v>2024-06</x:v>
      </x:c>
      <x:c r="O2114" t="str">
        <x:v>Ausgabe</x:v>
      </x:c>
      <x:c r="P2114" t="str">
        <x:v>Ist</x:v>
      </x:c>
      <x:c r="Q2114" s="59" t="b">
        <x:v>0</x:v>
      </x:c>
      <x:c r="R2114" t="str">
        <x:v>kein_transfer</x:v>
      </x:c>
      <x:c r="S2114"/>
      <x:c r="T2114"/>
      <x:c r="U2114"/>
      <x:c r="V2114" s="59" t="b">
        <x:v>1</x:v>
      </x:c>
      <x:c r="W2114"/>
      <x:c r="X2114" t="str">
        <x:v>offen</x:v>
      </x:c>
      <x:c r="Y2114" t="str">
        <x:v>Agent-Draft; Kategorie und Person pruefen</x:v>
      </x:c>
    </x:row>
    <x:row r="2115">
      <x:c r="A2115" t="str">
        <x:v>TXN-RAW-IMP-20260516-FULLDRAFT-002099</x:v>
      </x:c>
      <x:c r="B2115" t="str">
        <x:v>RAW-IMP-20260516-FULLDRAFT-002099</x:v>
      </x:c>
      <x:c r="C2115" t="str">
        <x:v>KTO001</x:v>
      </x:c>
      <x:c r="D2115"/>
      <x:c r="E2115" t="str">
        <x:v>KAT013</x:v>
      </x:c>
      <x:c r="F2115"/>
      <x:c r="G2115"/>
      <x:c r="H2115" t="str">
        <x:v>kein_match</x:v>
      </x:c>
      <x:c r="I2115" t="str">
        <x:v>Agent-Draft: keine finale Regelentscheidung</x:v>
      </x:c>
      <x:c r="J2115" t="n">
        <x:v>45453</x:v>
      </x:c>
      <x:c r="K2115"/>
      <x:c r="L2115"/>
      <x:c r="M2115" t="n">
        <x:v>-65.9</x:v>
      </x:c>
      <x:c r="N2115" t="str">
        <x:v>2024-06</x:v>
      </x:c>
      <x:c r="O2115" t="str">
        <x:v>Ausgabe</x:v>
      </x:c>
      <x:c r="P2115" t="str">
        <x:v>Ist</x:v>
      </x:c>
      <x:c r="Q2115" s="59" t="b">
        <x:v>0</x:v>
      </x:c>
      <x:c r="R2115" t="str">
        <x:v>kein_transfer</x:v>
      </x:c>
      <x:c r="S2115"/>
      <x:c r="T2115"/>
      <x:c r="U2115"/>
      <x:c r="V2115" s="59" t="b">
        <x:v>1</x:v>
      </x:c>
      <x:c r="W2115"/>
      <x:c r="X2115" t="str">
        <x:v>offen</x:v>
      </x:c>
      <x:c r="Y2115" t="str">
        <x:v>Agent-Draft; Kategorie und Person pruefen</x:v>
      </x:c>
    </x:row>
    <x:row r="2116">
      <x:c r="A2116" t="str">
        <x:v>TXN-RAW-IMP-20260516-FULLDRAFT-002100</x:v>
      </x:c>
      <x:c r="B2116" t="str">
        <x:v>RAW-IMP-20260516-FULLDRAFT-002100</x:v>
      </x:c>
      <x:c r="C2116" t="str">
        <x:v>KTO001</x:v>
      </x:c>
      <x:c r="D2116"/>
      <x:c r="E2116" t="str">
        <x:v>KAT013</x:v>
      </x:c>
      <x:c r="F2116"/>
      <x:c r="G2116"/>
      <x:c r="H2116" t="str">
        <x:v>kein_match</x:v>
      </x:c>
      <x:c r="I2116" t="str">
        <x:v>Agent-Draft: keine finale Regelentscheidung</x:v>
      </x:c>
      <x:c r="J2116" t="n">
        <x:v>45453</x:v>
      </x:c>
      <x:c r="K2116"/>
      <x:c r="L2116"/>
      <x:c r="M2116" t="n">
        <x:v>-2</x:v>
      </x:c>
      <x:c r="N2116" t="str">
        <x:v>2024-06</x:v>
      </x:c>
      <x:c r="O2116" t="str">
        <x:v>Ausgabe</x:v>
      </x:c>
      <x:c r="P2116" t="str">
        <x:v>Ist</x:v>
      </x:c>
      <x:c r="Q2116" s="59" t="b">
        <x:v>0</x:v>
      </x:c>
      <x:c r="R2116" t="str">
        <x:v>kein_transfer</x:v>
      </x:c>
      <x:c r="S2116"/>
      <x:c r="T2116"/>
      <x:c r="U2116"/>
      <x:c r="V2116" s="59" t="b">
        <x:v>1</x:v>
      </x:c>
      <x:c r="W2116"/>
      <x:c r="X2116" t="str">
        <x:v>offen</x:v>
      </x:c>
      <x:c r="Y2116" t="str">
        <x:v>Agent-Draft; Kategorie und Person pruefen</x:v>
      </x:c>
    </x:row>
    <x:row r="2117">
      <x:c r="A2117" t="str">
        <x:v>TXN-RAW-IMP-20260516-FULLDRAFT-002101</x:v>
      </x:c>
      <x:c r="B2117" t="str">
        <x:v>RAW-IMP-20260516-FULLDRAFT-002101</x:v>
      </x:c>
      <x:c r="C2117" t="str">
        <x:v>KTO001</x:v>
      </x:c>
      <x:c r="D2117"/>
      <x:c r="E2117" t="str">
        <x:v>KAT013</x:v>
      </x:c>
      <x:c r="F2117"/>
      <x:c r="G2117"/>
      <x:c r="H2117" t="str">
        <x:v>kein_match</x:v>
      </x:c>
      <x:c r="I2117" t="str">
        <x:v>Agent-Draft: keine finale Regelentscheidung</x:v>
      </x:c>
      <x:c r="J2117" t="n">
        <x:v>45453</x:v>
      </x:c>
      <x:c r="K2117"/>
      <x:c r="L2117"/>
      <x:c r="M2117" t="n">
        <x:v>-36</x:v>
      </x:c>
      <x:c r="N2117" t="str">
        <x:v>2024-06</x:v>
      </x:c>
      <x:c r="O2117" t="str">
        <x:v>Ausgabe</x:v>
      </x:c>
      <x:c r="P2117" t="str">
        <x:v>Ist</x:v>
      </x:c>
      <x:c r="Q2117" s="59" t="b">
        <x:v>0</x:v>
      </x:c>
      <x:c r="R2117" t="str">
        <x:v>kein_transfer</x:v>
      </x:c>
      <x:c r="S2117"/>
      <x:c r="T2117"/>
      <x:c r="U2117"/>
      <x:c r="V2117" s="59" t="b">
        <x:v>1</x:v>
      </x:c>
      <x:c r="W2117"/>
      <x:c r="X2117" t="str">
        <x:v>offen</x:v>
      </x:c>
      <x:c r="Y2117" t="str">
        <x:v>Agent-Draft; Kategorie und Person pruefen</x:v>
      </x:c>
    </x:row>
    <x:row r="2118">
      <x:c r="A2118" t="str">
        <x:v>TXN-RAW-IMP-20260516-FULLDRAFT-002102</x:v>
      </x:c>
      <x:c r="B2118" t="str">
        <x:v>RAW-IMP-20260516-FULLDRAFT-002102</x:v>
      </x:c>
      <x:c r="C2118" t="str">
        <x:v>KTO001</x:v>
      </x:c>
      <x:c r="D2118"/>
      <x:c r="E2118" t="str">
        <x:v>KAT013</x:v>
      </x:c>
      <x:c r="F2118"/>
      <x:c r="G2118"/>
      <x:c r="H2118" t="str">
        <x:v>kein_match</x:v>
      </x:c>
      <x:c r="I2118" t="str">
        <x:v>Agent-Draft: keine finale Regelentscheidung</x:v>
      </x:c>
      <x:c r="J2118" t="n">
        <x:v>45453</x:v>
      </x:c>
      <x:c r="K2118"/>
      <x:c r="L2118"/>
      <x:c r="M2118" t="n">
        <x:v>-78.54</x:v>
      </x:c>
      <x:c r="N2118" t="str">
        <x:v>2024-06</x:v>
      </x:c>
      <x:c r="O2118" t="str">
        <x:v>Ausgabe</x:v>
      </x:c>
      <x:c r="P2118" t="str">
        <x:v>Ist</x:v>
      </x:c>
      <x:c r="Q2118" s="59" t="b">
        <x:v>0</x:v>
      </x:c>
      <x:c r="R2118" t="str">
        <x:v>kein_transfer</x:v>
      </x:c>
      <x:c r="S2118"/>
      <x:c r="T2118"/>
      <x:c r="U2118"/>
      <x:c r="V2118" s="59" t="b">
        <x:v>1</x:v>
      </x:c>
      <x:c r="W2118"/>
      <x:c r="X2118" t="str">
        <x:v>offen</x:v>
      </x:c>
      <x:c r="Y2118" t="str">
        <x:v>Agent-Draft; Kategorie und Person pruefen</x:v>
      </x:c>
    </x:row>
    <x:row r="2119">
      <x:c r="A2119" t="str">
        <x:v>TXN-RAW-IMP-20260516-FULLDRAFT-002103</x:v>
      </x:c>
      <x:c r="B2119" t="str">
        <x:v>RAW-IMP-20260516-FULLDRAFT-002103</x:v>
      </x:c>
      <x:c r="C2119" t="str">
        <x:v>KTO001</x:v>
      </x:c>
      <x:c r="D2119"/>
      <x:c r="E2119" t="str">
        <x:v>KAT013</x:v>
      </x:c>
      <x:c r="F2119"/>
      <x:c r="G2119"/>
      <x:c r="H2119" t="str">
        <x:v>kein_match</x:v>
      </x:c>
      <x:c r="I2119" t="str">
        <x:v>Agent-Draft: keine finale Regelentscheidung</x:v>
      </x:c>
      <x:c r="J2119" t="n">
        <x:v>45453</x:v>
      </x:c>
      <x:c r="K2119"/>
      <x:c r="L2119"/>
      <x:c r="M2119" t="n">
        <x:v>-6.12</x:v>
      </x:c>
      <x:c r="N2119" t="str">
        <x:v>2024-06</x:v>
      </x:c>
      <x:c r="O2119" t="str">
        <x:v>Ausgabe</x:v>
      </x:c>
      <x:c r="P2119" t="str">
        <x:v>Ist</x:v>
      </x:c>
      <x:c r="Q2119" s="59" t="b">
        <x:v>0</x:v>
      </x:c>
      <x:c r="R2119" t="str">
        <x:v>kein_transfer</x:v>
      </x:c>
      <x:c r="S2119"/>
      <x:c r="T2119"/>
      <x:c r="U2119"/>
      <x:c r="V2119" s="59" t="b">
        <x:v>1</x:v>
      </x:c>
      <x:c r="W2119"/>
      <x:c r="X2119" t="str">
        <x:v>offen</x:v>
      </x:c>
      <x:c r="Y2119" t="str">
        <x:v>Agent-Draft; Kategorie und Person pruefen</x:v>
      </x:c>
    </x:row>
    <x:row r="2120">
      <x:c r="A2120" t="str">
        <x:v>TXN-RAW-IMP-20260516-FULLDRAFT-002104</x:v>
      </x:c>
      <x:c r="B2120" t="str">
        <x:v>RAW-IMP-20260516-FULLDRAFT-002104</x:v>
      </x:c>
      <x:c r="C2120" t="str">
        <x:v>KTO001</x:v>
      </x:c>
      <x:c r="D2120"/>
      <x:c r="E2120" t="str">
        <x:v>KAT013</x:v>
      </x:c>
      <x:c r="F2120"/>
      <x:c r="G2120"/>
      <x:c r="H2120" t="str">
        <x:v>kein_match</x:v>
      </x:c>
      <x:c r="I2120" t="str">
        <x:v>Agent-Draft: keine finale Regelentscheidung</x:v>
      </x:c>
      <x:c r="J2120" t="n">
        <x:v>45453</x:v>
      </x:c>
      <x:c r="K2120"/>
      <x:c r="L2120"/>
      <x:c r="M2120" t="n">
        <x:v>-24.99</x:v>
      </x:c>
      <x:c r="N2120" t="str">
        <x:v>2024-06</x:v>
      </x:c>
      <x:c r="O2120" t="str">
        <x:v>Ausgabe</x:v>
      </x:c>
      <x:c r="P2120" t="str">
        <x:v>Ist</x:v>
      </x:c>
      <x:c r="Q2120" s="59" t="b">
        <x:v>0</x:v>
      </x:c>
      <x:c r="R2120" t="str">
        <x:v>kein_transfer</x:v>
      </x:c>
      <x:c r="S2120"/>
      <x:c r="T2120"/>
      <x:c r="U2120"/>
      <x:c r="V2120" s="59" t="b">
        <x:v>1</x:v>
      </x:c>
      <x:c r="W2120"/>
      <x:c r="X2120" t="str">
        <x:v>offen</x:v>
      </x:c>
      <x:c r="Y2120" t="str">
        <x:v>Agent-Draft; Kategorie und Person pruefen</x:v>
      </x:c>
    </x:row>
    <x:row r="2121">
      <x:c r="A2121" t="str">
        <x:v>TXN-RAW-IMP-20260516-FULLDRAFT-002105</x:v>
      </x:c>
      <x:c r="B2121" t="str">
        <x:v>RAW-IMP-20260516-FULLDRAFT-002105</x:v>
      </x:c>
      <x:c r="C2121" t="str">
        <x:v>KTO001</x:v>
      </x:c>
      <x:c r="D2121"/>
      <x:c r="E2121" t="str">
        <x:v>KAT013</x:v>
      </x:c>
      <x:c r="F2121"/>
      <x:c r="G2121"/>
      <x:c r="H2121" t="str">
        <x:v>kein_match</x:v>
      </x:c>
      <x:c r="I2121" t="str">
        <x:v>Agent-Draft: keine finale Regelentscheidung</x:v>
      </x:c>
      <x:c r="J2121" t="n">
        <x:v>45453</x:v>
      </x:c>
      <x:c r="K2121"/>
      <x:c r="L2121"/>
      <x:c r="M2121" t="n">
        <x:v>-44.7</x:v>
      </x:c>
      <x:c r="N2121" t="str">
        <x:v>2024-06</x:v>
      </x:c>
      <x:c r="O2121" t="str">
        <x:v>Ausgabe</x:v>
      </x:c>
      <x:c r="P2121" t="str">
        <x:v>Ist</x:v>
      </x:c>
      <x:c r="Q2121" s="59" t="b">
        <x:v>0</x:v>
      </x:c>
      <x:c r="R2121" t="str">
        <x:v>kein_transfer</x:v>
      </x:c>
      <x:c r="S2121"/>
      <x:c r="T2121"/>
      <x:c r="U2121"/>
      <x:c r="V2121" s="59" t="b">
        <x:v>1</x:v>
      </x:c>
      <x:c r="W2121"/>
      <x:c r="X2121" t="str">
        <x:v>offen</x:v>
      </x:c>
      <x:c r="Y2121" t="str">
        <x:v>Agent-Draft; Kategorie und Person pruefen</x:v>
      </x:c>
    </x:row>
    <x:row r="2122">
      <x:c r="A2122" t="str">
        <x:v>TXN-RAW-IMP-20260516-FULLDRAFT-002106</x:v>
      </x:c>
      <x:c r="B2122" t="str">
        <x:v>RAW-IMP-20260516-FULLDRAFT-002106</x:v>
      </x:c>
      <x:c r="C2122" t="str">
        <x:v>KTO001</x:v>
      </x:c>
      <x:c r="D2122"/>
      <x:c r="E2122" t="str">
        <x:v>KAT013</x:v>
      </x:c>
      <x:c r="F2122"/>
      <x:c r="G2122"/>
      <x:c r="H2122" t="str">
        <x:v>kein_match</x:v>
      </x:c>
      <x:c r="I2122" t="str">
        <x:v>Agent-Draft: keine finale Regelentscheidung</x:v>
      </x:c>
      <x:c r="J2122" t="n">
        <x:v>45453</x:v>
      </x:c>
      <x:c r="K2122"/>
      <x:c r="L2122"/>
      <x:c r="M2122" t="n">
        <x:v>-42.5</x:v>
      </x:c>
      <x:c r="N2122" t="str">
        <x:v>2024-06</x:v>
      </x:c>
      <x:c r="O2122" t="str">
        <x:v>Ausgabe</x:v>
      </x:c>
      <x:c r="P2122" t="str">
        <x:v>Ist</x:v>
      </x:c>
      <x:c r="Q2122" s="59" t="b">
        <x:v>0</x:v>
      </x:c>
      <x:c r="R2122" t="str">
        <x:v>kein_transfer</x:v>
      </x:c>
      <x:c r="S2122"/>
      <x:c r="T2122"/>
      <x:c r="U2122"/>
      <x:c r="V2122" s="59" t="b">
        <x:v>1</x:v>
      </x:c>
      <x:c r="W2122"/>
      <x:c r="X2122" t="str">
        <x:v>offen</x:v>
      </x:c>
      <x:c r="Y2122" t="str">
        <x:v>Agent-Draft; Kategorie und Person pruefen</x:v>
      </x:c>
    </x:row>
    <x:row r="2123">
      <x:c r="A2123" t="str">
        <x:v>TXN-RAW-IMP-20260516-FULLDRAFT-002107</x:v>
      </x:c>
      <x:c r="B2123" t="str">
        <x:v>RAW-IMP-20260516-FULLDRAFT-002107</x:v>
      </x:c>
      <x:c r="C2123" t="str">
        <x:v>KTO001</x:v>
      </x:c>
      <x:c r="D2123"/>
      <x:c r="E2123" t="str">
        <x:v>KAT013</x:v>
      </x:c>
      <x:c r="F2123"/>
      <x:c r="G2123"/>
      <x:c r="H2123" t="str">
        <x:v>kein_match</x:v>
      </x:c>
      <x:c r="I2123" t="str">
        <x:v>Agent-Draft: keine finale Regelentscheidung</x:v>
      </x:c>
      <x:c r="J2123" t="n">
        <x:v>45453</x:v>
      </x:c>
      <x:c r="K2123"/>
      <x:c r="L2123"/>
      <x:c r="M2123" t="n">
        <x:v>-9.99</x:v>
      </x:c>
      <x:c r="N2123" t="str">
        <x:v>2024-06</x:v>
      </x:c>
      <x:c r="O2123" t="str">
        <x:v>Ausgabe</x:v>
      </x:c>
      <x:c r="P2123" t="str">
        <x:v>Ist</x:v>
      </x:c>
      <x:c r="Q2123" s="59" t="b">
        <x:v>0</x:v>
      </x:c>
      <x:c r="R2123" t="str">
        <x:v>kein_transfer</x:v>
      </x:c>
      <x:c r="S2123"/>
      <x:c r="T2123"/>
      <x:c r="U2123"/>
      <x:c r="V2123" s="59" t="b">
        <x:v>1</x:v>
      </x:c>
      <x:c r="W2123"/>
      <x:c r="X2123" t="str">
        <x:v>offen</x:v>
      </x:c>
      <x:c r="Y2123" t="str">
        <x:v>Agent-Draft; Kategorie und Person pruefen</x:v>
      </x:c>
    </x:row>
    <x:row r="2124">
      <x:c r="A2124" t="str">
        <x:v>TXN-RAW-IMP-20260516-FULLDRAFT-002108</x:v>
      </x:c>
      <x:c r="B2124" t="str">
        <x:v>RAW-IMP-20260516-FULLDRAFT-002108</x:v>
      </x:c>
      <x:c r="C2124" t="str">
        <x:v>KTO001</x:v>
      </x:c>
      <x:c r="D2124"/>
      <x:c r="E2124" t="str">
        <x:v>KAT013</x:v>
      </x:c>
      <x:c r="F2124"/>
      <x:c r="G2124"/>
      <x:c r="H2124" t="str">
        <x:v>kein_match</x:v>
      </x:c>
      <x:c r="I2124" t="str">
        <x:v>Agent-Draft: keine finale Regelentscheidung</x:v>
      </x:c>
      <x:c r="J2124" t="n">
        <x:v>45453</x:v>
      </x:c>
      <x:c r="K2124"/>
      <x:c r="L2124"/>
      <x:c r="M2124" t="n">
        <x:v>-2475.62</x:v>
      </x:c>
      <x:c r="N2124" t="str">
        <x:v>2024-06</x:v>
      </x:c>
      <x:c r="O2124" t="str">
        <x:v>Ausgabe</x:v>
      </x:c>
      <x:c r="P2124" t="str">
        <x:v>Ist</x:v>
      </x:c>
      <x:c r="Q2124" s="59" t="b">
        <x:v>0</x:v>
      </x:c>
      <x:c r="R2124" t="str">
        <x:v>kein_transfer</x:v>
      </x:c>
      <x:c r="S2124"/>
      <x:c r="T2124"/>
      <x:c r="U2124"/>
      <x:c r="V2124" s="59" t="b">
        <x:v>1</x:v>
      </x:c>
      <x:c r="W2124"/>
      <x:c r="X2124" t="str">
        <x:v>offen</x:v>
      </x:c>
      <x:c r="Y2124" t="str">
        <x:v>Agent-Draft; Kategorie und Person pruefen</x:v>
      </x:c>
    </x:row>
    <x:row r="2125">
      <x:c r="A2125" t="str">
        <x:v>TXN-RAW-IMP-20260516-FULLDRAFT-002109</x:v>
      </x:c>
      <x:c r="B2125" t="str">
        <x:v>RAW-IMP-20260516-FULLDRAFT-002109</x:v>
      </x:c>
      <x:c r="C2125" t="str">
        <x:v>KTO001</x:v>
      </x:c>
      <x:c r="D2125"/>
      <x:c r="E2125" t="str">
        <x:v>KAT013</x:v>
      </x:c>
      <x:c r="F2125"/>
      <x:c r="G2125"/>
      <x:c r="H2125" t="str">
        <x:v>kein_match</x:v>
      </x:c>
      <x:c r="I2125" t="str">
        <x:v>Agent-Draft: keine finale Regelentscheidung</x:v>
      </x:c>
      <x:c r="J2125" t="n">
        <x:v>45450</x:v>
      </x:c>
      <x:c r="K2125"/>
      <x:c r="L2125"/>
      <x:c r="M2125" t="n">
        <x:v>-50</x:v>
      </x:c>
      <x:c r="N2125" t="str">
        <x:v>2024-06</x:v>
      </x:c>
      <x:c r="O2125" t="str">
        <x:v>Ausgabe</x:v>
      </x:c>
      <x:c r="P2125" t="str">
        <x:v>Ist</x:v>
      </x:c>
      <x:c r="Q2125" s="59" t="b">
        <x:v>0</x:v>
      </x:c>
      <x:c r="R2125" t="str">
        <x:v>kein_transfer</x:v>
      </x:c>
      <x:c r="S2125"/>
      <x:c r="T2125"/>
      <x:c r="U2125"/>
      <x:c r="V2125" s="59" t="b">
        <x:v>1</x:v>
      </x:c>
      <x:c r="W2125"/>
      <x:c r="X2125" t="str">
        <x:v>offen</x:v>
      </x:c>
      <x:c r="Y2125" t="str">
        <x:v>Agent-Draft; Kategorie und Person pruefen</x:v>
      </x:c>
    </x:row>
    <x:row r="2126">
      <x:c r="A2126" t="str">
        <x:v>TXN-RAW-IMP-20260516-FULLDRAFT-002110</x:v>
      </x:c>
      <x:c r="B2126" t="str">
        <x:v>RAW-IMP-20260516-FULLDRAFT-002110</x:v>
      </x:c>
      <x:c r="C2126" t="str">
        <x:v>KTO001</x:v>
      </x:c>
      <x:c r="D2126"/>
      <x:c r="E2126" t="str">
        <x:v>KAT013</x:v>
      </x:c>
      <x:c r="F2126"/>
      <x:c r="G2126"/>
      <x:c r="H2126" t="str">
        <x:v>kein_match</x:v>
      </x:c>
      <x:c r="I2126" t="str">
        <x:v>Agent-Draft: keine finale Regelentscheidung</x:v>
      </x:c>
      <x:c r="J2126" t="n">
        <x:v>45449</x:v>
      </x:c>
      <x:c r="K2126"/>
      <x:c r="L2126"/>
      <x:c r="M2126" t="n">
        <x:v>-5.73</x:v>
      </x:c>
      <x:c r="N2126" t="str">
        <x:v>2024-06</x:v>
      </x:c>
      <x:c r="O2126" t="str">
        <x:v>Ausgabe</x:v>
      </x:c>
      <x:c r="P2126" t="str">
        <x:v>Ist</x:v>
      </x:c>
      <x:c r="Q2126" s="59" t="b">
        <x:v>0</x:v>
      </x:c>
      <x:c r="R2126" t="str">
        <x:v>kein_transfer</x:v>
      </x:c>
      <x:c r="S2126"/>
      <x:c r="T2126"/>
      <x:c r="U2126"/>
      <x:c r="V2126" s="59" t="b">
        <x:v>1</x:v>
      </x:c>
      <x:c r="W2126"/>
      <x:c r="X2126" t="str">
        <x:v>offen</x:v>
      </x:c>
      <x:c r="Y2126" t="str">
        <x:v>Agent-Draft; Kategorie und Person pruefen</x:v>
      </x:c>
    </x:row>
    <x:row r="2127">
      <x:c r="A2127" t="str">
        <x:v>TXN-RAW-IMP-20260516-FULLDRAFT-002111</x:v>
      </x:c>
      <x:c r="B2127" t="str">
        <x:v>RAW-IMP-20260516-FULLDRAFT-002111</x:v>
      </x:c>
      <x:c r="C2127" t="str">
        <x:v>KTO001</x:v>
      </x:c>
      <x:c r="D2127"/>
      <x:c r="E2127" t="str">
        <x:v>KAT013</x:v>
      </x:c>
      <x:c r="F2127"/>
      <x:c r="G2127"/>
      <x:c r="H2127" t="str">
        <x:v>kein_match</x:v>
      </x:c>
      <x:c r="I2127" t="str">
        <x:v>Agent-Draft: keine finale Regelentscheidung</x:v>
      </x:c>
      <x:c r="J2127" t="n">
        <x:v>45449</x:v>
      </x:c>
      <x:c r="K2127"/>
      <x:c r="L2127"/>
      <x:c r="M2127" t="n">
        <x:v>-61.94</x:v>
      </x:c>
      <x:c r="N2127" t="str">
        <x:v>2024-06</x:v>
      </x:c>
      <x:c r="O2127" t="str">
        <x:v>Ausgabe</x:v>
      </x:c>
      <x:c r="P2127" t="str">
        <x:v>Ist</x:v>
      </x:c>
      <x:c r="Q2127" s="59" t="b">
        <x:v>0</x:v>
      </x:c>
      <x:c r="R2127" t="str">
        <x:v>kein_transfer</x:v>
      </x:c>
      <x:c r="S2127"/>
      <x:c r="T2127"/>
      <x:c r="U2127"/>
      <x:c r="V2127" s="59" t="b">
        <x:v>1</x:v>
      </x:c>
      <x:c r="W2127"/>
      <x:c r="X2127" t="str">
        <x:v>offen</x:v>
      </x:c>
      <x:c r="Y2127" t="str">
        <x:v>Agent-Draft; Kategorie und Person pruefen</x:v>
      </x:c>
    </x:row>
    <x:row r="2128">
      <x:c r="A2128" t="str">
        <x:v>TXN-RAW-IMP-20260516-FULLDRAFT-002112</x:v>
      </x:c>
      <x:c r="B2128" t="str">
        <x:v>RAW-IMP-20260516-FULLDRAFT-002112</x:v>
      </x:c>
      <x:c r="C2128" t="str">
        <x:v>KTO001</x:v>
      </x:c>
      <x:c r="D2128"/>
      <x:c r="E2128" t="str">
        <x:v>KAT013</x:v>
      </x:c>
      <x:c r="F2128"/>
      <x:c r="G2128"/>
      <x:c r="H2128" t="str">
        <x:v>kein_match</x:v>
      </x:c>
      <x:c r="I2128" t="str">
        <x:v>Agent-Draft: keine finale Regelentscheidung</x:v>
      </x:c>
      <x:c r="J2128" t="n">
        <x:v>45449</x:v>
      </x:c>
      <x:c r="K2128"/>
      <x:c r="L2128"/>
      <x:c r="M2128" t="n">
        <x:v>-49.9</x:v>
      </x:c>
      <x:c r="N2128" t="str">
        <x:v>2024-06</x:v>
      </x:c>
      <x:c r="O2128" t="str">
        <x:v>Ausgabe</x:v>
      </x:c>
      <x:c r="P2128" t="str">
        <x:v>Ist</x:v>
      </x:c>
      <x:c r="Q2128" s="59" t="b">
        <x:v>0</x:v>
      </x:c>
      <x:c r="R2128" t="str">
        <x:v>kein_transfer</x:v>
      </x:c>
      <x:c r="S2128"/>
      <x:c r="T2128"/>
      <x:c r="U2128"/>
      <x:c r="V2128" s="59" t="b">
        <x:v>1</x:v>
      </x:c>
      <x:c r="W2128"/>
      <x:c r="X2128" t="str">
        <x:v>offen</x:v>
      </x:c>
      <x:c r="Y2128" t="str">
        <x:v>Agent-Draft; Kategorie und Person pruefen</x:v>
      </x:c>
    </x:row>
    <x:row r="2129">
      <x:c r="A2129" t="str">
        <x:v>TXN-RAW-IMP-20260516-FULLDRAFT-002113</x:v>
      </x:c>
      <x:c r="B2129" t="str">
        <x:v>RAW-IMP-20260516-FULLDRAFT-002113</x:v>
      </x:c>
      <x:c r="C2129" t="str">
        <x:v>KTO001</x:v>
      </x:c>
      <x:c r="D2129"/>
      <x:c r="E2129" t="str">
        <x:v>KAT013</x:v>
      </x:c>
      <x:c r="F2129"/>
      <x:c r="G2129"/>
      <x:c r="H2129" t="str">
        <x:v>kein_match</x:v>
      </x:c>
      <x:c r="I2129" t="str">
        <x:v>Agent-Draft: keine finale Regelentscheidung</x:v>
      </x:c>
      <x:c r="J2129" t="n">
        <x:v>45448</x:v>
      </x:c>
      <x:c r="K2129"/>
      <x:c r="L2129"/>
      <x:c r="M2129" t="n">
        <x:v>-67.91</x:v>
      </x:c>
      <x:c r="N2129" t="str">
        <x:v>2024-06</x:v>
      </x:c>
      <x:c r="O2129" t="str">
        <x:v>Ausgabe</x:v>
      </x:c>
      <x:c r="P2129" t="str">
        <x:v>Ist</x:v>
      </x:c>
      <x:c r="Q2129" s="59" t="b">
        <x:v>0</x:v>
      </x:c>
      <x:c r="R2129" t="str">
        <x:v>kein_transfer</x:v>
      </x:c>
      <x:c r="S2129"/>
      <x:c r="T2129"/>
      <x:c r="U2129"/>
      <x:c r="V2129" s="59" t="b">
        <x:v>1</x:v>
      </x:c>
      <x:c r="W2129"/>
      <x:c r="X2129" t="str">
        <x:v>offen</x:v>
      </x:c>
      <x:c r="Y2129" t="str">
        <x:v>Agent-Draft; Kategorie und Person pruefen</x:v>
      </x:c>
    </x:row>
    <x:row r="2130">
      <x:c r="A2130" t="str">
        <x:v>TXN-RAW-IMP-20260516-FULLDRAFT-002114</x:v>
      </x:c>
      <x:c r="B2130" t="str">
        <x:v>RAW-IMP-20260516-FULLDRAFT-002114</x:v>
      </x:c>
      <x:c r="C2130" t="str">
        <x:v>KTO001</x:v>
      </x:c>
      <x:c r="D2130"/>
      <x:c r="E2130" t="str">
        <x:v>KAT013</x:v>
      </x:c>
      <x:c r="F2130"/>
      <x:c r="G2130"/>
      <x:c r="H2130" t="str">
        <x:v>kein_match</x:v>
      </x:c>
      <x:c r="I2130" t="str">
        <x:v>Agent-Draft: keine finale Regelentscheidung</x:v>
      </x:c>
      <x:c r="J2130" t="n">
        <x:v>45448</x:v>
      </x:c>
      <x:c r="K2130"/>
      <x:c r="L2130"/>
      <x:c r="M2130" t="n">
        <x:v>-9.6</x:v>
      </x:c>
      <x:c r="N2130" t="str">
        <x:v>2024-06</x:v>
      </x:c>
      <x:c r="O2130" t="str">
        <x:v>Ausgabe</x:v>
      </x:c>
      <x:c r="P2130" t="str">
        <x:v>Ist</x:v>
      </x:c>
      <x:c r="Q2130" s="59" t="b">
        <x:v>0</x:v>
      </x:c>
      <x:c r="R2130" t="str">
        <x:v>kein_transfer</x:v>
      </x:c>
      <x:c r="S2130"/>
      <x:c r="T2130"/>
      <x:c r="U2130"/>
      <x:c r="V2130" s="59" t="b">
        <x:v>1</x:v>
      </x:c>
      <x:c r="W2130"/>
      <x:c r="X2130" t="str">
        <x:v>offen</x:v>
      </x:c>
      <x:c r="Y2130" t="str">
        <x:v>Agent-Draft; Kategorie und Person pruefen</x:v>
      </x:c>
    </x:row>
    <x:row r="2131">
      <x:c r="A2131" t="str">
        <x:v>TXN-RAW-IMP-20260516-FULLDRAFT-002115</x:v>
      </x:c>
      <x:c r="B2131" t="str">
        <x:v>RAW-IMP-20260516-FULLDRAFT-002115</x:v>
      </x:c>
      <x:c r="C2131" t="str">
        <x:v>KTO001</x:v>
      </x:c>
      <x:c r="D2131"/>
      <x:c r="E2131" t="str">
        <x:v>KAT013</x:v>
      </x:c>
      <x:c r="F2131"/>
      <x:c r="G2131"/>
      <x:c r="H2131" t="str">
        <x:v>kein_match</x:v>
      </x:c>
      <x:c r="I2131" t="str">
        <x:v>Agent-Draft: keine finale Regelentscheidung</x:v>
      </x:c>
      <x:c r="J2131" t="n">
        <x:v>45448</x:v>
      </x:c>
      <x:c r="K2131"/>
      <x:c r="L2131"/>
      <x:c r="M2131" t="n">
        <x:v>-38.26</x:v>
      </x:c>
      <x:c r="N2131" t="str">
        <x:v>2024-06</x:v>
      </x:c>
      <x:c r="O2131" t="str">
        <x:v>Ausgabe</x:v>
      </x:c>
      <x:c r="P2131" t="str">
        <x:v>Ist</x:v>
      </x:c>
      <x:c r="Q2131" s="59" t="b">
        <x:v>0</x:v>
      </x:c>
      <x:c r="R2131" t="str">
        <x:v>kein_transfer</x:v>
      </x:c>
      <x:c r="S2131"/>
      <x:c r="T2131"/>
      <x:c r="U2131"/>
      <x:c r="V2131" s="59" t="b">
        <x:v>1</x:v>
      </x:c>
      <x:c r="W2131"/>
      <x:c r="X2131" t="str">
        <x:v>offen</x:v>
      </x:c>
      <x:c r="Y2131" t="str">
        <x:v>Agent-Draft; Kategorie und Person pruefen</x:v>
      </x:c>
    </x:row>
    <x:row r="2132">
      <x:c r="A2132" t="str">
        <x:v>TXN-RAW-IMP-20260516-FULLDRAFT-002116</x:v>
      </x:c>
      <x:c r="B2132" t="str">
        <x:v>RAW-IMP-20260516-FULLDRAFT-002116</x:v>
      </x:c>
      <x:c r="C2132" t="str">
        <x:v>KTO001</x:v>
      </x:c>
      <x:c r="D2132"/>
      <x:c r="E2132" t="str">
        <x:v>KAT013</x:v>
      </x:c>
      <x:c r="F2132"/>
      <x:c r="G2132"/>
      <x:c r="H2132" t="str">
        <x:v>kein_match</x:v>
      </x:c>
      <x:c r="I2132" t="str">
        <x:v>Agent-Draft: keine finale Regelentscheidung</x:v>
      </x:c>
      <x:c r="J2132" t="n">
        <x:v>45448</x:v>
      </x:c>
      <x:c r="K2132"/>
      <x:c r="L2132"/>
      <x:c r="M2132" t="n">
        <x:v>-45.5</x:v>
      </x:c>
      <x:c r="N2132" t="str">
        <x:v>2024-06</x:v>
      </x:c>
      <x:c r="O2132" t="str">
        <x:v>Ausgabe</x:v>
      </x:c>
      <x:c r="P2132" t="str">
        <x:v>Ist</x:v>
      </x:c>
      <x:c r="Q2132" s="59" t="b">
        <x:v>0</x:v>
      </x:c>
      <x:c r="R2132" t="str">
        <x:v>kein_transfer</x:v>
      </x:c>
      <x:c r="S2132"/>
      <x:c r="T2132"/>
      <x:c r="U2132"/>
      <x:c r="V2132" s="59" t="b">
        <x:v>1</x:v>
      </x:c>
      <x:c r="W2132"/>
      <x:c r="X2132" t="str">
        <x:v>offen</x:v>
      </x:c>
      <x:c r="Y2132" t="str">
        <x:v>Agent-Draft; Kategorie und Person pruefen</x:v>
      </x:c>
    </x:row>
    <x:row r="2133">
      <x:c r="A2133" t="str">
        <x:v>TXN-RAW-IMP-20260516-FULLDRAFT-002117</x:v>
      </x:c>
      <x:c r="B2133" t="str">
        <x:v>RAW-IMP-20260516-FULLDRAFT-002117</x:v>
      </x:c>
      <x:c r="C2133" t="str">
        <x:v>KTO001</x:v>
      </x:c>
      <x:c r="D2133"/>
      <x:c r="E2133" t="str">
        <x:v>KAT013</x:v>
      </x:c>
      <x:c r="F2133"/>
      <x:c r="G2133"/>
      <x:c r="H2133" t="str">
        <x:v>kein_match</x:v>
      </x:c>
      <x:c r="I2133" t="str">
        <x:v>Agent-Draft: keine finale Regelentscheidung</x:v>
      </x:c>
      <x:c r="J2133" t="n">
        <x:v>45447</x:v>
      </x:c>
      <x:c r="K2133"/>
      <x:c r="L2133"/>
      <x:c r="M2133" t="n">
        <x:v>-56.3</x:v>
      </x:c>
      <x:c r="N2133" t="str">
        <x:v>2024-06</x:v>
      </x:c>
      <x:c r="O2133" t="str">
        <x:v>Ausgabe</x:v>
      </x:c>
      <x:c r="P2133" t="str">
        <x:v>Ist</x:v>
      </x:c>
      <x:c r="Q2133" s="59" t="b">
        <x:v>0</x:v>
      </x:c>
      <x:c r="R2133" t="str">
        <x:v>kein_transfer</x:v>
      </x:c>
      <x:c r="S2133"/>
      <x:c r="T2133"/>
      <x:c r="U2133"/>
      <x:c r="V2133" s="59" t="b">
        <x:v>1</x:v>
      </x:c>
      <x:c r="W2133"/>
      <x:c r="X2133" t="str">
        <x:v>offen</x:v>
      </x:c>
      <x:c r="Y2133" t="str">
        <x:v>Agent-Draft; Kategorie und Person pruefen</x:v>
      </x:c>
    </x:row>
    <x:row r="2134">
      <x:c r="A2134" t="str">
        <x:v>TXN-RAW-IMP-20260516-FULLDRAFT-002118</x:v>
      </x:c>
      <x:c r="B2134" t="str">
        <x:v>RAW-IMP-20260516-FULLDRAFT-002118</x:v>
      </x:c>
      <x:c r="C2134" t="str">
        <x:v>KTO001</x:v>
      </x:c>
      <x:c r="D2134"/>
      <x:c r="E2134" t="str">
        <x:v>KAT013</x:v>
      </x:c>
      <x:c r="F2134"/>
      <x:c r="G2134"/>
      <x:c r="H2134" t="str">
        <x:v>kein_match</x:v>
      </x:c>
      <x:c r="I2134" t="str">
        <x:v>Agent-Draft: keine finale Regelentscheidung</x:v>
      </x:c>
      <x:c r="J2134" t="n">
        <x:v>45447</x:v>
      </x:c>
      <x:c r="K2134"/>
      <x:c r="L2134"/>
      <x:c r="M2134" t="n">
        <x:v>-0.99</x:v>
      </x:c>
      <x:c r="N2134" t="str">
        <x:v>2024-06</x:v>
      </x:c>
      <x:c r="O2134" t="str">
        <x:v>Ausgabe</x:v>
      </x:c>
      <x:c r="P2134" t="str">
        <x:v>Ist</x:v>
      </x:c>
      <x:c r="Q2134" s="59" t="b">
        <x:v>0</x:v>
      </x:c>
      <x:c r="R2134" t="str">
        <x:v>kein_transfer</x:v>
      </x:c>
      <x:c r="S2134"/>
      <x:c r="T2134"/>
      <x:c r="U2134"/>
      <x:c r="V2134" s="59" t="b">
        <x:v>1</x:v>
      </x:c>
      <x:c r="W2134"/>
      <x:c r="X2134" t="str">
        <x:v>offen</x:v>
      </x:c>
      <x:c r="Y2134" t="str">
        <x:v>Agent-Draft; Kategorie und Person pruefen</x:v>
      </x:c>
    </x:row>
    <x:row r="2135">
      <x:c r="A2135" t="str">
        <x:v>TXN-RAW-IMP-20260516-FULLDRAFT-002119</x:v>
      </x:c>
      <x:c r="B2135" t="str">
        <x:v>RAW-IMP-20260516-FULLDRAFT-002119</x:v>
      </x:c>
      <x:c r="C2135" t="str">
        <x:v>KTO001</x:v>
      </x:c>
      <x:c r="D2135"/>
      <x:c r="E2135" t="str">
        <x:v>KAT013</x:v>
      </x:c>
      <x:c r="F2135"/>
      <x:c r="G2135"/>
      <x:c r="H2135" t="str">
        <x:v>kein_match</x:v>
      </x:c>
      <x:c r="I2135" t="str">
        <x:v>Agent-Draft: keine finale Regelentscheidung</x:v>
      </x:c>
      <x:c r="J2135" t="n">
        <x:v>45447</x:v>
      </x:c>
      <x:c r="K2135"/>
      <x:c r="L2135"/>
      <x:c r="M2135" t="n">
        <x:v>-100</x:v>
      </x:c>
      <x:c r="N2135" t="str">
        <x:v>2024-06</x:v>
      </x:c>
      <x:c r="O2135" t="str">
        <x:v>Ausgabe</x:v>
      </x:c>
      <x:c r="P2135" t="str">
        <x:v>Ist</x:v>
      </x:c>
      <x:c r="Q2135" s="59" t="b">
        <x:v>0</x:v>
      </x:c>
      <x:c r="R2135" t="str">
        <x:v>kein_transfer</x:v>
      </x:c>
      <x:c r="S2135"/>
      <x:c r="T2135"/>
      <x:c r="U2135"/>
      <x:c r="V2135" s="59" t="b">
        <x:v>1</x:v>
      </x:c>
      <x:c r="W2135"/>
      <x:c r="X2135" t="str">
        <x:v>offen</x:v>
      </x:c>
      <x:c r="Y2135" t="str">
        <x:v>Agent-Draft; Kategorie und Person pruefen</x:v>
      </x:c>
    </x:row>
    <x:row r="2136">
      <x:c r="A2136" t="str">
        <x:v>TXN-RAW-IMP-20260516-FULLDRAFT-002120</x:v>
      </x:c>
      <x:c r="B2136" t="str">
        <x:v>RAW-IMP-20260516-FULLDRAFT-002120</x:v>
      </x:c>
      <x:c r="C2136" t="str">
        <x:v>KTO001</x:v>
      </x:c>
      <x:c r="D2136"/>
      <x:c r="E2136" t="str">
        <x:v>KAT013</x:v>
      </x:c>
      <x:c r="F2136"/>
      <x:c r="G2136"/>
      <x:c r="H2136" t="str">
        <x:v>kein_match</x:v>
      </x:c>
      <x:c r="I2136" t="str">
        <x:v>Agent-Draft: keine finale Regelentscheidung</x:v>
      </x:c>
      <x:c r="J2136" t="n">
        <x:v>45447</x:v>
      </x:c>
      <x:c r="K2136"/>
      <x:c r="L2136"/>
      <x:c r="M2136" t="n">
        <x:v>-18.14</x:v>
      </x:c>
      <x:c r="N2136" t="str">
        <x:v>2024-06</x:v>
      </x:c>
      <x:c r="O2136" t="str">
        <x:v>Ausgabe</x:v>
      </x:c>
      <x:c r="P2136" t="str">
        <x:v>Ist</x:v>
      </x:c>
      <x:c r="Q2136" s="59" t="b">
        <x:v>0</x:v>
      </x:c>
      <x:c r="R2136" t="str">
        <x:v>kein_transfer</x:v>
      </x:c>
      <x:c r="S2136"/>
      <x:c r="T2136"/>
      <x:c r="U2136"/>
      <x:c r="V2136" s="59" t="b">
        <x:v>1</x:v>
      </x:c>
      <x:c r="W2136"/>
      <x:c r="X2136" t="str">
        <x:v>offen</x:v>
      </x:c>
      <x:c r="Y2136" t="str">
        <x:v>Agent-Draft; Kategorie und Person pruefen</x:v>
      </x:c>
    </x:row>
    <x:row r="2137">
      <x:c r="A2137" t="str">
        <x:v>TXN-RAW-IMP-20260516-FULLDRAFT-002121</x:v>
      </x:c>
      <x:c r="B2137" t="str">
        <x:v>RAW-IMP-20260516-FULLDRAFT-002121</x:v>
      </x:c>
      <x:c r="C2137" t="str">
        <x:v>KTO001</x:v>
      </x:c>
      <x:c r="D2137"/>
      <x:c r="E2137" t="str">
        <x:v>KAT013</x:v>
      </x:c>
      <x:c r="F2137"/>
      <x:c r="G2137"/>
      <x:c r="H2137" t="str">
        <x:v>kein_match</x:v>
      </x:c>
      <x:c r="I2137" t="str">
        <x:v>Agent-Draft: keine finale Regelentscheidung</x:v>
      </x:c>
      <x:c r="J2137" t="n">
        <x:v>45447</x:v>
      </x:c>
      <x:c r="K2137"/>
      <x:c r="L2137"/>
      <x:c r="M2137" t="n">
        <x:v>-51.54</x:v>
      </x:c>
      <x:c r="N2137" t="str">
        <x:v>2024-06</x:v>
      </x:c>
      <x:c r="O2137" t="str">
        <x:v>Ausgabe</x:v>
      </x:c>
      <x:c r="P2137" t="str">
        <x:v>Ist</x:v>
      </x:c>
      <x:c r="Q2137" s="59" t="b">
        <x:v>0</x:v>
      </x:c>
      <x:c r="R2137" t="str">
        <x:v>kein_transfer</x:v>
      </x:c>
      <x:c r="S2137"/>
      <x:c r="T2137"/>
      <x:c r="U2137"/>
      <x:c r="V2137" s="59" t="b">
        <x:v>1</x:v>
      </x:c>
      <x:c r="W2137"/>
      <x:c r="X2137" t="str">
        <x:v>offen</x:v>
      </x:c>
      <x:c r="Y2137" t="str">
        <x:v>Agent-Draft; Kategorie und Person pruefen</x:v>
      </x:c>
    </x:row>
    <x:row r="2138">
      <x:c r="A2138" t="str">
        <x:v>TXN-RAW-IMP-20260516-FULLDRAFT-002122</x:v>
      </x:c>
      <x:c r="B2138" t="str">
        <x:v>RAW-IMP-20260516-FULLDRAFT-002122</x:v>
      </x:c>
      <x:c r="C2138" t="str">
        <x:v>KTO001</x:v>
      </x:c>
      <x:c r="D2138"/>
      <x:c r="E2138" t="str">
        <x:v>KAT013</x:v>
      </x:c>
      <x:c r="F2138"/>
      <x:c r="G2138"/>
      <x:c r="H2138" t="str">
        <x:v>kein_match</x:v>
      </x:c>
      <x:c r="I2138" t="str">
        <x:v>Agent-Draft: keine finale Regelentscheidung</x:v>
      </x:c>
      <x:c r="J2138" t="n">
        <x:v>45447</x:v>
      </x:c>
      <x:c r="K2138"/>
      <x:c r="L2138"/>
      <x:c r="M2138" t="n">
        <x:v>-11.96</x:v>
      </x:c>
      <x:c r="N2138" t="str">
        <x:v>2024-06</x:v>
      </x:c>
      <x:c r="O2138" t="str">
        <x:v>Ausgabe</x:v>
      </x:c>
      <x:c r="P2138" t="str">
        <x:v>Ist</x:v>
      </x:c>
      <x:c r="Q2138" s="59" t="b">
        <x:v>0</x:v>
      </x:c>
      <x:c r="R2138" t="str">
        <x:v>kein_transfer</x:v>
      </x:c>
      <x:c r="S2138"/>
      <x:c r="T2138"/>
      <x:c r="U2138"/>
      <x:c r="V2138" s="59" t="b">
        <x:v>1</x:v>
      </x:c>
      <x:c r="W2138"/>
      <x:c r="X2138" t="str">
        <x:v>offen</x:v>
      </x:c>
      <x:c r="Y2138" t="str">
        <x:v>Agent-Draft; Kategorie und Person pruefen</x:v>
      </x:c>
    </x:row>
    <x:row r="2139">
      <x:c r="A2139" t="str">
        <x:v>TXN-RAW-IMP-20260516-FULLDRAFT-002123</x:v>
      </x:c>
      <x:c r="B2139" t="str">
        <x:v>RAW-IMP-20260516-FULLDRAFT-002123</x:v>
      </x:c>
      <x:c r="C2139" t="str">
        <x:v>KTO001</x:v>
      </x:c>
      <x:c r="D2139"/>
      <x:c r="E2139" t="str">
        <x:v>KAT013</x:v>
      </x:c>
      <x:c r="F2139"/>
      <x:c r="G2139"/>
      <x:c r="H2139" t="str">
        <x:v>kein_match</x:v>
      </x:c>
      <x:c r="I2139" t="str">
        <x:v>Agent-Draft: keine finale Regelentscheidung</x:v>
      </x:c>
      <x:c r="J2139" t="n">
        <x:v>45447</x:v>
      </x:c>
      <x:c r="K2139"/>
      <x:c r="L2139"/>
      <x:c r="M2139" t="n">
        <x:v>-54.5</x:v>
      </x:c>
      <x:c r="N2139" t="str">
        <x:v>2024-06</x:v>
      </x:c>
      <x:c r="O2139" t="str">
        <x:v>Ausgabe</x:v>
      </x:c>
      <x:c r="P2139" t="str">
        <x:v>Ist</x:v>
      </x:c>
      <x:c r="Q2139" s="59" t="b">
        <x:v>0</x:v>
      </x:c>
      <x:c r="R2139" t="str">
        <x:v>kein_transfer</x:v>
      </x:c>
      <x:c r="S2139"/>
      <x:c r="T2139"/>
      <x:c r="U2139"/>
      <x:c r="V2139" s="59" t="b">
        <x:v>1</x:v>
      </x:c>
      <x:c r="W2139"/>
      <x:c r="X2139" t="str">
        <x:v>offen</x:v>
      </x:c>
      <x:c r="Y2139" t="str">
        <x:v>Agent-Draft; Kategorie und Person pruefen</x:v>
      </x:c>
    </x:row>
    <x:row r="2140">
      <x:c r="A2140" t="str">
        <x:v>TXN-RAW-IMP-20260516-FULLDRAFT-002124</x:v>
      </x:c>
      <x:c r="B2140" t="str">
        <x:v>RAW-IMP-20260516-FULLDRAFT-002124</x:v>
      </x:c>
      <x:c r="C2140" t="str">
        <x:v>KTO001</x:v>
      </x:c>
      <x:c r="D2140"/>
      <x:c r="E2140" t="str">
        <x:v>KAT013</x:v>
      </x:c>
      <x:c r="F2140"/>
      <x:c r="G2140"/>
      <x:c r="H2140" t="str">
        <x:v>kein_match</x:v>
      </x:c>
      <x:c r="I2140" t="str">
        <x:v>Agent-Draft: keine finale Regelentscheidung</x:v>
      </x:c>
      <x:c r="J2140" t="n">
        <x:v>45446</x:v>
      </x:c>
      <x:c r="K2140"/>
      <x:c r="L2140"/>
      <x:c r="M2140" t="n">
        <x:v>750</x:v>
      </x:c>
      <x:c r="N2140" t="str">
        <x:v>2024-06</x:v>
      </x:c>
      <x:c r="O2140" t="str">
        <x:v>Einnahme</x:v>
      </x:c>
      <x:c r="P2140" t="str">
        <x:v>Ist</x:v>
      </x:c>
      <x:c r="Q2140" s="59" t="b">
        <x:v>0</x:v>
      </x:c>
      <x:c r="R2140" t="str">
        <x:v>kein_transfer</x:v>
      </x:c>
      <x:c r="S2140"/>
      <x:c r="T2140"/>
      <x:c r="U2140"/>
      <x:c r="V2140" s="59" t="b">
        <x:v>1</x:v>
      </x:c>
      <x:c r="W2140"/>
      <x:c r="X2140" t="str">
        <x:v>offen</x:v>
      </x:c>
      <x:c r="Y2140" t="str">
        <x:v>Agent-Draft; Kategorie und Person pruefen</x:v>
      </x:c>
    </x:row>
    <x:row r="2141">
      <x:c r="A2141" t="str">
        <x:v>TXN-RAW-IMP-20260516-FULLDRAFT-002125</x:v>
      </x:c>
      <x:c r="B2141" t="str">
        <x:v>RAW-IMP-20260516-FULLDRAFT-002125</x:v>
      </x:c>
      <x:c r="C2141" t="str">
        <x:v>KTO001</x:v>
      </x:c>
      <x:c r="D2141"/>
      <x:c r="E2141" t="str">
        <x:v>KAT013</x:v>
      </x:c>
      <x:c r="F2141"/>
      <x:c r="G2141"/>
      <x:c r="H2141" t="str">
        <x:v>kein_match</x:v>
      </x:c>
      <x:c r="I2141" t="str">
        <x:v>Agent-Draft: keine finale Regelentscheidung</x:v>
      </x:c>
      <x:c r="J2141" t="n">
        <x:v>45446</x:v>
      </x:c>
      <x:c r="K2141"/>
      <x:c r="L2141"/>
      <x:c r="M2141" t="n">
        <x:v>-42.84</x:v>
      </x:c>
      <x:c r="N2141" t="str">
        <x:v>2024-06</x:v>
      </x:c>
      <x:c r="O2141" t="str">
        <x:v>Ausgabe</x:v>
      </x:c>
      <x:c r="P2141" t="str">
        <x:v>Ist</x:v>
      </x:c>
      <x:c r="Q2141" s="59" t="b">
        <x:v>0</x:v>
      </x:c>
      <x:c r="R2141" t="str">
        <x:v>kein_transfer</x:v>
      </x:c>
      <x:c r="S2141"/>
      <x:c r="T2141"/>
      <x:c r="U2141"/>
      <x:c r="V2141" s="59" t="b">
        <x:v>1</x:v>
      </x:c>
      <x:c r="W2141"/>
      <x:c r="X2141" t="str">
        <x:v>offen</x:v>
      </x:c>
      <x:c r="Y2141" t="str">
        <x:v>Agent-Draft; Kategorie und Person pruefen</x:v>
      </x:c>
    </x:row>
    <x:row r="2142">
      <x:c r="A2142" t="str">
        <x:v>TXN-RAW-IMP-20260516-FULLDRAFT-002126</x:v>
      </x:c>
      <x:c r="B2142" t="str">
        <x:v>RAW-IMP-20260516-FULLDRAFT-002126</x:v>
      </x:c>
      <x:c r="C2142" t="str">
        <x:v>KTO001</x:v>
      </x:c>
      <x:c r="D2142"/>
      <x:c r="E2142" t="str">
        <x:v>KAT013</x:v>
      </x:c>
      <x:c r="F2142"/>
      <x:c r="G2142"/>
      <x:c r="H2142" t="str">
        <x:v>kein_match</x:v>
      </x:c>
      <x:c r="I2142" t="str">
        <x:v>Agent-Draft: keine finale Regelentscheidung</x:v>
      </x:c>
      <x:c r="J2142" t="n">
        <x:v>45446</x:v>
      </x:c>
      <x:c r="K2142"/>
      <x:c r="L2142"/>
      <x:c r="M2142" t="n">
        <x:v>-42.85</x:v>
      </x:c>
      <x:c r="N2142" t="str">
        <x:v>2024-06</x:v>
      </x:c>
      <x:c r="O2142" t="str">
        <x:v>Ausgabe</x:v>
      </x:c>
      <x:c r="P2142" t="str">
        <x:v>Ist</x:v>
      </x:c>
      <x:c r="Q2142" s="59" t="b">
        <x:v>0</x:v>
      </x:c>
      <x:c r="R2142" t="str">
        <x:v>kein_transfer</x:v>
      </x:c>
      <x:c r="S2142"/>
      <x:c r="T2142"/>
      <x:c r="U2142"/>
      <x:c r="V2142" s="59" t="b">
        <x:v>1</x:v>
      </x:c>
      <x:c r="W2142"/>
      <x:c r="X2142" t="str">
        <x:v>offen</x:v>
      </x:c>
      <x:c r="Y2142" t="str">
        <x:v>Agent-Draft; Kategorie und Person pruefen</x:v>
      </x:c>
    </x:row>
    <x:row r="2143">
      <x:c r="A2143" t="str">
        <x:v>TXN-RAW-IMP-20260516-FULLDRAFT-002127</x:v>
      </x:c>
      <x:c r="B2143" t="str">
        <x:v>RAW-IMP-20260516-FULLDRAFT-002127</x:v>
      </x:c>
      <x:c r="C2143" t="str">
        <x:v>KTO001</x:v>
      </x:c>
      <x:c r="D2143"/>
      <x:c r="E2143" t="str">
        <x:v>KAT013</x:v>
      </x:c>
      <x:c r="F2143"/>
      <x:c r="G2143"/>
      <x:c r="H2143" t="str">
        <x:v>kein_match</x:v>
      </x:c>
      <x:c r="I2143" t="str">
        <x:v>Agent-Draft: keine finale Regelentscheidung</x:v>
      </x:c>
      <x:c r="J2143" t="n">
        <x:v>45446</x:v>
      </x:c>
      <x:c r="K2143"/>
      <x:c r="L2143"/>
      <x:c r="M2143" t="n">
        <x:v>-111.75</x:v>
      </x:c>
      <x:c r="N2143" t="str">
        <x:v>2024-06</x:v>
      </x:c>
      <x:c r="O2143" t="str">
        <x:v>Ausgabe</x:v>
      </x:c>
      <x:c r="P2143" t="str">
        <x:v>Ist</x:v>
      </x:c>
      <x:c r="Q2143" s="59" t="b">
        <x:v>0</x:v>
      </x:c>
      <x:c r="R2143" t="str">
        <x:v>kein_transfer</x:v>
      </x:c>
      <x:c r="S2143"/>
      <x:c r="T2143"/>
      <x:c r="U2143"/>
      <x:c r="V2143" s="59" t="b">
        <x:v>1</x:v>
      </x:c>
      <x:c r="W2143"/>
      <x:c r="X2143" t="str">
        <x:v>offen</x:v>
      </x:c>
      <x:c r="Y2143" t="str">
        <x:v>Agent-Draft; Kategorie und Person pruefen</x:v>
      </x:c>
    </x:row>
    <x:row r="2144">
      <x:c r="A2144" t="str">
        <x:v>TXN-RAW-IMP-20260516-FULLDRAFT-002128</x:v>
      </x:c>
      <x:c r="B2144" t="str">
        <x:v>RAW-IMP-20260516-FULLDRAFT-002128</x:v>
      </x:c>
      <x:c r="C2144" t="str">
        <x:v>KTO001</x:v>
      </x:c>
      <x:c r="D2144"/>
      <x:c r="E2144" t="str">
        <x:v>KAT013</x:v>
      </x:c>
      <x:c r="F2144"/>
      <x:c r="G2144"/>
      <x:c r="H2144" t="str">
        <x:v>kein_match</x:v>
      </x:c>
      <x:c r="I2144" t="str">
        <x:v>Agent-Draft: keine finale Regelentscheidung</x:v>
      </x:c>
      <x:c r="J2144" t="n">
        <x:v>45446</x:v>
      </x:c>
      <x:c r="K2144"/>
      <x:c r="L2144"/>
      <x:c r="M2144" t="n">
        <x:v>-38.17</x:v>
      </x:c>
      <x:c r="N2144" t="str">
        <x:v>2024-06</x:v>
      </x:c>
      <x:c r="O2144" t="str">
        <x:v>Ausgabe</x:v>
      </x:c>
      <x:c r="P2144" t="str">
        <x:v>Ist</x:v>
      </x:c>
      <x:c r="Q2144" s="59" t="b">
        <x:v>0</x:v>
      </x:c>
      <x:c r="R2144" t="str">
        <x:v>kein_transfer</x:v>
      </x:c>
      <x:c r="S2144"/>
      <x:c r="T2144"/>
      <x:c r="U2144"/>
      <x:c r="V2144" s="59" t="b">
        <x:v>1</x:v>
      </x:c>
      <x:c r="W2144"/>
      <x:c r="X2144" t="str">
        <x:v>offen</x:v>
      </x:c>
      <x:c r="Y2144" t="str">
        <x:v>Agent-Draft; Kategorie und Person pruefen</x:v>
      </x:c>
    </x:row>
    <x:row r="2145">
      <x:c r="A2145" t="str">
        <x:v>TXN-RAW-IMP-20260516-FULLDRAFT-002129</x:v>
      </x:c>
      <x:c r="B2145" t="str">
        <x:v>RAW-IMP-20260516-FULLDRAFT-002129</x:v>
      </x:c>
      <x:c r="C2145" t="str">
        <x:v>KTO001</x:v>
      </x:c>
      <x:c r="D2145"/>
      <x:c r="E2145" t="str">
        <x:v>KAT013</x:v>
      </x:c>
      <x:c r="F2145"/>
      <x:c r="G2145"/>
      <x:c r="H2145" t="str">
        <x:v>kein_match</x:v>
      </x:c>
      <x:c r="I2145" t="str">
        <x:v>Agent-Draft: keine finale Regelentscheidung</x:v>
      </x:c>
      <x:c r="J2145" t="n">
        <x:v>45446</x:v>
      </x:c>
      <x:c r="K2145"/>
      <x:c r="L2145"/>
      <x:c r="M2145" t="n">
        <x:v>-61.25</x:v>
      </x:c>
      <x:c r="N2145" t="str">
        <x:v>2024-06</x:v>
      </x:c>
      <x:c r="O2145" t="str">
        <x:v>Ausgabe</x:v>
      </x:c>
      <x:c r="P2145" t="str">
        <x:v>Ist</x:v>
      </x:c>
      <x:c r="Q2145" s="59" t="b">
        <x:v>0</x:v>
      </x:c>
      <x:c r="R2145" t="str">
        <x:v>kein_transfer</x:v>
      </x:c>
      <x:c r="S2145"/>
      <x:c r="T2145"/>
      <x:c r="U2145"/>
      <x:c r="V2145" s="59" t="b">
        <x:v>1</x:v>
      </x:c>
      <x:c r="W2145"/>
      <x:c r="X2145" t="str">
        <x:v>offen</x:v>
      </x:c>
      <x:c r="Y2145" t="str">
        <x:v>Agent-Draft; Kategorie und Person pruefen</x:v>
      </x:c>
    </x:row>
    <x:row r="2146">
      <x:c r="A2146" t="str">
        <x:v>TXN-RAW-IMP-20260516-FULLDRAFT-002130</x:v>
      </x:c>
      <x:c r="B2146" t="str">
        <x:v>RAW-IMP-20260516-FULLDRAFT-002130</x:v>
      </x:c>
      <x:c r="C2146" t="str">
        <x:v>KTO001</x:v>
      </x:c>
      <x:c r="D2146"/>
      <x:c r="E2146" t="str">
        <x:v>KAT013</x:v>
      </x:c>
      <x:c r="F2146"/>
      <x:c r="G2146"/>
      <x:c r="H2146" t="str">
        <x:v>kein_match</x:v>
      </x:c>
      <x:c r="I2146" t="str">
        <x:v>Agent-Draft: keine finale Regelentscheidung</x:v>
      </x:c>
      <x:c r="J2146" t="n">
        <x:v>45446</x:v>
      </x:c>
      <x:c r="K2146"/>
      <x:c r="L2146"/>
      <x:c r="M2146" t="n">
        <x:v>-69.95</x:v>
      </x:c>
      <x:c r="N2146" t="str">
        <x:v>2024-06</x:v>
      </x:c>
      <x:c r="O2146" t="str">
        <x:v>Ausgabe</x:v>
      </x:c>
      <x:c r="P2146" t="str">
        <x:v>Ist</x:v>
      </x:c>
      <x:c r="Q2146" s="59" t="b">
        <x:v>0</x:v>
      </x:c>
      <x:c r="R2146" t="str">
        <x:v>kein_transfer</x:v>
      </x:c>
      <x:c r="S2146"/>
      <x:c r="T2146"/>
      <x:c r="U2146"/>
      <x:c r="V2146" s="59" t="b">
        <x:v>1</x:v>
      </x:c>
      <x:c r="W2146"/>
      <x:c r="X2146" t="str">
        <x:v>offen</x:v>
      </x:c>
      <x:c r="Y2146" t="str">
        <x:v>Agent-Draft; Kategorie und Person pruefen</x:v>
      </x:c>
    </x:row>
    <x:row r="2147">
      <x:c r="A2147" t="str">
        <x:v>TXN-RAW-IMP-20260516-FULLDRAFT-002131</x:v>
      </x:c>
      <x:c r="B2147" t="str">
        <x:v>RAW-IMP-20260516-FULLDRAFT-002131</x:v>
      </x:c>
      <x:c r="C2147" t="str">
        <x:v>KTO001</x:v>
      </x:c>
      <x:c r="D2147"/>
      <x:c r="E2147" t="str">
        <x:v>KAT013</x:v>
      </x:c>
      <x:c r="F2147"/>
      <x:c r="G2147"/>
      <x:c r="H2147" t="str">
        <x:v>kein_match</x:v>
      </x:c>
      <x:c r="I2147" t="str">
        <x:v>Agent-Draft: keine finale Regelentscheidung</x:v>
      </x:c>
      <x:c r="J2147" t="n">
        <x:v>45446</x:v>
      </x:c>
      <x:c r="K2147"/>
      <x:c r="L2147"/>
      <x:c r="M2147" t="n">
        <x:v>-217.85</x:v>
      </x:c>
      <x:c r="N2147" t="str">
        <x:v>2024-06</x:v>
      </x:c>
      <x:c r="O2147" t="str">
        <x:v>Ausgabe</x:v>
      </x:c>
      <x:c r="P2147" t="str">
        <x:v>Ist</x:v>
      </x:c>
      <x:c r="Q2147" s="59" t="b">
        <x:v>0</x:v>
      </x:c>
      <x:c r="R2147" t="str">
        <x:v>kein_transfer</x:v>
      </x:c>
      <x:c r="S2147"/>
      <x:c r="T2147"/>
      <x:c r="U2147"/>
      <x:c r="V2147" s="59" t="b">
        <x:v>1</x:v>
      </x:c>
      <x:c r="W2147"/>
      <x:c r="X2147" t="str">
        <x:v>offen</x:v>
      </x:c>
      <x:c r="Y2147" t="str">
        <x:v>Agent-Draft; Kategorie und Person pruefen</x:v>
      </x:c>
    </x:row>
    <x:row r="2148">
      <x:c r="A2148" t="str">
        <x:v>TXN-RAW-IMP-20260516-FULLDRAFT-002132</x:v>
      </x:c>
      <x:c r="B2148" t="str">
        <x:v>RAW-IMP-20260516-FULLDRAFT-002132</x:v>
      </x:c>
      <x:c r="C2148" t="str">
        <x:v>KTO001</x:v>
      </x:c>
      <x:c r="D2148"/>
      <x:c r="E2148" t="str">
        <x:v>KAT013</x:v>
      </x:c>
      <x:c r="F2148"/>
      <x:c r="G2148"/>
      <x:c r="H2148" t="str">
        <x:v>kein_match</x:v>
      </x:c>
      <x:c r="I2148" t="str">
        <x:v>Agent-Draft: keine finale Regelentscheidung</x:v>
      </x:c>
      <x:c r="J2148" t="n">
        <x:v>45446</x:v>
      </x:c>
      <x:c r="K2148"/>
      <x:c r="L2148"/>
      <x:c r="M2148" t="n">
        <x:v>-294.89</x:v>
      </x:c>
      <x:c r="N2148" t="str">
        <x:v>2024-06</x:v>
      </x:c>
      <x:c r="O2148" t="str">
        <x:v>Ausgabe</x:v>
      </x:c>
      <x:c r="P2148" t="str">
        <x:v>Ist</x:v>
      </x:c>
      <x:c r="Q2148" s="59" t="b">
        <x:v>0</x:v>
      </x:c>
      <x:c r="R2148" t="str">
        <x:v>kein_transfer</x:v>
      </x:c>
      <x:c r="S2148"/>
      <x:c r="T2148"/>
      <x:c r="U2148"/>
      <x:c r="V2148" s="59" t="b">
        <x:v>1</x:v>
      </x:c>
      <x:c r="W2148"/>
      <x:c r="X2148" t="str">
        <x:v>offen</x:v>
      </x:c>
      <x:c r="Y2148" t="str">
        <x:v>Agent-Draft; Kategorie und Person pruefen</x:v>
      </x:c>
    </x:row>
    <x:row r="2149">
      <x:c r="A2149" t="str">
        <x:v>TXN-RAW-IMP-20260516-FULLDRAFT-002133</x:v>
      </x:c>
      <x:c r="B2149" t="str">
        <x:v>RAW-IMP-20260516-FULLDRAFT-002133</x:v>
      </x:c>
      <x:c r="C2149" t="str">
        <x:v>KTO001</x:v>
      </x:c>
      <x:c r="D2149"/>
      <x:c r="E2149" t="str">
        <x:v>KAT013</x:v>
      </x:c>
      <x:c r="F2149"/>
      <x:c r="G2149"/>
      <x:c r="H2149" t="str">
        <x:v>kein_match</x:v>
      </x:c>
      <x:c r="I2149" t="str">
        <x:v>Agent-Draft: keine finale Regelentscheidung</x:v>
      </x:c>
      <x:c r="J2149" t="n">
        <x:v>45446</x:v>
      </x:c>
      <x:c r="K2149"/>
      <x:c r="L2149"/>
      <x:c r="M2149" t="n">
        <x:v>-33.58</x:v>
      </x:c>
      <x:c r="N2149" t="str">
        <x:v>2024-06</x:v>
      </x:c>
      <x:c r="O2149" t="str">
        <x:v>Ausgabe</x:v>
      </x:c>
      <x:c r="P2149" t="str">
        <x:v>Ist</x:v>
      </x:c>
      <x:c r="Q2149" s="59" t="b">
        <x:v>0</x:v>
      </x:c>
      <x:c r="R2149" t="str">
        <x:v>kein_transfer</x:v>
      </x:c>
      <x:c r="S2149"/>
      <x:c r="T2149"/>
      <x:c r="U2149"/>
      <x:c r="V2149" s="59" t="b">
        <x:v>1</x:v>
      </x:c>
      <x:c r="W2149"/>
      <x:c r="X2149" t="str">
        <x:v>offen</x:v>
      </x:c>
      <x:c r="Y2149" t="str">
        <x:v>Agent-Draft; Kategorie und Person pruefen</x:v>
      </x:c>
    </x:row>
    <x:row r="2150">
      <x:c r="A2150" t="str">
        <x:v>TXN-RAW-IMP-20260516-FULLDRAFT-002134</x:v>
      </x:c>
      <x:c r="B2150" t="str">
        <x:v>RAW-IMP-20260516-FULLDRAFT-002134</x:v>
      </x:c>
      <x:c r="C2150" t="str">
        <x:v>KTO001</x:v>
      </x:c>
      <x:c r="D2150"/>
      <x:c r="E2150" t="str">
        <x:v>KAT013</x:v>
      </x:c>
      <x:c r="F2150"/>
      <x:c r="G2150"/>
      <x:c r="H2150" t="str">
        <x:v>kein_match</x:v>
      </x:c>
      <x:c r="I2150" t="str">
        <x:v>Agent-Draft: keine finale Regelentscheidung</x:v>
      </x:c>
      <x:c r="J2150" t="n">
        <x:v>45446</x:v>
      </x:c>
      <x:c r="K2150"/>
      <x:c r="L2150"/>
      <x:c r="M2150" t="n">
        <x:v>-1</x:v>
      </x:c>
      <x:c r="N2150" t="str">
        <x:v>2024-06</x:v>
      </x:c>
      <x:c r="O2150" t="str">
        <x:v>Ausgabe</x:v>
      </x:c>
      <x:c r="P2150" t="str">
        <x:v>Ist</x:v>
      </x:c>
      <x:c r="Q2150" s="59" t="b">
        <x:v>0</x:v>
      </x:c>
      <x:c r="R2150" t="str">
        <x:v>kein_transfer</x:v>
      </x:c>
      <x:c r="S2150"/>
      <x:c r="T2150"/>
      <x:c r="U2150"/>
      <x:c r="V2150" s="59" t="b">
        <x:v>1</x:v>
      </x:c>
      <x:c r="W2150"/>
      <x:c r="X2150" t="str">
        <x:v>offen</x:v>
      </x:c>
      <x:c r="Y2150" t="str">
        <x:v>Agent-Draft; Kategorie und Person pruefen</x:v>
      </x:c>
    </x:row>
    <x:row r="2151">
      <x:c r="A2151" t="str">
        <x:v>TXN-RAW-IMP-20260516-FULLDRAFT-002135</x:v>
      </x:c>
      <x:c r="B2151" t="str">
        <x:v>RAW-IMP-20260516-FULLDRAFT-002135</x:v>
      </x:c>
      <x:c r="C2151" t="str">
        <x:v>KTO001</x:v>
      </x:c>
      <x:c r="D2151"/>
      <x:c r="E2151" t="str">
        <x:v>KAT013</x:v>
      </x:c>
      <x:c r="F2151"/>
      <x:c r="G2151"/>
      <x:c r="H2151" t="str">
        <x:v>kein_match</x:v>
      </x:c>
      <x:c r="I2151" t="str">
        <x:v>Agent-Draft: keine finale Regelentscheidung</x:v>
      </x:c>
      <x:c r="J2151" t="n">
        <x:v>45446</x:v>
      </x:c>
      <x:c r="K2151"/>
      <x:c r="L2151"/>
      <x:c r="M2151" t="n">
        <x:v>-90.99</x:v>
      </x:c>
      <x:c r="N2151" t="str">
        <x:v>2024-06</x:v>
      </x:c>
      <x:c r="O2151" t="str">
        <x:v>Ausgabe</x:v>
      </x:c>
      <x:c r="P2151" t="str">
        <x:v>Ist</x:v>
      </x:c>
      <x:c r="Q2151" s="59" t="b">
        <x:v>0</x:v>
      </x:c>
      <x:c r="R2151" t="str">
        <x:v>kein_transfer</x:v>
      </x:c>
      <x:c r="S2151"/>
      <x:c r="T2151"/>
      <x:c r="U2151"/>
      <x:c r="V2151" s="59" t="b">
        <x:v>1</x:v>
      </x:c>
      <x:c r="W2151"/>
      <x:c r="X2151" t="str">
        <x:v>offen</x:v>
      </x:c>
      <x:c r="Y2151" t="str">
        <x:v>Agent-Draft; Kategorie und Person pruefen</x:v>
      </x:c>
    </x:row>
    <x:row r="2152">
      <x:c r="A2152" t="str">
        <x:v>TXN-RAW-IMP-20260516-FULLDRAFT-002136</x:v>
      </x:c>
      <x:c r="B2152" t="str">
        <x:v>RAW-IMP-20260516-FULLDRAFT-002136</x:v>
      </x:c>
      <x:c r="C2152" t="str">
        <x:v>KTO001</x:v>
      </x:c>
      <x:c r="D2152"/>
      <x:c r="E2152" t="str">
        <x:v>KAT013</x:v>
      </x:c>
      <x:c r="F2152"/>
      <x:c r="G2152"/>
      <x:c r="H2152" t="str">
        <x:v>kein_match</x:v>
      </x:c>
      <x:c r="I2152" t="str">
        <x:v>Agent-Draft: keine finale Regelentscheidung</x:v>
      </x:c>
      <x:c r="J2152" t="n">
        <x:v>45446</x:v>
      </x:c>
      <x:c r="K2152"/>
      <x:c r="L2152"/>
      <x:c r="M2152" t="n">
        <x:v>-55.8</x:v>
      </x:c>
      <x:c r="N2152" t="str">
        <x:v>2024-06</x:v>
      </x:c>
      <x:c r="O2152" t="str">
        <x:v>Ausgabe</x:v>
      </x:c>
      <x:c r="P2152" t="str">
        <x:v>Ist</x:v>
      </x:c>
      <x:c r="Q2152" s="59" t="b">
        <x:v>0</x:v>
      </x:c>
      <x:c r="R2152" t="str">
        <x:v>kein_transfer</x:v>
      </x:c>
      <x:c r="S2152"/>
      <x:c r="T2152"/>
      <x:c r="U2152"/>
      <x:c r="V2152" s="59" t="b">
        <x:v>1</x:v>
      </x:c>
      <x:c r="W2152"/>
      <x:c r="X2152" t="str">
        <x:v>offen</x:v>
      </x:c>
      <x:c r="Y2152" t="str">
        <x:v>Agent-Draft; Kategorie und Person pruefen</x:v>
      </x:c>
    </x:row>
    <x:row r="2153">
      <x:c r="A2153" t="str">
        <x:v>TXN-RAW-IMP-20260516-FULLDRAFT-002137</x:v>
      </x:c>
      <x:c r="B2153" t="str">
        <x:v>RAW-IMP-20260516-FULLDRAFT-002137</x:v>
      </x:c>
      <x:c r="C2153" t="str">
        <x:v>KTO001</x:v>
      </x:c>
      <x:c r="D2153"/>
      <x:c r="E2153" t="str">
        <x:v>KAT013</x:v>
      </x:c>
      <x:c r="F2153"/>
      <x:c r="G2153"/>
      <x:c r="H2153" t="str">
        <x:v>kein_match</x:v>
      </x:c>
      <x:c r="I2153" t="str">
        <x:v>Agent-Draft: keine finale Regelentscheidung</x:v>
      </x:c>
      <x:c r="J2153" t="n">
        <x:v>45446</x:v>
      </x:c>
      <x:c r="K2153"/>
      <x:c r="L2153"/>
      <x:c r="M2153" t="n">
        <x:v>-778.82</x:v>
      </x:c>
      <x:c r="N2153" t="str">
        <x:v>2024-06</x:v>
      </x:c>
      <x:c r="O2153" t="str">
        <x:v>Ausgabe</x:v>
      </x:c>
      <x:c r="P2153" t="str">
        <x:v>Ist</x:v>
      </x:c>
      <x:c r="Q2153" s="59" t="b">
        <x:v>0</x:v>
      </x:c>
      <x:c r="R2153" t="str">
        <x:v>kein_transfer</x:v>
      </x:c>
      <x:c r="S2153"/>
      <x:c r="T2153"/>
      <x:c r="U2153"/>
      <x:c r="V2153" s="59" t="b">
        <x:v>1</x:v>
      </x:c>
      <x:c r="W2153"/>
      <x:c r="X2153" t="str">
        <x:v>offen</x:v>
      </x:c>
      <x:c r="Y2153" t="str">
        <x:v>Agent-Draft; Kategorie und Person pruefen</x:v>
      </x:c>
    </x:row>
    <x:row r="2154">
      <x:c r="A2154" t="str">
        <x:v>TXN-RAW-IMP-20260516-FULLDRAFT-002138</x:v>
      </x:c>
      <x:c r="B2154" t="str">
        <x:v>RAW-IMP-20260516-FULLDRAFT-002138</x:v>
      </x:c>
      <x:c r="C2154" t="str">
        <x:v>KTO001</x:v>
      </x:c>
      <x:c r="D2154"/>
      <x:c r="E2154" t="str">
        <x:v>KAT013</x:v>
      </x:c>
      <x:c r="F2154"/>
      <x:c r="G2154"/>
      <x:c r="H2154" t="str">
        <x:v>kein_match</x:v>
      </x:c>
      <x:c r="I2154" t="str">
        <x:v>Agent-Draft: keine finale Regelentscheidung</x:v>
      </x:c>
      <x:c r="J2154" t="n">
        <x:v>45446</x:v>
      </x:c>
      <x:c r="K2154"/>
      <x:c r="L2154"/>
      <x:c r="M2154" t="n">
        <x:v>-24.91</x:v>
      </x:c>
      <x:c r="N2154" t="str">
        <x:v>2024-06</x:v>
      </x:c>
      <x:c r="O2154" t="str">
        <x:v>Ausgabe</x:v>
      </x:c>
      <x:c r="P2154" t="str">
        <x:v>Ist</x:v>
      </x:c>
      <x:c r="Q2154" s="59" t="b">
        <x:v>0</x:v>
      </x:c>
      <x:c r="R2154" t="str">
        <x:v>kein_transfer</x:v>
      </x:c>
      <x:c r="S2154"/>
      <x:c r="T2154"/>
      <x:c r="U2154"/>
      <x:c r="V2154" s="59" t="b">
        <x:v>1</x:v>
      </x:c>
      <x:c r="W2154"/>
      <x:c r="X2154" t="str">
        <x:v>offen</x:v>
      </x:c>
      <x:c r="Y2154" t="str">
        <x:v>Agent-Draft; Kategorie und Person pruefen</x:v>
      </x:c>
    </x:row>
    <x:row r="2155">
      <x:c r="A2155" t="str">
        <x:v>TXN-RAW-IMP-20260516-FULLDRAFT-002139</x:v>
      </x:c>
      <x:c r="B2155" t="str">
        <x:v>RAW-IMP-20260516-FULLDRAFT-002139</x:v>
      </x:c>
      <x:c r="C2155" t="str">
        <x:v>KTO001</x:v>
      </x:c>
      <x:c r="D2155"/>
      <x:c r="E2155" t="str">
        <x:v>KAT013</x:v>
      </x:c>
      <x:c r="F2155"/>
      <x:c r="G2155"/>
      <x:c r="H2155" t="str">
        <x:v>kein_match</x:v>
      </x:c>
      <x:c r="I2155" t="str">
        <x:v>Agent-Draft: keine finale Regelentscheidung</x:v>
      </x:c>
      <x:c r="J2155" t="n">
        <x:v>45446</x:v>
      </x:c>
      <x:c r="K2155"/>
      <x:c r="L2155"/>
      <x:c r="M2155" t="n">
        <x:v>-40.28</x:v>
      </x:c>
      <x:c r="N2155" t="str">
        <x:v>2024-06</x:v>
      </x:c>
      <x:c r="O2155" t="str">
        <x:v>Ausgabe</x:v>
      </x:c>
      <x:c r="P2155" t="str">
        <x:v>Ist</x:v>
      </x:c>
      <x:c r="Q2155" s="59" t="b">
        <x:v>0</x:v>
      </x:c>
      <x:c r="R2155" t="str">
        <x:v>kein_transfer</x:v>
      </x:c>
      <x:c r="S2155"/>
      <x:c r="T2155"/>
      <x:c r="U2155"/>
      <x:c r="V2155" s="59" t="b">
        <x:v>1</x:v>
      </x:c>
      <x:c r="W2155"/>
      <x:c r="X2155" t="str">
        <x:v>offen</x:v>
      </x:c>
      <x:c r="Y2155" t="str">
        <x:v>Agent-Draft; Kategorie und Person pruefen</x:v>
      </x:c>
    </x:row>
    <x:row r="2156">
      <x:c r="A2156" t="str">
        <x:v>TXN-RAW-IMP-20260516-FULLDRAFT-002140</x:v>
      </x:c>
      <x:c r="B2156" t="str">
        <x:v>RAW-IMP-20260516-FULLDRAFT-002140</x:v>
      </x:c>
      <x:c r="C2156" t="str">
        <x:v>KTO001</x:v>
      </x:c>
      <x:c r="D2156"/>
      <x:c r="E2156" t="str">
        <x:v>KAT013</x:v>
      </x:c>
      <x:c r="F2156"/>
      <x:c r="G2156"/>
      <x:c r="H2156" t="str">
        <x:v>kein_match</x:v>
      </x:c>
      <x:c r="I2156" t="str">
        <x:v>Agent-Draft: keine finale Regelentscheidung</x:v>
      </x:c>
      <x:c r="J2156" t="n">
        <x:v>45446</x:v>
      </x:c>
      <x:c r="K2156"/>
      <x:c r="L2156"/>
      <x:c r="M2156" t="n">
        <x:v>16</x:v>
      </x:c>
      <x:c r="N2156" t="str">
        <x:v>2024-06</x:v>
      </x:c>
      <x:c r="O2156" t="str">
        <x:v>Einnahme</x:v>
      </x:c>
      <x:c r="P2156" t="str">
        <x:v>Ist</x:v>
      </x:c>
      <x:c r="Q2156" s="59" t="b">
        <x:v>0</x:v>
      </x:c>
      <x:c r="R2156" t="str">
        <x:v>kein_transfer</x:v>
      </x:c>
      <x:c r="S2156"/>
      <x:c r="T2156"/>
      <x:c r="U2156"/>
      <x:c r="V2156" s="59" t="b">
        <x:v>1</x:v>
      </x:c>
      <x:c r="W2156"/>
      <x:c r="X2156" t="str">
        <x:v>offen</x:v>
      </x:c>
      <x:c r="Y2156" t="str">
        <x:v>Agent-Draft; Kategorie und Person pruefen</x:v>
      </x:c>
    </x:row>
    <x:row r="2157">
      <x:c r="A2157" t="str">
        <x:v>TXN-RAW-IMP-20260516-FULLDRAFT-002141</x:v>
      </x:c>
      <x:c r="B2157" t="str">
        <x:v>RAW-IMP-20260516-FULLDRAFT-002141</x:v>
      </x:c>
      <x:c r="C2157" t="str">
        <x:v>KTO001</x:v>
      </x:c>
      <x:c r="D2157"/>
      <x:c r="E2157" t="str">
        <x:v>KAT013</x:v>
      </x:c>
      <x:c r="F2157"/>
      <x:c r="G2157"/>
      <x:c r="H2157" t="str">
        <x:v>kein_match</x:v>
      </x:c>
      <x:c r="I2157" t="str">
        <x:v>Agent-Draft: keine finale Regelentscheidung</x:v>
      </x:c>
      <x:c r="J2157" t="n">
        <x:v>45446</x:v>
      </x:c>
      <x:c r="K2157"/>
      <x:c r="L2157"/>
      <x:c r="M2157" t="n">
        <x:v>-66.15</x:v>
      </x:c>
      <x:c r="N2157" t="str">
        <x:v>2024-06</x:v>
      </x:c>
      <x:c r="O2157" t="str">
        <x:v>Ausgabe</x:v>
      </x:c>
      <x:c r="P2157" t="str">
        <x:v>Ist</x:v>
      </x:c>
      <x:c r="Q2157" s="59" t="b">
        <x:v>0</x:v>
      </x:c>
      <x:c r="R2157" t="str">
        <x:v>kein_transfer</x:v>
      </x:c>
      <x:c r="S2157"/>
      <x:c r="T2157"/>
      <x:c r="U2157"/>
      <x:c r="V2157" s="59" t="b">
        <x:v>1</x:v>
      </x:c>
      <x:c r="W2157"/>
      <x:c r="X2157" t="str">
        <x:v>offen</x:v>
      </x:c>
      <x:c r="Y2157" t="str">
        <x:v>Agent-Draft; Kategorie und Person pruefen</x:v>
      </x:c>
    </x:row>
    <x:row r="2158">
      <x:c r="A2158" t="str">
        <x:v>TXN-RAW-IMP-20260516-FULLDRAFT-002142</x:v>
      </x:c>
      <x:c r="B2158" t="str">
        <x:v>RAW-IMP-20260516-FULLDRAFT-002142</x:v>
      </x:c>
      <x:c r="C2158" t="str">
        <x:v>KTO001</x:v>
      </x:c>
      <x:c r="D2158"/>
      <x:c r="E2158" t="str">
        <x:v>KAT013</x:v>
      </x:c>
      <x:c r="F2158"/>
      <x:c r="G2158"/>
      <x:c r="H2158" t="str">
        <x:v>kein_match</x:v>
      </x:c>
      <x:c r="I2158" t="str">
        <x:v>Agent-Draft: keine finale Regelentscheidung</x:v>
      </x:c>
      <x:c r="J2158" t="n">
        <x:v>45446</x:v>
      </x:c>
      <x:c r="K2158"/>
      <x:c r="L2158"/>
      <x:c r="M2158" t="n">
        <x:v>-452.71</x:v>
      </x:c>
      <x:c r="N2158" t="str">
        <x:v>2024-06</x:v>
      </x:c>
      <x:c r="O2158" t="str">
        <x:v>Ausgabe</x:v>
      </x:c>
      <x:c r="P2158" t="str">
        <x:v>Ist</x:v>
      </x:c>
      <x:c r="Q2158" s="59" t="b">
        <x:v>0</x:v>
      </x:c>
      <x:c r="R2158" t="str">
        <x:v>kein_transfer</x:v>
      </x:c>
      <x:c r="S2158"/>
      <x:c r="T2158"/>
      <x:c r="U2158"/>
      <x:c r="V2158" s="59" t="b">
        <x:v>1</x:v>
      </x:c>
      <x:c r="W2158"/>
      <x:c r="X2158" t="str">
        <x:v>offen</x:v>
      </x:c>
      <x:c r="Y2158" t="str">
        <x:v>Agent-Draft; Kategorie und Person pruefen</x:v>
      </x:c>
    </x:row>
    <x:row r="2159">
      <x:c r="A2159" t="str">
        <x:v>TXN-RAW-IMP-20260516-FULLDRAFT-002143</x:v>
      </x:c>
      <x:c r="B2159" t="str">
        <x:v>RAW-IMP-20260516-FULLDRAFT-002143</x:v>
      </x:c>
      <x:c r="C2159" t="str">
        <x:v>KTO001</x:v>
      </x:c>
      <x:c r="D2159"/>
      <x:c r="E2159" t="str">
        <x:v>KAT013</x:v>
      </x:c>
      <x:c r="F2159"/>
      <x:c r="G2159"/>
      <x:c r="H2159" t="str">
        <x:v>kein_match</x:v>
      </x:c>
      <x:c r="I2159" t="str">
        <x:v>Agent-Draft: keine finale Regelentscheidung</x:v>
      </x:c>
      <x:c r="J2159" t="n">
        <x:v>45446</x:v>
      </x:c>
      <x:c r="K2159"/>
      <x:c r="L2159"/>
      <x:c r="M2159" t="n">
        <x:v>-97.12</x:v>
      </x:c>
      <x:c r="N2159" t="str">
        <x:v>2024-06</x:v>
      </x:c>
      <x:c r="O2159" t="str">
        <x:v>Ausgabe</x:v>
      </x:c>
      <x:c r="P2159" t="str">
        <x:v>Ist</x:v>
      </x:c>
      <x:c r="Q2159" s="59" t="b">
        <x:v>0</x:v>
      </x:c>
      <x:c r="R2159" t="str">
        <x:v>kein_transfer</x:v>
      </x:c>
      <x:c r="S2159"/>
      <x:c r="T2159"/>
      <x:c r="U2159"/>
      <x:c r="V2159" s="59" t="b">
        <x:v>1</x:v>
      </x:c>
      <x:c r="W2159"/>
      <x:c r="X2159" t="str">
        <x:v>offen</x:v>
      </x:c>
      <x:c r="Y2159" t="str">
        <x:v>Agent-Draft; Kategorie und Person pruefen</x:v>
      </x:c>
    </x:row>
    <x:row r="2160">
      <x:c r="A2160" t="str">
        <x:v>TXN-RAW-IMP-20260516-FULLDRAFT-002144</x:v>
      </x:c>
      <x:c r="B2160" t="str">
        <x:v>RAW-IMP-20260516-FULLDRAFT-002144</x:v>
      </x:c>
      <x:c r="C2160" t="str">
        <x:v>KTO001</x:v>
      </x:c>
      <x:c r="D2160"/>
      <x:c r="E2160" t="str">
        <x:v>KAT013</x:v>
      </x:c>
      <x:c r="F2160"/>
      <x:c r="G2160"/>
      <x:c r="H2160" t="str">
        <x:v>kein_match</x:v>
      </x:c>
      <x:c r="I2160" t="str">
        <x:v>Agent-Draft: keine finale Regelentscheidung</x:v>
      </x:c>
      <x:c r="J2160" t="n">
        <x:v>45446</x:v>
      </x:c>
      <x:c r="K2160"/>
      <x:c r="L2160"/>
      <x:c r="M2160" t="n">
        <x:v>-141.13</x:v>
      </x:c>
      <x:c r="N2160" t="str">
        <x:v>2024-06</x:v>
      </x:c>
      <x:c r="O2160" t="str">
        <x:v>Ausgabe</x:v>
      </x:c>
      <x:c r="P2160" t="str">
        <x:v>Ist</x:v>
      </x:c>
      <x:c r="Q2160" s="59" t="b">
        <x:v>0</x:v>
      </x:c>
      <x:c r="R2160" t="str">
        <x:v>kein_transfer</x:v>
      </x:c>
      <x:c r="S2160"/>
      <x:c r="T2160"/>
      <x:c r="U2160"/>
      <x:c r="V2160" s="59" t="b">
        <x:v>1</x:v>
      </x:c>
      <x:c r="W2160"/>
      <x:c r="X2160" t="str">
        <x:v>offen</x:v>
      </x:c>
      <x:c r="Y2160" t="str">
        <x:v>Agent-Draft; Kategorie und Person pruefen</x:v>
      </x:c>
    </x:row>
    <x:row r="2161">
      <x:c r="A2161" t="str">
        <x:v>TXN-RAW-IMP-20260516-FULLDRAFT-002145</x:v>
      </x:c>
      <x:c r="B2161" t="str">
        <x:v>RAW-IMP-20260516-FULLDRAFT-002145</x:v>
      </x:c>
      <x:c r="C2161" t="str">
        <x:v>KTO001</x:v>
      </x:c>
      <x:c r="D2161"/>
      <x:c r="E2161" t="str">
        <x:v>KAT013</x:v>
      </x:c>
      <x:c r="F2161"/>
      <x:c r="G2161"/>
      <x:c r="H2161" t="str">
        <x:v>kein_match</x:v>
      </x:c>
      <x:c r="I2161" t="str">
        <x:v>Agent-Draft: keine finale Regelentscheidung</x:v>
      </x:c>
      <x:c r="J2161" t="n">
        <x:v>45446</x:v>
      </x:c>
      <x:c r="K2161"/>
      <x:c r="L2161"/>
      <x:c r="M2161" t="n">
        <x:v>-49</x:v>
      </x:c>
      <x:c r="N2161" t="str">
        <x:v>2024-06</x:v>
      </x:c>
      <x:c r="O2161" t="str">
        <x:v>Ausgabe</x:v>
      </x:c>
      <x:c r="P2161" t="str">
        <x:v>Ist</x:v>
      </x:c>
      <x:c r="Q2161" s="59" t="b">
        <x:v>0</x:v>
      </x:c>
      <x:c r="R2161" t="str">
        <x:v>kein_transfer</x:v>
      </x:c>
      <x:c r="S2161"/>
      <x:c r="T2161"/>
      <x:c r="U2161"/>
      <x:c r="V2161" s="59" t="b">
        <x:v>1</x:v>
      </x:c>
      <x:c r="W2161"/>
      <x:c r="X2161" t="str">
        <x:v>offen</x:v>
      </x:c>
      <x:c r="Y2161" t="str">
        <x:v>Agent-Draft; Kategorie und Person pruefen</x:v>
      </x:c>
    </x:row>
    <x:row r="2162">
      <x:c r="A2162" t="str">
        <x:v>TXN-RAW-IMP-20260516-FULLDRAFT-002146</x:v>
      </x:c>
      <x:c r="B2162" t="str">
        <x:v>RAW-IMP-20260516-FULLDRAFT-002146</x:v>
      </x:c>
      <x:c r="C2162" t="str">
        <x:v>KTO001</x:v>
      </x:c>
      <x:c r="D2162"/>
      <x:c r="E2162" t="str">
        <x:v>KAT013</x:v>
      </x:c>
      <x:c r="F2162"/>
      <x:c r="G2162"/>
      <x:c r="H2162" t="str">
        <x:v>kein_match</x:v>
      </x:c>
      <x:c r="I2162" t="str">
        <x:v>Agent-Draft: keine finale Regelentscheidung</x:v>
      </x:c>
      <x:c r="J2162" t="n">
        <x:v>45446</x:v>
      </x:c>
      <x:c r="K2162"/>
      <x:c r="L2162"/>
      <x:c r="M2162" t="n">
        <x:v>-1800</x:v>
      </x:c>
      <x:c r="N2162" t="str">
        <x:v>2024-06</x:v>
      </x:c>
      <x:c r="O2162" t="str">
        <x:v>Ausgabe</x:v>
      </x:c>
      <x:c r="P2162" t="str">
        <x:v>Ist</x:v>
      </x:c>
      <x:c r="Q2162" s="59" t="b">
        <x:v>0</x:v>
      </x:c>
      <x:c r="R2162" t="str">
        <x:v>kein_transfer</x:v>
      </x:c>
      <x:c r="S2162"/>
      <x:c r="T2162"/>
      <x:c r="U2162"/>
      <x:c r="V2162" s="59" t="b">
        <x:v>1</x:v>
      </x:c>
      <x:c r="W2162"/>
      <x:c r="X2162" t="str">
        <x:v>offen</x:v>
      </x:c>
      <x:c r="Y2162" t="str">
        <x:v>Agent-Draft; Kategorie und Person pruefen</x:v>
      </x:c>
    </x:row>
    <x:row r="2163">
      <x:c r="A2163" t="str">
        <x:v>TXN-RAW-IMP-20260516-FULLDRAFT-002147</x:v>
      </x:c>
      <x:c r="B2163" t="str">
        <x:v>RAW-IMP-20260516-FULLDRAFT-002147</x:v>
      </x:c>
      <x:c r="C2163" t="str">
        <x:v>KTO001</x:v>
      </x:c>
      <x:c r="D2163"/>
      <x:c r="E2163" t="str">
        <x:v>KAT013</x:v>
      </x:c>
      <x:c r="F2163"/>
      <x:c r="G2163"/>
      <x:c r="H2163" t="str">
        <x:v>kein_match</x:v>
      </x:c>
      <x:c r="I2163" t="str">
        <x:v>Agent-Draft: keine finale Regelentscheidung</x:v>
      </x:c>
      <x:c r="J2163" t="n">
        <x:v>45446</x:v>
      </x:c>
      <x:c r="K2163"/>
      <x:c r="L2163"/>
      <x:c r="M2163" t="n">
        <x:v>-1400</x:v>
      </x:c>
      <x:c r="N2163" t="str">
        <x:v>2024-06</x:v>
      </x:c>
      <x:c r="O2163" t="str">
        <x:v>Ausgabe</x:v>
      </x:c>
      <x:c r="P2163" t="str">
        <x:v>Ist</x:v>
      </x:c>
      <x:c r="Q2163" s="59" t="b">
        <x:v>0</x:v>
      </x:c>
      <x:c r="R2163" t="str">
        <x:v>kein_transfer</x:v>
      </x:c>
      <x:c r="S2163"/>
      <x:c r="T2163"/>
      <x:c r="U2163"/>
      <x:c r="V2163" s="59" t="b">
        <x:v>1</x:v>
      </x:c>
      <x:c r="W2163"/>
      <x:c r="X2163" t="str">
        <x:v>offen</x:v>
      </x:c>
      <x:c r="Y2163" t="str">
        <x:v>Agent-Draft; Kategorie und Person pruefen</x:v>
      </x:c>
    </x:row>
    <x:row r="2164">
      <x:c r="A2164" t="str">
        <x:v>TXN-RAW-IMP-20260516-FULLDRAFT-002148</x:v>
      </x:c>
      <x:c r="B2164" t="str">
        <x:v>RAW-IMP-20260516-FULLDRAFT-002148</x:v>
      </x:c>
      <x:c r="C2164" t="str">
        <x:v>KTO001</x:v>
      </x:c>
      <x:c r="D2164"/>
      <x:c r="E2164" t="str">
        <x:v>KAT013</x:v>
      </x:c>
      <x:c r="F2164"/>
      <x:c r="G2164"/>
      <x:c r="H2164" t="str">
        <x:v>kein_match</x:v>
      </x:c>
      <x:c r="I2164" t="str">
        <x:v>Agent-Draft: keine finale Regelentscheidung</x:v>
      </x:c>
      <x:c r="J2164" t="n">
        <x:v>45443</x:v>
      </x:c>
      <x:c r="K2164"/>
      <x:c r="L2164"/>
      <x:c r="M2164" t="n">
        <x:v>-2.5</x:v>
      </x:c>
      <x:c r="N2164" t="str">
        <x:v>2024-05</x:v>
      </x:c>
      <x:c r="O2164" t="str">
        <x:v>Ausgabe</x:v>
      </x:c>
      <x:c r="P2164" t="str">
        <x:v>Ist</x:v>
      </x:c>
      <x:c r="Q2164" s="59" t="b">
        <x:v>0</x:v>
      </x:c>
      <x:c r="R2164" t="str">
        <x:v>kein_transfer</x:v>
      </x:c>
      <x:c r="S2164"/>
      <x:c r="T2164"/>
      <x:c r="U2164"/>
      <x:c r="V2164" s="59" t="b">
        <x:v>1</x:v>
      </x:c>
      <x:c r="W2164"/>
      <x:c r="X2164" t="str">
        <x:v>offen</x:v>
      </x:c>
      <x:c r="Y2164" t="str">
        <x:v>Agent-Draft; Kategorie und Person pruefen</x:v>
      </x:c>
    </x:row>
    <x:row r="2165">
      <x:c r="A2165" t="str">
        <x:v>TXN-RAW-IMP-20260516-FULLDRAFT-002149</x:v>
      </x:c>
      <x:c r="B2165" t="str">
        <x:v>RAW-IMP-20260516-FULLDRAFT-002149</x:v>
      </x:c>
      <x:c r="C2165" t="str">
        <x:v>KTO001</x:v>
      </x:c>
      <x:c r="D2165"/>
      <x:c r="E2165" t="str">
        <x:v>KAT013</x:v>
      </x:c>
      <x:c r="F2165"/>
      <x:c r="G2165"/>
      <x:c r="H2165" t="str">
        <x:v>kein_match</x:v>
      </x:c>
      <x:c r="I2165" t="str">
        <x:v>Agent-Draft: keine finale Regelentscheidung</x:v>
      </x:c>
      <x:c r="J2165" t="n">
        <x:v>45443</x:v>
      </x:c>
      <x:c r="K2165"/>
      <x:c r="L2165"/>
      <x:c r="M2165" t="n">
        <x:v>-19.47</x:v>
      </x:c>
      <x:c r="N2165" t="str">
        <x:v>2024-05</x:v>
      </x:c>
      <x:c r="O2165" t="str">
        <x:v>Ausgabe</x:v>
      </x:c>
      <x:c r="P2165" t="str">
        <x:v>Ist</x:v>
      </x:c>
      <x:c r="Q2165" s="59" t="b">
        <x:v>0</x:v>
      </x:c>
      <x:c r="R2165" t="str">
        <x:v>kein_transfer</x:v>
      </x:c>
      <x:c r="S2165"/>
      <x:c r="T2165"/>
      <x:c r="U2165"/>
      <x:c r="V2165" s="59" t="b">
        <x:v>1</x:v>
      </x:c>
      <x:c r="W2165"/>
      <x:c r="X2165" t="str">
        <x:v>offen</x:v>
      </x:c>
      <x:c r="Y2165" t="str">
        <x:v>Agent-Draft; Kategorie und Person pruefen</x:v>
      </x:c>
    </x:row>
    <x:row r="2166">
      <x:c r="A2166" t="str">
        <x:v>TXN-RAW-IMP-20260516-FULLDRAFT-002150</x:v>
      </x:c>
      <x:c r="B2166" t="str">
        <x:v>RAW-IMP-20260516-FULLDRAFT-002150</x:v>
      </x:c>
      <x:c r="C2166" t="str">
        <x:v>KTO001</x:v>
      </x:c>
      <x:c r="D2166"/>
      <x:c r="E2166" t="str">
        <x:v>KAT013</x:v>
      </x:c>
      <x:c r="F2166"/>
      <x:c r="G2166"/>
      <x:c r="H2166" t="str">
        <x:v>kein_match</x:v>
      </x:c>
      <x:c r="I2166" t="str">
        <x:v>Agent-Draft: keine finale Regelentscheidung</x:v>
      </x:c>
      <x:c r="J2166" t="n">
        <x:v>45443</x:v>
      </x:c>
      <x:c r="K2166"/>
      <x:c r="L2166"/>
      <x:c r="M2166" t="n">
        <x:v>-422</x:v>
      </x:c>
      <x:c r="N2166" t="str">
        <x:v>2024-05</x:v>
      </x:c>
      <x:c r="O2166" t="str">
        <x:v>Ausgabe</x:v>
      </x:c>
      <x:c r="P2166" t="str">
        <x:v>Ist</x:v>
      </x:c>
      <x:c r="Q2166" s="59" t="b">
        <x:v>0</x:v>
      </x:c>
      <x:c r="R2166" t="str">
        <x:v>kein_transfer</x:v>
      </x:c>
      <x:c r="S2166"/>
      <x:c r="T2166"/>
      <x:c r="U2166"/>
      <x:c r="V2166" s="59" t="b">
        <x:v>1</x:v>
      </x:c>
      <x:c r="W2166"/>
      <x:c r="X2166" t="str">
        <x:v>offen</x:v>
      </x:c>
      <x:c r="Y2166" t="str">
        <x:v>Agent-Draft; Kategorie und Person pruefen</x:v>
      </x:c>
    </x:row>
    <x:row r="2167">
      <x:c r="A2167" t="str">
        <x:v>TXN-RAW-IMP-20260516-FULLDRAFT-002151</x:v>
      </x:c>
      <x:c r="B2167" t="str">
        <x:v>RAW-IMP-20260516-FULLDRAFT-002151</x:v>
      </x:c>
      <x:c r="C2167" t="str">
        <x:v>KTO001</x:v>
      </x:c>
      <x:c r="D2167"/>
      <x:c r="E2167" t="str">
        <x:v>KAT013</x:v>
      </x:c>
      <x:c r="F2167"/>
      <x:c r="G2167"/>
      <x:c r="H2167" t="str">
        <x:v>kein_match</x:v>
      </x:c>
      <x:c r="I2167" t="str">
        <x:v>Agent-Draft: keine finale Regelentscheidung</x:v>
      </x:c>
      <x:c r="J2167" t="n">
        <x:v>45443</x:v>
      </x:c>
      <x:c r="K2167"/>
      <x:c r="L2167"/>
      <x:c r="M2167" t="n">
        <x:v>-1153.94</x:v>
      </x:c>
      <x:c r="N2167" t="str">
        <x:v>2024-05</x:v>
      </x:c>
      <x:c r="O2167" t="str">
        <x:v>Ausgabe</x:v>
      </x:c>
      <x:c r="P2167" t="str">
        <x:v>Ist</x:v>
      </x:c>
      <x:c r="Q2167" s="59" t="b">
        <x:v>0</x:v>
      </x:c>
      <x:c r="R2167" t="str">
        <x:v>kein_transfer</x:v>
      </x:c>
      <x:c r="S2167"/>
      <x:c r="T2167"/>
      <x:c r="U2167"/>
      <x:c r="V2167" s="59" t="b">
        <x:v>1</x:v>
      </x:c>
      <x:c r="W2167"/>
      <x:c r="X2167" t="str">
        <x:v>offen</x:v>
      </x:c>
      <x:c r="Y2167" t="str">
        <x:v>Agent-Draft; Kategorie und Person pruefen</x:v>
      </x:c>
    </x:row>
    <x:row r="2168">
      <x:c r="A2168" t="str">
        <x:v>TXN-RAW-IMP-20260516-FULLDRAFT-002152</x:v>
      </x:c>
      <x:c r="B2168" t="str">
        <x:v>RAW-IMP-20260516-FULLDRAFT-002152</x:v>
      </x:c>
      <x:c r="C2168" t="str">
        <x:v>KTO001</x:v>
      </x:c>
      <x:c r="D2168"/>
      <x:c r="E2168" t="str">
        <x:v>KAT013</x:v>
      </x:c>
      <x:c r="F2168"/>
      <x:c r="G2168"/>
      <x:c r="H2168" t="str">
        <x:v>kein_match</x:v>
      </x:c>
      <x:c r="I2168" t="str">
        <x:v>Agent-Draft: keine finale Regelentscheidung</x:v>
      </x:c>
      <x:c r="J2168" t="n">
        <x:v>45442</x:v>
      </x:c>
      <x:c r="K2168"/>
      <x:c r="L2168"/>
      <x:c r="M2168" t="n">
        <x:v>-23000</x:v>
      </x:c>
      <x:c r="N2168" t="str">
        <x:v>2024-05</x:v>
      </x:c>
      <x:c r="O2168" t="str">
        <x:v>Ausgabe</x:v>
      </x:c>
      <x:c r="P2168" t="str">
        <x:v>Ist</x:v>
      </x:c>
      <x:c r="Q2168" s="59" t="b">
        <x:v>0</x:v>
      </x:c>
      <x:c r="R2168" t="str">
        <x:v>unklar</x:v>
      </x:c>
      <x:c r="S2168"/>
      <x:c r="T2168"/>
      <x:c r="U2168"/>
      <x:c r="V2168" s="59" t="b">
        <x:v>1</x:v>
      </x:c>
      <x:c r="W2168" t="str">
        <x:v>Transferkandidat im Draft</x:v>
      </x:c>
      <x:c r="X2168" t="str">
        <x:v>offen</x:v>
      </x:c>
      <x:c r="Y2168" t="str">
        <x:v>Agent-Draft; Kategorie und Person pruefen</x:v>
      </x:c>
    </x:row>
    <x:row r="2169">
      <x:c r="A2169" t="str">
        <x:v>TXN-RAW-IMP-20260516-FULLDRAFT-002153</x:v>
      </x:c>
      <x:c r="B2169" t="str">
        <x:v>RAW-IMP-20260516-FULLDRAFT-002153</x:v>
      </x:c>
      <x:c r="C2169" t="str">
        <x:v>KTO001</x:v>
      </x:c>
      <x:c r="D2169"/>
      <x:c r="E2169" t="str">
        <x:v>KAT013</x:v>
      </x:c>
      <x:c r="F2169"/>
      <x:c r="G2169"/>
      <x:c r="H2169" t="str">
        <x:v>kein_match</x:v>
      </x:c>
      <x:c r="I2169" t="str">
        <x:v>Agent-Draft: keine finale Regelentscheidung</x:v>
      </x:c>
      <x:c r="J2169" t="n">
        <x:v>45442</x:v>
      </x:c>
      <x:c r="K2169"/>
      <x:c r="L2169"/>
      <x:c r="M2169" t="n">
        <x:v>-7000</x:v>
      </x:c>
      <x:c r="N2169" t="str">
        <x:v>2024-05</x:v>
      </x:c>
      <x:c r="O2169" t="str">
        <x:v>Ausgabe</x:v>
      </x:c>
      <x:c r="P2169" t="str">
        <x:v>Ist</x:v>
      </x:c>
      <x:c r="Q2169" s="59" t="b">
        <x:v>0</x:v>
      </x:c>
      <x:c r="R2169" t="str">
        <x:v>kein_transfer</x:v>
      </x:c>
      <x:c r="S2169"/>
      <x:c r="T2169"/>
      <x:c r="U2169"/>
      <x:c r="V2169" s="59" t="b">
        <x:v>1</x:v>
      </x:c>
      <x:c r="W2169"/>
      <x:c r="X2169" t="str">
        <x:v>offen</x:v>
      </x:c>
      <x:c r="Y2169" t="str">
        <x:v>Agent-Draft; Kategorie und Person pruefen</x:v>
      </x:c>
    </x:row>
    <x:row r="2170">
      <x:c r="A2170" t="str">
        <x:v>TXN-RAW-IMP-20260516-FULLDRAFT-002154</x:v>
      </x:c>
      <x:c r="B2170" t="str">
        <x:v>RAW-IMP-20260516-FULLDRAFT-002154</x:v>
      </x:c>
      <x:c r="C2170" t="str">
        <x:v>KTO001</x:v>
      </x:c>
      <x:c r="D2170"/>
      <x:c r="E2170" t="str">
        <x:v>KAT013</x:v>
      </x:c>
      <x:c r="F2170"/>
      <x:c r="G2170"/>
      <x:c r="H2170" t="str">
        <x:v>kein_match</x:v>
      </x:c>
      <x:c r="I2170" t="str">
        <x:v>Agent-Draft: keine finale Regelentscheidung</x:v>
      </x:c>
      <x:c r="J2170" t="n">
        <x:v>45442</x:v>
      </x:c>
      <x:c r="K2170"/>
      <x:c r="L2170"/>
      <x:c r="M2170" t="n">
        <x:v>-14.45</x:v>
      </x:c>
      <x:c r="N2170" t="str">
        <x:v>2024-05</x:v>
      </x:c>
      <x:c r="O2170" t="str">
        <x:v>Ausgabe</x:v>
      </x:c>
      <x:c r="P2170" t="str">
        <x:v>Ist</x:v>
      </x:c>
      <x:c r="Q2170" s="59" t="b">
        <x:v>0</x:v>
      </x:c>
      <x:c r="R2170" t="str">
        <x:v>kein_transfer</x:v>
      </x:c>
      <x:c r="S2170"/>
      <x:c r="T2170"/>
      <x:c r="U2170"/>
      <x:c r="V2170" s="59" t="b">
        <x:v>1</x:v>
      </x:c>
      <x:c r="W2170"/>
      <x:c r="X2170" t="str">
        <x:v>offen</x:v>
      </x:c>
      <x:c r="Y2170" t="str">
        <x:v>Agent-Draft; Kategorie und Person pruefen</x:v>
      </x:c>
    </x:row>
    <x:row r="2171">
      <x:c r="A2171" t="str">
        <x:v>TXN-RAW-IMP-20260516-FULLDRAFT-002155</x:v>
      </x:c>
      <x:c r="B2171" t="str">
        <x:v>RAW-IMP-20260516-FULLDRAFT-002155</x:v>
      </x:c>
      <x:c r="C2171" t="str">
        <x:v>KTO001</x:v>
      </x:c>
      <x:c r="D2171"/>
      <x:c r="E2171" t="str">
        <x:v>KAT013</x:v>
      </x:c>
      <x:c r="F2171"/>
      <x:c r="G2171"/>
      <x:c r="H2171" t="str">
        <x:v>kein_match</x:v>
      </x:c>
      <x:c r="I2171" t="str">
        <x:v>Agent-Draft: keine finale Regelentscheidung</x:v>
      </x:c>
      <x:c r="J2171" t="n">
        <x:v>45442</x:v>
      </x:c>
      <x:c r="K2171"/>
      <x:c r="L2171"/>
      <x:c r="M2171" t="n">
        <x:v>-3.5</x:v>
      </x:c>
      <x:c r="N2171" t="str">
        <x:v>2024-05</x:v>
      </x:c>
      <x:c r="O2171" t="str">
        <x:v>Ausgabe</x:v>
      </x:c>
      <x:c r="P2171" t="str">
        <x:v>Ist</x:v>
      </x:c>
      <x:c r="Q2171" s="59" t="b">
        <x:v>0</x:v>
      </x:c>
      <x:c r="R2171" t="str">
        <x:v>kein_transfer</x:v>
      </x:c>
      <x:c r="S2171"/>
      <x:c r="T2171"/>
      <x:c r="U2171"/>
      <x:c r="V2171" s="59" t="b">
        <x:v>1</x:v>
      </x:c>
      <x:c r="W2171"/>
      <x:c r="X2171" t="str">
        <x:v>offen</x:v>
      </x:c>
      <x:c r="Y2171" t="str">
        <x:v>Agent-Draft; Kategorie und Person pruefen</x:v>
      </x:c>
    </x:row>
    <x:row r="2172">
      <x:c r="A2172" t="str">
        <x:v>TXN-RAW-IMP-20260516-FULLDRAFT-002156</x:v>
      </x:c>
      <x:c r="B2172" t="str">
        <x:v>RAW-IMP-20260516-FULLDRAFT-002156</x:v>
      </x:c>
      <x:c r="C2172" t="str">
        <x:v>KTO001</x:v>
      </x:c>
      <x:c r="D2172"/>
      <x:c r="E2172" t="str">
        <x:v>KAT013</x:v>
      </x:c>
      <x:c r="F2172"/>
      <x:c r="G2172"/>
      <x:c r="H2172" t="str">
        <x:v>kein_match</x:v>
      </x:c>
      <x:c r="I2172" t="str">
        <x:v>Agent-Draft: keine finale Regelentscheidung</x:v>
      </x:c>
      <x:c r="J2172" t="n">
        <x:v>45442</x:v>
      </x:c>
      <x:c r="K2172"/>
      <x:c r="L2172"/>
      <x:c r="M2172" t="n">
        <x:v>-3.15</x:v>
      </x:c>
      <x:c r="N2172" t="str">
        <x:v>2024-05</x:v>
      </x:c>
      <x:c r="O2172" t="str">
        <x:v>Ausgabe</x:v>
      </x:c>
      <x:c r="P2172" t="str">
        <x:v>Ist</x:v>
      </x:c>
      <x:c r="Q2172" s="59" t="b">
        <x:v>0</x:v>
      </x:c>
      <x:c r="R2172" t="str">
        <x:v>kein_transfer</x:v>
      </x:c>
      <x:c r="S2172"/>
      <x:c r="T2172"/>
      <x:c r="U2172"/>
      <x:c r="V2172" s="59" t="b">
        <x:v>1</x:v>
      </x:c>
      <x:c r="W2172"/>
      <x:c r="X2172" t="str">
        <x:v>offen</x:v>
      </x:c>
      <x:c r="Y2172" t="str">
        <x:v>Agent-Draft; Kategorie und Person pruefen</x:v>
      </x:c>
    </x:row>
    <x:row r="2173">
      <x:c r="A2173" t="str">
        <x:v>TXN-RAW-IMP-20260516-FULLDRAFT-002157</x:v>
      </x:c>
      <x:c r="B2173" t="str">
        <x:v>RAW-IMP-20260516-FULLDRAFT-002157</x:v>
      </x:c>
      <x:c r="C2173" t="str">
        <x:v>KTO001</x:v>
      </x:c>
      <x:c r="D2173"/>
      <x:c r="E2173" t="str">
        <x:v>KAT013</x:v>
      </x:c>
      <x:c r="F2173"/>
      <x:c r="G2173"/>
      <x:c r="H2173" t="str">
        <x:v>kein_match</x:v>
      </x:c>
      <x:c r="I2173" t="str">
        <x:v>Agent-Draft: keine finale Regelentscheidung</x:v>
      </x:c>
      <x:c r="J2173" t="n">
        <x:v>45442</x:v>
      </x:c>
      <x:c r="K2173"/>
      <x:c r="L2173"/>
      <x:c r="M2173" t="n">
        <x:v>-1.49</x:v>
      </x:c>
      <x:c r="N2173" t="str">
        <x:v>2024-05</x:v>
      </x:c>
      <x:c r="O2173" t="str">
        <x:v>Ausgabe</x:v>
      </x:c>
      <x:c r="P2173" t="str">
        <x:v>Ist</x:v>
      </x:c>
      <x:c r="Q2173" s="59" t="b">
        <x:v>0</x:v>
      </x:c>
      <x:c r="R2173" t="str">
        <x:v>kein_transfer</x:v>
      </x:c>
      <x:c r="S2173"/>
      <x:c r="T2173"/>
      <x:c r="U2173"/>
      <x:c r="V2173" s="59" t="b">
        <x:v>1</x:v>
      </x:c>
      <x:c r="W2173"/>
      <x:c r="X2173" t="str">
        <x:v>offen</x:v>
      </x:c>
      <x:c r="Y2173" t="str">
        <x:v>Agent-Draft; Kategorie und Person pruefen</x:v>
      </x:c>
    </x:row>
    <x:row r="2174">
      <x:c r="A2174" t="str">
        <x:v>TXN-RAW-IMP-20260516-FULLDRAFT-002158</x:v>
      </x:c>
      <x:c r="B2174" t="str">
        <x:v>RAW-IMP-20260516-FULLDRAFT-002158</x:v>
      </x:c>
      <x:c r="C2174" t="str">
        <x:v>KTO001</x:v>
      </x:c>
      <x:c r="D2174"/>
      <x:c r="E2174" t="str">
        <x:v>KAT013</x:v>
      </x:c>
      <x:c r="F2174"/>
      <x:c r="G2174"/>
      <x:c r="H2174" t="str">
        <x:v>kein_match</x:v>
      </x:c>
      <x:c r="I2174" t="str">
        <x:v>Agent-Draft: keine finale Regelentscheidung</x:v>
      </x:c>
      <x:c r="J2174" t="n">
        <x:v>45441</x:v>
      </x:c>
      <x:c r="K2174"/>
      <x:c r="L2174"/>
      <x:c r="M2174" t="n">
        <x:v>45881.3</x:v>
      </x:c>
      <x:c r="N2174" t="str">
        <x:v>2024-05</x:v>
      </x:c>
      <x:c r="O2174" t="str">
        <x:v>Einnahme</x:v>
      </x:c>
      <x:c r="P2174" t="str">
        <x:v>Ist</x:v>
      </x:c>
      <x:c r="Q2174" s="59" t="b">
        <x:v>0</x:v>
      </x:c>
      <x:c r="R2174" t="str">
        <x:v>kein_transfer</x:v>
      </x:c>
      <x:c r="S2174"/>
      <x:c r="T2174"/>
      <x:c r="U2174"/>
      <x:c r="V2174" s="59" t="b">
        <x:v>1</x:v>
      </x:c>
      <x:c r="W2174"/>
      <x:c r="X2174" t="str">
        <x:v>offen</x:v>
      </x:c>
      <x:c r="Y2174" t="str">
        <x:v>Agent-Draft; Kategorie und Person pruefen</x:v>
      </x:c>
    </x:row>
    <x:row r="2175">
      <x:c r="A2175" t="str">
        <x:v>TXN-RAW-IMP-20260516-FULLDRAFT-002159</x:v>
      </x:c>
      <x:c r="B2175" t="str">
        <x:v>RAW-IMP-20260516-FULLDRAFT-002159</x:v>
      </x:c>
      <x:c r="C2175" t="str">
        <x:v>KTO001</x:v>
      </x:c>
      <x:c r="D2175"/>
      <x:c r="E2175" t="str">
        <x:v>KAT013</x:v>
      </x:c>
      <x:c r="F2175"/>
      <x:c r="G2175"/>
      <x:c r="H2175" t="str">
        <x:v>kein_match</x:v>
      </x:c>
      <x:c r="I2175" t="str">
        <x:v>Agent-Draft: keine finale Regelentscheidung</x:v>
      </x:c>
      <x:c r="J2175" t="n">
        <x:v>45441</x:v>
      </x:c>
      <x:c r="K2175"/>
      <x:c r="L2175"/>
      <x:c r="M2175" t="n">
        <x:v>-12.95</x:v>
      </x:c>
      <x:c r="N2175" t="str">
        <x:v>2024-05</x:v>
      </x:c>
      <x:c r="O2175" t="str">
        <x:v>Ausgabe</x:v>
      </x:c>
      <x:c r="P2175" t="str">
        <x:v>Ist</x:v>
      </x:c>
      <x:c r="Q2175" s="59" t="b">
        <x:v>0</x:v>
      </x:c>
      <x:c r="R2175" t="str">
        <x:v>kein_transfer</x:v>
      </x:c>
      <x:c r="S2175"/>
      <x:c r="T2175"/>
      <x:c r="U2175"/>
      <x:c r="V2175" s="59" t="b">
        <x:v>1</x:v>
      </x:c>
      <x:c r="W2175"/>
      <x:c r="X2175" t="str">
        <x:v>offen</x:v>
      </x:c>
      <x:c r="Y2175" t="str">
        <x:v>Agent-Draft; Kategorie und Person pruefen</x:v>
      </x:c>
    </x:row>
    <x:row r="2176">
      <x:c r="A2176" t="str">
        <x:v>TXN-RAW-IMP-20260516-FULLDRAFT-002160</x:v>
      </x:c>
      <x:c r="B2176" t="str">
        <x:v>RAW-IMP-20260516-FULLDRAFT-002160</x:v>
      </x:c>
      <x:c r="C2176" t="str">
        <x:v>KTO001</x:v>
      </x:c>
      <x:c r="D2176"/>
      <x:c r="E2176" t="str">
        <x:v>KAT013</x:v>
      </x:c>
      <x:c r="F2176"/>
      <x:c r="G2176"/>
      <x:c r="H2176" t="str">
        <x:v>kein_match</x:v>
      </x:c>
      <x:c r="I2176" t="str">
        <x:v>Agent-Draft: keine finale Regelentscheidung</x:v>
      </x:c>
      <x:c r="J2176" t="n">
        <x:v>45441</x:v>
      </x:c>
      <x:c r="K2176"/>
      <x:c r="L2176"/>
      <x:c r="M2176" t="n">
        <x:v>-18.14</x:v>
      </x:c>
      <x:c r="N2176" t="str">
        <x:v>2024-05</x:v>
      </x:c>
      <x:c r="O2176" t="str">
        <x:v>Ausgabe</x:v>
      </x:c>
      <x:c r="P2176" t="str">
        <x:v>Ist</x:v>
      </x:c>
      <x:c r="Q2176" s="59" t="b">
        <x:v>0</x:v>
      </x:c>
      <x:c r="R2176" t="str">
        <x:v>kein_transfer</x:v>
      </x:c>
      <x:c r="S2176"/>
      <x:c r="T2176"/>
      <x:c r="U2176"/>
      <x:c r="V2176" s="59" t="b">
        <x:v>1</x:v>
      </x:c>
      <x:c r="W2176"/>
      <x:c r="X2176" t="str">
        <x:v>offen</x:v>
      </x:c>
      <x:c r="Y2176" t="str">
        <x:v>Agent-Draft; Kategorie und Person pruefen</x:v>
      </x:c>
    </x:row>
    <x:row r="2177">
      <x:c r="A2177" t="str">
        <x:v>TXN-RAW-IMP-20260516-FULLDRAFT-002161</x:v>
      </x:c>
      <x:c r="B2177" t="str">
        <x:v>RAW-IMP-20260516-FULLDRAFT-002161</x:v>
      </x:c>
      <x:c r="C2177" t="str">
        <x:v>KTO001</x:v>
      </x:c>
      <x:c r="D2177"/>
      <x:c r="E2177" t="str">
        <x:v>KAT013</x:v>
      </x:c>
      <x:c r="F2177"/>
      <x:c r="G2177"/>
      <x:c r="H2177" t="str">
        <x:v>kein_match</x:v>
      </x:c>
      <x:c r="I2177" t="str">
        <x:v>Agent-Draft: keine finale Regelentscheidung</x:v>
      </x:c>
      <x:c r="J2177" t="n">
        <x:v>45440</x:v>
      </x:c>
      <x:c r="K2177"/>
      <x:c r="L2177"/>
      <x:c r="M2177" t="n">
        <x:v>-20</x:v>
      </x:c>
      <x:c r="N2177" t="str">
        <x:v>2024-05</x:v>
      </x:c>
      <x:c r="O2177" t="str">
        <x:v>Ausgabe</x:v>
      </x:c>
      <x:c r="P2177" t="str">
        <x:v>Ist</x:v>
      </x:c>
      <x:c r="Q2177" s="59" t="b">
        <x:v>0</x:v>
      </x:c>
      <x:c r="R2177" t="str">
        <x:v>kein_transfer</x:v>
      </x:c>
      <x:c r="S2177"/>
      <x:c r="T2177"/>
      <x:c r="U2177"/>
      <x:c r="V2177" s="59" t="b">
        <x:v>1</x:v>
      </x:c>
      <x:c r="W2177"/>
      <x:c r="X2177" t="str">
        <x:v>offen</x:v>
      </x:c>
      <x:c r="Y2177" t="str">
        <x:v>Agent-Draft; Kategorie und Person pruefen</x:v>
      </x:c>
    </x:row>
    <x:row r="2178">
      <x:c r="A2178" t="str">
        <x:v>TXN-RAW-IMP-20260516-FULLDRAFT-002162</x:v>
      </x:c>
      <x:c r="B2178" t="str">
        <x:v>RAW-IMP-20260516-FULLDRAFT-002162</x:v>
      </x:c>
      <x:c r="C2178" t="str">
        <x:v>KTO001</x:v>
      </x:c>
      <x:c r="D2178"/>
      <x:c r="E2178" t="str">
        <x:v>KAT013</x:v>
      </x:c>
      <x:c r="F2178"/>
      <x:c r="G2178"/>
      <x:c r="H2178" t="str">
        <x:v>kein_match</x:v>
      </x:c>
      <x:c r="I2178" t="str">
        <x:v>Agent-Draft: keine finale Regelentscheidung</x:v>
      </x:c>
      <x:c r="J2178" t="n">
        <x:v>45440</x:v>
      </x:c>
      <x:c r="K2178"/>
      <x:c r="L2178"/>
      <x:c r="M2178" t="n">
        <x:v>-1.12</x:v>
      </x:c>
      <x:c r="N2178" t="str">
        <x:v>2024-05</x:v>
      </x:c>
      <x:c r="O2178" t="str">
        <x:v>Ausgabe</x:v>
      </x:c>
      <x:c r="P2178" t="str">
        <x:v>Ist</x:v>
      </x:c>
      <x:c r="Q2178" s="59" t="b">
        <x:v>0</x:v>
      </x:c>
      <x:c r="R2178" t="str">
        <x:v>kein_transfer</x:v>
      </x:c>
      <x:c r="S2178"/>
      <x:c r="T2178"/>
      <x:c r="U2178"/>
      <x:c r="V2178" s="59" t="b">
        <x:v>1</x:v>
      </x:c>
      <x:c r="W2178"/>
      <x:c r="X2178" t="str">
        <x:v>offen</x:v>
      </x:c>
      <x:c r="Y2178" t="str">
        <x:v>Agent-Draft; Kategorie und Person pruefen</x:v>
      </x:c>
    </x:row>
    <x:row r="2179">
      <x:c r="A2179" t="str">
        <x:v>TXN-RAW-IMP-20260516-FULLDRAFT-002163</x:v>
      </x:c>
      <x:c r="B2179" t="str">
        <x:v>RAW-IMP-20260516-FULLDRAFT-002163</x:v>
      </x:c>
      <x:c r="C2179" t="str">
        <x:v>KTO001</x:v>
      </x:c>
      <x:c r="D2179"/>
      <x:c r="E2179" t="str">
        <x:v>KAT013</x:v>
      </x:c>
      <x:c r="F2179"/>
      <x:c r="G2179"/>
      <x:c r="H2179" t="str">
        <x:v>kein_match</x:v>
      </x:c>
      <x:c r="I2179" t="str">
        <x:v>Agent-Draft: keine finale Regelentscheidung</x:v>
      </x:c>
      <x:c r="J2179" t="n">
        <x:v>45440</x:v>
      </x:c>
      <x:c r="K2179"/>
      <x:c r="L2179"/>
      <x:c r="M2179" t="n">
        <x:v>-11.88</x:v>
      </x:c>
      <x:c r="N2179" t="str">
        <x:v>2024-05</x:v>
      </x:c>
      <x:c r="O2179" t="str">
        <x:v>Ausgabe</x:v>
      </x:c>
      <x:c r="P2179" t="str">
        <x:v>Ist</x:v>
      </x:c>
      <x:c r="Q2179" s="59" t="b">
        <x:v>0</x:v>
      </x:c>
      <x:c r="R2179" t="str">
        <x:v>kein_transfer</x:v>
      </x:c>
      <x:c r="S2179"/>
      <x:c r="T2179"/>
      <x:c r="U2179"/>
      <x:c r="V2179" s="59" t="b">
        <x:v>1</x:v>
      </x:c>
      <x:c r="W2179"/>
      <x:c r="X2179" t="str">
        <x:v>offen</x:v>
      </x:c>
      <x:c r="Y2179" t="str">
        <x:v>Agent-Draft; Kategorie und Person pruefen</x:v>
      </x:c>
    </x:row>
    <x:row r="2180">
      <x:c r="A2180" t="str">
        <x:v>TXN-RAW-IMP-20260516-FULLDRAFT-002164</x:v>
      </x:c>
      <x:c r="B2180" t="str">
        <x:v>RAW-IMP-20260516-FULLDRAFT-002164</x:v>
      </x:c>
      <x:c r="C2180" t="str">
        <x:v>KTO001</x:v>
      </x:c>
      <x:c r="D2180"/>
      <x:c r="E2180" t="str">
        <x:v>KAT013</x:v>
      </x:c>
      <x:c r="F2180"/>
      <x:c r="G2180"/>
      <x:c r="H2180" t="str">
        <x:v>kein_match</x:v>
      </x:c>
      <x:c r="I2180" t="str">
        <x:v>Agent-Draft: keine finale Regelentscheidung</x:v>
      </x:c>
      <x:c r="J2180" t="n">
        <x:v>45439</x:v>
      </x:c>
      <x:c r="K2180"/>
      <x:c r="L2180"/>
      <x:c r="M2180" t="n">
        <x:v>-35</x:v>
      </x:c>
      <x:c r="N2180" t="str">
        <x:v>2024-05</x:v>
      </x:c>
      <x:c r="O2180" t="str">
        <x:v>Ausgabe</x:v>
      </x:c>
      <x:c r="P2180" t="str">
        <x:v>Ist</x:v>
      </x:c>
      <x:c r="Q2180" s="59" t="b">
        <x:v>0</x:v>
      </x:c>
      <x:c r="R2180" t="str">
        <x:v>kein_transfer</x:v>
      </x:c>
      <x:c r="S2180"/>
      <x:c r="T2180"/>
      <x:c r="U2180"/>
      <x:c r="V2180" s="59" t="b">
        <x:v>1</x:v>
      </x:c>
      <x:c r="W2180"/>
      <x:c r="X2180" t="str">
        <x:v>offen</x:v>
      </x:c>
      <x:c r="Y2180" t="str">
        <x:v>Agent-Draft; Kategorie und Person pruefen</x:v>
      </x:c>
    </x:row>
    <x:row r="2181">
      <x:c r="A2181" t="str">
        <x:v>TXN-RAW-IMP-20260516-FULLDRAFT-002165</x:v>
      </x:c>
      <x:c r="B2181" t="str">
        <x:v>RAW-IMP-20260516-FULLDRAFT-002165</x:v>
      </x:c>
      <x:c r="C2181" t="str">
        <x:v>KTO001</x:v>
      </x:c>
      <x:c r="D2181"/>
      <x:c r="E2181" t="str">
        <x:v>KAT013</x:v>
      </x:c>
      <x:c r="F2181"/>
      <x:c r="G2181"/>
      <x:c r="H2181" t="str">
        <x:v>kein_match</x:v>
      </x:c>
      <x:c r="I2181" t="str">
        <x:v>Agent-Draft: keine finale Regelentscheidung</x:v>
      </x:c>
      <x:c r="J2181" t="n">
        <x:v>45439</x:v>
      </x:c>
      <x:c r="K2181"/>
      <x:c r="L2181"/>
      <x:c r="M2181" t="n">
        <x:v>-39.14</x:v>
      </x:c>
      <x:c r="N2181" t="str">
        <x:v>2024-05</x:v>
      </x:c>
      <x:c r="O2181" t="str">
        <x:v>Ausgabe</x:v>
      </x:c>
      <x:c r="P2181" t="str">
        <x:v>Ist</x:v>
      </x:c>
      <x:c r="Q2181" s="59" t="b">
        <x:v>0</x:v>
      </x:c>
      <x:c r="R2181" t="str">
        <x:v>kein_transfer</x:v>
      </x:c>
      <x:c r="S2181"/>
      <x:c r="T2181"/>
      <x:c r="U2181"/>
      <x:c r="V2181" s="59" t="b">
        <x:v>1</x:v>
      </x:c>
      <x:c r="W2181"/>
      <x:c r="X2181" t="str">
        <x:v>offen</x:v>
      </x:c>
      <x:c r="Y2181" t="str">
        <x:v>Agent-Draft; Kategorie und Person pruefen</x:v>
      </x:c>
    </x:row>
    <x:row r="2182">
      <x:c r="A2182" t="str">
        <x:v>TXN-RAW-IMP-20260516-FULLDRAFT-002166</x:v>
      </x:c>
      <x:c r="B2182" t="str">
        <x:v>RAW-IMP-20260516-FULLDRAFT-002166</x:v>
      </x:c>
      <x:c r="C2182" t="str">
        <x:v>KTO001</x:v>
      </x:c>
      <x:c r="D2182"/>
      <x:c r="E2182" t="str">
        <x:v>KAT013</x:v>
      </x:c>
      <x:c r="F2182"/>
      <x:c r="G2182"/>
      <x:c r="H2182" t="str">
        <x:v>kein_match</x:v>
      </x:c>
      <x:c r="I2182" t="str">
        <x:v>Agent-Draft: keine finale Regelentscheidung</x:v>
      </x:c>
      <x:c r="J2182" t="n">
        <x:v>45439</x:v>
      </x:c>
      <x:c r="K2182"/>
      <x:c r="L2182"/>
      <x:c r="M2182" t="n">
        <x:v>-194.46</x:v>
      </x:c>
      <x:c r="N2182" t="str">
        <x:v>2024-05</x:v>
      </x:c>
      <x:c r="O2182" t="str">
        <x:v>Ausgabe</x:v>
      </x:c>
      <x:c r="P2182" t="str">
        <x:v>Ist</x:v>
      </x:c>
      <x:c r="Q2182" s="59" t="b">
        <x:v>0</x:v>
      </x:c>
      <x:c r="R2182" t="str">
        <x:v>kein_transfer</x:v>
      </x:c>
      <x:c r="S2182"/>
      <x:c r="T2182"/>
      <x:c r="U2182"/>
      <x:c r="V2182" s="59" t="b">
        <x:v>1</x:v>
      </x:c>
      <x:c r="W2182"/>
      <x:c r="X2182" t="str">
        <x:v>offen</x:v>
      </x:c>
      <x:c r="Y2182" t="str">
        <x:v>Agent-Draft; Kategorie und Person pruefen</x:v>
      </x:c>
    </x:row>
    <x:row r="2183">
      <x:c r="A2183" t="str">
        <x:v>TXN-RAW-IMP-20260516-FULLDRAFT-002167</x:v>
      </x:c>
      <x:c r="B2183" t="str">
        <x:v>RAW-IMP-20260516-FULLDRAFT-002167</x:v>
      </x:c>
      <x:c r="C2183" t="str">
        <x:v>KTO001</x:v>
      </x:c>
      <x:c r="D2183"/>
      <x:c r="E2183" t="str">
        <x:v>KAT013</x:v>
      </x:c>
      <x:c r="F2183"/>
      <x:c r="G2183"/>
      <x:c r="H2183" t="str">
        <x:v>kein_match</x:v>
      </x:c>
      <x:c r="I2183" t="str">
        <x:v>Agent-Draft: keine finale Regelentscheidung</x:v>
      </x:c>
      <x:c r="J2183" t="n">
        <x:v>45439</x:v>
      </x:c>
      <x:c r="K2183"/>
      <x:c r="L2183"/>
      <x:c r="M2183" t="n">
        <x:v>-216.39</x:v>
      </x:c>
      <x:c r="N2183" t="str">
        <x:v>2024-05</x:v>
      </x:c>
      <x:c r="O2183" t="str">
        <x:v>Ausgabe</x:v>
      </x:c>
      <x:c r="P2183" t="str">
        <x:v>Ist</x:v>
      </x:c>
      <x:c r="Q2183" s="59" t="b">
        <x:v>0</x:v>
      </x:c>
      <x:c r="R2183" t="str">
        <x:v>kein_transfer</x:v>
      </x:c>
      <x:c r="S2183"/>
      <x:c r="T2183"/>
      <x:c r="U2183"/>
      <x:c r="V2183" s="59" t="b">
        <x:v>1</x:v>
      </x:c>
      <x:c r="W2183"/>
      <x:c r="X2183" t="str">
        <x:v>offen</x:v>
      </x:c>
      <x:c r="Y2183" t="str">
        <x:v>Agent-Draft; Kategorie und Person pruefen</x:v>
      </x:c>
    </x:row>
    <x:row r="2184">
      <x:c r="A2184" t="str">
        <x:v>TXN-RAW-IMP-20260516-FULLDRAFT-002168</x:v>
      </x:c>
      <x:c r="B2184" t="str">
        <x:v>RAW-IMP-20260516-FULLDRAFT-002168</x:v>
      </x:c>
      <x:c r="C2184" t="str">
        <x:v>KTO001</x:v>
      </x:c>
      <x:c r="D2184"/>
      <x:c r="E2184" t="str">
        <x:v>KAT013</x:v>
      </x:c>
      <x:c r="F2184"/>
      <x:c r="G2184"/>
      <x:c r="H2184" t="str">
        <x:v>kein_match</x:v>
      </x:c>
      <x:c r="I2184" t="str">
        <x:v>Agent-Draft: keine finale Regelentscheidung</x:v>
      </x:c>
      <x:c r="J2184" t="n">
        <x:v>45439</x:v>
      </x:c>
      <x:c r="K2184"/>
      <x:c r="L2184"/>
      <x:c r="M2184" t="n">
        <x:v>-7.7</x:v>
      </x:c>
      <x:c r="N2184" t="str">
        <x:v>2024-05</x:v>
      </x:c>
      <x:c r="O2184" t="str">
        <x:v>Ausgabe</x:v>
      </x:c>
      <x:c r="P2184" t="str">
        <x:v>Ist</x:v>
      </x:c>
      <x:c r="Q2184" s="59" t="b">
        <x:v>0</x:v>
      </x:c>
      <x:c r="R2184" t="str">
        <x:v>kein_transfer</x:v>
      </x:c>
      <x:c r="S2184"/>
      <x:c r="T2184"/>
      <x:c r="U2184"/>
      <x:c r="V2184" s="59" t="b">
        <x:v>1</x:v>
      </x:c>
      <x:c r="W2184"/>
      <x:c r="X2184" t="str">
        <x:v>offen</x:v>
      </x:c>
      <x:c r="Y2184" t="str">
        <x:v>Agent-Draft; Kategorie und Person pruefen</x:v>
      </x:c>
    </x:row>
    <x:row r="2185">
      <x:c r="A2185" t="str">
        <x:v>TXN-RAW-IMP-20260516-FULLDRAFT-002169</x:v>
      </x:c>
      <x:c r="B2185" t="str">
        <x:v>RAW-IMP-20260516-FULLDRAFT-002169</x:v>
      </x:c>
      <x:c r="C2185" t="str">
        <x:v>KTO001</x:v>
      </x:c>
      <x:c r="D2185"/>
      <x:c r="E2185" t="str">
        <x:v>KAT013</x:v>
      </x:c>
      <x:c r="F2185"/>
      <x:c r="G2185"/>
      <x:c r="H2185" t="str">
        <x:v>kein_match</x:v>
      </x:c>
      <x:c r="I2185" t="str">
        <x:v>Agent-Draft: keine finale Regelentscheidung</x:v>
      </x:c>
      <x:c r="J2185" t="n">
        <x:v>45439</x:v>
      </x:c>
      <x:c r="K2185"/>
      <x:c r="L2185"/>
      <x:c r="M2185" t="n">
        <x:v>-3.99</x:v>
      </x:c>
      <x:c r="N2185" t="str">
        <x:v>2024-05</x:v>
      </x:c>
      <x:c r="O2185" t="str">
        <x:v>Ausgabe</x:v>
      </x:c>
      <x:c r="P2185" t="str">
        <x:v>Ist</x:v>
      </x:c>
      <x:c r="Q2185" s="59" t="b">
        <x:v>0</x:v>
      </x:c>
      <x:c r="R2185" t="str">
        <x:v>kein_transfer</x:v>
      </x:c>
      <x:c r="S2185"/>
      <x:c r="T2185"/>
      <x:c r="U2185"/>
      <x:c r="V2185" s="59" t="b">
        <x:v>1</x:v>
      </x:c>
      <x:c r="W2185"/>
      <x:c r="X2185" t="str">
        <x:v>offen</x:v>
      </x:c>
      <x:c r="Y2185" t="str">
        <x:v>Agent-Draft; Kategorie und Person pruefen</x:v>
      </x:c>
    </x:row>
    <x:row r="2186">
      <x:c r="A2186" t="str">
        <x:v>TXN-RAW-IMP-20260516-FULLDRAFT-002170</x:v>
      </x:c>
      <x:c r="B2186" t="str">
        <x:v>RAW-IMP-20260516-FULLDRAFT-002170</x:v>
      </x:c>
      <x:c r="C2186" t="str">
        <x:v>KTO001</x:v>
      </x:c>
      <x:c r="D2186"/>
      <x:c r="E2186" t="str">
        <x:v>KAT013</x:v>
      </x:c>
      <x:c r="F2186"/>
      <x:c r="G2186"/>
      <x:c r="H2186" t="str">
        <x:v>kein_match</x:v>
      </x:c>
      <x:c r="I2186" t="str">
        <x:v>Agent-Draft: keine finale Regelentscheidung</x:v>
      </x:c>
      <x:c r="J2186" t="n">
        <x:v>45439</x:v>
      </x:c>
      <x:c r="K2186"/>
      <x:c r="L2186"/>
      <x:c r="M2186" t="n">
        <x:v>-50</x:v>
      </x:c>
      <x:c r="N2186" t="str">
        <x:v>2024-05</x:v>
      </x:c>
      <x:c r="O2186" t="str">
        <x:v>Ausgabe</x:v>
      </x:c>
      <x:c r="P2186" t="str">
        <x:v>Ist</x:v>
      </x:c>
      <x:c r="Q2186" s="59" t="b">
        <x:v>0</x:v>
      </x:c>
      <x:c r="R2186" t="str">
        <x:v>kein_transfer</x:v>
      </x:c>
      <x:c r="S2186"/>
      <x:c r="T2186"/>
      <x:c r="U2186"/>
      <x:c r="V2186" s="59" t="b">
        <x:v>1</x:v>
      </x:c>
      <x:c r="W2186"/>
      <x:c r="X2186" t="str">
        <x:v>offen</x:v>
      </x:c>
      <x:c r="Y2186" t="str">
        <x:v>Agent-Draft; Kategorie und Person pruefen</x:v>
      </x:c>
    </x:row>
    <x:row r="2187">
      <x:c r="A2187" t="str">
        <x:v>TXN-RAW-IMP-20260516-FULLDRAFT-002171</x:v>
      </x:c>
      <x:c r="B2187" t="str">
        <x:v>RAW-IMP-20260516-FULLDRAFT-002171</x:v>
      </x:c>
      <x:c r="C2187" t="str">
        <x:v>KTO001</x:v>
      </x:c>
      <x:c r="D2187"/>
      <x:c r="E2187" t="str">
        <x:v>KAT013</x:v>
      </x:c>
      <x:c r="F2187"/>
      <x:c r="G2187"/>
      <x:c r="H2187" t="str">
        <x:v>kein_match</x:v>
      </x:c>
      <x:c r="I2187" t="str">
        <x:v>Agent-Draft: keine finale Regelentscheidung</x:v>
      </x:c>
      <x:c r="J2187" t="n">
        <x:v>45436</x:v>
      </x:c>
      <x:c r="K2187"/>
      <x:c r="L2187"/>
      <x:c r="M2187" t="n">
        <x:v>-2.48</x:v>
      </x:c>
      <x:c r="N2187" t="str">
        <x:v>2024-05</x:v>
      </x:c>
      <x:c r="O2187" t="str">
        <x:v>Ausgabe</x:v>
      </x:c>
      <x:c r="P2187" t="str">
        <x:v>Ist</x:v>
      </x:c>
      <x:c r="Q2187" s="59" t="b">
        <x:v>0</x:v>
      </x:c>
      <x:c r="R2187" t="str">
        <x:v>kein_transfer</x:v>
      </x:c>
      <x:c r="S2187"/>
      <x:c r="T2187"/>
      <x:c r="U2187"/>
      <x:c r="V2187" s="59" t="b">
        <x:v>1</x:v>
      </x:c>
      <x:c r="W2187"/>
      <x:c r="X2187" t="str">
        <x:v>offen</x:v>
      </x:c>
      <x:c r="Y2187" t="str">
        <x:v>Agent-Draft; Kategorie und Person pruefen</x:v>
      </x:c>
    </x:row>
    <x:row r="2188">
      <x:c r="A2188" t="str">
        <x:v>TXN-RAW-IMP-20260516-FULLDRAFT-002172</x:v>
      </x:c>
      <x:c r="B2188" t="str">
        <x:v>RAW-IMP-20260516-FULLDRAFT-002172</x:v>
      </x:c>
      <x:c r="C2188" t="str">
        <x:v>KTO001</x:v>
      </x:c>
      <x:c r="D2188"/>
      <x:c r="E2188" t="str">
        <x:v>KAT013</x:v>
      </x:c>
      <x:c r="F2188"/>
      <x:c r="G2188"/>
      <x:c r="H2188" t="str">
        <x:v>kein_match</x:v>
      </x:c>
      <x:c r="I2188" t="str">
        <x:v>Agent-Draft: keine finale Regelentscheidung</x:v>
      </x:c>
      <x:c r="J2188" t="n">
        <x:v>45436</x:v>
      </x:c>
      <x:c r="K2188"/>
      <x:c r="L2188"/>
      <x:c r="M2188" t="n">
        <x:v>-35</x:v>
      </x:c>
      <x:c r="N2188" t="str">
        <x:v>2024-05</x:v>
      </x:c>
      <x:c r="O2188" t="str">
        <x:v>Ausgabe</x:v>
      </x:c>
      <x:c r="P2188" t="str">
        <x:v>Ist</x:v>
      </x:c>
      <x:c r="Q2188" s="59" t="b">
        <x:v>0</x:v>
      </x:c>
      <x:c r="R2188" t="str">
        <x:v>kein_transfer</x:v>
      </x:c>
      <x:c r="S2188"/>
      <x:c r="T2188"/>
      <x:c r="U2188"/>
      <x:c r="V2188" s="59" t="b">
        <x:v>1</x:v>
      </x:c>
      <x:c r="W2188"/>
      <x:c r="X2188" t="str">
        <x:v>offen</x:v>
      </x:c>
      <x:c r="Y2188" t="str">
        <x:v>Agent-Draft; Kategorie und Person pruefen</x:v>
      </x:c>
    </x:row>
    <x:row r="2189">
      <x:c r="A2189" t="str">
        <x:v>TXN-RAW-IMP-20260516-FULLDRAFT-002173</x:v>
      </x:c>
      <x:c r="B2189" t="str">
        <x:v>RAW-IMP-20260516-FULLDRAFT-002173</x:v>
      </x:c>
      <x:c r="C2189" t="str">
        <x:v>KTO001</x:v>
      </x:c>
      <x:c r="D2189"/>
      <x:c r="E2189" t="str">
        <x:v>KAT013</x:v>
      </x:c>
      <x:c r="F2189"/>
      <x:c r="G2189"/>
      <x:c r="H2189" t="str">
        <x:v>kein_match</x:v>
      </x:c>
      <x:c r="I2189" t="str">
        <x:v>Agent-Draft: keine finale Regelentscheidung</x:v>
      </x:c>
      <x:c r="J2189" t="n">
        <x:v>45436</x:v>
      </x:c>
      <x:c r="K2189"/>
      <x:c r="L2189"/>
      <x:c r="M2189" t="n">
        <x:v>-93.48</x:v>
      </x:c>
      <x:c r="N2189" t="str">
        <x:v>2024-05</x:v>
      </x:c>
      <x:c r="O2189" t="str">
        <x:v>Ausgabe</x:v>
      </x:c>
      <x:c r="P2189" t="str">
        <x:v>Ist</x:v>
      </x:c>
      <x:c r="Q2189" s="59" t="b">
        <x:v>0</x:v>
      </x:c>
      <x:c r="R2189" t="str">
        <x:v>kein_transfer</x:v>
      </x:c>
      <x:c r="S2189"/>
      <x:c r="T2189"/>
      <x:c r="U2189"/>
      <x:c r="V2189" s="59" t="b">
        <x:v>1</x:v>
      </x:c>
      <x:c r="W2189"/>
      <x:c r="X2189" t="str">
        <x:v>offen</x:v>
      </x:c>
      <x:c r="Y2189" t="str">
        <x:v>Agent-Draft; Kategorie und Person pruefen</x:v>
      </x:c>
    </x:row>
    <x:row r="2190">
      <x:c r="A2190" t="str">
        <x:v>TXN-RAW-IMP-20260516-FULLDRAFT-002174</x:v>
      </x:c>
      <x:c r="B2190" t="str">
        <x:v>RAW-IMP-20260516-FULLDRAFT-002174</x:v>
      </x:c>
      <x:c r="C2190" t="str">
        <x:v>KTO001</x:v>
      </x:c>
      <x:c r="D2190"/>
      <x:c r="E2190" t="str">
        <x:v>KAT013</x:v>
      </x:c>
      <x:c r="F2190"/>
      <x:c r="G2190"/>
      <x:c r="H2190" t="str">
        <x:v>kein_match</x:v>
      </x:c>
      <x:c r="I2190" t="str">
        <x:v>Agent-Draft: keine finale Regelentscheidung</x:v>
      </x:c>
      <x:c r="J2190" t="n">
        <x:v>45436</x:v>
      </x:c>
      <x:c r="K2190"/>
      <x:c r="L2190"/>
      <x:c r="M2190" t="n">
        <x:v>-6.01</x:v>
      </x:c>
      <x:c r="N2190" t="str">
        <x:v>2024-05</x:v>
      </x:c>
      <x:c r="O2190" t="str">
        <x:v>Ausgabe</x:v>
      </x:c>
      <x:c r="P2190" t="str">
        <x:v>Ist</x:v>
      </x:c>
      <x:c r="Q2190" s="59" t="b">
        <x:v>0</x:v>
      </x:c>
      <x:c r="R2190" t="str">
        <x:v>kein_transfer</x:v>
      </x:c>
      <x:c r="S2190"/>
      <x:c r="T2190"/>
      <x:c r="U2190"/>
      <x:c r="V2190" s="59" t="b">
        <x:v>1</x:v>
      </x:c>
      <x:c r="W2190"/>
      <x:c r="X2190" t="str">
        <x:v>offen</x:v>
      </x:c>
      <x:c r="Y2190" t="str">
        <x:v>Agent-Draft; Kategorie und Person pruefen</x:v>
      </x:c>
    </x:row>
    <x:row r="2191">
      <x:c r="A2191" t="str">
        <x:v>TXN-RAW-IMP-20260516-FULLDRAFT-002175</x:v>
      </x:c>
      <x:c r="B2191" t="str">
        <x:v>RAW-IMP-20260516-FULLDRAFT-002175</x:v>
      </x:c>
      <x:c r="C2191" t="str">
        <x:v>KTO001</x:v>
      </x:c>
      <x:c r="D2191"/>
      <x:c r="E2191" t="str">
        <x:v>KAT013</x:v>
      </x:c>
      <x:c r="F2191"/>
      <x:c r="G2191"/>
      <x:c r="H2191" t="str">
        <x:v>kein_match</x:v>
      </x:c>
      <x:c r="I2191" t="str">
        <x:v>Agent-Draft: keine finale Regelentscheidung</x:v>
      </x:c>
      <x:c r="J2191" t="n">
        <x:v>45436</x:v>
      </x:c>
      <x:c r="K2191"/>
      <x:c r="L2191"/>
      <x:c r="M2191" t="n">
        <x:v>-46.65</x:v>
      </x:c>
      <x:c r="N2191" t="str">
        <x:v>2024-05</x:v>
      </x:c>
      <x:c r="O2191" t="str">
        <x:v>Ausgabe</x:v>
      </x:c>
      <x:c r="P2191" t="str">
        <x:v>Ist</x:v>
      </x:c>
      <x:c r="Q2191" s="59" t="b">
        <x:v>0</x:v>
      </x:c>
      <x:c r="R2191" t="str">
        <x:v>kein_transfer</x:v>
      </x:c>
      <x:c r="S2191"/>
      <x:c r="T2191"/>
      <x:c r="U2191"/>
      <x:c r="V2191" s="59" t="b">
        <x:v>1</x:v>
      </x:c>
      <x:c r="W2191"/>
      <x:c r="X2191" t="str">
        <x:v>offen</x:v>
      </x:c>
      <x:c r="Y2191" t="str">
        <x:v>Agent-Draft; Kategorie und Person pruefen</x:v>
      </x:c>
    </x:row>
    <x:row r="2192">
      <x:c r="A2192" t="str">
        <x:v>TXN-RAW-IMP-20260516-FULLDRAFT-002176</x:v>
      </x:c>
      <x:c r="B2192" t="str">
        <x:v>RAW-IMP-20260516-FULLDRAFT-002176</x:v>
      </x:c>
      <x:c r="C2192" t="str">
        <x:v>KTO001</x:v>
      </x:c>
      <x:c r="D2192"/>
      <x:c r="E2192" t="str">
        <x:v>KAT013</x:v>
      </x:c>
      <x:c r="F2192"/>
      <x:c r="G2192"/>
      <x:c r="H2192" t="str">
        <x:v>kein_match</x:v>
      </x:c>
      <x:c r="I2192" t="str">
        <x:v>Agent-Draft: keine finale Regelentscheidung</x:v>
      </x:c>
      <x:c r="J2192" t="n">
        <x:v>45435</x:v>
      </x:c>
      <x:c r="K2192"/>
      <x:c r="L2192"/>
      <x:c r="M2192" t="n">
        <x:v>-35.94</x:v>
      </x:c>
      <x:c r="N2192" t="str">
        <x:v>2024-05</x:v>
      </x:c>
      <x:c r="O2192" t="str">
        <x:v>Ausgabe</x:v>
      </x:c>
      <x:c r="P2192" t="str">
        <x:v>Ist</x:v>
      </x:c>
      <x:c r="Q2192" s="59" t="b">
        <x:v>0</x:v>
      </x:c>
      <x:c r="R2192" t="str">
        <x:v>kein_transfer</x:v>
      </x:c>
      <x:c r="S2192"/>
      <x:c r="T2192"/>
      <x:c r="U2192"/>
      <x:c r="V2192" s="59" t="b">
        <x:v>1</x:v>
      </x:c>
      <x:c r="W2192"/>
      <x:c r="X2192" t="str">
        <x:v>offen</x:v>
      </x:c>
      <x:c r="Y2192" t="str">
        <x:v>Agent-Draft; Kategorie und Person pruefen</x:v>
      </x:c>
    </x:row>
    <x:row r="2193">
      <x:c r="A2193" t="str">
        <x:v>TXN-RAW-IMP-20260516-FULLDRAFT-002177</x:v>
      </x:c>
      <x:c r="B2193" t="str">
        <x:v>RAW-IMP-20260516-FULLDRAFT-002177</x:v>
      </x:c>
      <x:c r="C2193" t="str">
        <x:v>KTO001</x:v>
      </x:c>
      <x:c r="D2193"/>
      <x:c r="E2193" t="str">
        <x:v>KAT013</x:v>
      </x:c>
      <x:c r="F2193"/>
      <x:c r="G2193"/>
      <x:c r="H2193" t="str">
        <x:v>kein_match</x:v>
      </x:c>
      <x:c r="I2193" t="str">
        <x:v>Agent-Draft: keine finale Regelentscheidung</x:v>
      </x:c>
      <x:c r="J2193" t="n">
        <x:v>45434</x:v>
      </x:c>
      <x:c r="K2193"/>
      <x:c r="L2193"/>
      <x:c r="M2193" t="n">
        <x:v>7702.04</x:v>
      </x:c>
      <x:c r="N2193" t="str">
        <x:v>2024-05</x:v>
      </x:c>
      <x:c r="O2193" t="str">
        <x:v>Einnahme</x:v>
      </x:c>
      <x:c r="P2193" t="str">
        <x:v>Ist</x:v>
      </x:c>
      <x:c r="Q2193" s="59" t="b">
        <x:v>0</x:v>
      </x:c>
      <x:c r="R2193" t="str">
        <x:v>kein_transfer</x:v>
      </x:c>
      <x:c r="S2193"/>
      <x:c r="T2193"/>
      <x:c r="U2193"/>
      <x:c r="V2193" s="59" t="b">
        <x:v>1</x:v>
      </x:c>
      <x:c r="W2193"/>
      <x:c r="X2193" t="str">
        <x:v>offen</x:v>
      </x:c>
      <x:c r="Y2193" t="str">
        <x:v>Agent-Draft; Kategorie und Person pruefen</x:v>
      </x:c>
    </x:row>
    <x:row r="2194">
      <x:c r="A2194" t="str">
        <x:v>TXN-RAW-IMP-20260516-FULLDRAFT-002178</x:v>
      </x:c>
      <x:c r="B2194" t="str">
        <x:v>RAW-IMP-20260516-FULLDRAFT-002178</x:v>
      </x:c>
      <x:c r="C2194" t="str">
        <x:v>KTO001</x:v>
      </x:c>
      <x:c r="D2194"/>
      <x:c r="E2194" t="str">
        <x:v>KAT013</x:v>
      </x:c>
      <x:c r="F2194"/>
      <x:c r="G2194"/>
      <x:c r="H2194" t="str">
        <x:v>kein_match</x:v>
      </x:c>
      <x:c r="I2194" t="str">
        <x:v>Agent-Draft: keine finale Regelentscheidung</x:v>
      </x:c>
      <x:c r="J2194" t="n">
        <x:v>45434</x:v>
      </x:c>
      <x:c r="K2194"/>
      <x:c r="L2194"/>
      <x:c r="M2194" t="n">
        <x:v>-3</x:v>
      </x:c>
      <x:c r="N2194" t="str">
        <x:v>2024-05</x:v>
      </x:c>
      <x:c r="O2194" t="str">
        <x:v>Ausgabe</x:v>
      </x:c>
      <x:c r="P2194" t="str">
        <x:v>Ist</x:v>
      </x:c>
      <x:c r="Q2194" s="59" t="b">
        <x:v>0</x:v>
      </x:c>
      <x:c r="R2194" t="str">
        <x:v>kein_transfer</x:v>
      </x:c>
      <x:c r="S2194"/>
      <x:c r="T2194"/>
      <x:c r="U2194"/>
      <x:c r="V2194" s="59" t="b">
        <x:v>1</x:v>
      </x:c>
      <x:c r="W2194"/>
      <x:c r="X2194" t="str">
        <x:v>offen</x:v>
      </x:c>
      <x:c r="Y2194" t="str">
        <x:v>Agent-Draft; Kategorie und Person pruefen</x:v>
      </x:c>
    </x:row>
    <x:row r="2195">
      <x:c r="A2195" t="str">
        <x:v>TXN-RAW-IMP-20260516-FULLDRAFT-002179</x:v>
      </x:c>
      <x:c r="B2195" t="str">
        <x:v>RAW-IMP-20260516-FULLDRAFT-002179</x:v>
      </x:c>
      <x:c r="C2195" t="str">
        <x:v>KTO001</x:v>
      </x:c>
      <x:c r="D2195"/>
      <x:c r="E2195" t="str">
        <x:v>KAT013</x:v>
      </x:c>
      <x:c r="F2195"/>
      <x:c r="G2195"/>
      <x:c r="H2195" t="str">
        <x:v>kein_match</x:v>
      </x:c>
      <x:c r="I2195" t="str">
        <x:v>Agent-Draft: keine finale Regelentscheidung</x:v>
      </x:c>
      <x:c r="J2195" t="n">
        <x:v>45434</x:v>
      </x:c>
      <x:c r="K2195"/>
      <x:c r="L2195"/>
      <x:c r="M2195" t="n">
        <x:v>-24.68</x:v>
      </x:c>
      <x:c r="N2195" t="str">
        <x:v>2024-05</x:v>
      </x:c>
      <x:c r="O2195" t="str">
        <x:v>Ausgabe</x:v>
      </x:c>
      <x:c r="P2195" t="str">
        <x:v>Ist</x:v>
      </x:c>
      <x:c r="Q2195" s="59" t="b">
        <x:v>0</x:v>
      </x:c>
      <x:c r="R2195" t="str">
        <x:v>kein_transfer</x:v>
      </x:c>
      <x:c r="S2195"/>
      <x:c r="T2195"/>
      <x:c r="U2195"/>
      <x:c r="V2195" s="59" t="b">
        <x:v>1</x:v>
      </x:c>
      <x:c r="W2195"/>
      <x:c r="X2195" t="str">
        <x:v>offen</x:v>
      </x:c>
      <x:c r="Y2195" t="str">
        <x:v>Agent-Draft; Kategorie und Person pruefen</x:v>
      </x:c>
    </x:row>
    <x:row r="2196">
      <x:c r="A2196" t="str">
        <x:v>TXN-RAW-IMP-20260516-FULLDRAFT-002180</x:v>
      </x:c>
      <x:c r="B2196" t="str">
        <x:v>RAW-IMP-20260516-FULLDRAFT-002180</x:v>
      </x:c>
      <x:c r="C2196" t="str">
        <x:v>KTO001</x:v>
      </x:c>
      <x:c r="D2196"/>
      <x:c r="E2196" t="str">
        <x:v>KAT013</x:v>
      </x:c>
      <x:c r="F2196"/>
      <x:c r="G2196"/>
      <x:c r="H2196" t="str">
        <x:v>kein_match</x:v>
      </x:c>
      <x:c r="I2196" t="str">
        <x:v>Agent-Draft: keine finale Regelentscheidung</x:v>
      </x:c>
      <x:c r="J2196" t="n">
        <x:v>45433</x:v>
      </x:c>
      <x:c r="K2196"/>
      <x:c r="L2196"/>
      <x:c r="M2196" t="n">
        <x:v>-4230</x:v>
      </x:c>
      <x:c r="N2196" t="str">
        <x:v>2024-05</x:v>
      </x:c>
      <x:c r="O2196" t="str">
        <x:v>Ausgabe</x:v>
      </x:c>
      <x:c r="P2196" t="str">
        <x:v>Ist</x:v>
      </x:c>
      <x:c r="Q2196" s="59" t="b">
        <x:v>0</x:v>
      </x:c>
      <x:c r="R2196" t="str">
        <x:v>kein_transfer</x:v>
      </x:c>
      <x:c r="S2196"/>
      <x:c r="T2196"/>
      <x:c r="U2196"/>
      <x:c r="V2196" s="59" t="b">
        <x:v>1</x:v>
      </x:c>
      <x:c r="W2196"/>
      <x:c r="X2196" t="str">
        <x:v>offen</x:v>
      </x:c>
      <x:c r="Y2196" t="str">
        <x:v>Agent-Draft; Kategorie und Person pruefen</x:v>
      </x:c>
    </x:row>
    <x:row r="2197">
      <x:c r="A2197" t="str">
        <x:v>TXN-RAW-IMP-20260516-FULLDRAFT-002181</x:v>
      </x:c>
      <x:c r="B2197" t="str">
        <x:v>RAW-IMP-20260516-FULLDRAFT-002181</x:v>
      </x:c>
      <x:c r="C2197" t="str">
        <x:v>KTO001</x:v>
      </x:c>
      <x:c r="D2197"/>
      <x:c r="E2197" t="str">
        <x:v>KAT013</x:v>
      </x:c>
      <x:c r="F2197"/>
      <x:c r="G2197"/>
      <x:c r="H2197" t="str">
        <x:v>kein_match</x:v>
      </x:c>
      <x:c r="I2197" t="str">
        <x:v>Agent-Draft: keine finale Regelentscheidung</x:v>
      </x:c>
      <x:c r="J2197" t="n">
        <x:v>45433</x:v>
      </x:c>
      <x:c r="K2197"/>
      <x:c r="L2197"/>
      <x:c r="M2197" t="n">
        <x:v>-4.99</x:v>
      </x:c>
      <x:c r="N2197" t="str">
        <x:v>2024-05</x:v>
      </x:c>
      <x:c r="O2197" t="str">
        <x:v>Ausgabe</x:v>
      </x:c>
      <x:c r="P2197" t="str">
        <x:v>Ist</x:v>
      </x:c>
      <x:c r="Q2197" s="59" t="b">
        <x:v>0</x:v>
      </x:c>
      <x:c r="R2197" t="str">
        <x:v>kein_transfer</x:v>
      </x:c>
      <x:c r="S2197"/>
      <x:c r="T2197"/>
      <x:c r="U2197"/>
      <x:c r="V2197" s="59" t="b">
        <x:v>1</x:v>
      </x:c>
      <x:c r="W2197"/>
      <x:c r="X2197" t="str">
        <x:v>offen</x:v>
      </x:c>
      <x:c r="Y2197" t="str">
        <x:v>Agent-Draft; Kategorie und Person pruefen</x:v>
      </x:c>
    </x:row>
    <x:row r="2198">
      <x:c r="A2198" t="str">
        <x:v>TXN-RAW-IMP-20260516-FULLDRAFT-002182</x:v>
      </x:c>
      <x:c r="B2198" t="str">
        <x:v>RAW-IMP-20260516-FULLDRAFT-002182</x:v>
      </x:c>
      <x:c r="C2198" t="str">
        <x:v>KTO001</x:v>
      </x:c>
      <x:c r="D2198"/>
      <x:c r="E2198" t="str">
        <x:v>KAT013</x:v>
      </x:c>
      <x:c r="F2198"/>
      <x:c r="G2198"/>
      <x:c r="H2198" t="str">
        <x:v>kein_match</x:v>
      </x:c>
      <x:c r="I2198" t="str">
        <x:v>Agent-Draft: keine finale Regelentscheidung</x:v>
      </x:c>
      <x:c r="J2198" t="n">
        <x:v>45433</x:v>
      </x:c>
      <x:c r="K2198"/>
      <x:c r="L2198"/>
      <x:c r="M2198" t="n">
        <x:v>-0.99</x:v>
      </x:c>
      <x:c r="N2198" t="str">
        <x:v>2024-05</x:v>
      </x:c>
      <x:c r="O2198" t="str">
        <x:v>Ausgabe</x:v>
      </x:c>
      <x:c r="P2198" t="str">
        <x:v>Ist</x:v>
      </x:c>
      <x:c r="Q2198" s="59" t="b">
        <x:v>0</x:v>
      </x:c>
      <x:c r="R2198" t="str">
        <x:v>kein_transfer</x:v>
      </x:c>
      <x:c r="S2198"/>
      <x:c r="T2198"/>
      <x:c r="U2198"/>
      <x:c r="V2198" s="59" t="b">
        <x:v>1</x:v>
      </x:c>
      <x:c r="W2198"/>
      <x:c r="X2198" t="str">
        <x:v>offen</x:v>
      </x:c>
      <x:c r="Y2198" t="str">
        <x:v>Agent-Draft; Kategorie und Person pruefen</x:v>
      </x:c>
    </x:row>
    <x:row r="2199">
      <x:c r="A2199" t="str">
        <x:v>TXN-RAW-IMP-20260516-FULLDRAFT-002183</x:v>
      </x:c>
      <x:c r="B2199" t="str">
        <x:v>RAW-IMP-20260516-FULLDRAFT-002183</x:v>
      </x:c>
      <x:c r="C2199" t="str">
        <x:v>KTO001</x:v>
      </x:c>
      <x:c r="D2199"/>
      <x:c r="E2199" t="str">
        <x:v>KAT013</x:v>
      </x:c>
      <x:c r="F2199"/>
      <x:c r="G2199"/>
      <x:c r="H2199" t="str">
        <x:v>kein_match</x:v>
      </x:c>
      <x:c r="I2199" t="str">
        <x:v>Agent-Draft: keine finale Regelentscheidung</x:v>
      </x:c>
      <x:c r="J2199" t="n">
        <x:v>45433</x:v>
      </x:c>
      <x:c r="K2199"/>
      <x:c r="L2199"/>
      <x:c r="M2199" t="n">
        <x:v>-0.99</x:v>
      </x:c>
      <x:c r="N2199" t="str">
        <x:v>2024-05</x:v>
      </x:c>
      <x:c r="O2199" t="str">
        <x:v>Ausgabe</x:v>
      </x:c>
      <x:c r="P2199" t="str">
        <x:v>Ist</x:v>
      </x:c>
      <x:c r="Q2199" s="59" t="b">
        <x:v>0</x:v>
      </x:c>
      <x:c r="R2199" t="str">
        <x:v>kein_transfer</x:v>
      </x:c>
      <x:c r="S2199"/>
      <x:c r="T2199"/>
      <x:c r="U2199"/>
      <x:c r="V2199" s="59" t="b">
        <x:v>1</x:v>
      </x:c>
      <x:c r="W2199"/>
      <x:c r="X2199" t="str">
        <x:v>offen</x:v>
      </x:c>
      <x:c r="Y2199" t="str">
        <x:v>Agent-Draft; Kategorie und Person pruefen</x:v>
      </x:c>
    </x:row>
    <x:row r="2200">
      <x:c r="A2200" t="str">
        <x:v>TXN-RAW-IMP-20260516-FULLDRAFT-002184</x:v>
      </x:c>
      <x:c r="B2200" t="str">
        <x:v>RAW-IMP-20260516-FULLDRAFT-002184</x:v>
      </x:c>
      <x:c r="C2200" t="str">
        <x:v>KTO001</x:v>
      </x:c>
      <x:c r="D2200"/>
      <x:c r="E2200" t="str">
        <x:v>KAT013</x:v>
      </x:c>
      <x:c r="F2200"/>
      <x:c r="G2200"/>
      <x:c r="H2200" t="str">
        <x:v>kein_match</x:v>
      </x:c>
      <x:c r="I2200" t="str">
        <x:v>Agent-Draft: keine finale Regelentscheidung</x:v>
      </x:c>
      <x:c r="J2200" t="n">
        <x:v>45433</x:v>
      </x:c>
      <x:c r="K2200"/>
      <x:c r="L2200"/>
      <x:c r="M2200" t="n">
        <x:v>-41.14</x:v>
      </x:c>
      <x:c r="N2200" t="str">
        <x:v>2024-05</x:v>
      </x:c>
      <x:c r="O2200" t="str">
        <x:v>Ausgabe</x:v>
      </x:c>
      <x:c r="P2200" t="str">
        <x:v>Ist</x:v>
      </x:c>
      <x:c r="Q2200" s="59" t="b">
        <x:v>0</x:v>
      </x:c>
      <x:c r="R2200" t="str">
        <x:v>kein_transfer</x:v>
      </x:c>
      <x:c r="S2200"/>
      <x:c r="T2200"/>
      <x:c r="U2200"/>
      <x:c r="V2200" s="59" t="b">
        <x:v>1</x:v>
      </x:c>
      <x:c r="W2200"/>
      <x:c r="X2200" t="str">
        <x:v>offen</x:v>
      </x:c>
      <x:c r="Y2200" t="str">
        <x:v>Agent-Draft; Kategorie und Person pruefen</x:v>
      </x:c>
    </x:row>
    <x:row r="2201">
      <x:c r="A2201" t="str">
        <x:v>TXN-RAW-IMP-20260516-FULLDRAFT-002185</x:v>
      </x:c>
      <x:c r="B2201" t="str">
        <x:v>RAW-IMP-20260516-FULLDRAFT-002185</x:v>
      </x:c>
      <x:c r="C2201" t="str">
        <x:v>KTO001</x:v>
      </x:c>
      <x:c r="D2201"/>
      <x:c r="E2201" t="str">
        <x:v>KAT013</x:v>
      </x:c>
      <x:c r="F2201"/>
      <x:c r="G2201"/>
      <x:c r="H2201" t="str">
        <x:v>kein_match</x:v>
      </x:c>
      <x:c r="I2201" t="str">
        <x:v>Agent-Draft: keine finale Regelentscheidung</x:v>
      </x:c>
      <x:c r="J2201" t="n">
        <x:v>45433</x:v>
      </x:c>
      <x:c r="K2201"/>
      <x:c r="L2201"/>
      <x:c r="M2201" t="n">
        <x:v>-0.99</x:v>
      </x:c>
      <x:c r="N2201" t="str">
        <x:v>2024-05</x:v>
      </x:c>
      <x:c r="O2201" t="str">
        <x:v>Ausgabe</x:v>
      </x:c>
      <x:c r="P2201" t="str">
        <x:v>Ist</x:v>
      </x:c>
      <x:c r="Q2201" s="59" t="b">
        <x:v>0</x:v>
      </x:c>
      <x:c r="R2201" t="str">
        <x:v>kein_transfer</x:v>
      </x:c>
      <x:c r="S2201"/>
      <x:c r="T2201"/>
      <x:c r="U2201"/>
      <x:c r="V2201" s="59" t="b">
        <x:v>1</x:v>
      </x:c>
      <x:c r="W2201"/>
      <x:c r="X2201" t="str">
        <x:v>offen</x:v>
      </x:c>
      <x:c r="Y2201" t="str">
        <x:v>Agent-Draft; Kategorie und Person pruefen</x:v>
      </x:c>
    </x:row>
    <x:row r="2202">
      <x:c r="A2202" t="str">
        <x:v>TXN-RAW-IMP-20260516-FULLDRAFT-002186</x:v>
      </x:c>
      <x:c r="B2202" t="str">
        <x:v>RAW-IMP-20260516-FULLDRAFT-002186</x:v>
      </x:c>
      <x:c r="C2202" t="str">
        <x:v>KTO001</x:v>
      </x:c>
      <x:c r="D2202"/>
      <x:c r="E2202" t="str">
        <x:v>KAT013</x:v>
      </x:c>
      <x:c r="F2202"/>
      <x:c r="G2202"/>
      <x:c r="H2202" t="str">
        <x:v>kein_match</x:v>
      </x:c>
      <x:c r="I2202" t="str">
        <x:v>Agent-Draft: keine finale Regelentscheidung</x:v>
      </x:c>
      <x:c r="J2202" t="n">
        <x:v>45433</x:v>
      </x:c>
      <x:c r="K2202"/>
      <x:c r="L2202"/>
      <x:c r="M2202" t="n">
        <x:v>-177.43</x:v>
      </x:c>
      <x:c r="N2202" t="str">
        <x:v>2024-05</x:v>
      </x:c>
      <x:c r="O2202" t="str">
        <x:v>Ausgabe</x:v>
      </x:c>
      <x:c r="P2202" t="str">
        <x:v>Ist</x:v>
      </x:c>
      <x:c r="Q2202" s="59" t="b">
        <x:v>0</x:v>
      </x:c>
      <x:c r="R2202" t="str">
        <x:v>kein_transfer</x:v>
      </x:c>
      <x:c r="S2202"/>
      <x:c r="T2202"/>
      <x:c r="U2202"/>
      <x:c r="V2202" s="59" t="b">
        <x:v>1</x:v>
      </x:c>
      <x:c r="W2202"/>
      <x:c r="X2202" t="str">
        <x:v>offen</x:v>
      </x:c>
      <x:c r="Y2202" t="str">
        <x:v>Agent-Draft; Kategorie und Person pruefen</x:v>
      </x:c>
    </x:row>
    <x:row r="2203">
      <x:c r="A2203" t="str">
        <x:v>TXN-RAW-IMP-20260516-FULLDRAFT-002187</x:v>
      </x:c>
      <x:c r="B2203" t="str">
        <x:v>RAW-IMP-20260516-FULLDRAFT-002187</x:v>
      </x:c>
      <x:c r="C2203" t="str">
        <x:v>KTO001</x:v>
      </x:c>
      <x:c r="D2203"/>
      <x:c r="E2203" t="str">
        <x:v>KAT013</x:v>
      </x:c>
      <x:c r="F2203"/>
      <x:c r="G2203"/>
      <x:c r="H2203" t="str">
        <x:v>kein_match</x:v>
      </x:c>
      <x:c r="I2203" t="str">
        <x:v>Agent-Draft: keine finale Regelentscheidung</x:v>
      </x:c>
      <x:c r="J2203" t="n">
        <x:v>45433</x:v>
      </x:c>
      <x:c r="K2203"/>
      <x:c r="L2203"/>
      <x:c r="M2203" t="n">
        <x:v>-36.12</x:v>
      </x:c>
      <x:c r="N2203" t="str">
        <x:v>2024-05</x:v>
      </x:c>
      <x:c r="O2203" t="str">
        <x:v>Ausgabe</x:v>
      </x:c>
      <x:c r="P2203" t="str">
        <x:v>Ist</x:v>
      </x:c>
      <x:c r="Q2203" s="59" t="b">
        <x:v>0</x:v>
      </x:c>
      <x:c r="R2203" t="str">
        <x:v>kein_transfer</x:v>
      </x:c>
      <x:c r="S2203"/>
      <x:c r="T2203"/>
      <x:c r="U2203"/>
      <x:c r="V2203" s="59" t="b">
        <x:v>1</x:v>
      </x:c>
      <x:c r="W2203"/>
      <x:c r="X2203" t="str">
        <x:v>offen</x:v>
      </x:c>
      <x:c r="Y2203" t="str">
        <x:v>Agent-Draft; Kategorie und Person pruefen</x:v>
      </x:c>
    </x:row>
    <x:row r="2204">
      <x:c r="A2204" t="str">
        <x:v>TXN-RAW-IMP-20260516-FULLDRAFT-002188</x:v>
      </x:c>
      <x:c r="B2204" t="str">
        <x:v>RAW-IMP-20260516-FULLDRAFT-002188</x:v>
      </x:c>
      <x:c r="C2204" t="str">
        <x:v>KTO001</x:v>
      </x:c>
      <x:c r="D2204"/>
      <x:c r="E2204" t="str">
        <x:v>KAT013</x:v>
      </x:c>
      <x:c r="F2204"/>
      <x:c r="G2204"/>
      <x:c r="H2204" t="str">
        <x:v>kein_match</x:v>
      </x:c>
      <x:c r="I2204" t="str">
        <x:v>Agent-Draft: keine finale Regelentscheidung</x:v>
      </x:c>
      <x:c r="J2204" t="n">
        <x:v>45433</x:v>
      </x:c>
      <x:c r="K2204"/>
      <x:c r="L2204"/>
      <x:c r="M2204" t="n">
        <x:v>-23.94</x:v>
      </x:c>
      <x:c r="N2204" t="str">
        <x:v>2024-05</x:v>
      </x:c>
      <x:c r="O2204" t="str">
        <x:v>Ausgabe</x:v>
      </x:c>
      <x:c r="P2204" t="str">
        <x:v>Ist</x:v>
      </x:c>
      <x:c r="Q2204" s="59" t="b">
        <x:v>0</x:v>
      </x:c>
      <x:c r="R2204" t="str">
        <x:v>kein_transfer</x:v>
      </x:c>
      <x:c r="S2204"/>
      <x:c r="T2204"/>
      <x:c r="U2204"/>
      <x:c r="V2204" s="59" t="b">
        <x:v>1</x:v>
      </x:c>
      <x:c r="W2204"/>
      <x:c r="X2204" t="str">
        <x:v>offen</x:v>
      </x:c>
      <x:c r="Y2204" t="str">
        <x:v>Agent-Draft; Kategorie und Person pruefen</x:v>
      </x:c>
    </x:row>
    <x:row r="2205">
      <x:c r="A2205" t="str">
        <x:v>TXN-RAW-IMP-20260516-FULLDRAFT-002189</x:v>
      </x:c>
      <x:c r="B2205" t="str">
        <x:v>RAW-IMP-20260516-FULLDRAFT-002189</x:v>
      </x:c>
      <x:c r="C2205" t="str">
        <x:v>KTO001</x:v>
      </x:c>
      <x:c r="D2205"/>
      <x:c r="E2205" t="str">
        <x:v>KAT013</x:v>
      </x:c>
      <x:c r="F2205"/>
      <x:c r="G2205"/>
      <x:c r="H2205" t="str">
        <x:v>kein_match</x:v>
      </x:c>
      <x:c r="I2205" t="str">
        <x:v>Agent-Draft: keine finale Regelentscheidung</x:v>
      </x:c>
      <x:c r="J2205" t="n">
        <x:v>45433</x:v>
      </x:c>
      <x:c r="K2205"/>
      <x:c r="L2205"/>
      <x:c r="M2205" t="n">
        <x:v>-8.84</x:v>
      </x:c>
      <x:c r="N2205" t="str">
        <x:v>2024-05</x:v>
      </x:c>
      <x:c r="O2205" t="str">
        <x:v>Ausgabe</x:v>
      </x:c>
      <x:c r="P2205" t="str">
        <x:v>Ist</x:v>
      </x:c>
      <x:c r="Q2205" s="59" t="b">
        <x:v>0</x:v>
      </x:c>
      <x:c r="R2205" t="str">
        <x:v>kein_transfer</x:v>
      </x:c>
      <x:c r="S2205"/>
      <x:c r="T2205"/>
      <x:c r="U2205"/>
      <x:c r="V2205" s="59" t="b">
        <x:v>1</x:v>
      </x:c>
      <x:c r="W2205"/>
      <x:c r="X2205" t="str">
        <x:v>offen</x:v>
      </x:c>
      <x:c r="Y2205" t="str">
        <x:v>Agent-Draft; Kategorie und Person pruefen</x:v>
      </x:c>
    </x:row>
    <x:row r="2206">
      <x:c r="A2206" t="str">
        <x:v>TXN-RAW-IMP-20260516-FULLDRAFT-002190</x:v>
      </x:c>
      <x:c r="B2206" t="str">
        <x:v>RAW-IMP-20260516-FULLDRAFT-002190</x:v>
      </x:c>
      <x:c r="C2206" t="str">
        <x:v>KTO001</x:v>
      </x:c>
      <x:c r="D2206"/>
      <x:c r="E2206" t="str">
        <x:v>KAT013</x:v>
      </x:c>
      <x:c r="F2206"/>
      <x:c r="G2206"/>
      <x:c r="H2206" t="str">
        <x:v>kein_match</x:v>
      </x:c>
      <x:c r="I2206" t="str">
        <x:v>Agent-Draft: keine finale Regelentscheidung</x:v>
      </x:c>
      <x:c r="J2206" t="n">
        <x:v>45429</x:v>
      </x:c>
      <x:c r="K2206"/>
      <x:c r="L2206"/>
      <x:c r="M2206" t="n">
        <x:v>-50</x:v>
      </x:c>
      <x:c r="N2206" t="str">
        <x:v>2024-05</x:v>
      </x:c>
      <x:c r="O2206" t="str">
        <x:v>Ausgabe</x:v>
      </x:c>
      <x:c r="P2206" t="str">
        <x:v>Ist</x:v>
      </x:c>
      <x:c r="Q2206" s="59" t="b">
        <x:v>0</x:v>
      </x:c>
      <x:c r="R2206" t="str">
        <x:v>kein_transfer</x:v>
      </x:c>
      <x:c r="S2206"/>
      <x:c r="T2206"/>
      <x:c r="U2206"/>
      <x:c r="V2206" s="59" t="b">
        <x:v>1</x:v>
      </x:c>
      <x:c r="W2206"/>
      <x:c r="X2206" t="str">
        <x:v>offen</x:v>
      </x:c>
      <x:c r="Y2206" t="str">
        <x:v>Agent-Draft; Kategorie und Person pruefen</x:v>
      </x:c>
    </x:row>
    <x:row r="2207">
      <x:c r="A2207" t="str">
        <x:v>TXN-RAW-IMP-20260516-FULLDRAFT-002191</x:v>
      </x:c>
      <x:c r="B2207" t="str">
        <x:v>RAW-IMP-20260516-FULLDRAFT-002191</x:v>
      </x:c>
      <x:c r="C2207" t="str">
        <x:v>KTO001</x:v>
      </x:c>
      <x:c r="D2207"/>
      <x:c r="E2207" t="str">
        <x:v>KAT013</x:v>
      </x:c>
      <x:c r="F2207"/>
      <x:c r="G2207"/>
      <x:c r="H2207" t="str">
        <x:v>kein_match</x:v>
      </x:c>
      <x:c r="I2207" t="str">
        <x:v>Agent-Draft: keine finale Regelentscheidung</x:v>
      </x:c>
      <x:c r="J2207" t="n">
        <x:v>45429</x:v>
      </x:c>
      <x:c r="K2207"/>
      <x:c r="L2207"/>
      <x:c r="M2207" t="n">
        <x:v>-10.78</x:v>
      </x:c>
      <x:c r="N2207" t="str">
        <x:v>2024-05</x:v>
      </x:c>
      <x:c r="O2207" t="str">
        <x:v>Ausgabe</x:v>
      </x:c>
      <x:c r="P2207" t="str">
        <x:v>Ist</x:v>
      </x:c>
      <x:c r="Q2207" s="59" t="b">
        <x:v>0</x:v>
      </x:c>
      <x:c r="R2207" t="str">
        <x:v>kein_transfer</x:v>
      </x:c>
      <x:c r="S2207"/>
      <x:c r="T2207"/>
      <x:c r="U2207"/>
      <x:c r="V2207" s="59" t="b">
        <x:v>1</x:v>
      </x:c>
      <x:c r="W2207"/>
      <x:c r="X2207" t="str">
        <x:v>offen</x:v>
      </x:c>
      <x:c r="Y2207" t="str">
        <x:v>Agent-Draft; Kategorie und Person pruefen</x:v>
      </x:c>
    </x:row>
    <x:row r="2208">
      <x:c r="A2208" t="str">
        <x:v>TXN-RAW-IMP-20260516-FULLDRAFT-002192</x:v>
      </x:c>
      <x:c r="B2208" t="str">
        <x:v>RAW-IMP-20260516-FULLDRAFT-002192</x:v>
      </x:c>
      <x:c r="C2208" t="str">
        <x:v>KTO001</x:v>
      </x:c>
      <x:c r="D2208"/>
      <x:c r="E2208" t="str">
        <x:v>KAT013</x:v>
      </x:c>
      <x:c r="F2208"/>
      <x:c r="G2208"/>
      <x:c r="H2208" t="str">
        <x:v>kein_match</x:v>
      </x:c>
      <x:c r="I2208" t="str">
        <x:v>Agent-Draft: keine finale Regelentscheidung</x:v>
      </x:c>
      <x:c r="J2208" t="n">
        <x:v>45429</x:v>
      </x:c>
      <x:c r="K2208"/>
      <x:c r="L2208"/>
      <x:c r="M2208" t="n">
        <x:v>-11.42</x:v>
      </x:c>
      <x:c r="N2208" t="str">
        <x:v>2024-05</x:v>
      </x:c>
      <x:c r="O2208" t="str">
        <x:v>Ausgabe</x:v>
      </x:c>
      <x:c r="P2208" t="str">
        <x:v>Ist</x:v>
      </x:c>
      <x:c r="Q2208" s="59" t="b">
        <x:v>0</x:v>
      </x:c>
      <x:c r="R2208" t="str">
        <x:v>kein_transfer</x:v>
      </x:c>
      <x:c r="S2208"/>
      <x:c r="T2208"/>
      <x:c r="U2208"/>
      <x:c r="V2208" s="59" t="b">
        <x:v>1</x:v>
      </x:c>
      <x:c r="W2208"/>
      <x:c r="X2208" t="str">
        <x:v>offen</x:v>
      </x:c>
      <x:c r="Y2208" t="str">
        <x:v>Agent-Draft; Kategorie und Person pruefen</x:v>
      </x:c>
    </x:row>
    <x:row r="2209">
      <x:c r="A2209" t="str">
        <x:v>TXN-RAW-IMP-20260516-FULLDRAFT-002193</x:v>
      </x:c>
      <x:c r="B2209" t="str">
        <x:v>RAW-IMP-20260516-FULLDRAFT-002193</x:v>
      </x:c>
      <x:c r="C2209" t="str">
        <x:v>KTO001</x:v>
      </x:c>
      <x:c r="D2209"/>
      <x:c r="E2209" t="str">
        <x:v>KAT013</x:v>
      </x:c>
      <x:c r="F2209"/>
      <x:c r="G2209"/>
      <x:c r="H2209" t="str">
        <x:v>kein_match</x:v>
      </x:c>
      <x:c r="I2209" t="str">
        <x:v>Agent-Draft: keine finale Regelentscheidung</x:v>
      </x:c>
      <x:c r="J2209" t="n">
        <x:v>45428</x:v>
      </x:c>
      <x:c r="K2209"/>
      <x:c r="L2209"/>
      <x:c r="M2209" t="n">
        <x:v>-7.41</x:v>
      </x:c>
      <x:c r="N2209" t="str">
        <x:v>2024-05</x:v>
      </x:c>
      <x:c r="O2209" t="str">
        <x:v>Ausgabe</x:v>
      </x:c>
      <x:c r="P2209" t="str">
        <x:v>Ist</x:v>
      </x:c>
      <x:c r="Q2209" s="59" t="b">
        <x:v>0</x:v>
      </x:c>
      <x:c r="R2209" t="str">
        <x:v>kein_transfer</x:v>
      </x:c>
      <x:c r="S2209"/>
      <x:c r="T2209"/>
      <x:c r="U2209"/>
      <x:c r="V2209" s="59" t="b">
        <x:v>1</x:v>
      </x:c>
      <x:c r="W2209"/>
      <x:c r="X2209" t="str">
        <x:v>offen</x:v>
      </x:c>
      <x:c r="Y2209" t="str">
        <x:v>Agent-Draft; Kategorie und Person pruefen</x:v>
      </x:c>
    </x:row>
    <x:row r="2210">
      <x:c r="A2210" t="str">
        <x:v>TXN-RAW-IMP-20260516-FULLDRAFT-002194</x:v>
      </x:c>
      <x:c r="B2210" t="str">
        <x:v>RAW-IMP-20260516-FULLDRAFT-002194</x:v>
      </x:c>
      <x:c r="C2210" t="str">
        <x:v>KTO001</x:v>
      </x:c>
      <x:c r="D2210"/>
      <x:c r="E2210" t="str">
        <x:v>KAT013</x:v>
      </x:c>
      <x:c r="F2210"/>
      <x:c r="G2210"/>
      <x:c r="H2210" t="str">
        <x:v>kein_match</x:v>
      </x:c>
      <x:c r="I2210" t="str">
        <x:v>Agent-Draft: keine finale Regelentscheidung</x:v>
      </x:c>
      <x:c r="J2210" t="n">
        <x:v>45428</x:v>
      </x:c>
      <x:c r="K2210"/>
      <x:c r="L2210"/>
      <x:c r="M2210" t="n">
        <x:v>-23.12</x:v>
      </x:c>
      <x:c r="N2210" t="str">
        <x:v>2024-05</x:v>
      </x:c>
      <x:c r="O2210" t="str">
        <x:v>Ausgabe</x:v>
      </x:c>
      <x:c r="P2210" t="str">
        <x:v>Ist</x:v>
      </x:c>
      <x:c r="Q2210" s="59" t="b">
        <x:v>0</x:v>
      </x:c>
      <x:c r="R2210" t="str">
        <x:v>kein_transfer</x:v>
      </x:c>
      <x:c r="S2210"/>
      <x:c r="T2210"/>
      <x:c r="U2210"/>
      <x:c r="V2210" s="59" t="b">
        <x:v>1</x:v>
      </x:c>
      <x:c r="W2210"/>
      <x:c r="X2210" t="str">
        <x:v>offen</x:v>
      </x:c>
      <x:c r="Y2210" t="str">
        <x:v>Agent-Draft; Kategorie und Person pruefen</x:v>
      </x:c>
    </x:row>
    <x:row r="2211">
      <x:c r="A2211" t="str">
        <x:v>TXN-RAW-IMP-20260516-FULLDRAFT-002195</x:v>
      </x:c>
      <x:c r="B2211" t="str">
        <x:v>RAW-IMP-20260516-FULLDRAFT-002195</x:v>
      </x:c>
      <x:c r="C2211" t="str">
        <x:v>KTO001</x:v>
      </x:c>
      <x:c r="D2211"/>
      <x:c r="E2211" t="str">
        <x:v>KAT013</x:v>
      </x:c>
      <x:c r="F2211"/>
      <x:c r="G2211"/>
      <x:c r="H2211" t="str">
        <x:v>kein_match</x:v>
      </x:c>
      <x:c r="I2211" t="str">
        <x:v>Agent-Draft: keine finale Regelentscheidung</x:v>
      </x:c>
      <x:c r="J2211" t="n">
        <x:v>45428</x:v>
      </x:c>
      <x:c r="K2211"/>
      <x:c r="L2211"/>
      <x:c r="M2211" t="n">
        <x:v>1000</x:v>
      </x:c>
      <x:c r="N2211" t="str">
        <x:v>2024-05</x:v>
      </x:c>
      <x:c r="O2211" t="str">
        <x:v>Einnahme</x:v>
      </x:c>
      <x:c r="P2211" t="str">
        <x:v>Ist</x:v>
      </x:c>
      <x:c r="Q2211" s="59" t="b">
        <x:v>0</x:v>
      </x:c>
      <x:c r="R2211" t="str">
        <x:v>unklar</x:v>
      </x:c>
      <x:c r="S2211"/>
      <x:c r="T2211"/>
      <x:c r="U2211"/>
      <x:c r="V2211" s="59" t="b">
        <x:v>1</x:v>
      </x:c>
      <x:c r="W2211" t="str">
        <x:v>Transferkandidat im Draft</x:v>
      </x:c>
      <x:c r="X2211" t="str">
        <x:v>offen</x:v>
      </x:c>
      <x:c r="Y2211" t="str">
        <x:v>Agent-Draft; Kategorie und Person pruefen</x:v>
      </x:c>
    </x:row>
    <x:row r="2212">
      <x:c r="A2212" t="str">
        <x:v>TXN-RAW-IMP-20260516-FULLDRAFT-002196</x:v>
      </x:c>
      <x:c r="B2212" t="str">
        <x:v>RAW-IMP-20260516-FULLDRAFT-002196</x:v>
      </x:c>
      <x:c r="C2212" t="str">
        <x:v>KTO001</x:v>
      </x:c>
      <x:c r="D2212"/>
      <x:c r="E2212" t="str">
        <x:v>KAT013</x:v>
      </x:c>
      <x:c r="F2212"/>
      <x:c r="G2212"/>
      <x:c r="H2212" t="str">
        <x:v>kein_match</x:v>
      </x:c>
      <x:c r="I2212" t="str">
        <x:v>Agent-Draft: keine finale Regelentscheidung</x:v>
      </x:c>
      <x:c r="J2212" t="n">
        <x:v>45428</x:v>
      </x:c>
      <x:c r="K2212"/>
      <x:c r="L2212"/>
      <x:c r="M2212" t="n">
        <x:v>-6.99</x:v>
      </x:c>
      <x:c r="N2212" t="str">
        <x:v>2024-05</x:v>
      </x:c>
      <x:c r="O2212" t="str">
        <x:v>Ausgabe</x:v>
      </x:c>
      <x:c r="P2212" t="str">
        <x:v>Ist</x:v>
      </x:c>
      <x:c r="Q2212" s="59" t="b">
        <x:v>0</x:v>
      </x:c>
      <x:c r="R2212" t="str">
        <x:v>kein_transfer</x:v>
      </x:c>
      <x:c r="S2212"/>
      <x:c r="T2212"/>
      <x:c r="U2212"/>
      <x:c r="V2212" s="59" t="b">
        <x:v>1</x:v>
      </x:c>
      <x:c r="W2212"/>
      <x:c r="X2212" t="str">
        <x:v>offen</x:v>
      </x:c>
      <x:c r="Y2212" t="str">
        <x:v>Agent-Draft; Kategorie und Person pruefen</x:v>
      </x:c>
    </x:row>
    <x:row r="2213">
      <x:c r="A2213" t="str">
        <x:v>TXN-RAW-IMP-20260516-FULLDRAFT-002197</x:v>
      </x:c>
      <x:c r="B2213" t="str">
        <x:v>RAW-IMP-20260516-FULLDRAFT-002197</x:v>
      </x:c>
      <x:c r="C2213" t="str">
        <x:v>KTO001</x:v>
      </x:c>
      <x:c r="D2213"/>
      <x:c r="E2213" t="str">
        <x:v>KAT013</x:v>
      </x:c>
      <x:c r="F2213"/>
      <x:c r="G2213"/>
      <x:c r="H2213" t="str">
        <x:v>kein_match</x:v>
      </x:c>
      <x:c r="I2213" t="str">
        <x:v>Agent-Draft: keine finale Regelentscheidung</x:v>
      </x:c>
      <x:c r="J2213" t="n">
        <x:v>45428</x:v>
      </x:c>
      <x:c r="K2213"/>
      <x:c r="L2213"/>
      <x:c r="M2213" t="n">
        <x:v>-7.06</x:v>
      </x:c>
      <x:c r="N2213" t="str">
        <x:v>2024-05</x:v>
      </x:c>
      <x:c r="O2213" t="str">
        <x:v>Ausgabe</x:v>
      </x:c>
      <x:c r="P2213" t="str">
        <x:v>Ist</x:v>
      </x:c>
      <x:c r="Q2213" s="59" t="b">
        <x:v>0</x:v>
      </x:c>
      <x:c r="R2213" t="str">
        <x:v>kein_transfer</x:v>
      </x:c>
      <x:c r="S2213"/>
      <x:c r="T2213"/>
      <x:c r="U2213"/>
      <x:c r="V2213" s="59" t="b">
        <x:v>1</x:v>
      </x:c>
      <x:c r="W2213"/>
      <x:c r="X2213" t="str">
        <x:v>offen</x:v>
      </x:c>
      <x:c r="Y2213" t="str">
        <x:v>Agent-Draft; Kategorie und Person pruefen</x:v>
      </x:c>
    </x:row>
    <x:row r="2214">
      <x:c r="A2214" t="str">
        <x:v>TXN-RAW-IMP-20260516-FULLDRAFT-002198</x:v>
      </x:c>
      <x:c r="B2214" t="str">
        <x:v>RAW-IMP-20260516-FULLDRAFT-002198</x:v>
      </x:c>
      <x:c r="C2214" t="str">
        <x:v>KTO001</x:v>
      </x:c>
      <x:c r="D2214"/>
      <x:c r="E2214" t="str">
        <x:v>KAT013</x:v>
      </x:c>
      <x:c r="F2214"/>
      <x:c r="G2214"/>
      <x:c r="H2214" t="str">
        <x:v>kein_match</x:v>
      </x:c>
      <x:c r="I2214" t="str">
        <x:v>Agent-Draft: keine finale Regelentscheidung</x:v>
      </x:c>
      <x:c r="J2214" t="n">
        <x:v>45428</x:v>
      </x:c>
      <x:c r="K2214"/>
      <x:c r="L2214"/>
      <x:c r="M2214" t="n">
        <x:v>-6.99</x:v>
      </x:c>
      <x:c r="N2214" t="str">
        <x:v>2024-05</x:v>
      </x:c>
      <x:c r="O2214" t="str">
        <x:v>Ausgabe</x:v>
      </x:c>
      <x:c r="P2214" t="str">
        <x:v>Ist</x:v>
      </x:c>
      <x:c r="Q2214" s="59" t="b">
        <x:v>0</x:v>
      </x:c>
      <x:c r="R2214" t="str">
        <x:v>kein_transfer</x:v>
      </x:c>
      <x:c r="S2214"/>
      <x:c r="T2214"/>
      <x:c r="U2214"/>
      <x:c r="V2214" s="59" t="b">
        <x:v>1</x:v>
      </x:c>
      <x:c r="W2214"/>
      <x:c r="X2214" t="str">
        <x:v>offen</x:v>
      </x:c>
      <x:c r="Y2214" t="str">
        <x:v>Agent-Draft; Kategorie und Person pruefen</x:v>
      </x:c>
    </x:row>
    <x:row r="2215">
      <x:c r="A2215" t="str">
        <x:v>TXN-RAW-IMP-20260516-FULLDRAFT-002199</x:v>
      </x:c>
      <x:c r="B2215" t="str">
        <x:v>RAW-IMP-20260516-FULLDRAFT-002199</x:v>
      </x:c>
      <x:c r="C2215" t="str">
        <x:v>KTO001</x:v>
      </x:c>
      <x:c r="D2215"/>
      <x:c r="E2215" t="str">
        <x:v>KAT013</x:v>
      </x:c>
      <x:c r="F2215"/>
      <x:c r="G2215"/>
      <x:c r="H2215" t="str">
        <x:v>kein_match</x:v>
      </x:c>
      <x:c r="I2215" t="str">
        <x:v>Agent-Draft: keine finale Regelentscheidung</x:v>
      </x:c>
      <x:c r="J2215" t="n">
        <x:v>45428</x:v>
      </x:c>
      <x:c r="K2215"/>
      <x:c r="L2215"/>
      <x:c r="M2215" t="n">
        <x:v>-8.14</x:v>
      </x:c>
      <x:c r="N2215" t="str">
        <x:v>2024-05</x:v>
      </x:c>
      <x:c r="O2215" t="str">
        <x:v>Ausgabe</x:v>
      </x:c>
      <x:c r="P2215" t="str">
        <x:v>Ist</x:v>
      </x:c>
      <x:c r="Q2215" s="59" t="b">
        <x:v>0</x:v>
      </x:c>
      <x:c r="R2215" t="str">
        <x:v>kein_transfer</x:v>
      </x:c>
      <x:c r="S2215"/>
      <x:c r="T2215"/>
      <x:c r="U2215"/>
      <x:c r="V2215" s="59" t="b">
        <x:v>1</x:v>
      </x:c>
      <x:c r="W2215"/>
      <x:c r="X2215" t="str">
        <x:v>offen</x:v>
      </x:c>
      <x:c r="Y2215" t="str">
        <x:v>Agent-Draft; Kategorie und Person pruefen</x:v>
      </x:c>
    </x:row>
    <x:row r="2216">
      <x:c r="A2216" t="str">
        <x:v>TXN-RAW-IMP-20260516-FULLDRAFT-002200</x:v>
      </x:c>
      <x:c r="B2216" t="str">
        <x:v>RAW-IMP-20260516-FULLDRAFT-002200</x:v>
      </x:c>
      <x:c r="C2216" t="str">
        <x:v>KTO001</x:v>
      </x:c>
      <x:c r="D2216"/>
      <x:c r="E2216" t="str">
        <x:v>KAT013</x:v>
      </x:c>
      <x:c r="F2216"/>
      <x:c r="G2216"/>
      <x:c r="H2216" t="str">
        <x:v>kein_match</x:v>
      </x:c>
      <x:c r="I2216" t="str">
        <x:v>Agent-Draft: keine finale Regelentscheidung</x:v>
      </x:c>
      <x:c r="J2216" t="n">
        <x:v>45426</x:v>
      </x:c>
      <x:c r="K2216"/>
      <x:c r="L2216"/>
      <x:c r="M2216" t="n">
        <x:v>-112</x:v>
      </x:c>
      <x:c r="N2216" t="str">
        <x:v>2024-05</x:v>
      </x:c>
      <x:c r="O2216" t="str">
        <x:v>Ausgabe</x:v>
      </x:c>
      <x:c r="P2216" t="str">
        <x:v>Ist</x:v>
      </x:c>
      <x:c r="Q2216" s="59" t="b">
        <x:v>0</x:v>
      </x:c>
      <x:c r="R2216" t="str">
        <x:v>kein_transfer</x:v>
      </x:c>
      <x:c r="S2216"/>
      <x:c r="T2216"/>
      <x:c r="U2216"/>
      <x:c r="V2216" s="59" t="b">
        <x:v>1</x:v>
      </x:c>
      <x:c r="W2216"/>
      <x:c r="X2216" t="str">
        <x:v>offen</x:v>
      </x:c>
      <x:c r="Y2216" t="str">
        <x:v>Agent-Draft; Kategorie und Person pruefen</x:v>
      </x:c>
    </x:row>
    <x:row r="2217">
      <x:c r="A2217" t="str">
        <x:v>TXN-RAW-IMP-20260516-FULLDRAFT-002201</x:v>
      </x:c>
      <x:c r="B2217" t="str">
        <x:v>RAW-IMP-20260516-FULLDRAFT-002201</x:v>
      </x:c>
      <x:c r="C2217" t="str">
        <x:v>KTO001</x:v>
      </x:c>
      <x:c r="D2217"/>
      <x:c r="E2217" t="str">
        <x:v>KAT013</x:v>
      </x:c>
      <x:c r="F2217"/>
      <x:c r="G2217"/>
      <x:c r="H2217" t="str">
        <x:v>kein_match</x:v>
      </x:c>
      <x:c r="I2217" t="str">
        <x:v>Agent-Draft: keine finale Regelentscheidung</x:v>
      </x:c>
      <x:c r="J2217" t="n">
        <x:v>45425</x:v>
      </x:c>
      <x:c r="K2217"/>
      <x:c r="L2217"/>
      <x:c r="M2217" t="n">
        <x:v>2115</x:v>
      </x:c>
      <x:c r="N2217" t="str">
        <x:v>2024-05</x:v>
      </x:c>
      <x:c r="O2217" t="str">
        <x:v>Einnahme</x:v>
      </x:c>
      <x:c r="P2217" t="str">
        <x:v>Ist</x:v>
      </x:c>
      <x:c r="Q2217" s="59" t="b">
        <x:v>0</x:v>
      </x:c>
      <x:c r="R2217" t="str">
        <x:v>kein_transfer</x:v>
      </x:c>
      <x:c r="S2217"/>
      <x:c r="T2217"/>
      <x:c r="U2217"/>
      <x:c r="V2217" s="59" t="b">
        <x:v>1</x:v>
      </x:c>
      <x:c r="W2217"/>
      <x:c r="X2217" t="str">
        <x:v>offen</x:v>
      </x:c>
      <x:c r="Y2217" t="str">
        <x:v>Agent-Draft; Kategorie und Person pruefen</x:v>
      </x:c>
    </x:row>
    <x:row r="2218">
      <x:c r="A2218" t="str">
        <x:v>TXN-RAW-IMP-20260516-FULLDRAFT-002202</x:v>
      </x:c>
      <x:c r="B2218" t="str">
        <x:v>RAW-IMP-20260516-FULLDRAFT-002202</x:v>
      </x:c>
      <x:c r="C2218" t="str">
        <x:v>KTO001</x:v>
      </x:c>
      <x:c r="D2218"/>
      <x:c r="E2218" t="str">
        <x:v>KAT013</x:v>
      </x:c>
      <x:c r="F2218"/>
      <x:c r="G2218"/>
      <x:c r="H2218" t="str">
        <x:v>kein_match</x:v>
      </x:c>
      <x:c r="I2218" t="str">
        <x:v>Agent-Draft: keine finale Regelentscheidung</x:v>
      </x:c>
      <x:c r="J2218" t="n">
        <x:v>45425</x:v>
      </x:c>
      <x:c r="K2218"/>
      <x:c r="L2218"/>
      <x:c r="M2218" t="n">
        <x:v>-15.76</x:v>
      </x:c>
      <x:c r="N2218" t="str">
        <x:v>2024-05</x:v>
      </x:c>
      <x:c r="O2218" t="str">
        <x:v>Ausgabe</x:v>
      </x:c>
      <x:c r="P2218" t="str">
        <x:v>Ist</x:v>
      </x:c>
      <x:c r="Q2218" s="59" t="b">
        <x:v>0</x:v>
      </x:c>
      <x:c r="R2218" t="str">
        <x:v>kein_transfer</x:v>
      </x:c>
      <x:c r="S2218"/>
      <x:c r="T2218"/>
      <x:c r="U2218"/>
      <x:c r="V2218" s="59" t="b">
        <x:v>1</x:v>
      </x:c>
      <x:c r="W2218"/>
      <x:c r="X2218" t="str">
        <x:v>offen</x:v>
      </x:c>
      <x:c r="Y2218" t="str">
        <x:v>Agent-Draft; Kategorie und Person pruefen</x:v>
      </x:c>
    </x:row>
    <x:row r="2219">
      <x:c r="A2219" t="str">
        <x:v>TXN-RAW-IMP-20260516-FULLDRAFT-002203</x:v>
      </x:c>
      <x:c r="B2219" t="str">
        <x:v>RAW-IMP-20260516-FULLDRAFT-002203</x:v>
      </x:c>
      <x:c r="C2219" t="str">
        <x:v>KTO001</x:v>
      </x:c>
      <x:c r="D2219"/>
      <x:c r="E2219" t="str">
        <x:v>KAT013</x:v>
      </x:c>
      <x:c r="F2219"/>
      <x:c r="G2219"/>
      <x:c r="H2219" t="str">
        <x:v>kein_match</x:v>
      </x:c>
      <x:c r="I2219" t="str">
        <x:v>Agent-Draft: keine finale Regelentscheidung</x:v>
      </x:c>
      <x:c r="J2219" t="n">
        <x:v>45425</x:v>
      </x:c>
      <x:c r="K2219"/>
      <x:c r="L2219"/>
      <x:c r="M2219" t="n">
        <x:v>-54.32</x:v>
      </x:c>
      <x:c r="N2219" t="str">
        <x:v>2024-05</x:v>
      </x:c>
      <x:c r="O2219" t="str">
        <x:v>Ausgabe</x:v>
      </x:c>
      <x:c r="P2219" t="str">
        <x:v>Ist</x:v>
      </x:c>
      <x:c r="Q2219" s="59" t="b">
        <x:v>0</x:v>
      </x:c>
      <x:c r="R2219" t="str">
        <x:v>kein_transfer</x:v>
      </x:c>
      <x:c r="S2219"/>
      <x:c r="T2219"/>
      <x:c r="U2219"/>
      <x:c r="V2219" s="59" t="b">
        <x:v>1</x:v>
      </x:c>
      <x:c r="W2219"/>
      <x:c r="X2219" t="str">
        <x:v>offen</x:v>
      </x:c>
      <x:c r="Y2219" t="str">
        <x:v>Agent-Draft; Kategorie und Person pruefen</x:v>
      </x:c>
    </x:row>
    <x:row r="2220">
      <x:c r="A2220" t="str">
        <x:v>TXN-RAW-IMP-20260516-FULLDRAFT-002204</x:v>
      </x:c>
      <x:c r="B2220" t="str">
        <x:v>RAW-IMP-20260516-FULLDRAFT-002204</x:v>
      </x:c>
      <x:c r="C2220" t="str">
        <x:v>KTO001</x:v>
      </x:c>
      <x:c r="D2220"/>
      <x:c r="E2220" t="str">
        <x:v>KAT013</x:v>
      </x:c>
      <x:c r="F2220"/>
      <x:c r="G2220"/>
      <x:c r="H2220" t="str">
        <x:v>kein_match</x:v>
      </x:c>
      <x:c r="I2220" t="str">
        <x:v>Agent-Draft: keine finale Regelentscheidung</x:v>
      </x:c>
      <x:c r="J2220" t="n">
        <x:v>45425</x:v>
      </x:c>
      <x:c r="K2220"/>
      <x:c r="L2220"/>
      <x:c r="M2220" t="n">
        <x:v>-12.4</x:v>
      </x:c>
      <x:c r="N2220" t="str">
        <x:v>2024-05</x:v>
      </x:c>
      <x:c r="O2220" t="str">
        <x:v>Ausgabe</x:v>
      </x:c>
      <x:c r="P2220" t="str">
        <x:v>Ist</x:v>
      </x:c>
      <x:c r="Q2220" s="59" t="b">
        <x:v>0</x:v>
      </x:c>
      <x:c r="R2220" t="str">
        <x:v>kein_transfer</x:v>
      </x:c>
      <x:c r="S2220"/>
      <x:c r="T2220"/>
      <x:c r="U2220"/>
      <x:c r="V2220" s="59" t="b">
        <x:v>1</x:v>
      </x:c>
      <x:c r="W2220"/>
      <x:c r="X2220" t="str">
        <x:v>offen</x:v>
      </x:c>
      <x:c r="Y2220" t="str">
        <x:v>Agent-Draft; Kategorie und Person pruefen</x:v>
      </x:c>
    </x:row>
    <x:row r="2221">
      <x:c r="A2221" t="str">
        <x:v>TXN-RAW-IMP-20260516-FULLDRAFT-002205</x:v>
      </x:c>
      <x:c r="B2221" t="str">
        <x:v>RAW-IMP-20260516-FULLDRAFT-002205</x:v>
      </x:c>
      <x:c r="C2221" t="str">
        <x:v>KTO001</x:v>
      </x:c>
      <x:c r="D2221"/>
      <x:c r="E2221" t="str">
        <x:v>KAT013</x:v>
      </x:c>
      <x:c r="F2221"/>
      <x:c r="G2221"/>
      <x:c r="H2221" t="str">
        <x:v>kein_match</x:v>
      </x:c>
      <x:c r="I2221" t="str">
        <x:v>Agent-Draft: keine finale Regelentscheidung</x:v>
      </x:c>
      <x:c r="J2221" t="n">
        <x:v>45425</x:v>
      </x:c>
      <x:c r="K2221"/>
      <x:c r="L2221"/>
      <x:c r="M2221" t="n">
        <x:v>-69.74</x:v>
      </x:c>
      <x:c r="N2221" t="str">
        <x:v>2024-05</x:v>
      </x:c>
      <x:c r="O2221" t="str">
        <x:v>Ausgabe</x:v>
      </x:c>
      <x:c r="P2221" t="str">
        <x:v>Ist</x:v>
      </x:c>
      <x:c r="Q2221" s="59" t="b">
        <x:v>0</x:v>
      </x:c>
      <x:c r="R2221" t="str">
        <x:v>kein_transfer</x:v>
      </x:c>
      <x:c r="S2221"/>
      <x:c r="T2221"/>
      <x:c r="U2221"/>
      <x:c r="V2221" s="59" t="b">
        <x:v>1</x:v>
      </x:c>
      <x:c r="W2221"/>
      <x:c r="X2221" t="str">
        <x:v>offen</x:v>
      </x:c>
      <x:c r="Y2221" t="str">
        <x:v>Agent-Draft; Kategorie und Person pruefen</x:v>
      </x:c>
    </x:row>
    <x:row r="2222">
      <x:c r="A2222" t="str">
        <x:v>TXN-RAW-IMP-20260516-FULLDRAFT-002206</x:v>
      </x:c>
      <x:c r="B2222" t="str">
        <x:v>RAW-IMP-20260516-FULLDRAFT-002206</x:v>
      </x:c>
      <x:c r="C2222" t="str">
        <x:v>KTO001</x:v>
      </x:c>
      <x:c r="D2222"/>
      <x:c r="E2222" t="str">
        <x:v>KAT013</x:v>
      </x:c>
      <x:c r="F2222"/>
      <x:c r="G2222"/>
      <x:c r="H2222" t="str">
        <x:v>kein_match</x:v>
      </x:c>
      <x:c r="I2222" t="str">
        <x:v>Agent-Draft: keine finale Regelentscheidung</x:v>
      </x:c>
      <x:c r="J2222" t="n">
        <x:v>45425</x:v>
      </x:c>
      <x:c r="K2222"/>
      <x:c r="L2222"/>
      <x:c r="M2222" t="n">
        <x:v>-16.98</x:v>
      </x:c>
      <x:c r="N2222" t="str">
        <x:v>2024-05</x:v>
      </x:c>
      <x:c r="O2222" t="str">
        <x:v>Ausgabe</x:v>
      </x:c>
      <x:c r="P2222" t="str">
        <x:v>Ist</x:v>
      </x:c>
      <x:c r="Q2222" s="59" t="b">
        <x:v>0</x:v>
      </x:c>
      <x:c r="R2222" t="str">
        <x:v>kein_transfer</x:v>
      </x:c>
      <x:c r="S2222"/>
      <x:c r="T2222"/>
      <x:c r="U2222"/>
      <x:c r="V2222" s="59" t="b">
        <x:v>1</x:v>
      </x:c>
      <x:c r="W2222"/>
      <x:c r="X2222" t="str">
        <x:v>offen</x:v>
      </x:c>
      <x:c r="Y2222" t="str">
        <x:v>Agent-Draft; Kategorie und Person pruefen</x:v>
      </x:c>
    </x:row>
    <x:row r="2223">
      <x:c r="A2223" t="str">
        <x:v>TXN-RAW-IMP-20260516-FULLDRAFT-002207</x:v>
      </x:c>
      <x:c r="B2223" t="str">
        <x:v>RAW-IMP-20260516-FULLDRAFT-002207</x:v>
      </x:c>
      <x:c r="C2223" t="str">
        <x:v>KTO001</x:v>
      </x:c>
      <x:c r="D2223"/>
      <x:c r="E2223" t="str">
        <x:v>KAT013</x:v>
      </x:c>
      <x:c r="F2223"/>
      <x:c r="G2223"/>
      <x:c r="H2223" t="str">
        <x:v>kein_match</x:v>
      </x:c>
      <x:c r="I2223" t="str">
        <x:v>Agent-Draft: keine finale Regelentscheidung</x:v>
      </x:c>
      <x:c r="J2223" t="n">
        <x:v>45425</x:v>
      </x:c>
      <x:c r="K2223"/>
      <x:c r="L2223"/>
      <x:c r="M2223" t="n">
        <x:v>-2.07</x:v>
      </x:c>
      <x:c r="N2223" t="str">
        <x:v>2024-05</x:v>
      </x:c>
      <x:c r="O2223" t="str">
        <x:v>Ausgabe</x:v>
      </x:c>
      <x:c r="P2223" t="str">
        <x:v>Ist</x:v>
      </x:c>
      <x:c r="Q2223" s="59" t="b">
        <x:v>0</x:v>
      </x:c>
      <x:c r="R2223" t="str">
        <x:v>kein_transfer</x:v>
      </x:c>
      <x:c r="S2223"/>
      <x:c r="T2223"/>
      <x:c r="U2223"/>
      <x:c r="V2223" s="59" t="b">
        <x:v>1</x:v>
      </x:c>
      <x:c r="W2223"/>
      <x:c r="X2223" t="str">
        <x:v>offen</x:v>
      </x:c>
      <x:c r="Y2223" t="str">
        <x:v>Agent-Draft; Kategorie und Person pruefen</x:v>
      </x:c>
    </x:row>
    <x:row r="2224">
      <x:c r="A2224" t="str">
        <x:v>TXN-RAW-IMP-20260516-FULLDRAFT-002208</x:v>
      </x:c>
      <x:c r="B2224" t="str">
        <x:v>RAW-IMP-20260516-FULLDRAFT-002208</x:v>
      </x:c>
      <x:c r="C2224" t="str">
        <x:v>KTO001</x:v>
      </x:c>
      <x:c r="D2224"/>
      <x:c r="E2224" t="str">
        <x:v>KAT013</x:v>
      </x:c>
      <x:c r="F2224"/>
      <x:c r="G2224"/>
      <x:c r="H2224" t="str">
        <x:v>kein_match</x:v>
      </x:c>
      <x:c r="I2224" t="str">
        <x:v>Agent-Draft: keine finale Regelentscheidung</x:v>
      </x:c>
      <x:c r="J2224" t="n">
        <x:v>45425</x:v>
      </x:c>
      <x:c r="K2224"/>
      <x:c r="L2224"/>
      <x:c r="M2224" t="n">
        <x:v>16.98</x:v>
      </x:c>
      <x:c r="N2224" t="str">
        <x:v>2024-05</x:v>
      </x:c>
      <x:c r="O2224" t="str">
        <x:v>Einnahme</x:v>
      </x:c>
      <x:c r="P2224" t="str">
        <x:v>Ist</x:v>
      </x:c>
      <x:c r="Q2224" s="59" t="b">
        <x:v>0</x:v>
      </x:c>
      <x:c r="R2224" t="str">
        <x:v>kein_transfer</x:v>
      </x:c>
      <x:c r="S2224"/>
      <x:c r="T2224"/>
      <x:c r="U2224"/>
      <x:c r="V2224" s="59" t="b">
        <x:v>1</x:v>
      </x:c>
      <x:c r="W2224"/>
      <x:c r="X2224" t="str">
        <x:v>offen</x:v>
      </x:c>
      <x:c r="Y2224" t="str">
        <x:v>Agent-Draft; Kategorie und Person pruefen</x:v>
      </x:c>
    </x:row>
    <x:row r="2225">
      <x:c r="A2225" t="str">
        <x:v>TXN-RAW-IMP-20260516-FULLDRAFT-002209</x:v>
      </x:c>
      <x:c r="B2225" t="str">
        <x:v>RAW-IMP-20260516-FULLDRAFT-002209</x:v>
      </x:c>
      <x:c r="C2225" t="str">
        <x:v>KTO001</x:v>
      </x:c>
      <x:c r="D2225"/>
      <x:c r="E2225" t="str">
        <x:v>KAT013</x:v>
      </x:c>
      <x:c r="F2225"/>
      <x:c r="G2225"/>
      <x:c r="H2225" t="str">
        <x:v>kein_match</x:v>
      </x:c>
      <x:c r="I2225" t="str">
        <x:v>Agent-Draft: keine finale Regelentscheidung</x:v>
      </x:c>
      <x:c r="J2225" t="n">
        <x:v>45422</x:v>
      </x:c>
      <x:c r="K2225"/>
      <x:c r="L2225"/>
      <x:c r="M2225" t="n">
        <x:v>-10.92</x:v>
      </x:c>
      <x:c r="N2225" t="str">
        <x:v>2024-05</x:v>
      </x:c>
      <x:c r="O2225" t="str">
        <x:v>Ausgabe</x:v>
      </x:c>
      <x:c r="P2225" t="str">
        <x:v>Ist</x:v>
      </x:c>
      <x:c r="Q2225" s="59" t="b">
        <x:v>0</x:v>
      </x:c>
      <x:c r="R2225" t="str">
        <x:v>kein_transfer</x:v>
      </x:c>
      <x:c r="S2225"/>
      <x:c r="T2225"/>
      <x:c r="U2225"/>
      <x:c r="V2225" s="59" t="b">
        <x:v>1</x:v>
      </x:c>
      <x:c r="W2225"/>
      <x:c r="X2225" t="str">
        <x:v>offen</x:v>
      </x:c>
      <x:c r="Y2225" t="str">
        <x:v>Agent-Draft; Kategorie und Person pruefen</x:v>
      </x:c>
    </x:row>
    <x:row r="2226">
      <x:c r="A2226" t="str">
        <x:v>TXN-RAW-IMP-20260516-FULLDRAFT-002210</x:v>
      </x:c>
      <x:c r="B2226" t="str">
        <x:v>RAW-IMP-20260516-FULLDRAFT-002210</x:v>
      </x:c>
      <x:c r="C2226" t="str">
        <x:v>KTO001</x:v>
      </x:c>
      <x:c r="D2226"/>
      <x:c r="E2226" t="str">
        <x:v>KAT013</x:v>
      </x:c>
      <x:c r="F2226"/>
      <x:c r="G2226"/>
      <x:c r="H2226" t="str">
        <x:v>kein_match</x:v>
      </x:c>
      <x:c r="I2226" t="str">
        <x:v>Agent-Draft: keine finale Regelentscheidung</x:v>
      </x:c>
      <x:c r="J2226" t="n">
        <x:v>45422</x:v>
      </x:c>
      <x:c r="K2226"/>
      <x:c r="L2226"/>
      <x:c r="M2226" t="n">
        <x:v>-5.99</x:v>
      </x:c>
      <x:c r="N2226" t="str">
        <x:v>2024-05</x:v>
      </x:c>
      <x:c r="O2226" t="str">
        <x:v>Ausgabe</x:v>
      </x:c>
      <x:c r="P2226" t="str">
        <x:v>Ist</x:v>
      </x:c>
      <x:c r="Q2226" s="59" t="b">
        <x:v>0</x:v>
      </x:c>
      <x:c r="R2226" t="str">
        <x:v>kein_transfer</x:v>
      </x:c>
      <x:c r="S2226"/>
      <x:c r="T2226"/>
      <x:c r="U2226"/>
      <x:c r="V2226" s="59" t="b">
        <x:v>1</x:v>
      </x:c>
      <x:c r="W2226"/>
      <x:c r="X2226" t="str">
        <x:v>offen</x:v>
      </x:c>
      <x:c r="Y2226" t="str">
        <x:v>Agent-Draft; Kategorie und Person pruefen</x:v>
      </x:c>
    </x:row>
    <x:row r="2227">
      <x:c r="A2227" t="str">
        <x:v>TXN-RAW-IMP-20260516-FULLDRAFT-002211</x:v>
      </x:c>
      <x:c r="B2227" t="str">
        <x:v>RAW-IMP-20260516-FULLDRAFT-002211</x:v>
      </x:c>
      <x:c r="C2227" t="str">
        <x:v>KTO001</x:v>
      </x:c>
      <x:c r="D2227"/>
      <x:c r="E2227" t="str">
        <x:v>KAT013</x:v>
      </x:c>
      <x:c r="F2227"/>
      <x:c r="G2227"/>
      <x:c r="H2227" t="str">
        <x:v>kein_match</x:v>
      </x:c>
      <x:c r="I2227" t="str">
        <x:v>Agent-Draft: keine finale Regelentscheidung</x:v>
      </x:c>
      <x:c r="J2227" t="n">
        <x:v>45420</x:v>
      </x:c>
      <x:c r="K2227"/>
      <x:c r="L2227"/>
      <x:c r="M2227" t="n">
        <x:v>-3</x:v>
      </x:c>
      <x:c r="N2227" t="str">
        <x:v>2024-05</x:v>
      </x:c>
      <x:c r="O2227" t="str">
        <x:v>Ausgabe</x:v>
      </x:c>
      <x:c r="P2227" t="str">
        <x:v>Ist</x:v>
      </x:c>
      <x:c r="Q2227" s="59" t="b">
        <x:v>0</x:v>
      </x:c>
      <x:c r="R2227" t="str">
        <x:v>kein_transfer</x:v>
      </x:c>
      <x:c r="S2227"/>
      <x:c r="T2227"/>
      <x:c r="U2227"/>
      <x:c r="V2227" s="59" t="b">
        <x:v>1</x:v>
      </x:c>
      <x:c r="W2227"/>
      <x:c r="X2227" t="str">
        <x:v>offen</x:v>
      </x:c>
      <x:c r="Y2227" t="str">
        <x:v>Agent-Draft; Kategorie und Person pruefen</x:v>
      </x:c>
    </x:row>
    <x:row r="2228">
      <x:c r="A2228" t="str">
        <x:v>TXN-RAW-IMP-20260516-FULLDRAFT-002212</x:v>
      </x:c>
      <x:c r="B2228" t="str">
        <x:v>RAW-IMP-20260516-FULLDRAFT-002212</x:v>
      </x:c>
      <x:c r="C2228" t="str">
        <x:v>KTO001</x:v>
      </x:c>
      <x:c r="D2228"/>
      <x:c r="E2228" t="str">
        <x:v>KAT013</x:v>
      </x:c>
      <x:c r="F2228"/>
      <x:c r="G2228"/>
      <x:c r="H2228" t="str">
        <x:v>kein_match</x:v>
      </x:c>
      <x:c r="I2228" t="str">
        <x:v>Agent-Draft: keine finale Regelentscheidung</x:v>
      </x:c>
      <x:c r="J2228" t="n">
        <x:v>45420</x:v>
      </x:c>
      <x:c r="K2228"/>
      <x:c r="L2228"/>
      <x:c r="M2228" t="n">
        <x:v>-2.99</x:v>
      </x:c>
      <x:c r="N2228" t="str">
        <x:v>2024-05</x:v>
      </x:c>
      <x:c r="O2228" t="str">
        <x:v>Ausgabe</x:v>
      </x:c>
      <x:c r="P2228" t="str">
        <x:v>Ist</x:v>
      </x:c>
      <x:c r="Q2228" s="59" t="b">
        <x:v>0</x:v>
      </x:c>
      <x:c r="R2228" t="str">
        <x:v>kein_transfer</x:v>
      </x:c>
      <x:c r="S2228"/>
      <x:c r="T2228"/>
      <x:c r="U2228"/>
      <x:c r="V2228" s="59" t="b">
        <x:v>1</x:v>
      </x:c>
      <x:c r="W2228"/>
      <x:c r="X2228" t="str">
        <x:v>offen</x:v>
      </x:c>
      <x:c r="Y2228" t="str">
        <x:v>Agent-Draft; Kategorie und Person pruefen</x:v>
      </x:c>
    </x:row>
    <x:row r="2229">
      <x:c r="A2229" t="str">
        <x:v>TXN-RAW-IMP-20260516-FULLDRAFT-002213</x:v>
      </x:c>
      <x:c r="B2229" t="str">
        <x:v>RAW-IMP-20260516-FULLDRAFT-002213</x:v>
      </x:c>
      <x:c r="C2229" t="str">
        <x:v>KTO001</x:v>
      </x:c>
      <x:c r="D2229"/>
      <x:c r="E2229" t="str">
        <x:v>KAT013</x:v>
      </x:c>
      <x:c r="F2229"/>
      <x:c r="G2229"/>
      <x:c r="H2229" t="str">
        <x:v>kein_match</x:v>
      </x:c>
      <x:c r="I2229" t="str">
        <x:v>Agent-Draft: keine finale Regelentscheidung</x:v>
      </x:c>
      <x:c r="J2229" t="n">
        <x:v>45420</x:v>
      </x:c>
      <x:c r="K2229"/>
      <x:c r="L2229"/>
      <x:c r="M2229" t="n">
        <x:v>-59</x:v>
      </x:c>
      <x:c r="N2229" t="str">
        <x:v>2024-05</x:v>
      </x:c>
      <x:c r="O2229" t="str">
        <x:v>Ausgabe</x:v>
      </x:c>
      <x:c r="P2229" t="str">
        <x:v>Ist</x:v>
      </x:c>
      <x:c r="Q2229" s="59" t="b">
        <x:v>0</x:v>
      </x:c>
      <x:c r="R2229" t="str">
        <x:v>kein_transfer</x:v>
      </x:c>
      <x:c r="S2229"/>
      <x:c r="T2229"/>
      <x:c r="U2229"/>
      <x:c r="V2229" s="59" t="b">
        <x:v>1</x:v>
      </x:c>
      <x:c r="W2229"/>
      <x:c r="X2229" t="str">
        <x:v>offen</x:v>
      </x:c>
      <x:c r="Y2229" t="str">
        <x:v>Agent-Draft; Kategorie und Person pruefen</x:v>
      </x:c>
    </x:row>
    <x:row r="2230">
      <x:c r="A2230" t="str">
        <x:v>TXN-RAW-IMP-20260516-FULLDRAFT-002214</x:v>
      </x:c>
      <x:c r="B2230" t="str">
        <x:v>RAW-IMP-20260516-FULLDRAFT-002214</x:v>
      </x:c>
      <x:c r="C2230" t="str">
        <x:v>KTO001</x:v>
      </x:c>
      <x:c r="D2230"/>
      <x:c r="E2230" t="str">
        <x:v>KAT013</x:v>
      </x:c>
      <x:c r="F2230"/>
      <x:c r="G2230"/>
      <x:c r="H2230" t="str">
        <x:v>kein_match</x:v>
      </x:c>
      <x:c r="I2230" t="str">
        <x:v>Agent-Draft: keine finale Regelentscheidung</x:v>
      </x:c>
      <x:c r="J2230" t="n">
        <x:v>45419</x:v>
      </x:c>
      <x:c r="K2230"/>
      <x:c r="L2230"/>
      <x:c r="M2230" t="n">
        <x:v>-6.17</x:v>
      </x:c>
      <x:c r="N2230" t="str">
        <x:v>2024-05</x:v>
      </x:c>
      <x:c r="O2230" t="str">
        <x:v>Ausgabe</x:v>
      </x:c>
      <x:c r="P2230" t="str">
        <x:v>Ist</x:v>
      </x:c>
      <x:c r="Q2230" s="59" t="b">
        <x:v>0</x:v>
      </x:c>
      <x:c r="R2230" t="str">
        <x:v>kein_transfer</x:v>
      </x:c>
      <x:c r="S2230"/>
      <x:c r="T2230"/>
      <x:c r="U2230"/>
      <x:c r="V2230" s="59" t="b">
        <x:v>1</x:v>
      </x:c>
      <x:c r="W2230"/>
      <x:c r="X2230" t="str">
        <x:v>offen</x:v>
      </x:c>
      <x:c r="Y2230" t="str">
        <x:v>Agent-Draft; Kategorie und Person pruefen</x:v>
      </x:c>
    </x:row>
    <x:row r="2231">
      <x:c r="A2231" t="str">
        <x:v>TXN-RAW-IMP-20260516-FULLDRAFT-002215</x:v>
      </x:c>
      <x:c r="B2231" t="str">
        <x:v>RAW-IMP-20260516-FULLDRAFT-002215</x:v>
      </x:c>
      <x:c r="C2231" t="str">
        <x:v>KTO001</x:v>
      </x:c>
      <x:c r="D2231"/>
      <x:c r="E2231" t="str">
        <x:v>KAT013</x:v>
      </x:c>
      <x:c r="F2231"/>
      <x:c r="G2231"/>
      <x:c r="H2231" t="str">
        <x:v>kein_match</x:v>
      </x:c>
      <x:c r="I2231" t="str">
        <x:v>Agent-Draft: keine finale Regelentscheidung</x:v>
      </x:c>
      <x:c r="J2231" t="n">
        <x:v>45419</x:v>
      </x:c>
      <x:c r="K2231"/>
      <x:c r="L2231"/>
      <x:c r="M2231" t="n">
        <x:v>-61.94</x:v>
      </x:c>
      <x:c r="N2231" t="str">
        <x:v>2024-05</x:v>
      </x:c>
      <x:c r="O2231" t="str">
        <x:v>Ausgabe</x:v>
      </x:c>
      <x:c r="P2231" t="str">
        <x:v>Ist</x:v>
      </x:c>
      <x:c r="Q2231" s="59" t="b">
        <x:v>0</x:v>
      </x:c>
      <x:c r="R2231" t="str">
        <x:v>kein_transfer</x:v>
      </x:c>
      <x:c r="S2231"/>
      <x:c r="T2231"/>
      <x:c r="U2231"/>
      <x:c r="V2231" s="59" t="b">
        <x:v>1</x:v>
      </x:c>
      <x:c r="W2231"/>
      <x:c r="X2231" t="str">
        <x:v>offen</x:v>
      </x:c>
      <x:c r="Y2231" t="str">
        <x:v>Agent-Draft; Kategorie und Person pruefen</x:v>
      </x:c>
    </x:row>
    <x:row r="2232">
      <x:c r="A2232" t="str">
        <x:v>TXN-RAW-IMP-20260516-FULLDRAFT-002216</x:v>
      </x:c>
      <x:c r="B2232" t="str">
        <x:v>RAW-IMP-20260516-FULLDRAFT-002216</x:v>
      </x:c>
      <x:c r="C2232" t="str">
        <x:v>KTO001</x:v>
      </x:c>
      <x:c r="D2232"/>
      <x:c r="E2232" t="str">
        <x:v>KAT013</x:v>
      </x:c>
      <x:c r="F2232"/>
      <x:c r="G2232"/>
      <x:c r="H2232" t="str">
        <x:v>kein_match</x:v>
      </x:c>
      <x:c r="I2232" t="str">
        <x:v>Agent-Draft: keine finale Regelentscheidung</x:v>
      </x:c>
      <x:c r="J2232" t="n">
        <x:v>45418</x:v>
      </x:c>
      <x:c r="K2232"/>
      <x:c r="L2232"/>
      <x:c r="M2232" t="n">
        <x:v>-21.1</x:v>
      </x:c>
      <x:c r="N2232" t="str">
        <x:v>2024-05</x:v>
      </x:c>
      <x:c r="O2232" t="str">
        <x:v>Ausgabe</x:v>
      </x:c>
      <x:c r="P2232" t="str">
        <x:v>Ist</x:v>
      </x:c>
      <x:c r="Q2232" s="59" t="b">
        <x:v>0</x:v>
      </x:c>
      <x:c r="R2232" t="str">
        <x:v>kein_transfer</x:v>
      </x:c>
      <x:c r="S2232"/>
      <x:c r="T2232"/>
      <x:c r="U2232"/>
      <x:c r="V2232" s="59" t="b">
        <x:v>1</x:v>
      </x:c>
      <x:c r="W2232"/>
      <x:c r="X2232" t="str">
        <x:v>offen</x:v>
      </x:c>
      <x:c r="Y2232" t="str">
        <x:v>Agent-Draft; Kategorie und Person pruefen</x:v>
      </x:c>
    </x:row>
    <x:row r="2233">
      <x:c r="A2233" t="str">
        <x:v>TXN-RAW-IMP-20260516-FULLDRAFT-002217</x:v>
      </x:c>
      <x:c r="B2233" t="str">
        <x:v>RAW-IMP-20260516-FULLDRAFT-002217</x:v>
      </x:c>
      <x:c r="C2233" t="str">
        <x:v>KTO001</x:v>
      </x:c>
      <x:c r="D2233"/>
      <x:c r="E2233" t="str">
        <x:v>KAT013</x:v>
      </x:c>
      <x:c r="F2233"/>
      <x:c r="G2233"/>
      <x:c r="H2233" t="str">
        <x:v>kein_match</x:v>
      </x:c>
      <x:c r="I2233" t="str">
        <x:v>Agent-Draft: keine finale Regelentscheidung</x:v>
      </x:c>
      <x:c r="J2233" t="n">
        <x:v>45418</x:v>
      </x:c>
      <x:c r="K2233"/>
      <x:c r="L2233"/>
      <x:c r="M2233" t="n">
        <x:v>-136.52</x:v>
      </x:c>
      <x:c r="N2233" t="str">
        <x:v>2024-05</x:v>
      </x:c>
      <x:c r="O2233" t="str">
        <x:v>Ausgabe</x:v>
      </x:c>
      <x:c r="P2233" t="str">
        <x:v>Ist</x:v>
      </x:c>
      <x:c r="Q2233" s="59" t="b">
        <x:v>0</x:v>
      </x:c>
      <x:c r="R2233" t="str">
        <x:v>kein_transfer</x:v>
      </x:c>
      <x:c r="S2233"/>
      <x:c r="T2233"/>
      <x:c r="U2233"/>
      <x:c r="V2233" s="59" t="b">
        <x:v>1</x:v>
      </x:c>
      <x:c r="W2233"/>
      <x:c r="X2233" t="str">
        <x:v>offen</x:v>
      </x:c>
      <x:c r="Y2233" t="str">
        <x:v>Agent-Draft; Kategorie und Person pruefen</x:v>
      </x:c>
    </x:row>
    <x:row r="2234">
      <x:c r="A2234" t="str">
        <x:v>TXN-RAW-IMP-20260516-FULLDRAFT-002218</x:v>
      </x:c>
      <x:c r="B2234" t="str">
        <x:v>RAW-IMP-20260516-FULLDRAFT-002218</x:v>
      </x:c>
      <x:c r="C2234" t="str">
        <x:v>KTO001</x:v>
      </x:c>
      <x:c r="D2234"/>
      <x:c r="E2234" t="str">
        <x:v>KAT013</x:v>
      </x:c>
      <x:c r="F2234"/>
      <x:c r="G2234"/>
      <x:c r="H2234" t="str">
        <x:v>kein_match</x:v>
      </x:c>
      <x:c r="I2234" t="str">
        <x:v>Agent-Draft: keine finale Regelentscheidung</x:v>
      </x:c>
      <x:c r="J2234" t="n">
        <x:v>45418</x:v>
      </x:c>
      <x:c r="K2234"/>
      <x:c r="L2234"/>
      <x:c r="M2234" t="n">
        <x:v>-53.96</x:v>
      </x:c>
      <x:c r="N2234" t="str">
        <x:v>2024-05</x:v>
      </x:c>
      <x:c r="O2234" t="str">
        <x:v>Ausgabe</x:v>
      </x:c>
      <x:c r="P2234" t="str">
        <x:v>Ist</x:v>
      </x:c>
      <x:c r="Q2234" s="59" t="b">
        <x:v>0</x:v>
      </x:c>
      <x:c r="R2234" t="str">
        <x:v>kein_transfer</x:v>
      </x:c>
      <x:c r="S2234"/>
      <x:c r="T2234"/>
      <x:c r="U2234"/>
      <x:c r="V2234" s="59" t="b">
        <x:v>1</x:v>
      </x:c>
      <x:c r="W2234"/>
      <x:c r="X2234" t="str">
        <x:v>offen</x:v>
      </x:c>
      <x:c r="Y2234" t="str">
        <x:v>Agent-Draft; Kategorie und Person pruefen</x:v>
      </x:c>
    </x:row>
    <x:row r="2235">
      <x:c r="A2235" t="str">
        <x:v>TXN-RAW-IMP-20260516-FULLDRAFT-002219</x:v>
      </x:c>
      <x:c r="B2235" t="str">
        <x:v>RAW-IMP-20260516-FULLDRAFT-002219</x:v>
      </x:c>
      <x:c r="C2235" t="str">
        <x:v>KTO001</x:v>
      </x:c>
      <x:c r="D2235"/>
      <x:c r="E2235" t="str">
        <x:v>KAT013</x:v>
      </x:c>
      <x:c r="F2235"/>
      <x:c r="G2235"/>
      <x:c r="H2235" t="str">
        <x:v>kein_match</x:v>
      </x:c>
      <x:c r="I2235" t="str">
        <x:v>Agent-Draft: keine finale Regelentscheidung</x:v>
      </x:c>
      <x:c r="J2235" t="n">
        <x:v>45418</x:v>
      </x:c>
      <x:c r="K2235"/>
      <x:c r="L2235"/>
      <x:c r="M2235" t="n">
        <x:v>-32.97</x:v>
      </x:c>
      <x:c r="N2235" t="str">
        <x:v>2024-05</x:v>
      </x:c>
      <x:c r="O2235" t="str">
        <x:v>Ausgabe</x:v>
      </x:c>
      <x:c r="P2235" t="str">
        <x:v>Ist</x:v>
      </x:c>
      <x:c r="Q2235" s="59" t="b">
        <x:v>0</x:v>
      </x:c>
      <x:c r="R2235" t="str">
        <x:v>kein_transfer</x:v>
      </x:c>
      <x:c r="S2235"/>
      <x:c r="T2235"/>
      <x:c r="U2235"/>
      <x:c r="V2235" s="59" t="b">
        <x:v>1</x:v>
      </x:c>
      <x:c r="W2235"/>
      <x:c r="X2235" t="str">
        <x:v>offen</x:v>
      </x:c>
      <x:c r="Y2235" t="str">
        <x:v>Agent-Draft; Kategorie und Person pruefen</x:v>
      </x:c>
    </x:row>
    <x:row r="2236">
      <x:c r="A2236" t="str">
        <x:v>TXN-RAW-IMP-20260516-FULLDRAFT-002220</x:v>
      </x:c>
      <x:c r="B2236" t="str">
        <x:v>RAW-IMP-20260516-FULLDRAFT-002220</x:v>
      </x:c>
      <x:c r="C2236" t="str">
        <x:v>KTO001</x:v>
      </x:c>
      <x:c r="D2236"/>
      <x:c r="E2236" t="str">
        <x:v>KAT013</x:v>
      </x:c>
      <x:c r="F2236"/>
      <x:c r="G2236"/>
      <x:c r="H2236" t="str">
        <x:v>kein_match</x:v>
      </x:c>
      <x:c r="I2236" t="str">
        <x:v>Agent-Draft: keine finale Regelentscheidung</x:v>
      </x:c>
      <x:c r="J2236" t="n">
        <x:v>45418</x:v>
      </x:c>
      <x:c r="K2236"/>
      <x:c r="L2236"/>
      <x:c r="M2236" t="n">
        <x:v>-159</x:v>
      </x:c>
      <x:c r="N2236" t="str">
        <x:v>2024-05</x:v>
      </x:c>
      <x:c r="O2236" t="str">
        <x:v>Ausgabe</x:v>
      </x:c>
      <x:c r="P2236" t="str">
        <x:v>Ist</x:v>
      </x:c>
      <x:c r="Q2236" s="59" t="b">
        <x:v>0</x:v>
      </x:c>
      <x:c r="R2236" t="str">
        <x:v>kein_transfer</x:v>
      </x:c>
      <x:c r="S2236"/>
      <x:c r="T2236"/>
      <x:c r="U2236"/>
      <x:c r="V2236" s="59" t="b">
        <x:v>1</x:v>
      </x:c>
      <x:c r="W2236"/>
      <x:c r="X2236" t="str">
        <x:v>offen</x:v>
      </x:c>
      <x:c r="Y2236" t="str">
        <x:v>Agent-Draft; Kategorie und Person pruefen</x:v>
      </x:c>
    </x:row>
    <x:row r="2237">
      <x:c r="A2237" t="str">
        <x:v>TXN-RAW-IMP-20260516-FULLDRAFT-002221</x:v>
      </x:c>
      <x:c r="B2237" t="str">
        <x:v>RAW-IMP-20260516-FULLDRAFT-002221</x:v>
      </x:c>
      <x:c r="C2237" t="str">
        <x:v>KTO001</x:v>
      </x:c>
      <x:c r="D2237"/>
      <x:c r="E2237" t="str">
        <x:v>KAT013</x:v>
      </x:c>
      <x:c r="F2237"/>
      <x:c r="G2237"/>
      <x:c r="H2237" t="str">
        <x:v>kein_match</x:v>
      </x:c>
      <x:c r="I2237" t="str">
        <x:v>Agent-Draft: keine finale Regelentscheidung</x:v>
      </x:c>
      <x:c r="J2237" t="n">
        <x:v>45418</x:v>
      </x:c>
      <x:c r="K2237"/>
      <x:c r="L2237"/>
      <x:c r="M2237" t="n">
        <x:v>-0.99</x:v>
      </x:c>
      <x:c r="N2237" t="str">
        <x:v>2024-05</x:v>
      </x:c>
      <x:c r="O2237" t="str">
        <x:v>Ausgabe</x:v>
      </x:c>
      <x:c r="P2237" t="str">
        <x:v>Ist</x:v>
      </x:c>
      <x:c r="Q2237" s="59" t="b">
        <x:v>0</x:v>
      </x:c>
      <x:c r="R2237" t="str">
        <x:v>kein_transfer</x:v>
      </x:c>
      <x:c r="S2237"/>
      <x:c r="T2237"/>
      <x:c r="U2237"/>
      <x:c r="V2237" s="59" t="b">
        <x:v>1</x:v>
      </x:c>
      <x:c r="W2237"/>
      <x:c r="X2237" t="str">
        <x:v>offen</x:v>
      </x:c>
      <x:c r="Y2237" t="str">
        <x:v>Agent-Draft; Kategorie und Person pruefen</x:v>
      </x:c>
    </x:row>
    <x:row r="2238">
      <x:c r="A2238" t="str">
        <x:v>TXN-RAW-IMP-20260516-FULLDRAFT-002222</x:v>
      </x:c>
      <x:c r="B2238" t="str">
        <x:v>RAW-IMP-20260516-FULLDRAFT-002222</x:v>
      </x:c>
      <x:c r="C2238" t="str">
        <x:v>KTO001</x:v>
      </x:c>
      <x:c r="D2238"/>
      <x:c r="E2238" t="str">
        <x:v>KAT013</x:v>
      </x:c>
      <x:c r="F2238"/>
      <x:c r="G2238"/>
      <x:c r="H2238" t="str">
        <x:v>kein_match</x:v>
      </x:c>
      <x:c r="I2238" t="str">
        <x:v>Agent-Draft: keine finale Regelentscheidung</x:v>
      </x:c>
      <x:c r="J2238" t="n">
        <x:v>45418</x:v>
      </x:c>
      <x:c r="K2238"/>
      <x:c r="L2238"/>
      <x:c r="M2238" t="n">
        <x:v>-49.9</x:v>
      </x:c>
      <x:c r="N2238" t="str">
        <x:v>2024-05</x:v>
      </x:c>
      <x:c r="O2238" t="str">
        <x:v>Ausgabe</x:v>
      </x:c>
      <x:c r="P2238" t="str">
        <x:v>Ist</x:v>
      </x:c>
      <x:c r="Q2238" s="59" t="b">
        <x:v>0</x:v>
      </x:c>
      <x:c r="R2238" t="str">
        <x:v>kein_transfer</x:v>
      </x:c>
      <x:c r="S2238"/>
      <x:c r="T2238"/>
      <x:c r="U2238"/>
      <x:c r="V2238" s="59" t="b">
        <x:v>1</x:v>
      </x:c>
      <x:c r="W2238"/>
      <x:c r="X2238" t="str">
        <x:v>offen</x:v>
      </x:c>
      <x:c r="Y2238" t="str">
        <x:v>Agent-Draft; Kategorie und Person pruefen</x:v>
      </x:c>
    </x:row>
    <x:row r="2239">
      <x:c r="A2239" t="str">
        <x:v>TXN-RAW-IMP-20260516-FULLDRAFT-002223</x:v>
      </x:c>
      <x:c r="B2239" t="str">
        <x:v>RAW-IMP-20260516-FULLDRAFT-002223</x:v>
      </x:c>
      <x:c r="C2239" t="str">
        <x:v>KTO001</x:v>
      </x:c>
      <x:c r="D2239"/>
      <x:c r="E2239" t="str">
        <x:v>KAT013</x:v>
      </x:c>
      <x:c r="F2239"/>
      <x:c r="G2239"/>
      <x:c r="H2239" t="str">
        <x:v>kein_match</x:v>
      </x:c>
      <x:c r="I2239" t="str">
        <x:v>Agent-Draft: keine finale Regelentscheidung</x:v>
      </x:c>
      <x:c r="J2239" t="n">
        <x:v>45415</x:v>
      </x:c>
      <x:c r="K2239"/>
      <x:c r="L2239"/>
      <x:c r="M2239" t="n">
        <x:v>-54.5</x:v>
      </x:c>
      <x:c r="N2239" t="str">
        <x:v>2024-05</x:v>
      </x:c>
      <x:c r="O2239" t="str">
        <x:v>Ausgabe</x:v>
      </x:c>
      <x:c r="P2239" t="str">
        <x:v>Ist</x:v>
      </x:c>
      <x:c r="Q2239" s="59" t="b">
        <x:v>0</x:v>
      </x:c>
      <x:c r="R2239" t="str">
        <x:v>kein_transfer</x:v>
      </x:c>
      <x:c r="S2239"/>
      <x:c r="T2239"/>
      <x:c r="U2239"/>
      <x:c r="V2239" s="59" t="b">
        <x:v>1</x:v>
      </x:c>
      <x:c r="W2239"/>
      <x:c r="X2239" t="str">
        <x:v>offen</x:v>
      </x:c>
      <x:c r="Y2239" t="str">
        <x:v>Agent-Draft; Kategorie und Person pruefen</x:v>
      </x:c>
    </x:row>
    <x:row r="2240">
      <x:c r="A2240" t="str">
        <x:v>TXN-RAW-IMP-20260516-FULLDRAFT-002224</x:v>
      </x:c>
      <x:c r="B2240" t="str">
        <x:v>RAW-IMP-20260516-FULLDRAFT-002224</x:v>
      </x:c>
      <x:c r="C2240" t="str">
        <x:v>KTO001</x:v>
      </x:c>
      <x:c r="D2240"/>
      <x:c r="E2240" t="str">
        <x:v>KAT013</x:v>
      </x:c>
      <x:c r="F2240"/>
      <x:c r="G2240"/>
      <x:c r="H2240" t="str">
        <x:v>kein_match</x:v>
      </x:c>
      <x:c r="I2240" t="str">
        <x:v>Agent-Draft: keine finale Regelentscheidung</x:v>
      </x:c>
      <x:c r="J2240" t="n">
        <x:v>45415</x:v>
      </x:c>
      <x:c r="K2240"/>
      <x:c r="L2240"/>
      <x:c r="M2240" t="n">
        <x:v>-11.96</x:v>
      </x:c>
      <x:c r="N2240" t="str">
        <x:v>2024-05</x:v>
      </x:c>
      <x:c r="O2240" t="str">
        <x:v>Ausgabe</x:v>
      </x:c>
      <x:c r="P2240" t="str">
        <x:v>Ist</x:v>
      </x:c>
      <x:c r="Q2240" s="59" t="b">
        <x:v>0</x:v>
      </x:c>
      <x:c r="R2240" t="str">
        <x:v>kein_transfer</x:v>
      </x:c>
      <x:c r="S2240"/>
      <x:c r="T2240"/>
      <x:c r="U2240"/>
      <x:c r="V2240" s="59" t="b">
        <x:v>1</x:v>
      </x:c>
      <x:c r="W2240"/>
      <x:c r="X2240" t="str">
        <x:v>offen</x:v>
      </x:c>
      <x:c r="Y2240" t="str">
        <x:v>Agent-Draft; Kategorie und Person pruefen</x:v>
      </x:c>
    </x:row>
    <x:row r="2241">
      <x:c r="A2241" t="str">
        <x:v>TXN-RAW-IMP-20260516-FULLDRAFT-002225</x:v>
      </x:c>
      <x:c r="B2241" t="str">
        <x:v>RAW-IMP-20260516-FULLDRAFT-002225</x:v>
      </x:c>
      <x:c r="C2241" t="str">
        <x:v>KTO001</x:v>
      </x:c>
      <x:c r="D2241"/>
      <x:c r="E2241" t="str">
        <x:v>KAT013</x:v>
      </x:c>
      <x:c r="F2241"/>
      <x:c r="G2241"/>
      <x:c r="H2241" t="str">
        <x:v>kein_match</x:v>
      </x:c>
      <x:c r="I2241" t="str">
        <x:v>Agent-Draft: keine finale Regelentscheidung</x:v>
      </x:c>
      <x:c r="J2241" t="n">
        <x:v>45414</x:v>
      </x:c>
      <x:c r="K2241"/>
      <x:c r="L2241"/>
      <x:c r="M2241" t="n">
        <x:v>750</x:v>
      </x:c>
      <x:c r="N2241" t="str">
        <x:v>2024-05</x:v>
      </x:c>
      <x:c r="O2241" t="str">
        <x:v>Einnahme</x:v>
      </x:c>
      <x:c r="P2241" t="str">
        <x:v>Ist</x:v>
      </x:c>
      <x:c r="Q2241" s="59" t="b">
        <x:v>0</x:v>
      </x:c>
      <x:c r="R2241" t="str">
        <x:v>kein_transfer</x:v>
      </x:c>
      <x:c r="S2241"/>
      <x:c r="T2241"/>
      <x:c r="U2241"/>
      <x:c r="V2241" s="59" t="b">
        <x:v>1</x:v>
      </x:c>
      <x:c r="W2241"/>
      <x:c r="X2241" t="str">
        <x:v>offen</x:v>
      </x:c>
      <x:c r="Y2241" t="str">
        <x:v>Agent-Draft; Kategorie und Person pruefen</x:v>
      </x:c>
    </x:row>
    <x:row r="2242">
      <x:c r="A2242" t="str">
        <x:v>TXN-RAW-IMP-20260516-FULLDRAFT-002226</x:v>
      </x:c>
      <x:c r="B2242" t="str">
        <x:v>RAW-IMP-20260516-FULLDRAFT-002226</x:v>
      </x:c>
      <x:c r="C2242" t="str">
        <x:v>KTO001</x:v>
      </x:c>
      <x:c r="D2242"/>
      <x:c r="E2242" t="str">
        <x:v>KAT013</x:v>
      </x:c>
      <x:c r="F2242"/>
      <x:c r="G2242"/>
      <x:c r="H2242" t="str">
        <x:v>kein_match</x:v>
      </x:c>
      <x:c r="I2242" t="str">
        <x:v>Agent-Draft: keine finale Regelentscheidung</x:v>
      </x:c>
      <x:c r="J2242" t="n">
        <x:v>45414</x:v>
      </x:c>
      <x:c r="K2242"/>
      <x:c r="L2242"/>
      <x:c r="M2242" t="n">
        <x:v>-4.99</x:v>
      </x:c>
      <x:c r="N2242" t="str">
        <x:v>2024-05</x:v>
      </x:c>
      <x:c r="O2242" t="str">
        <x:v>Ausgabe</x:v>
      </x:c>
      <x:c r="P2242" t="str">
        <x:v>Ist</x:v>
      </x:c>
      <x:c r="Q2242" s="59" t="b">
        <x:v>0</x:v>
      </x:c>
      <x:c r="R2242" t="str">
        <x:v>kein_transfer</x:v>
      </x:c>
      <x:c r="S2242"/>
      <x:c r="T2242"/>
      <x:c r="U2242"/>
      <x:c r="V2242" s="59" t="b">
        <x:v>1</x:v>
      </x:c>
      <x:c r="W2242"/>
      <x:c r="X2242" t="str">
        <x:v>offen</x:v>
      </x:c>
      <x:c r="Y2242" t="str">
        <x:v>Agent-Draft; Kategorie und Person pruefen</x:v>
      </x:c>
    </x:row>
    <x:row r="2243">
      <x:c r="A2243" t="str">
        <x:v>TXN-RAW-IMP-20260516-FULLDRAFT-002227</x:v>
      </x:c>
      <x:c r="B2243" t="str">
        <x:v>RAW-IMP-20260516-FULLDRAFT-002227</x:v>
      </x:c>
      <x:c r="C2243" t="str">
        <x:v>KTO001</x:v>
      </x:c>
      <x:c r="D2243"/>
      <x:c r="E2243" t="str">
        <x:v>KAT013</x:v>
      </x:c>
      <x:c r="F2243"/>
      <x:c r="G2243"/>
      <x:c r="H2243" t="str">
        <x:v>kein_match</x:v>
      </x:c>
      <x:c r="I2243" t="str">
        <x:v>Agent-Draft: keine finale Regelentscheidung</x:v>
      </x:c>
      <x:c r="J2243" t="n">
        <x:v>45414</x:v>
      </x:c>
      <x:c r="K2243"/>
      <x:c r="L2243"/>
      <x:c r="M2243" t="n">
        <x:v>-10.08</x:v>
      </x:c>
      <x:c r="N2243" t="str">
        <x:v>2024-05</x:v>
      </x:c>
      <x:c r="O2243" t="str">
        <x:v>Ausgabe</x:v>
      </x:c>
      <x:c r="P2243" t="str">
        <x:v>Ist</x:v>
      </x:c>
      <x:c r="Q2243" s="59" t="b">
        <x:v>0</x:v>
      </x:c>
      <x:c r="R2243" t="str">
        <x:v>kein_transfer</x:v>
      </x:c>
      <x:c r="S2243"/>
      <x:c r="T2243"/>
      <x:c r="U2243"/>
      <x:c r="V2243" s="59" t="b">
        <x:v>1</x:v>
      </x:c>
      <x:c r="W2243"/>
      <x:c r="X2243" t="str">
        <x:v>offen</x:v>
      </x:c>
      <x:c r="Y2243" t="str">
        <x:v>Agent-Draft; Kategorie und Person pruefen</x:v>
      </x:c>
    </x:row>
    <x:row r="2244">
      <x:c r="A2244" t="str">
        <x:v>TXN-RAW-IMP-20260516-FULLDRAFT-002228</x:v>
      </x:c>
      <x:c r="B2244" t="str">
        <x:v>RAW-IMP-20260516-FULLDRAFT-002228</x:v>
      </x:c>
      <x:c r="C2244" t="str">
        <x:v>KTO001</x:v>
      </x:c>
      <x:c r="D2244"/>
      <x:c r="E2244" t="str">
        <x:v>KAT013</x:v>
      </x:c>
      <x:c r="F2244"/>
      <x:c r="G2244"/>
      <x:c r="H2244" t="str">
        <x:v>kein_match</x:v>
      </x:c>
      <x:c r="I2244" t="str">
        <x:v>Agent-Draft: keine finale Regelentscheidung</x:v>
      </x:c>
      <x:c r="J2244" t="n">
        <x:v>45414</x:v>
      </x:c>
      <x:c r="K2244"/>
      <x:c r="L2244"/>
      <x:c r="M2244" t="n">
        <x:v>-54</x:v>
      </x:c>
      <x:c r="N2244" t="str">
        <x:v>2024-05</x:v>
      </x:c>
      <x:c r="O2244" t="str">
        <x:v>Ausgabe</x:v>
      </x:c>
      <x:c r="P2244" t="str">
        <x:v>Ist</x:v>
      </x:c>
      <x:c r="Q2244" s="59" t="b">
        <x:v>0</x:v>
      </x:c>
      <x:c r="R2244" t="str">
        <x:v>kein_transfer</x:v>
      </x:c>
      <x:c r="S2244"/>
      <x:c r="T2244"/>
      <x:c r="U2244"/>
      <x:c r="V2244" s="59" t="b">
        <x:v>1</x:v>
      </x:c>
      <x:c r="W2244"/>
      <x:c r="X2244" t="str">
        <x:v>offen</x:v>
      </x:c>
      <x:c r="Y2244" t="str">
        <x:v>Agent-Draft; Kategorie und Person pruefen</x:v>
      </x:c>
    </x:row>
    <x:row r="2245">
      <x:c r="A2245" t="str">
        <x:v>TXN-RAW-IMP-20260516-FULLDRAFT-002229</x:v>
      </x:c>
      <x:c r="B2245" t="str">
        <x:v>RAW-IMP-20260516-FULLDRAFT-002229</x:v>
      </x:c>
      <x:c r="C2245" t="str">
        <x:v>KTO001</x:v>
      </x:c>
      <x:c r="D2245"/>
      <x:c r="E2245" t="str">
        <x:v>KAT013</x:v>
      </x:c>
      <x:c r="F2245"/>
      <x:c r="G2245"/>
      <x:c r="H2245" t="str">
        <x:v>kein_match</x:v>
      </x:c>
      <x:c r="I2245" t="str">
        <x:v>Agent-Draft: keine finale Regelentscheidung</x:v>
      </x:c>
      <x:c r="J2245" t="n">
        <x:v>45414</x:v>
      </x:c>
      <x:c r="K2245"/>
      <x:c r="L2245"/>
      <x:c r="M2245" t="n">
        <x:v>-100</x:v>
      </x:c>
      <x:c r="N2245" t="str">
        <x:v>2024-05</x:v>
      </x:c>
      <x:c r="O2245" t="str">
        <x:v>Ausgabe</x:v>
      </x:c>
      <x:c r="P2245" t="str">
        <x:v>Ist</x:v>
      </x:c>
      <x:c r="Q2245" s="59" t="b">
        <x:v>0</x:v>
      </x:c>
      <x:c r="R2245" t="str">
        <x:v>kein_transfer</x:v>
      </x:c>
      <x:c r="S2245"/>
      <x:c r="T2245"/>
      <x:c r="U2245"/>
      <x:c r="V2245" s="59" t="b">
        <x:v>1</x:v>
      </x:c>
      <x:c r="W2245"/>
      <x:c r="X2245" t="str">
        <x:v>offen</x:v>
      </x:c>
      <x:c r="Y2245" t="str">
        <x:v>Agent-Draft; Kategorie und Person pruefen</x:v>
      </x:c>
    </x:row>
    <x:row r="2246">
      <x:c r="A2246" t="str">
        <x:v>TXN-RAW-IMP-20260516-FULLDRAFT-002230</x:v>
      </x:c>
      <x:c r="B2246" t="str">
        <x:v>RAW-IMP-20260516-FULLDRAFT-002230</x:v>
      </x:c>
      <x:c r="C2246" t="str">
        <x:v>KTO001</x:v>
      </x:c>
      <x:c r="D2246"/>
      <x:c r="E2246" t="str">
        <x:v>KAT013</x:v>
      </x:c>
      <x:c r="F2246"/>
      <x:c r="G2246"/>
      <x:c r="H2246" t="str">
        <x:v>kein_match</x:v>
      </x:c>
      <x:c r="I2246" t="str">
        <x:v>Agent-Draft: keine finale Regelentscheidung</x:v>
      </x:c>
      <x:c r="J2246" t="n">
        <x:v>45414</x:v>
      </x:c>
      <x:c r="K2246"/>
      <x:c r="L2246"/>
      <x:c r="M2246" t="n">
        <x:v>-97.12</x:v>
      </x:c>
      <x:c r="N2246" t="str">
        <x:v>2024-05</x:v>
      </x:c>
      <x:c r="O2246" t="str">
        <x:v>Ausgabe</x:v>
      </x:c>
      <x:c r="P2246" t="str">
        <x:v>Ist</x:v>
      </x:c>
      <x:c r="Q2246" s="59" t="b">
        <x:v>0</x:v>
      </x:c>
      <x:c r="R2246" t="str">
        <x:v>kein_transfer</x:v>
      </x:c>
      <x:c r="S2246"/>
      <x:c r="T2246"/>
      <x:c r="U2246"/>
      <x:c r="V2246" s="59" t="b">
        <x:v>1</x:v>
      </x:c>
      <x:c r="W2246"/>
      <x:c r="X2246" t="str">
        <x:v>offen</x:v>
      </x:c>
      <x:c r="Y2246" t="str">
        <x:v>Agent-Draft; Kategorie und Person pruefen</x:v>
      </x:c>
    </x:row>
    <x:row r="2247">
      <x:c r="A2247" t="str">
        <x:v>TXN-RAW-IMP-20260516-FULLDRAFT-002231</x:v>
      </x:c>
      <x:c r="B2247" t="str">
        <x:v>RAW-IMP-20260516-FULLDRAFT-002231</x:v>
      </x:c>
      <x:c r="C2247" t="str">
        <x:v>KTO001</x:v>
      </x:c>
      <x:c r="D2247"/>
      <x:c r="E2247" t="str">
        <x:v>KAT013</x:v>
      </x:c>
      <x:c r="F2247"/>
      <x:c r="G2247"/>
      <x:c r="H2247" t="str">
        <x:v>kein_match</x:v>
      </x:c>
      <x:c r="I2247" t="str">
        <x:v>Agent-Draft: keine finale Regelentscheidung</x:v>
      </x:c>
      <x:c r="J2247" t="n">
        <x:v>45414</x:v>
      </x:c>
      <x:c r="K2247"/>
      <x:c r="L2247"/>
      <x:c r="M2247" t="n">
        <x:v>-452.71</x:v>
      </x:c>
      <x:c r="N2247" t="str">
        <x:v>2024-05</x:v>
      </x:c>
      <x:c r="O2247" t="str">
        <x:v>Ausgabe</x:v>
      </x:c>
      <x:c r="P2247" t="str">
        <x:v>Ist</x:v>
      </x:c>
      <x:c r="Q2247" s="59" t="b">
        <x:v>0</x:v>
      </x:c>
      <x:c r="R2247" t="str">
        <x:v>kein_transfer</x:v>
      </x:c>
      <x:c r="S2247"/>
      <x:c r="T2247"/>
      <x:c r="U2247"/>
      <x:c r="V2247" s="59" t="b">
        <x:v>1</x:v>
      </x:c>
      <x:c r="W2247"/>
      <x:c r="X2247" t="str">
        <x:v>offen</x:v>
      </x:c>
      <x:c r="Y2247" t="str">
        <x:v>Agent-Draft; Kategorie und Person pruefen</x:v>
      </x:c>
    </x:row>
    <x:row r="2248">
      <x:c r="A2248" t="str">
        <x:v>TXN-RAW-IMP-20260516-FULLDRAFT-002232</x:v>
      </x:c>
      <x:c r="B2248" t="str">
        <x:v>RAW-IMP-20260516-FULLDRAFT-002232</x:v>
      </x:c>
      <x:c r="C2248" t="str">
        <x:v>KTO001</x:v>
      </x:c>
      <x:c r="D2248"/>
      <x:c r="E2248" t="str">
        <x:v>KAT013</x:v>
      </x:c>
      <x:c r="F2248"/>
      <x:c r="G2248"/>
      <x:c r="H2248" t="str">
        <x:v>kein_match</x:v>
      </x:c>
      <x:c r="I2248" t="str">
        <x:v>Agent-Draft: keine finale Regelentscheidung</x:v>
      </x:c>
      <x:c r="J2248" t="n">
        <x:v>45414</x:v>
      </x:c>
      <x:c r="K2248"/>
      <x:c r="L2248"/>
      <x:c r="M2248" t="n">
        <x:v>-51.54</x:v>
      </x:c>
      <x:c r="N2248" t="str">
        <x:v>2024-05</x:v>
      </x:c>
      <x:c r="O2248" t="str">
        <x:v>Ausgabe</x:v>
      </x:c>
      <x:c r="P2248" t="str">
        <x:v>Ist</x:v>
      </x:c>
      <x:c r="Q2248" s="59" t="b">
        <x:v>0</x:v>
      </x:c>
      <x:c r="R2248" t="str">
        <x:v>kein_transfer</x:v>
      </x:c>
      <x:c r="S2248"/>
      <x:c r="T2248"/>
      <x:c r="U2248"/>
      <x:c r="V2248" s="59" t="b">
        <x:v>1</x:v>
      </x:c>
      <x:c r="W2248"/>
      <x:c r="X2248" t="str">
        <x:v>offen</x:v>
      </x:c>
      <x:c r="Y2248" t="str">
        <x:v>Agent-Draft; Kategorie und Person pruefen</x:v>
      </x:c>
    </x:row>
    <x:row r="2249">
      <x:c r="A2249" t="str">
        <x:v>TXN-RAW-IMP-20260516-FULLDRAFT-002233</x:v>
      </x:c>
      <x:c r="B2249" t="str">
        <x:v>RAW-IMP-20260516-FULLDRAFT-002233</x:v>
      </x:c>
      <x:c r="C2249" t="str">
        <x:v>KTO001</x:v>
      </x:c>
      <x:c r="D2249"/>
      <x:c r="E2249" t="str">
        <x:v>KAT013</x:v>
      </x:c>
      <x:c r="F2249"/>
      <x:c r="G2249"/>
      <x:c r="H2249" t="str">
        <x:v>kein_match</x:v>
      </x:c>
      <x:c r="I2249" t="str">
        <x:v>Agent-Draft: keine finale Regelentscheidung</x:v>
      </x:c>
      <x:c r="J2249" t="n">
        <x:v>45414</x:v>
      </x:c>
      <x:c r="K2249"/>
      <x:c r="L2249"/>
      <x:c r="M2249" t="n">
        <x:v>-66.15</x:v>
      </x:c>
      <x:c r="N2249" t="str">
        <x:v>2024-05</x:v>
      </x:c>
      <x:c r="O2249" t="str">
        <x:v>Ausgabe</x:v>
      </x:c>
      <x:c r="P2249" t="str">
        <x:v>Ist</x:v>
      </x:c>
      <x:c r="Q2249" s="59" t="b">
        <x:v>0</x:v>
      </x:c>
      <x:c r="R2249" t="str">
        <x:v>kein_transfer</x:v>
      </x:c>
      <x:c r="S2249"/>
      <x:c r="T2249"/>
      <x:c r="U2249"/>
      <x:c r="V2249" s="59" t="b">
        <x:v>1</x:v>
      </x:c>
      <x:c r="W2249"/>
      <x:c r="X2249" t="str">
        <x:v>offen</x:v>
      </x:c>
      <x:c r="Y2249" t="str">
        <x:v>Agent-Draft; Kategorie und Person pruefen</x:v>
      </x:c>
    </x:row>
    <x:row r="2250">
      <x:c r="A2250" t="str">
        <x:v>TXN-RAW-IMP-20260516-FULLDRAFT-002234</x:v>
      </x:c>
      <x:c r="B2250" t="str">
        <x:v>RAW-IMP-20260516-FULLDRAFT-002234</x:v>
      </x:c>
      <x:c r="C2250" t="str">
        <x:v>KTO001</x:v>
      </x:c>
      <x:c r="D2250"/>
      <x:c r="E2250" t="str">
        <x:v>KAT013</x:v>
      </x:c>
      <x:c r="F2250"/>
      <x:c r="G2250"/>
      <x:c r="H2250" t="str">
        <x:v>kein_match</x:v>
      </x:c>
      <x:c r="I2250" t="str">
        <x:v>Agent-Draft: keine finale Regelentscheidung</x:v>
      </x:c>
      <x:c r="J2250" t="n">
        <x:v>45414</x:v>
      </x:c>
      <x:c r="K2250"/>
      <x:c r="L2250"/>
      <x:c r="M2250" t="n">
        <x:v>-162.17</x:v>
      </x:c>
      <x:c r="N2250" t="str">
        <x:v>2024-05</x:v>
      </x:c>
      <x:c r="O2250" t="str">
        <x:v>Ausgabe</x:v>
      </x:c>
      <x:c r="P2250" t="str">
        <x:v>Ist</x:v>
      </x:c>
      <x:c r="Q2250" s="59" t="b">
        <x:v>0</x:v>
      </x:c>
      <x:c r="R2250" t="str">
        <x:v>kein_transfer</x:v>
      </x:c>
      <x:c r="S2250"/>
      <x:c r="T2250"/>
      <x:c r="U2250"/>
      <x:c r="V2250" s="59" t="b">
        <x:v>1</x:v>
      </x:c>
      <x:c r="W2250"/>
      <x:c r="X2250" t="str">
        <x:v>offen</x:v>
      </x:c>
      <x:c r="Y2250" t="str">
        <x:v>Agent-Draft; Kategorie und Person pruefen</x:v>
      </x:c>
    </x:row>
    <x:row r="2251">
      <x:c r="A2251" t="str">
        <x:v>TXN-RAW-IMP-20260516-FULLDRAFT-002235</x:v>
      </x:c>
      <x:c r="B2251" t="str">
        <x:v>RAW-IMP-20260516-FULLDRAFT-002235</x:v>
      </x:c>
      <x:c r="C2251" t="str">
        <x:v>KTO001</x:v>
      </x:c>
      <x:c r="D2251"/>
      <x:c r="E2251" t="str">
        <x:v>KAT013</x:v>
      </x:c>
      <x:c r="F2251"/>
      <x:c r="G2251"/>
      <x:c r="H2251" t="str">
        <x:v>kein_match</x:v>
      </x:c>
      <x:c r="I2251" t="str">
        <x:v>Agent-Draft: keine finale Regelentscheidung</x:v>
      </x:c>
      <x:c r="J2251" t="n">
        <x:v>45414</x:v>
      </x:c>
      <x:c r="K2251"/>
      <x:c r="L2251"/>
      <x:c r="M2251" t="n">
        <x:v>-1400</x:v>
      </x:c>
      <x:c r="N2251" t="str">
        <x:v>2024-05</x:v>
      </x:c>
      <x:c r="O2251" t="str">
        <x:v>Ausgabe</x:v>
      </x:c>
      <x:c r="P2251" t="str">
        <x:v>Ist</x:v>
      </x:c>
      <x:c r="Q2251" s="59" t="b">
        <x:v>0</x:v>
      </x:c>
      <x:c r="R2251" t="str">
        <x:v>kein_transfer</x:v>
      </x:c>
      <x:c r="S2251"/>
      <x:c r="T2251"/>
      <x:c r="U2251"/>
      <x:c r="V2251" s="59" t="b">
        <x:v>1</x:v>
      </x:c>
      <x:c r="W2251"/>
      <x:c r="X2251" t="str">
        <x:v>offen</x:v>
      </x:c>
      <x:c r="Y2251" t="str">
        <x:v>Agent-Draft; Kategorie und Person pruefen</x:v>
      </x:c>
    </x:row>
    <x:row r="2252">
      <x:c r="A2252" t="str">
        <x:v>TXN-RAW-IMP-20260516-FULLDRAFT-002236</x:v>
      </x:c>
      <x:c r="B2252" t="str">
        <x:v>RAW-IMP-20260516-FULLDRAFT-002236</x:v>
      </x:c>
      <x:c r="C2252" t="str">
        <x:v>KTO001</x:v>
      </x:c>
      <x:c r="D2252"/>
      <x:c r="E2252" t="str">
        <x:v>KAT013</x:v>
      </x:c>
      <x:c r="F2252"/>
      <x:c r="G2252"/>
      <x:c r="H2252" t="str">
        <x:v>kein_match</x:v>
      </x:c>
      <x:c r="I2252" t="str">
        <x:v>Agent-Draft: keine finale Regelentscheidung</x:v>
      </x:c>
      <x:c r="J2252" t="n">
        <x:v>45414</x:v>
      </x:c>
      <x:c r="K2252"/>
      <x:c r="L2252"/>
      <x:c r="M2252" t="n">
        <x:v>-1800</x:v>
      </x:c>
      <x:c r="N2252" t="str">
        <x:v>2024-05</x:v>
      </x:c>
      <x:c r="O2252" t="str">
        <x:v>Ausgabe</x:v>
      </x:c>
      <x:c r="P2252" t="str">
        <x:v>Ist</x:v>
      </x:c>
      <x:c r="Q2252" s="59" t="b">
        <x:v>0</x:v>
      </x:c>
      <x:c r="R2252" t="str">
        <x:v>kein_transfer</x:v>
      </x:c>
      <x:c r="S2252"/>
      <x:c r="T2252"/>
      <x:c r="U2252"/>
      <x:c r="V2252" s="59" t="b">
        <x:v>1</x:v>
      </x:c>
      <x:c r="W2252"/>
      <x:c r="X2252" t="str">
        <x:v>offen</x:v>
      </x:c>
      <x:c r="Y2252" t="str">
        <x:v>Agent-Draft; Kategorie und Person pruefen</x:v>
      </x:c>
    </x:row>
    <x:row r="2253">
      <x:c r="A2253" t="str">
        <x:v>TXN-RAW-IMP-20260516-FULLDRAFT-002237</x:v>
      </x:c>
      <x:c r="B2253" t="str">
        <x:v>RAW-IMP-20260516-FULLDRAFT-002237</x:v>
      </x:c>
      <x:c r="C2253" t="str">
        <x:v>KTO001</x:v>
      </x:c>
      <x:c r="D2253"/>
      <x:c r="E2253" t="str">
        <x:v>KAT013</x:v>
      </x:c>
      <x:c r="F2253"/>
      <x:c r="G2253"/>
      <x:c r="H2253" t="str">
        <x:v>kein_match</x:v>
      </x:c>
      <x:c r="I2253" t="str">
        <x:v>Agent-Draft: keine finale Regelentscheidung</x:v>
      </x:c>
      <x:c r="J2253" t="n">
        <x:v>45412</x:v>
      </x:c>
      <x:c r="K2253"/>
      <x:c r="L2253"/>
      <x:c r="M2253" t="n">
        <x:v>-26.74</x:v>
      </x:c>
      <x:c r="N2253" t="str">
        <x:v>2024-04</x:v>
      </x:c>
      <x:c r="O2253" t="str">
        <x:v>Ausgabe</x:v>
      </x:c>
      <x:c r="P2253" t="str">
        <x:v>Ist</x:v>
      </x:c>
      <x:c r="Q2253" s="59" t="b">
        <x:v>0</x:v>
      </x:c>
      <x:c r="R2253" t="str">
        <x:v>kein_transfer</x:v>
      </x:c>
      <x:c r="S2253"/>
      <x:c r="T2253"/>
      <x:c r="U2253"/>
      <x:c r="V2253" s="59" t="b">
        <x:v>1</x:v>
      </x:c>
      <x:c r="W2253"/>
      <x:c r="X2253" t="str">
        <x:v>offen</x:v>
      </x:c>
      <x:c r="Y2253" t="str">
        <x:v>Agent-Draft; Kategorie und Person pruefen</x:v>
      </x:c>
    </x:row>
    <x:row r="2254">
      <x:c r="A2254" t="str">
        <x:v>TXN-RAW-IMP-20260516-FULLDRAFT-002238</x:v>
      </x:c>
      <x:c r="B2254" t="str">
        <x:v>RAW-IMP-20260516-FULLDRAFT-002238</x:v>
      </x:c>
      <x:c r="C2254" t="str">
        <x:v>KTO001</x:v>
      </x:c>
      <x:c r="D2254"/>
      <x:c r="E2254" t="str">
        <x:v>KAT013</x:v>
      </x:c>
      <x:c r="F2254"/>
      <x:c r="G2254"/>
      <x:c r="H2254" t="str">
        <x:v>kein_match</x:v>
      </x:c>
      <x:c r="I2254" t="str">
        <x:v>Agent-Draft: keine finale Regelentscheidung</x:v>
      </x:c>
      <x:c r="J2254" t="n">
        <x:v>45412</x:v>
      </x:c>
      <x:c r="K2254"/>
      <x:c r="L2254"/>
      <x:c r="M2254" t="n">
        <x:v>-5.58</x:v>
      </x:c>
      <x:c r="N2254" t="str">
        <x:v>2024-04</x:v>
      </x:c>
      <x:c r="O2254" t="str">
        <x:v>Ausgabe</x:v>
      </x:c>
      <x:c r="P2254" t="str">
        <x:v>Ist</x:v>
      </x:c>
      <x:c r="Q2254" s="59" t="b">
        <x:v>0</x:v>
      </x:c>
      <x:c r="R2254" t="str">
        <x:v>kein_transfer</x:v>
      </x:c>
      <x:c r="S2254"/>
      <x:c r="T2254"/>
      <x:c r="U2254"/>
      <x:c r="V2254" s="59" t="b">
        <x:v>1</x:v>
      </x:c>
      <x:c r="W2254"/>
      <x:c r="X2254" t="str">
        <x:v>offen</x:v>
      </x:c>
      <x:c r="Y2254" t="str">
        <x:v>Agent-Draft; Kategorie und Person pruefen</x:v>
      </x:c>
    </x:row>
    <x:row r="2255">
      <x:c r="A2255" t="str">
        <x:v>TXN-RAW-IMP-20260516-FULLDRAFT-002239</x:v>
      </x:c>
      <x:c r="B2255" t="str">
        <x:v>RAW-IMP-20260516-FULLDRAFT-002239</x:v>
      </x:c>
      <x:c r="C2255" t="str">
        <x:v>KTO001</x:v>
      </x:c>
      <x:c r="D2255"/>
      <x:c r="E2255" t="str">
        <x:v>KAT013</x:v>
      </x:c>
      <x:c r="F2255"/>
      <x:c r="G2255"/>
      <x:c r="H2255" t="str">
        <x:v>kein_match</x:v>
      </x:c>
      <x:c r="I2255" t="str">
        <x:v>Agent-Draft: keine finale Regelentscheidung</x:v>
      </x:c>
      <x:c r="J2255" t="n">
        <x:v>45412</x:v>
      </x:c>
      <x:c r="K2255"/>
      <x:c r="L2255"/>
      <x:c r="M2255" t="n">
        <x:v>-422</x:v>
      </x:c>
      <x:c r="N2255" t="str">
        <x:v>2024-04</x:v>
      </x:c>
      <x:c r="O2255" t="str">
        <x:v>Ausgabe</x:v>
      </x:c>
      <x:c r="P2255" t="str">
        <x:v>Ist</x:v>
      </x:c>
      <x:c r="Q2255" s="59" t="b">
        <x:v>0</x:v>
      </x:c>
      <x:c r="R2255" t="str">
        <x:v>kein_transfer</x:v>
      </x:c>
      <x:c r="S2255"/>
      <x:c r="T2255"/>
      <x:c r="U2255"/>
      <x:c r="V2255" s="59" t="b">
        <x:v>1</x:v>
      </x:c>
      <x:c r="W2255"/>
      <x:c r="X2255" t="str">
        <x:v>offen</x:v>
      </x:c>
      <x:c r="Y2255" t="str">
        <x:v>Agent-Draft; Kategorie und Person pruefen</x:v>
      </x:c>
    </x:row>
    <x:row r="2256">
      <x:c r="A2256" t="str">
        <x:v>TXN-RAW-IMP-20260516-FULLDRAFT-002240</x:v>
      </x:c>
      <x:c r="B2256" t="str">
        <x:v>RAW-IMP-20260516-FULLDRAFT-002240</x:v>
      </x:c>
      <x:c r="C2256" t="str">
        <x:v>KTO001</x:v>
      </x:c>
      <x:c r="D2256"/>
      <x:c r="E2256" t="str">
        <x:v>KAT013</x:v>
      </x:c>
      <x:c r="F2256"/>
      <x:c r="G2256"/>
      <x:c r="H2256" t="str">
        <x:v>kein_match</x:v>
      </x:c>
      <x:c r="I2256" t="str">
        <x:v>Agent-Draft: keine finale Regelentscheidung</x:v>
      </x:c>
      <x:c r="J2256" t="n">
        <x:v>45412</x:v>
      </x:c>
      <x:c r="K2256"/>
      <x:c r="L2256"/>
      <x:c r="M2256" t="n">
        <x:v>-1153.94</x:v>
      </x:c>
      <x:c r="N2256" t="str">
        <x:v>2024-04</x:v>
      </x:c>
      <x:c r="O2256" t="str">
        <x:v>Ausgabe</x:v>
      </x:c>
      <x:c r="P2256" t="str">
        <x:v>Ist</x:v>
      </x:c>
      <x:c r="Q2256" s="59" t="b">
        <x:v>0</x:v>
      </x:c>
      <x:c r="R2256" t="str">
        <x:v>kein_transfer</x:v>
      </x:c>
      <x:c r="S2256"/>
      <x:c r="T2256"/>
      <x:c r="U2256"/>
      <x:c r="V2256" s="59" t="b">
        <x:v>1</x:v>
      </x:c>
      <x:c r="W2256"/>
      <x:c r="X2256" t="str">
        <x:v>offen</x:v>
      </x:c>
      <x:c r="Y2256" t="str">
        <x:v>Agent-Draft; Kategorie und Person pruefen</x:v>
      </x:c>
    </x:row>
    <x:row r="2257">
      <x:c r="A2257" t="str">
        <x:v>TXN-RAW-IMP-20260516-FULLDRAFT-002241</x:v>
      </x:c>
      <x:c r="B2257" t="str">
        <x:v>RAW-IMP-20260516-FULLDRAFT-002241</x:v>
      </x:c>
      <x:c r="C2257" t="str">
        <x:v>KTO001</x:v>
      </x:c>
      <x:c r="D2257"/>
      <x:c r="E2257" t="str">
        <x:v>KAT013</x:v>
      </x:c>
      <x:c r="F2257"/>
      <x:c r="G2257"/>
      <x:c r="H2257" t="str">
        <x:v>kein_match</x:v>
      </x:c>
      <x:c r="I2257" t="str">
        <x:v>Agent-Draft: keine finale Regelentscheidung</x:v>
      </x:c>
      <x:c r="J2257" t="n">
        <x:v>45411</x:v>
      </x:c>
      <x:c r="K2257"/>
      <x:c r="L2257"/>
      <x:c r="M2257" t="n">
        <x:v>7685.54</x:v>
      </x:c>
      <x:c r="N2257" t="str">
        <x:v>2024-04</x:v>
      </x:c>
      <x:c r="O2257" t="str">
        <x:v>Einnahme</x:v>
      </x:c>
      <x:c r="P2257" t="str">
        <x:v>Ist</x:v>
      </x:c>
      <x:c r="Q2257" s="59" t="b">
        <x:v>0</x:v>
      </x:c>
      <x:c r="R2257" t="str">
        <x:v>kein_transfer</x:v>
      </x:c>
      <x:c r="S2257"/>
      <x:c r="T2257"/>
      <x:c r="U2257"/>
      <x:c r="V2257" s="59" t="b">
        <x:v>1</x:v>
      </x:c>
      <x:c r="W2257"/>
      <x:c r="X2257" t="str">
        <x:v>offen</x:v>
      </x:c>
      <x:c r="Y2257" t="str">
        <x:v>Agent-Draft; Kategorie und Person pruefen</x:v>
      </x:c>
    </x:row>
    <x:row r="2258">
      <x:c r="A2258" t="str">
        <x:v>TXN-RAW-IMP-20260516-FULLDRAFT-002242</x:v>
      </x:c>
      <x:c r="B2258" t="str">
        <x:v>RAW-IMP-20260516-FULLDRAFT-002242</x:v>
      </x:c>
      <x:c r="C2258" t="str">
        <x:v>KTO001</x:v>
      </x:c>
      <x:c r="D2258"/>
      <x:c r="E2258" t="str">
        <x:v>KAT013</x:v>
      </x:c>
      <x:c r="F2258"/>
      <x:c r="G2258"/>
      <x:c r="H2258" t="str">
        <x:v>kein_match</x:v>
      </x:c>
      <x:c r="I2258" t="str">
        <x:v>Agent-Draft: keine finale Regelentscheidung</x:v>
      </x:c>
      <x:c r="J2258" t="n">
        <x:v>45411</x:v>
      </x:c>
      <x:c r="K2258"/>
      <x:c r="L2258"/>
      <x:c r="M2258" t="n">
        <x:v>-175.3</x:v>
      </x:c>
      <x:c r="N2258" t="str">
        <x:v>2024-04</x:v>
      </x:c>
      <x:c r="O2258" t="str">
        <x:v>Ausgabe</x:v>
      </x:c>
      <x:c r="P2258" t="str">
        <x:v>Ist</x:v>
      </x:c>
      <x:c r="Q2258" s="59" t="b">
        <x:v>0</x:v>
      </x:c>
      <x:c r="R2258" t="str">
        <x:v>kein_transfer</x:v>
      </x:c>
      <x:c r="S2258"/>
      <x:c r="T2258"/>
      <x:c r="U2258"/>
      <x:c r="V2258" s="59" t="b">
        <x:v>1</x:v>
      </x:c>
      <x:c r="W2258"/>
      <x:c r="X2258" t="str">
        <x:v>offen</x:v>
      </x:c>
      <x:c r="Y2258" t="str">
        <x:v>Agent-Draft; Kategorie und Person pruefen</x:v>
      </x:c>
    </x:row>
    <x:row r="2259">
      <x:c r="A2259" t="str">
        <x:v>TXN-RAW-IMP-20260516-FULLDRAFT-002243</x:v>
      </x:c>
      <x:c r="B2259" t="str">
        <x:v>RAW-IMP-20260516-FULLDRAFT-002243</x:v>
      </x:c>
      <x:c r="C2259" t="str">
        <x:v>KTO001</x:v>
      </x:c>
      <x:c r="D2259"/>
      <x:c r="E2259" t="str">
        <x:v>KAT013</x:v>
      </x:c>
      <x:c r="F2259"/>
      <x:c r="G2259"/>
      <x:c r="H2259" t="str">
        <x:v>kein_match</x:v>
      </x:c>
      <x:c r="I2259" t="str">
        <x:v>Agent-Draft: keine finale Regelentscheidung</x:v>
      </x:c>
      <x:c r="J2259" t="n">
        <x:v>45411</x:v>
      </x:c>
      <x:c r="K2259"/>
      <x:c r="L2259"/>
      <x:c r="M2259" t="n">
        <x:v>-12.9</x:v>
      </x:c>
      <x:c r="N2259" t="str">
        <x:v>2024-04</x:v>
      </x:c>
      <x:c r="O2259" t="str">
        <x:v>Ausgabe</x:v>
      </x:c>
      <x:c r="P2259" t="str">
        <x:v>Ist</x:v>
      </x:c>
      <x:c r="Q2259" s="59" t="b">
        <x:v>0</x:v>
      </x:c>
      <x:c r="R2259" t="str">
        <x:v>kein_transfer</x:v>
      </x:c>
      <x:c r="S2259"/>
      <x:c r="T2259"/>
      <x:c r="U2259"/>
      <x:c r="V2259" s="59" t="b">
        <x:v>1</x:v>
      </x:c>
      <x:c r="W2259"/>
      <x:c r="X2259" t="str">
        <x:v>offen</x:v>
      </x:c>
      <x:c r="Y2259" t="str">
        <x:v>Agent-Draft; Kategorie und Person pruefen</x:v>
      </x:c>
    </x:row>
    <x:row r="2260">
      <x:c r="A2260" t="str">
        <x:v>TXN-RAW-IMP-20260516-FULLDRAFT-002244</x:v>
      </x:c>
      <x:c r="B2260" t="str">
        <x:v>RAW-IMP-20260516-FULLDRAFT-002244</x:v>
      </x:c>
      <x:c r="C2260" t="str">
        <x:v>KTO001</x:v>
      </x:c>
      <x:c r="D2260"/>
      <x:c r="E2260" t="str">
        <x:v>KAT013</x:v>
      </x:c>
      <x:c r="F2260"/>
      <x:c r="G2260"/>
      <x:c r="H2260" t="str">
        <x:v>kein_match</x:v>
      </x:c>
      <x:c r="I2260" t="str">
        <x:v>Agent-Draft: keine finale Regelentscheidung</x:v>
      </x:c>
      <x:c r="J2260" t="n">
        <x:v>45411</x:v>
      </x:c>
      <x:c r="K2260"/>
      <x:c r="L2260"/>
      <x:c r="M2260" t="n">
        <x:v>-8.2</x:v>
      </x:c>
      <x:c r="N2260" t="str">
        <x:v>2024-04</x:v>
      </x:c>
      <x:c r="O2260" t="str">
        <x:v>Ausgabe</x:v>
      </x:c>
      <x:c r="P2260" t="str">
        <x:v>Ist</x:v>
      </x:c>
      <x:c r="Q2260" s="59" t="b">
        <x:v>0</x:v>
      </x:c>
      <x:c r="R2260" t="str">
        <x:v>kein_transfer</x:v>
      </x:c>
      <x:c r="S2260"/>
      <x:c r="T2260"/>
      <x:c r="U2260"/>
      <x:c r="V2260" s="59" t="b">
        <x:v>1</x:v>
      </x:c>
      <x:c r="W2260"/>
      <x:c r="X2260" t="str">
        <x:v>offen</x:v>
      </x:c>
      <x:c r="Y2260" t="str">
        <x:v>Agent-Draft; Kategorie und Person pruefen</x:v>
      </x:c>
    </x:row>
    <x:row r="2261">
      <x:c r="A2261" t="str">
        <x:v>TXN-RAW-IMP-20260516-FULLDRAFT-002245</x:v>
      </x:c>
      <x:c r="B2261" t="str">
        <x:v>RAW-IMP-20260516-FULLDRAFT-002245</x:v>
      </x:c>
      <x:c r="C2261" t="str">
        <x:v>KTO001</x:v>
      </x:c>
      <x:c r="D2261"/>
      <x:c r="E2261" t="str">
        <x:v>KAT013</x:v>
      </x:c>
      <x:c r="F2261"/>
      <x:c r="G2261"/>
      <x:c r="H2261" t="str">
        <x:v>kein_match</x:v>
      </x:c>
      <x:c r="I2261" t="str">
        <x:v>Agent-Draft: keine finale Regelentscheidung</x:v>
      </x:c>
      <x:c r="J2261" t="n">
        <x:v>45411</x:v>
      </x:c>
      <x:c r="K2261"/>
      <x:c r="L2261"/>
      <x:c r="M2261" t="n">
        <x:v>-49</x:v>
      </x:c>
      <x:c r="N2261" t="str">
        <x:v>2024-04</x:v>
      </x:c>
      <x:c r="O2261" t="str">
        <x:v>Ausgabe</x:v>
      </x:c>
      <x:c r="P2261" t="str">
        <x:v>Ist</x:v>
      </x:c>
      <x:c r="Q2261" s="59" t="b">
        <x:v>0</x:v>
      </x:c>
      <x:c r="R2261" t="str">
        <x:v>kein_transfer</x:v>
      </x:c>
      <x:c r="S2261"/>
      <x:c r="T2261"/>
      <x:c r="U2261"/>
      <x:c r="V2261" s="59" t="b">
        <x:v>1</x:v>
      </x:c>
      <x:c r="W2261"/>
      <x:c r="X2261" t="str">
        <x:v>offen</x:v>
      </x:c>
      <x:c r="Y2261" t="str">
        <x:v>Agent-Draft; Kategorie und Person pruefen</x:v>
      </x:c>
    </x:row>
    <x:row r="2262">
      <x:c r="A2262" t="str">
        <x:v>TXN-RAW-IMP-20260516-FULLDRAFT-002246</x:v>
      </x:c>
      <x:c r="B2262" t="str">
        <x:v>RAW-IMP-20260516-FULLDRAFT-002246</x:v>
      </x:c>
      <x:c r="C2262" t="str">
        <x:v>KTO001</x:v>
      </x:c>
      <x:c r="D2262"/>
      <x:c r="E2262" t="str">
        <x:v>KAT013</x:v>
      </x:c>
      <x:c r="F2262"/>
      <x:c r="G2262"/>
      <x:c r="H2262" t="str">
        <x:v>kein_match</x:v>
      </x:c>
      <x:c r="I2262" t="str">
        <x:v>Agent-Draft: keine finale Regelentscheidung</x:v>
      </x:c>
      <x:c r="J2262" t="n">
        <x:v>45411</x:v>
      </x:c>
      <x:c r="K2262"/>
      <x:c r="L2262"/>
      <x:c r="M2262" t="n">
        <x:v>-25.3</x:v>
      </x:c>
      <x:c r="N2262" t="str">
        <x:v>2024-04</x:v>
      </x:c>
      <x:c r="O2262" t="str">
        <x:v>Ausgabe</x:v>
      </x:c>
      <x:c r="P2262" t="str">
        <x:v>Ist</x:v>
      </x:c>
      <x:c r="Q2262" s="59" t="b">
        <x:v>0</x:v>
      </x:c>
      <x:c r="R2262" t="str">
        <x:v>kein_transfer</x:v>
      </x:c>
      <x:c r="S2262"/>
      <x:c r="T2262"/>
      <x:c r="U2262"/>
      <x:c r="V2262" s="59" t="b">
        <x:v>1</x:v>
      </x:c>
      <x:c r="W2262"/>
      <x:c r="X2262" t="str">
        <x:v>offen</x:v>
      </x:c>
      <x:c r="Y2262" t="str">
        <x:v>Agent-Draft; Kategorie und Person pruefen</x:v>
      </x:c>
    </x:row>
    <x:row r="2263">
      <x:c r="A2263" t="str">
        <x:v>TXN-RAW-IMP-20260516-FULLDRAFT-002247</x:v>
      </x:c>
      <x:c r="B2263" t="str">
        <x:v>RAW-IMP-20260516-FULLDRAFT-002247</x:v>
      </x:c>
      <x:c r="C2263" t="str">
        <x:v>KTO001</x:v>
      </x:c>
      <x:c r="D2263"/>
      <x:c r="E2263" t="str">
        <x:v>KAT013</x:v>
      </x:c>
      <x:c r="F2263"/>
      <x:c r="G2263"/>
      <x:c r="H2263" t="str">
        <x:v>kein_match</x:v>
      </x:c>
      <x:c r="I2263" t="str">
        <x:v>Agent-Draft: keine finale Regelentscheidung</x:v>
      </x:c>
      <x:c r="J2263" t="n">
        <x:v>45411</x:v>
      </x:c>
      <x:c r="K2263"/>
      <x:c r="L2263"/>
      <x:c r="M2263" t="n">
        <x:v>-2.36</x:v>
      </x:c>
      <x:c r="N2263" t="str">
        <x:v>2024-04</x:v>
      </x:c>
      <x:c r="O2263" t="str">
        <x:v>Ausgabe</x:v>
      </x:c>
      <x:c r="P2263" t="str">
        <x:v>Ist</x:v>
      </x:c>
      <x:c r="Q2263" s="59" t="b">
        <x:v>0</x:v>
      </x:c>
      <x:c r="R2263" t="str">
        <x:v>kein_transfer</x:v>
      </x:c>
      <x:c r="S2263"/>
      <x:c r="T2263"/>
      <x:c r="U2263"/>
      <x:c r="V2263" s="59" t="b">
        <x:v>1</x:v>
      </x:c>
      <x:c r="W2263"/>
      <x:c r="X2263" t="str">
        <x:v>offen</x:v>
      </x:c>
      <x:c r="Y2263" t="str">
        <x:v>Agent-Draft; Kategorie und Person pruefen</x:v>
      </x:c>
    </x:row>
    <x:row r="2264">
      <x:c r="A2264" t="str">
        <x:v>TXN-RAW-IMP-20260516-FULLDRAFT-002248</x:v>
      </x:c>
      <x:c r="B2264" t="str">
        <x:v>RAW-IMP-20260516-FULLDRAFT-002248</x:v>
      </x:c>
      <x:c r="C2264" t="str">
        <x:v>KTO001</x:v>
      </x:c>
      <x:c r="D2264"/>
      <x:c r="E2264" t="str">
        <x:v>KAT013</x:v>
      </x:c>
      <x:c r="F2264"/>
      <x:c r="G2264"/>
      <x:c r="H2264" t="str">
        <x:v>kein_match</x:v>
      </x:c>
      <x:c r="I2264" t="str">
        <x:v>Agent-Draft: keine finale Regelentscheidung</x:v>
      </x:c>
      <x:c r="J2264" t="n">
        <x:v>45408</x:v>
      </x:c>
      <x:c r="K2264"/>
      <x:c r="L2264"/>
      <x:c r="M2264" t="n">
        <x:v>-20</x:v>
      </x:c>
      <x:c r="N2264" t="str">
        <x:v>2024-04</x:v>
      </x:c>
      <x:c r="O2264" t="str">
        <x:v>Ausgabe</x:v>
      </x:c>
      <x:c r="P2264" t="str">
        <x:v>Ist</x:v>
      </x:c>
      <x:c r="Q2264" s="59" t="b">
        <x:v>0</x:v>
      </x:c>
      <x:c r="R2264" t="str">
        <x:v>kein_transfer</x:v>
      </x:c>
      <x:c r="S2264"/>
      <x:c r="T2264"/>
      <x:c r="U2264"/>
      <x:c r="V2264" s="59" t="b">
        <x:v>1</x:v>
      </x:c>
      <x:c r="W2264"/>
      <x:c r="X2264" t="str">
        <x:v>offen</x:v>
      </x:c>
      <x:c r="Y2264" t="str">
        <x:v>Agent-Draft; Kategorie und Person pruefen</x:v>
      </x:c>
    </x:row>
    <x:row r="2265">
      <x:c r="A2265" t="str">
        <x:v>TXN-RAW-IMP-20260516-FULLDRAFT-002249</x:v>
      </x:c>
      <x:c r="B2265" t="str">
        <x:v>RAW-IMP-20260516-FULLDRAFT-002249</x:v>
      </x:c>
      <x:c r="C2265" t="str">
        <x:v>KTO001</x:v>
      </x:c>
      <x:c r="D2265"/>
      <x:c r="E2265" t="str">
        <x:v>KAT013</x:v>
      </x:c>
      <x:c r="F2265"/>
      <x:c r="G2265"/>
      <x:c r="H2265" t="str">
        <x:v>kein_match</x:v>
      </x:c>
      <x:c r="I2265" t="str">
        <x:v>Agent-Draft: keine finale Regelentscheidung</x:v>
      </x:c>
      <x:c r="J2265" t="n">
        <x:v>45408</x:v>
      </x:c>
      <x:c r="K2265"/>
      <x:c r="L2265"/>
      <x:c r="M2265" t="n">
        <x:v>-1463</x:v>
      </x:c>
      <x:c r="N2265" t="str">
        <x:v>2024-04</x:v>
      </x:c>
      <x:c r="O2265" t="str">
        <x:v>Ausgabe</x:v>
      </x:c>
      <x:c r="P2265" t="str">
        <x:v>Ist</x:v>
      </x:c>
      <x:c r="Q2265" s="59" t="b">
        <x:v>0</x:v>
      </x:c>
      <x:c r="R2265" t="str">
        <x:v>kein_transfer</x:v>
      </x:c>
      <x:c r="S2265"/>
      <x:c r="T2265"/>
      <x:c r="U2265"/>
      <x:c r="V2265" s="59" t="b">
        <x:v>1</x:v>
      </x:c>
      <x:c r="W2265"/>
      <x:c r="X2265" t="str">
        <x:v>offen</x:v>
      </x:c>
      <x:c r="Y2265" t="str">
        <x:v>Agent-Draft; Kategorie und Person pruefen</x:v>
      </x:c>
    </x:row>
    <x:row r="2266">
      <x:c r="A2266" t="str">
        <x:v>TXN-RAW-IMP-20260516-FULLDRAFT-002250</x:v>
      </x:c>
      <x:c r="B2266" t="str">
        <x:v>RAW-IMP-20260516-FULLDRAFT-002250</x:v>
      </x:c>
      <x:c r="C2266" t="str">
        <x:v>KTO001</x:v>
      </x:c>
      <x:c r="D2266"/>
      <x:c r="E2266" t="str">
        <x:v>KAT013</x:v>
      </x:c>
      <x:c r="F2266"/>
      <x:c r="G2266"/>
      <x:c r="H2266" t="str">
        <x:v>kein_match</x:v>
      </x:c>
      <x:c r="I2266" t="str">
        <x:v>Agent-Draft: keine finale Regelentscheidung</x:v>
      </x:c>
      <x:c r="J2266" t="n">
        <x:v>45407</x:v>
      </x:c>
      <x:c r="K2266"/>
      <x:c r="L2266"/>
      <x:c r="M2266" t="n">
        <x:v>-21</x:v>
      </x:c>
      <x:c r="N2266" t="str">
        <x:v>2024-04</x:v>
      </x:c>
      <x:c r="O2266" t="str">
        <x:v>Ausgabe</x:v>
      </x:c>
      <x:c r="P2266" t="str">
        <x:v>Ist</x:v>
      </x:c>
      <x:c r="Q2266" s="59" t="b">
        <x:v>0</x:v>
      </x:c>
      <x:c r="R2266" t="str">
        <x:v>kein_transfer</x:v>
      </x:c>
      <x:c r="S2266"/>
      <x:c r="T2266"/>
      <x:c r="U2266"/>
      <x:c r="V2266" s="59" t="b">
        <x:v>1</x:v>
      </x:c>
      <x:c r="W2266"/>
      <x:c r="X2266" t="str">
        <x:v>offen</x:v>
      </x:c>
      <x:c r="Y2266" t="str">
        <x:v>Agent-Draft; Kategorie und Person pruefen</x:v>
      </x:c>
    </x:row>
    <x:row r="2267">
      <x:c r="A2267" t="str">
        <x:v>TXN-RAW-IMP-20260516-FULLDRAFT-002251</x:v>
      </x:c>
      <x:c r="B2267" t="str">
        <x:v>RAW-IMP-20260516-FULLDRAFT-002251</x:v>
      </x:c>
      <x:c r="C2267" t="str">
        <x:v>KTO001</x:v>
      </x:c>
      <x:c r="D2267"/>
      <x:c r="E2267" t="str">
        <x:v>KAT013</x:v>
      </x:c>
      <x:c r="F2267"/>
      <x:c r="G2267"/>
      <x:c r="H2267" t="str">
        <x:v>kein_match</x:v>
      </x:c>
      <x:c r="I2267" t="str">
        <x:v>Agent-Draft: keine finale Regelentscheidung</x:v>
      </x:c>
      <x:c r="J2267" t="n">
        <x:v>45407</x:v>
      </x:c>
      <x:c r="K2267"/>
      <x:c r="L2267"/>
      <x:c r="M2267" t="n">
        <x:v>-10.9</x:v>
      </x:c>
      <x:c r="N2267" t="str">
        <x:v>2024-04</x:v>
      </x:c>
      <x:c r="O2267" t="str">
        <x:v>Ausgabe</x:v>
      </x:c>
      <x:c r="P2267" t="str">
        <x:v>Ist</x:v>
      </x:c>
      <x:c r="Q2267" s="59" t="b">
        <x:v>0</x:v>
      </x:c>
      <x:c r="R2267" t="str">
        <x:v>kein_transfer</x:v>
      </x:c>
      <x:c r="S2267"/>
      <x:c r="T2267"/>
      <x:c r="U2267"/>
      <x:c r="V2267" s="59" t="b">
        <x:v>1</x:v>
      </x:c>
      <x:c r="W2267"/>
      <x:c r="X2267" t="str">
        <x:v>offen</x:v>
      </x:c>
      <x:c r="Y2267" t="str">
        <x:v>Agent-Draft; Kategorie und Person pruefen</x:v>
      </x:c>
    </x:row>
    <x:row r="2268">
      <x:c r="A2268" t="str">
        <x:v>TXN-RAW-IMP-20260516-FULLDRAFT-002252</x:v>
      </x:c>
      <x:c r="B2268" t="str">
        <x:v>RAW-IMP-20260516-FULLDRAFT-002252</x:v>
      </x:c>
      <x:c r="C2268" t="str">
        <x:v>KTO001</x:v>
      </x:c>
      <x:c r="D2268"/>
      <x:c r="E2268" t="str">
        <x:v>KAT013</x:v>
      </x:c>
      <x:c r="F2268"/>
      <x:c r="G2268"/>
      <x:c r="H2268" t="str">
        <x:v>kein_match</x:v>
      </x:c>
      <x:c r="I2268" t="str">
        <x:v>Agent-Draft: keine finale Regelentscheidung</x:v>
      </x:c>
      <x:c r="J2268" t="n">
        <x:v>45406</x:v>
      </x:c>
      <x:c r="K2268"/>
      <x:c r="L2268"/>
      <x:c r="M2268" t="n">
        <x:v>-50</x:v>
      </x:c>
      <x:c r="N2268" t="str">
        <x:v>2024-04</x:v>
      </x:c>
      <x:c r="O2268" t="str">
        <x:v>Ausgabe</x:v>
      </x:c>
      <x:c r="P2268" t="str">
        <x:v>Ist</x:v>
      </x:c>
      <x:c r="Q2268" s="59" t="b">
        <x:v>0</x:v>
      </x:c>
      <x:c r="R2268" t="str">
        <x:v>kein_transfer</x:v>
      </x:c>
      <x:c r="S2268"/>
      <x:c r="T2268"/>
      <x:c r="U2268"/>
      <x:c r="V2268" s="59" t="b">
        <x:v>1</x:v>
      </x:c>
      <x:c r="W2268"/>
      <x:c r="X2268" t="str">
        <x:v>offen</x:v>
      </x:c>
      <x:c r="Y2268" t="str">
        <x:v>Agent-Draft; Kategorie und Person pruefen</x:v>
      </x:c>
    </x:row>
    <x:row r="2269">
      <x:c r="A2269" t="str">
        <x:v>TXN-RAW-IMP-20260516-FULLDRAFT-002253</x:v>
      </x:c>
      <x:c r="B2269" t="str">
        <x:v>RAW-IMP-20260516-FULLDRAFT-002253</x:v>
      </x:c>
      <x:c r="C2269" t="str">
        <x:v>KTO001</x:v>
      </x:c>
      <x:c r="D2269"/>
      <x:c r="E2269" t="str">
        <x:v>KAT013</x:v>
      </x:c>
      <x:c r="F2269"/>
      <x:c r="G2269"/>
      <x:c r="H2269" t="str">
        <x:v>kein_match</x:v>
      </x:c>
      <x:c r="I2269" t="str">
        <x:v>Agent-Draft: keine finale Regelentscheidung</x:v>
      </x:c>
      <x:c r="J2269" t="n">
        <x:v>45406</x:v>
      </x:c>
      <x:c r="K2269"/>
      <x:c r="L2269"/>
      <x:c r="M2269" t="n">
        <x:v>-20</x:v>
      </x:c>
      <x:c r="N2269" t="str">
        <x:v>2024-04</x:v>
      </x:c>
      <x:c r="O2269" t="str">
        <x:v>Ausgabe</x:v>
      </x:c>
      <x:c r="P2269" t="str">
        <x:v>Ist</x:v>
      </x:c>
      <x:c r="Q2269" s="59" t="b">
        <x:v>0</x:v>
      </x:c>
      <x:c r="R2269" t="str">
        <x:v>kein_transfer</x:v>
      </x:c>
      <x:c r="S2269"/>
      <x:c r="T2269"/>
      <x:c r="U2269"/>
      <x:c r="V2269" s="59" t="b">
        <x:v>1</x:v>
      </x:c>
      <x:c r="W2269"/>
      <x:c r="X2269" t="str">
        <x:v>offen</x:v>
      </x:c>
      <x:c r="Y2269" t="str">
        <x:v>Agent-Draft; Kategorie und Person pruefen</x:v>
      </x:c>
    </x:row>
    <x:row r="2270">
      <x:c r="A2270" t="str">
        <x:v>TXN-RAW-IMP-20260516-FULLDRAFT-002254</x:v>
      </x:c>
      <x:c r="B2270" t="str">
        <x:v>RAW-IMP-20260516-FULLDRAFT-002254</x:v>
      </x:c>
      <x:c r="C2270" t="str">
        <x:v>KTO001</x:v>
      </x:c>
      <x:c r="D2270"/>
      <x:c r="E2270" t="str">
        <x:v>KAT013</x:v>
      </x:c>
      <x:c r="F2270"/>
      <x:c r="G2270"/>
      <x:c r="H2270" t="str">
        <x:v>kein_match</x:v>
      </x:c>
      <x:c r="I2270" t="str">
        <x:v>Agent-Draft: keine finale Regelentscheidung</x:v>
      </x:c>
      <x:c r="J2270" t="n">
        <x:v>45406</x:v>
      </x:c>
      <x:c r="K2270"/>
      <x:c r="L2270"/>
      <x:c r="M2270" t="n">
        <x:v>-43.22</x:v>
      </x:c>
      <x:c r="N2270" t="str">
        <x:v>2024-04</x:v>
      </x:c>
      <x:c r="O2270" t="str">
        <x:v>Ausgabe</x:v>
      </x:c>
      <x:c r="P2270" t="str">
        <x:v>Ist</x:v>
      </x:c>
      <x:c r="Q2270" s="59" t="b">
        <x:v>0</x:v>
      </x:c>
      <x:c r="R2270" t="str">
        <x:v>kein_transfer</x:v>
      </x:c>
      <x:c r="S2270"/>
      <x:c r="T2270"/>
      <x:c r="U2270"/>
      <x:c r="V2270" s="59" t="b">
        <x:v>1</x:v>
      </x:c>
      <x:c r="W2270"/>
      <x:c r="X2270" t="str">
        <x:v>offen</x:v>
      </x:c>
      <x:c r="Y2270" t="str">
        <x:v>Agent-Draft; Kategorie und Person pruefen</x:v>
      </x:c>
    </x:row>
    <x:row r="2271">
      <x:c r="A2271" t="str">
        <x:v>TXN-RAW-IMP-20260516-FULLDRAFT-002255</x:v>
      </x:c>
      <x:c r="B2271" t="str">
        <x:v>RAW-IMP-20260516-FULLDRAFT-002255</x:v>
      </x:c>
      <x:c r="C2271" t="str">
        <x:v>KTO001</x:v>
      </x:c>
      <x:c r="D2271"/>
      <x:c r="E2271" t="str">
        <x:v>KAT013</x:v>
      </x:c>
      <x:c r="F2271"/>
      <x:c r="G2271"/>
      <x:c r="H2271" t="str">
        <x:v>kein_match</x:v>
      </x:c>
      <x:c r="I2271" t="str">
        <x:v>Agent-Draft: keine finale Regelentscheidung</x:v>
      </x:c>
      <x:c r="J2271" t="n">
        <x:v>45405</x:v>
      </x:c>
      <x:c r="K2271"/>
      <x:c r="L2271"/>
      <x:c r="M2271" t="n">
        <x:v>-2.3</x:v>
      </x:c>
      <x:c r="N2271" t="str">
        <x:v>2024-04</x:v>
      </x:c>
      <x:c r="O2271" t="str">
        <x:v>Ausgabe</x:v>
      </x:c>
      <x:c r="P2271" t="str">
        <x:v>Ist</x:v>
      </x:c>
      <x:c r="Q2271" s="59" t="b">
        <x:v>0</x:v>
      </x:c>
      <x:c r="R2271" t="str">
        <x:v>kein_transfer</x:v>
      </x:c>
      <x:c r="S2271"/>
      <x:c r="T2271"/>
      <x:c r="U2271"/>
      <x:c r="V2271" s="59" t="b">
        <x:v>1</x:v>
      </x:c>
      <x:c r="W2271"/>
      <x:c r="X2271" t="str">
        <x:v>offen</x:v>
      </x:c>
      <x:c r="Y2271" t="str">
        <x:v>Agent-Draft; Kategorie und Person pruefen</x:v>
      </x:c>
    </x:row>
    <x:row r="2272">
      <x:c r="A2272" t="str">
        <x:v>TXN-RAW-IMP-20260516-FULLDRAFT-002256</x:v>
      </x:c>
      <x:c r="B2272" t="str">
        <x:v>RAW-IMP-20260516-FULLDRAFT-002256</x:v>
      </x:c>
      <x:c r="C2272" t="str">
        <x:v>KTO001</x:v>
      </x:c>
      <x:c r="D2272"/>
      <x:c r="E2272" t="str">
        <x:v>KAT013</x:v>
      </x:c>
      <x:c r="F2272"/>
      <x:c r="G2272"/>
      <x:c r="H2272" t="str">
        <x:v>kein_match</x:v>
      </x:c>
      <x:c r="I2272" t="str">
        <x:v>Agent-Draft: keine finale Regelentscheidung</x:v>
      </x:c>
      <x:c r="J2272" t="n">
        <x:v>45405</x:v>
      </x:c>
      <x:c r="K2272"/>
      <x:c r="L2272"/>
      <x:c r="M2272" t="n">
        <x:v>-64.13</x:v>
      </x:c>
      <x:c r="N2272" t="str">
        <x:v>2024-04</x:v>
      </x:c>
      <x:c r="O2272" t="str">
        <x:v>Ausgabe</x:v>
      </x:c>
      <x:c r="P2272" t="str">
        <x:v>Ist</x:v>
      </x:c>
      <x:c r="Q2272" s="59" t="b">
        <x:v>0</x:v>
      </x:c>
      <x:c r="R2272" t="str">
        <x:v>kein_transfer</x:v>
      </x:c>
      <x:c r="S2272"/>
      <x:c r="T2272"/>
      <x:c r="U2272"/>
      <x:c r="V2272" s="59" t="b">
        <x:v>1</x:v>
      </x:c>
      <x:c r="W2272"/>
      <x:c r="X2272" t="str">
        <x:v>offen</x:v>
      </x:c>
      <x:c r="Y2272" t="str">
        <x:v>Agent-Draft; Kategorie und Person pruefen</x:v>
      </x:c>
    </x:row>
    <x:row r="2273">
      <x:c r="A2273" t="str">
        <x:v>TXN-RAW-IMP-20260516-FULLDRAFT-002257</x:v>
      </x:c>
      <x:c r="B2273" t="str">
        <x:v>RAW-IMP-20260516-FULLDRAFT-002257</x:v>
      </x:c>
      <x:c r="C2273" t="str">
        <x:v>KTO001</x:v>
      </x:c>
      <x:c r="D2273"/>
      <x:c r="E2273" t="str">
        <x:v>KAT013</x:v>
      </x:c>
      <x:c r="F2273"/>
      <x:c r="G2273"/>
      <x:c r="H2273" t="str">
        <x:v>kein_match</x:v>
      </x:c>
      <x:c r="I2273" t="str">
        <x:v>Agent-Draft: keine finale Regelentscheidung</x:v>
      </x:c>
      <x:c r="J2273" t="n">
        <x:v>45405</x:v>
      </x:c>
      <x:c r="K2273"/>
      <x:c r="L2273"/>
      <x:c r="M2273" t="n">
        <x:v>2000</x:v>
      </x:c>
      <x:c r="N2273" t="str">
        <x:v>2024-04</x:v>
      </x:c>
      <x:c r="O2273" t="str">
        <x:v>Einnahme</x:v>
      </x:c>
      <x:c r="P2273" t="str">
        <x:v>Ist</x:v>
      </x:c>
      <x:c r="Q2273" s="59" t="b">
        <x:v>0</x:v>
      </x:c>
      <x:c r="R2273" t="str">
        <x:v>unklar</x:v>
      </x:c>
      <x:c r="S2273"/>
      <x:c r="T2273"/>
      <x:c r="U2273"/>
      <x:c r="V2273" s="59" t="b">
        <x:v>1</x:v>
      </x:c>
      <x:c r="W2273" t="str">
        <x:v>Transferkandidat im Draft</x:v>
      </x:c>
      <x:c r="X2273" t="str">
        <x:v>offen</x:v>
      </x:c>
      <x:c r="Y2273" t="str">
        <x:v>Agent-Draft; Kategorie und Person pruefen</x:v>
      </x:c>
    </x:row>
    <x:row r="2274">
      <x:c r="A2274" t="str">
        <x:v>TXN-RAW-IMP-20260516-FULLDRAFT-002258</x:v>
      </x:c>
      <x:c r="B2274" t="str">
        <x:v>RAW-IMP-20260516-FULLDRAFT-002258</x:v>
      </x:c>
      <x:c r="C2274" t="str">
        <x:v>KTO001</x:v>
      </x:c>
      <x:c r="D2274"/>
      <x:c r="E2274" t="str">
        <x:v>KAT013</x:v>
      </x:c>
      <x:c r="F2274"/>
      <x:c r="G2274"/>
      <x:c r="H2274" t="str">
        <x:v>kein_match</x:v>
      </x:c>
      <x:c r="I2274" t="str">
        <x:v>Agent-Draft: keine finale Regelentscheidung</x:v>
      </x:c>
      <x:c r="J2274" t="n">
        <x:v>45405</x:v>
      </x:c>
      <x:c r="K2274"/>
      <x:c r="L2274"/>
      <x:c r="M2274" t="n">
        <x:v>-18.14</x:v>
      </x:c>
      <x:c r="N2274" t="str">
        <x:v>2024-04</x:v>
      </x:c>
      <x:c r="O2274" t="str">
        <x:v>Ausgabe</x:v>
      </x:c>
      <x:c r="P2274" t="str">
        <x:v>Ist</x:v>
      </x:c>
      <x:c r="Q2274" s="59" t="b">
        <x:v>0</x:v>
      </x:c>
      <x:c r="R2274" t="str">
        <x:v>kein_transfer</x:v>
      </x:c>
      <x:c r="S2274"/>
      <x:c r="T2274"/>
      <x:c r="U2274"/>
      <x:c r="V2274" s="59" t="b">
        <x:v>1</x:v>
      </x:c>
      <x:c r="W2274"/>
      <x:c r="X2274" t="str">
        <x:v>offen</x:v>
      </x:c>
      <x:c r="Y2274" t="str">
        <x:v>Agent-Draft; Kategorie und Person pruefen</x:v>
      </x:c>
    </x:row>
    <x:row r="2275">
      <x:c r="A2275" t="str">
        <x:v>TXN-RAW-IMP-20260516-FULLDRAFT-002259</x:v>
      </x:c>
      <x:c r="B2275" t="str">
        <x:v>RAW-IMP-20260516-FULLDRAFT-002259</x:v>
      </x:c>
      <x:c r="C2275" t="str">
        <x:v>KTO001</x:v>
      </x:c>
      <x:c r="D2275"/>
      <x:c r="E2275" t="str">
        <x:v>KAT013</x:v>
      </x:c>
      <x:c r="F2275"/>
      <x:c r="G2275"/>
      <x:c r="H2275" t="str">
        <x:v>kein_match</x:v>
      </x:c>
      <x:c r="I2275" t="str">
        <x:v>Agent-Draft: keine finale Regelentscheidung</x:v>
      </x:c>
      <x:c r="J2275" t="n">
        <x:v>45404</x:v>
      </x:c>
      <x:c r="K2275"/>
      <x:c r="L2275"/>
      <x:c r="M2275" t="n">
        <x:v>-2.58</x:v>
      </x:c>
      <x:c r="N2275" t="str">
        <x:v>2024-04</x:v>
      </x:c>
      <x:c r="O2275" t="str">
        <x:v>Ausgabe</x:v>
      </x:c>
      <x:c r="P2275" t="str">
        <x:v>Ist</x:v>
      </x:c>
      <x:c r="Q2275" s="59" t="b">
        <x:v>0</x:v>
      </x:c>
      <x:c r="R2275" t="str">
        <x:v>kein_transfer</x:v>
      </x:c>
      <x:c r="S2275"/>
      <x:c r="T2275"/>
      <x:c r="U2275"/>
      <x:c r="V2275" s="59" t="b">
        <x:v>1</x:v>
      </x:c>
      <x:c r="W2275"/>
      <x:c r="X2275" t="str">
        <x:v>offen</x:v>
      </x:c>
      <x:c r="Y2275" t="str">
        <x:v>Agent-Draft; Kategorie und Person pruefen</x:v>
      </x:c>
    </x:row>
    <x:row r="2276">
      <x:c r="A2276" t="str">
        <x:v>TXN-RAW-IMP-20260516-FULLDRAFT-002260</x:v>
      </x:c>
      <x:c r="B2276" t="str">
        <x:v>RAW-IMP-20260516-FULLDRAFT-002260</x:v>
      </x:c>
      <x:c r="C2276" t="str">
        <x:v>KTO001</x:v>
      </x:c>
      <x:c r="D2276"/>
      <x:c r="E2276" t="str">
        <x:v>KAT013</x:v>
      </x:c>
      <x:c r="F2276"/>
      <x:c r="G2276"/>
      <x:c r="H2276" t="str">
        <x:v>kein_match</x:v>
      </x:c>
      <x:c r="I2276" t="str">
        <x:v>Agent-Draft: keine finale Regelentscheidung</x:v>
      </x:c>
      <x:c r="J2276" t="n">
        <x:v>45404</x:v>
      </x:c>
      <x:c r="K2276"/>
      <x:c r="L2276"/>
      <x:c r="M2276" t="n">
        <x:v>-7.22</x:v>
      </x:c>
      <x:c r="N2276" t="str">
        <x:v>2024-04</x:v>
      </x:c>
      <x:c r="O2276" t="str">
        <x:v>Ausgabe</x:v>
      </x:c>
      <x:c r="P2276" t="str">
        <x:v>Ist</x:v>
      </x:c>
      <x:c r="Q2276" s="59" t="b">
        <x:v>0</x:v>
      </x:c>
      <x:c r="R2276" t="str">
        <x:v>kein_transfer</x:v>
      </x:c>
      <x:c r="S2276"/>
      <x:c r="T2276"/>
      <x:c r="U2276"/>
      <x:c r="V2276" s="59" t="b">
        <x:v>1</x:v>
      </x:c>
      <x:c r="W2276"/>
      <x:c r="X2276" t="str">
        <x:v>offen</x:v>
      </x:c>
      <x:c r="Y2276" t="str">
        <x:v>Agent-Draft; Kategorie und Person pruefen</x:v>
      </x:c>
    </x:row>
    <x:row r="2277">
      <x:c r="A2277" t="str">
        <x:v>TXN-RAW-IMP-20260516-FULLDRAFT-002261</x:v>
      </x:c>
      <x:c r="B2277" t="str">
        <x:v>RAW-IMP-20260516-FULLDRAFT-002261</x:v>
      </x:c>
      <x:c r="C2277" t="str">
        <x:v>KTO001</x:v>
      </x:c>
      <x:c r="D2277"/>
      <x:c r="E2277" t="str">
        <x:v>KAT013</x:v>
      </x:c>
      <x:c r="F2277"/>
      <x:c r="G2277"/>
      <x:c r="H2277" t="str">
        <x:v>kein_match</x:v>
      </x:c>
      <x:c r="I2277" t="str">
        <x:v>Agent-Draft: keine finale Regelentscheidung</x:v>
      </x:c>
      <x:c r="J2277" t="n">
        <x:v>45404</x:v>
      </x:c>
      <x:c r="K2277"/>
      <x:c r="L2277"/>
      <x:c r="M2277" t="n">
        <x:v>-1.48</x:v>
      </x:c>
      <x:c r="N2277" t="str">
        <x:v>2024-04</x:v>
      </x:c>
      <x:c r="O2277" t="str">
        <x:v>Ausgabe</x:v>
      </x:c>
      <x:c r="P2277" t="str">
        <x:v>Ist</x:v>
      </x:c>
      <x:c r="Q2277" s="59" t="b">
        <x:v>0</x:v>
      </x:c>
      <x:c r="R2277" t="str">
        <x:v>kein_transfer</x:v>
      </x:c>
      <x:c r="S2277"/>
      <x:c r="T2277"/>
      <x:c r="U2277"/>
      <x:c r="V2277" s="59" t="b">
        <x:v>1</x:v>
      </x:c>
      <x:c r="W2277"/>
      <x:c r="X2277" t="str">
        <x:v>offen</x:v>
      </x:c>
      <x:c r="Y2277" t="str">
        <x:v>Agent-Draft; Kategorie und Person pruefen</x:v>
      </x:c>
    </x:row>
    <x:row r="2278">
      <x:c r="A2278" t="str">
        <x:v>TXN-RAW-IMP-20260516-FULLDRAFT-002262</x:v>
      </x:c>
      <x:c r="B2278" t="str">
        <x:v>RAW-IMP-20260516-FULLDRAFT-002262</x:v>
      </x:c>
      <x:c r="C2278" t="str">
        <x:v>KTO001</x:v>
      </x:c>
      <x:c r="D2278"/>
      <x:c r="E2278" t="str">
        <x:v>KAT013</x:v>
      </x:c>
      <x:c r="F2278"/>
      <x:c r="G2278"/>
      <x:c r="H2278" t="str">
        <x:v>kein_match</x:v>
      </x:c>
      <x:c r="I2278" t="str">
        <x:v>Agent-Draft: keine finale Regelentscheidung</x:v>
      </x:c>
      <x:c r="J2278" t="n">
        <x:v>45404</x:v>
      </x:c>
      <x:c r="K2278"/>
      <x:c r="L2278"/>
      <x:c r="M2278" t="n">
        <x:v>-15.55</x:v>
      </x:c>
      <x:c r="N2278" t="str">
        <x:v>2024-04</x:v>
      </x:c>
      <x:c r="O2278" t="str">
        <x:v>Ausgabe</x:v>
      </x:c>
      <x:c r="P2278" t="str">
        <x:v>Ist</x:v>
      </x:c>
      <x:c r="Q2278" s="59" t="b">
        <x:v>0</x:v>
      </x:c>
      <x:c r="R2278" t="str">
        <x:v>kein_transfer</x:v>
      </x:c>
      <x:c r="S2278"/>
      <x:c r="T2278"/>
      <x:c r="U2278"/>
      <x:c r="V2278" s="59" t="b">
        <x:v>1</x:v>
      </x:c>
      <x:c r="W2278"/>
      <x:c r="X2278" t="str">
        <x:v>offen</x:v>
      </x:c>
      <x:c r="Y2278" t="str">
        <x:v>Agent-Draft; Kategorie und Person pruefen</x:v>
      </x:c>
    </x:row>
    <x:row r="2279">
      <x:c r="A2279" t="str">
        <x:v>TXN-RAW-IMP-20260516-FULLDRAFT-002263</x:v>
      </x:c>
      <x:c r="B2279" t="str">
        <x:v>RAW-IMP-20260516-FULLDRAFT-002263</x:v>
      </x:c>
      <x:c r="C2279" t="str">
        <x:v>KTO001</x:v>
      </x:c>
      <x:c r="D2279"/>
      <x:c r="E2279" t="str">
        <x:v>KAT013</x:v>
      </x:c>
      <x:c r="F2279"/>
      <x:c r="G2279"/>
      <x:c r="H2279" t="str">
        <x:v>kein_match</x:v>
      </x:c>
      <x:c r="I2279" t="str">
        <x:v>Agent-Draft: keine finale Regelentscheidung</x:v>
      </x:c>
      <x:c r="J2279" t="n">
        <x:v>45404</x:v>
      </x:c>
      <x:c r="K2279"/>
      <x:c r="L2279"/>
      <x:c r="M2279" t="n">
        <x:v>-14.48</x:v>
      </x:c>
      <x:c r="N2279" t="str">
        <x:v>2024-04</x:v>
      </x:c>
      <x:c r="O2279" t="str">
        <x:v>Ausgabe</x:v>
      </x:c>
      <x:c r="P2279" t="str">
        <x:v>Ist</x:v>
      </x:c>
      <x:c r="Q2279" s="59" t="b">
        <x:v>0</x:v>
      </x:c>
      <x:c r="R2279" t="str">
        <x:v>kein_transfer</x:v>
      </x:c>
      <x:c r="S2279"/>
      <x:c r="T2279"/>
      <x:c r="U2279"/>
      <x:c r="V2279" s="59" t="b">
        <x:v>1</x:v>
      </x:c>
      <x:c r="W2279"/>
      <x:c r="X2279" t="str">
        <x:v>offen</x:v>
      </x:c>
      <x:c r="Y2279" t="str">
        <x:v>Agent-Draft; Kategorie und Person pruefen</x:v>
      </x:c>
    </x:row>
    <x:row r="2280">
      <x:c r="A2280" t="str">
        <x:v>TXN-RAW-IMP-20260516-FULLDRAFT-002264</x:v>
      </x:c>
      <x:c r="B2280" t="str">
        <x:v>RAW-IMP-20260516-FULLDRAFT-002264</x:v>
      </x:c>
      <x:c r="C2280" t="str">
        <x:v>KTO001</x:v>
      </x:c>
      <x:c r="D2280"/>
      <x:c r="E2280" t="str">
        <x:v>KAT013</x:v>
      </x:c>
      <x:c r="F2280"/>
      <x:c r="G2280"/>
      <x:c r="H2280" t="str">
        <x:v>kein_match</x:v>
      </x:c>
      <x:c r="I2280" t="str">
        <x:v>Agent-Draft: keine finale Regelentscheidung</x:v>
      </x:c>
      <x:c r="J2280" t="n">
        <x:v>45404</x:v>
      </x:c>
      <x:c r="K2280"/>
      <x:c r="L2280"/>
      <x:c r="M2280" t="n">
        <x:v>-2.59</x:v>
      </x:c>
      <x:c r="N2280" t="str">
        <x:v>2024-04</x:v>
      </x:c>
      <x:c r="O2280" t="str">
        <x:v>Ausgabe</x:v>
      </x:c>
      <x:c r="P2280" t="str">
        <x:v>Ist</x:v>
      </x:c>
      <x:c r="Q2280" s="59" t="b">
        <x:v>0</x:v>
      </x:c>
      <x:c r="R2280" t="str">
        <x:v>kein_transfer</x:v>
      </x:c>
      <x:c r="S2280"/>
      <x:c r="T2280"/>
      <x:c r="U2280"/>
      <x:c r="V2280" s="59" t="b">
        <x:v>1</x:v>
      </x:c>
      <x:c r="W2280"/>
      <x:c r="X2280" t="str">
        <x:v>offen</x:v>
      </x:c>
      <x:c r="Y2280" t="str">
        <x:v>Agent-Draft; Kategorie und Person pruefen</x:v>
      </x:c>
    </x:row>
    <x:row r="2281">
      <x:c r="A2281" t="str">
        <x:v>TXN-RAW-IMP-20260516-FULLDRAFT-002265</x:v>
      </x:c>
      <x:c r="B2281" t="str">
        <x:v>RAW-IMP-20260516-FULLDRAFT-002265</x:v>
      </x:c>
      <x:c r="C2281" t="str">
        <x:v>KTO001</x:v>
      </x:c>
      <x:c r="D2281"/>
      <x:c r="E2281" t="str">
        <x:v>KAT013</x:v>
      </x:c>
      <x:c r="F2281"/>
      <x:c r="G2281"/>
      <x:c r="H2281" t="str">
        <x:v>kein_match</x:v>
      </x:c>
      <x:c r="I2281" t="str">
        <x:v>Agent-Draft: keine finale Regelentscheidung</x:v>
      </x:c>
      <x:c r="J2281" t="n">
        <x:v>45404</x:v>
      </x:c>
      <x:c r="K2281"/>
      <x:c r="L2281"/>
      <x:c r="M2281" t="n">
        <x:v>-7.99</x:v>
      </x:c>
      <x:c r="N2281" t="str">
        <x:v>2024-04</x:v>
      </x:c>
      <x:c r="O2281" t="str">
        <x:v>Ausgabe</x:v>
      </x:c>
      <x:c r="P2281" t="str">
        <x:v>Ist</x:v>
      </x:c>
      <x:c r="Q2281" s="59" t="b">
        <x:v>0</x:v>
      </x:c>
      <x:c r="R2281" t="str">
        <x:v>kein_transfer</x:v>
      </x:c>
      <x:c r="S2281"/>
      <x:c r="T2281"/>
      <x:c r="U2281"/>
      <x:c r="V2281" s="59" t="b">
        <x:v>1</x:v>
      </x:c>
      <x:c r="W2281"/>
      <x:c r="X2281" t="str">
        <x:v>offen</x:v>
      </x:c>
      <x:c r="Y2281" t="str">
        <x:v>Agent-Draft; Kategorie und Person pruefen</x:v>
      </x:c>
    </x:row>
    <x:row r="2282">
      <x:c r="A2282" t="str">
        <x:v>TXN-RAW-IMP-20260516-FULLDRAFT-002266</x:v>
      </x:c>
      <x:c r="B2282" t="str">
        <x:v>RAW-IMP-20260516-FULLDRAFT-002266</x:v>
      </x:c>
      <x:c r="C2282" t="str">
        <x:v>KTO001</x:v>
      </x:c>
      <x:c r="D2282"/>
      <x:c r="E2282" t="str">
        <x:v>KAT013</x:v>
      </x:c>
      <x:c r="F2282"/>
      <x:c r="G2282"/>
      <x:c r="H2282" t="str">
        <x:v>kein_match</x:v>
      </x:c>
      <x:c r="I2282" t="str">
        <x:v>Agent-Draft: keine finale Regelentscheidung</x:v>
      </x:c>
      <x:c r="J2282" t="n">
        <x:v>45404</x:v>
      </x:c>
      <x:c r="K2282"/>
      <x:c r="L2282"/>
      <x:c r="M2282" t="n">
        <x:v>37.14</x:v>
      </x:c>
      <x:c r="N2282" t="str">
        <x:v>2024-04</x:v>
      </x:c>
      <x:c r="O2282" t="str">
        <x:v>Einnahme</x:v>
      </x:c>
      <x:c r="P2282" t="str">
        <x:v>Ist</x:v>
      </x:c>
      <x:c r="Q2282" s="59" t="b">
        <x:v>0</x:v>
      </x:c>
      <x:c r="R2282" t="str">
        <x:v>kein_transfer</x:v>
      </x:c>
      <x:c r="S2282"/>
      <x:c r="T2282"/>
      <x:c r="U2282"/>
      <x:c r="V2282" s="59" t="b">
        <x:v>1</x:v>
      </x:c>
      <x:c r="W2282"/>
      <x:c r="X2282" t="str">
        <x:v>offen</x:v>
      </x:c>
      <x:c r="Y2282" t="str">
        <x:v>Agent-Draft; Kategorie und Person pruefen</x:v>
      </x:c>
    </x:row>
    <x:row r="2283">
      <x:c r="A2283" t="str">
        <x:v>TXN-RAW-IMP-20260516-FULLDRAFT-002267</x:v>
      </x:c>
      <x:c r="B2283" t="str">
        <x:v>RAW-IMP-20260516-FULLDRAFT-002267</x:v>
      </x:c>
      <x:c r="C2283" t="str">
        <x:v>KTO001</x:v>
      </x:c>
      <x:c r="D2283"/>
      <x:c r="E2283" t="str">
        <x:v>KAT013</x:v>
      </x:c>
      <x:c r="F2283"/>
      <x:c r="G2283"/>
      <x:c r="H2283" t="str">
        <x:v>kein_match</x:v>
      </x:c>
      <x:c r="I2283" t="str">
        <x:v>Agent-Draft: keine finale Regelentscheidung</x:v>
      </x:c>
      <x:c r="J2283" t="n">
        <x:v>45404</x:v>
      </x:c>
      <x:c r="K2283"/>
      <x:c r="L2283"/>
      <x:c r="M2283" t="n">
        <x:v>38.95</x:v>
      </x:c>
      <x:c r="N2283" t="str">
        <x:v>2024-04</x:v>
      </x:c>
      <x:c r="O2283" t="str">
        <x:v>Einnahme</x:v>
      </x:c>
      <x:c r="P2283" t="str">
        <x:v>Ist</x:v>
      </x:c>
      <x:c r="Q2283" s="59" t="b">
        <x:v>0</x:v>
      </x:c>
      <x:c r="R2283" t="str">
        <x:v>kein_transfer</x:v>
      </x:c>
      <x:c r="S2283"/>
      <x:c r="T2283"/>
      <x:c r="U2283"/>
      <x:c r="V2283" s="59" t="b">
        <x:v>1</x:v>
      </x:c>
      <x:c r="W2283"/>
      <x:c r="X2283" t="str">
        <x:v>offen</x:v>
      </x:c>
      <x:c r="Y2283" t="str">
        <x:v>Agent-Draft; Kategorie und Person pruefen</x:v>
      </x:c>
    </x:row>
    <x:row r="2284">
      <x:c r="A2284" t="str">
        <x:v>TXN-RAW-IMP-20260516-FULLDRAFT-002268</x:v>
      </x:c>
      <x:c r="B2284" t="str">
        <x:v>RAW-IMP-20260516-FULLDRAFT-002268</x:v>
      </x:c>
      <x:c r="C2284" t="str">
        <x:v>KTO001</x:v>
      </x:c>
      <x:c r="D2284"/>
      <x:c r="E2284" t="str">
        <x:v>KAT013</x:v>
      </x:c>
      <x:c r="F2284"/>
      <x:c r="G2284"/>
      <x:c r="H2284" t="str">
        <x:v>kein_match</x:v>
      </x:c>
      <x:c r="I2284" t="str">
        <x:v>Agent-Draft: keine finale Regelentscheidung</x:v>
      </x:c>
      <x:c r="J2284" t="n">
        <x:v>45401</x:v>
      </x:c>
      <x:c r="K2284"/>
      <x:c r="L2284"/>
      <x:c r="M2284" t="n">
        <x:v>-13</x:v>
      </x:c>
      <x:c r="N2284" t="str">
        <x:v>2024-04</x:v>
      </x:c>
      <x:c r="O2284" t="str">
        <x:v>Ausgabe</x:v>
      </x:c>
      <x:c r="P2284" t="str">
        <x:v>Ist</x:v>
      </x:c>
      <x:c r="Q2284" s="59" t="b">
        <x:v>0</x:v>
      </x:c>
      <x:c r="R2284" t="str">
        <x:v>kein_transfer</x:v>
      </x:c>
      <x:c r="S2284"/>
      <x:c r="T2284"/>
      <x:c r="U2284"/>
      <x:c r="V2284" s="59" t="b">
        <x:v>1</x:v>
      </x:c>
      <x:c r="W2284"/>
      <x:c r="X2284" t="str">
        <x:v>offen</x:v>
      </x:c>
      <x:c r="Y2284" t="str">
        <x:v>Agent-Draft; Kategorie und Person pruefen</x:v>
      </x:c>
    </x:row>
    <x:row r="2285">
      <x:c r="A2285" t="str">
        <x:v>TXN-RAW-IMP-20260516-FULLDRAFT-002269</x:v>
      </x:c>
      <x:c r="B2285" t="str">
        <x:v>RAW-IMP-20260516-FULLDRAFT-002269</x:v>
      </x:c>
      <x:c r="C2285" t="str">
        <x:v>KTO001</x:v>
      </x:c>
      <x:c r="D2285"/>
      <x:c r="E2285" t="str">
        <x:v>KAT013</x:v>
      </x:c>
      <x:c r="F2285"/>
      <x:c r="G2285"/>
      <x:c r="H2285" t="str">
        <x:v>kein_match</x:v>
      </x:c>
      <x:c r="I2285" t="str">
        <x:v>Agent-Draft: keine finale Regelentscheidung</x:v>
      </x:c>
      <x:c r="J2285" t="n">
        <x:v>45401</x:v>
      </x:c>
      <x:c r="K2285"/>
      <x:c r="L2285"/>
      <x:c r="M2285" t="n">
        <x:v>-29.74</x:v>
      </x:c>
      <x:c r="N2285" t="str">
        <x:v>2024-04</x:v>
      </x:c>
      <x:c r="O2285" t="str">
        <x:v>Ausgabe</x:v>
      </x:c>
      <x:c r="P2285" t="str">
        <x:v>Ist</x:v>
      </x:c>
      <x:c r="Q2285" s="59" t="b">
        <x:v>0</x:v>
      </x:c>
      <x:c r="R2285" t="str">
        <x:v>kein_transfer</x:v>
      </x:c>
      <x:c r="S2285"/>
      <x:c r="T2285"/>
      <x:c r="U2285"/>
      <x:c r="V2285" s="59" t="b">
        <x:v>1</x:v>
      </x:c>
      <x:c r="W2285"/>
      <x:c r="X2285" t="str">
        <x:v>offen</x:v>
      </x:c>
      <x:c r="Y2285" t="str">
        <x:v>Agent-Draft; Kategorie und Person pruefen</x:v>
      </x:c>
    </x:row>
    <x:row r="2286">
      <x:c r="A2286" t="str">
        <x:v>TXN-RAW-IMP-20260516-FULLDRAFT-002270</x:v>
      </x:c>
      <x:c r="B2286" t="str">
        <x:v>RAW-IMP-20260516-FULLDRAFT-002270</x:v>
      </x:c>
      <x:c r="C2286" t="str">
        <x:v>KTO001</x:v>
      </x:c>
      <x:c r="D2286"/>
      <x:c r="E2286" t="str">
        <x:v>KAT013</x:v>
      </x:c>
      <x:c r="F2286"/>
      <x:c r="G2286"/>
      <x:c r="H2286" t="str">
        <x:v>kein_match</x:v>
      </x:c>
      <x:c r="I2286" t="str">
        <x:v>Agent-Draft: keine finale Regelentscheidung</x:v>
      </x:c>
      <x:c r="J2286" t="n">
        <x:v>45401</x:v>
      </x:c>
      <x:c r="K2286"/>
      <x:c r="L2286"/>
      <x:c r="M2286" t="n">
        <x:v>-10.99</x:v>
      </x:c>
      <x:c r="N2286" t="str">
        <x:v>2024-04</x:v>
      </x:c>
      <x:c r="O2286" t="str">
        <x:v>Ausgabe</x:v>
      </x:c>
      <x:c r="P2286" t="str">
        <x:v>Ist</x:v>
      </x:c>
      <x:c r="Q2286" s="59" t="b">
        <x:v>0</x:v>
      </x:c>
      <x:c r="R2286" t="str">
        <x:v>kein_transfer</x:v>
      </x:c>
      <x:c r="S2286"/>
      <x:c r="T2286"/>
      <x:c r="U2286"/>
      <x:c r="V2286" s="59" t="b">
        <x:v>1</x:v>
      </x:c>
      <x:c r="W2286"/>
      <x:c r="X2286" t="str">
        <x:v>offen</x:v>
      </x:c>
      <x:c r="Y2286" t="str">
        <x:v>Agent-Draft; Kategorie und Person pruefen</x:v>
      </x:c>
    </x:row>
    <x:row r="2287">
      <x:c r="A2287" t="str">
        <x:v>TXN-RAW-IMP-20260516-FULLDRAFT-002271</x:v>
      </x:c>
      <x:c r="B2287" t="str">
        <x:v>RAW-IMP-20260516-FULLDRAFT-002271</x:v>
      </x:c>
      <x:c r="C2287" t="str">
        <x:v>KTO001</x:v>
      </x:c>
      <x:c r="D2287"/>
      <x:c r="E2287" t="str">
        <x:v>KAT013</x:v>
      </x:c>
      <x:c r="F2287"/>
      <x:c r="G2287"/>
      <x:c r="H2287" t="str">
        <x:v>kein_match</x:v>
      </x:c>
      <x:c r="I2287" t="str">
        <x:v>Agent-Draft: keine finale Regelentscheidung</x:v>
      </x:c>
      <x:c r="J2287" t="n">
        <x:v>45401</x:v>
      </x:c>
      <x:c r="K2287"/>
      <x:c r="L2287"/>
      <x:c r="M2287" t="n">
        <x:v>-4.49</x:v>
      </x:c>
      <x:c r="N2287" t="str">
        <x:v>2024-04</x:v>
      </x:c>
      <x:c r="O2287" t="str">
        <x:v>Ausgabe</x:v>
      </x:c>
      <x:c r="P2287" t="str">
        <x:v>Ist</x:v>
      </x:c>
      <x:c r="Q2287" s="59" t="b">
        <x:v>0</x:v>
      </x:c>
      <x:c r="R2287" t="str">
        <x:v>kein_transfer</x:v>
      </x:c>
      <x:c r="S2287"/>
      <x:c r="T2287"/>
      <x:c r="U2287"/>
      <x:c r="V2287" s="59" t="b">
        <x:v>1</x:v>
      </x:c>
      <x:c r="W2287"/>
      <x:c r="X2287" t="str">
        <x:v>offen</x:v>
      </x:c>
      <x:c r="Y2287" t="str">
        <x:v>Agent-Draft; Kategorie und Person pruefen</x:v>
      </x:c>
    </x:row>
    <x:row r="2288">
      <x:c r="A2288" t="str">
        <x:v>TXN-RAW-IMP-20260516-FULLDRAFT-002272</x:v>
      </x:c>
      <x:c r="B2288" t="str">
        <x:v>RAW-IMP-20260516-FULLDRAFT-002272</x:v>
      </x:c>
      <x:c r="C2288" t="str">
        <x:v>KTO001</x:v>
      </x:c>
      <x:c r="D2288"/>
      <x:c r="E2288" t="str">
        <x:v>KAT013</x:v>
      </x:c>
      <x:c r="F2288"/>
      <x:c r="G2288"/>
      <x:c r="H2288" t="str">
        <x:v>kein_match</x:v>
      </x:c>
      <x:c r="I2288" t="str">
        <x:v>Agent-Draft: keine finale Regelentscheidung</x:v>
      </x:c>
      <x:c r="J2288" t="n">
        <x:v>45400</x:v>
      </x:c>
      <x:c r="K2288"/>
      <x:c r="L2288"/>
      <x:c r="M2288" t="n">
        <x:v>-155.94</x:v>
      </x:c>
      <x:c r="N2288" t="str">
        <x:v>2024-04</x:v>
      </x:c>
      <x:c r="O2288" t="str">
        <x:v>Ausgabe</x:v>
      </x:c>
      <x:c r="P2288" t="str">
        <x:v>Ist</x:v>
      </x:c>
      <x:c r="Q2288" s="59" t="b">
        <x:v>0</x:v>
      </x:c>
      <x:c r="R2288" t="str">
        <x:v>kein_transfer</x:v>
      </x:c>
      <x:c r="S2288"/>
      <x:c r="T2288"/>
      <x:c r="U2288"/>
      <x:c r="V2288" s="59" t="b">
        <x:v>1</x:v>
      </x:c>
      <x:c r="W2288"/>
      <x:c r="X2288" t="str">
        <x:v>offen</x:v>
      </x:c>
      <x:c r="Y2288" t="str">
        <x:v>Agent-Draft; Kategorie und Person pruefen</x:v>
      </x:c>
    </x:row>
    <x:row r="2289">
      <x:c r="A2289" t="str">
        <x:v>TXN-RAW-IMP-20260516-FULLDRAFT-002273</x:v>
      </x:c>
      <x:c r="B2289" t="str">
        <x:v>RAW-IMP-20260516-FULLDRAFT-002273</x:v>
      </x:c>
      <x:c r="C2289" t="str">
        <x:v>KTO001</x:v>
      </x:c>
      <x:c r="D2289"/>
      <x:c r="E2289" t="str">
        <x:v>KAT013</x:v>
      </x:c>
      <x:c r="F2289"/>
      <x:c r="G2289"/>
      <x:c r="H2289" t="str">
        <x:v>kein_match</x:v>
      </x:c>
      <x:c r="I2289" t="str">
        <x:v>Agent-Draft: keine finale Regelentscheidung</x:v>
      </x:c>
      <x:c r="J2289" t="n">
        <x:v>45400</x:v>
      </x:c>
      <x:c r="K2289"/>
      <x:c r="L2289"/>
      <x:c r="M2289" t="n">
        <x:v>-2</x:v>
      </x:c>
      <x:c r="N2289" t="str">
        <x:v>2024-04</x:v>
      </x:c>
      <x:c r="O2289" t="str">
        <x:v>Ausgabe</x:v>
      </x:c>
      <x:c r="P2289" t="str">
        <x:v>Ist</x:v>
      </x:c>
      <x:c r="Q2289" s="59" t="b">
        <x:v>0</x:v>
      </x:c>
      <x:c r="R2289" t="str">
        <x:v>kein_transfer</x:v>
      </x:c>
      <x:c r="S2289"/>
      <x:c r="T2289"/>
      <x:c r="U2289"/>
      <x:c r="V2289" s="59" t="b">
        <x:v>1</x:v>
      </x:c>
      <x:c r="W2289"/>
      <x:c r="X2289" t="str">
        <x:v>offen</x:v>
      </x:c>
      <x:c r="Y2289" t="str">
        <x:v>Agent-Draft; Kategorie und Person pruefen</x:v>
      </x:c>
    </x:row>
    <x:row r="2290">
      <x:c r="A2290" t="str">
        <x:v>TXN-RAW-IMP-20260516-FULLDRAFT-002274</x:v>
      </x:c>
      <x:c r="B2290" t="str">
        <x:v>RAW-IMP-20260516-FULLDRAFT-002274</x:v>
      </x:c>
      <x:c r="C2290" t="str">
        <x:v>KTO001</x:v>
      </x:c>
      <x:c r="D2290"/>
      <x:c r="E2290" t="str">
        <x:v>KAT013</x:v>
      </x:c>
      <x:c r="F2290"/>
      <x:c r="G2290"/>
      <x:c r="H2290" t="str">
        <x:v>kein_match</x:v>
      </x:c>
      <x:c r="I2290" t="str">
        <x:v>Agent-Draft: keine finale Regelentscheidung</x:v>
      </x:c>
      <x:c r="J2290" t="n">
        <x:v>45400</x:v>
      </x:c>
      <x:c r="K2290"/>
      <x:c r="L2290"/>
      <x:c r="M2290" t="n">
        <x:v>-18.14</x:v>
      </x:c>
      <x:c r="N2290" t="str">
        <x:v>2024-04</x:v>
      </x:c>
      <x:c r="O2290" t="str">
        <x:v>Ausgabe</x:v>
      </x:c>
      <x:c r="P2290" t="str">
        <x:v>Ist</x:v>
      </x:c>
      <x:c r="Q2290" s="59" t="b">
        <x:v>0</x:v>
      </x:c>
      <x:c r="R2290" t="str">
        <x:v>kein_transfer</x:v>
      </x:c>
      <x:c r="S2290"/>
      <x:c r="T2290"/>
      <x:c r="U2290"/>
      <x:c r="V2290" s="59" t="b">
        <x:v>1</x:v>
      </x:c>
      <x:c r="W2290"/>
      <x:c r="X2290" t="str">
        <x:v>offen</x:v>
      </x:c>
      <x:c r="Y2290" t="str">
        <x:v>Agent-Draft; Kategorie und Person pruefen</x:v>
      </x:c>
    </x:row>
    <x:row r="2291">
      <x:c r="A2291" t="str">
        <x:v>TXN-RAW-IMP-20260516-FULLDRAFT-002275</x:v>
      </x:c>
      <x:c r="B2291" t="str">
        <x:v>RAW-IMP-20260516-FULLDRAFT-002275</x:v>
      </x:c>
      <x:c r="C2291" t="str">
        <x:v>KTO001</x:v>
      </x:c>
      <x:c r="D2291"/>
      <x:c r="E2291" t="str">
        <x:v>KAT013</x:v>
      </x:c>
      <x:c r="F2291"/>
      <x:c r="G2291"/>
      <x:c r="H2291" t="str">
        <x:v>kein_match</x:v>
      </x:c>
      <x:c r="I2291" t="str">
        <x:v>Agent-Draft: keine finale Regelentscheidung</x:v>
      </x:c>
      <x:c r="J2291" t="n">
        <x:v>45399</x:v>
      </x:c>
      <x:c r="K2291"/>
      <x:c r="L2291"/>
      <x:c r="M2291" t="n">
        <x:v>-6.99</x:v>
      </x:c>
      <x:c r="N2291" t="str">
        <x:v>2024-04</x:v>
      </x:c>
      <x:c r="O2291" t="str">
        <x:v>Ausgabe</x:v>
      </x:c>
      <x:c r="P2291" t="str">
        <x:v>Ist</x:v>
      </x:c>
      <x:c r="Q2291" s="59" t="b">
        <x:v>0</x:v>
      </x:c>
      <x:c r="R2291" t="str">
        <x:v>kein_transfer</x:v>
      </x:c>
      <x:c r="S2291"/>
      <x:c r="T2291"/>
      <x:c r="U2291"/>
      <x:c r="V2291" s="59" t="b">
        <x:v>1</x:v>
      </x:c>
      <x:c r="W2291"/>
      <x:c r="X2291" t="str">
        <x:v>offen</x:v>
      </x:c>
      <x:c r="Y2291" t="str">
        <x:v>Agent-Draft; Kategorie und Person pruefen</x:v>
      </x:c>
    </x:row>
    <x:row r="2292">
      <x:c r="A2292" t="str">
        <x:v>TXN-RAW-IMP-20260516-FULLDRAFT-002276</x:v>
      </x:c>
      <x:c r="B2292" t="str">
        <x:v>RAW-IMP-20260516-FULLDRAFT-002276</x:v>
      </x:c>
      <x:c r="C2292" t="str">
        <x:v>KTO001</x:v>
      </x:c>
      <x:c r="D2292"/>
      <x:c r="E2292" t="str">
        <x:v>KAT013</x:v>
      </x:c>
      <x:c r="F2292"/>
      <x:c r="G2292"/>
      <x:c r="H2292" t="str">
        <x:v>kein_match</x:v>
      </x:c>
      <x:c r="I2292" t="str">
        <x:v>Agent-Draft: keine finale Regelentscheidung</x:v>
      </x:c>
      <x:c r="J2292" t="n">
        <x:v>45399</x:v>
      </x:c>
      <x:c r="K2292"/>
      <x:c r="L2292"/>
      <x:c r="M2292" t="n">
        <x:v>-6.99</x:v>
      </x:c>
      <x:c r="N2292" t="str">
        <x:v>2024-04</x:v>
      </x:c>
      <x:c r="O2292" t="str">
        <x:v>Ausgabe</x:v>
      </x:c>
      <x:c r="P2292" t="str">
        <x:v>Ist</x:v>
      </x:c>
      <x:c r="Q2292" s="59" t="b">
        <x:v>0</x:v>
      </x:c>
      <x:c r="R2292" t="str">
        <x:v>kein_transfer</x:v>
      </x:c>
      <x:c r="S2292"/>
      <x:c r="T2292"/>
      <x:c r="U2292"/>
      <x:c r="V2292" s="59" t="b">
        <x:v>1</x:v>
      </x:c>
      <x:c r="W2292"/>
      <x:c r="X2292" t="str">
        <x:v>offen</x:v>
      </x:c>
      <x:c r="Y2292" t="str">
        <x:v>Agent-Draft; Kategorie und Person pruefen</x:v>
      </x:c>
    </x:row>
    <x:row r="2293">
      <x:c r="A2293" t="str">
        <x:v>TXN-RAW-IMP-20260516-FULLDRAFT-002277</x:v>
      </x:c>
      <x:c r="B2293" t="str">
        <x:v>RAW-IMP-20260516-FULLDRAFT-002277</x:v>
      </x:c>
      <x:c r="C2293" t="str">
        <x:v>KTO001</x:v>
      </x:c>
      <x:c r="D2293"/>
      <x:c r="E2293" t="str">
        <x:v>KAT013</x:v>
      </x:c>
      <x:c r="F2293"/>
      <x:c r="G2293"/>
      <x:c r="H2293" t="str">
        <x:v>kein_match</x:v>
      </x:c>
      <x:c r="I2293" t="str">
        <x:v>Agent-Draft: keine finale Regelentscheidung</x:v>
      </x:c>
      <x:c r="J2293" t="n">
        <x:v>45399</x:v>
      </x:c>
      <x:c r="K2293"/>
      <x:c r="L2293"/>
      <x:c r="M2293" t="n">
        <x:v>-6.99</x:v>
      </x:c>
      <x:c r="N2293" t="str">
        <x:v>2024-04</x:v>
      </x:c>
      <x:c r="O2293" t="str">
        <x:v>Ausgabe</x:v>
      </x:c>
      <x:c r="P2293" t="str">
        <x:v>Ist</x:v>
      </x:c>
      <x:c r="Q2293" s="59" t="b">
        <x:v>0</x:v>
      </x:c>
      <x:c r="R2293" t="str">
        <x:v>kein_transfer</x:v>
      </x:c>
      <x:c r="S2293"/>
      <x:c r="T2293"/>
      <x:c r="U2293"/>
      <x:c r="V2293" s="59" t="b">
        <x:v>1</x:v>
      </x:c>
      <x:c r="W2293"/>
      <x:c r="X2293" t="str">
        <x:v>offen</x:v>
      </x:c>
      <x:c r="Y2293" t="str">
        <x:v>Agent-Draft; Kategorie und Person pruefen</x:v>
      </x:c>
    </x:row>
    <x:row r="2294">
      <x:c r="A2294" t="str">
        <x:v>TXN-RAW-IMP-20260516-FULLDRAFT-002278</x:v>
      </x:c>
      <x:c r="B2294" t="str">
        <x:v>RAW-IMP-20260516-FULLDRAFT-002278</x:v>
      </x:c>
      <x:c r="C2294" t="str">
        <x:v>KTO001</x:v>
      </x:c>
      <x:c r="D2294"/>
      <x:c r="E2294" t="str">
        <x:v>KAT013</x:v>
      </x:c>
      <x:c r="F2294"/>
      <x:c r="G2294"/>
      <x:c r="H2294" t="str">
        <x:v>kein_match</x:v>
      </x:c>
      <x:c r="I2294" t="str">
        <x:v>Agent-Draft: keine finale Regelentscheidung</x:v>
      </x:c>
      <x:c r="J2294" t="n">
        <x:v>45398</x:v>
      </x:c>
      <x:c r="K2294"/>
      <x:c r="L2294"/>
      <x:c r="M2294" t="n">
        <x:v>-18.14</x:v>
      </x:c>
      <x:c r="N2294" t="str">
        <x:v>2024-04</x:v>
      </x:c>
      <x:c r="O2294" t="str">
        <x:v>Ausgabe</x:v>
      </x:c>
      <x:c r="P2294" t="str">
        <x:v>Ist</x:v>
      </x:c>
      <x:c r="Q2294" s="59" t="b">
        <x:v>0</x:v>
      </x:c>
      <x:c r="R2294" t="str">
        <x:v>kein_transfer</x:v>
      </x:c>
      <x:c r="S2294"/>
      <x:c r="T2294"/>
      <x:c r="U2294"/>
      <x:c r="V2294" s="59" t="b">
        <x:v>1</x:v>
      </x:c>
      <x:c r="W2294"/>
      <x:c r="X2294" t="str">
        <x:v>offen</x:v>
      </x:c>
      <x:c r="Y2294" t="str">
        <x:v>Agent-Draft; Kategorie und Person pruefen</x:v>
      </x:c>
    </x:row>
    <x:row r="2295">
      <x:c r="A2295" t="str">
        <x:v>TXN-RAW-IMP-20260516-FULLDRAFT-002279</x:v>
      </x:c>
      <x:c r="B2295" t="str">
        <x:v>RAW-IMP-20260516-FULLDRAFT-002279</x:v>
      </x:c>
      <x:c r="C2295" t="str">
        <x:v>KTO001</x:v>
      </x:c>
      <x:c r="D2295"/>
      <x:c r="E2295" t="str">
        <x:v>KAT013</x:v>
      </x:c>
      <x:c r="F2295"/>
      <x:c r="G2295"/>
      <x:c r="H2295" t="str">
        <x:v>kein_match</x:v>
      </x:c>
      <x:c r="I2295" t="str">
        <x:v>Agent-Draft: keine finale Regelentscheidung</x:v>
      </x:c>
      <x:c r="J2295" t="n">
        <x:v>45397</x:v>
      </x:c>
      <x:c r="K2295"/>
      <x:c r="L2295"/>
      <x:c r="M2295" t="n">
        <x:v>-7.5</x:v>
      </x:c>
      <x:c r="N2295" t="str">
        <x:v>2024-04</x:v>
      </x:c>
      <x:c r="O2295" t="str">
        <x:v>Ausgabe</x:v>
      </x:c>
      <x:c r="P2295" t="str">
        <x:v>Ist</x:v>
      </x:c>
      <x:c r="Q2295" s="59" t="b">
        <x:v>0</x:v>
      </x:c>
      <x:c r="R2295" t="str">
        <x:v>kein_transfer</x:v>
      </x:c>
      <x:c r="S2295"/>
      <x:c r="T2295"/>
      <x:c r="U2295"/>
      <x:c r="V2295" s="59" t="b">
        <x:v>1</x:v>
      </x:c>
      <x:c r="W2295"/>
      <x:c r="X2295" t="str">
        <x:v>offen</x:v>
      </x:c>
      <x:c r="Y2295" t="str">
        <x:v>Agent-Draft; Kategorie und Person pruefen</x:v>
      </x:c>
    </x:row>
    <x:row r="2296">
      <x:c r="A2296" t="str">
        <x:v>TXN-RAW-IMP-20260516-FULLDRAFT-002280</x:v>
      </x:c>
      <x:c r="B2296" t="str">
        <x:v>RAW-IMP-20260516-FULLDRAFT-002280</x:v>
      </x:c>
      <x:c r="C2296" t="str">
        <x:v>KTO001</x:v>
      </x:c>
      <x:c r="D2296"/>
      <x:c r="E2296" t="str">
        <x:v>KAT013</x:v>
      </x:c>
      <x:c r="F2296"/>
      <x:c r="G2296"/>
      <x:c r="H2296" t="str">
        <x:v>kein_match</x:v>
      </x:c>
      <x:c r="I2296" t="str">
        <x:v>Agent-Draft: keine finale Regelentscheidung</x:v>
      </x:c>
      <x:c r="J2296" t="n">
        <x:v>45397</x:v>
      </x:c>
      <x:c r="K2296"/>
      <x:c r="L2296"/>
      <x:c r="M2296" t="n">
        <x:v>-7.5</x:v>
      </x:c>
      <x:c r="N2296" t="str">
        <x:v>2024-04</x:v>
      </x:c>
      <x:c r="O2296" t="str">
        <x:v>Ausgabe</x:v>
      </x:c>
      <x:c r="P2296" t="str">
        <x:v>Ist</x:v>
      </x:c>
      <x:c r="Q2296" s="59" t="b">
        <x:v>0</x:v>
      </x:c>
      <x:c r="R2296" t="str">
        <x:v>kein_transfer</x:v>
      </x:c>
      <x:c r="S2296"/>
      <x:c r="T2296"/>
      <x:c r="U2296"/>
      <x:c r="V2296" s="59" t="b">
        <x:v>1</x:v>
      </x:c>
      <x:c r="W2296"/>
      <x:c r="X2296" t="str">
        <x:v>offen</x:v>
      </x:c>
      <x:c r="Y2296" t="str">
        <x:v>Agent-Draft; Kategorie und Person pruefen</x:v>
      </x:c>
    </x:row>
    <x:row r="2297">
      <x:c r="A2297" t="str">
        <x:v>TXN-RAW-IMP-20260516-FULLDRAFT-002281</x:v>
      </x:c>
      <x:c r="B2297" t="str">
        <x:v>RAW-IMP-20260516-FULLDRAFT-002281</x:v>
      </x:c>
      <x:c r="C2297" t="str">
        <x:v>KTO001</x:v>
      </x:c>
      <x:c r="D2297"/>
      <x:c r="E2297" t="str">
        <x:v>KAT013</x:v>
      </x:c>
      <x:c r="F2297"/>
      <x:c r="G2297"/>
      <x:c r="H2297" t="str">
        <x:v>kein_match</x:v>
      </x:c>
      <x:c r="I2297" t="str">
        <x:v>Agent-Draft: keine finale Regelentscheidung</x:v>
      </x:c>
      <x:c r="J2297" t="n">
        <x:v>45397</x:v>
      </x:c>
      <x:c r="K2297"/>
      <x:c r="L2297"/>
      <x:c r="M2297" t="n">
        <x:v>-100</x:v>
      </x:c>
      <x:c r="N2297" t="str">
        <x:v>2024-04</x:v>
      </x:c>
      <x:c r="O2297" t="str">
        <x:v>Ausgabe</x:v>
      </x:c>
      <x:c r="P2297" t="str">
        <x:v>Ist</x:v>
      </x:c>
      <x:c r="Q2297" s="59" t="b">
        <x:v>0</x:v>
      </x:c>
      <x:c r="R2297" t="str">
        <x:v>kein_transfer</x:v>
      </x:c>
      <x:c r="S2297"/>
      <x:c r="T2297"/>
      <x:c r="U2297"/>
      <x:c r="V2297" s="59" t="b">
        <x:v>1</x:v>
      </x:c>
      <x:c r="W2297"/>
      <x:c r="X2297" t="str">
        <x:v>offen</x:v>
      </x:c>
      <x:c r="Y2297" t="str">
        <x:v>Agent-Draft; Kategorie und Person pruefen</x:v>
      </x:c>
    </x:row>
    <x:row r="2298">
      <x:c r="A2298" t="str">
        <x:v>TXN-RAW-IMP-20260516-FULLDRAFT-002282</x:v>
      </x:c>
      <x:c r="B2298" t="str">
        <x:v>RAW-IMP-20260516-FULLDRAFT-002282</x:v>
      </x:c>
      <x:c r="C2298" t="str">
        <x:v>KTO001</x:v>
      </x:c>
      <x:c r="D2298"/>
      <x:c r="E2298" t="str">
        <x:v>KAT013</x:v>
      </x:c>
      <x:c r="F2298"/>
      <x:c r="G2298"/>
      <x:c r="H2298" t="str">
        <x:v>kein_match</x:v>
      </x:c>
      <x:c r="I2298" t="str">
        <x:v>Agent-Draft: keine finale Regelentscheidung</x:v>
      </x:c>
      <x:c r="J2298" t="n">
        <x:v>45397</x:v>
      </x:c>
      <x:c r="K2298"/>
      <x:c r="L2298"/>
      <x:c r="M2298" t="n">
        <x:v>-195.2</x:v>
      </x:c>
      <x:c r="N2298" t="str">
        <x:v>2024-04</x:v>
      </x:c>
      <x:c r="O2298" t="str">
        <x:v>Ausgabe</x:v>
      </x:c>
      <x:c r="P2298" t="str">
        <x:v>Ist</x:v>
      </x:c>
      <x:c r="Q2298" s="59" t="b">
        <x:v>0</x:v>
      </x:c>
      <x:c r="R2298" t="str">
        <x:v>kein_transfer</x:v>
      </x:c>
      <x:c r="S2298"/>
      <x:c r="T2298"/>
      <x:c r="U2298"/>
      <x:c r="V2298" s="59" t="b">
        <x:v>1</x:v>
      </x:c>
      <x:c r="W2298"/>
      <x:c r="X2298" t="str">
        <x:v>offen</x:v>
      </x:c>
      <x:c r="Y2298" t="str">
        <x:v>Agent-Draft; Kategorie und Person pruefen</x:v>
      </x:c>
    </x:row>
    <x:row r="2299">
      <x:c r="A2299" t="str">
        <x:v>TXN-RAW-IMP-20260516-FULLDRAFT-002283</x:v>
      </x:c>
      <x:c r="B2299" t="str">
        <x:v>RAW-IMP-20260516-FULLDRAFT-002283</x:v>
      </x:c>
      <x:c r="C2299" t="str">
        <x:v>KTO001</x:v>
      </x:c>
      <x:c r="D2299"/>
      <x:c r="E2299" t="str">
        <x:v>KAT013</x:v>
      </x:c>
      <x:c r="F2299"/>
      <x:c r="G2299"/>
      <x:c r="H2299" t="str">
        <x:v>kein_match</x:v>
      </x:c>
      <x:c r="I2299" t="str">
        <x:v>Agent-Draft: keine finale Regelentscheidung</x:v>
      </x:c>
      <x:c r="J2299" t="n">
        <x:v>45397</x:v>
      </x:c>
      <x:c r="K2299"/>
      <x:c r="L2299"/>
      <x:c r="M2299" t="n">
        <x:v>-3</x:v>
      </x:c>
      <x:c r="N2299" t="str">
        <x:v>2024-04</x:v>
      </x:c>
      <x:c r="O2299" t="str">
        <x:v>Ausgabe</x:v>
      </x:c>
      <x:c r="P2299" t="str">
        <x:v>Ist</x:v>
      </x:c>
      <x:c r="Q2299" s="59" t="b">
        <x:v>0</x:v>
      </x:c>
      <x:c r="R2299" t="str">
        <x:v>kein_transfer</x:v>
      </x:c>
      <x:c r="S2299"/>
      <x:c r="T2299"/>
      <x:c r="U2299"/>
      <x:c r="V2299" s="59" t="b">
        <x:v>1</x:v>
      </x:c>
      <x:c r="W2299"/>
      <x:c r="X2299" t="str">
        <x:v>offen</x:v>
      </x:c>
      <x:c r="Y2299" t="str">
        <x:v>Agent-Draft; Kategorie und Person pruefen</x:v>
      </x:c>
    </x:row>
    <x:row r="2300">
      <x:c r="A2300" t="str">
        <x:v>TXN-RAW-IMP-20260516-FULLDRAFT-002284</x:v>
      </x:c>
      <x:c r="B2300" t="str">
        <x:v>RAW-IMP-20260516-FULLDRAFT-002284</x:v>
      </x:c>
      <x:c r="C2300" t="str">
        <x:v>KTO001</x:v>
      </x:c>
      <x:c r="D2300"/>
      <x:c r="E2300" t="str">
        <x:v>KAT013</x:v>
      </x:c>
      <x:c r="F2300"/>
      <x:c r="G2300"/>
      <x:c r="H2300" t="str">
        <x:v>kein_match</x:v>
      </x:c>
      <x:c r="I2300" t="str">
        <x:v>Agent-Draft: keine finale Regelentscheidung</x:v>
      </x:c>
      <x:c r="J2300" t="n">
        <x:v>45394</x:v>
      </x:c>
      <x:c r="K2300"/>
      <x:c r="L2300"/>
      <x:c r="M2300" t="n">
        <x:v>-163.35</x:v>
      </x:c>
      <x:c r="N2300" t="str">
        <x:v>2024-04</x:v>
      </x:c>
      <x:c r="O2300" t="str">
        <x:v>Ausgabe</x:v>
      </x:c>
      <x:c r="P2300" t="str">
        <x:v>Ist</x:v>
      </x:c>
      <x:c r="Q2300" s="59" t="b">
        <x:v>0</x:v>
      </x:c>
      <x:c r="R2300" t="str">
        <x:v>kein_transfer</x:v>
      </x:c>
      <x:c r="S2300"/>
      <x:c r="T2300"/>
      <x:c r="U2300"/>
      <x:c r="V2300" s="59" t="b">
        <x:v>1</x:v>
      </x:c>
      <x:c r="W2300"/>
      <x:c r="X2300" t="str">
        <x:v>offen</x:v>
      </x:c>
      <x:c r="Y2300" t="str">
        <x:v>Agent-Draft; Kategorie und Person pruefen</x:v>
      </x:c>
    </x:row>
    <x:row r="2301">
      <x:c r="A2301" t="str">
        <x:v>TXN-RAW-IMP-20260516-FULLDRAFT-002285</x:v>
      </x:c>
      <x:c r="B2301" t="str">
        <x:v>RAW-IMP-20260516-FULLDRAFT-002285</x:v>
      </x:c>
      <x:c r="C2301" t="str">
        <x:v>KTO001</x:v>
      </x:c>
      <x:c r="D2301"/>
      <x:c r="E2301" t="str">
        <x:v>KAT013</x:v>
      </x:c>
      <x:c r="F2301"/>
      <x:c r="G2301"/>
      <x:c r="H2301" t="str">
        <x:v>kein_match</x:v>
      </x:c>
      <x:c r="I2301" t="str">
        <x:v>Agent-Draft: keine finale Regelentscheidung</x:v>
      </x:c>
      <x:c r="J2301" t="n">
        <x:v>45393</x:v>
      </x:c>
      <x:c r="K2301"/>
      <x:c r="L2301"/>
      <x:c r="M2301" t="n">
        <x:v>-12.99</x:v>
      </x:c>
      <x:c r="N2301" t="str">
        <x:v>2024-04</x:v>
      </x:c>
      <x:c r="O2301" t="str">
        <x:v>Ausgabe</x:v>
      </x:c>
      <x:c r="P2301" t="str">
        <x:v>Ist</x:v>
      </x:c>
      <x:c r="Q2301" s="59" t="b">
        <x:v>0</x:v>
      </x:c>
      <x:c r="R2301" t="str">
        <x:v>kein_transfer</x:v>
      </x:c>
      <x:c r="S2301"/>
      <x:c r="T2301"/>
      <x:c r="U2301"/>
      <x:c r="V2301" s="59" t="b">
        <x:v>1</x:v>
      </x:c>
      <x:c r="W2301"/>
      <x:c r="X2301" t="str">
        <x:v>offen</x:v>
      </x:c>
      <x:c r="Y2301" t="str">
        <x:v>Agent-Draft; Kategorie und Person pruefen</x:v>
      </x:c>
    </x:row>
    <x:row r="2302">
      <x:c r="A2302" t="str">
        <x:v>TXN-RAW-IMP-20260516-FULLDRAFT-002286</x:v>
      </x:c>
      <x:c r="B2302" t="str">
        <x:v>RAW-IMP-20260516-FULLDRAFT-002286</x:v>
      </x:c>
      <x:c r="C2302" t="str">
        <x:v>KTO001</x:v>
      </x:c>
      <x:c r="D2302"/>
      <x:c r="E2302" t="str">
        <x:v>KAT013</x:v>
      </x:c>
      <x:c r="F2302"/>
      <x:c r="G2302"/>
      <x:c r="H2302" t="str">
        <x:v>kein_match</x:v>
      </x:c>
      <x:c r="I2302" t="str">
        <x:v>Agent-Draft: keine finale Regelentscheidung</x:v>
      </x:c>
      <x:c r="J2302" t="n">
        <x:v>45393</x:v>
      </x:c>
      <x:c r="K2302"/>
      <x:c r="L2302"/>
      <x:c r="M2302" t="n">
        <x:v>-10.99</x:v>
      </x:c>
      <x:c r="N2302" t="str">
        <x:v>2024-04</x:v>
      </x:c>
      <x:c r="O2302" t="str">
        <x:v>Ausgabe</x:v>
      </x:c>
      <x:c r="P2302" t="str">
        <x:v>Ist</x:v>
      </x:c>
      <x:c r="Q2302" s="59" t="b">
        <x:v>0</x:v>
      </x:c>
      <x:c r="R2302" t="str">
        <x:v>kein_transfer</x:v>
      </x:c>
      <x:c r="S2302"/>
      <x:c r="T2302"/>
      <x:c r="U2302"/>
      <x:c r="V2302" s="59" t="b">
        <x:v>1</x:v>
      </x:c>
      <x:c r="W2302"/>
      <x:c r="X2302" t="str">
        <x:v>offen</x:v>
      </x:c>
      <x:c r="Y2302" t="str">
        <x:v>Agent-Draft; Kategorie und Person pruefen</x:v>
      </x:c>
    </x:row>
    <x:row r="2303">
      <x:c r="A2303" t="str">
        <x:v>TXN-RAW-IMP-20260516-FULLDRAFT-002287</x:v>
      </x:c>
      <x:c r="B2303" t="str">
        <x:v>RAW-IMP-20260516-FULLDRAFT-002287</x:v>
      </x:c>
      <x:c r="C2303" t="str">
        <x:v>KTO001</x:v>
      </x:c>
      <x:c r="D2303"/>
      <x:c r="E2303" t="str">
        <x:v>KAT013</x:v>
      </x:c>
      <x:c r="F2303"/>
      <x:c r="G2303"/>
      <x:c r="H2303" t="str">
        <x:v>kein_match</x:v>
      </x:c>
      <x:c r="I2303" t="str">
        <x:v>Agent-Draft: keine finale Regelentscheidung</x:v>
      </x:c>
      <x:c r="J2303" t="n">
        <x:v>45393</x:v>
      </x:c>
      <x:c r="K2303"/>
      <x:c r="L2303"/>
      <x:c r="M2303" t="n">
        <x:v>-18.14</x:v>
      </x:c>
      <x:c r="N2303" t="str">
        <x:v>2024-04</x:v>
      </x:c>
      <x:c r="O2303" t="str">
        <x:v>Ausgabe</x:v>
      </x:c>
      <x:c r="P2303" t="str">
        <x:v>Ist</x:v>
      </x:c>
      <x:c r="Q2303" s="59" t="b">
        <x:v>0</x:v>
      </x:c>
      <x:c r="R2303" t="str">
        <x:v>kein_transfer</x:v>
      </x:c>
      <x:c r="S2303"/>
      <x:c r="T2303"/>
      <x:c r="U2303"/>
      <x:c r="V2303" s="59" t="b">
        <x:v>1</x:v>
      </x:c>
      <x:c r="W2303"/>
      <x:c r="X2303" t="str">
        <x:v>offen</x:v>
      </x:c>
      <x:c r="Y2303" t="str">
        <x:v>Agent-Draft; Kategorie und Person pruefen</x:v>
      </x:c>
    </x:row>
    <x:row r="2304">
      <x:c r="A2304" t="str">
        <x:v>TXN-RAW-IMP-20260516-FULLDRAFT-002288</x:v>
      </x:c>
      <x:c r="B2304" t="str">
        <x:v>RAW-IMP-20260516-FULLDRAFT-002288</x:v>
      </x:c>
      <x:c r="C2304" t="str">
        <x:v>KTO001</x:v>
      </x:c>
      <x:c r="D2304"/>
      <x:c r="E2304" t="str">
        <x:v>KAT013</x:v>
      </x:c>
      <x:c r="F2304"/>
      <x:c r="G2304"/>
      <x:c r="H2304" t="str">
        <x:v>kein_match</x:v>
      </x:c>
      <x:c r="I2304" t="str">
        <x:v>Agent-Draft: keine finale Regelentscheidung</x:v>
      </x:c>
      <x:c r="J2304" t="n">
        <x:v>45392</x:v>
      </x:c>
      <x:c r="K2304"/>
      <x:c r="L2304"/>
      <x:c r="M2304" t="n">
        <x:v>-11</x:v>
      </x:c>
      <x:c r="N2304" t="str">
        <x:v>2024-04</x:v>
      </x:c>
      <x:c r="O2304" t="str">
        <x:v>Ausgabe</x:v>
      </x:c>
      <x:c r="P2304" t="str">
        <x:v>Ist</x:v>
      </x:c>
      <x:c r="Q2304" s="59" t="b">
        <x:v>0</x:v>
      </x:c>
      <x:c r="R2304" t="str">
        <x:v>kein_transfer</x:v>
      </x:c>
      <x:c r="S2304"/>
      <x:c r="T2304"/>
      <x:c r="U2304"/>
      <x:c r="V2304" s="59" t="b">
        <x:v>1</x:v>
      </x:c>
      <x:c r="W2304"/>
      <x:c r="X2304" t="str">
        <x:v>offen</x:v>
      </x:c>
      <x:c r="Y2304" t="str">
        <x:v>Agent-Draft; Kategorie und Person pruefen</x:v>
      </x:c>
    </x:row>
    <x:row r="2305">
      <x:c r="A2305" t="str">
        <x:v>TXN-RAW-IMP-20260516-FULLDRAFT-002289</x:v>
      </x:c>
      <x:c r="B2305" t="str">
        <x:v>RAW-IMP-20260516-FULLDRAFT-002289</x:v>
      </x:c>
      <x:c r="C2305" t="str">
        <x:v>KTO001</x:v>
      </x:c>
      <x:c r="D2305"/>
      <x:c r="E2305" t="str">
        <x:v>KAT013</x:v>
      </x:c>
      <x:c r="F2305"/>
      <x:c r="G2305"/>
      <x:c r="H2305" t="str">
        <x:v>kein_match</x:v>
      </x:c>
      <x:c r="I2305" t="str">
        <x:v>Agent-Draft: keine finale Regelentscheidung</x:v>
      </x:c>
      <x:c r="J2305" t="n">
        <x:v>45392</x:v>
      </x:c>
      <x:c r="K2305"/>
      <x:c r="L2305"/>
      <x:c r="M2305" t="n">
        <x:v>-28.37</x:v>
      </x:c>
      <x:c r="N2305" t="str">
        <x:v>2024-04</x:v>
      </x:c>
      <x:c r="O2305" t="str">
        <x:v>Ausgabe</x:v>
      </x:c>
      <x:c r="P2305" t="str">
        <x:v>Ist</x:v>
      </x:c>
      <x:c r="Q2305" s="59" t="b">
        <x:v>0</x:v>
      </x:c>
      <x:c r="R2305" t="str">
        <x:v>kein_transfer</x:v>
      </x:c>
      <x:c r="S2305"/>
      <x:c r="T2305"/>
      <x:c r="U2305"/>
      <x:c r="V2305" s="59" t="b">
        <x:v>1</x:v>
      </x:c>
      <x:c r="W2305"/>
      <x:c r="X2305" t="str">
        <x:v>offen</x:v>
      </x:c>
      <x:c r="Y2305" t="str">
        <x:v>Agent-Draft; Kategorie und Person pruefen</x:v>
      </x:c>
    </x:row>
    <x:row r="2306">
      <x:c r="A2306" t="str">
        <x:v>TXN-RAW-IMP-20260516-FULLDRAFT-002290</x:v>
      </x:c>
      <x:c r="B2306" t="str">
        <x:v>RAW-IMP-20260516-FULLDRAFT-002290</x:v>
      </x:c>
      <x:c r="C2306" t="str">
        <x:v>KTO001</x:v>
      </x:c>
      <x:c r="D2306"/>
      <x:c r="E2306" t="str">
        <x:v>KAT013</x:v>
      </x:c>
      <x:c r="F2306"/>
      <x:c r="G2306"/>
      <x:c r="H2306" t="str">
        <x:v>kein_match</x:v>
      </x:c>
      <x:c r="I2306" t="str">
        <x:v>Agent-Draft: keine finale Regelentscheidung</x:v>
      </x:c>
      <x:c r="J2306" t="n">
        <x:v>45392</x:v>
      </x:c>
      <x:c r="K2306"/>
      <x:c r="L2306"/>
      <x:c r="M2306" t="n">
        <x:v>-5.99</x:v>
      </x:c>
      <x:c r="N2306" t="str">
        <x:v>2024-04</x:v>
      </x:c>
      <x:c r="O2306" t="str">
        <x:v>Ausgabe</x:v>
      </x:c>
      <x:c r="P2306" t="str">
        <x:v>Ist</x:v>
      </x:c>
      <x:c r="Q2306" s="59" t="b">
        <x:v>0</x:v>
      </x:c>
      <x:c r="R2306" t="str">
        <x:v>kein_transfer</x:v>
      </x:c>
      <x:c r="S2306"/>
      <x:c r="T2306"/>
      <x:c r="U2306"/>
      <x:c r="V2306" s="59" t="b">
        <x:v>1</x:v>
      </x:c>
      <x:c r="W2306"/>
      <x:c r="X2306" t="str">
        <x:v>offen</x:v>
      </x:c>
      <x:c r="Y2306" t="str">
        <x:v>Agent-Draft; Kategorie und Person pruefen</x:v>
      </x:c>
    </x:row>
    <x:row r="2307">
      <x:c r="A2307" t="str">
        <x:v>TXN-RAW-IMP-20260516-FULLDRAFT-002291</x:v>
      </x:c>
      <x:c r="B2307" t="str">
        <x:v>RAW-IMP-20260516-FULLDRAFT-002291</x:v>
      </x:c>
      <x:c r="C2307" t="str">
        <x:v>KTO001</x:v>
      </x:c>
      <x:c r="D2307"/>
      <x:c r="E2307" t="str">
        <x:v>KAT013</x:v>
      </x:c>
      <x:c r="F2307"/>
      <x:c r="G2307"/>
      <x:c r="H2307" t="str">
        <x:v>kein_match</x:v>
      </x:c>
      <x:c r="I2307" t="str">
        <x:v>Agent-Draft: keine finale Regelentscheidung</x:v>
      </x:c>
      <x:c r="J2307" t="n">
        <x:v>45391</x:v>
      </x:c>
      <x:c r="K2307"/>
      <x:c r="L2307"/>
      <x:c r="M2307" t="n">
        <x:v>-6.35</x:v>
      </x:c>
      <x:c r="N2307" t="str">
        <x:v>2024-04</x:v>
      </x:c>
      <x:c r="O2307" t="str">
        <x:v>Ausgabe</x:v>
      </x:c>
      <x:c r="P2307" t="str">
        <x:v>Ist</x:v>
      </x:c>
      <x:c r="Q2307" s="59" t="b">
        <x:v>0</x:v>
      </x:c>
      <x:c r="R2307" t="str">
        <x:v>kein_transfer</x:v>
      </x:c>
      <x:c r="S2307"/>
      <x:c r="T2307"/>
      <x:c r="U2307"/>
      <x:c r="V2307" s="59" t="b">
        <x:v>1</x:v>
      </x:c>
      <x:c r="W2307"/>
      <x:c r="X2307" t="str">
        <x:v>offen</x:v>
      </x:c>
      <x:c r="Y2307" t="str">
        <x:v>Agent-Draft; Kategorie und Person pruefen</x:v>
      </x:c>
    </x:row>
    <x:row r="2308">
      <x:c r="A2308" t="str">
        <x:v>TXN-RAW-IMP-20260516-FULLDRAFT-002292</x:v>
      </x:c>
      <x:c r="B2308" t="str">
        <x:v>RAW-IMP-20260516-FULLDRAFT-002292</x:v>
      </x:c>
      <x:c r="C2308" t="str">
        <x:v>KTO001</x:v>
      </x:c>
      <x:c r="D2308"/>
      <x:c r="E2308" t="str">
        <x:v>KAT013</x:v>
      </x:c>
      <x:c r="F2308"/>
      <x:c r="G2308"/>
      <x:c r="H2308" t="str">
        <x:v>kein_match</x:v>
      </x:c>
      <x:c r="I2308" t="str">
        <x:v>Agent-Draft: keine finale Regelentscheidung</x:v>
      </x:c>
      <x:c r="J2308" t="n">
        <x:v>45391</x:v>
      </x:c>
      <x:c r="K2308"/>
      <x:c r="L2308"/>
      <x:c r="M2308" t="n">
        <x:v>-145</x:v>
      </x:c>
      <x:c r="N2308" t="str">
        <x:v>2024-04</x:v>
      </x:c>
      <x:c r="O2308" t="str">
        <x:v>Ausgabe</x:v>
      </x:c>
      <x:c r="P2308" t="str">
        <x:v>Ist</x:v>
      </x:c>
      <x:c r="Q2308" s="59" t="b">
        <x:v>0</x:v>
      </x:c>
      <x:c r="R2308" t="str">
        <x:v>kein_transfer</x:v>
      </x:c>
      <x:c r="S2308"/>
      <x:c r="T2308"/>
      <x:c r="U2308"/>
      <x:c r="V2308" s="59" t="b">
        <x:v>1</x:v>
      </x:c>
      <x:c r="W2308"/>
      <x:c r="X2308" t="str">
        <x:v>offen</x:v>
      </x:c>
      <x:c r="Y2308" t="str">
        <x:v>Agent-Draft; Kategorie und Person pruefen</x:v>
      </x:c>
    </x:row>
    <x:row r="2309">
      <x:c r="A2309" t="str">
        <x:v>TXN-RAW-IMP-20260516-FULLDRAFT-002293</x:v>
      </x:c>
      <x:c r="B2309" t="str">
        <x:v>RAW-IMP-20260516-FULLDRAFT-002293</x:v>
      </x:c>
      <x:c r="C2309" t="str">
        <x:v>KTO001</x:v>
      </x:c>
      <x:c r="D2309"/>
      <x:c r="E2309" t="str">
        <x:v>KAT013</x:v>
      </x:c>
      <x:c r="F2309"/>
      <x:c r="G2309"/>
      <x:c r="H2309" t="str">
        <x:v>kein_match</x:v>
      </x:c>
      <x:c r="I2309" t="str">
        <x:v>Agent-Draft: keine finale Regelentscheidung</x:v>
      </x:c>
      <x:c r="J2309" t="n">
        <x:v>45391</x:v>
      </x:c>
      <x:c r="K2309"/>
      <x:c r="L2309"/>
      <x:c r="M2309" t="n">
        <x:v>-7.3</x:v>
      </x:c>
      <x:c r="N2309" t="str">
        <x:v>2024-04</x:v>
      </x:c>
      <x:c r="O2309" t="str">
        <x:v>Ausgabe</x:v>
      </x:c>
      <x:c r="P2309" t="str">
        <x:v>Ist</x:v>
      </x:c>
      <x:c r="Q2309" s="59" t="b">
        <x:v>0</x:v>
      </x:c>
      <x:c r="R2309" t="str">
        <x:v>kein_transfer</x:v>
      </x:c>
      <x:c r="S2309"/>
      <x:c r="T2309"/>
      <x:c r="U2309"/>
      <x:c r="V2309" s="59" t="b">
        <x:v>1</x:v>
      </x:c>
      <x:c r="W2309"/>
      <x:c r="X2309" t="str">
        <x:v>offen</x:v>
      </x:c>
      <x:c r="Y2309" t="str">
        <x:v>Agent-Draft; Kategorie und Person pruefen</x:v>
      </x:c>
    </x:row>
    <x:row r="2310">
      <x:c r="A2310" t="str">
        <x:v>TXN-RAW-IMP-20260516-FULLDRAFT-002294</x:v>
      </x:c>
      <x:c r="B2310" t="str">
        <x:v>RAW-IMP-20260516-FULLDRAFT-002294</x:v>
      </x:c>
      <x:c r="C2310" t="str">
        <x:v>KTO001</x:v>
      </x:c>
      <x:c r="D2310"/>
      <x:c r="E2310" t="str">
        <x:v>KAT013</x:v>
      </x:c>
      <x:c r="F2310"/>
      <x:c r="G2310"/>
      <x:c r="H2310" t="str">
        <x:v>kein_match</x:v>
      </x:c>
      <x:c r="I2310" t="str">
        <x:v>Agent-Draft: keine finale Regelentscheidung</x:v>
      </x:c>
      <x:c r="J2310" t="n">
        <x:v>45391</x:v>
      </x:c>
      <x:c r="K2310"/>
      <x:c r="L2310"/>
      <x:c r="M2310" t="n">
        <x:v>-23.46</x:v>
      </x:c>
      <x:c r="N2310" t="str">
        <x:v>2024-04</x:v>
      </x:c>
      <x:c r="O2310" t="str">
        <x:v>Ausgabe</x:v>
      </x:c>
      <x:c r="P2310" t="str">
        <x:v>Ist</x:v>
      </x:c>
      <x:c r="Q2310" s="59" t="b">
        <x:v>0</x:v>
      </x:c>
      <x:c r="R2310" t="str">
        <x:v>kein_transfer</x:v>
      </x:c>
      <x:c r="S2310"/>
      <x:c r="T2310"/>
      <x:c r="U2310"/>
      <x:c r="V2310" s="59" t="b">
        <x:v>1</x:v>
      </x:c>
      <x:c r="W2310"/>
      <x:c r="X2310" t="str">
        <x:v>offen</x:v>
      </x:c>
      <x:c r="Y2310" t="str">
        <x:v>Agent-Draft; Kategorie und Person pruefen</x:v>
      </x:c>
    </x:row>
    <x:row r="2311">
      <x:c r="A2311" t="str">
        <x:v>TXN-RAW-IMP-20260516-FULLDRAFT-002295</x:v>
      </x:c>
      <x:c r="B2311" t="str">
        <x:v>RAW-IMP-20260516-FULLDRAFT-002295</x:v>
      </x:c>
      <x:c r="C2311" t="str">
        <x:v>KTO001</x:v>
      </x:c>
      <x:c r="D2311"/>
      <x:c r="E2311" t="str">
        <x:v>KAT013</x:v>
      </x:c>
      <x:c r="F2311"/>
      <x:c r="G2311"/>
      <x:c r="H2311" t="str">
        <x:v>kein_match</x:v>
      </x:c>
      <x:c r="I2311" t="str">
        <x:v>Agent-Draft: keine finale Regelentscheidung</x:v>
      </x:c>
      <x:c r="J2311" t="n">
        <x:v>45391</x:v>
      </x:c>
      <x:c r="K2311"/>
      <x:c r="L2311"/>
      <x:c r="M2311" t="n">
        <x:v>-460.95</x:v>
      </x:c>
      <x:c r="N2311" t="str">
        <x:v>2024-04</x:v>
      </x:c>
      <x:c r="O2311" t="str">
        <x:v>Ausgabe</x:v>
      </x:c>
      <x:c r="P2311" t="str">
        <x:v>Ist</x:v>
      </x:c>
      <x:c r="Q2311" s="59" t="b">
        <x:v>0</x:v>
      </x:c>
      <x:c r="R2311" t="str">
        <x:v>kein_transfer</x:v>
      </x:c>
      <x:c r="S2311"/>
      <x:c r="T2311"/>
      <x:c r="U2311"/>
      <x:c r="V2311" s="59" t="b">
        <x:v>1</x:v>
      </x:c>
      <x:c r="W2311"/>
      <x:c r="X2311" t="str">
        <x:v>offen</x:v>
      </x:c>
      <x:c r="Y2311" t="str">
        <x:v>Agent-Draft; Kategorie und Person pruefen</x:v>
      </x:c>
    </x:row>
    <x:row r="2312">
      <x:c r="A2312" t="str">
        <x:v>TXN-RAW-IMP-20260516-FULLDRAFT-002296</x:v>
      </x:c>
      <x:c r="B2312" t="str">
        <x:v>RAW-IMP-20260516-FULLDRAFT-002296</x:v>
      </x:c>
      <x:c r="C2312" t="str">
        <x:v>KTO001</x:v>
      </x:c>
      <x:c r="D2312"/>
      <x:c r="E2312" t="str">
        <x:v>KAT013</x:v>
      </x:c>
      <x:c r="F2312"/>
      <x:c r="G2312"/>
      <x:c r="H2312" t="str">
        <x:v>kein_match</x:v>
      </x:c>
      <x:c r="I2312" t="str">
        <x:v>Agent-Draft: keine finale Regelentscheidung</x:v>
      </x:c>
      <x:c r="J2312" t="n">
        <x:v>45391</x:v>
      </x:c>
      <x:c r="K2312"/>
      <x:c r="L2312"/>
      <x:c r="M2312" t="n">
        <x:v>-18.14</x:v>
      </x:c>
      <x:c r="N2312" t="str">
        <x:v>2024-04</x:v>
      </x:c>
      <x:c r="O2312" t="str">
        <x:v>Ausgabe</x:v>
      </x:c>
      <x:c r="P2312" t="str">
        <x:v>Ist</x:v>
      </x:c>
      <x:c r="Q2312" s="59" t="b">
        <x:v>0</x:v>
      </x:c>
      <x:c r="R2312" t="str">
        <x:v>kein_transfer</x:v>
      </x:c>
      <x:c r="S2312"/>
      <x:c r="T2312"/>
      <x:c r="U2312"/>
      <x:c r="V2312" s="59" t="b">
        <x:v>1</x:v>
      </x:c>
      <x:c r="W2312"/>
      <x:c r="X2312" t="str">
        <x:v>offen</x:v>
      </x:c>
      <x:c r="Y2312" t="str">
        <x:v>Agent-Draft; Kategorie und Person pruefen</x:v>
      </x:c>
    </x:row>
    <x:row r="2313">
      <x:c r="A2313" t="str">
        <x:v>TXN-RAW-IMP-20260516-FULLDRAFT-002297</x:v>
      </x:c>
      <x:c r="B2313" t="str">
        <x:v>RAW-IMP-20260516-FULLDRAFT-002297</x:v>
      </x:c>
      <x:c r="C2313" t="str">
        <x:v>KTO001</x:v>
      </x:c>
      <x:c r="D2313"/>
      <x:c r="E2313" t="str">
        <x:v>KAT013</x:v>
      </x:c>
      <x:c r="F2313"/>
      <x:c r="G2313"/>
      <x:c r="H2313" t="str">
        <x:v>kein_match</x:v>
      </x:c>
      <x:c r="I2313" t="str">
        <x:v>Agent-Draft: keine finale Regelentscheidung</x:v>
      </x:c>
      <x:c r="J2313" t="n">
        <x:v>45390</x:v>
      </x:c>
      <x:c r="K2313"/>
      <x:c r="L2313"/>
      <x:c r="M2313" t="n">
        <x:v>-11.99</x:v>
      </x:c>
      <x:c r="N2313" t="str">
        <x:v>2024-04</x:v>
      </x:c>
      <x:c r="O2313" t="str">
        <x:v>Ausgabe</x:v>
      </x:c>
      <x:c r="P2313" t="str">
        <x:v>Ist</x:v>
      </x:c>
      <x:c r="Q2313" s="59" t="b">
        <x:v>0</x:v>
      </x:c>
      <x:c r="R2313" t="str">
        <x:v>kein_transfer</x:v>
      </x:c>
      <x:c r="S2313"/>
      <x:c r="T2313"/>
      <x:c r="U2313"/>
      <x:c r="V2313" s="59" t="b">
        <x:v>1</x:v>
      </x:c>
      <x:c r="W2313"/>
      <x:c r="X2313" t="str">
        <x:v>offen</x:v>
      </x:c>
      <x:c r="Y2313" t="str">
        <x:v>Agent-Draft; Kategorie und Person pruefen</x:v>
      </x:c>
    </x:row>
    <x:row r="2314">
      <x:c r="A2314" t="str">
        <x:v>TXN-RAW-IMP-20260516-FULLDRAFT-002298</x:v>
      </x:c>
      <x:c r="B2314" t="str">
        <x:v>RAW-IMP-20260516-FULLDRAFT-002298</x:v>
      </x:c>
      <x:c r="C2314" t="str">
        <x:v>KTO001</x:v>
      </x:c>
      <x:c r="D2314"/>
      <x:c r="E2314" t="str">
        <x:v>KAT013</x:v>
      </x:c>
      <x:c r="F2314"/>
      <x:c r="G2314"/>
      <x:c r="H2314" t="str">
        <x:v>kein_match</x:v>
      </x:c>
      <x:c r="I2314" t="str">
        <x:v>Agent-Draft: keine finale Regelentscheidung</x:v>
      </x:c>
      <x:c r="J2314" t="n">
        <x:v>45390</x:v>
      </x:c>
      <x:c r="K2314"/>
      <x:c r="L2314"/>
      <x:c r="M2314" t="n">
        <x:v>-188</x:v>
      </x:c>
      <x:c r="N2314" t="str">
        <x:v>2024-04</x:v>
      </x:c>
      <x:c r="O2314" t="str">
        <x:v>Ausgabe</x:v>
      </x:c>
      <x:c r="P2314" t="str">
        <x:v>Ist</x:v>
      </x:c>
      <x:c r="Q2314" s="59" t="b">
        <x:v>0</x:v>
      </x:c>
      <x:c r="R2314" t="str">
        <x:v>kein_transfer</x:v>
      </x:c>
      <x:c r="S2314"/>
      <x:c r="T2314"/>
      <x:c r="U2314"/>
      <x:c r="V2314" s="59" t="b">
        <x:v>1</x:v>
      </x:c>
      <x:c r="W2314"/>
      <x:c r="X2314" t="str">
        <x:v>offen</x:v>
      </x:c>
      <x:c r="Y2314" t="str">
        <x:v>Agent-Draft; Kategorie und Person pruefen</x:v>
      </x:c>
    </x:row>
    <x:row r="2315">
      <x:c r="A2315" t="str">
        <x:v>TXN-RAW-IMP-20260516-FULLDRAFT-002299</x:v>
      </x:c>
      <x:c r="B2315" t="str">
        <x:v>RAW-IMP-20260516-FULLDRAFT-002299</x:v>
      </x:c>
      <x:c r="C2315" t="str">
        <x:v>KTO001</x:v>
      </x:c>
      <x:c r="D2315"/>
      <x:c r="E2315" t="str">
        <x:v>KAT013</x:v>
      </x:c>
      <x:c r="F2315"/>
      <x:c r="G2315"/>
      <x:c r="H2315" t="str">
        <x:v>kein_match</x:v>
      </x:c>
      <x:c r="I2315" t="str">
        <x:v>Agent-Draft: keine finale Regelentscheidung</x:v>
      </x:c>
      <x:c r="J2315" t="n">
        <x:v>45390</x:v>
      </x:c>
      <x:c r="K2315"/>
      <x:c r="L2315"/>
      <x:c r="M2315" t="n">
        <x:v>-1.99</x:v>
      </x:c>
      <x:c r="N2315" t="str">
        <x:v>2024-04</x:v>
      </x:c>
      <x:c r="O2315" t="str">
        <x:v>Ausgabe</x:v>
      </x:c>
      <x:c r="P2315" t="str">
        <x:v>Ist</x:v>
      </x:c>
      <x:c r="Q2315" s="59" t="b">
        <x:v>0</x:v>
      </x:c>
      <x:c r="R2315" t="str">
        <x:v>kein_transfer</x:v>
      </x:c>
      <x:c r="S2315"/>
      <x:c r="T2315"/>
      <x:c r="U2315"/>
      <x:c r="V2315" s="59" t="b">
        <x:v>1</x:v>
      </x:c>
      <x:c r="W2315"/>
      <x:c r="X2315" t="str">
        <x:v>offen</x:v>
      </x:c>
      <x:c r="Y2315" t="str">
        <x:v>Agent-Draft; Kategorie und Person pruefen</x:v>
      </x:c>
    </x:row>
    <x:row r="2316">
      <x:c r="A2316" t="str">
        <x:v>TXN-RAW-IMP-20260516-FULLDRAFT-002300</x:v>
      </x:c>
      <x:c r="B2316" t="str">
        <x:v>RAW-IMP-20260516-FULLDRAFT-002300</x:v>
      </x:c>
      <x:c r="C2316" t="str">
        <x:v>KTO001</x:v>
      </x:c>
      <x:c r="D2316"/>
      <x:c r="E2316" t="str">
        <x:v>KAT013</x:v>
      </x:c>
      <x:c r="F2316"/>
      <x:c r="G2316"/>
      <x:c r="H2316" t="str">
        <x:v>kein_match</x:v>
      </x:c>
      <x:c r="I2316" t="str">
        <x:v>Agent-Draft: keine finale Regelentscheidung</x:v>
      </x:c>
      <x:c r="J2316" t="n">
        <x:v>45390</x:v>
      </x:c>
      <x:c r="K2316"/>
      <x:c r="L2316"/>
      <x:c r="M2316" t="n">
        <x:v>-56.96</x:v>
      </x:c>
      <x:c r="N2316" t="str">
        <x:v>2024-04</x:v>
      </x:c>
      <x:c r="O2316" t="str">
        <x:v>Ausgabe</x:v>
      </x:c>
      <x:c r="P2316" t="str">
        <x:v>Ist</x:v>
      </x:c>
      <x:c r="Q2316" s="59" t="b">
        <x:v>0</x:v>
      </x:c>
      <x:c r="R2316" t="str">
        <x:v>kein_transfer</x:v>
      </x:c>
      <x:c r="S2316"/>
      <x:c r="T2316"/>
      <x:c r="U2316"/>
      <x:c r="V2316" s="59" t="b">
        <x:v>1</x:v>
      </x:c>
      <x:c r="W2316"/>
      <x:c r="X2316" t="str">
        <x:v>offen</x:v>
      </x:c>
      <x:c r="Y2316" t="str">
        <x:v>Agent-Draft; Kategorie und Person pruefen</x:v>
      </x:c>
    </x:row>
    <x:row r="2317">
      <x:c r="A2317" t="str">
        <x:v>TXN-RAW-IMP-20260516-FULLDRAFT-002301</x:v>
      </x:c>
      <x:c r="B2317" t="str">
        <x:v>RAW-IMP-20260516-FULLDRAFT-002301</x:v>
      </x:c>
      <x:c r="C2317" t="str">
        <x:v>KTO001</x:v>
      </x:c>
      <x:c r="D2317"/>
      <x:c r="E2317" t="str">
        <x:v>KAT013</x:v>
      </x:c>
      <x:c r="F2317"/>
      <x:c r="G2317"/>
      <x:c r="H2317" t="str">
        <x:v>kein_match</x:v>
      </x:c>
      <x:c r="I2317" t="str">
        <x:v>Agent-Draft: keine finale Regelentscheidung</x:v>
      </x:c>
      <x:c r="J2317" t="n">
        <x:v>45390</x:v>
      </x:c>
      <x:c r="K2317"/>
      <x:c r="L2317"/>
      <x:c r="M2317" t="n">
        <x:v>-49.9</x:v>
      </x:c>
      <x:c r="N2317" t="str">
        <x:v>2024-04</x:v>
      </x:c>
      <x:c r="O2317" t="str">
        <x:v>Ausgabe</x:v>
      </x:c>
      <x:c r="P2317" t="str">
        <x:v>Ist</x:v>
      </x:c>
      <x:c r="Q2317" s="59" t="b">
        <x:v>0</x:v>
      </x:c>
      <x:c r="R2317" t="str">
        <x:v>kein_transfer</x:v>
      </x:c>
      <x:c r="S2317"/>
      <x:c r="T2317"/>
      <x:c r="U2317"/>
      <x:c r="V2317" s="59" t="b">
        <x:v>1</x:v>
      </x:c>
      <x:c r="W2317"/>
      <x:c r="X2317" t="str">
        <x:v>offen</x:v>
      </x:c>
      <x:c r="Y2317" t="str">
        <x:v>Agent-Draft; Kategorie und Person pruefen</x:v>
      </x:c>
    </x:row>
    <x:row r="2318">
      <x:c r="A2318" t="str">
        <x:v>TXN-RAW-IMP-20260516-FULLDRAFT-002302</x:v>
      </x:c>
      <x:c r="B2318" t="str">
        <x:v>RAW-IMP-20260516-FULLDRAFT-002302</x:v>
      </x:c>
      <x:c r="C2318" t="str">
        <x:v>KTO001</x:v>
      </x:c>
      <x:c r="D2318"/>
      <x:c r="E2318" t="str">
        <x:v>KAT013</x:v>
      </x:c>
      <x:c r="F2318"/>
      <x:c r="G2318"/>
      <x:c r="H2318" t="str">
        <x:v>kein_match</x:v>
      </x:c>
      <x:c r="I2318" t="str">
        <x:v>Agent-Draft: keine finale Regelentscheidung</x:v>
      </x:c>
      <x:c r="J2318" t="n">
        <x:v>45387</x:v>
      </x:c>
      <x:c r="K2318"/>
      <x:c r="L2318"/>
      <x:c r="M2318" t="n">
        <x:v>-11.62</x:v>
      </x:c>
      <x:c r="N2318" t="str">
        <x:v>2024-04</x:v>
      </x:c>
      <x:c r="O2318" t="str">
        <x:v>Ausgabe</x:v>
      </x:c>
      <x:c r="P2318" t="str">
        <x:v>Ist</x:v>
      </x:c>
      <x:c r="Q2318" s="59" t="b">
        <x:v>0</x:v>
      </x:c>
      <x:c r="R2318" t="str">
        <x:v>kein_transfer</x:v>
      </x:c>
      <x:c r="S2318"/>
      <x:c r="T2318"/>
      <x:c r="U2318"/>
      <x:c r="V2318" s="59" t="b">
        <x:v>1</x:v>
      </x:c>
      <x:c r="W2318"/>
      <x:c r="X2318" t="str">
        <x:v>offen</x:v>
      </x:c>
      <x:c r="Y2318" t="str">
        <x:v>Agent-Draft; Kategorie und Person pruefen</x:v>
      </x:c>
    </x:row>
    <x:row r="2319">
      <x:c r="A2319" t="str">
        <x:v>TXN-RAW-IMP-20260516-FULLDRAFT-002303</x:v>
      </x:c>
      <x:c r="B2319" t="str">
        <x:v>RAW-IMP-20260516-FULLDRAFT-002303</x:v>
      </x:c>
      <x:c r="C2319" t="str">
        <x:v>KTO001</x:v>
      </x:c>
      <x:c r="D2319"/>
      <x:c r="E2319" t="str">
        <x:v>KAT013</x:v>
      </x:c>
      <x:c r="F2319"/>
      <x:c r="G2319"/>
      <x:c r="H2319" t="str">
        <x:v>kein_match</x:v>
      </x:c>
      <x:c r="I2319" t="str">
        <x:v>Agent-Draft: keine finale Regelentscheidung</x:v>
      </x:c>
      <x:c r="J2319" t="n">
        <x:v>45387</x:v>
      </x:c>
      <x:c r="K2319"/>
      <x:c r="L2319"/>
      <x:c r="M2319" t="n">
        <x:v>-18.99</x:v>
      </x:c>
      <x:c r="N2319" t="str">
        <x:v>2024-04</x:v>
      </x:c>
      <x:c r="O2319" t="str">
        <x:v>Ausgabe</x:v>
      </x:c>
      <x:c r="P2319" t="str">
        <x:v>Ist</x:v>
      </x:c>
      <x:c r="Q2319" s="59" t="b">
        <x:v>0</x:v>
      </x:c>
      <x:c r="R2319" t="str">
        <x:v>kein_transfer</x:v>
      </x:c>
      <x:c r="S2319"/>
      <x:c r="T2319"/>
      <x:c r="U2319"/>
      <x:c r="V2319" s="59" t="b">
        <x:v>1</x:v>
      </x:c>
      <x:c r="W2319"/>
      <x:c r="X2319" t="str">
        <x:v>offen</x:v>
      </x:c>
      <x:c r="Y2319" t="str">
        <x:v>Agent-Draft; Kategorie und Person pruefen</x:v>
      </x:c>
    </x:row>
    <x:row r="2320">
      <x:c r="A2320" t="str">
        <x:v>TXN-RAW-IMP-20260516-FULLDRAFT-002304</x:v>
      </x:c>
      <x:c r="B2320" t="str">
        <x:v>RAW-IMP-20260516-FULLDRAFT-002304</x:v>
      </x:c>
      <x:c r="C2320" t="str">
        <x:v>KTO001</x:v>
      </x:c>
      <x:c r="D2320"/>
      <x:c r="E2320" t="str">
        <x:v>KAT013</x:v>
      </x:c>
      <x:c r="F2320"/>
      <x:c r="G2320"/>
      <x:c r="H2320" t="str">
        <x:v>kein_match</x:v>
      </x:c>
      <x:c r="I2320" t="str">
        <x:v>Agent-Draft: keine finale Regelentscheidung</x:v>
      </x:c>
      <x:c r="J2320" t="n">
        <x:v>45387</x:v>
      </x:c>
      <x:c r="K2320"/>
      <x:c r="L2320"/>
      <x:c r="M2320" t="n">
        <x:v>-61.94</x:v>
      </x:c>
      <x:c r="N2320" t="str">
        <x:v>2024-04</x:v>
      </x:c>
      <x:c r="O2320" t="str">
        <x:v>Ausgabe</x:v>
      </x:c>
      <x:c r="P2320" t="str">
        <x:v>Ist</x:v>
      </x:c>
      <x:c r="Q2320" s="59" t="b">
        <x:v>0</x:v>
      </x:c>
      <x:c r="R2320" t="str">
        <x:v>kein_transfer</x:v>
      </x:c>
      <x:c r="S2320"/>
      <x:c r="T2320"/>
      <x:c r="U2320"/>
      <x:c r="V2320" s="59" t="b">
        <x:v>1</x:v>
      </x:c>
      <x:c r="W2320"/>
      <x:c r="X2320" t="str">
        <x:v>offen</x:v>
      </x:c>
      <x:c r="Y2320" t="str">
        <x:v>Agent-Draft; Kategorie und Person pruefen</x:v>
      </x:c>
    </x:row>
    <x:row r="2321">
      <x:c r="A2321" t="str">
        <x:v>TXN-RAW-IMP-20260516-FULLDRAFT-002305</x:v>
      </x:c>
      <x:c r="B2321" t="str">
        <x:v>RAW-IMP-20260516-FULLDRAFT-002305</x:v>
      </x:c>
      <x:c r="C2321" t="str">
        <x:v>KTO001</x:v>
      </x:c>
      <x:c r="D2321"/>
      <x:c r="E2321" t="str">
        <x:v>KAT013</x:v>
      </x:c>
      <x:c r="F2321"/>
      <x:c r="G2321"/>
      <x:c r="H2321" t="str">
        <x:v>kein_match</x:v>
      </x:c>
      <x:c r="I2321" t="str">
        <x:v>Agent-Draft: keine finale Regelentscheidung</x:v>
      </x:c>
      <x:c r="J2321" t="n">
        <x:v>45387</x:v>
      </x:c>
      <x:c r="K2321"/>
      <x:c r="L2321"/>
      <x:c r="M2321" t="n">
        <x:v>-4</x:v>
      </x:c>
      <x:c r="N2321" t="str">
        <x:v>2024-04</x:v>
      </x:c>
      <x:c r="O2321" t="str">
        <x:v>Ausgabe</x:v>
      </x:c>
      <x:c r="P2321" t="str">
        <x:v>Ist</x:v>
      </x:c>
      <x:c r="Q2321" s="59" t="b">
        <x:v>0</x:v>
      </x:c>
      <x:c r="R2321" t="str">
        <x:v>kein_transfer</x:v>
      </x:c>
      <x:c r="S2321"/>
      <x:c r="T2321"/>
      <x:c r="U2321"/>
      <x:c r="V2321" s="59" t="b">
        <x:v>1</x:v>
      </x:c>
      <x:c r="W2321"/>
      <x:c r="X2321" t="str">
        <x:v>offen</x:v>
      </x:c>
      <x:c r="Y2321" t="str">
        <x:v>Agent-Draft; Kategorie und Person pruefen</x:v>
      </x:c>
    </x:row>
    <x:row r="2322">
      <x:c r="A2322" t="str">
        <x:v>TXN-RAW-IMP-20260516-FULLDRAFT-002306</x:v>
      </x:c>
      <x:c r="B2322" t="str">
        <x:v>RAW-IMP-20260516-FULLDRAFT-002306</x:v>
      </x:c>
      <x:c r="C2322" t="str">
        <x:v>KTO001</x:v>
      </x:c>
      <x:c r="D2322"/>
      <x:c r="E2322" t="str">
        <x:v>KAT013</x:v>
      </x:c>
      <x:c r="F2322"/>
      <x:c r="G2322"/>
      <x:c r="H2322" t="str">
        <x:v>kein_match</x:v>
      </x:c>
      <x:c r="I2322" t="str">
        <x:v>Agent-Draft: keine finale Regelentscheidung</x:v>
      </x:c>
      <x:c r="J2322" t="n">
        <x:v>45387</x:v>
      </x:c>
      <x:c r="K2322"/>
      <x:c r="L2322"/>
      <x:c r="M2322" t="n">
        <x:v>-12</x:v>
      </x:c>
      <x:c r="N2322" t="str">
        <x:v>2024-04</x:v>
      </x:c>
      <x:c r="O2322" t="str">
        <x:v>Ausgabe</x:v>
      </x:c>
      <x:c r="P2322" t="str">
        <x:v>Ist</x:v>
      </x:c>
      <x:c r="Q2322" s="59" t="b">
        <x:v>0</x:v>
      </x:c>
      <x:c r="R2322" t="str">
        <x:v>kein_transfer</x:v>
      </x:c>
      <x:c r="S2322"/>
      <x:c r="T2322"/>
      <x:c r="U2322"/>
      <x:c r="V2322" s="59" t="b">
        <x:v>1</x:v>
      </x:c>
      <x:c r="W2322"/>
      <x:c r="X2322" t="str">
        <x:v>offen</x:v>
      </x:c>
      <x:c r="Y2322" t="str">
        <x:v>Agent-Draft; Kategorie und Person pruefen</x:v>
      </x:c>
    </x:row>
    <x:row r="2323">
      <x:c r="A2323" t="str">
        <x:v>TXN-RAW-IMP-20260516-FULLDRAFT-002307</x:v>
      </x:c>
      <x:c r="B2323" t="str">
        <x:v>RAW-IMP-20260516-FULLDRAFT-002307</x:v>
      </x:c>
      <x:c r="C2323" t="str">
        <x:v>KTO001</x:v>
      </x:c>
      <x:c r="D2323"/>
      <x:c r="E2323" t="str">
        <x:v>KAT013</x:v>
      </x:c>
      <x:c r="F2323"/>
      <x:c r="G2323"/>
      <x:c r="H2323" t="str">
        <x:v>kein_match</x:v>
      </x:c>
      <x:c r="I2323" t="str">
        <x:v>Agent-Draft: keine finale Regelentscheidung</x:v>
      </x:c>
      <x:c r="J2323" t="n">
        <x:v>45387</x:v>
      </x:c>
      <x:c r="K2323"/>
      <x:c r="L2323"/>
      <x:c r="M2323" t="n">
        <x:v>-340</x:v>
      </x:c>
      <x:c r="N2323" t="str">
        <x:v>2024-04</x:v>
      </x:c>
      <x:c r="O2323" t="str">
        <x:v>Ausgabe</x:v>
      </x:c>
      <x:c r="P2323" t="str">
        <x:v>Ist</x:v>
      </x:c>
      <x:c r="Q2323" s="59" t="b">
        <x:v>0</x:v>
      </x:c>
      <x:c r="R2323" t="str">
        <x:v>kein_transfer</x:v>
      </x:c>
      <x:c r="S2323"/>
      <x:c r="T2323"/>
      <x:c r="U2323"/>
      <x:c r="V2323" s="59" t="b">
        <x:v>1</x:v>
      </x:c>
      <x:c r="W2323"/>
      <x:c r="X2323" t="str">
        <x:v>offen</x:v>
      </x:c>
      <x:c r="Y2323" t="str">
        <x:v>Agent-Draft; Kategorie und Person pruefen</x:v>
      </x:c>
    </x:row>
    <x:row r="2324">
      <x:c r="A2324" t="str">
        <x:v>TXN-RAW-IMP-20260516-FULLDRAFT-002308</x:v>
      </x:c>
      <x:c r="B2324" t="str">
        <x:v>RAW-IMP-20260516-FULLDRAFT-002308</x:v>
      </x:c>
      <x:c r="C2324" t="str">
        <x:v>KTO001</x:v>
      </x:c>
      <x:c r="D2324"/>
      <x:c r="E2324" t="str">
        <x:v>KAT013</x:v>
      </x:c>
      <x:c r="F2324"/>
      <x:c r="G2324"/>
      <x:c r="H2324" t="str">
        <x:v>kein_match</x:v>
      </x:c>
      <x:c r="I2324" t="str">
        <x:v>Agent-Draft: keine finale Regelentscheidung</x:v>
      </x:c>
      <x:c r="J2324" t="n">
        <x:v>45386</x:v>
      </x:c>
      <x:c r="K2324"/>
      <x:c r="L2324"/>
      <x:c r="M2324" t="n">
        <x:v>-17.33</x:v>
      </x:c>
      <x:c r="N2324" t="str">
        <x:v>2024-04</x:v>
      </x:c>
      <x:c r="O2324" t="str">
        <x:v>Ausgabe</x:v>
      </x:c>
      <x:c r="P2324" t="str">
        <x:v>Ist</x:v>
      </x:c>
      <x:c r="Q2324" s="59" t="b">
        <x:v>0</x:v>
      </x:c>
      <x:c r="R2324" t="str">
        <x:v>kein_transfer</x:v>
      </x:c>
      <x:c r="S2324"/>
      <x:c r="T2324"/>
      <x:c r="U2324"/>
      <x:c r="V2324" s="59" t="b">
        <x:v>1</x:v>
      </x:c>
      <x:c r="W2324"/>
      <x:c r="X2324" t="str">
        <x:v>offen</x:v>
      </x:c>
      <x:c r="Y2324" t="str">
        <x:v>Agent-Draft; Kategorie und Person pruefen</x:v>
      </x:c>
    </x:row>
    <x:row r="2325">
      <x:c r="A2325" t="str">
        <x:v>TXN-RAW-IMP-20260516-FULLDRAFT-002309</x:v>
      </x:c>
      <x:c r="B2325" t="str">
        <x:v>RAW-IMP-20260516-FULLDRAFT-002309</x:v>
      </x:c>
      <x:c r="C2325" t="str">
        <x:v>KTO001</x:v>
      </x:c>
      <x:c r="D2325"/>
      <x:c r="E2325" t="str">
        <x:v>KAT013</x:v>
      </x:c>
      <x:c r="F2325"/>
      <x:c r="G2325"/>
      <x:c r="H2325" t="str">
        <x:v>kein_match</x:v>
      </x:c>
      <x:c r="I2325" t="str">
        <x:v>Agent-Draft: keine finale Regelentscheidung</x:v>
      </x:c>
      <x:c r="J2325" t="n">
        <x:v>45386</x:v>
      </x:c>
      <x:c r="K2325"/>
      <x:c r="L2325"/>
      <x:c r="M2325" t="n">
        <x:v>-37.83</x:v>
      </x:c>
      <x:c r="N2325" t="str">
        <x:v>2024-04</x:v>
      </x:c>
      <x:c r="O2325" t="str">
        <x:v>Ausgabe</x:v>
      </x:c>
      <x:c r="P2325" t="str">
        <x:v>Ist</x:v>
      </x:c>
      <x:c r="Q2325" s="59" t="b">
        <x:v>0</x:v>
      </x:c>
      <x:c r="R2325" t="str">
        <x:v>kein_transfer</x:v>
      </x:c>
      <x:c r="S2325"/>
      <x:c r="T2325"/>
      <x:c r="U2325"/>
      <x:c r="V2325" s="59" t="b">
        <x:v>1</x:v>
      </x:c>
      <x:c r="W2325"/>
      <x:c r="X2325" t="str">
        <x:v>offen</x:v>
      </x:c>
      <x:c r="Y2325" t="str">
        <x:v>Agent-Draft; Kategorie und Person pruefen</x:v>
      </x:c>
    </x:row>
    <x:row r="2326">
      <x:c r="A2326" t="str">
        <x:v>TXN-RAW-IMP-20260516-FULLDRAFT-002310</x:v>
      </x:c>
      <x:c r="B2326" t="str">
        <x:v>RAW-IMP-20260516-FULLDRAFT-002310</x:v>
      </x:c>
      <x:c r="C2326" t="str">
        <x:v>KTO001</x:v>
      </x:c>
      <x:c r="D2326"/>
      <x:c r="E2326" t="str">
        <x:v>KAT013</x:v>
      </x:c>
      <x:c r="F2326"/>
      <x:c r="G2326"/>
      <x:c r="H2326" t="str">
        <x:v>kein_match</x:v>
      </x:c>
      <x:c r="I2326" t="str">
        <x:v>Agent-Draft: keine finale Regelentscheidung</x:v>
      </x:c>
      <x:c r="J2326" t="n">
        <x:v>45386</x:v>
      </x:c>
      <x:c r="K2326"/>
      <x:c r="L2326"/>
      <x:c r="M2326" t="n">
        <x:v>-0.99</x:v>
      </x:c>
      <x:c r="N2326" t="str">
        <x:v>2024-04</x:v>
      </x:c>
      <x:c r="O2326" t="str">
        <x:v>Ausgabe</x:v>
      </x:c>
      <x:c r="P2326" t="str">
        <x:v>Ist</x:v>
      </x:c>
      <x:c r="Q2326" s="59" t="b">
        <x:v>0</x:v>
      </x:c>
      <x:c r="R2326" t="str">
        <x:v>kein_transfer</x:v>
      </x:c>
      <x:c r="S2326"/>
      <x:c r="T2326"/>
      <x:c r="U2326"/>
      <x:c r="V2326" s="59" t="b">
        <x:v>1</x:v>
      </x:c>
      <x:c r="W2326"/>
      <x:c r="X2326" t="str">
        <x:v>offen</x:v>
      </x:c>
      <x:c r="Y2326" t="str">
        <x:v>Agent-Draft; Kategorie und Person pruefen</x:v>
      </x:c>
    </x:row>
    <x:row r="2327">
      <x:c r="A2327" t="str">
        <x:v>TXN-RAW-IMP-20260516-FULLDRAFT-002311</x:v>
      </x:c>
      <x:c r="B2327" t="str">
        <x:v>RAW-IMP-20260516-FULLDRAFT-002311</x:v>
      </x:c>
      <x:c r="C2327" t="str">
        <x:v>KTO001</x:v>
      </x:c>
      <x:c r="D2327"/>
      <x:c r="E2327" t="str">
        <x:v>KAT013</x:v>
      </x:c>
      <x:c r="F2327"/>
      <x:c r="G2327"/>
      <x:c r="H2327" t="str">
        <x:v>kein_match</x:v>
      </x:c>
      <x:c r="I2327" t="str">
        <x:v>Agent-Draft: keine finale Regelentscheidung</x:v>
      </x:c>
      <x:c r="J2327" t="n">
        <x:v>45386</x:v>
      </x:c>
      <x:c r="K2327"/>
      <x:c r="L2327"/>
      <x:c r="M2327" t="n">
        <x:v>-18.14</x:v>
      </x:c>
      <x:c r="N2327" t="str">
        <x:v>2024-04</x:v>
      </x:c>
      <x:c r="O2327" t="str">
        <x:v>Ausgabe</x:v>
      </x:c>
      <x:c r="P2327" t="str">
        <x:v>Ist</x:v>
      </x:c>
      <x:c r="Q2327" s="59" t="b">
        <x:v>0</x:v>
      </x:c>
      <x:c r="R2327" t="str">
        <x:v>kein_transfer</x:v>
      </x:c>
      <x:c r="S2327"/>
      <x:c r="T2327"/>
      <x:c r="U2327"/>
      <x:c r="V2327" s="59" t="b">
        <x:v>1</x:v>
      </x:c>
      <x:c r="W2327"/>
      <x:c r="X2327" t="str">
        <x:v>offen</x:v>
      </x:c>
      <x:c r="Y2327" t="str">
        <x:v>Agent-Draft; Kategorie und Person pruefen</x:v>
      </x:c>
    </x:row>
    <x:row r="2328">
      <x:c r="A2328" t="str">
        <x:v>TXN-RAW-IMP-20260516-FULLDRAFT-002312</x:v>
      </x:c>
      <x:c r="B2328" t="str">
        <x:v>RAW-IMP-20260516-FULLDRAFT-002312</x:v>
      </x:c>
      <x:c r="C2328" t="str">
        <x:v>KTO001</x:v>
      </x:c>
      <x:c r="D2328"/>
      <x:c r="E2328" t="str">
        <x:v>KAT013</x:v>
      </x:c>
      <x:c r="F2328"/>
      <x:c r="G2328"/>
      <x:c r="H2328" t="str">
        <x:v>kein_match</x:v>
      </x:c>
      <x:c r="I2328" t="str">
        <x:v>Agent-Draft: keine finale Regelentscheidung</x:v>
      </x:c>
      <x:c r="J2328" t="n">
        <x:v>45385</x:v>
      </x:c>
      <x:c r="K2328"/>
      <x:c r="L2328"/>
      <x:c r="M2328" t="n">
        <x:v>-39.47</x:v>
      </x:c>
      <x:c r="N2328" t="str">
        <x:v>2024-04</x:v>
      </x:c>
      <x:c r="O2328" t="str">
        <x:v>Ausgabe</x:v>
      </x:c>
      <x:c r="P2328" t="str">
        <x:v>Ist</x:v>
      </x:c>
      <x:c r="Q2328" s="59" t="b">
        <x:v>0</x:v>
      </x:c>
      <x:c r="R2328" t="str">
        <x:v>kein_transfer</x:v>
      </x:c>
      <x:c r="S2328"/>
      <x:c r="T2328"/>
      <x:c r="U2328"/>
      <x:c r="V2328" s="59" t="b">
        <x:v>1</x:v>
      </x:c>
      <x:c r="W2328"/>
      <x:c r="X2328" t="str">
        <x:v>offen</x:v>
      </x:c>
      <x:c r="Y2328" t="str">
        <x:v>Agent-Draft; Kategorie und Person pruefen</x:v>
      </x:c>
    </x:row>
    <x:row r="2329">
      <x:c r="A2329" t="str">
        <x:v>TXN-RAW-IMP-20260516-FULLDRAFT-002313</x:v>
      </x:c>
      <x:c r="B2329" t="str">
        <x:v>RAW-IMP-20260516-FULLDRAFT-002313</x:v>
      </x:c>
      <x:c r="C2329" t="str">
        <x:v>KTO001</x:v>
      </x:c>
      <x:c r="D2329"/>
      <x:c r="E2329" t="str">
        <x:v>KAT013</x:v>
      </x:c>
      <x:c r="F2329"/>
      <x:c r="G2329"/>
      <x:c r="H2329" t="str">
        <x:v>kein_match</x:v>
      </x:c>
      <x:c r="I2329" t="str">
        <x:v>Agent-Draft: keine finale Regelentscheidung</x:v>
      </x:c>
      <x:c r="J2329" t="n">
        <x:v>45385</x:v>
      </x:c>
      <x:c r="K2329"/>
      <x:c r="L2329"/>
      <x:c r="M2329" t="n">
        <x:v>-120</x:v>
      </x:c>
      <x:c r="N2329" t="str">
        <x:v>2024-04</x:v>
      </x:c>
      <x:c r="O2329" t="str">
        <x:v>Ausgabe</x:v>
      </x:c>
      <x:c r="P2329" t="str">
        <x:v>Ist</x:v>
      </x:c>
      <x:c r="Q2329" s="59" t="b">
        <x:v>0</x:v>
      </x:c>
      <x:c r="R2329" t="str">
        <x:v>kein_transfer</x:v>
      </x:c>
      <x:c r="S2329"/>
      <x:c r="T2329"/>
      <x:c r="U2329"/>
      <x:c r="V2329" s="59" t="b">
        <x:v>1</x:v>
      </x:c>
      <x:c r="W2329"/>
      <x:c r="X2329" t="str">
        <x:v>offen</x:v>
      </x:c>
      <x:c r="Y2329" t="str">
        <x:v>Agent-Draft; Kategorie und Person pruefen</x:v>
      </x:c>
    </x:row>
    <x:row r="2330">
      <x:c r="A2330" t="str">
        <x:v>TXN-RAW-IMP-20260516-FULLDRAFT-002314</x:v>
      </x:c>
      <x:c r="B2330" t="str">
        <x:v>RAW-IMP-20260516-FULLDRAFT-002314</x:v>
      </x:c>
      <x:c r="C2330" t="str">
        <x:v>KTO001</x:v>
      </x:c>
      <x:c r="D2330"/>
      <x:c r="E2330" t="str">
        <x:v>KAT013</x:v>
      </x:c>
      <x:c r="F2330"/>
      <x:c r="G2330"/>
      <x:c r="H2330" t="str">
        <x:v>kein_match</x:v>
      </x:c>
      <x:c r="I2330" t="str">
        <x:v>Agent-Draft: keine finale Regelentscheidung</x:v>
      </x:c>
      <x:c r="J2330" t="n">
        <x:v>45385</x:v>
      </x:c>
      <x:c r="K2330"/>
      <x:c r="L2330"/>
      <x:c r="M2330" t="n">
        <x:v>-11.96</x:v>
      </x:c>
      <x:c r="N2330" t="str">
        <x:v>2024-04</x:v>
      </x:c>
      <x:c r="O2330" t="str">
        <x:v>Ausgabe</x:v>
      </x:c>
      <x:c r="P2330" t="str">
        <x:v>Ist</x:v>
      </x:c>
      <x:c r="Q2330" s="59" t="b">
        <x:v>0</x:v>
      </x:c>
      <x:c r="R2330" t="str">
        <x:v>kein_transfer</x:v>
      </x:c>
      <x:c r="S2330"/>
      <x:c r="T2330"/>
      <x:c r="U2330"/>
      <x:c r="V2330" s="59" t="b">
        <x:v>1</x:v>
      </x:c>
      <x:c r="W2330"/>
      <x:c r="X2330" t="str">
        <x:v>offen</x:v>
      </x:c>
      <x:c r="Y2330" t="str">
        <x:v>Agent-Draft; Kategorie und Person pruefen</x:v>
      </x:c>
    </x:row>
    <x:row r="2331">
      <x:c r="A2331" t="str">
        <x:v>TXN-RAW-IMP-20260516-FULLDRAFT-002315</x:v>
      </x:c>
      <x:c r="B2331" t="str">
        <x:v>RAW-IMP-20260516-FULLDRAFT-002315</x:v>
      </x:c>
      <x:c r="C2331" t="str">
        <x:v>KTO001</x:v>
      </x:c>
      <x:c r="D2331"/>
      <x:c r="E2331" t="str">
        <x:v>KAT013</x:v>
      </x:c>
      <x:c r="F2331"/>
      <x:c r="G2331"/>
      <x:c r="H2331" t="str">
        <x:v>kein_match</x:v>
      </x:c>
      <x:c r="I2331" t="str">
        <x:v>Agent-Draft: keine finale Regelentscheidung</x:v>
      </x:c>
      <x:c r="J2331" t="n">
        <x:v>45385</x:v>
      </x:c>
      <x:c r="K2331"/>
      <x:c r="L2331"/>
      <x:c r="M2331" t="n">
        <x:v>-23.63</x:v>
      </x:c>
      <x:c r="N2331" t="str">
        <x:v>2024-04</x:v>
      </x:c>
      <x:c r="O2331" t="str">
        <x:v>Ausgabe</x:v>
      </x:c>
      <x:c r="P2331" t="str">
        <x:v>Ist</x:v>
      </x:c>
      <x:c r="Q2331" s="59" t="b">
        <x:v>0</x:v>
      </x:c>
      <x:c r="R2331" t="str">
        <x:v>kein_transfer</x:v>
      </x:c>
      <x:c r="S2331"/>
      <x:c r="T2331"/>
      <x:c r="U2331"/>
      <x:c r="V2331" s="59" t="b">
        <x:v>1</x:v>
      </x:c>
      <x:c r="W2331"/>
      <x:c r="X2331" t="str">
        <x:v>offen</x:v>
      </x:c>
      <x:c r="Y2331" t="str">
        <x:v>Agent-Draft; Kategorie und Person pruefen</x:v>
      </x:c>
    </x:row>
    <x:row r="2332">
      <x:c r="A2332" t="str">
        <x:v>TXN-RAW-IMP-20260516-FULLDRAFT-002316</x:v>
      </x:c>
      <x:c r="B2332" t="str">
        <x:v>RAW-IMP-20260516-FULLDRAFT-002316</x:v>
      </x:c>
      <x:c r="C2332" t="str">
        <x:v>KTO001</x:v>
      </x:c>
      <x:c r="D2332"/>
      <x:c r="E2332" t="str">
        <x:v>KAT013</x:v>
      </x:c>
      <x:c r="F2332"/>
      <x:c r="G2332"/>
      <x:c r="H2332" t="str">
        <x:v>kein_match</x:v>
      </x:c>
      <x:c r="I2332" t="str">
        <x:v>Agent-Draft: keine finale Regelentscheidung</x:v>
      </x:c>
      <x:c r="J2332" t="n">
        <x:v>45385</x:v>
      </x:c>
      <x:c r="K2332"/>
      <x:c r="L2332"/>
      <x:c r="M2332" t="n">
        <x:v>-8.54</x:v>
      </x:c>
      <x:c r="N2332" t="str">
        <x:v>2024-04</x:v>
      </x:c>
      <x:c r="O2332" t="str">
        <x:v>Ausgabe</x:v>
      </x:c>
      <x:c r="P2332" t="str">
        <x:v>Ist</x:v>
      </x:c>
      <x:c r="Q2332" s="59" t="b">
        <x:v>0</x:v>
      </x:c>
      <x:c r="R2332" t="str">
        <x:v>kein_transfer</x:v>
      </x:c>
      <x:c r="S2332"/>
      <x:c r="T2332"/>
      <x:c r="U2332"/>
      <x:c r="V2332" s="59" t="b">
        <x:v>1</x:v>
      </x:c>
      <x:c r="W2332"/>
      <x:c r="X2332" t="str">
        <x:v>offen</x:v>
      </x:c>
      <x:c r="Y2332" t="str">
        <x:v>Agent-Draft; Kategorie und Person pruefen</x:v>
      </x:c>
    </x:row>
    <x:row r="2333">
      <x:c r="A2333" t="str">
        <x:v>TXN-RAW-IMP-20260516-FULLDRAFT-002317</x:v>
      </x:c>
      <x:c r="B2333" t="str">
        <x:v>RAW-IMP-20260516-FULLDRAFT-002317</x:v>
      </x:c>
      <x:c r="C2333" t="str">
        <x:v>KTO001</x:v>
      </x:c>
      <x:c r="D2333"/>
      <x:c r="E2333" t="str">
        <x:v>KAT013</x:v>
      </x:c>
      <x:c r="F2333"/>
      <x:c r="G2333"/>
      <x:c r="H2333" t="str">
        <x:v>kein_match</x:v>
      </x:c>
      <x:c r="I2333" t="str">
        <x:v>Agent-Draft: keine finale Regelentscheidung</x:v>
      </x:c>
      <x:c r="J2333" t="n">
        <x:v>45385</x:v>
      </x:c>
      <x:c r="K2333"/>
      <x:c r="L2333"/>
      <x:c r="M2333" t="n">
        <x:v>-54.5</x:v>
      </x:c>
      <x:c r="N2333" t="str">
        <x:v>2024-04</x:v>
      </x:c>
      <x:c r="O2333" t="str">
        <x:v>Ausgabe</x:v>
      </x:c>
      <x:c r="P2333" t="str">
        <x:v>Ist</x:v>
      </x:c>
      <x:c r="Q2333" s="59" t="b">
        <x:v>0</x:v>
      </x:c>
      <x:c r="R2333" t="str">
        <x:v>kein_transfer</x:v>
      </x:c>
      <x:c r="S2333"/>
      <x:c r="T2333"/>
      <x:c r="U2333"/>
      <x:c r="V2333" s="59" t="b">
        <x:v>1</x:v>
      </x:c>
      <x:c r="W2333"/>
      <x:c r="X2333" t="str">
        <x:v>offen</x:v>
      </x:c>
      <x:c r="Y2333" t="str">
        <x:v>Agent-Draft; Kategorie und Person pruefen</x:v>
      </x:c>
    </x:row>
    <x:row r="2334">
      <x:c r="A2334" t="str">
        <x:v>TXN-RAW-IMP-20260516-FULLDRAFT-002318</x:v>
      </x:c>
      <x:c r="B2334" t="str">
        <x:v>RAW-IMP-20260516-FULLDRAFT-002318</x:v>
      </x:c>
      <x:c r="C2334" t="str">
        <x:v>KTO001</x:v>
      </x:c>
      <x:c r="D2334"/>
      <x:c r="E2334" t="str">
        <x:v>KAT013</x:v>
      </x:c>
      <x:c r="F2334"/>
      <x:c r="G2334"/>
      <x:c r="H2334" t="str">
        <x:v>kein_match</x:v>
      </x:c>
      <x:c r="I2334" t="str">
        <x:v>Agent-Draft: keine finale Regelentscheidung</x:v>
      </x:c>
      <x:c r="J2334" t="n">
        <x:v>45385</x:v>
      </x:c>
      <x:c r="K2334"/>
      <x:c r="L2334"/>
      <x:c r="M2334" t="n">
        <x:v>-51.54</x:v>
      </x:c>
      <x:c r="N2334" t="str">
        <x:v>2024-04</x:v>
      </x:c>
      <x:c r="O2334" t="str">
        <x:v>Ausgabe</x:v>
      </x:c>
      <x:c r="P2334" t="str">
        <x:v>Ist</x:v>
      </x:c>
      <x:c r="Q2334" s="59" t="b">
        <x:v>0</x:v>
      </x:c>
      <x:c r="R2334" t="str">
        <x:v>kein_transfer</x:v>
      </x:c>
      <x:c r="S2334"/>
      <x:c r="T2334"/>
      <x:c r="U2334"/>
      <x:c r="V2334" s="59" t="b">
        <x:v>1</x:v>
      </x:c>
      <x:c r="W2334"/>
      <x:c r="X2334" t="str">
        <x:v>offen</x:v>
      </x:c>
      <x:c r="Y2334" t="str">
        <x:v>Agent-Draft; Kategorie und Person pruefen</x:v>
      </x:c>
    </x:row>
    <x:row r="2335">
      <x:c r="A2335" t="str">
        <x:v>TXN-RAW-IMP-20260516-FULLDRAFT-002319</x:v>
      </x:c>
      <x:c r="B2335" t="str">
        <x:v>RAW-IMP-20260516-FULLDRAFT-002319</x:v>
      </x:c>
      <x:c r="C2335" t="str">
        <x:v>KTO001</x:v>
      </x:c>
      <x:c r="D2335"/>
      <x:c r="E2335" t="str">
        <x:v>KAT013</x:v>
      </x:c>
      <x:c r="F2335"/>
      <x:c r="G2335"/>
      <x:c r="H2335" t="str">
        <x:v>kein_match</x:v>
      </x:c>
      <x:c r="I2335" t="str">
        <x:v>Agent-Draft: keine finale Regelentscheidung</x:v>
      </x:c>
      <x:c r="J2335" t="n">
        <x:v>45384</x:v>
      </x:c>
      <x:c r="K2335"/>
      <x:c r="L2335"/>
      <x:c r="M2335" t="n">
        <x:v>-35</x:v>
      </x:c>
      <x:c r="N2335" t="str">
        <x:v>2024-04</x:v>
      </x:c>
      <x:c r="O2335" t="str">
        <x:v>Ausgabe</x:v>
      </x:c>
      <x:c r="P2335" t="str">
        <x:v>Ist</x:v>
      </x:c>
      <x:c r="Q2335" s="59" t="b">
        <x:v>0</x:v>
      </x:c>
      <x:c r="R2335" t="str">
        <x:v>kein_transfer</x:v>
      </x:c>
      <x:c r="S2335"/>
      <x:c r="T2335"/>
      <x:c r="U2335"/>
      <x:c r="V2335" s="59" t="b">
        <x:v>1</x:v>
      </x:c>
      <x:c r="W2335"/>
      <x:c r="X2335" t="str">
        <x:v>offen</x:v>
      </x:c>
      <x:c r="Y2335" t="str">
        <x:v>Agent-Draft; Kategorie und Person pruefen</x:v>
      </x:c>
    </x:row>
    <x:row r="2336">
      <x:c r="A2336" t="str">
        <x:v>TXN-RAW-IMP-20260516-FULLDRAFT-002320</x:v>
      </x:c>
      <x:c r="B2336" t="str">
        <x:v>RAW-IMP-20260516-FULLDRAFT-002320</x:v>
      </x:c>
      <x:c r="C2336" t="str">
        <x:v>KTO001</x:v>
      </x:c>
      <x:c r="D2336"/>
      <x:c r="E2336" t="str">
        <x:v>KAT013</x:v>
      </x:c>
      <x:c r="F2336"/>
      <x:c r="G2336"/>
      <x:c r="H2336" t="str">
        <x:v>kein_match</x:v>
      </x:c>
      <x:c r="I2336" t="str">
        <x:v>Agent-Draft: keine finale Regelentscheidung</x:v>
      </x:c>
      <x:c r="J2336" t="n">
        <x:v>45384</x:v>
      </x:c>
      <x:c r="K2336"/>
      <x:c r="L2336"/>
      <x:c r="M2336" t="n">
        <x:v>-35</x:v>
      </x:c>
      <x:c r="N2336" t="str">
        <x:v>2024-04</x:v>
      </x:c>
      <x:c r="O2336" t="str">
        <x:v>Ausgabe</x:v>
      </x:c>
      <x:c r="P2336" t="str">
        <x:v>Ist</x:v>
      </x:c>
      <x:c r="Q2336" s="59" t="b">
        <x:v>0</x:v>
      </x:c>
      <x:c r="R2336" t="str">
        <x:v>kein_transfer</x:v>
      </x:c>
      <x:c r="S2336"/>
      <x:c r="T2336"/>
      <x:c r="U2336"/>
      <x:c r="V2336" s="59" t="b">
        <x:v>1</x:v>
      </x:c>
      <x:c r="W2336"/>
      <x:c r="X2336" t="str">
        <x:v>offen</x:v>
      </x:c>
      <x:c r="Y2336" t="str">
        <x:v>Agent-Draft; Kategorie und Person pruefen</x:v>
      </x:c>
    </x:row>
    <x:row r="2337">
      <x:c r="A2337" t="str">
        <x:v>TXN-RAW-IMP-20260516-FULLDRAFT-002321</x:v>
      </x:c>
      <x:c r="B2337" t="str">
        <x:v>RAW-IMP-20260516-FULLDRAFT-002321</x:v>
      </x:c>
      <x:c r="C2337" t="str">
        <x:v>KTO001</x:v>
      </x:c>
      <x:c r="D2337"/>
      <x:c r="E2337" t="str">
        <x:v>KAT013</x:v>
      </x:c>
      <x:c r="F2337"/>
      <x:c r="G2337"/>
      <x:c r="H2337" t="str">
        <x:v>kein_match</x:v>
      </x:c>
      <x:c r="I2337" t="str">
        <x:v>Agent-Draft: keine finale Regelentscheidung</x:v>
      </x:c>
      <x:c r="J2337" t="n">
        <x:v>45384</x:v>
      </x:c>
      <x:c r="K2337"/>
      <x:c r="L2337"/>
      <x:c r="M2337" t="n">
        <x:v>750</x:v>
      </x:c>
      <x:c r="N2337" t="str">
        <x:v>2024-04</x:v>
      </x:c>
      <x:c r="O2337" t="str">
        <x:v>Einnahme</x:v>
      </x:c>
      <x:c r="P2337" t="str">
        <x:v>Ist</x:v>
      </x:c>
      <x:c r="Q2337" s="59" t="b">
        <x:v>0</x:v>
      </x:c>
      <x:c r="R2337" t="str">
        <x:v>kein_transfer</x:v>
      </x:c>
      <x:c r="S2337"/>
      <x:c r="T2337"/>
      <x:c r="U2337"/>
      <x:c r="V2337" s="59" t="b">
        <x:v>1</x:v>
      </x:c>
      <x:c r="W2337"/>
      <x:c r="X2337" t="str">
        <x:v>offen</x:v>
      </x:c>
      <x:c r="Y2337" t="str">
        <x:v>Agent-Draft; Kategorie und Person pruefen</x:v>
      </x:c>
    </x:row>
    <x:row r="2338">
      <x:c r="A2338" t="str">
        <x:v>TXN-RAW-IMP-20260516-FULLDRAFT-002322</x:v>
      </x:c>
      <x:c r="B2338" t="str">
        <x:v>RAW-IMP-20260516-FULLDRAFT-002322</x:v>
      </x:c>
      <x:c r="C2338" t="str">
        <x:v>KTO001</x:v>
      </x:c>
      <x:c r="D2338"/>
      <x:c r="E2338" t="str">
        <x:v>KAT013</x:v>
      </x:c>
      <x:c r="F2338"/>
      <x:c r="G2338"/>
      <x:c r="H2338" t="str">
        <x:v>kein_match</x:v>
      </x:c>
      <x:c r="I2338" t="str">
        <x:v>Agent-Draft: keine finale Regelentscheidung</x:v>
      </x:c>
      <x:c r="J2338" t="n">
        <x:v>45384</x:v>
      </x:c>
      <x:c r="K2338"/>
      <x:c r="L2338"/>
      <x:c r="M2338" t="n">
        <x:v>-7</x:v>
      </x:c>
      <x:c r="N2338" t="str">
        <x:v>2024-04</x:v>
      </x:c>
      <x:c r="O2338" t="str">
        <x:v>Ausgabe</x:v>
      </x:c>
      <x:c r="P2338" t="str">
        <x:v>Ist</x:v>
      </x:c>
      <x:c r="Q2338" s="59" t="b">
        <x:v>0</x:v>
      </x:c>
      <x:c r="R2338" t="str">
        <x:v>kein_transfer</x:v>
      </x:c>
      <x:c r="S2338"/>
      <x:c r="T2338"/>
      <x:c r="U2338"/>
      <x:c r="V2338" s="59" t="b">
        <x:v>1</x:v>
      </x:c>
      <x:c r="W2338"/>
      <x:c r="X2338" t="str">
        <x:v>offen</x:v>
      </x:c>
      <x:c r="Y2338" t="str">
        <x:v>Agent-Draft; Kategorie und Person pruefen</x:v>
      </x:c>
    </x:row>
    <x:row r="2339">
      <x:c r="A2339" t="str">
        <x:v>TXN-RAW-IMP-20260516-FULLDRAFT-002323</x:v>
      </x:c>
      <x:c r="B2339" t="str">
        <x:v>RAW-IMP-20260516-FULLDRAFT-002323</x:v>
      </x:c>
      <x:c r="C2339" t="str">
        <x:v>KTO001</x:v>
      </x:c>
      <x:c r="D2339"/>
      <x:c r="E2339" t="str">
        <x:v>KAT013</x:v>
      </x:c>
      <x:c r="F2339"/>
      <x:c r="G2339"/>
      <x:c r="H2339" t="str">
        <x:v>kein_match</x:v>
      </x:c>
      <x:c r="I2339" t="str">
        <x:v>Agent-Draft: keine finale Regelentscheidung</x:v>
      </x:c>
      <x:c r="J2339" t="n">
        <x:v>45384</x:v>
      </x:c>
      <x:c r="K2339"/>
      <x:c r="L2339"/>
      <x:c r="M2339" t="n">
        <x:v>-4.93</x:v>
      </x:c>
      <x:c r="N2339" t="str">
        <x:v>2024-04</x:v>
      </x:c>
      <x:c r="O2339" t="str">
        <x:v>Ausgabe</x:v>
      </x:c>
      <x:c r="P2339" t="str">
        <x:v>Ist</x:v>
      </x:c>
      <x:c r="Q2339" s="59" t="b">
        <x:v>0</x:v>
      </x:c>
      <x:c r="R2339" t="str">
        <x:v>kein_transfer</x:v>
      </x:c>
      <x:c r="S2339"/>
      <x:c r="T2339"/>
      <x:c r="U2339"/>
      <x:c r="V2339" s="59" t="b">
        <x:v>1</x:v>
      </x:c>
      <x:c r="W2339"/>
      <x:c r="X2339" t="str">
        <x:v>offen</x:v>
      </x:c>
      <x:c r="Y2339" t="str">
        <x:v>Agent-Draft; Kategorie und Person pruefen</x:v>
      </x:c>
    </x:row>
    <x:row r="2340">
      <x:c r="A2340" t="str">
        <x:v>TXN-RAW-IMP-20260516-FULLDRAFT-002324</x:v>
      </x:c>
      <x:c r="B2340" t="str">
        <x:v>RAW-IMP-20260516-FULLDRAFT-002324</x:v>
      </x:c>
      <x:c r="C2340" t="str">
        <x:v>KTO001</x:v>
      </x:c>
      <x:c r="D2340"/>
      <x:c r="E2340" t="str">
        <x:v>KAT013</x:v>
      </x:c>
      <x:c r="F2340"/>
      <x:c r="G2340"/>
      <x:c r="H2340" t="str">
        <x:v>kein_match</x:v>
      </x:c>
      <x:c r="I2340" t="str">
        <x:v>Agent-Draft: keine finale Regelentscheidung</x:v>
      </x:c>
      <x:c r="J2340" t="n">
        <x:v>45384</x:v>
      </x:c>
      <x:c r="K2340"/>
      <x:c r="L2340"/>
      <x:c r="M2340" t="n">
        <x:v>-11</x:v>
      </x:c>
      <x:c r="N2340" t="str">
        <x:v>2024-04</x:v>
      </x:c>
      <x:c r="O2340" t="str">
        <x:v>Ausgabe</x:v>
      </x:c>
      <x:c r="P2340" t="str">
        <x:v>Ist</x:v>
      </x:c>
      <x:c r="Q2340" s="59" t="b">
        <x:v>0</x:v>
      </x:c>
      <x:c r="R2340" t="str">
        <x:v>kein_transfer</x:v>
      </x:c>
      <x:c r="S2340"/>
      <x:c r="T2340"/>
      <x:c r="U2340"/>
      <x:c r="V2340" s="59" t="b">
        <x:v>1</x:v>
      </x:c>
      <x:c r="W2340"/>
      <x:c r="X2340" t="str">
        <x:v>offen</x:v>
      </x:c>
      <x:c r="Y2340" t="str">
        <x:v>Agent-Draft; Kategorie und Person pruefen</x:v>
      </x:c>
    </x:row>
    <x:row r="2341">
      <x:c r="A2341" t="str">
        <x:v>TXN-RAW-IMP-20260516-FULLDRAFT-002325</x:v>
      </x:c>
      <x:c r="B2341" t="str">
        <x:v>RAW-IMP-20260516-FULLDRAFT-002325</x:v>
      </x:c>
      <x:c r="C2341" t="str">
        <x:v>KTO001</x:v>
      </x:c>
      <x:c r="D2341"/>
      <x:c r="E2341" t="str">
        <x:v>KAT013</x:v>
      </x:c>
      <x:c r="F2341"/>
      <x:c r="G2341"/>
      <x:c r="H2341" t="str">
        <x:v>kein_match</x:v>
      </x:c>
      <x:c r="I2341" t="str">
        <x:v>Agent-Draft: keine finale Regelentscheidung</x:v>
      </x:c>
      <x:c r="J2341" t="n">
        <x:v>45384</x:v>
      </x:c>
      <x:c r="K2341"/>
      <x:c r="L2341"/>
      <x:c r="M2341" t="n">
        <x:v>-12.96</x:v>
      </x:c>
      <x:c r="N2341" t="str">
        <x:v>2024-04</x:v>
      </x:c>
      <x:c r="O2341" t="str">
        <x:v>Ausgabe</x:v>
      </x:c>
      <x:c r="P2341" t="str">
        <x:v>Ist</x:v>
      </x:c>
      <x:c r="Q2341" s="59" t="b">
        <x:v>0</x:v>
      </x:c>
      <x:c r="R2341" t="str">
        <x:v>kein_transfer</x:v>
      </x:c>
      <x:c r="S2341"/>
      <x:c r="T2341"/>
      <x:c r="U2341"/>
      <x:c r="V2341" s="59" t="b">
        <x:v>1</x:v>
      </x:c>
      <x:c r="W2341"/>
      <x:c r="X2341" t="str">
        <x:v>offen</x:v>
      </x:c>
      <x:c r="Y2341" t="str">
        <x:v>Agent-Draft; Kategorie und Person pruefen</x:v>
      </x:c>
    </x:row>
    <x:row r="2342">
      <x:c r="A2342" t="str">
        <x:v>TXN-RAW-IMP-20260516-FULLDRAFT-002326</x:v>
      </x:c>
      <x:c r="B2342" t="str">
        <x:v>RAW-IMP-20260516-FULLDRAFT-002326</x:v>
      </x:c>
      <x:c r="C2342" t="str">
        <x:v>KTO001</x:v>
      </x:c>
      <x:c r="D2342"/>
      <x:c r="E2342" t="str">
        <x:v>KAT013</x:v>
      </x:c>
      <x:c r="F2342"/>
      <x:c r="G2342"/>
      <x:c r="H2342" t="str">
        <x:v>kein_match</x:v>
      </x:c>
      <x:c r="I2342" t="str">
        <x:v>Agent-Draft: keine finale Regelentscheidung</x:v>
      </x:c>
      <x:c r="J2342" t="n">
        <x:v>45384</x:v>
      </x:c>
      <x:c r="K2342"/>
      <x:c r="L2342"/>
      <x:c r="M2342" t="n">
        <x:v>-128.21</x:v>
      </x:c>
      <x:c r="N2342" t="str">
        <x:v>2024-04</x:v>
      </x:c>
      <x:c r="O2342" t="str">
        <x:v>Ausgabe</x:v>
      </x:c>
      <x:c r="P2342" t="str">
        <x:v>Ist</x:v>
      </x:c>
      <x:c r="Q2342" s="59" t="b">
        <x:v>0</x:v>
      </x:c>
      <x:c r="R2342" t="str">
        <x:v>kein_transfer</x:v>
      </x:c>
      <x:c r="S2342"/>
      <x:c r="T2342"/>
      <x:c r="U2342"/>
      <x:c r="V2342" s="59" t="b">
        <x:v>1</x:v>
      </x:c>
      <x:c r="W2342"/>
      <x:c r="X2342" t="str">
        <x:v>offen</x:v>
      </x:c>
      <x:c r="Y2342" t="str">
        <x:v>Agent-Draft; Kategorie und Person pruefen</x:v>
      </x:c>
    </x:row>
    <x:row r="2343">
      <x:c r="A2343" t="str">
        <x:v>TXN-RAW-IMP-20260516-FULLDRAFT-002327</x:v>
      </x:c>
      <x:c r="B2343" t="str">
        <x:v>RAW-IMP-20260516-FULLDRAFT-002327</x:v>
      </x:c>
      <x:c r="C2343" t="str">
        <x:v>KTO001</x:v>
      </x:c>
      <x:c r="D2343"/>
      <x:c r="E2343" t="str">
        <x:v>KAT013</x:v>
      </x:c>
      <x:c r="F2343"/>
      <x:c r="G2343"/>
      <x:c r="H2343" t="str">
        <x:v>kein_match</x:v>
      </x:c>
      <x:c r="I2343" t="str">
        <x:v>Agent-Draft: keine finale Regelentscheidung</x:v>
      </x:c>
      <x:c r="J2343" t="n">
        <x:v>45384</x:v>
      </x:c>
      <x:c r="K2343"/>
      <x:c r="L2343"/>
      <x:c r="M2343" t="n">
        <x:v>-94.68</x:v>
      </x:c>
      <x:c r="N2343" t="str">
        <x:v>2024-04</x:v>
      </x:c>
      <x:c r="O2343" t="str">
        <x:v>Ausgabe</x:v>
      </x:c>
      <x:c r="P2343" t="str">
        <x:v>Ist</x:v>
      </x:c>
      <x:c r="Q2343" s="59" t="b">
        <x:v>0</x:v>
      </x:c>
      <x:c r="R2343" t="str">
        <x:v>kein_transfer</x:v>
      </x:c>
      <x:c r="S2343"/>
      <x:c r="T2343"/>
      <x:c r="U2343"/>
      <x:c r="V2343" s="59" t="b">
        <x:v>1</x:v>
      </x:c>
      <x:c r="W2343"/>
      <x:c r="X2343" t="str">
        <x:v>offen</x:v>
      </x:c>
      <x:c r="Y2343" t="str">
        <x:v>Agent-Draft; Kategorie und Person pruefen</x:v>
      </x:c>
    </x:row>
    <x:row r="2344">
      <x:c r="A2344" t="str">
        <x:v>TXN-RAW-IMP-20260516-FULLDRAFT-002328</x:v>
      </x:c>
      <x:c r="B2344" t="str">
        <x:v>RAW-IMP-20260516-FULLDRAFT-002328</x:v>
      </x:c>
      <x:c r="C2344" t="str">
        <x:v>KTO001</x:v>
      </x:c>
      <x:c r="D2344"/>
      <x:c r="E2344" t="str">
        <x:v>KAT013</x:v>
      </x:c>
      <x:c r="F2344"/>
      <x:c r="G2344"/>
      <x:c r="H2344" t="str">
        <x:v>kein_match</x:v>
      </x:c>
      <x:c r="I2344" t="str">
        <x:v>Agent-Draft: keine finale Regelentscheidung</x:v>
      </x:c>
      <x:c r="J2344" t="n">
        <x:v>45384</x:v>
      </x:c>
      <x:c r="K2344"/>
      <x:c r="L2344"/>
      <x:c r="M2344" t="n">
        <x:v>-63.94</x:v>
      </x:c>
      <x:c r="N2344" t="str">
        <x:v>2024-04</x:v>
      </x:c>
      <x:c r="O2344" t="str">
        <x:v>Ausgabe</x:v>
      </x:c>
      <x:c r="P2344" t="str">
        <x:v>Ist</x:v>
      </x:c>
      <x:c r="Q2344" s="59" t="b">
        <x:v>0</x:v>
      </x:c>
      <x:c r="R2344" t="str">
        <x:v>kein_transfer</x:v>
      </x:c>
      <x:c r="S2344"/>
      <x:c r="T2344"/>
      <x:c r="U2344"/>
      <x:c r="V2344" s="59" t="b">
        <x:v>1</x:v>
      </x:c>
      <x:c r="W2344"/>
      <x:c r="X2344" t="str">
        <x:v>offen</x:v>
      </x:c>
      <x:c r="Y2344" t="str">
        <x:v>Agent-Draft; Kategorie und Person pruefen</x:v>
      </x:c>
    </x:row>
    <x:row r="2345">
      <x:c r="A2345" t="str">
        <x:v>TXN-RAW-IMP-20260516-FULLDRAFT-002329</x:v>
      </x:c>
      <x:c r="B2345" t="str">
        <x:v>RAW-IMP-20260516-FULLDRAFT-002329</x:v>
      </x:c>
      <x:c r="C2345" t="str">
        <x:v>KTO001</x:v>
      </x:c>
      <x:c r="D2345"/>
      <x:c r="E2345" t="str">
        <x:v>KAT013</x:v>
      </x:c>
      <x:c r="F2345"/>
      <x:c r="G2345"/>
      <x:c r="H2345" t="str">
        <x:v>kein_match</x:v>
      </x:c>
      <x:c r="I2345" t="str">
        <x:v>Agent-Draft: keine finale Regelentscheidung</x:v>
      </x:c>
      <x:c r="J2345" t="n">
        <x:v>45384</x:v>
      </x:c>
      <x:c r="K2345"/>
      <x:c r="L2345"/>
      <x:c r="M2345" t="n">
        <x:v>-500</x:v>
      </x:c>
      <x:c r="N2345" t="str">
        <x:v>2024-04</x:v>
      </x:c>
      <x:c r="O2345" t="str">
        <x:v>Ausgabe</x:v>
      </x:c>
      <x:c r="P2345" t="str">
        <x:v>Ist</x:v>
      </x:c>
      <x:c r="Q2345" s="59" t="b">
        <x:v>0</x:v>
      </x:c>
      <x:c r="R2345" t="str">
        <x:v>kein_transfer</x:v>
      </x:c>
      <x:c r="S2345"/>
      <x:c r="T2345"/>
      <x:c r="U2345"/>
      <x:c r="V2345" s="59" t="b">
        <x:v>1</x:v>
      </x:c>
      <x:c r="W2345"/>
      <x:c r="X2345" t="str">
        <x:v>offen</x:v>
      </x:c>
      <x:c r="Y2345" t="str">
        <x:v>Agent-Draft; Kategorie und Person pruefen</x:v>
      </x:c>
    </x:row>
    <x:row r="2346">
      <x:c r="A2346" t="str">
        <x:v>TXN-RAW-IMP-20260516-FULLDRAFT-002330</x:v>
      </x:c>
      <x:c r="B2346" t="str">
        <x:v>RAW-IMP-20260516-FULLDRAFT-002330</x:v>
      </x:c>
      <x:c r="C2346" t="str">
        <x:v>KTO001</x:v>
      </x:c>
      <x:c r="D2346"/>
      <x:c r="E2346" t="str">
        <x:v>KAT013</x:v>
      </x:c>
      <x:c r="F2346"/>
      <x:c r="G2346"/>
      <x:c r="H2346" t="str">
        <x:v>kein_match</x:v>
      </x:c>
      <x:c r="I2346" t="str">
        <x:v>Agent-Draft: keine finale Regelentscheidung</x:v>
      </x:c>
      <x:c r="J2346" t="n">
        <x:v>45384</x:v>
      </x:c>
      <x:c r="K2346"/>
      <x:c r="L2346"/>
      <x:c r="M2346" t="n">
        <x:v>-452.71</x:v>
      </x:c>
      <x:c r="N2346" t="str">
        <x:v>2024-04</x:v>
      </x:c>
      <x:c r="O2346" t="str">
        <x:v>Ausgabe</x:v>
      </x:c>
      <x:c r="P2346" t="str">
        <x:v>Ist</x:v>
      </x:c>
      <x:c r="Q2346" s="59" t="b">
        <x:v>0</x:v>
      </x:c>
      <x:c r="R2346" t="str">
        <x:v>kein_transfer</x:v>
      </x:c>
      <x:c r="S2346"/>
      <x:c r="T2346"/>
      <x:c r="U2346"/>
      <x:c r="V2346" s="59" t="b">
        <x:v>1</x:v>
      </x:c>
      <x:c r="W2346"/>
      <x:c r="X2346" t="str">
        <x:v>offen</x:v>
      </x:c>
      <x:c r="Y2346" t="str">
        <x:v>Agent-Draft; Kategorie und Person pruefen</x:v>
      </x:c>
    </x:row>
    <x:row r="2347">
      <x:c r="A2347" t="str">
        <x:v>TXN-RAW-IMP-20260516-FULLDRAFT-002331</x:v>
      </x:c>
      <x:c r="B2347" t="str">
        <x:v>RAW-IMP-20260516-FULLDRAFT-002331</x:v>
      </x:c>
      <x:c r="C2347" t="str">
        <x:v>KTO001</x:v>
      </x:c>
      <x:c r="D2347"/>
      <x:c r="E2347" t="str">
        <x:v>KAT013</x:v>
      </x:c>
      <x:c r="F2347"/>
      <x:c r="G2347"/>
      <x:c r="H2347" t="str">
        <x:v>kein_match</x:v>
      </x:c>
      <x:c r="I2347" t="str">
        <x:v>Agent-Draft: keine finale Regelentscheidung</x:v>
      </x:c>
      <x:c r="J2347" t="n">
        <x:v>45384</x:v>
      </x:c>
      <x:c r="K2347"/>
      <x:c r="L2347"/>
      <x:c r="M2347" t="n">
        <x:v>-97.12</x:v>
      </x:c>
      <x:c r="N2347" t="str">
        <x:v>2024-04</x:v>
      </x:c>
      <x:c r="O2347" t="str">
        <x:v>Ausgabe</x:v>
      </x:c>
      <x:c r="P2347" t="str">
        <x:v>Ist</x:v>
      </x:c>
      <x:c r="Q2347" s="59" t="b">
        <x:v>0</x:v>
      </x:c>
      <x:c r="R2347" t="str">
        <x:v>kein_transfer</x:v>
      </x:c>
      <x:c r="S2347"/>
      <x:c r="T2347"/>
      <x:c r="U2347"/>
      <x:c r="V2347" s="59" t="b">
        <x:v>1</x:v>
      </x:c>
      <x:c r="W2347"/>
      <x:c r="X2347" t="str">
        <x:v>offen</x:v>
      </x:c>
      <x:c r="Y2347" t="str">
        <x:v>Agent-Draft; Kategorie und Person pruefen</x:v>
      </x:c>
    </x:row>
    <x:row r="2348">
      <x:c r="A2348" t="str">
        <x:v>TXN-RAW-IMP-20260516-FULLDRAFT-002332</x:v>
      </x:c>
      <x:c r="B2348" t="str">
        <x:v>RAW-IMP-20260516-FULLDRAFT-002332</x:v>
      </x:c>
      <x:c r="C2348" t="str">
        <x:v>KTO001</x:v>
      </x:c>
      <x:c r="D2348"/>
      <x:c r="E2348" t="str">
        <x:v>KAT013</x:v>
      </x:c>
      <x:c r="F2348"/>
      <x:c r="G2348"/>
      <x:c r="H2348" t="str">
        <x:v>kein_match</x:v>
      </x:c>
      <x:c r="I2348" t="str">
        <x:v>Agent-Draft: keine finale Regelentscheidung</x:v>
      </x:c>
      <x:c r="J2348" t="n">
        <x:v>45384</x:v>
      </x:c>
      <x:c r="K2348"/>
      <x:c r="L2348"/>
      <x:c r="M2348" t="n">
        <x:v>-100</x:v>
      </x:c>
      <x:c r="N2348" t="str">
        <x:v>2024-04</x:v>
      </x:c>
      <x:c r="O2348" t="str">
        <x:v>Ausgabe</x:v>
      </x:c>
      <x:c r="P2348" t="str">
        <x:v>Ist</x:v>
      </x:c>
      <x:c r="Q2348" s="59" t="b">
        <x:v>0</x:v>
      </x:c>
      <x:c r="R2348" t="str">
        <x:v>kein_transfer</x:v>
      </x:c>
      <x:c r="S2348"/>
      <x:c r="T2348"/>
      <x:c r="U2348"/>
      <x:c r="V2348" s="59" t="b">
        <x:v>1</x:v>
      </x:c>
      <x:c r="W2348"/>
      <x:c r="X2348" t="str">
        <x:v>offen</x:v>
      </x:c>
      <x:c r="Y2348" t="str">
        <x:v>Agent-Draft; Kategorie und Person pruefen</x:v>
      </x:c>
    </x:row>
    <x:row r="2349">
      <x:c r="A2349" t="str">
        <x:v>TXN-RAW-IMP-20260516-FULLDRAFT-002333</x:v>
      </x:c>
      <x:c r="B2349" t="str">
        <x:v>RAW-IMP-20260516-FULLDRAFT-002333</x:v>
      </x:c>
      <x:c r="C2349" t="str">
        <x:v>KTO001</x:v>
      </x:c>
      <x:c r="D2349"/>
      <x:c r="E2349" t="str">
        <x:v>KAT013</x:v>
      </x:c>
      <x:c r="F2349"/>
      <x:c r="G2349"/>
      <x:c r="H2349" t="str">
        <x:v>kein_match</x:v>
      </x:c>
      <x:c r="I2349" t="str">
        <x:v>Agent-Draft: keine finale Regelentscheidung</x:v>
      </x:c>
      <x:c r="J2349" t="n">
        <x:v>45384</x:v>
      </x:c>
      <x:c r="K2349"/>
      <x:c r="L2349"/>
      <x:c r="M2349" t="n">
        <x:v>-162.17</x:v>
      </x:c>
      <x:c r="N2349" t="str">
        <x:v>2024-04</x:v>
      </x:c>
      <x:c r="O2349" t="str">
        <x:v>Ausgabe</x:v>
      </x:c>
      <x:c r="P2349" t="str">
        <x:v>Ist</x:v>
      </x:c>
      <x:c r="Q2349" s="59" t="b">
        <x:v>0</x:v>
      </x:c>
      <x:c r="R2349" t="str">
        <x:v>kein_transfer</x:v>
      </x:c>
      <x:c r="S2349"/>
      <x:c r="T2349"/>
      <x:c r="U2349"/>
      <x:c r="V2349" s="59" t="b">
        <x:v>1</x:v>
      </x:c>
      <x:c r="W2349"/>
      <x:c r="X2349" t="str">
        <x:v>offen</x:v>
      </x:c>
      <x:c r="Y2349" t="str">
        <x:v>Agent-Draft; Kategorie und Person pruefen</x:v>
      </x:c>
    </x:row>
    <x:row r="2350">
      <x:c r="A2350" t="str">
        <x:v>TXN-RAW-IMP-20260516-FULLDRAFT-002334</x:v>
      </x:c>
      <x:c r="B2350" t="str">
        <x:v>RAW-IMP-20260516-FULLDRAFT-002334</x:v>
      </x:c>
      <x:c r="C2350" t="str">
        <x:v>KTO001</x:v>
      </x:c>
      <x:c r="D2350"/>
      <x:c r="E2350" t="str">
        <x:v>KAT013</x:v>
      </x:c>
      <x:c r="F2350"/>
      <x:c r="G2350"/>
      <x:c r="H2350" t="str">
        <x:v>kein_match</x:v>
      </x:c>
      <x:c r="I2350" t="str">
        <x:v>Agent-Draft: keine finale Regelentscheidung</x:v>
      </x:c>
      <x:c r="J2350" t="n">
        <x:v>45384</x:v>
      </x:c>
      <x:c r="K2350"/>
      <x:c r="L2350"/>
      <x:c r="M2350" t="n">
        <x:v>-66.15</x:v>
      </x:c>
      <x:c r="N2350" t="str">
        <x:v>2024-04</x:v>
      </x:c>
      <x:c r="O2350" t="str">
        <x:v>Ausgabe</x:v>
      </x:c>
      <x:c r="P2350" t="str">
        <x:v>Ist</x:v>
      </x:c>
      <x:c r="Q2350" s="59" t="b">
        <x:v>0</x:v>
      </x:c>
      <x:c r="R2350" t="str">
        <x:v>kein_transfer</x:v>
      </x:c>
      <x:c r="S2350"/>
      <x:c r="T2350"/>
      <x:c r="U2350"/>
      <x:c r="V2350" s="59" t="b">
        <x:v>1</x:v>
      </x:c>
      <x:c r="W2350"/>
      <x:c r="X2350" t="str">
        <x:v>offen</x:v>
      </x:c>
      <x:c r="Y2350" t="str">
        <x:v>Agent-Draft; Kategorie und Person pruefen</x:v>
      </x:c>
    </x:row>
    <x:row r="2351">
      <x:c r="A2351" t="str">
        <x:v>TXN-RAW-IMP-20260516-FULLDRAFT-002335</x:v>
      </x:c>
      <x:c r="B2351" t="str">
        <x:v>RAW-IMP-20260516-FULLDRAFT-002335</x:v>
      </x:c>
      <x:c r="C2351" t="str">
        <x:v>KTO001</x:v>
      </x:c>
      <x:c r="D2351"/>
      <x:c r="E2351" t="str">
        <x:v>KAT013</x:v>
      </x:c>
      <x:c r="F2351"/>
      <x:c r="G2351"/>
      <x:c r="H2351" t="str">
        <x:v>kein_match</x:v>
      </x:c>
      <x:c r="I2351" t="str">
        <x:v>Agent-Draft: keine finale Regelentscheidung</x:v>
      </x:c>
      <x:c r="J2351" t="n">
        <x:v>45384</x:v>
      </x:c>
      <x:c r="K2351"/>
      <x:c r="L2351"/>
      <x:c r="M2351" t="n">
        <x:v>-70</x:v>
      </x:c>
      <x:c r="N2351" t="str">
        <x:v>2024-04</x:v>
      </x:c>
      <x:c r="O2351" t="str">
        <x:v>Ausgabe</x:v>
      </x:c>
      <x:c r="P2351" t="str">
        <x:v>Ist</x:v>
      </x:c>
      <x:c r="Q2351" s="59" t="b">
        <x:v>0</x:v>
      </x:c>
      <x:c r="R2351" t="str">
        <x:v>kein_transfer</x:v>
      </x:c>
      <x:c r="S2351"/>
      <x:c r="T2351"/>
      <x:c r="U2351"/>
      <x:c r="V2351" s="59" t="b">
        <x:v>1</x:v>
      </x:c>
      <x:c r="W2351"/>
      <x:c r="X2351" t="str">
        <x:v>offen</x:v>
      </x:c>
      <x:c r="Y2351" t="str">
        <x:v>Agent-Draft; Kategorie und Person pruefen</x:v>
      </x:c>
    </x:row>
    <x:row r="2352">
      <x:c r="A2352" t="str">
        <x:v>TXN-RAW-IMP-20260516-FULLDRAFT-002336</x:v>
      </x:c>
      <x:c r="B2352" t="str">
        <x:v>RAW-IMP-20260516-FULLDRAFT-002336</x:v>
      </x:c>
      <x:c r="C2352" t="str">
        <x:v>KTO001</x:v>
      </x:c>
      <x:c r="D2352"/>
      <x:c r="E2352" t="str">
        <x:v>KAT013</x:v>
      </x:c>
      <x:c r="F2352"/>
      <x:c r="G2352"/>
      <x:c r="H2352" t="str">
        <x:v>kein_match</x:v>
      </x:c>
      <x:c r="I2352" t="str">
        <x:v>Agent-Draft: keine finale Regelentscheidung</x:v>
      </x:c>
      <x:c r="J2352" t="n">
        <x:v>45384</x:v>
      </x:c>
      <x:c r="K2352"/>
      <x:c r="L2352"/>
      <x:c r="M2352" t="n">
        <x:v>-1800</x:v>
      </x:c>
      <x:c r="N2352" t="str">
        <x:v>2024-04</x:v>
      </x:c>
      <x:c r="O2352" t="str">
        <x:v>Ausgabe</x:v>
      </x:c>
      <x:c r="P2352" t="str">
        <x:v>Ist</x:v>
      </x:c>
      <x:c r="Q2352" s="59" t="b">
        <x:v>0</x:v>
      </x:c>
      <x:c r="R2352" t="str">
        <x:v>kein_transfer</x:v>
      </x:c>
      <x:c r="S2352"/>
      <x:c r="T2352"/>
      <x:c r="U2352"/>
      <x:c r="V2352" s="59" t="b">
        <x:v>1</x:v>
      </x:c>
      <x:c r="W2352"/>
      <x:c r="X2352" t="str">
        <x:v>offen</x:v>
      </x:c>
      <x:c r="Y2352" t="str">
        <x:v>Agent-Draft; Kategorie und Person pruefen</x:v>
      </x:c>
    </x:row>
    <x:row r="2353">
      <x:c r="A2353" t="str">
        <x:v>TXN-RAW-IMP-20260516-FULLDRAFT-002337</x:v>
      </x:c>
      <x:c r="B2353" t="str">
        <x:v>RAW-IMP-20260516-FULLDRAFT-002337</x:v>
      </x:c>
      <x:c r="C2353" t="str">
        <x:v>KTO001</x:v>
      </x:c>
      <x:c r="D2353"/>
      <x:c r="E2353" t="str">
        <x:v>KAT013</x:v>
      </x:c>
      <x:c r="F2353"/>
      <x:c r="G2353"/>
      <x:c r="H2353" t="str">
        <x:v>kein_match</x:v>
      </x:c>
      <x:c r="I2353" t="str">
        <x:v>Agent-Draft: keine finale Regelentscheidung</x:v>
      </x:c>
      <x:c r="J2353" t="n">
        <x:v>45384</x:v>
      </x:c>
      <x:c r="K2353"/>
      <x:c r="L2353"/>
      <x:c r="M2353" t="n">
        <x:v>-1400</x:v>
      </x:c>
      <x:c r="N2353" t="str">
        <x:v>2024-04</x:v>
      </x:c>
      <x:c r="O2353" t="str">
        <x:v>Ausgabe</x:v>
      </x:c>
      <x:c r="P2353" t="str">
        <x:v>Ist</x:v>
      </x:c>
      <x:c r="Q2353" s="59" t="b">
        <x:v>0</x:v>
      </x:c>
      <x:c r="R2353" t="str">
        <x:v>kein_transfer</x:v>
      </x:c>
      <x:c r="S2353"/>
      <x:c r="T2353"/>
      <x:c r="U2353"/>
      <x:c r="V2353" s="59" t="b">
        <x:v>1</x:v>
      </x:c>
      <x:c r="W2353"/>
      <x:c r="X2353" t="str">
        <x:v>offen</x:v>
      </x:c>
      <x:c r="Y2353" t="str">
        <x:v>Agent-Draft; Kategorie und Person pruefen</x:v>
      </x:c>
    </x:row>
    <x:row r="2354">
      <x:c r="A2354" t="str">
        <x:v>TXN-RAW-IMP-20260516-FULLDRAFT-002338</x:v>
      </x:c>
      <x:c r="B2354" t="str">
        <x:v>RAW-IMP-20260516-FULLDRAFT-002338</x:v>
      </x:c>
      <x:c r="C2354" t="str">
        <x:v>KTO001</x:v>
      </x:c>
      <x:c r="D2354"/>
      <x:c r="E2354" t="str">
        <x:v>KAT013</x:v>
      </x:c>
      <x:c r="F2354"/>
      <x:c r="G2354"/>
      <x:c r="H2354" t="str">
        <x:v>kein_match</x:v>
      </x:c>
      <x:c r="I2354" t="str">
        <x:v>Agent-Draft: keine finale Regelentscheidung</x:v>
      </x:c>
      <x:c r="J2354" t="n">
        <x:v>45384</x:v>
      </x:c>
      <x:c r="K2354"/>
      <x:c r="L2354"/>
      <x:c r="M2354" t="n">
        <x:v>-1153.94</x:v>
      </x:c>
      <x:c r="N2354" t="str">
        <x:v>2024-04</x:v>
      </x:c>
      <x:c r="O2354" t="str">
        <x:v>Ausgabe</x:v>
      </x:c>
      <x:c r="P2354" t="str">
        <x:v>Ist</x:v>
      </x:c>
      <x:c r="Q2354" s="59" t="b">
        <x:v>0</x:v>
      </x:c>
      <x:c r="R2354" t="str">
        <x:v>kein_transfer</x:v>
      </x:c>
      <x:c r="S2354"/>
      <x:c r="T2354"/>
      <x:c r="U2354"/>
      <x:c r="V2354" s="59" t="b">
        <x:v>1</x:v>
      </x:c>
      <x:c r="W2354"/>
      <x:c r="X2354" t="str">
        <x:v>offen</x:v>
      </x:c>
      <x:c r="Y2354" t="str">
        <x:v>Agent-Draft; Kategorie und Person pruefen</x:v>
      </x:c>
    </x:row>
    <x:row r="2355">
      <x:c r="A2355" t="str">
        <x:v>TXN-RAW-IMP-20260516-FULLDRAFT-002339</x:v>
      </x:c>
      <x:c r="B2355" t="str">
        <x:v>RAW-IMP-20260516-FULLDRAFT-002339</x:v>
      </x:c>
      <x:c r="C2355" t="str">
        <x:v>KTO001</x:v>
      </x:c>
      <x:c r="D2355"/>
      <x:c r="E2355" t="str">
        <x:v>KAT013</x:v>
      </x:c>
      <x:c r="F2355"/>
      <x:c r="G2355"/>
      <x:c r="H2355" t="str">
        <x:v>kein_match</x:v>
      </x:c>
      <x:c r="I2355" t="str">
        <x:v>Agent-Draft: keine finale Regelentscheidung</x:v>
      </x:c>
      <x:c r="J2355" t="n">
        <x:v>45384</x:v>
      </x:c>
      <x:c r="K2355"/>
      <x:c r="L2355"/>
      <x:c r="M2355" t="n">
        <x:v>0</x:v>
      </x:c>
      <x:c r="N2355" t="str">
        <x:v>2024-04</x:v>
      </x:c>
      <x:c r="O2355" t="str">
        <x:v>neutral</x:v>
      </x:c>
      <x:c r="P2355" t="str">
        <x:v>Ist</x:v>
      </x:c>
      <x:c r="Q2355" s="59" t="b">
        <x:v>0</x:v>
      </x:c>
      <x:c r="R2355" t="str">
        <x:v>kein_transfer</x:v>
      </x:c>
      <x:c r="S2355"/>
      <x:c r="T2355"/>
      <x:c r="U2355"/>
      <x:c r="V2355" s="59" t="b">
        <x:v>1</x:v>
      </x:c>
      <x:c r="W2355"/>
      <x:c r="X2355" t="str">
        <x:v>offen</x:v>
      </x:c>
      <x:c r="Y2355" t="str">
        <x:v>Agent-Draft; Kategorie und Person pruefen</x:v>
      </x:c>
    </x:row>
    <x:row r="2356">
      <x:c r="A2356" t="str">
        <x:v>TXN-RAW-IMP-20260516-FULLDRAFT-002340</x:v>
      </x:c>
      <x:c r="B2356" t="str">
        <x:v>RAW-IMP-20260516-FULLDRAFT-002340</x:v>
      </x:c>
      <x:c r="C2356" t="str">
        <x:v>KTO001</x:v>
      </x:c>
      <x:c r="D2356"/>
      <x:c r="E2356" t="str">
        <x:v>KAT013</x:v>
      </x:c>
      <x:c r="F2356"/>
      <x:c r="G2356"/>
      <x:c r="H2356" t="str">
        <x:v>kein_match</x:v>
      </x:c>
      <x:c r="I2356" t="str">
        <x:v>Agent-Draft: keine finale Regelentscheidung</x:v>
      </x:c>
      <x:c r="J2356" t="n">
        <x:v>45379</x:v>
      </x:c>
      <x:c r="K2356"/>
      <x:c r="L2356"/>
      <x:c r="M2356" t="n">
        <x:v>-2.75</x:v>
      </x:c>
      <x:c r="N2356" t="str">
        <x:v>2024-03</x:v>
      </x:c>
      <x:c r="O2356" t="str">
        <x:v>Ausgabe</x:v>
      </x:c>
      <x:c r="P2356" t="str">
        <x:v>Ist</x:v>
      </x:c>
      <x:c r="Q2356" s="59" t="b">
        <x:v>0</x:v>
      </x:c>
      <x:c r="R2356" t="str">
        <x:v>kein_transfer</x:v>
      </x:c>
      <x:c r="S2356"/>
      <x:c r="T2356"/>
      <x:c r="U2356"/>
      <x:c r="V2356" s="59" t="b">
        <x:v>1</x:v>
      </x:c>
      <x:c r="W2356"/>
      <x:c r="X2356" t="str">
        <x:v>offen</x:v>
      </x:c>
      <x:c r="Y2356" t="str">
        <x:v>Agent-Draft; Kategorie und Person pruefen</x:v>
      </x:c>
    </x:row>
    <x:row r="2357">
      <x:c r="A2357" t="str">
        <x:v>TXN-RAW-IMP-20260516-FULLDRAFT-002341</x:v>
      </x:c>
      <x:c r="B2357" t="str">
        <x:v>RAW-IMP-20260516-FULLDRAFT-002341</x:v>
      </x:c>
      <x:c r="C2357" t="str">
        <x:v>KTO001</x:v>
      </x:c>
      <x:c r="D2357"/>
      <x:c r="E2357" t="str">
        <x:v>KAT013</x:v>
      </x:c>
      <x:c r="F2357"/>
      <x:c r="G2357"/>
      <x:c r="H2357" t="str">
        <x:v>kein_match</x:v>
      </x:c>
      <x:c r="I2357" t="str">
        <x:v>Agent-Draft: keine finale Regelentscheidung</x:v>
      </x:c>
      <x:c r="J2357" t="n">
        <x:v>45379</x:v>
      </x:c>
      <x:c r="K2357"/>
      <x:c r="L2357"/>
      <x:c r="M2357" t="n">
        <x:v>-4.49</x:v>
      </x:c>
      <x:c r="N2357" t="str">
        <x:v>2024-03</x:v>
      </x:c>
      <x:c r="O2357" t="str">
        <x:v>Ausgabe</x:v>
      </x:c>
      <x:c r="P2357" t="str">
        <x:v>Ist</x:v>
      </x:c>
      <x:c r="Q2357" s="59" t="b">
        <x:v>0</x:v>
      </x:c>
      <x:c r="R2357" t="str">
        <x:v>kein_transfer</x:v>
      </x:c>
      <x:c r="S2357"/>
      <x:c r="T2357"/>
      <x:c r="U2357"/>
      <x:c r="V2357" s="59" t="b">
        <x:v>1</x:v>
      </x:c>
      <x:c r="W2357"/>
      <x:c r="X2357" t="str">
        <x:v>offen</x:v>
      </x:c>
      <x:c r="Y2357" t="str">
        <x:v>Agent-Draft; Kategorie und Person pruefen</x:v>
      </x:c>
    </x:row>
    <x:row r="2358">
      <x:c r="A2358" t="str">
        <x:v>TXN-RAW-IMP-20260516-FULLDRAFT-002342</x:v>
      </x:c>
      <x:c r="B2358" t="str">
        <x:v>RAW-IMP-20260516-FULLDRAFT-002342</x:v>
      </x:c>
      <x:c r="C2358" t="str">
        <x:v>KTO001</x:v>
      </x:c>
      <x:c r="D2358"/>
      <x:c r="E2358" t="str">
        <x:v>KAT013</x:v>
      </x:c>
      <x:c r="F2358"/>
      <x:c r="G2358"/>
      <x:c r="H2358" t="str">
        <x:v>kein_match</x:v>
      </x:c>
      <x:c r="I2358" t="str">
        <x:v>Agent-Draft: keine finale Regelentscheidung</x:v>
      </x:c>
      <x:c r="J2358" t="n">
        <x:v>45378</x:v>
      </x:c>
      <x:c r="K2358"/>
      <x:c r="L2358"/>
      <x:c r="M2358" t="n">
        <x:v>631.57</x:v>
      </x:c>
      <x:c r="N2358" t="str">
        <x:v>2024-03</x:v>
      </x:c>
      <x:c r="O2358" t="str">
        <x:v>Einnahme</x:v>
      </x:c>
      <x:c r="P2358" t="str">
        <x:v>Ist</x:v>
      </x:c>
      <x:c r="Q2358" s="59" t="b">
        <x:v>0</x:v>
      </x:c>
      <x:c r="R2358" t="str">
        <x:v>kein_transfer</x:v>
      </x:c>
      <x:c r="S2358"/>
      <x:c r="T2358"/>
      <x:c r="U2358"/>
      <x:c r="V2358" s="59" t="b">
        <x:v>1</x:v>
      </x:c>
      <x:c r="W2358"/>
      <x:c r="X2358" t="str">
        <x:v>offen</x:v>
      </x:c>
      <x:c r="Y2358" t="str">
        <x:v>Agent-Draft; Kategorie und Person pruefen</x:v>
      </x:c>
    </x:row>
    <x:row r="2359">
      <x:c r="A2359" t="str">
        <x:v>TXN-RAW-IMP-20260516-FULLDRAFT-002343</x:v>
      </x:c>
      <x:c r="B2359" t="str">
        <x:v>RAW-IMP-20260516-FULLDRAFT-002343</x:v>
      </x:c>
      <x:c r="C2359" t="str">
        <x:v>KTO001</x:v>
      </x:c>
      <x:c r="D2359"/>
      <x:c r="E2359" t="str">
        <x:v>KAT013</x:v>
      </x:c>
      <x:c r="F2359"/>
      <x:c r="G2359"/>
      <x:c r="H2359" t="str">
        <x:v>kein_match</x:v>
      </x:c>
      <x:c r="I2359" t="str">
        <x:v>Agent-Draft: keine finale Regelentscheidung</x:v>
      </x:c>
      <x:c r="J2359" t="n">
        <x:v>45378</x:v>
      </x:c>
      <x:c r="K2359"/>
      <x:c r="L2359"/>
      <x:c r="M2359" t="n">
        <x:v>7709.94</x:v>
      </x:c>
      <x:c r="N2359" t="str">
        <x:v>2024-03</x:v>
      </x:c>
      <x:c r="O2359" t="str">
        <x:v>Einnahme</x:v>
      </x:c>
      <x:c r="P2359" t="str">
        <x:v>Ist</x:v>
      </x:c>
      <x:c r="Q2359" s="59" t="b">
        <x:v>0</x:v>
      </x:c>
      <x:c r="R2359" t="str">
        <x:v>kein_transfer</x:v>
      </x:c>
      <x:c r="S2359"/>
      <x:c r="T2359"/>
      <x:c r="U2359"/>
      <x:c r="V2359" s="59" t="b">
        <x:v>1</x:v>
      </x:c>
      <x:c r="W2359"/>
      <x:c r="X2359" t="str">
        <x:v>offen</x:v>
      </x:c>
      <x:c r="Y2359" t="str">
        <x:v>Agent-Draft; Kategorie und Person pruefen</x:v>
      </x:c>
    </x:row>
    <x:row r="2360">
      <x:c r="A2360" t="str">
        <x:v>TXN-RAW-IMP-20260516-FULLDRAFT-002344</x:v>
      </x:c>
      <x:c r="B2360" t="str">
        <x:v>RAW-IMP-20260516-FULLDRAFT-002344</x:v>
      </x:c>
      <x:c r="C2360" t="str">
        <x:v>KTO001</x:v>
      </x:c>
      <x:c r="D2360"/>
      <x:c r="E2360" t="str">
        <x:v>KAT013</x:v>
      </x:c>
      <x:c r="F2360"/>
      <x:c r="G2360"/>
      <x:c r="H2360" t="str">
        <x:v>kein_match</x:v>
      </x:c>
      <x:c r="I2360" t="str">
        <x:v>Agent-Draft: keine finale Regelentscheidung</x:v>
      </x:c>
      <x:c r="J2360" t="n">
        <x:v>45378</x:v>
      </x:c>
      <x:c r="K2360"/>
      <x:c r="L2360"/>
      <x:c r="M2360" t="n">
        <x:v>-10.08</x:v>
      </x:c>
      <x:c r="N2360" t="str">
        <x:v>2024-03</x:v>
      </x:c>
      <x:c r="O2360" t="str">
        <x:v>Ausgabe</x:v>
      </x:c>
      <x:c r="P2360" t="str">
        <x:v>Ist</x:v>
      </x:c>
      <x:c r="Q2360" s="59" t="b">
        <x:v>0</x:v>
      </x:c>
      <x:c r="R2360" t="str">
        <x:v>kein_transfer</x:v>
      </x:c>
      <x:c r="S2360"/>
      <x:c r="T2360"/>
      <x:c r="U2360"/>
      <x:c r="V2360" s="59" t="b">
        <x:v>1</x:v>
      </x:c>
      <x:c r="W2360"/>
      <x:c r="X2360" t="str">
        <x:v>offen</x:v>
      </x:c>
      <x:c r="Y2360" t="str">
        <x:v>Agent-Draft; Kategorie und Person pruefen</x:v>
      </x:c>
    </x:row>
    <x:row r="2361">
      <x:c r="A2361" t="str">
        <x:v>TXN-RAW-IMP-20260516-FULLDRAFT-002345</x:v>
      </x:c>
      <x:c r="B2361" t="str">
        <x:v>RAW-IMP-20260516-FULLDRAFT-002345</x:v>
      </x:c>
      <x:c r="C2361" t="str">
        <x:v>KTO001</x:v>
      </x:c>
      <x:c r="D2361"/>
      <x:c r="E2361" t="str">
        <x:v>KAT013</x:v>
      </x:c>
      <x:c r="F2361"/>
      <x:c r="G2361"/>
      <x:c r="H2361" t="str">
        <x:v>kein_match</x:v>
      </x:c>
      <x:c r="I2361" t="str">
        <x:v>Agent-Draft: keine finale Regelentscheidung</x:v>
      </x:c>
      <x:c r="J2361" t="n">
        <x:v>45377</x:v>
      </x:c>
      <x:c r="K2361"/>
      <x:c r="L2361"/>
      <x:c r="M2361" t="n">
        <x:v>-1.74</x:v>
      </x:c>
      <x:c r="N2361" t="str">
        <x:v>2024-03</x:v>
      </x:c>
      <x:c r="O2361" t="str">
        <x:v>Ausgabe</x:v>
      </x:c>
      <x:c r="P2361" t="str">
        <x:v>Ist</x:v>
      </x:c>
      <x:c r="Q2361" s="59" t="b">
        <x:v>0</x:v>
      </x:c>
      <x:c r="R2361" t="str">
        <x:v>kein_transfer</x:v>
      </x:c>
      <x:c r="S2361"/>
      <x:c r="T2361"/>
      <x:c r="U2361"/>
      <x:c r="V2361" s="59" t="b">
        <x:v>1</x:v>
      </x:c>
      <x:c r="W2361"/>
      <x:c r="X2361" t="str">
        <x:v>offen</x:v>
      </x:c>
      <x:c r="Y2361" t="str">
        <x:v>Agent-Draft; Kategorie und Person pruefen</x:v>
      </x:c>
    </x:row>
    <x:row r="2362">
      <x:c r="A2362" t="str">
        <x:v>TXN-RAW-IMP-20260516-FULLDRAFT-002346</x:v>
      </x:c>
      <x:c r="B2362" t="str">
        <x:v>RAW-IMP-20260516-FULLDRAFT-002346</x:v>
      </x:c>
      <x:c r="C2362" t="str">
        <x:v>KTO001</x:v>
      </x:c>
      <x:c r="D2362"/>
      <x:c r="E2362" t="str">
        <x:v>KAT013</x:v>
      </x:c>
      <x:c r="F2362"/>
      <x:c r="G2362"/>
      <x:c r="H2362" t="str">
        <x:v>kein_match</x:v>
      </x:c>
      <x:c r="I2362" t="str">
        <x:v>Agent-Draft: keine finale Regelentscheidung</x:v>
      </x:c>
      <x:c r="J2362" t="n">
        <x:v>45376</x:v>
      </x:c>
      <x:c r="K2362"/>
      <x:c r="L2362"/>
      <x:c r="M2362" t="n">
        <x:v>-44.5</x:v>
      </x:c>
      <x:c r="N2362" t="str">
        <x:v>2024-03</x:v>
      </x:c>
      <x:c r="O2362" t="str">
        <x:v>Ausgabe</x:v>
      </x:c>
      <x:c r="P2362" t="str">
        <x:v>Ist</x:v>
      </x:c>
      <x:c r="Q2362" s="59" t="b">
        <x:v>0</x:v>
      </x:c>
      <x:c r="R2362" t="str">
        <x:v>kein_transfer</x:v>
      </x:c>
      <x:c r="S2362"/>
      <x:c r="T2362"/>
      <x:c r="U2362"/>
      <x:c r="V2362" s="59" t="b">
        <x:v>1</x:v>
      </x:c>
      <x:c r="W2362"/>
      <x:c r="X2362" t="str">
        <x:v>offen</x:v>
      </x:c>
      <x:c r="Y2362" t="str">
        <x:v>Agent-Draft; Kategorie und Person pruefen</x:v>
      </x:c>
    </x:row>
    <x:row r="2363">
      <x:c r="A2363" t="str">
        <x:v>TXN-RAW-IMP-20260516-FULLDRAFT-002347</x:v>
      </x:c>
      <x:c r="B2363" t="str">
        <x:v>RAW-IMP-20260516-FULLDRAFT-002347</x:v>
      </x:c>
      <x:c r="C2363" t="str">
        <x:v>KTO001</x:v>
      </x:c>
      <x:c r="D2363"/>
      <x:c r="E2363" t="str">
        <x:v>KAT013</x:v>
      </x:c>
      <x:c r="F2363"/>
      <x:c r="G2363"/>
      <x:c r="H2363" t="str">
        <x:v>kein_match</x:v>
      </x:c>
      <x:c r="I2363" t="str">
        <x:v>Agent-Draft: keine finale Regelentscheidung</x:v>
      </x:c>
      <x:c r="J2363" t="n">
        <x:v>45376</x:v>
      </x:c>
      <x:c r="K2363"/>
      <x:c r="L2363"/>
      <x:c r="M2363" t="n">
        <x:v>-4</x:v>
      </x:c>
      <x:c r="N2363" t="str">
        <x:v>2024-03</x:v>
      </x:c>
      <x:c r="O2363" t="str">
        <x:v>Ausgabe</x:v>
      </x:c>
      <x:c r="P2363" t="str">
        <x:v>Ist</x:v>
      </x:c>
      <x:c r="Q2363" s="59" t="b">
        <x:v>0</x:v>
      </x:c>
      <x:c r="R2363" t="str">
        <x:v>kein_transfer</x:v>
      </x:c>
      <x:c r="S2363"/>
      <x:c r="T2363"/>
      <x:c r="U2363"/>
      <x:c r="V2363" s="59" t="b">
        <x:v>1</x:v>
      </x:c>
      <x:c r="W2363"/>
      <x:c r="X2363" t="str">
        <x:v>offen</x:v>
      </x:c>
      <x:c r="Y2363" t="str">
        <x:v>Agent-Draft; Kategorie und Person pruefen</x:v>
      </x:c>
    </x:row>
    <x:row r="2364">
      <x:c r="A2364" t="str">
        <x:v>TXN-RAW-IMP-20260516-FULLDRAFT-002348</x:v>
      </x:c>
      <x:c r="B2364" t="str">
        <x:v>RAW-IMP-20260516-FULLDRAFT-002348</x:v>
      </x:c>
      <x:c r="C2364" t="str">
        <x:v>KTO001</x:v>
      </x:c>
      <x:c r="D2364"/>
      <x:c r="E2364" t="str">
        <x:v>KAT013</x:v>
      </x:c>
      <x:c r="F2364"/>
      <x:c r="G2364"/>
      <x:c r="H2364" t="str">
        <x:v>kein_match</x:v>
      </x:c>
      <x:c r="I2364" t="str">
        <x:v>Agent-Draft: keine finale Regelentscheidung</x:v>
      </x:c>
      <x:c r="J2364" t="n">
        <x:v>45376</x:v>
      </x:c>
      <x:c r="K2364"/>
      <x:c r="L2364"/>
      <x:c r="M2364" t="n">
        <x:v>-11.2</x:v>
      </x:c>
      <x:c r="N2364" t="str">
        <x:v>2024-03</x:v>
      </x:c>
      <x:c r="O2364" t="str">
        <x:v>Ausgabe</x:v>
      </x:c>
      <x:c r="P2364" t="str">
        <x:v>Ist</x:v>
      </x:c>
      <x:c r="Q2364" s="59" t="b">
        <x:v>0</x:v>
      </x:c>
      <x:c r="R2364" t="str">
        <x:v>kein_transfer</x:v>
      </x:c>
      <x:c r="S2364"/>
      <x:c r="T2364"/>
      <x:c r="U2364"/>
      <x:c r="V2364" s="59" t="b">
        <x:v>1</x:v>
      </x:c>
      <x:c r="W2364"/>
      <x:c r="X2364" t="str">
        <x:v>offen</x:v>
      </x:c>
      <x:c r="Y2364" t="str">
        <x:v>Agent-Draft; Kategorie und Person pruefen</x:v>
      </x:c>
    </x:row>
    <x:row r="2365">
      <x:c r="A2365" t="str">
        <x:v>TXN-RAW-IMP-20260516-FULLDRAFT-002349</x:v>
      </x:c>
      <x:c r="B2365" t="str">
        <x:v>RAW-IMP-20260516-FULLDRAFT-002349</x:v>
      </x:c>
      <x:c r="C2365" t="str">
        <x:v>KTO001</x:v>
      </x:c>
      <x:c r="D2365"/>
      <x:c r="E2365" t="str">
        <x:v>KAT013</x:v>
      </x:c>
      <x:c r="F2365"/>
      <x:c r="G2365"/>
      <x:c r="H2365" t="str">
        <x:v>kein_match</x:v>
      </x:c>
      <x:c r="I2365" t="str">
        <x:v>Agent-Draft: keine finale Regelentscheidung</x:v>
      </x:c>
      <x:c r="J2365" t="n">
        <x:v>45376</x:v>
      </x:c>
      <x:c r="K2365"/>
      <x:c r="L2365"/>
      <x:c r="M2365" t="n">
        <x:v>-41.29</x:v>
      </x:c>
      <x:c r="N2365" t="str">
        <x:v>2024-03</x:v>
      </x:c>
      <x:c r="O2365" t="str">
        <x:v>Ausgabe</x:v>
      </x:c>
      <x:c r="P2365" t="str">
        <x:v>Ist</x:v>
      </x:c>
      <x:c r="Q2365" s="59" t="b">
        <x:v>0</x:v>
      </x:c>
      <x:c r="R2365" t="str">
        <x:v>kein_transfer</x:v>
      </x:c>
      <x:c r="S2365"/>
      <x:c r="T2365"/>
      <x:c r="U2365"/>
      <x:c r="V2365" s="59" t="b">
        <x:v>1</x:v>
      </x:c>
      <x:c r="W2365"/>
      <x:c r="X2365" t="str">
        <x:v>offen</x:v>
      </x:c>
      <x:c r="Y2365" t="str">
        <x:v>Agent-Draft; Kategorie und Person pruefen</x:v>
      </x:c>
    </x:row>
    <x:row r="2366">
      <x:c r="A2366" t="str">
        <x:v>TXN-RAW-IMP-20260516-FULLDRAFT-002350</x:v>
      </x:c>
      <x:c r="B2366" t="str">
        <x:v>RAW-IMP-20260516-FULLDRAFT-002350</x:v>
      </x:c>
      <x:c r="C2366" t="str">
        <x:v>KTO001</x:v>
      </x:c>
      <x:c r="D2366"/>
      <x:c r="E2366" t="str">
        <x:v>KAT013</x:v>
      </x:c>
      <x:c r="F2366"/>
      <x:c r="G2366"/>
      <x:c r="H2366" t="str">
        <x:v>kein_match</x:v>
      </x:c>
      <x:c r="I2366" t="str">
        <x:v>Agent-Draft: keine finale Regelentscheidung</x:v>
      </x:c>
      <x:c r="J2366" t="n">
        <x:v>45376</x:v>
      </x:c>
      <x:c r="K2366"/>
      <x:c r="L2366"/>
      <x:c r="M2366" t="n">
        <x:v>-66</x:v>
      </x:c>
      <x:c r="N2366" t="str">
        <x:v>2024-03</x:v>
      </x:c>
      <x:c r="O2366" t="str">
        <x:v>Ausgabe</x:v>
      </x:c>
      <x:c r="P2366" t="str">
        <x:v>Ist</x:v>
      </x:c>
      <x:c r="Q2366" s="59" t="b">
        <x:v>0</x:v>
      </x:c>
      <x:c r="R2366" t="str">
        <x:v>kein_transfer</x:v>
      </x:c>
      <x:c r="S2366"/>
      <x:c r="T2366"/>
      <x:c r="U2366"/>
      <x:c r="V2366" s="59" t="b">
        <x:v>1</x:v>
      </x:c>
      <x:c r="W2366"/>
      <x:c r="X2366" t="str">
        <x:v>offen</x:v>
      </x:c>
      <x:c r="Y2366" t="str">
        <x:v>Agent-Draft; Kategorie und Person pruefen</x:v>
      </x:c>
    </x:row>
    <x:row r="2367">
      <x:c r="A2367" t="str">
        <x:v>TXN-RAW-IMP-20260516-FULLDRAFT-002351</x:v>
      </x:c>
      <x:c r="B2367" t="str">
        <x:v>RAW-IMP-20260516-FULLDRAFT-002351</x:v>
      </x:c>
      <x:c r="C2367" t="str">
        <x:v>KTO001</x:v>
      </x:c>
      <x:c r="D2367"/>
      <x:c r="E2367" t="str">
        <x:v>KAT013</x:v>
      </x:c>
      <x:c r="F2367"/>
      <x:c r="G2367"/>
      <x:c r="H2367" t="str">
        <x:v>kein_match</x:v>
      </x:c>
      <x:c r="I2367" t="str">
        <x:v>Agent-Draft: keine finale Regelentscheidung</x:v>
      </x:c>
      <x:c r="J2367" t="n">
        <x:v>45376</x:v>
      </x:c>
      <x:c r="K2367"/>
      <x:c r="L2367"/>
      <x:c r="M2367" t="n">
        <x:v>-14.31</x:v>
      </x:c>
      <x:c r="N2367" t="str">
        <x:v>2024-03</x:v>
      </x:c>
      <x:c r="O2367" t="str">
        <x:v>Ausgabe</x:v>
      </x:c>
      <x:c r="P2367" t="str">
        <x:v>Ist</x:v>
      </x:c>
      <x:c r="Q2367" s="59" t="b">
        <x:v>0</x:v>
      </x:c>
      <x:c r="R2367" t="str">
        <x:v>kein_transfer</x:v>
      </x:c>
      <x:c r="S2367"/>
      <x:c r="T2367"/>
      <x:c r="U2367"/>
      <x:c r="V2367" s="59" t="b">
        <x:v>1</x:v>
      </x:c>
      <x:c r="W2367"/>
      <x:c r="X2367" t="str">
        <x:v>offen</x:v>
      </x:c>
      <x:c r="Y2367" t="str">
        <x:v>Agent-Draft; Kategorie und Person pruefen</x:v>
      </x:c>
    </x:row>
    <x:row r="2368">
      <x:c r="A2368" t="str">
        <x:v>TXN-RAW-IMP-20260516-FULLDRAFT-002352</x:v>
      </x:c>
      <x:c r="B2368" t="str">
        <x:v>RAW-IMP-20260516-FULLDRAFT-002352</x:v>
      </x:c>
      <x:c r="C2368" t="str">
        <x:v>KTO001</x:v>
      </x:c>
      <x:c r="D2368"/>
      <x:c r="E2368" t="str">
        <x:v>KAT013</x:v>
      </x:c>
      <x:c r="F2368"/>
      <x:c r="G2368"/>
      <x:c r="H2368" t="str">
        <x:v>kein_match</x:v>
      </x:c>
      <x:c r="I2368" t="str">
        <x:v>Agent-Draft: keine finale Regelentscheidung</x:v>
      </x:c>
      <x:c r="J2368" t="n">
        <x:v>45376</x:v>
      </x:c>
      <x:c r="K2368"/>
      <x:c r="L2368"/>
      <x:c r="M2368" t="n">
        <x:v>-83.99</x:v>
      </x:c>
      <x:c r="N2368" t="str">
        <x:v>2024-03</x:v>
      </x:c>
      <x:c r="O2368" t="str">
        <x:v>Ausgabe</x:v>
      </x:c>
      <x:c r="P2368" t="str">
        <x:v>Ist</x:v>
      </x:c>
      <x:c r="Q2368" s="59" t="b">
        <x:v>0</x:v>
      </x:c>
      <x:c r="R2368" t="str">
        <x:v>kein_transfer</x:v>
      </x:c>
      <x:c r="S2368"/>
      <x:c r="T2368"/>
      <x:c r="U2368"/>
      <x:c r="V2368" s="59" t="b">
        <x:v>1</x:v>
      </x:c>
      <x:c r="W2368"/>
      <x:c r="X2368" t="str">
        <x:v>offen</x:v>
      </x:c>
      <x:c r="Y2368" t="str">
        <x:v>Agent-Draft; Kategorie und Person pruefen</x:v>
      </x:c>
    </x:row>
    <x:row r="2369">
      <x:c r="A2369" t="str">
        <x:v>TXN-RAW-IMP-20260516-FULLDRAFT-002353</x:v>
      </x:c>
      <x:c r="B2369" t="str">
        <x:v>RAW-IMP-20260516-FULLDRAFT-002353</x:v>
      </x:c>
      <x:c r="C2369" t="str">
        <x:v>KTO001</x:v>
      </x:c>
      <x:c r="D2369"/>
      <x:c r="E2369" t="str">
        <x:v>KAT013</x:v>
      </x:c>
      <x:c r="F2369"/>
      <x:c r="G2369"/>
      <x:c r="H2369" t="str">
        <x:v>kein_match</x:v>
      </x:c>
      <x:c r="I2369" t="str">
        <x:v>Agent-Draft: keine finale Regelentscheidung</x:v>
      </x:c>
      <x:c r="J2369" t="n">
        <x:v>45376</x:v>
      </x:c>
      <x:c r="K2369"/>
      <x:c r="L2369"/>
      <x:c r="M2369" t="n">
        <x:v>-50.71</x:v>
      </x:c>
      <x:c r="N2369" t="str">
        <x:v>2024-03</x:v>
      </x:c>
      <x:c r="O2369" t="str">
        <x:v>Ausgabe</x:v>
      </x:c>
      <x:c r="P2369" t="str">
        <x:v>Ist</x:v>
      </x:c>
      <x:c r="Q2369" s="59" t="b">
        <x:v>0</x:v>
      </x:c>
      <x:c r="R2369" t="str">
        <x:v>kein_transfer</x:v>
      </x:c>
      <x:c r="S2369"/>
      <x:c r="T2369"/>
      <x:c r="U2369"/>
      <x:c r="V2369" s="59" t="b">
        <x:v>1</x:v>
      </x:c>
      <x:c r="W2369"/>
      <x:c r="X2369" t="str">
        <x:v>offen</x:v>
      </x:c>
      <x:c r="Y2369" t="str">
        <x:v>Agent-Draft; Kategorie und Person pruefen</x:v>
      </x:c>
    </x:row>
    <x:row r="2370">
      <x:c r="A2370" t="str">
        <x:v>TXN-RAW-IMP-20260516-FULLDRAFT-002354</x:v>
      </x:c>
      <x:c r="B2370" t="str">
        <x:v>RAW-IMP-20260516-FULLDRAFT-002354</x:v>
      </x:c>
      <x:c r="C2370" t="str">
        <x:v>KTO001</x:v>
      </x:c>
      <x:c r="D2370"/>
      <x:c r="E2370" t="str">
        <x:v>KAT013</x:v>
      </x:c>
      <x:c r="F2370"/>
      <x:c r="G2370"/>
      <x:c r="H2370" t="str">
        <x:v>kein_match</x:v>
      </x:c>
      <x:c r="I2370" t="str">
        <x:v>Agent-Draft: keine finale Regelentscheidung</x:v>
      </x:c>
      <x:c r="J2370" t="n">
        <x:v>45376</x:v>
      </x:c>
      <x:c r="K2370"/>
      <x:c r="L2370"/>
      <x:c r="M2370" t="n">
        <x:v>-90.9</x:v>
      </x:c>
      <x:c r="N2370" t="str">
        <x:v>2024-03</x:v>
      </x:c>
      <x:c r="O2370" t="str">
        <x:v>Ausgabe</x:v>
      </x:c>
      <x:c r="P2370" t="str">
        <x:v>Ist</x:v>
      </x:c>
      <x:c r="Q2370" s="59" t="b">
        <x:v>0</x:v>
      </x:c>
      <x:c r="R2370" t="str">
        <x:v>kein_transfer</x:v>
      </x:c>
      <x:c r="S2370"/>
      <x:c r="T2370"/>
      <x:c r="U2370"/>
      <x:c r="V2370" s="59" t="b">
        <x:v>1</x:v>
      </x:c>
      <x:c r="W2370"/>
      <x:c r="X2370" t="str">
        <x:v>offen</x:v>
      </x:c>
      <x:c r="Y2370" t="str">
        <x:v>Agent-Draft; Kategorie und Person pruefen</x:v>
      </x:c>
    </x:row>
    <x:row r="2371">
      <x:c r="A2371" t="str">
        <x:v>TXN-RAW-IMP-20260516-FULLDRAFT-002355</x:v>
      </x:c>
      <x:c r="B2371" t="str">
        <x:v>RAW-IMP-20260516-FULLDRAFT-002355</x:v>
      </x:c>
      <x:c r="C2371" t="str">
        <x:v>KTO001</x:v>
      </x:c>
      <x:c r="D2371"/>
      <x:c r="E2371" t="str">
        <x:v>KAT013</x:v>
      </x:c>
      <x:c r="F2371"/>
      <x:c r="G2371"/>
      <x:c r="H2371" t="str">
        <x:v>kein_match</x:v>
      </x:c>
      <x:c r="I2371" t="str">
        <x:v>Agent-Draft: keine finale Regelentscheidung</x:v>
      </x:c>
      <x:c r="J2371" t="n">
        <x:v>45376</x:v>
      </x:c>
      <x:c r="K2371"/>
      <x:c r="L2371"/>
      <x:c r="M2371" t="n">
        <x:v>-22.2</x:v>
      </x:c>
      <x:c r="N2371" t="str">
        <x:v>2024-03</x:v>
      </x:c>
      <x:c r="O2371" t="str">
        <x:v>Ausgabe</x:v>
      </x:c>
      <x:c r="P2371" t="str">
        <x:v>Ist</x:v>
      </x:c>
      <x:c r="Q2371" s="59" t="b">
        <x:v>0</x:v>
      </x:c>
      <x:c r="R2371" t="str">
        <x:v>kein_transfer</x:v>
      </x:c>
      <x:c r="S2371"/>
      <x:c r="T2371"/>
      <x:c r="U2371"/>
      <x:c r="V2371" s="59" t="b">
        <x:v>1</x:v>
      </x:c>
      <x:c r="W2371"/>
      <x:c r="X2371" t="str">
        <x:v>offen</x:v>
      </x:c>
      <x:c r="Y2371" t="str">
        <x:v>Agent-Draft; Kategorie und Person pruefen</x:v>
      </x:c>
    </x:row>
    <x:row r="2372">
      <x:c r="A2372" t="str">
        <x:v>TXN-RAW-IMP-20260516-FULLDRAFT-002356</x:v>
      </x:c>
      <x:c r="B2372" t="str">
        <x:v>RAW-IMP-20260516-FULLDRAFT-002356</x:v>
      </x:c>
      <x:c r="C2372" t="str">
        <x:v>KTO001</x:v>
      </x:c>
      <x:c r="D2372"/>
      <x:c r="E2372" t="str">
        <x:v>KAT013</x:v>
      </x:c>
      <x:c r="F2372"/>
      <x:c r="G2372"/>
      <x:c r="H2372" t="str">
        <x:v>kein_match</x:v>
      </x:c>
      <x:c r="I2372" t="str">
        <x:v>Agent-Draft: keine finale Regelentscheidung</x:v>
      </x:c>
      <x:c r="J2372" t="n">
        <x:v>45376</x:v>
      </x:c>
      <x:c r="K2372"/>
      <x:c r="L2372"/>
      <x:c r="M2372" t="n">
        <x:v>-100</x:v>
      </x:c>
      <x:c r="N2372" t="str">
        <x:v>2024-03</x:v>
      </x:c>
      <x:c r="O2372" t="str">
        <x:v>Ausgabe</x:v>
      </x:c>
      <x:c r="P2372" t="str">
        <x:v>Ist</x:v>
      </x:c>
      <x:c r="Q2372" s="59" t="b">
        <x:v>0</x:v>
      </x:c>
      <x:c r="R2372" t="str">
        <x:v>kein_transfer</x:v>
      </x:c>
      <x:c r="S2372"/>
      <x:c r="T2372"/>
      <x:c r="U2372"/>
      <x:c r="V2372" s="59" t="b">
        <x:v>1</x:v>
      </x:c>
      <x:c r="W2372"/>
      <x:c r="X2372" t="str">
        <x:v>offen</x:v>
      </x:c>
      <x:c r="Y2372" t="str">
        <x:v>Agent-Draft; Kategorie und Person pruefen</x:v>
      </x:c>
    </x:row>
    <x:row r="2373">
      <x:c r="A2373" t="str">
        <x:v>TXN-RAW-IMP-20260516-FULLDRAFT-002357</x:v>
      </x:c>
      <x:c r="B2373" t="str">
        <x:v>RAW-IMP-20260516-FULLDRAFT-002357</x:v>
      </x:c>
      <x:c r="C2373" t="str">
        <x:v>KTO001</x:v>
      </x:c>
      <x:c r="D2373"/>
      <x:c r="E2373" t="str">
        <x:v>KAT013</x:v>
      </x:c>
      <x:c r="F2373"/>
      <x:c r="G2373"/>
      <x:c r="H2373" t="str">
        <x:v>kein_match</x:v>
      </x:c>
      <x:c r="I2373" t="str">
        <x:v>Agent-Draft: keine finale Regelentscheidung</x:v>
      </x:c>
      <x:c r="J2373" t="n">
        <x:v>45376</x:v>
      </x:c>
      <x:c r="K2373"/>
      <x:c r="L2373"/>
      <x:c r="M2373" t="n">
        <x:v>-32.6</x:v>
      </x:c>
      <x:c r="N2373" t="str">
        <x:v>2024-03</x:v>
      </x:c>
      <x:c r="O2373" t="str">
        <x:v>Ausgabe</x:v>
      </x:c>
      <x:c r="P2373" t="str">
        <x:v>Ist</x:v>
      </x:c>
      <x:c r="Q2373" s="59" t="b">
        <x:v>0</x:v>
      </x:c>
      <x:c r="R2373" t="str">
        <x:v>kein_transfer</x:v>
      </x:c>
      <x:c r="S2373"/>
      <x:c r="T2373"/>
      <x:c r="U2373"/>
      <x:c r="V2373" s="59" t="b">
        <x:v>1</x:v>
      </x:c>
      <x:c r="W2373"/>
      <x:c r="X2373" t="str">
        <x:v>offen</x:v>
      </x:c>
      <x:c r="Y2373" t="str">
        <x:v>Agent-Draft; Kategorie und Person pruefen</x:v>
      </x:c>
    </x:row>
    <x:row r="2374">
      <x:c r="A2374" t="str">
        <x:v>TXN-RAW-IMP-20260516-FULLDRAFT-002358</x:v>
      </x:c>
      <x:c r="B2374" t="str">
        <x:v>RAW-IMP-20260516-FULLDRAFT-002358</x:v>
      </x:c>
      <x:c r="C2374" t="str">
        <x:v>KTO001</x:v>
      </x:c>
      <x:c r="D2374"/>
      <x:c r="E2374" t="str">
        <x:v>KAT013</x:v>
      </x:c>
      <x:c r="F2374"/>
      <x:c r="G2374"/>
      <x:c r="H2374" t="str">
        <x:v>kein_match</x:v>
      </x:c>
      <x:c r="I2374" t="str">
        <x:v>Agent-Draft: keine finale Regelentscheidung</x:v>
      </x:c>
      <x:c r="J2374" t="n">
        <x:v>45373</x:v>
      </x:c>
      <x:c r="K2374"/>
      <x:c r="L2374"/>
      <x:c r="M2374" t="n">
        <x:v>-22.2</x:v>
      </x:c>
      <x:c r="N2374" t="str">
        <x:v>2024-03</x:v>
      </x:c>
      <x:c r="O2374" t="str">
        <x:v>Ausgabe</x:v>
      </x:c>
      <x:c r="P2374" t="str">
        <x:v>Ist</x:v>
      </x:c>
      <x:c r="Q2374" s="59" t="b">
        <x:v>0</x:v>
      </x:c>
      <x:c r="R2374" t="str">
        <x:v>kein_transfer</x:v>
      </x:c>
      <x:c r="S2374"/>
      <x:c r="T2374"/>
      <x:c r="U2374"/>
      <x:c r="V2374" s="59" t="b">
        <x:v>1</x:v>
      </x:c>
      <x:c r="W2374"/>
      <x:c r="X2374" t="str">
        <x:v>offen</x:v>
      </x:c>
      <x:c r="Y2374" t="str">
        <x:v>Agent-Draft; Kategorie und Person pruefen</x:v>
      </x:c>
    </x:row>
    <x:row r="2375">
      <x:c r="A2375" t="str">
        <x:v>TXN-RAW-IMP-20260516-FULLDRAFT-002359</x:v>
      </x:c>
      <x:c r="B2375" t="str">
        <x:v>RAW-IMP-20260516-FULLDRAFT-002359</x:v>
      </x:c>
      <x:c r="C2375" t="str">
        <x:v>KTO001</x:v>
      </x:c>
      <x:c r="D2375"/>
      <x:c r="E2375" t="str">
        <x:v>KAT013</x:v>
      </x:c>
      <x:c r="F2375"/>
      <x:c r="G2375"/>
      <x:c r="H2375" t="str">
        <x:v>kein_match</x:v>
      </x:c>
      <x:c r="I2375" t="str">
        <x:v>Agent-Draft: keine finale Regelentscheidung</x:v>
      </x:c>
      <x:c r="J2375" t="n">
        <x:v>45373</x:v>
      </x:c>
      <x:c r="K2375"/>
      <x:c r="L2375"/>
      <x:c r="M2375" t="n">
        <x:v>-5.9</x:v>
      </x:c>
      <x:c r="N2375" t="str">
        <x:v>2024-03</x:v>
      </x:c>
      <x:c r="O2375" t="str">
        <x:v>Ausgabe</x:v>
      </x:c>
      <x:c r="P2375" t="str">
        <x:v>Ist</x:v>
      </x:c>
      <x:c r="Q2375" s="59" t="b">
        <x:v>0</x:v>
      </x:c>
      <x:c r="R2375" t="str">
        <x:v>kein_transfer</x:v>
      </x:c>
      <x:c r="S2375"/>
      <x:c r="T2375"/>
      <x:c r="U2375"/>
      <x:c r="V2375" s="59" t="b">
        <x:v>1</x:v>
      </x:c>
      <x:c r="W2375"/>
      <x:c r="X2375" t="str">
        <x:v>offen</x:v>
      </x:c>
      <x:c r="Y2375" t="str">
        <x:v>Agent-Draft; Kategorie und Person pruefen</x:v>
      </x:c>
    </x:row>
    <x:row r="2376">
      <x:c r="A2376" t="str">
        <x:v>TXN-RAW-IMP-20260516-FULLDRAFT-002360</x:v>
      </x:c>
      <x:c r="B2376" t="str">
        <x:v>RAW-IMP-20260516-FULLDRAFT-002360</x:v>
      </x:c>
      <x:c r="C2376" t="str">
        <x:v>KTO001</x:v>
      </x:c>
      <x:c r="D2376"/>
      <x:c r="E2376" t="str">
        <x:v>KAT013</x:v>
      </x:c>
      <x:c r="F2376"/>
      <x:c r="G2376"/>
      <x:c r="H2376" t="str">
        <x:v>kein_match</x:v>
      </x:c>
      <x:c r="I2376" t="str">
        <x:v>Agent-Draft: keine finale Regelentscheidung</x:v>
      </x:c>
      <x:c r="J2376" t="n">
        <x:v>45372</x:v>
      </x:c>
      <x:c r="K2376"/>
      <x:c r="L2376"/>
      <x:c r="M2376" t="n">
        <x:v>-9.78</x:v>
      </x:c>
      <x:c r="N2376" t="str">
        <x:v>2024-03</x:v>
      </x:c>
      <x:c r="O2376" t="str">
        <x:v>Ausgabe</x:v>
      </x:c>
      <x:c r="P2376" t="str">
        <x:v>Ist</x:v>
      </x:c>
      <x:c r="Q2376" s="59" t="b">
        <x:v>0</x:v>
      </x:c>
      <x:c r="R2376" t="str">
        <x:v>kein_transfer</x:v>
      </x:c>
      <x:c r="S2376"/>
      <x:c r="T2376"/>
      <x:c r="U2376"/>
      <x:c r="V2376" s="59" t="b">
        <x:v>1</x:v>
      </x:c>
      <x:c r="W2376"/>
      <x:c r="X2376" t="str">
        <x:v>offen</x:v>
      </x:c>
      <x:c r="Y2376" t="str">
        <x:v>Agent-Draft; Kategorie und Person pruefen</x:v>
      </x:c>
    </x:row>
    <x:row r="2377">
      <x:c r="A2377" t="str">
        <x:v>TXN-RAW-IMP-20260516-FULLDRAFT-002361</x:v>
      </x:c>
      <x:c r="B2377" t="str">
        <x:v>RAW-IMP-20260516-FULLDRAFT-002361</x:v>
      </x:c>
      <x:c r="C2377" t="str">
        <x:v>KTO001</x:v>
      </x:c>
      <x:c r="D2377"/>
      <x:c r="E2377" t="str">
        <x:v>KAT013</x:v>
      </x:c>
      <x:c r="F2377"/>
      <x:c r="G2377"/>
      <x:c r="H2377" t="str">
        <x:v>kein_match</x:v>
      </x:c>
      <x:c r="I2377" t="str">
        <x:v>Agent-Draft: keine finale Regelentscheidung</x:v>
      </x:c>
      <x:c r="J2377" t="n">
        <x:v>45372</x:v>
      </x:c>
      <x:c r="K2377"/>
      <x:c r="L2377"/>
      <x:c r="M2377" t="n">
        <x:v>-27.6</x:v>
      </x:c>
      <x:c r="N2377" t="str">
        <x:v>2024-03</x:v>
      </x:c>
      <x:c r="O2377" t="str">
        <x:v>Ausgabe</x:v>
      </x:c>
      <x:c r="P2377" t="str">
        <x:v>Ist</x:v>
      </x:c>
      <x:c r="Q2377" s="59" t="b">
        <x:v>0</x:v>
      </x:c>
      <x:c r="R2377" t="str">
        <x:v>kein_transfer</x:v>
      </x:c>
      <x:c r="S2377"/>
      <x:c r="T2377"/>
      <x:c r="U2377"/>
      <x:c r="V2377" s="59" t="b">
        <x:v>1</x:v>
      </x:c>
      <x:c r="W2377"/>
      <x:c r="X2377" t="str">
        <x:v>offen</x:v>
      </x:c>
      <x:c r="Y2377" t="str">
        <x:v>Agent-Draft; Kategorie und Person pruefen</x:v>
      </x:c>
    </x:row>
    <x:row r="2378">
      <x:c r="A2378" t="str">
        <x:v>TXN-RAW-IMP-20260516-FULLDRAFT-002362</x:v>
      </x:c>
      <x:c r="B2378" t="str">
        <x:v>RAW-IMP-20260516-FULLDRAFT-002362</x:v>
      </x:c>
      <x:c r="C2378" t="str">
        <x:v>KTO001</x:v>
      </x:c>
      <x:c r="D2378"/>
      <x:c r="E2378" t="str">
        <x:v>KAT013</x:v>
      </x:c>
      <x:c r="F2378"/>
      <x:c r="G2378"/>
      <x:c r="H2378" t="str">
        <x:v>kein_match</x:v>
      </x:c>
      <x:c r="I2378" t="str">
        <x:v>Agent-Draft: keine finale Regelentscheidung</x:v>
      </x:c>
      <x:c r="J2378" t="n">
        <x:v>45372</x:v>
      </x:c>
      <x:c r="K2378"/>
      <x:c r="L2378"/>
      <x:c r="M2378" t="n">
        <x:v>-13.82</x:v>
      </x:c>
      <x:c r="N2378" t="str">
        <x:v>2024-03</x:v>
      </x:c>
      <x:c r="O2378" t="str">
        <x:v>Ausgabe</x:v>
      </x:c>
      <x:c r="P2378" t="str">
        <x:v>Ist</x:v>
      </x:c>
      <x:c r="Q2378" s="59" t="b">
        <x:v>0</x:v>
      </x:c>
      <x:c r="R2378" t="str">
        <x:v>kein_transfer</x:v>
      </x:c>
      <x:c r="S2378"/>
      <x:c r="T2378"/>
      <x:c r="U2378"/>
      <x:c r="V2378" s="59" t="b">
        <x:v>1</x:v>
      </x:c>
      <x:c r="W2378"/>
      <x:c r="X2378" t="str">
        <x:v>offen</x:v>
      </x:c>
      <x:c r="Y2378" t="str">
        <x:v>Agent-Draft; Kategorie und Person pruefen</x:v>
      </x:c>
    </x:row>
    <x:row r="2379">
      <x:c r="A2379" t="str">
        <x:v>TXN-RAW-IMP-20260516-FULLDRAFT-002363</x:v>
      </x:c>
      <x:c r="B2379" t="str">
        <x:v>RAW-IMP-20260516-FULLDRAFT-002363</x:v>
      </x:c>
      <x:c r="C2379" t="str">
        <x:v>KTO001</x:v>
      </x:c>
      <x:c r="D2379"/>
      <x:c r="E2379" t="str">
        <x:v>KAT013</x:v>
      </x:c>
      <x:c r="F2379"/>
      <x:c r="G2379"/>
      <x:c r="H2379" t="str">
        <x:v>kein_match</x:v>
      </x:c>
      <x:c r="I2379" t="str">
        <x:v>Agent-Draft: keine finale Regelentscheidung</x:v>
      </x:c>
      <x:c r="J2379" t="n">
        <x:v>45372</x:v>
      </x:c>
      <x:c r="K2379"/>
      <x:c r="L2379"/>
      <x:c r="M2379" t="n">
        <x:v>500</x:v>
      </x:c>
      <x:c r="N2379" t="str">
        <x:v>2024-03</x:v>
      </x:c>
      <x:c r="O2379" t="str">
        <x:v>Einnahme</x:v>
      </x:c>
      <x:c r="P2379" t="str">
        <x:v>Ist</x:v>
      </x:c>
      <x:c r="Q2379" s="59" t="b">
        <x:v>0</x:v>
      </x:c>
      <x:c r="R2379" t="str">
        <x:v>unklar</x:v>
      </x:c>
      <x:c r="S2379"/>
      <x:c r="T2379"/>
      <x:c r="U2379"/>
      <x:c r="V2379" s="59" t="b">
        <x:v>1</x:v>
      </x:c>
      <x:c r="W2379" t="str">
        <x:v>Transferkandidat im Draft</x:v>
      </x:c>
      <x:c r="X2379" t="str">
        <x:v>offen</x:v>
      </x:c>
      <x:c r="Y2379" t="str">
        <x:v>Agent-Draft; Kategorie und Person pruefen</x:v>
      </x:c>
    </x:row>
    <x:row r="2380">
      <x:c r="A2380" t="str">
        <x:v>TXN-RAW-IMP-20260516-FULLDRAFT-002364</x:v>
      </x:c>
      <x:c r="B2380" t="str">
        <x:v>RAW-IMP-20260516-FULLDRAFT-002364</x:v>
      </x:c>
      <x:c r="C2380" t="str">
        <x:v>KTO001</x:v>
      </x:c>
      <x:c r="D2380"/>
      <x:c r="E2380" t="str">
        <x:v>KAT013</x:v>
      </x:c>
      <x:c r="F2380"/>
      <x:c r="G2380"/>
      <x:c r="H2380" t="str">
        <x:v>kein_match</x:v>
      </x:c>
      <x:c r="I2380" t="str">
        <x:v>Agent-Draft: keine finale Regelentscheidung</x:v>
      </x:c>
      <x:c r="J2380" t="n">
        <x:v>45371</x:v>
      </x:c>
      <x:c r="K2380"/>
      <x:c r="L2380"/>
      <x:c r="M2380" t="n">
        <x:v>-5.9</x:v>
      </x:c>
      <x:c r="N2380" t="str">
        <x:v>2024-03</x:v>
      </x:c>
      <x:c r="O2380" t="str">
        <x:v>Ausgabe</x:v>
      </x:c>
      <x:c r="P2380" t="str">
        <x:v>Ist</x:v>
      </x:c>
      <x:c r="Q2380" s="59" t="b">
        <x:v>0</x:v>
      </x:c>
      <x:c r="R2380" t="str">
        <x:v>kein_transfer</x:v>
      </x:c>
      <x:c r="S2380"/>
      <x:c r="T2380"/>
      <x:c r="U2380"/>
      <x:c r="V2380" s="59" t="b">
        <x:v>1</x:v>
      </x:c>
      <x:c r="W2380"/>
      <x:c r="X2380" t="str">
        <x:v>offen</x:v>
      </x:c>
      <x:c r="Y2380" t="str">
        <x:v>Agent-Draft; Kategorie und Person pruefen</x:v>
      </x:c>
    </x:row>
    <x:row r="2381">
      <x:c r="A2381" t="str">
        <x:v>TXN-RAW-IMP-20260516-FULLDRAFT-002365</x:v>
      </x:c>
      <x:c r="B2381" t="str">
        <x:v>RAW-IMP-20260516-FULLDRAFT-002365</x:v>
      </x:c>
      <x:c r="C2381" t="str">
        <x:v>KTO001</x:v>
      </x:c>
      <x:c r="D2381"/>
      <x:c r="E2381" t="str">
        <x:v>KAT013</x:v>
      </x:c>
      <x:c r="F2381"/>
      <x:c r="G2381"/>
      <x:c r="H2381" t="str">
        <x:v>kein_match</x:v>
      </x:c>
      <x:c r="I2381" t="str">
        <x:v>Agent-Draft: keine finale Regelentscheidung</x:v>
      </x:c>
      <x:c r="J2381" t="n">
        <x:v>45371</x:v>
      </x:c>
      <x:c r="K2381"/>
      <x:c r="L2381"/>
      <x:c r="M2381" t="n">
        <x:v>-103.2</x:v>
      </x:c>
      <x:c r="N2381" t="str">
        <x:v>2024-03</x:v>
      </x:c>
      <x:c r="O2381" t="str">
        <x:v>Ausgabe</x:v>
      </x:c>
      <x:c r="P2381" t="str">
        <x:v>Ist</x:v>
      </x:c>
      <x:c r="Q2381" s="59" t="b">
        <x:v>0</x:v>
      </x:c>
      <x:c r="R2381" t="str">
        <x:v>kein_transfer</x:v>
      </x:c>
      <x:c r="S2381"/>
      <x:c r="T2381"/>
      <x:c r="U2381"/>
      <x:c r="V2381" s="59" t="b">
        <x:v>1</x:v>
      </x:c>
      <x:c r="W2381"/>
      <x:c r="X2381" t="str">
        <x:v>offen</x:v>
      </x:c>
      <x:c r="Y2381" t="str">
        <x:v>Agent-Draft; Kategorie und Person pruefen</x:v>
      </x:c>
    </x:row>
    <x:row r="2382">
      <x:c r="A2382" t="str">
        <x:v>TXN-RAW-IMP-20260516-FULLDRAFT-002366</x:v>
      </x:c>
      <x:c r="B2382" t="str">
        <x:v>RAW-IMP-20260516-FULLDRAFT-002366</x:v>
      </x:c>
      <x:c r="C2382" t="str">
        <x:v>KTO001</x:v>
      </x:c>
      <x:c r="D2382"/>
      <x:c r="E2382" t="str">
        <x:v>KAT013</x:v>
      </x:c>
      <x:c r="F2382"/>
      <x:c r="G2382"/>
      <x:c r="H2382" t="str">
        <x:v>kein_match</x:v>
      </x:c>
      <x:c r="I2382" t="str">
        <x:v>Agent-Draft: keine finale Regelentscheidung</x:v>
      </x:c>
      <x:c r="J2382" t="n">
        <x:v>45371</x:v>
      </x:c>
      <x:c r="K2382"/>
      <x:c r="L2382"/>
      <x:c r="M2382" t="n">
        <x:v>-6.75</x:v>
      </x:c>
      <x:c r="N2382" t="str">
        <x:v>2024-03</x:v>
      </x:c>
      <x:c r="O2382" t="str">
        <x:v>Ausgabe</x:v>
      </x:c>
      <x:c r="P2382" t="str">
        <x:v>Ist</x:v>
      </x:c>
      <x:c r="Q2382" s="59" t="b">
        <x:v>0</x:v>
      </x:c>
      <x:c r="R2382" t="str">
        <x:v>kein_transfer</x:v>
      </x:c>
      <x:c r="S2382"/>
      <x:c r="T2382"/>
      <x:c r="U2382"/>
      <x:c r="V2382" s="59" t="b">
        <x:v>1</x:v>
      </x:c>
      <x:c r="W2382"/>
      <x:c r="X2382" t="str">
        <x:v>offen</x:v>
      </x:c>
      <x:c r="Y2382" t="str">
        <x:v>Agent-Draft; Kategorie und Person pruefen</x:v>
      </x:c>
    </x:row>
    <x:row r="2383">
      <x:c r="A2383" t="str">
        <x:v>TXN-RAW-IMP-20260516-FULLDRAFT-002367</x:v>
      </x:c>
      <x:c r="B2383" t="str">
        <x:v>RAW-IMP-20260516-FULLDRAFT-002367</x:v>
      </x:c>
      <x:c r="C2383" t="str">
        <x:v>KTO001</x:v>
      </x:c>
      <x:c r="D2383"/>
      <x:c r="E2383" t="str">
        <x:v>KAT013</x:v>
      </x:c>
      <x:c r="F2383"/>
      <x:c r="G2383"/>
      <x:c r="H2383" t="str">
        <x:v>kein_match</x:v>
      </x:c>
      <x:c r="I2383" t="str">
        <x:v>Agent-Draft: keine finale Regelentscheidung</x:v>
      </x:c>
      <x:c r="J2383" t="n">
        <x:v>45370</x:v>
      </x:c>
      <x:c r="K2383"/>
      <x:c r="L2383"/>
      <x:c r="M2383" t="n">
        <x:v>-21.35</x:v>
      </x:c>
      <x:c r="N2383" t="str">
        <x:v>2024-03</x:v>
      </x:c>
      <x:c r="O2383" t="str">
        <x:v>Ausgabe</x:v>
      </x:c>
      <x:c r="P2383" t="str">
        <x:v>Ist</x:v>
      </x:c>
      <x:c r="Q2383" s="59" t="b">
        <x:v>0</x:v>
      </x:c>
      <x:c r="R2383" t="str">
        <x:v>kein_transfer</x:v>
      </x:c>
      <x:c r="S2383"/>
      <x:c r="T2383"/>
      <x:c r="U2383"/>
      <x:c r="V2383" s="59" t="b">
        <x:v>1</x:v>
      </x:c>
      <x:c r="W2383"/>
      <x:c r="X2383" t="str">
        <x:v>offen</x:v>
      </x:c>
      <x:c r="Y2383" t="str">
        <x:v>Agent-Draft; Kategorie und Person pruefen</x:v>
      </x:c>
    </x:row>
    <x:row r="2384">
      <x:c r="A2384" t="str">
        <x:v>TXN-RAW-IMP-20260516-FULLDRAFT-002368</x:v>
      </x:c>
      <x:c r="B2384" t="str">
        <x:v>RAW-IMP-20260516-FULLDRAFT-002368</x:v>
      </x:c>
      <x:c r="C2384" t="str">
        <x:v>KTO001</x:v>
      </x:c>
      <x:c r="D2384"/>
      <x:c r="E2384" t="str">
        <x:v>KAT013</x:v>
      </x:c>
      <x:c r="F2384"/>
      <x:c r="G2384"/>
      <x:c r="H2384" t="str">
        <x:v>kein_match</x:v>
      </x:c>
      <x:c r="I2384" t="str">
        <x:v>Agent-Draft: keine finale Regelentscheidung</x:v>
      </x:c>
      <x:c r="J2384" t="n">
        <x:v>45370</x:v>
      </x:c>
      <x:c r="K2384"/>
      <x:c r="L2384"/>
      <x:c r="M2384" t="n">
        <x:v>-50</x:v>
      </x:c>
      <x:c r="N2384" t="str">
        <x:v>2024-03</x:v>
      </x:c>
      <x:c r="O2384" t="str">
        <x:v>Ausgabe</x:v>
      </x:c>
      <x:c r="P2384" t="str">
        <x:v>Ist</x:v>
      </x:c>
      <x:c r="Q2384" s="59" t="b">
        <x:v>0</x:v>
      </x:c>
      <x:c r="R2384" t="str">
        <x:v>kein_transfer</x:v>
      </x:c>
      <x:c r="S2384"/>
      <x:c r="T2384"/>
      <x:c r="U2384"/>
      <x:c r="V2384" s="59" t="b">
        <x:v>1</x:v>
      </x:c>
      <x:c r="W2384"/>
      <x:c r="X2384" t="str">
        <x:v>offen</x:v>
      </x:c>
      <x:c r="Y2384" t="str">
        <x:v>Agent-Draft; Kategorie und Person pruefen</x:v>
      </x:c>
    </x:row>
    <x:row r="2385">
      <x:c r="A2385" t="str">
        <x:v>TXN-RAW-IMP-20260516-FULLDRAFT-002369</x:v>
      </x:c>
      <x:c r="B2385" t="str">
        <x:v>RAW-IMP-20260516-FULLDRAFT-002369</x:v>
      </x:c>
      <x:c r="C2385" t="str">
        <x:v>KTO001</x:v>
      </x:c>
      <x:c r="D2385"/>
      <x:c r="E2385" t="str">
        <x:v>KAT013</x:v>
      </x:c>
      <x:c r="F2385"/>
      <x:c r="G2385"/>
      <x:c r="H2385" t="str">
        <x:v>kein_match</x:v>
      </x:c>
      <x:c r="I2385" t="str">
        <x:v>Agent-Draft: keine finale Regelentscheidung</x:v>
      </x:c>
      <x:c r="J2385" t="n">
        <x:v>45369</x:v>
      </x:c>
      <x:c r="K2385"/>
      <x:c r="L2385"/>
      <x:c r="M2385" t="n">
        <x:v>-105.3</x:v>
      </x:c>
      <x:c r="N2385" t="str">
        <x:v>2024-03</x:v>
      </x:c>
      <x:c r="O2385" t="str">
        <x:v>Ausgabe</x:v>
      </x:c>
      <x:c r="P2385" t="str">
        <x:v>Ist</x:v>
      </x:c>
      <x:c r="Q2385" s="59" t="b">
        <x:v>0</x:v>
      </x:c>
      <x:c r="R2385" t="str">
        <x:v>kein_transfer</x:v>
      </x:c>
      <x:c r="S2385"/>
      <x:c r="T2385"/>
      <x:c r="U2385"/>
      <x:c r="V2385" s="59" t="b">
        <x:v>1</x:v>
      </x:c>
      <x:c r="W2385"/>
      <x:c r="X2385" t="str">
        <x:v>offen</x:v>
      </x:c>
      <x:c r="Y2385" t="str">
        <x:v>Agent-Draft; Kategorie und Person pruefen</x:v>
      </x:c>
    </x:row>
    <x:row r="2386">
      <x:c r="A2386" t="str">
        <x:v>TXN-RAW-IMP-20260516-FULLDRAFT-002370</x:v>
      </x:c>
      <x:c r="B2386" t="str">
        <x:v>RAW-IMP-20260516-FULLDRAFT-002370</x:v>
      </x:c>
      <x:c r="C2386" t="str">
        <x:v>KTO001</x:v>
      </x:c>
      <x:c r="D2386"/>
      <x:c r="E2386" t="str">
        <x:v>KAT013</x:v>
      </x:c>
      <x:c r="F2386"/>
      <x:c r="G2386"/>
      <x:c r="H2386" t="str">
        <x:v>kein_match</x:v>
      </x:c>
      <x:c r="I2386" t="str">
        <x:v>Agent-Draft: keine finale Regelentscheidung</x:v>
      </x:c>
      <x:c r="J2386" t="n">
        <x:v>45369</x:v>
      </x:c>
      <x:c r="K2386"/>
      <x:c r="L2386"/>
      <x:c r="M2386" t="n">
        <x:v>-35</x:v>
      </x:c>
      <x:c r="N2386" t="str">
        <x:v>2024-03</x:v>
      </x:c>
      <x:c r="O2386" t="str">
        <x:v>Ausgabe</x:v>
      </x:c>
      <x:c r="P2386" t="str">
        <x:v>Ist</x:v>
      </x:c>
      <x:c r="Q2386" s="59" t="b">
        <x:v>0</x:v>
      </x:c>
      <x:c r="R2386" t="str">
        <x:v>kein_transfer</x:v>
      </x:c>
      <x:c r="S2386"/>
      <x:c r="T2386"/>
      <x:c r="U2386"/>
      <x:c r="V2386" s="59" t="b">
        <x:v>1</x:v>
      </x:c>
      <x:c r="W2386"/>
      <x:c r="X2386" t="str">
        <x:v>offen</x:v>
      </x:c>
      <x:c r="Y2386" t="str">
        <x:v>Agent-Draft; Kategorie und Person pruefen</x:v>
      </x:c>
    </x:row>
    <x:row r="2387">
      <x:c r="A2387" t="str">
        <x:v>TXN-RAW-IMP-20260516-FULLDRAFT-002371</x:v>
      </x:c>
      <x:c r="B2387" t="str">
        <x:v>RAW-IMP-20260516-FULLDRAFT-002371</x:v>
      </x:c>
      <x:c r="C2387" t="str">
        <x:v>KTO001</x:v>
      </x:c>
      <x:c r="D2387"/>
      <x:c r="E2387" t="str">
        <x:v>KAT013</x:v>
      </x:c>
      <x:c r="F2387"/>
      <x:c r="G2387"/>
      <x:c r="H2387" t="str">
        <x:v>kein_match</x:v>
      </x:c>
      <x:c r="I2387" t="str">
        <x:v>Agent-Draft: keine finale Regelentscheidung</x:v>
      </x:c>
      <x:c r="J2387" t="n">
        <x:v>45369</x:v>
      </x:c>
      <x:c r="K2387"/>
      <x:c r="L2387"/>
      <x:c r="M2387" t="n">
        <x:v>-15.22</x:v>
      </x:c>
      <x:c r="N2387" t="str">
        <x:v>2024-03</x:v>
      </x:c>
      <x:c r="O2387" t="str">
        <x:v>Ausgabe</x:v>
      </x:c>
      <x:c r="P2387" t="str">
        <x:v>Ist</x:v>
      </x:c>
      <x:c r="Q2387" s="59" t="b">
        <x:v>0</x:v>
      </x:c>
      <x:c r="R2387" t="str">
        <x:v>kein_transfer</x:v>
      </x:c>
      <x:c r="S2387"/>
      <x:c r="T2387"/>
      <x:c r="U2387"/>
      <x:c r="V2387" s="59" t="b">
        <x:v>1</x:v>
      </x:c>
      <x:c r="W2387"/>
      <x:c r="X2387" t="str">
        <x:v>offen</x:v>
      </x:c>
      <x:c r="Y2387" t="str">
        <x:v>Agent-Draft; Kategorie und Person pruefen</x:v>
      </x:c>
    </x:row>
    <x:row r="2388">
      <x:c r="A2388" t="str">
        <x:v>TXN-RAW-IMP-20260516-FULLDRAFT-002372</x:v>
      </x:c>
      <x:c r="B2388" t="str">
        <x:v>RAW-IMP-20260516-FULLDRAFT-002372</x:v>
      </x:c>
      <x:c r="C2388" t="str">
        <x:v>KTO001</x:v>
      </x:c>
      <x:c r="D2388"/>
      <x:c r="E2388" t="str">
        <x:v>KAT013</x:v>
      </x:c>
      <x:c r="F2388"/>
      <x:c r="G2388"/>
      <x:c r="H2388" t="str">
        <x:v>kein_match</x:v>
      </x:c>
      <x:c r="I2388" t="str">
        <x:v>Agent-Draft: keine finale Regelentscheidung</x:v>
      </x:c>
      <x:c r="J2388" t="n">
        <x:v>45369</x:v>
      </x:c>
      <x:c r="K2388"/>
      <x:c r="L2388"/>
      <x:c r="M2388" t="n">
        <x:v>-26.5</x:v>
      </x:c>
      <x:c r="N2388" t="str">
        <x:v>2024-03</x:v>
      </x:c>
      <x:c r="O2388" t="str">
        <x:v>Ausgabe</x:v>
      </x:c>
      <x:c r="P2388" t="str">
        <x:v>Ist</x:v>
      </x:c>
      <x:c r="Q2388" s="59" t="b">
        <x:v>0</x:v>
      </x:c>
      <x:c r="R2388" t="str">
        <x:v>kein_transfer</x:v>
      </x:c>
      <x:c r="S2388"/>
      <x:c r="T2388"/>
      <x:c r="U2388"/>
      <x:c r="V2388" s="59" t="b">
        <x:v>1</x:v>
      </x:c>
      <x:c r="W2388"/>
      <x:c r="X2388" t="str">
        <x:v>offen</x:v>
      </x:c>
      <x:c r="Y2388" t="str">
        <x:v>Agent-Draft; Kategorie und Person pruefen</x:v>
      </x:c>
    </x:row>
    <x:row r="2389">
      <x:c r="A2389" t="str">
        <x:v>TXN-RAW-IMP-20260516-FULLDRAFT-002373</x:v>
      </x:c>
      <x:c r="B2389" t="str">
        <x:v>RAW-IMP-20260516-FULLDRAFT-002373</x:v>
      </x:c>
      <x:c r="C2389" t="str">
        <x:v>KTO001</x:v>
      </x:c>
      <x:c r="D2389"/>
      <x:c r="E2389" t="str">
        <x:v>KAT013</x:v>
      </x:c>
      <x:c r="F2389"/>
      <x:c r="G2389"/>
      <x:c r="H2389" t="str">
        <x:v>kein_match</x:v>
      </x:c>
      <x:c r="I2389" t="str">
        <x:v>Agent-Draft: keine finale Regelentscheidung</x:v>
      </x:c>
      <x:c r="J2389" t="n">
        <x:v>45369</x:v>
      </x:c>
      <x:c r="K2389"/>
      <x:c r="L2389"/>
      <x:c r="M2389" t="n">
        <x:v>-100</x:v>
      </x:c>
      <x:c r="N2389" t="str">
        <x:v>2024-03</x:v>
      </x:c>
      <x:c r="O2389" t="str">
        <x:v>Ausgabe</x:v>
      </x:c>
      <x:c r="P2389" t="str">
        <x:v>Ist</x:v>
      </x:c>
      <x:c r="Q2389" s="59" t="b">
        <x:v>0</x:v>
      </x:c>
      <x:c r="R2389" t="str">
        <x:v>kein_transfer</x:v>
      </x:c>
      <x:c r="S2389"/>
      <x:c r="T2389"/>
      <x:c r="U2389"/>
      <x:c r="V2389" s="59" t="b">
        <x:v>1</x:v>
      </x:c>
      <x:c r="W2389"/>
      <x:c r="X2389" t="str">
        <x:v>offen</x:v>
      </x:c>
      <x:c r="Y2389" t="str">
        <x:v>Agent-Draft; Kategorie und Person pruefen</x:v>
      </x:c>
    </x:row>
    <x:row r="2390">
      <x:c r="A2390" t="str">
        <x:v>TXN-RAW-IMP-20260516-FULLDRAFT-002374</x:v>
      </x:c>
      <x:c r="B2390" t="str">
        <x:v>RAW-IMP-20260516-FULLDRAFT-002374</x:v>
      </x:c>
      <x:c r="C2390" t="str">
        <x:v>KTO001</x:v>
      </x:c>
      <x:c r="D2390"/>
      <x:c r="E2390" t="str">
        <x:v>KAT013</x:v>
      </x:c>
      <x:c r="F2390"/>
      <x:c r="G2390"/>
      <x:c r="H2390" t="str">
        <x:v>kein_match</x:v>
      </x:c>
      <x:c r="I2390" t="str">
        <x:v>Agent-Draft: keine finale Regelentscheidung</x:v>
      </x:c>
      <x:c r="J2390" t="n">
        <x:v>45369</x:v>
      </x:c>
      <x:c r="K2390"/>
      <x:c r="L2390"/>
      <x:c r="M2390" t="n">
        <x:v>-0.99</x:v>
      </x:c>
      <x:c r="N2390" t="str">
        <x:v>2024-03</x:v>
      </x:c>
      <x:c r="O2390" t="str">
        <x:v>Ausgabe</x:v>
      </x:c>
      <x:c r="P2390" t="str">
        <x:v>Ist</x:v>
      </x:c>
      <x:c r="Q2390" s="59" t="b">
        <x:v>0</x:v>
      </x:c>
      <x:c r="R2390" t="str">
        <x:v>kein_transfer</x:v>
      </x:c>
      <x:c r="S2390"/>
      <x:c r="T2390"/>
      <x:c r="U2390"/>
      <x:c r="V2390" s="59" t="b">
        <x:v>1</x:v>
      </x:c>
      <x:c r="W2390"/>
      <x:c r="X2390" t="str">
        <x:v>offen</x:v>
      </x:c>
      <x:c r="Y2390" t="str">
        <x:v>Agent-Draft; Kategorie und Person pruefen</x:v>
      </x:c>
    </x:row>
    <x:row r="2391">
      <x:c r="A2391" t="str">
        <x:v>TXN-RAW-IMP-20260516-FULLDRAFT-002375</x:v>
      </x:c>
      <x:c r="B2391" t="str">
        <x:v>RAW-IMP-20260516-FULLDRAFT-002375</x:v>
      </x:c>
      <x:c r="C2391" t="str">
        <x:v>KTO001</x:v>
      </x:c>
      <x:c r="D2391"/>
      <x:c r="E2391" t="str">
        <x:v>KAT013</x:v>
      </x:c>
      <x:c r="F2391"/>
      <x:c r="G2391"/>
      <x:c r="H2391" t="str">
        <x:v>kein_match</x:v>
      </x:c>
      <x:c r="I2391" t="str">
        <x:v>Agent-Draft: keine finale Regelentscheidung</x:v>
      </x:c>
      <x:c r="J2391" t="n">
        <x:v>45369</x:v>
      </x:c>
      <x:c r="K2391"/>
      <x:c r="L2391"/>
      <x:c r="M2391" t="n">
        <x:v>-0.99</x:v>
      </x:c>
      <x:c r="N2391" t="str">
        <x:v>2024-03</x:v>
      </x:c>
      <x:c r="O2391" t="str">
        <x:v>Ausgabe</x:v>
      </x:c>
      <x:c r="P2391" t="str">
        <x:v>Ist</x:v>
      </x:c>
      <x:c r="Q2391" s="59" t="b">
        <x:v>0</x:v>
      </x:c>
      <x:c r="R2391" t="str">
        <x:v>kein_transfer</x:v>
      </x:c>
      <x:c r="S2391"/>
      <x:c r="T2391"/>
      <x:c r="U2391"/>
      <x:c r="V2391" s="59" t="b">
        <x:v>1</x:v>
      </x:c>
      <x:c r="W2391"/>
      <x:c r="X2391" t="str">
        <x:v>offen</x:v>
      </x:c>
      <x:c r="Y2391" t="str">
        <x:v>Agent-Draft; Kategorie und Person pruefen</x:v>
      </x:c>
    </x:row>
    <x:row r="2392">
      <x:c r="A2392" t="str">
        <x:v>TXN-RAW-IMP-20260516-FULLDRAFT-002376</x:v>
      </x:c>
      <x:c r="B2392" t="str">
        <x:v>RAW-IMP-20260516-FULLDRAFT-002376</x:v>
      </x:c>
      <x:c r="C2392" t="str">
        <x:v>KTO001</x:v>
      </x:c>
      <x:c r="D2392"/>
      <x:c r="E2392" t="str">
        <x:v>KAT013</x:v>
      </x:c>
      <x:c r="F2392"/>
      <x:c r="G2392"/>
      <x:c r="H2392" t="str">
        <x:v>kein_match</x:v>
      </x:c>
      <x:c r="I2392" t="str">
        <x:v>Agent-Draft: keine finale Regelentscheidung</x:v>
      </x:c>
      <x:c r="J2392" t="n">
        <x:v>45369</x:v>
      </x:c>
      <x:c r="K2392"/>
      <x:c r="L2392"/>
      <x:c r="M2392" t="n">
        <x:v>-0.99</x:v>
      </x:c>
      <x:c r="N2392" t="str">
        <x:v>2024-03</x:v>
      </x:c>
      <x:c r="O2392" t="str">
        <x:v>Ausgabe</x:v>
      </x:c>
      <x:c r="P2392" t="str">
        <x:v>Ist</x:v>
      </x:c>
      <x:c r="Q2392" s="59" t="b">
        <x:v>0</x:v>
      </x:c>
      <x:c r="R2392" t="str">
        <x:v>kein_transfer</x:v>
      </x:c>
      <x:c r="S2392"/>
      <x:c r="T2392"/>
      <x:c r="U2392"/>
      <x:c r="V2392" s="59" t="b">
        <x:v>1</x:v>
      </x:c>
      <x:c r="W2392"/>
      <x:c r="X2392" t="str">
        <x:v>offen</x:v>
      </x:c>
      <x:c r="Y2392" t="str">
        <x:v>Agent-Draft; Kategorie und Person pruefen</x:v>
      </x:c>
    </x:row>
    <x:row r="2393">
      <x:c r="A2393" t="str">
        <x:v>TXN-RAW-IMP-20260516-FULLDRAFT-002377</x:v>
      </x:c>
      <x:c r="B2393" t="str">
        <x:v>RAW-IMP-20260516-FULLDRAFT-002377</x:v>
      </x:c>
      <x:c r="C2393" t="str">
        <x:v>KTO001</x:v>
      </x:c>
      <x:c r="D2393"/>
      <x:c r="E2393" t="str">
        <x:v>KAT013</x:v>
      </x:c>
      <x:c r="F2393"/>
      <x:c r="G2393"/>
      <x:c r="H2393" t="str">
        <x:v>kein_match</x:v>
      </x:c>
      <x:c r="I2393" t="str">
        <x:v>Agent-Draft: keine finale Regelentscheidung</x:v>
      </x:c>
      <x:c r="J2393" t="n">
        <x:v>45366</x:v>
      </x:c>
      <x:c r="K2393"/>
      <x:c r="L2393"/>
      <x:c r="M2393" t="n">
        <x:v>-6.99</x:v>
      </x:c>
      <x:c r="N2393" t="str">
        <x:v>2024-03</x:v>
      </x:c>
      <x:c r="O2393" t="str">
        <x:v>Ausgabe</x:v>
      </x:c>
      <x:c r="P2393" t="str">
        <x:v>Ist</x:v>
      </x:c>
      <x:c r="Q2393" s="59" t="b">
        <x:v>0</x:v>
      </x:c>
      <x:c r="R2393" t="str">
        <x:v>kein_transfer</x:v>
      </x:c>
      <x:c r="S2393"/>
      <x:c r="T2393"/>
      <x:c r="U2393"/>
      <x:c r="V2393" s="59" t="b">
        <x:v>1</x:v>
      </x:c>
      <x:c r="W2393"/>
      <x:c r="X2393" t="str">
        <x:v>offen</x:v>
      </x:c>
      <x:c r="Y2393" t="str">
        <x:v>Agent-Draft; Kategorie und Person pruefen</x:v>
      </x:c>
    </x:row>
    <x:row r="2394">
      <x:c r="A2394" t="str">
        <x:v>TXN-RAW-IMP-20260516-FULLDRAFT-002378</x:v>
      </x:c>
      <x:c r="B2394" t="str">
        <x:v>RAW-IMP-20260516-FULLDRAFT-002378</x:v>
      </x:c>
      <x:c r="C2394" t="str">
        <x:v>KTO001</x:v>
      </x:c>
      <x:c r="D2394"/>
      <x:c r="E2394" t="str">
        <x:v>KAT013</x:v>
      </x:c>
      <x:c r="F2394"/>
      <x:c r="G2394"/>
      <x:c r="H2394" t="str">
        <x:v>kein_match</x:v>
      </x:c>
      <x:c r="I2394" t="str">
        <x:v>Agent-Draft: keine finale Regelentscheidung</x:v>
      </x:c>
      <x:c r="J2394" t="n">
        <x:v>45366</x:v>
      </x:c>
      <x:c r="K2394"/>
      <x:c r="L2394"/>
      <x:c r="M2394" t="n">
        <x:v>-6.99</x:v>
      </x:c>
      <x:c r="N2394" t="str">
        <x:v>2024-03</x:v>
      </x:c>
      <x:c r="O2394" t="str">
        <x:v>Ausgabe</x:v>
      </x:c>
      <x:c r="P2394" t="str">
        <x:v>Ist</x:v>
      </x:c>
      <x:c r="Q2394" s="59" t="b">
        <x:v>0</x:v>
      </x:c>
      <x:c r="R2394" t="str">
        <x:v>kein_transfer</x:v>
      </x:c>
      <x:c r="S2394"/>
      <x:c r="T2394"/>
      <x:c r="U2394"/>
      <x:c r="V2394" s="59" t="b">
        <x:v>1</x:v>
      </x:c>
      <x:c r="W2394"/>
      <x:c r="X2394" t="str">
        <x:v>offen</x:v>
      </x:c>
      <x:c r="Y2394" t="str">
        <x:v>Agent-Draft; Kategorie und Person pruefen</x:v>
      </x:c>
    </x:row>
    <x:row r="2395">
      <x:c r="A2395" t="str">
        <x:v>TXN-RAW-IMP-20260516-FULLDRAFT-002379</x:v>
      </x:c>
      <x:c r="B2395" t="str">
        <x:v>RAW-IMP-20260516-FULLDRAFT-002379</x:v>
      </x:c>
      <x:c r="C2395" t="str">
        <x:v>KTO001</x:v>
      </x:c>
      <x:c r="D2395"/>
      <x:c r="E2395" t="str">
        <x:v>KAT013</x:v>
      </x:c>
      <x:c r="F2395"/>
      <x:c r="G2395"/>
      <x:c r="H2395" t="str">
        <x:v>kein_match</x:v>
      </x:c>
      <x:c r="I2395" t="str">
        <x:v>Agent-Draft: keine finale Regelentscheidung</x:v>
      </x:c>
      <x:c r="J2395" t="n">
        <x:v>45366</x:v>
      </x:c>
      <x:c r="K2395"/>
      <x:c r="L2395"/>
      <x:c r="M2395" t="n">
        <x:v>-7.77</x:v>
      </x:c>
      <x:c r="N2395" t="str">
        <x:v>2024-03</x:v>
      </x:c>
      <x:c r="O2395" t="str">
        <x:v>Ausgabe</x:v>
      </x:c>
      <x:c r="P2395" t="str">
        <x:v>Ist</x:v>
      </x:c>
      <x:c r="Q2395" s="59" t="b">
        <x:v>0</x:v>
      </x:c>
      <x:c r="R2395" t="str">
        <x:v>kein_transfer</x:v>
      </x:c>
      <x:c r="S2395"/>
      <x:c r="T2395"/>
      <x:c r="U2395"/>
      <x:c r="V2395" s="59" t="b">
        <x:v>1</x:v>
      </x:c>
      <x:c r="W2395"/>
      <x:c r="X2395" t="str">
        <x:v>offen</x:v>
      </x:c>
      <x:c r="Y2395" t="str">
        <x:v>Agent-Draft; Kategorie und Person pruefen</x:v>
      </x:c>
    </x:row>
    <x:row r="2396">
      <x:c r="A2396" t="str">
        <x:v>TXN-RAW-IMP-20260516-FULLDRAFT-002380</x:v>
      </x:c>
      <x:c r="B2396" t="str">
        <x:v>RAW-IMP-20260516-FULLDRAFT-002380</x:v>
      </x:c>
      <x:c r="C2396" t="str">
        <x:v>KTO001</x:v>
      </x:c>
      <x:c r="D2396"/>
      <x:c r="E2396" t="str">
        <x:v>KAT013</x:v>
      </x:c>
      <x:c r="F2396"/>
      <x:c r="G2396"/>
      <x:c r="H2396" t="str">
        <x:v>kein_match</x:v>
      </x:c>
      <x:c r="I2396" t="str">
        <x:v>Agent-Draft: keine finale Regelentscheidung</x:v>
      </x:c>
      <x:c r="J2396" t="n">
        <x:v>45365</x:v>
      </x:c>
      <x:c r="K2396"/>
      <x:c r="L2396"/>
      <x:c r="M2396" t="n">
        <x:v>-12.37</x:v>
      </x:c>
      <x:c r="N2396" t="str">
        <x:v>2024-03</x:v>
      </x:c>
      <x:c r="O2396" t="str">
        <x:v>Ausgabe</x:v>
      </x:c>
      <x:c r="P2396" t="str">
        <x:v>Ist</x:v>
      </x:c>
      <x:c r="Q2396" s="59" t="b">
        <x:v>0</x:v>
      </x:c>
      <x:c r="R2396" t="str">
        <x:v>kein_transfer</x:v>
      </x:c>
      <x:c r="S2396"/>
      <x:c r="T2396"/>
      <x:c r="U2396"/>
      <x:c r="V2396" s="59" t="b">
        <x:v>1</x:v>
      </x:c>
      <x:c r="W2396"/>
      <x:c r="X2396" t="str">
        <x:v>offen</x:v>
      </x:c>
      <x:c r="Y2396" t="str">
        <x:v>Agent-Draft; Kategorie und Person pruefen</x:v>
      </x:c>
    </x:row>
    <x:row r="2397">
      <x:c r="A2397" t="str">
        <x:v>TXN-RAW-IMP-20260516-FULLDRAFT-002381</x:v>
      </x:c>
      <x:c r="B2397" t="str">
        <x:v>RAW-IMP-20260516-FULLDRAFT-002381</x:v>
      </x:c>
      <x:c r="C2397" t="str">
        <x:v>KTO001</x:v>
      </x:c>
      <x:c r="D2397"/>
      <x:c r="E2397" t="str">
        <x:v>KAT013</x:v>
      </x:c>
      <x:c r="F2397"/>
      <x:c r="G2397"/>
      <x:c r="H2397" t="str">
        <x:v>kein_match</x:v>
      </x:c>
      <x:c r="I2397" t="str">
        <x:v>Agent-Draft: keine finale Regelentscheidung</x:v>
      </x:c>
      <x:c r="J2397" t="n">
        <x:v>45365</x:v>
      </x:c>
      <x:c r="K2397"/>
      <x:c r="L2397"/>
      <x:c r="M2397" t="n">
        <x:v>-2</x:v>
      </x:c>
      <x:c r="N2397" t="str">
        <x:v>2024-03</x:v>
      </x:c>
      <x:c r="O2397" t="str">
        <x:v>Ausgabe</x:v>
      </x:c>
      <x:c r="P2397" t="str">
        <x:v>Ist</x:v>
      </x:c>
      <x:c r="Q2397" s="59" t="b">
        <x:v>0</x:v>
      </x:c>
      <x:c r="R2397" t="str">
        <x:v>kein_transfer</x:v>
      </x:c>
      <x:c r="S2397"/>
      <x:c r="T2397"/>
      <x:c r="U2397"/>
      <x:c r="V2397" s="59" t="b">
        <x:v>1</x:v>
      </x:c>
      <x:c r="W2397"/>
      <x:c r="X2397" t="str">
        <x:v>offen</x:v>
      </x:c>
      <x:c r="Y2397" t="str">
        <x:v>Agent-Draft; Kategorie und Person pruefen</x:v>
      </x:c>
    </x:row>
    <x:row r="2398">
      <x:c r="A2398" t="str">
        <x:v>TXN-RAW-IMP-20260516-FULLDRAFT-002382</x:v>
      </x:c>
      <x:c r="B2398" t="str">
        <x:v>RAW-IMP-20260516-FULLDRAFT-002382</x:v>
      </x:c>
      <x:c r="C2398" t="str">
        <x:v>KTO001</x:v>
      </x:c>
      <x:c r="D2398"/>
      <x:c r="E2398" t="str">
        <x:v>KAT013</x:v>
      </x:c>
      <x:c r="F2398"/>
      <x:c r="G2398"/>
      <x:c r="H2398" t="str">
        <x:v>kein_match</x:v>
      </x:c>
      <x:c r="I2398" t="str">
        <x:v>Agent-Draft: keine finale Regelentscheidung</x:v>
      </x:c>
      <x:c r="J2398" t="n">
        <x:v>45365</x:v>
      </x:c>
      <x:c r="K2398"/>
      <x:c r="L2398"/>
      <x:c r="M2398" t="n">
        <x:v>-1.99</x:v>
      </x:c>
      <x:c r="N2398" t="str">
        <x:v>2024-03</x:v>
      </x:c>
      <x:c r="O2398" t="str">
        <x:v>Ausgabe</x:v>
      </x:c>
      <x:c r="P2398" t="str">
        <x:v>Ist</x:v>
      </x:c>
      <x:c r="Q2398" s="59" t="b">
        <x:v>0</x:v>
      </x:c>
      <x:c r="R2398" t="str">
        <x:v>kein_transfer</x:v>
      </x:c>
      <x:c r="S2398"/>
      <x:c r="T2398"/>
      <x:c r="U2398"/>
      <x:c r="V2398" s="59" t="b">
        <x:v>1</x:v>
      </x:c>
      <x:c r="W2398"/>
      <x:c r="X2398" t="str">
        <x:v>offen</x:v>
      </x:c>
      <x:c r="Y2398" t="str">
        <x:v>Agent-Draft; Kategorie und Person pruefen</x:v>
      </x:c>
    </x:row>
    <x:row r="2399">
      <x:c r="A2399" t="str">
        <x:v>TXN-RAW-IMP-20260516-FULLDRAFT-002383</x:v>
      </x:c>
      <x:c r="B2399" t="str">
        <x:v>RAW-IMP-20260516-FULLDRAFT-002383</x:v>
      </x:c>
      <x:c r="C2399" t="str">
        <x:v>KTO001</x:v>
      </x:c>
      <x:c r="D2399"/>
      <x:c r="E2399" t="str">
        <x:v>KAT013</x:v>
      </x:c>
      <x:c r="F2399"/>
      <x:c r="G2399"/>
      <x:c r="H2399" t="str">
        <x:v>kein_match</x:v>
      </x:c>
      <x:c r="I2399" t="str">
        <x:v>Agent-Draft: keine finale Regelentscheidung</x:v>
      </x:c>
      <x:c r="J2399" t="n">
        <x:v>45364</x:v>
      </x:c>
      <x:c r="K2399"/>
      <x:c r="L2399"/>
      <x:c r="M2399" t="n">
        <x:v>-2.76</x:v>
      </x:c>
      <x:c r="N2399" t="str">
        <x:v>2024-03</x:v>
      </x:c>
      <x:c r="O2399" t="str">
        <x:v>Ausgabe</x:v>
      </x:c>
      <x:c r="P2399" t="str">
        <x:v>Ist</x:v>
      </x:c>
      <x:c r="Q2399" s="59" t="b">
        <x:v>0</x:v>
      </x:c>
      <x:c r="R2399" t="str">
        <x:v>kein_transfer</x:v>
      </x:c>
      <x:c r="S2399"/>
      <x:c r="T2399"/>
      <x:c r="U2399"/>
      <x:c r="V2399" s="59" t="b">
        <x:v>1</x:v>
      </x:c>
      <x:c r="W2399"/>
      <x:c r="X2399" t="str">
        <x:v>offen</x:v>
      </x:c>
      <x:c r="Y2399" t="str">
        <x:v>Agent-Draft; Kategorie und Person pruefen</x:v>
      </x:c>
    </x:row>
    <x:row r="2400">
      <x:c r="A2400" t="str">
        <x:v>TXN-RAW-IMP-20260516-FULLDRAFT-002384</x:v>
      </x:c>
      <x:c r="B2400" t="str">
        <x:v>RAW-IMP-20260516-FULLDRAFT-002384</x:v>
      </x:c>
      <x:c r="C2400" t="str">
        <x:v>KTO001</x:v>
      </x:c>
      <x:c r="D2400"/>
      <x:c r="E2400" t="str">
        <x:v>KAT013</x:v>
      </x:c>
      <x:c r="F2400"/>
      <x:c r="G2400"/>
      <x:c r="H2400" t="str">
        <x:v>kein_match</x:v>
      </x:c>
      <x:c r="I2400" t="str">
        <x:v>Agent-Draft: keine finale Regelentscheidung</x:v>
      </x:c>
      <x:c r="J2400" t="n">
        <x:v>45364</x:v>
      </x:c>
      <x:c r="K2400"/>
      <x:c r="L2400"/>
      <x:c r="M2400" t="n">
        <x:v>-91.07</x:v>
      </x:c>
      <x:c r="N2400" t="str">
        <x:v>2024-03</x:v>
      </x:c>
      <x:c r="O2400" t="str">
        <x:v>Ausgabe</x:v>
      </x:c>
      <x:c r="P2400" t="str">
        <x:v>Ist</x:v>
      </x:c>
      <x:c r="Q2400" s="59" t="b">
        <x:v>0</x:v>
      </x:c>
      <x:c r="R2400" t="str">
        <x:v>kein_transfer</x:v>
      </x:c>
      <x:c r="S2400"/>
      <x:c r="T2400"/>
      <x:c r="U2400"/>
      <x:c r="V2400" s="59" t="b">
        <x:v>1</x:v>
      </x:c>
      <x:c r="W2400"/>
      <x:c r="X2400" t="str">
        <x:v>offen</x:v>
      </x:c>
      <x:c r="Y2400" t="str">
        <x:v>Agent-Draft; Kategorie und Person pruefen</x:v>
      </x:c>
    </x:row>
    <x:row r="2401">
      <x:c r="A2401" t="str">
        <x:v>TXN-RAW-IMP-20260516-FULLDRAFT-002385</x:v>
      </x:c>
      <x:c r="B2401" t="str">
        <x:v>RAW-IMP-20260516-FULLDRAFT-002385</x:v>
      </x:c>
      <x:c r="C2401" t="str">
        <x:v>KTO001</x:v>
      </x:c>
      <x:c r="D2401"/>
      <x:c r="E2401" t="str">
        <x:v>KAT013</x:v>
      </x:c>
      <x:c r="F2401"/>
      <x:c r="G2401"/>
      <x:c r="H2401" t="str">
        <x:v>kein_match</x:v>
      </x:c>
      <x:c r="I2401" t="str">
        <x:v>Agent-Draft: keine finale Regelentscheidung</x:v>
      </x:c>
      <x:c r="J2401" t="n">
        <x:v>45363</x:v>
      </x:c>
      <x:c r="K2401"/>
      <x:c r="L2401"/>
      <x:c r="M2401" t="n">
        <x:v>-100</x:v>
      </x:c>
      <x:c r="N2401" t="str">
        <x:v>2024-03</x:v>
      </x:c>
      <x:c r="O2401" t="str">
        <x:v>Ausgabe</x:v>
      </x:c>
      <x:c r="P2401" t="str">
        <x:v>Ist</x:v>
      </x:c>
      <x:c r="Q2401" s="59" t="b">
        <x:v>0</x:v>
      </x:c>
      <x:c r="R2401" t="str">
        <x:v>kein_transfer</x:v>
      </x:c>
      <x:c r="S2401"/>
      <x:c r="T2401"/>
      <x:c r="U2401"/>
      <x:c r="V2401" s="59" t="b">
        <x:v>1</x:v>
      </x:c>
      <x:c r="W2401"/>
      <x:c r="X2401" t="str">
        <x:v>offen</x:v>
      </x:c>
      <x:c r="Y2401" t="str">
        <x:v>Agent-Draft; Kategorie und Person pruefen</x:v>
      </x:c>
    </x:row>
    <x:row r="2402">
      <x:c r="A2402" t="str">
        <x:v>TXN-RAW-IMP-20260516-FULLDRAFT-002386</x:v>
      </x:c>
      <x:c r="B2402" t="str">
        <x:v>RAW-IMP-20260516-FULLDRAFT-002386</x:v>
      </x:c>
      <x:c r="C2402" t="str">
        <x:v>KTO001</x:v>
      </x:c>
      <x:c r="D2402"/>
      <x:c r="E2402" t="str">
        <x:v>KAT013</x:v>
      </x:c>
      <x:c r="F2402"/>
      <x:c r="G2402"/>
      <x:c r="H2402" t="str">
        <x:v>kein_match</x:v>
      </x:c>
      <x:c r="I2402" t="str">
        <x:v>Agent-Draft: keine finale Regelentscheidung</x:v>
      </x:c>
      <x:c r="J2402" t="n">
        <x:v>45363</x:v>
      </x:c>
      <x:c r="K2402"/>
      <x:c r="L2402"/>
      <x:c r="M2402" t="n">
        <x:v>-369</x:v>
      </x:c>
      <x:c r="N2402" t="str">
        <x:v>2024-03</x:v>
      </x:c>
      <x:c r="O2402" t="str">
        <x:v>Ausgabe</x:v>
      </x:c>
      <x:c r="P2402" t="str">
        <x:v>Ist</x:v>
      </x:c>
      <x:c r="Q2402" s="59" t="b">
        <x:v>0</x:v>
      </x:c>
      <x:c r="R2402" t="str">
        <x:v>kein_transfer</x:v>
      </x:c>
      <x:c r="S2402"/>
      <x:c r="T2402"/>
      <x:c r="U2402"/>
      <x:c r="V2402" s="59" t="b">
        <x:v>1</x:v>
      </x:c>
      <x:c r="W2402"/>
      <x:c r="X2402" t="str">
        <x:v>offen</x:v>
      </x:c>
      <x:c r="Y2402" t="str">
        <x:v>Agent-Draft; Kategorie und Person pruefen</x:v>
      </x:c>
    </x:row>
    <x:row r="2403">
      <x:c r="A2403" t="str">
        <x:v>TXN-RAW-IMP-20260516-FULLDRAFT-002387</x:v>
      </x:c>
      <x:c r="B2403" t="str">
        <x:v>RAW-IMP-20260516-FULLDRAFT-002387</x:v>
      </x:c>
      <x:c r="C2403" t="str">
        <x:v>KTO001</x:v>
      </x:c>
      <x:c r="D2403"/>
      <x:c r="E2403" t="str">
        <x:v>KAT013</x:v>
      </x:c>
      <x:c r="F2403"/>
      <x:c r="G2403"/>
      <x:c r="H2403" t="str">
        <x:v>kein_match</x:v>
      </x:c>
      <x:c r="I2403" t="str">
        <x:v>Agent-Draft: keine finale Regelentscheidung</x:v>
      </x:c>
      <x:c r="J2403" t="n">
        <x:v>45363</x:v>
      </x:c>
      <x:c r="K2403"/>
      <x:c r="L2403"/>
      <x:c r="M2403" t="n">
        <x:v>-8.99</x:v>
      </x:c>
      <x:c r="N2403" t="str">
        <x:v>2024-03</x:v>
      </x:c>
      <x:c r="O2403" t="str">
        <x:v>Ausgabe</x:v>
      </x:c>
      <x:c r="P2403" t="str">
        <x:v>Ist</x:v>
      </x:c>
      <x:c r="Q2403" s="59" t="b">
        <x:v>0</x:v>
      </x:c>
      <x:c r="R2403" t="str">
        <x:v>kein_transfer</x:v>
      </x:c>
      <x:c r="S2403"/>
      <x:c r="T2403"/>
      <x:c r="U2403"/>
      <x:c r="V2403" s="59" t="b">
        <x:v>1</x:v>
      </x:c>
      <x:c r="W2403"/>
      <x:c r="X2403" t="str">
        <x:v>offen</x:v>
      </x:c>
      <x:c r="Y2403" t="str">
        <x:v>Agent-Draft; Kategorie und Person pruefen</x:v>
      </x:c>
    </x:row>
    <x:row r="2404">
      <x:c r="A2404" t="str">
        <x:v>TXN-RAW-IMP-20260516-FULLDRAFT-002388</x:v>
      </x:c>
      <x:c r="B2404" t="str">
        <x:v>RAW-IMP-20260516-FULLDRAFT-002388</x:v>
      </x:c>
      <x:c r="C2404" t="str">
        <x:v>KTO001</x:v>
      </x:c>
      <x:c r="D2404"/>
      <x:c r="E2404" t="str">
        <x:v>KAT013</x:v>
      </x:c>
      <x:c r="F2404"/>
      <x:c r="G2404"/>
      <x:c r="H2404" t="str">
        <x:v>kein_match</x:v>
      </x:c>
      <x:c r="I2404" t="str">
        <x:v>Agent-Draft: keine finale Regelentscheidung</x:v>
      </x:c>
      <x:c r="J2404" t="n">
        <x:v>45363</x:v>
      </x:c>
      <x:c r="K2404"/>
      <x:c r="L2404"/>
      <x:c r="M2404" t="n">
        <x:v>-3</x:v>
      </x:c>
      <x:c r="N2404" t="str">
        <x:v>2024-03</x:v>
      </x:c>
      <x:c r="O2404" t="str">
        <x:v>Ausgabe</x:v>
      </x:c>
      <x:c r="P2404" t="str">
        <x:v>Ist</x:v>
      </x:c>
      <x:c r="Q2404" s="59" t="b">
        <x:v>0</x:v>
      </x:c>
      <x:c r="R2404" t="str">
        <x:v>kein_transfer</x:v>
      </x:c>
      <x:c r="S2404"/>
      <x:c r="T2404"/>
      <x:c r="U2404"/>
      <x:c r="V2404" s="59" t="b">
        <x:v>1</x:v>
      </x:c>
      <x:c r="W2404"/>
      <x:c r="X2404" t="str">
        <x:v>offen</x:v>
      </x:c>
      <x:c r="Y2404" t="str">
        <x:v>Agent-Draft; Kategorie und Person pruefen</x:v>
      </x:c>
    </x:row>
    <x:row r="2405">
      <x:c r="A2405" t="str">
        <x:v>TXN-RAW-IMP-20260516-FULLDRAFT-002389</x:v>
      </x:c>
      <x:c r="B2405" t="str">
        <x:v>RAW-IMP-20260516-FULLDRAFT-002389</x:v>
      </x:c>
      <x:c r="C2405" t="str">
        <x:v>KTO001</x:v>
      </x:c>
      <x:c r="D2405"/>
      <x:c r="E2405" t="str">
        <x:v>KAT013</x:v>
      </x:c>
      <x:c r="F2405"/>
      <x:c r="G2405"/>
      <x:c r="H2405" t="str">
        <x:v>kein_match</x:v>
      </x:c>
      <x:c r="I2405" t="str">
        <x:v>Agent-Draft: keine finale Regelentscheidung</x:v>
      </x:c>
      <x:c r="J2405" t="n">
        <x:v>45363</x:v>
      </x:c>
      <x:c r="K2405"/>
      <x:c r="L2405"/>
      <x:c r="M2405" t="n">
        <x:v>-5.99</x:v>
      </x:c>
      <x:c r="N2405" t="str">
        <x:v>2024-03</x:v>
      </x:c>
      <x:c r="O2405" t="str">
        <x:v>Ausgabe</x:v>
      </x:c>
      <x:c r="P2405" t="str">
        <x:v>Ist</x:v>
      </x:c>
      <x:c r="Q2405" s="59" t="b">
        <x:v>0</x:v>
      </x:c>
      <x:c r="R2405" t="str">
        <x:v>kein_transfer</x:v>
      </x:c>
      <x:c r="S2405"/>
      <x:c r="T2405"/>
      <x:c r="U2405"/>
      <x:c r="V2405" s="59" t="b">
        <x:v>1</x:v>
      </x:c>
      <x:c r="W2405"/>
      <x:c r="X2405" t="str">
        <x:v>offen</x:v>
      </x:c>
      <x:c r="Y2405" t="str">
        <x:v>Agent-Draft; Kategorie und Person pruefen</x:v>
      </x:c>
    </x:row>
    <x:row r="2406">
      <x:c r="A2406" t="str">
        <x:v>TXN-RAW-IMP-20260516-FULLDRAFT-002390</x:v>
      </x:c>
      <x:c r="B2406" t="str">
        <x:v>RAW-IMP-20260516-FULLDRAFT-002390</x:v>
      </x:c>
      <x:c r="C2406" t="str">
        <x:v>KTO001</x:v>
      </x:c>
      <x:c r="D2406"/>
      <x:c r="E2406" t="str">
        <x:v>KAT013</x:v>
      </x:c>
      <x:c r="F2406"/>
      <x:c r="G2406"/>
      <x:c r="H2406" t="str">
        <x:v>kein_match</x:v>
      </x:c>
      <x:c r="I2406" t="str">
        <x:v>Agent-Draft: keine finale Regelentscheidung</x:v>
      </x:c>
      <x:c r="J2406" t="n">
        <x:v>45362</x:v>
      </x:c>
      <x:c r="K2406"/>
      <x:c r="L2406"/>
      <x:c r="M2406" t="n">
        <x:v>-111.9</x:v>
      </x:c>
      <x:c r="N2406" t="str">
        <x:v>2024-03</x:v>
      </x:c>
      <x:c r="O2406" t="str">
        <x:v>Ausgabe</x:v>
      </x:c>
      <x:c r="P2406" t="str">
        <x:v>Ist</x:v>
      </x:c>
      <x:c r="Q2406" s="59" t="b">
        <x:v>0</x:v>
      </x:c>
      <x:c r="R2406" t="str">
        <x:v>kein_transfer</x:v>
      </x:c>
      <x:c r="S2406"/>
      <x:c r="T2406"/>
      <x:c r="U2406"/>
      <x:c r="V2406" s="59" t="b">
        <x:v>1</x:v>
      </x:c>
      <x:c r="W2406"/>
      <x:c r="X2406" t="str">
        <x:v>offen</x:v>
      </x:c>
      <x:c r="Y2406" t="str">
        <x:v>Agent-Draft; Kategorie und Person pruefen</x:v>
      </x:c>
    </x:row>
    <x:row r="2407">
      <x:c r="A2407" t="str">
        <x:v>TXN-RAW-IMP-20260516-FULLDRAFT-002391</x:v>
      </x:c>
      <x:c r="B2407" t="str">
        <x:v>RAW-IMP-20260516-FULLDRAFT-002391</x:v>
      </x:c>
      <x:c r="C2407" t="str">
        <x:v>KTO001</x:v>
      </x:c>
      <x:c r="D2407"/>
      <x:c r="E2407" t="str">
        <x:v>KAT013</x:v>
      </x:c>
      <x:c r="F2407"/>
      <x:c r="G2407"/>
      <x:c r="H2407" t="str">
        <x:v>kein_match</x:v>
      </x:c>
      <x:c r="I2407" t="str">
        <x:v>Agent-Draft: keine finale Regelentscheidung</x:v>
      </x:c>
      <x:c r="J2407" t="n">
        <x:v>45362</x:v>
      </x:c>
      <x:c r="K2407"/>
      <x:c r="L2407"/>
      <x:c r="M2407" t="n">
        <x:v>-31.5</x:v>
      </x:c>
      <x:c r="N2407" t="str">
        <x:v>2024-03</x:v>
      </x:c>
      <x:c r="O2407" t="str">
        <x:v>Ausgabe</x:v>
      </x:c>
      <x:c r="P2407" t="str">
        <x:v>Ist</x:v>
      </x:c>
      <x:c r="Q2407" s="59" t="b">
        <x:v>0</x:v>
      </x:c>
      <x:c r="R2407" t="str">
        <x:v>kein_transfer</x:v>
      </x:c>
      <x:c r="S2407"/>
      <x:c r="T2407"/>
      <x:c r="U2407"/>
      <x:c r="V2407" s="59" t="b">
        <x:v>1</x:v>
      </x:c>
      <x:c r="W2407"/>
      <x:c r="X2407" t="str">
        <x:v>offen</x:v>
      </x:c>
      <x:c r="Y2407" t="str">
        <x:v>Agent-Draft; Kategorie und Person pruefen</x:v>
      </x:c>
    </x:row>
    <x:row r="2408">
      <x:c r="A2408" t="str">
        <x:v>TXN-RAW-IMP-20260516-FULLDRAFT-002392</x:v>
      </x:c>
      <x:c r="B2408" t="str">
        <x:v>RAW-IMP-20260516-FULLDRAFT-002392</x:v>
      </x:c>
      <x:c r="C2408" t="str">
        <x:v>KTO001</x:v>
      </x:c>
      <x:c r="D2408"/>
      <x:c r="E2408" t="str">
        <x:v>KAT013</x:v>
      </x:c>
      <x:c r="F2408"/>
      <x:c r="G2408"/>
      <x:c r="H2408" t="str">
        <x:v>kein_match</x:v>
      </x:c>
      <x:c r="I2408" t="str">
        <x:v>Agent-Draft: keine finale Regelentscheidung</x:v>
      </x:c>
      <x:c r="J2408" t="n">
        <x:v>45362</x:v>
      </x:c>
      <x:c r="K2408"/>
      <x:c r="L2408"/>
      <x:c r="M2408" t="n">
        <x:v>-150</x:v>
      </x:c>
      <x:c r="N2408" t="str">
        <x:v>2024-03</x:v>
      </x:c>
      <x:c r="O2408" t="str">
        <x:v>Ausgabe</x:v>
      </x:c>
      <x:c r="P2408" t="str">
        <x:v>Ist</x:v>
      </x:c>
      <x:c r="Q2408" s="59" t="b">
        <x:v>0</x:v>
      </x:c>
      <x:c r="R2408" t="str">
        <x:v>kein_transfer</x:v>
      </x:c>
      <x:c r="S2408"/>
      <x:c r="T2408"/>
      <x:c r="U2408"/>
      <x:c r="V2408" s="59" t="b">
        <x:v>1</x:v>
      </x:c>
      <x:c r="W2408"/>
      <x:c r="X2408" t="str">
        <x:v>offen</x:v>
      </x:c>
      <x:c r="Y2408" t="str">
        <x:v>Agent-Draft; Kategorie und Person pruefen</x:v>
      </x:c>
    </x:row>
    <x:row r="2409">
      <x:c r="A2409" t="str">
        <x:v>TXN-RAW-IMP-20260516-FULLDRAFT-002393</x:v>
      </x:c>
      <x:c r="B2409" t="str">
        <x:v>RAW-IMP-20260516-FULLDRAFT-002393</x:v>
      </x:c>
      <x:c r="C2409" t="str">
        <x:v>KTO001</x:v>
      </x:c>
      <x:c r="D2409"/>
      <x:c r="E2409" t="str">
        <x:v>KAT013</x:v>
      </x:c>
      <x:c r="F2409"/>
      <x:c r="G2409"/>
      <x:c r="H2409" t="str">
        <x:v>kein_match</x:v>
      </x:c>
      <x:c r="I2409" t="str">
        <x:v>Agent-Draft: keine finale Regelentscheidung</x:v>
      </x:c>
      <x:c r="J2409" t="n">
        <x:v>45362</x:v>
      </x:c>
      <x:c r="K2409"/>
      <x:c r="L2409"/>
      <x:c r="M2409" t="n">
        <x:v>-102.71</x:v>
      </x:c>
      <x:c r="N2409" t="str">
        <x:v>2024-03</x:v>
      </x:c>
      <x:c r="O2409" t="str">
        <x:v>Ausgabe</x:v>
      </x:c>
      <x:c r="P2409" t="str">
        <x:v>Ist</x:v>
      </x:c>
      <x:c r="Q2409" s="59" t="b">
        <x:v>0</x:v>
      </x:c>
      <x:c r="R2409" t="str">
        <x:v>kein_transfer</x:v>
      </x:c>
      <x:c r="S2409"/>
      <x:c r="T2409"/>
      <x:c r="U2409"/>
      <x:c r="V2409" s="59" t="b">
        <x:v>1</x:v>
      </x:c>
      <x:c r="W2409"/>
      <x:c r="X2409" t="str">
        <x:v>offen</x:v>
      </x:c>
      <x:c r="Y2409" t="str">
        <x:v>Agent-Draft; Kategorie und Person pruefen</x:v>
      </x:c>
    </x:row>
    <x:row r="2410">
      <x:c r="A2410" t="str">
        <x:v>TXN-RAW-IMP-20260516-FULLDRAFT-002394</x:v>
      </x:c>
      <x:c r="B2410" t="str">
        <x:v>RAW-IMP-20260516-FULLDRAFT-002394</x:v>
      </x:c>
      <x:c r="C2410" t="str">
        <x:v>KTO001</x:v>
      </x:c>
      <x:c r="D2410"/>
      <x:c r="E2410" t="str">
        <x:v>KAT013</x:v>
      </x:c>
      <x:c r="F2410"/>
      <x:c r="G2410"/>
      <x:c r="H2410" t="str">
        <x:v>kein_match</x:v>
      </x:c>
      <x:c r="I2410" t="str">
        <x:v>Agent-Draft: keine finale Regelentscheidung</x:v>
      </x:c>
      <x:c r="J2410" t="n">
        <x:v>45359</x:v>
      </x:c>
      <x:c r="K2410"/>
      <x:c r="L2410"/>
      <x:c r="M2410" t="n">
        <x:v>-26</x:v>
      </x:c>
      <x:c r="N2410" t="str">
        <x:v>2024-03</x:v>
      </x:c>
      <x:c r="O2410" t="str">
        <x:v>Ausgabe</x:v>
      </x:c>
      <x:c r="P2410" t="str">
        <x:v>Ist</x:v>
      </x:c>
      <x:c r="Q2410" s="59" t="b">
        <x:v>0</x:v>
      </x:c>
      <x:c r="R2410" t="str">
        <x:v>kein_transfer</x:v>
      </x:c>
      <x:c r="S2410"/>
      <x:c r="T2410"/>
      <x:c r="U2410"/>
      <x:c r="V2410" s="59" t="b">
        <x:v>1</x:v>
      </x:c>
      <x:c r="W2410"/>
      <x:c r="X2410" t="str">
        <x:v>offen</x:v>
      </x:c>
      <x:c r="Y2410" t="str">
        <x:v>Agent-Draft; Kategorie und Person pruefen</x:v>
      </x:c>
    </x:row>
    <x:row r="2411">
      <x:c r="A2411" t="str">
        <x:v>TXN-RAW-IMP-20260516-FULLDRAFT-002395</x:v>
      </x:c>
      <x:c r="B2411" t="str">
        <x:v>RAW-IMP-20260516-FULLDRAFT-002395</x:v>
      </x:c>
      <x:c r="C2411" t="str">
        <x:v>KTO001</x:v>
      </x:c>
      <x:c r="D2411"/>
      <x:c r="E2411" t="str">
        <x:v>KAT013</x:v>
      </x:c>
      <x:c r="F2411"/>
      <x:c r="G2411"/>
      <x:c r="H2411" t="str">
        <x:v>kein_match</x:v>
      </x:c>
      <x:c r="I2411" t="str">
        <x:v>Agent-Draft: keine finale Regelentscheidung</x:v>
      </x:c>
      <x:c r="J2411" t="n">
        <x:v>45359</x:v>
      </x:c>
      <x:c r="K2411"/>
      <x:c r="L2411"/>
      <x:c r="M2411" t="n">
        <x:v>-10.36</x:v>
      </x:c>
      <x:c r="N2411" t="str">
        <x:v>2024-03</x:v>
      </x:c>
      <x:c r="O2411" t="str">
        <x:v>Ausgabe</x:v>
      </x:c>
      <x:c r="P2411" t="str">
        <x:v>Ist</x:v>
      </x:c>
      <x:c r="Q2411" s="59" t="b">
        <x:v>0</x:v>
      </x:c>
      <x:c r="R2411" t="str">
        <x:v>kein_transfer</x:v>
      </x:c>
      <x:c r="S2411"/>
      <x:c r="T2411"/>
      <x:c r="U2411"/>
      <x:c r="V2411" s="59" t="b">
        <x:v>1</x:v>
      </x:c>
      <x:c r="W2411"/>
      <x:c r="X2411" t="str">
        <x:v>offen</x:v>
      </x:c>
      <x:c r="Y2411" t="str">
        <x:v>Agent-Draft; Kategorie und Person pruefen</x:v>
      </x:c>
    </x:row>
    <x:row r="2412">
      <x:c r="A2412" t="str">
        <x:v>TXN-RAW-IMP-20260516-FULLDRAFT-002396</x:v>
      </x:c>
      <x:c r="B2412" t="str">
        <x:v>RAW-IMP-20260516-FULLDRAFT-002396</x:v>
      </x:c>
      <x:c r="C2412" t="str">
        <x:v>KTO001</x:v>
      </x:c>
      <x:c r="D2412"/>
      <x:c r="E2412" t="str">
        <x:v>KAT013</x:v>
      </x:c>
      <x:c r="F2412"/>
      <x:c r="G2412"/>
      <x:c r="H2412" t="str">
        <x:v>kein_match</x:v>
      </x:c>
      <x:c r="I2412" t="str">
        <x:v>Agent-Draft: keine finale Regelentscheidung</x:v>
      </x:c>
      <x:c r="J2412" t="n">
        <x:v>45358</x:v>
      </x:c>
      <x:c r="K2412"/>
      <x:c r="L2412"/>
      <x:c r="M2412" t="n">
        <x:v>-11.77</x:v>
      </x:c>
      <x:c r="N2412" t="str">
        <x:v>2024-03</x:v>
      </x:c>
      <x:c r="O2412" t="str">
        <x:v>Ausgabe</x:v>
      </x:c>
      <x:c r="P2412" t="str">
        <x:v>Ist</x:v>
      </x:c>
      <x:c r="Q2412" s="59" t="b">
        <x:v>0</x:v>
      </x:c>
      <x:c r="R2412" t="str">
        <x:v>kein_transfer</x:v>
      </x:c>
      <x:c r="S2412"/>
      <x:c r="T2412"/>
      <x:c r="U2412"/>
      <x:c r="V2412" s="59" t="b">
        <x:v>1</x:v>
      </x:c>
      <x:c r="W2412"/>
      <x:c r="X2412" t="str">
        <x:v>offen</x:v>
      </x:c>
      <x:c r="Y2412" t="str">
        <x:v>Agent-Draft; Kategorie und Person pruefen</x:v>
      </x:c>
    </x:row>
    <x:row r="2413">
      <x:c r="A2413" t="str">
        <x:v>TXN-RAW-IMP-20260516-FULLDRAFT-002397</x:v>
      </x:c>
      <x:c r="B2413" t="str">
        <x:v>RAW-IMP-20260516-FULLDRAFT-002397</x:v>
      </x:c>
      <x:c r="C2413" t="str">
        <x:v>KTO001</x:v>
      </x:c>
      <x:c r="D2413"/>
      <x:c r="E2413" t="str">
        <x:v>KAT013</x:v>
      </x:c>
      <x:c r="F2413"/>
      <x:c r="G2413"/>
      <x:c r="H2413" t="str">
        <x:v>kein_match</x:v>
      </x:c>
      <x:c r="I2413" t="str">
        <x:v>Agent-Draft: keine finale Regelentscheidung</x:v>
      </x:c>
      <x:c r="J2413" t="n">
        <x:v>45357</x:v>
      </x:c>
      <x:c r="K2413"/>
      <x:c r="L2413"/>
      <x:c r="M2413" t="n">
        <x:v>-3.78</x:v>
      </x:c>
      <x:c r="N2413" t="str">
        <x:v>2024-03</x:v>
      </x:c>
      <x:c r="O2413" t="str">
        <x:v>Ausgabe</x:v>
      </x:c>
      <x:c r="P2413" t="str">
        <x:v>Ist</x:v>
      </x:c>
      <x:c r="Q2413" s="59" t="b">
        <x:v>0</x:v>
      </x:c>
      <x:c r="R2413" t="str">
        <x:v>kein_transfer</x:v>
      </x:c>
      <x:c r="S2413"/>
      <x:c r="T2413"/>
      <x:c r="U2413"/>
      <x:c r="V2413" s="59" t="b">
        <x:v>1</x:v>
      </x:c>
      <x:c r="W2413"/>
      <x:c r="X2413" t="str">
        <x:v>offen</x:v>
      </x:c>
      <x:c r="Y2413" t="str">
        <x:v>Agent-Draft; Kategorie und Person pruefen</x:v>
      </x:c>
    </x:row>
    <x:row r="2414">
      <x:c r="A2414" t="str">
        <x:v>TXN-RAW-IMP-20260516-FULLDRAFT-002398</x:v>
      </x:c>
      <x:c r="B2414" t="str">
        <x:v>RAW-IMP-20260516-FULLDRAFT-002398</x:v>
      </x:c>
      <x:c r="C2414" t="str">
        <x:v>KTO001</x:v>
      </x:c>
      <x:c r="D2414"/>
      <x:c r="E2414" t="str">
        <x:v>KAT013</x:v>
      </x:c>
      <x:c r="F2414"/>
      <x:c r="G2414"/>
      <x:c r="H2414" t="str">
        <x:v>kein_match</x:v>
      </x:c>
      <x:c r="I2414" t="str">
        <x:v>Agent-Draft: keine finale Regelentscheidung</x:v>
      </x:c>
      <x:c r="J2414" t="n">
        <x:v>45357</x:v>
      </x:c>
      <x:c r="K2414"/>
      <x:c r="L2414"/>
      <x:c r="M2414" t="n">
        <x:v>-19.08</x:v>
      </x:c>
      <x:c r="N2414" t="str">
        <x:v>2024-03</x:v>
      </x:c>
      <x:c r="O2414" t="str">
        <x:v>Ausgabe</x:v>
      </x:c>
      <x:c r="P2414" t="str">
        <x:v>Ist</x:v>
      </x:c>
      <x:c r="Q2414" s="59" t="b">
        <x:v>0</x:v>
      </x:c>
      <x:c r="R2414" t="str">
        <x:v>kein_transfer</x:v>
      </x:c>
      <x:c r="S2414"/>
      <x:c r="T2414"/>
      <x:c r="U2414"/>
      <x:c r="V2414" s="59" t="b">
        <x:v>1</x:v>
      </x:c>
      <x:c r="W2414"/>
      <x:c r="X2414" t="str">
        <x:v>offen</x:v>
      </x:c>
      <x:c r="Y2414" t="str">
        <x:v>Agent-Draft; Kategorie und Person pruefen</x:v>
      </x:c>
    </x:row>
    <x:row r="2415">
      <x:c r="A2415" t="str">
        <x:v>TXN-RAW-IMP-20260516-FULLDRAFT-002399</x:v>
      </x:c>
      <x:c r="B2415" t="str">
        <x:v>RAW-IMP-20260516-FULLDRAFT-002399</x:v>
      </x:c>
      <x:c r="C2415" t="str">
        <x:v>KTO001</x:v>
      </x:c>
      <x:c r="D2415"/>
      <x:c r="E2415" t="str">
        <x:v>KAT013</x:v>
      </x:c>
      <x:c r="F2415"/>
      <x:c r="G2415"/>
      <x:c r="H2415" t="str">
        <x:v>kein_match</x:v>
      </x:c>
      <x:c r="I2415" t="str">
        <x:v>Agent-Draft: keine finale Regelentscheidung</x:v>
      </x:c>
      <x:c r="J2415" t="n">
        <x:v>45357</x:v>
      </x:c>
      <x:c r="K2415"/>
      <x:c r="L2415"/>
      <x:c r="M2415" t="n">
        <x:v>-61.94</x:v>
      </x:c>
      <x:c r="N2415" t="str">
        <x:v>2024-03</x:v>
      </x:c>
      <x:c r="O2415" t="str">
        <x:v>Ausgabe</x:v>
      </x:c>
      <x:c r="P2415" t="str">
        <x:v>Ist</x:v>
      </x:c>
      <x:c r="Q2415" s="59" t="b">
        <x:v>0</x:v>
      </x:c>
      <x:c r="R2415" t="str">
        <x:v>kein_transfer</x:v>
      </x:c>
      <x:c r="S2415"/>
      <x:c r="T2415"/>
      <x:c r="U2415"/>
      <x:c r="V2415" s="59" t="b">
        <x:v>1</x:v>
      </x:c>
      <x:c r="W2415"/>
      <x:c r="X2415" t="str">
        <x:v>offen</x:v>
      </x:c>
      <x:c r="Y2415" t="str">
        <x:v>Agent-Draft; Kategorie und Person pruefen</x:v>
      </x:c>
    </x:row>
    <x:row r="2416">
      <x:c r="A2416" t="str">
        <x:v>TXN-RAW-IMP-20260516-FULLDRAFT-002400</x:v>
      </x:c>
      <x:c r="B2416" t="str">
        <x:v>RAW-IMP-20260516-FULLDRAFT-002400</x:v>
      </x:c>
      <x:c r="C2416" t="str">
        <x:v>KTO001</x:v>
      </x:c>
      <x:c r="D2416"/>
      <x:c r="E2416" t="str">
        <x:v>KAT013</x:v>
      </x:c>
      <x:c r="F2416"/>
      <x:c r="G2416"/>
      <x:c r="H2416" t="str">
        <x:v>kein_match</x:v>
      </x:c>
      <x:c r="I2416" t="str">
        <x:v>Agent-Draft: keine finale Regelentscheidung</x:v>
      </x:c>
      <x:c r="J2416" t="n">
        <x:v>45357</x:v>
      </x:c>
      <x:c r="K2416"/>
      <x:c r="L2416"/>
      <x:c r="M2416" t="n">
        <x:v>-49.9</x:v>
      </x:c>
      <x:c r="N2416" t="str">
        <x:v>2024-03</x:v>
      </x:c>
      <x:c r="O2416" t="str">
        <x:v>Ausgabe</x:v>
      </x:c>
      <x:c r="P2416" t="str">
        <x:v>Ist</x:v>
      </x:c>
      <x:c r="Q2416" s="59" t="b">
        <x:v>0</x:v>
      </x:c>
      <x:c r="R2416" t="str">
        <x:v>kein_transfer</x:v>
      </x:c>
      <x:c r="S2416"/>
      <x:c r="T2416"/>
      <x:c r="U2416"/>
      <x:c r="V2416" s="59" t="b">
        <x:v>1</x:v>
      </x:c>
      <x:c r="W2416"/>
      <x:c r="X2416" t="str">
        <x:v>offen</x:v>
      </x:c>
      <x:c r="Y2416" t="str">
        <x:v>Agent-Draft; Kategorie und Person pruefen</x:v>
      </x:c>
    </x:row>
    <x:row r="2417">
      <x:c r="A2417" t="str">
        <x:v>TXN-RAW-IMP-20260516-FULLDRAFT-002401</x:v>
      </x:c>
      <x:c r="B2417" t="str">
        <x:v>RAW-IMP-20260516-FULLDRAFT-002401</x:v>
      </x:c>
      <x:c r="C2417" t="str">
        <x:v>KTO001</x:v>
      </x:c>
      <x:c r="D2417"/>
      <x:c r="E2417" t="str">
        <x:v>KAT013</x:v>
      </x:c>
      <x:c r="F2417"/>
      <x:c r="G2417"/>
      <x:c r="H2417" t="str">
        <x:v>kein_match</x:v>
      </x:c>
      <x:c r="I2417" t="str">
        <x:v>Agent-Draft: keine finale Regelentscheidung</x:v>
      </x:c>
      <x:c r="J2417" t="n">
        <x:v>45356</x:v>
      </x:c>
      <x:c r="K2417"/>
      <x:c r="L2417"/>
      <x:c r="M2417" t="n">
        <x:v>-1.95</x:v>
      </x:c>
      <x:c r="N2417" t="str">
        <x:v>2024-03</x:v>
      </x:c>
      <x:c r="O2417" t="str">
        <x:v>Ausgabe</x:v>
      </x:c>
      <x:c r="P2417" t="str">
        <x:v>Ist</x:v>
      </x:c>
      <x:c r="Q2417" s="59" t="b">
        <x:v>0</x:v>
      </x:c>
      <x:c r="R2417" t="str">
        <x:v>kein_transfer</x:v>
      </x:c>
      <x:c r="S2417"/>
      <x:c r="T2417"/>
      <x:c r="U2417"/>
      <x:c r="V2417" s="59" t="b">
        <x:v>1</x:v>
      </x:c>
      <x:c r="W2417"/>
      <x:c r="X2417" t="str">
        <x:v>offen</x:v>
      </x:c>
      <x:c r="Y2417" t="str">
        <x:v>Agent-Draft; Kategorie und Person pruefen</x:v>
      </x:c>
    </x:row>
    <x:row r="2418">
      <x:c r="A2418" t="str">
        <x:v>TXN-RAW-IMP-20260516-FULLDRAFT-002402</x:v>
      </x:c>
      <x:c r="B2418" t="str">
        <x:v>RAW-IMP-20260516-FULLDRAFT-002402</x:v>
      </x:c>
      <x:c r="C2418" t="str">
        <x:v>KTO001</x:v>
      </x:c>
      <x:c r="D2418"/>
      <x:c r="E2418" t="str">
        <x:v>KAT013</x:v>
      </x:c>
      <x:c r="F2418"/>
      <x:c r="G2418"/>
      <x:c r="H2418" t="str">
        <x:v>kein_match</x:v>
      </x:c>
      <x:c r="I2418" t="str">
        <x:v>Agent-Draft: keine finale Regelentscheidung</x:v>
      </x:c>
      <x:c r="J2418" t="n">
        <x:v>45356</x:v>
      </x:c>
      <x:c r="K2418"/>
      <x:c r="L2418"/>
      <x:c r="M2418" t="n">
        <x:v>-38.14</x:v>
      </x:c>
      <x:c r="N2418" t="str">
        <x:v>2024-03</x:v>
      </x:c>
      <x:c r="O2418" t="str">
        <x:v>Ausgabe</x:v>
      </x:c>
      <x:c r="P2418" t="str">
        <x:v>Ist</x:v>
      </x:c>
      <x:c r="Q2418" s="59" t="b">
        <x:v>0</x:v>
      </x:c>
      <x:c r="R2418" t="str">
        <x:v>kein_transfer</x:v>
      </x:c>
      <x:c r="S2418"/>
      <x:c r="T2418"/>
      <x:c r="U2418"/>
      <x:c r="V2418" s="59" t="b">
        <x:v>1</x:v>
      </x:c>
      <x:c r="W2418"/>
      <x:c r="X2418" t="str">
        <x:v>offen</x:v>
      </x:c>
      <x:c r="Y2418" t="str">
        <x:v>Agent-Draft; Kategorie und Person pruefen</x:v>
      </x:c>
    </x:row>
    <x:row r="2419">
      <x:c r="A2419" t="str">
        <x:v>TXN-RAW-IMP-20260516-FULLDRAFT-002403</x:v>
      </x:c>
      <x:c r="B2419" t="str">
        <x:v>RAW-IMP-20260516-FULLDRAFT-002403</x:v>
      </x:c>
      <x:c r="C2419" t="str">
        <x:v>KTO001</x:v>
      </x:c>
      <x:c r="D2419"/>
      <x:c r="E2419" t="str">
        <x:v>KAT013</x:v>
      </x:c>
      <x:c r="F2419"/>
      <x:c r="G2419"/>
      <x:c r="H2419" t="str">
        <x:v>kein_match</x:v>
      </x:c>
      <x:c r="I2419" t="str">
        <x:v>Agent-Draft: keine finale Regelentscheidung</x:v>
      </x:c>
      <x:c r="J2419" t="n">
        <x:v>45356</x:v>
      </x:c>
      <x:c r="K2419"/>
      <x:c r="L2419"/>
      <x:c r="M2419" t="n">
        <x:v>-187.86</x:v>
      </x:c>
      <x:c r="N2419" t="str">
        <x:v>2024-03</x:v>
      </x:c>
      <x:c r="O2419" t="str">
        <x:v>Ausgabe</x:v>
      </x:c>
      <x:c r="P2419" t="str">
        <x:v>Ist</x:v>
      </x:c>
      <x:c r="Q2419" s="59" t="b">
        <x:v>0</x:v>
      </x:c>
      <x:c r="R2419" t="str">
        <x:v>kein_transfer</x:v>
      </x:c>
      <x:c r="S2419"/>
      <x:c r="T2419"/>
      <x:c r="U2419"/>
      <x:c r="V2419" s="59" t="b">
        <x:v>1</x:v>
      </x:c>
      <x:c r="W2419"/>
      <x:c r="X2419" t="str">
        <x:v>offen</x:v>
      </x:c>
      <x:c r="Y2419" t="str">
        <x:v>Agent-Draft; Kategorie und Person pruefen</x:v>
      </x:c>
    </x:row>
    <x:row r="2420">
      <x:c r="A2420" t="str">
        <x:v>TXN-RAW-IMP-20260516-FULLDRAFT-002404</x:v>
      </x:c>
      <x:c r="B2420" t="str">
        <x:v>RAW-IMP-20260516-FULLDRAFT-002404</x:v>
      </x:c>
      <x:c r="C2420" t="str">
        <x:v>KTO001</x:v>
      </x:c>
      <x:c r="D2420"/>
      <x:c r="E2420" t="str">
        <x:v>KAT013</x:v>
      </x:c>
      <x:c r="F2420"/>
      <x:c r="G2420"/>
      <x:c r="H2420" t="str">
        <x:v>kein_match</x:v>
      </x:c>
      <x:c r="I2420" t="str">
        <x:v>Agent-Draft: keine finale Regelentscheidung</x:v>
      </x:c>
      <x:c r="J2420" t="n">
        <x:v>45355</x:v>
      </x:c>
      <x:c r="K2420"/>
      <x:c r="L2420"/>
      <x:c r="M2420" t="n">
        <x:v>-139</x:v>
      </x:c>
      <x:c r="N2420" t="str">
        <x:v>2024-03</x:v>
      </x:c>
      <x:c r="O2420" t="str">
        <x:v>Ausgabe</x:v>
      </x:c>
      <x:c r="P2420" t="str">
        <x:v>Ist</x:v>
      </x:c>
      <x:c r="Q2420" s="59" t="b">
        <x:v>0</x:v>
      </x:c>
      <x:c r="R2420" t="str">
        <x:v>kein_transfer</x:v>
      </x:c>
      <x:c r="S2420"/>
      <x:c r="T2420"/>
      <x:c r="U2420"/>
      <x:c r="V2420" s="59" t="b">
        <x:v>1</x:v>
      </x:c>
      <x:c r="W2420"/>
      <x:c r="X2420" t="str">
        <x:v>offen</x:v>
      </x:c>
      <x:c r="Y2420" t="str">
        <x:v>Agent-Draft; Kategorie und Person pruefen</x:v>
      </x:c>
    </x:row>
    <x:row r="2421">
      <x:c r="A2421" t="str">
        <x:v>TXN-RAW-IMP-20260516-FULLDRAFT-002405</x:v>
      </x:c>
      <x:c r="B2421" t="str">
        <x:v>RAW-IMP-20260516-FULLDRAFT-002405</x:v>
      </x:c>
      <x:c r="C2421" t="str">
        <x:v>KTO001</x:v>
      </x:c>
      <x:c r="D2421"/>
      <x:c r="E2421" t="str">
        <x:v>KAT013</x:v>
      </x:c>
      <x:c r="F2421"/>
      <x:c r="G2421"/>
      <x:c r="H2421" t="str">
        <x:v>kein_match</x:v>
      </x:c>
      <x:c r="I2421" t="str">
        <x:v>Agent-Draft: keine finale Regelentscheidung</x:v>
      </x:c>
      <x:c r="J2421" t="n">
        <x:v>45355</x:v>
      </x:c>
      <x:c r="K2421"/>
      <x:c r="L2421"/>
      <x:c r="M2421" t="n">
        <x:v>-0.99</x:v>
      </x:c>
      <x:c r="N2421" t="str">
        <x:v>2024-03</x:v>
      </x:c>
      <x:c r="O2421" t="str">
        <x:v>Ausgabe</x:v>
      </x:c>
      <x:c r="P2421" t="str">
        <x:v>Ist</x:v>
      </x:c>
      <x:c r="Q2421" s="59" t="b">
        <x:v>0</x:v>
      </x:c>
      <x:c r="R2421" t="str">
        <x:v>kein_transfer</x:v>
      </x:c>
      <x:c r="S2421"/>
      <x:c r="T2421"/>
      <x:c r="U2421"/>
      <x:c r="V2421" s="59" t="b">
        <x:v>1</x:v>
      </x:c>
      <x:c r="W2421"/>
      <x:c r="X2421" t="str">
        <x:v>offen</x:v>
      </x:c>
      <x:c r="Y2421" t="str">
        <x:v>Agent-Draft; Kategorie und Person pruefen</x:v>
      </x:c>
    </x:row>
    <x:row r="2422">
      <x:c r="A2422" t="str">
        <x:v>TXN-RAW-IMP-20260516-FULLDRAFT-002406</x:v>
      </x:c>
      <x:c r="B2422" t="str">
        <x:v>RAW-IMP-20260516-FULLDRAFT-002406</x:v>
      </x:c>
      <x:c r="C2422" t="str">
        <x:v>KTO001</x:v>
      </x:c>
      <x:c r="D2422"/>
      <x:c r="E2422" t="str">
        <x:v>KAT013</x:v>
      </x:c>
      <x:c r="F2422"/>
      <x:c r="G2422"/>
      <x:c r="H2422" t="str">
        <x:v>kein_match</x:v>
      </x:c>
      <x:c r="I2422" t="str">
        <x:v>Agent-Draft: keine finale Regelentscheidung</x:v>
      </x:c>
      <x:c r="J2422" t="n">
        <x:v>45355</x:v>
      </x:c>
      <x:c r="K2422"/>
      <x:c r="L2422"/>
      <x:c r="M2422" t="n">
        <x:v>-4.99</x:v>
      </x:c>
      <x:c r="N2422" t="str">
        <x:v>2024-03</x:v>
      </x:c>
      <x:c r="O2422" t="str">
        <x:v>Ausgabe</x:v>
      </x:c>
      <x:c r="P2422" t="str">
        <x:v>Ist</x:v>
      </x:c>
      <x:c r="Q2422" s="59" t="b">
        <x:v>0</x:v>
      </x:c>
      <x:c r="R2422" t="str">
        <x:v>kein_transfer</x:v>
      </x:c>
      <x:c r="S2422"/>
      <x:c r="T2422"/>
      <x:c r="U2422"/>
      <x:c r="V2422" s="59" t="b">
        <x:v>1</x:v>
      </x:c>
      <x:c r="W2422"/>
      <x:c r="X2422" t="str">
        <x:v>offen</x:v>
      </x:c>
      <x:c r="Y2422" t="str">
        <x:v>Agent-Draft; Kategorie und Person pruefen</x:v>
      </x:c>
    </x:row>
    <x:row r="2423">
      <x:c r="A2423" t="str">
        <x:v>TXN-RAW-IMP-20260516-FULLDRAFT-002407</x:v>
      </x:c>
      <x:c r="B2423" t="str">
        <x:v>RAW-IMP-20260516-FULLDRAFT-002407</x:v>
      </x:c>
      <x:c r="C2423" t="str">
        <x:v>KTO001</x:v>
      </x:c>
      <x:c r="D2423"/>
      <x:c r="E2423" t="str">
        <x:v>KAT013</x:v>
      </x:c>
      <x:c r="F2423"/>
      <x:c r="G2423"/>
      <x:c r="H2423" t="str">
        <x:v>kein_match</x:v>
      </x:c>
      <x:c r="I2423" t="str">
        <x:v>Agent-Draft: keine finale Regelentscheidung</x:v>
      </x:c>
      <x:c r="J2423" t="n">
        <x:v>45355</x:v>
      </x:c>
      <x:c r="K2423"/>
      <x:c r="L2423"/>
      <x:c r="M2423" t="n">
        <x:v>-5.79</x:v>
      </x:c>
      <x:c r="N2423" t="str">
        <x:v>2024-03</x:v>
      </x:c>
      <x:c r="O2423" t="str">
        <x:v>Ausgabe</x:v>
      </x:c>
      <x:c r="P2423" t="str">
        <x:v>Ist</x:v>
      </x:c>
      <x:c r="Q2423" s="59" t="b">
        <x:v>0</x:v>
      </x:c>
      <x:c r="R2423" t="str">
        <x:v>kein_transfer</x:v>
      </x:c>
      <x:c r="S2423"/>
      <x:c r="T2423"/>
      <x:c r="U2423"/>
      <x:c r="V2423" s="59" t="b">
        <x:v>1</x:v>
      </x:c>
      <x:c r="W2423"/>
      <x:c r="X2423" t="str">
        <x:v>offen</x:v>
      </x:c>
      <x:c r="Y2423" t="str">
        <x:v>Agent-Draft; Kategorie und Person pruefen</x:v>
      </x:c>
    </x:row>
    <x:row r="2424">
      <x:c r="A2424" t="str">
        <x:v>TXN-RAW-IMP-20260516-FULLDRAFT-002408</x:v>
      </x:c>
      <x:c r="B2424" t="str">
        <x:v>RAW-IMP-20260516-FULLDRAFT-002408</x:v>
      </x:c>
      <x:c r="C2424" t="str">
        <x:v>KTO001</x:v>
      </x:c>
      <x:c r="D2424"/>
      <x:c r="E2424" t="str">
        <x:v>KAT013</x:v>
      </x:c>
      <x:c r="F2424"/>
      <x:c r="G2424"/>
      <x:c r="H2424" t="str">
        <x:v>kein_match</x:v>
      </x:c>
      <x:c r="I2424" t="str">
        <x:v>Agent-Draft: keine finale Regelentscheidung</x:v>
      </x:c>
      <x:c r="J2424" t="n">
        <x:v>45355</x:v>
      </x:c>
      <x:c r="K2424"/>
      <x:c r="L2424"/>
      <x:c r="M2424" t="n">
        <x:v>-11.96</x:v>
      </x:c>
      <x:c r="N2424" t="str">
        <x:v>2024-03</x:v>
      </x:c>
      <x:c r="O2424" t="str">
        <x:v>Ausgabe</x:v>
      </x:c>
      <x:c r="P2424" t="str">
        <x:v>Ist</x:v>
      </x:c>
      <x:c r="Q2424" s="59" t="b">
        <x:v>0</x:v>
      </x:c>
      <x:c r="R2424" t="str">
        <x:v>kein_transfer</x:v>
      </x:c>
      <x:c r="S2424"/>
      <x:c r="T2424"/>
      <x:c r="U2424"/>
      <x:c r="V2424" s="59" t="b">
        <x:v>1</x:v>
      </x:c>
      <x:c r="W2424"/>
      <x:c r="X2424" t="str">
        <x:v>offen</x:v>
      </x:c>
      <x:c r="Y2424" t="str">
        <x:v>Agent-Draft; Kategorie und Person pruefen</x:v>
      </x:c>
    </x:row>
    <x:row r="2425">
      <x:c r="A2425" t="str">
        <x:v>TXN-RAW-IMP-20260516-FULLDRAFT-002409</x:v>
      </x:c>
      <x:c r="B2425" t="str">
        <x:v>RAW-IMP-20260516-FULLDRAFT-002409</x:v>
      </x:c>
      <x:c r="C2425" t="str">
        <x:v>KTO001</x:v>
      </x:c>
      <x:c r="D2425"/>
      <x:c r="E2425" t="str">
        <x:v>KAT013</x:v>
      </x:c>
      <x:c r="F2425"/>
      <x:c r="G2425"/>
      <x:c r="H2425" t="str">
        <x:v>kein_match</x:v>
      </x:c>
      <x:c r="I2425" t="str">
        <x:v>Agent-Draft: keine finale Regelentscheidung</x:v>
      </x:c>
      <x:c r="J2425" t="n">
        <x:v>45355</x:v>
      </x:c>
      <x:c r="K2425"/>
      <x:c r="L2425"/>
      <x:c r="M2425" t="n">
        <x:v>-54.5</x:v>
      </x:c>
      <x:c r="N2425" t="str">
        <x:v>2024-03</x:v>
      </x:c>
      <x:c r="O2425" t="str">
        <x:v>Ausgabe</x:v>
      </x:c>
      <x:c r="P2425" t="str">
        <x:v>Ist</x:v>
      </x:c>
      <x:c r="Q2425" s="59" t="b">
        <x:v>0</x:v>
      </x:c>
      <x:c r="R2425" t="str">
        <x:v>kein_transfer</x:v>
      </x:c>
      <x:c r="S2425"/>
      <x:c r="T2425"/>
      <x:c r="U2425"/>
      <x:c r="V2425" s="59" t="b">
        <x:v>1</x:v>
      </x:c>
      <x:c r="W2425"/>
      <x:c r="X2425" t="str">
        <x:v>offen</x:v>
      </x:c>
      <x:c r="Y2425" t="str">
        <x:v>Agent-Draft; Kategorie und Person pruefen</x:v>
      </x:c>
    </x:row>
    <x:row r="2426">
      <x:c r="A2426" t="str">
        <x:v>TXN-RAW-IMP-20260516-FULLDRAFT-002410</x:v>
      </x:c>
      <x:c r="B2426" t="str">
        <x:v>RAW-IMP-20260516-FULLDRAFT-002410</x:v>
      </x:c>
      <x:c r="C2426" t="str">
        <x:v>KTO001</x:v>
      </x:c>
      <x:c r="D2426"/>
      <x:c r="E2426" t="str">
        <x:v>KAT013</x:v>
      </x:c>
      <x:c r="F2426"/>
      <x:c r="G2426"/>
      <x:c r="H2426" t="str">
        <x:v>kein_match</x:v>
      </x:c>
      <x:c r="I2426" t="str">
        <x:v>Agent-Draft: keine finale Regelentscheidung</x:v>
      </x:c>
      <x:c r="J2426" t="n">
        <x:v>45355</x:v>
      </x:c>
      <x:c r="K2426"/>
      <x:c r="L2426"/>
      <x:c r="M2426" t="n">
        <x:v>-1000</x:v>
      </x:c>
      <x:c r="N2426" t="str">
        <x:v>2024-03</x:v>
      </x:c>
      <x:c r="O2426" t="str">
        <x:v>Ausgabe</x:v>
      </x:c>
      <x:c r="P2426" t="str">
        <x:v>Ist</x:v>
      </x:c>
      <x:c r="Q2426" s="59" t="b">
        <x:v>0</x:v>
      </x:c>
      <x:c r="R2426" t="str">
        <x:v>unklar</x:v>
      </x:c>
      <x:c r="S2426"/>
      <x:c r="T2426"/>
      <x:c r="U2426"/>
      <x:c r="V2426" s="59" t="b">
        <x:v>1</x:v>
      </x:c>
      <x:c r="W2426" t="str">
        <x:v>Transferkandidat im Draft</x:v>
      </x:c>
      <x:c r="X2426" t="str">
        <x:v>offen</x:v>
      </x:c>
      <x:c r="Y2426" t="str">
        <x:v>Agent-Draft; Kategorie und Person pruefen</x:v>
      </x:c>
    </x:row>
    <x:row r="2427">
      <x:c r="A2427" t="str">
        <x:v>TXN-RAW-IMP-20260516-FULLDRAFT-002411</x:v>
      </x:c>
      <x:c r="B2427" t="str">
        <x:v>RAW-IMP-20260516-FULLDRAFT-002411</x:v>
      </x:c>
      <x:c r="C2427" t="str">
        <x:v>KTO001</x:v>
      </x:c>
      <x:c r="D2427"/>
      <x:c r="E2427" t="str">
        <x:v>KAT013</x:v>
      </x:c>
      <x:c r="F2427"/>
      <x:c r="G2427"/>
      <x:c r="H2427" t="str">
        <x:v>kein_match</x:v>
      </x:c>
      <x:c r="I2427" t="str">
        <x:v>Agent-Draft: keine finale Regelentscheidung</x:v>
      </x:c>
      <x:c r="J2427" t="n">
        <x:v>45352</x:v>
      </x:c>
      <x:c r="K2427"/>
      <x:c r="L2427"/>
      <x:c r="M2427" t="n">
        <x:v>750</x:v>
      </x:c>
      <x:c r="N2427" t="str">
        <x:v>2024-03</x:v>
      </x:c>
      <x:c r="O2427" t="str">
        <x:v>Einnahme</x:v>
      </x:c>
      <x:c r="P2427" t="str">
        <x:v>Ist</x:v>
      </x:c>
      <x:c r="Q2427" s="59" t="b">
        <x:v>0</x:v>
      </x:c>
      <x:c r="R2427" t="str">
        <x:v>kein_transfer</x:v>
      </x:c>
      <x:c r="S2427"/>
      <x:c r="T2427"/>
      <x:c r="U2427"/>
      <x:c r="V2427" s="59" t="b">
        <x:v>1</x:v>
      </x:c>
      <x:c r="W2427"/>
      <x:c r="X2427" t="str">
        <x:v>offen</x:v>
      </x:c>
      <x:c r="Y2427" t="str">
        <x:v>Agent-Draft; Kategorie und Person pruefen</x:v>
      </x:c>
    </x:row>
    <x:row r="2428">
      <x:c r="A2428" t="str">
        <x:v>TXN-RAW-IMP-20260516-FULLDRAFT-002412</x:v>
      </x:c>
      <x:c r="B2428" t="str">
        <x:v>RAW-IMP-20260516-FULLDRAFT-002412</x:v>
      </x:c>
      <x:c r="C2428" t="str">
        <x:v>KTO001</x:v>
      </x:c>
      <x:c r="D2428"/>
      <x:c r="E2428" t="str">
        <x:v>KAT013</x:v>
      </x:c>
      <x:c r="F2428"/>
      <x:c r="G2428"/>
      <x:c r="H2428" t="str">
        <x:v>kein_match</x:v>
      </x:c>
      <x:c r="I2428" t="str">
        <x:v>Agent-Draft: keine finale Regelentscheidung</x:v>
      </x:c>
      <x:c r="J2428" t="n">
        <x:v>45352</x:v>
      </x:c>
      <x:c r="K2428"/>
      <x:c r="L2428"/>
      <x:c r="M2428" t="n">
        <x:v>-1800</x:v>
      </x:c>
      <x:c r="N2428" t="str">
        <x:v>2024-03</x:v>
      </x:c>
      <x:c r="O2428" t="str">
        <x:v>Ausgabe</x:v>
      </x:c>
      <x:c r="P2428" t="str">
        <x:v>Ist</x:v>
      </x:c>
      <x:c r="Q2428" s="59" t="b">
        <x:v>0</x:v>
      </x:c>
      <x:c r="R2428" t="str">
        <x:v>kein_transfer</x:v>
      </x:c>
      <x:c r="S2428"/>
      <x:c r="T2428"/>
      <x:c r="U2428"/>
      <x:c r="V2428" s="59" t="b">
        <x:v>1</x:v>
      </x:c>
      <x:c r="W2428"/>
      <x:c r="X2428" t="str">
        <x:v>offen</x:v>
      </x:c>
      <x:c r="Y2428" t="str">
        <x:v>Agent-Draft; Kategorie und Person pruefen</x:v>
      </x:c>
    </x:row>
    <x:row r="2429">
      <x:c r="A2429" t="str">
        <x:v>TXN-RAW-IMP-20260516-FULLDRAFT-002413</x:v>
      </x:c>
      <x:c r="B2429" t="str">
        <x:v>RAW-IMP-20260516-FULLDRAFT-002413</x:v>
      </x:c>
      <x:c r="C2429" t="str">
        <x:v>KTO001</x:v>
      </x:c>
      <x:c r="D2429"/>
      <x:c r="E2429" t="str">
        <x:v>KAT013</x:v>
      </x:c>
      <x:c r="F2429"/>
      <x:c r="G2429"/>
      <x:c r="H2429" t="str">
        <x:v>kein_match</x:v>
      </x:c>
      <x:c r="I2429" t="str">
        <x:v>Agent-Draft: keine finale Regelentscheidung</x:v>
      </x:c>
      <x:c r="J2429" t="n">
        <x:v>45352</x:v>
      </x:c>
      <x:c r="K2429"/>
      <x:c r="L2429"/>
      <x:c r="M2429" t="n">
        <x:v>-51.54</x:v>
      </x:c>
      <x:c r="N2429" t="str">
        <x:v>2024-03</x:v>
      </x:c>
      <x:c r="O2429" t="str">
        <x:v>Ausgabe</x:v>
      </x:c>
      <x:c r="P2429" t="str">
        <x:v>Ist</x:v>
      </x:c>
      <x:c r="Q2429" s="59" t="b">
        <x:v>0</x:v>
      </x:c>
      <x:c r="R2429" t="str">
        <x:v>kein_transfer</x:v>
      </x:c>
      <x:c r="S2429"/>
      <x:c r="T2429"/>
      <x:c r="U2429"/>
      <x:c r="V2429" s="59" t="b">
        <x:v>1</x:v>
      </x:c>
      <x:c r="W2429"/>
      <x:c r="X2429" t="str">
        <x:v>offen</x:v>
      </x:c>
      <x:c r="Y2429" t="str">
        <x:v>Agent-Draft; Kategorie und Person pruefen</x:v>
      </x:c>
    </x:row>
    <x:row r="2430">
      <x:c r="A2430" t="str">
        <x:v>TXN-RAW-IMP-20260516-FULLDRAFT-002414</x:v>
      </x:c>
      <x:c r="B2430" t="str">
        <x:v>RAW-IMP-20260516-FULLDRAFT-002414</x:v>
      </x:c>
      <x:c r="C2430" t="str">
        <x:v>KTO001</x:v>
      </x:c>
      <x:c r="D2430"/>
      <x:c r="E2430" t="str">
        <x:v>KAT013</x:v>
      </x:c>
      <x:c r="F2430"/>
      <x:c r="G2430"/>
      <x:c r="H2430" t="str">
        <x:v>kein_match</x:v>
      </x:c>
      <x:c r="I2430" t="str">
        <x:v>Agent-Draft: keine finale Regelentscheidung</x:v>
      </x:c>
      <x:c r="J2430" t="n">
        <x:v>45352</x:v>
      </x:c>
      <x:c r="K2430"/>
      <x:c r="L2430"/>
      <x:c r="M2430" t="n">
        <x:v>-452.71</x:v>
      </x:c>
      <x:c r="N2430" t="str">
        <x:v>2024-03</x:v>
      </x:c>
      <x:c r="O2430" t="str">
        <x:v>Ausgabe</x:v>
      </x:c>
      <x:c r="P2430" t="str">
        <x:v>Ist</x:v>
      </x:c>
      <x:c r="Q2430" s="59" t="b">
        <x:v>0</x:v>
      </x:c>
      <x:c r="R2430" t="str">
        <x:v>kein_transfer</x:v>
      </x:c>
      <x:c r="S2430"/>
      <x:c r="T2430"/>
      <x:c r="U2430"/>
      <x:c r="V2430" s="59" t="b">
        <x:v>1</x:v>
      </x:c>
      <x:c r="W2430"/>
      <x:c r="X2430" t="str">
        <x:v>offen</x:v>
      </x:c>
      <x:c r="Y2430" t="str">
        <x:v>Agent-Draft; Kategorie und Person pruefen</x:v>
      </x:c>
    </x:row>
    <x:row r="2431">
      <x:c r="A2431" t="str">
        <x:v>TXN-RAW-IMP-20260516-FULLDRAFT-002415</x:v>
      </x:c>
      <x:c r="B2431" t="str">
        <x:v>RAW-IMP-20260516-FULLDRAFT-002415</x:v>
      </x:c>
      <x:c r="C2431" t="str">
        <x:v>KTO001</x:v>
      </x:c>
      <x:c r="D2431"/>
      <x:c r="E2431" t="str">
        <x:v>KAT013</x:v>
      </x:c>
      <x:c r="F2431"/>
      <x:c r="G2431"/>
      <x:c r="H2431" t="str">
        <x:v>kein_match</x:v>
      </x:c>
      <x:c r="I2431" t="str">
        <x:v>Agent-Draft: keine finale Regelentscheidung</x:v>
      </x:c>
      <x:c r="J2431" t="n">
        <x:v>45352</x:v>
      </x:c>
      <x:c r="K2431"/>
      <x:c r="L2431"/>
      <x:c r="M2431" t="n">
        <x:v>-66.15</x:v>
      </x:c>
      <x:c r="N2431" t="str">
        <x:v>2024-03</x:v>
      </x:c>
      <x:c r="O2431" t="str">
        <x:v>Ausgabe</x:v>
      </x:c>
      <x:c r="P2431" t="str">
        <x:v>Ist</x:v>
      </x:c>
      <x:c r="Q2431" s="59" t="b">
        <x:v>0</x:v>
      </x:c>
      <x:c r="R2431" t="str">
        <x:v>kein_transfer</x:v>
      </x:c>
      <x:c r="S2431"/>
      <x:c r="T2431"/>
      <x:c r="U2431"/>
      <x:c r="V2431" s="59" t="b">
        <x:v>1</x:v>
      </x:c>
      <x:c r="W2431"/>
      <x:c r="X2431" t="str">
        <x:v>offen</x:v>
      </x:c>
      <x:c r="Y2431" t="str">
        <x:v>Agent-Draft; Kategorie und Person pruefen</x:v>
      </x:c>
    </x:row>
    <x:row r="2432">
      <x:c r="A2432" t="str">
        <x:v>TXN-RAW-IMP-20260516-FULLDRAFT-002416</x:v>
      </x:c>
      <x:c r="B2432" t="str">
        <x:v>RAW-IMP-20260516-FULLDRAFT-002416</x:v>
      </x:c>
      <x:c r="C2432" t="str">
        <x:v>KTO001</x:v>
      </x:c>
      <x:c r="D2432"/>
      <x:c r="E2432" t="str">
        <x:v>KAT013</x:v>
      </x:c>
      <x:c r="F2432"/>
      <x:c r="G2432"/>
      <x:c r="H2432" t="str">
        <x:v>kein_match</x:v>
      </x:c>
      <x:c r="I2432" t="str">
        <x:v>Agent-Draft: keine finale Regelentscheidung</x:v>
      </x:c>
      <x:c r="J2432" t="n">
        <x:v>45352</x:v>
      </x:c>
      <x:c r="K2432"/>
      <x:c r="L2432"/>
      <x:c r="M2432" t="n">
        <x:v>-1400</x:v>
      </x:c>
      <x:c r="N2432" t="str">
        <x:v>2024-03</x:v>
      </x:c>
      <x:c r="O2432" t="str">
        <x:v>Ausgabe</x:v>
      </x:c>
      <x:c r="P2432" t="str">
        <x:v>Ist</x:v>
      </x:c>
      <x:c r="Q2432" s="59" t="b">
        <x:v>0</x:v>
      </x:c>
      <x:c r="R2432" t="str">
        <x:v>kein_transfer</x:v>
      </x:c>
      <x:c r="S2432"/>
      <x:c r="T2432"/>
      <x:c r="U2432"/>
      <x:c r="V2432" s="59" t="b">
        <x:v>1</x:v>
      </x:c>
      <x:c r="W2432"/>
      <x:c r="X2432" t="str">
        <x:v>offen</x:v>
      </x:c>
      <x:c r="Y2432" t="str">
        <x:v>Agent-Draft; Kategorie und Person pruefen</x:v>
      </x:c>
    </x:row>
    <x:row r="2433">
      <x:c r="A2433" t="str">
        <x:v>TXN-RAW-IMP-20260516-FULLDRAFT-002417</x:v>
      </x:c>
      <x:c r="B2433" t="str">
        <x:v>RAW-IMP-20260516-FULLDRAFT-002417</x:v>
      </x:c>
      <x:c r="C2433" t="str">
        <x:v>KTO001</x:v>
      </x:c>
      <x:c r="D2433"/>
      <x:c r="E2433" t="str">
        <x:v>KAT013</x:v>
      </x:c>
      <x:c r="F2433"/>
      <x:c r="G2433"/>
      <x:c r="H2433" t="str">
        <x:v>kein_match</x:v>
      </x:c>
      <x:c r="I2433" t="str">
        <x:v>Agent-Draft: keine finale Regelentscheidung</x:v>
      </x:c>
      <x:c r="J2433" t="n">
        <x:v>45352</x:v>
      </x:c>
      <x:c r="K2433"/>
      <x:c r="L2433"/>
      <x:c r="M2433" t="n">
        <x:v>-97.12</x:v>
      </x:c>
      <x:c r="N2433" t="str">
        <x:v>2024-03</x:v>
      </x:c>
      <x:c r="O2433" t="str">
        <x:v>Ausgabe</x:v>
      </x:c>
      <x:c r="P2433" t="str">
        <x:v>Ist</x:v>
      </x:c>
      <x:c r="Q2433" s="59" t="b">
        <x:v>0</x:v>
      </x:c>
      <x:c r="R2433" t="str">
        <x:v>kein_transfer</x:v>
      </x:c>
      <x:c r="S2433"/>
      <x:c r="T2433"/>
      <x:c r="U2433"/>
      <x:c r="V2433" s="59" t="b">
        <x:v>1</x:v>
      </x:c>
      <x:c r="W2433"/>
      <x:c r="X2433" t="str">
        <x:v>offen</x:v>
      </x:c>
      <x:c r="Y2433" t="str">
        <x:v>Agent-Draft; Kategorie und Person pruefen</x:v>
      </x:c>
    </x:row>
    <x:row r="2434">
      <x:c r="A2434" t="str">
        <x:v>TXN-RAW-IMP-20260516-FULLDRAFT-002418</x:v>
      </x:c>
      <x:c r="B2434" t="str">
        <x:v>RAW-IMP-20260516-FULLDRAFT-002418</x:v>
      </x:c>
      <x:c r="C2434" t="str">
        <x:v>KTO001</x:v>
      </x:c>
      <x:c r="D2434"/>
      <x:c r="E2434" t="str">
        <x:v>KAT013</x:v>
      </x:c>
      <x:c r="F2434"/>
      <x:c r="G2434"/>
      <x:c r="H2434" t="str">
        <x:v>kein_match</x:v>
      </x:c>
      <x:c r="I2434" t="str">
        <x:v>Agent-Draft: keine finale Regelentscheidung</x:v>
      </x:c>
      <x:c r="J2434" t="n">
        <x:v>45352</x:v>
      </x:c>
      <x:c r="K2434"/>
      <x:c r="L2434"/>
      <x:c r="M2434" t="n">
        <x:v>-162.17</x:v>
      </x:c>
      <x:c r="N2434" t="str">
        <x:v>2024-03</x:v>
      </x:c>
      <x:c r="O2434" t="str">
        <x:v>Ausgabe</x:v>
      </x:c>
      <x:c r="P2434" t="str">
        <x:v>Ist</x:v>
      </x:c>
      <x:c r="Q2434" s="59" t="b">
        <x:v>0</x:v>
      </x:c>
      <x:c r="R2434" t="str">
        <x:v>kein_transfer</x:v>
      </x:c>
      <x:c r="S2434"/>
      <x:c r="T2434"/>
      <x:c r="U2434"/>
      <x:c r="V2434" s="59" t="b">
        <x:v>1</x:v>
      </x:c>
      <x:c r="W2434"/>
      <x:c r="X2434" t="str">
        <x:v>offen</x:v>
      </x:c>
      <x:c r="Y2434" t="str">
        <x:v>Agent-Draft; Kategorie und Person pruefen</x:v>
      </x:c>
    </x:row>
    <x:row r="2435">
      <x:c r="A2435" t="str">
        <x:v>TXN-RAW-IMP-20260516-FULLDRAFT-002419</x:v>
      </x:c>
      <x:c r="B2435" t="str">
        <x:v>RAW-IMP-20260516-FULLDRAFT-002419</x:v>
      </x:c>
      <x:c r="C2435" t="str">
        <x:v>KTO001</x:v>
      </x:c>
      <x:c r="D2435"/>
      <x:c r="E2435" t="str">
        <x:v>KAT013</x:v>
      </x:c>
      <x:c r="F2435"/>
      <x:c r="G2435"/>
      <x:c r="H2435" t="str">
        <x:v>kein_match</x:v>
      </x:c>
      <x:c r="I2435" t="str">
        <x:v>Agent-Draft: keine finale Regelentscheidung</x:v>
      </x:c>
      <x:c r="J2435" t="n">
        <x:v>45352</x:v>
      </x:c>
      <x:c r="K2435"/>
      <x:c r="L2435"/>
      <x:c r="M2435" t="n">
        <x:v>-600</x:v>
      </x:c>
      <x:c r="N2435" t="str">
        <x:v>2024-03</x:v>
      </x:c>
      <x:c r="O2435" t="str">
        <x:v>Ausgabe</x:v>
      </x:c>
      <x:c r="P2435" t="str">
        <x:v>Ist</x:v>
      </x:c>
      <x:c r="Q2435" s="59" t="b">
        <x:v>0</x:v>
      </x:c>
      <x:c r="R2435" t="str">
        <x:v>kein_transfer</x:v>
      </x:c>
      <x:c r="S2435"/>
      <x:c r="T2435"/>
      <x:c r="U2435"/>
      <x:c r="V2435" s="59" t="b">
        <x:v>1</x:v>
      </x:c>
      <x:c r="W2435"/>
      <x:c r="X2435" t="str">
        <x:v>offen</x:v>
      </x:c>
      <x:c r="Y2435" t="str">
        <x:v>Agent-Draft; Kategorie und Person pruefen</x:v>
      </x:c>
    </x:row>
    <x:row r="2436">
      <x:c r="A2436" t="str">
        <x:v>TXN-RAW-IMP-20260516-FULLDRAFT-002420</x:v>
      </x:c>
      <x:c r="B2436" t="str">
        <x:v>RAW-IMP-20260516-FULLDRAFT-002420</x:v>
      </x:c>
      <x:c r="C2436" t="str">
        <x:v>KTO001</x:v>
      </x:c>
      <x:c r="D2436"/>
      <x:c r="E2436" t="str">
        <x:v>KAT013</x:v>
      </x:c>
      <x:c r="F2436"/>
      <x:c r="G2436"/>
      <x:c r="H2436" t="str">
        <x:v>kein_match</x:v>
      </x:c>
      <x:c r="I2436" t="str">
        <x:v>Agent-Draft: keine finale Regelentscheidung</x:v>
      </x:c>
      <x:c r="J2436" t="n">
        <x:v>45351</x:v>
      </x:c>
      <x:c r="K2436"/>
      <x:c r="L2436"/>
      <x:c r="M2436" t="n">
        <x:v>-1153.94</x:v>
      </x:c>
      <x:c r="N2436" t="str">
        <x:v>2024-02</x:v>
      </x:c>
      <x:c r="O2436" t="str">
        <x:v>Ausgabe</x:v>
      </x:c>
      <x:c r="P2436" t="str">
        <x:v>Ist</x:v>
      </x:c>
      <x:c r="Q2436" s="59" t="b">
        <x:v>0</x:v>
      </x:c>
      <x:c r="R2436" t="str">
        <x:v>kein_transfer</x:v>
      </x:c>
      <x:c r="S2436"/>
      <x:c r="T2436"/>
      <x:c r="U2436"/>
      <x:c r="V2436" s="59" t="b">
        <x:v>1</x:v>
      </x:c>
      <x:c r="W2436"/>
      <x:c r="X2436" t="str">
        <x:v>offen</x:v>
      </x:c>
      <x:c r="Y2436" t="str">
        <x:v>Agent-Draft; Kategorie und Person pruefen</x:v>
      </x:c>
    </x:row>
    <x:row r="2437">
      <x:c r="A2437" t="str">
        <x:v>TXN-RAW-IMP-20260516-FULLDRAFT-002421</x:v>
      </x:c>
      <x:c r="B2437" t="str">
        <x:v>RAW-IMP-20260516-FULLDRAFT-002421</x:v>
      </x:c>
      <x:c r="C2437" t="str">
        <x:v>KTO001</x:v>
      </x:c>
      <x:c r="D2437"/>
      <x:c r="E2437" t="str">
        <x:v>KAT013</x:v>
      </x:c>
      <x:c r="F2437"/>
      <x:c r="G2437"/>
      <x:c r="H2437" t="str">
        <x:v>kein_match</x:v>
      </x:c>
      <x:c r="I2437" t="str">
        <x:v>Agent-Draft: keine finale Regelentscheidung</x:v>
      </x:c>
      <x:c r="J2437" t="n">
        <x:v>45350</x:v>
      </x:c>
      <x:c r="K2437"/>
      <x:c r="L2437"/>
      <x:c r="M2437" t="n">
        <x:v>7709.94</x:v>
      </x:c>
      <x:c r="N2437" t="str">
        <x:v>2024-02</x:v>
      </x:c>
      <x:c r="O2437" t="str">
        <x:v>Einnahme</x:v>
      </x:c>
      <x:c r="P2437" t="str">
        <x:v>Ist</x:v>
      </x:c>
      <x:c r="Q2437" s="59" t="b">
        <x:v>0</x:v>
      </x:c>
      <x:c r="R2437" t="str">
        <x:v>kein_transfer</x:v>
      </x:c>
      <x:c r="S2437"/>
      <x:c r="T2437"/>
      <x:c r="U2437"/>
      <x:c r="V2437" s="59" t="b">
        <x:v>1</x:v>
      </x:c>
      <x:c r="W2437"/>
      <x:c r="X2437" t="str">
        <x:v>offen</x:v>
      </x:c>
      <x:c r="Y2437" t="str">
        <x:v>Agent-Draft; Kategorie und Person pruefen</x:v>
      </x:c>
    </x:row>
    <x:row r="2438">
      <x:c r="A2438" t="str">
        <x:v>TXN-RAW-IMP-20260516-FULLDRAFT-002422</x:v>
      </x:c>
      <x:c r="B2438" t="str">
        <x:v>RAW-IMP-20260516-FULLDRAFT-002422</x:v>
      </x:c>
      <x:c r="C2438" t="str">
        <x:v>KTO001</x:v>
      </x:c>
      <x:c r="D2438"/>
      <x:c r="E2438" t="str">
        <x:v>KAT013</x:v>
      </x:c>
      <x:c r="F2438"/>
      <x:c r="G2438"/>
      <x:c r="H2438" t="str">
        <x:v>kein_match</x:v>
      </x:c>
      <x:c r="I2438" t="str">
        <x:v>Agent-Draft: keine finale Regelentscheidung</x:v>
      </x:c>
      <x:c r="J2438" t="n">
        <x:v>45350</x:v>
      </x:c>
      <x:c r="K2438"/>
      <x:c r="L2438"/>
      <x:c r="M2438" t="n">
        <x:v>-12.7</x:v>
      </x:c>
      <x:c r="N2438" t="str">
        <x:v>2024-02</x:v>
      </x:c>
      <x:c r="O2438" t="str">
        <x:v>Ausgabe</x:v>
      </x:c>
      <x:c r="P2438" t="str">
        <x:v>Ist</x:v>
      </x:c>
      <x:c r="Q2438" s="59" t="b">
        <x:v>0</x:v>
      </x:c>
      <x:c r="R2438" t="str">
        <x:v>kein_transfer</x:v>
      </x:c>
      <x:c r="S2438"/>
      <x:c r="T2438"/>
      <x:c r="U2438"/>
      <x:c r="V2438" s="59" t="b">
        <x:v>1</x:v>
      </x:c>
      <x:c r="W2438"/>
      <x:c r="X2438" t="str">
        <x:v>offen</x:v>
      </x:c>
      <x:c r="Y2438" t="str">
        <x:v>Agent-Draft; Kategorie und Person pruefen</x:v>
      </x:c>
    </x:row>
    <x:row r="2439">
      <x:c r="A2439" t="str">
        <x:v>TXN-RAW-IMP-20260516-FULLDRAFT-002423</x:v>
      </x:c>
      <x:c r="B2439" t="str">
        <x:v>RAW-IMP-20260516-FULLDRAFT-002423</x:v>
      </x:c>
      <x:c r="C2439" t="str">
        <x:v>KTO001</x:v>
      </x:c>
      <x:c r="D2439"/>
      <x:c r="E2439" t="str">
        <x:v>KAT013</x:v>
      </x:c>
      <x:c r="F2439"/>
      <x:c r="G2439"/>
      <x:c r="H2439" t="str">
        <x:v>kein_match</x:v>
      </x:c>
      <x:c r="I2439" t="str">
        <x:v>Agent-Draft: keine finale Regelentscheidung</x:v>
      </x:c>
      <x:c r="J2439" t="n">
        <x:v>45350</x:v>
      </x:c>
      <x:c r="K2439"/>
      <x:c r="L2439"/>
      <x:c r="M2439" t="n">
        <x:v>-3.39</x:v>
      </x:c>
      <x:c r="N2439" t="str">
        <x:v>2024-02</x:v>
      </x:c>
      <x:c r="O2439" t="str">
        <x:v>Ausgabe</x:v>
      </x:c>
      <x:c r="P2439" t="str">
        <x:v>Ist</x:v>
      </x:c>
      <x:c r="Q2439" s="59" t="b">
        <x:v>0</x:v>
      </x:c>
      <x:c r="R2439" t="str">
        <x:v>kein_transfer</x:v>
      </x:c>
      <x:c r="S2439"/>
      <x:c r="T2439"/>
      <x:c r="U2439"/>
      <x:c r="V2439" s="59" t="b">
        <x:v>1</x:v>
      </x:c>
      <x:c r="W2439"/>
      <x:c r="X2439" t="str">
        <x:v>offen</x:v>
      </x:c>
      <x:c r="Y2439" t="str">
        <x:v>Agent-Draft; Kategorie und Person pruefen</x:v>
      </x:c>
    </x:row>
    <x:row r="2440">
      <x:c r="A2440" t="str">
        <x:v>TXN-RAW-IMP-20260516-FULLDRAFT-002424</x:v>
      </x:c>
      <x:c r="B2440" t="str">
        <x:v>RAW-IMP-20260516-FULLDRAFT-002424</x:v>
      </x:c>
      <x:c r="C2440" t="str">
        <x:v>KTO001</x:v>
      </x:c>
      <x:c r="D2440"/>
      <x:c r="E2440" t="str">
        <x:v>KAT013</x:v>
      </x:c>
      <x:c r="F2440"/>
      <x:c r="G2440"/>
      <x:c r="H2440" t="str">
        <x:v>kein_match</x:v>
      </x:c>
      <x:c r="I2440" t="str">
        <x:v>Agent-Draft: keine finale Regelentscheidung</x:v>
      </x:c>
      <x:c r="J2440" t="n">
        <x:v>45350</x:v>
      </x:c>
      <x:c r="K2440"/>
      <x:c r="L2440"/>
      <x:c r="M2440" t="n">
        <x:v>-8</x:v>
      </x:c>
      <x:c r="N2440" t="str">
        <x:v>2024-02</x:v>
      </x:c>
      <x:c r="O2440" t="str">
        <x:v>Ausgabe</x:v>
      </x:c>
      <x:c r="P2440" t="str">
        <x:v>Ist</x:v>
      </x:c>
      <x:c r="Q2440" s="59" t="b">
        <x:v>0</x:v>
      </x:c>
      <x:c r="R2440" t="str">
        <x:v>kein_transfer</x:v>
      </x:c>
      <x:c r="S2440"/>
      <x:c r="T2440"/>
      <x:c r="U2440"/>
      <x:c r="V2440" s="59" t="b">
        <x:v>1</x:v>
      </x:c>
      <x:c r="W2440"/>
      <x:c r="X2440" t="str">
        <x:v>offen</x:v>
      </x:c>
      <x:c r="Y2440" t="str">
        <x:v>Agent-Draft; Kategorie und Person pruefen</x:v>
      </x:c>
    </x:row>
    <x:row r="2441">
      <x:c r="A2441" t="str">
        <x:v>TXN-RAW-IMP-20260516-FULLDRAFT-002425</x:v>
      </x:c>
      <x:c r="B2441" t="str">
        <x:v>RAW-IMP-20260516-FULLDRAFT-002425</x:v>
      </x:c>
      <x:c r="C2441" t="str">
        <x:v>KTO001</x:v>
      </x:c>
      <x:c r="D2441"/>
      <x:c r="E2441" t="str">
        <x:v>KAT013</x:v>
      </x:c>
      <x:c r="F2441"/>
      <x:c r="G2441"/>
      <x:c r="H2441" t="str">
        <x:v>kein_match</x:v>
      </x:c>
      <x:c r="I2441" t="str">
        <x:v>Agent-Draft: keine finale Regelentscheidung</x:v>
      </x:c>
      <x:c r="J2441" t="n">
        <x:v>45350</x:v>
      </x:c>
      <x:c r="K2441"/>
      <x:c r="L2441"/>
      <x:c r="M2441" t="n">
        <x:v>-3.09</x:v>
      </x:c>
      <x:c r="N2441" t="str">
        <x:v>2024-02</x:v>
      </x:c>
      <x:c r="O2441" t="str">
        <x:v>Ausgabe</x:v>
      </x:c>
      <x:c r="P2441" t="str">
        <x:v>Ist</x:v>
      </x:c>
      <x:c r="Q2441" s="59" t="b">
        <x:v>0</x:v>
      </x:c>
      <x:c r="R2441" t="str">
        <x:v>kein_transfer</x:v>
      </x:c>
      <x:c r="S2441"/>
      <x:c r="T2441"/>
      <x:c r="U2441"/>
      <x:c r="V2441" s="59" t="b">
        <x:v>1</x:v>
      </x:c>
      <x:c r="W2441"/>
      <x:c r="X2441" t="str">
        <x:v>offen</x:v>
      </x:c>
      <x:c r="Y2441" t="str">
        <x:v>Agent-Draft; Kategorie und Person pruefen</x:v>
      </x:c>
    </x:row>
    <x:row r="2442">
      <x:c r="A2442" t="str">
        <x:v>TXN-RAW-IMP-20260516-FULLDRAFT-002426</x:v>
      </x:c>
      <x:c r="B2442" t="str">
        <x:v>RAW-IMP-20260516-FULLDRAFT-002426</x:v>
      </x:c>
      <x:c r="C2442" t="str">
        <x:v>KTO001</x:v>
      </x:c>
      <x:c r="D2442"/>
      <x:c r="E2442" t="str">
        <x:v>KAT013</x:v>
      </x:c>
      <x:c r="F2442"/>
      <x:c r="G2442"/>
      <x:c r="H2442" t="str">
        <x:v>kein_match</x:v>
      </x:c>
      <x:c r="I2442" t="str">
        <x:v>Agent-Draft: keine finale Regelentscheidung</x:v>
      </x:c>
      <x:c r="J2442" t="n">
        <x:v>45350</x:v>
      </x:c>
      <x:c r="K2442"/>
      <x:c r="L2442"/>
      <x:c r="M2442" t="n">
        <x:v>-70</x:v>
      </x:c>
      <x:c r="N2442" t="str">
        <x:v>2024-02</x:v>
      </x:c>
      <x:c r="O2442" t="str">
        <x:v>Ausgabe</x:v>
      </x:c>
      <x:c r="P2442" t="str">
        <x:v>Ist</x:v>
      </x:c>
      <x:c r="Q2442" s="59" t="b">
        <x:v>0</x:v>
      </x:c>
      <x:c r="R2442" t="str">
        <x:v>kein_transfer</x:v>
      </x:c>
      <x:c r="S2442"/>
      <x:c r="T2442"/>
      <x:c r="U2442"/>
      <x:c r="V2442" s="59" t="b">
        <x:v>1</x:v>
      </x:c>
      <x:c r="W2442"/>
      <x:c r="X2442" t="str">
        <x:v>offen</x:v>
      </x:c>
      <x:c r="Y2442" t="str">
        <x:v>Agent-Draft; Kategorie und Person pruefen</x:v>
      </x:c>
    </x:row>
    <x:row r="2443">
      <x:c r="A2443" t="str">
        <x:v>TXN-RAW-IMP-20260516-FULLDRAFT-002427</x:v>
      </x:c>
      <x:c r="B2443" t="str">
        <x:v>RAW-IMP-20260516-FULLDRAFT-002427</x:v>
      </x:c>
      <x:c r="C2443" t="str">
        <x:v>KTO001</x:v>
      </x:c>
      <x:c r="D2443"/>
      <x:c r="E2443" t="str">
        <x:v>KAT013</x:v>
      </x:c>
      <x:c r="F2443"/>
      <x:c r="G2443"/>
      <x:c r="H2443" t="str">
        <x:v>kein_match</x:v>
      </x:c>
      <x:c r="I2443" t="str">
        <x:v>Agent-Draft: keine finale Regelentscheidung</x:v>
      </x:c>
      <x:c r="J2443" t="n">
        <x:v>45349</x:v>
      </x:c>
      <x:c r="K2443"/>
      <x:c r="L2443"/>
      <x:c r="M2443" t="n">
        <x:v>-2.75</x:v>
      </x:c>
      <x:c r="N2443" t="str">
        <x:v>2024-02</x:v>
      </x:c>
      <x:c r="O2443" t="str">
        <x:v>Ausgabe</x:v>
      </x:c>
      <x:c r="P2443" t="str">
        <x:v>Ist</x:v>
      </x:c>
      <x:c r="Q2443" s="59" t="b">
        <x:v>0</x:v>
      </x:c>
      <x:c r="R2443" t="str">
        <x:v>kein_transfer</x:v>
      </x:c>
      <x:c r="S2443"/>
      <x:c r="T2443"/>
      <x:c r="U2443"/>
      <x:c r="V2443" s="59" t="b">
        <x:v>1</x:v>
      </x:c>
      <x:c r="W2443"/>
      <x:c r="X2443" t="str">
        <x:v>offen</x:v>
      </x:c>
      <x:c r="Y2443" t="str">
        <x:v>Agent-Draft; Kategorie und Person pruefen</x:v>
      </x:c>
    </x:row>
    <x:row r="2444">
      <x:c r="A2444" t="str">
        <x:v>TXN-RAW-IMP-20260516-FULLDRAFT-002428</x:v>
      </x:c>
      <x:c r="B2444" t="str">
        <x:v>RAW-IMP-20260516-FULLDRAFT-002428</x:v>
      </x:c>
      <x:c r="C2444" t="str">
        <x:v>KTO001</x:v>
      </x:c>
      <x:c r="D2444"/>
      <x:c r="E2444" t="str">
        <x:v>KAT013</x:v>
      </x:c>
      <x:c r="F2444"/>
      <x:c r="G2444"/>
      <x:c r="H2444" t="str">
        <x:v>kein_match</x:v>
      </x:c>
      <x:c r="I2444" t="str">
        <x:v>Agent-Draft: keine finale Regelentscheidung</x:v>
      </x:c>
      <x:c r="J2444" t="n">
        <x:v>45349</x:v>
      </x:c>
      <x:c r="K2444"/>
      <x:c r="L2444"/>
      <x:c r="M2444" t="n">
        <x:v>-4.68</x:v>
      </x:c>
      <x:c r="N2444" t="str">
        <x:v>2024-02</x:v>
      </x:c>
      <x:c r="O2444" t="str">
        <x:v>Ausgabe</x:v>
      </x:c>
      <x:c r="P2444" t="str">
        <x:v>Ist</x:v>
      </x:c>
      <x:c r="Q2444" s="59" t="b">
        <x:v>0</x:v>
      </x:c>
      <x:c r="R2444" t="str">
        <x:v>kein_transfer</x:v>
      </x:c>
      <x:c r="S2444"/>
      <x:c r="T2444"/>
      <x:c r="U2444"/>
      <x:c r="V2444" s="59" t="b">
        <x:v>1</x:v>
      </x:c>
      <x:c r="W2444"/>
      <x:c r="X2444" t="str">
        <x:v>offen</x:v>
      </x:c>
      <x:c r="Y2444" t="str">
        <x:v>Agent-Draft; Kategorie und Person pruefen</x:v>
      </x:c>
    </x:row>
    <x:row r="2445">
      <x:c r="A2445" t="str">
        <x:v>TXN-RAW-IMP-20260516-FULLDRAFT-002429</x:v>
      </x:c>
      <x:c r="B2445" t="str">
        <x:v>RAW-IMP-20260516-FULLDRAFT-002429</x:v>
      </x:c>
      <x:c r="C2445" t="str">
        <x:v>KTO001</x:v>
      </x:c>
      <x:c r="D2445"/>
      <x:c r="E2445" t="str">
        <x:v>KAT013</x:v>
      </x:c>
      <x:c r="F2445"/>
      <x:c r="G2445"/>
      <x:c r="H2445" t="str">
        <x:v>kein_match</x:v>
      </x:c>
      <x:c r="I2445" t="str">
        <x:v>Agent-Draft: keine finale Regelentscheidung</x:v>
      </x:c>
      <x:c r="J2445" t="n">
        <x:v>45349</x:v>
      </x:c>
      <x:c r="K2445"/>
      <x:c r="L2445"/>
      <x:c r="M2445" t="n">
        <x:v>-50</x:v>
      </x:c>
      <x:c r="N2445" t="str">
        <x:v>2024-02</x:v>
      </x:c>
      <x:c r="O2445" t="str">
        <x:v>Ausgabe</x:v>
      </x:c>
      <x:c r="P2445" t="str">
        <x:v>Ist</x:v>
      </x:c>
      <x:c r="Q2445" s="59" t="b">
        <x:v>0</x:v>
      </x:c>
      <x:c r="R2445" t="str">
        <x:v>kein_transfer</x:v>
      </x:c>
      <x:c r="S2445"/>
      <x:c r="T2445"/>
      <x:c r="U2445"/>
      <x:c r="V2445" s="59" t="b">
        <x:v>1</x:v>
      </x:c>
      <x:c r="W2445"/>
      <x:c r="X2445" t="str">
        <x:v>offen</x:v>
      </x:c>
      <x:c r="Y2445" t="str">
        <x:v>Agent-Draft; Kategorie und Person pruefen</x:v>
      </x:c>
    </x:row>
    <x:row r="2446">
      <x:c r="A2446" t="str">
        <x:v>TXN-RAW-IMP-20260516-FULLDRAFT-002430</x:v>
      </x:c>
      <x:c r="B2446" t="str">
        <x:v>RAW-IMP-20260516-FULLDRAFT-002430</x:v>
      </x:c>
      <x:c r="C2446" t="str">
        <x:v>KTO001</x:v>
      </x:c>
      <x:c r="D2446"/>
      <x:c r="E2446" t="str">
        <x:v>KAT013</x:v>
      </x:c>
      <x:c r="F2446"/>
      <x:c r="G2446"/>
      <x:c r="H2446" t="str">
        <x:v>kein_match</x:v>
      </x:c>
      <x:c r="I2446" t="str">
        <x:v>Agent-Draft: keine finale Regelentscheidung</x:v>
      </x:c>
      <x:c r="J2446" t="n">
        <x:v>45349</x:v>
      </x:c>
      <x:c r="K2446"/>
      <x:c r="L2446"/>
      <x:c r="M2446" t="n">
        <x:v>-8.24</x:v>
      </x:c>
      <x:c r="N2446" t="str">
        <x:v>2024-02</x:v>
      </x:c>
      <x:c r="O2446" t="str">
        <x:v>Ausgabe</x:v>
      </x:c>
      <x:c r="P2446" t="str">
        <x:v>Ist</x:v>
      </x:c>
      <x:c r="Q2446" s="59" t="b">
        <x:v>0</x:v>
      </x:c>
      <x:c r="R2446" t="str">
        <x:v>kein_transfer</x:v>
      </x:c>
      <x:c r="S2446"/>
      <x:c r="T2446"/>
      <x:c r="U2446"/>
      <x:c r="V2446" s="59" t="b">
        <x:v>1</x:v>
      </x:c>
      <x:c r="W2446"/>
      <x:c r="X2446" t="str">
        <x:v>offen</x:v>
      </x:c>
      <x:c r="Y2446" t="str">
        <x:v>Agent-Draft; Kategorie und Person pruefen</x:v>
      </x:c>
    </x:row>
    <x:row r="2447">
      <x:c r="A2447" t="str">
        <x:v>TXN-RAW-IMP-20260516-FULLDRAFT-002431</x:v>
      </x:c>
      <x:c r="B2447" t="str">
        <x:v>RAW-IMP-20260516-FULLDRAFT-002431</x:v>
      </x:c>
      <x:c r="C2447" t="str">
        <x:v>KTO001</x:v>
      </x:c>
      <x:c r="D2447"/>
      <x:c r="E2447" t="str">
        <x:v>KAT013</x:v>
      </x:c>
      <x:c r="F2447"/>
      <x:c r="G2447"/>
      <x:c r="H2447" t="str">
        <x:v>kein_match</x:v>
      </x:c>
      <x:c r="I2447" t="str">
        <x:v>Agent-Draft: keine finale Regelentscheidung</x:v>
      </x:c>
      <x:c r="J2447" t="n">
        <x:v>45348</x:v>
      </x:c>
      <x:c r="K2447"/>
      <x:c r="L2447"/>
      <x:c r="M2447" t="n">
        <x:v>-59.99</x:v>
      </x:c>
      <x:c r="N2447" t="str">
        <x:v>2024-02</x:v>
      </x:c>
      <x:c r="O2447" t="str">
        <x:v>Ausgabe</x:v>
      </x:c>
      <x:c r="P2447" t="str">
        <x:v>Ist</x:v>
      </x:c>
      <x:c r="Q2447" s="59" t="b">
        <x:v>0</x:v>
      </x:c>
      <x:c r="R2447" t="str">
        <x:v>kein_transfer</x:v>
      </x:c>
      <x:c r="S2447"/>
      <x:c r="T2447"/>
      <x:c r="U2447"/>
      <x:c r="V2447" s="59" t="b">
        <x:v>1</x:v>
      </x:c>
      <x:c r="W2447"/>
      <x:c r="X2447" t="str">
        <x:v>offen</x:v>
      </x:c>
      <x:c r="Y2447" t="str">
        <x:v>Agent-Draft; Kategorie und Person pruefen</x:v>
      </x:c>
    </x:row>
    <x:row r="2448">
      <x:c r="A2448" t="str">
        <x:v>TXN-RAW-IMP-20260516-FULLDRAFT-002432</x:v>
      </x:c>
      <x:c r="B2448" t="str">
        <x:v>RAW-IMP-20260516-FULLDRAFT-002432</x:v>
      </x:c>
      <x:c r="C2448" t="str">
        <x:v>KTO001</x:v>
      </x:c>
      <x:c r="D2448"/>
      <x:c r="E2448" t="str">
        <x:v>KAT013</x:v>
      </x:c>
      <x:c r="F2448"/>
      <x:c r="G2448"/>
      <x:c r="H2448" t="str">
        <x:v>kein_match</x:v>
      </x:c>
      <x:c r="I2448" t="str">
        <x:v>Agent-Draft: keine finale Regelentscheidung</x:v>
      </x:c>
      <x:c r="J2448" t="n">
        <x:v>45348</x:v>
      </x:c>
      <x:c r="K2448"/>
      <x:c r="L2448"/>
      <x:c r="M2448" t="n">
        <x:v>-10</x:v>
      </x:c>
      <x:c r="N2448" t="str">
        <x:v>2024-02</x:v>
      </x:c>
      <x:c r="O2448" t="str">
        <x:v>Ausgabe</x:v>
      </x:c>
      <x:c r="P2448" t="str">
        <x:v>Ist</x:v>
      </x:c>
      <x:c r="Q2448" s="59" t="b">
        <x:v>0</x:v>
      </x:c>
      <x:c r="R2448" t="str">
        <x:v>kein_transfer</x:v>
      </x:c>
      <x:c r="S2448"/>
      <x:c r="T2448"/>
      <x:c r="U2448"/>
      <x:c r="V2448" s="59" t="b">
        <x:v>1</x:v>
      </x:c>
      <x:c r="W2448"/>
      <x:c r="X2448" t="str">
        <x:v>offen</x:v>
      </x:c>
      <x:c r="Y2448" t="str">
        <x:v>Agent-Draft; Kategorie und Person pruefen</x:v>
      </x:c>
    </x:row>
    <x:row r="2449">
      <x:c r="A2449" t="str">
        <x:v>TXN-RAW-IMP-20260516-FULLDRAFT-002433</x:v>
      </x:c>
      <x:c r="B2449" t="str">
        <x:v>RAW-IMP-20260516-FULLDRAFT-002433</x:v>
      </x:c>
      <x:c r="C2449" t="str">
        <x:v>KTO001</x:v>
      </x:c>
      <x:c r="D2449"/>
      <x:c r="E2449" t="str">
        <x:v>KAT013</x:v>
      </x:c>
      <x:c r="F2449"/>
      <x:c r="G2449"/>
      <x:c r="H2449" t="str">
        <x:v>kein_match</x:v>
      </x:c>
      <x:c r="I2449" t="str">
        <x:v>Agent-Draft: keine finale Regelentscheidung</x:v>
      </x:c>
      <x:c r="J2449" t="n">
        <x:v>45348</x:v>
      </x:c>
      <x:c r="K2449"/>
      <x:c r="L2449"/>
      <x:c r="M2449" t="n">
        <x:v>-1.24</x:v>
      </x:c>
      <x:c r="N2449" t="str">
        <x:v>2024-02</x:v>
      </x:c>
      <x:c r="O2449" t="str">
        <x:v>Ausgabe</x:v>
      </x:c>
      <x:c r="P2449" t="str">
        <x:v>Ist</x:v>
      </x:c>
      <x:c r="Q2449" s="59" t="b">
        <x:v>0</x:v>
      </x:c>
      <x:c r="R2449" t="str">
        <x:v>kein_transfer</x:v>
      </x:c>
      <x:c r="S2449"/>
      <x:c r="T2449"/>
      <x:c r="U2449"/>
      <x:c r="V2449" s="59" t="b">
        <x:v>1</x:v>
      </x:c>
      <x:c r="W2449"/>
      <x:c r="X2449" t="str">
        <x:v>offen</x:v>
      </x:c>
      <x:c r="Y2449" t="str">
        <x:v>Agent-Draft; Kategorie und Person pruefen</x:v>
      </x:c>
    </x:row>
    <x:row r="2450">
      <x:c r="A2450" t="str">
        <x:v>TXN-RAW-IMP-20260516-FULLDRAFT-002434</x:v>
      </x:c>
      <x:c r="B2450" t="str">
        <x:v>RAW-IMP-20260516-FULLDRAFT-002434</x:v>
      </x:c>
      <x:c r="C2450" t="str">
        <x:v>KTO001</x:v>
      </x:c>
      <x:c r="D2450"/>
      <x:c r="E2450" t="str">
        <x:v>KAT013</x:v>
      </x:c>
      <x:c r="F2450"/>
      <x:c r="G2450"/>
      <x:c r="H2450" t="str">
        <x:v>kein_match</x:v>
      </x:c>
      <x:c r="I2450" t="str">
        <x:v>Agent-Draft: keine finale Regelentscheidung</x:v>
      </x:c>
      <x:c r="J2450" t="n">
        <x:v>45348</x:v>
      </x:c>
      <x:c r="K2450"/>
      <x:c r="L2450"/>
      <x:c r="M2450" t="n">
        <x:v>-500</x:v>
      </x:c>
      <x:c r="N2450" t="str">
        <x:v>2024-02</x:v>
      </x:c>
      <x:c r="O2450" t="str">
        <x:v>Ausgabe</x:v>
      </x:c>
      <x:c r="P2450" t="str">
        <x:v>Ist</x:v>
      </x:c>
      <x:c r="Q2450" s="59" t="b">
        <x:v>0</x:v>
      </x:c>
      <x:c r="R2450" t="str">
        <x:v>kein_transfer</x:v>
      </x:c>
      <x:c r="S2450"/>
      <x:c r="T2450"/>
      <x:c r="U2450"/>
      <x:c r="V2450" s="59" t="b">
        <x:v>1</x:v>
      </x:c>
      <x:c r="W2450"/>
      <x:c r="X2450" t="str">
        <x:v>offen</x:v>
      </x:c>
      <x:c r="Y2450" t="str">
        <x:v>Agent-Draft; Kategorie und Person pruefen</x:v>
      </x:c>
    </x:row>
    <x:row r="2451">
      <x:c r="A2451" t="str">
        <x:v>TXN-RAW-IMP-20260516-FULLDRAFT-002435</x:v>
      </x:c>
      <x:c r="B2451" t="str">
        <x:v>RAW-IMP-20260516-FULLDRAFT-002435</x:v>
      </x:c>
      <x:c r="C2451" t="str">
        <x:v>KTO001</x:v>
      </x:c>
      <x:c r="D2451"/>
      <x:c r="E2451" t="str">
        <x:v>KAT013</x:v>
      </x:c>
      <x:c r="F2451"/>
      <x:c r="G2451"/>
      <x:c r="H2451" t="str">
        <x:v>kein_match</x:v>
      </x:c>
      <x:c r="I2451" t="str">
        <x:v>Agent-Draft: keine finale Regelentscheidung</x:v>
      </x:c>
      <x:c r="J2451" t="n">
        <x:v>45348</x:v>
      </x:c>
      <x:c r="K2451"/>
      <x:c r="L2451"/>
      <x:c r="M2451" t="n">
        <x:v>-12.1</x:v>
      </x:c>
      <x:c r="N2451" t="str">
        <x:v>2024-02</x:v>
      </x:c>
      <x:c r="O2451" t="str">
        <x:v>Ausgabe</x:v>
      </x:c>
      <x:c r="P2451" t="str">
        <x:v>Ist</x:v>
      </x:c>
      <x:c r="Q2451" s="59" t="b">
        <x:v>0</x:v>
      </x:c>
      <x:c r="R2451" t="str">
        <x:v>kein_transfer</x:v>
      </x:c>
      <x:c r="S2451"/>
      <x:c r="T2451"/>
      <x:c r="U2451"/>
      <x:c r="V2451" s="59" t="b">
        <x:v>1</x:v>
      </x:c>
      <x:c r="W2451"/>
      <x:c r="X2451" t="str">
        <x:v>offen</x:v>
      </x:c>
      <x:c r="Y2451" t="str">
        <x:v>Agent-Draft; Kategorie und Person pruefen</x:v>
      </x:c>
    </x:row>
    <x:row r="2452">
      <x:c r="A2452" t="str">
        <x:v>TXN-RAW-IMP-20260516-FULLDRAFT-002436</x:v>
      </x:c>
      <x:c r="B2452" t="str">
        <x:v>RAW-IMP-20260516-FULLDRAFT-002436</x:v>
      </x:c>
      <x:c r="C2452" t="str">
        <x:v>KTO001</x:v>
      </x:c>
      <x:c r="D2452"/>
      <x:c r="E2452" t="str">
        <x:v>KAT013</x:v>
      </x:c>
      <x:c r="F2452"/>
      <x:c r="G2452"/>
      <x:c r="H2452" t="str">
        <x:v>kein_match</x:v>
      </x:c>
      <x:c r="I2452" t="str">
        <x:v>Agent-Draft: keine finale Regelentscheidung</x:v>
      </x:c>
      <x:c r="J2452" t="n">
        <x:v>45348</x:v>
      </x:c>
      <x:c r="K2452"/>
      <x:c r="L2452"/>
      <x:c r="M2452" t="n">
        <x:v>-72.11</x:v>
      </x:c>
      <x:c r="N2452" t="str">
        <x:v>2024-02</x:v>
      </x:c>
      <x:c r="O2452" t="str">
        <x:v>Ausgabe</x:v>
      </x:c>
      <x:c r="P2452" t="str">
        <x:v>Ist</x:v>
      </x:c>
      <x:c r="Q2452" s="59" t="b">
        <x:v>0</x:v>
      </x:c>
      <x:c r="R2452" t="str">
        <x:v>kein_transfer</x:v>
      </x:c>
      <x:c r="S2452"/>
      <x:c r="T2452"/>
      <x:c r="U2452"/>
      <x:c r="V2452" s="59" t="b">
        <x:v>1</x:v>
      </x:c>
      <x:c r="W2452"/>
      <x:c r="X2452" t="str">
        <x:v>offen</x:v>
      </x:c>
      <x:c r="Y2452" t="str">
        <x:v>Agent-Draft; Kategorie und Person pruefen</x:v>
      </x:c>
    </x:row>
    <x:row r="2453">
      <x:c r="A2453" t="str">
        <x:v>TXN-RAW-IMP-20260516-FULLDRAFT-002437</x:v>
      </x:c>
      <x:c r="B2453" t="str">
        <x:v>RAW-IMP-20260516-FULLDRAFT-002437</x:v>
      </x:c>
      <x:c r="C2453" t="str">
        <x:v>KTO001</x:v>
      </x:c>
      <x:c r="D2453"/>
      <x:c r="E2453" t="str">
        <x:v>KAT013</x:v>
      </x:c>
      <x:c r="F2453"/>
      <x:c r="G2453"/>
      <x:c r="H2453" t="str">
        <x:v>kein_match</x:v>
      </x:c>
      <x:c r="I2453" t="str">
        <x:v>Agent-Draft: keine finale Regelentscheidung</x:v>
      </x:c>
      <x:c r="J2453" t="n">
        <x:v>45345</x:v>
      </x:c>
      <x:c r="K2453"/>
      <x:c r="L2453"/>
      <x:c r="M2453" t="n">
        <x:v>-13</x:v>
      </x:c>
      <x:c r="N2453" t="str">
        <x:v>2024-02</x:v>
      </x:c>
      <x:c r="O2453" t="str">
        <x:v>Ausgabe</x:v>
      </x:c>
      <x:c r="P2453" t="str">
        <x:v>Ist</x:v>
      </x:c>
      <x:c r="Q2453" s="59" t="b">
        <x:v>0</x:v>
      </x:c>
      <x:c r="R2453" t="str">
        <x:v>kein_transfer</x:v>
      </x:c>
      <x:c r="S2453"/>
      <x:c r="T2453"/>
      <x:c r="U2453"/>
      <x:c r="V2453" s="59" t="b">
        <x:v>1</x:v>
      </x:c>
      <x:c r="W2453"/>
      <x:c r="X2453" t="str">
        <x:v>offen</x:v>
      </x:c>
      <x:c r="Y2453" t="str">
        <x:v>Agent-Draft; Kategorie und Person pruefen</x:v>
      </x:c>
    </x:row>
    <x:row r="2454">
      <x:c r="A2454" t="str">
        <x:v>TXN-RAW-IMP-20260516-FULLDRAFT-002438</x:v>
      </x:c>
      <x:c r="B2454" t="str">
        <x:v>RAW-IMP-20260516-FULLDRAFT-002438</x:v>
      </x:c>
      <x:c r="C2454" t="str">
        <x:v>KTO001</x:v>
      </x:c>
      <x:c r="D2454"/>
      <x:c r="E2454" t="str">
        <x:v>KAT013</x:v>
      </x:c>
      <x:c r="F2454"/>
      <x:c r="G2454"/>
      <x:c r="H2454" t="str">
        <x:v>kein_match</x:v>
      </x:c>
      <x:c r="I2454" t="str">
        <x:v>Agent-Draft: keine finale Regelentscheidung</x:v>
      </x:c>
      <x:c r="J2454" t="n">
        <x:v>45345</x:v>
      </x:c>
      <x:c r="K2454"/>
      <x:c r="L2454"/>
      <x:c r="M2454" t="n">
        <x:v>-20.02</x:v>
      </x:c>
      <x:c r="N2454" t="str">
        <x:v>2024-02</x:v>
      </x:c>
      <x:c r="O2454" t="str">
        <x:v>Ausgabe</x:v>
      </x:c>
      <x:c r="P2454" t="str">
        <x:v>Ist</x:v>
      </x:c>
      <x:c r="Q2454" s="59" t="b">
        <x:v>0</x:v>
      </x:c>
      <x:c r="R2454" t="str">
        <x:v>kein_transfer</x:v>
      </x:c>
      <x:c r="S2454"/>
      <x:c r="T2454"/>
      <x:c r="U2454"/>
      <x:c r="V2454" s="59" t="b">
        <x:v>1</x:v>
      </x:c>
      <x:c r="W2454"/>
      <x:c r="X2454" t="str">
        <x:v>offen</x:v>
      </x:c>
      <x:c r="Y2454" t="str">
        <x:v>Agent-Draft; Kategorie und Person pruefen</x:v>
      </x:c>
    </x:row>
    <x:row r="2455">
      <x:c r="A2455" t="str">
        <x:v>TXN-RAW-IMP-20260516-FULLDRAFT-002439</x:v>
      </x:c>
      <x:c r="B2455" t="str">
        <x:v>RAW-IMP-20260516-FULLDRAFT-002439</x:v>
      </x:c>
      <x:c r="C2455" t="str">
        <x:v>KTO001</x:v>
      </x:c>
      <x:c r="D2455"/>
      <x:c r="E2455" t="str">
        <x:v>KAT013</x:v>
      </x:c>
      <x:c r="F2455"/>
      <x:c r="G2455"/>
      <x:c r="H2455" t="str">
        <x:v>kein_match</x:v>
      </x:c>
      <x:c r="I2455" t="str">
        <x:v>Agent-Draft: keine finale Regelentscheidung</x:v>
      </x:c>
      <x:c r="J2455" t="n">
        <x:v>45343</x:v>
      </x:c>
      <x:c r="K2455"/>
      <x:c r="L2455"/>
      <x:c r="M2455" t="n">
        <x:v>-9.14</x:v>
      </x:c>
      <x:c r="N2455" t="str">
        <x:v>2024-02</x:v>
      </x:c>
      <x:c r="O2455" t="str">
        <x:v>Ausgabe</x:v>
      </x:c>
      <x:c r="P2455" t="str">
        <x:v>Ist</x:v>
      </x:c>
      <x:c r="Q2455" s="59" t="b">
        <x:v>0</x:v>
      </x:c>
      <x:c r="R2455" t="str">
        <x:v>kein_transfer</x:v>
      </x:c>
      <x:c r="S2455"/>
      <x:c r="T2455"/>
      <x:c r="U2455"/>
      <x:c r="V2455" s="59" t="b">
        <x:v>1</x:v>
      </x:c>
      <x:c r="W2455"/>
      <x:c r="X2455" t="str">
        <x:v>offen</x:v>
      </x:c>
      <x:c r="Y2455" t="str">
        <x:v>Agent-Draft; Kategorie und Person pruefen</x:v>
      </x:c>
    </x:row>
    <x:row r="2456">
      <x:c r="A2456" t="str">
        <x:v>TXN-RAW-IMP-20260516-FULLDRAFT-002440</x:v>
      </x:c>
      <x:c r="B2456" t="str">
        <x:v>RAW-IMP-20260516-FULLDRAFT-002440</x:v>
      </x:c>
      <x:c r="C2456" t="str">
        <x:v>KTO001</x:v>
      </x:c>
      <x:c r="D2456"/>
      <x:c r="E2456" t="str">
        <x:v>KAT013</x:v>
      </x:c>
      <x:c r="F2456"/>
      <x:c r="G2456"/>
      <x:c r="H2456" t="str">
        <x:v>kein_match</x:v>
      </x:c>
      <x:c r="I2456" t="str">
        <x:v>Agent-Draft: keine finale Regelentscheidung</x:v>
      </x:c>
      <x:c r="J2456" t="n">
        <x:v>45343</x:v>
      </x:c>
      <x:c r="K2456"/>
      <x:c r="L2456"/>
      <x:c r="M2456" t="n">
        <x:v>-3.99</x:v>
      </x:c>
      <x:c r="N2456" t="str">
        <x:v>2024-02</x:v>
      </x:c>
      <x:c r="O2456" t="str">
        <x:v>Ausgabe</x:v>
      </x:c>
      <x:c r="P2456" t="str">
        <x:v>Ist</x:v>
      </x:c>
      <x:c r="Q2456" s="59" t="b">
        <x:v>0</x:v>
      </x:c>
      <x:c r="R2456" t="str">
        <x:v>kein_transfer</x:v>
      </x:c>
      <x:c r="S2456"/>
      <x:c r="T2456"/>
      <x:c r="U2456"/>
      <x:c r="V2456" s="59" t="b">
        <x:v>1</x:v>
      </x:c>
      <x:c r="W2456"/>
      <x:c r="X2456" t="str">
        <x:v>offen</x:v>
      </x:c>
      <x:c r="Y2456" t="str">
        <x:v>Agent-Draft; Kategorie und Person pruefen</x:v>
      </x:c>
    </x:row>
    <x:row r="2457">
      <x:c r="A2457" t="str">
        <x:v>TXN-RAW-IMP-20260516-FULLDRAFT-002441</x:v>
      </x:c>
      <x:c r="B2457" t="str">
        <x:v>RAW-IMP-20260516-FULLDRAFT-002441</x:v>
      </x:c>
      <x:c r="C2457" t="str">
        <x:v>KTO001</x:v>
      </x:c>
      <x:c r="D2457"/>
      <x:c r="E2457" t="str">
        <x:v>KAT013</x:v>
      </x:c>
      <x:c r="F2457"/>
      <x:c r="G2457"/>
      <x:c r="H2457" t="str">
        <x:v>kein_match</x:v>
      </x:c>
      <x:c r="I2457" t="str">
        <x:v>Agent-Draft: keine finale Regelentscheidung</x:v>
      </x:c>
      <x:c r="J2457" t="n">
        <x:v>45342</x:v>
      </x:c>
      <x:c r="K2457"/>
      <x:c r="L2457"/>
      <x:c r="M2457" t="n">
        <x:v>-299</x:v>
      </x:c>
      <x:c r="N2457" t="str">
        <x:v>2024-02</x:v>
      </x:c>
      <x:c r="O2457" t="str">
        <x:v>Ausgabe</x:v>
      </x:c>
      <x:c r="P2457" t="str">
        <x:v>Ist</x:v>
      </x:c>
      <x:c r="Q2457" s="59" t="b">
        <x:v>0</x:v>
      </x:c>
      <x:c r="R2457" t="str">
        <x:v>kein_transfer</x:v>
      </x:c>
      <x:c r="S2457"/>
      <x:c r="T2457"/>
      <x:c r="U2457"/>
      <x:c r="V2457" s="59" t="b">
        <x:v>1</x:v>
      </x:c>
      <x:c r="W2457"/>
      <x:c r="X2457" t="str">
        <x:v>offen</x:v>
      </x:c>
      <x:c r="Y2457" t="str">
        <x:v>Agent-Draft; Kategorie und Person pruefen</x:v>
      </x:c>
    </x:row>
    <x:row r="2458">
      <x:c r="A2458" t="str">
        <x:v>TXN-RAW-IMP-20260516-FULLDRAFT-002442</x:v>
      </x:c>
      <x:c r="B2458" t="str">
        <x:v>RAW-IMP-20260516-FULLDRAFT-002442</x:v>
      </x:c>
      <x:c r="C2458" t="str">
        <x:v>KTO001</x:v>
      </x:c>
      <x:c r="D2458"/>
      <x:c r="E2458" t="str">
        <x:v>KAT013</x:v>
      </x:c>
      <x:c r="F2458"/>
      <x:c r="G2458"/>
      <x:c r="H2458" t="str">
        <x:v>kein_match</x:v>
      </x:c>
      <x:c r="I2458" t="str">
        <x:v>Agent-Draft: keine finale Regelentscheidung</x:v>
      </x:c>
      <x:c r="J2458" t="n">
        <x:v>45341</x:v>
      </x:c>
      <x:c r="K2458"/>
      <x:c r="L2458"/>
      <x:c r="M2458" t="n">
        <x:v>-108.22</x:v>
      </x:c>
      <x:c r="N2458" t="str">
        <x:v>2024-02</x:v>
      </x:c>
      <x:c r="O2458" t="str">
        <x:v>Ausgabe</x:v>
      </x:c>
      <x:c r="P2458" t="str">
        <x:v>Ist</x:v>
      </x:c>
      <x:c r="Q2458" s="59" t="b">
        <x:v>0</x:v>
      </x:c>
      <x:c r="R2458" t="str">
        <x:v>kein_transfer</x:v>
      </x:c>
      <x:c r="S2458"/>
      <x:c r="T2458"/>
      <x:c r="U2458"/>
      <x:c r="V2458" s="59" t="b">
        <x:v>1</x:v>
      </x:c>
      <x:c r="W2458"/>
      <x:c r="X2458" t="str">
        <x:v>offen</x:v>
      </x:c>
      <x:c r="Y2458" t="str">
        <x:v>Agent-Draft; Kategorie und Person pruefen</x:v>
      </x:c>
    </x:row>
    <x:row r="2459">
      <x:c r="A2459" t="str">
        <x:v>TXN-RAW-IMP-20260516-FULLDRAFT-002443</x:v>
      </x:c>
      <x:c r="B2459" t="str">
        <x:v>RAW-IMP-20260516-FULLDRAFT-002443</x:v>
      </x:c>
      <x:c r="C2459" t="str">
        <x:v>KTO001</x:v>
      </x:c>
      <x:c r="D2459"/>
      <x:c r="E2459" t="str">
        <x:v>KAT013</x:v>
      </x:c>
      <x:c r="F2459"/>
      <x:c r="G2459"/>
      <x:c r="H2459" t="str">
        <x:v>kein_match</x:v>
      </x:c>
      <x:c r="I2459" t="str">
        <x:v>Agent-Draft: keine finale Regelentscheidung</x:v>
      </x:c>
      <x:c r="J2459" t="n">
        <x:v>45341</x:v>
      </x:c>
      <x:c r="K2459"/>
      <x:c r="L2459"/>
      <x:c r="M2459" t="n">
        <x:v>-3.55</x:v>
      </x:c>
      <x:c r="N2459" t="str">
        <x:v>2024-02</x:v>
      </x:c>
      <x:c r="O2459" t="str">
        <x:v>Ausgabe</x:v>
      </x:c>
      <x:c r="P2459" t="str">
        <x:v>Ist</x:v>
      </x:c>
      <x:c r="Q2459" s="59" t="b">
        <x:v>0</x:v>
      </x:c>
      <x:c r="R2459" t="str">
        <x:v>kein_transfer</x:v>
      </x:c>
      <x:c r="S2459"/>
      <x:c r="T2459"/>
      <x:c r="U2459"/>
      <x:c r="V2459" s="59" t="b">
        <x:v>1</x:v>
      </x:c>
      <x:c r="W2459"/>
      <x:c r="X2459" t="str">
        <x:v>offen</x:v>
      </x:c>
      <x:c r="Y2459" t="str">
        <x:v>Agent-Draft; Kategorie und Person pruefen</x:v>
      </x:c>
    </x:row>
    <x:row r="2460">
      <x:c r="A2460" t="str">
        <x:v>TXN-RAW-IMP-20260516-FULLDRAFT-002444</x:v>
      </x:c>
      <x:c r="B2460" t="str">
        <x:v>RAW-IMP-20260516-FULLDRAFT-002444</x:v>
      </x:c>
      <x:c r="C2460" t="str">
        <x:v>KTO001</x:v>
      </x:c>
      <x:c r="D2460"/>
      <x:c r="E2460" t="str">
        <x:v>KAT013</x:v>
      </x:c>
      <x:c r="F2460"/>
      <x:c r="G2460"/>
      <x:c r="H2460" t="str">
        <x:v>kein_match</x:v>
      </x:c>
      <x:c r="I2460" t="str">
        <x:v>Agent-Draft: keine finale Regelentscheidung</x:v>
      </x:c>
      <x:c r="J2460" t="n">
        <x:v>45341</x:v>
      </x:c>
      <x:c r="K2460"/>
      <x:c r="L2460"/>
      <x:c r="M2460" t="n">
        <x:v>-10.89</x:v>
      </x:c>
      <x:c r="N2460" t="str">
        <x:v>2024-02</x:v>
      </x:c>
      <x:c r="O2460" t="str">
        <x:v>Ausgabe</x:v>
      </x:c>
      <x:c r="P2460" t="str">
        <x:v>Ist</x:v>
      </x:c>
      <x:c r="Q2460" s="59" t="b">
        <x:v>0</x:v>
      </x:c>
      <x:c r="R2460" t="str">
        <x:v>kein_transfer</x:v>
      </x:c>
      <x:c r="S2460"/>
      <x:c r="T2460"/>
      <x:c r="U2460"/>
      <x:c r="V2460" s="59" t="b">
        <x:v>1</x:v>
      </x:c>
      <x:c r="W2460"/>
      <x:c r="X2460" t="str">
        <x:v>offen</x:v>
      </x:c>
      <x:c r="Y2460" t="str">
        <x:v>Agent-Draft; Kategorie und Person pruefen</x:v>
      </x:c>
    </x:row>
    <x:row r="2461">
      <x:c r="A2461" t="str">
        <x:v>TXN-RAW-IMP-20260516-FULLDRAFT-002445</x:v>
      </x:c>
      <x:c r="B2461" t="str">
        <x:v>RAW-IMP-20260516-FULLDRAFT-002445</x:v>
      </x:c>
      <x:c r="C2461" t="str">
        <x:v>KTO001</x:v>
      </x:c>
      <x:c r="D2461"/>
      <x:c r="E2461" t="str">
        <x:v>KAT013</x:v>
      </x:c>
      <x:c r="F2461"/>
      <x:c r="G2461"/>
      <x:c r="H2461" t="str">
        <x:v>kein_match</x:v>
      </x:c>
      <x:c r="I2461" t="str">
        <x:v>Agent-Draft: keine finale Regelentscheidung</x:v>
      </x:c>
      <x:c r="J2461" t="n">
        <x:v>45338</x:v>
      </x:c>
      <x:c r="K2461"/>
      <x:c r="L2461"/>
      <x:c r="M2461" t="n">
        <x:v>-6.5</x:v>
      </x:c>
      <x:c r="N2461" t="str">
        <x:v>2024-02</x:v>
      </x:c>
      <x:c r="O2461" t="str">
        <x:v>Ausgabe</x:v>
      </x:c>
      <x:c r="P2461" t="str">
        <x:v>Ist</x:v>
      </x:c>
      <x:c r="Q2461" s="59" t="b">
        <x:v>0</x:v>
      </x:c>
      <x:c r="R2461" t="str">
        <x:v>kein_transfer</x:v>
      </x:c>
      <x:c r="S2461"/>
      <x:c r="T2461"/>
      <x:c r="U2461"/>
      <x:c r="V2461" s="59" t="b">
        <x:v>1</x:v>
      </x:c>
      <x:c r="W2461"/>
      <x:c r="X2461" t="str">
        <x:v>offen</x:v>
      </x:c>
      <x:c r="Y2461" t="str">
        <x:v>Agent-Draft; Kategorie und Person pruefen</x:v>
      </x:c>
    </x:row>
    <x:row r="2462">
      <x:c r="A2462" t="str">
        <x:v>TXN-RAW-IMP-20260516-FULLDRAFT-002446</x:v>
      </x:c>
      <x:c r="B2462" t="str">
        <x:v>RAW-IMP-20260516-FULLDRAFT-002446</x:v>
      </x:c>
      <x:c r="C2462" t="str">
        <x:v>KTO001</x:v>
      </x:c>
      <x:c r="D2462"/>
      <x:c r="E2462" t="str">
        <x:v>KAT013</x:v>
      </x:c>
      <x:c r="F2462"/>
      <x:c r="G2462"/>
      <x:c r="H2462" t="str">
        <x:v>kein_match</x:v>
      </x:c>
      <x:c r="I2462" t="str">
        <x:v>Agent-Draft: keine finale Regelentscheidung</x:v>
      </x:c>
      <x:c r="J2462" t="n">
        <x:v>45338</x:v>
      </x:c>
      <x:c r="K2462"/>
      <x:c r="L2462"/>
      <x:c r="M2462" t="n">
        <x:v>-19.47</x:v>
      </x:c>
      <x:c r="N2462" t="str">
        <x:v>2024-02</x:v>
      </x:c>
      <x:c r="O2462" t="str">
        <x:v>Ausgabe</x:v>
      </x:c>
      <x:c r="P2462" t="str">
        <x:v>Ist</x:v>
      </x:c>
      <x:c r="Q2462" s="59" t="b">
        <x:v>0</x:v>
      </x:c>
      <x:c r="R2462" t="str">
        <x:v>kein_transfer</x:v>
      </x:c>
      <x:c r="S2462"/>
      <x:c r="T2462"/>
      <x:c r="U2462"/>
      <x:c r="V2462" s="59" t="b">
        <x:v>1</x:v>
      </x:c>
      <x:c r="W2462"/>
      <x:c r="X2462" t="str">
        <x:v>offen</x:v>
      </x:c>
      <x:c r="Y2462" t="str">
        <x:v>Agent-Draft; Kategorie und Person pruefen</x:v>
      </x:c>
    </x:row>
    <x:row r="2463">
      <x:c r="A2463" t="str">
        <x:v>TXN-RAW-IMP-20260516-FULLDRAFT-002447</x:v>
      </x:c>
      <x:c r="B2463" t="str">
        <x:v>RAW-IMP-20260516-FULLDRAFT-002447</x:v>
      </x:c>
      <x:c r="C2463" t="str">
        <x:v>KTO001</x:v>
      </x:c>
      <x:c r="D2463"/>
      <x:c r="E2463" t="str">
        <x:v>KAT013</x:v>
      </x:c>
      <x:c r="F2463"/>
      <x:c r="G2463"/>
      <x:c r="H2463" t="str">
        <x:v>kein_match</x:v>
      </x:c>
      <x:c r="I2463" t="str">
        <x:v>Agent-Draft: keine finale Regelentscheidung</x:v>
      </x:c>
      <x:c r="J2463" t="n">
        <x:v>45337</x:v>
      </x:c>
      <x:c r="K2463"/>
      <x:c r="L2463"/>
      <x:c r="M2463" t="n">
        <x:v>-9.98</x:v>
      </x:c>
      <x:c r="N2463" t="str">
        <x:v>2024-02</x:v>
      </x:c>
      <x:c r="O2463" t="str">
        <x:v>Ausgabe</x:v>
      </x:c>
      <x:c r="P2463" t="str">
        <x:v>Ist</x:v>
      </x:c>
      <x:c r="Q2463" s="59" t="b">
        <x:v>0</x:v>
      </x:c>
      <x:c r="R2463" t="str">
        <x:v>kein_transfer</x:v>
      </x:c>
      <x:c r="S2463"/>
      <x:c r="T2463"/>
      <x:c r="U2463"/>
      <x:c r="V2463" s="59" t="b">
        <x:v>1</x:v>
      </x:c>
      <x:c r="W2463"/>
      <x:c r="X2463" t="str">
        <x:v>offen</x:v>
      </x:c>
      <x:c r="Y2463" t="str">
        <x:v>Agent-Draft; Kategorie und Person pruefen</x:v>
      </x:c>
    </x:row>
    <x:row r="2464">
      <x:c r="A2464" t="str">
        <x:v>TXN-RAW-IMP-20260516-FULLDRAFT-002448</x:v>
      </x:c>
      <x:c r="B2464" t="str">
        <x:v>RAW-IMP-20260516-FULLDRAFT-002448</x:v>
      </x:c>
      <x:c r="C2464" t="str">
        <x:v>KTO001</x:v>
      </x:c>
      <x:c r="D2464"/>
      <x:c r="E2464" t="str">
        <x:v>KAT013</x:v>
      </x:c>
      <x:c r="F2464"/>
      <x:c r="G2464"/>
      <x:c r="H2464" t="str">
        <x:v>kein_match</x:v>
      </x:c>
      <x:c r="I2464" t="str">
        <x:v>Agent-Draft: keine finale Regelentscheidung</x:v>
      </x:c>
      <x:c r="J2464" t="n">
        <x:v>45337</x:v>
      </x:c>
      <x:c r="K2464"/>
      <x:c r="L2464"/>
      <x:c r="M2464" t="n">
        <x:v>-31.22</x:v>
      </x:c>
      <x:c r="N2464" t="str">
        <x:v>2024-02</x:v>
      </x:c>
      <x:c r="O2464" t="str">
        <x:v>Ausgabe</x:v>
      </x:c>
      <x:c r="P2464" t="str">
        <x:v>Ist</x:v>
      </x:c>
      <x:c r="Q2464" s="59" t="b">
        <x:v>0</x:v>
      </x:c>
      <x:c r="R2464" t="str">
        <x:v>kein_transfer</x:v>
      </x:c>
      <x:c r="S2464"/>
      <x:c r="T2464"/>
      <x:c r="U2464"/>
      <x:c r="V2464" s="59" t="b">
        <x:v>1</x:v>
      </x:c>
      <x:c r="W2464"/>
      <x:c r="X2464" t="str">
        <x:v>offen</x:v>
      </x:c>
      <x:c r="Y2464" t="str">
        <x:v>Agent-Draft; Kategorie und Person pruefen</x:v>
      </x:c>
    </x:row>
    <x:row r="2465">
      <x:c r="A2465" t="str">
        <x:v>TXN-RAW-IMP-20260516-FULLDRAFT-002449</x:v>
      </x:c>
      <x:c r="B2465" t="str">
        <x:v>RAW-IMP-20260516-FULLDRAFT-002449</x:v>
      </x:c>
      <x:c r="C2465" t="str">
        <x:v>KTO001</x:v>
      </x:c>
      <x:c r="D2465"/>
      <x:c r="E2465" t="str">
        <x:v>KAT013</x:v>
      </x:c>
      <x:c r="F2465"/>
      <x:c r="G2465"/>
      <x:c r="H2465" t="str">
        <x:v>kein_match</x:v>
      </x:c>
      <x:c r="I2465" t="str">
        <x:v>Agent-Draft: keine finale Regelentscheidung</x:v>
      </x:c>
      <x:c r="J2465" t="n">
        <x:v>45337</x:v>
      </x:c>
      <x:c r="K2465"/>
      <x:c r="L2465"/>
      <x:c r="M2465" t="n">
        <x:v>-1.78</x:v>
      </x:c>
      <x:c r="N2465" t="str">
        <x:v>2024-02</x:v>
      </x:c>
      <x:c r="O2465" t="str">
        <x:v>Ausgabe</x:v>
      </x:c>
      <x:c r="P2465" t="str">
        <x:v>Ist</x:v>
      </x:c>
      <x:c r="Q2465" s="59" t="b">
        <x:v>0</x:v>
      </x:c>
      <x:c r="R2465" t="str">
        <x:v>kein_transfer</x:v>
      </x:c>
      <x:c r="S2465"/>
      <x:c r="T2465"/>
      <x:c r="U2465"/>
      <x:c r="V2465" s="59" t="b">
        <x:v>1</x:v>
      </x:c>
      <x:c r="W2465"/>
      <x:c r="X2465" t="str">
        <x:v>offen</x:v>
      </x:c>
      <x:c r="Y2465" t="str">
        <x:v>Agent-Draft; Kategorie und Person pruefen</x:v>
      </x:c>
    </x:row>
    <x:row r="2466">
      <x:c r="A2466" t="str">
        <x:v>TXN-RAW-IMP-20260516-FULLDRAFT-002450</x:v>
      </x:c>
      <x:c r="B2466" t="str">
        <x:v>RAW-IMP-20260516-FULLDRAFT-002450</x:v>
      </x:c>
      <x:c r="C2466" t="str">
        <x:v>KTO001</x:v>
      </x:c>
      <x:c r="D2466"/>
      <x:c r="E2466" t="str">
        <x:v>KAT013</x:v>
      </x:c>
      <x:c r="F2466"/>
      <x:c r="G2466"/>
      <x:c r="H2466" t="str">
        <x:v>kein_match</x:v>
      </x:c>
      <x:c r="I2466" t="str">
        <x:v>Agent-Draft: keine finale Regelentscheidung</x:v>
      </x:c>
      <x:c r="J2466" t="n">
        <x:v>45337</x:v>
      </x:c>
      <x:c r="K2466"/>
      <x:c r="L2466"/>
      <x:c r="M2466" t="n">
        <x:v>-4.99</x:v>
      </x:c>
      <x:c r="N2466" t="str">
        <x:v>2024-02</x:v>
      </x:c>
      <x:c r="O2466" t="str">
        <x:v>Ausgabe</x:v>
      </x:c>
      <x:c r="P2466" t="str">
        <x:v>Ist</x:v>
      </x:c>
      <x:c r="Q2466" s="59" t="b">
        <x:v>0</x:v>
      </x:c>
      <x:c r="R2466" t="str">
        <x:v>kein_transfer</x:v>
      </x:c>
      <x:c r="S2466"/>
      <x:c r="T2466"/>
      <x:c r="U2466"/>
      <x:c r="V2466" s="59" t="b">
        <x:v>1</x:v>
      </x:c>
      <x:c r="W2466"/>
      <x:c r="X2466" t="str">
        <x:v>offen</x:v>
      </x:c>
      <x:c r="Y2466" t="str">
        <x:v>Agent-Draft; Kategorie und Person pruefen</x:v>
      </x:c>
    </x:row>
    <x:row r="2467">
      <x:c r="A2467" t="str">
        <x:v>TXN-RAW-IMP-20260516-FULLDRAFT-002451</x:v>
      </x:c>
      <x:c r="B2467" t="str">
        <x:v>RAW-IMP-20260516-FULLDRAFT-002451</x:v>
      </x:c>
      <x:c r="C2467" t="str">
        <x:v>KTO001</x:v>
      </x:c>
      <x:c r="D2467"/>
      <x:c r="E2467" t="str">
        <x:v>KAT013</x:v>
      </x:c>
      <x:c r="F2467"/>
      <x:c r="G2467"/>
      <x:c r="H2467" t="str">
        <x:v>kein_match</x:v>
      </x:c>
      <x:c r="I2467" t="str">
        <x:v>Agent-Draft: keine finale Regelentscheidung</x:v>
      </x:c>
      <x:c r="J2467" t="n">
        <x:v>45337</x:v>
      </x:c>
      <x:c r="K2467"/>
      <x:c r="L2467"/>
      <x:c r="M2467" t="n">
        <x:v>-7.44</x:v>
      </x:c>
      <x:c r="N2467" t="str">
        <x:v>2024-02</x:v>
      </x:c>
      <x:c r="O2467" t="str">
        <x:v>Ausgabe</x:v>
      </x:c>
      <x:c r="P2467" t="str">
        <x:v>Ist</x:v>
      </x:c>
      <x:c r="Q2467" s="59" t="b">
        <x:v>0</x:v>
      </x:c>
      <x:c r="R2467" t="str">
        <x:v>kein_transfer</x:v>
      </x:c>
      <x:c r="S2467"/>
      <x:c r="T2467"/>
      <x:c r="U2467"/>
      <x:c r="V2467" s="59" t="b">
        <x:v>1</x:v>
      </x:c>
      <x:c r="W2467"/>
      <x:c r="X2467" t="str">
        <x:v>offen</x:v>
      </x:c>
      <x:c r="Y2467" t="str">
        <x:v>Agent-Draft; Kategorie und Person pruefen</x:v>
      </x:c>
    </x:row>
    <x:row r="2468">
      <x:c r="A2468" t="str">
        <x:v>TXN-RAW-IMP-20260516-FULLDRAFT-002452</x:v>
      </x:c>
      <x:c r="B2468" t="str">
        <x:v>RAW-IMP-20260516-FULLDRAFT-002452</x:v>
      </x:c>
      <x:c r="C2468" t="str">
        <x:v>KTO001</x:v>
      </x:c>
      <x:c r="D2468"/>
      <x:c r="E2468" t="str">
        <x:v>KAT013</x:v>
      </x:c>
      <x:c r="F2468"/>
      <x:c r="G2468"/>
      <x:c r="H2468" t="str">
        <x:v>kein_match</x:v>
      </x:c>
      <x:c r="I2468" t="str">
        <x:v>Agent-Draft: keine finale Regelentscheidung</x:v>
      </x:c>
      <x:c r="J2468" t="n">
        <x:v>45337</x:v>
      </x:c>
      <x:c r="K2468"/>
      <x:c r="L2468"/>
      <x:c r="M2468" t="n">
        <x:v>-6.99</x:v>
      </x:c>
      <x:c r="N2468" t="str">
        <x:v>2024-02</x:v>
      </x:c>
      <x:c r="O2468" t="str">
        <x:v>Ausgabe</x:v>
      </x:c>
      <x:c r="P2468" t="str">
        <x:v>Ist</x:v>
      </x:c>
      <x:c r="Q2468" s="59" t="b">
        <x:v>0</x:v>
      </x:c>
      <x:c r="R2468" t="str">
        <x:v>kein_transfer</x:v>
      </x:c>
      <x:c r="S2468"/>
      <x:c r="T2468"/>
      <x:c r="U2468"/>
      <x:c r="V2468" s="59" t="b">
        <x:v>1</x:v>
      </x:c>
      <x:c r="W2468"/>
      <x:c r="X2468" t="str">
        <x:v>offen</x:v>
      </x:c>
      <x:c r="Y2468" t="str">
        <x:v>Agent-Draft; Kategorie und Person pruefen</x:v>
      </x:c>
    </x:row>
    <x:row r="2469">
      <x:c r="A2469" t="str">
        <x:v>TXN-RAW-IMP-20260516-FULLDRAFT-002453</x:v>
      </x:c>
      <x:c r="B2469" t="str">
        <x:v>RAW-IMP-20260516-FULLDRAFT-002453</x:v>
      </x:c>
      <x:c r="C2469" t="str">
        <x:v>KTO001</x:v>
      </x:c>
      <x:c r="D2469"/>
      <x:c r="E2469" t="str">
        <x:v>KAT013</x:v>
      </x:c>
      <x:c r="F2469"/>
      <x:c r="G2469"/>
      <x:c r="H2469" t="str">
        <x:v>kein_match</x:v>
      </x:c>
      <x:c r="I2469" t="str">
        <x:v>Agent-Draft: keine finale Regelentscheidung</x:v>
      </x:c>
      <x:c r="J2469" t="n">
        <x:v>45337</x:v>
      </x:c>
      <x:c r="K2469"/>
      <x:c r="L2469"/>
      <x:c r="M2469" t="n">
        <x:v>-8.16</x:v>
      </x:c>
      <x:c r="N2469" t="str">
        <x:v>2024-02</x:v>
      </x:c>
      <x:c r="O2469" t="str">
        <x:v>Ausgabe</x:v>
      </x:c>
      <x:c r="P2469" t="str">
        <x:v>Ist</x:v>
      </x:c>
      <x:c r="Q2469" s="59" t="b">
        <x:v>0</x:v>
      </x:c>
      <x:c r="R2469" t="str">
        <x:v>kein_transfer</x:v>
      </x:c>
      <x:c r="S2469"/>
      <x:c r="T2469"/>
      <x:c r="U2469"/>
      <x:c r="V2469" s="59" t="b">
        <x:v>1</x:v>
      </x:c>
      <x:c r="W2469"/>
      <x:c r="X2469" t="str">
        <x:v>offen</x:v>
      </x:c>
      <x:c r="Y2469" t="str">
        <x:v>Agent-Draft; Kategorie und Person pruefen</x:v>
      </x:c>
    </x:row>
    <x:row r="2470">
      <x:c r="A2470" t="str">
        <x:v>TXN-RAW-IMP-20260516-FULLDRAFT-002454</x:v>
      </x:c>
      <x:c r="B2470" t="str">
        <x:v>RAW-IMP-20260516-FULLDRAFT-002454</x:v>
      </x:c>
      <x:c r="C2470" t="str">
        <x:v>KTO001</x:v>
      </x:c>
      <x:c r="D2470"/>
      <x:c r="E2470" t="str">
        <x:v>KAT013</x:v>
      </x:c>
      <x:c r="F2470"/>
      <x:c r="G2470"/>
      <x:c r="H2470" t="str">
        <x:v>kein_match</x:v>
      </x:c>
      <x:c r="I2470" t="str">
        <x:v>Agent-Draft: keine finale Regelentscheidung</x:v>
      </x:c>
      <x:c r="J2470" t="n">
        <x:v>45336</x:v>
      </x:c>
      <x:c r="K2470"/>
      <x:c r="L2470"/>
      <x:c r="M2470" t="n">
        <x:v>-10.07</x:v>
      </x:c>
      <x:c r="N2470" t="str">
        <x:v>2024-02</x:v>
      </x:c>
      <x:c r="O2470" t="str">
        <x:v>Ausgabe</x:v>
      </x:c>
      <x:c r="P2470" t="str">
        <x:v>Ist</x:v>
      </x:c>
      <x:c r="Q2470" s="59" t="b">
        <x:v>0</x:v>
      </x:c>
      <x:c r="R2470" t="str">
        <x:v>kein_transfer</x:v>
      </x:c>
      <x:c r="S2470"/>
      <x:c r="T2470"/>
      <x:c r="U2470"/>
      <x:c r="V2470" s="59" t="b">
        <x:v>1</x:v>
      </x:c>
      <x:c r="W2470"/>
      <x:c r="X2470" t="str">
        <x:v>offen</x:v>
      </x:c>
      <x:c r="Y2470" t="str">
        <x:v>Agent-Draft; Kategorie und Person pruefen</x:v>
      </x:c>
    </x:row>
    <x:row r="2471">
      <x:c r="A2471" t="str">
        <x:v>TXN-RAW-IMP-20260516-FULLDRAFT-002455</x:v>
      </x:c>
      <x:c r="B2471" t="str">
        <x:v>RAW-IMP-20260516-FULLDRAFT-002455</x:v>
      </x:c>
      <x:c r="C2471" t="str">
        <x:v>KTO001</x:v>
      </x:c>
      <x:c r="D2471"/>
      <x:c r="E2471" t="str">
        <x:v>KAT013</x:v>
      </x:c>
      <x:c r="F2471"/>
      <x:c r="G2471"/>
      <x:c r="H2471" t="str">
        <x:v>kein_match</x:v>
      </x:c>
      <x:c r="I2471" t="str">
        <x:v>Agent-Draft: keine finale Regelentscheidung</x:v>
      </x:c>
      <x:c r="J2471" t="n">
        <x:v>45336</x:v>
      </x:c>
      <x:c r="K2471"/>
      <x:c r="L2471"/>
      <x:c r="M2471" t="n">
        <x:v>-5</x:v>
      </x:c>
      <x:c r="N2471" t="str">
        <x:v>2024-02</x:v>
      </x:c>
      <x:c r="O2471" t="str">
        <x:v>Ausgabe</x:v>
      </x:c>
      <x:c r="P2471" t="str">
        <x:v>Ist</x:v>
      </x:c>
      <x:c r="Q2471" s="59" t="b">
        <x:v>0</x:v>
      </x:c>
      <x:c r="R2471" t="str">
        <x:v>kein_transfer</x:v>
      </x:c>
      <x:c r="S2471"/>
      <x:c r="T2471"/>
      <x:c r="U2471"/>
      <x:c r="V2471" s="59" t="b">
        <x:v>1</x:v>
      </x:c>
      <x:c r="W2471"/>
      <x:c r="X2471" t="str">
        <x:v>offen</x:v>
      </x:c>
      <x:c r="Y2471" t="str">
        <x:v>Agent-Draft; Kategorie und Person pruefen</x:v>
      </x:c>
    </x:row>
    <x:row r="2472">
      <x:c r="A2472" t="str">
        <x:v>TXN-RAW-IMP-20260516-FULLDRAFT-002456</x:v>
      </x:c>
      <x:c r="B2472" t="str">
        <x:v>RAW-IMP-20260516-FULLDRAFT-002456</x:v>
      </x:c>
      <x:c r="C2472" t="str">
        <x:v>KTO001</x:v>
      </x:c>
      <x:c r="D2472"/>
      <x:c r="E2472" t="str">
        <x:v>KAT013</x:v>
      </x:c>
      <x:c r="F2472"/>
      <x:c r="G2472"/>
      <x:c r="H2472" t="str">
        <x:v>kein_match</x:v>
      </x:c>
      <x:c r="I2472" t="str">
        <x:v>Agent-Draft: keine finale Regelentscheidung</x:v>
      </x:c>
      <x:c r="J2472" t="n">
        <x:v>45335</x:v>
      </x:c>
      <x:c r="K2472"/>
      <x:c r="L2472"/>
      <x:c r="M2472" t="n">
        <x:v>-1.59</x:v>
      </x:c>
      <x:c r="N2472" t="str">
        <x:v>2024-02</x:v>
      </x:c>
      <x:c r="O2472" t="str">
        <x:v>Ausgabe</x:v>
      </x:c>
      <x:c r="P2472" t="str">
        <x:v>Ist</x:v>
      </x:c>
      <x:c r="Q2472" s="59" t="b">
        <x:v>0</x:v>
      </x:c>
      <x:c r="R2472" t="str">
        <x:v>kein_transfer</x:v>
      </x:c>
      <x:c r="S2472"/>
      <x:c r="T2472"/>
      <x:c r="U2472"/>
      <x:c r="V2472" s="59" t="b">
        <x:v>1</x:v>
      </x:c>
      <x:c r="W2472"/>
      <x:c r="X2472" t="str">
        <x:v>offen</x:v>
      </x:c>
      <x:c r="Y2472" t="str">
        <x:v>Agent-Draft; Kategorie und Person pruefen</x:v>
      </x:c>
    </x:row>
    <x:row r="2473">
      <x:c r="A2473" t="str">
        <x:v>TXN-RAW-IMP-20260516-FULLDRAFT-002457</x:v>
      </x:c>
      <x:c r="B2473" t="str">
        <x:v>RAW-IMP-20260516-FULLDRAFT-002457</x:v>
      </x:c>
      <x:c r="C2473" t="str">
        <x:v>KTO001</x:v>
      </x:c>
      <x:c r="D2473"/>
      <x:c r="E2473" t="str">
        <x:v>KAT013</x:v>
      </x:c>
      <x:c r="F2473"/>
      <x:c r="G2473"/>
      <x:c r="H2473" t="str">
        <x:v>kein_match</x:v>
      </x:c>
      <x:c r="I2473" t="str">
        <x:v>Agent-Draft: keine finale Regelentscheidung</x:v>
      </x:c>
      <x:c r="J2473" t="n">
        <x:v>45335</x:v>
      </x:c>
      <x:c r="K2473"/>
      <x:c r="L2473"/>
      <x:c r="M2473" t="n">
        <x:v>-70</x:v>
      </x:c>
      <x:c r="N2473" t="str">
        <x:v>2024-02</x:v>
      </x:c>
      <x:c r="O2473" t="str">
        <x:v>Ausgabe</x:v>
      </x:c>
      <x:c r="P2473" t="str">
        <x:v>Ist</x:v>
      </x:c>
      <x:c r="Q2473" s="59" t="b">
        <x:v>0</x:v>
      </x:c>
      <x:c r="R2473" t="str">
        <x:v>kein_transfer</x:v>
      </x:c>
      <x:c r="S2473"/>
      <x:c r="T2473"/>
      <x:c r="U2473"/>
      <x:c r="V2473" s="59" t="b">
        <x:v>1</x:v>
      </x:c>
      <x:c r="W2473"/>
      <x:c r="X2473" t="str">
        <x:v>offen</x:v>
      </x:c>
      <x:c r="Y2473" t="str">
        <x:v>Agent-Draft; Kategorie und Person pruefen</x:v>
      </x:c>
    </x:row>
    <x:row r="2474">
      <x:c r="A2474" t="str">
        <x:v>TXN-RAW-IMP-20260516-FULLDRAFT-002458</x:v>
      </x:c>
      <x:c r="B2474" t="str">
        <x:v>RAW-IMP-20260516-FULLDRAFT-002458</x:v>
      </x:c>
      <x:c r="C2474" t="str">
        <x:v>KTO001</x:v>
      </x:c>
      <x:c r="D2474"/>
      <x:c r="E2474" t="str">
        <x:v>KAT013</x:v>
      </x:c>
      <x:c r="F2474"/>
      <x:c r="G2474"/>
      <x:c r="H2474" t="str">
        <x:v>kein_match</x:v>
      </x:c>
      <x:c r="I2474" t="str">
        <x:v>Agent-Draft: keine finale Regelentscheidung</x:v>
      </x:c>
      <x:c r="J2474" t="n">
        <x:v>45335</x:v>
      </x:c>
      <x:c r="K2474"/>
      <x:c r="L2474"/>
      <x:c r="M2474" t="n">
        <x:v>-1.14</x:v>
      </x:c>
      <x:c r="N2474" t="str">
        <x:v>2024-02</x:v>
      </x:c>
      <x:c r="O2474" t="str">
        <x:v>Ausgabe</x:v>
      </x:c>
      <x:c r="P2474" t="str">
        <x:v>Ist</x:v>
      </x:c>
      <x:c r="Q2474" s="59" t="b">
        <x:v>0</x:v>
      </x:c>
      <x:c r="R2474" t="str">
        <x:v>kein_transfer</x:v>
      </x:c>
      <x:c r="S2474"/>
      <x:c r="T2474"/>
      <x:c r="U2474"/>
      <x:c r="V2474" s="59" t="b">
        <x:v>1</x:v>
      </x:c>
      <x:c r="W2474"/>
      <x:c r="X2474" t="str">
        <x:v>offen</x:v>
      </x:c>
      <x:c r="Y2474" t="str">
        <x:v>Agent-Draft; Kategorie und Person pruefen</x:v>
      </x:c>
    </x:row>
    <x:row r="2475">
      <x:c r="A2475" t="str">
        <x:v>TXN-RAW-IMP-20260516-FULLDRAFT-002459</x:v>
      </x:c>
      <x:c r="B2475" t="str">
        <x:v>RAW-IMP-20260516-FULLDRAFT-002459</x:v>
      </x:c>
      <x:c r="C2475" t="str">
        <x:v>KTO001</x:v>
      </x:c>
      <x:c r="D2475"/>
      <x:c r="E2475" t="str">
        <x:v>KAT013</x:v>
      </x:c>
      <x:c r="F2475"/>
      <x:c r="G2475"/>
      <x:c r="H2475" t="str">
        <x:v>kein_match</x:v>
      </x:c>
      <x:c r="I2475" t="str">
        <x:v>Agent-Draft: keine finale Regelentscheidung</x:v>
      </x:c>
      <x:c r="J2475" t="n">
        <x:v>45334</x:v>
      </x:c>
      <x:c r="K2475"/>
      <x:c r="L2475"/>
      <x:c r="M2475" t="n">
        <x:v>-35</x:v>
      </x:c>
      <x:c r="N2475" t="str">
        <x:v>2024-02</x:v>
      </x:c>
      <x:c r="O2475" t="str">
        <x:v>Ausgabe</x:v>
      </x:c>
      <x:c r="P2475" t="str">
        <x:v>Ist</x:v>
      </x:c>
      <x:c r="Q2475" s="59" t="b">
        <x:v>0</x:v>
      </x:c>
      <x:c r="R2475" t="str">
        <x:v>kein_transfer</x:v>
      </x:c>
      <x:c r="S2475"/>
      <x:c r="T2475"/>
      <x:c r="U2475"/>
      <x:c r="V2475" s="59" t="b">
        <x:v>1</x:v>
      </x:c>
      <x:c r="W2475"/>
      <x:c r="X2475" t="str">
        <x:v>offen</x:v>
      </x:c>
      <x:c r="Y2475" t="str">
        <x:v>Agent-Draft; Kategorie und Person pruefen</x:v>
      </x:c>
    </x:row>
    <x:row r="2476">
      <x:c r="A2476" t="str">
        <x:v>TXN-RAW-IMP-20260516-FULLDRAFT-002460</x:v>
      </x:c>
      <x:c r="B2476" t="str">
        <x:v>RAW-IMP-20260516-FULLDRAFT-002460</x:v>
      </x:c>
      <x:c r="C2476" t="str">
        <x:v>KTO001</x:v>
      </x:c>
      <x:c r="D2476"/>
      <x:c r="E2476" t="str">
        <x:v>KAT013</x:v>
      </x:c>
      <x:c r="F2476"/>
      <x:c r="G2476"/>
      <x:c r="H2476" t="str">
        <x:v>kein_match</x:v>
      </x:c>
      <x:c r="I2476" t="str">
        <x:v>Agent-Draft: keine finale Regelentscheidung</x:v>
      </x:c>
      <x:c r="J2476" t="n">
        <x:v>45334</x:v>
      </x:c>
      <x:c r="K2476"/>
      <x:c r="L2476"/>
      <x:c r="M2476" t="n">
        <x:v>-31.23</x:v>
      </x:c>
      <x:c r="N2476" t="str">
        <x:v>2024-02</x:v>
      </x:c>
      <x:c r="O2476" t="str">
        <x:v>Ausgabe</x:v>
      </x:c>
      <x:c r="P2476" t="str">
        <x:v>Ist</x:v>
      </x:c>
      <x:c r="Q2476" s="59" t="b">
        <x:v>0</x:v>
      </x:c>
      <x:c r="R2476" t="str">
        <x:v>kein_transfer</x:v>
      </x:c>
      <x:c r="S2476"/>
      <x:c r="T2476"/>
      <x:c r="U2476"/>
      <x:c r="V2476" s="59" t="b">
        <x:v>1</x:v>
      </x:c>
      <x:c r="W2476"/>
      <x:c r="X2476" t="str">
        <x:v>offen</x:v>
      </x:c>
      <x:c r="Y2476" t="str">
        <x:v>Agent-Draft; Kategorie und Person pruefen</x:v>
      </x:c>
    </x:row>
    <x:row r="2477">
      <x:c r="A2477" t="str">
        <x:v>TXN-RAW-IMP-20260516-FULLDRAFT-002461</x:v>
      </x:c>
      <x:c r="B2477" t="str">
        <x:v>RAW-IMP-20260516-FULLDRAFT-002461</x:v>
      </x:c>
      <x:c r="C2477" t="str">
        <x:v>KTO001</x:v>
      </x:c>
      <x:c r="D2477"/>
      <x:c r="E2477" t="str">
        <x:v>KAT013</x:v>
      </x:c>
      <x:c r="F2477"/>
      <x:c r="G2477"/>
      <x:c r="H2477" t="str">
        <x:v>kein_match</x:v>
      </x:c>
      <x:c r="I2477" t="str">
        <x:v>Agent-Draft: keine finale Regelentscheidung</x:v>
      </x:c>
      <x:c r="J2477" t="n">
        <x:v>45334</x:v>
      </x:c>
      <x:c r="K2477"/>
      <x:c r="L2477"/>
      <x:c r="M2477" t="n">
        <x:v>-23.49</x:v>
      </x:c>
      <x:c r="N2477" t="str">
        <x:v>2024-02</x:v>
      </x:c>
      <x:c r="O2477" t="str">
        <x:v>Ausgabe</x:v>
      </x:c>
      <x:c r="P2477" t="str">
        <x:v>Ist</x:v>
      </x:c>
      <x:c r="Q2477" s="59" t="b">
        <x:v>0</x:v>
      </x:c>
      <x:c r="R2477" t="str">
        <x:v>kein_transfer</x:v>
      </x:c>
      <x:c r="S2477"/>
      <x:c r="T2477"/>
      <x:c r="U2477"/>
      <x:c r="V2477" s="59" t="b">
        <x:v>1</x:v>
      </x:c>
      <x:c r="W2477"/>
      <x:c r="X2477" t="str">
        <x:v>offen</x:v>
      </x:c>
      <x:c r="Y2477" t="str">
        <x:v>Agent-Draft; Kategorie und Person pruefen</x:v>
      </x:c>
    </x:row>
    <x:row r="2478">
      <x:c r="A2478" t="str">
        <x:v>TXN-RAW-IMP-20260516-FULLDRAFT-002462</x:v>
      </x:c>
      <x:c r="B2478" t="str">
        <x:v>RAW-IMP-20260516-FULLDRAFT-002462</x:v>
      </x:c>
      <x:c r="C2478" t="str">
        <x:v>KTO001</x:v>
      </x:c>
      <x:c r="D2478"/>
      <x:c r="E2478" t="str">
        <x:v>KAT013</x:v>
      </x:c>
      <x:c r="F2478"/>
      <x:c r="G2478"/>
      <x:c r="H2478" t="str">
        <x:v>kein_match</x:v>
      </x:c>
      <x:c r="I2478" t="str">
        <x:v>Agent-Draft: keine finale Regelentscheidung</x:v>
      </x:c>
      <x:c r="J2478" t="n">
        <x:v>45334</x:v>
      </x:c>
      <x:c r="K2478"/>
      <x:c r="L2478"/>
      <x:c r="M2478" t="n">
        <x:v>-4.73</x:v>
      </x:c>
      <x:c r="N2478" t="str">
        <x:v>2024-02</x:v>
      </x:c>
      <x:c r="O2478" t="str">
        <x:v>Ausgabe</x:v>
      </x:c>
      <x:c r="P2478" t="str">
        <x:v>Ist</x:v>
      </x:c>
      <x:c r="Q2478" s="59" t="b">
        <x:v>0</x:v>
      </x:c>
      <x:c r="R2478" t="str">
        <x:v>kein_transfer</x:v>
      </x:c>
      <x:c r="S2478"/>
      <x:c r="T2478"/>
      <x:c r="U2478"/>
      <x:c r="V2478" s="59" t="b">
        <x:v>1</x:v>
      </x:c>
      <x:c r="W2478"/>
      <x:c r="X2478" t="str">
        <x:v>offen</x:v>
      </x:c>
      <x:c r="Y2478" t="str">
        <x:v>Agent-Draft; Kategorie und Person pruefen</x:v>
      </x:c>
    </x:row>
    <x:row r="2479">
      <x:c r="A2479" t="str">
        <x:v>TXN-RAW-IMP-20260516-FULLDRAFT-002463</x:v>
      </x:c>
      <x:c r="B2479" t="str">
        <x:v>RAW-IMP-20260516-FULLDRAFT-002463</x:v>
      </x:c>
      <x:c r="C2479" t="str">
        <x:v>KTO001</x:v>
      </x:c>
      <x:c r="D2479"/>
      <x:c r="E2479" t="str">
        <x:v>KAT013</x:v>
      </x:c>
      <x:c r="F2479"/>
      <x:c r="G2479"/>
      <x:c r="H2479" t="str">
        <x:v>kein_match</x:v>
      </x:c>
      <x:c r="I2479" t="str">
        <x:v>Agent-Draft: keine finale Regelentscheidung</x:v>
      </x:c>
      <x:c r="J2479" t="n">
        <x:v>45334</x:v>
      </x:c>
      <x:c r="K2479"/>
      <x:c r="L2479"/>
      <x:c r="M2479" t="n">
        <x:v>-4</x:v>
      </x:c>
      <x:c r="N2479" t="str">
        <x:v>2024-02</x:v>
      </x:c>
      <x:c r="O2479" t="str">
        <x:v>Ausgabe</x:v>
      </x:c>
      <x:c r="P2479" t="str">
        <x:v>Ist</x:v>
      </x:c>
      <x:c r="Q2479" s="59" t="b">
        <x:v>0</x:v>
      </x:c>
      <x:c r="R2479" t="str">
        <x:v>kein_transfer</x:v>
      </x:c>
      <x:c r="S2479"/>
      <x:c r="T2479"/>
      <x:c r="U2479"/>
      <x:c r="V2479" s="59" t="b">
        <x:v>1</x:v>
      </x:c>
      <x:c r="W2479"/>
      <x:c r="X2479" t="str">
        <x:v>offen</x:v>
      </x:c>
      <x:c r="Y2479" t="str">
        <x:v>Agent-Draft; Kategorie und Person pruefen</x:v>
      </x:c>
    </x:row>
    <x:row r="2480">
      <x:c r="A2480" t="str">
        <x:v>TXN-RAW-IMP-20260516-FULLDRAFT-002464</x:v>
      </x:c>
      <x:c r="B2480" t="str">
        <x:v>RAW-IMP-20260516-FULLDRAFT-002464</x:v>
      </x:c>
      <x:c r="C2480" t="str">
        <x:v>KTO001</x:v>
      </x:c>
      <x:c r="D2480"/>
      <x:c r="E2480" t="str">
        <x:v>KAT013</x:v>
      </x:c>
      <x:c r="F2480"/>
      <x:c r="G2480"/>
      <x:c r="H2480" t="str">
        <x:v>kein_match</x:v>
      </x:c>
      <x:c r="I2480" t="str">
        <x:v>Agent-Draft: keine finale Regelentscheidung</x:v>
      </x:c>
      <x:c r="J2480" t="n">
        <x:v>45334</x:v>
      </x:c>
      <x:c r="K2480"/>
      <x:c r="L2480"/>
      <x:c r="M2480" t="n">
        <x:v>-69.98</x:v>
      </x:c>
      <x:c r="N2480" t="str">
        <x:v>2024-02</x:v>
      </x:c>
      <x:c r="O2480" t="str">
        <x:v>Ausgabe</x:v>
      </x:c>
      <x:c r="P2480" t="str">
        <x:v>Ist</x:v>
      </x:c>
      <x:c r="Q2480" s="59" t="b">
        <x:v>0</x:v>
      </x:c>
      <x:c r="R2480" t="str">
        <x:v>kein_transfer</x:v>
      </x:c>
      <x:c r="S2480"/>
      <x:c r="T2480"/>
      <x:c r="U2480"/>
      <x:c r="V2480" s="59" t="b">
        <x:v>1</x:v>
      </x:c>
      <x:c r="W2480"/>
      <x:c r="X2480" t="str">
        <x:v>offen</x:v>
      </x:c>
      <x:c r="Y2480" t="str">
        <x:v>Agent-Draft; Kategorie und Person pruefen</x:v>
      </x:c>
    </x:row>
    <x:row r="2481">
      <x:c r="A2481" t="str">
        <x:v>TXN-RAW-IMP-20260516-FULLDRAFT-002465</x:v>
      </x:c>
      <x:c r="B2481" t="str">
        <x:v>RAW-IMP-20260516-FULLDRAFT-002465</x:v>
      </x:c>
      <x:c r="C2481" t="str">
        <x:v>KTO001</x:v>
      </x:c>
      <x:c r="D2481"/>
      <x:c r="E2481" t="str">
        <x:v>KAT013</x:v>
      </x:c>
      <x:c r="F2481"/>
      <x:c r="G2481"/>
      <x:c r="H2481" t="str">
        <x:v>kein_match</x:v>
      </x:c>
      <x:c r="I2481" t="str">
        <x:v>Agent-Draft: keine finale Regelentscheidung</x:v>
      </x:c>
      <x:c r="J2481" t="n">
        <x:v>45334</x:v>
      </x:c>
      <x:c r="K2481"/>
      <x:c r="L2481"/>
      <x:c r="M2481" t="n">
        <x:v>-7</x:v>
      </x:c>
      <x:c r="N2481" t="str">
        <x:v>2024-02</x:v>
      </x:c>
      <x:c r="O2481" t="str">
        <x:v>Ausgabe</x:v>
      </x:c>
      <x:c r="P2481" t="str">
        <x:v>Ist</x:v>
      </x:c>
      <x:c r="Q2481" s="59" t="b">
        <x:v>0</x:v>
      </x:c>
      <x:c r="R2481" t="str">
        <x:v>kein_transfer</x:v>
      </x:c>
      <x:c r="S2481"/>
      <x:c r="T2481"/>
      <x:c r="U2481"/>
      <x:c r="V2481" s="59" t="b">
        <x:v>1</x:v>
      </x:c>
      <x:c r="W2481"/>
      <x:c r="X2481" t="str">
        <x:v>offen</x:v>
      </x:c>
      <x:c r="Y2481" t="str">
        <x:v>Agent-Draft; Kategorie und Person pruefen</x:v>
      </x:c>
    </x:row>
    <x:row r="2482">
      <x:c r="A2482" t="str">
        <x:v>TXN-RAW-IMP-20260516-FULLDRAFT-002466</x:v>
      </x:c>
      <x:c r="B2482" t="str">
        <x:v>RAW-IMP-20260516-FULLDRAFT-002466</x:v>
      </x:c>
      <x:c r="C2482" t="str">
        <x:v>KTO001</x:v>
      </x:c>
      <x:c r="D2482"/>
      <x:c r="E2482" t="str">
        <x:v>KAT013</x:v>
      </x:c>
      <x:c r="F2482"/>
      <x:c r="G2482"/>
      <x:c r="H2482" t="str">
        <x:v>kein_match</x:v>
      </x:c>
      <x:c r="I2482" t="str">
        <x:v>Agent-Draft: keine finale Regelentscheidung</x:v>
      </x:c>
      <x:c r="J2482" t="n">
        <x:v>45334</x:v>
      </x:c>
      <x:c r="K2482"/>
      <x:c r="L2482"/>
      <x:c r="M2482" t="n">
        <x:v>-8.95</x:v>
      </x:c>
      <x:c r="N2482" t="str">
        <x:v>2024-02</x:v>
      </x:c>
      <x:c r="O2482" t="str">
        <x:v>Ausgabe</x:v>
      </x:c>
      <x:c r="P2482" t="str">
        <x:v>Ist</x:v>
      </x:c>
      <x:c r="Q2482" s="59" t="b">
        <x:v>0</x:v>
      </x:c>
      <x:c r="R2482" t="str">
        <x:v>kein_transfer</x:v>
      </x:c>
      <x:c r="S2482"/>
      <x:c r="T2482"/>
      <x:c r="U2482"/>
      <x:c r="V2482" s="59" t="b">
        <x:v>1</x:v>
      </x:c>
      <x:c r="W2482"/>
      <x:c r="X2482" t="str">
        <x:v>offen</x:v>
      </x:c>
      <x:c r="Y2482" t="str">
        <x:v>Agent-Draft; Kategorie und Person pruefen</x:v>
      </x:c>
    </x:row>
    <x:row r="2483">
      <x:c r="A2483" t="str">
        <x:v>TXN-RAW-IMP-20260516-FULLDRAFT-002467</x:v>
      </x:c>
      <x:c r="B2483" t="str">
        <x:v>RAW-IMP-20260516-FULLDRAFT-002467</x:v>
      </x:c>
      <x:c r="C2483" t="str">
        <x:v>KTO001</x:v>
      </x:c>
      <x:c r="D2483"/>
      <x:c r="E2483" t="str">
        <x:v>KAT013</x:v>
      </x:c>
      <x:c r="F2483"/>
      <x:c r="G2483"/>
      <x:c r="H2483" t="str">
        <x:v>kein_match</x:v>
      </x:c>
      <x:c r="I2483" t="str">
        <x:v>Agent-Draft: keine finale Regelentscheidung</x:v>
      </x:c>
      <x:c r="J2483" t="n">
        <x:v>45334</x:v>
      </x:c>
      <x:c r="K2483"/>
      <x:c r="L2483"/>
      <x:c r="M2483" t="n">
        <x:v>-93.97</x:v>
      </x:c>
      <x:c r="N2483" t="str">
        <x:v>2024-02</x:v>
      </x:c>
      <x:c r="O2483" t="str">
        <x:v>Ausgabe</x:v>
      </x:c>
      <x:c r="P2483" t="str">
        <x:v>Ist</x:v>
      </x:c>
      <x:c r="Q2483" s="59" t="b">
        <x:v>0</x:v>
      </x:c>
      <x:c r="R2483" t="str">
        <x:v>kein_transfer</x:v>
      </x:c>
      <x:c r="S2483"/>
      <x:c r="T2483"/>
      <x:c r="U2483"/>
      <x:c r="V2483" s="59" t="b">
        <x:v>1</x:v>
      </x:c>
      <x:c r="W2483"/>
      <x:c r="X2483" t="str">
        <x:v>offen</x:v>
      </x:c>
      <x:c r="Y2483" t="str">
        <x:v>Agent-Draft; Kategorie und Person pruefen</x:v>
      </x:c>
    </x:row>
    <x:row r="2484">
      <x:c r="A2484" t="str">
        <x:v>TXN-RAW-IMP-20260516-FULLDRAFT-002468</x:v>
      </x:c>
      <x:c r="B2484" t="str">
        <x:v>RAW-IMP-20260516-FULLDRAFT-002468</x:v>
      </x:c>
      <x:c r="C2484" t="str">
        <x:v>KTO001</x:v>
      </x:c>
      <x:c r="D2484"/>
      <x:c r="E2484" t="str">
        <x:v>KAT013</x:v>
      </x:c>
      <x:c r="F2484"/>
      <x:c r="G2484"/>
      <x:c r="H2484" t="str">
        <x:v>kein_match</x:v>
      </x:c>
      <x:c r="I2484" t="str">
        <x:v>Agent-Draft: keine finale Regelentscheidung</x:v>
      </x:c>
      <x:c r="J2484" t="n">
        <x:v>45334</x:v>
      </x:c>
      <x:c r="K2484"/>
      <x:c r="L2484"/>
      <x:c r="M2484" t="n">
        <x:v>-0.99</x:v>
      </x:c>
      <x:c r="N2484" t="str">
        <x:v>2024-02</x:v>
      </x:c>
      <x:c r="O2484" t="str">
        <x:v>Ausgabe</x:v>
      </x:c>
      <x:c r="P2484" t="str">
        <x:v>Ist</x:v>
      </x:c>
      <x:c r="Q2484" s="59" t="b">
        <x:v>0</x:v>
      </x:c>
      <x:c r="R2484" t="str">
        <x:v>kein_transfer</x:v>
      </x:c>
      <x:c r="S2484"/>
      <x:c r="T2484"/>
      <x:c r="U2484"/>
      <x:c r="V2484" s="59" t="b">
        <x:v>1</x:v>
      </x:c>
      <x:c r="W2484"/>
      <x:c r="X2484" t="str">
        <x:v>offen</x:v>
      </x:c>
      <x:c r="Y2484" t="str">
        <x:v>Agent-Draft; Kategorie und Person pruefen</x:v>
      </x:c>
    </x:row>
    <x:row r="2485">
      <x:c r="A2485" t="str">
        <x:v>TXN-RAW-IMP-20260516-FULLDRAFT-002469</x:v>
      </x:c>
      <x:c r="B2485" t="str">
        <x:v>RAW-IMP-20260516-FULLDRAFT-002469</x:v>
      </x:c>
      <x:c r="C2485" t="str">
        <x:v>KTO001</x:v>
      </x:c>
      <x:c r="D2485"/>
      <x:c r="E2485" t="str">
        <x:v>KAT013</x:v>
      </x:c>
      <x:c r="F2485"/>
      <x:c r="G2485"/>
      <x:c r="H2485" t="str">
        <x:v>kein_match</x:v>
      </x:c>
      <x:c r="I2485" t="str">
        <x:v>Agent-Draft: keine finale Regelentscheidung</x:v>
      </x:c>
      <x:c r="J2485" t="n">
        <x:v>45334</x:v>
      </x:c>
      <x:c r="K2485"/>
      <x:c r="L2485"/>
      <x:c r="M2485" t="n">
        <x:v>-0.99</x:v>
      </x:c>
      <x:c r="N2485" t="str">
        <x:v>2024-02</x:v>
      </x:c>
      <x:c r="O2485" t="str">
        <x:v>Ausgabe</x:v>
      </x:c>
      <x:c r="P2485" t="str">
        <x:v>Ist</x:v>
      </x:c>
      <x:c r="Q2485" s="59" t="b">
        <x:v>0</x:v>
      </x:c>
      <x:c r="R2485" t="str">
        <x:v>kein_transfer</x:v>
      </x:c>
      <x:c r="S2485"/>
      <x:c r="T2485"/>
      <x:c r="U2485"/>
      <x:c r="V2485" s="59" t="b">
        <x:v>1</x:v>
      </x:c>
      <x:c r="W2485"/>
      <x:c r="X2485" t="str">
        <x:v>offen</x:v>
      </x:c>
      <x:c r="Y2485" t="str">
        <x:v>Agent-Draft; Kategorie und Person pruefen</x:v>
      </x:c>
    </x:row>
    <x:row r="2486">
      <x:c r="A2486" t="str">
        <x:v>TXN-RAW-IMP-20260516-FULLDRAFT-002470</x:v>
      </x:c>
      <x:c r="B2486" t="str">
        <x:v>RAW-IMP-20260516-FULLDRAFT-002470</x:v>
      </x:c>
      <x:c r="C2486" t="str">
        <x:v>KTO001</x:v>
      </x:c>
      <x:c r="D2486"/>
      <x:c r="E2486" t="str">
        <x:v>KAT013</x:v>
      </x:c>
      <x:c r="F2486"/>
      <x:c r="G2486"/>
      <x:c r="H2486" t="str">
        <x:v>kein_match</x:v>
      </x:c>
      <x:c r="I2486" t="str">
        <x:v>Agent-Draft: keine finale Regelentscheidung</x:v>
      </x:c>
      <x:c r="J2486" t="n">
        <x:v>45334</x:v>
      </x:c>
      <x:c r="K2486"/>
      <x:c r="L2486"/>
      <x:c r="M2486" t="n">
        <x:v>-0.99</x:v>
      </x:c>
      <x:c r="N2486" t="str">
        <x:v>2024-02</x:v>
      </x:c>
      <x:c r="O2486" t="str">
        <x:v>Ausgabe</x:v>
      </x:c>
      <x:c r="P2486" t="str">
        <x:v>Ist</x:v>
      </x:c>
      <x:c r="Q2486" s="59" t="b">
        <x:v>0</x:v>
      </x:c>
      <x:c r="R2486" t="str">
        <x:v>kein_transfer</x:v>
      </x:c>
      <x:c r="S2486"/>
      <x:c r="T2486"/>
      <x:c r="U2486"/>
      <x:c r="V2486" s="59" t="b">
        <x:v>1</x:v>
      </x:c>
      <x:c r="W2486"/>
      <x:c r="X2486" t="str">
        <x:v>offen</x:v>
      </x:c>
      <x:c r="Y2486" t="str">
        <x:v>Agent-Draft; Kategorie und Person pruefen</x:v>
      </x:c>
    </x:row>
    <x:row r="2487">
      <x:c r="A2487" t="str">
        <x:v>TXN-RAW-IMP-20260516-FULLDRAFT-002471</x:v>
      </x:c>
      <x:c r="B2487" t="str">
        <x:v>RAW-IMP-20260516-FULLDRAFT-002471</x:v>
      </x:c>
      <x:c r="C2487" t="str">
        <x:v>KTO001</x:v>
      </x:c>
      <x:c r="D2487"/>
      <x:c r="E2487" t="str">
        <x:v>KAT013</x:v>
      </x:c>
      <x:c r="F2487"/>
      <x:c r="G2487"/>
      <x:c r="H2487" t="str">
        <x:v>kein_match</x:v>
      </x:c>
      <x:c r="I2487" t="str">
        <x:v>Agent-Draft: keine finale Regelentscheidung</x:v>
      </x:c>
      <x:c r="J2487" t="n">
        <x:v>45334</x:v>
      </x:c>
      <x:c r="K2487"/>
      <x:c r="L2487"/>
      <x:c r="M2487" t="n">
        <x:v>-0.99</x:v>
      </x:c>
      <x:c r="N2487" t="str">
        <x:v>2024-02</x:v>
      </x:c>
      <x:c r="O2487" t="str">
        <x:v>Ausgabe</x:v>
      </x:c>
      <x:c r="P2487" t="str">
        <x:v>Ist</x:v>
      </x:c>
      <x:c r="Q2487" s="59" t="b">
        <x:v>0</x:v>
      </x:c>
      <x:c r="R2487" t="str">
        <x:v>kein_transfer</x:v>
      </x:c>
      <x:c r="S2487"/>
      <x:c r="T2487"/>
      <x:c r="U2487"/>
      <x:c r="V2487" s="59" t="b">
        <x:v>1</x:v>
      </x:c>
      <x:c r="W2487"/>
      <x:c r="X2487" t="str">
        <x:v>offen</x:v>
      </x:c>
      <x:c r="Y2487" t="str">
        <x:v>Agent-Draft; Kategorie und Person pruefen</x:v>
      </x:c>
    </x:row>
    <x:row r="2488">
      <x:c r="A2488" t="str">
        <x:v>TXN-RAW-IMP-20260516-FULLDRAFT-002472</x:v>
      </x:c>
      <x:c r="B2488" t="str">
        <x:v>RAW-IMP-20260516-FULLDRAFT-002472</x:v>
      </x:c>
      <x:c r="C2488" t="str">
        <x:v>KTO001</x:v>
      </x:c>
      <x:c r="D2488"/>
      <x:c r="E2488" t="str">
        <x:v>KAT013</x:v>
      </x:c>
      <x:c r="F2488"/>
      <x:c r="G2488"/>
      <x:c r="H2488" t="str">
        <x:v>kein_match</x:v>
      </x:c>
      <x:c r="I2488" t="str">
        <x:v>Agent-Draft: keine finale Regelentscheidung</x:v>
      </x:c>
      <x:c r="J2488" t="n">
        <x:v>45334</x:v>
      </x:c>
      <x:c r="K2488"/>
      <x:c r="L2488"/>
      <x:c r="M2488" t="n">
        <x:v>-5.99</x:v>
      </x:c>
      <x:c r="N2488" t="str">
        <x:v>2024-02</x:v>
      </x:c>
      <x:c r="O2488" t="str">
        <x:v>Ausgabe</x:v>
      </x:c>
      <x:c r="P2488" t="str">
        <x:v>Ist</x:v>
      </x:c>
      <x:c r="Q2488" s="59" t="b">
        <x:v>0</x:v>
      </x:c>
      <x:c r="R2488" t="str">
        <x:v>kein_transfer</x:v>
      </x:c>
      <x:c r="S2488"/>
      <x:c r="T2488"/>
      <x:c r="U2488"/>
      <x:c r="V2488" s="59" t="b">
        <x:v>1</x:v>
      </x:c>
      <x:c r="W2488"/>
      <x:c r="X2488" t="str">
        <x:v>offen</x:v>
      </x:c>
      <x:c r="Y2488" t="str">
        <x:v>Agent-Draft; Kategorie und Person pruefen</x:v>
      </x:c>
    </x:row>
    <x:row r="2489">
      <x:c r="A2489" t="str">
        <x:v>TXN-RAW-IMP-20260516-FULLDRAFT-002473</x:v>
      </x:c>
      <x:c r="B2489" t="str">
        <x:v>RAW-IMP-20260516-FULLDRAFT-002473</x:v>
      </x:c>
      <x:c r="C2489" t="str">
        <x:v>KTO001</x:v>
      </x:c>
      <x:c r="D2489"/>
      <x:c r="E2489" t="str">
        <x:v>KAT013</x:v>
      </x:c>
      <x:c r="F2489"/>
      <x:c r="G2489"/>
      <x:c r="H2489" t="str">
        <x:v>kein_match</x:v>
      </x:c>
      <x:c r="I2489" t="str">
        <x:v>Agent-Draft: keine finale Regelentscheidung</x:v>
      </x:c>
      <x:c r="J2489" t="n">
        <x:v>45331</x:v>
      </x:c>
      <x:c r="K2489"/>
      <x:c r="L2489"/>
      <x:c r="M2489" t="n">
        <x:v>-63.2</x:v>
      </x:c>
      <x:c r="N2489" t="str">
        <x:v>2024-02</x:v>
      </x:c>
      <x:c r="O2489" t="str">
        <x:v>Ausgabe</x:v>
      </x:c>
      <x:c r="P2489" t="str">
        <x:v>Ist</x:v>
      </x:c>
      <x:c r="Q2489" s="59" t="b">
        <x:v>0</x:v>
      </x:c>
      <x:c r="R2489" t="str">
        <x:v>kein_transfer</x:v>
      </x:c>
      <x:c r="S2489"/>
      <x:c r="T2489"/>
      <x:c r="U2489"/>
      <x:c r="V2489" s="59" t="b">
        <x:v>1</x:v>
      </x:c>
      <x:c r="W2489"/>
      <x:c r="X2489" t="str">
        <x:v>offen</x:v>
      </x:c>
      <x:c r="Y2489" t="str">
        <x:v>Agent-Draft; Kategorie und Person pruefen</x:v>
      </x:c>
    </x:row>
    <x:row r="2490">
      <x:c r="A2490" t="str">
        <x:v>TXN-RAW-IMP-20260516-FULLDRAFT-002474</x:v>
      </x:c>
      <x:c r="B2490" t="str">
        <x:v>RAW-IMP-20260516-FULLDRAFT-002474</x:v>
      </x:c>
      <x:c r="C2490" t="str">
        <x:v>KTO001</x:v>
      </x:c>
      <x:c r="D2490"/>
      <x:c r="E2490" t="str">
        <x:v>KAT013</x:v>
      </x:c>
      <x:c r="F2490"/>
      <x:c r="G2490"/>
      <x:c r="H2490" t="str">
        <x:v>kein_match</x:v>
      </x:c>
      <x:c r="I2490" t="str">
        <x:v>Agent-Draft: keine finale Regelentscheidung</x:v>
      </x:c>
      <x:c r="J2490" t="n">
        <x:v>45331</x:v>
      </x:c>
      <x:c r="K2490"/>
      <x:c r="L2490"/>
      <x:c r="M2490" t="n">
        <x:v>-2.69</x:v>
      </x:c>
      <x:c r="N2490" t="str">
        <x:v>2024-02</x:v>
      </x:c>
      <x:c r="O2490" t="str">
        <x:v>Ausgabe</x:v>
      </x:c>
      <x:c r="P2490" t="str">
        <x:v>Ist</x:v>
      </x:c>
      <x:c r="Q2490" s="59" t="b">
        <x:v>0</x:v>
      </x:c>
      <x:c r="R2490" t="str">
        <x:v>kein_transfer</x:v>
      </x:c>
      <x:c r="S2490"/>
      <x:c r="T2490"/>
      <x:c r="U2490"/>
      <x:c r="V2490" s="59" t="b">
        <x:v>1</x:v>
      </x:c>
      <x:c r="W2490"/>
      <x:c r="X2490" t="str">
        <x:v>offen</x:v>
      </x:c>
      <x:c r="Y2490" t="str">
        <x:v>Agent-Draft; Kategorie und Person pruefen</x:v>
      </x:c>
    </x:row>
    <x:row r="2491">
      <x:c r="A2491" t="str">
        <x:v>TXN-RAW-IMP-20260516-FULLDRAFT-002475</x:v>
      </x:c>
      <x:c r="B2491" t="str">
        <x:v>RAW-IMP-20260516-FULLDRAFT-002475</x:v>
      </x:c>
      <x:c r="C2491" t="str">
        <x:v>KTO001</x:v>
      </x:c>
      <x:c r="D2491"/>
      <x:c r="E2491" t="str">
        <x:v>KAT013</x:v>
      </x:c>
      <x:c r="F2491"/>
      <x:c r="G2491"/>
      <x:c r="H2491" t="str">
        <x:v>kein_match</x:v>
      </x:c>
      <x:c r="I2491" t="str">
        <x:v>Agent-Draft: keine finale Regelentscheidung</x:v>
      </x:c>
      <x:c r="J2491" t="n">
        <x:v>45330</x:v>
      </x:c>
      <x:c r="K2491"/>
      <x:c r="L2491"/>
      <x:c r="M2491" t="n">
        <x:v>-11.18</x:v>
      </x:c>
      <x:c r="N2491" t="str">
        <x:v>2024-02</x:v>
      </x:c>
      <x:c r="O2491" t="str">
        <x:v>Ausgabe</x:v>
      </x:c>
      <x:c r="P2491" t="str">
        <x:v>Ist</x:v>
      </x:c>
      <x:c r="Q2491" s="59" t="b">
        <x:v>0</x:v>
      </x:c>
      <x:c r="R2491" t="str">
        <x:v>kein_transfer</x:v>
      </x:c>
      <x:c r="S2491"/>
      <x:c r="T2491"/>
      <x:c r="U2491"/>
      <x:c r="V2491" s="59" t="b">
        <x:v>1</x:v>
      </x:c>
      <x:c r="W2491"/>
      <x:c r="X2491" t="str">
        <x:v>offen</x:v>
      </x:c>
      <x:c r="Y2491" t="str">
        <x:v>Agent-Draft; Kategorie und Person pruefen</x:v>
      </x:c>
    </x:row>
    <x:row r="2492">
      <x:c r="A2492" t="str">
        <x:v>TXN-RAW-IMP-20260516-FULLDRAFT-002476</x:v>
      </x:c>
      <x:c r="B2492" t="str">
        <x:v>RAW-IMP-20260516-FULLDRAFT-002476</x:v>
      </x:c>
      <x:c r="C2492" t="str">
        <x:v>KTO001</x:v>
      </x:c>
      <x:c r="D2492"/>
      <x:c r="E2492" t="str">
        <x:v>KAT013</x:v>
      </x:c>
      <x:c r="F2492"/>
      <x:c r="G2492"/>
      <x:c r="H2492" t="str">
        <x:v>kein_match</x:v>
      </x:c>
      <x:c r="I2492" t="str">
        <x:v>Agent-Draft: keine finale Regelentscheidung</x:v>
      </x:c>
      <x:c r="J2492" t="n">
        <x:v>45329</x:v>
      </x:c>
      <x:c r="K2492"/>
      <x:c r="L2492"/>
      <x:c r="M2492" t="n">
        <x:v>-302.05</x:v>
      </x:c>
      <x:c r="N2492" t="str">
        <x:v>2024-02</x:v>
      </x:c>
      <x:c r="O2492" t="str">
        <x:v>Ausgabe</x:v>
      </x:c>
      <x:c r="P2492" t="str">
        <x:v>Ist</x:v>
      </x:c>
      <x:c r="Q2492" s="59" t="b">
        <x:v>0</x:v>
      </x:c>
      <x:c r="R2492" t="str">
        <x:v>kein_transfer</x:v>
      </x:c>
      <x:c r="S2492"/>
      <x:c r="T2492"/>
      <x:c r="U2492"/>
      <x:c r="V2492" s="59" t="b">
        <x:v>1</x:v>
      </x:c>
      <x:c r="W2492"/>
      <x:c r="X2492" t="str">
        <x:v>offen</x:v>
      </x:c>
      <x:c r="Y2492" t="str">
        <x:v>Agent-Draft; Kategorie und Person pruefen</x:v>
      </x:c>
    </x:row>
    <x:row r="2493">
      <x:c r="A2493" t="str">
        <x:v>TXN-RAW-IMP-20260516-FULLDRAFT-002477</x:v>
      </x:c>
      <x:c r="B2493" t="str">
        <x:v>RAW-IMP-20260516-FULLDRAFT-002477</x:v>
      </x:c>
      <x:c r="C2493" t="str">
        <x:v>KTO001</x:v>
      </x:c>
      <x:c r="D2493"/>
      <x:c r="E2493" t="str">
        <x:v>KAT013</x:v>
      </x:c>
      <x:c r="F2493"/>
      <x:c r="G2493"/>
      <x:c r="H2493" t="str">
        <x:v>kein_match</x:v>
      </x:c>
      <x:c r="I2493" t="str">
        <x:v>Agent-Draft: keine finale Regelentscheidung</x:v>
      </x:c>
      <x:c r="J2493" t="n">
        <x:v>45328</x:v>
      </x:c>
      <x:c r="K2493"/>
      <x:c r="L2493"/>
      <x:c r="M2493" t="n">
        <x:v>-8.71</x:v>
      </x:c>
      <x:c r="N2493" t="str">
        <x:v>2024-02</x:v>
      </x:c>
      <x:c r="O2493" t="str">
        <x:v>Ausgabe</x:v>
      </x:c>
      <x:c r="P2493" t="str">
        <x:v>Ist</x:v>
      </x:c>
      <x:c r="Q2493" s="59" t="b">
        <x:v>0</x:v>
      </x:c>
      <x:c r="R2493" t="str">
        <x:v>kein_transfer</x:v>
      </x:c>
      <x:c r="S2493"/>
      <x:c r="T2493"/>
      <x:c r="U2493"/>
      <x:c r="V2493" s="59" t="b">
        <x:v>1</x:v>
      </x:c>
      <x:c r="W2493"/>
      <x:c r="X2493" t="str">
        <x:v>offen</x:v>
      </x:c>
      <x:c r="Y2493" t="str">
        <x:v>Agent-Draft; Kategorie und Person pruefen</x:v>
      </x:c>
    </x:row>
    <x:row r="2494">
      <x:c r="A2494" t="str">
        <x:v>TXN-RAW-IMP-20260516-FULLDRAFT-002478</x:v>
      </x:c>
      <x:c r="B2494" t="str">
        <x:v>RAW-IMP-20260516-FULLDRAFT-002478</x:v>
      </x:c>
      <x:c r="C2494" t="str">
        <x:v>KTO001</x:v>
      </x:c>
      <x:c r="D2494"/>
      <x:c r="E2494" t="str">
        <x:v>KAT013</x:v>
      </x:c>
      <x:c r="F2494"/>
      <x:c r="G2494"/>
      <x:c r="H2494" t="str">
        <x:v>kein_match</x:v>
      </x:c>
      <x:c r="I2494" t="str">
        <x:v>Agent-Draft: keine finale Regelentscheidung</x:v>
      </x:c>
      <x:c r="J2494" t="n">
        <x:v>45328</x:v>
      </x:c>
      <x:c r="K2494"/>
      <x:c r="L2494"/>
      <x:c r="M2494" t="n">
        <x:v>-61.94</x:v>
      </x:c>
      <x:c r="N2494" t="str">
        <x:v>2024-02</x:v>
      </x:c>
      <x:c r="O2494" t="str">
        <x:v>Ausgabe</x:v>
      </x:c>
      <x:c r="P2494" t="str">
        <x:v>Ist</x:v>
      </x:c>
      <x:c r="Q2494" s="59" t="b">
        <x:v>0</x:v>
      </x:c>
      <x:c r="R2494" t="str">
        <x:v>kein_transfer</x:v>
      </x:c>
      <x:c r="S2494"/>
      <x:c r="T2494"/>
      <x:c r="U2494"/>
      <x:c r="V2494" s="59" t="b">
        <x:v>1</x:v>
      </x:c>
      <x:c r="W2494"/>
      <x:c r="X2494" t="str">
        <x:v>offen</x:v>
      </x:c>
      <x:c r="Y2494" t="str">
        <x:v>Agent-Draft; Kategorie und Person pruefen</x:v>
      </x:c>
    </x:row>
    <x:row r="2495">
      <x:c r="A2495" t="str">
        <x:v>TXN-RAW-IMP-20260516-FULLDRAFT-002479</x:v>
      </x:c>
      <x:c r="B2495" t="str">
        <x:v>RAW-IMP-20260516-FULLDRAFT-002479</x:v>
      </x:c>
      <x:c r="C2495" t="str">
        <x:v>KTO001</x:v>
      </x:c>
      <x:c r="D2495"/>
      <x:c r="E2495" t="str">
        <x:v>KAT013</x:v>
      </x:c>
      <x:c r="F2495"/>
      <x:c r="G2495"/>
      <x:c r="H2495" t="str">
        <x:v>kein_match</x:v>
      </x:c>
      <x:c r="I2495" t="str">
        <x:v>Agent-Draft: keine finale Regelentscheidung</x:v>
      </x:c>
      <x:c r="J2495" t="n">
        <x:v>45328</x:v>
      </x:c>
      <x:c r="K2495"/>
      <x:c r="L2495"/>
      <x:c r="M2495" t="n">
        <x:v>-49.9</x:v>
      </x:c>
      <x:c r="N2495" t="str">
        <x:v>2024-02</x:v>
      </x:c>
      <x:c r="O2495" t="str">
        <x:v>Ausgabe</x:v>
      </x:c>
      <x:c r="P2495" t="str">
        <x:v>Ist</x:v>
      </x:c>
      <x:c r="Q2495" s="59" t="b">
        <x:v>0</x:v>
      </x:c>
      <x:c r="R2495" t="str">
        <x:v>kein_transfer</x:v>
      </x:c>
      <x:c r="S2495"/>
      <x:c r="T2495"/>
      <x:c r="U2495"/>
      <x:c r="V2495" s="59" t="b">
        <x:v>1</x:v>
      </x:c>
      <x:c r="W2495"/>
      <x:c r="X2495" t="str">
        <x:v>offen</x:v>
      </x:c>
      <x:c r="Y2495" t="str">
        <x:v>Agent-Draft; Kategorie und Person pruefen</x:v>
      </x:c>
    </x:row>
    <x:row r="2496">
      <x:c r="A2496" t="str">
        <x:v>TXN-RAW-IMP-20260516-FULLDRAFT-002480</x:v>
      </x:c>
      <x:c r="B2496" t="str">
        <x:v>RAW-IMP-20260516-FULLDRAFT-002480</x:v>
      </x:c>
      <x:c r="C2496" t="str">
        <x:v>KTO001</x:v>
      </x:c>
      <x:c r="D2496"/>
      <x:c r="E2496" t="str">
        <x:v>KAT013</x:v>
      </x:c>
      <x:c r="F2496"/>
      <x:c r="G2496"/>
      <x:c r="H2496" t="str">
        <x:v>kein_match</x:v>
      </x:c>
      <x:c r="I2496" t="str">
        <x:v>Agent-Draft: keine finale Regelentscheidung</x:v>
      </x:c>
      <x:c r="J2496" t="n">
        <x:v>45327</x:v>
      </x:c>
      <x:c r="K2496"/>
      <x:c r="L2496"/>
      <x:c r="M2496" t="n">
        <x:v>-186.39</x:v>
      </x:c>
      <x:c r="N2496" t="str">
        <x:v>2024-02</x:v>
      </x:c>
      <x:c r="O2496" t="str">
        <x:v>Ausgabe</x:v>
      </x:c>
      <x:c r="P2496" t="str">
        <x:v>Ist</x:v>
      </x:c>
      <x:c r="Q2496" s="59" t="b">
        <x:v>0</x:v>
      </x:c>
      <x:c r="R2496" t="str">
        <x:v>kein_transfer</x:v>
      </x:c>
      <x:c r="S2496"/>
      <x:c r="T2496"/>
      <x:c r="U2496"/>
      <x:c r="V2496" s="59" t="b">
        <x:v>1</x:v>
      </x:c>
      <x:c r="W2496"/>
      <x:c r="X2496" t="str">
        <x:v>offen</x:v>
      </x:c>
      <x:c r="Y2496" t="str">
        <x:v>Agent-Draft; Kategorie und Person pruefen</x:v>
      </x:c>
    </x:row>
    <x:row r="2497">
      <x:c r="A2497" t="str">
        <x:v>TXN-RAW-IMP-20260516-FULLDRAFT-002481</x:v>
      </x:c>
      <x:c r="B2497" t="str">
        <x:v>RAW-IMP-20260516-FULLDRAFT-002481</x:v>
      </x:c>
      <x:c r="C2497" t="str">
        <x:v>KTO001</x:v>
      </x:c>
      <x:c r="D2497"/>
      <x:c r="E2497" t="str">
        <x:v>KAT013</x:v>
      </x:c>
      <x:c r="F2497"/>
      <x:c r="G2497"/>
      <x:c r="H2497" t="str">
        <x:v>kein_match</x:v>
      </x:c>
      <x:c r="I2497" t="str">
        <x:v>Agent-Draft: keine finale Regelentscheidung</x:v>
      </x:c>
      <x:c r="J2497" t="n">
        <x:v>45327</x:v>
      </x:c>
      <x:c r="K2497"/>
      <x:c r="L2497"/>
      <x:c r="M2497" t="n">
        <x:v>-0.99</x:v>
      </x:c>
      <x:c r="N2497" t="str">
        <x:v>2024-02</x:v>
      </x:c>
      <x:c r="O2497" t="str">
        <x:v>Ausgabe</x:v>
      </x:c>
      <x:c r="P2497" t="str">
        <x:v>Ist</x:v>
      </x:c>
      <x:c r="Q2497" s="59" t="b">
        <x:v>0</x:v>
      </x:c>
      <x:c r="R2497" t="str">
        <x:v>kein_transfer</x:v>
      </x:c>
      <x:c r="S2497"/>
      <x:c r="T2497"/>
      <x:c r="U2497"/>
      <x:c r="V2497" s="59" t="b">
        <x:v>1</x:v>
      </x:c>
      <x:c r="W2497"/>
      <x:c r="X2497" t="str">
        <x:v>offen</x:v>
      </x:c>
      <x:c r="Y2497" t="str">
        <x:v>Agent-Draft; Kategorie und Person pruefen</x:v>
      </x:c>
    </x:row>
    <x:row r="2498">
      <x:c r="A2498" t="str">
        <x:v>TXN-RAW-IMP-20260516-FULLDRAFT-002482</x:v>
      </x:c>
      <x:c r="B2498" t="str">
        <x:v>RAW-IMP-20260516-FULLDRAFT-002482</x:v>
      </x:c>
      <x:c r="C2498" t="str">
        <x:v>KTO001</x:v>
      </x:c>
      <x:c r="D2498"/>
      <x:c r="E2498" t="str">
        <x:v>KAT013</x:v>
      </x:c>
      <x:c r="F2498"/>
      <x:c r="G2498"/>
      <x:c r="H2498" t="str">
        <x:v>kein_match</x:v>
      </x:c>
      <x:c r="I2498" t="str">
        <x:v>Agent-Draft: keine finale Regelentscheidung</x:v>
      </x:c>
      <x:c r="J2498" t="n">
        <x:v>45327</x:v>
      </x:c>
      <x:c r="K2498"/>
      <x:c r="L2498"/>
      <x:c r="M2498" t="n">
        <x:v>-24</x:v>
      </x:c>
      <x:c r="N2498" t="str">
        <x:v>2024-02</x:v>
      </x:c>
      <x:c r="O2498" t="str">
        <x:v>Ausgabe</x:v>
      </x:c>
      <x:c r="P2498" t="str">
        <x:v>Ist</x:v>
      </x:c>
      <x:c r="Q2498" s="59" t="b">
        <x:v>0</x:v>
      </x:c>
      <x:c r="R2498" t="str">
        <x:v>kein_transfer</x:v>
      </x:c>
      <x:c r="S2498"/>
      <x:c r="T2498"/>
      <x:c r="U2498"/>
      <x:c r="V2498" s="59" t="b">
        <x:v>1</x:v>
      </x:c>
      <x:c r="W2498"/>
      <x:c r="X2498" t="str">
        <x:v>offen</x:v>
      </x:c>
      <x:c r="Y2498" t="str">
        <x:v>Agent-Draft; Kategorie und Person pruefen</x:v>
      </x:c>
    </x:row>
    <x:row r="2499">
      <x:c r="A2499" t="str">
        <x:v>TXN-RAW-IMP-20260516-FULLDRAFT-002483</x:v>
      </x:c>
      <x:c r="B2499" t="str">
        <x:v>RAW-IMP-20260516-FULLDRAFT-002483</x:v>
      </x:c>
      <x:c r="C2499" t="str">
        <x:v>KTO001</x:v>
      </x:c>
      <x:c r="D2499"/>
      <x:c r="E2499" t="str">
        <x:v>KAT013</x:v>
      </x:c>
      <x:c r="F2499"/>
      <x:c r="G2499"/>
      <x:c r="H2499" t="str">
        <x:v>kein_match</x:v>
      </x:c>
      <x:c r="I2499" t="str">
        <x:v>Agent-Draft: keine finale Regelentscheidung</x:v>
      </x:c>
      <x:c r="J2499" t="n">
        <x:v>45327</x:v>
      </x:c>
      <x:c r="K2499"/>
      <x:c r="L2499"/>
      <x:c r="M2499" t="n">
        <x:v>-4.5</x:v>
      </x:c>
      <x:c r="N2499" t="str">
        <x:v>2024-02</x:v>
      </x:c>
      <x:c r="O2499" t="str">
        <x:v>Ausgabe</x:v>
      </x:c>
      <x:c r="P2499" t="str">
        <x:v>Ist</x:v>
      </x:c>
      <x:c r="Q2499" s="59" t="b">
        <x:v>0</x:v>
      </x:c>
      <x:c r="R2499" t="str">
        <x:v>kein_transfer</x:v>
      </x:c>
      <x:c r="S2499"/>
      <x:c r="T2499"/>
      <x:c r="U2499"/>
      <x:c r="V2499" s="59" t="b">
        <x:v>1</x:v>
      </x:c>
      <x:c r="W2499"/>
      <x:c r="X2499" t="str">
        <x:v>offen</x:v>
      </x:c>
      <x:c r="Y2499" t="str">
        <x:v>Agent-Draft; Kategorie und Person pruefen</x:v>
      </x:c>
    </x:row>
    <x:row r="2500">
      <x:c r="A2500" t="str">
        <x:v>TXN-RAW-IMP-20260516-FULLDRAFT-002484</x:v>
      </x:c>
      <x:c r="B2500" t="str">
        <x:v>RAW-IMP-20260516-FULLDRAFT-002484</x:v>
      </x:c>
      <x:c r="C2500" t="str">
        <x:v>KTO001</x:v>
      </x:c>
      <x:c r="D2500"/>
      <x:c r="E2500" t="str">
        <x:v>KAT013</x:v>
      </x:c>
      <x:c r="F2500"/>
      <x:c r="G2500"/>
      <x:c r="H2500" t="str">
        <x:v>kein_match</x:v>
      </x:c>
      <x:c r="I2500" t="str">
        <x:v>Agent-Draft: keine finale Regelentscheidung</x:v>
      </x:c>
      <x:c r="J2500" t="n">
        <x:v>45327</x:v>
      </x:c>
      <x:c r="K2500"/>
      <x:c r="L2500"/>
      <x:c r="M2500" t="n">
        <x:v>-70</x:v>
      </x:c>
      <x:c r="N2500" t="str">
        <x:v>2024-02</x:v>
      </x:c>
      <x:c r="O2500" t="str">
        <x:v>Ausgabe</x:v>
      </x:c>
      <x:c r="P2500" t="str">
        <x:v>Ist</x:v>
      </x:c>
      <x:c r="Q2500" s="59" t="b">
        <x:v>0</x:v>
      </x:c>
      <x:c r="R2500" t="str">
        <x:v>kein_transfer</x:v>
      </x:c>
      <x:c r="S2500"/>
      <x:c r="T2500"/>
      <x:c r="U2500"/>
      <x:c r="V2500" s="59" t="b">
        <x:v>1</x:v>
      </x:c>
      <x:c r="W2500"/>
      <x:c r="X2500" t="str">
        <x:v>offen</x:v>
      </x:c>
      <x:c r="Y2500" t="str">
        <x:v>Agent-Draft; Kategorie und Person pruefen</x:v>
      </x:c>
    </x:row>
    <x:row r="2501">
      <x:c r="A2501" t="str">
        <x:v>TXN-RAW-IMP-20260516-FULLDRAFT-002485</x:v>
      </x:c>
      <x:c r="B2501" t="str">
        <x:v>RAW-IMP-20260516-FULLDRAFT-002485</x:v>
      </x:c>
      <x:c r="C2501" t="str">
        <x:v>KTO001</x:v>
      </x:c>
      <x:c r="D2501"/>
      <x:c r="E2501" t="str">
        <x:v>KAT013</x:v>
      </x:c>
      <x:c r="F2501"/>
      <x:c r="G2501"/>
      <x:c r="H2501" t="str">
        <x:v>kein_match</x:v>
      </x:c>
      <x:c r="I2501" t="str">
        <x:v>Agent-Draft: keine finale Regelentscheidung</x:v>
      </x:c>
      <x:c r="J2501" t="n">
        <x:v>45327</x:v>
      </x:c>
      <x:c r="K2501"/>
      <x:c r="L2501"/>
      <x:c r="M2501" t="n">
        <x:v>-13.9</x:v>
      </x:c>
      <x:c r="N2501" t="str">
        <x:v>2024-02</x:v>
      </x:c>
      <x:c r="O2501" t="str">
        <x:v>Ausgabe</x:v>
      </x:c>
      <x:c r="P2501" t="str">
        <x:v>Ist</x:v>
      </x:c>
      <x:c r="Q2501" s="59" t="b">
        <x:v>0</x:v>
      </x:c>
      <x:c r="R2501" t="str">
        <x:v>kein_transfer</x:v>
      </x:c>
      <x:c r="S2501"/>
      <x:c r="T2501"/>
      <x:c r="U2501"/>
      <x:c r="V2501" s="59" t="b">
        <x:v>1</x:v>
      </x:c>
      <x:c r="W2501"/>
      <x:c r="X2501" t="str">
        <x:v>offen</x:v>
      </x:c>
      <x:c r="Y2501" t="str">
        <x:v>Agent-Draft; Kategorie und Person pruefen</x:v>
      </x:c>
    </x:row>
    <x:row r="2502">
      <x:c r="A2502" t="str">
        <x:v>TXN-RAW-IMP-20260516-FULLDRAFT-002486</x:v>
      </x:c>
      <x:c r="B2502" t="str">
        <x:v>RAW-IMP-20260516-FULLDRAFT-002486</x:v>
      </x:c>
      <x:c r="C2502" t="str">
        <x:v>KTO001</x:v>
      </x:c>
      <x:c r="D2502"/>
      <x:c r="E2502" t="str">
        <x:v>KAT013</x:v>
      </x:c>
      <x:c r="F2502"/>
      <x:c r="G2502"/>
      <x:c r="H2502" t="str">
        <x:v>kein_match</x:v>
      </x:c>
      <x:c r="I2502" t="str">
        <x:v>Agent-Draft: keine finale Regelentscheidung</x:v>
      </x:c>
      <x:c r="J2502" t="n">
        <x:v>45327</x:v>
      </x:c>
      <x:c r="K2502"/>
      <x:c r="L2502"/>
      <x:c r="M2502" t="n">
        <x:v>-6.1</x:v>
      </x:c>
      <x:c r="N2502" t="str">
        <x:v>2024-02</x:v>
      </x:c>
      <x:c r="O2502" t="str">
        <x:v>Ausgabe</x:v>
      </x:c>
      <x:c r="P2502" t="str">
        <x:v>Ist</x:v>
      </x:c>
      <x:c r="Q2502" s="59" t="b">
        <x:v>0</x:v>
      </x:c>
      <x:c r="R2502" t="str">
        <x:v>kein_transfer</x:v>
      </x:c>
      <x:c r="S2502"/>
      <x:c r="T2502"/>
      <x:c r="U2502"/>
      <x:c r="V2502" s="59" t="b">
        <x:v>1</x:v>
      </x:c>
      <x:c r="W2502"/>
      <x:c r="X2502" t="str">
        <x:v>offen</x:v>
      </x:c>
      <x:c r="Y2502" t="str">
        <x:v>Agent-Draft; Kategorie und Person pruefen</x:v>
      </x:c>
    </x:row>
    <x:row r="2503">
      <x:c r="A2503" t="str">
        <x:v>TXN-RAW-IMP-20260516-FULLDRAFT-002487</x:v>
      </x:c>
      <x:c r="B2503" t="str">
        <x:v>RAW-IMP-20260516-FULLDRAFT-002487</x:v>
      </x:c>
      <x:c r="C2503" t="str">
        <x:v>KTO001</x:v>
      </x:c>
      <x:c r="D2503"/>
      <x:c r="E2503" t="str">
        <x:v>KAT013</x:v>
      </x:c>
      <x:c r="F2503"/>
      <x:c r="G2503"/>
      <x:c r="H2503" t="str">
        <x:v>kein_match</x:v>
      </x:c>
      <x:c r="I2503" t="str">
        <x:v>Agent-Draft: keine finale Regelentscheidung</x:v>
      </x:c>
      <x:c r="J2503" t="n">
        <x:v>45327</x:v>
      </x:c>
      <x:c r="K2503"/>
      <x:c r="L2503"/>
      <x:c r="M2503" t="n">
        <x:v>-6</x:v>
      </x:c>
      <x:c r="N2503" t="str">
        <x:v>2024-02</x:v>
      </x:c>
      <x:c r="O2503" t="str">
        <x:v>Ausgabe</x:v>
      </x:c>
      <x:c r="P2503" t="str">
        <x:v>Ist</x:v>
      </x:c>
      <x:c r="Q2503" s="59" t="b">
        <x:v>0</x:v>
      </x:c>
      <x:c r="R2503" t="str">
        <x:v>kein_transfer</x:v>
      </x:c>
      <x:c r="S2503"/>
      <x:c r="T2503"/>
      <x:c r="U2503"/>
      <x:c r="V2503" s="59" t="b">
        <x:v>1</x:v>
      </x:c>
      <x:c r="W2503"/>
      <x:c r="X2503" t="str">
        <x:v>offen</x:v>
      </x:c>
      <x:c r="Y2503" t="str">
        <x:v>Agent-Draft; Kategorie und Person pruefen</x:v>
      </x:c>
    </x:row>
    <x:row r="2504">
      <x:c r="A2504" t="str">
        <x:v>TXN-RAW-IMP-20260516-FULLDRAFT-002488</x:v>
      </x:c>
      <x:c r="B2504" t="str">
        <x:v>RAW-IMP-20260516-FULLDRAFT-002488</x:v>
      </x:c>
      <x:c r="C2504" t="str">
        <x:v>KTO001</x:v>
      </x:c>
      <x:c r="D2504"/>
      <x:c r="E2504" t="str">
        <x:v>KAT013</x:v>
      </x:c>
      <x:c r="F2504"/>
      <x:c r="G2504"/>
      <x:c r="H2504" t="str">
        <x:v>kein_match</x:v>
      </x:c>
      <x:c r="I2504" t="str">
        <x:v>Agent-Draft: keine finale Regelentscheidung</x:v>
      </x:c>
      <x:c r="J2504" t="n">
        <x:v>45327</x:v>
      </x:c>
      <x:c r="K2504"/>
      <x:c r="L2504"/>
      <x:c r="M2504" t="n">
        <x:v>-1600</x:v>
      </x:c>
      <x:c r="N2504" t="str">
        <x:v>2024-02</x:v>
      </x:c>
      <x:c r="O2504" t="str">
        <x:v>Ausgabe</x:v>
      </x:c>
      <x:c r="P2504" t="str">
        <x:v>Ist</x:v>
      </x:c>
      <x:c r="Q2504" s="59" t="b">
        <x:v>0</x:v>
      </x:c>
      <x:c r="R2504" t="str">
        <x:v>kein_transfer</x:v>
      </x:c>
      <x:c r="S2504"/>
      <x:c r="T2504"/>
      <x:c r="U2504"/>
      <x:c r="V2504" s="59" t="b">
        <x:v>1</x:v>
      </x:c>
      <x:c r="W2504"/>
      <x:c r="X2504" t="str">
        <x:v>offen</x:v>
      </x:c>
      <x:c r="Y2504" t="str">
        <x:v>Agent-Draft; Kategorie und Person pruefen</x:v>
      </x:c>
    </x:row>
    <x:row r="2505">
      <x:c r="A2505" t="str">
        <x:v>TXN-RAW-IMP-20260516-FULLDRAFT-002489</x:v>
      </x:c>
      <x:c r="B2505" t="str">
        <x:v>RAW-IMP-20260516-FULLDRAFT-002489</x:v>
      </x:c>
      <x:c r="C2505" t="str">
        <x:v>KTO001</x:v>
      </x:c>
      <x:c r="D2505"/>
      <x:c r="E2505" t="str">
        <x:v>KAT013</x:v>
      </x:c>
      <x:c r="F2505"/>
      <x:c r="G2505"/>
      <x:c r="H2505" t="str">
        <x:v>kein_match</x:v>
      </x:c>
      <x:c r="I2505" t="str">
        <x:v>Agent-Draft: keine finale Regelentscheidung</x:v>
      </x:c>
      <x:c r="J2505" t="n">
        <x:v>45324</x:v>
      </x:c>
      <x:c r="K2505"/>
      <x:c r="L2505"/>
      <x:c r="M2505" t="n">
        <x:v>-11.96</x:v>
      </x:c>
      <x:c r="N2505" t="str">
        <x:v>2024-02</x:v>
      </x:c>
      <x:c r="O2505" t="str">
        <x:v>Ausgabe</x:v>
      </x:c>
      <x:c r="P2505" t="str">
        <x:v>Ist</x:v>
      </x:c>
      <x:c r="Q2505" s="59" t="b">
        <x:v>0</x:v>
      </x:c>
      <x:c r="R2505" t="str">
        <x:v>kein_transfer</x:v>
      </x:c>
      <x:c r="S2505"/>
      <x:c r="T2505"/>
      <x:c r="U2505"/>
      <x:c r="V2505" s="59" t="b">
        <x:v>1</x:v>
      </x:c>
      <x:c r="W2505"/>
      <x:c r="X2505" t="str">
        <x:v>offen</x:v>
      </x:c>
      <x:c r="Y2505" t="str">
        <x:v>Agent-Draft; Kategorie und Person pruefen</x:v>
      </x:c>
    </x:row>
    <x:row r="2506">
      <x:c r="A2506" t="str">
        <x:v>TXN-RAW-IMP-20260516-FULLDRAFT-002490</x:v>
      </x:c>
      <x:c r="B2506" t="str">
        <x:v>RAW-IMP-20260516-FULLDRAFT-002490</x:v>
      </x:c>
      <x:c r="C2506" t="str">
        <x:v>KTO001</x:v>
      </x:c>
      <x:c r="D2506"/>
      <x:c r="E2506" t="str">
        <x:v>KAT013</x:v>
      </x:c>
      <x:c r="F2506"/>
      <x:c r="G2506"/>
      <x:c r="H2506" t="str">
        <x:v>kein_match</x:v>
      </x:c>
      <x:c r="I2506" t="str">
        <x:v>Agent-Draft: keine finale Regelentscheidung</x:v>
      </x:c>
      <x:c r="J2506" t="n">
        <x:v>45324</x:v>
      </x:c>
      <x:c r="K2506"/>
      <x:c r="L2506"/>
      <x:c r="M2506" t="n">
        <x:v>-54.5</x:v>
      </x:c>
      <x:c r="N2506" t="str">
        <x:v>2024-02</x:v>
      </x:c>
      <x:c r="O2506" t="str">
        <x:v>Ausgabe</x:v>
      </x:c>
      <x:c r="P2506" t="str">
        <x:v>Ist</x:v>
      </x:c>
      <x:c r="Q2506" s="59" t="b">
        <x:v>0</x:v>
      </x:c>
      <x:c r="R2506" t="str">
        <x:v>kein_transfer</x:v>
      </x:c>
      <x:c r="S2506"/>
      <x:c r="T2506"/>
      <x:c r="U2506"/>
      <x:c r="V2506" s="59" t="b">
        <x:v>1</x:v>
      </x:c>
      <x:c r="W2506"/>
      <x:c r="X2506" t="str">
        <x:v>offen</x:v>
      </x:c>
      <x:c r="Y2506" t="str">
        <x:v>Agent-Draft; Kategorie und Person pruefen</x:v>
      </x:c>
    </x:row>
    <x:row r="2507">
      <x:c r="A2507" t="str">
        <x:v>TXN-RAW-IMP-20260516-FULLDRAFT-002491</x:v>
      </x:c>
      <x:c r="B2507" t="str">
        <x:v>RAW-IMP-20260516-FULLDRAFT-002491</x:v>
      </x:c>
      <x:c r="C2507" t="str">
        <x:v>KTO001</x:v>
      </x:c>
      <x:c r="D2507"/>
      <x:c r="E2507" t="str">
        <x:v>KAT013</x:v>
      </x:c>
      <x:c r="F2507"/>
      <x:c r="G2507"/>
      <x:c r="H2507" t="str">
        <x:v>kein_match</x:v>
      </x:c>
      <x:c r="I2507" t="str">
        <x:v>Agent-Draft: keine finale Regelentscheidung</x:v>
      </x:c>
      <x:c r="J2507" t="n">
        <x:v>45324</x:v>
      </x:c>
      <x:c r="K2507"/>
      <x:c r="L2507"/>
      <x:c r="M2507" t="n">
        <x:v>-60</x:v>
      </x:c>
      <x:c r="N2507" t="str">
        <x:v>2024-02</x:v>
      </x:c>
      <x:c r="O2507" t="str">
        <x:v>Ausgabe</x:v>
      </x:c>
      <x:c r="P2507" t="str">
        <x:v>Ist</x:v>
      </x:c>
      <x:c r="Q2507" s="59" t="b">
        <x:v>0</x:v>
      </x:c>
      <x:c r="R2507" t="str">
        <x:v>kein_transfer</x:v>
      </x:c>
      <x:c r="S2507"/>
      <x:c r="T2507"/>
      <x:c r="U2507"/>
      <x:c r="V2507" s="59" t="b">
        <x:v>1</x:v>
      </x:c>
      <x:c r="W2507"/>
      <x:c r="X2507" t="str">
        <x:v>offen</x:v>
      </x:c>
      <x:c r="Y2507" t="str">
        <x:v>Agent-Draft; Kategorie und Person pruefen</x:v>
      </x:c>
    </x:row>
    <x:row r="2508">
      <x:c r="A2508" t="str">
        <x:v>TXN-RAW-IMP-20260516-FULLDRAFT-002492</x:v>
      </x:c>
      <x:c r="B2508" t="str">
        <x:v>RAW-IMP-20260516-FULLDRAFT-002492</x:v>
      </x:c>
      <x:c r="C2508" t="str">
        <x:v>KTO001</x:v>
      </x:c>
      <x:c r="D2508"/>
      <x:c r="E2508" t="str">
        <x:v>KAT013</x:v>
      </x:c>
      <x:c r="F2508"/>
      <x:c r="G2508"/>
      <x:c r="H2508" t="str">
        <x:v>kein_match</x:v>
      </x:c>
      <x:c r="I2508" t="str">
        <x:v>Agent-Draft: keine finale Regelentscheidung</x:v>
      </x:c>
      <x:c r="J2508" t="n">
        <x:v>45323</x:v>
      </x:c>
      <x:c r="K2508"/>
      <x:c r="L2508"/>
      <x:c r="M2508" t="n">
        <x:v>2000</x:v>
      </x:c>
      <x:c r="N2508" t="str">
        <x:v>2024-02</x:v>
      </x:c>
      <x:c r="O2508" t="str">
        <x:v>Einnahme</x:v>
      </x:c>
      <x:c r="P2508" t="str">
        <x:v>Ist</x:v>
      </x:c>
      <x:c r="Q2508" s="59" t="b">
        <x:v>0</x:v>
      </x:c>
      <x:c r="R2508" t="str">
        <x:v>kein_transfer</x:v>
      </x:c>
      <x:c r="S2508"/>
      <x:c r="T2508"/>
      <x:c r="U2508"/>
      <x:c r="V2508" s="59" t="b">
        <x:v>1</x:v>
      </x:c>
      <x:c r="W2508"/>
      <x:c r="X2508" t="str">
        <x:v>offen</x:v>
      </x:c>
      <x:c r="Y2508" t="str">
        <x:v>Agent-Draft; Kategorie und Person pruefen</x:v>
      </x:c>
    </x:row>
    <x:row r="2509">
      <x:c r="A2509" t="str">
        <x:v>TXN-RAW-IMP-20260516-FULLDRAFT-002493</x:v>
      </x:c>
      <x:c r="B2509" t="str">
        <x:v>RAW-IMP-20260516-FULLDRAFT-002493</x:v>
      </x:c>
      <x:c r="C2509" t="str">
        <x:v>KTO001</x:v>
      </x:c>
      <x:c r="D2509"/>
      <x:c r="E2509" t="str">
        <x:v>KAT013</x:v>
      </x:c>
      <x:c r="F2509"/>
      <x:c r="G2509"/>
      <x:c r="H2509" t="str">
        <x:v>kein_match</x:v>
      </x:c>
      <x:c r="I2509" t="str">
        <x:v>Agent-Draft: keine finale Regelentscheidung</x:v>
      </x:c>
      <x:c r="J2509" t="n">
        <x:v>45323</x:v>
      </x:c>
      <x:c r="K2509"/>
      <x:c r="L2509"/>
      <x:c r="M2509" t="n">
        <x:v>750</x:v>
      </x:c>
      <x:c r="N2509" t="str">
        <x:v>2024-02</x:v>
      </x:c>
      <x:c r="O2509" t="str">
        <x:v>Einnahme</x:v>
      </x:c>
      <x:c r="P2509" t="str">
        <x:v>Ist</x:v>
      </x:c>
      <x:c r="Q2509" s="59" t="b">
        <x:v>0</x:v>
      </x:c>
      <x:c r="R2509" t="str">
        <x:v>kein_transfer</x:v>
      </x:c>
      <x:c r="S2509"/>
      <x:c r="T2509"/>
      <x:c r="U2509"/>
      <x:c r="V2509" s="59" t="b">
        <x:v>1</x:v>
      </x:c>
      <x:c r="W2509"/>
      <x:c r="X2509" t="str">
        <x:v>offen</x:v>
      </x:c>
      <x:c r="Y2509" t="str">
        <x:v>Agent-Draft; Kategorie und Person pruefen</x:v>
      </x:c>
    </x:row>
    <x:row r="2510">
      <x:c r="A2510" t="str">
        <x:v>TXN-RAW-IMP-20260516-FULLDRAFT-002494</x:v>
      </x:c>
      <x:c r="B2510" t="str">
        <x:v>RAW-IMP-20260516-FULLDRAFT-002494</x:v>
      </x:c>
      <x:c r="C2510" t="str">
        <x:v>KTO001</x:v>
      </x:c>
      <x:c r="D2510"/>
      <x:c r="E2510" t="str">
        <x:v>KAT013</x:v>
      </x:c>
      <x:c r="F2510"/>
      <x:c r="G2510"/>
      <x:c r="H2510" t="str">
        <x:v>kein_match</x:v>
      </x:c>
      <x:c r="I2510" t="str">
        <x:v>Agent-Draft: keine finale Regelentscheidung</x:v>
      </x:c>
      <x:c r="J2510" t="n">
        <x:v>45323</x:v>
      </x:c>
      <x:c r="K2510"/>
      <x:c r="L2510"/>
      <x:c r="M2510" t="n">
        <x:v>-12.99</x:v>
      </x:c>
      <x:c r="N2510" t="str">
        <x:v>2024-02</x:v>
      </x:c>
      <x:c r="O2510" t="str">
        <x:v>Ausgabe</x:v>
      </x:c>
      <x:c r="P2510" t="str">
        <x:v>Ist</x:v>
      </x:c>
      <x:c r="Q2510" s="59" t="b">
        <x:v>0</x:v>
      </x:c>
      <x:c r="R2510" t="str">
        <x:v>kein_transfer</x:v>
      </x:c>
      <x:c r="S2510"/>
      <x:c r="T2510"/>
      <x:c r="U2510"/>
      <x:c r="V2510" s="59" t="b">
        <x:v>1</x:v>
      </x:c>
      <x:c r="W2510"/>
      <x:c r="X2510" t="str">
        <x:v>offen</x:v>
      </x:c>
      <x:c r="Y2510" t="str">
        <x:v>Agent-Draft; Kategorie und Person pruefen</x:v>
      </x:c>
    </x:row>
    <x:row r="2511">
      <x:c r="A2511" t="str">
        <x:v>TXN-RAW-IMP-20260516-FULLDRAFT-002495</x:v>
      </x:c>
      <x:c r="B2511" t="str">
        <x:v>RAW-IMP-20260516-FULLDRAFT-002495</x:v>
      </x:c>
      <x:c r="C2511" t="str">
        <x:v>KTO001</x:v>
      </x:c>
      <x:c r="D2511"/>
      <x:c r="E2511" t="str">
        <x:v>KAT013</x:v>
      </x:c>
      <x:c r="F2511"/>
      <x:c r="G2511"/>
      <x:c r="H2511" t="str">
        <x:v>kein_match</x:v>
      </x:c>
      <x:c r="I2511" t="str">
        <x:v>Agent-Draft: keine finale Regelentscheidung</x:v>
      </x:c>
      <x:c r="J2511" t="n">
        <x:v>45323</x:v>
      </x:c>
      <x:c r="K2511"/>
      <x:c r="L2511"/>
      <x:c r="M2511" t="n">
        <x:v>-9.68</x:v>
      </x:c>
      <x:c r="N2511" t="str">
        <x:v>2024-02</x:v>
      </x:c>
      <x:c r="O2511" t="str">
        <x:v>Ausgabe</x:v>
      </x:c>
      <x:c r="P2511" t="str">
        <x:v>Ist</x:v>
      </x:c>
      <x:c r="Q2511" s="59" t="b">
        <x:v>0</x:v>
      </x:c>
      <x:c r="R2511" t="str">
        <x:v>kein_transfer</x:v>
      </x:c>
      <x:c r="S2511"/>
      <x:c r="T2511"/>
      <x:c r="U2511"/>
      <x:c r="V2511" s="59" t="b">
        <x:v>1</x:v>
      </x:c>
      <x:c r="W2511"/>
      <x:c r="X2511" t="str">
        <x:v>offen</x:v>
      </x:c>
      <x:c r="Y2511" t="str">
        <x:v>Agent-Draft; Kategorie und Person pruefen</x:v>
      </x:c>
    </x:row>
    <x:row r="2512">
      <x:c r="A2512" t="str">
        <x:v>TXN-RAW-IMP-20260516-FULLDRAFT-002496</x:v>
      </x:c>
      <x:c r="B2512" t="str">
        <x:v>RAW-IMP-20260516-FULLDRAFT-002496</x:v>
      </x:c>
      <x:c r="C2512" t="str">
        <x:v>KTO001</x:v>
      </x:c>
      <x:c r="D2512"/>
      <x:c r="E2512" t="str">
        <x:v>KAT013</x:v>
      </x:c>
      <x:c r="F2512"/>
      <x:c r="G2512"/>
      <x:c r="H2512" t="str">
        <x:v>kein_match</x:v>
      </x:c>
      <x:c r="I2512" t="str">
        <x:v>Agent-Draft: keine finale Regelentscheidung</x:v>
      </x:c>
      <x:c r="J2512" t="n">
        <x:v>45323</x:v>
      </x:c>
      <x:c r="K2512"/>
      <x:c r="L2512"/>
      <x:c r="M2512" t="n">
        <x:v>-66.15</x:v>
      </x:c>
      <x:c r="N2512" t="str">
        <x:v>2024-02</x:v>
      </x:c>
      <x:c r="O2512" t="str">
        <x:v>Ausgabe</x:v>
      </x:c>
      <x:c r="P2512" t="str">
        <x:v>Ist</x:v>
      </x:c>
      <x:c r="Q2512" s="59" t="b">
        <x:v>0</x:v>
      </x:c>
      <x:c r="R2512" t="str">
        <x:v>kein_transfer</x:v>
      </x:c>
      <x:c r="S2512"/>
      <x:c r="T2512"/>
      <x:c r="U2512"/>
      <x:c r="V2512" s="59" t="b">
        <x:v>1</x:v>
      </x:c>
      <x:c r="W2512"/>
      <x:c r="X2512" t="str">
        <x:v>offen</x:v>
      </x:c>
      <x:c r="Y2512" t="str">
        <x:v>Agent-Draft; Kategorie und Person pruefen</x:v>
      </x:c>
    </x:row>
    <x:row r="2513">
      <x:c r="A2513" t="str">
        <x:v>TXN-RAW-IMP-20260516-FULLDRAFT-002497</x:v>
      </x:c>
      <x:c r="B2513" t="str">
        <x:v>RAW-IMP-20260516-FULLDRAFT-002497</x:v>
      </x:c>
      <x:c r="C2513" t="str">
        <x:v>KTO001</x:v>
      </x:c>
      <x:c r="D2513"/>
      <x:c r="E2513" t="str">
        <x:v>KAT013</x:v>
      </x:c>
      <x:c r="F2513"/>
      <x:c r="G2513"/>
      <x:c r="H2513" t="str">
        <x:v>kein_match</x:v>
      </x:c>
      <x:c r="I2513" t="str">
        <x:v>Agent-Draft: keine finale Regelentscheidung</x:v>
      </x:c>
      <x:c r="J2513" t="n">
        <x:v>45323</x:v>
      </x:c>
      <x:c r="K2513"/>
      <x:c r="L2513"/>
      <x:c r="M2513" t="n">
        <x:v>-400</x:v>
      </x:c>
      <x:c r="N2513" t="str">
        <x:v>2024-02</x:v>
      </x:c>
      <x:c r="O2513" t="str">
        <x:v>Ausgabe</x:v>
      </x:c>
      <x:c r="P2513" t="str">
        <x:v>Ist</x:v>
      </x:c>
      <x:c r="Q2513" s="59" t="b">
        <x:v>0</x:v>
      </x:c>
      <x:c r="R2513" t="str">
        <x:v>kein_transfer</x:v>
      </x:c>
      <x:c r="S2513"/>
      <x:c r="T2513"/>
      <x:c r="U2513"/>
      <x:c r="V2513" s="59" t="b">
        <x:v>1</x:v>
      </x:c>
      <x:c r="W2513"/>
      <x:c r="X2513" t="str">
        <x:v>offen</x:v>
      </x:c>
      <x:c r="Y2513" t="str">
        <x:v>Agent-Draft; Kategorie und Person pruefen</x:v>
      </x:c>
    </x:row>
    <x:row r="2514">
      <x:c r="A2514" t="str">
        <x:v>TXN-RAW-IMP-20260516-FULLDRAFT-002498</x:v>
      </x:c>
      <x:c r="B2514" t="str">
        <x:v>RAW-IMP-20260516-FULLDRAFT-002498</x:v>
      </x:c>
      <x:c r="C2514" t="str">
        <x:v>KTO001</x:v>
      </x:c>
      <x:c r="D2514"/>
      <x:c r="E2514" t="str">
        <x:v>KAT013</x:v>
      </x:c>
      <x:c r="F2514"/>
      <x:c r="G2514"/>
      <x:c r="H2514" t="str">
        <x:v>kein_match</x:v>
      </x:c>
      <x:c r="I2514" t="str">
        <x:v>Agent-Draft: keine finale Regelentscheidung</x:v>
      </x:c>
      <x:c r="J2514" t="n">
        <x:v>45323</x:v>
      </x:c>
      <x:c r="K2514"/>
      <x:c r="L2514"/>
      <x:c r="M2514" t="n">
        <x:v>-97.12</x:v>
      </x:c>
      <x:c r="N2514" t="str">
        <x:v>2024-02</x:v>
      </x:c>
      <x:c r="O2514" t="str">
        <x:v>Ausgabe</x:v>
      </x:c>
      <x:c r="P2514" t="str">
        <x:v>Ist</x:v>
      </x:c>
      <x:c r="Q2514" s="59" t="b">
        <x:v>0</x:v>
      </x:c>
      <x:c r="R2514" t="str">
        <x:v>kein_transfer</x:v>
      </x:c>
      <x:c r="S2514"/>
      <x:c r="T2514"/>
      <x:c r="U2514"/>
      <x:c r="V2514" s="59" t="b">
        <x:v>1</x:v>
      </x:c>
      <x:c r="W2514"/>
      <x:c r="X2514" t="str">
        <x:v>offen</x:v>
      </x:c>
      <x:c r="Y2514" t="str">
        <x:v>Agent-Draft; Kategorie und Person pruefen</x:v>
      </x:c>
    </x:row>
    <x:row r="2515">
      <x:c r="A2515" t="str">
        <x:v>TXN-RAW-IMP-20260516-FULLDRAFT-002499</x:v>
      </x:c>
      <x:c r="B2515" t="str">
        <x:v>RAW-IMP-20260516-FULLDRAFT-002499</x:v>
      </x:c>
      <x:c r="C2515" t="str">
        <x:v>KTO001</x:v>
      </x:c>
      <x:c r="D2515"/>
      <x:c r="E2515" t="str">
        <x:v>KAT013</x:v>
      </x:c>
      <x:c r="F2515"/>
      <x:c r="G2515"/>
      <x:c r="H2515" t="str">
        <x:v>kein_match</x:v>
      </x:c>
      <x:c r="I2515" t="str">
        <x:v>Agent-Draft: keine finale Regelentscheidung</x:v>
      </x:c>
      <x:c r="J2515" t="n">
        <x:v>45323</x:v>
      </x:c>
      <x:c r="K2515"/>
      <x:c r="L2515"/>
      <x:c r="M2515" t="n">
        <x:v>-1800</x:v>
      </x:c>
      <x:c r="N2515" t="str">
        <x:v>2024-02</x:v>
      </x:c>
      <x:c r="O2515" t="str">
        <x:v>Ausgabe</x:v>
      </x:c>
      <x:c r="P2515" t="str">
        <x:v>Ist</x:v>
      </x:c>
      <x:c r="Q2515" s="59" t="b">
        <x:v>0</x:v>
      </x:c>
      <x:c r="R2515" t="str">
        <x:v>kein_transfer</x:v>
      </x:c>
      <x:c r="S2515"/>
      <x:c r="T2515"/>
      <x:c r="U2515"/>
      <x:c r="V2515" s="59" t="b">
        <x:v>1</x:v>
      </x:c>
      <x:c r="W2515"/>
      <x:c r="X2515" t="str">
        <x:v>offen</x:v>
      </x:c>
      <x:c r="Y2515" t="str">
        <x:v>Agent-Draft; Kategorie und Person pruefen</x:v>
      </x:c>
    </x:row>
    <x:row r="2516">
      <x:c r="A2516" t="str">
        <x:v>TXN-RAW-IMP-20260516-FULLDRAFT-002500</x:v>
      </x:c>
      <x:c r="B2516" t="str">
        <x:v>RAW-IMP-20260516-FULLDRAFT-002500</x:v>
      </x:c>
      <x:c r="C2516" t="str">
        <x:v>KTO001</x:v>
      </x:c>
      <x:c r="D2516"/>
      <x:c r="E2516" t="str">
        <x:v>KAT013</x:v>
      </x:c>
      <x:c r="F2516"/>
      <x:c r="G2516"/>
      <x:c r="H2516" t="str">
        <x:v>kein_match</x:v>
      </x:c>
      <x:c r="I2516" t="str">
        <x:v>Agent-Draft: keine finale Regelentscheidung</x:v>
      </x:c>
      <x:c r="J2516" t="n">
        <x:v>45323</x:v>
      </x:c>
      <x:c r="K2516"/>
      <x:c r="L2516"/>
      <x:c r="M2516" t="n">
        <x:v>-1400</x:v>
      </x:c>
      <x:c r="N2516" t="str">
        <x:v>2024-02</x:v>
      </x:c>
      <x:c r="O2516" t="str">
        <x:v>Ausgabe</x:v>
      </x:c>
      <x:c r="P2516" t="str">
        <x:v>Ist</x:v>
      </x:c>
      <x:c r="Q2516" s="59" t="b">
        <x:v>0</x:v>
      </x:c>
      <x:c r="R2516" t="str">
        <x:v>kein_transfer</x:v>
      </x:c>
      <x:c r="S2516"/>
      <x:c r="T2516"/>
      <x:c r="U2516"/>
      <x:c r="V2516" s="59" t="b">
        <x:v>1</x:v>
      </x:c>
      <x:c r="W2516"/>
      <x:c r="X2516" t="str">
        <x:v>offen</x:v>
      </x:c>
      <x:c r="Y2516" t="str">
        <x:v>Agent-Draft; Kategorie und Person pruefen</x:v>
      </x:c>
    </x:row>
    <x:row r="2517">
      <x:c r="A2517" t="str">
        <x:v>TXN-RAW-IMP-20260516-FULLDRAFT-002501</x:v>
      </x:c>
      <x:c r="B2517" t="str">
        <x:v>RAW-IMP-20260516-FULLDRAFT-002501</x:v>
      </x:c>
      <x:c r="C2517" t="str">
        <x:v>KTO001</x:v>
      </x:c>
      <x:c r="D2517"/>
      <x:c r="E2517" t="str">
        <x:v>KAT013</x:v>
      </x:c>
      <x:c r="F2517"/>
      <x:c r="G2517"/>
      <x:c r="H2517" t="str">
        <x:v>kein_match</x:v>
      </x:c>
      <x:c r="I2517" t="str">
        <x:v>Agent-Draft: keine finale Regelentscheidung</x:v>
      </x:c>
      <x:c r="J2517" t="n">
        <x:v>45323</x:v>
      </x:c>
      <x:c r="K2517"/>
      <x:c r="L2517"/>
      <x:c r="M2517" t="n">
        <x:v>-452.71</x:v>
      </x:c>
      <x:c r="N2517" t="str">
        <x:v>2024-02</x:v>
      </x:c>
      <x:c r="O2517" t="str">
        <x:v>Ausgabe</x:v>
      </x:c>
      <x:c r="P2517" t="str">
        <x:v>Ist</x:v>
      </x:c>
      <x:c r="Q2517" s="59" t="b">
        <x:v>0</x:v>
      </x:c>
      <x:c r="R2517" t="str">
        <x:v>kein_transfer</x:v>
      </x:c>
      <x:c r="S2517"/>
      <x:c r="T2517"/>
      <x:c r="U2517"/>
      <x:c r="V2517" s="59" t="b">
        <x:v>1</x:v>
      </x:c>
      <x:c r="W2517"/>
      <x:c r="X2517" t="str">
        <x:v>offen</x:v>
      </x:c>
      <x:c r="Y2517" t="str">
        <x:v>Agent-Draft; Kategorie und Person pruefen</x:v>
      </x:c>
    </x:row>
    <x:row r="2518">
      <x:c r="A2518" t="str">
        <x:v>TXN-RAW-IMP-20260516-FULLDRAFT-002502</x:v>
      </x:c>
      <x:c r="B2518" t="str">
        <x:v>RAW-IMP-20260516-FULLDRAFT-002502</x:v>
      </x:c>
      <x:c r="C2518" t="str">
        <x:v>KTO001</x:v>
      </x:c>
      <x:c r="D2518"/>
      <x:c r="E2518" t="str">
        <x:v>KAT013</x:v>
      </x:c>
      <x:c r="F2518"/>
      <x:c r="G2518"/>
      <x:c r="H2518" t="str">
        <x:v>kein_match</x:v>
      </x:c>
      <x:c r="I2518" t="str">
        <x:v>Agent-Draft: keine finale Regelentscheidung</x:v>
      </x:c>
      <x:c r="J2518" t="n">
        <x:v>45323</x:v>
      </x:c>
      <x:c r="K2518"/>
      <x:c r="L2518"/>
      <x:c r="M2518" t="n">
        <x:v>-51.54</x:v>
      </x:c>
      <x:c r="N2518" t="str">
        <x:v>2024-02</x:v>
      </x:c>
      <x:c r="O2518" t="str">
        <x:v>Ausgabe</x:v>
      </x:c>
      <x:c r="P2518" t="str">
        <x:v>Ist</x:v>
      </x:c>
      <x:c r="Q2518" s="59" t="b">
        <x:v>0</x:v>
      </x:c>
      <x:c r="R2518" t="str">
        <x:v>kein_transfer</x:v>
      </x:c>
      <x:c r="S2518"/>
      <x:c r="T2518"/>
      <x:c r="U2518"/>
      <x:c r="V2518" s="59" t="b">
        <x:v>1</x:v>
      </x:c>
      <x:c r="W2518"/>
      <x:c r="X2518" t="str">
        <x:v>offen</x:v>
      </x:c>
      <x:c r="Y2518" t="str">
        <x:v>Agent-Draft; Kategorie und Person pruefen</x:v>
      </x:c>
    </x:row>
    <x:row r="2519">
      <x:c r="A2519" t="str">
        <x:v>TXN-RAW-IMP-20260516-FULLDRAFT-002503</x:v>
      </x:c>
      <x:c r="B2519" t="str">
        <x:v>RAW-IMP-20260516-FULLDRAFT-002503</x:v>
      </x:c>
      <x:c r="C2519" t="str">
        <x:v>KTO001</x:v>
      </x:c>
      <x:c r="D2519"/>
      <x:c r="E2519" t="str">
        <x:v>KAT013</x:v>
      </x:c>
      <x:c r="F2519"/>
      <x:c r="G2519"/>
      <x:c r="H2519" t="str">
        <x:v>kein_match</x:v>
      </x:c>
      <x:c r="I2519" t="str">
        <x:v>Agent-Draft: keine finale Regelentscheidung</x:v>
      </x:c>
      <x:c r="J2519" t="n">
        <x:v>45323</x:v>
      </x:c>
      <x:c r="K2519"/>
      <x:c r="L2519"/>
      <x:c r="M2519" t="n">
        <x:v>-162.17</x:v>
      </x:c>
      <x:c r="N2519" t="str">
        <x:v>2024-02</x:v>
      </x:c>
      <x:c r="O2519" t="str">
        <x:v>Ausgabe</x:v>
      </x:c>
      <x:c r="P2519" t="str">
        <x:v>Ist</x:v>
      </x:c>
      <x:c r="Q2519" s="59" t="b">
        <x:v>0</x:v>
      </x:c>
      <x:c r="R2519" t="str">
        <x:v>kein_transfer</x:v>
      </x:c>
      <x:c r="S2519"/>
      <x:c r="T2519"/>
      <x:c r="U2519"/>
      <x:c r="V2519" s="59" t="b">
        <x:v>1</x:v>
      </x:c>
      <x:c r="W2519"/>
      <x:c r="X2519" t="str">
        <x:v>offen</x:v>
      </x:c>
      <x:c r="Y2519" t="str">
        <x:v>Agent-Draft; Kategorie und Person pruefen</x:v>
      </x:c>
    </x:row>
    <x:row r="2520">
      <x:c r="A2520" t="str">
        <x:v>TXN-RAW-IMP-20260516-FULLDRAFT-002504</x:v>
      </x:c>
      <x:c r="B2520" t="str">
        <x:v>RAW-IMP-20260516-FULLDRAFT-002504</x:v>
      </x:c>
      <x:c r="C2520" t="str">
        <x:v>KTO001</x:v>
      </x:c>
      <x:c r="D2520"/>
      <x:c r="E2520" t="str">
        <x:v>KAT013</x:v>
      </x:c>
      <x:c r="F2520"/>
      <x:c r="G2520"/>
      <x:c r="H2520" t="str">
        <x:v>kein_match</x:v>
      </x:c>
      <x:c r="I2520" t="str">
        <x:v>Agent-Draft: keine finale Regelentscheidung</x:v>
      </x:c>
      <x:c r="J2520" t="n">
        <x:v>45322</x:v>
      </x:c>
      <x:c r="K2520"/>
      <x:c r="L2520"/>
      <x:c r="M2520" t="n">
        <x:v>-2.19</x:v>
      </x:c>
      <x:c r="N2520" t="str">
        <x:v>2024-01</x:v>
      </x:c>
      <x:c r="O2520" t="str">
        <x:v>Ausgabe</x:v>
      </x:c>
      <x:c r="P2520" t="str">
        <x:v>Ist</x:v>
      </x:c>
      <x:c r="Q2520" s="59" t="b">
        <x:v>0</x:v>
      </x:c>
      <x:c r="R2520" t="str">
        <x:v>kein_transfer</x:v>
      </x:c>
      <x:c r="S2520"/>
      <x:c r="T2520"/>
      <x:c r="U2520"/>
      <x:c r="V2520" s="59" t="b">
        <x:v>1</x:v>
      </x:c>
      <x:c r="W2520"/>
      <x:c r="X2520" t="str">
        <x:v>offen</x:v>
      </x:c>
      <x:c r="Y2520" t="str">
        <x:v>Agent-Draft; Kategorie und Person pruefen</x:v>
      </x:c>
    </x:row>
    <x:row r="2521">
      <x:c r="A2521" t="str">
        <x:v>TXN-RAW-IMP-20260516-FULLDRAFT-002505</x:v>
      </x:c>
      <x:c r="B2521" t="str">
        <x:v>RAW-IMP-20260516-FULLDRAFT-002505</x:v>
      </x:c>
      <x:c r="C2521" t="str">
        <x:v>KTO001</x:v>
      </x:c>
      <x:c r="D2521"/>
      <x:c r="E2521" t="str">
        <x:v>KAT013</x:v>
      </x:c>
      <x:c r="F2521"/>
      <x:c r="G2521"/>
      <x:c r="H2521" t="str">
        <x:v>kein_match</x:v>
      </x:c>
      <x:c r="I2521" t="str">
        <x:v>Agent-Draft: keine finale Regelentscheidung</x:v>
      </x:c>
      <x:c r="J2521" t="n">
        <x:v>45322</x:v>
      </x:c>
      <x:c r="K2521"/>
      <x:c r="L2521"/>
      <x:c r="M2521" t="n">
        <x:v>-70</x:v>
      </x:c>
      <x:c r="N2521" t="str">
        <x:v>2024-01</x:v>
      </x:c>
      <x:c r="O2521" t="str">
        <x:v>Ausgabe</x:v>
      </x:c>
      <x:c r="P2521" t="str">
        <x:v>Ist</x:v>
      </x:c>
      <x:c r="Q2521" s="59" t="b">
        <x:v>0</x:v>
      </x:c>
      <x:c r="R2521" t="str">
        <x:v>kein_transfer</x:v>
      </x:c>
      <x:c r="S2521"/>
      <x:c r="T2521"/>
      <x:c r="U2521"/>
      <x:c r="V2521" s="59" t="b">
        <x:v>1</x:v>
      </x:c>
      <x:c r="W2521"/>
      <x:c r="X2521" t="str">
        <x:v>offen</x:v>
      </x:c>
      <x:c r="Y2521" t="str">
        <x:v>Agent-Draft; Kategorie und Person pruefen</x:v>
      </x:c>
    </x:row>
    <x:row r="2522">
      <x:c r="A2522" t="str">
        <x:v>TXN-RAW-IMP-20260516-FULLDRAFT-002506</x:v>
      </x:c>
      <x:c r="B2522" t="str">
        <x:v>RAW-IMP-20260516-FULLDRAFT-002506</x:v>
      </x:c>
      <x:c r="C2522" t="str">
        <x:v>KTO001</x:v>
      </x:c>
      <x:c r="D2522"/>
      <x:c r="E2522" t="str">
        <x:v>KAT013</x:v>
      </x:c>
      <x:c r="F2522"/>
      <x:c r="G2522"/>
      <x:c r="H2522" t="str">
        <x:v>kein_match</x:v>
      </x:c>
      <x:c r="I2522" t="str">
        <x:v>Agent-Draft: keine finale Regelentscheidung</x:v>
      </x:c>
      <x:c r="J2522" t="n">
        <x:v>45322</x:v>
      </x:c>
      <x:c r="K2522"/>
      <x:c r="L2522"/>
      <x:c r="M2522" t="n">
        <x:v>-1153.94</x:v>
      </x:c>
      <x:c r="N2522" t="str">
        <x:v>2024-01</x:v>
      </x:c>
      <x:c r="O2522" t="str">
        <x:v>Ausgabe</x:v>
      </x:c>
      <x:c r="P2522" t="str">
        <x:v>Ist</x:v>
      </x:c>
      <x:c r="Q2522" s="59" t="b">
        <x:v>0</x:v>
      </x:c>
      <x:c r="R2522" t="str">
        <x:v>kein_transfer</x:v>
      </x:c>
      <x:c r="S2522"/>
      <x:c r="T2522"/>
      <x:c r="U2522"/>
      <x:c r="V2522" s="59" t="b">
        <x:v>1</x:v>
      </x:c>
      <x:c r="W2522"/>
      <x:c r="X2522" t="str">
        <x:v>offen</x:v>
      </x:c>
      <x:c r="Y2522" t="str">
        <x:v>Agent-Draft; Kategorie und Person pruefen</x:v>
      </x:c>
    </x:row>
    <x:row r="2523">
      <x:c r="A2523" t="str">
        <x:v>TXN-RAW-IMP-20260516-FULLDRAFT-002507</x:v>
      </x:c>
      <x:c r="B2523" t="str">
        <x:v>RAW-IMP-20260516-FULLDRAFT-002507</x:v>
      </x:c>
      <x:c r="C2523" t="str">
        <x:v>KTO001</x:v>
      </x:c>
      <x:c r="D2523"/>
      <x:c r="E2523" t="str">
        <x:v>KAT013</x:v>
      </x:c>
      <x:c r="F2523"/>
      <x:c r="G2523"/>
      <x:c r="H2523" t="str">
        <x:v>kein_match</x:v>
      </x:c>
      <x:c r="I2523" t="str">
        <x:v>Agent-Draft: keine finale Regelentscheidung</x:v>
      </x:c>
      <x:c r="J2523" t="n">
        <x:v>45321</x:v>
      </x:c>
      <x:c r="K2523"/>
      <x:c r="L2523"/>
      <x:c r="M2523" t="n">
        <x:v>7709.94</x:v>
      </x:c>
      <x:c r="N2523" t="str">
        <x:v>2024-01</x:v>
      </x:c>
      <x:c r="O2523" t="str">
        <x:v>Einnahme</x:v>
      </x:c>
      <x:c r="P2523" t="str">
        <x:v>Ist</x:v>
      </x:c>
      <x:c r="Q2523" s="59" t="b">
        <x:v>0</x:v>
      </x:c>
      <x:c r="R2523" t="str">
        <x:v>kein_transfer</x:v>
      </x:c>
      <x:c r="S2523"/>
      <x:c r="T2523"/>
      <x:c r="U2523"/>
      <x:c r="V2523" s="59" t="b">
        <x:v>1</x:v>
      </x:c>
      <x:c r="W2523"/>
      <x:c r="X2523" t="str">
        <x:v>offen</x:v>
      </x:c>
      <x:c r="Y2523" t="str">
        <x:v>Agent-Draft; Kategorie und Person pruefen</x:v>
      </x:c>
    </x:row>
    <x:row r="2524">
      <x:c r="A2524" t="str">
        <x:v>TXN-RAW-IMP-20260516-FULLDRAFT-002508</x:v>
      </x:c>
      <x:c r="B2524" t="str">
        <x:v>RAW-IMP-20260516-FULLDRAFT-002508</x:v>
      </x:c>
      <x:c r="C2524" t="str">
        <x:v>KTO001</x:v>
      </x:c>
      <x:c r="D2524"/>
      <x:c r="E2524" t="str">
        <x:v>KAT013</x:v>
      </x:c>
      <x:c r="F2524"/>
      <x:c r="G2524"/>
      <x:c r="H2524" t="str">
        <x:v>kein_match</x:v>
      </x:c>
      <x:c r="I2524" t="str">
        <x:v>Agent-Draft: keine finale Regelentscheidung</x:v>
      </x:c>
      <x:c r="J2524" t="n">
        <x:v>45320</x:v>
      </x:c>
      <x:c r="K2524"/>
      <x:c r="L2524"/>
      <x:c r="M2524" t="n">
        <x:v>-5.44</x:v>
      </x:c>
      <x:c r="N2524" t="str">
        <x:v>2024-01</x:v>
      </x:c>
      <x:c r="O2524" t="str">
        <x:v>Ausgabe</x:v>
      </x:c>
      <x:c r="P2524" t="str">
        <x:v>Ist</x:v>
      </x:c>
      <x:c r="Q2524" s="59" t="b">
        <x:v>0</x:v>
      </x:c>
      <x:c r="R2524" t="str">
        <x:v>kein_transfer</x:v>
      </x:c>
      <x:c r="S2524"/>
      <x:c r="T2524"/>
      <x:c r="U2524"/>
      <x:c r="V2524" s="59" t="b">
        <x:v>1</x:v>
      </x:c>
      <x:c r="W2524"/>
      <x:c r="X2524" t="str">
        <x:v>offen</x:v>
      </x:c>
      <x:c r="Y2524" t="str">
        <x:v>Agent-Draft; Kategorie und Person pruefen</x:v>
      </x:c>
    </x:row>
    <x:row r="2525">
      <x:c r="A2525" t="str">
        <x:v>TXN-RAW-IMP-20260516-FULLDRAFT-002509</x:v>
      </x:c>
      <x:c r="B2525" t="str">
        <x:v>RAW-IMP-20260516-FULLDRAFT-002509</x:v>
      </x:c>
      <x:c r="C2525" t="str">
        <x:v>KTO001</x:v>
      </x:c>
      <x:c r="D2525"/>
      <x:c r="E2525" t="str">
        <x:v>KAT013</x:v>
      </x:c>
      <x:c r="F2525"/>
      <x:c r="G2525"/>
      <x:c r="H2525" t="str">
        <x:v>kein_match</x:v>
      </x:c>
      <x:c r="I2525" t="str">
        <x:v>Agent-Draft: keine finale Regelentscheidung</x:v>
      </x:c>
      <x:c r="J2525" t="n">
        <x:v>45320</x:v>
      </x:c>
      <x:c r="K2525"/>
      <x:c r="L2525"/>
      <x:c r="M2525" t="n">
        <x:v>-7</x:v>
      </x:c>
      <x:c r="N2525" t="str">
        <x:v>2024-01</x:v>
      </x:c>
      <x:c r="O2525" t="str">
        <x:v>Ausgabe</x:v>
      </x:c>
      <x:c r="P2525" t="str">
        <x:v>Ist</x:v>
      </x:c>
      <x:c r="Q2525" s="59" t="b">
        <x:v>0</x:v>
      </x:c>
      <x:c r="R2525" t="str">
        <x:v>kein_transfer</x:v>
      </x:c>
      <x:c r="S2525"/>
      <x:c r="T2525"/>
      <x:c r="U2525"/>
      <x:c r="V2525" s="59" t="b">
        <x:v>1</x:v>
      </x:c>
      <x:c r="W2525"/>
      <x:c r="X2525" t="str">
        <x:v>offen</x:v>
      </x:c>
      <x:c r="Y2525" t="str">
        <x:v>Agent-Draft; Kategorie und Person pruefen</x:v>
      </x:c>
    </x:row>
    <x:row r="2526">
      <x:c r="A2526" t="str">
        <x:v>TXN-RAW-IMP-20260516-FULLDRAFT-002510</x:v>
      </x:c>
      <x:c r="B2526" t="str">
        <x:v>RAW-IMP-20260516-FULLDRAFT-002510</x:v>
      </x:c>
      <x:c r="C2526" t="str">
        <x:v>KTO001</x:v>
      </x:c>
      <x:c r="D2526"/>
      <x:c r="E2526" t="str">
        <x:v>KAT013</x:v>
      </x:c>
      <x:c r="F2526"/>
      <x:c r="G2526"/>
      <x:c r="H2526" t="str">
        <x:v>kein_match</x:v>
      </x:c>
      <x:c r="I2526" t="str">
        <x:v>Agent-Draft: keine finale Regelentscheidung</x:v>
      </x:c>
      <x:c r="J2526" t="n">
        <x:v>45320</x:v>
      </x:c>
      <x:c r="K2526"/>
      <x:c r="L2526"/>
      <x:c r="M2526" t="n">
        <x:v>-6.55</x:v>
      </x:c>
      <x:c r="N2526" t="str">
        <x:v>2024-01</x:v>
      </x:c>
      <x:c r="O2526" t="str">
        <x:v>Ausgabe</x:v>
      </x:c>
      <x:c r="P2526" t="str">
        <x:v>Ist</x:v>
      </x:c>
      <x:c r="Q2526" s="59" t="b">
        <x:v>0</x:v>
      </x:c>
      <x:c r="R2526" t="str">
        <x:v>kein_transfer</x:v>
      </x:c>
      <x:c r="S2526"/>
      <x:c r="T2526"/>
      <x:c r="U2526"/>
      <x:c r="V2526" s="59" t="b">
        <x:v>1</x:v>
      </x:c>
      <x:c r="W2526"/>
      <x:c r="X2526" t="str">
        <x:v>offen</x:v>
      </x:c>
      <x:c r="Y2526" t="str">
        <x:v>Agent-Draft; Kategorie und Person pruefen</x:v>
      </x:c>
    </x:row>
    <x:row r="2527">
      <x:c r="A2527" t="str">
        <x:v>TXN-RAW-IMP-20260516-FULLDRAFT-002511</x:v>
      </x:c>
      <x:c r="B2527" t="str">
        <x:v>RAW-IMP-20260516-FULLDRAFT-002511</x:v>
      </x:c>
      <x:c r="C2527" t="str">
        <x:v>KTO001</x:v>
      </x:c>
      <x:c r="D2527"/>
      <x:c r="E2527" t="str">
        <x:v>KAT013</x:v>
      </x:c>
      <x:c r="F2527"/>
      <x:c r="G2527"/>
      <x:c r="H2527" t="str">
        <x:v>kein_match</x:v>
      </x:c>
      <x:c r="I2527" t="str">
        <x:v>Agent-Draft: keine finale Regelentscheidung</x:v>
      </x:c>
      <x:c r="J2527" t="n">
        <x:v>45320</x:v>
      </x:c>
      <x:c r="K2527"/>
      <x:c r="L2527"/>
      <x:c r="M2527" t="n">
        <x:v>-3.9</x:v>
      </x:c>
      <x:c r="N2527" t="str">
        <x:v>2024-01</x:v>
      </x:c>
      <x:c r="O2527" t="str">
        <x:v>Ausgabe</x:v>
      </x:c>
      <x:c r="P2527" t="str">
        <x:v>Ist</x:v>
      </x:c>
      <x:c r="Q2527" s="59" t="b">
        <x:v>0</x:v>
      </x:c>
      <x:c r="R2527" t="str">
        <x:v>kein_transfer</x:v>
      </x:c>
      <x:c r="S2527"/>
      <x:c r="T2527"/>
      <x:c r="U2527"/>
      <x:c r="V2527" s="59" t="b">
        <x:v>1</x:v>
      </x:c>
      <x:c r="W2527"/>
      <x:c r="X2527" t="str">
        <x:v>offen</x:v>
      </x:c>
      <x:c r="Y2527" t="str">
        <x:v>Agent-Draft; Kategorie und Person pruefen</x:v>
      </x:c>
    </x:row>
    <x:row r="2528">
      <x:c r="A2528" t="str">
        <x:v>TXN-RAW-IMP-20260516-FULLDRAFT-002512</x:v>
      </x:c>
      <x:c r="B2528" t="str">
        <x:v>RAW-IMP-20260516-FULLDRAFT-002512</x:v>
      </x:c>
      <x:c r="C2528" t="str">
        <x:v>KTO001</x:v>
      </x:c>
      <x:c r="D2528"/>
      <x:c r="E2528" t="str">
        <x:v>KAT013</x:v>
      </x:c>
      <x:c r="F2528"/>
      <x:c r="G2528"/>
      <x:c r="H2528" t="str">
        <x:v>kein_match</x:v>
      </x:c>
      <x:c r="I2528" t="str">
        <x:v>Agent-Draft: keine finale Regelentscheidung</x:v>
      </x:c>
      <x:c r="J2528" t="n">
        <x:v>45320</x:v>
      </x:c>
      <x:c r="K2528"/>
      <x:c r="L2528"/>
      <x:c r="M2528" t="n">
        <x:v>-1.1</x:v>
      </x:c>
      <x:c r="N2528" t="str">
        <x:v>2024-01</x:v>
      </x:c>
      <x:c r="O2528" t="str">
        <x:v>Ausgabe</x:v>
      </x:c>
      <x:c r="P2528" t="str">
        <x:v>Ist</x:v>
      </x:c>
      <x:c r="Q2528" s="59" t="b">
        <x:v>0</x:v>
      </x:c>
      <x:c r="R2528" t="str">
        <x:v>kein_transfer</x:v>
      </x:c>
      <x:c r="S2528"/>
      <x:c r="T2528"/>
      <x:c r="U2528"/>
      <x:c r="V2528" s="59" t="b">
        <x:v>1</x:v>
      </x:c>
      <x:c r="W2528"/>
      <x:c r="X2528" t="str">
        <x:v>offen</x:v>
      </x:c>
      <x:c r="Y2528" t="str">
        <x:v>Agent-Draft; Kategorie und Person pruefen</x:v>
      </x:c>
    </x:row>
    <x:row r="2529">
      <x:c r="A2529" t="str">
        <x:v>TXN-RAW-IMP-20260516-FULLDRAFT-002513</x:v>
      </x:c>
      <x:c r="B2529" t="str">
        <x:v>RAW-IMP-20260516-FULLDRAFT-002513</x:v>
      </x:c>
      <x:c r="C2529" t="str">
        <x:v>KTO001</x:v>
      </x:c>
      <x:c r="D2529"/>
      <x:c r="E2529" t="str">
        <x:v>KAT013</x:v>
      </x:c>
      <x:c r="F2529"/>
      <x:c r="G2529"/>
      <x:c r="H2529" t="str">
        <x:v>kein_match</x:v>
      </x:c>
      <x:c r="I2529" t="str">
        <x:v>Agent-Draft: keine finale Regelentscheidung</x:v>
      </x:c>
      <x:c r="J2529" t="n">
        <x:v>45320</x:v>
      </x:c>
      <x:c r="K2529"/>
      <x:c r="L2529"/>
      <x:c r="M2529" t="n">
        <x:v>-16</x:v>
      </x:c>
      <x:c r="N2529" t="str">
        <x:v>2024-01</x:v>
      </x:c>
      <x:c r="O2529" t="str">
        <x:v>Ausgabe</x:v>
      </x:c>
      <x:c r="P2529" t="str">
        <x:v>Ist</x:v>
      </x:c>
      <x:c r="Q2529" s="59" t="b">
        <x:v>0</x:v>
      </x:c>
      <x:c r="R2529" t="str">
        <x:v>kein_transfer</x:v>
      </x:c>
      <x:c r="S2529"/>
      <x:c r="T2529"/>
      <x:c r="U2529"/>
      <x:c r="V2529" s="59" t="b">
        <x:v>1</x:v>
      </x:c>
      <x:c r="W2529"/>
      <x:c r="X2529" t="str">
        <x:v>offen</x:v>
      </x:c>
      <x:c r="Y2529" t="str">
        <x:v>Agent-Draft; Kategorie und Person pruefen</x:v>
      </x:c>
    </x:row>
    <x:row r="2530">
      <x:c r="A2530" t="str">
        <x:v>TXN-RAW-IMP-20260516-FULLDRAFT-002514</x:v>
      </x:c>
      <x:c r="B2530" t="str">
        <x:v>RAW-IMP-20260516-FULLDRAFT-002514</x:v>
      </x:c>
      <x:c r="C2530" t="str">
        <x:v>KTO001</x:v>
      </x:c>
      <x:c r="D2530"/>
      <x:c r="E2530" t="str">
        <x:v>KAT013</x:v>
      </x:c>
      <x:c r="F2530"/>
      <x:c r="G2530"/>
      <x:c r="H2530" t="str">
        <x:v>kein_match</x:v>
      </x:c>
      <x:c r="I2530" t="str">
        <x:v>Agent-Draft: keine finale Regelentscheidung</x:v>
      </x:c>
      <x:c r="J2530" t="n">
        <x:v>45320</x:v>
      </x:c>
      <x:c r="K2530"/>
      <x:c r="L2530"/>
      <x:c r="M2530" t="n">
        <x:v>-5.23</x:v>
      </x:c>
      <x:c r="N2530" t="str">
        <x:v>2024-01</x:v>
      </x:c>
      <x:c r="O2530" t="str">
        <x:v>Ausgabe</x:v>
      </x:c>
      <x:c r="P2530" t="str">
        <x:v>Ist</x:v>
      </x:c>
      <x:c r="Q2530" s="59" t="b">
        <x:v>0</x:v>
      </x:c>
      <x:c r="R2530" t="str">
        <x:v>kein_transfer</x:v>
      </x:c>
      <x:c r="S2530"/>
      <x:c r="T2530"/>
      <x:c r="U2530"/>
      <x:c r="V2530" s="59" t="b">
        <x:v>1</x:v>
      </x:c>
      <x:c r="W2530"/>
      <x:c r="X2530" t="str">
        <x:v>offen</x:v>
      </x:c>
      <x:c r="Y2530" t="str">
        <x:v>Agent-Draft; Kategorie und Person pruefen</x:v>
      </x:c>
    </x:row>
    <x:row r="2531">
      <x:c r="A2531" t="str">
        <x:v>TXN-RAW-IMP-20260516-FULLDRAFT-002515</x:v>
      </x:c>
      <x:c r="B2531" t="str">
        <x:v>RAW-IMP-20260516-FULLDRAFT-002515</x:v>
      </x:c>
      <x:c r="C2531" t="str">
        <x:v>KTO001</x:v>
      </x:c>
      <x:c r="D2531"/>
      <x:c r="E2531" t="str">
        <x:v>KAT013</x:v>
      </x:c>
      <x:c r="F2531"/>
      <x:c r="G2531"/>
      <x:c r="H2531" t="str">
        <x:v>kein_match</x:v>
      </x:c>
      <x:c r="I2531" t="str">
        <x:v>Agent-Draft: keine finale Regelentscheidung</x:v>
      </x:c>
      <x:c r="J2531" t="n">
        <x:v>45316</x:v>
      </x:c>
      <x:c r="K2531"/>
      <x:c r="L2531"/>
      <x:c r="M2531" t="n">
        <x:v>-1.99</x:v>
      </x:c>
      <x:c r="N2531" t="str">
        <x:v>2024-01</x:v>
      </x:c>
      <x:c r="O2531" t="str">
        <x:v>Ausgabe</x:v>
      </x:c>
      <x:c r="P2531" t="str">
        <x:v>Ist</x:v>
      </x:c>
      <x:c r="Q2531" s="59" t="b">
        <x:v>0</x:v>
      </x:c>
      <x:c r="R2531" t="str">
        <x:v>kein_transfer</x:v>
      </x:c>
      <x:c r="S2531"/>
      <x:c r="T2531"/>
      <x:c r="U2531"/>
      <x:c r="V2531" s="59" t="b">
        <x:v>1</x:v>
      </x:c>
      <x:c r="W2531"/>
      <x:c r="X2531" t="str">
        <x:v>offen</x:v>
      </x:c>
      <x:c r="Y2531" t="str">
        <x:v>Agent-Draft; Kategorie und Person pruefen</x:v>
      </x:c>
    </x:row>
    <x:row r="2532">
      <x:c r="A2532" t="str">
        <x:v>TXN-RAW-IMP-20260516-FULLDRAFT-002516</x:v>
      </x:c>
      <x:c r="B2532" t="str">
        <x:v>RAW-IMP-20260516-FULLDRAFT-002516</x:v>
      </x:c>
      <x:c r="C2532" t="str">
        <x:v>KTO001</x:v>
      </x:c>
      <x:c r="D2532"/>
      <x:c r="E2532" t="str">
        <x:v>KAT013</x:v>
      </x:c>
      <x:c r="F2532"/>
      <x:c r="G2532"/>
      <x:c r="H2532" t="str">
        <x:v>kein_match</x:v>
      </x:c>
      <x:c r="I2532" t="str">
        <x:v>Agent-Draft: keine finale Regelentscheidung</x:v>
      </x:c>
      <x:c r="J2532" t="n">
        <x:v>45316</x:v>
      </x:c>
      <x:c r="K2532"/>
      <x:c r="L2532"/>
      <x:c r="M2532" t="n">
        <x:v>-35</x:v>
      </x:c>
      <x:c r="N2532" t="str">
        <x:v>2024-01</x:v>
      </x:c>
      <x:c r="O2532" t="str">
        <x:v>Ausgabe</x:v>
      </x:c>
      <x:c r="P2532" t="str">
        <x:v>Ist</x:v>
      </x:c>
      <x:c r="Q2532" s="59" t="b">
        <x:v>0</x:v>
      </x:c>
      <x:c r="R2532" t="str">
        <x:v>kein_transfer</x:v>
      </x:c>
      <x:c r="S2532"/>
      <x:c r="T2532"/>
      <x:c r="U2532"/>
      <x:c r="V2532" s="59" t="b">
        <x:v>1</x:v>
      </x:c>
      <x:c r="W2532"/>
      <x:c r="X2532" t="str">
        <x:v>offen</x:v>
      </x:c>
      <x:c r="Y2532" t="str">
        <x:v>Agent-Draft; Kategorie und Person pruefen</x:v>
      </x:c>
    </x:row>
    <x:row r="2533">
      <x:c r="A2533" t="str">
        <x:v>TXN-RAW-IMP-20260516-FULLDRAFT-002517</x:v>
      </x:c>
      <x:c r="B2533" t="str">
        <x:v>RAW-IMP-20260516-FULLDRAFT-002517</x:v>
      </x:c>
      <x:c r="C2533" t="str">
        <x:v>KTO001</x:v>
      </x:c>
      <x:c r="D2533"/>
      <x:c r="E2533" t="str">
        <x:v>KAT013</x:v>
      </x:c>
      <x:c r="F2533"/>
      <x:c r="G2533"/>
      <x:c r="H2533" t="str">
        <x:v>kein_match</x:v>
      </x:c>
      <x:c r="I2533" t="str">
        <x:v>Agent-Draft: keine finale Regelentscheidung</x:v>
      </x:c>
      <x:c r="J2533" t="n">
        <x:v>45316</x:v>
      </x:c>
      <x:c r="K2533"/>
      <x:c r="L2533"/>
      <x:c r="M2533" t="n">
        <x:v>-11.99</x:v>
      </x:c>
      <x:c r="N2533" t="str">
        <x:v>2024-01</x:v>
      </x:c>
      <x:c r="O2533" t="str">
        <x:v>Ausgabe</x:v>
      </x:c>
      <x:c r="P2533" t="str">
        <x:v>Ist</x:v>
      </x:c>
      <x:c r="Q2533" s="59" t="b">
        <x:v>0</x:v>
      </x:c>
      <x:c r="R2533" t="str">
        <x:v>kein_transfer</x:v>
      </x:c>
      <x:c r="S2533"/>
      <x:c r="T2533"/>
      <x:c r="U2533"/>
      <x:c r="V2533" s="59" t="b">
        <x:v>1</x:v>
      </x:c>
      <x:c r="W2533"/>
      <x:c r="X2533" t="str">
        <x:v>offen</x:v>
      </x:c>
      <x:c r="Y2533" t="str">
        <x:v>Agent-Draft; Kategorie und Person pruefen</x:v>
      </x:c>
    </x:row>
    <x:row r="2534">
      <x:c r="A2534" t="str">
        <x:v>TXN-RAW-IMP-20260516-FULLDRAFT-002518</x:v>
      </x:c>
      <x:c r="B2534" t="str">
        <x:v>RAW-IMP-20260516-FULLDRAFT-002518</x:v>
      </x:c>
      <x:c r="C2534" t="str">
        <x:v>KTO001</x:v>
      </x:c>
      <x:c r="D2534"/>
      <x:c r="E2534" t="str">
        <x:v>KAT013</x:v>
      </x:c>
      <x:c r="F2534"/>
      <x:c r="G2534"/>
      <x:c r="H2534" t="str">
        <x:v>kein_match</x:v>
      </x:c>
      <x:c r="I2534" t="str">
        <x:v>Agent-Draft: keine finale Regelentscheidung</x:v>
      </x:c>
      <x:c r="J2534" t="n">
        <x:v>45316</x:v>
      </x:c>
      <x:c r="K2534"/>
      <x:c r="L2534"/>
      <x:c r="M2534" t="n">
        <x:v>-84.99</x:v>
      </x:c>
      <x:c r="N2534" t="str">
        <x:v>2024-01</x:v>
      </x:c>
      <x:c r="O2534" t="str">
        <x:v>Ausgabe</x:v>
      </x:c>
      <x:c r="P2534" t="str">
        <x:v>Ist</x:v>
      </x:c>
      <x:c r="Q2534" s="59" t="b">
        <x:v>0</x:v>
      </x:c>
      <x:c r="R2534" t="str">
        <x:v>kein_transfer</x:v>
      </x:c>
      <x:c r="S2534"/>
      <x:c r="T2534"/>
      <x:c r="U2534"/>
      <x:c r="V2534" s="59" t="b">
        <x:v>1</x:v>
      </x:c>
      <x:c r="W2534"/>
      <x:c r="X2534" t="str">
        <x:v>offen</x:v>
      </x:c>
      <x:c r="Y2534" t="str">
        <x:v>Agent-Draft; Kategorie und Person pruefen</x:v>
      </x:c>
    </x:row>
    <x:row r="2535">
      <x:c r="A2535" t="str">
        <x:v>TXN-RAW-IMP-20260516-FULLDRAFT-002519</x:v>
      </x:c>
      <x:c r="B2535" t="str">
        <x:v>RAW-IMP-20260516-FULLDRAFT-002519</x:v>
      </x:c>
      <x:c r="C2535" t="str">
        <x:v>KTO001</x:v>
      </x:c>
      <x:c r="D2535"/>
      <x:c r="E2535" t="str">
        <x:v>KAT013</x:v>
      </x:c>
      <x:c r="F2535"/>
      <x:c r="G2535"/>
      <x:c r="H2535" t="str">
        <x:v>kein_match</x:v>
      </x:c>
      <x:c r="I2535" t="str">
        <x:v>Agent-Draft: keine finale Regelentscheidung</x:v>
      </x:c>
      <x:c r="J2535" t="n">
        <x:v>45315</x:v>
      </x:c>
      <x:c r="K2535"/>
      <x:c r="L2535"/>
      <x:c r="M2535" t="n">
        <x:v>-10.5</x:v>
      </x:c>
      <x:c r="N2535" t="str">
        <x:v>2024-01</x:v>
      </x:c>
      <x:c r="O2535" t="str">
        <x:v>Ausgabe</x:v>
      </x:c>
      <x:c r="P2535" t="str">
        <x:v>Ist</x:v>
      </x:c>
      <x:c r="Q2535" s="59" t="b">
        <x:v>0</x:v>
      </x:c>
      <x:c r="R2535" t="str">
        <x:v>kein_transfer</x:v>
      </x:c>
      <x:c r="S2535"/>
      <x:c r="T2535"/>
      <x:c r="U2535"/>
      <x:c r="V2535" s="59" t="b">
        <x:v>1</x:v>
      </x:c>
      <x:c r="W2535"/>
      <x:c r="X2535" t="str">
        <x:v>offen</x:v>
      </x:c>
      <x:c r="Y2535" t="str">
        <x:v>Agent-Draft; Kategorie und Person pruefen</x:v>
      </x:c>
    </x:row>
    <x:row r="2536">
      <x:c r="A2536" t="str">
        <x:v>TXN-RAW-IMP-20260516-FULLDRAFT-002520</x:v>
      </x:c>
      <x:c r="B2536" t="str">
        <x:v>RAW-IMP-20260516-FULLDRAFT-002520</x:v>
      </x:c>
      <x:c r="C2536" t="str">
        <x:v>KTO001</x:v>
      </x:c>
      <x:c r="D2536"/>
      <x:c r="E2536" t="str">
        <x:v>KAT013</x:v>
      </x:c>
      <x:c r="F2536"/>
      <x:c r="G2536"/>
      <x:c r="H2536" t="str">
        <x:v>kein_match</x:v>
      </x:c>
      <x:c r="I2536" t="str">
        <x:v>Agent-Draft: keine finale Regelentscheidung</x:v>
      </x:c>
      <x:c r="J2536" t="n">
        <x:v>45314</x:v>
      </x:c>
      <x:c r="K2536"/>
      <x:c r="L2536"/>
      <x:c r="M2536" t="n">
        <x:v>-10</x:v>
      </x:c>
      <x:c r="N2536" t="str">
        <x:v>2024-01</x:v>
      </x:c>
      <x:c r="O2536" t="str">
        <x:v>Ausgabe</x:v>
      </x:c>
      <x:c r="P2536" t="str">
        <x:v>Ist</x:v>
      </x:c>
      <x:c r="Q2536" s="59" t="b">
        <x:v>0</x:v>
      </x:c>
      <x:c r="R2536" t="str">
        <x:v>kein_transfer</x:v>
      </x:c>
      <x:c r="S2536"/>
      <x:c r="T2536"/>
      <x:c r="U2536"/>
      <x:c r="V2536" s="59" t="b">
        <x:v>1</x:v>
      </x:c>
      <x:c r="W2536"/>
      <x:c r="X2536" t="str">
        <x:v>offen</x:v>
      </x:c>
      <x:c r="Y2536" t="str">
        <x:v>Agent-Draft; Kategorie und Person pruefen</x:v>
      </x:c>
    </x:row>
    <x:row r="2537">
      <x:c r="A2537" t="str">
        <x:v>TXN-RAW-IMP-20260516-FULLDRAFT-002521</x:v>
      </x:c>
      <x:c r="B2537" t="str">
        <x:v>RAW-IMP-20260516-FULLDRAFT-002521</x:v>
      </x:c>
      <x:c r="C2537" t="str">
        <x:v>KTO001</x:v>
      </x:c>
      <x:c r="D2537"/>
      <x:c r="E2537" t="str">
        <x:v>KAT013</x:v>
      </x:c>
      <x:c r="F2537"/>
      <x:c r="G2537"/>
      <x:c r="H2537" t="str">
        <x:v>kein_match</x:v>
      </x:c>
      <x:c r="I2537" t="str">
        <x:v>Agent-Draft: keine finale Regelentscheidung</x:v>
      </x:c>
      <x:c r="J2537" t="n">
        <x:v>45313</x:v>
      </x:c>
      <x:c r="K2537"/>
      <x:c r="L2537"/>
      <x:c r="M2537" t="n">
        <x:v>-8.49</x:v>
      </x:c>
      <x:c r="N2537" t="str">
        <x:v>2024-01</x:v>
      </x:c>
      <x:c r="O2537" t="str">
        <x:v>Ausgabe</x:v>
      </x:c>
      <x:c r="P2537" t="str">
        <x:v>Ist</x:v>
      </x:c>
      <x:c r="Q2537" s="59" t="b">
        <x:v>0</x:v>
      </x:c>
      <x:c r="R2537" t="str">
        <x:v>kein_transfer</x:v>
      </x:c>
      <x:c r="S2537"/>
      <x:c r="T2537"/>
      <x:c r="U2537"/>
      <x:c r="V2537" s="59" t="b">
        <x:v>1</x:v>
      </x:c>
      <x:c r="W2537"/>
      <x:c r="X2537" t="str">
        <x:v>offen</x:v>
      </x:c>
      <x:c r="Y2537" t="str">
        <x:v>Agent-Draft; Kategorie und Person pruefen</x:v>
      </x:c>
    </x:row>
    <x:row r="2538">
      <x:c r="A2538" t="str">
        <x:v>TXN-RAW-IMP-20260516-FULLDRAFT-002522</x:v>
      </x:c>
      <x:c r="B2538" t="str">
        <x:v>RAW-IMP-20260516-FULLDRAFT-002522</x:v>
      </x:c>
      <x:c r="C2538" t="str">
        <x:v>KTO001</x:v>
      </x:c>
      <x:c r="D2538"/>
      <x:c r="E2538" t="str">
        <x:v>KAT013</x:v>
      </x:c>
      <x:c r="F2538"/>
      <x:c r="G2538"/>
      <x:c r="H2538" t="str">
        <x:v>kein_match</x:v>
      </x:c>
      <x:c r="I2538" t="str">
        <x:v>Agent-Draft: keine finale Regelentscheidung</x:v>
      </x:c>
      <x:c r="J2538" t="n">
        <x:v>45313</x:v>
      </x:c>
      <x:c r="K2538"/>
      <x:c r="L2538"/>
      <x:c r="M2538" t="n">
        <x:v>-74.49</x:v>
      </x:c>
      <x:c r="N2538" t="str">
        <x:v>2024-01</x:v>
      </x:c>
      <x:c r="O2538" t="str">
        <x:v>Ausgabe</x:v>
      </x:c>
      <x:c r="P2538" t="str">
        <x:v>Ist</x:v>
      </x:c>
      <x:c r="Q2538" s="59" t="b">
        <x:v>0</x:v>
      </x:c>
      <x:c r="R2538" t="str">
        <x:v>kein_transfer</x:v>
      </x:c>
      <x:c r="S2538"/>
      <x:c r="T2538"/>
      <x:c r="U2538"/>
      <x:c r="V2538" s="59" t="b">
        <x:v>1</x:v>
      </x:c>
      <x:c r="W2538"/>
      <x:c r="X2538" t="str">
        <x:v>offen</x:v>
      </x:c>
      <x:c r="Y2538" t="str">
        <x:v>Agent-Draft; Kategorie und Person pruefen</x:v>
      </x:c>
    </x:row>
    <x:row r="2539">
      <x:c r="A2539" t="str">
        <x:v>TXN-RAW-IMP-20260516-FULLDRAFT-002523</x:v>
      </x:c>
      <x:c r="B2539" t="str">
        <x:v>RAW-IMP-20260516-FULLDRAFT-002523</x:v>
      </x:c>
      <x:c r="C2539" t="str">
        <x:v>KTO001</x:v>
      </x:c>
      <x:c r="D2539"/>
      <x:c r="E2539" t="str">
        <x:v>KAT013</x:v>
      </x:c>
      <x:c r="F2539"/>
      <x:c r="G2539"/>
      <x:c r="H2539" t="str">
        <x:v>kein_match</x:v>
      </x:c>
      <x:c r="I2539" t="str">
        <x:v>Agent-Draft: keine finale Regelentscheidung</x:v>
      </x:c>
      <x:c r="J2539" t="n">
        <x:v>45310</x:v>
      </x:c>
      <x:c r="K2539"/>
      <x:c r="L2539"/>
      <x:c r="M2539" t="n">
        <x:v>-4.58</x:v>
      </x:c>
      <x:c r="N2539" t="str">
        <x:v>2024-01</x:v>
      </x:c>
      <x:c r="O2539" t="str">
        <x:v>Ausgabe</x:v>
      </x:c>
      <x:c r="P2539" t="str">
        <x:v>Ist</x:v>
      </x:c>
      <x:c r="Q2539" s="59" t="b">
        <x:v>0</x:v>
      </x:c>
      <x:c r="R2539" t="str">
        <x:v>kein_transfer</x:v>
      </x:c>
      <x:c r="S2539"/>
      <x:c r="T2539"/>
      <x:c r="U2539"/>
      <x:c r="V2539" s="59" t="b">
        <x:v>1</x:v>
      </x:c>
      <x:c r="W2539"/>
      <x:c r="X2539" t="str">
        <x:v>offen</x:v>
      </x:c>
      <x:c r="Y2539" t="str">
        <x:v>Agent-Draft; Kategorie und Person pruefen</x:v>
      </x:c>
    </x:row>
    <x:row r="2540">
      <x:c r="A2540" t="str">
        <x:v>TXN-RAW-IMP-20260516-FULLDRAFT-002524</x:v>
      </x:c>
      <x:c r="B2540" t="str">
        <x:v>RAW-IMP-20260516-FULLDRAFT-002524</x:v>
      </x:c>
      <x:c r="C2540" t="str">
        <x:v>KTO001</x:v>
      </x:c>
      <x:c r="D2540"/>
      <x:c r="E2540" t="str">
        <x:v>KAT013</x:v>
      </x:c>
      <x:c r="F2540"/>
      <x:c r="G2540"/>
      <x:c r="H2540" t="str">
        <x:v>kein_match</x:v>
      </x:c>
      <x:c r="I2540" t="str">
        <x:v>Agent-Draft: keine finale Regelentscheidung</x:v>
      </x:c>
      <x:c r="J2540" t="n">
        <x:v>45309</x:v>
      </x:c>
      <x:c r="K2540"/>
      <x:c r="L2540"/>
      <x:c r="M2540" t="n">
        <x:v>37.67</x:v>
      </x:c>
      <x:c r="N2540" t="str">
        <x:v>2024-01</x:v>
      </x:c>
      <x:c r="O2540" t="str">
        <x:v>Einnahme</x:v>
      </x:c>
      <x:c r="P2540" t="str">
        <x:v>Ist</x:v>
      </x:c>
      <x:c r="Q2540" s="59" t="b">
        <x:v>0</x:v>
      </x:c>
      <x:c r="R2540" t="str">
        <x:v>kein_transfer</x:v>
      </x:c>
      <x:c r="S2540"/>
      <x:c r="T2540"/>
      <x:c r="U2540"/>
      <x:c r="V2540" s="59" t="b">
        <x:v>1</x:v>
      </x:c>
      <x:c r="W2540"/>
      <x:c r="X2540" t="str">
        <x:v>offen</x:v>
      </x:c>
      <x:c r="Y2540" t="str">
        <x:v>Agent-Draft; Kategorie und Person pruefen</x:v>
      </x:c>
    </x:row>
    <x:row r="2541">
      <x:c r="A2541" t="str">
        <x:v>TXN-RAW-IMP-20260516-FULLDRAFT-002525</x:v>
      </x:c>
      <x:c r="B2541" t="str">
        <x:v>RAW-IMP-20260516-FULLDRAFT-002525</x:v>
      </x:c>
      <x:c r="C2541" t="str">
        <x:v>KTO001</x:v>
      </x:c>
      <x:c r="D2541"/>
      <x:c r="E2541" t="str">
        <x:v>KAT013</x:v>
      </x:c>
      <x:c r="F2541"/>
      <x:c r="G2541"/>
      <x:c r="H2541" t="str">
        <x:v>kein_match</x:v>
      </x:c>
      <x:c r="I2541" t="str">
        <x:v>Agent-Draft: keine finale Regelentscheidung</x:v>
      </x:c>
      <x:c r="J2541" t="n">
        <x:v>45309</x:v>
      </x:c>
      <x:c r="K2541"/>
      <x:c r="L2541"/>
      <x:c r="M2541" t="n">
        <x:v>-18.88</x:v>
      </x:c>
      <x:c r="N2541" t="str">
        <x:v>2024-01</x:v>
      </x:c>
      <x:c r="O2541" t="str">
        <x:v>Ausgabe</x:v>
      </x:c>
      <x:c r="P2541" t="str">
        <x:v>Ist</x:v>
      </x:c>
      <x:c r="Q2541" s="59" t="b">
        <x:v>0</x:v>
      </x:c>
      <x:c r="R2541" t="str">
        <x:v>kein_transfer</x:v>
      </x:c>
      <x:c r="S2541"/>
      <x:c r="T2541"/>
      <x:c r="U2541"/>
      <x:c r="V2541" s="59" t="b">
        <x:v>1</x:v>
      </x:c>
      <x:c r="W2541"/>
      <x:c r="X2541" t="str">
        <x:v>offen</x:v>
      </x:c>
      <x:c r="Y2541" t="str">
        <x:v>Agent-Draft; Kategorie und Person pruefen</x:v>
      </x:c>
    </x:row>
    <x:row r="2542">
      <x:c r="A2542" t="str">
        <x:v>TXN-RAW-IMP-20260516-FULLDRAFT-002526</x:v>
      </x:c>
      <x:c r="B2542" t="str">
        <x:v>RAW-IMP-20260516-FULLDRAFT-002526</x:v>
      </x:c>
      <x:c r="C2542" t="str">
        <x:v>KTO001</x:v>
      </x:c>
      <x:c r="D2542"/>
      <x:c r="E2542" t="str">
        <x:v>KAT013</x:v>
      </x:c>
      <x:c r="F2542"/>
      <x:c r="G2542"/>
      <x:c r="H2542" t="str">
        <x:v>kein_match</x:v>
      </x:c>
      <x:c r="I2542" t="str">
        <x:v>Agent-Draft: keine finale Regelentscheidung</x:v>
      </x:c>
      <x:c r="J2542" t="n">
        <x:v>45308</x:v>
      </x:c>
      <x:c r="K2542"/>
      <x:c r="L2542"/>
      <x:c r="M2542" t="n">
        <x:v>-6.99</x:v>
      </x:c>
      <x:c r="N2542" t="str">
        <x:v>2024-01</x:v>
      </x:c>
      <x:c r="O2542" t="str">
        <x:v>Ausgabe</x:v>
      </x:c>
      <x:c r="P2542" t="str">
        <x:v>Ist</x:v>
      </x:c>
      <x:c r="Q2542" s="59" t="b">
        <x:v>0</x:v>
      </x:c>
      <x:c r="R2542" t="str">
        <x:v>kein_transfer</x:v>
      </x:c>
      <x:c r="S2542"/>
      <x:c r="T2542"/>
      <x:c r="U2542"/>
      <x:c r="V2542" s="59" t="b">
        <x:v>1</x:v>
      </x:c>
      <x:c r="W2542"/>
      <x:c r="X2542" t="str">
        <x:v>offen</x:v>
      </x:c>
      <x:c r="Y2542" t="str">
        <x:v>Agent-Draft; Kategorie und Person pruefen</x:v>
      </x:c>
    </x:row>
    <x:row r="2543">
      <x:c r="A2543" t="str">
        <x:v>TXN-RAW-IMP-20260516-FULLDRAFT-002527</x:v>
      </x:c>
      <x:c r="B2543" t="str">
        <x:v>RAW-IMP-20260516-FULLDRAFT-002527</x:v>
      </x:c>
      <x:c r="C2543" t="str">
        <x:v>KTO001</x:v>
      </x:c>
      <x:c r="D2543"/>
      <x:c r="E2543" t="str">
        <x:v>KAT013</x:v>
      </x:c>
      <x:c r="F2543"/>
      <x:c r="G2543"/>
      <x:c r="H2543" t="str">
        <x:v>kein_match</x:v>
      </x:c>
      <x:c r="I2543" t="str">
        <x:v>Agent-Draft: keine finale Regelentscheidung</x:v>
      </x:c>
      <x:c r="J2543" t="n">
        <x:v>45308</x:v>
      </x:c>
      <x:c r="K2543"/>
      <x:c r="L2543"/>
      <x:c r="M2543" t="n">
        <x:v>-6.99</x:v>
      </x:c>
      <x:c r="N2543" t="str">
        <x:v>2024-01</x:v>
      </x:c>
      <x:c r="O2543" t="str">
        <x:v>Ausgabe</x:v>
      </x:c>
      <x:c r="P2543" t="str">
        <x:v>Ist</x:v>
      </x:c>
      <x:c r="Q2543" s="59" t="b">
        <x:v>0</x:v>
      </x:c>
      <x:c r="R2543" t="str">
        <x:v>kein_transfer</x:v>
      </x:c>
      <x:c r="S2543"/>
      <x:c r="T2543"/>
      <x:c r="U2543"/>
      <x:c r="V2543" s="59" t="b">
        <x:v>1</x:v>
      </x:c>
      <x:c r="W2543"/>
      <x:c r="X2543" t="str">
        <x:v>offen</x:v>
      </x:c>
      <x:c r="Y2543" t="str">
        <x:v>Agent-Draft; Kategorie und Person pruefen</x:v>
      </x:c>
    </x:row>
    <x:row r="2544">
      <x:c r="A2544" t="str">
        <x:v>TXN-RAW-IMP-20260516-FULLDRAFT-002528</x:v>
      </x:c>
      <x:c r="B2544" t="str">
        <x:v>RAW-IMP-20260516-FULLDRAFT-002528</x:v>
      </x:c>
      <x:c r="C2544" t="str">
        <x:v>KTO001</x:v>
      </x:c>
      <x:c r="D2544"/>
      <x:c r="E2544" t="str">
        <x:v>KAT013</x:v>
      </x:c>
      <x:c r="F2544"/>
      <x:c r="G2544"/>
      <x:c r="H2544" t="str">
        <x:v>kein_match</x:v>
      </x:c>
      <x:c r="I2544" t="str">
        <x:v>Agent-Draft: keine finale Regelentscheidung</x:v>
      </x:c>
      <x:c r="J2544" t="n">
        <x:v>45308</x:v>
      </x:c>
      <x:c r="K2544"/>
      <x:c r="L2544"/>
      <x:c r="M2544" t="n">
        <x:v>-6.99</x:v>
      </x:c>
      <x:c r="N2544" t="str">
        <x:v>2024-01</x:v>
      </x:c>
      <x:c r="O2544" t="str">
        <x:v>Ausgabe</x:v>
      </x:c>
      <x:c r="P2544" t="str">
        <x:v>Ist</x:v>
      </x:c>
      <x:c r="Q2544" s="59" t="b">
        <x:v>0</x:v>
      </x:c>
      <x:c r="R2544" t="str">
        <x:v>kein_transfer</x:v>
      </x:c>
      <x:c r="S2544"/>
      <x:c r="T2544"/>
      <x:c r="U2544"/>
      <x:c r="V2544" s="59" t="b">
        <x:v>1</x:v>
      </x:c>
      <x:c r="W2544"/>
      <x:c r="X2544" t="str">
        <x:v>offen</x:v>
      </x:c>
      <x:c r="Y2544" t="str">
        <x:v>Agent-Draft; Kategorie und Person pruefen</x:v>
      </x:c>
    </x:row>
    <x:row r="2545">
      <x:c r="A2545" t="str">
        <x:v>TXN-RAW-IMP-20260516-FULLDRAFT-002529</x:v>
      </x:c>
      <x:c r="B2545" t="str">
        <x:v>RAW-IMP-20260516-FULLDRAFT-002529</x:v>
      </x:c>
      <x:c r="C2545" t="str">
        <x:v>KTO001</x:v>
      </x:c>
      <x:c r="D2545"/>
      <x:c r="E2545" t="str">
        <x:v>KAT013</x:v>
      </x:c>
      <x:c r="F2545"/>
      <x:c r="G2545"/>
      <x:c r="H2545" t="str">
        <x:v>kein_match</x:v>
      </x:c>
      <x:c r="I2545" t="str">
        <x:v>Agent-Draft: keine finale Regelentscheidung</x:v>
      </x:c>
      <x:c r="J2545" t="n">
        <x:v>45306</x:v>
      </x:c>
      <x:c r="K2545"/>
      <x:c r="L2545"/>
      <x:c r="M2545" t="n">
        <x:v>-144.35</x:v>
      </x:c>
      <x:c r="N2545" t="str">
        <x:v>2024-01</x:v>
      </x:c>
      <x:c r="O2545" t="str">
        <x:v>Ausgabe</x:v>
      </x:c>
      <x:c r="P2545" t="str">
        <x:v>Ist</x:v>
      </x:c>
      <x:c r="Q2545" s="59" t="b">
        <x:v>0</x:v>
      </x:c>
      <x:c r="R2545" t="str">
        <x:v>kein_transfer</x:v>
      </x:c>
      <x:c r="S2545"/>
      <x:c r="T2545"/>
      <x:c r="U2545"/>
      <x:c r="V2545" s="59" t="b">
        <x:v>1</x:v>
      </x:c>
      <x:c r="W2545"/>
      <x:c r="X2545" t="str">
        <x:v>offen</x:v>
      </x:c>
      <x:c r="Y2545" t="str">
        <x:v>Agent-Draft; Kategorie und Person pruefen</x:v>
      </x:c>
    </x:row>
    <x:row r="2546">
      <x:c r="A2546" t="str">
        <x:v>TXN-RAW-IMP-20260516-FULLDRAFT-002530</x:v>
      </x:c>
      <x:c r="B2546" t="str">
        <x:v>RAW-IMP-20260516-FULLDRAFT-002530</x:v>
      </x:c>
      <x:c r="C2546" t="str">
        <x:v>KTO001</x:v>
      </x:c>
      <x:c r="D2546"/>
      <x:c r="E2546" t="str">
        <x:v>KAT013</x:v>
      </x:c>
      <x:c r="F2546"/>
      <x:c r="G2546"/>
      <x:c r="H2546" t="str">
        <x:v>kein_match</x:v>
      </x:c>
      <x:c r="I2546" t="str">
        <x:v>Agent-Draft: keine finale Regelentscheidung</x:v>
      </x:c>
      <x:c r="J2546" t="n">
        <x:v>45306</x:v>
      </x:c>
      <x:c r="K2546"/>
      <x:c r="L2546"/>
      <x:c r="M2546" t="n">
        <x:v>-100</x:v>
      </x:c>
      <x:c r="N2546" t="str">
        <x:v>2024-01</x:v>
      </x:c>
      <x:c r="O2546" t="str">
        <x:v>Ausgabe</x:v>
      </x:c>
      <x:c r="P2546" t="str">
        <x:v>Ist</x:v>
      </x:c>
      <x:c r="Q2546" s="59" t="b">
        <x:v>0</x:v>
      </x:c>
      <x:c r="R2546" t="str">
        <x:v>kein_transfer</x:v>
      </x:c>
      <x:c r="S2546"/>
      <x:c r="T2546"/>
      <x:c r="U2546"/>
      <x:c r="V2546" s="59" t="b">
        <x:v>1</x:v>
      </x:c>
      <x:c r="W2546"/>
      <x:c r="X2546" t="str">
        <x:v>offen</x:v>
      </x:c>
      <x:c r="Y2546" t="str">
        <x:v>Agent-Draft; Kategorie und Person pruefen</x:v>
      </x:c>
    </x:row>
    <x:row r="2547">
      <x:c r="A2547" t="str">
        <x:v>TXN-RAW-IMP-20260516-FULLDRAFT-002531</x:v>
      </x:c>
      <x:c r="B2547" t="str">
        <x:v>RAW-IMP-20260516-FULLDRAFT-002531</x:v>
      </x:c>
      <x:c r="C2547" t="str">
        <x:v>KTO001</x:v>
      </x:c>
      <x:c r="D2547"/>
      <x:c r="E2547" t="str">
        <x:v>KAT013</x:v>
      </x:c>
      <x:c r="F2547"/>
      <x:c r="G2547"/>
      <x:c r="H2547" t="str">
        <x:v>kein_match</x:v>
      </x:c>
      <x:c r="I2547" t="str">
        <x:v>Agent-Draft: keine finale Regelentscheidung</x:v>
      </x:c>
      <x:c r="J2547" t="n">
        <x:v>45306</x:v>
      </x:c>
      <x:c r="K2547"/>
      <x:c r="L2547"/>
      <x:c r="M2547" t="n">
        <x:v>-5.38</x:v>
      </x:c>
      <x:c r="N2547" t="str">
        <x:v>2024-01</x:v>
      </x:c>
      <x:c r="O2547" t="str">
        <x:v>Ausgabe</x:v>
      </x:c>
      <x:c r="P2547" t="str">
        <x:v>Ist</x:v>
      </x:c>
      <x:c r="Q2547" s="59" t="b">
        <x:v>0</x:v>
      </x:c>
      <x:c r="R2547" t="str">
        <x:v>kein_transfer</x:v>
      </x:c>
      <x:c r="S2547"/>
      <x:c r="T2547"/>
      <x:c r="U2547"/>
      <x:c r="V2547" s="59" t="b">
        <x:v>1</x:v>
      </x:c>
      <x:c r="W2547"/>
      <x:c r="X2547" t="str">
        <x:v>offen</x:v>
      </x:c>
      <x:c r="Y2547" t="str">
        <x:v>Agent-Draft; Kategorie und Person pruefen</x:v>
      </x:c>
    </x:row>
    <x:row r="2548">
      <x:c r="A2548" t="str">
        <x:v>TXN-RAW-IMP-20260516-FULLDRAFT-002532</x:v>
      </x:c>
      <x:c r="B2548" t="str">
        <x:v>RAW-IMP-20260516-FULLDRAFT-002532</x:v>
      </x:c>
      <x:c r="C2548" t="str">
        <x:v>KTO001</x:v>
      </x:c>
      <x:c r="D2548"/>
      <x:c r="E2548" t="str">
        <x:v>KAT013</x:v>
      </x:c>
      <x:c r="F2548"/>
      <x:c r="G2548"/>
      <x:c r="H2548" t="str">
        <x:v>kein_match</x:v>
      </x:c>
      <x:c r="I2548" t="str">
        <x:v>Agent-Draft: keine finale Regelentscheidung</x:v>
      </x:c>
      <x:c r="J2548" t="n">
        <x:v>45306</x:v>
      </x:c>
      <x:c r="K2548"/>
      <x:c r="L2548"/>
      <x:c r="M2548" t="n">
        <x:v>-11.88</x:v>
      </x:c>
      <x:c r="N2548" t="str">
        <x:v>2024-01</x:v>
      </x:c>
      <x:c r="O2548" t="str">
        <x:v>Ausgabe</x:v>
      </x:c>
      <x:c r="P2548" t="str">
        <x:v>Ist</x:v>
      </x:c>
      <x:c r="Q2548" s="59" t="b">
        <x:v>0</x:v>
      </x:c>
      <x:c r="R2548" t="str">
        <x:v>kein_transfer</x:v>
      </x:c>
      <x:c r="S2548"/>
      <x:c r="T2548"/>
      <x:c r="U2548"/>
      <x:c r="V2548" s="59" t="b">
        <x:v>1</x:v>
      </x:c>
      <x:c r="W2548"/>
      <x:c r="X2548" t="str">
        <x:v>offen</x:v>
      </x:c>
      <x:c r="Y2548" t="str">
        <x:v>Agent-Draft; Kategorie und Person pruefen</x:v>
      </x:c>
    </x:row>
    <x:row r="2549">
      <x:c r="A2549" t="str">
        <x:v>TXN-RAW-IMP-20260516-FULLDRAFT-002533</x:v>
      </x:c>
      <x:c r="B2549" t="str">
        <x:v>RAW-IMP-20260516-FULLDRAFT-002533</x:v>
      </x:c>
      <x:c r="C2549" t="str">
        <x:v>KTO001</x:v>
      </x:c>
      <x:c r="D2549"/>
      <x:c r="E2549" t="str">
        <x:v>KAT013</x:v>
      </x:c>
      <x:c r="F2549"/>
      <x:c r="G2549"/>
      <x:c r="H2549" t="str">
        <x:v>kein_match</x:v>
      </x:c>
      <x:c r="I2549" t="str">
        <x:v>Agent-Draft: keine finale Regelentscheidung</x:v>
      </x:c>
      <x:c r="J2549" t="n">
        <x:v>45303</x:v>
      </x:c>
      <x:c r="K2549"/>
      <x:c r="L2549"/>
      <x:c r="M2549" t="n">
        <x:v>-13</x:v>
      </x:c>
      <x:c r="N2549" t="str">
        <x:v>2024-01</x:v>
      </x:c>
      <x:c r="O2549" t="str">
        <x:v>Ausgabe</x:v>
      </x:c>
      <x:c r="P2549" t="str">
        <x:v>Ist</x:v>
      </x:c>
      <x:c r="Q2549" s="59" t="b">
        <x:v>0</x:v>
      </x:c>
      <x:c r="R2549" t="str">
        <x:v>kein_transfer</x:v>
      </x:c>
      <x:c r="S2549"/>
      <x:c r="T2549"/>
      <x:c r="U2549"/>
      <x:c r="V2549" s="59" t="b">
        <x:v>1</x:v>
      </x:c>
      <x:c r="W2549"/>
      <x:c r="X2549" t="str">
        <x:v>offen</x:v>
      </x:c>
      <x:c r="Y2549" t="str">
        <x:v>Agent-Draft; Kategorie und Person pruefen</x:v>
      </x:c>
    </x:row>
    <x:row r="2550">
      <x:c r="A2550" t="str">
        <x:v>TXN-RAW-IMP-20260516-FULLDRAFT-002534</x:v>
      </x:c>
      <x:c r="B2550" t="str">
        <x:v>RAW-IMP-20260516-FULLDRAFT-002534</x:v>
      </x:c>
      <x:c r="C2550" t="str">
        <x:v>KTO001</x:v>
      </x:c>
      <x:c r="D2550"/>
      <x:c r="E2550" t="str">
        <x:v>KAT013</x:v>
      </x:c>
      <x:c r="F2550"/>
      <x:c r="G2550"/>
      <x:c r="H2550" t="str">
        <x:v>kein_match</x:v>
      </x:c>
      <x:c r="I2550" t="str">
        <x:v>Agent-Draft: keine finale Regelentscheidung</x:v>
      </x:c>
      <x:c r="J2550" t="n">
        <x:v>45303</x:v>
      </x:c>
      <x:c r="K2550"/>
      <x:c r="L2550"/>
      <x:c r="M2550" t="n">
        <x:v>-1</x:v>
      </x:c>
      <x:c r="N2550" t="str">
        <x:v>2024-01</x:v>
      </x:c>
      <x:c r="O2550" t="str">
        <x:v>Ausgabe</x:v>
      </x:c>
      <x:c r="P2550" t="str">
        <x:v>Ist</x:v>
      </x:c>
      <x:c r="Q2550" s="59" t="b">
        <x:v>0</x:v>
      </x:c>
      <x:c r="R2550" t="str">
        <x:v>kein_transfer</x:v>
      </x:c>
      <x:c r="S2550"/>
      <x:c r="T2550"/>
      <x:c r="U2550"/>
      <x:c r="V2550" s="59" t="b">
        <x:v>1</x:v>
      </x:c>
      <x:c r="W2550"/>
      <x:c r="X2550" t="str">
        <x:v>offen</x:v>
      </x:c>
      <x:c r="Y2550" t="str">
        <x:v>Agent-Draft; Kategorie und Person pruefen</x:v>
      </x:c>
    </x:row>
    <x:row r="2551">
      <x:c r="A2551" t="str">
        <x:v>TXN-RAW-IMP-20260516-FULLDRAFT-002535</x:v>
      </x:c>
      <x:c r="B2551" t="str">
        <x:v>RAW-IMP-20260516-FULLDRAFT-002535</x:v>
      </x:c>
      <x:c r="C2551" t="str">
        <x:v>KTO001</x:v>
      </x:c>
      <x:c r="D2551"/>
      <x:c r="E2551" t="str">
        <x:v>KAT013</x:v>
      </x:c>
      <x:c r="F2551"/>
      <x:c r="G2551"/>
      <x:c r="H2551" t="str">
        <x:v>kein_match</x:v>
      </x:c>
      <x:c r="I2551" t="str">
        <x:v>Agent-Draft: keine finale Regelentscheidung</x:v>
      </x:c>
      <x:c r="J2551" t="n">
        <x:v>45303</x:v>
      </x:c>
      <x:c r="K2551"/>
      <x:c r="L2551"/>
      <x:c r="M2551" t="n">
        <x:v>-152</x:v>
      </x:c>
      <x:c r="N2551" t="str">
        <x:v>2024-01</x:v>
      </x:c>
      <x:c r="O2551" t="str">
        <x:v>Ausgabe</x:v>
      </x:c>
      <x:c r="P2551" t="str">
        <x:v>Ist</x:v>
      </x:c>
      <x:c r="Q2551" s="59" t="b">
        <x:v>0</x:v>
      </x:c>
      <x:c r="R2551" t="str">
        <x:v>kein_transfer</x:v>
      </x:c>
      <x:c r="S2551"/>
      <x:c r="T2551"/>
      <x:c r="U2551"/>
      <x:c r="V2551" s="59" t="b">
        <x:v>1</x:v>
      </x:c>
      <x:c r="W2551"/>
      <x:c r="X2551" t="str">
        <x:v>offen</x:v>
      </x:c>
      <x:c r="Y2551" t="str">
        <x:v>Agent-Draft; Kategorie und Person pruefen</x:v>
      </x:c>
    </x:row>
    <x:row r="2552">
      <x:c r="A2552" t="str">
        <x:v>TXN-RAW-IMP-20260516-FULLDRAFT-002536</x:v>
      </x:c>
      <x:c r="B2552" t="str">
        <x:v>RAW-IMP-20260516-FULLDRAFT-002536</x:v>
      </x:c>
      <x:c r="C2552" t="str">
        <x:v>KTO001</x:v>
      </x:c>
      <x:c r="D2552"/>
      <x:c r="E2552" t="str">
        <x:v>KAT013</x:v>
      </x:c>
      <x:c r="F2552"/>
      <x:c r="G2552"/>
      <x:c r="H2552" t="str">
        <x:v>kein_match</x:v>
      </x:c>
      <x:c r="I2552" t="str">
        <x:v>Agent-Draft: keine finale Regelentscheidung</x:v>
      </x:c>
      <x:c r="J2552" t="n">
        <x:v>45302</x:v>
      </x:c>
      <x:c r="K2552"/>
      <x:c r="L2552"/>
      <x:c r="M2552" t="n">
        <x:v>-11.03</x:v>
      </x:c>
      <x:c r="N2552" t="str">
        <x:v>2024-01</x:v>
      </x:c>
      <x:c r="O2552" t="str">
        <x:v>Ausgabe</x:v>
      </x:c>
      <x:c r="P2552" t="str">
        <x:v>Ist</x:v>
      </x:c>
      <x:c r="Q2552" s="59" t="b">
        <x:v>0</x:v>
      </x:c>
      <x:c r="R2552" t="str">
        <x:v>kein_transfer</x:v>
      </x:c>
      <x:c r="S2552"/>
      <x:c r="T2552"/>
      <x:c r="U2552"/>
      <x:c r="V2552" s="59" t="b">
        <x:v>1</x:v>
      </x:c>
      <x:c r="W2552"/>
      <x:c r="X2552" t="str">
        <x:v>offen</x:v>
      </x:c>
      <x:c r="Y2552" t="str">
        <x:v>Agent-Draft; Kategorie und Person pruefen</x:v>
      </x:c>
    </x:row>
    <x:row r="2553">
      <x:c r="A2553" t="str">
        <x:v>TXN-RAW-IMP-20260516-FULLDRAFT-002537</x:v>
      </x:c>
      <x:c r="B2553" t="str">
        <x:v>RAW-IMP-20260516-FULLDRAFT-002537</x:v>
      </x:c>
      <x:c r="C2553" t="str">
        <x:v>KTO001</x:v>
      </x:c>
      <x:c r="D2553"/>
      <x:c r="E2553" t="str">
        <x:v>KAT013</x:v>
      </x:c>
      <x:c r="F2553"/>
      <x:c r="G2553"/>
      <x:c r="H2553" t="str">
        <x:v>kein_match</x:v>
      </x:c>
      <x:c r="I2553" t="str">
        <x:v>Agent-Draft: keine finale Regelentscheidung</x:v>
      </x:c>
      <x:c r="J2553" t="n">
        <x:v>45301</x:v>
      </x:c>
      <x:c r="K2553"/>
      <x:c r="L2553"/>
      <x:c r="M2553" t="n">
        <x:v>-13.37</x:v>
      </x:c>
      <x:c r="N2553" t="str">
        <x:v>2024-01</x:v>
      </x:c>
      <x:c r="O2553" t="str">
        <x:v>Ausgabe</x:v>
      </x:c>
      <x:c r="P2553" t="str">
        <x:v>Ist</x:v>
      </x:c>
      <x:c r="Q2553" s="59" t="b">
        <x:v>0</x:v>
      </x:c>
      <x:c r="R2553" t="str">
        <x:v>kein_transfer</x:v>
      </x:c>
      <x:c r="S2553"/>
      <x:c r="T2553"/>
      <x:c r="U2553"/>
      <x:c r="V2553" s="59" t="b">
        <x:v>1</x:v>
      </x:c>
      <x:c r="W2553"/>
      <x:c r="X2553" t="str">
        <x:v>offen</x:v>
      </x:c>
      <x:c r="Y2553" t="str">
        <x:v>Agent-Draft; Kategorie und Person pruefen</x:v>
      </x:c>
    </x:row>
    <x:row r="2554">
      <x:c r="A2554" t="str">
        <x:v>TXN-RAW-IMP-20260516-FULLDRAFT-002538</x:v>
      </x:c>
      <x:c r="B2554" t="str">
        <x:v>RAW-IMP-20260516-FULLDRAFT-002538</x:v>
      </x:c>
      <x:c r="C2554" t="str">
        <x:v>KTO001</x:v>
      </x:c>
      <x:c r="D2554"/>
      <x:c r="E2554" t="str">
        <x:v>KAT013</x:v>
      </x:c>
      <x:c r="F2554"/>
      <x:c r="G2554"/>
      <x:c r="H2554" t="str">
        <x:v>kein_match</x:v>
      </x:c>
      <x:c r="I2554" t="str">
        <x:v>Agent-Draft: keine finale Regelentscheidung</x:v>
      </x:c>
      <x:c r="J2554" t="n">
        <x:v>45301</x:v>
      </x:c>
      <x:c r="K2554"/>
      <x:c r="L2554"/>
      <x:c r="M2554" t="n">
        <x:v>-5.99</x:v>
      </x:c>
      <x:c r="N2554" t="str">
        <x:v>2024-01</x:v>
      </x:c>
      <x:c r="O2554" t="str">
        <x:v>Ausgabe</x:v>
      </x:c>
      <x:c r="P2554" t="str">
        <x:v>Ist</x:v>
      </x:c>
      <x:c r="Q2554" s="59" t="b">
        <x:v>0</x:v>
      </x:c>
      <x:c r="R2554" t="str">
        <x:v>kein_transfer</x:v>
      </x:c>
      <x:c r="S2554"/>
      <x:c r="T2554"/>
      <x:c r="U2554"/>
      <x:c r="V2554" s="59" t="b">
        <x:v>1</x:v>
      </x:c>
      <x:c r="W2554"/>
      <x:c r="X2554" t="str">
        <x:v>offen</x:v>
      </x:c>
      <x:c r="Y2554" t="str">
        <x:v>Agent-Draft; Kategorie und Person pruefen</x:v>
      </x:c>
    </x:row>
    <x:row r="2555">
      <x:c r="A2555" t="str">
        <x:v>TXN-RAW-IMP-20260516-FULLDRAFT-002539</x:v>
      </x:c>
      <x:c r="B2555" t="str">
        <x:v>RAW-IMP-20260516-FULLDRAFT-002539</x:v>
      </x:c>
      <x:c r="C2555" t="str">
        <x:v>KTO001</x:v>
      </x:c>
      <x:c r="D2555"/>
      <x:c r="E2555" t="str">
        <x:v>KAT013</x:v>
      </x:c>
      <x:c r="F2555"/>
      <x:c r="G2555"/>
      <x:c r="H2555" t="str">
        <x:v>kein_match</x:v>
      </x:c>
      <x:c r="I2555" t="str">
        <x:v>Agent-Draft: keine finale Regelentscheidung</x:v>
      </x:c>
      <x:c r="J2555" t="n">
        <x:v>45301</x:v>
      </x:c>
      <x:c r="K2555"/>
      <x:c r="L2555"/>
      <x:c r="M2555" t="n">
        <x:v>0.01</x:v>
      </x:c>
      <x:c r="N2555" t="str">
        <x:v>2024-01</x:v>
      </x:c>
      <x:c r="O2555" t="str">
        <x:v>Einnahme</x:v>
      </x:c>
      <x:c r="P2555" t="str">
        <x:v>Ist</x:v>
      </x:c>
      <x:c r="Q2555" s="59" t="b">
        <x:v>0</x:v>
      </x:c>
      <x:c r="R2555" t="str">
        <x:v>kein_transfer</x:v>
      </x:c>
      <x:c r="S2555"/>
      <x:c r="T2555"/>
      <x:c r="U2555"/>
      <x:c r="V2555" s="59" t="b">
        <x:v>1</x:v>
      </x:c>
      <x:c r="W2555"/>
      <x:c r="X2555" t="str">
        <x:v>offen</x:v>
      </x:c>
      <x:c r="Y2555" t="str">
        <x:v>Agent-Draft; Kategorie und Person pruefen</x:v>
      </x:c>
    </x:row>
    <x:row r="2556">
      <x:c r="A2556" t="str">
        <x:v>TXN-RAW-IMP-20260516-FULLDRAFT-002540</x:v>
      </x:c>
      <x:c r="B2556" t="str">
        <x:v>RAW-IMP-20260516-FULLDRAFT-002540</x:v>
      </x:c>
      <x:c r="C2556" t="str">
        <x:v>KTO001</x:v>
      </x:c>
      <x:c r="D2556"/>
      <x:c r="E2556" t="str">
        <x:v>KAT013</x:v>
      </x:c>
      <x:c r="F2556"/>
      <x:c r="G2556"/>
      <x:c r="H2556" t="str">
        <x:v>kein_match</x:v>
      </x:c>
      <x:c r="I2556" t="str">
        <x:v>Agent-Draft: keine finale Regelentscheidung</x:v>
      </x:c>
      <x:c r="J2556" t="n">
        <x:v>45300</x:v>
      </x:c>
      <x:c r="K2556"/>
      <x:c r="L2556"/>
      <x:c r="M2556" t="n">
        <x:v>-1.39</x:v>
      </x:c>
      <x:c r="N2556" t="str">
        <x:v>2024-01</x:v>
      </x:c>
      <x:c r="O2556" t="str">
        <x:v>Ausgabe</x:v>
      </x:c>
      <x:c r="P2556" t="str">
        <x:v>Ist</x:v>
      </x:c>
      <x:c r="Q2556" s="59" t="b">
        <x:v>0</x:v>
      </x:c>
      <x:c r="R2556" t="str">
        <x:v>kein_transfer</x:v>
      </x:c>
      <x:c r="S2556"/>
      <x:c r="T2556"/>
      <x:c r="U2556"/>
      <x:c r="V2556" s="59" t="b">
        <x:v>1</x:v>
      </x:c>
      <x:c r="W2556"/>
      <x:c r="X2556" t="str">
        <x:v>offen</x:v>
      </x:c>
      <x:c r="Y2556" t="str">
        <x:v>Agent-Draft; Kategorie und Person pruefen</x:v>
      </x:c>
    </x:row>
    <x:row r="2557">
      <x:c r="A2557" t="str">
        <x:v>TXN-RAW-IMP-20260516-FULLDRAFT-002541</x:v>
      </x:c>
      <x:c r="B2557" t="str">
        <x:v>RAW-IMP-20260516-FULLDRAFT-002541</x:v>
      </x:c>
      <x:c r="C2557" t="str">
        <x:v>KTO001</x:v>
      </x:c>
      <x:c r="D2557"/>
      <x:c r="E2557" t="str">
        <x:v>KAT013</x:v>
      </x:c>
      <x:c r="F2557"/>
      <x:c r="G2557"/>
      <x:c r="H2557" t="str">
        <x:v>kein_match</x:v>
      </x:c>
      <x:c r="I2557" t="str">
        <x:v>Agent-Draft: keine finale Regelentscheidung</x:v>
      </x:c>
      <x:c r="J2557" t="n">
        <x:v>45300</x:v>
      </x:c>
      <x:c r="K2557"/>
      <x:c r="L2557"/>
      <x:c r="M2557" t="n">
        <x:v>-377.05</x:v>
      </x:c>
      <x:c r="N2557" t="str">
        <x:v>2024-01</x:v>
      </x:c>
      <x:c r="O2557" t="str">
        <x:v>Ausgabe</x:v>
      </x:c>
      <x:c r="P2557" t="str">
        <x:v>Ist</x:v>
      </x:c>
      <x:c r="Q2557" s="59" t="b">
        <x:v>0</x:v>
      </x:c>
      <x:c r="R2557" t="str">
        <x:v>kein_transfer</x:v>
      </x:c>
      <x:c r="S2557"/>
      <x:c r="T2557"/>
      <x:c r="U2557"/>
      <x:c r="V2557" s="59" t="b">
        <x:v>1</x:v>
      </x:c>
      <x:c r="W2557"/>
      <x:c r="X2557" t="str">
        <x:v>offen</x:v>
      </x:c>
      <x:c r="Y2557" t="str">
        <x:v>Agent-Draft; Kategorie und Person pruefen</x:v>
      </x:c>
    </x:row>
    <x:row r="2558">
      <x:c r="A2558" t="str">
        <x:v>TXN-RAW-IMP-20260516-FULLDRAFT-002542</x:v>
      </x:c>
      <x:c r="B2558" t="str">
        <x:v>RAW-IMP-20260516-FULLDRAFT-002542</x:v>
      </x:c>
      <x:c r="C2558" t="str">
        <x:v>KTO001</x:v>
      </x:c>
      <x:c r="D2558"/>
      <x:c r="E2558" t="str">
        <x:v>KAT013</x:v>
      </x:c>
      <x:c r="F2558"/>
      <x:c r="G2558"/>
      <x:c r="H2558" t="str">
        <x:v>kein_match</x:v>
      </x:c>
      <x:c r="I2558" t="str">
        <x:v>Agent-Draft: keine finale Regelentscheidung</x:v>
      </x:c>
      <x:c r="J2558" t="n">
        <x:v>45300</x:v>
      </x:c>
      <x:c r="K2558"/>
      <x:c r="L2558"/>
      <x:c r="M2558" t="n">
        <x:v>-22.5</x:v>
      </x:c>
      <x:c r="N2558" t="str">
        <x:v>2024-01</x:v>
      </x:c>
      <x:c r="O2558" t="str">
        <x:v>Ausgabe</x:v>
      </x:c>
      <x:c r="P2558" t="str">
        <x:v>Ist</x:v>
      </x:c>
      <x:c r="Q2558" s="59" t="b">
        <x:v>0</x:v>
      </x:c>
      <x:c r="R2558" t="str">
        <x:v>kein_transfer</x:v>
      </x:c>
      <x:c r="S2558"/>
      <x:c r="T2558"/>
      <x:c r="U2558"/>
      <x:c r="V2558" s="59" t="b">
        <x:v>1</x:v>
      </x:c>
      <x:c r="W2558"/>
      <x:c r="X2558" t="str">
        <x:v>offen</x:v>
      </x:c>
      <x:c r="Y2558" t="str">
        <x:v>Agent-Draft; Kategorie und Person pruefen</x:v>
      </x:c>
    </x:row>
    <x:row r="2559">
      <x:c r="A2559" t="str">
        <x:v>TXN-RAW-IMP-20260516-FULLDRAFT-002543</x:v>
      </x:c>
      <x:c r="B2559" t="str">
        <x:v>RAW-IMP-20260516-FULLDRAFT-002543</x:v>
      </x:c>
      <x:c r="C2559" t="str">
        <x:v>KTO001</x:v>
      </x:c>
      <x:c r="D2559"/>
      <x:c r="E2559" t="str">
        <x:v>KAT013</x:v>
      </x:c>
      <x:c r="F2559"/>
      <x:c r="G2559"/>
      <x:c r="H2559" t="str">
        <x:v>kein_match</x:v>
      </x:c>
      <x:c r="I2559" t="str">
        <x:v>Agent-Draft: keine finale Regelentscheidung</x:v>
      </x:c>
      <x:c r="J2559" t="n">
        <x:v>45300</x:v>
      </x:c>
      <x:c r="K2559"/>
      <x:c r="L2559"/>
      <x:c r="M2559" t="n">
        <x:v>-11.96</x:v>
      </x:c>
      <x:c r="N2559" t="str">
        <x:v>2024-01</x:v>
      </x:c>
      <x:c r="O2559" t="str">
        <x:v>Ausgabe</x:v>
      </x:c>
      <x:c r="P2559" t="str">
        <x:v>Ist</x:v>
      </x:c>
      <x:c r="Q2559" s="59" t="b">
        <x:v>0</x:v>
      </x:c>
      <x:c r="R2559" t="str">
        <x:v>kein_transfer</x:v>
      </x:c>
      <x:c r="S2559"/>
      <x:c r="T2559"/>
      <x:c r="U2559"/>
      <x:c r="V2559" s="59" t="b">
        <x:v>1</x:v>
      </x:c>
      <x:c r="W2559"/>
      <x:c r="X2559" t="str">
        <x:v>offen</x:v>
      </x:c>
      <x:c r="Y2559" t="str">
        <x:v>Agent-Draft; Kategorie und Person pruefen</x:v>
      </x:c>
    </x:row>
    <x:row r="2560">
      <x:c r="A2560" t="str">
        <x:v>TXN-RAW-IMP-20260516-FULLDRAFT-002544</x:v>
      </x:c>
      <x:c r="B2560" t="str">
        <x:v>RAW-IMP-20260516-FULLDRAFT-002544</x:v>
      </x:c>
      <x:c r="C2560" t="str">
        <x:v>KTO001</x:v>
      </x:c>
      <x:c r="D2560"/>
      <x:c r="E2560" t="str">
        <x:v>KAT013</x:v>
      </x:c>
      <x:c r="F2560"/>
      <x:c r="G2560"/>
      <x:c r="H2560" t="str">
        <x:v>kein_match</x:v>
      </x:c>
      <x:c r="I2560" t="str">
        <x:v>Agent-Draft: keine finale Regelentscheidung</x:v>
      </x:c>
      <x:c r="J2560" t="n">
        <x:v>45300</x:v>
      </x:c>
      <x:c r="K2560"/>
      <x:c r="L2560"/>
      <x:c r="M2560" t="n">
        <x:v>-356.32</x:v>
      </x:c>
      <x:c r="N2560" t="str">
        <x:v>2024-01</x:v>
      </x:c>
      <x:c r="O2560" t="str">
        <x:v>Ausgabe</x:v>
      </x:c>
      <x:c r="P2560" t="str">
        <x:v>Ist</x:v>
      </x:c>
      <x:c r="Q2560" s="59" t="b">
        <x:v>0</x:v>
      </x:c>
      <x:c r="R2560" t="str">
        <x:v>kein_transfer</x:v>
      </x:c>
      <x:c r="S2560"/>
      <x:c r="T2560"/>
      <x:c r="U2560"/>
      <x:c r="V2560" s="59" t="b">
        <x:v>1</x:v>
      </x:c>
      <x:c r="W2560"/>
      <x:c r="X2560" t="str">
        <x:v>offen</x:v>
      </x:c>
      <x:c r="Y2560" t="str">
        <x:v>Agent-Draft; Kategorie und Person pruefen</x:v>
      </x:c>
    </x:row>
    <x:row r="2561">
      <x:c r="A2561" t="str">
        <x:v>TXN-RAW-IMP-20260516-FULLDRAFT-002545</x:v>
      </x:c>
      <x:c r="B2561" t="str">
        <x:v>RAW-IMP-20260516-FULLDRAFT-002545</x:v>
      </x:c>
      <x:c r="C2561" t="str">
        <x:v>KTO001</x:v>
      </x:c>
      <x:c r="D2561"/>
      <x:c r="E2561" t="str">
        <x:v>KAT013</x:v>
      </x:c>
      <x:c r="F2561"/>
      <x:c r="G2561"/>
      <x:c r="H2561" t="str">
        <x:v>kein_match</x:v>
      </x:c>
      <x:c r="I2561" t="str">
        <x:v>Agent-Draft: keine finale Regelentscheidung</x:v>
      </x:c>
      <x:c r="J2561" t="n">
        <x:v>45300</x:v>
      </x:c>
      <x:c r="K2561"/>
      <x:c r="L2561"/>
      <x:c r="M2561" t="n">
        <x:v>-18.14</x:v>
      </x:c>
      <x:c r="N2561" t="str">
        <x:v>2024-01</x:v>
      </x:c>
      <x:c r="O2561" t="str">
        <x:v>Ausgabe</x:v>
      </x:c>
      <x:c r="P2561" t="str">
        <x:v>Ist</x:v>
      </x:c>
      <x:c r="Q2561" s="59" t="b">
        <x:v>0</x:v>
      </x:c>
      <x:c r="R2561" t="str">
        <x:v>kein_transfer</x:v>
      </x:c>
      <x:c r="S2561"/>
      <x:c r="T2561"/>
      <x:c r="U2561"/>
      <x:c r="V2561" s="59" t="b">
        <x:v>1</x:v>
      </x:c>
      <x:c r="W2561"/>
      <x:c r="X2561" t="str">
        <x:v>offen</x:v>
      </x:c>
      <x:c r="Y2561" t="str">
        <x:v>Agent-Draft; Kategorie und Person pruefen</x:v>
      </x:c>
    </x:row>
    <x:row r="2562">
      <x:c r="A2562" t="str">
        <x:v>TXN-RAW-IMP-20260516-FULLDRAFT-002546</x:v>
      </x:c>
      <x:c r="B2562" t="str">
        <x:v>RAW-IMP-20260516-FULLDRAFT-002546</x:v>
      </x:c>
      <x:c r="C2562" t="str">
        <x:v>KTO001</x:v>
      </x:c>
      <x:c r="D2562"/>
      <x:c r="E2562" t="str">
        <x:v>KAT013</x:v>
      </x:c>
      <x:c r="F2562"/>
      <x:c r="G2562"/>
      <x:c r="H2562" t="str">
        <x:v>kein_match</x:v>
      </x:c>
      <x:c r="I2562" t="str">
        <x:v>Agent-Draft: keine finale Regelentscheidung</x:v>
      </x:c>
      <x:c r="J2562" t="n">
        <x:v>45300</x:v>
      </x:c>
      <x:c r="K2562"/>
      <x:c r="L2562"/>
      <x:c r="M2562" t="n">
        <x:v>45.96</x:v>
      </x:c>
      <x:c r="N2562" t="str">
        <x:v>2024-01</x:v>
      </x:c>
      <x:c r="O2562" t="str">
        <x:v>Einnahme</x:v>
      </x:c>
      <x:c r="P2562" t="str">
        <x:v>Ist</x:v>
      </x:c>
      <x:c r="Q2562" s="59" t="b">
        <x:v>0</x:v>
      </x:c>
      <x:c r="R2562" t="str">
        <x:v>kein_transfer</x:v>
      </x:c>
      <x:c r="S2562"/>
      <x:c r="T2562"/>
      <x:c r="U2562"/>
      <x:c r="V2562" s="59" t="b">
        <x:v>1</x:v>
      </x:c>
      <x:c r="W2562"/>
      <x:c r="X2562" t="str">
        <x:v>offen</x:v>
      </x:c>
      <x:c r="Y2562" t="str">
        <x:v>Agent-Draft; Kategorie und Person pruefen</x:v>
      </x:c>
    </x:row>
    <x:row r="2563">
      <x:c r="A2563" t="str">
        <x:v>TXN-RAW-IMP-20260516-FULLDRAFT-002547</x:v>
      </x:c>
      <x:c r="B2563" t="str">
        <x:v>RAW-IMP-20260516-FULLDRAFT-002547</x:v>
      </x:c>
      <x:c r="C2563" t="str">
        <x:v>KTO001</x:v>
      </x:c>
      <x:c r="D2563"/>
      <x:c r="E2563" t="str">
        <x:v>KAT013</x:v>
      </x:c>
      <x:c r="F2563"/>
      <x:c r="G2563"/>
      <x:c r="H2563" t="str">
        <x:v>kein_match</x:v>
      </x:c>
      <x:c r="I2563" t="str">
        <x:v>Agent-Draft: keine finale Regelentscheidung</x:v>
      </x:c>
      <x:c r="J2563" t="n">
        <x:v>45300</x:v>
      </x:c>
      <x:c r="K2563"/>
      <x:c r="L2563"/>
      <x:c r="M2563" t="n">
        <x:v>-45.96</x:v>
      </x:c>
      <x:c r="N2563" t="str">
        <x:v>2024-01</x:v>
      </x:c>
      <x:c r="O2563" t="str">
        <x:v>Ausgabe</x:v>
      </x:c>
      <x:c r="P2563" t="str">
        <x:v>Ist</x:v>
      </x:c>
      <x:c r="Q2563" s="59" t="b">
        <x:v>0</x:v>
      </x:c>
      <x:c r="R2563" t="str">
        <x:v>kein_transfer</x:v>
      </x:c>
      <x:c r="S2563"/>
      <x:c r="T2563"/>
      <x:c r="U2563"/>
      <x:c r="V2563" s="59" t="b">
        <x:v>1</x:v>
      </x:c>
      <x:c r="W2563"/>
      <x:c r="X2563" t="str">
        <x:v>offen</x:v>
      </x:c>
      <x:c r="Y2563" t="str">
        <x:v>Agent-Draft; Kategorie und Person pruefen</x:v>
      </x:c>
    </x:row>
    <x:row r="2564">
      <x:c r="A2564" t="str">
        <x:v>TXN-RAW-IMP-20260516-FULLDRAFT-002548</x:v>
      </x:c>
      <x:c r="B2564" t="str">
        <x:v>RAW-IMP-20260516-FULLDRAFT-002548</x:v>
      </x:c>
      <x:c r="C2564" t="str">
        <x:v>KTO001</x:v>
      </x:c>
      <x:c r="D2564"/>
      <x:c r="E2564" t="str">
        <x:v>KAT013</x:v>
      </x:c>
      <x:c r="F2564"/>
      <x:c r="G2564"/>
      <x:c r="H2564" t="str">
        <x:v>kein_match</x:v>
      </x:c>
      <x:c r="I2564" t="str">
        <x:v>Agent-Draft: keine finale Regelentscheidung</x:v>
      </x:c>
      <x:c r="J2564" t="n">
        <x:v>45299</x:v>
      </x:c>
      <x:c r="K2564"/>
      <x:c r="L2564"/>
      <x:c r="M2564" t="n">
        <x:v>-4.43</x:v>
      </x:c>
      <x:c r="N2564" t="str">
        <x:v>2024-01</x:v>
      </x:c>
      <x:c r="O2564" t="str">
        <x:v>Ausgabe</x:v>
      </x:c>
      <x:c r="P2564" t="str">
        <x:v>Ist</x:v>
      </x:c>
      <x:c r="Q2564" s="59" t="b">
        <x:v>0</x:v>
      </x:c>
      <x:c r="R2564" t="str">
        <x:v>kein_transfer</x:v>
      </x:c>
      <x:c r="S2564"/>
      <x:c r="T2564"/>
      <x:c r="U2564"/>
      <x:c r="V2564" s="59" t="b">
        <x:v>1</x:v>
      </x:c>
      <x:c r="W2564"/>
      <x:c r="X2564" t="str">
        <x:v>offen</x:v>
      </x:c>
      <x:c r="Y2564" t="str">
        <x:v>Agent-Draft; Kategorie und Person pruefen</x:v>
      </x:c>
    </x:row>
    <x:row r="2565">
      <x:c r="A2565" t="str">
        <x:v>TXN-RAW-IMP-20260516-FULLDRAFT-002549</x:v>
      </x:c>
      <x:c r="B2565" t="str">
        <x:v>RAW-IMP-20260516-FULLDRAFT-002549</x:v>
      </x:c>
      <x:c r="C2565" t="str">
        <x:v>KTO001</x:v>
      </x:c>
      <x:c r="D2565"/>
      <x:c r="E2565" t="str">
        <x:v>KAT013</x:v>
      </x:c>
      <x:c r="F2565"/>
      <x:c r="G2565"/>
      <x:c r="H2565" t="str">
        <x:v>kein_match</x:v>
      </x:c>
      <x:c r="I2565" t="str">
        <x:v>Agent-Draft: keine finale Regelentscheidung</x:v>
      </x:c>
      <x:c r="J2565" t="n">
        <x:v>45299</x:v>
      </x:c>
      <x:c r="K2565"/>
      <x:c r="L2565"/>
      <x:c r="M2565" t="n">
        <x:v>-0.99</x:v>
      </x:c>
      <x:c r="N2565" t="str">
        <x:v>2024-01</x:v>
      </x:c>
      <x:c r="O2565" t="str">
        <x:v>Ausgabe</x:v>
      </x:c>
      <x:c r="P2565" t="str">
        <x:v>Ist</x:v>
      </x:c>
      <x:c r="Q2565" s="59" t="b">
        <x:v>0</x:v>
      </x:c>
      <x:c r="R2565" t="str">
        <x:v>kein_transfer</x:v>
      </x:c>
      <x:c r="S2565"/>
      <x:c r="T2565"/>
      <x:c r="U2565"/>
      <x:c r="V2565" s="59" t="b">
        <x:v>1</x:v>
      </x:c>
      <x:c r="W2565"/>
      <x:c r="X2565" t="str">
        <x:v>offen</x:v>
      </x:c>
      <x:c r="Y2565" t="str">
        <x:v>Agent-Draft; Kategorie und Person pruefen</x:v>
      </x:c>
    </x:row>
    <x:row r="2566">
      <x:c r="A2566" t="str">
        <x:v>TXN-RAW-IMP-20260516-FULLDRAFT-002550</x:v>
      </x:c>
      <x:c r="B2566" t="str">
        <x:v>RAW-IMP-20260516-FULLDRAFT-002550</x:v>
      </x:c>
      <x:c r="C2566" t="str">
        <x:v>KTO001</x:v>
      </x:c>
      <x:c r="D2566"/>
      <x:c r="E2566" t="str">
        <x:v>KAT013</x:v>
      </x:c>
      <x:c r="F2566"/>
      <x:c r="G2566"/>
      <x:c r="H2566" t="str">
        <x:v>kein_match</x:v>
      </x:c>
      <x:c r="I2566" t="str">
        <x:v>Agent-Draft: keine finale Regelentscheidung</x:v>
      </x:c>
      <x:c r="J2566" t="n">
        <x:v>45299</x:v>
      </x:c>
      <x:c r="K2566"/>
      <x:c r="L2566"/>
      <x:c r="M2566" t="n">
        <x:v>-0.99</x:v>
      </x:c>
      <x:c r="N2566" t="str">
        <x:v>2024-01</x:v>
      </x:c>
      <x:c r="O2566" t="str">
        <x:v>Ausgabe</x:v>
      </x:c>
      <x:c r="P2566" t="str">
        <x:v>Ist</x:v>
      </x:c>
      <x:c r="Q2566" s="59" t="b">
        <x:v>0</x:v>
      </x:c>
      <x:c r="R2566" t="str">
        <x:v>kein_transfer</x:v>
      </x:c>
      <x:c r="S2566"/>
      <x:c r="T2566"/>
      <x:c r="U2566"/>
      <x:c r="V2566" s="59" t="b">
        <x:v>1</x:v>
      </x:c>
      <x:c r="W2566"/>
      <x:c r="X2566" t="str">
        <x:v>offen</x:v>
      </x:c>
      <x:c r="Y2566" t="str">
        <x:v>Agent-Draft; Kategorie und Person pruefen</x:v>
      </x:c>
    </x:row>
    <x:row r="2567">
      <x:c r="A2567" t="str">
        <x:v>TXN-RAW-IMP-20260516-FULLDRAFT-002551</x:v>
      </x:c>
      <x:c r="B2567" t="str">
        <x:v>RAW-IMP-20260516-FULLDRAFT-002551</x:v>
      </x:c>
      <x:c r="C2567" t="str">
        <x:v>KTO001</x:v>
      </x:c>
      <x:c r="D2567"/>
      <x:c r="E2567" t="str">
        <x:v>KAT013</x:v>
      </x:c>
      <x:c r="F2567"/>
      <x:c r="G2567"/>
      <x:c r="H2567" t="str">
        <x:v>kein_match</x:v>
      </x:c>
      <x:c r="I2567" t="str">
        <x:v>Agent-Draft: keine finale Regelentscheidung</x:v>
      </x:c>
      <x:c r="J2567" t="n">
        <x:v>45299</x:v>
      </x:c>
      <x:c r="K2567"/>
      <x:c r="L2567"/>
      <x:c r="M2567" t="n">
        <x:v>-0.99</x:v>
      </x:c>
      <x:c r="N2567" t="str">
        <x:v>2024-01</x:v>
      </x:c>
      <x:c r="O2567" t="str">
        <x:v>Ausgabe</x:v>
      </x:c>
      <x:c r="P2567" t="str">
        <x:v>Ist</x:v>
      </x:c>
      <x:c r="Q2567" s="59" t="b">
        <x:v>0</x:v>
      </x:c>
      <x:c r="R2567" t="str">
        <x:v>kein_transfer</x:v>
      </x:c>
      <x:c r="S2567"/>
      <x:c r="T2567"/>
      <x:c r="U2567"/>
      <x:c r="V2567" s="59" t="b">
        <x:v>1</x:v>
      </x:c>
      <x:c r="W2567"/>
      <x:c r="X2567" t="str">
        <x:v>offen</x:v>
      </x:c>
      <x:c r="Y2567" t="str">
        <x:v>Agent-Draft; Kategorie und Person pruefen</x:v>
      </x:c>
    </x:row>
    <x:row r="2568">
      <x:c r="A2568" t="str">
        <x:v>TXN-RAW-IMP-20260516-FULLDRAFT-002552</x:v>
      </x:c>
      <x:c r="B2568" t="str">
        <x:v>RAW-IMP-20260516-FULLDRAFT-002552</x:v>
      </x:c>
      <x:c r="C2568" t="str">
        <x:v>KTO001</x:v>
      </x:c>
      <x:c r="D2568"/>
      <x:c r="E2568" t="str">
        <x:v>KAT013</x:v>
      </x:c>
      <x:c r="F2568"/>
      <x:c r="G2568"/>
      <x:c r="H2568" t="str">
        <x:v>kein_match</x:v>
      </x:c>
      <x:c r="I2568" t="str">
        <x:v>Agent-Draft: keine finale Regelentscheidung</x:v>
      </x:c>
      <x:c r="J2568" t="n">
        <x:v>45299</x:v>
      </x:c>
      <x:c r="K2568"/>
      <x:c r="L2568"/>
      <x:c r="M2568" t="n">
        <x:v>-0.99</x:v>
      </x:c>
      <x:c r="N2568" t="str">
        <x:v>2024-01</x:v>
      </x:c>
      <x:c r="O2568" t="str">
        <x:v>Ausgabe</x:v>
      </x:c>
      <x:c r="P2568" t="str">
        <x:v>Ist</x:v>
      </x:c>
      <x:c r="Q2568" s="59" t="b">
        <x:v>0</x:v>
      </x:c>
      <x:c r="R2568" t="str">
        <x:v>kein_transfer</x:v>
      </x:c>
      <x:c r="S2568"/>
      <x:c r="T2568"/>
      <x:c r="U2568"/>
      <x:c r="V2568" s="59" t="b">
        <x:v>1</x:v>
      </x:c>
      <x:c r="W2568"/>
      <x:c r="X2568" t="str">
        <x:v>offen</x:v>
      </x:c>
      <x:c r="Y2568" t="str">
        <x:v>Agent-Draft; Kategorie und Person pruefen</x:v>
      </x:c>
    </x:row>
    <x:row r="2569">
      <x:c r="A2569" t="str">
        <x:v>TXN-RAW-IMP-20260516-FULLDRAFT-002553</x:v>
      </x:c>
      <x:c r="B2569" t="str">
        <x:v>RAW-IMP-20260516-FULLDRAFT-002553</x:v>
      </x:c>
      <x:c r="C2569" t="str">
        <x:v>KTO001</x:v>
      </x:c>
      <x:c r="D2569"/>
      <x:c r="E2569" t="str">
        <x:v>KAT013</x:v>
      </x:c>
      <x:c r="F2569"/>
      <x:c r="G2569"/>
      <x:c r="H2569" t="str">
        <x:v>kein_match</x:v>
      </x:c>
      <x:c r="I2569" t="str">
        <x:v>Agent-Draft: keine finale Regelentscheidung</x:v>
      </x:c>
      <x:c r="J2569" t="n">
        <x:v>45299</x:v>
      </x:c>
      <x:c r="K2569"/>
      <x:c r="L2569"/>
      <x:c r="M2569" t="n">
        <x:v>-0.99</x:v>
      </x:c>
      <x:c r="N2569" t="str">
        <x:v>2024-01</x:v>
      </x:c>
      <x:c r="O2569" t="str">
        <x:v>Ausgabe</x:v>
      </x:c>
      <x:c r="P2569" t="str">
        <x:v>Ist</x:v>
      </x:c>
      <x:c r="Q2569" s="59" t="b">
        <x:v>0</x:v>
      </x:c>
      <x:c r="R2569" t="str">
        <x:v>kein_transfer</x:v>
      </x:c>
      <x:c r="S2569"/>
      <x:c r="T2569"/>
      <x:c r="U2569"/>
      <x:c r="V2569" s="59" t="b">
        <x:v>1</x:v>
      </x:c>
      <x:c r="W2569"/>
      <x:c r="X2569" t="str">
        <x:v>offen</x:v>
      </x:c>
      <x:c r="Y2569" t="str">
        <x:v>Agent-Draft; Kategorie und Person pruefen</x:v>
      </x:c>
    </x:row>
    <x:row r="2570">
      <x:c r="A2570" t="str">
        <x:v>TXN-RAW-IMP-20260516-FULLDRAFT-002554</x:v>
      </x:c>
      <x:c r="B2570" t="str">
        <x:v>RAW-IMP-20260516-FULLDRAFT-002554</x:v>
      </x:c>
      <x:c r="C2570" t="str">
        <x:v>KTO001</x:v>
      </x:c>
      <x:c r="D2570"/>
      <x:c r="E2570" t="str">
        <x:v>KAT013</x:v>
      </x:c>
      <x:c r="F2570"/>
      <x:c r="G2570"/>
      <x:c r="H2570" t="str">
        <x:v>kein_match</x:v>
      </x:c>
      <x:c r="I2570" t="str">
        <x:v>Agent-Draft: keine finale Regelentscheidung</x:v>
      </x:c>
      <x:c r="J2570" t="n">
        <x:v>45299</x:v>
      </x:c>
      <x:c r="K2570"/>
      <x:c r="L2570"/>
      <x:c r="M2570" t="n">
        <x:v>-13.73</x:v>
      </x:c>
      <x:c r="N2570" t="str">
        <x:v>2024-01</x:v>
      </x:c>
      <x:c r="O2570" t="str">
        <x:v>Ausgabe</x:v>
      </x:c>
      <x:c r="P2570" t="str">
        <x:v>Ist</x:v>
      </x:c>
      <x:c r="Q2570" s="59" t="b">
        <x:v>0</x:v>
      </x:c>
      <x:c r="R2570" t="str">
        <x:v>kein_transfer</x:v>
      </x:c>
      <x:c r="S2570"/>
      <x:c r="T2570"/>
      <x:c r="U2570"/>
      <x:c r="V2570" s="59" t="b">
        <x:v>1</x:v>
      </x:c>
      <x:c r="W2570"/>
      <x:c r="X2570" t="str">
        <x:v>offen</x:v>
      </x:c>
      <x:c r="Y2570" t="str">
        <x:v>Agent-Draft; Kategorie und Person pruefen</x:v>
      </x:c>
    </x:row>
    <x:row r="2571">
      <x:c r="A2571" t="str">
        <x:v>TXN-RAW-IMP-20260516-FULLDRAFT-002555</x:v>
      </x:c>
      <x:c r="B2571" t="str">
        <x:v>RAW-IMP-20260516-FULLDRAFT-002555</x:v>
      </x:c>
      <x:c r="C2571" t="str">
        <x:v>KTO001</x:v>
      </x:c>
      <x:c r="D2571"/>
      <x:c r="E2571" t="str">
        <x:v>KAT013</x:v>
      </x:c>
      <x:c r="F2571"/>
      <x:c r="G2571"/>
      <x:c r="H2571" t="str">
        <x:v>kein_match</x:v>
      </x:c>
      <x:c r="I2571" t="str">
        <x:v>Agent-Draft: keine finale Regelentscheidung</x:v>
      </x:c>
      <x:c r="J2571" t="n">
        <x:v>45299</x:v>
      </x:c>
      <x:c r="K2571"/>
      <x:c r="L2571"/>
      <x:c r="M2571" t="n">
        <x:v>-7.9</x:v>
      </x:c>
      <x:c r="N2571" t="str">
        <x:v>2024-01</x:v>
      </x:c>
      <x:c r="O2571" t="str">
        <x:v>Ausgabe</x:v>
      </x:c>
      <x:c r="P2571" t="str">
        <x:v>Ist</x:v>
      </x:c>
      <x:c r="Q2571" s="59" t="b">
        <x:v>0</x:v>
      </x:c>
      <x:c r="R2571" t="str">
        <x:v>kein_transfer</x:v>
      </x:c>
      <x:c r="S2571"/>
      <x:c r="T2571"/>
      <x:c r="U2571"/>
      <x:c r="V2571" s="59" t="b">
        <x:v>1</x:v>
      </x:c>
      <x:c r="W2571"/>
      <x:c r="X2571" t="str">
        <x:v>offen</x:v>
      </x:c>
      <x:c r="Y2571" t="str">
        <x:v>Agent-Draft; Kategorie und Person pruefen</x:v>
      </x:c>
    </x:row>
    <x:row r="2572">
      <x:c r="A2572" t="str">
        <x:v>TXN-RAW-IMP-20260516-FULLDRAFT-002556</x:v>
      </x:c>
      <x:c r="B2572" t="str">
        <x:v>RAW-IMP-20260516-FULLDRAFT-002556</x:v>
      </x:c>
      <x:c r="C2572" t="str">
        <x:v>KTO001</x:v>
      </x:c>
      <x:c r="D2572"/>
      <x:c r="E2572" t="str">
        <x:v>KAT013</x:v>
      </x:c>
      <x:c r="F2572"/>
      <x:c r="G2572"/>
      <x:c r="H2572" t="str">
        <x:v>kein_match</x:v>
      </x:c>
      <x:c r="I2572" t="str">
        <x:v>Agent-Draft: keine finale Regelentscheidung</x:v>
      </x:c>
      <x:c r="J2572" t="n">
        <x:v>45299</x:v>
      </x:c>
      <x:c r="K2572"/>
      <x:c r="L2572"/>
      <x:c r="M2572" t="n">
        <x:v>-34.99</x:v>
      </x:c>
      <x:c r="N2572" t="str">
        <x:v>2024-01</x:v>
      </x:c>
      <x:c r="O2572" t="str">
        <x:v>Ausgabe</x:v>
      </x:c>
      <x:c r="P2572" t="str">
        <x:v>Ist</x:v>
      </x:c>
      <x:c r="Q2572" s="59" t="b">
        <x:v>0</x:v>
      </x:c>
      <x:c r="R2572" t="str">
        <x:v>kein_transfer</x:v>
      </x:c>
      <x:c r="S2572"/>
      <x:c r="T2572"/>
      <x:c r="U2572"/>
      <x:c r="V2572" s="59" t="b">
        <x:v>1</x:v>
      </x:c>
      <x:c r="W2572"/>
      <x:c r="X2572" t="str">
        <x:v>offen</x:v>
      </x:c>
      <x:c r="Y2572" t="str">
        <x:v>Agent-Draft; Kategorie und Person pruefen</x:v>
      </x:c>
    </x:row>
    <x:row r="2573">
      <x:c r="A2573" t="str">
        <x:v>TXN-RAW-IMP-20260516-FULLDRAFT-002557</x:v>
      </x:c>
      <x:c r="B2573" t="str">
        <x:v>RAW-IMP-20260516-FULLDRAFT-002557</x:v>
      </x:c>
      <x:c r="C2573" t="str">
        <x:v>KTO001</x:v>
      </x:c>
      <x:c r="D2573"/>
      <x:c r="E2573" t="str">
        <x:v>KAT013</x:v>
      </x:c>
      <x:c r="F2573"/>
      <x:c r="G2573"/>
      <x:c r="H2573" t="str">
        <x:v>kein_match</x:v>
      </x:c>
      <x:c r="I2573" t="str">
        <x:v>Agent-Draft: keine finale Regelentscheidung</x:v>
      </x:c>
      <x:c r="J2573" t="n">
        <x:v>45299</x:v>
      </x:c>
      <x:c r="K2573"/>
      <x:c r="L2573"/>
      <x:c r="M2573" t="n">
        <x:v>-49.9</x:v>
      </x:c>
      <x:c r="N2573" t="str">
        <x:v>2024-01</x:v>
      </x:c>
      <x:c r="O2573" t="str">
        <x:v>Ausgabe</x:v>
      </x:c>
      <x:c r="P2573" t="str">
        <x:v>Ist</x:v>
      </x:c>
      <x:c r="Q2573" s="59" t="b">
        <x:v>0</x:v>
      </x:c>
      <x:c r="R2573" t="str">
        <x:v>kein_transfer</x:v>
      </x:c>
      <x:c r="S2573"/>
      <x:c r="T2573"/>
      <x:c r="U2573"/>
      <x:c r="V2573" s="59" t="b">
        <x:v>1</x:v>
      </x:c>
      <x:c r="W2573"/>
      <x:c r="X2573" t="str">
        <x:v>offen</x:v>
      </x:c>
      <x:c r="Y2573" t="str">
        <x:v>Agent-Draft; Kategorie und Person pruefen</x:v>
      </x:c>
    </x:row>
    <x:row r="2574">
      <x:c r="A2574" t="str">
        <x:v>TXN-RAW-IMP-20260516-FULLDRAFT-002558</x:v>
      </x:c>
      <x:c r="B2574" t="str">
        <x:v>RAW-IMP-20260516-FULLDRAFT-002558</x:v>
      </x:c>
      <x:c r="C2574" t="str">
        <x:v>KTO001</x:v>
      </x:c>
      <x:c r="D2574"/>
      <x:c r="E2574" t="str">
        <x:v>KAT013</x:v>
      </x:c>
      <x:c r="F2574"/>
      <x:c r="G2574"/>
      <x:c r="H2574" t="str">
        <x:v>kein_match</x:v>
      </x:c>
      <x:c r="I2574" t="str">
        <x:v>Agent-Draft: keine finale Regelentscheidung</x:v>
      </x:c>
      <x:c r="J2574" t="n">
        <x:v>45296</x:v>
      </x:c>
      <x:c r="K2574"/>
      <x:c r="L2574"/>
      <x:c r="M2574" t="n">
        <x:v>-15.76</x:v>
      </x:c>
      <x:c r="N2574" t="str">
        <x:v>2024-01</x:v>
      </x:c>
      <x:c r="O2574" t="str">
        <x:v>Ausgabe</x:v>
      </x:c>
      <x:c r="P2574" t="str">
        <x:v>Ist</x:v>
      </x:c>
      <x:c r="Q2574" s="59" t="b">
        <x:v>0</x:v>
      </x:c>
      <x:c r="R2574" t="str">
        <x:v>kein_transfer</x:v>
      </x:c>
      <x:c r="S2574"/>
      <x:c r="T2574"/>
      <x:c r="U2574"/>
      <x:c r="V2574" s="59" t="b">
        <x:v>1</x:v>
      </x:c>
      <x:c r="W2574"/>
      <x:c r="X2574" t="str">
        <x:v>offen</x:v>
      </x:c>
      <x:c r="Y2574" t="str">
        <x:v>Agent-Draft; Kategorie und Person pruefen</x:v>
      </x:c>
    </x:row>
    <x:row r="2575">
      <x:c r="A2575" t="str">
        <x:v>TXN-RAW-IMP-20260516-FULLDRAFT-002559</x:v>
      </x:c>
      <x:c r="B2575" t="str">
        <x:v>RAW-IMP-20260516-FULLDRAFT-002559</x:v>
      </x:c>
      <x:c r="C2575" t="str">
        <x:v>KTO001</x:v>
      </x:c>
      <x:c r="D2575"/>
      <x:c r="E2575" t="str">
        <x:v>KAT013</x:v>
      </x:c>
      <x:c r="F2575"/>
      <x:c r="G2575"/>
      <x:c r="H2575" t="str">
        <x:v>kein_match</x:v>
      </x:c>
      <x:c r="I2575" t="str">
        <x:v>Agent-Draft: keine finale Regelentscheidung</x:v>
      </x:c>
      <x:c r="J2575" t="n">
        <x:v>45296</x:v>
      </x:c>
      <x:c r="K2575"/>
      <x:c r="L2575"/>
      <x:c r="M2575" t="n">
        <x:v>-61.94</x:v>
      </x:c>
      <x:c r="N2575" t="str">
        <x:v>2024-01</x:v>
      </x:c>
      <x:c r="O2575" t="str">
        <x:v>Ausgabe</x:v>
      </x:c>
      <x:c r="P2575" t="str">
        <x:v>Ist</x:v>
      </x:c>
      <x:c r="Q2575" s="59" t="b">
        <x:v>0</x:v>
      </x:c>
      <x:c r="R2575" t="str">
        <x:v>kein_transfer</x:v>
      </x:c>
      <x:c r="S2575"/>
      <x:c r="T2575"/>
      <x:c r="U2575"/>
      <x:c r="V2575" s="59" t="b">
        <x:v>1</x:v>
      </x:c>
      <x:c r="W2575"/>
      <x:c r="X2575" t="str">
        <x:v>offen</x:v>
      </x:c>
      <x:c r="Y2575" t="str">
        <x:v>Agent-Draft; Kategorie und Person pruefen</x:v>
      </x:c>
    </x:row>
    <x:row r="2576">
      <x:c r="A2576" t="str">
        <x:v>TXN-RAW-IMP-20260516-FULLDRAFT-002560</x:v>
      </x:c>
      <x:c r="B2576" t="str">
        <x:v>RAW-IMP-20260516-FULLDRAFT-002560</x:v>
      </x:c>
      <x:c r="C2576" t="str">
        <x:v>KTO001</x:v>
      </x:c>
      <x:c r="D2576"/>
      <x:c r="E2576" t="str">
        <x:v>KAT013</x:v>
      </x:c>
      <x:c r="F2576"/>
      <x:c r="G2576"/>
      <x:c r="H2576" t="str">
        <x:v>kein_match</x:v>
      </x:c>
      <x:c r="I2576" t="str">
        <x:v>Agent-Draft: keine finale Regelentscheidung</x:v>
      </x:c>
      <x:c r="J2576" t="n">
        <x:v>45295</x:v>
      </x:c>
      <x:c r="K2576"/>
      <x:c r="L2576"/>
      <x:c r="M2576" t="n">
        <x:v>-4.99</x:v>
      </x:c>
      <x:c r="N2576" t="str">
        <x:v>2024-01</x:v>
      </x:c>
      <x:c r="O2576" t="str">
        <x:v>Ausgabe</x:v>
      </x:c>
      <x:c r="P2576" t="str">
        <x:v>Ist</x:v>
      </x:c>
      <x:c r="Q2576" s="59" t="b">
        <x:v>0</x:v>
      </x:c>
      <x:c r="R2576" t="str">
        <x:v>kein_transfer</x:v>
      </x:c>
      <x:c r="S2576"/>
      <x:c r="T2576"/>
      <x:c r="U2576"/>
      <x:c r="V2576" s="59" t="b">
        <x:v>1</x:v>
      </x:c>
      <x:c r="W2576"/>
      <x:c r="X2576" t="str">
        <x:v>offen</x:v>
      </x:c>
      <x:c r="Y2576" t="str">
        <x:v>Agent-Draft; Kategorie und Person pruefen</x:v>
      </x:c>
    </x:row>
    <x:row r="2577">
      <x:c r="A2577" t="str">
        <x:v>TXN-RAW-IMP-20260516-FULLDRAFT-002561</x:v>
      </x:c>
      <x:c r="B2577" t="str">
        <x:v>RAW-IMP-20260516-FULLDRAFT-002561</x:v>
      </x:c>
      <x:c r="C2577" t="str">
        <x:v>KTO001</x:v>
      </x:c>
      <x:c r="D2577"/>
      <x:c r="E2577" t="str">
        <x:v>KAT013</x:v>
      </x:c>
      <x:c r="F2577"/>
      <x:c r="G2577"/>
      <x:c r="H2577" t="str">
        <x:v>kein_match</x:v>
      </x:c>
      <x:c r="I2577" t="str">
        <x:v>Agent-Draft: keine finale Regelentscheidung</x:v>
      </x:c>
      <x:c r="J2577" t="n">
        <x:v>45295</x:v>
      </x:c>
      <x:c r="K2577"/>
      <x:c r="L2577"/>
      <x:c r="M2577" t="n">
        <x:v>-0.99</x:v>
      </x:c>
      <x:c r="N2577" t="str">
        <x:v>2024-01</x:v>
      </x:c>
      <x:c r="O2577" t="str">
        <x:v>Ausgabe</x:v>
      </x:c>
      <x:c r="P2577" t="str">
        <x:v>Ist</x:v>
      </x:c>
      <x:c r="Q2577" s="59" t="b">
        <x:v>0</x:v>
      </x:c>
      <x:c r="R2577" t="str">
        <x:v>kein_transfer</x:v>
      </x:c>
      <x:c r="S2577"/>
      <x:c r="T2577"/>
      <x:c r="U2577"/>
      <x:c r="V2577" s="59" t="b">
        <x:v>1</x:v>
      </x:c>
      <x:c r="W2577"/>
      <x:c r="X2577" t="str">
        <x:v>offen</x:v>
      </x:c>
      <x:c r="Y2577" t="str">
        <x:v>Agent-Draft; Kategorie und Person pruefen</x:v>
      </x:c>
    </x:row>
    <x:row r="2578">
      <x:c r="A2578" t="str">
        <x:v>TXN-RAW-IMP-20260516-FULLDRAFT-002562</x:v>
      </x:c>
      <x:c r="B2578" t="str">
        <x:v>RAW-IMP-20260516-FULLDRAFT-002562</x:v>
      </x:c>
      <x:c r="C2578" t="str">
        <x:v>KTO001</x:v>
      </x:c>
      <x:c r="D2578"/>
      <x:c r="E2578" t="str">
        <x:v>KAT013</x:v>
      </x:c>
      <x:c r="F2578"/>
      <x:c r="G2578"/>
      <x:c r="H2578" t="str">
        <x:v>kein_match</x:v>
      </x:c>
      <x:c r="I2578" t="str">
        <x:v>Agent-Draft: keine finale Regelentscheidung</x:v>
      </x:c>
      <x:c r="J2578" t="n">
        <x:v>45294</x:v>
      </x:c>
      <x:c r="K2578"/>
      <x:c r="L2578"/>
      <x:c r="M2578" t="n">
        <x:v>-13.99</x:v>
      </x:c>
      <x:c r="N2578" t="str">
        <x:v>2024-01</x:v>
      </x:c>
      <x:c r="O2578" t="str">
        <x:v>Ausgabe</x:v>
      </x:c>
      <x:c r="P2578" t="str">
        <x:v>Ist</x:v>
      </x:c>
      <x:c r="Q2578" s="59" t="b">
        <x:v>0</x:v>
      </x:c>
      <x:c r="R2578" t="str">
        <x:v>kein_transfer</x:v>
      </x:c>
      <x:c r="S2578"/>
      <x:c r="T2578"/>
      <x:c r="U2578"/>
      <x:c r="V2578" s="59" t="b">
        <x:v>1</x:v>
      </x:c>
      <x:c r="W2578"/>
      <x:c r="X2578" t="str">
        <x:v>offen</x:v>
      </x:c>
      <x:c r="Y2578" t="str">
        <x:v>Agent-Draft; Kategorie und Person pruefen</x:v>
      </x:c>
    </x:row>
    <x:row r="2579">
      <x:c r="A2579" t="str">
        <x:v>TXN-RAW-IMP-20260516-FULLDRAFT-002563</x:v>
      </x:c>
      <x:c r="B2579" t="str">
        <x:v>RAW-IMP-20260516-FULLDRAFT-002563</x:v>
      </x:c>
      <x:c r="C2579" t="str">
        <x:v>KTO001</x:v>
      </x:c>
      <x:c r="D2579"/>
      <x:c r="E2579" t="str">
        <x:v>KAT013</x:v>
      </x:c>
      <x:c r="F2579"/>
      <x:c r="G2579"/>
      <x:c r="H2579" t="str">
        <x:v>kein_match</x:v>
      </x:c>
      <x:c r="I2579" t="str">
        <x:v>Agent-Draft: keine finale Regelentscheidung</x:v>
      </x:c>
      <x:c r="J2579" t="n">
        <x:v>45294</x:v>
      </x:c>
      <x:c r="K2579"/>
      <x:c r="L2579"/>
      <x:c r="M2579" t="n">
        <x:v>-51.54</x:v>
      </x:c>
      <x:c r="N2579" t="str">
        <x:v>2024-01</x:v>
      </x:c>
      <x:c r="O2579" t="str">
        <x:v>Ausgabe</x:v>
      </x:c>
      <x:c r="P2579" t="str">
        <x:v>Ist</x:v>
      </x:c>
      <x:c r="Q2579" s="59" t="b">
        <x:v>0</x:v>
      </x:c>
      <x:c r="R2579" t="str">
        <x:v>kein_transfer</x:v>
      </x:c>
      <x:c r="S2579"/>
      <x:c r="T2579"/>
      <x:c r="U2579"/>
      <x:c r="V2579" s="59" t="b">
        <x:v>1</x:v>
      </x:c>
      <x:c r="W2579"/>
      <x:c r="X2579" t="str">
        <x:v>offen</x:v>
      </x:c>
      <x:c r="Y2579" t="str">
        <x:v>Agent-Draft; Kategorie und Person pruefen</x:v>
      </x:c>
    </x:row>
    <x:row r="2580">
      <x:c r="A2580" t="str">
        <x:v>TXN-RAW-IMP-20260516-FULLDRAFT-002564</x:v>
      </x:c>
      <x:c r="B2580" t="str">
        <x:v>RAW-IMP-20260516-FULLDRAFT-002564</x:v>
      </x:c>
      <x:c r="C2580" t="str">
        <x:v>KTO001</x:v>
      </x:c>
      <x:c r="D2580"/>
      <x:c r="E2580" t="str">
        <x:v>KAT013</x:v>
      </x:c>
      <x:c r="F2580"/>
      <x:c r="G2580"/>
      <x:c r="H2580" t="str">
        <x:v>kein_match</x:v>
      </x:c>
      <x:c r="I2580" t="str">
        <x:v>Agent-Draft: keine finale Regelentscheidung</x:v>
      </x:c>
      <x:c r="J2580" t="n">
        <x:v>45294</x:v>
      </x:c>
      <x:c r="K2580"/>
      <x:c r="L2580"/>
      <x:c r="M2580" t="n">
        <x:v>-54.5</x:v>
      </x:c>
      <x:c r="N2580" t="str">
        <x:v>2024-01</x:v>
      </x:c>
      <x:c r="O2580" t="str">
        <x:v>Ausgabe</x:v>
      </x:c>
      <x:c r="P2580" t="str">
        <x:v>Ist</x:v>
      </x:c>
      <x:c r="Q2580" s="59" t="b">
        <x:v>0</x:v>
      </x:c>
      <x:c r="R2580" t="str">
        <x:v>kein_transfer</x:v>
      </x:c>
      <x:c r="S2580"/>
      <x:c r="T2580"/>
      <x:c r="U2580"/>
      <x:c r="V2580" s="59" t="b">
        <x:v>1</x:v>
      </x:c>
      <x:c r="W2580"/>
      <x:c r="X2580" t="str">
        <x:v>offen</x:v>
      </x:c>
      <x:c r="Y2580" t="str">
        <x:v>Agent-Draft; Kategorie und Person pruefen</x:v>
      </x:c>
    </x:row>
    <x:row r="2581">
      <x:c r="A2581" t="str">
        <x:v>TXN-RAW-IMP-20260516-FULLDRAFT-002565</x:v>
      </x:c>
      <x:c r="B2581" t="str">
        <x:v>RAW-IMP-20260516-FULLDRAFT-002565</x:v>
      </x:c>
      <x:c r="C2581" t="str">
        <x:v>KTO001</x:v>
      </x:c>
      <x:c r="D2581"/>
      <x:c r="E2581" t="str">
        <x:v>KAT013</x:v>
      </x:c>
      <x:c r="F2581"/>
      <x:c r="G2581"/>
      <x:c r="H2581" t="str">
        <x:v>kein_match</x:v>
      </x:c>
      <x:c r="I2581" t="str">
        <x:v>Agent-Draft: keine finale Regelentscheidung</x:v>
      </x:c>
      <x:c r="J2581" t="n">
        <x:v>45293</x:v>
      </x:c>
      <x:c r="K2581"/>
      <x:c r="L2581"/>
      <x:c r="M2581" t="n">
        <x:v>750</x:v>
      </x:c>
      <x:c r="N2581" t="str">
        <x:v>2024-01</x:v>
      </x:c>
      <x:c r="O2581" t="str">
        <x:v>Einnahme</x:v>
      </x:c>
      <x:c r="P2581" t="str">
        <x:v>Ist</x:v>
      </x:c>
      <x:c r="Q2581" s="59" t="b">
        <x:v>0</x:v>
      </x:c>
      <x:c r="R2581" t="str">
        <x:v>kein_transfer</x:v>
      </x:c>
      <x:c r="S2581"/>
      <x:c r="T2581"/>
      <x:c r="U2581"/>
      <x:c r="V2581" s="59" t="b">
        <x:v>1</x:v>
      </x:c>
      <x:c r="W2581"/>
      <x:c r="X2581" t="str">
        <x:v>offen</x:v>
      </x:c>
      <x:c r="Y2581" t="str">
        <x:v>Agent-Draft; Kategorie und Person pruefen</x:v>
      </x:c>
    </x:row>
    <x:row r="2582">
      <x:c r="A2582" t="str">
        <x:v>TXN-RAW-IMP-20260516-FULLDRAFT-002566</x:v>
      </x:c>
      <x:c r="B2582" t="str">
        <x:v>RAW-IMP-20260516-FULLDRAFT-002566</x:v>
      </x:c>
      <x:c r="C2582" t="str">
        <x:v>KTO001</x:v>
      </x:c>
      <x:c r="D2582"/>
      <x:c r="E2582" t="str">
        <x:v>KAT013</x:v>
      </x:c>
      <x:c r="F2582"/>
      <x:c r="G2582"/>
      <x:c r="H2582" t="str">
        <x:v>kein_match</x:v>
      </x:c>
      <x:c r="I2582" t="str">
        <x:v>Agent-Draft: keine finale Regelentscheidung</x:v>
      </x:c>
      <x:c r="J2582" t="n">
        <x:v>45293</x:v>
      </x:c>
      <x:c r="K2582"/>
      <x:c r="L2582"/>
      <x:c r="M2582" t="n">
        <x:v>-31.9</x:v>
      </x:c>
      <x:c r="N2582" t="str">
        <x:v>2024-01</x:v>
      </x:c>
      <x:c r="O2582" t="str">
        <x:v>Ausgabe</x:v>
      </x:c>
      <x:c r="P2582" t="str">
        <x:v>Ist</x:v>
      </x:c>
      <x:c r="Q2582" s="59" t="b">
        <x:v>0</x:v>
      </x:c>
      <x:c r="R2582" t="str">
        <x:v>kein_transfer</x:v>
      </x:c>
      <x:c r="S2582"/>
      <x:c r="T2582"/>
      <x:c r="U2582"/>
      <x:c r="V2582" s="59" t="b">
        <x:v>1</x:v>
      </x:c>
      <x:c r="W2582"/>
      <x:c r="X2582" t="str">
        <x:v>offen</x:v>
      </x:c>
      <x:c r="Y2582" t="str">
        <x:v>Agent-Draft; Kategorie und Person pruefen</x:v>
      </x:c>
    </x:row>
    <x:row r="2583">
      <x:c r="A2583" t="str">
        <x:v>TXN-RAW-IMP-20260516-FULLDRAFT-002567</x:v>
      </x:c>
      <x:c r="B2583" t="str">
        <x:v>RAW-IMP-20260516-FULLDRAFT-002567</x:v>
      </x:c>
      <x:c r="C2583" t="str">
        <x:v>KTO001</x:v>
      </x:c>
      <x:c r="D2583"/>
      <x:c r="E2583" t="str">
        <x:v>KAT013</x:v>
      </x:c>
      <x:c r="F2583"/>
      <x:c r="G2583"/>
      <x:c r="H2583" t="str">
        <x:v>kein_match</x:v>
      </x:c>
      <x:c r="I2583" t="str">
        <x:v>Agent-Draft: keine finale Regelentscheidung</x:v>
      </x:c>
      <x:c r="J2583" t="n">
        <x:v>45293</x:v>
      </x:c>
      <x:c r="K2583"/>
      <x:c r="L2583"/>
      <x:c r="M2583" t="n">
        <x:v>-3.13</x:v>
      </x:c>
      <x:c r="N2583" t="str">
        <x:v>2024-01</x:v>
      </x:c>
      <x:c r="O2583" t="str">
        <x:v>Ausgabe</x:v>
      </x:c>
      <x:c r="P2583" t="str">
        <x:v>Ist</x:v>
      </x:c>
      <x:c r="Q2583" s="59" t="b">
        <x:v>0</x:v>
      </x:c>
      <x:c r="R2583" t="str">
        <x:v>kein_transfer</x:v>
      </x:c>
      <x:c r="S2583"/>
      <x:c r="T2583"/>
      <x:c r="U2583"/>
      <x:c r="V2583" s="59" t="b">
        <x:v>1</x:v>
      </x:c>
      <x:c r="W2583"/>
      <x:c r="X2583" t="str">
        <x:v>offen</x:v>
      </x:c>
      <x:c r="Y2583" t="str">
        <x:v>Agent-Draft; Kategorie und Person pruefen</x:v>
      </x:c>
    </x:row>
    <x:row r="2584">
      <x:c r="A2584" t="str">
        <x:v>TXN-RAW-IMP-20260516-FULLDRAFT-002568</x:v>
      </x:c>
      <x:c r="B2584" t="str">
        <x:v>RAW-IMP-20260516-FULLDRAFT-002568</x:v>
      </x:c>
      <x:c r="C2584" t="str">
        <x:v>KTO001</x:v>
      </x:c>
      <x:c r="D2584"/>
      <x:c r="E2584" t="str">
        <x:v>KAT013</x:v>
      </x:c>
      <x:c r="F2584"/>
      <x:c r="G2584"/>
      <x:c r="H2584" t="str">
        <x:v>kein_match</x:v>
      </x:c>
      <x:c r="I2584" t="str">
        <x:v>Agent-Draft: keine finale Regelentscheidung</x:v>
      </x:c>
      <x:c r="J2584" t="n">
        <x:v>45293</x:v>
      </x:c>
      <x:c r="K2584"/>
      <x:c r="L2584"/>
      <x:c r="M2584" t="n">
        <x:v>-21.5</x:v>
      </x:c>
      <x:c r="N2584" t="str">
        <x:v>2024-01</x:v>
      </x:c>
      <x:c r="O2584" t="str">
        <x:v>Ausgabe</x:v>
      </x:c>
      <x:c r="P2584" t="str">
        <x:v>Ist</x:v>
      </x:c>
      <x:c r="Q2584" s="59" t="b">
        <x:v>0</x:v>
      </x:c>
      <x:c r="R2584" t="str">
        <x:v>kein_transfer</x:v>
      </x:c>
      <x:c r="S2584"/>
      <x:c r="T2584"/>
      <x:c r="U2584"/>
      <x:c r="V2584" s="59" t="b">
        <x:v>1</x:v>
      </x:c>
      <x:c r="W2584"/>
      <x:c r="X2584" t="str">
        <x:v>offen</x:v>
      </x:c>
      <x:c r="Y2584" t="str">
        <x:v>Agent-Draft; Kategorie und Person pruefen</x:v>
      </x:c>
    </x:row>
    <x:row r="2585">
      <x:c r="A2585" t="str">
        <x:v>TXN-RAW-IMP-20260516-FULLDRAFT-002569</x:v>
      </x:c>
      <x:c r="B2585" t="str">
        <x:v>RAW-IMP-20260516-FULLDRAFT-002569</x:v>
      </x:c>
      <x:c r="C2585" t="str">
        <x:v>KTO001</x:v>
      </x:c>
      <x:c r="D2585"/>
      <x:c r="E2585" t="str">
        <x:v>KAT013</x:v>
      </x:c>
      <x:c r="F2585"/>
      <x:c r="G2585"/>
      <x:c r="H2585" t="str">
        <x:v>kein_match</x:v>
      </x:c>
      <x:c r="I2585" t="str">
        <x:v>Agent-Draft: keine finale Regelentscheidung</x:v>
      </x:c>
      <x:c r="J2585" t="n">
        <x:v>45293</x:v>
      </x:c>
      <x:c r="K2585"/>
      <x:c r="L2585"/>
      <x:c r="M2585" t="n">
        <x:v>-197.68</x:v>
      </x:c>
      <x:c r="N2585" t="str">
        <x:v>2024-01</x:v>
      </x:c>
      <x:c r="O2585" t="str">
        <x:v>Ausgabe</x:v>
      </x:c>
      <x:c r="P2585" t="str">
        <x:v>Ist</x:v>
      </x:c>
      <x:c r="Q2585" s="59" t="b">
        <x:v>0</x:v>
      </x:c>
      <x:c r="R2585" t="str">
        <x:v>kein_transfer</x:v>
      </x:c>
      <x:c r="S2585"/>
      <x:c r="T2585"/>
      <x:c r="U2585"/>
      <x:c r="V2585" s="59" t="b">
        <x:v>1</x:v>
      </x:c>
      <x:c r="W2585"/>
      <x:c r="X2585" t="str">
        <x:v>offen</x:v>
      </x:c>
      <x:c r="Y2585" t="str">
        <x:v>Agent-Draft; Kategorie und Person pruefen</x:v>
      </x:c>
    </x:row>
    <x:row r="2586">
      <x:c r="A2586" t="str">
        <x:v>TXN-RAW-IMP-20260516-FULLDRAFT-002570</x:v>
      </x:c>
      <x:c r="B2586" t="str">
        <x:v>RAW-IMP-20260516-FULLDRAFT-002570</x:v>
      </x:c>
      <x:c r="C2586" t="str">
        <x:v>KTO001</x:v>
      </x:c>
      <x:c r="D2586"/>
      <x:c r="E2586" t="str">
        <x:v>KAT013</x:v>
      </x:c>
      <x:c r="F2586"/>
      <x:c r="G2586"/>
      <x:c r="H2586" t="str">
        <x:v>kein_match</x:v>
      </x:c>
      <x:c r="I2586" t="str">
        <x:v>Agent-Draft: keine finale Regelentscheidung</x:v>
      </x:c>
      <x:c r="J2586" t="n">
        <x:v>45293</x:v>
      </x:c>
      <x:c r="K2586"/>
      <x:c r="L2586"/>
      <x:c r="M2586" t="n">
        <x:v>-452.71</x:v>
      </x:c>
      <x:c r="N2586" t="str">
        <x:v>2024-01</x:v>
      </x:c>
      <x:c r="O2586" t="str">
        <x:v>Ausgabe</x:v>
      </x:c>
      <x:c r="P2586" t="str">
        <x:v>Ist</x:v>
      </x:c>
      <x:c r="Q2586" s="59" t="b">
        <x:v>0</x:v>
      </x:c>
      <x:c r="R2586" t="str">
        <x:v>kein_transfer</x:v>
      </x:c>
      <x:c r="S2586"/>
      <x:c r="T2586"/>
      <x:c r="U2586"/>
      <x:c r="V2586" s="59" t="b">
        <x:v>1</x:v>
      </x:c>
      <x:c r="W2586"/>
      <x:c r="X2586" t="str">
        <x:v>offen</x:v>
      </x:c>
      <x:c r="Y2586" t="str">
        <x:v>Agent-Draft; Kategorie und Person pruefen</x:v>
      </x:c>
    </x:row>
    <x:row r="2587">
      <x:c r="A2587" t="str">
        <x:v>TXN-RAW-IMP-20260516-FULLDRAFT-002571</x:v>
      </x:c>
      <x:c r="B2587" t="str">
        <x:v>RAW-IMP-20260516-FULLDRAFT-002571</x:v>
      </x:c>
      <x:c r="C2587" t="str">
        <x:v>KTO001</x:v>
      </x:c>
      <x:c r="D2587"/>
      <x:c r="E2587" t="str">
        <x:v>KAT013</x:v>
      </x:c>
      <x:c r="F2587"/>
      <x:c r="G2587"/>
      <x:c r="H2587" t="str">
        <x:v>kein_match</x:v>
      </x:c>
      <x:c r="I2587" t="str">
        <x:v>Agent-Draft: keine finale Regelentscheidung</x:v>
      </x:c>
      <x:c r="J2587" t="n">
        <x:v>45293</x:v>
      </x:c>
      <x:c r="K2587"/>
      <x:c r="L2587"/>
      <x:c r="M2587" t="n">
        <x:v>-66.15</x:v>
      </x:c>
      <x:c r="N2587" t="str">
        <x:v>2024-01</x:v>
      </x:c>
      <x:c r="O2587" t="str">
        <x:v>Ausgabe</x:v>
      </x:c>
      <x:c r="P2587" t="str">
        <x:v>Ist</x:v>
      </x:c>
      <x:c r="Q2587" s="59" t="b">
        <x:v>0</x:v>
      </x:c>
      <x:c r="R2587" t="str">
        <x:v>kein_transfer</x:v>
      </x:c>
      <x:c r="S2587"/>
      <x:c r="T2587"/>
      <x:c r="U2587"/>
      <x:c r="V2587" s="59" t="b">
        <x:v>1</x:v>
      </x:c>
      <x:c r="W2587"/>
      <x:c r="X2587" t="str">
        <x:v>offen</x:v>
      </x:c>
      <x:c r="Y2587" t="str">
        <x:v>Agent-Draft; Kategorie und Person pruefen</x:v>
      </x:c>
    </x:row>
    <x:row r="2588">
      <x:c r="A2588" t="str">
        <x:v>TXN-RAW-IMP-20260516-FULLDRAFT-002572</x:v>
      </x:c>
      <x:c r="B2588" t="str">
        <x:v>RAW-IMP-20260516-FULLDRAFT-002572</x:v>
      </x:c>
      <x:c r="C2588" t="str">
        <x:v>KTO001</x:v>
      </x:c>
      <x:c r="D2588"/>
      <x:c r="E2588" t="str">
        <x:v>KAT013</x:v>
      </x:c>
      <x:c r="F2588"/>
      <x:c r="G2588"/>
      <x:c r="H2588" t="str">
        <x:v>kein_match</x:v>
      </x:c>
      <x:c r="I2588" t="str">
        <x:v>Agent-Draft: keine finale Regelentscheidung</x:v>
      </x:c>
      <x:c r="J2588" t="n">
        <x:v>45293</x:v>
      </x:c>
      <x:c r="K2588"/>
      <x:c r="L2588"/>
      <x:c r="M2588" t="n">
        <x:v>-433.99</x:v>
      </x:c>
      <x:c r="N2588" t="str">
        <x:v>2024-01</x:v>
      </x:c>
      <x:c r="O2588" t="str">
        <x:v>Ausgabe</x:v>
      </x:c>
      <x:c r="P2588" t="str">
        <x:v>Ist</x:v>
      </x:c>
      <x:c r="Q2588" s="59" t="b">
        <x:v>0</x:v>
      </x:c>
      <x:c r="R2588" t="str">
        <x:v>kein_transfer</x:v>
      </x:c>
      <x:c r="S2588"/>
      <x:c r="T2588"/>
      <x:c r="U2588"/>
      <x:c r="V2588" s="59" t="b">
        <x:v>1</x:v>
      </x:c>
      <x:c r="W2588"/>
      <x:c r="X2588" t="str">
        <x:v>offen</x:v>
      </x:c>
      <x:c r="Y2588" t="str">
        <x:v>Agent-Draft; Kategorie und Person pruefen</x:v>
      </x:c>
    </x:row>
    <x:row r="2589">
      <x:c r="A2589" t="str">
        <x:v>TXN-RAW-IMP-20260516-FULLDRAFT-002573</x:v>
      </x:c>
      <x:c r="B2589" t="str">
        <x:v>RAW-IMP-20260516-FULLDRAFT-002573</x:v>
      </x:c>
      <x:c r="C2589" t="str">
        <x:v>KTO001</x:v>
      </x:c>
      <x:c r="D2589"/>
      <x:c r="E2589" t="str">
        <x:v>KAT013</x:v>
      </x:c>
      <x:c r="F2589"/>
      <x:c r="G2589"/>
      <x:c r="H2589" t="str">
        <x:v>kein_match</x:v>
      </x:c>
      <x:c r="I2589" t="str">
        <x:v>Agent-Draft: keine finale Regelentscheidung</x:v>
      </x:c>
      <x:c r="J2589" t="n">
        <x:v>45293</x:v>
      </x:c>
      <x:c r="K2589"/>
      <x:c r="L2589"/>
      <x:c r="M2589" t="n">
        <x:v>-97.12</x:v>
      </x:c>
      <x:c r="N2589" t="str">
        <x:v>2024-01</x:v>
      </x:c>
      <x:c r="O2589" t="str">
        <x:v>Ausgabe</x:v>
      </x:c>
      <x:c r="P2589" t="str">
        <x:v>Ist</x:v>
      </x:c>
      <x:c r="Q2589" s="59" t="b">
        <x:v>0</x:v>
      </x:c>
      <x:c r="R2589" t="str">
        <x:v>kein_transfer</x:v>
      </x:c>
      <x:c r="S2589"/>
      <x:c r="T2589"/>
      <x:c r="U2589"/>
      <x:c r="V2589" s="59" t="b">
        <x:v>1</x:v>
      </x:c>
      <x:c r="W2589"/>
      <x:c r="X2589" t="str">
        <x:v>offen</x:v>
      </x:c>
      <x:c r="Y2589" t="str">
        <x:v>Agent-Draft; Kategorie und Person pruefen</x:v>
      </x:c>
    </x:row>
    <x:row r="2590">
      <x:c r="A2590" t="str">
        <x:v>TXN-RAW-IMP-20260516-FULLDRAFT-002574</x:v>
      </x:c>
      <x:c r="B2590" t="str">
        <x:v>RAW-IMP-20260516-FULLDRAFT-002574</x:v>
      </x:c>
      <x:c r="C2590" t="str">
        <x:v>KTO001</x:v>
      </x:c>
      <x:c r="D2590"/>
      <x:c r="E2590" t="str">
        <x:v>KAT013</x:v>
      </x:c>
      <x:c r="F2590"/>
      <x:c r="G2590"/>
      <x:c r="H2590" t="str">
        <x:v>kein_match</x:v>
      </x:c>
      <x:c r="I2590" t="str">
        <x:v>Agent-Draft: keine finale Regelentscheidung</x:v>
      </x:c>
      <x:c r="J2590" t="n">
        <x:v>45293</x:v>
      </x:c>
      <x:c r="K2590"/>
      <x:c r="L2590"/>
      <x:c r="M2590" t="n">
        <x:v>-162.17</x:v>
      </x:c>
      <x:c r="N2590" t="str">
        <x:v>2024-01</x:v>
      </x:c>
      <x:c r="O2590" t="str">
        <x:v>Ausgabe</x:v>
      </x:c>
      <x:c r="P2590" t="str">
        <x:v>Ist</x:v>
      </x:c>
      <x:c r="Q2590" s="59" t="b">
        <x:v>0</x:v>
      </x:c>
      <x:c r="R2590" t="str">
        <x:v>kein_transfer</x:v>
      </x:c>
      <x:c r="S2590"/>
      <x:c r="T2590"/>
      <x:c r="U2590"/>
      <x:c r="V2590" s="59" t="b">
        <x:v>1</x:v>
      </x:c>
      <x:c r="W2590"/>
      <x:c r="X2590" t="str">
        <x:v>offen</x:v>
      </x:c>
      <x:c r="Y2590" t="str">
        <x:v>Agent-Draft; Kategorie und Person pruefen</x:v>
      </x:c>
    </x:row>
    <x:row r="2591">
      <x:c r="A2591" t="str">
        <x:v>TXN-RAW-IMP-20260516-FULLDRAFT-002575</x:v>
      </x:c>
      <x:c r="B2591" t="str">
        <x:v>RAW-IMP-20260516-FULLDRAFT-002575</x:v>
      </x:c>
      <x:c r="C2591" t="str">
        <x:v>KTO001</x:v>
      </x:c>
      <x:c r="D2591"/>
      <x:c r="E2591" t="str">
        <x:v>KAT013</x:v>
      </x:c>
      <x:c r="F2591"/>
      <x:c r="G2591"/>
      <x:c r="H2591" t="str">
        <x:v>kein_match</x:v>
      </x:c>
      <x:c r="I2591" t="str">
        <x:v>Agent-Draft: keine finale Regelentscheidung</x:v>
      </x:c>
      <x:c r="J2591" t="n">
        <x:v>45293</x:v>
      </x:c>
      <x:c r="K2591"/>
      <x:c r="L2591"/>
      <x:c r="M2591" t="n">
        <x:v>-400</x:v>
      </x:c>
      <x:c r="N2591" t="str">
        <x:v>2024-01</x:v>
      </x:c>
      <x:c r="O2591" t="str">
        <x:v>Ausgabe</x:v>
      </x:c>
      <x:c r="P2591" t="str">
        <x:v>Ist</x:v>
      </x:c>
      <x:c r="Q2591" s="59" t="b">
        <x:v>0</x:v>
      </x:c>
      <x:c r="R2591" t="str">
        <x:v>kein_transfer</x:v>
      </x:c>
      <x:c r="S2591"/>
      <x:c r="T2591"/>
      <x:c r="U2591"/>
      <x:c r="V2591" s="59" t="b">
        <x:v>1</x:v>
      </x:c>
      <x:c r="W2591"/>
      <x:c r="X2591" t="str">
        <x:v>offen</x:v>
      </x:c>
      <x:c r="Y2591" t="str">
        <x:v>Agent-Draft; Kategorie und Person pruefen</x:v>
      </x:c>
    </x:row>
    <x:row r="2592">
      <x:c r="A2592" t="str">
        <x:v>TXN-RAW-IMP-20260516-FULLDRAFT-002576</x:v>
      </x:c>
      <x:c r="B2592" t="str">
        <x:v>RAW-IMP-20260516-FULLDRAFT-002576</x:v>
      </x:c>
      <x:c r="C2592" t="str">
        <x:v>KTO001</x:v>
      </x:c>
      <x:c r="D2592"/>
      <x:c r="E2592" t="str">
        <x:v>KAT013</x:v>
      </x:c>
      <x:c r="F2592"/>
      <x:c r="G2592"/>
      <x:c r="H2592" t="str">
        <x:v>kein_match</x:v>
      </x:c>
      <x:c r="I2592" t="str">
        <x:v>Agent-Draft: keine finale Regelentscheidung</x:v>
      </x:c>
      <x:c r="J2592" t="n">
        <x:v>45293</x:v>
      </x:c>
      <x:c r="K2592"/>
      <x:c r="L2592"/>
      <x:c r="M2592" t="n">
        <x:v>-1800</x:v>
      </x:c>
      <x:c r="N2592" t="str">
        <x:v>2024-01</x:v>
      </x:c>
      <x:c r="O2592" t="str">
        <x:v>Ausgabe</x:v>
      </x:c>
      <x:c r="P2592" t="str">
        <x:v>Ist</x:v>
      </x:c>
      <x:c r="Q2592" s="59" t="b">
        <x:v>0</x:v>
      </x:c>
      <x:c r="R2592" t="str">
        <x:v>kein_transfer</x:v>
      </x:c>
      <x:c r="S2592"/>
      <x:c r="T2592"/>
      <x:c r="U2592"/>
      <x:c r="V2592" s="59" t="b">
        <x:v>1</x:v>
      </x:c>
      <x:c r="W2592"/>
      <x:c r="X2592" t="str">
        <x:v>offen</x:v>
      </x:c>
      <x:c r="Y2592" t="str">
        <x:v>Agent-Draft; Kategorie und Person pruefen</x:v>
      </x:c>
    </x:row>
    <x:row r="2593">
      <x:c r="A2593" t="str">
        <x:v>TXN-RAW-IMP-20260516-FULLDRAFT-002577</x:v>
      </x:c>
      <x:c r="B2593" t="str">
        <x:v>RAW-IMP-20260516-FULLDRAFT-002577</x:v>
      </x:c>
      <x:c r="C2593" t="str">
        <x:v>KTO001</x:v>
      </x:c>
      <x:c r="D2593"/>
      <x:c r="E2593" t="str">
        <x:v>KAT013</x:v>
      </x:c>
      <x:c r="F2593"/>
      <x:c r="G2593"/>
      <x:c r="H2593" t="str">
        <x:v>kein_match</x:v>
      </x:c>
      <x:c r="I2593" t="str">
        <x:v>Agent-Draft: keine finale Regelentscheidung</x:v>
      </x:c>
      <x:c r="J2593" t="n">
        <x:v>45293</x:v>
      </x:c>
      <x:c r="K2593"/>
      <x:c r="L2593"/>
      <x:c r="M2593" t="n">
        <x:v>-1400</x:v>
      </x:c>
      <x:c r="N2593" t="str">
        <x:v>2024-01</x:v>
      </x:c>
      <x:c r="O2593" t="str">
        <x:v>Ausgabe</x:v>
      </x:c>
      <x:c r="P2593" t="str">
        <x:v>Ist</x:v>
      </x:c>
      <x:c r="Q2593" s="59" t="b">
        <x:v>0</x:v>
      </x:c>
      <x:c r="R2593" t="str">
        <x:v>kein_transfer</x:v>
      </x:c>
      <x:c r="S2593"/>
      <x:c r="T2593"/>
      <x:c r="U2593"/>
      <x:c r="V2593" s="59" t="b">
        <x:v>1</x:v>
      </x:c>
      <x:c r="W2593"/>
      <x:c r="X2593" t="str">
        <x:v>offen</x:v>
      </x:c>
      <x:c r="Y2593" t="str">
        <x:v>Agent-Draft; Kategorie und Person pruefen</x:v>
      </x:c>
    </x:row>
    <x:row r="2594">
      <x:c r="A2594" t="str">
        <x:v>TXN-RAW-IMP-20260516-FULLDRAFT-002578</x:v>
      </x:c>
      <x:c r="B2594" t="str">
        <x:v>RAW-IMP-20260516-FULLDRAFT-002578</x:v>
      </x:c>
      <x:c r="C2594" t="str">
        <x:v>KTO001</x:v>
      </x:c>
      <x:c r="D2594"/>
      <x:c r="E2594" t="str">
        <x:v>KAT013</x:v>
      </x:c>
      <x:c r="F2594"/>
      <x:c r="G2594"/>
      <x:c r="H2594" t="str">
        <x:v>kein_match</x:v>
      </x:c>
      <x:c r="I2594" t="str">
        <x:v>Agent-Draft: keine finale Regelentscheidung</x:v>
      </x:c>
      <x:c r="J2594" t="n">
        <x:v>45293</x:v>
      </x:c>
      <x:c r="K2594"/>
      <x:c r="L2594"/>
      <x:c r="M2594" t="n">
        <x:v>-1153.94</x:v>
      </x:c>
      <x:c r="N2594" t="str">
        <x:v>2024-01</x:v>
      </x:c>
      <x:c r="O2594" t="str">
        <x:v>Ausgabe</x:v>
      </x:c>
      <x:c r="P2594" t="str">
        <x:v>Ist</x:v>
      </x:c>
      <x:c r="Q2594" s="59" t="b">
        <x:v>0</x:v>
      </x:c>
      <x:c r="R2594" t="str">
        <x:v>kein_transfer</x:v>
      </x:c>
      <x:c r="S2594"/>
      <x:c r="T2594"/>
      <x:c r="U2594"/>
      <x:c r="V2594" s="59" t="b">
        <x:v>1</x:v>
      </x:c>
      <x:c r="W2594"/>
      <x:c r="X2594" t="str">
        <x:v>offen</x:v>
      </x:c>
      <x:c r="Y2594" t="str">
        <x:v>Agent-Draft; Kategorie und Person pruefen</x:v>
      </x:c>
    </x:row>
  </x:sheetData>
  <x:mergeCells>
    <x:mergeCell ref="A1:H1"/>
    <x:mergeCell ref="A4:R4"/>
    <x:mergeCell ref="A5:R5"/>
    <x:mergeCell ref="A10:Y10"/>
    <x:mergeCell ref="A11:Y11"/>
  </x:mergeCells>
  <x:dataValidations count="2">
    <x:dataValidation type="list" allowBlank="1" showDropDown="0" sqref="P7:P57">
      <x:formula1>"offen,belegt,geprueft,geschaetzt,inaktiv"</x:formula1>
    </x:dataValidation>
    <x:dataValidation type="list" allowBlank="1" showDropDown="0" sqref="X13:X63">
      <x:formula1>"offen,belegt,geprueft,geschaetzt,inaktiv"</x:formula1>
    </x:dataValidation>
  </x:dataValidations>
  <x:pageMargins left="0.7" right="0.7" top="0.75" bottom="0.75" header="0.3" footer="0.3"/>
  <x:tableParts count="2">
    <x:tablePart xmlns:r="http://schemas.openxmlformats.org/officeDocument/2006/relationships" r:id="R832ab60192214e06"/>
    <x:tablePart xmlns:r="http://schemas.openxmlformats.org/officeDocument/2006/relationships" r:id="R17609a36f919401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3.5" hidden="0" customWidth="1"/>
    <x:col min="3" max="3" width="14.109999656677246" hidden="0" customWidth="1"/>
    <x:col min="4" max="4" width="12.880000114440918" hidden="0" customWidth="1"/>
    <x:col min="5" max="5" width="12.880000114440918" hidden="0" customWidth="1"/>
    <x:col min="6" max="6" width="12.880000114440918" hidden="0" customWidth="1"/>
    <x:col min="7" max="7" width="13.5" hidden="0" customWidth="1"/>
    <x:col min="8" max="8" width="13.5" hidden="0" customWidth="1"/>
    <x:col min="9" max="9" width="14.109999656677246" hidden="0" customWidth="1"/>
    <x:col min="10" max="10" width="14.109999656677246" hidden="0" customWidth="1"/>
    <x:col min="11" max="11" width="14.109999656677246" hidden="0" customWidth="1"/>
    <x:col min="12" max="12" width="14.109999656677246" hidden="0" customWidth="1"/>
    <x:col min="13" max="13" width="14.109999656677246" hidden="0" customWidth="1"/>
    <x:col min="14" max="14" width="14.109999656677246" hidden="0" customWidth="1"/>
    <x:col min="15" max="15" width="14.109999656677246" hidden="0" customWidth="1"/>
    <x:col min="16" max="16" width="14.109999656677246" hidden="0" customWidth="1"/>
    <x:col min="17" max="17" width="12.880000114440918" hidden="0" customWidth="1"/>
    <x:col min="18" max="18" width="12.880000114440918" hidden="0" customWidth="1"/>
    <x:col min="19" max="19" width="12.880000114440918" hidden="0" customWidth="1"/>
    <x:col min="20" max="20" width="12.880000114440918" hidden="0" customWidth="1"/>
    <x:col min="21" max="21" width="14.109999656677246" hidden="0" customWidth="1"/>
    <x:col min="22" max="22" width="27.610000610351562" hidden="0" customWidth="1"/>
    <x:col min="23" max="23" width="27.610000610351562" hidden="0" customWidth="1"/>
    <x:col min="24" max="24" width="12.880000114440918" hidden="0" customWidth="1"/>
    <x:col min="25" max="25" width="14.109999656677246" hidden="0" customWidth="1"/>
    <x:col min="26" max="26" width="12.880000114440918" hidden="0" customWidth="1"/>
    <x:col min="27" max="27" width="27.610000610351562" hidden="0" customWidth="1"/>
  </x:cols>
  <x:sheetData>
    <x:row r="1" ht="25.5" customHeight="1">
      <x:c r="A1" s="28" t="str">
        <x:v>12_Regelzahlungen</x:v>
      </x:c>
      <x:c r="B1" s="28"/>
      <x:c r="C1" s="28"/>
      <x:c r="D1" s="28"/>
      <x:c r="E1" s="28"/>
      <x:c r="F1" s="28"/>
      <x:c r="G1" s="28"/>
      <x:c r="H1" s="28"/>
    </x:row>
    <x:row r="2" ht="61.5" customHeight="1">
      <x:c r="A2" s="48" t="str">
        <x:v>Zweck</x:v>
      </x:c>
      <x:c r="B2" s="43" t="str">
        <x:v>Wiederkehrende Zahlungen; in V1 noch pruefp...</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Regelzahlungen</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row>
    <x:row r="5">
      <x:c r="A5" s="56" t="str">
        <x:v>PK: Regel_ID | Update: manuell_vorschlag | ID: REG</x:v>
      </x:c>
      <x:c r="B5" s="56"/>
      <x:c r="C5" s="56"/>
      <x:c r="D5" s="56"/>
      <x:c r="E5" s="56"/>
      <x:c r="F5" s="56"/>
      <x:c r="G5" s="56"/>
      <x:c r="H5" s="56"/>
      <x:c r="I5" s="56"/>
      <x:c r="J5" s="56"/>
      <x:c r="K5" s="56"/>
      <x:c r="L5" s="56"/>
      <x:c r="M5" s="56"/>
      <x:c r="N5" s="56"/>
      <x:c r="O5" s="56"/>
      <x:c r="P5" s="56"/>
      <x:c r="Q5" s="56"/>
      <x:c r="R5" s="56"/>
      <x:c r="S5" s="56"/>
      <x:c r="T5" s="56"/>
      <x:c r="U5" s="56"/>
      <x:c r="V5" s="56"/>
      <x:c r="W5" s="56"/>
      <x:c r="X5" s="56"/>
      <x:c r="Y5" s="56"/>
      <x:c r="Z5" s="56"/>
      <x:c r="AA5" s="56"/>
    </x:row>
    <x:row r="6" ht="25.5" customHeight="1">
      <x:c r="A6" s="21" t="str">
        <x:v>Regel_ID</x:v>
      </x:c>
      <x:c r="B6" s="21" t="str">
        <x:v>Name</x:v>
      </x:c>
      <x:c r="C6" s="21" t="str">
        <x:v>Typ</x:v>
      </x:c>
      <x:c r="D6" s="21" t="str">
        <x:v>Kategorie_ID</x:v>
      </x:c>
      <x:c r="E6" s="21" t="str">
        <x:v>Person_ID</x:v>
      </x:c>
      <x:c r="F6" s="21" t="str">
        <x:v>Konto_ID</x:v>
      </x:c>
      <x:c r="G6" s="21" t="str">
        <x:v>Quelle_ID</x:v>
      </x:c>
      <x:c r="H6" s="21" t="str">
        <x:v>Frequenz</x:v>
      </x:c>
      <x:c r="I6" s="21" t="str">
        <x:v>Erwarteter_Betrag</x:v>
      </x:c>
      <x:c r="J6" s="21" t="str">
        <x:v>Toleranz_Betrag</x:v>
      </x:c>
      <x:c r="K6" s="21" t="str">
        <x:v>Toleranz_Prozent</x:v>
      </x:c>
      <x:c r="L6" s="21" t="str">
        <x:v>Erwarteter_Tag</x:v>
      </x:c>
      <x:c r="M6" s="21" t="str">
        <x:v>Gegenpartei_Muster</x:v>
      </x:c>
      <x:c r="N6" s="21" t="str">
        <x:v>IBAN_Muster</x:v>
      </x:c>
      <x:c r="O6" s="21" t="str">
        <x:v>Verwendungszweck_Muster</x:v>
      </x:c>
      <x:c r="P6" s="21" t="str">
        <x:v>Betrag_Min</x:v>
      </x:c>
      <x:c r="Q6" s="21" t="str">
        <x:v>Betrag_Max</x:v>
      </x:c>
      <x:c r="R6" s="21" t="str">
        <x:v>Betrag_Variabel</x:v>
      </x:c>
      <x:c r="S6" s="21" t="str">
        <x:v>Faelligkeitstag</x:v>
      </x:c>
      <x:c r="T6" s="21" t="str">
        <x:v>Faelligkeitstoleranz_Tage</x:v>
      </x:c>
      <x:c r="U6" s="21" t="str">
        <x:v>Matching_Status</x:v>
      </x:c>
      <x:c r="V6" s="21" t="str">
        <x:v>Auto_Matching_Erlaubt</x:v>
      </x:c>
      <x:c r="W6" s="21" t="str">
        <x:v>Startdatum</x:v>
      </x:c>
      <x:c r="X6" s="21" t="str">
        <x:v>Enddatum</x:v>
      </x:c>
      <x:c r="Y6" s="21" t="str">
        <x:v>Status</x:v>
      </x:c>
      <x:c r="Z6" s="21" t="str">
        <x:v>Szenario_Wirkung</x:v>
      </x:c>
      <x:c r="AA6" s="21" t="str">
        <x:v>Kommentar</x:v>
      </x:c>
    </x:row>
    <x:row r="7">
      <x:c r="A7" s="18" t="str">
        <x:v>REG001</x:v>
      </x:c>
      <x:c r="B7" s="18" t="str">
        <x:v>Miete Kandidat</x:v>
      </x:c>
      <x:c r="C7" s="18" t="str">
        <x:v>Ausgabe</x:v>
      </x:c>
      <x:c r="D7" s="18" t="str">
        <x:v>KAT002</x:v>
      </x:c>
      <x:c r="E7" s="18" t="str">
        <x:v>HH</x:v>
      </x:c>
      <x:c r="F7" s="18" t="str">
        <x:v>KTO001</x:v>
      </x:c>
      <x:c r="G7" s="18" t="str">
        <x:v>SRC-20260518-001</x:v>
      </x:c>
      <x:c r="H7" s="18" t="str">
        <x:v>monatlich</x:v>
      </x:c>
      <x:c r="I7" s="66" t="n">
        <x:v>-1200</x:v>
      </x:c>
      <x:c r="J7" s="66" t="n">
        <x:v>50</x:v>
      </x:c>
      <x:c r="K7" s="70" t="n">
        <x:v>0.05</x:v>
      </x:c>
      <x:c r="L7" s="18" t="n">
        <x:v>5</x:v>
      </x:c>
      <x:c r="M7" s="18" t="str">
        <x:v>Vermieter</x:v>
      </x:c>
      <x:c r="N7" s="18" t="str"/>
      <x:c r="O7" s="18" t="str">
        <x:v>Miete</x:v>
      </x:c>
      <x:c r="P7" s="66" t="n">
        <x:v>-1300</x:v>
      </x:c>
      <x:c r="Q7" s="66" t="n">
        <x:v>-1100</x:v>
      </x:c>
      <x:c r="R7" s="73" t="b">
        <x:v>0</x:v>
      </x:c>
      <x:c r="S7" s="18" t="n">
        <x:v>5</x:v>
      </x:c>
      <x:c r="T7" s="18" t="n">
        <x:v>3</x:v>
      </x:c>
      <x:c r="U7" s="18" t="str">
        <x:v>kandidat</x:v>
      </x:c>
      <x:c r="V7" s="63" t="b">
        <x:v>0</x:v>
      </x:c>
      <x:c r="W7" s="57" t="n">
        <x:v>46143</x:v>
      </x:c>
      <x:c r="X7" s="57" t="str"/>
      <x:c r="Y7" s="18" t="str">
        <x:v>offen</x:v>
      </x:c>
      <x:c r="Z7" s="18" t="str">
        <x:v>S01</x:v>
      </x:c>
      <x:c r="AA7" s="18" t="str">
        <x:v>Noch nicht als Regel bestaetigt</x:v>
      </x:c>
    </x:row>
    <x:row r="8">
      <x:c r="I8" s="67"/>
      <x:c r="J8" s="67"/>
      <x:c r="K8" s="71"/>
      <x:c r="P8" s="67"/>
      <x:c r="Q8" s="67"/>
      <x:c r="R8" s="67"/>
      <x:c r="W8" s="58"/>
      <x:c r="X8" s="58"/>
    </x:row>
    <x:row r="10">
      <x:c r="A10" s="54" t="str">
        <x:v>Regelzahlung Vorschlaege</x:v>
      </x:c>
      <x:c r="B10" s="54"/>
      <x:c r="C10" s="54"/>
      <x:c r="D10" s="54"/>
      <x:c r="E10" s="54"/>
      <x:c r="F10" s="54"/>
      <x:c r="G10" s="54"/>
      <x:c r="H10" s="54"/>
      <x:c r="I10" s="54"/>
      <x:c r="J10" s="54"/>
      <x:c r="K10" s="54"/>
      <x:c r="L10" s="54"/>
      <x:c r="M10" s="54"/>
      <x:c r="N10" s="54"/>
      <x:c r="O10" s="54"/>
      <x:c r="P10" s="54"/>
      <x:c r="Q10" s="54"/>
      <x:c r="R10" s="54"/>
      <x:c r="S10" s="54"/>
      <x:c r="T10" s="54"/>
      <x:c r="U10" s="54"/>
      <x:c r="V10" s="54"/>
      <x:c r="W10" s="54"/>
    </x:row>
    <x:row r="11">
      <x:c r="A11" s="56" t="str">
        <x:v>PK: Vorschlag_ID | Update: agent_vorschlag | ID: SUG</x:v>
      </x:c>
      <x:c r="B11" s="56"/>
      <x:c r="C11" s="56"/>
      <x:c r="D11" s="56"/>
      <x:c r="E11" s="56"/>
      <x:c r="F11" s="56"/>
      <x:c r="G11" s="56"/>
      <x:c r="H11" s="56"/>
      <x:c r="I11" s="56"/>
      <x:c r="J11" s="56"/>
      <x:c r="K11" s="56"/>
      <x:c r="L11" s="56"/>
      <x:c r="M11" s="56"/>
      <x:c r="N11" s="56"/>
      <x:c r="O11" s="56"/>
      <x:c r="P11" s="56"/>
      <x:c r="Q11" s="56"/>
      <x:c r="R11" s="56"/>
      <x:c r="S11" s="56"/>
      <x:c r="T11" s="56"/>
      <x:c r="U11" s="56"/>
      <x:c r="V11" s="56"/>
      <x:c r="W11" s="56"/>
    </x:row>
    <x:row r="12" ht="25.5" customHeight="1">
      <x:c r="A12" s="21" t="str">
        <x:v>Vorschlag_ID</x:v>
      </x:c>
      <x:c r="B12" s="21" t="str">
        <x:v>Erkannt_am</x:v>
      </x:c>
      <x:c r="C12" s="21" t="str">
        <x:v>Lauf_ID</x:v>
      </x:c>
      <x:c r="D12" s="21" t="str">
        <x:v>Vorgeschlagener_Name</x:v>
      </x:c>
      <x:c r="E12" s="21" t="str">
        <x:v>Vorgeschlagene_Frequenz</x:v>
      </x:c>
      <x:c r="F12" s="21" t="str">
        <x:v>Treffer_Anzahl</x:v>
      </x:c>
      <x:c r="G12" s="21" t="str">
        <x:v>Erstes_Datum</x:v>
      </x:c>
      <x:c r="H12" s="21" t="str">
        <x:v>Letztes_Datum</x:v>
      </x:c>
      <x:c r="I12" s="21" t="str">
        <x:v>Median_Betrag</x:v>
      </x:c>
      <x:c r="J12" s="21" t="str">
        <x:v>Betrag_Min</x:v>
      </x:c>
      <x:c r="K12" s="21" t="str">
        <x:v>Betrag_Max</x:v>
      </x:c>
      <x:c r="L12" s="21" t="str">
        <x:v>Betrag_Variabilitaet</x:v>
      </x:c>
      <x:c r="M12" s="21" t="str">
        <x:v>Typ</x:v>
      </x:c>
      <x:c r="N12" s="21" t="str">
        <x:v>Kategorie_ID_Vorschlag</x:v>
      </x:c>
      <x:c r="O12" s="21" t="str">
        <x:v>Person_ID_Vorschlag</x:v>
      </x:c>
      <x:c r="P12" s="21" t="str">
        <x:v>Konto_ID</x:v>
      </x:c>
      <x:c r="Q12" s="21" t="str">
        <x:v>Gegenpartei_Muster</x:v>
      </x:c>
      <x:c r="R12" s="21" t="str">
        <x:v>IBAN_Muster</x:v>
      </x:c>
      <x:c r="S12" s="21" t="str">
        <x:v>Verwendungszweck_Muster</x:v>
      </x:c>
      <x:c r="T12" s="21" t="str">
        <x:v>Konfidenz</x:v>
      </x:c>
      <x:c r="U12" s="21" t="str">
        <x:v>Status</x:v>
      </x:c>
      <x:c r="V12" s="21" t="str">
        <x:v>Erkennungs_Hinweis</x:v>
      </x:c>
      <x:c r="W12" s="21" t="str">
        <x:v>Kommentar</x:v>
      </x:c>
    </x:row>
    <x:row r="13">
      <x:c r="A13" s="18" t="str">
        <x:v>SUG-20260521-001</x:v>
      </x:c>
      <x:c r="B13" s="57" t="n">
        <x:v>46163</x:v>
      </x:c>
      <x:c r="C13" s="18" t="str">
        <x:v>RUN-20260521-001</x:v>
      </x:c>
      <x:c r="D13" s="18" t="str">
        <x:v>Miete monatlich</x:v>
      </x:c>
      <x:c r="E13" s="18" t="str">
        <x:v>monatlich</x:v>
      </x:c>
      <x:c r="F13" s="18" t="n">
        <x:v>1</x:v>
      </x:c>
      <x:c r="G13" s="57" t="n">
        <x:v>46147</x:v>
      </x:c>
      <x:c r="H13" s="57" t="n">
        <x:v>46147</x:v>
      </x:c>
      <x:c r="I13" s="66" t="n">
        <x:v>-1200</x:v>
      </x:c>
      <x:c r="J13" s="66" t="n">
        <x:v>-1200</x:v>
      </x:c>
      <x:c r="K13" s="66" t="n">
        <x:v>-1200</x:v>
      </x:c>
      <x:c r="L13" s="66" t="n">
        <x:v>0</x:v>
      </x:c>
      <x:c r="M13" s="18" t="str">
        <x:v>Ausgabe</x:v>
      </x:c>
      <x:c r="N13" s="18" t="str">
        <x:v>KAT002</x:v>
      </x:c>
      <x:c r="O13" s="18" t="str">
        <x:v>HH</x:v>
      </x:c>
      <x:c r="P13" s="18" t="str">
        <x:v>KTO001</x:v>
      </x:c>
      <x:c r="Q13" s="18" t="str">
        <x:v>Vermieter</x:v>
      </x:c>
      <x:c r="R13" s="18" t="str"/>
      <x:c r="S13" s="18" t="str">
        <x:v>Miete</x:v>
      </x:c>
      <x:c r="T13" s="70" t="n">
        <x:v>0.55</x:v>
      </x:c>
      <x:c r="U13" s="18" t="str">
        <x:v>offen</x:v>
      </x:c>
      <x:c r="V13" s="18" t="str">
        <x:v>Nur ein Treffer, daher nicht automatisch bestaetigt</x:v>
      </x:c>
      <x:c r="W13" s="18" t="str">
        <x:v>Pruefen und ggf. Regelzahlung anlegen</x:v>
      </x:c>
    </x:row>
    <x:row r="14">
      <x:c r="A14" t="str">
        <x:v>SUG-20260521-001</x:v>
      </x:c>
      <x:c r="B14" s="58" t="n">
        <x:v>46163</x:v>
      </x:c>
      <x:c r="C14" t="str">
        <x:v>RUN-20260521-ANALYSIS</x:v>
      </x:c>
      <x:c r="D14" t="str">
        <x:v>Stiftung Kath. Altenhilfe im Bistum Hildesheim</x:v>
      </x:c>
      <x:c r="E14" t="str">
        <x:v>monatlich</x:v>
      </x:c>
      <x:c r="F14" t="n">
        <x:v>5</x:v>
      </x:c>
      <x:c r="G14" s="58" t="n">
        <x:v>45805</x:v>
      </x:c>
      <x:c r="H14" s="58" t="n">
        <x:v>45929</x:v>
      </x:c>
      <x:c r="I14" s="67" t="n">
        <x:v>7939.81</x:v>
      </x:c>
      <x:c r="J14" s="67" t="n">
        <x:v>7939.81</x:v>
      </x:c>
      <x:c r="K14" s="67" t="n">
        <x:v>7939.81</x:v>
      </x:c>
      <x:c r="L14" s="67" t="n">
        <x:v>0</x:v>
      </x:c>
      <x:c r="M14" t="str">
        <x:v>Einnahme</x:v>
      </x:c>
      <x:c r="N14" t="str">
        <x:v>KAT013</x:v>
      </x:c>
      <x:c r="O14"/>
      <x:c r="P14" t="str">
        <x:v>KTO001</x:v>
      </x:c>
      <x:c r="Q14" t="str">
        <x:v>Stiftung Kath. Altenhilfe im Bistum Hildesheim</x:v>
      </x:c>
      <x:c r="R14" t="str">
        <x:v>DE92400602650023150301</x:v>
      </x:c>
      <x:c r="S14" t="str">
        <x:v>GEHALT 5/25</x:v>
      </x:c>
      <x:c r="T14" s="71" t="n">
        <x:v>0.82</x:v>
      </x:c>
      <x:c r="U14" t="str">
        <x:v>offen</x:v>
      </x:c>
      <x:c r="V14" t="str">
        <x:v>5 Treffer in 5 Monaten</x:v>
      </x:c>
      <x:c r="W14" t="str">
        <x:v>Analyse-Draft; keine Regelzahlung aktiviert</x:v>
      </x:c>
    </x:row>
    <x:row r="15">
      <x:c r="A15" t="str">
        <x:v>SUG-20260521-002</x:v>
      </x:c>
      <x:c r="B15" t="n">
        <x:v>46163</x:v>
      </x:c>
      <x:c r="C15" t="str">
        <x:v>RUN-20260521-ANALYSIS</x:v>
      </x:c>
      <x:c r="D15" t="str">
        <x:v>Caritasverband fur die Diozese Hildesheim e.V.</x:v>
      </x:c>
      <x:c r="E15" t="str">
        <x:v>monatlich</x:v>
      </x:c>
      <x:c r="F15" t="n">
        <x:v>3</x:v>
      </x:c>
      <x:c r="G15" t="n">
        <x:v>46050</x:v>
      </x:c>
      <x:c r="H15" t="n">
        <x:v>46139</x:v>
      </x:c>
      <x:c r="I15" t="n">
        <x:v>7818.53</x:v>
      </x:c>
      <x:c r="J15" t="n">
        <x:v>7818.53</x:v>
      </x:c>
      <x:c r="K15" t="n">
        <x:v>7818.53</x:v>
      </x:c>
      <x:c r="L15" t="n">
        <x:v>0</x:v>
      </x:c>
      <x:c r="M15" t="str">
        <x:v>Einnahme</x:v>
      </x:c>
      <x:c r="N15" t="str">
        <x:v>KAT013</x:v>
      </x:c>
      <x:c r="O15"/>
      <x:c r="P15" t="str">
        <x:v>KTO001</x:v>
      </x:c>
      <x:c r="Q15" t="str">
        <x:v>Caritasverband fur die Diozese Hildesheim e.V.</x:v>
      </x:c>
      <x:c r="R15" t="str">
        <x:v>DE46400602650023003301</x:v>
      </x:c>
      <x:c r="S15" t="str">
        <x:v>GEHALT 1/26</x:v>
      </x:c>
      <x:c r="T15" t="n">
        <x:v>0.82</x:v>
      </x:c>
      <x:c r="U15" t="str">
        <x:v>offen</x:v>
      </x:c>
      <x:c r="V15" t="str">
        <x:v>3 Treffer in 3 Monaten</x:v>
      </x:c>
      <x:c r="W15" t="str">
        <x:v>Analyse-Draft; keine Regelzahlung aktiviert</x:v>
      </x:c>
    </x:row>
    <x:row r="16">
      <x:c r="A16" t="str">
        <x:v>SUG-20260521-003</x:v>
      </x:c>
      <x:c r="B16" t="n">
        <x:v>46163</x:v>
      </x:c>
      <x:c r="C16" t="str">
        <x:v>RUN-20260521-ANALYSIS</x:v>
      </x:c>
      <x:c r="D16" t="str">
        <x:v>Wolkenmacher GmbH</x:v>
      </x:c>
      <x:c r="E16" t="str">
        <x:v>monatlich</x:v>
      </x:c>
      <x:c r="F16" t="n">
        <x:v>3</x:v>
      </x:c>
      <x:c r="G16" t="n">
        <x:v>45321</x:v>
      </x:c>
      <x:c r="H16" t="n">
        <x:v>45378</x:v>
      </x:c>
      <x:c r="I16" t="n">
        <x:v>7709.94</x:v>
      </x:c>
      <x:c r="J16" t="n">
        <x:v>7709.94</x:v>
      </x:c>
      <x:c r="K16" t="n">
        <x:v>7709.94</x:v>
      </x:c>
      <x:c r="L16" t="n">
        <x:v>0</x:v>
      </x:c>
      <x:c r="M16" t="str">
        <x:v>Einnahme</x:v>
      </x:c>
      <x:c r="N16" t="str">
        <x:v>KAT013</x:v>
      </x:c>
      <x:c r="O16"/>
      <x:c r="P16" t="str">
        <x:v>KTO001</x:v>
      </x:c>
      <x:c r="Q16" t="str">
        <x:v>Wolkenmacher GmbH</x:v>
      </x:c>
      <x:c r="R16" t="str">
        <x:v>DE30270700300031340300</x:v>
      </x:c>
      <x:c r="S16" t="str">
        <x:v>Lohn-Gehalt Abrechnung 01/2024</x:v>
      </x:c>
      <x:c r="T16" t="n">
        <x:v>0.82</x:v>
      </x:c>
      <x:c r="U16" t="str">
        <x:v>offen</x:v>
      </x:c>
      <x:c r="V16" t="str">
        <x:v>3 Treffer in 3 Monaten</x:v>
      </x:c>
      <x:c r="W16" t="str">
        <x:v>Analyse-Draft; keine Regelzahlung aktiviert</x:v>
      </x:c>
    </x:row>
    <x:row r="17">
      <x:c r="A17" t="str">
        <x:v>SUG-20260521-004</x:v>
      </x:c>
      <x:c r="B17" t="n">
        <x:v>46163</x:v>
      </x:c>
      <x:c r="C17" t="str">
        <x:v>RUN-20260521-ANALYSIS</x:v>
      </x:c>
      <x:c r="D17" t="str">
        <x:v>Lars Kohlenberg</x:v>
      </x:c>
      <x:c r="E17" t="str">
        <x:v>monatlich</x:v>
      </x:c>
      <x:c r="F17" t="n">
        <x:v>3</x:v>
      </x:c>
      <x:c r="G17" t="n">
        <x:v>45678</x:v>
      </x:c>
      <x:c r="H17" t="n">
        <x:v>46049</x:v>
      </x:c>
      <x:c r="I17" t="n">
        <x:v>3000</x:v>
      </x:c>
      <x:c r="J17" t="n">
        <x:v>3000</x:v>
      </x:c>
      <x:c r="K17" t="n">
        <x:v>3000</x:v>
      </x:c>
      <x:c r="L17" t="n">
        <x:v>0</x:v>
      </x:c>
      <x:c r="M17" t="str">
        <x:v>Einnahme</x:v>
      </x:c>
      <x:c r="N17" t="str">
        <x:v>KAT013</x:v>
      </x:c>
      <x:c r="O17"/>
      <x:c r="P17" t="str">
        <x:v>KTO001</x:v>
      </x:c>
      <x:c r="Q17" t="str">
        <x:v>Lars Kohlenberg</x:v>
      </x:c>
      <x:c r="R17" t="str">
        <x:v>DE91270200001510365800</x:v>
      </x:c>
      <x:c r="S17" t="str">
        <x:v>Uebertrag Kueche 2. Teil</x:v>
      </x:c>
      <x:c r="T17" t="n">
        <x:v>0.82</x:v>
      </x:c>
      <x:c r="U17" t="str">
        <x:v>offen</x:v>
      </x:c>
      <x:c r="V17" t="str">
        <x:v>3 Treffer in 3 Monaten</x:v>
      </x:c>
      <x:c r="W17" t="str">
        <x:v>Analyse-Draft; keine Regelzahlung aktiviert</x:v>
      </x:c>
    </x:row>
    <x:row r="18">
      <x:c r="A18" t="str">
        <x:v>SUG-20260521-005</x:v>
      </x:c>
      <x:c r="B18" t="n">
        <x:v>46163</x:v>
      </x:c>
      <x:c r="C18" t="str">
        <x:v>RUN-20260521-ANALYSIS</x:v>
      </x:c>
      <x:c r="D18" t="str">
        <x:v>KATRIN KOHLENBERG</x:v>
      </x:c>
      <x:c r="E18" t="str">
        <x:v>monatlich</x:v>
      </x:c>
      <x:c r="F18" t="n">
        <x:v>29</x:v>
      </x:c>
      <x:c r="G18" t="n">
        <x:v>45293</x:v>
      </x:c>
      <x:c r="H18" t="n">
        <x:v>46146</x:v>
      </x:c>
      <x:c r="I18" t="n">
        <x:v>-1800</x:v>
      </x:c>
      <x:c r="J18" t="n">
        <x:v>-1800</x:v>
      </x:c>
      <x:c r="K18" t="n">
        <x:v>-1800</x:v>
      </x:c>
      <x:c r="L18" t="n">
        <x:v>0</x:v>
      </x:c>
      <x:c r="M18" t="str">
        <x:v>Ausgabe</x:v>
      </x:c>
      <x:c r="N18" t="str">
        <x:v>KAT013</x:v>
      </x:c>
      <x:c r="O18"/>
      <x:c r="P18" t="str">
        <x:v>KTO001</x:v>
      </x:c>
      <x:c r="Q18" t="str">
        <x:v>KATRIN KOHLENBERG</x:v>
      </x:c>
      <x:c r="R18" t="str">
        <x:v>DE32270727240307336800</x:v>
      </x:c>
      <x:c r="S18" t="str">
        <x:v>Apanage</x:v>
      </x:c>
      <x:c r="T18" t="n">
        <x:v>0.82</x:v>
      </x:c>
      <x:c r="U18" t="str">
        <x:v>offen</x:v>
      </x:c>
      <x:c r="V18" t="str">
        <x:v>29 Treffer in 29 Monaten</x:v>
      </x:c>
      <x:c r="W18" t="str">
        <x:v>Analyse-Draft; keine Regelzahlung aktiviert</x:v>
      </x:c>
    </x:row>
    <x:row r="19">
      <x:c r="A19" t="str">
        <x:v>SUG-20260521-006</x:v>
      </x:c>
      <x:c r="B19" t="n">
        <x:v>46163</x:v>
      </x:c>
      <x:c r="C19" t="str">
        <x:v>RUN-20260521-ANALYSIS</x:v>
      </x:c>
      <x:c r="D19" t="str">
        <x:v>LARS KOHLENBERG</x:v>
      </x:c>
      <x:c r="E19" t="str">
        <x:v>monatlich</x:v>
      </x:c>
      <x:c r="F19" t="n">
        <x:v>29</x:v>
      </x:c>
      <x:c r="G19" t="n">
        <x:v>45293</x:v>
      </x:c>
      <x:c r="H19" t="n">
        <x:v>46146</x:v>
      </x:c>
      <x:c r="I19" t="n">
        <x:v>-1400</x:v>
      </x:c>
      <x:c r="J19" t="n">
        <x:v>-1400</x:v>
      </x:c>
      <x:c r="K19" t="n">
        <x:v>-1400</x:v>
      </x:c>
      <x:c r="L19" t="n">
        <x:v>0</x:v>
      </x:c>
      <x:c r="M19" t="str">
        <x:v>Ausgabe</x:v>
      </x:c>
      <x:c r="N19" t="str">
        <x:v>KAT013</x:v>
      </x:c>
      <x:c r="O19"/>
      <x:c r="P19" t="str">
        <x:v>KTO001</x:v>
      </x:c>
      <x:c r="Q19" t="str">
        <x:v>LARS KOHLENBERG</x:v>
      </x:c>
      <x:c r="R19" t="str">
        <x:v>DE91270200001510365800</x:v>
      </x:c>
      <x:c r="S19" t="str">
        <x:v>Sparrate 650,- + 750 EUR Mieteinnahmen</x:v>
      </x:c>
      <x:c r="T19" t="n">
        <x:v>0.82</x:v>
      </x:c>
      <x:c r="U19" t="str">
        <x:v>offen</x:v>
      </x:c>
      <x:c r="V19" t="str">
        <x:v>29 Treffer in 29 Monaten</x:v>
      </x:c>
      <x:c r="W19" t="str">
        <x:v>Analyse-Draft; keine Regelzahlung aktiviert</x:v>
      </x:c>
    </x:row>
    <x:row r="20">
      <x:c r="A20" t="str">
        <x:v>SUG-20260521-007</x:v>
      </x:c>
      <x:c r="B20" t="n">
        <x:v>46163</x:v>
      </x:c>
      <x:c r="C20" t="str">
        <x:v>RUN-20260521-ANALYSIS</x:v>
      </x:c>
      <x:c r="D20" t="str">
        <x:v>LARS KOHLENBERG</x:v>
      </x:c>
      <x:c r="E20" t="str">
        <x:v>monatlich</x:v>
      </x:c>
      <x:c r="F20" t="n">
        <x:v>29</x:v>
      </x:c>
      <x:c r="G20" t="n">
        <x:v>45293</x:v>
      </x:c>
      <x:c r="H20" t="n">
        <x:v>46142</x:v>
      </x:c>
      <x:c r="I20" t="n">
        <x:v>-1153.94</x:v>
      </x:c>
      <x:c r="J20" t="n">
        <x:v>-1153.94</x:v>
      </x:c>
      <x:c r="K20" t="n">
        <x:v>-1153.94</x:v>
      </x:c>
      <x:c r="L20" t="n">
        <x:v>0</x:v>
      </x:c>
      <x:c r="M20" t="str">
        <x:v>Ausgabe</x:v>
      </x:c>
      <x:c r="N20" t="str">
        <x:v>KAT013</x:v>
      </x:c>
      <x:c r="O20"/>
      <x:c r="P20" t="str">
        <x:v>KTO001</x:v>
      </x:c>
      <x:c r="Q20" t="str">
        <x:v>LARS KOHLENBERG</x:v>
      </x:c>
      <x:c r="R20" t="str">
        <x:v>DE33269910668923736000</x:v>
      </x:c>
      <x:c r="S20" t="str">
        <x:v>Zins und Tilgung zu 2/3</x:v>
      </x:c>
      <x:c r="T20" t="n">
        <x:v>0.82</x:v>
      </x:c>
      <x:c r="U20" t="str">
        <x:v>offen</x:v>
      </x:c>
      <x:c r="V20" t="str">
        <x:v>29 Treffer in 20 Monaten</x:v>
      </x:c>
      <x:c r="W20" t="str">
        <x:v>Analyse-Draft; keine Regelzahlung aktiviert</x:v>
      </x:c>
    </x:row>
    <x:row r="21">
      <x:c r="A21" t="str">
        <x:v>SUG-20260521-008</x:v>
      </x:c>
      <x:c r="B21" t="n">
        <x:v>46163</x:v>
      </x:c>
      <x:c r="C21" t="str">
        <x:v>RUN-20260521-ANALYSIS</x:v>
      </x:c>
      <x:c r="D21" t="str">
        <x:v>Lars Kohlenberg</x:v>
      </x:c>
      <x:c r="E21" t="str">
        <x:v>monatlich</x:v>
      </x:c>
      <x:c r="F21" t="n">
        <x:v>4</x:v>
      </x:c>
      <x:c r="G21" t="n">
        <x:v>45428</x:v>
      </x:c>
      <x:c r="H21" t="n">
        <x:v>46121</x:v>
      </x:c>
      <x:c r="I21" t="n">
        <x:v>1000</x:v>
      </x:c>
      <x:c r="J21" t="n">
        <x:v>1000</x:v>
      </x:c>
      <x:c r="K21" t="n">
        <x:v>1000</x:v>
      </x:c>
      <x:c r="L21" t="n">
        <x:v>0</x:v>
      </x:c>
      <x:c r="M21" t="str">
        <x:v>Einnahme</x:v>
      </x:c>
      <x:c r="N21" t="str">
        <x:v>KAT013</x:v>
      </x:c>
      <x:c r="O21"/>
      <x:c r="P21" t="str">
        <x:v>KTO001</x:v>
      </x:c>
      <x:c r="Q21" t="str">
        <x:v>Lars Kohlenberg</x:v>
      </x:c>
      <x:c r="R21" t="str">
        <x:v>DE91270200001510365800</x:v>
      </x:c>
      <x:c r="S21" t="str">
        <x:v>Uebertrag</x:v>
      </x:c>
      <x:c r="T21" t="n">
        <x:v>0.82</x:v>
      </x:c>
      <x:c r="U21" t="str">
        <x:v>offen</x:v>
      </x:c>
      <x:c r="V21" t="str">
        <x:v>4 Treffer in 3 Monaten</x:v>
      </x:c>
      <x:c r="W21" t="str">
        <x:v>Analyse-Draft; keine Regelzahlung aktiviert</x:v>
      </x:c>
    </x:row>
    <x:row r="22">
      <x:c r="A22" t="str">
        <x:v>SUG-20260521-009</x:v>
      </x:c>
      <x:c r="B22" t="n">
        <x:v>46163</x:v>
      </x:c>
      <x:c r="C22" t="str">
        <x:v>RUN-20260521-ANALYSIS</x:v>
      </x:c>
      <x:c r="D22" t="str">
        <x:v>WILLI KOHLENBERG</x:v>
      </x:c>
      <x:c r="E22" t="str">
        <x:v>monatlich</x:v>
      </x:c>
      <x:c r="F22" t="n">
        <x:v>29</x:v>
      </x:c>
      <x:c r="G22" t="n">
        <x:v>45293</x:v>
      </x:c>
      <x:c r="H22" t="n">
        <x:v>46146</x:v>
      </x:c>
      <x:c r="I22" t="n">
        <x:v>750</x:v>
      </x:c>
      <x:c r="J22" t="n">
        <x:v>750</x:v>
      </x:c>
      <x:c r="K22" t="n">
        <x:v>750</x:v>
      </x:c>
      <x:c r="L22" t="n">
        <x:v>0</x:v>
      </x:c>
      <x:c r="M22" t="str">
        <x:v>Einnahme</x:v>
      </x:c>
      <x:c r="N22" t="str">
        <x:v>KAT013</x:v>
      </x:c>
      <x:c r="O22"/>
      <x:c r="P22" t="str">
        <x:v>KTO001</x:v>
      </x:c>
      <x:c r="Q22" t="str">
        <x:v>WILLI KOHLENBERG</x:v>
      </x:c>
      <x:c r="R22" t="str">
        <x:v>DE84270800600651520400</x:v>
      </x:c>
      <x:c r="S22" t="str">
        <x:v>MIETE 2/3 HAUS</x:v>
      </x:c>
      <x:c r="T22" t="n">
        <x:v>0.82</x:v>
      </x:c>
      <x:c r="U22" t="str">
        <x:v>offen</x:v>
      </x:c>
      <x:c r="V22" t="str">
        <x:v>29 Treffer in 29 Monaten</x:v>
      </x:c>
      <x:c r="W22" t="str">
        <x:v>Analyse-Draft; keine Regelzahlung aktiviert</x:v>
      </x:c>
    </x:row>
    <x:row r="23">
      <x:c r="A23" t="str">
        <x:v>SUG-20260521-010</x:v>
      </x:c>
      <x:c r="B23" t="n">
        <x:v>46163</x:v>
      </x:c>
      <x:c r="C23" t="str">
        <x:v>RUN-20260521-ANALYSIS</x:v>
      </x:c>
      <x:c r="D23" t="str">
        <x:v>Lars und Katrin Kohlenberg</x:v>
      </x:c>
      <x:c r="E23" t="str">
        <x:v>monatlich</x:v>
      </x:c>
      <x:c r="F23" t="n">
        <x:v>22</x:v>
      </x:c>
      <x:c r="G23" t="n">
        <x:v>45352</x:v>
      </x:c>
      <x:c r="H23" t="n">
        <x:v>46146</x:v>
      </x:c>
      <x:c r="I23" t="n">
        <x:v>-600</x:v>
      </x:c>
      <x:c r="J23" t="n">
        <x:v>-600</x:v>
      </x:c>
      <x:c r="K23" t="n">
        <x:v>-600</x:v>
      </x:c>
      <x:c r="L23" t="n">
        <x:v>0</x:v>
      </x:c>
      <x:c r="M23" t="str">
        <x:v>Ausgabe</x:v>
      </x:c>
      <x:c r="N23" t="str">
        <x:v>KAT013</x:v>
      </x:c>
      <x:c r="O23"/>
      <x:c r="P23" t="str">
        <x:v>KTO001</x:v>
      </x:c>
      <x:c r="Q23" t="str">
        <x:v>Lars und Katrin Kohlenberg</x:v>
      </x:c>
      <x:c r="R23" t="str">
        <x:v>DE27672300000506966162</x:v>
      </x:c>
      <x:c r="S23" t="str">
        <x:v>10009544 VERMOEGENSDEPOT SAMMELBUCHUNG SPARPLAN WKN A1C9ED, 847809</x:v>
      </x:c>
      <x:c r="T23" t="n">
        <x:v>0.82</x:v>
      </x:c>
      <x:c r="U23" t="str">
        <x:v>offen</x:v>
      </x:c>
      <x:c r="V23" t="str">
        <x:v>22 Treffer in 22 Monaten</x:v>
      </x:c>
      <x:c r="W23" t="str">
        <x:v>Analyse-Draft; keine Regelzahlung aktiviert</x:v>
      </x:c>
    </x:row>
    <x:row r="24">
      <x:c r="A24" t="str">
        <x:v>SUG-20260521-011</x:v>
      </x:c>
      <x:c r="B24" t="n">
        <x:v>46163</x:v>
      </x:c>
      <x:c r="C24" t="str">
        <x:v>RUN-20260521-ANALYSIS</x:v>
      </x:c>
      <x:c r="D24" t="str">
        <x:v>Lars Kohlenberg</x:v>
      </x:c>
      <x:c r="E24" t="str">
        <x:v>monatlich</x:v>
      </x:c>
      <x:c r="F24" t="n">
        <x:v>6</x:v>
      </x:c>
      <x:c r="G24" t="n">
        <x:v>45372</x:v>
      </x:c>
      <x:c r="H24" t="n">
        <x:v>46132</x:v>
      </x:c>
      <x:c r="I24" t="n">
        <x:v>500</x:v>
      </x:c>
      <x:c r="J24" t="n">
        <x:v>500</x:v>
      </x:c>
      <x:c r="K24" t="n">
        <x:v>500</x:v>
      </x:c>
      <x:c r="L24" t="n">
        <x:v>0</x:v>
      </x:c>
      <x:c r="M24" t="str">
        <x:v>Einnahme</x:v>
      </x:c>
      <x:c r="N24" t="str">
        <x:v>KAT013</x:v>
      </x:c>
      <x:c r="O24"/>
      <x:c r="P24" t="str">
        <x:v>KTO001</x:v>
      </x:c>
      <x:c r="Q24" t="str">
        <x:v>Lars Kohlenberg</x:v>
      </x:c>
      <x:c r="R24" t="str">
        <x:v>DE91270200001510365800</x:v>
      </x:c>
      <x:c r="S24" t="str">
        <x:v>Uebertrag</x:v>
      </x:c>
      <x:c r="T24" t="n">
        <x:v>0.82</x:v>
      </x:c>
      <x:c r="U24" t="str">
        <x:v>offen</x:v>
      </x:c>
      <x:c r="V24" t="str">
        <x:v>6 Treffer in 6 Monaten</x:v>
      </x:c>
      <x:c r="W24" t="str">
        <x:v>Analyse-Draft; keine Regelzahlung aktiviert</x:v>
      </x:c>
    </x:row>
    <x:row r="25">
      <x:c r="A25" t="str">
        <x:v>SUG-20260521-012</x:v>
      </x:c>
      <x:c r="B25" t="n">
        <x:v>46163</x:v>
      </x:c>
      <x:c r="C25" t="str">
        <x:v>RUN-20260521-ANALYSIS</x:v>
      </x:c>
      <x:c r="D25" t="str">
        <x:v>NORD.LB...Braunschweigi/GEBHARDSHG</x:v>
      </x:c>
      <x:c r="E25" t="str">
        <x:v>monatlich</x:v>
      </x:c>
      <x:c r="F25" t="n">
        <x:v>6</x:v>
      </x:c>
      <x:c r="G25" t="n">
        <x:v>45384</x:v>
      </x:c>
      <x:c r="H25" t="n">
        <x:v>45915</x:v>
      </x:c>
      <x:c r="I25" t="n">
        <x:v>-500</x:v>
      </x:c>
      <x:c r="J25" t="n">
        <x:v>-500</x:v>
      </x:c>
      <x:c r="K25" t="n">
        <x:v>-500</x:v>
      </x:c>
      <x:c r="L25" t="n">
        <x:v>0</x:v>
      </x:c>
      <x:c r="M25" t="str">
        <x:v>Ausgabe</x:v>
      </x:c>
      <x:c r="N25" t="str">
        <x:v>KAT013</x:v>
      </x:c>
      <x:c r="O25"/>
      <x:c r="P25" t="str">
        <x:v>KTO001</x:v>
      </x:c>
      <x:c r="Q25" t="str">
        <x:v>NORD.LB...Braunschweigi/GEBHARDSHG</x:v>
      </x:c>
      <x:c r="R25" t="str">
        <x:v>DE96120300009005290904</x:v>
      </x:c>
      <x:c r="S25" t="str">
        <x:v>VISA Debitkartenumsatz vom 29.03.2024</x:v>
      </x:c>
      <x:c r="T25" t="n">
        <x:v>0.82</x:v>
      </x:c>
      <x:c r="U25" t="str">
        <x:v>offen</x:v>
      </x:c>
      <x:c r="V25" t="str">
        <x:v>6 Treffer in 6 Monaten</x:v>
      </x:c>
      <x:c r="W25" t="str">
        <x:v>Analyse-Draft; keine Regelzahlung aktiviert</x:v>
      </x:c>
    </x:row>
    <x:row r="26">
      <x:c r="A26" t="str">
        <x:v>SUG-20260521-013</x:v>
      </x:c>
      <x:c r="B26" t="n">
        <x:v>46163</x:v>
      </x:c>
      <x:c r="C26" t="str">
        <x:v>RUN-20260521-ANALYSIS</x:v>
      </x:c>
      <x:c r="D26" t="str">
        <x:v>Heidelberger Lebensversicherung AG Donrhofstrasse 36, 63263 Neu-Isenburg</x:v>
      </x:c>
      <x:c r="E26" t="str">
        <x:v>monatlich</x:v>
      </x:c>
      <x:c r="F26" t="n">
        <x:v>12</x:v>
      </x:c>
      <x:c r="G26" t="n">
        <x:v>45810</x:v>
      </x:c>
      <x:c r="H26" t="n">
        <x:v>46146</x:v>
      </x:c>
      <x:c r="I26" t="n">
        <x:v>-452.71</x:v>
      </x:c>
      <x:c r="J26" t="n">
        <x:v>-452.71</x:v>
      </x:c>
      <x:c r="K26" t="n">
        <x:v>-452.71</x:v>
      </x:c>
      <x:c r="L26" t="n">
        <x:v>0</x:v>
      </x:c>
      <x:c r="M26" t="str">
        <x:v>Ausgabe</x:v>
      </x:c>
      <x:c r="N26" t="str">
        <x:v>KAT013</x:v>
      </x:c>
      <x:c r="O26"/>
      <x:c r="P26" t="str">
        <x:v>KTO001</x:v>
      </x:c>
      <x:c r="Q26" t="str">
        <x:v>Heidelberger Lebensversicherung AG Donrhofstrasse 36, 63263 Neu-Isenburg</x:v>
      </x:c>
      <x:c r="R26" t="str">
        <x:v>DE38600501010002662604</x:v>
      </x:c>
      <x:c r="S26" t="str">
        <x:v>60012826 , 06.25</x:v>
      </x:c>
      <x:c r="T26" t="n">
        <x:v>0.82</x:v>
      </x:c>
      <x:c r="U26" t="str">
        <x:v>offen</x:v>
      </x:c>
      <x:c r="V26" t="str">
        <x:v>12 Treffer in 12 Monaten</x:v>
      </x:c>
      <x:c r="W26" t="str">
        <x:v>Analyse-Draft; keine Regelzahlung aktiviert</x:v>
      </x:c>
    </x:row>
    <x:row r="27">
      <x:c r="A27" t="str">
        <x:v>SUG-20260521-014</x:v>
      </x:c>
      <x:c r="B27" t="n">
        <x:v>46163</x:v>
      </x:c>
      <x:c r="C27" t="str">
        <x:v>RUN-20260521-ANALYSIS</x:v>
      </x:c>
      <x:c r="D27" t="str">
        <x:v>Heidelberger Lebensversicherung AG Im Breitspiel 2-4, 69126 Heidelberg</x:v>
      </x:c>
      <x:c r="E27" t="str">
        <x:v>monatlich</x:v>
      </x:c>
      <x:c r="F27" t="n">
        <x:v>17</x:v>
      </x:c>
      <x:c r="G27" t="n">
        <x:v>45293</x:v>
      </x:c>
      <x:c r="H27" t="n">
        <x:v>45779</x:v>
      </x:c>
      <x:c r="I27" t="n">
        <x:v>-452.71</x:v>
      </x:c>
      <x:c r="J27" t="n">
        <x:v>-452.71</x:v>
      </x:c>
      <x:c r="K27" t="n">
        <x:v>-452.71</x:v>
      </x:c>
      <x:c r="L27" t="n">
        <x:v>0</x:v>
      </x:c>
      <x:c r="M27" t="str">
        <x:v>Ausgabe</x:v>
      </x:c>
      <x:c r="N27" t="str">
        <x:v>KAT013</x:v>
      </x:c>
      <x:c r="O27"/>
      <x:c r="P27" t="str">
        <x:v>KTO001</x:v>
      </x:c>
      <x:c r="Q27" t="str">
        <x:v>Heidelberger Lebensversicherung AG Im Breitspiel 2-4, 69126 Heidelberg</x:v>
      </x:c>
      <x:c r="R27" t="str">
        <x:v>DE38600501010002662604</x:v>
      </x:c>
      <x:c r="S27" t="str">
        <x:v>60012826 , 01.24</x:v>
      </x:c>
      <x:c r="T27" t="n">
        <x:v>0.82</x:v>
      </x:c>
      <x:c r="U27" t="str">
        <x:v>offen</x:v>
      </x:c>
      <x:c r="V27" t="str">
        <x:v>17 Treffer in 17 Monaten</x:v>
      </x:c>
      <x:c r="W27" t="str">
        <x:v>Analyse-Draft; keine Regelzahlung aktiviert</x:v>
      </x:c>
    </x:row>
    <x:row r="28">
      <x:c r="A28" t="str">
        <x:v>SUG-20260521-015</x:v>
      </x:c>
      <x:c r="B28" t="n">
        <x:v>46163</x:v>
      </x:c>
      <x:c r="C28" t="str">
        <x:v>RUN-20260521-ANALYSIS</x:v>
      </x:c>
      <x:c r="D28" t="str">
        <x:v>WEVG Salzgitter GmbH + Co. KG</x:v>
      </x:c>
      <x:c r="E28" t="str">
        <x:v>monatlich</x:v>
      </x:c>
      <x:c r="F28" t="n">
        <x:v>9</x:v>
      </x:c>
      <x:c r="G28" t="n">
        <x:v>45412</x:v>
      </x:c>
      <x:c r="H28" t="n">
        <x:v>45656</x:v>
      </x:c>
      <x:c r="I28" t="n">
        <x:v>-422</x:v>
      </x:c>
      <x:c r="J28" t="n">
        <x:v>-422</x:v>
      </x:c>
      <x:c r="K28" t="n">
        <x:v>-422</x:v>
      </x:c>
      <x:c r="L28" t="n">
        <x:v>0</x:v>
      </x:c>
      <x:c r="M28" t="str">
        <x:v>Ausgabe</x:v>
      </x:c>
      <x:c r="N28" t="str">
        <x:v>KAT013</x:v>
      </x:c>
      <x:c r="O28"/>
      <x:c r="P28" t="str">
        <x:v>KTO001</x:v>
      </x:c>
      <x:c r="Q28" t="str">
        <x:v>WEVG Salzgitter GmbH + Co. KG</x:v>
      </x:c>
      <x:c r="R28" t="str">
        <x:v>DE19300700100394127500</x:v>
      </x:c>
      <x:c r="S28" t="str">
        <x:v>Kd-Nr 79288 Einz 30.04.24 41710/352.00/Johannes-Wosni 100833/70.00/Johannes-Wosni</x:v>
      </x:c>
      <x:c r="T28" t="n">
        <x:v>0.82</x:v>
      </x:c>
      <x:c r="U28" t="str">
        <x:v>offen</x:v>
      </x:c>
      <x:c r="V28" t="str">
        <x:v>9 Treffer in 6 Monaten</x:v>
      </x:c>
      <x:c r="W28" t="str">
        <x:v>Analyse-Draft; keine Regelzahlung aktiviert</x:v>
      </x:c>
    </x:row>
    <x:row r="29">
      <x:c r="A29" t="str">
        <x:v>SUG-20260521-016</x:v>
      </x:c>
      <x:c r="B29" t="n">
        <x:v>46163</x:v>
      </x:c>
      <x:c r="C29" t="str">
        <x:v>RUN-20260521-ANALYSIS</x:v>
      </x:c>
      <x:c r="D29" t="str">
        <x:v>Lars Kohlenberg</x:v>
      </x:c>
      <x:c r="E29" t="str">
        <x:v>monatlich</x:v>
      </x:c>
      <x:c r="F29" t="n">
        <x:v>4</x:v>
      </x:c>
      <x:c r="G29" t="n">
        <x:v>45727</x:v>
      </x:c>
      <x:c r="H29" t="n">
        <x:v>46129</x:v>
      </x:c>
      <x:c r="I29" t="n">
        <x:v>400</x:v>
      </x:c>
      <x:c r="J29" t="n">
        <x:v>400</x:v>
      </x:c>
      <x:c r="K29" t="n">
        <x:v>400</x:v>
      </x:c>
      <x:c r="L29" t="n">
        <x:v>0</x:v>
      </x:c>
      <x:c r="M29" t="str">
        <x:v>Einnahme</x:v>
      </x:c>
      <x:c r="N29" t="str">
        <x:v>KAT013</x:v>
      </x:c>
      <x:c r="O29"/>
      <x:c r="P29" t="str">
        <x:v>KTO001</x:v>
      </x:c>
      <x:c r="Q29" t="str">
        <x:v>Lars Kohlenberg</x:v>
      </x:c>
      <x:c r="R29" t="str">
        <x:v>DE91270200001510365800</x:v>
      </x:c>
      <x:c r="S29" t="str">
        <x:v>Uebertrag</x:v>
      </x:c>
      <x:c r="T29" t="n">
        <x:v>0.82</x:v>
      </x:c>
      <x:c r="U29" t="str">
        <x:v>offen</x:v>
      </x:c>
      <x:c r="V29" t="str">
        <x:v>4 Treffer in 3 Monaten</x:v>
      </x:c>
      <x:c r="W29" t="str">
        <x:v>Analyse-Draft; keine Regelzahlung aktiviert</x:v>
      </x:c>
    </x:row>
    <x:row r="30">
      <x:c r="A30" t="str">
        <x:v>SUG-20260521-017</x:v>
      </x:c>
      <x:c r="B30" t="n">
        <x:v>46163</x:v>
      </x:c>
      <x:c r="C30" t="str">
        <x:v>RUN-20260521-ANALYSIS</x:v>
      </x:c>
      <x:c r="D30" t="str">
        <x:v>WEVG Salzgitter GmbH + Co. KG</x:v>
      </x:c>
      <x:c r="E30" t="str">
        <x:v>monatlich</x:v>
      </x:c>
      <x:c r="F30" t="n">
        <x:v>10</x:v>
      </x:c>
      <x:c r="G30" t="n">
        <x:v>45716</x:v>
      </x:c>
      <x:c r="H30" t="n">
        <x:v>45992</x:v>
      </x:c>
      <x:c r="I30" t="n">
        <x:v>-393</x:v>
      </x:c>
      <x:c r="J30" t="n">
        <x:v>-393</x:v>
      </x:c>
      <x:c r="K30" t="n">
        <x:v>-393</x:v>
      </x:c>
      <x:c r="L30" t="n">
        <x:v>0</x:v>
      </x:c>
      <x:c r="M30" t="str">
        <x:v>Ausgabe</x:v>
      </x:c>
      <x:c r="N30" t="str">
        <x:v>KAT013</x:v>
      </x:c>
      <x:c r="O30"/>
      <x:c r="P30" t="str">
        <x:v>KTO001</x:v>
      </x:c>
      <x:c r="Q30" t="str">
        <x:v>WEVG Salzgitter GmbH + Co. KG</x:v>
      </x:c>
      <x:c r="R30" t="str">
        <x:v>DE19300700100394127500</x:v>
      </x:c>
      <x:c r="S30" t="str">
        <x:v>Kd-Nr 79288 Einz 28.02.25 41710/317.00/Johannes-Wosni 100833/76.00/Johannes-Wosni</x:v>
      </x:c>
      <x:c r="T30" t="n">
        <x:v>0.82</x:v>
      </x:c>
      <x:c r="U30" t="str">
        <x:v>offen</x:v>
      </x:c>
      <x:c r="V30" t="str">
        <x:v>10 Treffer in 8 Monaten</x:v>
      </x:c>
      <x:c r="W30" t="str">
        <x:v>Analyse-Draft; keine Regelzahlung aktiviert</x:v>
      </x:c>
    </x:row>
    <x:row r="31">
      <x:c r="A31" t="str">
        <x:v>SUG-20260521-018</x:v>
      </x:c>
      <x:c r="B31" t="n">
        <x:v>46163</x:v>
      </x:c>
      <x:c r="C31" t="str">
        <x:v>RUN-20260521-ANALYSIS</x:v>
      </x:c>
      <x:c r="D31" t="str">
        <x:v>Allianz Lebensversic</x:v>
      </x:c>
      <x:c r="E31" t="str">
        <x:v>monatlich</x:v>
      </x:c>
      <x:c r="F31" t="n">
        <x:v>4</x:v>
      </x:c>
      <x:c r="G31" t="n">
        <x:v>46055</x:v>
      </x:c>
      <x:c r="H31" t="n">
        <x:v>46146</x:v>
      </x:c>
      <x:c r="I31" t="n">
        <x:v>-162.17</x:v>
      </x:c>
      <x:c r="J31" t="n">
        <x:v>-162.17</x:v>
      </x:c>
      <x:c r="K31" t="n">
        <x:v>-162.17</x:v>
      </x:c>
      <x:c r="L31" t="n">
        <x:v>0</x:v>
      </x:c>
      <x:c r="M31" t="str">
        <x:v>Ausgabe</x:v>
      </x:c>
      <x:c r="N31" t="str">
        <x:v>KAT013</x:v>
      </x:c>
      <x:c r="O31"/>
      <x:c r="P31" t="str">
        <x:v>KTO001</x:v>
      </x:c>
      <x:c r="Q31" t="str">
        <x:v>Allianz Lebensversic</x:v>
      </x:c>
      <x:c r="R31" t="str">
        <x:v>DE52700202700015152448</x:v>
      </x:c>
      <x:c r="S31" t="str">
        <x:v>Vertrag AL-1356867060 bisheriger Vertrag 33 029 619 6 01.02.26 - 28.02.26 RiesRent InvAlphaBal</x:v>
      </x:c>
      <x:c r="T31" t="n">
        <x:v>0.82</x:v>
      </x:c>
      <x:c r="U31" t="str">
        <x:v>offen</x:v>
      </x:c>
      <x:c r="V31" t="str">
        <x:v>4 Treffer in 4 Monaten</x:v>
      </x:c>
      <x:c r="W31" t="str">
        <x:v>Analyse-Draft; keine Regelzahlung aktiviert</x:v>
      </x:c>
    </x:row>
    <x:row r="32">
      <x:c r="A32" t="str">
        <x:v>SUG-20260521-019</x:v>
      </x:c>
      <x:c r="B32" t="n">
        <x:v>46163</x:v>
      </x:c>
      <x:c r="C32" t="str">
        <x:v>RUN-20260521-ANALYSIS</x:v>
      </x:c>
      <x:c r="D32" t="str">
        <x:v>Allianz Lebensvers. AG</x:v>
      </x:c>
      <x:c r="E32" t="str">
        <x:v>monatlich</x:v>
      </x:c>
      <x:c r="F32" t="n">
        <x:v>23</x:v>
      </x:c>
      <x:c r="G32" t="n">
        <x:v>45293</x:v>
      </x:c>
      <x:c r="H32" t="n">
        <x:v>46024</x:v>
      </x:c>
      <x:c r="I32" t="n">
        <x:v>-162.17</x:v>
      </x:c>
      <x:c r="J32" t="n">
        <x:v>-162.17</x:v>
      </x:c>
      <x:c r="K32" t="n">
        <x:v>-162.17</x:v>
      </x:c>
      <x:c r="L32" t="n">
        <x:v>0</x:v>
      </x:c>
      <x:c r="M32" t="str">
        <x:v>Ausgabe</x:v>
      </x:c>
      <x:c r="N32" t="str">
        <x:v>KAT013</x:v>
      </x:c>
      <x:c r="O32"/>
      <x:c r="P32" t="str">
        <x:v>KTO001</x:v>
      </x:c>
      <x:c r="Q32" t="str">
        <x:v>Allianz Lebensvers. AG</x:v>
      </x:c>
      <x:c r="R32" t="str">
        <x:v>DE77700202700062328142</x:v>
      </x:c>
      <x:c r="S32" t="str">
        <x:v>330296196 0124</x:v>
      </x:c>
      <x:c r="T32" t="n">
        <x:v>0.82</x:v>
      </x:c>
      <x:c r="U32" t="str">
        <x:v>offen</x:v>
      </x:c>
      <x:c r="V32" t="str">
        <x:v>23 Treffer in 23 Monaten</x:v>
      </x:c>
      <x:c r="W32" t="str">
        <x:v>Analyse-Draft; keine Regelzahlung aktiviert</x:v>
      </x:c>
    </x:row>
    <x:row r="33">
      <x:c r="A33" t="str">
        <x:v>SUG-20260521-020</x:v>
      </x:c>
      <x:c r="B33" t="n">
        <x:v>46163</x:v>
      </x:c>
      <x:c r="C33" t="str">
        <x:v>RUN-20260521-ANALYSIS</x:v>
      </x:c>
      <x:c r="D33" t="str">
        <x:v>IDEAL Lebensversicherung aG</x:v>
      </x:c>
      <x:c r="E33" t="str">
        <x:v>monatlich</x:v>
      </x:c>
      <x:c r="F33" t="n">
        <x:v>6</x:v>
      </x:c>
      <x:c r="G33" t="n">
        <x:v>45992</x:v>
      </x:c>
      <x:c r="H33" t="n">
        <x:v>46146</x:v>
      </x:c>
      <x:c r="I33" t="n">
        <x:v>-100.52</x:v>
      </x:c>
      <x:c r="J33" t="n">
        <x:v>-100.52</x:v>
      </x:c>
      <x:c r="K33" t="n">
        <x:v>-100.52</x:v>
      </x:c>
      <x:c r="L33" t="n">
        <x:v>0</x:v>
      </x:c>
      <x:c r="M33" t="str">
        <x:v>Ausgabe</x:v>
      </x:c>
      <x:c r="N33" t="str">
        <x:v>KAT013</x:v>
      </x:c>
      <x:c r="O33"/>
      <x:c r="P33" t="str">
        <x:v>KTO001</x:v>
      </x:c>
      <x:c r="Q33" t="str">
        <x:v>IDEAL Lebensversicherung aG</x:v>
      </x:c>
      <x:c r="R33" t="str">
        <x:v>DE36100700000460303100</x:v>
      </x:c>
      <x:c r="S33" t="str">
        <x:v>2011216280009 LV 121</x:v>
      </x:c>
      <x:c r="T33" t="n">
        <x:v>0.82</x:v>
      </x:c>
      <x:c r="U33" t="str">
        <x:v>offen</x:v>
      </x:c>
      <x:c r="V33" t="str">
        <x:v>6 Treffer in 6 Monaten</x:v>
      </x:c>
      <x:c r="W33" t="str">
        <x:v>Analyse-Draft; keine Regelzahlung aktiviert</x:v>
      </x:c>
    </x:row>
    <x:row r="34">
      <x:c r="A34" t="str">
        <x:v>SUG-20260521-021</x:v>
      </x:c>
      <x:c r="B34" t="n">
        <x:v>46163</x:v>
      </x:c>
      <x:c r="C34" t="str">
        <x:v>RUN-20260521-ANALYSIS</x:v>
      </x:c>
      <x:c r="D34" t="str">
        <x:v>NORD.LB...Braunschweigi/GEBHARDSHG</x:v>
      </x:c>
      <x:c r="E34" t="str">
        <x:v>monatlich</x:v>
      </x:c>
      <x:c r="F34" t="n">
        <x:v>3</x:v>
      </x:c>
      <x:c r="G34" t="n">
        <x:v>45397</x:v>
      </x:c>
      <x:c r="H34" t="n">
        <x:v>45807</x:v>
      </x:c>
      <x:c r="I34" t="n">
        <x:v>-100</x:v>
      </x:c>
      <x:c r="J34" t="n">
        <x:v>-100</x:v>
      </x:c>
      <x:c r="K34" t="n">
        <x:v>-100</x:v>
      </x:c>
      <x:c r="L34" t="n">
        <x:v>0</x:v>
      </x:c>
      <x:c r="M34" t="str">
        <x:v>Ausgabe</x:v>
      </x:c>
      <x:c r="N34" t="str">
        <x:v>KAT013</x:v>
      </x:c>
      <x:c r="O34"/>
      <x:c r="P34" t="str">
        <x:v>KTO001</x:v>
      </x:c>
      <x:c r="Q34" t="str">
        <x:v>NORD.LB...Braunschweigi/GEBHARDSHG</x:v>
      </x:c>
      <x:c r="R34" t="str">
        <x:v>DE96120300009005290904</x:v>
      </x:c>
      <x:c r="S34" t="str">
        <x:v>VISA Debitkartenumsatz vom 12.04.2024</x:v>
      </x:c>
      <x:c r="T34" t="n">
        <x:v>0.82</x:v>
      </x:c>
      <x:c r="U34" t="str">
        <x:v>offen</x:v>
      </x:c>
      <x:c r="V34" t="str">
        <x:v>3 Treffer in 3 Monaten</x:v>
      </x:c>
      <x:c r="W34" t="str">
        <x:v>Analyse-Draft; keine Regelzahlung aktiviert</x:v>
      </x:c>
    </x:row>
    <x:row r="35">
      <x:c r="A35" t="str">
        <x:v>SUG-20260521-022</x:v>
      </x:c>
      <x:c r="B35" t="n">
        <x:v>46163</x:v>
      </x:c>
      <x:c r="C35" t="str">
        <x:v>RUN-20260521-ANALYSIS</x:v>
      </x:c>
      <x:c r="D35" t="str">
        <x:v>Lars und Katrin Kohlenberg</x:v>
      </x:c>
      <x:c r="E35" t="str">
        <x:v>monatlich</x:v>
      </x:c>
      <x:c r="F35" t="n">
        <x:v>5</x:v>
      </x:c>
      <x:c r="G35" t="n">
        <x:v>45384</x:v>
      </x:c>
      <x:c r="H35" t="n">
        <x:v>45505</x:v>
      </x:c>
      <x:c r="I35" t="n">
        <x:v>-100</x:v>
      </x:c>
      <x:c r="J35" t="n">
        <x:v>-100</x:v>
      </x:c>
      <x:c r="K35" t="n">
        <x:v>-100</x:v>
      </x:c>
      <x:c r="L35" t="n">
        <x:v>0</x:v>
      </x:c>
      <x:c r="M35" t="str">
        <x:v>Ausgabe</x:v>
      </x:c>
      <x:c r="N35" t="str">
        <x:v>KAT013</x:v>
      </x:c>
      <x:c r="O35"/>
      <x:c r="P35" t="str">
        <x:v>KTO001</x:v>
      </x:c>
      <x:c r="Q35" t="str">
        <x:v>Lars und Katrin Kohlenberg</x:v>
      </x:c>
      <x:c r="R35" t="str">
        <x:v>DE27672300000506966162</x:v>
      </x:c>
      <x:c r="S35" t="str">
        <x:v>10120059 VERMOEGENSDEPOT SPARPLAN WKN A1C9ED</x:v>
      </x:c>
      <x:c r="T35" t="n">
        <x:v>0.82</x:v>
      </x:c>
      <x:c r="U35" t="str">
        <x:v>offen</x:v>
      </x:c>
      <x:c r="V35" t="str">
        <x:v>5 Treffer in 5 Monaten</x:v>
      </x:c>
      <x:c r="W35" t="str">
        <x:v>Analyse-Draft; keine Regelzahlung aktiviert</x:v>
      </x:c>
    </x:row>
    <x:row r="36">
      <x:c r="A36" t="str">
        <x:v>SUG-20260521-023</x:v>
      </x:c>
      <x:c r="B36" t="n">
        <x:v>46163</x:v>
      </x:c>
      <x:c r="C36" t="str">
        <x:v>RUN-20260521-ANALYSIS</x:v>
      </x:c>
      <x:c r="D36" t="str">
        <x:v>TANZSCHULE KWIATKOWSKI GBR</x:v>
      </x:c>
      <x:c r="E36" t="str">
        <x:v>monatlich</x:v>
      </x:c>
      <x:c r="F36" t="n">
        <x:v>4</x:v>
      </x:c>
      <x:c r="G36" t="n">
        <x:v>46069</x:v>
      </x:c>
      <x:c r="H36" t="n">
        <x:v>46157</x:v>
      </x:c>
      <x:c r="I36" t="n">
        <x:v>-98</x:v>
      </x:c>
      <x:c r="J36" t="n">
        <x:v>-98</x:v>
      </x:c>
      <x:c r="K36" t="n">
        <x:v>-98</x:v>
      </x:c>
      <x:c r="L36" t="n">
        <x:v>0</x:v>
      </x:c>
      <x:c r="M36" t="str">
        <x:v>Ausgabe</x:v>
      </x:c>
      <x:c r="N36" t="str">
        <x:v>KAT013</x:v>
      </x:c>
      <x:c r="O36"/>
      <x:c r="P36" t="str">
        <x:v>KTO001</x:v>
      </x:c>
      <x:c r="Q36" t="str">
        <x:v>TANZSCHULE KWIATKOWSKI GBR</x:v>
      </x:c>
      <x:c r="R36" t="str">
        <x:v>DE61259501300096212535</x:v>
      </x:c>
      <x:c r="S36" t="str">
        <x:v>R-SB0000076257-A0000004652,SB2143 2-2026 - 2.2026,Lars Kohlenberg</x:v>
      </x:c>
      <x:c r="T36" t="n">
        <x:v>0.82</x:v>
      </x:c>
      <x:c r="U36" t="str">
        <x:v>offen</x:v>
      </x:c>
      <x:c r="V36" t="str">
        <x:v>4 Treffer in 4 Monaten</x:v>
      </x:c>
      <x:c r="W36" t="str">
        <x:v>Analyse-Draft; keine Regelzahlung aktiviert</x:v>
      </x:c>
    </x:row>
    <x:row r="37">
      <x:c r="A37" t="str">
        <x:v>SUG-20260521-024</x:v>
      </x:c>
      <x:c r="B37" t="n">
        <x:v>46163</x:v>
      </x:c>
      <x:c r="C37" t="str">
        <x:v>RUN-20260521-ANALYSIS</x:v>
      </x:c>
      <x:c r="D37" t="str">
        <x:v>IDEAL Lebensversicherung aG</x:v>
      </x:c>
      <x:c r="E37" t="str">
        <x:v>monatlich</x:v>
      </x:c>
      <x:c r="F37" t="n">
        <x:v>23</x:v>
      </x:c>
      <x:c r="G37" t="n">
        <x:v>45293</x:v>
      </x:c>
      <x:c r="H37" t="n">
        <x:v>45964</x:v>
      </x:c>
      <x:c r="I37" t="n">
        <x:v>-97.12</x:v>
      </x:c>
      <x:c r="J37" t="n">
        <x:v>-97.12</x:v>
      </x:c>
      <x:c r="K37" t="n">
        <x:v>-97.12</x:v>
      </x:c>
      <x:c r="L37" t="n">
        <x:v>0</x:v>
      </x:c>
      <x:c r="M37" t="str">
        <x:v>Ausgabe</x:v>
      </x:c>
      <x:c r="N37" t="str">
        <x:v>KAT013</x:v>
      </x:c>
      <x:c r="O37"/>
      <x:c r="P37" t="str">
        <x:v>KTO001</x:v>
      </x:c>
      <x:c r="Q37" t="str">
        <x:v>IDEAL Lebensversicherung aG</x:v>
      </x:c>
      <x:c r="R37" t="str">
        <x:v>DE36100700000460303100</x:v>
      </x:c>
      <x:c r="S37" t="str">
        <x:v>2011216280009 LV 011</x:v>
      </x:c>
      <x:c r="T37" t="n">
        <x:v>0.82</x:v>
      </x:c>
      <x:c r="U37" t="str">
        <x:v>offen</x:v>
      </x:c>
      <x:c r="V37" t="str">
        <x:v>23 Treffer in 23 Monaten</x:v>
      </x:c>
      <x:c r="W37" t="str">
        <x:v>Analyse-Draft; keine Regelzahlung aktiviert</x:v>
      </x:c>
    </x:row>
    <x:row r="38">
      <x:c r="A38" t="str">
        <x:v>SUG-20260521-025</x:v>
      </x:c>
      <x:c r="B38" t="n">
        <x:v>46163</x:v>
      </x:c>
      <x:c r="C38" t="str">
        <x:v>RUN-20260521-ANALYSIS</x:v>
      </x:c>
      <x:c r="D38" t="str">
        <x:v>VOLKSWOHL BUND Lebensversicherung a.G.</x:v>
      </x:c>
      <x:c r="E38" t="str">
        <x:v>monatlich</x:v>
      </x:c>
      <x:c r="F38" t="n">
        <x:v>7</x:v>
      </x:c>
      <x:c r="G38" t="n">
        <x:v>45964</x:v>
      </x:c>
      <x:c r="H38" t="n">
        <x:v>46146</x:v>
      </x:c>
      <x:c r="I38" t="n">
        <x:v>-73.09</x:v>
      </x:c>
      <x:c r="J38" t="n">
        <x:v>-73.09</x:v>
      </x:c>
      <x:c r="K38" t="n">
        <x:v>-73.09</x:v>
      </x:c>
      <x:c r="L38" t="n">
        <x:v>0</x:v>
      </x:c>
      <x:c r="M38" t="str">
        <x:v>Ausgabe</x:v>
      </x:c>
      <x:c r="N38" t="str">
        <x:v>KAT013</x:v>
      </x:c>
      <x:c r="O38"/>
      <x:c r="P38" t="str">
        <x:v>KTO001</x:v>
      </x:c>
      <x:c r="Q38" t="str">
        <x:v>VOLKSWOHL BUND Lebensversicherung a.G.</x:v>
      </x:c>
      <x:c r="R38" t="str">
        <x:v>DE76440400370361155500</x:v>
      </x:c>
      <x:c r="S38" t="str">
        <x:v>009893595 LA000750566/ 009893595 LEBEN 73,09</x:v>
      </x:c>
      <x:c r="T38" t="n">
        <x:v>0.82</x:v>
      </x:c>
      <x:c r="U38" t="str">
        <x:v>offen</x:v>
      </x:c>
      <x:c r="V38" t="str">
        <x:v>7 Treffer in 7 Monaten</x:v>
      </x:c>
      <x:c r="W38" t="str">
        <x:v>Analyse-Draft; keine Regelzahlung aktiviert</x:v>
      </x:c>
    </x:row>
    <x:row r="39">
      <x:c r="A39" t="str">
        <x:v>SUG-20260521-026</x:v>
      </x:c>
      <x:c r="B39" t="n">
        <x:v>46163</x:v>
      </x:c>
      <x:c r="C39" t="str">
        <x:v>RUN-20260521-ANALYSIS</x:v>
      </x:c>
      <x:c r="D39" t="str">
        <x:v>WEVG Salzgitter GmbH + Co. KG</x:v>
      </x:c>
      <x:c r="E39" t="str">
        <x:v>monatlich</x:v>
      </x:c>
      <x:c r="F39" t="n">
        <x:v>3</x:v>
      </x:c>
      <x:c r="G39" t="n">
        <x:v>45322</x:v>
      </x:c>
      <x:c r="H39" t="n">
        <x:v>45384</x:v>
      </x:c>
      <x:c r="I39" t="n">
        <x:v>-70</x:v>
      </x:c>
      <x:c r="J39" t="n">
        <x:v>-70</x:v>
      </x:c>
      <x:c r="K39" t="n">
        <x:v>-70</x:v>
      </x:c>
      <x:c r="L39" t="n">
        <x:v>0</x:v>
      </x:c>
      <x:c r="M39" t="str">
        <x:v>Ausgabe</x:v>
      </x:c>
      <x:c r="N39" t="str">
        <x:v>KAT013</x:v>
      </x:c>
      <x:c r="O39"/>
      <x:c r="P39" t="str">
        <x:v>KTO001</x:v>
      </x:c>
      <x:c r="Q39" t="str">
        <x:v>WEVG Salzgitter GmbH + Co. KG</x:v>
      </x:c>
      <x:c r="R39" t="str">
        <x:v>DE19300700100394127500</x:v>
      </x:c>
      <x:c r="S39" t="str">
        <x:v>Kd-Nr 79288 Einz 31.01.24 100833/70.00/Johannes-Wosni</x:v>
      </x:c>
      <x:c r="T39" t="n">
        <x:v>0.82</x:v>
      </x:c>
      <x:c r="U39" t="str">
        <x:v>offen</x:v>
      </x:c>
      <x:c r="V39" t="str">
        <x:v>3 Treffer in 3 Monaten</x:v>
      </x:c>
      <x:c r="W39" t="str">
        <x:v>Analyse-Draft; keine Regelzahlung aktiviert</x:v>
      </x:c>
    </x:row>
    <x:row r="40">
      <x:c r="A40" t="str">
        <x:v>SUG-20260521-027</x:v>
      </x:c>
      <x:c r="B40" t="n">
        <x:v>46163</x:v>
      </x:c>
      <x:c r="C40" t="str">
        <x:v>RUN-20260521-ANALYSIS</x:v>
      </x:c>
      <x:c r="D40" t="str">
        <x:v>VOLKSWOHL BUND Lebensversicherung a.G.</x:v>
      </x:c>
      <x:c r="E40" t="str">
        <x:v>monatlich</x:v>
      </x:c>
      <x:c r="F40" t="n">
        <x:v>12</x:v>
      </x:c>
      <x:c r="G40" t="n">
        <x:v>45600</x:v>
      </x:c>
      <x:c r="H40" t="n">
        <x:v>45931</x:v>
      </x:c>
      <x:c r="I40" t="n">
        <x:v>-68.46</x:v>
      </x:c>
      <x:c r="J40" t="n">
        <x:v>-68.46</x:v>
      </x:c>
      <x:c r="K40" t="n">
        <x:v>-68.46</x:v>
      </x:c>
      <x:c r="L40" t="n">
        <x:v>0</x:v>
      </x:c>
      <x:c r="M40" t="str">
        <x:v>Ausgabe</x:v>
      </x:c>
      <x:c r="N40" t="str">
        <x:v>KAT013</x:v>
      </x:c>
      <x:c r="O40"/>
      <x:c r="P40" t="str">
        <x:v>KTO001</x:v>
      </x:c>
      <x:c r="Q40" t="str">
        <x:v>VOLKSWOHL BUND Lebensversicherung a.G.</x:v>
      </x:c>
      <x:c r="R40" t="str">
        <x:v>DE76440400370361155500</x:v>
      </x:c>
      <x:c r="S40" t="str">
        <x:v>009893595 LA000750566/ 009893595 LEBEN 68,46</x:v>
      </x:c>
      <x:c r="T40" t="n">
        <x:v>0.82</x:v>
      </x:c>
      <x:c r="U40" t="str">
        <x:v>offen</x:v>
      </x:c>
      <x:c r="V40" t="str">
        <x:v>12 Treffer in 12 Monaten</x:v>
      </x:c>
      <x:c r="W40" t="str">
        <x:v>Analyse-Draft; keine Regelzahlung aktiviert</x:v>
      </x:c>
    </x:row>
    <x:row r="41">
      <x:c r="A41" t="str">
        <x:v>SUG-20260521-028</x:v>
      </x:c>
      <x:c r="B41" t="n">
        <x:v>46163</x:v>
      </x:c>
      <x:c r="C41" t="str">
        <x:v>RUN-20260521-ANALYSIS</x:v>
      </x:c>
      <x:c r="D41" t="str">
        <x:v>VOLKSWOHL BUND Lebensversicherung a.G.</x:v>
      </x:c>
      <x:c r="E41" t="str">
        <x:v>monatlich</x:v>
      </x:c>
      <x:c r="F41" t="n">
        <x:v>10</x:v>
      </x:c>
      <x:c r="G41" t="n">
        <x:v>45293</x:v>
      </x:c>
      <x:c r="H41" t="n">
        <x:v>45566</x:v>
      </x:c>
      <x:c r="I41" t="n">
        <x:v>-66.15</x:v>
      </x:c>
      <x:c r="J41" t="n">
        <x:v>-66.15</x:v>
      </x:c>
      <x:c r="K41" t="n">
        <x:v>-66.15</x:v>
      </x:c>
      <x:c r="L41" t="n">
        <x:v>0</x:v>
      </x:c>
      <x:c r="M41" t="str">
        <x:v>Ausgabe</x:v>
      </x:c>
      <x:c r="N41" t="str">
        <x:v>KAT013</x:v>
      </x:c>
      <x:c r="O41"/>
      <x:c r="P41" t="str">
        <x:v>KTO001</x:v>
      </x:c>
      <x:c r="Q41" t="str">
        <x:v>VOLKSWOHL BUND Lebensversicherung a.G.</x:v>
      </x:c>
      <x:c r="R41" t="str">
        <x:v>DE76440400370361155500</x:v>
      </x:c>
      <x:c r="S41" t="str">
        <x:v>009893595 LA000750566/ 009893595 LEBEN 66,15</x:v>
      </x:c>
      <x:c r="T41" t="n">
        <x:v>0.82</x:v>
      </x:c>
      <x:c r="U41" t="str">
        <x:v>offen</x:v>
      </x:c>
      <x:c r="V41" t="str">
        <x:v>10 Treffer in 10 Monaten</x:v>
      </x:c>
      <x:c r="W41" t="str">
        <x:v>Analyse-Draft; keine Regelzahlung aktiviert</x:v>
      </x:c>
    </x:row>
    <x:row r="42">
      <x:c r="A42" t="str">
        <x:v>SUG-20260521-029</x:v>
      </x:c>
      <x:c r="B42" t="n">
        <x:v>46163</x:v>
      </x:c>
      <x:c r="C42" t="str">
        <x:v>RUN-20260521-ANALYSIS</x:v>
      </x:c>
      <x:c r="D42" t="str">
        <x:v>Telekom Deutschland GmbH</x:v>
      </x:c>
      <x:c r="E42" t="str">
        <x:v>monatlich</x:v>
      </x:c>
      <x:c r="F42" t="n">
        <x:v>5</x:v>
      </x:c>
      <x:c r="G42" t="n">
        <x:v>46029</x:v>
      </x:c>
      <x:c r="H42" t="n">
        <x:v>46148</x:v>
      </x:c>
      <x:c r="I42" t="n">
        <x:v>-65.93</x:v>
      </x:c>
      <x:c r="J42" t="n">
        <x:v>-65.93</x:v>
      </x:c>
      <x:c r="K42" t="n">
        <x:v>-65.93</x:v>
      </x:c>
      <x:c r="L42" t="n">
        <x:v>0</x:v>
      </x:c>
      <x:c r="M42" t="str">
        <x:v>Ausgabe</x:v>
      </x:c>
      <x:c r="N42" t="str">
        <x:v>KAT013</x:v>
      </x:c>
      <x:c r="O42"/>
      <x:c r="P42" t="str">
        <x:v>KTO001</x:v>
      </x:c>
      <x:c r="Q42" t="str">
        <x:v>Telekom Deutschland GmbH</x:v>
      </x:c>
      <x:c r="R42" t="str">
        <x:v>DE07512108001095000911</x:v>
      </x:c>
      <x:c r="S42" t="str">
        <x:v>Festnetz Vertragskonto 4763666565 RG 7208574499/22.12.2025</x:v>
      </x:c>
      <x:c r="T42" t="n">
        <x:v>0.82</x:v>
      </x:c>
      <x:c r="U42" t="str">
        <x:v>offen</x:v>
      </x:c>
      <x:c r="V42" t="str">
        <x:v>5 Treffer in 5 Monaten</x:v>
      </x:c>
      <x:c r="W42" t="str">
        <x:v>Analyse-Draft; keine Regelzahlung aktiviert</x:v>
      </x:c>
    </x:row>
    <x:row r="43">
      <x:c r="A43" t="str">
        <x:v>SUG-20260521-030</x:v>
      </x:c>
      <x:c r="B43" t="n">
        <x:v>46163</x:v>
      </x:c>
      <x:c r="C43" t="str">
        <x:v>RUN-20260521-ANALYSIS</x:v>
      </x:c>
      <x:c r="D43" t="str">
        <x:v>Telekom Deutschland GmbH Landgrabenweg 151</x:v>
      </x:c>
      <x:c r="E43" t="str">
        <x:v>monatlich</x:v>
      </x:c>
      <x:c r="F43" t="n">
        <x:v>8</x:v>
      </x:c>
      <x:c r="G43" t="n">
        <x:v>45328</x:v>
      </x:c>
      <x:c r="H43" t="n">
        <x:v>45572</x:v>
      </x:c>
      <x:c r="I43" t="n">
        <x:v>-61.94</x:v>
      </x:c>
      <x:c r="J43" t="n">
        <x:v>-61.94</x:v>
      </x:c>
      <x:c r="K43" t="n">
        <x:v>-61.94</x:v>
      </x:c>
      <x:c r="L43" t="n">
        <x:v>0</x:v>
      </x:c>
      <x:c r="M43" t="str">
        <x:v>Ausgabe</x:v>
      </x:c>
      <x:c r="N43" t="str">
        <x:v>KAT013</x:v>
      </x:c>
      <x:c r="O43"/>
      <x:c r="P43" t="str">
        <x:v>KTO001</x:v>
      </x:c>
      <x:c r="Q43" t="str">
        <x:v>Telekom Deutschland GmbH Landgrabenweg 151</x:v>
      </x:c>
      <x:c r="R43" t="str">
        <x:v>DE08250100300000289304</x:v>
      </x:c>
      <x:c r="S43" t="str">
        <x:v>Festnetz Vertragskonto 4763666565 RG 7528785620/26.01.2024</x:v>
      </x:c>
      <x:c r="T43" t="n">
        <x:v>0.82</x:v>
      </x:c>
      <x:c r="U43" t="str">
        <x:v>offen</x:v>
      </x:c>
      <x:c r="V43" t="str">
        <x:v>8 Treffer in 8 Monaten</x:v>
      </x:c>
      <x:c r="W43" t="str">
        <x:v>Analyse-Draft; keine Regelzahlung aktiviert</x:v>
      </x:c>
    </x:row>
    <x:row r="44">
      <x:c r="A44" t="str">
        <x:v>SUG-20260521-031</x:v>
      </x:c>
      <x:c r="B44" t="n">
        <x:v>46163</x:v>
      </x:c>
      <x:c r="C44" t="str">
        <x:v>RUN-20260521-ANALYSIS</x:v>
      </x:c>
      <x:c r="D44" t="str">
        <x:v>Telekom Deutschland GmbH</x:v>
      </x:c>
      <x:c r="E44" t="str">
        <x:v>monatlich</x:v>
      </x:c>
      <x:c r="F44" t="n">
        <x:v>13</x:v>
      </x:c>
      <x:c r="G44" t="n">
        <x:v>45629</x:v>
      </x:c>
      <x:c r="H44" t="n">
        <x:v>45994</x:v>
      </x:c>
      <x:c r="I44" t="n">
        <x:v>-61.93</x:v>
      </x:c>
      <x:c r="J44" t="n">
        <x:v>-61.93</x:v>
      </x:c>
      <x:c r="K44" t="n">
        <x:v>-61.92</x:v>
      </x:c>
      <x:c r="L44" t="n">
        <x:v>0</x:v>
      </x:c>
      <x:c r="M44" t="str">
        <x:v>Ausgabe</x:v>
      </x:c>
      <x:c r="N44" t="str">
        <x:v>KAT013</x:v>
      </x:c>
      <x:c r="O44"/>
      <x:c r="P44" t="str">
        <x:v>KTO001</x:v>
      </x:c>
      <x:c r="Q44" t="str">
        <x:v>Telekom Deutschland GmbH</x:v>
      </x:c>
      <x:c r="R44" t="str">
        <x:v>DE07512108001095000911</x:v>
      </x:c>
      <x:c r="S44" t="str">
        <x:v>Festnetz Vertragskonto 4763666565 RG 7695023070/22.11.2024</x:v>
      </x:c>
      <x:c r="T44" t="n">
        <x:v>0.82</x:v>
      </x:c>
      <x:c r="U44" t="str">
        <x:v>offen</x:v>
      </x:c>
      <x:c r="V44" t="str">
        <x:v>13 Treffer in 13 Monaten</x:v>
      </x:c>
      <x:c r="W44" t="str">
        <x:v>Analyse-Draft; keine Regelzahlung aktiviert</x:v>
      </x:c>
    </x:row>
    <x:row r="45">
      <x:c r="A45" t="str">
        <x:v>SUG-20260521-032</x:v>
      </x:c>
      <x:c r="B45" t="n">
        <x:v>46163</x:v>
      </x:c>
      <x:c r="C45" t="str">
        <x:v>RUN-20260521-ANALYSIS</x:v>
      </x:c>
      <x:c r="D45" t="str">
        <x:v>FUNKE Medien Nieders.GmbH</x:v>
      </x:c>
      <x:c r="E45" t="str">
        <x:v>monatlich</x:v>
      </x:c>
      <x:c r="F45" t="n">
        <x:v>8</x:v>
      </x:c>
      <x:c r="G45" t="n">
        <x:v>45873</x:v>
      </x:c>
      <x:c r="H45" t="n">
        <x:v>46084</x:v>
      </x:c>
      <x:c r="I45" t="n">
        <x:v>-60.5</x:v>
      </x:c>
      <x:c r="J45" t="n">
        <x:v>-60.5</x:v>
      </x:c>
      <x:c r="K45" t="n">
        <x:v>-60.5</x:v>
      </x:c>
      <x:c r="L45" t="n">
        <x:v>0</x:v>
      </x:c>
      <x:c r="M45" t="str">
        <x:v>Ausgabe</x:v>
      </x:c>
      <x:c r="N45" t="str">
        <x:v>KAT013</x:v>
      </x:c>
      <x:c r="O45"/>
      <x:c r="P45" t="str">
        <x:v>KTO001</x:v>
      </x:c>
      <x:c r="Q45" t="str">
        <x:v>FUNKE Medien Nieders.GmbH</x:v>
      </x:c>
      <x:c r="R45" t="str">
        <x:v>DE67250500000000146910</x:v>
      </x:c>
      <x:c r="S45" t="str">
        <x:v>SZ/00001050/VA/01.08.25-31.08.25/Rg-Nr.:6316537460/Kd-Nr:0053112791</x:v>
      </x:c>
      <x:c r="T45" t="n">
        <x:v>0.82</x:v>
      </x:c>
      <x:c r="U45" t="str">
        <x:v>offen</x:v>
      </x:c>
      <x:c r="V45" t="str">
        <x:v>8 Treffer in 8 Monaten</x:v>
      </x:c>
      <x:c r="W45" t="str">
        <x:v>Analyse-Draft; keine Regelzahlung aktiviert</x:v>
      </x:c>
    </x:row>
    <x:row r="46">
      <x:c r="A46" t="str">
        <x:v>SUG-20260521-033</x:v>
      </x:c>
      <x:c r="B46" t="n">
        <x:v>46163</x:v>
      </x:c>
      <x:c r="C46" t="str">
        <x:v>RUN-20260521-ANALYSIS</x:v>
      </x:c>
      <x:c r="D46" t="str">
        <x:v>FUNKE Medien Nieders.GmbH</x:v>
      </x:c>
      <x:c r="E46" t="str">
        <x:v>monatlich</x:v>
      </x:c>
      <x:c r="F46" t="n">
        <x:v>11</x:v>
      </x:c>
      <x:c r="G46" t="n">
        <x:v>45538</x:v>
      </x:c>
      <x:c r="H46" t="n">
        <x:v>45840</x:v>
      </x:c>
      <x:c r="I46" t="n">
        <x:v>-57.5</x:v>
      </x:c>
      <x:c r="J46" t="n">
        <x:v>-57.5</x:v>
      </x:c>
      <x:c r="K46" t="n">
        <x:v>-57.5</x:v>
      </x:c>
      <x:c r="L46" t="n">
        <x:v>0</x:v>
      </x:c>
      <x:c r="M46" t="str">
        <x:v>Ausgabe</x:v>
      </x:c>
      <x:c r="N46" t="str">
        <x:v>KAT013</x:v>
      </x:c>
      <x:c r="O46"/>
      <x:c r="P46" t="str">
        <x:v>KTO001</x:v>
      </x:c>
      <x:c r="Q46" t="str">
        <x:v>FUNKE Medien Nieders.GmbH</x:v>
      </x:c>
      <x:c r="R46" t="str">
        <x:v>DE67250500000000146910</x:v>
      </x:c>
      <x:c r="S46" t="str">
        <x:v>SZ/00001050/VA/01.09.24-30.09.24/Rg-Nr.:6315805098/Kd-Nr:0053112791/Steuer:3.76</x:v>
      </x:c>
      <x:c r="T46" t="n">
        <x:v>0.82</x:v>
      </x:c>
      <x:c r="U46" t="str">
        <x:v>offen</x:v>
      </x:c>
      <x:c r="V46" t="str">
        <x:v>11 Treffer in 11 Monaten</x:v>
      </x:c>
      <x:c r="W46" t="str">
        <x:v>Analyse-Draft; keine Regelzahlung aktiviert</x:v>
      </x:c>
    </x:row>
    <x:row r="47">
      <x:c r="A47" t="str">
        <x:v>SUG-20260521-034</x:v>
      </x:c>
      <x:c r="B47" t="n">
        <x:v>46163</x:v>
      </x:c>
      <x:c r="C47" t="str">
        <x:v>RUN-20260521-ANALYSIS</x:v>
      </x:c>
      <x:c r="D47" t="str">
        <x:v>VPV-LEBENSVERSICHERUNGS-AG</x:v>
      </x:c>
      <x:c r="E47" t="str">
        <x:v>monatlich</x:v>
      </x:c>
      <x:c r="F47" t="n">
        <x:v>11</x:v>
      </x:c>
      <x:c r="G47" t="n">
        <x:v>45839</x:v>
      </x:c>
      <x:c r="H47" t="n">
        <x:v>46147</x:v>
      </x:c>
      <x:c r="I47" t="n">
        <x:v>-56.83</x:v>
      </x:c>
      <x:c r="J47" t="n">
        <x:v>-56.83</x:v>
      </x:c>
      <x:c r="K47" t="n">
        <x:v>-56.83</x:v>
      </x:c>
      <x:c r="L47" t="n">
        <x:v>0</x:v>
      </x:c>
      <x:c r="M47" t="str">
        <x:v>Ausgabe</x:v>
      </x:c>
      <x:c r="N47" t="str">
        <x:v>KAT013</x:v>
      </x:c>
      <x:c r="O47"/>
      <x:c r="P47" t="str">
        <x:v>KTO001</x:v>
      </x:c>
      <x:c r="Q47" t="str">
        <x:v>VPV-LEBENSVERSICHERUNGS-AG</x:v>
      </x:c>
      <x:c r="R47" t="str">
        <x:v>DE78600501010001166338</x:v>
      </x:c>
      <x:c r="S47" t="str">
        <x:v>VNR 301667726</x:v>
      </x:c>
      <x:c r="T47" t="n">
        <x:v>0.82</x:v>
      </x:c>
      <x:c r="U47" t="str">
        <x:v>offen</x:v>
      </x:c>
      <x:c r="V47" t="str">
        <x:v>11 Treffer in 11 Monaten</x:v>
      </x:c>
      <x:c r="W47" t="str">
        <x:v>Analyse-Draft; keine Regelzahlung aktiviert</x:v>
      </x:c>
    </x:row>
    <x:row r="48">
      <x:c r="A48" t="str">
        <x:v>SUG-20260521-035</x:v>
      </x:c>
      <x:c r="B48" t="n">
        <x:v>46163</x:v>
      </x:c>
      <x:c r="C48" t="str">
        <x:v>RUN-20260521-ANALYSIS</x:v>
      </x:c>
      <x:c r="D48" t="str">
        <x:v>REWE.Salzgitter.Ge/Salzgitter</x:v>
      </x:c>
      <x:c r="E48" t="str">
        <x:v>monatlich</x:v>
      </x:c>
      <x:c r="F48" t="n">
        <x:v>3</x:v>
      </x:c>
      <x:c r="G48" t="n">
        <x:v>45635</x:v>
      </x:c>
      <x:c r="H48" t="n">
        <x:v>46154</x:v>
      </x:c>
      <x:c r="I48" t="n">
        <x:v>-55.25</x:v>
      </x:c>
      <x:c r="J48" t="n">
        <x:v>-55.28</x:v>
      </x:c>
      <x:c r="K48" t="n">
        <x:v>-54.55</x:v>
      </x:c>
      <x:c r="L48" t="n">
        <x:v>0.01</x:v>
      </x:c>
      <x:c r="M48" t="str">
        <x:v>Ausgabe</x:v>
      </x:c>
      <x:c r="N48" t="str">
        <x:v>KAT013</x:v>
      </x:c>
      <x:c r="O48"/>
      <x:c r="P48" t="str">
        <x:v>KTO001</x:v>
      </x:c>
      <x:c r="Q48" t="str">
        <x:v>REWE.Salzgitter.Ge/Salzgitter</x:v>
      </x:c>
      <x:c r="R48" t="str">
        <x:v>DE96120300009005290904</x:v>
      </x:c>
      <x:c r="S48" t="str">
        <x:v>VISA Debitkartenumsatz vom 07.12.2024</x:v>
      </x:c>
      <x:c r="T48" t="n">
        <x:v>0.82</x:v>
      </x:c>
      <x:c r="U48" t="str">
        <x:v>offen</x:v>
      </x:c>
      <x:c r="V48" t="str">
        <x:v>3 Treffer in 3 Monaten</x:v>
      </x:c>
      <x:c r="W48" t="str">
        <x:v>Analyse-Draft; keine Regelzahlung aktiviert</x:v>
      </x:c>
    </x:row>
    <x:row r="49">
      <x:c r="A49" t="str">
        <x:v>SUG-20260521-036</x:v>
      </x:c>
      <x:c r="B49" t="n">
        <x:v>46163</x:v>
      </x:c>
      <x:c r="C49" t="str">
        <x:v>RUN-20260521-ANALYSIS</x:v>
      </x:c>
      <x:c r="D49" t="str">
        <x:v>FUNKE Medien Nieders.GmbH</x:v>
      </x:c>
      <x:c r="E49" t="str">
        <x:v>monatlich</x:v>
      </x:c>
      <x:c r="F49" t="n">
        <x:v>8</x:v>
      </x:c>
      <x:c r="G49" t="n">
        <x:v>45294</x:v>
      </x:c>
      <x:c r="H49" t="n">
        <x:v>45506</x:v>
      </x:c>
      <x:c r="I49" t="n">
        <x:v>-54.5</x:v>
      </x:c>
      <x:c r="J49" t="n">
        <x:v>-54.5</x:v>
      </x:c>
      <x:c r="K49" t="n">
        <x:v>-54.5</x:v>
      </x:c>
      <x:c r="L49" t="n">
        <x:v>0</x:v>
      </x:c>
      <x:c r="M49" t="str">
        <x:v>Ausgabe</x:v>
      </x:c>
      <x:c r="N49" t="str">
        <x:v>KAT013</x:v>
      </x:c>
      <x:c r="O49"/>
      <x:c r="P49" t="str">
        <x:v>KTO001</x:v>
      </x:c>
      <x:c r="Q49" t="str">
        <x:v>FUNKE Medien Nieders.GmbH</x:v>
      </x:c>
      <x:c r="R49" t="str">
        <x:v>DE67250500000000146910</x:v>
      </x:c>
      <x:c r="S49" t="str">
        <x:v>SZ/00001050/VA/01.01.24-31.01.24/Rg-Nr.:6315240338/Kd-Nr:0053112791/Steuer:3.57</x:v>
      </x:c>
      <x:c r="T49" t="n">
        <x:v>0.82</x:v>
      </x:c>
      <x:c r="U49" t="str">
        <x:v>offen</x:v>
      </x:c>
      <x:c r="V49" t="str">
        <x:v>8 Treffer in 8 Monaten</x:v>
      </x:c>
      <x:c r="W49" t="str">
        <x:v>Analyse-Draft; keine Regelzahlung aktiviert</x:v>
      </x:c>
    </x:row>
    <x:row r="50">
      <x:c r="A50" t="str">
        <x:v>SUG-20260521-037</x:v>
      </x:c>
      <x:c r="B50" t="n">
        <x:v>46163</x:v>
      </x:c>
      <x:c r="C50" t="str">
        <x:v>RUN-20260521-ANALYSIS</x:v>
      </x:c>
      <x:c r="D50" t="str">
        <x:v>VPV-LEBENSVERSICHERUNGS-AG</x:v>
      </x:c>
      <x:c r="E50" t="str">
        <x:v>monatlich</x:v>
      </x:c>
      <x:c r="F50" t="n">
        <x:v>12</x:v>
      </x:c>
      <x:c r="G50" t="n">
        <x:v>45475</x:v>
      </x:c>
      <x:c r="H50" t="n">
        <x:v>45811</x:v>
      </x:c>
      <x:c r="I50" t="n">
        <x:v>-53.3</x:v>
      </x:c>
      <x:c r="J50" t="n">
        <x:v>-53.3</x:v>
      </x:c>
      <x:c r="K50" t="n">
        <x:v>-53.3</x:v>
      </x:c>
      <x:c r="L50" t="n">
        <x:v>0</x:v>
      </x:c>
      <x:c r="M50" t="str">
        <x:v>Ausgabe</x:v>
      </x:c>
      <x:c r="N50" t="str">
        <x:v>KAT013</x:v>
      </x:c>
      <x:c r="O50"/>
      <x:c r="P50" t="str">
        <x:v>KTO001</x:v>
      </x:c>
      <x:c r="Q50" t="str">
        <x:v>VPV-LEBENSVERSICHERUNGS-AG</x:v>
      </x:c>
      <x:c r="R50" t="str">
        <x:v>DE78600501010001166338</x:v>
      </x:c>
      <x:c r="S50" t="str">
        <x:v>VNR 301667726</x:v>
      </x:c>
      <x:c r="T50" t="n">
        <x:v>0.82</x:v>
      </x:c>
      <x:c r="U50" t="str">
        <x:v>offen</x:v>
      </x:c>
      <x:c r="V50" t="str">
        <x:v>12 Treffer in 12 Monaten</x:v>
      </x:c>
      <x:c r="W50" t="str">
        <x:v>Analyse-Draft; keine Regelzahlung aktiviert</x:v>
      </x:c>
    </x:row>
    <x:row r="51">
      <x:c r="A51" t="str">
        <x:v>SUG-20260521-038</x:v>
      </x:c>
      <x:c r="B51" t="n">
        <x:v>46163</x:v>
      </x:c>
      <x:c r="C51" t="str">
        <x:v>RUN-20260521-ANALYSIS</x:v>
      </x:c>
      <x:c r="D51" t="str">
        <x:v>VPV-LEBENSVERSICHERUNGS-AG</x:v>
      </x:c>
      <x:c r="E51" t="str">
        <x:v>monatlich</x:v>
      </x:c>
      <x:c r="F51" t="n">
        <x:v>6</x:v>
      </x:c>
      <x:c r="G51" t="n">
        <x:v>45294</x:v>
      </x:c>
      <x:c r="H51" t="n">
        <x:v>45447</x:v>
      </x:c>
      <x:c r="I51" t="n">
        <x:v>-51.54</x:v>
      </x:c>
      <x:c r="J51" t="n">
        <x:v>-51.54</x:v>
      </x:c>
      <x:c r="K51" t="n">
        <x:v>-51.54</x:v>
      </x:c>
      <x:c r="L51" t="n">
        <x:v>0</x:v>
      </x:c>
      <x:c r="M51" t="str">
        <x:v>Ausgabe</x:v>
      </x:c>
      <x:c r="N51" t="str">
        <x:v>KAT013</x:v>
      </x:c>
      <x:c r="O51"/>
      <x:c r="P51" t="str">
        <x:v>KTO001</x:v>
      </x:c>
      <x:c r="Q51" t="str">
        <x:v>VPV-LEBENSVERSICHERUNGS-AG</x:v>
      </x:c>
      <x:c r="R51" t="str">
        <x:v>DE78600501010001166338</x:v>
      </x:c>
      <x:c r="S51" t="str">
        <x:v>VNR 301667726</x:v>
      </x:c>
      <x:c r="T51" t="n">
        <x:v>0.82</x:v>
      </x:c>
      <x:c r="U51" t="str">
        <x:v>offen</x:v>
      </x:c>
      <x:c r="V51" t="str">
        <x:v>6 Treffer in 6 Monaten</x:v>
      </x:c>
      <x:c r="W51" t="str">
        <x:v>Analyse-Draft; keine Regelzahlung aktiviert</x:v>
      </x:c>
    </x:row>
    <x:row r="52">
      <x:c r="A52" t="str">
        <x:v>SUG-20260521-039</x:v>
      </x:c>
      <x:c r="B52" t="n">
        <x:v>46163</x:v>
      </x:c>
      <x:c r="C52" t="str">
        <x:v>RUN-20260521-ANALYSIS</x:v>
      </x:c>
      <x:c r="D52" t="str">
        <x:v>Iman Firat</x:v>
      </x:c>
      <x:c r="E52" t="str">
        <x:v>monatlich</x:v>
      </x:c>
      <x:c r="F52" t="n">
        <x:v>25</x:v>
      </x:c>
      <x:c r="G52" t="n">
        <x:v>45299</x:v>
      </x:c>
      <x:c r="H52" t="n">
        <x:v>46028</x:v>
      </x:c>
      <x:c r="I52" t="n">
        <x:v>-49.9</x:v>
      </x:c>
      <x:c r="J52" t="n">
        <x:v>-49.9</x:v>
      </x:c>
      <x:c r="K52" t="n">
        <x:v>-49.9</x:v>
      </x:c>
      <x:c r="L52" t="n">
        <x:v>0</x:v>
      </x:c>
      <x:c r="M52" t="str">
        <x:v>Ausgabe</x:v>
      </x:c>
      <x:c r="N52" t="str">
        <x:v>KAT013</x:v>
      </x:c>
      <x:c r="O52"/>
      <x:c r="P52" t="str">
        <x:v>KTO001</x:v>
      </x:c>
      <x:c r="Q52" t="str">
        <x:v>Iman Firat</x:v>
      </x:c>
      <x:c r="R52" t="str">
        <x:v>DE67269910662694298000</x:v>
      </x:c>
      <x:c r="S52" t="str">
        <x:v>2230 Lea Kohlenberg</x:v>
      </x:c>
      <x:c r="T52" t="n">
        <x:v>0.82</x:v>
      </x:c>
      <x:c r="U52" t="str">
        <x:v>offen</x:v>
      </x:c>
      <x:c r="V52" t="str">
        <x:v>25 Treffer in 25 Monaten</x:v>
      </x:c>
      <x:c r="W52" t="str">
        <x:v>Analyse-Draft; keine Regelzahlung aktiviert</x:v>
      </x:c>
    </x:row>
    <x:row r="53">
      <x:c r="A53" t="str">
        <x:v>SUG-20260521-040</x:v>
      </x:c>
      <x:c r="B53" t="n">
        <x:v>46163</x:v>
      </x:c>
      <x:c r="C53" t="str">
        <x:v>RUN-20260521-ANALYSIS</x:v>
      </x:c>
      <x:c r="D53" t="str">
        <x:v>TANZSCHULE KWIATKOWSKI GBR</x:v>
      </x:c>
      <x:c r="E53" t="str">
        <x:v>monatlich</x:v>
      </x:c>
      <x:c r="F53" t="n">
        <x:v>9</x:v>
      </x:c>
      <x:c r="G53" t="n">
        <x:v>45931</x:v>
      </x:c>
      <x:c r="H53" t="n">
        <x:v>46146</x:v>
      </x:c>
      <x:c r="I53" t="n">
        <x:v>-49</x:v>
      </x:c>
      <x:c r="J53" t="n">
        <x:v>-49</x:v>
      </x:c>
      <x:c r="K53" t="n">
        <x:v>-49</x:v>
      </x:c>
      <x:c r="L53" t="n">
        <x:v>0</x:v>
      </x:c>
      <x:c r="M53" t="str">
        <x:v>Ausgabe</x:v>
      </x:c>
      <x:c r="N53" t="str">
        <x:v>KAT013</x:v>
      </x:c>
      <x:c r="O53"/>
      <x:c r="P53" t="str">
        <x:v>KTO001</x:v>
      </x:c>
      <x:c r="Q53" t="str">
        <x:v>TANZSCHULE KWIATKOWSKI GBR</x:v>
      </x:c>
      <x:c r="R53" t="str">
        <x:v>DE61259501300096212535</x:v>
      </x:c>
      <x:c r="S53" t="str">
        <x:v>R-SB0000074090-A0000004560,SB2151 9-2025 - 10.2025,Jan Kohlenberg</x:v>
      </x:c>
      <x:c r="T53" t="n">
        <x:v>0.82</x:v>
      </x:c>
      <x:c r="U53" t="str">
        <x:v>offen</x:v>
      </x:c>
      <x:c r="V53" t="str">
        <x:v>9 Treffer in 7 Monaten</x:v>
      </x:c>
      <x:c r="W53" t="str">
        <x:v>Analyse-Draft; keine Regelzahlung aktiviert</x:v>
      </x:c>
    </x:row>
    <x:row r="54">
      <x:c r="A54" t="str">
        <x:v>SUG-20260521-041</x:v>
      </x:c>
      <x:c r="B54" t="n">
        <x:v>46163</x:v>
      </x:c>
      <x:c r="C54" t="str">
        <x:v>RUN-20260521-ANALYSIS</x:v>
      </x:c>
      <x:c r="D54" t="str">
        <x:v>REWE.Salzgitter.Ge/Salzgitter</x:v>
      </x:c>
      <x:c r="E54" t="str">
        <x:v>monatlich</x:v>
      </x:c>
      <x:c r="F54" t="n">
        <x:v>3</x:v>
      </x:c>
      <x:c r="G54" t="n">
        <x:v>45733</x:v>
      </x:c>
      <x:c r="H54" t="n">
        <x:v>45936</x:v>
      </x:c>
      <x:c r="I54" t="n">
        <x:v>-36.03</x:v>
      </x:c>
      <x:c r="J54" t="n">
        <x:v>-36.13</x:v>
      </x:c>
      <x:c r="K54" t="n">
        <x:v>-36.03</x:v>
      </x:c>
      <x:c r="L54" t="n">
        <x:v>0</x:v>
      </x:c>
      <x:c r="M54" t="str">
        <x:v>Ausgabe</x:v>
      </x:c>
      <x:c r="N54" t="str">
        <x:v>KAT013</x:v>
      </x:c>
      <x:c r="O54"/>
      <x:c r="P54" t="str">
        <x:v>KTO001</x:v>
      </x:c>
      <x:c r="Q54" t="str">
        <x:v>REWE.Salzgitter.Ge/Salzgitter</x:v>
      </x:c>
      <x:c r="R54" t="str">
        <x:v>DE96120300009005290904</x:v>
      </x:c>
      <x:c r="S54" t="str">
        <x:v>VISA Debitkartenumsatz vom 14.03.2025</x:v>
      </x:c>
      <x:c r="T54" t="n">
        <x:v>0.82</x:v>
      </x:c>
      <x:c r="U54" t="str">
        <x:v>offen</x:v>
      </x:c>
      <x:c r="V54" t="str">
        <x:v>3 Treffer in 3 Monaten</x:v>
      </x:c>
      <x:c r="W54" t="str">
        <x:v>Analyse-Draft; keine Regelzahlung aktiviert</x:v>
      </x:c>
    </x:row>
    <x:row r="55">
      <x:c r="A55" t="str">
        <x:v>SUG-20260521-042</x:v>
      </x:c>
      <x:c r="B55" t="n">
        <x:v>46163</x:v>
      </x:c>
      <x:c r="C55" t="str">
        <x:v>RUN-20260521-ANALYSIS</x:v>
      </x:c>
      <x:c r="D55" t="str">
        <x:v>REWE.Salzgitter.Ge/Salzgitter</x:v>
      </x:c>
      <x:c r="E55" t="str">
        <x:v>monatlich</x:v>
      </x:c>
      <x:c r="F55" t="n">
        <x:v>3</x:v>
      </x:c>
      <x:c r="G55" t="n">
        <x:v>45611</x:v>
      </x:c>
      <x:c r="H55" t="n">
        <x:v>45873</x:v>
      </x:c>
      <x:c r="I55" t="n">
        <x:v>-30.04</x:v>
      </x:c>
      <x:c r="J55" t="n">
        <x:v>-30.11</x:v>
      </x:c>
      <x:c r="K55" t="n">
        <x:v>-29.59</x:v>
      </x:c>
      <x:c r="L55" t="n">
        <x:v>0.02</x:v>
      </x:c>
      <x:c r="M55" t="str">
        <x:v>Ausgabe</x:v>
      </x:c>
      <x:c r="N55" t="str">
        <x:v>KAT013</x:v>
      </x:c>
      <x:c r="O55"/>
      <x:c r="P55" t="str">
        <x:v>KTO001</x:v>
      </x:c>
      <x:c r="Q55" t="str">
        <x:v>REWE.Salzgitter.Ge/Salzgitter</x:v>
      </x:c>
      <x:c r="R55" t="str">
        <x:v>DE96120300009005290904</x:v>
      </x:c>
      <x:c r="S55" t="str">
        <x:v>VISA Debitkartenumsatz vom 14.11.2024</x:v>
      </x:c>
      <x:c r="T55" t="n">
        <x:v>0.82</x:v>
      </x:c>
      <x:c r="U55" t="str">
        <x:v>offen</x:v>
      </x:c>
      <x:c r="V55" t="str">
        <x:v>3 Treffer in 3 Monaten</x:v>
      </x:c>
      <x:c r="W55" t="str">
        <x:v>Analyse-Draft; keine Regelzahlung aktiviert</x:v>
      </x:c>
    </x:row>
    <x:row r="56">
      <x:c r="A56" t="str">
        <x:v>SUG-20260521-043</x:v>
      </x:c>
      <x:c r="B56" t="n">
        <x:v>46163</x:v>
      </x:c>
      <x:c r="C56" t="str">
        <x:v>RUN-20260521-ANALYSIS</x:v>
      </x:c>
      <x:c r="D56" t="str">
        <x:v>PAYPAL..VRB/1743473445</x:v>
      </x:c>
      <x:c r="E56" t="str">
        <x:v>monatlich</x:v>
      </x:c>
      <x:c r="F56" t="n">
        <x:v>6</x:v>
      </x:c>
      <x:c r="G56" t="n">
        <x:v>45987</x:v>
      </x:c>
      <x:c r="H56" t="n">
        <x:v>46147</x:v>
      </x:c>
      <x:c r="I56" t="n">
        <x:v>-30</x:v>
      </x:c>
      <x:c r="J56" t="n">
        <x:v>-30</x:v>
      </x:c>
      <x:c r="K56" t="n">
        <x:v>-30</x:v>
      </x:c>
      <x:c r="L56" t="n">
        <x:v>0</x:v>
      </x:c>
      <x:c r="M56" t="str">
        <x:v>Ausgabe</x:v>
      </x:c>
      <x:c r="N56" t="str">
        <x:v>KAT013</x:v>
      </x:c>
      <x:c r="O56"/>
      <x:c r="P56" t="str">
        <x:v>KTO001</x:v>
      </x:c>
      <x:c r="Q56" t="str">
        <x:v>PAYPAL..VRB/1743473445</x:v>
      </x:c>
      <x:c r="R56" t="str">
        <x:v>DE96120300009005290904</x:v>
      </x:c>
      <x:c r="S56" t="str">
        <x:v>VISA Debitkartenumsatz vom 25.11.2025</x:v>
      </x:c>
      <x:c r="T56" t="n">
        <x:v>0.82</x:v>
      </x:c>
      <x:c r="U56" t="str">
        <x:v>offen</x:v>
      </x:c>
      <x:c r="V56" t="str">
        <x:v>6 Treffer in 6 Monaten</x:v>
      </x:c>
      <x:c r="W56" t="str">
        <x:v>Analyse-Draft; keine Regelzahlung aktiviert</x:v>
      </x:c>
    </x:row>
    <x:row r="57">
      <x:c r="A57" t="str">
        <x:v>SUG-20260521-044</x:v>
      </x:c>
      <x:c r="B57" t="n">
        <x:v>46163</x:v>
      </x:c>
      <x:c r="C57" t="str">
        <x:v>RUN-20260521-ANALYSIS</x:v>
      </x:c>
      <x:c r="D57" t="str">
        <x:v>PAYPAL..VRB/4029357733</x:v>
      </x:c>
      <x:c r="E57" t="str">
        <x:v>monatlich</x:v>
      </x:c>
      <x:c r="F57" t="n">
        <x:v>3</x:v>
      </x:c>
      <x:c r="G57" t="n">
        <x:v>45881</x:v>
      </x:c>
      <x:c r="H57" t="n">
        <x:v>45957</x:v>
      </x:c>
      <x:c r="I57" t="n">
        <x:v>-30</x:v>
      </x:c>
      <x:c r="J57" t="n">
        <x:v>-30</x:v>
      </x:c>
      <x:c r="K57" t="n">
        <x:v>-30</x:v>
      </x:c>
      <x:c r="L57" t="n">
        <x:v>0</x:v>
      </x:c>
      <x:c r="M57" t="str">
        <x:v>Ausgabe</x:v>
      </x:c>
      <x:c r="N57" t="str">
        <x:v>KAT013</x:v>
      </x:c>
      <x:c r="O57"/>
      <x:c r="P57" t="str">
        <x:v>KTO001</x:v>
      </x:c>
      <x:c r="Q57" t="str">
        <x:v>PAYPAL..VRB/4029357733</x:v>
      </x:c>
      <x:c r="R57" t="str">
        <x:v>DE96120300009005290904</x:v>
      </x:c>
      <x:c r="S57" t="str">
        <x:v>VISA Debitkartenumsatz vom 11.08.2025</x:v>
      </x:c>
      <x:c r="T57" t="n">
        <x:v>0.82</x:v>
      </x:c>
      <x:c r="U57" t="str">
        <x:v>offen</x:v>
      </x:c>
      <x:c r="V57" t="str">
        <x:v>3 Treffer in 3 Monaten</x:v>
      </x:c>
      <x:c r="W57" t="str">
        <x:v>Analyse-Draft; keine Regelzahlung aktiviert</x:v>
      </x:c>
    </x:row>
    <x:row r="58">
      <x:c r="A58" t="str">
        <x:v>SUG-20260521-045</x:v>
      </x:c>
      <x:c r="B58" t="n">
        <x:v>46163</x:v>
      </x:c>
      <x:c r="C58" t="str">
        <x:v>RUN-20260521-ANALYSIS</x:v>
      </x:c>
      <x:c r="D58" t="str">
        <x:v>REWE.Salzgitter.Ge/Salzgitter</x:v>
      </x:c>
      <x:c r="E58" t="str">
        <x:v>monatlich</x:v>
      </x:c>
      <x:c r="F58" t="n">
        <x:v>3</x:v>
      </x:c>
      <x:c r="G58" t="n">
        <x:v>45922</x:v>
      </x:c>
      <x:c r="H58" t="n">
        <x:v>46139</x:v>
      </x:c>
      <x:c r="I58" t="n">
        <x:v>-27.61</x:v>
      </x:c>
      <x:c r="J58" t="n">
        <x:v>-28.43</x:v>
      </x:c>
      <x:c r="K58" t="n">
        <x:v>-27.56</x:v>
      </x:c>
      <x:c r="L58" t="n">
        <x:v>0.03</x:v>
      </x:c>
      <x:c r="M58" t="str">
        <x:v>Ausgabe</x:v>
      </x:c>
      <x:c r="N58" t="str">
        <x:v>KAT013</x:v>
      </x:c>
      <x:c r="O58"/>
      <x:c r="P58" t="str">
        <x:v>KTO001</x:v>
      </x:c>
      <x:c r="Q58" t="str">
        <x:v>REWE.Salzgitter.Ge/Salzgitter</x:v>
      </x:c>
      <x:c r="R58" t="str">
        <x:v>DE96120300009005290904</x:v>
      </x:c>
      <x:c r="S58" t="str">
        <x:v>VISA Debitkartenumsatz vom 19.09.2025</x:v>
      </x:c>
      <x:c r="T58" t="n">
        <x:v>0.82</x:v>
      </x:c>
      <x:c r="U58" t="str">
        <x:v>offen</x:v>
      </x:c>
      <x:c r="V58" t="str">
        <x:v>3 Treffer in 3 Monaten</x:v>
      </x:c>
      <x:c r="W58" t="str">
        <x:v>Analyse-Draft; keine Regelzahlung aktiviert</x:v>
      </x:c>
    </x:row>
    <x:row r="59">
      <x:c r="A59" t="str">
        <x:v>SUG-20260521-046</x:v>
      </x:c>
      <x:c r="B59" t="n">
        <x:v>46163</x:v>
      </x:c>
      <x:c r="C59" t="str">
        <x:v>RUN-20260521-ANALYSIS</x:v>
      </x:c>
      <x:c r="D59" t="str">
        <x:v>REWE.Salzgitter.Ge/Salzgitter</x:v>
      </x:c>
      <x:c r="E59" t="str">
        <x:v>monatlich</x:v>
      </x:c>
      <x:c r="F59" t="n">
        <x:v>3</x:v>
      </x:c>
      <x:c r="G59" t="n">
        <x:v>45453</x:v>
      </x:c>
      <x:c r="H59" t="n">
        <x:v>46113</x:v>
      </x:c>
      <x:c r="I59" t="n">
        <x:v>-26.18</x:v>
      </x:c>
      <x:c r="J59" t="n">
        <x:v>-26.44</x:v>
      </x:c>
      <x:c r="K59" t="n">
        <x:v>-25.55</x:v>
      </x:c>
      <x:c r="L59" t="n">
        <x:v>0.03</x:v>
      </x:c>
      <x:c r="M59" t="str">
        <x:v>Ausgabe</x:v>
      </x:c>
      <x:c r="N59" t="str">
        <x:v>KAT013</x:v>
      </x:c>
      <x:c r="O59"/>
      <x:c r="P59" t="str">
        <x:v>KTO001</x:v>
      </x:c>
      <x:c r="Q59" t="str">
        <x:v>REWE.Salzgitter.Ge/Salzgitter</x:v>
      </x:c>
      <x:c r="R59" t="str">
        <x:v>DE96120300009005290904</x:v>
      </x:c>
      <x:c r="S59" t="str">
        <x:v>VISA Debitkartenumsatz vom 07.06.2024</x:v>
      </x:c>
      <x:c r="T59" t="n">
        <x:v>0.82</x:v>
      </x:c>
      <x:c r="U59" t="str">
        <x:v>offen</x:v>
      </x:c>
      <x:c r="V59" t="str">
        <x:v>3 Treffer in 3 Monaten</x:v>
      </x:c>
      <x:c r="W59" t="str">
        <x:v>Analyse-Draft; keine Regelzahlung aktiviert</x:v>
      </x:c>
    </x:row>
    <x:row r="60">
      <x:c r="A60" t="str">
        <x:v>SUG-20260521-047</x:v>
      </x:c>
      <x:c r="B60" t="n">
        <x:v>46163</x:v>
      </x:c>
      <x:c r="C60" t="str">
        <x:v>RUN-20260521-ANALYSIS</x:v>
      </x:c>
      <x:c r="D60" t="str">
        <x:v>1+1 Mail + Media GmbH Elgendorfer Str. 57, 56410 Montabaur</x:v>
      </x:c>
      <x:c r="E60" t="str">
        <x:v>monatlich</x:v>
      </x:c>
      <x:c r="F60" t="n">
        <x:v>4</x:v>
      </x:c>
      <x:c r="G60" t="n">
        <x:v>45433</x:v>
      </x:c>
      <x:c r="H60" t="n">
        <x:v>45980</x:v>
      </x:c>
      <x:c r="I60" t="n">
        <x:v>-23.94</x:v>
      </x:c>
      <x:c r="J60" t="n">
        <x:v>-23.94</x:v>
      </x:c>
      <x:c r="K60" t="n">
        <x:v>-23.94</x:v>
      </x:c>
      <x:c r="L60" t="n">
        <x:v>0</x:v>
      </x:c>
      <x:c r="M60" t="str">
        <x:v>Ausgabe</x:v>
      </x:c>
      <x:c r="N60" t="str">
        <x:v>KAT013</x:v>
      </x:c>
      <x:c r="O60"/>
      <x:c r="P60" t="str">
        <x:v>KTO001</x:v>
      </x:c>
      <x:c r="Q60" t="str">
        <x:v>1+1 Mail + Media GmbH Elgendorfer Str. 57, 56410 Montabaur</x:v>
      </x:c>
      <x:c r="R60" t="str">
        <x:v>DE76700800000881679702</x:v>
      </x:c>
      <x:c r="S60" t="str">
        <x:v>GMX / WEB.DE / KD-Nr. K7440512/ RG-Nr. 201537448745</x:v>
      </x:c>
      <x:c r="T60" t="n">
        <x:v>0.82</x:v>
      </x:c>
      <x:c r="U60" t="str">
        <x:v>offen</x:v>
      </x:c>
      <x:c r="V60" t="str">
        <x:v>4 Treffer in 4 Monaten</x:v>
      </x:c>
      <x:c r="W60" t="str">
        <x:v>Analyse-Draft; keine Regelzahlung aktiviert</x:v>
      </x:c>
    </x:row>
    <x:row r="61">
      <x:c r="A61" t="str">
        <x:v>SUG-20260521-048</x:v>
      </x:c>
      <x:c r="B61" t="n">
        <x:v>46163</x:v>
      </x:c>
      <x:c r="C61" t="str">
        <x:v>RUN-20260521-ANALYSIS</x:v>
      </x:c>
      <x:c r="D61" t="str">
        <x:v>VHV Allg. Versicherung AG</x:v>
      </x:c>
      <x:c r="E61" t="str">
        <x:v>monatlich</x:v>
      </x:c>
      <x:c r="F61" t="n">
        <x:v>8</x:v>
      </x:c>
      <x:c r="G61" t="n">
        <x:v>45385</x:v>
      </x:c>
      <x:c r="H61" t="n">
        <x:v>46036</x:v>
      </x:c>
      <x:c r="I61" t="n">
        <x:v>-23.63</x:v>
      </x:c>
      <x:c r="J61" t="n">
        <x:v>-23.63</x:v>
      </x:c>
      <x:c r="K61" t="n">
        <x:v>-23.63</x:v>
      </x:c>
      <x:c r="L61" t="n">
        <x:v>0</x:v>
      </x:c>
      <x:c r="M61" t="str">
        <x:v>Ausgabe</x:v>
      </x:c>
      <x:c r="N61" t="str">
        <x:v>KAT013</x:v>
      </x:c>
      <x:c r="O61"/>
      <x:c r="P61" t="str">
        <x:v>KTO001</x:v>
      </x:c>
      <x:c r="Q61" t="str">
        <x:v>VHV Allg. Versicherung AG</x:v>
      </x:c>
      <x:c r="R61" t="str">
        <x:v>DE65250500000101411551</x:v>
      </x:c>
      <x:c r="S61" t="str">
        <x:v>VHV Versicherung HAFTPFLICHTVERSICHERUNG H 306-298548/0000 Abrechnung: 01.04.24 - 01.07.24</x:v>
      </x:c>
      <x:c r="T61" t="n">
        <x:v>0.82</x:v>
      </x:c>
      <x:c r="U61" t="str">
        <x:v>offen</x:v>
      </x:c>
      <x:c r="V61" t="str">
        <x:v>8 Treffer in 8 Monaten</x:v>
      </x:c>
      <x:c r="W61" t="str">
        <x:v>Analyse-Draft; keine Regelzahlung aktiviert</x:v>
      </x:c>
    </x:row>
    <x:row r="62">
      <x:c r="A62" t="str">
        <x:v>SUG-20260521-049</x:v>
      </x:c>
      <x:c r="B62" t="n">
        <x:v>46163</x:v>
      </x:c>
      <x:c r="C62" t="str">
        <x:v>RUN-20260521-ANALYSIS</x:v>
      </x:c>
      <x:c r="D62" t="str">
        <x:v>CLAUDE.AI.SUBSCRIPTION/ANTHROPIC.COM</x:v>
      </x:c>
      <x:c r="E62" t="str">
        <x:v>monatlich</x:v>
      </x:c>
      <x:c r="F62" t="n">
        <x:v>3</x:v>
      </x:c>
      <x:c r="G62" t="n">
        <x:v>46070</x:v>
      </x:c>
      <x:c r="H62" t="n">
        <x:v>46129</x:v>
      </x:c>
      <x:c r="I62" t="n">
        <x:v>-21.42</x:v>
      </x:c>
      <x:c r="J62" t="n">
        <x:v>-21.42</x:v>
      </x:c>
      <x:c r="K62" t="n">
        <x:v>-21.42</x:v>
      </x:c>
      <x:c r="L62" t="n">
        <x:v>0</x:v>
      </x:c>
      <x:c r="M62" t="str">
        <x:v>Ausgabe</x:v>
      </x:c>
      <x:c r="N62" t="str">
        <x:v>KAT013</x:v>
      </x:c>
      <x:c r="O62"/>
      <x:c r="P62" t="str">
        <x:v>KTO001</x:v>
      </x:c>
      <x:c r="Q62" t="str">
        <x:v>CLAUDE.AI.SUBSCRIPTION/ANTHROPIC.COM</x:v>
      </x:c>
      <x:c r="R62" t="str">
        <x:v>DE96120300009005290904</x:v>
      </x:c>
      <x:c r="S62" t="str">
        <x:v>VISA Debitkartenumsatz vom 16.02.2026</x:v>
      </x:c>
      <x:c r="T62" t="n">
        <x:v>0.82</x:v>
      </x:c>
      <x:c r="U62" t="str">
        <x:v>offen</x:v>
      </x:c>
      <x:c r="V62" t="str">
        <x:v>3 Treffer in 3 Monaten</x:v>
      </x:c>
      <x:c r="W62" t="str">
        <x:v>Analyse-Draft; keine Regelzahlung aktiviert</x:v>
      </x:c>
    </x:row>
    <x:row r="63">
      <x:c r="A63" t="str">
        <x:v>SUG-20260521-050</x:v>
      </x:c>
      <x:c r="B63" t="n">
        <x:v>46163</x:v>
      </x:c>
      <x:c r="C63" t="str">
        <x:v>RUN-20260521-ANALYSIS</x:v>
      </x:c>
      <x:c r="D63" t="str">
        <x:v>BOSPORUS.GRILL/SALZGITTER</x:v>
      </x:c>
      <x:c r="E63" t="str">
        <x:v>monatlich</x:v>
      </x:c>
      <x:c r="F63" t="n">
        <x:v>7</x:v>
      </x:c>
      <x:c r="G63" t="n">
        <x:v>45567</x:v>
      </x:c>
      <x:c r="H63" t="n">
        <x:v>46126</x:v>
      </x:c>
      <x:c r="I63" t="n">
        <x:v>-21</x:v>
      </x:c>
      <x:c r="J63" t="n">
        <x:v>-21</x:v>
      </x:c>
      <x:c r="K63" t="n">
        <x:v>-21</x:v>
      </x:c>
      <x:c r="L63" t="n">
        <x:v>0</x:v>
      </x:c>
      <x:c r="M63" t="str">
        <x:v>Ausgabe</x:v>
      </x:c>
      <x:c r="N63" t="str">
        <x:v>KAT013</x:v>
      </x:c>
      <x:c r="O63"/>
      <x:c r="P63" t="str">
        <x:v>KTO001</x:v>
      </x:c>
      <x:c r="Q63" t="str">
        <x:v>BOSPORUS.GRILL/SALZGITTER</x:v>
      </x:c>
      <x:c r="R63" t="str">
        <x:v>DE96120300009005290904</x:v>
      </x:c>
      <x:c r="S63" t="str">
        <x:v>VISA Debitkartenumsatz vom 01.10.2024</x:v>
      </x:c>
      <x:c r="T63" t="n">
        <x:v>0.82</x:v>
      </x:c>
      <x:c r="U63" t="str">
        <x:v>offen</x:v>
      </x:c>
      <x:c r="V63" t="str">
        <x:v>7 Treffer in 6 Monaten</x:v>
      </x:c>
      <x:c r="W63" t="str">
        <x:v>Analyse-Draft; keine Regelzahlung aktiviert</x:v>
      </x:c>
    </x:row>
  </x:sheetData>
  <x:mergeCells>
    <x:mergeCell ref="A1:H1"/>
    <x:mergeCell ref="A4:AA4"/>
    <x:mergeCell ref="A5:AA5"/>
    <x:mergeCell ref="A10:W10"/>
    <x:mergeCell ref="A11:W11"/>
  </x:mergeCells>
  <x:dataValidations count="2">
    <x:dataValidation type="list" allowBlank="1" showDropDown="0" sqref="Y7:Y57">
      <x:formula1>"offen,angenommen,abgelehnt,zurueckgestellt,erledigt,verworfen"</x:formula1>
    </x:dataValidation>
    <x:dataValidation type="list" allowBlank="1" showDropDown="0" sqref="U13:U63">
      <x:formula1>"offen,angenommen,abgelehnt,zurueckgestellt,erledigt,verworfen"</x:formula1>
    </x:dataValidation>
  </x:dataValidations>
  <x:pageMargins left="0.7" right="0.7" top="0.75" bottom="0.75" header="0.3" footer="0.3"/>
  <x:tableParts count="2">
    <x:tablePart xmlns:r="http://schemas.openxmlformats.org/officeDocument/2006/relationships" r:id="R6d4aaa10300347c0"/>
    <x:tablePart xmlns:r="http://schemas.openxmlformats.org/officeDocument/2006/relationships" r:id="R683f20a3660945b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4.109999656677246" hidden="0" customWidth="1"/>
    <x:col min="5" max="5" width="12.880000114440918" hidden="0" customWidth="1"/>
    <x:col min="6" max="6" width="14.109999656677246" hidden="0" customWidth="1"/>
    <x:col min="7" max="7" width="14.109999656677246" hidden="0" customWidth="1"/>
    <x:col min="8" max="8" width="27.610000610351562" hidden="0" customWidth="1"/>
  </x:cols>
  <x:sheetData>
    <x:row r="1" ht="25.5" customHeight="1">
      <x:c r="A1" s="28" t="str">
        <x:v>20_Vermoegen</x:v>
      </x:c>
      <x:c r="B1" s="28"/>
      <x:c r="C1" s="28"/>
      <x:c r="D1" s="28"/>
      <x:c r="E1" s="28"/>
      <x:c r="F1" s="28"/>
      <x:c r="G1" s="28"/>
      <x:c r="H1" s="28"/>
    </x:row>
    <x:row r="2" ht="61.5" customHeight="1">
      <x:c r="A2" s="48" t="str">
        <x:v>Zweck</x:v>
      </x:c>
      <x:c r="B2" s="43" t="str">
        <x:v>Einfache Sicht auf Vermoegensbestand; V1 oh...</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Vermoegen Sicht</x:v>
      </x:c>
      <x:c r="B4" s="54"/>
      <x:c r="C4" s="54"/>
      <x:c r="D4" s="54"/>
      <x:c r="E4" s="54"/>
      <x:c r="F4" s="54"/>
      <x:c r="G4" s="54"/>
      <x:c r="H4" s="54"/>
    </x:row>
    <x:row r="5">
      <x:c r="A5" s="56" t="str">
        <x:v>PK: Position_ID | Update: formel_ab_task3 | ID: VMG</x:v>
      </x:c>
      <x:c r="B5" s="56"/>
      <x:c r="C5" s="56"/>
      <x:c r="D5" s="56"/>
      <x:c r="E5" s="56"/>
      <x:c r="F5" s="56"/>
      <x:c r="G5" s="56"/>
      <x:c r="H5" s="56"/>
    </x:row>
    <x:row r="6" ht="25.5" customHeight="1">
      <x:c r="A6" s="21" t="str">
        <x:v>Position_ID</x:v>
      </x:c>
      <x:c r="B6" s="21" t="str">
        <x:v>Name</x:v>
      </x:c>
      <x:c r="C6" s="21" t="str">
        <x:v>Kategorie</x:v>
      </x:c>
      <x:c r="D6" s="21" t="str">
        <x:v>Wert</x:v>
      </x:c>
      <x:c r="E6" s="21" t="str">
        <x:v>Einheit</x:v>
      </x:c>
      <x:c r="F6" s="21" t="str">
        <x:v>Quelle_ID</x:v>
      </x:c>
      <x:c r="G6" s="21" t="str">
        <x:v>Status</x:v>
      </x:c>
      <x:c r="H6" s="21" t="str">
        <x:v>Kommentar</x:v>
      </x:c>
    </x:row>
    <x:row r="7">
      <x:c r="A7" s="18" t="str">
        <x:v>VMG001</x:v>
      </x:c>
      <x:c r="B7" s="18" t="str">
        <x:v>Liquide Mittel Zielstelle</x:v>
      </x:c>
      <x:c r="C7" s="18" t="str">
        <x:v>Liquiditaet</x:v>
      </x:c>
      <x:c r="D7" s="66" t="str">
        <x:v>nicht_berechnet</x:v>
      </x:c>
      <x:c r="E7" s="18" t="str">
        <x:v>EUR</x:v>
      </x:c>
      <x:c r="F7" s="18" t="str">
        <x:v>SRC-20260518-001</x:v>
      </x:c>
      <x:c r="G7" s="18" t="str">
        <x:v>offen</x:v>
      </x:c>
      <x:c r="H7" s="18" t="str">
        <x:v>Wert wird in Task 3 aus Konten/Formeln hergeleitet</x:v>
      </x:c>
    </x:row>
    <x:row r="8">
      <x:c r="D8" s="67"/>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5da62c980015475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4.109999656677246" hidden="0" customWidth="1"/>
    <x:col min="5" max="5" width="12.880000114440918" hidden="0" customWidth="1"/>
    <x:col min="6" max="6" width="12.880000114440918" hidden="0" customWidth="1"/>
    <x:col min="7" max="7" width="14.109999656677246" hidden="0" customWidth="1"/>
    <x:col min="8" max="8" width="27.610000610351562" hidden="0" customWidth="1"/>
  </x:cols>
  <x:sheetData>
    <x:row r="1" ht="25.5" customHeight="1">
      <x:c r="A1" s="28" t="str">
        <x:v>30_Cashflow</x:v>
      </x:c>
      <x:c r="B1" s="28"/>
      <x:c r="C1" s="28"/>
      <x:c r="D1" s="28"/>
      <x:c r="E1" s="28"/>
      <x:c r="F1" s="28"/>
      <x:c r="G1" s="28"/>
      <x:c r="H1" s="28"/>
    </x:row>
    <x:row r="2" ht="61.5" customHeight="1">
      <x:c r="A2" s="48" t="str">
        <x:v>Zweck</x:v>
      </x:c>
      <x:c r="B2" s="43" t="str">
        <x:v>Zielstellen fuer Cashflow-Ist und Erwartung...</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Cashflow</x:v>
      </x:c>
      <x:c r="B4" s="54"/>
      <x:c r="C4" s="54"/>
      <x:c r="D4" s="54"/>
      <x:c r="E4" s="54"/>
      <x:c r="F4" s="54"/>
      <x:c r="G4" s="54"/>
      <x:c r="H4" s="54"/>
    </x:row>
    <x:row r="5">
      <x:c r="A5" s="56" t="str">
        <x:v>PK: Kennzahl_ID | Update: formel_ab_task3 | ID: CF</x:v>
      </x:c>
      <x:c r="B5" s="56"/>
      <x:c r="C5" s="56"/>
      <x:c r="D5" s="56"/>
      <x:c r="E5" s="56"/>
      <x:c r="F5" s="56"/>
      <x:c r="G5" s="56"/>
      <x:c r="H5" s="56"/>
    </x:row>
    <x:row r="6" ht="25.5" customHeight="1">
      <x:c r="A6" s="21" t="str">
        <x:v>Kennzahl_ID</x:v>
      </x:c>
      <x:c r="B6" s="21" t="str">
        <x:v>Kennzahl</x:v>
      </x:c>
      <x:c r="C6" s="21" t="str">
        <x:v>Monat</x:v>
      </x:c>
      <x:c r="D6" s="21" t="str">
        <x:v>Wert</x:v>
      </x:c>
      <x:c r="E6" s="21" t="str">
        <x:v>Einheit</x:v>
      </x:c>
      <x:c r="F6" s="21" t="str">
        <x:v>Datenbasis</x:v>
      </x:c>
      <x:c r="G6" s="21" t="str">
        <x:v>Status</x:v>
      </x:c>
      <x:c r="H6" s="21" t="str">
        <x:v>Kommentar</x:v>
      </x:c>
    </x:row>
    <x:row r="7">
      <x:c r="A7" s="18" t="str">
        <x:v>CF001</x:v>
      </x:c>
      <x:c r="B7" s="18" t="str">
        <x:v>Cashflow_Monat_ist</x:v>
      </x:c>
      <x:c r="C7" s="57" t="str">
        <x:v>2026-05</x:v>
      </x:c>
      <x:c r="D7" s="66" t="str">
        <x:v>nicht_berechnet</x:v>
      </x:c>
      <x:c r="E7" s="18" t="str">
        <x:v>EUR</x:v>
      </x:c>
      <x:c r="F7" s="18" t="str">
        <x:v>Umsaetze Modell</x:v>
      </x:c>
      <x:c r="G7" s="18" t="str">
        <x:v>offen</x:v>
      </x:c>
      <x:c r="H7" s="18" t="str">
        <x:v>Task 3 berechnet diesen Wert</x:v>
      </x:c>
    </x:row>
    <x:row r="8">
      <x:c r="A8" s="18" t="str">
        <x:v>CF002</x:v>
      </x:c>
      <x:c r="B8" s="18" t="str">
        <x:v>Cashflow_Monat_erwartet</x:v>
      </x:c>
      <x:c r="C8" s="57" t="str">
        <x:v>2026-05</x:v>
      </x:c>
      <x:c r="D8" s="66" t="str">
        <x:v>nicht_berechnet</x:v>
      </x:c>
      <x:c r="E8" s="18" t="str">
        <x:v>EUR</x:v>
      </x:c>
      <x:c r="F8" s="18" t="str">
        <x:v>Regelzahlungen + Annahmen</x:v>
      </x:c>
      <x:c r="G8" s="18" t="str">
        <x:v>offen</x:v>
      </x:c>
      <x:c r="H8" s="18" t="str">
        <x:v>Task 3 berechnet diesen Wert</x:v>
      </x:c>
    </x:row>
    <x:row r="9">
      <x:c r="A9" s="18" t="str">
        <x:v>CF003</x:v>
      </x:c>
      <x:c r="B9" s="18" t="str">
        <x:v>Anteil Sonstiges / zu pruefen</x:v>
      </x:c>
      <x:c r="C9" s="57" t="str">
        <x:v>2026-05</x:v>
      </x:c>
      <x:c r="D9" s="66" t="str">
        <x:v>nicht_berechnet</x:v>
      </x:c>
      <x:c r="E9" s="18" t="str">
        <x:v>%</x:v>
      </x:c>
      <x:c r="F9" s="18" t="str">
        <x:v>KAT013</x:v>
      </x:c>
      <x:c r="G9" s="18" t="str">
        <x:v>offen</x:v>
      </x:c>
      <x:c r="H9" s="18" t="str">
        <x:v>Task 3 berechnet diesen Wert</x:v>
      </x:c>
    </x:row>
    <x:row r="10">
      <x:c r="C10" s="58"/>
      <x:c r="D10" s="67"/>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3e2bc3453ea44bf9"/>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2.880000114440918" hidden="0" customWidth="1"/>
    <x:col min="6" max="6" width="12.880000114440918" hidden="0" customWidth="1"/>
    <x:col min="7" max="7" width="27.610000610351562" hidden="0" customWidth="1"/>
  </x:cols>
  <x:sheetData>
    <x:row r="1" ht="25.5" customHeight="1">
      <x:c r="A1" s="28" t="str">
        <x:v>40_Szenarien</x:v>
      </x:c>
      <x:c r="B1" s="28"/>
      <x:c r="C1" s="28"/>
      <x:c r="D1" s="28"/>
      <x:c r="E1" s="28"/>
      <x:c r="F1" s="28"/>
      <x:c r="G1" s="28"/>
      <x:c r="H1" s="28"/>
    </x:row>
    <x:row r="2" ht="61.5" customHeight="1">
      <x:c r="A2" s="48" t="str">
        <x:v>Zweck</x:v>
      </x:c>
      <x:c r="B2" s="43" t="str">
        <x:v>Aktives Standardszenario und vorbereitete K...</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Szenarien</x:v>
      </x:c>
      <x:c r="B4" s="54"/>
      <x:c r="C4" s="54"/>
      <x:c r="D4" s="54"/>
      <x:c r="E4" s="54"/>
      <x:c r="F4" s="54"/>
      <x:c r="G4" s="54"/>
    </x:row>
    <x:row r="5">
      <x:c r="A5" s="56" t="str">
        <x:v>PK: Szenario_ID | Update: manuell | ID: S</x:v>
      </x:c>
      <x:c r="B5" s="56"/>
      <x:c r="C5" s="56"/>
      <x:c r="D5" s="56"/>
      <x:c r="E5" s="56"/>
      <x:c r="F5" s="56"/>
      <x:c r="G5" s="56"/>
    </x:row>
    <x:row r="6" ht="25.5" customHeight="1">
      <x:c r="A6" s="21" t="str">
        <x:v>Szenario_ID</x:v>
      </x:c>
      <x:c r="B6" s="21" t="str">
        <x:v>Name</x:v>
      </x:c>
      <x:c r="C6" s="21" t="str">
        <x:v>Status</x:v>
      </x:c>
      <x:c r="D6" s="21" t="str">
        <x:v>Startdatum</x:v>
      </x:c>
      <x:c r="E6" s="21" t="str">
        <x:v>Enddatum</x:v>
      </x:c>
      <x:c r="F6" s="21" t="str">
        <x:v>Datenstatus</x:v>
      </x:c>
      <x:c r="G6" s="21" t="str">
        <x:v>Kommentar</x:v>
      </x:c>
    </x:row>
    <x:row r="7">
      <x:c r="A7" s="18" t="str">
        <x:v>S01</x:v>
      </x:c>
      <x:c r="B7" s="18" t="str">
        <x:v>Standard</x:v>
      </x:c>
      <x:c r="C7" s="18" t="str">
        <x:v>aktiv</x:v>
      </x:c>
      <x:c r="D7" s="57" t="n">
        <x:v>46143</x:v>
      </x:c>
      <x:c r="E7" s="57" t="n">
        <x:v>46507</x:v>
      </x:c>
      <x:c r="F7" s="18" t="str">
        <x:v>belegt</x:v>
      </x:c>
      <x:c r="G7" s="18" t="str">
        <x:v>Aktives Standardszenario fuer V1</x:v>
      </x:c>
    </x:row>
    <x:row r="8">
      <x:c r="A8" s="18" t="str">
        <x:v>S02</x:v>
      </x:c>
      <x:c r="B8" s="18" t="str">
        <x:v>Konservativ</x:v>
      </x:c>
      <x:c r="C8" s="18" t="str">
        <x:v>vorbereitet</x:v>
      </x:c>
      <x:c r="D8" s="57" t="str"/>
      <x:c r="E8" s="57" t="str"/>
      <x:c r="F8" s="18" t="str">
        <x:v>offen</x:v>
      </x:c>
      <x:c r="G8" s="18" t="str">
        <x:v>Sichtbarer Platzhalter</x:v>
      </x:c>
    </x:row>
    <x:row r="9">
      <x:c r="A9" s="18" t="str">
        <x:v>S03</x:v>
      </x:c>
      <x:c r="B9" s="18" t="str">
        <x:v>Stressfall</x:v>
      </x:c>
      <x:c r="C9" s="18" t="str">
        <x:v>vorbereitet</x:v>
      </x:c>
      <x:c r="D9" s="57" t="str"/>
      <x:c r="E9" s="57" t="str"/>
      <x:c r="F9" s="18" t="str">
        <x:v>offen</x:v>
      </x:c>
      <x:c r="G9" s="18" t="str">
        <x:v>Sichtbarer Platzhalter</x:v>
      </x:c>
    </x:row>
    <x:row r="10">
      <x:c r="D10" s="58"/>
      <x:c r="E10" s="58"/>
    </x:row>
  </x:sheetData>
  <x:mergeCells>
    <x:mergeCell ref="A1:H1"/>
    <x:mergeCell ref="A4:G4"/>
    <x:mergeCell ref="A5:G5"/>
  </x:mergeCells>
  <x:dataValidations count="2">
    <x:dataValidation type="list" allowBlank="1" showDropDown="0" sqref="C7:C57">
      <x:formula1>"offen,belegt,geprueft,geschaetzt,inaktiv"</x:formula1>
    </x:dataValidation>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14bcdb5320874b95"/>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2.880000114440918" hidden="0" customWidth="1"/>
    <x:col min="6" max="6" width="14.109999656677246" hidden="0" customWidth="1"/>
    <x:col min="7" max="7" width="14.109999656677246" hidden="0" customWidth="1"/>
    <x:col min="8" max="8" width="27.610000610351562" hidden="0" customWidth="1"/>
  </x:cols>
  <x:sheetData>
    <x:row r="1" ht="25.5" customHeight="1">
      <x:c r="A1" s="28" t="str">
        <x:v>41_Ereignisse</x:v>
      </x:c>
      <x:c r="B1" s="28"/>
      <x:c r="C1" s="28"/>
      <x:c r="D1" s="28"/>
      <x:c r="E1" s="28"/>
      <x:c r="F1" s="28"/>
      <x:c r="G1" s="28"/>
      <x:c r="H1" s="28"/>
    </x:row>
    <x:row r="2" ht="61.5" customHeight="1">
      <x:c r="A2" s="48" t="str">
        <x:v>Zweck</x:v>
      </x:c>
      <x:c r="B2" s="43" t="str">
        <x:v>Ereignisse, Erwerbsstatus und Sozialleistun...</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Ereignisse Platzhalter</x:v>
      </x:c>
      <x:c r="B4" s="54"/>
      <x:c r="C4" s="54"/>
      <x:c r="D4" s="54"/>
      <x:c r="E4" s="54"/>
      <x:c r="F4" s="54"/>
      <x:c r="G4" s="54"/>
      <x:c r="H4" s="54"/>
    </x:row>
    <x:row r="5">
      <x:c r="A5" s="56" t="str">
        <x:v>PK: Ereignis_ID | Update: manuell | ID: EVT</x:v>
      </x:c>
      <x:c r="B5" s="56"/>
      <x:c r="C5" s="56"/>
      <x:c r="D5" s="56"/>
      <x:c r="E5" s="56"/>
      <x:c r="F5" s="56"/>
      <x:c r="G5" s="56"/>
      <x:c r="H5" s="56"/>
    </x:row>
    <x:row r="6" ht="25.5" customHeight="1">
      <x:c r="A6" s="21" t="str">
        <x:v>Ereignis_ID</x:v>
      </x:c>
      <x:c r="B6" s="21" t="str">
        <x:v>Name</x:v>
      </x:c>
      <x:c r="C6" s="21" t="str">
        <x:v>Typ</x:v>
      </x:c>
      <x:c r="D6" s="21" t="str">
        <x:v>Startdatum</x:v>
      </x:c>
      <x:c r="E6" s="21" t="str">
        <x:v>Enddatum</x:v>
      </x:c>
      <x:c r="F6" s="21" t="str">
        <x:v>Szenario_ID</x:v>
      </x:c>
      <x:c r="G6" s="21" t="str">
        <x:v>Status</x:v>
      </x:c>
      <x:c r="H6" s="21" t="str">
        <x:v>Kommentar</x:v>
      </x:c>
    </x:row>
    <x:row r="7">
      <x:c r="A7" s="18" t="str">
        <x:v>EVT001</x:v>
      </x:c>
      <x:c r="B7" s="18" t="str">
        <x:v>Erwerbsstatus offen</x:v>
      </x:c>
      <x:c r="C7" s="18" t="str">
        <x:v>Platzhalter</x:v>
      </x:c>
      <x:c r="D7" s="57" t="str"/>
      <x:c r="E7" s="57" t="str"/>
      <x:c r="F7" s="18" t="str">
        <x:v>S01</x:v>
      </x:c>
      <x:c r="G7" s="18" t="str">
        <x:v>offen</x:v>
      </x:c>
      <x:c r="H7" s="18" t="str">
        <x:v>Keine V1-Wirkung</x:v>
      </x:c>
    </x:row>
    <x:row r="8">
      <x:c r="D8" s="58"/>
      <x:c r="E8" s="5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fcb2e3f30dc748ca"/>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4.109999656677246" hidden="0" customWidth="1"/>
    <x:col min="5" max="5" width="12.880000114440918" hidden="0" customWidth="1"/>
    <x:col min="6" max="6" width="12.880000114440918" hidden="0" customWidth="1"/>
    <x:col min="7" max="7" width="13.5" hidden="0" customWidth="1"/>
    <x:col min="8" max="8" width="14.109999656677246" hidden="0" customWidth="1"/>
    <x:col min="9" max="9" width="14.109999656677246" hidden="0" customWidth="1"/>
    <x:col min="10" max="10" width="14.109999656677246" hidden="0" customWidth="1"/>
    <x:col min="11" max="11" width="14.109999656677246" hidden="0" customWidth="1"/>
    <x:col min="12" max="12" width="27.610000610351562" hidden="0" customWidth="1"/>
  </x:cols>
  <x:sheetData>
    <x:row r="1" ht="25.5" customHeight="1">
      <x:c r="A1" s="28" t="str">
        <x:v>42_Annahmen</x:v>
      </x:c>
      <x:c r="B1" s="28"/>
      <x:c r="C1" s="28"/>
      <x:c r="D1" s="28"/>
      <x:c r="E1" s="28"/>
      <x:c r="F1" s="28"/>
      <x:c r="G1" s="28"/>
      <x:c r="H1" s="28"/>
    </x:row>
    <x:row r="2" ht="61.5" customHeight="1">
      <x:c r="A2" s="48" t="str">
        <x:v>Zweck</x:v>
      </x:c>
      <x:c r="B2" s="43" t="str">
        <x:v>Modellannahmen mit Status, Quelle und Guelt...</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Annahmen</x:v>
      </x:c>
      <x:c r="B4" s="54"/>
      <x:c r="C4" s="54"/>
      <x:c r="D4" s="54"/>
      <x:c r="E4" s="54"/>
      <x:c r="F4" s="54"/>
      <x:c r="G4" s="54"/>
      <x:c r="H4" s="54"/>
      <x:c r="I4" s="54"/>
      <x:c r="J4" s="54"/>
      <x:c r="K4" s="54"/>
      <x:c r="L4" s="54"/>
    </x:row>
    <x:row r="5">
      <x:c r="A5" s="56" t="str">
        <x:v>PK: Annahme_ID | Update: append_only | ID: ASM</x:v>
      </x:c>
      <x:c r="B5" s="56"/>
      <x:c r="C5" s="56"/>
      <x:c r="D5" s="56"/>
      <x:c r="E5" s="56"/>
      <x:c r="F5" s="56"/>
      <x:c r="G5" s="56"/>
      <x:c r="H5" s="56"/>
      <x:c r="I5" s="56"/>
      <x:c r="J5" s="56"/>
      <x:c r="K5" s="56"/>
      <x:c r="L5" s="56"/>
    </x:row>
    <x:row r="6" ht="25.5" customHeight="1">
      <x:c r="A6" s="21" t="str">
        <x:v>Annahme_ID</x:v>
      </x:c>
      <x:c r="B6" s="21" t="str">
        <x:v>Name</x:v>
      </x:c>
      <x:c r="C6" s="21" t="str">
        <x:v>Bereich</x:v>
      </x:c>
      <x:c r="D6" s="21" t="str">
        <x:v>Wert</x:v>
      </x:c>
      <x:c r="E6" s="21" t="str">
        <x:v>Einheit</x:v>
      </x:c>
      <x:c r="F6" s="21" t="str">
        <x:v>Gueltig_ab</x:v>
      </x:c>
      <x:c r="G6" s="21" t="str">
        <x:v>Gueltig_bis</x:v>
      </x:c>
      <x:c r="H6" s="21" t="str">
        <x:v>Szenario_ID</x:v>
      </x:c>
      <x:c r="I6" s="21" t="str">
        <x:v>Status</x:v>
      </x:c>
      <x:c r="J6" s="21" t="str">
        <x:v>Quelle_ID</x:v>
      </x:c>
      <x:c r="K6" s="21" t="str">
        <x:v>Ersetzt_Annahme_ID</x:v>
      </x:c>
      <x:c r="L6" s="21" t="str">
        <x:v>Kommentar</x:v>
      </x:c>
    </x:row>
    <x:row r="7">
      <x:c r="A7" s="18" t="str">
        <x:v>ASM001</x:v>
      </x:c>
      <x:c r="B7" s="18" t="str">
        <x:v>Sicherheitsreserve</x:v>
      </x:c>
      <x:c r="C7" s="18" t="str">
        <x:v>Liquiditaet</x:v>
      </x:c>
      <x:c r="D7" s="66" t="n">
        <x:v>3000</x:v>
      </x:c>
      <x:c r="E7" s="18" t="str">
        <x:v>EUR</x:v>
      </x:c>
      <x:c r="F7" s="18" t="n">
        <x:v>46143</x:v>
      </x:c>
      <x:c r="G7" s="57" t="str"/>
      <x:c r="H7" s="18" t="str">
        <x:v>S01</x:v>
      </x:c>
      <x:c r="I7" s="18" t="str">
        <x:v>geschaetzt</x:v>
      </x:c>
      <x:c r="J7" s="18" t="str">
        <x:v>SRC-20260518-001</x:v>
      </x:c>
      <x:c r="K7" s="18" t="str"/>
      <x:c r="L7" s="18" t="str">
        <x:v>Reserve als erste Annahme, bis Zielhoehe bestaetigt ist</x:v>
      </x:c>
    </x:row>
    <x:row r="8">
      <x:c r="A8" s="18" t="str">
        <x:v>ASM002</x:v>
      </x:c>
      <x:c r="B8" s="18" t="str">
        <x:v>Variable Ausgaben-Schaetzung</x:v>
      </x:c>
      <x:c r="C8" s="18" t="str">
        <x:v>Cashflow</x:v>
      </x:c>
      <x:c r="D8" s="66" t="n">
        <x:v>900</x:v>
      </x:c>
      <x:c r="E8" s="18" t="str">
        <x:v>EUR/Monat</x:v>
      </x:c>
      <x:c r="F8" s="18" t="n">
        <x:v>46143</x:v>
      </x:c>
      <x:c r="G8" s="57" t="str"/>
      <x:c r="H8" s="18" t="str">
        <x:v>S01</x:v>
      </x:c>
      <x:c r="I8" s="18" t="str">
        <x:v>platzhalter</x:v>
      </x:c>
      <x:c r="J8" s="18" t="str"/>
      <x:c r="K8" s="18" t="str"/>
      <x:c r="L8" s="18" t="str">
        <x:v>Platzhalter, bis Regelzahlungen und variable Ausgaben stabil erkannt sind</x:v>
      </x:c>
    </x:row>
    <x:row r="9">
      <x:c r="A9" s="18" t="str">
        <x:v>ASM003</x:v>
      </x:c>
      <x:c r="B9" s="18" t="str">
        <x:v>Planungsende</x:v>
      </x:c>
      <x:c r="C9" s="18" t="str">
        <x:v>Zeitachse</x:v>
      </x:c>
      <x:c r="D9" s="66" t="n">
        <x:v>46507</x:v>
      </x:c>
      <x:c r="E9" s="18" t="str">
        <x:v>Datum</x:v>
      </x:c>
      <x:c r="F9" s="18" t="n">
        <x:v>46143</x:v>
      </x:c>
      <x:c r="G9" s="57" t="str"/>
      <x:c r="H9" s="18" t="str">
        <x:v>S01</x:v>
      </x:c>
      <x:c r="I9" s="18" t="str">
        <x:v>geschaetzt</x:v>
      </x:c>
      <x:c r="J9" s="18" t="str"/>
      <x:c r="K9" s="18" t="str"/>
      <x:c r="L9" s="18" t="str">
        <x:v>V1-Horizont fuer spaetere Runway-Rechnung</x:v>
      </x:c>
    </x:row>
    <x:row r="10">
      <x:c r="D10" s="67"/>
      <x:c r="G10" s="58"/>
    </x:row>
  </x:sheetData>
  <x:mergeCells>
    <x:mergeCell ref="A1:H1"/>
    <x:mergeCell ref="A4:L4"/>
    <x:mergeCell ref="A5:L5"/>
  </x:mergeCells>
  <x:dataValidations count="1">
    <x:dataValidation type="list" allowBlank="1" showDropDown="0" sqref="I7:I57">
      <x:formula1>"platzhalter,geschaetzt,belegt,geprueft"</x:formula1>
    </x:dataValidation>
  </x:dataValidations>
  <x:pageMargins left="0.7" right="0.7" top="0.75" bottom="0.75" header="0.3" footer="0.3"/>
  <x:tableParts count="1">
    <x:tablePart xmlns:r="http://schemas.openxmlformats.org/officeDocument/2006/relationships" r:id="Reb1b9e7c5b8f4580"/>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4.109999656677246" hidden="0" customWidth="1"/>
    <x:col min="3" max="3" width="12.880000114440918" hidden="0" customWidth="1"/>
    <x:col min="4" max="4" width="12.880000114440918" hidden="0" customWidth="1"/>
    <x:col min="5" max="5" width="12.880000114440918" hidden="0" customWidth="1"/>
    <x:col min="6" max="6" width="14.109999656677246" hidden="0" customWidth="1"/>
    <x:col min="7" max="7" width="27.610000610351562" hidden="0" customWidth="1"/>
  </x:cols>
  <x:sheetData>
    <x:row r="1" ht="25.5" customHeight="1">
      <x:c r="A1" s="28" t="str">
        <x:v>43_Zeitachse</x:v>
      </x:c>
      <x:c r="B1" s="28"/>
      <x:c r="C1" s="28"/>
      <x:c r="D1" s="28"/>
      <x:c r="E1" s="28"/>
      <x:c r="F1" s="28"/>
      <x:c r="G1" s="28"/>
      <x:c r="H1" s="28"/>
    </x:row>
    <x:row r="2" ht="61.5" customHeight="1">
      <x:c r="A2" s="48" t="str">
        <x:v>Zweck</x:v>
      </x:c>
      <x:c r="B2" s="43" t="str">
        <x:v>Monatsachse fuer spaetere Runway-Rechnung.</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Zeitachse</x:v>
      </x:c>
      <x:c r="B4" s="54"/>
      <x:c r="C4" s="54"/>
      <x:c r="D4" s="54"/>
      <x:c r="E4" s="54"/>
      <x:c r="F4" s="54"/>
      <x:c r="G4" s="54"/>
    </x:row>
    <x:row r="5">
      <x:c r="A5" s="56" t="str">
        <x:v>PK: Monat_ID | Update: formel_ab_task3 | ID: MON</x:v>
      </x:c>
      <x:c r="B5" s="56"/>
      <x:c r="C5" s="56"/>
      <x:c r="D5" s="56"/>
      <x:c r="E5" s="56"/>
      <x:c r="F5" s="56"/>
      <x:c r="G5" s="56"/>
    </x:row>
    <x:row r="6" ht="25.5" customHeight="1">
      <x:c r="A6" s="21" t="str">
        <x:v>Monat_ID</x:v>
      </x:c>
      <x:c r="B6" s="21" t="str">
        <x:v>Szenario_ID</x:v>
      </x:c>
      <x:c r="C6" s="21" t="str">
        <x:v>Monat</x:v>
      </x:c>
      <x:c r="D6" s="21" t="str">
        <x:v>Netto_M</x:v>
      </x:c>
      <x:c r="E6" s="21" t="str">
        <x:v>Kumulierte_Liquiditaet</x:v>
      </x:c>
      <x:c r="F6" s="21" t="str">
        <x:v>Status</x:v>
      </x:c>
      <x:c r="G6" s="21" t="str">
        <x:v>Kommentar</x:v>
      </x:c>
    </x:row>
    <x:row r="7">
      <x:c r="A7" s="18" t="str">
        <x:v>MON202605</x:v>
      </x:c>
      <x:c r="B7" s="18" t="str">
        <x:v>S01</x:v>
      </x:c>
      <x:c r="C7" s="57" t="n">
        <x:v>46143</x:v>
      </x:c>
      <x:c r="D7" s="18" t="str">
        <x:v>nicht_berechnet</x:v>
      </x:c>
      <x:c r="E7" s="18" t="str">
        <x:v>nicht_berechnet</x:v>
      </x:c>
      <x:c r="F7" s="18" t="str">
        <x:v>offen</x:v>
      </x:c>
      <x:c r="G7" s="18" t="str">
        <x:v>Task 3 berechnet diesen Monat</x:v>
      </x:c>
    </x:row>
    <x:row r="8">
      <x:c r="A8" s="18" t="str">
        <x:v>MON202606</x:v>
      </x:c>
      <x:c r="B8" s="18" t="str">
        <x:v>S01</x:v>
      </x:c>
      <x:c r="C8" s="57" t="n">
        <x:v>46174</x:v>
      </x:c>
      <x:c r="D8" s="18" t="str">
        <x:v>nicht_berechnet</x:v>
      </x:c>
      <x:c r="E8" s="18" t="str">
        <x:v>nicht_berechnet</x:v>
      </x:c>
      <x:c r="F8" s="18" t="str">
        <x:v>offen</x:v>
      </x:c>
      <x:c r="G8" s="18" t="str">
        <x:v>Task 3 berechnet diesen Monat</x:v>
      </x:c>
    </x:row>
    <x:row r="9">
      <x:c r="A9" s="18" t="str">
        <x:v>MON202607</x:v>
      </x:c>
      <x:c r="B9" s="18" t="str">
        <x:v>S01</x:v>
      </x:c>
      <x:c r="C9" s="57" t="n">
        <x:v>46204</x:v>
      </x:c>
      <x:c r="D9" s="18" t="str">
        <x:v>nicht_berechnet</x:v>
      </x:c>
      <x:c r="E9" s="18" t="str">
        <x:v>nicht_berechnet</x:v>
      </x:c>
      <x:c r="F9" s="18" t="str">
        <x:v>offen</x:v>
      </x:c>
      <x:c r="G9" s="18" t="str">
        <x:v>Task 3 berechnet diesen Monat</x:v>
      </x:c>
    </x:row>
    <x:row r="10">
      <x:c r="C10" s="58"/>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d9edaa8be3574adf"/>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4.109999656677246" hidden="0" customWidth="1"/>
    <x:col min="6" max="6" width="12.880000114440918" hidden="0" customWidth="1"/>
    <x:col min="7" max="7" width="14.109999656677246" hidden="0" customWidth="1"/>
    <x:col min="8" max="8" width="27.610000610351562" hidden="0" customWidth="1"/>
  </x:cols>
  <x:sheetData>
    <x:row r="1" ht="25.5" customHeight="1">
      <x:c r="A1" s="28" t="str">
        <x:v>44_Liquiditaet</x:v>
      </x:c>
      <x:c r="B1" s="28"/>
      <x:c r="C1" s="28"/>
      <x:c r="D1" s="28"/>
      <x:c r="E1" s="28"/>
      <x:c r="F1" s="28"/>
      <x:c r="G1" s="28"/>
      <x:c r="H1" s="28"/>
    </x:row>
    <x:row r="2" ht="61.5" customHeight="1">
      <x:c r="A2" s="48" t="str">
        <x:v>Zweck</x:v>
      </x:c>
      <x:c r="B2" s="43" t="str">
        <x:v>Zielstellen fuer liquide Mittel, Reserve un...</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Liquiditaet</x:v>
      </x:c>
      <x:c r="B4" s="54"/>
      <x:c r="C4" s="54"/>
      <x:c r="D4" s="54"/>
      <x:c r="E4" s="54"/>
      <x:c r="F4" s="54"/>
      <x:c r="G4" s="54"/>
      <x:c r="H4" s="54"/>
    </x:row>
    <x:row r="5">
      <x:c r="A5" s="56" t="str">
        <x:v>PK: Kennzahl_ID | Update: formel_ab_task3 | ID: LIQ</x:v>
      </x:c>
      <x:c r="B5" s="56"/>
      <x:c r="C5" s="56"/>
      <x:c r="D5" s="56"/>
      <x:c r="E5" s="56"/>
      <x:c r="F5" s="56"/>
      <x:c r="G5" s="56"/>
      <x:c r="H5" s="56"/>
    </x:row>
    <x:row r="6" ht="25.5" customHeight="1">
      <x:c r="A6" s="21" t="str">
        <x:v>Kennzahl_ID</x:v>
      </x:c>
      <x:c r="B6" s="21" t="str">
        <x:v>Kennzahl</x:v>
      </x:c>
      <x:c r="C6" s="21" t="str">
        <x:v>Wert</x:v>
      </x:c>
      <x:c r="D6" s="21" t="str">
        <x:v>Einheit</x:v>
      </x:c>
      <x:c r="E6" s="21" t="str">
        <x:v>Szenario_ID</x:v>
      </x:c>
      <x:c r="F6" s="21" t="str">
        <x:v>Datenbasis</x:v>
      </x:c>
      <x:c r="G6" s="21" t="str">
        <x:v>Status</x:v>
      </x:c>
      <x:c r="H6" s="21" t="str">
        <x:v>Kommentar</x:v>
      </x:c>
    </x:row>
    <x:row r="7">
      <x:c r="A7" s="18" t="str">
        <x:v>LIQ001</x:v>
      </x:c>
      <x:c r="B7" s="18" t="str">
        <x:v>Liquiditaet_heute</x:v>
      </x:c>
      <x:c r="C7" s="66" t="str">
        <x:v>nicht_berechnet</x:v>
      </x:c>
      <x:c r="D7" s="18" t="str">
        <x:v>EUR</x:v>
      </x:c>
      <x:c r="E7" s="18" t="str">
        <x:v>S01</x:v>
      </x:c>
      <x:c r="F7" s="18" t="str">
        <x:v>Konten</x:v>
      </x:c>
      <x:c r="G7" s="18" t="str">
        <x:v>offen</x:v>
      </x:c>
      <x:c r="H7" s="18" t="str">
        <x:v>Task 3 berechnet aus liquiden Konten</x:v>
      </x:c>
    </x:row>
    <x:row r="8">
      <x:c r="A8" s="18" t="str">
        <x:v>LIQ002</x:v>
      </x:c>
      <x:c r="B8" s="18" t="str">
        <x:v>Freie Liquiditaet nach Reserve</x:v>
      </x:c>
      <x:c r="C8" s="66" t="str">
        <x:v>nicht_berechnet</x:v>
      </x:c>
      <x:c r="D8" s="18" t="str">
        <x:v>EUR</x:v>
      </x:c>
      <x:c r="E8" s="18" t="str">
        <x:v>S01</x:v>
      </x:c>
      <x:c r="F8" s="18" t="str">
        <x:v>LIQ001 minus Sicherheitsreserve</x:v>
      </x:c>
      <x:c r="G8" s="18" t="str">
        <x:v>offen</x:v>
      </x:c>
      <x:c r="H8" s="18" t="str">
        <x:v>Task 3 berechnet diesen Wert</x:v>
      </x:c>
    </x:row>
    <x:row r="9">
      <x:c r="A9" s="18" t="str">
        <x:v>LIQ003</x:v>
      </x:c>
      <x:c r="B9" s="18" t="str">
        <x:v>Reichweite</x:v>
      </x:c>
      <x:c r="C9" s="66" t="str">
        <x:v>nicht_berechnet</x:v>
      </x:c>
      <x:c r="D9" s="18" t="str">
        <x:v>Monate</x:v>
      </x:c>
      <x:c r="E9" s="18" t="str">
        <x:v>S01</x:v>
      </x:c>
      <x:c r="F9" s="18" t="str">
        <x:v>Zeitachse</x:v>
      </x:c>
      <x:c r="G9" s="18" t="str">
        <x:v>offen</x:v>
      </x:c>
      <x:c r="H9" s="18" t="str">
        <x:v>Task 3 berechnet diesen Wert</x:v>
      </x:c>
    </x:row>
    <x:row r="10">
      <x:c r="C10" s="67"/>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9f7697f058454d0f"/>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880000114440918" hidden="0" customWidth="1"/>
    <x:col min="2" max="2" width="12.880000114440918" hidden="0" customWidth="1"/>
    <x:col min="3" max="3" width="12.880000114440918" hidden="0" customWidth="1"/>
    <x:col min="4" max="4" width="12.880000114440918" hidden="0" customWidth="1"/>
    <x:col min="5" max="5" width="27.610000610351562" hidden="0" customWidth="1"/>
    <x:col min="6" max="6" width="14.109999656677246" hidden="0" customWidth="1"/>
    <x:col min="7" max="7" width="14.109999656677246" hidden="0" customWidth="1"/>
    <x:col min="8" max="8" width="14.109999656677246" hidden="0" customWidth="1"/>
    <x:col min="9" max="9" width="27.610000610351562" hidden="0" customWidth="1"/>
    <x:col min="10" max="10" width="27.610000610351562" hidden="0" customWidth="1"/>
  </x:cols>
  <x:sheetData>
    <x:row r="1" ht="25.5" customHeight="1">
      <x:c r="A1" s="28" t="str">
        <x:v>60_Warnungen</x:v>
      </x:c>
      <x:c r="B1" s="28"/>
      <x:c r="C1" s="28"/>
      <x:c r="D1" s="28"/>
      <x:c r="E1" s="28"/>
      <x:c r="F1" s="28"/>
      <x:c r="G1" s="28"/>
      <x:c r="H1" s="28"/>
    </x:row>
    <x:row r="2" ht="61.5" customHeight="1">
      <x:c r="A2" s="48" t="str">
        <x:v>Zweck</x:v>
      </x:c>
      <x:c r="B2" s="43" t="str">
        <x:v>Aktuelle Befunde, die Nacharbeit ausloesen....</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Warnungen Aktuell</x:v>
      </x:c>
      <x:c r="B4" s="54"/>
      <x:c r="C4" s="54"/>
      <x:c r="D4" s="54"/>
      <x:c r="E4" s="54"/>
      <x:c r="F4" s="54"/>
      <x:c r="G4" s="54"/>
      <x:c r="H4" s="54"/>
      <x:c r="I4" s="54"/>
      <x:c r="J4" s="54"/>
    </x:row>
    <x:row r="5">
      <x:c r="A5" s="56" t="str">
        <x:v>PK: Warnungs_ID | Update: berechnet_plus_manuell | ID: WRN</x:v>
      </x:c>
      <x:c r="B5" s="56"/>
      <x:c r="C5" s="56"/>
      <x:c r="D5" s="56"/>
      <x:c r="E5" s="56"/>
      <x:c r="F5" s="56"/>
      <x:c r="G5" s="56"/>
      <x:c r="H5" s="56"/>
      <x:c r="I5" s="56"/>
      <x:c r="J5" s="56"/>
    </x:row>
    <x:row r="6" ht="25.5" customHeight="1">
      <x:c r="A6" s="21" t="str">
        <x:v>Warnungs_ID</x:v>
      </x:c>
      <x:c r="B6" s="21" t="str">
        <x:v>Warnungs_Fingerprint</x:v>
      </x:c>
      <x:c r="C6" s="21" t="str">
        <x:v>Check_ID</x:v>
      </x:c>
      <x:c r="D6" s="21" t="str">
        <x:v>Schweregrad</x:v>
      </x:c>
      <x:c r="E6" s="21" t="str">
        <x:v>Titel</x:v>
      </x:c>
      <x:c r="F6" s="21" t="str">
        <x:v>Betroffene_Tabelle</x:v>
      </x:c>
      <x:c r="G6" s="21" t="str">
        <x:v>Betroffene_ID</x:v>
      </x:c>
      <x:c r="H6" s="21" t="str">
        <x:v>Status</x:v>
      </x:c>
      <x:c r="I6" s="21" t="str">
        <x:v>Naechste_Aktion</x:v>
      </x:c>
      <x:c r="J6" s="21" t="str">
        <x:v>Kommentar</x:v>
      </x:c>
    </x:row>
    <x:row r="7">
      <x:c r="A7" s="18" t="str">
        <x:v>WRN001</x:v>
      </x:c>
      <x:c r="B7" s="18" t="str">
        <x:v>CHK-BLD-01|BLD-20260521-001</x:v>
      </x:c>
      <x:c r="C7" s="18" t="str">
        <x:v>CHK-BLD-01</x:v>
      </x:c>
      <x:c r="D7" s="18" t="str">
        <x:v>Fehler</x:v>
      </x:c>
      <x:c r="E7" s="18" t="str">
        <x:v>Workbook-Verifikation noch nicht bestanden</x:v>
      </x:c>
      <x:c r="F7" s="18" t="str">
        <x:v>98_Build_Verifikation</x:v>
      </x:c>
      <x:c r="G7" s="18" t="str">
        <x:v>BLD-20260521-001</x:v>
      </x:c>
      <x:c r="H7" s="18" t="str">
        <x:v>offen</x:v>
      </x:c>
      <x:c r="I7" s="18" t="str">
        <x:v>Build/Verifier ausfuehren</x:v>
      </x:c>
      <x:c r="J7" s="18" t="str">
        <x:v>Startzustand bewusst rot</x:v>
      </x:c>
    </x:row>
    <x:row r="8">
      <x:c r="A8" s="18" t="str">
        <x:v>WRN002</x:v>
      </x:c>
      <x:c r="B8" s="18" t="str">
        <x:v>CHK003|TXN-RAW-IMP-20260518-001-000004</x:v>
      </x:c>
      <x:c r="C8" s="18" t="str">
        <x:v>CHK003</x:v>
      </x:c>
      <x:c r="D8" s="18" t="str">
        <x:v>Warnung</x:v>
      </x:c>
      <x:c r="E8" s="18" t="str">
        <x:v>Buchung mit offener Kategorie</x:v>
      </x:c>
      <x:c r="F8" s="18" t="str">
        <x:v>11_Umsaetze_Modell</x:v>
      </x:c>
      <x:c r="G8" s="18" t="str">
        <x:v>TXN-RAW-IMP-20260518-001-000004</x:v>
      </x:c>
      <x:c r="H8" s="18" t="str">
        <x:v>offen</x:v>
      </x:c>
      <x:c r="I8" s="18" t="str">
        <x:v>Kategorie pruefen</x:v>
      </x:c>
      <x:c r="J8" s="18" t="str">
        <x:v>Begruendet gelbe/rote Sichtbarkeit</x:v>
      </x:c>
    </x:row>
    <x:row r="9">
      <x:c r="A9" s="18" t="str">
        <x:v>WRN003</x:v>
      </x:c>
      <x:c r="B9" s="18" t="str">
        <x:v>CHK012|ASM002</x:v>
      </x:c>
      <x:c r="C9" s="18" t="str">
        <x:v>CHK012</x:v>
      </x:c>
      <x:c r="D9" s="18" t="str">
        <x:v>Warnung</x:v>
      </x:c>
      <x:c r="E9" s="18" t="str">
        <x:v>Platzhalter-Annahme fuer variable Ausgaben</x:v>
      </x:c>
      <x:c r="F9" s="18" t="str">
        <x:v>42_Annahmen</x:v>
      </x:c>
      <x:c r="G9" s="18" t="str">
        <x:v>ASM002</x:v>
      </x:c>
      <x:c r="H9" s="18" t="str">
        <x:v>offen</x:v>
      </x:c>
      <x:c r="I9" s="18" t="str">
        <x:v>Annahme belegen oder ersetzen</x:v>
      </x:c>
      <x:c r="J9" s="18" t="str">
        <x:v>Dashboardrelevant</x:v>
      </x:c>
    </x:row>
    <x:row r="12">
      <x:c r="A12" s="54" t="str">
        <x:v>Warnungen Bearbeitung</x:v>
      </x:c>
      <x:c r="B12" s="54"/>
      <x:c r="C12" s="54"/>
      <x:c r="D12" s="54"/>
      <x:c r="E12" s="54"/>
    </x:row>
    <x:row r="13">
      <x:c r="A13" s="56" t="str">
        <x:v>PK: Warnungs_Fingerprint | Update: manuell | ID: WRN</x:v>
      </x:c>
      <x:c r="B13" s="56"/>
      <x:c r="C13" s="56"/>
      <x:c r="D13" s="56"/>
      <x:c r="E13" s="56"/>
    </x:row>
    <x:row r="14" ht="25.5" customHeight="1">
      <x:c r="A14" s="21" t="str">
        <x:v>Warnungs_Fingerprint</x:v>
      </x:c>
      <x:c r="B14" s="21" t="str">
        <x:v>Bearbeitungsstatus</x:v>
      </x:c>
      <x:c r="C14" s="21" t="str">
        <x:v>Owner</x:v>
      </x:c>
      <x:c r="D14" s="21" t="str">
        <x:v>Faelligkeit</x:v>
      </x:c>
      <x:c r="E14" s="21" t="str">
        <x:v>Kommentar</x:v>
      </x:c>
    </x:row>
    <x:row r="15">
      <x:c r="A15" s="18" t="str">
        <x:v>CHK-BLD-01|BLD-20260521-001</x:v>
      </x:c>
      <x:c r="B15" s="18" t="str">
        <x:v>offen</x:v>
      </x:c>
      <x:c r="C15" s="18" t="str">
        <x:v>Nutzer</x:v>
      </x:c>
      <x:c r="D15" s="18" t="str"/>
      <x:c r="E15" s="18" t="str">
        <x:v>Noch nicht bearbeitet</x:v>
      </x:c>
    </x:row>
    <x:row r="16">
      <x:c r="A16" s="18" t="str">
        <x:v>CHK003|TXN-RAW-IMP-20260518-001-000004</x:v>
      </x:c>
      <x:c r="B16" s="18" t="str">
        <x:v>offen</x:v>
      </x:c>
      <x:c r="C16" s="18" t="str">
        <x:v>Nutzer</x:v>
      </x:c>
      <x:c r="D16" s="18" t="str"/>
      <x:c r="E16" s="18" t="str">
        <x:v>Kategorie offen</x:v>
      </x:c>
    </x:row>
    <x:row r="19">
      <x:c r="A19" s="54" t="str">
        <x:v>Warnungen Zusammenfassung</x:v>
      </x:c>
      <x:c r="B19" s="54"/>
      <x:c r="C19" s="54"/>
      <x:c r="D19" s="54"/>
      <x:c r="E19" s="54"/>
      <x:c r="F19" s="54"/>
    </x:row>
    <x:row r="20">
      <x:c r="A20" s="56" t="str">
        <x:v>PK: Warnungs_Fingerprint | Update: sicht | ID: WRN</x:v>
      </x:c>
      <x:c r="B20" s="56"/>
      <x:c r="C20" s="56"/>
      <x:c r="D20" s="56"/>
      <x:c r="E20" s="56"/>
      <x:c r="F20" s="56"/>
    </x:row>
    <x:row r="21" ht="25.5" customHeight="1">
      <x:c r="A21" s="21" t="str">
        <x:v>Warnungs_Fingerprint</x:v>
      </x:c>
      <x:c r="B21" s="21" t="str">
        <x:v>Titel</x:v>
      </x:c>
      <x:c r="C21" s="21" t="str">
        <x:v>Schweregrad</x:v>
      </x:c>
      <x:c r="D21" s="21" t="str">
        <x:v>Bearbeitungsstatus</x:v>
      </x:c>
      <x:c r="E21" s="21" t="str">
        <x:v>Naechste_Aktion</x:v>
      </x:c>
      <x:c r="F21" s="21" t="str">
        <x:v>Status</x:v>
      </x:c>
    </x:row>
    <x:row r="22">
      <x:c r="A22" s="18" t="str">
        <x:v>CHK-BLD-01|BLD-20260521-001</x:v>
      </x:c>
      <x:c r="B22" s="18" t="str">
        <x:v>Workbook-Verifikation noch nicht bestanden</x:v>
      </x:c>
      <x:c r="C22" s="18" t="str">
        <x:v>Fehler</x:v>
      </x:c>
      <x:c r="D22" s="18" t="str">
        <x:v>offen</x:v>
      </x:c>
      <x:c r="E22" s="18" t="str">
        <x:v>Build/Verifier ausfuehren</x:v>
      </x:c>
      <x:c r="F22" s="18" t="str">
        <x:v>offen</x:v>
      </x:c>
    </x:row>
    <x:row r="23">
      <x:c r="A23" s="18" t="str">
        <x:v>CHK003|TXN-RAW-IMP-20260518-001-000004</x:v>
      </x:c>
      <x:c r="B23" s="18" t="str">
        <x:v>Buchung mit offener Kategorie</x:v>
      </x:c>
      <x:c r="C23" s="18" t="str">
        <x:v>Warnung</x:v>
      </x:c>
      <x:c r="D23" s="18" t="str">
        <x:v>offen</x:v>
      </x:c>
      <x:c r="E23" s="18" t="str">
        <x:v>Kategorie pruefen</x:v>
      </x:c>
      <x:c r="F23" s="18" t="str">
        <x:v>offen</x:v>
      </x:c>
    </x:row>
    <x:row r="24">
      <x:c r="A24" t="str">
        <x:v>WRN-IMPORT-DRAFT-FULL</x:v>
      </x:c>
      <x:c r="B24" t="str">
        <x:v>CHK-IMPORT-DRAFT-FULL|IMP-20260516-FULLDRAFT</x:v>
      </x:c>
      <x:c r="C24" t="str">
        <x:v>CHK-IMPORT-DRAFT-FULL</x:v>
      </x:c>
      <x:c r="D24" t="str">
        <x:v>Warnung</x:v>
      </x:c>
      <x:c r="E24" t="str">
        <x:v>Agent-Draft enthaelt offene Kategorien</x:v>
      </x:c>
      <x:c r="F24" t="str">
        <x:v>11_Umsaetze_Modell</x:v>
      </x:c>
      <x:c r="G24" t="str">
        <x:v>TXN-RAW-IMP-20260516-FULLDRAFT-000001</x:v>
      </x:c>
      <x:c r="H24" t="str">
        <x:v>offen</x:v>
      </x:c>
      <x:c r="I24" t="str">
        <x:v>Kategorien und Transfers pruefen</x:v>
      </x:c>
      <x:c r="J24" t="str">
        <x:v>Alle Draft-Modellumsaetze bleiben KAT013</x:v>
      </x:c>
    </x:row>
  </x:sheetData>
  <x:mergeCells>
    <x:mergeCell ref="A1:H1"/>
    <x:mergeCell ref="A4:J4"/>
    <x:mergeCell ref="A5:J5"/>
    <x:mergeCell ref="A12:E12"/>
    <x:mergeCell ref="A13:E13"/>
    <x:mergeCell ref="A19:F19"/>
    <x:mergeCell ref="A20:F20"/>
  </x:mergeCells>
  <x:dataValidations count="4">
    <x:dataValidation type="list" allowBlank="1" showDropDown="0" sqref="H7:H57">
      <x:formula1>"offen,belegt,geprueft,geschaetzt,inaktiv"</x:formula1>
    </x:dataValidation>
    <x:dataValidation type="list" allowBlank="1" showDropDown="0" sqref="B15:B65">
      <x:formula1>"offen,in_arbeit,erledigt,verworfen"</x:formula1>
    </x:dataValidation>
    <x:dataValidation type="list" allowBlank="1" showDropDown="0" sqref="D22:D72">
      <x:formula1>"offen,in_arbeit,erledigt,verworfen"</x:formula1>
    </x:dataValidation>
    <x:dataValidation type="list" allowBlank="1" showDropDown="0" sqref="F22:F72">
      <x:formula1>"offen,belegt,geprueft,geschaetzt,inaktiv"</x:formula1>
    </x:dataValidation>
  </x:dataValidations>
  <x:pageMargins left="0.7" right="0.7" top="0.75" bottom="0.75" header="0.3" footer="0.3"/>
  <x:tableParts count="3">
    <x:tablePart xmlns:r="http://schemas.openxmlformats.org/officeDocument/2006/relationships" r:id="R9543231b962b4c9c"/>
    <x:tablePart xmlns:r="http://schemas.openxmlformats.org/officeDocument/2006/relationships" r:id="Rf256c20cfa8a4c4e"/>
    <x:tablePart xmlns:r="http://schemas.openxmlformats.org/officeDocument/2006/relationships" r:id="Raad15652e0954be2"/>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4.109999656677246" hidden="0" customWidth="1"/>
    <x:col min="5" max="5" width="12.880000114440918" hidden="0" customWidth="1"/>
    <x:col min="6" max="6" width="12.880000114440918" hidden="0" customWidth="1"/>
    <x:col min="7" max="7" width="14.109999656677246" hidden="0" customWidth="1"/>
    <x:col min="8" max="8" width="27.610000610351562" hidden="0" customWidth="1"/>
    <x:col min="9" max="9" width="12.880000114440918" hidden="0" customWidth="1"/>
    <x:col min="10" max="10" width="12.880000114440918" hidden="0" customWidth="1"/>
    <x:col min="11" max="11" width="12.880000114440918" hidden="0" customWidth="1"/>
    <x:col min="12" max="12" width="14.109999656677246" hidden="0" customWidth="1"/>
    <x:col min="13" max="13" width="12.880000114440918" hidden="0" customWidth="1"/>
    <x:col min="14" max="14" width="12.880000114440918" hidden="0" customWidth="1"/>
    <x:col min="15" max="15" width="27.610000610351562" hidden="0" customWidth="1"/>
  </x:cols>
  <x:sheetData>
    <x:row r="1" ht="25.5" customHeight="1">
      <x:c r="A1" s="28" t="str">
        <x:v>73_Agent_Vorschlaege</x:v>
      </x:c>
      <x:c r="B1" s="28"/>
      <x:c r="C1" s="28"/>
      <x:c r="D1" s="28"/>
      <x:c r="E1" s="28"/>
      <x:c r="F1" s="28"/>
      <x:c r="G1" s="28"/>
      <x:c r="H1" s="28"/>
    </x:row>
    <x:row r="2" ht="61.5" customHeight="1">
      <x:c r="A2" s="48" t="str">
        <x:v>Zweck</x:v>
      </x:c>
      <x:c r="B2" s="43" t="str">
        <x:v>Nur entscheidungspflichtige Vorschlaege, ke...</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Agent Vorschlaege</x:v>
      </x:c>
      <x:c r="B4" s="54"/>
      <x:c r="C4" s="54"/>
      <x:c r="D4" s="54"/>
      <x:c r="E4" s="54"/>
      <x:c r="F4" s="54"/>
      <x:c r="G4" s="54"/>
      <x:c r="H4" s="54"/>
      <x:c r="I4" s="54"/>
      <x:c r="J4" s="54"/>
      <x:c r="K4" s="54"/>
      <x:c r="L4" s="54"/>
      <x:c r="M4" s="54"/>
      <x:c r="N4" s="54"/>
      <x:c r="O4" s="54"/>
    </x:row>
    <x:row r="5">
      <x:c r="A5" s="56" t="str">
        <x:v>PK: Vorschlag_ID | Update: vorschlag_manuell | ID: SUG</x:v>
      </x:c>
      <x:c r="B5" s="56"/>
      <x:c r="C5" s="56"/>
      <x:c r="D5" s="56"/>
      <x:c r="E5" s="56"/>
      <x:c r="F5" s="56"/>
      <x:c r="G5" s="56"/>
      <x:c r="H5" s="56"/>
      <x:c r="I5" s="56"/>
      <x:c r="J5" s="56"/>
      <x:c r="K5" s="56"/>
      <x:c r="L5" s="56"/>
      <x:c r="M5" s="56"/>
      <x:c r="N5" s="56"/>
      <x:c r="O5" s="56"/>
    </x:row>
    <x:row r="6" ht="25.5" customHeight="1">
      <x:c r="A6" s="21" t="str">
        <x:v>Vorschlag_ID</x:v>
      </x:c>
      <x:c r="B6" s="21" t="str">
        <x:v>Vorschlag_Fingerprint</x:v>
      </x:c>
      <x:c r="C6" s="21" t="str">
        <x:v>Lauf_ID</x:v>
      </x:c>
      <x:c r="D6" s="21" t="str">
        <x:v>Methodik_ID</x:v>
      </x:c>
      <x:c r="E6" s="21" t="str">
        <x:v>Vorschlagstyp</x:v>
      </x:c>
      <x:c r="F6" s="21" t="str">
        <x:v>Betroffene_Tabelle</x:v>
      </x:c>
      <x:c r="G6" s="21" t="str">
        <x:v>Betroffene_ID</x:v>
      </x:c>
      <x:c r="H6" s="21" t="str">
        <x:v>Empfohlene_Aktion</x:v>
      </x:c>
      <x:c r="I6" s="21" t="str">
        <x:v>Begruendung</x:v>
      </x:c>
      <x:c r="J6" s="21" t="str">
        <x:v>Konfidenz</x:v>
      </x:c>
      <x:c r="K6" s="21" t="str">
        <x:v>Prioritaet</x:v>
      </x:c>
      <x:c r="L6" s="21" t="str">
        <x:v>Status</x:v>
      </x:c>
      <x:c r="M6" s="21" t="str">
        <x:v>Umsetzung_Eindeutig</x:v>
      </x:c>
      <x:c r="N6" s="21" t="str">
        <x:v>Umsetzungsstatus</x:v>
      </x:c>
      <x:c r="O6" s="21" t="str">
        <x:v>Kommentar</x:v>
      </x:c>
    </x:row>
    <x:row r="7">
      <x:c r="A7" s="18" t="str">
        <x:v>SUG-20260521-001</x:v>
      </x:c>
      <x:c r="B7" s="18" t="str">
        <x:v>regelzahlung|miete|kto001</x:v>
      </x:c>
      <x:c r="C7" s="18" t="str">
        <x:v>RUN-20260521-001</x:v>
      </x:c>
      <x:c r="D7" s="18" t="str">
        <x:v>pattern_check_v1</x:v>
      </x:c>
      <x:c r="E7" s="18" t="str">
        <x:v>Regelzahlung</x:v>
      </x:c>
      <x:c r="F7" s="18" t="str">
        <x:v>12_Regelzahlung_Vorschlaege</x:v>
      </x:c>
      <x:c r="G7" s="18" t="str">
        <x:v>SUG-20260521-001</x:v>
      </x:c>
      <x:c r="H7" s="18" t="str">
        <x:v>Miete als Regelzahlung pruefen</x:v>
      </x:c>
      <x:c r="I7" s="18" t="str">
        <x:v>Ein Treffer im Startimport; noch zu wenig fuer Auto-Regel</x:v>
      </x:c>
      <x:c r="J7" s="70" t="n">
        <x:v>0.55</x:v>
      </x:c>
      <x:c r="K7" s="18" t="str">
        <x:v>mittel</x:v>
      </x:c>
      <x:c r="L7" s="18" t="str">
        <x:v>offen</x:v>
      </x:c>
      <x:c r="M7" s="63" t="b">
        <x:v>0</x:v>
      </x:c>
      <x:c r="N7" s="18" t="str">
        <x:v>nicht_beauftragt</x:v>
      </x:c>
      <x:c r="O7" s="18" t="str">
        <x:v>Sichtbarer Vorschlag, nicht umgesetzt</x:v>
      </x:c>
    </x:row>
    <x:row r="8">
      <x:c r="A8" t="str">
        <x:v>SUG-20260521-001</x:v>
      </x:c>
      <x:c r="B8" t="str">
        <x:v>neue_Regelzahlung|a403f1224e86367a</x:v>
      </x:c>
      <x:c r="C8" t="str">
        <x:v>RUN-20260521-ANALYSIS</x:v>
      </x:c>
      <x:c r="D8" t="str">
        <x:v>METH_ANALYSE_REGELZAHLUNGEN</x:v>
      </x:c>
      <x:c r="E8" t="str">
        <x:v>neue_Regelzahlung</x:v>
      </x:c>
      <x:c r="F8" t="str">
        <x:v>12_Regelzahlung_Vorschlaege</x:v>
      </x:c>
      <x:c r="G8" t="str">
        <x:v>SUG-20260521-001</x:v>
      </x:c>
      <x:c r="H8" t="str">
        <x:v>Regelzahlung pruefen</x:v>
      </x:c>
      <x:c r="I8" t="str">
        <x:v>Wiederkehrendes Monatsmuster im Import-Draft erkannt</x:v>
      </x:c>
      <x:c r="J8" s="71" t="n">
        <x:v>0.82</x:v>
      </x:c>
      <x:c r="K8" t="str">
        <x:v>hoch</x:v>
      </x:c>
      <x:c r="L8" t="str">
        <x:v>offen</x:v>
      </x:c>
      <x:c r="M8" s="59" t="b">
        <x:v>0</x:v>
      </x:c>
      <x:c r="N8" t="str">
        <x:v>nicht_beauftragt</x:v>
      </x:c>
      <x:c r="O8" t="str">
        <x:v>Gespiegelter Vorschlag; Umsetzung nur nach Nutzerentscheidung</x:v>
      </x:c>
    </x:row>
    <x:row r="9">
      <x:c r="A9" t="str">
        <x:v>SUG-20260521-002</x:v>
      </x:c>
      <x:c r="B9" t="str">
        <x:v>neue_Regelzahlung|66f236949fedfda0</x:v>
      </x:c>
      <x:c r="C9" t="str">
        <x:v>RUN-20260521-ANALYSIS</x:v>
      </x:c>
      <x:c r="D9" t="str">
        <x:v>METH_ANALYSE_REGELZAHLUNGEN</x:v>
      </x:c>
      <x:c r="E9" t="str">
        <x:v>neue_Regelzahlung</x:v>
      </x:c>
      <x:c r="F9" t="str">
        <x:v>12_Regelzahlung_Vorschlaege</x:v>
      </x:c>
      <x:c r="G9" t="str">
        <x:v>SUG-20260521-002</x:v>
      </x:c>
      <x:c r="H9" t="str">
        <x:v>Regelzahlung pruefen</x:v>
      </x:c>
      <x:c r="I9" t="str">
        <x:v>Wiederkehrendes Monatsmuster im Import-Draft erkannt</x:v>
      </x:c>
      <x:c r="J9" t="n">
        <x:v>0.82</x:v>
      </x:c>
      <x:c r="K9" t="str">
        <x:v>hoch</x:v>
      </x:c>
      <x:c r="L9" t="str">
        <x:v>offen</x:v>
      </x:c>
      <x:c r="M9" s="59" t="b">
        <x:v>0</x:v>
      </x:c>
      <x:c r="N9" t="str">
        <x:v>nicht_beauftragt</x:v>
      </x:c>
      <x:c r="O9" t="str">
        <x:v>Gespiegelter Vorschlag; Umsetzung nur nach Nutzerentscheidung</x:v>
      </x:c>
    </x:row>
    <x:row r="10">
      <x:c r="A10" t="str">
        <x:v>SUG-20260521-003</x:v>
      </x:c>
      <x:c r="B10" t="str">
        <x:v>neue_Regelzahlung|9cb98e6d243d5e31</x:v>
      </x:c>
      <x:c r="C10" t="str">
        <x:v>RUN-20260521-ANALYSIS</x:v>
      </x:c>
      <x:c r="D10" t="str">
        <x:v>METH_ANALYSE_REGELZAHLUNGEN</x:v>
      </x:c>
      <x:c r="E10" t="str">
        <x:v>neue_Regelzahlung</x:v>
      </x:c>
      <x:c r="F10" t="str">
        <x:v>12_Regelzahlung_Vorschlaege</x:v>
      </x:c>
      <x:c r="G10" t="str">
        <x:v>SUG-20260521-003</x:v>
      </x:c>
      <x:c r="H10" t="str">
        <x:v>Regelzahlung pruefen</x:v>
      </x:c>
      <x:c r="I10" t="str">
        <x:v>Wiederkehrendes Monatsmuster im Import-Draft erkannt</x:v>
      </x:c>
      <x:c r="J10" t="n">
        <x:v>0.82</x:v>
      </x:c>
      <x:c r="K10" t="str">
        <x:v>hoch</x:v>
      </x:c>
      <x:c r="L10" t="str">
        <x:v>offen</x:v>
      </x:c>
      <x:c r="M10" s="59" t="b">
        <x:v>0</x:v>
      </x:c>
      <x:c r="N10" t="str">
        <x:v>nicht_beauftragt</x:v>
      </x:c>
      <x:c r="O10" t="str">
        <x:v>Gespiegelter Vorschlag; Umsetzung nur nach Nutzerentscheidung</x:v>
      </x:c>
    </x:row>
    <x:row r="11">
      <x:c r="A11" t="str">
        <x:v>SUG-20260521-004</x:v>
      </x:c>
      <x:c r="B11" t="str">
        <x:v>neue_Regelzahlung|e69a7a2cb76460df</x:v>
      </x:c>
      <x:c r="C11" t="str">
        <x:v>RUN-20260521-ANALYSIS</x:v>
      </x:c>
      <x:c r="D11" t="str">
        <x:v>METH_ANALYSE_REGELZAHLUNGEN</x:v>
      </x:c>
      <x:c r="E11" t="str">
        <x:v>neue_Regelzahlung</x:v>
      </x:c>
      <x:c r="F11" t="str">
        <x:v>12_Regelzahlung_Vorschlaege</x:v>
      </x:c>
      <x:c r="G11" t="str">
        <x:v>SUG-20260521-004</x:v>
      </x:c>
      <x:c r="H11" t="str">
        <x:v>Regelzahlung pruefen</x:v>
      </x:c>
      <x:c r="I11" t="str">
        <x:v>Wiederkehrendes Monatsmuster im Import-Draft erkannt</x:v>
      </x:c>
      <x:c r="J11" t="n">
        <x:v>0.82</x:v>
      </x:c>
      <x:c r="K11" t="str">
        <x:v>hoch</x:v>
      </x:c>
      <x:c r="L11" t="str">
        <x:v>offen</x:v>
      </x:c>
      <x:c r="M11" s="59" t="b">
        <x:v>0</x:v>
      </x:c>
      <x:c r="N11" t="str">
        <x:v>nicht_beauftragt</x:v>
      </x:c>
      <x:c r="O11" t="str">
        <x:v>Gespiegelter Vorschlag; Umsetzung nur nach Nutzerentscheidung</x:v>
      </x:c>
    </x:row>
    <x:row r="12">
      <x:c r="A12" t="str">
        <x:v>SUG-20260521-005</x:v>
      </x:c>
      <x:c r="B12" t="str">
        <x:v>neue_Regelzahlung|eeca5b3dc8a28937</x:v>
      </x:c>
      <x:c r="C12" t="str">
        <x:v>RUN-20260521-ANALYSIS</x:v>
      </x:c>
      <x:c r="D12" t="str">
        <x:v>METH_ANALYSE_REGELZAHLUNGEN</x:v>
      </x:c>
      <x:c r="E12" t="str">
        <x:v>neue_Regelzahlung</x:v>
      </x:c>
      <x:c r="F12" t="str">
        <x:v>12_Regelzahlung_Vorschlaege</x:v>
      </x:c>
      <x:c r="G12" t="str">
        <x:v>SUG-20260521-005</x:v>
      </x:c>
      <x:c r="H12" t="str">
        <x:v>Regelzahlung pruefen</x:v>
      </x:c>
      <x:c r="I12" t="str">
        <x:v>Wiederkehrendes Monatsmuster im Import-Draft erkannt</x:v>
      </x:c>
      <x:c r="J12" t="n">
        <x:v>0.82</x:v>
      </x:c>
      <x:c r="K12" t="str">
        <x:v>hoch</x:v>
      </x:c>
      <x:c r="L12" t="str">
        <x:v>offen</x:v>
      </x:c>
      <x:c r="M12" s="59" t="b">
        <x:v>0</x:v>
      </x:c>
      <x:c r="N12" t="str">
        <x:v>nicht_beauftragt</x:v>
      </x:c>
      <x:c r="O12" t="str">
        <x:v>Gespiegelter Vorschlag; Umsetzung nur nach Nutzerentscheidung</x:v>
      </x:c>
    </x:row>
    <x:row r="13">
      <x:c r="A13" t="str">
        <x:v>SUG-20260521-006</x:v>
      </x:c>
      <x:c r="B13" t="str">
        <x:v>neue_Regelzahlung|07f63c598142f2f0</x:v>
      </x:c>
      <x:c r="C13" t="str">
        <x:v>RUN-20260521-ANALYSIS</x:v>
      </x:c>
      <x:c r="D13" t="str">
        <x:v>METH_ANALYSE_REGELZAHLUNGEN</x:v>
      </x:c>
      <x:c r="E13" t="str">
        <x:v>neue_Regelzahlung</x:v>
      </x:c>
      <x:c r="F13" t="str">
        <x:v>12_Regelzahlung_Vorschlaege</x:v>
      </x:c>
      <x:c r="G13" t="str">
        <x:v>SUG-20260521-006</x:v>
      </x:c>
      <x:c r="H13" t="str">
        <x:v>Regelzahlung pruefen</x:v>
      </x:c>
      <x:c r="I13" t="str">
        <x:v>Wiederkehrendes Monatsmuster im Import-Draft erkannt</x:v>
      </x:c>
      <x:c r="J13" t="n">
        <x:v>0.82</x:v>
      </x:c>
      <x:c r="K13" t="str">
        <x:v>hoch</x:v>
      </x:c>
      <x:c r="L13" t="str">
        <x:v>offen</x:v>
      </x:c>
      <x:c r="M13" s="59" t="b">
        <x:v>0</x:v>
      </x:c>
      <x:c r="N13" t="str">
        <x:v>nicht_beauftragt</x:v>
      </x:c>
      <x:c r="O13" t="str">
        <x:v>Gespiegelter Vorschlag; Umsetzung nur nach Nutzerentscheidung</x:v>
      </x:c>
    </x:row>
    <x:row r="14">
      <x:c r="A14" t="str">
        <x:v>SUG-20260521-007</x:v>
      </x:c>
      <x:c r="B14" t="str">
        <x:v>neue_Regelzahlung|ccf6db546db6b236</x:v>
      </x:c>
      <x:c r="C14" t="str">
        <x:v>RUN-20260521-ANALYSIS</x:v>
      </x:c>
      <x:c r="D14" t="str">
        <x:v>METH_ANALYSE_REGELZAHLUNGEN</x:v>
      </x:c>
      <x:c r="E14" t="str">
        <x:v>neue_Regelzahlung</x:v>
      </x:c>
      <x:c r="F14" t="str">
        <x:v>12_Regelzahlung_Vorschlaege</x:v>
      </x:c>
      <x:c r="G14" t="str">
        <x:v>SUG-20260521-007</x:v>
      </x:c>
      <x:c r="H14" t="str">
        <x:v>Regelzahlung pruefen</x:v>
      </x:c>
      <x:c r="I14" t="str">
        <x:v>Wiederkehrendes Monatsmuster im Import-Draft erkannt</x:v>
      </x:c>
      <x:c r="J14" t="n">
        <x:v>0.82</x:v>
      </x:c>
      <x:c r="K14" t="str">
        <x:v>hoch</x:v>
      </x:c>
      <x:c r="L14" t="str">
        <x:v>offen</x:v>
      </x:c>
      <x:c r="M14" s="59" t="b">
        <x:v>0</x:v>
      </x:c>
      <x:c r="N14" t="str">
        <x:v>nicht_beauftragt</x:v>
      </x:c>
      <x:c r="O14" t="str">
        <x:v>Gespiegelter Vorschlag; Umsetzung nur nach Nutzerentscheidung</x:v>
      </x:c>
    </x:row>
    <x:row r="15">
      <x:c r="A15" t="str">
        <x:v>SUG-20260521-008</x:v>
      </x:c>
      <x:c r="B15" t="str">
        <x:v>neue_Regelzahlung|b57839b00d5a6a40</x:v>
      </x:c>
      <x:c r="C15" t="str">
        <x:v>RUN-20260521-ANALYSIS</x:v>
      </x:c>
      <x:c r="D15" t="str">
        <x:v>METH_ANALYSE_REGELZAHLUNGEN</x:v>
      </x:c>
      <x:c r="E15" t="str">
        <x:v>neue_Regelzahlung</x:v>
      </x:c>
      <x:c r="F15" t="str">
        <x:v>12_Regelzahlung_Vorschlaege</x:v>
      </x:c>
      <x:c r="G15" t="str">
        <x:v>SUG-20260521-008</x:v>
      </x:c>
      <x:c r="H15" t="str">
        <x:v>Regelzahlung pruefen</x:v>
      </x:c>
      <x:c r="I15" t="str">
        <x:v>Wiederkehrendes Monatsmuster im Import-Draft erkannt</x:v>
      </x:c>
      <x:c r="J15" t="n">
        <x:v>0.82</x:v>
      </x:c>
      <x:c r="K15" t="str">
        <x:v>hoch</x:v>
      </x:c>
      <x:c r="L15" t="str">
        <x:v>offen</x:v>
      </x:c>
      <x:c r="M15" s="59" t="b">
        <x:v>0</x:v>
      </x:c>
      <x:c r="N15" t="str">
        <x:v>nicht_beauftragt</x:v>
      </x:c>
      <x:c r="O15" t="str">
        <x:v>Gespiegelter Vorschlag; Umsetzung nur nach Nutzerentscheidung</x:v>
      </x:c>
    </x:row>
    <x:row r="16">
      <x:c r="A16" t="str">
        <x:v>SUG-20260521-009</x:v>
      </x:c>
      <x:c r="B16" t="str">
        <x:v>neue_Regelzahlung|1f3a3f30c803aae1</x:v>
      </x:c>
      <x:c r="C16" t="str">
        <x:v>RUN-20260521-ANALYSIS</x:v>
      </x:c>
      <x:c r="D16" t="str">
        <x:v>METH_ANALYSE_REGELZAHLUNGEN</x:v>
      </x:c>
      <x:c r="E16" t="str">
        <x:v>neue_Regelzahlung</x:v>
      </x:c>
      <x:c r="F16" t="str">
        <x:v>12_Regelzahlung_Vorschlaege</x:v>
      </x:c>
      <x:c r="G16" t="str">
        <x:v>SUG-20260521-009</x:v>
      </x:c>
      <x:c r="H16" t="str">
        <x:v>Regelzahlung pruefen</x:v>
      </x:c>
      <x:c r="I16" t="str">
        <x:v>Wiederkehrendes Monatsmuster im Import-Draft erkannt</x:v>
      </x:c>
      <x:c r="J16" t="n">
        <x:v>0.82</x:v>
      </x:c>
      <x:c r="K16" t="str">
        <x:v>normal</x:v>
      </x:c>
      <x:c r="L16" t="str">
        <x:v>offen</x:v>
      </x:c>
      <x:c r="M16" s="59" t="b">
        <x:v>0</x:v>
      </x:c>
      <x:c r="N16" t="str">
        <x:v>nicht_beauftragt</x:v>
      </x:c>
      <x:c r="O16" t="str">
        <x:v>Gespiegelter Vorschlag; Umsetzung nur nach Nutzerentscheidung</x:v>
      </x:c>
    </x:row>
    <x:row r="17">
      <x:c r="A17" t="str">
        <x:v>SUG-20260521-010</x:v>
      </x:c>
      <x:c r="B17" t="str">
        <x:v>neue_Regelzahlung|0f74eb2de3dd3d15</x:v>
      </x:c>
      <x:c r="C17" t="str">
        <x:v>RUN-20260521-ANALYSIS</x:v>
      </x:c>
      <x:c r="D17" t="str">
        <x:v>METH_ANALYSE_REGELZAHLUNGEN</x:v>
      </x:c>
      <x:c r="E17" t="str">
        <x:v>neue_Regelzahlung</x:v>
      </x:c>
      <x:c r="F17" t="str">
        <x:v>12_Regelzahlung_Vorschlaege</x:v>
      </x:c>
      <x:c r="G17" t="str">
        <x:v>SUG-20260521-010</x:v>
      </x:c>
      <x:c r="H17" t="str">
        <x:v>Regelzahlung pruefen</x:v>
      </x:c>
      <x:c r="I17" t="str">
        <x:v>Wiederkehrendes Monatsmuster im Import-Draft erkannt</x:v>
      </x:c>
      <x:c r="J17" t="n">
        <x:v>0.82</x:v>
      </x:c>
      <x:c r="K17" t="str">
        <x:v>normal</x:v>
      </x:c>
      <x:c r="L17" t="str">
        <x:v>offen</x:v>
      </x:c>
      <x:c r="M17" s="59" t="b">
        <x:v>0</x:v>
      </x:c>
      <x:c r="N17" t="str">
        <x:v>nicht_beauftragt</x:v>
      </x:c>
      <x:c r="O17" t="str">
        <x:v>Gespiegelter Vorschlag; Umsetzung nur nach Nutzerentscheidung</x:v>
      </x:c>
    </x:row>
    <x:row r="18">
      <x:c r="A18" t="str">
        <x:v>SUG-20260521-011</x:v>
      </x:c>
      <x:c r="B18" t="str">
        <x:v>neue_Regelzahlung|13d1e636d0d87719</x:v>
      </x:c>
      <x:c r="C18" t="str">
        <x:v>RUN-20260521-ANALYSIS</x:v>
      </x:c>
      <x:c r="D18" t="str">
        <x:v>METH_ANALYSE_REGELZAHLUNGEN</x:v>
      </x:c>
      <x:c r="E18" t="str">
        <x:v>neue_Regelzahlung</x:v>
      </x:c>
      <x:c r="F18" t="str">
        <x:v>12_Regelzahlung_Vorschlaege</x:v>
      </x:c>
      <x:c r="G18" t="str">
        <x:v>SUG-20260521-011</x:v>
      </x:c>
      <x:c r="H18" t="str">
        <x:v>Regelzahlung pruefen</x:v>
      </x:c>
      <x:c r="I18" t="str">
        <x:v>Wiederkehrendes Monatsmuster im Import-Draft erkannt</x:v>
      </x:c>
      <x:c r="J18" t="n">
        <x:v>0.82</x:v>
      </x:c>
      <x:c r="K18" t="str">
        <x:v>normal</x:v>
      </x:c>
      <x:c r="L18" t="str">
        <x:v>offen</x:v>
      </x:c>
      <x:c r="M18" s="59" t="b">
        <x:v>0</x:v>
      </x:c>
      <x:c r="N18" t="str">
        <x:v>nicht_beauftragt</x:v>
      </x:c>
      <x:c r="O18" t="str">
        <x:v>Gespiegelter Vorschlag; Umsetzung nur nach Nutzerentscheidung</x:v>
      </x:c>
    </x:row>
    <x:row r="19">
      <x:c r="A19" t="str">
        <x:v>SUG-20260521-012</x:v>
      </x:c>
      <x:c r="B19" t="str">
        <x:v>neue_Regelzahlung|3474abed0e1168b4</x:v>
      </x:c>
      <x:c r="C19" t="str">
        <x:v>RUN-20260521-ANALYSIS</x:v>
      </x:c>
      <x:c r="D19" t="str">
        <x:v>METH_ANALYSE_REGELZAHLUNGEN</x:v>
      </x:c>
      <x:c r="E19" t="str">
        <x:v>neue_Regelzahlung</x:v>
      </x:c>
      <x:c r="F19" t="str">
        <x:v>12_Regelzahlung_Vorschlaege</x:v>
      </x:c>
      <x:c r="G19" t="str">
        <x:v>SUG-20260521-012</x:v>
      </x:c>
      <x:c r="H19" t="str">
        <x:v>Regelzahlung pruefen</x:v>
      </x:c>
      <x:c r="I19" t="str">
        <x:v>Wiederkehrendes Monatsmuster im Import-Draft erkannt</x:v>
      </x:c>
      <x:c r="J19" t="n">
        <x:v>0.82</x:v>
      </x:c>
      <x:c r="K19" t="str">
        <x:v>normal</x:v>
      </x:c>
      <x:c r="L19" t="str">
        <x:v>offen</x:v>
      </x:c>
      <x:c r="M19" s="59" t="b">
        <x:v>0</x:v>
      </x:c>
      <x:c r="N19" t="str">
        <x:v>nicht_beauftragt</x:v>
      </x:c>
      <x:c r="O19" t="str">
        <x:v>Gespiegelter Vorschlag; Umsetzung nur nach Nutzerentscheidung</x:v>
      </x:c>
    </x:row>
    <x:row r="20">
      <x:c r="A20" t="str">
        <x:v>SUG-20260521-013</x:v>
      </x:c>
      <x:c r="B20" t="str">
        <x:v>neue_Regelzahlung|3b32975f1d7d9606</x:v>
      </x:c>
      <x:c r="C20" t="str">
        <x:v>RUN-20260521-ANALYSIS</x:v>
      </x:c>
      <x:c r="D20" t="str">
        <x:v>METH_ANALYSE_REGELZAHLUNGEN</x:v>
      </x:c>
      <x:c r="E20" t="str">
        <x:v>neue_Regelzahlung</x:v>
      </x:c>
      <x:c r="F20" t="str">
        <x:v>12_Regelzahlung_Vorschlaege</x:v>
      </x:c>
      <x:c r="G20" t="str">
        <x:v>SUG-20260521-013</x:v>
      </x:c>
      <x:c r="H20" t="str">
        <x:v>Regelzahlung pruefen</x:v>
      </x:c>
      <x:c r="I20" t="str">
        <x:v>Wiederkehrendes Monatsmuster im Import-Draft erkannt</x:v>
      </x:c>
      <x:c r="J20" t="n">
        <x:v>0.82</x:v>
      </x:c>
      <x:c r="K20" t="str">
        <x:v>normal</x:v>
      </x:c>
      <x:c r="L20" t="str">
        <x:v>offen</x:v>
      </x:c>
      <x:c r="M20" s="59" t="b">
        <x:v>0</x:v>
      </x:c>
      <x:c r="N20" t="str">
        <x:v>nicht_beauftragt</x:v>
      </x:c>
      <x:c r="O20" t="str">
        <x:v>Gespiegelter Vorschlag; Umsetzung nur nach Nutzerentscheidung</x:v>
      </x:c>
    </x:row>
    <x:row r="21">
      <x:c r="A21" t="str">
        <x:v>SUG-20260521-014</x:v>
      </x:c>
      <x:c r="B21" t="str">
        <x:v>neue_Regelzahlung|31399b8e11a2b6ff</x:v>
      </x:c>
      <x:c r="C21" t="str">
        <x:v>RUN-20260521-ANALYSIS</x:v>
      </x:c>
      <x:c r="D21" t="str">
        <x:v>METH_ANALYSE_REGELZAHLUNGEN</x:v>
      </x:c>
      <x:c r="E21" t="str">
        <x:v>neue_Regelzahlung</x:v>
      </x:c>
      <x:c r="F21" t="str">
        <x:v>12_Regelzahlung_Vorschlaege</x:v>
      </x:c>
      <x:c r="G21" t="str">
        <x:v>SUG-20260521-014</x:v>
      </x:c>
      <x:c r="H21" t="str">
        <x:v>Regelzahlung pruefen</x:v>
      </x:c>
      <x:c r="I21" t="str">
        <x:v>Wiederkehrendes Monatsmuster im Import-Draft erkannt</x:v>
      </x:c>
      <x:c r="J21" t="n">
        <x:v>0.82</x:v>
      </x:c>
      <x:c r="K21" t="str">
        <x:v>normal</x:v>
      </x:c>
      <x:c r="L21" t="str">
        <x:v>offen</x:v>
      </x:c>
      <x:c r="M21" s="59" t="b">
        <x:v>0</x:v>
      </x:c>
      <x:c r="N21" t="str">
        <x:v>nicht_beauftragt</x:v>
      </x:c>
      <x:c r="O21" t="str">
        <x:v>Gespiegelter Vorschlag; Umsetzung nur nach Nutzerentscheidung</x:v>
      </x:c>
    </x:row>
    <x:row r="22">
      <x:c r="A22" t="str">
        <x:v>SUG-20260521-015</x:v>
      </x:c>
      <x:c r="B22" t="str">
        <x:v>neue_Regelzahlung|34b7069dcfe209a9</x:v>
      </x:c>
      <x:c r="C22" t="str">
        <x:v>RUN-20260521-ANALYSIS</x:v>
      </x:c>
      <x:c r="D22" t="str">
        <x:v>METH_ANALYSE_REGELZAHLUNGEN</x:v>
      </x:c>
      <x:c r="E22" t="str">
        <x:v>neue_Regelzahlung</x:v>
      </x:c>
      <x:c r="F22" t="str">
        <x:v>12_Regelzahlung_Vorschlaege</x:v>
      </x:c>
      <x:c r="G22" t="str">
        <x:v>SUG-20260521-015</x:v>
      </x:c>
      <x:c r="H22" t="str">
        <x:v>Regelzahlung pruefen</x:v>
      </x:c>
      <x:c r="I22" t="str">
        <x:v>Wiederkehrendes Monatsmuster im Import-Draft erkannt</x:v>
      </x:c>
      <x:c r="J22" t="n">
        <x:v>0.82</x:v>
      </x:c>
      <x:c r="K22" t="str">
        <x:v>normal</x:v>
      </x:c>
      <x:c r="L22" t="str">
        <x:v>offen</x:v>
      </x:c>
      <x:c r="M22" s="59" t="b">
        <x:v>0</x:v>
      </x:c>
      <x:c r="N22" t="str">
        <x:v>nicht_beauftragt</x:v>
      </x:c>
      <x:c r="O22" t="str">
        <x:v>Gespiegelter Vorschlag; Umsetzung nur nach Nutzerentscheidung</x:v>
      </x:c>
    </x:row>
    <x:row r="23">
      <x:c r="A23" t="str">
        <x:v>SUG-20260521-016</x:v>
      </x:c>
      <x:c r="B23" t="str">
        <x:v>neue_Regelzahlung|b3238681efe65115</x:v>
      </x:c>
      <x:c r="C23" t="str">
        <x:v>RUN-20260521-ANALYSIS</x:v>
      </x:c>
      <x:c r="D23" t="str">
        <x:v>METH_ANALYSE_REGELZAHLUNGEN</x:v>
      </x:c>
      <x:c r="E23" t="str">
        <x:v>neue_Regelzahlung</x:v>
      </x:c>
      <x:c r="F23" t="str">
        <x:v>12_Regelzahlung_Vorschlaege</x:v>
      </x:c>
      <x:c r="G23" t="str">
        <x:v>SUG-20260521-016</x:v>
      </x:c>
      <x:c r="H23" t="str">
        <x:v>Regelzahlung pruefen</x:v>
      </x:c>
      <x:c r="I23" t="str">
        <x:v>Wiederkehrendes Monatsmuster im Import-Draft erkannt</x:v>
      </x:c>
      <x:c r="J23" t="n">
        <x:v>0.82</x:v>
      </x:c>
      <x:c r="K23" t="str">
        <x:v>normal</x:v>
      </x:c>
      <x:c r="L23" t="str">
        <x:v>offen</x:v>
      </x:c>
      <x:c r="M23" s="59" t="b">
        <x:v>0</x:v>
      </x:c>
      <x:c r="N23" t="str">
        <x:v>nicht_beauftragt</x:v>
      </x:c>
      <x:c r="O23" t="str">
        <x:v>Gespiegelter Vorschlag; Umsetzung nur nach Nutzerentscheidung</x:v>
      </x:c>
    </x:row>
    <x:row r="24">
      <x:c r="A24" t="str">
        <x:v>SUG-20260521-017</x:v>
      </x:c>
      <x:c r="B24" t="str">
        <x:v>neue_Regelzahlung|167ec9cb0bbc6cd2</x:v>
      </x:c>
      <x:c r="C24" t="str">
        <x:v>RUN-20260521-ANALYSIS</x:v>
      </x:c>
      <x:c r="D24" t="str">
        <x:v>METH_ANALYSE_REGELZAHLUNGEN</x:v>
      </x:c>
      <x:c r="E24" t="str">
        <x:v>neue_Regelzahlung</x:v>
      </x:c>
      <x:c r="F24" t="str">
        <x:v>12_Regelzahlung_Vorschlaege</x:v>
      </x:c>
      <x:c r="G24" t="str">
        <x:v>SUG-20260521-017</x:v>
      </x:c>
      <x:c r="H24" t="str">
        <x:v>Regelzahlung pruefen</x:v>
      </x:c>
      <x:c r="I24" t="str">
        <x:v>Wiederkehrendes Monatsmuster im Import-Draft erkannt</x:v>
      </x:c>
      <x:c r="J24" t="n">
        <x:v>0.82</x:v>
      </x:c>
      <x:c r="K24" t="str">
        <x:v>normal</x:v>
      </x:c>
      <x:c r="L24" t="str">
        <x:v>offen</x:v>
      </x:c>
      <x:c r="M24" s="59" t="b">
        <x:v>0</x:v>
      </x:c>
      <x:c r="N24" t="str">
        <x:v>nicht_beauftragt</x:v>
      </x:c>
      <x:c r="O24" t="str">
        <x:v>Gespiegelter Vorschlag; Umsetzung nur nach Nutzerentscheidung</x:v>
      </x:c>
    </x:row>
    <x:row r="25">
      <x:c r="A25" t="str">
        <x:v>SUG-20260521-018</x:v>
      </x:c>
      <x:c r="B25" t="str">
        <x:v>neue_Regelzahlung|a3d36d3e183e8f35</x:v>
      </x:c>
      <x:c r="C25" t="str">
        <x:v>RUN-20260521-ANALYSIS</x:v>
      </x:c>
      <x:c r="D25" t="str">
        <x:v>METH_ANALYSE_REGELZAHLUNGEN</x:v>
      </x:c>
      <x:c r="E25" t="str">
        <x:v>neue_Regelzahlung</x:v>
      </x:c>
      <x:c r="F25" t="str">
        <x:v>12_Regelzahlung_Vorschlaege</x:v>
      </x:c>
      <x:c r="G25" t="str">
        <x:v>SUG-20260521-018</x:v>
      </x:c>
      <x:c r="H25" t="str">
        <x:v>Regelzahlung pruefen</x:v>
      </x:c>
      <x:c r="I25" t="str">
        <x:v>Wiederkehrendes Monatsmuster im Import-Draft erkannt</x:v>
      </x:c>
      <x:c r="J25" t="n">
        <x:v>0.82</x:v>
      </x:c>
      <x:c r="K25" t="str">
        <x:v>normal</x:v>
      </x:c>
      <x:c r="L25" t="str">
        <x:v>offen</x:v>
      </x:c>
      <x:c r="M25" s="59" t="b">
        <x:v>0</x:v>
      </x:c>
      <x:c r="N25" t="str">
        <x:v>nicht_beauftragt</x:v>
      </x:c>
      <x:c r="O25" t="str">
        <x:v>Gespiegelter Vorschlag; Umsetzung nur nach Nutzerentscheidung</x:v>
      </x:c>
    </x:row>
    <x:row r="26">
      <x:c r="A26" t="str">
        <x:v>SUG-20260521-019</x:v>
      </x:c>
      <x:c r="B26" t="str">
        <x:v>neue_Regelzahlung|5d5b5b5dbfb876be</x:v>
      </x:c>
      <x:c r="C26" t="str">
        <x:v>RUN-20260521-ANALYSIS</x:v>
      </x:c>
      <x:c r="D26" t="str">
        <x:v>METH_ANALYSE_REGELZAHLUNGEN</x:v>
      </x:c>
      <x:c r="E26" t="str">
        <x:v>neue_Regelzahlung</x:v>
      </x:c>
      <x:c r="F26" t="str">
        <x:v>12_Regelzahlung_Vorschlaege</x:v>
      </x:c>
      <x:c r="G26" t="str">
        <x:v>SUG-20260521-019</x:v>
      </x:c>
      <x:c r="H26" t="str">
        <x:v>Regelzahlung pruefen</x:v>
      </x:c>
      <x:c r="I26" t="str">
        <x:v>Wiederkehrendes Monatsmuster im Import-Draft erkannt</x:v>
      </x:c>
      <x:c r="J26" t="n">
        <x:v>0.82</x:v>
      </x:c>
      <x:c r="K26" t="str">
        <x:v>normal</x:v>
      </x:c>
      <x:c r="L26" t="str">
        <x:v>offen</x:v>
      </x:c>
      <x:c r="M26" s="59" t="b">
        <x:v>0</x:v>
      </x:c>
      <x:c r="N26" t="str">
        <x:v>nicht_beauftragt</x:v>
      </x:c>
      <x:c r="O26" t="str">
        <x:v>Gespiegelter Vorschlag; Umsetzung nur nach Nutzerentscheidung</x:v>
      </x:c>
    </x:row>
    <x:row r="27">
      <x:c r="A27" t="str">
        <x:v>SUG-20260521-020</x:v>
      </x:c>
      <x:c r="B27" t="str">
        <x:v>neue_Regelzahlung|06c35972850e14fa</x:v>
      </x:c>
      <x:c r="C27" t="str">
        <x:v>RUN-20260521-ANALYSIS</x:v>
      </x:c>
      <x:c r="D27" t="str">
        <x:v>METH_ANALYSE_REGELZAHLUNGEN</x:v>
      </x:c>
      <x:c r="E27" t="str">
        <x:v>neue_Regelzahlung</x:v>
      </x:c>
      <x:c r="F27" t="str">
        <x:v>12_Regelzahlung_Vorschlaege</x:v>
      </x:c>
      <x:c r="G27" t="str">
        <x:v>SUG-20260521-020</x:v>
      </x:c>
      <x:c r="H27" t="str">
        <x:v>Regelzahlung pruefen</x:v>
      </x:c>
      <x:c r="I27" t="str">
        <x:v>Wiederkehrendes Monatsmuster im Import-Draft erkannt</x:v>
      </x:c>
      <x:c r="J27" t="n">
        <x:v>0.82</x:v>
      </x:c>
      <x:c r="K27" t="str">
        <x:v>normal</x:v>
      </x:c>
      <x:c r="L27" t="str">
        <x:v>offen</x:v>
      </x:c>
      <x:c r="M27" s="59" t="b">
        <x:v>0</x:v>
      </x:c>
      <x:c r="N27" t="str">
        <x:v>nicht_beauftragt</x:v>
      </x:c>
      <x:c r="O27" t="str">
        <x:v>Gespiegelter Vorschlag; Umsetzung nur nach Nutzerentscheidung</x:v>
      </x:c>
    </x:row>
    <x:row r="28">
      <x:c r="A28" t="str">
        <x:v>SUG-20260521-021</x:v>
      </x:c>
      <x:c r="B28" t="str">
        <x:v>neue_Regelzahlung|3d246452b01bab91</x:v>
      </x:c>
      <x:c r="C28" t="str">
        <x:v>RUN-20260521-ANALYSIS</x:v>
      </x:c>
      <x:c r="D28" t="str">
        <x:v>METH_ANALYSE_REGELZAHLUNGEN</x:v>
      </x:c>
      <x:c r="E28" t="str">
        <x:v>neue_Regelzahlung</x:v>
      </x:c>
      <x:c r="F28" t="str">
        <x:v>12_Regelzahlung_Vorschlaege</x:v>
      </x:c>
      <x:c r="G28" t="str">
        <x:v>SUG-20260521-021</x:v>
      </x:c>
      <x:c r="H28" t="str">
        <x:v>Regelzahlung pruefen</x:v>
      </x:c>
      <x:c r="I28" t="str">
        <x:v>Wiederkehrendes Monatsmuster im Import-Draft erkannt</x:v>
      </x:c>
      <x:c r="J28" t="n">
        <x:v>0.82</x:v>
      </x:c>
      <x:c r="K28" t="str">
        <x:v>normal</x:v>
      </x:c>
      <x:c r="L28" t="str">
        <x:v>offen</x:v>
      </x:c>
      <x:c r="M28" s="59" t="b">
        <x:v>0</x:v>
      </x:c>
      <x:c r="N28" t="str">
        <x:v>nicht_beauftragt</x:v>
      </x:c>
      <x:c r="O28" t="str">
        <x:v>Gespiegelter Vorschlag; Umsetzung nur nach Nutzerentscheidung</x:v>
      </x:c>
    </x:row>
    <x:row r="29">
      <x:c r="A29" t="str">
        <x:v>SUG-20260521-022</x:v>
      </x:c>
      <x:c r="B29" t="str">
        <x:v>neue_Regelzahlung|35431db0808e1287</x:v>
      </x:c>
      <x:c r="C29" t="str">
        <x:v>RUN-20260521-ANALYSIS</x:v>
      </x:c>
      <x:c r="D29" t="str">
        <x:v>METH_ANALYSE_REGELZAHLUNGEN</x:v>
      </x:c>
      <x:c r="E29" t="str">
        <x:v>neue_Regelzahlung</x:v>
      </x:c>
      <x:c r="F29" t="str">
        <x:v>12_Regelzahlung_Vorschlaege</x:v>
      </x:c>
      <x:c r="G29" t="str">
        <x:v>SUG-20260521-022</x:v>
      </x:c>
      <x:c r="H29" t="str">
        <x:v>Regelzahlung pruefen</x:v>
      </x:c>
      <x:c r="I29" t="str">
        <x:v>Wiederkehrendes Monatsmuster im Import-Draft erkannt</x:v>
      </x:c>
      <x:c r="J29" t="n">
        <x:v>0.82</x:v>
      </x:c>
      <x:c r="K29" t="str">
        <x:v>normal</x:v>
      </x:c>
      <x:c r="L29" t="str">
        <x:v>offen</x:v>
      </x:c>
      <x:c r="M29" s="59" t="b">
        <x:v>0</x:v>
      </x:c>
      <x:c r="N29" t="str">
        <x:v>nicht_beauftragt</x:v>
      </x:c>
      <x:c r="O29" t="str">
        <x:v>Gespiegelter Vorschlag; Umsetzung nur nach Nutzerentscheidung</x:v>
      </x:c>
    </x:row>
    <x:row r="30">
      <x:c r="A30" t="str">
        <x:v>SUG-20260521-023</x:v>
      </x:c>
      <x:c r="B30" t="str">
        <x:v>neue_Regelzahlung|d1c2c9f4db94e253</x:v>
      </x:c>
      <x:c r="C30" t="str">
        <x:v>RUN-20260521-ANALYSIS</x:v>
      </x:c>
      <x:c r="D30" t="str">
        <x:v>METH_ANALYSE_REGELZAHLUNGEN</x:v>
      </x:c>
      <x:c r="E30" t="str">
        <x:v>neue_Regelzahlung</x:v>
      </x:c>
      <x:c r="F30" t="str">
        <x:v>12_Regelzahlung_Vorschlaege</x:v>
      </x:c>
      <x:c r="G30" t="str">
        <x:v>SUG-20260521-023</x:v>
      </x:c>
      <x:c r="H30" t="str">
        <x:v>Regelzahlung pruefen</x:v>
      </x:c>
      <x:c r="I30" t="str">
        <x:v>Wiederkehrendes Monatsmuster im Import-Draft erkannt</x:v>
      </x:c>
      <x:c r="J30" t="n">
        <x:v>0.82</x:v>
      </x:c>
      <x:c r="K30" t="str">
        <x:v>normal</x:v>
      </x:c>
      <x:c r="L30" t="str">
        <x:v>offen</x:v>
      </x:c>
      <x:c r="M30" s="59" t="b">
        <x:v>0</x:v>
      </x:c>
      <x:c r="N30" t="str">
        <x:v>nicht_beauftragt</x:v>
      </x:c>
      <x:c r="O30" t="str">
        <x:v>Gespiegelter Vorschlag; Umsetzung nur nach Nutzerentscheidung</x:v>
      </x:c>
    </x:row>
    <x:row r="31">
      <x:c r="A31" t="str">
        <x:v>SUG-20260521-024</x:v>
      </x:c>
      <x:c r="B31" t="str">
        <x:v>neue_Regelzahlung|5b0ea842c600a470</x:v>
      </x:c>
      <x:c r="C31" t="str">
        <x:v>RUN-20260521-ANALYSIS</x:v>
      </x:c>
      <x:c r="D31" t="str">
        <x:v>METH_ANALYSE_REGELZAHLUNGEN</x:v>
      </x:c>
      <x:c r="E31" t="str">
        <x:v>neue_Regelzahlung</x:v>
      </x:c>
      <x:c r="F31" t="str">
        <x:v>12_Regelzahlung_Vorschlaege</x:v>
      </x:c>
      <x:c r="G31" t="str">
        <x:v>SUG-20260521-024</x:v>
      </x:c>
      <x:c r="H31" t="str">
        <x:v>Regelzahlung pruefen</x:v>
      </x:c>
      <x:c r="I31" t="str">
        <x:v>Wiederkehrendes Monatsmuster im Import-Draft erkannt</x:v>
      </x:c>
      <x:c r="J31" t="n">
        <x:v>0.82</x:v>
      </x:c>
      <x:c r="K31" t="str">
        <x:v>normal</x:v>
      </x:c>
      <x:c r="L31" t="str">
        <x:v>offen</x:v>
      </x:c>
      <x:c r="M31" s="59" t="b">
        <x:v>0</x:v>
      </x:c>
      <x:c r="N31" t="str">
        <x:v>nicht_beauftragt</x:v>
      </x:c>
      <x:c r="O31" t="str">
        <x:v>Gespiegelter Vorschlag; Umsetzung nur nach Nutzerentscheidung</x:v>
      </x:c>
    </x:row>
    <x:row r="32">
      <x:c r="A32" t="str">
        <x:v>SUG-20260521-025</x:v>
      </x:c>
      <x:c r="B32" t="str">
        <x:v>neue_Regelzahlung|8d3475993fb3cc3f</x:v>
      </x:c>
      <x:c r="C32" t="str">
        <x:v>RUN-20260521-ANALYSIS</x:v>
      </x:c>
      <x:c r="D32" t="str">
        <x:v>METH_ANALYSE_REGELZAHLUNGEN</x:v>
      </x:c>
      <x:c r="E32" t="str">
        <x:v>neue_Regelzahlung</x:v>
      </x:c>
      <x:c r="F32" t="str">
        <x:v>12_Regelzahlung_Vorschlaege</x:v>
      </x:c>
      <x:c r="G32" t="str">
        <x:v>SUG-20260521-025</x:v>
      </x:c>
      <x:c r="H32" t="str">
        <x:v>Regelzahlung pruefen</x:v>
      </x:c>
      <x:c r="I32" t="str">
        <x:v>Wiederkehrendes Monatsmuster im Import-Draft erkannt</x:v>
      </x:c>
      <x:c r="J32" t="n">
        <x:v>0.82</x:v>
      </x:c>
      <x:c r="K32" t="str">
        <x:v>normal</x:v>
      </x:c>
      <x:c r="L32" t="str">
        <x:v>offen</x:v>
      </x:c>
      <x:c r="M32" s="59" t="b">
        <x:v>0</x:v>
      </x:c>
      <x:c r="N32" t="str">
        <x:v>nicht_beauftragt</x:v>
      </x:c>
      <x:c r="O32" t="str">
        <x:v>Gespiegelter Vorschlag; Umsetzung nur nach Nutzerentscheidung</x:v>
      </x:c>
    </x:row>
    <x:row r="33">
      <x:c r="A33" t="str">
        <x:v>SUG-20260521-026</x:v>
      </x:c>
      <x:c r="B33" t="str">
        <x:v>neue_Regelzahlung|3c2b081bf9d18793</x:v>
      </x:c>
      <x:c r="C33" t="str">
        <x:v>RUN-20260521-ANALYSIS</x:v>
      </x:c>
      <x:c r="D33" t="str">
        <x:v>METH_ANALYSE_REGELZAHLUNGEN</x:v>
      </x:c>
      <x:c r="E33" t="str">
        <x:v>neue_Regelzahlung</x:v>
      </x:c>
      <x:c r="F33" t="str">
        <x:v>12_Regelzahlung_Vorschlaege</x:v>
      </x:c>
      <x:c r="G33" t="str">
        <x:v>SUG-20260521-026</x:v>
      </x:c>
      <x:c r="H33" t="str">
        <x:v>Regelzahlung pruefen</x:v>
      </x:c>
      <x:c r="I33" t="str">
        <x:v>Wiederkehrendes Monatsmuster im Import-Draft erkannt</x:v>
      </x:c>
      <x:c r="J33" t="n">
        <x:v>0.82</x:v>
      </x:c>
      <x:c r="K33" t="str">
        <x:v>normal</x:v>
      </x:c>
      <x:c r="L33" t="str">
        <x:v>offen</x:v>
      </x:c>
      <x:c r="M33" s="59" t="b">
        <x:v>0</x:v>
      </x:c>
      <x:c r="N33" t="str">
        <x:v>nicht_beauftragt</x:v>
      </x:c>
      <x:c r="O33" t="str">
        <x:v>Gespiegelter Vorschlag; Umsetzung nur nach Nutzerentscheidung</x:v>
      </x:c>
    </x:row>
    <x:row r="34">
      <x:c r="A34" t="str">
        <x:v>SUG-20260521-027</x:v>
      </x:c>
      <x:c r="B34" t="str">
        <x:v>neue_Regelzahlung|3645cc72cae22652</x:v>
      </x:c>
      <x:c r="C34" t="str">
        <x:v>RUN-20260521-ANALYSIS</x:v>
      </x:c>
      <x:c r="D34" t="str">
        <x:v>METH_ANALYSE_REGELZAHLUNGEN</x:v>
      </x:c>
      <x:c r="E34" t="str">
        <x:v>neue_Regelzahlung</x:v>
      </x:c>
      <x:c r="F34" t="str">
        <x:v>12_Regelzahlung_Vorschlaege</x:v>
      </x:c>
      <x:c r="G34" t="str">
        <x:v>SUG-20260521-027</x:v>
      </x:c>
      <x:c r="H34" t="str">
        <x:v>Regelzahlung pruefen</x:v>
      </x:c>
      <x:c r="I34" t="str">
        <x:v>Wiederkehrendes Monatsmuster im Import-Draft erkannt</x:v>
      </x:c>
      <x:c r="J34" t="n">
        <x:v>0.82</x:v>
      </x:c>
      <x:c r="K34" t="str">
        <x:v>normal</x:v>
      </x:c>
      <x:c r="L34" t="str">
        <x:v>offen</x:v>
      </x:c>
      <x:c r="M34" s="59" t="b">
        <x:v>0</x:v>
      </x:c>
      <x:c r="N34" t="str">
        <x:v>nicht_beauftragt</x:v>
      </x:c>
      <x:c r="O34" t="str">
        <x:v>Gespiegelter Vorschlag; Umsetzung nur nach Nutzerentscheidung</x:v>
      </x:c>
    </x:row>
    <x:row r="35">
      <x:c r="A35" t="str">
        <x:v>SUG-20260521-028</x:v>
      </x:c>
      <x:c r="B35" t="str">
        <x:v>neue_Regelzahlung|d17b7bb45786e7b0</x:v>
      </x:c>
      <x:c r="C35" t="str">
        <x:v>RUN-20260521-ANALYSIS</x:v>
      </x:c>
      <x:c r="D35" t="str">
        <x:v>METH_ANALYSE_REGELZAHLUNGEN</x:v>
      </x:c>
      <x:c r="E35" t="str">
        <x:v>neue_Regelzahlung</x:v>
      </x:c>
      <x:c r="F35" t="str">
        <x:v>12_Regelzahlung_Vorschlaege</x:v>
      </x:c>
      <x:c r="G35" t="str">
        <x:v>SUG-20260521-028</x:v>
      </x:c>
      <x:c r="H35" t="str">
        <x:v>Regelzahlung pruefen</x:v>
      </x:c>
      <x:c r="I35" t="str">
        <x:v>Wiederkehrendes Monatsmuster im Import-Draft erkannt</x:v>
      </x:c>
      <x:c r="J35" t="n">
        <x:v>0.82</x:v>
      </x:c>
      <x:c r="K35" t="str">
        <x:v>normal</x:v>
      </x:c>
      <x:c r="L35" t="str">
        <x:v>offen</x:v>
      </x:c>
      <x:c r="M35" s="59" t="b">
        <x:v>0</x:v>
      </x:c>
      <x:c r="N35" t="str">
        <x:v>nicht_beauftragt</x:v>
      </x:c>
      <x:c r="O35" t="str">
        <x:v>Gespiegelter Vorschlag; Umsetzung nur nach Nutzerentscheidung</x:v>
      </x:c>
    </x:row>
    <x:row r="36">
      <x:c r="A36" t="str">
        <x:v>SUG-20260521-029</x:v>
      </x:c>
      <x:c r="B36" t="str">
        <x:v>neue_Regelzahlung|2f7c5712d45c53af</x:v>
      </x:c>
      <x:c r="C36" t="str">
        <x:v>RUN-20260521-ANALYSIS</x:v>
      </x:c>
      <x:c r="D36" t="str">
        <x:v>METH_ANALYSE_REGELZAHLUNGEN</x:v>
      </x:c>
      <x:c r="E36" t="str">
        <x:v>neue_Regelzahlung</x:v>
      </x:c>
      <x:c r="F36" t="str">
        <x:v>12_Regelzahlung_Vorschlaege</x:v>
      </x:c>
      <x:c r="G36" t="str">
        <x:v>SUG-20260521-029</x:v>
      </x:c>
      <x:c r="H36" t="str">
        <x:v>Regelzahlung pruefen</x:v>
      </x:c>
      <x:c r="I36" t="str">
        <x:v>Wiederkehrendes Monatsmuster im Import-Draft erkannt</x:v>
      </x:c>
      <x:c r="J36" t="n">
        <x:v>0.82</x:v>
      </x:c>
      <x:c r="K36" t="str">
        <x:v>normal</x:v>
      </x:c>
      <x:c r="L36" t="str">
        <x:v>offen</x:v>
      </x:c>
      <x:c r="M36" s="59" t="b">
        <x:v>0</x:v>
      </x:c>
      <x:c r="N36" t="str">
        <x:v>nicht_beauftragt</x:v>
      </x:c>
      <x:c r="O36" t="str">
        <x:v>Gespiegelter Vorschlag; Umsetzung nur nach Nutzerentscheidung</x:v>
      </x:c>
    </x:row>
    <x:row r="37">
      <x:c r="A37" t="str">
        <x:v>SUG-20260521-030</x:v>
      </x:c>
      <x:c r="B37" t="str">
        <x:v>neue_Regelzahlung|eb9778fb6dfebe47</x:v>
      </x:c>
      <x:c r="C37" t="str">
        <x:v>RUN-20260521-ANALYSIS</x:v>
      </x:c>
      <x:c r="D37" t="str">
        <x:v>METH_ANALYSE_REGELZAHLUNGEN</x:v>
      </x:c>
      <x:c r="E37" t="str">
        <x:v>neue_Regelzahlung</x:v>
      </x:c>
      <x:c r="F37" t="str">
        <x:v>12_Regelzahlung_Vorschlaege</x:v>
      </x:c>
      <x:c r="G37" t="str">
        <x:v>SUG-20260521-030</x:v>
      </x:c>
      <x:c r="H37" t="str">
        <x:v>Regelzahlung pruefen</x:v>
      </x:c>
      <x:c r="I37" t="str">
        <x:v>Wiederkehrendes Monatsmuster im Import-Draft erkannt</x:v>
      </x:c>
      <x:c r="J37" t="n">
        <x:v>0.82</x:v>
      </x:c>
      <x:c r="K37" t="str">
        <x:v>normal</x:v>
      </x:c>
      <x:c r="L37" t="str">
        <x:v>offen</x:v>
      </x:c>
      <x:c r="M37" s="59" t="b">
        <x:v>0</x:v>
      </x:c>
      <x:c r="N37" t="str">
        <x:v>nicht_beauftragt</x:v>
      </x:c>
      <x:c r="O37" t="str">
        <x:v>Gespiegelter Vorschlag; Umsetzung nur nach Nutzerentscheidung</x:v>
      </x:c>
    </x:row>
    <x:row r="38">
      <x:c r="A38" t="str">
        <x:v>SUG-20260521-031</x:v>
      </x:c>
      <x:c r="B38" t="str">
        <x:v>neue_Regelzahlung|7afbd2e342d1d384</x:v>
      </x:c>
      <x:c r="C38" t="str">
        <x:v>RUN-20260521-ANALYSIS</x:v>
      </x:c>
      <x:c r="D38" t="str">
        <x:v>METH_ANALYSE_REGELZAHLUNGEN</x:v>
      </x:c>
      <x:c r="E38" t="str">
        <x:v>neue_Regelzahlung</x:v>
      </x:c>
      <x:c r="F38" t="str">
        <x:v>12_Regelzahlung_Vorschlaege</x:v>
      </x:c>
      <x:c r="G38" t="str">
        <x:v>SUG-20260521-031</x:v>
      </x:c>
      <x:c r="H38" t="str">
        <x:v>Regelzahlung pruefen</x:v>
      </x:c>
      <x:c r="I38" t="str">
        <x:v>Wiederkehrendes Monatsmuster im Import-Draft erkannt</x:v>
      </x:c>
      <x:c r="J38" t="n">
        <x:v>0.82</x:v>
      </x:c>
      <x:c r="K38" t="str">
        <x:v>normal</x:v>
      </x:c>
      <x:c r="L38" t="str">
        <x:v>offen</x:v>
      </x:c>
      <x:c r="M38" s="59" t="b">
        <x:v>0</x:v>
      </x:c>
      <x:c r="N38" t="str">
        <x:v>nicht_beauftragt</x:v>
      </x:c>
      <x:c r="O38" t="str">
        <x:v>Gespiegelter Vorschlag; Umsetzung nur nach Nutzerentscheidung</x:v>
      </x:c>
    </x:row>
    <x:row r="39">
      <x:c r="A39" t="str">
        <x:v>SUG-20260521-032</x:v>
      </x:c>
      <x:c r="B39" t="str">
        <x:v>neue_Regelzahlung|4d7f82456213b036</x:v>
      </x:c>
      <x:c r="C39" t="str">
        <x:v>RUN-20260521-ANALYSIS</x:v>
      </x:c>
      <x:c r="D39" t="str">
        <x:v>METH_ANALYSE_REGELZAHLUNGEN</x:v>
      </x:c>
      <x:c r="E39" t="str">
        <x:v>neue_Regelzahlung</x:v>
      </x:c>
      <x:c r="F39" t="str">
        <x:v>12_Regelzahlung_Vorschlaege</x:v>
      </x:c>
      <x:c r="G39" t="str">
        <x:v>SUG-20260521-032</x:v>
      </x:c>
      <x:c r="H39" t="str">
        <x:v>Regelzahlung pruefen</x:v>
      </x:c>
      <x:c r="I39" t="str">
        <x:v>Wiederkehrendes Monatsmuster im Import-Draft erkannt</x:v>
      </x:c>
      <x:c r="J39" t="n">
        <x:v>0.82</x:v>
      </x:c>
      <x:c r="K39" t="str">
        <x:v>normal</x:v>
      </x:c>
      <x:c r="L39" t="str">
        <x:v>offen</x:v>
      </x:c>
      <x:c r="M39" s="59" t="b">
        <x:v>0</x:v>
      </x:c>
      <x:c r="N39" t="str">
        <x:v>nicht_beauftragt</x:v>
      </x:c>
      <x:c r="O39" t="str">
        <x:v>Gespiegelter Vorschlag; Umsetzung nur nach Nutzerentscheidung</x:v>
      </x:c>
    </x:row>
    <x:row r="40">
      <x:c r="A40" t="str">
        <x:v>SUG-20260521-033</x:v>
      </x:c>
      <x:c r="B40" t="str">
        <x:v>neue_Regelzahlung|fd6133b3bb42a488</x:v>
      </x:c>
      <x:c r="C40" t="str">
        <x:v>RUN-20260521-ANALYSIS</x:v>
      </x:c>
      <x:c r="D40" t="str">
        <x:v>METH_ANALYSE_REGELZAHLUNGEN</x:v>
      </x:c>
      <x:c r="E40" t="str">
        <x:v>neue_Regelzahlung</x:v>
      </x:c>
      <x:c r="F40" t="str">
        <x:v>12_Regelzahlung_Vorschlaege</x:v>
      </x:c>
      <x:c r="G40" t="str">
        <x:v>SUG-20260521-033</x:v>
      </x:c>
      <x:c r="H40" t="str">
        <x:v>Regelzahlung pruefen</x:v>
      </x:c>
      <x:c r="I40" t="str">
        <x:v>Wiederkehrendes Monatsmuster im Import-Draft erkannt</x:v>
      </x:c>
      <x:c r="J40" t="n">
        <x:v>0.82</x:v>
      </x:c>
      <x:c r="K40" t="str">
        <x:v>normal</x:v>
      </x:c>
      <x:c r="L40" t="str">
        <x:v>offen</x:v>
      </x:c>
      <x:c r="M40" s="59" t="b">
        <x:v>0</x:v>
      </x:c>
      <x:c r="N40" t="str">
        <x:v>nicht_beauftragt</x:v>
      </x:c>
      <x:c r="O40" t="str">
        <x:v>Gespiegelter Vorschlag; Umsetzung nur nach Nutzerentscheidung</x:v>
      </x:c>
    </x:row>
    <x:row r="41">
      <x:c r="A41" t="str">
        <x:v>SUG-20260521-034</x:v>
      </x:c>
      <x:c r="B41" t="str">
        <x:v>neue_Regelzahlung|fe916aa390bf8579</x:v>
      </x:c>
      <x:c r="C41" t="str">
        <x:v>RUN-20260521-ANALYSIS</x:v>
      </x:c>
      <x:c r="D41" t="str">
        <x:v>METH_ANALYSE_REGELZAHLUNGEN</x:v>
      </x:c>
      <x:c r="E41" t="str">
        <x:v>neue_Regelzahlung</x:v>
      </x:c>
      <x:c r="F41" t="str">
        <x:v>12_Regelzahlung_Vorschlaege</x:v>
      </x:c>
      <x:c r="G41" t="str">
        <x:v>SUG-20260521-034</x:v>
      </x:c>
      <x:c r="H41" t="str">
        <x:v>Regelzahlung pruefen</x:v>
      </x:c>
      <x:c r="I41" t="str">
        <x:v>Wiederkehrendes Monatsmuster im Import-Draft erkannt</x:v>
      </x:c>
      <x:c r="J41" t="n">
        <x:v>0.82</x:v>
      </x:c>
      <x:c r="K41" t="str">
        <x:v>normal</x:v>
      </x:c>
      <x:c r="L41" t="str">
        <x:v>offen</x:v>
      </x:c>
      <x:c r="M41" s="59" t="b">
        <x:v>0</x:v>
      </x:c>
      <x:c r="N41" t="str">
        <x:v>nicht_beauftragt</x:v>
      </x:c>
      <x:c r="O41" t="str">
        <x:v>Gespiegelter Vorschlag; Umsetzung nur nach Nutzerentscheidung</x:v>
      </x:c>
    </x:row>
    <x:row r="42">
      <x:c r="A42" t="str">
        <x:v>SUG-20260521-035</x:v>
      </x:c>
      <x:c r="B42" t="str">
        <x:v>neue_Regelzahlung|ab1cc8866494e59e</x:v>
      </x:c>
      <x:c r="C42" t="str">
        <x:v>RUN-20260521-ANALYSIS</x:v>
      </x:c>
      <x:c r="D42" t="str">
        <x:v>METH_ANALYSE_REGELZAHLUNGEN</x:v>
      </x:c>
      <x:c r="E42" t="str">
        <x:v>neue_Regelzahlung</x:v>
      </x:c>
      <x:c r="F42" t="str">
        <x:v>12_Regelzahlung_Vorschlaege</x:v>
      </x:c>
      <x:c r="G42" t="str">
        <x:v>SUG-20260521-035</x:v>
      </x:c>
      <x:c r="H42" t="str">
        <x:v>Regelzahlung pruefen</x:v>
      </x:c>
      <x:c r="I42" t="str">
        <x:v>Wiederkehrendes Monatsmuster im Import-Draft erkannt</x:v>
      </x:c>
      <x:c r="J42" t="n">
        <x:v>0.82</x:v>
      </x:c>
      <x:c r="K42" t="str">
        <x:v>normal</x:v>
      </x:c>
      <x:c r="L42" t="str">
        <x:v>offen</x:v>
      </x:c>
      <x:c r="M42" s="59" t="b">
        <x:v>0</x:v>
      </x:c>
      <x:c r="N42" t="str">
        <x:v>nicht_beauftragt</x:v>
      </x:c>
      <x:c r="O42" t="str">
        <x:v>Gespiegelter Vorschlag; Umsetzung nur nach Nutzerentscheidung</x:v>
      </x:c>
    </x:row>
    <x:row r="43">
      <x:c r="A43" t="str">
        <x:v>SUG-20260521-036</x:v>
      </x:c>
      <x:c r="B43" t="str">
        <x:v>neue_Regelzahlung|a6a0bcdeafd4d818</x:v>
      </x:c>
      <x:c r="C43" t="str">
        <x:v>RUN-20260521-ANALYSIS</x:v>
      </x:c>
      <x:c r="D43" t="str">
        <x:v>METH_ANALYSE_REGELZAHLUNGEN</x:v>
      </x:c>
      <x:c r="E43" t="str">
        <x:v>neue_Regelzahlung</x:v>
      </x:c>
      <x:c r="F43" t="str">
        <x:v>12_Regelzahlung_Vorschlaege</x:v>
      </x:c>
      <x:c r="G43" t="str">
        <x:v>SUG-20260521-036</x:v>
      </x:c>
      <x:c r="H43" t="str">
        <x:v>Regelzahlung pruefen</x:v>
      </x:c>
      <x:c r="I43" t="str">
        <x:v>Wiederkehrendes Monatsmuster im Import-Draft erkannt</x:v>
      </x:c>
      <x:c r="J43" t="n">
        <x:v>0.82</x:v>
      </x:c>
      <x:c r="K43" t="str">
        <x:v>normal</x:v>
      </x:c>
      <x:c r="L43" t="str">
        <x:v>offen</x:v>
      </x:c>
      <x:c r="M43" s="59" t="b">
        <x:v>0</x:v>
      </x:c>
      <x:c r="N43" t="str">
        <x:v>nicht_beauftragt</x:v>
      </x:c>
      <x:c r="O43" t="str">
        <x:v>Gespiegelter Vorschlag; Umsetzung nur nach Nutzerentscheidung</x:v>
      </x:c>
    </x:row>
    <x:row r="44">
      <x:c r="A44" t="str">
        <x:v>SUG-20260521-037</x:v>
      </x:c>
      <x:c r="B44" t="str">
        <x:v>neue_Regelzahlung|175c9dc3b56da455</x:v>
      </x:c>
      <x:c r="C44" t="str">
        <x:v>RUN-20260521-ANALYSIS</x:v>
      </x:c>
      <x:c r="D44" t="str">
        <x:v>METH_ANALYSE_REGELZAHLUNGEN</x:v>
      </x:c>
      <x:c r="E44" t="str">
        <x:v>neue_Regelzahlung</x:v>
      </x:c>
      <x:c r="F44" t="str">
        <x:v>12_Regelzahlung_Vorschlaege</x:v>
      </x:c>
      <x:c r="G44" t="str">
        <x:v>SUG-20260521-037</x:v>
      </x:c>
      <x:c r="H44" t="str">
        <x:v>Regelzahlung pruefen</x:v>
      </x:c>
      <x:c r="I44" t="str">
        <x:v>Wiederkehrendes Monatsmuster im Import-Draft erkannt</x:v>
      </x:c>
      <x:c r="J44" t="n">
        <x:v>0.82</x:v>
      </x:c>
      <x:c r="K44" t="str">
        <x:v>normal</x:v>
      </x:c>
      <x:c r="L44" t="str">
        <x:v>offen</x:v>
      </x:c>
      <x:c r="M44" s="59" t="b">
        <x:v>0</x:v>
      </x:c>
      <x:c r="N44" t="str">
        <x:v>nicht_beauftragt</x:v>
      </x:c>
      <x:c r="O44" t="str">
        <x:v>Gespiegelter Vorschlag; Umsetzung nur nach Nutzerentscheidung</x:v>
      </x:c>
    </x:row>
    <x:row r="45">
      <x:c r="A45" t="str">
        <x:v>SUG-20260521-038</x:v>
      </x:c>
      <x:c r="B45" t="str">
        <x:v>neue_Regelzahlung|ecb5e77da19d5f7e</x:v>
      </x:c>
      <x:c r="C45" t="str">
        <x:v>RUN-20260521-ANALYSIS</x:v>
      </x:c>
      <x:c r="D45" t="str">
        <x:v>METH_ANALYSE_REGELZAHLUNGEN</x:v>
      </x:c>
      <x:c r="E45" t="str">
        <x:v>neue_Regelzahlung</x:v>
      </x:c>
      <x:c r="F45" t="str">
        <x:v>12_Regelzahlung_Vorschlaege</x:v>
      </x:c>
      <x:c r="G45" t="str">
        <x:v>SUG-20260521-038</x:v>
      </x:c>
      <x:c r="H45" t="str">
        <x:v>Regelzahlung pruefen</x:v>
      </x:c>
      <x:c r="I45" t="str">
        <x:v>Wiederkehrendes Monatsmuster im Import-Draft erkannt</x:v>
      </x:c>
      <x:c r="J45" t="n">
        <x:v>0.82</x:v>
      </x:c>
      <x:c r="K45" t="str">
        <x:v>normal</x:v>
      </x:c>
      <x:c r="L45" t="str">
        <x:v>offen</x:v>
      </x:c>
      <x:c r="M45" s="59" t="b">
        <x:v>0</x:v>
      </x:c>
      <x:c r="N45" t="str">
        <x:v>nicht_beauftragt</x:v>
      </x:c>
      <x:c r="O45" t="str">
        <x:v>Gespiegelter Vorschlag; Umsetzung nur nach Nutzerentscheidung</x:v>
      </x:c>
    </x:row>
    <x:row r="46">
      <x:c r="A46" t="str">
        <x:v>SUG-20260521-039</x:v>
      </x:c>
      <x:c r="B46" t="str">
        <x:v>neue_Regelzahlung|bf9163b7502a6bca</x:v>
      </x:c>
      <x:c r="C46" t="str">
        <x:v>RUN-20260521-ANALYSIS</x:v>
      </x:c>
      <x:c r="D46" t="str">
        <x:v>METH_ANALYSE_REGELZAHLUNGEN</x:v>
      </x:c>
      <x:c r="E46" t="str">
        <x:v>neue_Regelzahlung</x:v>
      </x:c>
      <x:c r="F46" t="str">
        <x:v>12_Regelzahlung_Vorschlaege</x:v>
      </x:c>
      <x:c r="G46" t="str">
        <x:v>SUG-20260521-039</x:v>
      </x:c>
      <x:c r="H46" t="str">
        <x:v>Regelzahlung pruefen</x:v>
      </x:c>
      <x:c r="I46" t="str">
        <x:v>Wiederkehrendes Monatsmuster im Import-Draft erkannt</x:v>
      </x:c>
      <x:c r="J46" t="n">
        <x:v>0.82</x:v>
      </x:c>
      <x:c r="K46" t="str">
        <x:v>normal</x:v>
      </x:c>
      <x:c r="L46" t="str">
        <x:v>offen</x:v>
      </x:c>
      <x:c r="M46" s="59" t="b">
        <x:v>0</x:v>
      </x:c>
      <x:c r="N46" t="str">
        <x:v>nicht_beauftragt</x:v>
      </x:c>
      <x:c r="O46" t="str">
        <x:v>Gespiegelter Vorschlag; Umsetzung nur nach Nutzerentscheidung</x:v>
      </x:c>
    </x:row>
    <x:row r="47">
      <x:c r="A47" t="str">
        <x:v>SUG-20260521-040</x:v>
      </x:c>
      <x:c r="B47" t="str">
        <x:v>neue_Regelzahlung|22439768f19519e2</x:v>
      </x:c>
      <x:c r="C47" t="str">
        <x:v>RUN-20260521-ANALYSIS</x:v>
      </x:c>
      <x:c r="D47" t="str">
        <x:v>METH_ANALYSE_REGELZAHLUNGEN</x:v>
      </x:c>
      <x:c r="E47" t="str">
        <x:v>neue_Regelzahlung</x:v>
      </x:c>
      <x:c r="F47" t="str">
        <x:v>12_Regelzahlung_Vorschlaege</x:v>
      </x:c>
      <x:c r="G47" t="str">
        <x:v>SUG-20260521-040</x:v>
      </x:c>
      <x:c r="H47" t="str">
        <x:v>Regelzahlung pruefen</x:v>
      </x:c>
      <x:c r="I47" t="str">
        <x:v>Wiederkehrendes Monatsmuster im Import-Draft erkannt</x:v>
      </x:c>
      <x:c r="J47" t="n">
        <x:v>0.82</x:v>
      </x:c>
      <x:c r="K47" t="str">
        <x:v>normal</x:v>
      </x:c>
      <x:c r="L47" t="str">
        <x:v>offen</x:v>
      </x:c>
      <x:c r="M47" s="59" t="b">
        <x:v>0</x:v>
      </x:c>
      <x:c r="N47" t="str">
        <x:v>nicht_beauftragt</x:v>
      </x:c>
      <x:c r="O47" t="str">
        <x:v>Gespiegelter Vorschlag; Umsetzung nur nach Nutzerentscheidung</x:v>
      </x:c>
    </x:row>
    <x:row r="48">
      <x:c r="A48" t="str">
        <x:v>SUG-20260521-041</x:v>
      </x:c>
      <x:c r="B48" t="str">
        <x:v>neue_Regelzahlung|a710e1663a0b56f2</x:v>
      </x:c>
      <x:c r="C48" t="str">
        <x:v>RUN-20260521-ANALYSIS</x:v>
      </x:c>
      <x:c r="D48" t="str">
        <x:v>METH_ANALYSE_REGELZAHLUNGEN</x:v>
      </x:c>
      <x:c r="E48" t="str">
        <x:v>neue_Regelzahlung</x:v>
      </x:c>
      <x:c r="F48" t="str">
        <x:v>12_Regelzahlung_Vorschlaege</x:v>
      </x:c>
      <x:c r="G48" t="str">
        <x:v>SUG-20260521-041</x:v>
      </x:c>
      <x:c r="H48" t="str">
        <x:v>Regelzahlung pruefen</x:v>
      </x:c>
      <x:c r="I48" t="str">
        <x:v>Wiederkehrendes Monatsmuster im Import-Draft erkannt</x:v>
      </x:c>
      <x:c r="J48" t="n">
        <x:v>0.82</x:v>
      </x:c>
      <x:c r="K48" t="str">
        <x:v>normal</x:v>
      </x:c>
      <x:c r="L48" t="str">
        <x:v>offen</x:v>
      </x:c>
      <x:c r="M48" s="59" t="b">
        <x:v>0</x:v>
      </x:c>
      <x:c r="N48" t="str">
        <x:v>nicht_beauftragt</x:v>
      </x:c>
      <x:c r="O48" t="str">
        <x:v>Gespiegelter Vorschlag; Umsetzung nur nach Nutzerentscheidung</x:v>
      </x:c>
    </x:row>
    <x:row r="49">
      <x:c r="A49" t="str">
        <x:v>SUG-20260521-042</x:v>
      </x:c>
      <x:c r="B49" t="str">
        <x:v>neue_Regelzahlung|e1c6cd71df21e599</x:v>
      </x:c>
      <x:c r="C49" t="str">
        <x:v>RUN-20260521-ANALYSIS</x:v>
      </x:c>
      <x:c r="D49" t="str">
        <x:v>METH_ANALYSE_REGELZAHLUNGEN</x:v>
      </x:c>
      <x:c r="E49" t="str">
        <x:v>neue_Regelzahlung</x:v>
      </x:c>
      <x:c r="F49" t="str">
        <x:v>12_Regelzahlung_Vorschlaege</x:v>
      </x:c>
      <x:c r="G49" t="str">
        <x:v>SUG-20260521-042</x:v>
      </x:c>
      <x:c r="H49" t="str">
        <x:v>Regelzahlung pruefen</x:v>
      </x:c>
      <x:c r="I49" t="str">
        <x:v>Wiederkehrendes Monatsmuster im Import-Draft erkannt</x:v>
      </x:c>
      <x:c r="J49" t="n">
        <x:v>0.82</x:v>
      </x:c>
      <x:c r="K49" t="str">
        <x:v>normal</x:v>
      </x:c>
      <x:c r="L49" t="str">
        <x:v>offen</x:v>
      </x:c>
      <x:c r="M49" s="59" t="b">
        <x:v>0</x:v>
      </x:c>
      <x:c r="N49" t="str">
        <x:v>nicht_beauftragt</x:v>
      </x:c>
      <x:c r="O49" t="str">
        <x:v>Gespiegelter Vorschlag; Umsetzung nur nach Nutzerentscheidung</x:v>
      </x:c>
    </x:row>
    <x:row r="50">
      <x:c r="A50" t="str">
        <x:v>SUG-20260521-043</x:v>
      </x:c>
      <x:c r="B50" t="str">
        <x:v>neue_Regelzahlung|e5ea2f9241f97251</x:v>
      </x:c>
      <x:c r="C50" t="str">
        <x:v>RUN-20260521-ANALYSIS</x:v>
      </x:c>
      <x:c r="D50" t="str">
        <x:v>METH_ANALYSE_REGELZAHLUNGEN</x:v>
      </x:c>
      <x:c r="E50" t="str">
        <x:v>neue_Regelzahlung</x:v>
      </x:c>
      <x:c r="F50" t="str">
        <x:v>12_Regelzahlung_Vorschlaege</x:v>
      </x:c>
      <x:c r="G50" t="str">
        <x:v>SUG-20260521-043</x:v>
      </x:c>
      <x:c r="H50" t="str">
        <x:v>Regelzahlung pruefen</x:v>
      </x:c>
      <x:c r="I50" t="str">
        <x:v>Wiederkehrendes Monatsmuster im Import-Draft erkannt</x:v>
      </x:c>
      <x:c r="J50" t="n">
        <x:v>0.82</x:v>
      </x:c>
      <x:c r="K50" t="str">
        <x:v>normal</x:v>
      </x:c>
      <x:c r="L50" t="str">
        <x:v>offen</x:v>
      </x:c>
      <x:c r="M50" s="59" t="b">
        <x:v>0</x:v>
      </x:c>
      <x:c r="N50" t="str">
        <x:v>nicht_beauftragt</x:v>
      </x:c>
      <x:c r="O50" t="str">
        <x:v>Gespiegelter Vorschlag; Umsetzung nur nach Nutzerentscheidung</x:v>
      </x:c>
    </x:row>
    <x:row r="51">
      <x:c r="A51" t="str">
        <x:v>SUG-20260521-044</x:v>
      </x:c>
      <x:c r="B51" t="str">
        <x:v>neue_Regelzahlung|1492f7bf48031679</x:v>
      </x:c>
      <x:c r="C51" t="str">
        <x:v>RUN-20260521-ANALYSIS</x:v>
      </x:c>
      <x:c r="D51" t="str">
        <x:v>METH_ANALYSE_REGELZAHLUNGEN</x:v>
      </x:c>
      <x:c r="E51" t="str">
        <x:v>neue_Regelzahlung</x:v>
      </x:c>
      <x:c r="F51" t="str">
        <x:v>12_Regelzahlung_Vorschlaege</x:v>
      </x:c>
      <x:c r="G51" t="str">
        <x:v>SUG-20260521-044</x:v>
      </x:c>
      <x:c r="H51" t="str">
        <x:v>Regelzahlung pruefen</x:v>
      </x:c>
      <x:c r="I51" t="str">
        <x:v>Wiederkehrendes Monatsmuster im Import-Draft erkannt</x:v>
      </x:c>
      <x:c r="J51" t="n">
        <x:v>0.82</x:v>
      </x:c>
      <x:c r="K51" t="str">
        <x:v>normal</x:v>
      </x:c>
      <x:c r="L51" t="str">
        <x:v>offen</x:v>
      </x:c>
      <x:c r="M51" s="59" t="b">
        <x:v>0</x:v>
      </x:c>
      <x:c r="N51" t="str">
        <x:v>nicht_beauftragt</x:v>
      </x:c>
      <x:c r="O51" t="str">
        <x:v>Gespiegelter Vorschlag; Umsetzung nur nach Nutzerentscheidung</x:v>
      </x:c>
    </x:row>
    <x:row r="52">
      <x:c r="A52" t="str">
        <x:v>SUG-20260521-045</x:v>
      </x:c>
      <x:c r="B52" t="str">
        <x:v>neue_Regelzahlung|6247577aa0e613a3</x:v>
      </x:c>
      <x:c r="C52" t="str">
        <x:v>RUN-20260521-ANALYSIS</x:v>
      </x:c>
      <x:c r="D52" t="str">
        <x:v>METH_ANALYSE_REGELZAHLUNGEN</x:v>
      </x:c>
      <x:c r="E52" t="str">
        <x:v>neue_Regelzahlung</x:v>
      </x:c>
      <x:c r="F52" t="str">
        <x:v>12_Regelzahlung_Vorschlaege</x:v>
      </x:c>
      <x:c r="G52" t="str">
        <x:v>SUG-20260521-045</x:v>
      </x:c>
      <x:c r="H52" t="str">
        <x:v>Regelzahlung pruefen</x:v>
      </x:c>
      <x:c r="I52" t="str">
        <x:v>Wiederkehrendes Monatsmuster im Import-Draft erkannt</x:v>
      </x:c>
      <x:c r="J52" t="n">
        <x:v>0.82</x:v>
      </x:c>
      <x:c r="K52" t="str">
        <x:v>normal</x:v>
      </x:c>
      <x:c r="L52" t="str">
        <x:v>offen</x:v>
      </x:c>
      <x:c r="M52" s="59" t="b">
        <x:v>0</x:v>
      </x:c>
      <x:c r="N52" t="str">
        <x:v>nicht_beauftragt</x:v>
      </x:c>
      <x:c r="O52" t="str">
        <x:v>Gespiegelter Vorschlag; Umsetzung nur nach Nutzerentscheidung</x:v>
      </x:c>
    </x:row>
    <x:row r="53">
      <x:c r="A53" t="str">
        <x:v>SUG-20260521-046</x:v>
      </x:c>
      <x:c r="B53" t="str">
        <x:v>neue_Regelzahlung|800fe3423dc630cf</x:v>
      </x:c>
      <x:c r="C53" t="str">
        <x:v>RUN-20260521-ANALYSIS</x:v>
      </x:c>
      <x:c r="D53" t="str">
        <x:v>METH_ANALYSE_REGELZAHLUNGEN</x:v>
      </x:c>
      <x:c r="E53" t="str">
        <x:v>neue_Regelzahlung</x:v>
      </x:c>
      <x:c r="F53" t="str">
        <x:v>12_Regelzahlung_Vorschlaege</x:v>
      </x:c>
      <x:c r="G53" t="str">
        <x:v>SUG-20260521-046</x:v>
      </x:c>
      <x:c r="H53" t="str">
        <x:v>Regelzahlung pruefen</x:v>
      </x:c>
      <x:c r="I53" t="str">
        <x:v>Wiederkehrendes Monatsmuster im Import-Draft erkannt</x:v>
      </x:c>
      <x:c r="J53" t="n">
        <x:v>0.82</x:v>
      </x:c>
      <x:c r="K53" t="str">
        <x:v>normal</x:v>
      </x:c>
      <x:c r="L53" t="str">
        <x:v>offen</x:v>
      </x:c>
      <x:c r="M53" s="59" t="b">
        <x:v>0</x:v>
      </x:c>
      <x:c r="N53" t="str">
        <x:v>nicht_beauftragt</x:v>
      </x:c>
      <x:c r="O53" t="str">
        <x:v>Gespiegelter Vorschlag; Umsetzung nur nach Nutzerentscheidung</x:v>
      </x:c>
    </x:row>
    <x:row r="54">
      <x:c r="A54" t="str">
        <x:v>SUG-20260521-047</x:v>
      </x:c>
      <x:c r="B54" t="str">
        <x:v>neue_Regelzahlung|3b6b13aac64978a7</x:v>
      </x:c>
      <x:c r="C54" t="str">
        <x:v>RUN-20260521-ANALYSIS</x:v>
      </x:c>
      <x:c r="D54" t="str">
        <x:v>METH_ANALYSE_REGELZAHLUNGEN</x:v>
      </x:c>
      <x:c r="E54" t="str">
        <x:v>neue_Regelzahlung</x:v>
      </x:c>
      <x:c r="F54" t="str">
        <x:v>12_Regelzahlung_Vorschlaege</x:v>
      </x:c>
      <x:c r="G54" t="str">
        <x:v>SUG-20260521-047</x:v>
      </x:c>
      <x:c r="H54" t="str">
        <x:v>Regelzahlung pruefen</x:v>
      </x:c>
      <x:c r="I54" t="str">
        <x:v>Wiederkehrendes Monatsmuster im Import-Draft erkannt</x:v>
      </x:c>
      <x:c r="J54" t="n">
        <x:v>0.82</x:v>
      </x:c>
      <x:c r="K54" t="str">
        <x:v>normal</x:v>
      </x:c>
      <x:c r="L54" t="str">
        <x:v>offen</x:v>
      </x:c>
      <x:c r="M54" s="59" t="b">
        <x:v>0</x:v>
      </x:c>
      <x:c r="N54" t="str">
        <x:v>nicht_beauftragt</x:v>
      </x:c>
      <x:c r="O54" t="str">
        <x:v>Gespiegelter Vorschlag; Umsetzung nur nach Nutzerentscheidung</x:v>
      </x:c>
    </x:row>
    <x:row r="55">
      <x:c r="A55" t="str">
        <x:v>SUG-20260521-048</x:v>
      </x:c>
      <x:c r="B55" t="str">
        <x:v>neue_Regelzahlung|e98fbab4d1606737</x:v>
      </x:c>
      <x:c r="C55" t="str">
        <x:v>RUN-20260521-ANALYSIS</x:v>
      </x:c>
      <x:c r="D55" t="str">
        <x:v>METH_ANALYSE_REGELZAHLUNGEN</x:v>
      </x:c>
      <x:c r="E55" t="str">
        <x:v>neue_Regelzahlung</x:v>
      </x:c>
      <x:c r="F55" t="str">
        <x:v>12_Regelzahlung_Vorschlaege</x:v>
      </x:c>
      <x:c r="G55" t="str">
        <x:v>SUG-20260521-048</x:v>
      </x:c>
      <x:c r="H55" t="str">
        <x:v>Regelzahlung pruefen</x:v>
      </x:c>
      <x:c r="I55" t="str">
        <x:v>Wiederkehrendes Monatsmuster im Import-Draft erkannt</x:v>
      </x:c>
      <x:c r="J55" t="n">
        <x:v>0.82</x:v>
      </x:c>
      <x:c r="K55" t="str">
        <x:v>normal</x:v>
      </x:c>
      <x:c r="L55" t="str">
        <x:v>offen</x:v>
      </x:c>
      <x:c r="M55" s="59" t="b">
        <x:v>0</x:v>
      </x:c>
      <x:c r="N55" t="str">
        <x:v>nicht_beauftragt</x:v>
      </x:c>
      <x:c r="O55" t="str">
        <x:v>Gespiegelter Vorschlag; Umsetzung nur nach Nutzerentscheidung</x:v>
      </x:c>
    </x:row>
    <x:row r="56">
      <x:c r="A56" t="str">
        <x:v>SUG-20260521-049</x:v>
      </x:c>
      <x:c r="B56" t="str">
        <x:v>neue_Regelzahlung|a0c32df8d4b195a8</x:v>
      </x:c>
      <x:c r="C56" t="str">
        <x:v>RUN-20260521-ANALYSIS</x:v>
      </x:c>
      <x:c r="D56" t="str">
        <x:v>METH_ANALYSE_REGELZAHLUNGEN</x:v>
      </x:c>
      <x:c r="E56" t="str">
        <x:v>neue_Regelzahlung</x:v>
      </x:c>
      <x:c r="F56" t="str">
        <x:v>12_Regelzahlung_Vorschlaege</x:v>
      </x:c>
      <x:c r="G56" t="str">
        <x:v>SUG-20260521-049</x:v>
      </x:c>
      <x:c r="H56" t="str">
        <x:v>Regelzahlung pruefen</x:v>
      </x:c>
      <x:c r="I56" t="str">
        <x:v>Wiederkehrendes Monatsmuster im Import-Draft erkannt</x:v>
      </x:c>
      <x:c r="J56" t="n">
        <x:v>0.82</x:v>
      </x:c>
      <x:c r="K56" t="str">
        <x:v>normal</x:v>
      </x:c>
      <x:c r="L56" t="str">
        <x:v>offen</x:v>
      </x:c>
      <x:c r="M56" s="59" t="b">
        <x:v>0</x:v>
      </x:c>
      <x:c r="N56" t="str">
        <x:v>nicht_beauftragt</x:v>
      </x:c>
      <x:c r="O56" t="str">
        <x:v>Gespiegelter Vorschlag; Umsetzung nur nach Nutzerentscheidung</x:v>
      </x:c>
    </x:row>
    <x:row r="57">
      <x:c r="A57" t="str">
        <x:v>SUG-20260521-050</x:v>
      </x:c>
      <x:c r="B57" t="str">
        <x:v>neue_Regelzahlung|2d106fe25dabeb02</x:v>
      </x:c>
      <x:c r="C57" t="str">
        <x:v>RUN-20260521-ANALYSIS</x:v>
      </x:c>
      <x:c r="D57" t="str">
        <x:v>METH_ANALYSE_REGELZAHLUNGEN</x:v>
      </x:c>
      <x:c r="E57" t="str">
        <x:v>neue_Regelzahlung</x:v>
      </x:c>
      <x:c r="F57" t="str">
        <x:v>12_Regelzahlung_Vorschlaege</x:v>
      </x:c>
      <x:c r="G57" t="str">
        <x:v>SUG-20260521-050</x:v>
      </x:c>
      <x:c r="H57" t="str">
        <x:v>Regelzahlung pruefen</x:v>
      </x:c>
      <x:c r="I57" t="str">
        <x:v>Wiederkehrendes Monatsmuster im Import-Draft erkannt</x:v>
      </x:c>
      <x:c r="J57" t="n">
        <x:v>0.82</x:v>
      </x:c>
      <x:c r="K57" t="str">
        <x:v>normal</x:v>
      </x:c>
      <x:c r="L57" t="str">
        <x:v>offen</x:v>
      </x:c>
      <x:c r="M57" s="59" t="b">
        <x:v>0</x:v>
      </x:c>
      <x:c r="N57" t="str">
        <x:v>nicht_beauftragt</x:v>
      </x:c>
      <x:c r="O57" t="str">
        <x:v>Gespiegelter Vorschlag; Umsetzung nur nach Nutzerentscheidung</x:v>
      </x:c>
    </x:row>
    <x:row r="58">
      <x:c r="A58" t="str">
        <x:v>SUG-20260521-051</x:v>
      </x:c>
      <x:c r="B58" t="str">
        <x:v>neue_Transferregel|31f71090a4cbb746</x:v>
      </x:c>
      <x:c r="C58" t="str">
        <x:v>RUN-20260521-ANALYSIS</x:v>
      </x:c>
      <x:c r="D58" t="str">
        <x:v>METH_ANALYSE_TRANSFERS</x:v>
      </x:c>
      <x:c r="E58" t="str">
        <x:v>neue_Transferregel</x:v>
      </x:c>
      <x:c r="F58" t="str">
        <x:v>11_Umsaetze_Modell</x:v>
      </x:c>
      <x:c r="G58" t="str">
        <x:v>TXN-RAW-IMP-20260516-FULLDRAFT-000646</x:v>
      </x:c>
      <x:c r="H58" t="str">
        <x:v>Transferregel pruefen</x:v>
      </x:c>
      <x:c r="I58" t="str">
        <x:v>Transfer-Signal im Verwendungszweck oder Gegenparteitext erkannt</x:v>
      </x:c>
      <x:c r="J58" t="n">
        <x:v>0.62</x:v>
      </x:c>
      <x:c r="K58" t="str">
        <x:v>normal</x:v>
      </x:c>
      <x:c r="L58" t="str">
        <x:v>offen</x:v>
      </x:c>
      <x:c r="M58" s="59" t="b">
        <x:v>0</x:v>
      </x:c>
      <x:c r="N58" t="str">
        <x:v>nicht_beauftragt</x:v>
      </x:c>
      <x:c r="O58" t="str">
        <x:v>Keine automatische Neutralisierung; nur Transferkandidat</x:v>
      </x:c>
    </x:row>
    <x:row r="59">
      <x:c r="A59" t="str">
        <x:v>SUG-20260521-052</x:v>
      </x:c>
      <x:c r="B59" t="str">
        <x:v>neue_Transferregel|bbe3ad1754d5408a</x:v>
      </x:c>
      <x:c r="C59" t="str">
        <x:v>RUN-20260521-ANALYSIS</x:v>
      </x:c>
      <x:c r="D59" t="str">
        <x:v>METH_ANALYSE_TRANSFERS</x:v>
      </x:c>
      <x:c r="E59" t="str">
        <x:v>neue_Transferregel</x:v>
      </x:c>
      <x:c r="F59" t="str">
        <x:v>11_Umsaetze_Modell</x:v>
      </x:c>
      <x:c r="G59" t="str">
        <x:v>TXN-RAW-IMP-20260516-FULLDRAFT-000001</x:v>
      </x:c>
      <x:c r="H59" t="str">
        <x:v>Transferregel pruefen</x:v>
      </x:c>
      <x:c r="I59" t="str">
        <x:v>Transfer-Signal im Verwendungszweck oder Gegenparteitext erkannt</x:v>
      </x:c>
      <x:c r="J59" t="n">
        <x:v>0.62</x:v>
      </x:c>
      <x:c r="K59" t="str">
        <x:v>normal</x:v>
      </x:c>
      <x:c r="L59" t="str">
        <x:v>offen</x:v>
      </x:c>
      <x:c r="M59" s="59" t="b">
        <x:v>0</x:v>
      </x:c>
      <x:c r="N59" t="str">
        <x:v>nicht_beauftragt</x:v>
      </x:c>
      <x:c r="O59" t="str">
        <x:v>Keine automatische Neutralisierung; nur Transferkandidat</x:v>
      </x:c>
    </x:row>
    <x:row r="60">
      <x:c r="A60" t="str">
        <x:v>SUG-20260521-053</x:v>
      </x:c>
      <x:c r="B60" t="str">
        <x:v>neue_Transferregel|a85f500ebd20ff45</x:v>
      </x:c>
      <x:c r="C60" t="str">
        <x:v>RUN-20260521-ANALYSIS</x:v>
      </x:c>
      <x:c r="D60" t="str">
        <x:v>METH_ANALYSE_TRANSFERS</x:v>
      </x:c>
      <x:c r="E60" t="str">
        <x:v>neue_Transferregel</x:v>
      </x:c>
      <x:c r="F60" t="str">
        <x:v>11_Umsaetze_Modell</x:v>
      </x:c>
      <x:c r="G60" t="str">
        <x:v>TXN-RAW-IMP-20260516-FULLDRAFT-000229</x:v>
      </x:c>
      <x:c r="H60" t="str">
        <x:v>Transferregel pruefen</x:v>
      </x:c>
      <x:c r="I60" t="str">
        <x:v>Transfer-Signal im Verwendungszweck oder Gegenparteitext erkannt</x:v>
      </x:c>
      <x:c r="J60" t="n">
        <x:v>0.62</x:v>
      </x:c>
      <x:c r="K60" t="str">
        <x:v>normal</x:v>
      </x:c>
      <x:c r="L60" t="str">
        <x:v>offen</x:v>
      </x:c>
      <x:c r="M60" s="59" t="b">
        <x:v>0</x:v>
      </x:c>
      <x:c r="N60" t="str">
        <x:v>nicht_beauftragt</x:v>
      </x:c>
      <x:c r="O60" t="str">
        <x:v>Keine automatische Neutralisierung; nur Transferkandidat</x:v>
      </x:c>
    </x:row>
    <x:row r="61">
      <x:c r="A61" t="str">
        <x:v>SUG-20260521-054</x:v>
      </x:c>
      <x:c r="B61" t="str">
        <x:v>neue_Transferregel|1cebb20a6ce309bb</x:v>
      </x:c>
      <x:c r="C61" t="str">
        <x:v>RUN-20260521-ANALYSIS</x:v>
      </x:c>
      <x:c r="D61" t="str">
        <x:v>METH_ANALYSE_TRANSFERS</x:v>
      </x:c>
      <x:c r="E61" t="str">
        <x:v>neue_Transferregel</x:v>
      </x:c>
      <x:c r="F61" t="str">
        <x:v>11_Umsaetze_Modell</x:v>
      </x:c>
      <x:c r="G61" t="str">
        <x:v>TXN-RAW-IMP-20260516-FULLDRAFT-002410</x:v>
      </x:c>
      <x:c r="H61" t="str">
        <x:v>Transferregel pruefen</x:v>
      </x:c>
      <x:c r="I61" t="str">
        <x:v>Transfer-Signal im Verwendungszweck oder Gegenparteitext erkannt</x:v>
      </x:c>
      <x:c r="J61" t="n">
        <x:v>0.62</x:v>
      </x:c>
      <x:c r="K61" t="str">
        <x:v>normal</x:v>
      </x:c>
      <x:c r="L61" t="str">
        <x:v>offen</x:v>
      </x:c>
      <x:c r="M61" s="59" t="b">
        <x:v>0</x:v>
      </x:c>
      <x:c r="N61" t="str">
        <x:v>nicht_beauftragt</x:v>
      </x:c>
      <x:c r="O61" t="str">
        <x:v>Keine automatische Neutralisierung; nur Transferkandidat</x:v>
      </x:c>
    </x:row>
    <x:row r="62">
      <x:c r="A62" t="str">
        <x:v>SUG-20260521-055</x:v>
      </x:c>
      <x:c r="B62" t="str">
        <x:v>neue_Transferregel|8581ad9718b27ccd</x:v>
      </x:c>
      <x:c r="C62" t="str">
        <x:v>RUN-20260521-ANALYSIS</x:v>
      </x:c>
      <x:c r="D62" t="str">
        <x:v>METH_ANALYSE_TRANSFERS</x:v>
      </x:c>
      <x:c r="E62" t="str">
        <x:v>neue_Transferregel</x:v>
      </x:c>
      <x:c r="F62" t="str">
        <x:v>11_Umsaetze_Modell</x:v>
      </x:c>
      <x:c r="G62" t="str">
        <x:v>TXN-RAW-IMP-20260516-FULLDRAFT-001235</x:v>
      </x:c>
      <x:c r="H62" t="str">
        <x:v>Transferregel pruefen</x:v>
      </x:c>
      <x:c r="I62" t="str">
        <x:v>Transfer-Signal im Verwendungszweck oder Gegenparteitext erkannt</x:v>
      </x:c>
      <x:c r="J62" t="n">
        <x:v>0.62</x:v>
      </x:c>
      <x:c r="K62" t="str">
        <x:v>normal</x:v>
      </x:c>
      <x:c r="L62" t="str">
        <x:v>offen</x:v>
      </x:c>
      <x:c r="M62" s="59" t="b">
        <x:v>0</x:v>
      </x:c>
      <x:c r="N62" t="str">
        <x:v>nicht_beauftragt</x:v>
      </x:c>
      <x:c r="O62" t="str">
        <x:v>Keine automatische Neutralisierung; nur Transferkandidat</x:v>
      </x:c>
    </x:row>
    <x:row r="63">
      <x:c r="A63" t="str">
        <x:v>SUG-20260521-056</x:v>
      </x:c>
      <x:c r="B63" t="str">
        <x:v>neue_Transferregel|babaad1823d364d6</x:v>
      </x:c>
      <x:c r="C63" t="str">
        <x:v>RUN-20260521-ANALYSIS</x:v>
      </x:c>
      <x:c r="D63" t="str">
        <x:v>METH_ANALYSE_TRANSFERS</x:v>
      </x:c>
      <x:c r="E63" t="str">
        <x:v>neue_Transferregel</x:v>
      </x:c>
      <x:c r="F63" t="str">
        <x:v>11_Umsaetze_Modell</x:v>
      </x:c>
      <x:c r="G63" t="str">
        <x:v>TXN-RAW-IMP-20260516-FULLDRAFT-001216</x:v>
      </x:c>
      <x:c r="H63" t="str">
        <x:v>Transferregel pruefen</x:v>
      </x:c>
      <x:c r="I63" t="str">
        <x:v>Transfer-Signal im Verwendungszweck oder Gegenparteitext erkannt</x:v>
      </x:c>
      <x:c r="J63" t="n">
        <x:v>0.62</x:v>
      </x:c>
      <x:c r="K63" t="str">
        <x:v>normal</x:v>
      </x:c>
      <x:c r="L63" t="str">
        <x:v>offen</x:v>
      </x:c>
      <x:c r="M63" s="59" t="b">
        <x:v>0</x:v>
      </x:c>
      <x:c r="N63" t="str">
        <x:v>nicht_beauftragt</x:v>
      </x:c>
      <x:c r="O63" t="str">
        <x:v>Keine automatische Neutralisierung; nur Transferkandidat</x:v>
      </x:c>
    </x:row>
    <x:row r="64">
      <x:c r="A64" t="str">
        <x:v>SUG-20260521-057</x:v>
      </x:c>
      <x:c r="B64" t="str">
        <x:v>neue_Transferregel|69d5bdebebecc427</x:v>
      </x:c>
      <x:c r="C64" t="str">
        <x:v>RUN-20260521-ANALYSIS</x:v>
      </x:c>
      <x:c r="D64" t="str">
        <x:v>METH_ANALYSE_TRANSFERS</x:v>
      </x:c>
      <x:c r="E64" t="str">
        <x:v>neue_Transferregel</x:v>
      </x:c>
      <x:c r="F64" t="str">
        <x:v>11_Umsaetze_Modell</x:v>
      </x:c>
      <x:c r="G64" t="str">
        <x:v>TXN-RAW-IMP-20260516-FULLDRAFT-001215</x:v>
      </x:c>
      <x:c r="H64" t="str">
        <x:v>Transferregel pruefen</x:v>
      </x:c>
      <x:c r="I64" t="str">
        <x:v>Transfer-Signal im Verwendungszweck oder Gegenparteitext erkannt</x:v>
      </x:c>
      <x:c r="J64" t="n">
        <x:v>0.62</x:v>
      </x:c>
      <x:c r="K64" t="str">
        <x:v>normal</x:v>
      </x:c>
      <x:c r="L64" t="str">
        <x:v>offen</x:v>
      </x:c>
      <x:c r="M64" s="59" t="b">
        <x:v>0</x:v>
      </x:c>
      <x:c r="N64" t="str">
        <x:v>nicht_beauftragt</x:v>
      </x:c>
      <x:c r="O64" t="str">
        <x:v>Keine automatische Neutralisierung; nur Transferkandidat</x:v>
      </x:c>
    </x:row>
    <x:row r="65">
      <x:c r="A65" t="str">
        <x:v>SUG-20260521-058</x:v>
      </x:c>
      <x:c r="B65" t="str">
        <x:v>neue_Transferregel|fc0b69fbd91e1437</x:v>
      </x:c>
      <x:c r="C65" t="str">
        <x:v>RUN-20260521-ANALYSIS</x:v>
      </x:c>
      <x:c r="D65" t="str">
        <x:v>METH_ANALYSE_TRANSFERS</x:v>
      </x:c>
      <x:c r="E65" t="str">
        <x:v>neue_Transferregel</x:v>
      </x:c>
      <x:c r="F65" t="str">
        <x:v>11_Umsaetze_Modell</x:v>
      </x:c>
      <x:c r="G65" t="str">
        <x:v>TXN-RAW-IMP-20260516-FULLDRAFT-001202</x:v>
      </x:c>
      <x:c r="H65" t="str">
        <x:v>Transferregel pruefen</x:v>
      </x:c>
      <x:c r="I65" t="str">
        <x:v>Transfer-Signal im Verwendungszweck oder Gegenparteitext erkannt</x:v>
      </x:c>
      <x:c r="J65" t="n">
        <x:v>0.62</x:v>
      </x:c>
      <x:c r="K65" t="str">
        <x:v>normal</x:v>
      </x:c>
      <x:c r="L65" t="str">
        <x:v>offen</x:v>
      </x:c>
      <x:c r="M65" s="59" t="b">
        <x:v>0</x:v>
      </x:c>
      <x:c r="N65" t="str">
        <x:v>nicht_beauftragt</x:v>
      </x:c>
      <x:c r="O65" t="str">
        <x:v>Keine automatische Neutralisierung; nur Transferkandidat</x:v>
      </x:c>
    </x:row>
    <x:row r="66">
      <x:c r="A66" t="str">
        <x:v>SUG-20260521-059</x:v>
      </x:c>
      <x:c r="B66" t="str">
        <x:v>neue_Transferregel|6dbb73eb411b8a9d</x:v>
      </x:c>
      <x:c r="C66" t="str">
        <x:v>RUN-20260521-ANALYSIS</x:v>
      </x:c>
      <x:c r="D66" t="str">
        <x:v>METH_ANALYSE_TRANSFERS</x:v>
      </x:c>
      <x:c r="E66" t="str">
        <x:v>neue_Transferregel</x:v>
      </x:c>
      <x:c r="F66" t="str">
        <x:v>11_Umsaetze_Modell</x:v>
      </x:c>
      <x:c r="G66" t="str">
        <x:v>TXN-RAW-IMP-20260516-FULLDRAFT-001218</x:v>
      </x:c>
      <x:c r="H66" t="str">
        <x:v>Transferregel pruefen</x:v>
      </x:c>
      <x:c r="I66" t="str">
        <x:v>Transfer-Signal im Verwendungszweck oder Gegenparteitext erkannt</x:v>
      </x:c>
      <x:c r="J66" t="n">
        <x:v>0.62</x:v>
      </x:c>
      <x:c r="K66" t="str">
        <x:v>normal</x:v>
      </x:c>
      <x:c r="L66" t="str">
        <x:v>offen</x:v>
      </x:c>
      <x:c r="M66" s="59" t="b">
        <x:v>0</x:v>
      </x:c>
      <x:c r="N66" t="str">
        <x:v>nicht_beauftragt</x:v>
      </x:c>
      <x:c r="O66" t="str">
        <x:v>Keine automatische Neutralisierung; nur Transferkandidat</x:v>
      </x:c>
    </x:row>
    <x:row r="67">
      <x:c r="A67" t="str">
        <x:v>SUG-20260521-060</x:v>
      </x:c>
      <x:c r="B67" t="str">
        <x:v>neue_Transferregel|ed42aac4ba680a09</x:v>
      </x:c>
      <x:c r="C67" t="str">
        <x:v>RUN-20260521-ANALYSIS</x:v>
      </x:c>
      <x:c r="D67" t="str">
        <x:v>METH_ANALYSE_TRANSFERS</x:v>
      </x:c>
      <x:c r="E67" t="str">
        <x:v>neue_Transferregel</x:v>
      </x:c>
      <x:c r="F67" t="str">
        <x:v>11_Umsaetze_Modell</x:v>
      </x:c>
      <x:c r="G67" t="str">
        <x:v>TXN-RAW-IMP-20260516-FULLDRAFT-001193</x:v>
      </x:c>
      <x:c r="H67" t="str">
        <x:v>Transferregel pruefen</x:v>
      </x:c>
      <x:c r="I67" t="str">
        <x:v>Transfer-Signal im Verwendungszweck oder Gegenparteitext erkannt</x:v>
      </x:c>
      <x:c r="J67" t="n">
        <x:v>0.62</x:v>
      </x:c>
      <x:c r="K67" t="str">
        <x:v>normal</x:v>
      </x:c>
      <x:c r="L67" t="str">
        <x:v>offen</x:v>
      </x:c>
      <x:c r="M67" s="59" t="b">
        <x:v>0</x:v>
      </x:c>
      <x:c r="N67" t="str">
        <x:v>nicht_beauftragt</x:v>
      </x:c>
      <x:c r="O67" t="str">
        <x:v>Keine automatische Neutralisierung; nur Transferkandidat</x:v>
      </x:c>
    </x:row>
    <x:row r="68">
      <x:c r="A68" t="str">
        <x:v>SUG-20260521-061</x:v>
      </x:c>
      <x:c r="B68" t="str">
        <x:v>neue_Transferregel|0674bf88b304db18</x:v>
      </x:c>
      <x:c r="C68" t="str">
        <x:v>RUN-20260521-ANALYSIS</x:v>
      </x:c>
      <x:c r="D68" t="str">
        <x:v>METH_ANALYSE_TRANSFERS</x:v>
      </x:c>
      <x:c r="E68" t="str">
        <x:v>neue_Transferregel</x:v>
      </x:c>
      <x:c r="F68" t="str">
        <x:v>11_Umsaetze_Modell</x:v>
      </x:c>
      <x:c r="G68" t="str">
        <x:v>TXN-RAW-IMP-20260516-FULLDRAFT-001200</x:v>
      </x:c>
      <x:c r="H68" t="str">
        <x:v>Transferregel pruefen</x:v>
      </x:c>
      <x:c r="I68" t="str">
        <x:v>Transfer-Signal im Verwendungszweck oder Gegenparteitext erkannt</x:v>
      </x:c>
      <x:c r="J68" t="n">
        <x:v>0.62</x:v>
      </x:c>
      <x:c r="K68" t="str">
        <x:v>normal</x:v>
      </x:c>
      <x:c r="L68" t="str">
        <x:v>offen</x:v>
      </x:c>
      <x:c r="M68" s="59" t="b">
        <x:v>0</x:v>
      </x:c>
      <x:c r="N68" t="str">
        <x:v>nicht_beauftragt</x:v>
      </x:c>
      <x:c r="O68" t="str">
        <x:v>Keine automatische Neutralisierung; nur Transferkandidat</x:v>
      </x:c>
    </x:row>
    <x:row r="69">
      <x:c r="A69" t="str">
        <x:v>SUG-20260521-062</x:v>
      </x:c>
      <x:c r="B69" t="str">
        <x:v>Kategorie_Mapping|68597caa6eacb977</x:v>
      </x:c>
      <x:c r="C69" t="str">
        <x:v>RUN-20260521-ANALYSIS</x:v>
      </x:c>
      <x:c r="D69" t="str">
        <x:v>METH_ANALYSE_KATEGORIEN</x:v>
      </x:c>
      <x:c r="E69" t="str">
        <x:v>Kategorie_Mapping</x:v>
      </x:c>
      <x:c r="F69" t="str">
        <x:v>11_Umsaetze_Modell</x:v>
      </x:c>
      <x:c r="G69" t="str">
        <x:v>TXN-RAW-IMP-20260516-FULLDRAFT-000607</x:v>
      </x:c>
      <x:c r="H69" t="str">
        <x:v>Kategorie fuer Gegenpartei pruefen</x:v>
      </x:c>
      <x:c r="I69" t="str">
        <x:v>Mehrere offene Buchungen mit gleicher Gegenpartei oder relevantem Volumen erkannt</x:v>
      </x:c>
      <x:c r="J69" t="n">
        <x:v>0.58</x:v>
      </x:c>
      <x:c r="K69" t="str">
        <x:v>hoch</x:v>
      </x:c>
      <x:c r="L69" t="str">
        <x:v>offen</x:v>
      </x:c>
      <x:c r="M69" s="59" t="b">
        <x:v>0</x:v>
      </x:c>
      <x:c r="N69" t="str">
        <x:v>nicht_beauftragt</x:v>
      </x:c>
      <x:c r="O69" t="str">
        <x:v>Kein automatisches Kategorie-Mapping; Nutzerentscheidung erforderlich</x:v>
      </x:c>
    </x:row>
    <x:row r="70">
      <x:c r="A70" t="str">
        <x:v>SUG-20260521-063</x:v>
      </x:c>
      <x:c r="B70" t="str">
        <x:v>Kategorie_Mapping|add90f9ba7d1ba04</x:v>
      </x:c>
      <x:c r="C70" t="str">
        <x:v>RUN-20260521-ANALYSIS</x:v>
      </x:c>
      <x:c r="D70" t="str">
        <x:v>METH_ANALYSE_KATEGORIEN</x:v>
      </x:c>
      <x:c r="E70" t="str">
        <x:v>Kategorie_Mapping</x:v>
      </x:c>
      <x:c r="F70" t="str">
        <x:v>11_Umsaetze_Modell</x:v>
      </x:c>
      <x:c r="G70" t="str">
        <x:v>TXN-RAW-IMP-20260516-FULLDRAFT-001426</x:v>
      </x:c>
      <x:c r="H70" t="str">
        <x:v>Kategorie fuer Gegenpartei pruefen</x:v>
      </x:c>
      <x:c r="I70" t="str">
        <x:v>Mehrere offene Buchungen mit gleicher Gegenpartei oder relevantem Volumen erkannt</x:v>
      </x:c>
      <x:c r="J70" t="n">
        <x:v>0.58</x:v>
      </x:c>
      <x:c r="K70" t="str">
        <x:v>hoch</x:v>
      </x:c>
      <x:c r="L70" t="str">
        <x:v>offen</x:v>
      </x:c>
      <x:c r="M70" s="59" t="b">
        <x:v>0</x:v>
      </x:c>
      <x:c r="N70" t="str">
        <x:v>nicht_beauftragt</x:v>
      </x:c>
      <x:c r="O70" t="str">
        <x:v>Kein automatisches Kategorie-Mapping; Nutzerentscheidung erforderlich</x:v>
      </x:c>
    </x:row>
    <x:row r="71">
      <x:c r="A71" t="str">
        <x:v>SUG-20260521-064</x:v>
      </x:c>
      <x:c r="B71" t="str">
        <x:v>Kategorie_Mapping|d7184211f734a8d9</x:v>
      </x:c>
      <x:c r="C71" t="str">
        <x:v>RUN-20260521-ANALYSIS</x:v>
      </x:c>
      <x:c r="D71" t="str">
        <x:v>METH_ANALYSE_KATEGORIEN</x:v>
      </x:c>
      <x:c r="E71" t="str">
        <x:v>Kategorie_Mapping</x:v>
      </x:c>
      <x:c r="F71" t="str">
        <x:v>11_Umsaetze_Modell</x:v>
      </x:c>
      <x:c r="G71" t="str">
        <x:v>TXN-RAW-IMP-20260516-FULLDRAFT-000648</x:v>
      </x:c>
      <x:c r="H71" t="str">
        <x:v>Kategorie fuer Gegenpartei pruefen</x:v>
      </x:c>
      <x:c r="I71" t="str">
        <x:v>Mehrere offene Buchungen mit gleicher Gegenpartei oder relevantem Volumen erkannt</x:v>
      </x:c>
      <x:c r="J71" t="n">
        <x:v>0.58</x:v>
      </x:c>
      <x:c r="K71" t="str">
        <x:v>hoch</x:v>
      </x:c>
      <x:c r="L71" t="str">
        <x:v>offen</x:v>
      </x:c>
      <x:c r="M71" s="59" t="b">
        <x:v>0</x:v>
      </x:c>
      <x:c r="N71" t="str">
        <x:v>nicht_beauftragt</x:v>
      </x:c>
      <x:c r="O71" t="str">
        <x:v>Kein automatisches Kategorie-Mapping; Nutzerentscheidung erforderlich</x:v>
      </x:c>
    </x:row>
    <x:row r="72">
      <x:c r="A72" t="str">
        <x:v>SUG-20260521-065</x:v>
      </x:c>
      <x:c r="B72" t="str">
        <x:v>Kategorie_Mapping|e28cef3babf162b0</x:v>
      </x:c>
      <x:c r="C72" t="str">
        <x:v>RUN-20260521-ANALYSIS</x:v>
      </x:c>
      <x:c r="D72" t="str">
        <x:v>METH_ANALYSE_KATEGORIEN</x:v>
      </x:c>
      <x:c r="E72" t="str">
        <x:v>Kategorie_Mapping</x:v>
      </x:c>
      <x:c r="F72" t="str">
        <x:v>11_Umsaetze_Modell</x:v>
      </x:c>
      <x:c r="G72" t="str">
        <x:v>TXN-RAW-IMP-20260516-FULLDRAFT-001804</x:v>
      </x:c>
      <x:c r="H72" t="str">
        <x:v>Kategorie fuer Gegenpartei pruefen</x:v>
      </x:c>
      <x:c r="I72" t="str">
        <x:v>Mehrere offene Buchungen mit gleicher Gegenpartei oder relevantem Volumen erkannt</x:v>
      </x:c>
      <x:c r="J72" t="n">
        <x:v>0.58</x:v>
      </x:c>
      <x:c r="K72" t="str">
        <x:v>hoch</x:v>
      </x:c>
      <x:c r="L72" t="str">
        <x:v>offen</x:v>
      </x:c>
      <x:c r="M72" s="59" t="b">
        <x:v>0</x:v>
      </x:c>
      <x:c r="N72" t="str">
        <x:v>nicht_beauftragt</x:v>
      </x:c>
      <x:c r="O72" t="str">
        <x:v>Kein automatisches Kategorie-Mapping; Nutzerentscheidung erforderlich</x:v>
      </x:c>
    </x:row>
    <x:row r="73">
      <x:c r="A73" t="str">
        <x:v>SUG-20260521-066</x:v>
      </x:c>
      <x:c r="B73" t="str">
        <x:v>Kategorie_Mapping|d301bc8219a10a2b</x:v>
      </x:c>
      <x:c r="C73" t="str">
        <x:v>RUN-20260521-ANALYSIS</x:v>
      </x:c>
      <x:c r="D73" t="str">
        <x:v>METH_ANALYSE_KATEGORIEN</x:v>
      </x:c>
      <x:c r="E73" t="str">
        <x:v>Kategorie_Mapping</x:v>
      </x:c>
      <x:c r="F73" t="str">
        <x:v>11_Umsaetze_Modell</x:v>
      </x:c>
      <x:c r="G73" t="str">
        <x:v>TXN-RAW-IMP-20260516-FULLDRAFT-001974</x:v>
      </x:c>
      <x:c r="H73" t="str">
        <x:v>Kategorie fuer Gegenpartei pruefen</x:v>
      </x:c>
      <x:c r="I73" t="str">
        <x:v>Mehrere offene Buchungen mit gleicher Gegenpartei oder relevantem Volumen erkannt</x:v>
      </x:c>
      <x:c r="J73" t="n">
        <x:v>0.58</x:v>
      </x:c>
      <x:c r="K73" t="str">
        <x:v>hoch</x:v>
      </x:c>
      <x:c r="L73" t="str">
        <x:v>offen</x:v>
      </x:c>
      <x:c r="M73" s="59" t="b">
        <x:v>0</x:v>
      </x:c>
      <x:c r="N73" t="str">
        <x:v>nicht_beauftragt</x:v>
      </x:c>
      <x:c r="O73" t="str">
        <x:v>Kein automatisches Kategorie-Mapping; Nutzerentscheidung erforderlich</x:v>
      </x:c>
    </x:row>
    <x:row r="74">
      <x:c r="A74" t="str">
        <x:v>SUG-20260521-067</x:v>
      </x:c>
      <x:c r="B74" t="str">
        <x:v>Kategorie_Mapping|e5bb13577f5cfd2b</x:v>
      </x:c>
      <x:c r="C74" t="str">
        <x:v>RUN-20260521-ANALYSIS</x:v>
      </x:c>
      <x:c r="D74" t="str">
        <x:v>METH_ANALYSE_KATEGORIEN</x:v>
      </x:c>
      <x:c r="E74" t="str">
        <x:v>Kategorie_Mapping</x:v>
      </x:c>
      <x:c r="F74" t="str">
        <x:v>11_Umsaetze_Modell</x:v>
      </x:c>
      <x:c r="G74" t="str">
        <x:v>TXN-RAW-IMP-20260516-FULLDRAFT-000593</x:v>
      </x:c>
      <x:c r="H74" t="str">
        <x:v>Kategorie fuer Gegenpartei pruefen</x:v>
      </x:c>
      <x:c r="I74" t="str">
        <x:v>Mehrere offene Buchungen mit gleicher Gegenpartei oder relevantem Volumen erkannt</x:v>
      </x:c>
      <x:c r="J74" t="n">
        <x:v>0.58</x:v>
      </x:c>
      <x:c r="K74" t="str">
        <x:v>hoch</x:v>
      </x:c>
      <x:c r="L74" t="str">
        <x:v>offen</x:v>
      </x:c>
      <x:c r="M74" s="59" t="b">
        <x:v>0</x:v>
      </x:c>
      <x:c r="N74" t="str">
        <x:v>nicht_beauftragt</x:v>
      </x:c>
      <x:c r="O74" t="str">
        <x:v>Kein automatisches Kategorie-Mapping; Nutzerentscheidung erforderlich</x:v>
      </x:c>
    </x:row>
    <x:row r="75">
      <x:c r="A75" t="str">
        <x:v>SUG-20260521-068</x:v>
      </x:c>
      <x:c r="B75" t="str">
        <x:v>Kategorie_Mapping|d0387032701ca9cc</x:v>
      </x:c>
      <x:c r="C75" t="str">
        <x:v>RUN-20260521-ANALYSIS</x:v>
      </x:c>
      <x:c r="D75" t="str">
        <x:v>METH_ANALYSE_KATEGORIEN</x:v>
      </x:c>
      <x:c r="E75" t="str">
        <x:v>Kategorie_Mapping</x:v>
      </x:c>
      <x:c r="F75" t="str">
        <x:v>11_Umsaetze_Modell</x:v>
      </x:c>
      <x:c r="G75" t="str">
        <x:v>TXN-RAW-IMP-20260516-FULLDRAFT-002052</x:v>
      </x:c>
      <x:c r="H75" t="str">
        <x:v>Kategorie fuer Gegenpartei pruefen</x:v>
      </x:c>
      <x:c r="I75" t="str">
        <x:v>Mehrere offene Buchungen mit gleicher Gegenpartei oder relevantem Volumen erkannt</x:v>
      </x:c>
      <x:c r="J75" t="n">
        <x:v>0.58</x:v>
      </x:c>
      <x:c r="K75" t="str">
        <x:v>hoch</x:v>
      </x:c>
      <x:c r="L75" t="str">
        <x:v>offen</x:v>
      </x:c>
      <x:c r="M75" s="59" t="b">
        <x:v>0</x:v>
      </x:c>
      <x:c r="N75" t="str">
        <x:v>nicht_beauftragt</x:v>
      </x:c>
      <x:c r="O75" t="str">
        <x:v>Kein automatisches Kategorie-Mapping; Nutzerentscheidung erforderlich</x:v>
      </x:c>
    </x:row>
    <x:row r="76">
      <x:c r="A76" t="str">
        <x:v>SUG-20260521-069</x:v>
      </x:c>
      <x:c r="B76" t="str">
        <x:v>Kategorie_Mapping|997ae3261e67bc01</x:v>
      </x:c>
      <x:c r="C76" t="str">
        <x:v>RUN-20260521-ANALYSIS</x:v>
      </x:c>
      <x:c r="D76" t="str">
        <x:v>METH_ANALYSE_KATEGORIEN</x:v>
      </x:c>
      <x:c r="E76" t="str">
        <x:v>Kategorie_Mapping</x:v>
      </x:c>
      <x:c r="F76" t="str">
        <x:v>11_Umsaetze_Modell</x:v>
      </x:c>
      <x:c r="G76" t="str">
        <x:v>TXN-RAW-IMP-20260516-FULLDRAFT-001092</x:v>
      </x:c>
      <x:c r="H76" t="str">
        <x:v>Kategorie fuer Gegenpartei pruefen</x:v>
      </x:c>
      <x:c r="I76" t="str">
        <x:v>Mehrere offene Buchungen mit gleicher Gegenpartei oder relevantem Volumen erkannt</x:v>
      </x:c>
      <x:c r="J76" t="n">
        <x:v>0.58</x:v>
      </x:c>
      <x:c r="K76" t="str">
        <x:v>hoch</x:v>
      </x:c>
      <x:c r="L76" t="str">
        <x:v>offen</x:v>
      </x:c>
      <x:c r="M76" s="59" t="b">
        <x:v>0</x:v>
      </x:c>
      <x:c r="N76" t="str">
        <x:v>nicht_beauftragt</x:v>
      </x:c>
      <x:c r="O76" t="str">
        <x:v>Kein automatisches Kategorie-Mapping; Nutzerentscheidung erforderlich</x:v>
      </x:c>
    </x:row>
    <x:row r="77">
      <x:c r="A77" t="str">
        <x:v>SUG-20260521-070</x:v>
      </x:c>
      <x:c r="B77" t="str">
        <x:v>Kategorie_Mapping|3867eff5809a6475</x:v>
      </x:c>
      <x:c r="C77" t="str">
        <x:v>RUN-20260521-ANALYSIS</x:v>
      </x:c>
      <x:c r="D77" t="str">
        <x:v>METH_ANALYSE_KATEGORIEN</x:v>
      </x:c>
      <x:c r="E77" t="str">
        <x:v>Kategorie_Mapping</x:v>
      </x:c>
      <x:c r="F77" t="str">
        <x:v>11_Umsaetze_Modell</x:v>
      </x:c>
      <x:c r="G77" t="str">
        <x:v>TXN-RAW-IMP-20260516-FULLDRAFT-002180</x:v>
      </x:c>
      <x:c r="H77" t="str">
        <x:v>Kategorie fuer Gegenpartei pruefen</x:v>
      </x:c>
      <x:c r="I77" t="str">
        <x:v>Mehrere offene Buchungen mit gleicher Gegenpartei oder relevantem Volumen erkannt</x:v>
      </x:c>
      <x:c r="J77" t="n">
        <x:v>0.58</x:v>
      </x:c>
      <x:c r="K77" t="str">
        <x:v>hoch</x:v>
      </x:c>
      <x:c r="L77" t="str">
        <x:v>offen</x:v>
      </x:c>
      <x:c r="M77" s="59" t="b">
        <x:v>0</x:v>
      </x:c>
      <x:c r="N77" t="str">
        <x:v>nicht_beauftragt</x:v>
      </x:c>
      <x:c r="O77" t="str">
        <x:v>Kein automatisches Kategorie-Mapping; Nutzerentscheidung erforderlich</x:v>
      </x:c>
    </x:row>
    <x:row r="78">
      <x:c r="A78" t="str">
        <x:v>SUG-20260521-071</x:v>
      </x:c>
      <x:c r="B78" t="str">
        <x:v>Kategorie_Mapping|250e2fa9d64114b5</x:v>
      </x:c>
      <x:c r="C78" t="str">
        <x:v>RUN-20260521-ANALYSIS</x:v>
      </x:c>
      <x:c r="D78" t="str">
        <x:v>METH_ANALYSE_KATEGORIEN</x:v>
      </x:c>
      <x:c r="E78" t="str">
        <x:v>Kategorie_Mapping</x:v>
      </x:c>
      <x:c r="F78" t="str">
        <x:v>11_Umsaetze_Modell</x:v>
      </x:c>
      <x:c r="G78" t="str">
        <x:v>TXN-RAW-IMP-20260516-FULLDRAFT-002088</x:v>
      </x:c>
      <x:c r="H78" t="str">
        <x:v>Kategorie fuer Gegenpartei pruefen</x:v>
      </x:c>
      <x:c r="I78" t="str">
        <x:v>Mehrere offene Buchungen mit gleicher Gegenpartei oder relevantem Volumen erkannt</x:v>
      </x:c>
      <x:c r="J78" t="n">
        <x:v>0.58</x:v>
      </x:c>
      <x:c r="K78" t="str">
        <x:v>hoch</x:v>
      </x:c>
      <x:c r="L78" t="str">
        <x:v>offen</x:v>
      </x:c>
      <x:c r="M78" s="59" t="b">
        <x:v>0</x:v>
      </x:c>
      <x:c r="N78" t="str">
        <x:v>nicht_beauftragt</x:v>
      </x:c>
      <x:c r="O78" t="str">
        <x:v>Kein automatisches Kategorie-Mapping; Nutzerentscheidung erforderlich</x:v>
      </x:c>
    </x:row>
    <x:row r="79">
      <x:c r="A79" t="str">
        <x:v>SUG-20260521-072</x:v>
      </x:c>
      <x:c r="B79" t="str">
        <x:v>Kategorie_Mapping|c391f9a53f48a198</x:v>
      </x:c>
      <x:c r="C79" t="str">
        <x:v>RUN-20260521-ANALYSIS</x:v>
      </x:c>
      <x:c r="D79" t="str">
        <x:v>METH_ANALYSE_KATEGORIEN</x:v>
      </x:c>
      <x:c r="E79" t="str">
        <x:v>Kategorie_Mapping</x:v>
      </x:c>
      <x:c r="F79" t="str">
        <x:v>11_Umsaetze_Modell</x:v>
      </x:c>
      <x:c r="G79" t="str">
        <x:v>TXN-RAW-IMP-20260516-FULLDRAFT-001733</x:v>
      </x:c>
      <x:c r="H79" t="str">
        <x:v>Kategorie fuer Gegenpartei pruefen</x:v>
      </x:c>
      <x:c r="I79" t="str">
        <x:v>Mehrere offene Buchungen mit gleicher Gegenpartei oder relevantem Volumen erkannt</x:v>
      </x:c>
      <x:c r="J79" t="n">
        <x:v>0.58</x:v>
      </x:c>
      <x:c r="K79" t="str">
        <x:v>hoch</x:v>
      </x:c>
      <x:c r="L79" t="str">
        <x:v>offen</x:v>
      </x:c>
      <x:c r="M79" s="59" t="b">
        <x:v>0</x:v>
      </x:c>
      <x:c r="N79" t="str">
        <x:v>nicht_beauftragt</x:v>
      </x:c>
      <x:c r="O79" t="str">
        <x:v>Kein automatisches Kategorie-Mapping; Nutzerentscheidung erforderlich</x:v>
      </x:c>
    </x:row>
    <x:row r="80">
      <x:c r="A80" t="str">
        <x:v>SUG-20260521-073</x:v>
      </x:c>
      <x:c r="B80" t="str">
        <x:v>Kategorie_Mapping|e1ac58df7c416c7c</x:v>
      </x:c>
      <x:c r="C80" t="str">
        <x:v>RUN-20260521-ANALYSIS</x:v>
      </x:c>
      <x:c r="D80" t="str">
        <x:v>METH_ANALYSE_KATEGORIEN</x:v>
      </x:c>
      <x:c r="E80" t="str">
        <x:v>Kategorie_Mapping</x:v>
      </x:c>
      <x:c r="F80" t="str">
        <x:v>11_Umsaetze_Modell</x:v>
      </x:c>
      <x:c r="G80" t="str">
        <x:v>TXN-RAW-IMP-20260516-FULLDRAFT-002082</x:v>
      </x:c>
      <x:c r="H80" t="str">
        <x:v>Kategorie fuer Gegenpartei pruefen</x:v>
      </x:c>
      <x:c r="I80" t="str">
        <x:v>Mehrere offene Buchungen mit gleicher Gegenpartei oder relevantem Volumen erkannt</x:v>
      </x:c>
      <x:c r="J80" t="n">
        <x:v>0.58</x:v>
      </x:c>
      <x:c r="K80" t="str">
        <x:v>hoch</x:v>
      </x:c>
      <x:c r="L80" t="str">
        <x:v>offen</x:v>
      </x:c>
      <x:c r="M80" s="59" t="b">
        <x:v>0</x:v>
      </x:c>
      <x:c r="N80" t="str">
        <x:v>nicht_beauftragt</x:v>
      </x:c>
      <x:c r="O80" t="str">
        <x:v>Kein automatisches Kategorie-Mapping; Nutzerentscheidung erforderlich</x:v>
      </x:c>
    </x:row>
    <x:row r="81">
      <x:c r="A81" t="str">
        <x:v>SUG-20260521-074</x:v>
      </x:c>
      <x:c r="B81" t="str">
        <x:v>Kategorie_Mapping|f0ee204b37bc33c1</x:v>
      </x:c>
      <x:c r="C81" t="str">
        <x:v>RUN-20260521-ANALYSIS</x:v>
      </x:c>
      <x:c r="D81" t="str">
        <x:v>METH_ANALYSE_KATEGORIEN</x:v>
      </x:c>
      <x:c r="E81" t="str">
        <x:v>Kategorie_Mapping</x:v>
      </x:c>
      <x:c r="F81" t="str">
        <x:v>11_Umsaetze_Modell</x:v>
      </x:c>
      <x:c r="G81" t="str">
        <x:v>TXN-RAW-IMP-20260516-FULLDRAFT-000123</x:v>
      </x:c>
      <x:c r="H81" t="str">
        <x:v>Kategorie fuer Gegenpartei pruefen</x:v>
      </x:c>
      <x:c r="I81" t="str">
        <x:v>Mehrere offene Buchungen mit gleicher Gegenpartei oder relevantem Volumen erkannt</x:v>
      </x:c>
      <x:c r="J81" t="n">
        <x:v>0.7</x:v>
      </x:c>
      <x:c r="K81" t="str">
        <x:v>hoch</x:v>
      </x:c>
      <x:c r="L81" t="str">
        <x:v>offen</x:v>
      </x:c>
      <x:c r="M81" s="59" t="b">
        <x:v>0</x:v>
      </x:c>
      <x:c r="N81" t="str">
        <x:v>nicht_beauftragt</x:v>
      </x:c>
      <x:c r="O81" t="str">
        <x:v>Kein automatisches Kategorie-Mapping; Nutzerentscheidung erforderlich</x:v>
      </x:c>
    </x:row>
    <x:row r="82">
      <x:c r="A82" t="str">
        <x:v>SUG-20260521-075</x:v>
      </x:c>
      <x:c r="B82" t="str">
        <x:v>Kategorie_Mapping|91e9367731de8be2</x:v>
      </x:c>
      <x:c r="C82" t="str">
        <x:v>RUN-20260521-ANALYSIS</x:v>
      </x:c>
      <x:c r="D82" t="str">
        <x:v>METH_ANALYSE_KATEGORIEN</x:v>
      </x:c>
      <x:c r="E82" t="str">
        <x:v>Kategorie_Mapping</x:v>
      </x:c>
      <x:c r="F82" t="str">
        <x:v>11_Umsaetze_Modell</x:v>
      </x:c>
      <x:c r="G82" t="str">
        <x:v>TXN-RAW-IMP-20260516-FULLDRAFT-000758</x:v>
      </x:c>
      <x:c r="H82" t="str">
        <x:v>Kategorie fuer Gegenpartei pruefen</x:v>
      </x:c>
      <x:c r="I82" t="str">
        <x:v>Mehrere offene Buchungen mit gleicher Gegenpartei oder relevantem Volumen erkannt</x:v>
      </x:c>
      <x:c r="J82" t="n">
        <x:v>0.58</x:v>
      </x:c>
      <x:c r="K82" t="str">
        <x:v>hoch</x:v>
      </x:c>
      <x:c r="L82" t="str">
        <x:v>offen</x:v>
      </x:c>
      <x:c r="M82" s="59" t="b">
        <x:v>0</x:v>
      </x:c>
      <x:c r="N82" t="str">
        <x:v>nicht_beauftragt</x:v>
      </x:c>
      <x:c r="O82" t="str">
        <x:v>Kein automatisches Kategorie-Mapping; Nutzerentscheidung erforderlich</x:v>
      </x:c>
    </x:row>
    <x:row r="83">
      <x:c r="A83" t="str">
        <x:v>SUG-20260521-076</x:v>
      </x:c>
      <x:c r="B83" t="str">
        <x:v>Kategorie_Mapping|3b2304f8b5d1a1fb</x:v>
      </x:c>
      <x:c r="C83" t="str">
        <x:v>RUN-20260521-ANALYSIS</x:v>
      </x:c>
      <x:c r="D83" t="str">
        <x:v>METH_ANALYSE_KATEGORIEN</x:v>
      </x:c>
      <x:c r="E83" t="str">
        <x:v>Kategorie_Mapping</x:v>
      </x:c>
      <x:c r="F83" t="str">
        <x:v>11_Umsaetze_Modell</x:v>
      </x:c>
      <x:c r="G83" t="str">
        <x:v>TXN-RAW-IMP-20260516-FULLDRAFT-000973</x:v>
      </x:c>
      <x:c r="H83" t="str">
        <x:v>Kategorie fuer Gegenpartei pruefen</x:v>
      </x:c>
      <x:c r="I83" t="str">
        <x:v>Mehrere offene Buchungen mit gleicher Gegenpartei oder relevantem Volumen erkannt</x:v>
      </x:c>
      <x:c r="J83" t="n">
        <x:v>0.58</x:v>
      </x:c>
      <x:c r="K83" t="str">
        <x:v>hoch</x:v>
      </x:c>
      <x:c r="L83" t="str">
        <x:v>offen</x:v>
      </x:c>
      <x:c r="M83" s="59" t="b">
        <x:v>0</x:v>
      </x:c>
      <x:c r="N83" t="str">
        <x:v>nicht_beauftragt</x:v>
      </x:c>
      <x:c r="O83" t="str">
        <x:v>Kein automatisches Kategorie-Mapping; Nutzerentscheidung erforderlich</x:v>
      </x:c>
    </x:row>
    <x:row r="84">
      <x:c r="A84" t="str">
        <x:v>SUG-20260521-077</x:v>
      </x:c>
      <x:c r="B84" t="str">
        <x:v>Kategorie_Mapping|ef9d3d782bcabb98</x:v>
      </x:c>
      <x:c r="C84" t="str">
        <x:v>RUN-20260521-ANALYSIS</x:v>
      </x:c>
      <x:c r="D84" t="str">
        <x:v>METH_ANALYSE_KATEGORIEN</x:v>
      </x:c>
      <x:c r="E84" t="str">
        <x:v>Kategorie_Mapping</x:v>
      </x:c>
      <x:c r="F84" t="str">
        <x:v>11_Umsaetze_Modell</x:v>
      </x:c>
      <x:c r="G84" t="str">
        <x:v>TXN-RAW-IMP-20260516-FULLDRAFT-001642</x:v>
      </x:c>
      <x:c r="H84" t="str">
        <x:v>Kategorie fuer Gegenpartei pruefen</x:v>
      </x:c>
      <x:c r="I84" t="str">
        <x:v>Mehrere offene Buchungen mit gleicher Gegenpartei oder relevantem Volumen erkannt</x:v>
      </x:c>
      <x:c r="J84" t="n">
        <x:v>0.58</x:v>
      </x:c>
      <x:c r="K84" t="str">
        <x:v>hoch</x:v>
      </x:c>
      <x:c r="L84" t="str">
        <x:v>offen</x:v>
      </x:c>
      <x:c r="M84" s="59" t="b">
        <x:v>0</x:v>
      </x:c>
      <x:c r="N84" t="str">
        <x:v>nicht_beauftragt</x:v>
      </x:c>
      <x:c r="O84" t="str">
        <x:v>Kein automatisches Kategorie-Mapping; Nutzerentscheidung erforderlich</x:v>
      </x:c>
    </x:row>
    <x:row r="85">
      <x:c r="A85" t="str">
        <x:v>SUG-20260521-078</x:v>
      </x:c>
      <x:c r="B85" t="str">
        <x:v>Kategorie_Mapping|c41417b910f7f0f8</x:v>
      </x:c>
      <x:c r="C85" t="str">
        <x:v>RUN-20260521-ANALYSIS</x:v>
      </x:c>
      <x:c r="D85" t="str">
        <x:v>METH_ANALYSE_KATEGORIEN</x:v>
      </x:c>
      <x:c r="E85" t="str">
        <x:v>Kategorie_Mapping</x:v>
      </x:c>
      <x:c r="F85" t="str">
        <x:v>11_Umsaetze_Modell</x:v>
      </x:c>
      <x:c r="G85" t="str">
        <x:v>TXN-RAW-IMP-20260516-FULLDRAFT-002201</x:v>
      </x:c>
      <x:c r="H85" t="str">
        <x:v>Kategorie fuer Gegenpartei pruefen</x:v>
      </x:c>
      <x:c r="I85" t="str">
        <x:v>Mehrere offene Buchungen mit gleicher Gegenpartei oder relevantem Volumen erkannt</x:v>
      </x:c>
      <x:c r="J85" t="n">
        <x:v>0.58</x:v>
      </x:c>
      <x:c r="K85" t="str">
        <x:v>hoch</x:v>
      </x:c>
      <x:c r="L85" t="str">
        <x:v>offen</x:v>
      </x:c>
      <x:c r="M85" s="59" t="b">
        <x:v>0</x:v>
      </x:c>
      <x:c r="N85" t="str">
        <x:v>nicht_beauftragt</x:v>
      </x:c>
      <x:c r="O85" t="str">
        <x:v>Kein automatisches Kategorie-Mapping; Nutzerentscheidung erforderlich</x:v>
      </x:c>
    </x:row>
    <x:row r="86">
      <x:c r="A86" t="str">
        <x:v>SUG-20260521-079</x:v>
      </x:c>
      <x:c r="B86" t="str">
        <x:v>Kategorie_Mapping|a8c5a05ee3275bf1</x:v>
      </x:c>
      <x:c r="C86" t="str">
        <x:v>RUN-20260521-ANALYSIS</x:v>
      </x:c>
      <x:c r="D86" t="str">
        <x:v>METH_ANALYSE_KATEGORIEN</x:v>
      </x:c>
      <x:c r="E86" t="str">
        <x:v>Kategorie_Mapping</x:v>
      </x:c>
      <x:c r="F86" t="str">
        <x:v>11_Umsaetze_Modell</x:v>
      </x:c>
      <x:c r="G86" t="str">
        <x:v>TXN-RAW-IMP-20260516-FULLDRAFT-000028</x:v>
      </x:c>
      <x:c r="H86" t="str">
        <x:v>Kategorie fuer Gegenpartei pruefen</x:v>
      </x:c>
      <x:c r="I86" t="str">
        <x:v>Mehrere offene Buchungen mit gleicher Gegenpartei oder relevantem Volumen erkannt</x:v>
      </x:c>
      <x:c r="J86" t="n">
        <x:v>0.58</x:v>
      </x:c>
      <x:c r="K86" t="str">
        <x:v>hoch</x:v>
      </x:c>
      <x:c r="L86" t="str">
        <x:v>offen</x:v>
      </x:c>
      <x:c r="M86" s="59" t="b">
        <x:v>0</x:v>
      </x:c>
      <x:c r="N86" t="str">
        <x:v>nicht_beauftragt</x:v>
      </x:c>
      <x:c r="O86" t="str">
        <x:v>Kein automatisches Kategorie-Mapping; Nutzerentscheidung erforderlich</x:v>
      </x:c>
    </x:row>
    <x:row r="87">
      <x:c r="A87" t="str">
        <x:v>SUG-20260521-080</x:v>
      </x:c>
      <x:c r="B87" t="str">
        <x:v>Kategorie_Mapping|bd69ea4d43168772</x:v>
      </x:c>
      <x:c r="C87" t="str">
        <x:v>RUN-20260521-ANALYSIS</x:v>
      </x:c>
      <x:c r="D87" t="str">
        <x:v>METH_ANALYSE_KATEGORIEN</x:v>
      </x:c>
      <x:c r="E87" t="str">
        <x:v>Kategorie_Mapping</x:v>
      </x:c>
      <x:c r="F87" t="str">
        <x:v>11_Umsaetze_Modell</x:v>
      </x:c>
      <x:c r="G87" t="str">
        <x:v>TXN-RAW-IMP-20260516-FULLDRAFT-000047</x:v>
      </x:c>
      <x:c r="H87" t="str">
        <x:v>Kategorie fuer Gegenpartei pruefen</x:v>
      </x:c>
      <x:c r="I87" t="str">
        <x:v>Mehrere offene Buchungen mit gleicher Gegenpartei oder relevantem Volumen erkannt</x:v>
      </x:c>
      <x:c r="J87" t="n">
        <x:v>0.7</x:v>
      </x:c>
      <x:c r="K87" t="str">
        <x:v>hoch</x:v>
      </x:c>
      <x:c r="L87" t="str">
        <x:v>offen</x:v>
      </x:c>
      <x:c r="M87" s="59" t="b">
        <x:v>0</x:v>
      </x:c>
      <x:c r="N87" t="str">
        <x:v>nicht_beauftragt</x:v>
      </x:c>
      <x:c r="O87" t="str">
        <x:v>Kein automatisches Kategorie-Mapping; Nutzerentscheidung erforderlich</x:v>
      </x:c>
    </x:row>
    <x:row r="88">
      <x:c r="A88" t="str">
        <x:v>SUG-20260521-081</x:v>
      </x:c>
      <x:c r="B88" t="str">
        <x:v>Kategorie_Mapping|8fb1d434ac27f661</x:v>
      </x:c>
      <x:c r="C88" t="str">
        <x:v>RUN-20260521-ANALYSIS</x:v>
      </x:c>
      <x:c r="D88" t="str">
        <x:v>METH_ANALYSE_KATEGORIEN</x:v>
      </x:c>
      <x:c r="E88" t="str">
        <x:v>Kategorie_Mapping</x:v>
      </x:c>
      <x:c r="F88" t="str">
        <x:v>11_Umsaetze_Modell</x:v>
      </x:c>
      <x:c r="G88" t="str">
        <x:v>TXN-RAW-IMP-20260516-FULLDRAFT-000627</x:v>
      </x:c>
      <x:c r="H88" t="str">
        <x:v>Kategorie fuer Gegenpartei pruefen</x:v>
      </x:c>
      <x:c r="I88" t="str">
        <x:v>Mehrere offene Buchungen mit gleicher Gegenpartei oder relevantem Volumen erkannt</x:v>
      </x:c>
      <x:c r="J88" t="n">
        <x:v>0.58</x:v>
      </x:c>
      <x:c r="K88" t="str">
        <x:v>hoch</x:v>
      </x:c>
      <x:c r="L88" t="str">
        <x:v>offen</x:v>
      </x:c>
      <x:c r="M88" s="59" t="b">
        <x:v>0</x:v>
      </x:c>
      <x:c r="N88" t="str">
        <x:v>nicht_beauftragt</x:v>
      </x:c>
      <x:c r="O88" t="str">
        <x:v>Kein automatisches Kategorie-Mapping; Nutzerentscheidung erforderlich</x:v>
      </x:c>
    </x:row>
    <x:row r="89">
      <x:c r="A89" t="str">
        <x:v>SUG-20260521-082</x:v>
      </x:c>
      <x:c r="B89" t="str">
        <x:v>Kategorie_Mapping|2e8c3faef7463ab7</x:v>
      </x:c>
      <x:c r="C89" t="str">
        <x:v>RUN-20260521-ANALYSIS</x:v>
      </x:c>
      <x:c r="D89" t="str">
        <x:v>METH_ANALYSE_KATEGORIEN</x:v>
      </x:c>
      <x:c r="E89" t="str">
        <x:v>Kategorie_Mapping</x:v>
      </x:c>
      <x:c r="F89" t="str">
        <x:v>11_Umsaetze_Modell</x:v>
      </x:c>
      <x:c r="G89" t="str">
        <x:v>TXN-RAW-IMP-20260516-FULLDRAFT-000305</x:v>
      </x:c>
      <x:c r="H89" t="str">
        <x:v>Kategorie fuer Gegenpartei pruefen</x:v>
      </x:c>
      <x:c r="I89" t="str">
        <x:v>Mehrere offene Buchungen mit gleicher Gegenpartei oder relevantem Volumen erkannt</x:v>
      </x:c>
      <x:c r="J89" t="n">
        <x:v>0.7</x:v>
      </x:c>
      <x:c r="K89" t="str">
        <x:v>hoch</x:v>
      </x:c>
      <x:c r="L89" t="str">
        <x:v>offen</x:v>
      </x:c>
      <x:c r="M89" s="59" t="b">
        <x:v>0</x:v>
      </x:c>
      <x:c r="N89" t="str">
        <x:v>nicht_beauftragt</x:v>
      </x:c>
      <x:c r="O89" t="str">
        <x:v>Kein automatisches Kategorie-Mapping; Nutzerentscheidung erforderlich</x:v>
      </x:c>
    </x:row>
    <x:row r="90">
      <x:c r="A90" t="str">
        <x:v>SUG-20260521-083</x:v>
      </x:c>
      <x:c r="B90" t="str">
        <x:v>Kategorie_Mapping|d45ca76d2d3c22a6</x:v>
      </x:c>
      <x:c r="C90" t="str">
        <x:v>RUN-20260521-ANALYSIS</x:v>
      </x:c>
      <x:c r="D90" t="str">
        <x:v>METH_ANALYSE_KATEGORIEN</x:v>
      </x:c>
      <x:c r="E90" t="str">
        <x:v>Kategorie_Mapping</x:v>
      </x:c>
      <x:c r="F90" t="str">
        <x:v>11_Umsaetze_Modell</x:v>
      </x:c>
      <x:c r="G90" t="str">
        <x:v>TXN-RAW-IMP-20260516-FULLDRAFT-001071</x:v>
      </x:c>
      <x:c r="H90" t="str">
        <x:v>Kategorie fuer Gegenpartei pruefen</x:v>
      </x:c>
      <x:c r="I90" t="str">
        <x:v>Mehrere offene Buchungen mit gleicher Gegenpartei oder relevantem Volumen erkannt</x:v>
      </x:c>
      <x:c r="J90" t="n">
        <x:v>0.58</x:v>
      </x:c>
      <x:c r="K90" t="str">
        <x:v>hoch</x:v>
      </x:c>
      <x:c r="L90" t="str">
        <x:v>offen</x:v>
      </x:c>
      <x:c r="M90" s="59" t="b">
        <x:v>0</x:v>
      </x:c>
      <x:c r="N90" t="str">
        <x:v>nicht_beauftragt</x:v>
      </x:c>
      <x:c r="O90" t="str">
        <x:v>Kein automatisches Kategorie-Mapping; Nutzerentscheidung erforderlich</x:v>
      </x:c>
    </x:row>
    <x:row r="91">
      <x:c r="A91" t="str">
        <x:v>SUG-20260521-084</x:v>
      </x:c>
      <x:c r="B91" t="str">
        <x:v>Kategorie_Mapping|299f749ef5bd3c2d</x:v>
      </x:c>
      <x:c r="C91" t="str">
        <x:v>RUN-20260521-ANALYSIS</x:v>
      </x:c>
      <x:c r="D91" t="str">
        <x:v>METH_ANALYSE_KATEGORIEN</x:v>
      </x:c>
      <x:c r="E91" t="str">
        <x:v>Kategorie_Mapping</x:v>
      </x:c>
      <x:c r="F91" t="str">
        <x:v>11_Umsaetze_Modell</x:v>
      </x:c>
      <x:c r="G91" t="str">
        <x:v>TXN-RAW-IMP-20260516-FULLDRAFT-000346</x:v>
      </x:c>
      <x:c r="H91" t="str">
        <x:v>Kategorie fuer Gegenpartei pruefen</x:v>
      </x:c>
      <x:c r="I91" t="str">
        <x:v>Mehrere offene Buchungen mit gleicher Gegenpartei oder relevantem Volumen erkannt</x:v>
      </x:c>
      <x:c r="J91" t="n">
        <x:v>0.58</x:v>
      </x:c>
      <x:c r="K91" t="str">
        <x:v>hoch</x:v>
      </x:c>
      <x:c r="L91" t="str">
        <x:v>offen</x:v>
      </x:c>
      <x:c r="M91" s="59" t="b">
        <x:v>0</x:v>
      </x:c>
      <x:c r="N91" t="str">
        <x:v>nicht_beauftragt</x:v>
      </x:c>
      <x:c r="O91" t="str">
        <x:v>Kein automatisches Kategorie-Mapping; Nutzerentscheidung erforderlich</x:v>
      </x:c>
    </x:row>
    <x:row r="92">
      <x:c r="A92" t="str">
        <x:v>SUG-20260521-085</x:v>
      </x:c>
      <x:c r="B92" t="str">
        <x:v>Kategorie_Mapping|398b10d569c6bd74</x:v>
      </x:c>
      <x:c r="C92" t="str">
        <x:v>RUN-20260521-ANALYSIS</x:v>
      </x:c>
      <x:c r="D92" t="str">
        <x:v>METH_ANALYSE_KATEGORIEN</x:v>
      </x:c>
      <x:c r="E92" t="str">
        <x:v>Kategorie_Mapping</x:v>
      </x:c>
      <x:c r="F92" t="str">
        <x:v>11_Umsaetze_Modell</x:v>
      </x:c>
      <x:c r="G92" t="str">
        <x:v>TXN-RAW-IMP-20260516-FULLDRAFT-002242</x:v>
      </x:c>
      <x:c r="H92" t="str">
        <x:v>Kategorie fuer Gegenpartei pruefen</x:v>
      </x:c>
      <x:c r="I92" t="str">
        <x:v>Mehrere offene Buchungen mit gleicher Gegenpartei oder relevantem Volumen erkannt</x:v>
      </x:c>
      <x:c r="J92" t="n">
        <x:v>0.58</x:v>
      </x:c>
      <x:c r="K92" t="str">
        <x:v>hoch</x:v>
      </x:c>
      <x:c r="L92" t="str">
        <x:v>offen</x:v>
      </x:c>
      <x:c r="M92" s="59" t="b">
        <x:v>0</x:v>
      </x:c>
      <x:c r="N92" t="str">
        <x:v>nicht_beauftragt</x:v>
      </x:c>
      <x:c r="O92" t="str">
        <x:v>Kein automatisches Kategorie-Mapping; Nutzerentscheidung erforderlich</x:v>
      </x:c>
    </x:row>
    <x:row r="93">
      <x:c r="A93" t="str">
        <x:v>SUG-20260521-086</x:v>
      </x:c>
      <x:c r="B93" t="str">
        <x:v>Kategorie_Mapping|2594d0003e49f68e</x:v>
      </x:c>
      <x:c r="C93" t="str">
        <x:v>RUN-20260521-ANALYSIS</x:v>
      </x:c>
      <x:c r="D93" t="str">
        <x:v>METH_ANALYSE_KATEGORIEN</x:v>
      </x:c>
      <x:c r="E93" t="str">
        <x:v>Kategorie_Mapping</x:v>
      </x:c>
      <x:c r="F93" t="str">
        <x:v>11_Umsaetze_Modell</x:v>
      </x:c>
      <x:c r="G93" t="str">
        <x:v>TXN-RAW-IMP-20260516-FULLDRAFT-001429</x:v>
      </x:c>
      <x:c r="H93" t="str">
        <x:v>Kategorie fuer Gegenpartei pruefen</x:v>
      </x:c>
      <x:c r="I93" t="str">
        <x:v>Mehrere offene Buchungen mit gleicher Gegenpartei oder relevantem Volumen erkannt</x:v>
      </x:c>
      <x:c r="J93" t="n">
        <x:v>0.58</x:v>
      </x:c>
      <x:c r="K93" t="str">
        <x:v>hoch</x:v>
      </x:c>
      <x:c r="L93" t="str">
        <x:v>offen</x:v>
      </x:c>
      <x:c r="M93" s="59" t="b">
        <x:v>0</x:v>
      </x:c>
      <x:c r="N93" t="str">
        <x:v>nicht_beauftragt</x:v>
      </x:c>
      <x:c r="O93" t="str">
        <x:v>Kein automatisches Kategorie-Mapping; Nutzerentscheidung erforderlich</x:v>
      </x:c>
    </x:row>
  </x:sheetData>
  <x:mergeCells>
    <x:mergeCell ref="A1:H1"/>
    <x:mergeCell ref="A4:O4"/>
    <x:mergeCell ref="A5:O5"/>
  </x:mergeCells>
  <x:dataValidations count="2">
    <x:dataValidation type="list" allowBlank="1" showDropDown="0" sqref="L7:L57">
      <x:formula1>"offen,angenommen,abgelehnt,zurueckgestellt,erledigt,verworfen"</x:formula1>
    </x:dataValidation>
    <x:dataValidation type="list" allowBlank="1" showDropDown="0" sqref="N7:N57">
      <x:formula1>"nicht_beauftragt,auftrag_erstellt,umgesetzt,nicht_umsetzbar"</x:formula1>
    </x:dataValidation>
  </x:dataValidations>
  <x:pageMargins left="0.7" right="0.7" top="0.75" bottom="0.75" header="0.3" footer="0.3"/>
  <x:tableParts count="1">
    <x:tablePart xmlns:r="http://schemas.openxmlformats.org/officeDocument/2006/relationships" r:id="R9e23a55fde7543ac"/>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4.109999656677246" hidden="0" customWidth="1"/>
    <x:col min="4" max="4" width="12.880000114440918" hidden="0" customWidth="1"/>
    <x:col min="5" max="5" width="12.880000114440918" hidden="0" customWidth="1"/>
    <x:col min="6" max="6" width="12.880000114440918" hidden="0" customWidth="1"/>
    <x:col min="7" max="7" width="12.880000114440918" hidden="0" customWidth="1"/>
    <x:col min="8" max="8" width="12.880000114440918" hidden="0" customWidth="1"/>
    <x:col min="9" max="9" width="12.880000114440918" hidden="0" customWidth="1"/>
    <x:col min="10" max="10" width="12.880000114440918" hidden="0" customWidth="1"/>
    <x:col min="11" max="11" width="12.880000114440918" hidden="0" customWidth="1"/>
    <x:col min="12" max="12" width="14.109999656677246" hidden="0" customWidth="1"/>
    <x:col min="13" max="13" width="12.880000114440918" hidden="0" customWidth="1"/>
    <x:col min="14" max="14" width="14.109999656677246" hidden="0" customWidth="1"/>
    <x:col min="15" max="15" width="14.109999656677246" hidden="0" customWidth="1"/>
    <x:col min="16" max="16" width="12.880000114440918" hidden="0" customWidth="1"/>
    <x:col min="17" max="17" width="12.880000114440918" hidden="0" customWidth="1"/>
    <x:col min="18" max="18" width="13.5" hidden="0" customWidth="1"/>
    <x:col min="19" max="19" width="13.5" hidden="0" customWidth="1"/>
    <x:col min="20" max="20" width="12.880000114440918" hidden="0" customWidth="1"/>
    <x:col min="21" max="21" width="12.880000114440918" hidden="0" customWidth="1"/>
    <x:col min="22" max="22" width="14.109999656677246" hidden="0" customWidth="1"/>
    <x:col min="23" max="23" width="14.109999656677246" hidden="0" customWidth="1"/>
    <x:col min="24" max="24" width="14.109999656677246" hidden="0" customWidth="1"/>
    <x:col min="25" max="25" width="12.880000114440918" hidden="0" customWidth="1"/>
    <x:col min="26" max="26" width="14.109999656677246" hidden="0" customWidth="1"/>
    <x:col min="27" max="27" width="12.880000114440918" hidden="0" customWidth="1"/>
    <x:col min="28" max="28" width="27.610000610351562" hidden="0" customWidth="1"/>
    <x:col min="29" max="29" width="13.5" hidden="0" customWidth="1"/>
  </x:cols>
  <x:sheetData>
    <x:row r="1" ht="25.5" customHeight="1">
      <x:c r="A1" s="28" t="str">
        <x:v>90_Quellen</x:v>
      </x:c>
      <x:c r="B1" s="28"/>
      <x:c r="C1" s="28"/>
      <x:c r="D1" s="28"/>
      <x:c r="E1" s="28"/>
      <x:c r="F1" s="28"/>
      <x:c r="G1" s="28"/>
      <x:c r="H1" s="28"/>
    </x:row>
    <x:row r="2" ht="61.5" customHeight="1">
      <x:c r="A2" s="48" t="str">
        <x:v>Zweck</x:v>
      </x:c>
      <x:c r="B2" s="43" t="str">
        <x:v>Quellen, Belege und modellkritische Werte.</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Quellen</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x:c r="A5" s="56" t="str">
        <x:v>PK: Quelle_ID | Update: append_only | ID: SRC</x:v>
      </x:c>
      <x:c r="B5" s="56"/>
      <x:c r="C5" s="56"/>
      <x:c r="D5" s="56"/>
      <x:c r="E5" s="56"/>
      <x:c r="F5" s="56"/>
      <x:c r="G5" s="56"/>
      <x:c r="H5" s="56"/>
      <x:c r="I5" s="56"/>
      <x:c r="J5" s="56"/>
      <x:c r="K5" s="56"/>
      <x:c r="L5" s="56"/>
      <x:c r="M5" s="56"/>
      <x:c r="N5" s="56"/>
      <x:c r="O5" s="56"/>
      <x:c r="P5" s="56"/>
      <x:c r="Q5" s="56"/>
      <x:c r="R5" s="56"/>
      <x:c r="S5" s="56"/>
      <x:c r="T5" s="56"/>
      <x:c r="U5" s="56"/>
      <x:c r="V5" s="56"/>
      <x:c r="W5" s="56"/>
      <x:c r="X5" s="56"/>
      <x:c r="Y5" s="56"/>
      <x:c r="Z5" s="56"/>
      <x:c r="AA5" s="56"/>
      <x:c r="AB5" s="56"/>
      <x:c r="AC5" s="56"/>
    </x:row>
    <x:row r="6" ht="25.5" customHeight="1">
      <x:c r="A6" s="21" t="str">
        <x:v>Quelle_ID</x:v>
      </x:c>
      <x:c r="B6" s="21" t="str">
        <x:v>Quellenart</x:v>
      </x:c>
      <x:c r="C6" s="21" t="str">
        <x:v>Eltern_Quelle_ID</x:v>
      </x:c>
      <x:c r="D6" s="21" t="str">
        <x:v>Eingangskanal</x:v>
      </x:c>
      <x:c r="E6" s="21" t="str">
        <x:v>Originaldateiname</x:v>
      </x:c>
      <x:c r="F6" s="21" t="str">
        <x:v>Dateiname_Modell</x:v>
      </x:c>
      <x:c r="G6" s="21" t="str">
        <x:v>Dateipfad</x:v>
      </x:c>
      <x:c r="H6" s="21" t="str">
        <x:v>Dateihash</x:v>
      </x:c>
      <x:c r="I6" s="21" t="str">
        <x:v>Belegtyp</x:v>
      </x:c>
      <x:c r="J6" s="21" t="str">
        <x:v>Quelle_Anbieter</x:v>
      </x:c>
      <x:c r="K6" s="21" t="str">
        <x:v>Belegdatum</x:v>
      </x:c>
      <x:c r="L6" s="21" t="str">
        <x:v>Standdatum</x:v>
      </x:c>
      <x:c r="M6" s="21" t="str">
        <x:v>Abrufdatum</x:v>
      </x:c>
      <x:c r="N6" s="21" t="str">
        <x:v>Wertname</x:v>
      </x:c>
      <x:c r="O6" s="21" t="str">
        <x:v>Wert</x:v>
      </x:c>
      <x:c r="P6" s="21" t="str">
        <x:v>Einheit</x:v>
      </x:c>
      <x:c r="Q6" s="21" t="str">
        <x:v>Zeitraum</x:v>
      </x:c>
      <x:c r="R6" s="21" t="str">
        <x:v>Zeitraum_von</x:v>
      </x:c>
      <x:c r="S6" s="21" t="str">
        <x:v>Zeitraum_bis</x:v>
      </x:c>
      <x:c r="T6" s="21" t="str">
        <x:v>Seite_Abschnitt</x:v>
      </x:c>
      <x:c r="U6" s="21" t="str">
        <x:v>Zielblatt</x:v>
      </x:c>
      <x:c r="V6" s="21" t="str">
        <x:v>Ziel_ID</x:v>
      </x:c>
      <x:c r="W6" s="21" t="str">
        <x:v>Person_ID</x:v>
      </x:c>
      <x:c r="X6" s="21" t="str">
        <x:v>Objekt_ID</x:v>
      </x:c>
      <x:c r="Y6" s="21" t="str">
        <x:v>Szenario_Relevanz</x:v>
      </x:c>
      <x:c r="Z6" s="21" t="str">
        <x:v>Status</x:v>
      </x:c>
      <x:c r="AA6" s="21" t="str">
        <x:v>Unsicherheit</x:v>
      </x:c>
      <x:c r="AB6" s="21" t="str">
        <x:v>Kommentar</x:v>
      </x:c>
      <x:c r="AC6" s="21" t="str">
        <x:v>Geprueft_am</x:v>
      </x:c>
    </x:row>
    <x:row r="7">
      <x:c r="A7" s="18" t="str">
        <x:v>SRC-20260518-001</x:v>
      </x:c>
      <x:c r="B7" s="18" t="str">
        <x:v>Bankexport</x:v>
      </x:c>
      <x:c r="C7" s="18" t="str"/>
      <x:c r="D7" s="18" t="str">
        <x:v>manuell</x:v>
      </x:c>
      <x:c r="E7" s="18" t="str">
        <x:v>girokonto_startimport.csv</x:v>
      </x:c>
      <x:c r="F7" s="18" t="str">
        <x:v>girokonto_startimport.csv</x:v>
      </x:c>
      <x:c r="G7" s="18" t="str">
        <x:v>workbook-build/tests/fixtures/csv/girokonto_test.csv</x:v>
      </x:c>
      <x:c r="H7" s="18" t="str">
        <x:v>nicht_pruefbar</x:v>
      </x:c>
      <x:c r="I7" s="18" t="str">
        <x:v>CSV</x:v>
      </x:c>
      <x:c r="J7" s="18" t="str">
        <x:v>Bank</x:v>
      </x:c>
      <x:c r="K7" s="57" t="n">
        <x:v>46160</x:v>
      </x:c>
      <x:c r="L7" s="57" t="n">
        <x:v>46160</x:v>
      </x:c>
      <x:c r="M7" s="57" t="n">
        <x:v>46163</x:v>
      </x:c>
      <x:c r="N7" s="66" t="str">
        <x:v>Startsaldo</x:v>
      </x:c>
      <x:c r="O7" s="66" t="n">
        <x:v>4250</x:v>
      </x:c>
      <x:c r="P7" s="18" t="str">
        <x:v>EUR</x:v>
      </x:c>
      <x:c r="Q7" s="18" t="str">
        <x:v>Mai 2026</x:v>
      </x:c>
      <x:c r="R7" s="57" t="n">
        <x:v>46143</x:v>
      </x:c>
      <x:c r="S7" s="57" t="n">
        <x:v>46160</x:v>
      </x:c>
      <x:c r="T7" s="18" t="str">
        <x:v>Export</x:v>
      </x:c>
      <x:c r="U7" s="18" t="str">
        <x:v>03_Konten</x:v>
      </x:c>
      <x:c r="V7" s="18" t="str">
        <x:v>KTO001</x:v>
      </x:c>
      <x:c r="W7" s="18" t="str">
        <x:v>P01</x:v>
      </x:c>
      <x:c r="X7" s="18" t="str"/>
      <x:c r="Y7" s="18" t="str">
        <x:v>S01</x:v>
      </x:c>
      <x:c r="Z7" s="18" t="str">
        <x:v>ungeprueft</x:v>
      </x:c>
      <x:c r="AA7" s="18" t="str">
        <x:v>Fixture fehlt oder Hash noch nicht pruefbar</x:v>
      </x:c>
      <x:c r="AB7" s="18" t="str">
        <x:v>Startquelle fuer Thin-Slice</x:v>
      </x:c>
      <x:c r="AC7" s="57" t="str"/>
    </x:row>
    <x:row r="8">
      <x:c r="A8" t="str">
        <x:v>SRC-20260516-FULLDRAFT</x:v>
      </x:c>
      <x:c r="B8" t="str">
        <x:v>Bankexport</x:v>
      </x:c>
      <x:c r="C8"/>
      <x:c r="D8" t="str">
        <x:v>agent_draft</x:v>
      </x:c>
      <x:c r="E8" t="str">
        <x:v>16-05-2026_Umsatzliste_Girokonto_DE98120300001061711675.csv</x:v>
      </x:c>
      <x:c r="F8" t="str">
        <x:v>16-05-2026_Umsatzliste_Girokonto_DE98120300001061711675.csv</x:v>
      </x:c>
      <x:c r="G8" t="str">
        <x:v>./16-05-2026_Umsatzliste_Girokonto_DE98120300001061711675.csv</x:v>
      </x:c>
      <x:c r="H8" t="str">
        <x:v>a83ecd6a2c041bc05d7f44fe07d18268a4f49a56517ada3d5df4db1c87a4c0c2</x:v>
      </x:c>
      <x:c r="I8" t="str">
        <x:v>CSV</x:v>
      </x:c>
      <x:c r="J8" t="str">
        <x:v>Bank</x:v>
      </x:c>
      <x:c r="K8" s="58" t="n">
        <x:v>46163</x:v>
      </x:c>
      <x:c r="L8" s="58" t="n">
        <x:v>46158</x:v>
      </x:c>
      <x:c r="M8" s="58" t="n">
        <x:v>46163</x:v>
      </x:c>
      <x:c r="N8" s="67" t="str">
        <x:v>Kontostand Export</x:v>
      </x:c>
      <x:c r="O8" s="67" t="n">
        <x:v>790.93</x:v>
      </x:c>
      <x:c r="P8" t="str">
        <x:v>EUR</x:v>
      </x:c>
      <x:c r="Q8" t="str">
        <x:v>2024-01-01 bis 2026-05-16</x:v>
      </x:c>
      <x:c r="R8" s="58" t="n">
        <x:v>45292</x:v>
      </x:c>
      <x:c r="S8" s="58" t="n">
        <x:v>46158</x:v>
      </x:c>
      <x:c r="T8" t="str">
        <x:v>CSV Kopf</x:v>
      </x:c>
      <x:c r="U8" t="str">
        <x:v>10_Umsaetze_Roh</x:v>
      </x:c>
      <x:c r="V8" t="str">
        <x:v>IMP-20260516-FULLDRAFT</x:v>
      </x:c>
      <x:c r="W8" t="str">
        <x:v>P01</x:v>
      </x:c>
      <x:c r="X8"/>
      <x:c r="Y8" t="str">
        <x:v>S01</x:v>
      </x:c>
      <x:c r="Z8" t="str">
        <x:v>ungeprueft</x:v>
      </x:c>
      <x:c r="AA8" t="str">
        <x:v>Agent-Draft mit begrenzter Zeilenanzahl</x:v>
      </x:c>
      <x:c r="AB8" t="str">
        <x:v>Draft aus 2578 von 2578 CSV-Zeilen</x:v>
      </x:c>
      <x:c r="AC8" s="58"/>
    </x:row>
  </x:sheetData>
  <x:mergeCells>
    <x:mergeCell ref="A1:H1"/>
    <x:mergeCell ref="A4:AC4"/>
    <x:mergeCell ref="A5:AC5"/>
  </x:mergeCells>
  <x:dataValidations count="1">
    <x:dataValidation type="list" allowBlank="1" showDropDown="0" sqref="Z7:Z57">
      <x:formula1>"offen,belegt,geprueft,geschaetzt,inaktiv"</x:formula1>
    </x:dataValidation>
  </x:dataValidations>
  <x:pageMargins left="0.7" right="0.7" top="0.75" bottom="0.75" header="0.3" footer="0.3"/>
  <x:tableParts count="1">
    <x:tablePart xmlns:r="http://schemas.openxmlformats.org/officeDocument/2006/relationships" r:id="Re7e641abcc7f40cd"/>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12.880000114440918" hidden="0" customWidth="1"/>
    <x:col min="4" max="4" width="12.880000114440918" hidden="0" customWidth="1"/>
    <x:col min="5" max="5" width="13.5" hidden="0" customWidth="1"/>
    <x:col min="6" max="6" width="12.880000114440918" hidden="0" customWidth="1"/>
    <x:col min="7" max="7" width="14.109999656677246" hidden="0" customWidth="1"/>
    <x:col min="8" max="8" width="12.880000114440918" hidden="0" customWidth="1"/>
    <x:col min="9" max="9" width="14.109999656677246" hidden="0" customWidth="1"/>
    <x:col min="10" max="10" width="27.610000610351562" hidden="0" customWidth="1"/>
    <x:col min="11" max="11" width="12.880000114440918" hidden="0" customWidth="1"/>
    <x:col min="12" max="12" width="14.109999656677246" hidden="0" customWidth="1"/>
    <x:col min="13" max="13" width="27.610000610351562" hidden="0" customWidth="1"/>
    <x:col min="14" max="14" width="27.610000610351562" hidden="0" customWidth="1"/>
    <x:col min="15" max="15" width="27.610000610351562" hidden="0" customWidth="1"/>
  </x:cols>
  <x:sheetData>
    <x:row r="1" ht="25.5" customHeight="1">
      <x:c r="A1" s="28" t="str">
        <x:v>98_Kontrollspur</x:v>
      </x:c>
      <x:c r="B1" s="28"/>
      <x:c r="C1" s="28"/>
      <x:c r="D1" s="28"/>
      <x:c r="E1" s="28"/>
      <x:c r="F1" s="28"/>
      <x:c r="G1" s="28"/>
      <x:c r="H1" s="28"/>
    </x:row>
    <x:row r="2" ht="61.5" customHeight="1">
      <x:c r="A2" s="48" t="str">
        <x:v>Zweck</x:v>
      </x:c>
      <x:c r="B2" s="43" t="str">
        <x:v>Minimaler Build- und Verifikationsanker. Ve...</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Build Verifikation</x:v>
      </x:c>
      <x:c r="B4" s="54"/>
      <x:c r="C4" s="54"/>
      <x:c r="D4" s="54"/>
      <x:c r="E4" s="54"/>
      <x:c r="F4" s="54"/>
      <x:c r="G4" s="54"/>
      <x:c r="H4" s="54"/>
      <x:c r="I4" s="54"/>
      <x:c r="J4" s="54"/>
      <x:c r="K4" s="54"/>
      <x:c r="L4" s="54"/>
      <x:c r="M4" s="54"/>
      <x:c r="N4" s="54"/>
      <x:c r="O4" s="54"/>
    </x:row>
    <x:row r="5">
      <x:c r="A5" s="56" t="str">
        <x:v>PK: Build_ID | Update: builder | ID: BLD</x:v>
      </x:c>
      <x:c r="B5" s="56"/>
      <x:c r="C5" s="56"/>
      <x:c r="D5" s="56"/>
      <x:c r="E5" s="56"/>
      <x:c r="F5" s="56"/>
      <x:c r="G5" s="56"/>
      <x:c r="H5" s="56"/>
      <x:c r="I5" s="56"/>
      <x:c r="J5" s="56"/>
      <x:c r="K5" s="56"/>
      <x:c r="L5" s="56"/>
      <x:c r="M5" s="56"/>
      <x:c r="N5" s="56"/>
      <x:c r="O5" s="56"/>
    </x:row>
    <x:row r="6" ht="25.5" customHeight="1">
      <x:c r="A6" s="21" t="str">
        <x:v>Build_ID</x:v>
      </x:c>
      <x:c r="B6" s="21" t="str">
        <x:v>Builddatum</x:v>
      </x:c>
      <x:c r="C6" s="21" t="str">
        <x:v>Spec_Version</x:v>
      </x:c>
      <x:c r="D6" s="21" t="str">
        <x:v>Workbook_Dateiname</x:v>
      </x:c>
      <x:c r="E6" s="21" t="str">
        <x:v>Workbook_Dateihash</x:v>
      </x:c>
      <x:c r="F6" s="21" t="str">
        <x:v>Builder_Version</x:v>
      </x:c>
      <x:c r="G6" s="21" t="str">
        <x:v>Verifier</x:v>
      </x:c>
      <x:c r="H6" s="21" t="str">
        <x:v>Verifier_Status</x:v>
      </x:c>
      <x:c r="I6" s="21" t="str">
        <x:v>Inspector_Pfad</x:v>
      </x:c>
      <x:c r="J6" s="21" t="str">
        <x:v>Tests_Gesamt</x:v>
      </x:c>
      <x:c r="K6" s="21" t="str">
        <x:v>Tests_Bestanden</x:v>
      </x:c>
      <x:c r="L6" s="21" t="str">
        <x:v>Tests_Fehlgeschlagen</x:v>
      </x:c>
      <x:c r="M6" s="21" t="str">
        <x:v>Offene_Befunde</x:v>
      </x:c>
      <x:c r="N6" s="21" t="str">
        <x:v>Artefakt_ID</x:v>
      </x:c>
      <x:c r="O6" s="21" t="str">
        <x:v>Kommentar</x:v>
      </x:c>
    </x:row>
    <x:row r="7">
      <x:c r="A7" s="18" t="str">
        <x:v>BLD-20260521-001</x:v>
      </x:c>
      <x:c r="B7" s="57" t="n">
        <x:v>46163</x:v>
      </x:c>
      <x:c r="C7" s="18" t="str">
        <x:v>V1-Task1-Startmappe</x:v>
      </x:c>
      <x:c r="D7" s="18" t="str">
        <x:v>Finanzmodell_V1_Startmappe.xlsx</x:v>
      </x:c>
      <x:c r="E7" s="18" t="str">
        <x:v>wird_nach_export_pruefbar</x:v>
      </x:c>
      <x:c r="F7" s="18" t="str">
        <x:v>artifact-tool-builder-v1</x:v>
      </x:c>
      <x:c r="G7" s="18" t="str">
        <x:v>artifact-tool</x:v>
      </x:c>
      <x:c r="H7" s="18" t="str">
        <x:v>nicht_ausgefuehrt</x:v>
      </x:c>
      <x:c r="I7" s="18" t="str">
        <x:v>workbook-build/outputs/finanzmodell-v1-startmappe/previews</x:v>
      </x:c>
      <x:c r="J7" s="18" t="n">
        <x:v>0</x:v>
      </x:c>
      <x:c r="K7" s="66" t="n">
        <x:v>0</x:v>
      </x:c>
      <x:c r="L7" s="18" t="n">
        <x:v>0</x:v>
      </x:c>
      <x:c r="M7" s="18" t="n">
        <x:v>1</x:v>
      </x:c>
      <x:c r="N7" s="18" t="str">
        <x:v>ART-20260521-001</x:v>
      </x:c>
      <x:c r="O7" s="18" t="str">
        <x:v>Startmappe: Struktur gebaut, fachliche Finanzformeln noch nicht implementiert</x:v>
      </x:c>
    </x:row>
    <x:row r="8">
      <x:c r="B8" s="58"/>
      <x:c r="K8" s="67"/>
    </x:row>
    <x:row r="10">
      <x:c r="A10" s="54" t="str">
        <x:v>Agentenlaeufe</x:v>
      </x:c>
      <x:c r="B10" s="54"/>
      <x:c r="C10" s="54"/>
      <x:c r="D10" s="54"/>
      <x:c r="E10" s="54"/>
      <x:c r="F10" s="54"/>
      <x:c r="G10" s="54"/>
      <x:c r="H10" s="54"/>
      <x:c r="I10" s="54"/>
      <x:c r="J10" s="54"/>
      <x:c r="K10" s="54"/>
      <x:c r="L10" s="54"/>
      <x:c r="M10" s="54"/>
      <x:c r="N10" s="54"/>
    </x:row>
    <x:row r="11">
      <x:c r="A11" s="56" t="str">
        <x:v>PK: Lauf_ID | Update: builder_append | ID: RUN</x:v>
      </x:c>
      <x:c r="B11" s="56"/>
      <x:c r="C11" s="56"/>
      <x:c r="D11" s="56"/>
      <x:c r="E11" s="56"/>
      <x:c r="F11" s="56"/>
      <x:c r="G11" s="56"/>
      <x:c r="H11" s="56"/>
      <x:c r="I11" s="56"/>
      <x:c r="J11" s="56"/>
      <x:c r="K11" s="56"/>
      <x:c r="L11" s="56"/>
      <x:c r="M11" s="56"/>
      <x:c r="N11" s="56"/>
    </x:row>
    <x:row r="12" ht="25.5" customHeight="1">
      <x:c r="A12" s="21" t="str">
        <x:v>Lauf_ID</x:v>
      </x:c>
      <x:c r="B12" s="21" t="str">
        <x:v>Laufdatum</x:v>
      </x:c>
      <x:c r="C12" s="21" t="str">
        <x:v>Agentenrolle</x:v>
      </x:c>
      <x:c r="D12" s="21" t="str">
        <x:v>Ausloeser_Typ</x:v>
      </x:c>
      <x:c r="E12" s="21" t="str">
        <x:v>Methodik_ID</x:v>
      </x:c>
      <x:c r="F12" s="21" t="str">
        <x:v>Erlaubte_Zielbereiche</x:v>
      </x:c>
      <x:c r="G12" s="21" t="str">
        <x:v>Geaenderte_Tabellen</x:v>
      </x:c>
      <x:c r="H12" s="21" t="str">
        <x:v>Erzeugte_Vorschlaege</x:v>
      </x:c>
      <x:c r="I12" s="21" t="str">
        <x:v>Erzeugte_Warnhinweise</x:v>
      </x:c>
      <x:c r="J12" s="21" t="str">
        <x:v>Ergebnis</x:v>
      </x:c>
      <x:c r="K12" s="21" t="str">
        <x:v>Compliance_Status</x:v>
      </x:c>
      <x:c r="L12" s="21" t="str">
        <x:v>Artefakt_ID</x:v>
      </x:c>
      <x:c r="M12" s="21" t="str">
        <x:v>Fehler_Hinweis</x:v>
      </x:c>
      <x:c r="N12" s="21" t="str">
        <x:v>Kommentar</x:v>
      </x:c>
    </x:row>
    <x:row r="13">
      <x:c r="A13" s="18" t="str">
        <x:v>RUN-20260521-001</x:v>
      </x:c>
      <x:c r="B13" s="57" t="n">
        <x:v>46163</x:v>
      </x:c>
      <x:c r="C13" s="18" t="str">
        <x:v>Builder</x:v>
      </x:c>
      <x:c r="D13" s="18" t="str">
        <x:v>manuell</x:v>
      </x:c>
      <x:c r="E13" s="18" t="str">
        <x:v>sparring_final_artifact_to_xlsx</x:v>
      </x:c>
      <x:c r="F13" s="18" t="str">
        <x:v>Struktur, Seeds, Kontrollspur</x:v>
      </x:c>
      <x:c r="G13" s="18" t="str">
        <x:v>alle V1-Strukturtafeln</x:v>
      </x:c>
      <x:c r="H13" s="18" t="n">
        <x:v>1</x:v>
      </x:c>
      <x:c r="I13" s="18" t="n">
        <x:v>3</x:v>
      </x:c>
      <x:c r="J13" s="18" t="str">
        <x:v>Startmappe erzeugt</x:v>
      </x:c>
      <x:c r="K13" s="18" t="str">
        <x:v>nicht_pruefbar</x:v>
      </x:c>
      <x:c r="L13" s="18" t="str">
        <x:v>ART-20260521-001</x:v>
      </x:c>
      <x:c r="M13" s="18" t="str"/>
      <x:c r="N13" s="18" t="str">
        <x:v>Keine vollstaendige Agentenplattform</x:v>
      </x:c>
    </x:row>
    <x:row r="14">
      <x:c r="B14" s="58"/>
    </x:row>
    <x:row r="16">
      <x:c r="A16" s="54" t="str">
        <x:v>Artefakt Referenzen</x:v>
      </x:c>
      <x:c r="B16" s="54"/>
      <x:c r="C16" s="54"/>
      <x:c r="D16" s="54"/>
      <x:c r="E16" s="54"/>
      <x:c r="F16" s="54"/>
      <x:c r="G16" s="54"/>
      <x:c r="H16" s="54"/>
      <x:c r="I16" s="54"/>
      <x:c r="J16" s="54"/>
    </x:row>
    <x:row r="17">
      <x:c r="A17" s="56" t="str">
        <x:v>PK: Artefakt_ID | Update: builder_append | ID: ART</x:v>
      </x:c>
      <x:c r="B17" s="56"/>
      <x:c r="C17" s="56"/>
      <x:c r="D17" s="56"/>
      <x:c r="E17" s="56"/>
      <x:c r="F17" s="56"/>
      <x:c r="G17" s="56"/>
      <x:c r="H17" s="56"/>
      <x:c r="I17" s="56"/>
      <x:c r="J17" s="56"/>
    </x:row>
    <x:row r="18" ht="25.5" customHeight="1">
      <x:c r="A18" s="21" t="str">
        <x:v>Artefakt_ID</x:v>
      </x:c>
      <x:c r="B18" s="21" t="str">
        <x:v>Artefakt_Typ</x:v>
      </x:c>
      <x:c r="C18" s="21" t="str">
        <x:v>Pfad</x:v>
      </x:c>
      <x:c r="D18" s="21" t="str">
        <x:v>Dateihash</x:v>
      </x:c>
      <x:c r="E18" s="21" t="str">
        <x:v>Erzeugt_am</x:v>
      </x:c>
      <x:c r="F18" s="21" t="str">
        <x:v>Erzeugt_durch</x:v>
      </x:c>
      <x:c r="G18" s="21" t="str">
        <x:v>Bezug_ID</x:v>
      </x:c>
      <x:c r="H18" s="21" t="str">
        <x:v>Aufbewahrung</x:v>
      </x:c>
      <x:c r="I18" s="21" t="str">
        <x:v>Status</x:v>
      </x:c>
      <x:c r="J18" s="21" t="str">
        <x:v>Kommentar</x:v>
      </x:c>
    </x:row>
    <x:row r="19">
      <x:c r="A19" s="18" t="str">
        <x:v>ART-20260521-001</x:v>
      </x:c>
      <x:c r="B19" s="18" t="str">
        <x:v>Sparring FINAL_ARTIFACT</x:v>
      </x:c>
      <x:c r="C19" s="18" t="str">
        <x:v>sparring/finanzmodell-excel-spezifikation/FINAL_ARTIFACT</x:v>
      </x:c>
      <x:c r="D19" s="18" t="str">
        <x:v>nicht_pruefbar</x:v>
      </x:c>
      <x:c r="E19" s="57" t="n">
        <x:v>46163</x:v>
      </x:c>
      <x:c r="F19" s="18" t="str">
        <x:v>Codex</x:v>
      </x:c>
      <x:c r="G19" s="18" t="str">
        <x:v>BLD-20260521-001</x:v>
      </x:c>
      <x:c r="H19" s="18" t="str">
        <x:v>Projektordner</x:v>
      </x:c>
      <x:c r="I19" s="18" t="str">
        <x:v>belegt</x:v>
      </x:c>
      <x:c r="J19" s="18" t="str">
        <x:v>Quelle fuer diese Startmappe</x:v>
      </x:c>
    </x:row>
    <x:row r="20">
      <x:c r="E20" s="58"/>
    </x:row>
  </x:sheetData>
  <x:mergeCells>
    <x:mergeCell ref="A1:H1"/>
    <x:mergeCell ref="A4:O4"/>
    <x:mergeCell ref="A5:O5"/>
    <x:mergeCell ref="A10:N10"/>
    <x:mergeCell ref="A11:N11"/>
    <x:mergeCell ref="A16:J16"/>
    <x:mergeCell ref="A17:J17"/>
  </x:mergeCells>
  <x:dataValidations count="3">
    <x:dataValidation type="list" allowBlank="1" showDropDown="0" sqref="H7:H57">
      <x:formula1>"nicht_ausgefuehrt,bestanden,bestanden_mit_warnung,fehlgeschlagen,nicht_pruefbar"</x:formula1>
    </x:dataValidation>
    <x:dataValidation type="list" allowBlank="1" showDropDown="0" sqref="K13:K63">
      <x:formula1>"nicht_ausgefuehrt,bestanden,bestanden_mit_warnung,fehlgeschlagen,nicht_pruefbar"</x:formula1>
    </x:dataValidation>
    <x:dataValidation type="list" allowBlank="1" showDropDown="0" sqref="I19:I69">
      <x:formula1>"offen,belegt,geprueft,geschaetzt,inaktiv"</x:formula1>
    </x:dataValidation>
  </x:dataValidations>
  <x:pageMargins left="0.7" right="0.7" top="0.75" bottom="0.75" header="0.3" footer="0.3"/>
  <x:tableParts count="3">
    <x:tablePart xmlns:r="http://schemas.openxmlformats.org/officeDocument/2006/relationships" r:id="Rd773645f20e4433f"/>
    <x:tablePart xmlns:r="http://schemas.openxmlformats.org/officeDocument/2006/relationships" r:id="R02ffafd15a764274"/>
    <x:tablePart xmlns:r="http://schemas.openxmlformats.org/officeDocument/2006/relationships" r:id="R76ed7ce1ca0443d7"/>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4.109999656677246" hidden="0" customWidth="1"/>
    <x:col min="2" max="2" width="12.880000114440918" hidden="0" customWidth="1"/>
    <x:col min="3" max="3" width="27.610000610351562" hidden="0" customWidth="1"/>
    <x:col min="4" max="4" width="12.880000114440918" hidden="0" customWidth="1"/>
    <x:col min="5" max="5" width="14.109999656677246" hidden="0" customWidth="1"/>
    <x:col min="6" max="6" width="14.109999656677246" hidden="0" customWidth="1"/>
    <x:col min="7" max="7" width="14.109999656677246" hidden="0" customWidth="1"/>
    <x:col min="8" max="8" width="14.109999656677246" hidden="0" customWidth="1"/>
    <x:col min="9" max="9" width="14.109999656677246" hidden="0" customWidth="1"/>
    <x:col min="10" max="10" width="12.880000114440918" hidden="0" customWidth="1"/>
    <x:col min="11" max="11" width="14.109999656677246" hidden="0" customWidth="1"/>
    <x:col min="12" max="12" width="12.880000114440918" hidden="0" customWidth="1"/>
    <x:col min="13" max="13" width="27.610000610351562" hidden="0" customWidth="1"/>
    <x:col min="14" max="14" width="27.610000610351562" hidden="0" customWidth="1"/>
  </x:cols>
  <x:sheetData>
    <x:row r="1" ht="25.5" customHeight="1">
      <x:c r="A1" s="28" t="str">
        <x:v>99_Checks</x:v>
      </x:c>
      <x:c r="B1" s="28"/>
      <x:c r="C1" s="28"/>
      <x:c r="D1" s="28"/>
      <x:c r="E1" s="28"/>
      <x:c r="F1" s="28"/>
      <x:c r="G1" s="28"/>
      <x:c r="H1" s="28"/>
    </x:row>
    <x:row r="2" ht="61.5" customHeight="1">
      <x:c r="A2" s="48" t="str">
        <x:v>Zweck</x:v>
      </x:c>
      <x:c r="B2" s="43" t="str">
        <x:v>Live-Pruefungen, Statusbegruendung und Ruec...</x:v>
      </x:c>
      <x:c r="C2" s="43" t="str"/>
      <x:c r="D2" s="50" t="str">
        <x:v>Datenstatus</x:v>
      </x:c>
      <x:c r="E2" s="43" t="str">
        <x:v>Startstatus: offen / nicht pruefbar</x:v>
      </x:c>
      <x:c r="F2" s="43" t="str"/>
      <x:c r="G2" s="50" t="str">
        <x:v>Naechste Aktion</x:v>
      </x:c>
      <x:c r="H2" s="44" t="str">
        <x:v>Offene Checks bearbeiten</x:v>
      </x:c>
    </x:row>
    <x:row r="3" ht="61.5" customHeight="1">
      <x:c r="A3" s="49" t="str">
        <x:v>Primaerquelle</x:v>
      </x:c>
      <x:c r="B3" s="46" t="str">
        <x:v>Sparring FINAL_ARTIFACT</x:v>
      </x:c>
      <x:c r="C3" s="46" t="str"/>
      <x:c r="D3" s="51" t="str">
        <x:v>Kontrollstatus</x:v>
      </x:c>
      <x:c r="E3" s="46" t="str">
        <x:v>nicht_ausgefuehrt</x:v>
      </x:c>
      <x:c r="F3" s="46" t="str"/>
      <x:c r="G3" s="51" t="str">
        <x:v>Hinweis</x:v>
      </x:c>
      <x:c r="H3" s="47" t="str">
        <x:v>Task 3: Finanzformeln</x:v>
      </x:c>
    </x:row>
    <x:row r="4">
      <x:c r="A4" s="54" t="str">
        <x:v>Checks</x:v>
      </x:c>
      <x:c r="B4" s="54"/>
      <x:c r="C4" s="54"/>
      <x:c r="D4" s="54"/>
      <x:c r="E4" s="54"/>
      <x:c r="F4" s="54"/>
      <x:c r="G4" s="54"/>
      <x:c r="H4" s="54"/>
      <x:c r="I4" s="54"/>
      <x:c r="J4" s="54"/>
      <x:c r="K4" s="54"/>
      <x:c r="L4" s="54"/>
      <x:c r="M4" s="54"/>
      <x:c r="N4" s="54"/>
    </x:row>
    <x:row r="5">
      <x:c r="A5" s="56" t="str">
        <x:v>PK: Check_ID | Update: berechnet_plus_manuell | ID: CHK</x:v>
      </x:c>
      <x:c r="B5" s="56"/>
      <x:c r="C5" s="56"/>
      <x:c r="D5" s="56"/>
      <x:c r="E5" s="56"/>
      <x:c r="F5" s="56"/>
      <x:c r="G5" s="56"/>
      <x:c r="H5" s="56"/>
      <x:c r="I5" s="56"/>
      <x:c r="J5" s="56"/>
      <x:c r="K5" s="56"/>
      <x:c r="L5" s="56"/>
      <x:c r="M5" s="56"/>
      <x:c r="N5" s="56"/>
    </x:row>
    <x:row r="6" ht="25.5" customHeight="1">
      <x:c r="A6" s="21" t="str">
        <x:v>Check_ID</x:v>
      </x:c>
      <x:c r="B6" s="21" t="str">
        <x:v>Checkgruppe</x:v>
      </x:c>
      <x:c r="C6" s="21" t="str">
        <x:v>Beschreibung</x:v>
      </x:c>
      <x:c r="D6" s="21" t="str">
        <x:v>Schweregrad</x:v>
      </x:c>
      <x:c r="E6" s="21" t="str">
        <x:v>Status</x:v>
      </x:c>
      <x:c r="F6" s="21" t="str">
        <x:v>Betroffene_Quelle_ID</x:v>
      </x:c>
      <x:c r="G6" s="21" t="str">
        <x:v>Betroffene_Annahme_ID</x:v>
      </x:c>
      <x:c r="H6" s="21" t="str">
        <x:v>Betroffener_Import_ID</x:v>
      </x:c>
      <x:c r="I6" s="21" t="str">
        <x:v>Betroffener_Kontrollspur_ID</x:v>
      </x:c>
      <x:c r="J6" s="21" t="str">
        <x:v>Betroffene_Tabelle</x:v>
      </x:c>
      <x:c r="K6" s="21" t="str">
        <x:v>Betroffene_ID</x:v>
      </x:c>
      <x:c r="L6" s="21" t="str">
        <x:v>Ausloeser</x:v>
      </x:c>
      <x:c r="M6" s="21" t="str">
        <x:v>Naechste_Aktion</x:v>
      </x:c>
      <x:c r="N6" s="21" t="str">
        <x:v>Kommentar</x:v>
      </x:c>
    </x:row>
    <x:row r="7">
      <x:c r="A7" s="18" t="str">
        <x:v>CHK-BLD-01</x:v>
      </x:c>
      <x:c r="B7" s="18" t="str">
        <x:v>Build</x:v>
      </x:c>
      <x:c r="C7" s="18" t="str">
        <x:v>letzte Workbook-Verifikation fehlt oder ist fehlgeschlagen</x:v>
      </x:c>
      <x:c r="D7" s="18" t="str">
        <x:v>Fehler</x:v>
      </x:c>
      <x:c r="E7" s="18" t="str">
        <x:v>offen</x:v>
      </x:c>
      <x:c r="F7" s="18" t="str"/>
      <x:c r="G7" s="18" t="str"/>
      <x:c r="H7" s="18" t="str"/>
      <x:c r="I7" s="18" t="str">
        <x:v>BLD-20260521-001</x:v>
      </x:c>
      <x:c r="J7" s="18" t="str">
        <x:v>98_Build_Verifikation</x:v>
      </x:c>
      <x:c r="K7" s="18" t="str">
        <x:v>BLD-20260521-001</x:v>
      </x:c>
      <x:c r="L7" s="18" t="str">
        <x:v>Verifier_Status nicht_ausgefuehrt</x:v>
      </x:c>
      <x:c r="M7" s="18" t="str">
        <x:v>Build und Verifikation ausfuehren</x:v>
      </x:c>
      <x:c r="N7" s="18" t="str">
        <x:v>Begruendet roten Startstatus</x:v>
      </x:c>
    </x:row>
    <x:row r="8">
      <x:c r="A8" s="18" t="str">
        <x:v>CHK003</x:v>
      </x:c>
      <x:c r="B8" s="18" t="str">
        <x:v>Kategorisierung</x:v>
      </x:c>
      <x:c r="C8" s="18" t="str">
        <x:v>Buchungen ohne Kategorie</x:v>
      </x:c>
      <x:c r="D8" s="18" t="str">
        <x:v>Warnung</x:v>
      </x:c>
      <x:c r="E8" s="18" t="str">
        <x:v>offen</x:v>
      </x:c>
      <x:c r="F8" s="18" t="str"/>
      <x:c r="G8" s="18" t="str"/>
      <x:c r="H8" s="18" t="str">
        <x:v>IMP-20260518-001</x:v>
      </x:c>
      <x:c r="I8" s="18" t="str"/>
      <x:c r="J8" s="18" t="str">
        <x:v>11_Umsaetze_Modell</x:v>
      </x:c>
      <x:c r="K8" s="18" t="str">
        <x:v>TXN-RAW-IMP-20260518-001-000004</x:v>
      </x:c>
      <x:c r="L8" s="18" t="str">
        <x:v>Kategorie_ID = KAT013</x:v>
      </x:c>
      <x:c r="M8" s="18" t="str">
        <x:v>Kategorie pruefen</x:v>
      </x:c>
      <x:c r="N8" s="18" t="str">
        <x:v>Mindestens eine offene Kategorie sichtbar</x:v>
      </x:c>
    </x:row>
    <x:row r="9">
      <x:c r="A9" s="18" t="str">
        <x:v>CHK012</x:v>
      </x:c>
      <x:c r="B9" s="18" t="str">
        <x:v>Annahmen</x:v>
      </x:c>
      <x:c r="C9" s="18" t="str">
        <x:v>dashboardrelevante Platzhalter-Annahme</x:v>
      </x:c>
      <x:c r="D9" s="18" t="str">
        <x:v>Warnung</x:v>
      </x:c>
      <x:c r="E9" s="18" t="str">
        <x:v>offen</x:v>
      </x:c>
      <x:c r="F9" s="18" t="str"/>
      <x:c r="G9" s="18" t="str">
        <x:v>ASM002</x:v>
      </x:c>
      <x:c r="H9" s="18" t="str"/>
      <x:c r="I9" s="18" t="str"/>
      <x:c r="J9" s="18" t="str">
        <x:v>42_Annahmen</x:v>
      </x:c>
      <x:c r="K9" s="18" t="str">
        <x:v>ASM002</x:v>
      </x:c>
      <x:c r="L9" s="18" t="str">
        <x:v>Status platzhalter</x:v>
      </x:c>
      <x:c r="M9" s="18" t="str">
        <x:v>Annahme belegen oder ersetzen</x:v>
      </x:c>
      <x:c r="N9" s="18" t="str">
        <x:v>Variable Ausgaben noch nicht belastbar</x:v>
      </x:c>
    </x:row>
    <x:row r="10">
      <x:c r="A10" s="18" t="str">
        <x:v>CHK010</x:v>
      </x:c>
      <x:c r="B10" s="18" t="str">
        <x:v>Quellen</x:v>
      </x:c>
      <x:c r="C10" s="18" t="str">
        <x:v>kritischer Wert ohne pruefbare Quelle</x:v>
      </x:c>
      <x:c r="D10" s="18" t="str">
        <x:v>Warnung</x:v>
      </x:c>
      <x:c r="E10" s="18" t="str">
        <x:v>offen</x:v>
      </x:c>
      <x:c r="F10" s="18" t="str">
        <x:v>SRC-20260518-001</x:v>
      </x:c>
      <x:c r="G10" s="18" t="str"/>
      <x:c r="H10" s="18" t="str"/>
      <x:c r="I10" s="18" t="str"/>
      <x:c r="J10" s="18" t="str">
        <x:v>90_Quellen</x:v>
      </x:c>
      <x:c r="K10" s="18" t="str">
        <x:v>SRC-20260518-001</x:v>
      </x:c>
      <x:c r="L10" s="18" t="str">
        <x:v>Hash nicht_pruefbar</x:v>
      </x:c>
      <x:c r="M10" s="18" t="str">
        <x:v>Fixture/Quelle pruefen</x:v>
      </x:c>
      <x:c r="N10" s="18" t="str">
        <x:v>Startquelle ist angelegt, aber noch nicht verifiziert</x:v>
      </x:c>
    </x:row>
    <x:row r="11">
      <x:c r="A11" s="18" t="str">
        <x:v>CHK017</x:v>
      </x:c>
      <x:c r="B11" s="18" t="str">
        <x:v>Basisdaten</x:v>
      </x:c>
      <x:c r="C11" s="18" t="str">
        <x:v>Geburtsdatum oder Renteneintrittsalter fehlt</x:v>
      </x:c>
      <x:c r="D11" s="18" t="str">
        <x:v>Warnung</x:v>
      </x:c>
      <x:c r="E11" s="18" t="str">
        <x:v>offen</x:v>
      </x:c>
      <x:c r="F11" s="18" t="str"/>
      <x:c r="G11" s="18" t="str"/>
      <x:c r="H11" s="18" t="str"/>
      <x:c r="I11" s="18" t="str"/>
      <x:c r="J11" s="18" t="str">
        <x:v>01_Personen</x:v>
      </x:c>
      <x:c r="K11" s="18" t="str">
        <x:v>P01</x:v>
      </x:c>
      <x:c r="L11" s="18" t="str">
        <x:v>Geburtsdatum leer</x:v>
      </x:c>
      <x:c r="M11" s="18" t="str">
        <x:v>Personenstammdaten ergaenzen</x:v>
      </x:c>
      <x:c r="N11" s="18" t="str">
        <x:v>Noch keine Renten-/Zeitachsenwirkung</x:v>
      </x:c>
    </x:row>
    <x:row r="12">
      <x:c r="A12" t="str">
        <x:v>CHK-IMPORT-DRAFT-FULL</x:v>
      </x:c>
      <x:c r="B12" t="str">
        <x:v>Import</x:v>
      </x:c>
      <x:c r="C12" t="str">
        <x:v>Agent-Draft enthaelt offene Kategorien</x:v>
      </x:c>
      <x:c r="D12" t="str">
        <x:v>Warnung</x:v>
      </x:c>
      <x:c r="E12" t="str">
        <x:v>offen</x:v>
      </x:c>
      <x:c r="F12" t="str">
        <x:v>SRC-20260516-FULLDRAFT</x:v>
      </x:c>
      <x:c r="G12"/>
      <x:c r="H12" t="str">
        <x:v>IMP-20260516-FULLDRAFT</x:v>
      </x:c>
      <x:c r="I12"/>
      <x:c r="J12" t="str">
        <x:v>11_Umsaetze_Modell</x:v>
      </x:c>
      <x:c r="K12" t="str">
        <x:v>TXN-RAW-IMP-20260516-FULLDRAFT-000001</x:v>
      </x:c>
      <x:c r="L12" t="str">
        <x:v>Kategorie_ID = KAT013</x:v>
      </x:c>
      <x:c r="M12" t="str">
        <x:v>Kategorien und Transfers pruefen</x:v>
      </x:c>
      <x:c r="N12" t="str">
        <x:v>Bewusst offener Import-Durchstich</x:v>
      </x:c>
    </x:row>
  </x:sheetData>
  <x:mergeCells>
    <x:mergeCell ref="A1:H1"/>
    <x:mergeCell ref="A4:N4"/>
    <x:mergeCell ref="A5:N5"/>
  </x:mergeCells>
  <x:dataValidations count="1">
    <x:dataValidation type="list" allowBlank="1" showDropDown="0" sqref="E7:E57">
      <x:formula1>"offen,belegt,geprueft,geschaetzt,inaktiv"</x:formula1>
    </x:dataValidation>
  </x:dataValidations>
  <x:pageMargins left="0.7" right="0.7" top="0.75" bottom="0.75" header="0.3" footer="0.3"/>
  <x:tableParts count="1">
    <x:tablePart xmlns:r="http://schemas.openxmlformats.org/officeDocument/2006/relationships" r:id="R43a3a2ddaea942f8"/>
  </x:tableParts>
</x:worksheet>
</file>
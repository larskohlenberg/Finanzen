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worksheets/sheet15.xml" ContentType="application/vnd.openxmlformats-officedocument.spreadsheetml.worksheet+xml"/>
  <Override PartName="/xl/tables/table18.xml" ContentType="application/vnd.openxmlformats-officedocument.spreadsheetml.table+xml"/>
  <Override PartName="/xl/worksheets/sheet16.xml" ContentType="application/vnd.openxmlformats-officedocument.spreadsheetml.worksheet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tables/table20.xml" ContentType="application/vnd.openxmlformats-officedocument.spreadsheetml.table+xml"/>
  <Override PartName="/xl/worksheets/sheet18.xml" ContentType="application/vnd.openxmlformats-officedocument.spreadsheetml.worksheet+xml"/>
  <Override PartName="/xl/tables/table21.xml" ContentType="application/vnd.openxmlformats-officedocument.spreadsheetml.table+xml"/>
  <Override PartName="/xl/worksheets/sheet1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worksheets/sheet21.xml" ContentType="application/vnd.openxmlformats-officedocument.spreadsheetml.worksheet+xml"/>
  <Override PartName="/xl/tables/table26.xml" ContentType="application/vnd.openxmlformats-officedocument.spreadsheetml.table+xml"/>
  <Override PartName="/xl/worksheets/sheet22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worksheets/sheet23.xml" ContentType="application/vnd.openxmlformats-officedocument.spreadsheetml.worksheet+xml"/>
  <Override PartName="/xl/tables/table30.xml" ContentType="application/vnd.openxmlformats-officedocument.spreadsheetml.table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8909427b5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37048b860b444811"/>
    <x:sheet xmlns:r="http://schemas.openxmlformats.org/officeDocument/2006/relationships" name="01_Personen" sheetId="2" r:id="Rc665bb92bd9a4813"/>
    <x:sheet xmlns:r="http://schemas.openxmlformats.org/officeDocument/2006/relationships" name="02_Kategorien" sheetId="3" r:id="Re63a415384964864"/>
    <x:sheet xmlns:r="http://schemas.openxmlformats.org/officeDocument/2006/relationships" name="03_Konten" sheetId="4" r:id="Rd24ac68eb62f45a6"/>
    <x:sheet xmlns:r="http://schemas.openxmlformats.org/officeDocument/2006/relationships" name="04_Immobilien" sheetId="5" r:id="R969188aa8c2f47a3"/>
    <x:sheet xmlns:r="http://schemas.openxmlformats.org/officeDocument/2006/relationships" name="05_Immobilien_Details" sheetId="6" r:id="R124eab55996c4e32"/>
    <x:sheet xmlns:r="http://schemas.openxmlformats.org/officeDocument/2006/relationships" name="06_Versicherungen" sheetId="7" r:id="R6a326322738748a6"/>
    <x:sheet xmlns:r="http://schemas.openxmlformats.org/officeDocument/2006/relationships" name="07_Rente" sheetId="8" r:id="R4382c77a9aed4794"/>
    <x:sheet xmlns:r="http://schemas.openxmlformats.org/officeDocument/2006/relationships" name="10_Umsaetze_Roh" sheetId="9" r:id="Redb7e10711c24f81"/>
    <x:sheet xmlns:r="http://schemas.openxmlformats.org/officeDocument/2006/relationships" name="11_Umsaetze_Modell" sheetId="10" r:id="R30c7a1460b4b4d1b"/>
    <x:sheet xmlns:r="http://schemas.openxmlformats.org/officeDocument/2006/relationships" name="12_Regelzahlungen" sheetId="11" r:id="Rb5e2637667ac48be"/>
    <x:sheet xmlns:r="http://schemas.openxmlformats.org/officeDocument/2006/relationships" name="20_Vermoegen" sheetId="12" r:id="R7544ff279566428f"/>
    <x:sheet xmlns:r="http://schemas.openxmlformats.org/officeDocument/2006/relationships" name="30_Cashflow" sheetId="13" r:id="Re3d6802bb0244e30"/>
    <x:sheet xmlns:r="http://schemas.openxmlformats.org/officeDocument/2006/relationships" name="40_Szenarien" sheetId="14" r:id="R4b945ac04c9d4002"/>
    <x:sheet xmlns:r="http://schemas.openxmlformats.org/officeDocument/2006/relationships" name="41_Ereignisse" sheetId="15" r:id="Rd0070b33bc794bad"/>
    <x:sheet xmlns:r="http://schemas.openxmlformats.org/officeDocument/2006/relationships" name="42_Annahmen" sheetId="16" r:id="R017e5cf2e1f7430a"/>
    <x:sheet xmlns:r="http://schemas.openxmlformats.org/officeDocument/2006/relationships" name="43_Zeitachse" sheetId="17" r:id="R5656172324524e03"/>
    <x:sheet xmlns:r="http://schemas.openxmlformats.org/officeDocument/2006/relationships" name="44_Liquiditaet" sheetId="18" r:id="R8004446b689f4269"/>
    <x:sheet xmlns:r="http://schemas.openxmlformats.org/officeDocument/2006/relationships" name="60_Warnungen" sheetId="19" r:id="Rda392e963340430d"/>
    <x:sheet xmlns:r="http://schemas.openxmlformats.org/officeDocument/2006/relationships" name="73_Agent_Vorschlaege" sheetId="20" r:id="Rff611699b4c34e2b"/>
    <x:sheet xmlns:r="http://schemas.openxmlformats.org/officeDocument/2006/relationships" name="90_Quellen" sheetId="21" r:id="R5a4462c7918f4da8"/>
    <x:sheet xmlns:r="http://schemas.openxmlformats.org/officeDocument/2006/relationships" name="98_Kontrollspur" sheetId="22" r:id="R32410391f36e4f17"/>
    <x:sheet xmlns:r="http://schemas.openxmlformats.org/officeDocument/2006/relationships" name="99_Checks" sheetId="23" r:id="Ref61f4ad2b1046e1"/>
    <x:sheet xmlns:r="http://schemas.openxmlformats.org/officeDocument/2006/relationships" name="99_Review_Apply_Audit" sheetId="24" r:id="Rb0186df4b0d6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&quot;-&quot;"/>
    <x:numFmt numFmtId="202" formatCode="0.0%;[Red](0.0%);-"/>
  </x:numFmts>
  <x:fonts count="16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2"/>
      <x:color rgb="FF111827"/>
      <x:name val="Carlito"/>
    </x:font>
    <x:font>
      <x:sz val="10"/>
      <x:color rgb="FF1D4ED8"/>
      <x:name val="Aptos"/>
    </x:font>
    <x:font>
      <x:b/>
      <x:sz val="10"/>
      <x:color rgb="FFFFFFFF"/>
      <x:name val="Aptos"/>
    </x:font>
    <x:font>
      <x:b/>
      <x:sz val="10"/>
      <x:color rgb="FF15803D"/>
      <x:name val="Aptos"/>
    </x:font>
    <x:font>
      <x:b/>
      <x:sz val="10"/>
      <x:color rgb="FF111827"/>
      <x:name val="Aptos"/>
    </x:font>
    <x:font>
      <x:sz val="10"/>
      <x:color rgb="FF111827"/>
      <x:name val="Aptos"/>
    </x:font>
    <x:font>
      <x:b/>
      <x:sz val="15"/>
      <x:color rgb="FFFFFFFF"/>
      <x:name val="Carlito"/>
    </x:font>
    <x:font>
      <x:sz val="10"/>
      <x:color rgb="FF334155"/>
      <x:name val="Carlito"/>
    </x:font>
    <x:font>
      <x:b/>
      <x:sz val="10"/>
      <x:color rgb="FF123047"/>
      <x:name val="Carlito"/>
    </x:font>
    <x:font>
      <x:b/>
      <x:sz val="12"/>
      <x:color rgb="FFFFFFFF"/>
      <x:name val="Carlito"/>
    </x:font>
    <x:font>
      <x:i/>
      <x:sz val="9"/>
      <x:color rgb="FF334155"/>
      <x:name val="Carlito"/>
    </x:font>
    <x:font>
      <x:b/>
      <x:sz val="16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DFF5F2"/>
      </x:patternFill>
    </x:fill>
    <x:fill>
      <x:patternFill patternType="solid">
        <x:fgColor rgb="FFFEF3C7"/>
      </x:patternFill>
    </x:fill>
    <x:fill>
      <x:patternFill patternType="solid">
        <x:fgColor rgb="FFF3F6F8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8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/>
    <x:xf numFmtId="0" fontId="11" fillId="3" borderId="2" xfId="0" applyNumberFormat="1" applyFont="1" applyFill="1" applyBorder="1"/>
    <x:xf numFmtId="0" fontId="11" fillId="3" borderId="3" xfId="0" applyNumberFormat="1" applyFont="1" applyFill="1" applyBorder="1"/>
    <x:xf numFmtId="0" fontId="11" fillId="3" borderId="4" xfId="0" applyNumberFormat="1" applyFont="1" applyFill="1" applyBorder="1"/>
    <x:xf numFmtId="0" fontId="11" fillId="3" borderId="5" xfId="0" applyNumberFormat="1" applyFont="1" applyFill="1" applyBorder="1"/>
    <x:xf numFmtId="0" fontId="11" fillId="3" borderId="6" xfId="0" applyNumberFormat="1" applyFont="1" applyFill="1" applyBorder="1"/>
    <x:xf numFmtId="0" fontId="11" fillId="3" borderId="7" xfId="0" applyNumberFormat="1" applyFont="1" applyFill="1" applyBorder="1"/>
    <x:xf numFmtId="0" fontId="11" fillId="3" borderId="2" xfId="0" applyNumberFormat="1" applyFont="1" applyFill="1" applyBorder="1" applyAlignment="1">
      <x:alignment wrapText="1"/>
    </x:xf>
    <x:xf numFmtId="0" fontId="11" fillId="3" borderId="3" xfId="0" applyNumberFormat="1" applyFont="1" applyFill="1" applyBorder="1" applyAlignment="1">
      <x:alignment wrapText="1"/>
    </x:xf>
    <x:xf numFmtId="0" fontId="11" fillId="3" borderId="4" xfId="0" applyNumberFormat="1" applyFont="1" applyFill="1" applyBorder="1" applyAlignment="1">
      <x:alignment wrapText="1"/>
    </x:xf>
    <x:xf numFmtId="0" fontId="11" fillId="3" borderId="5" xfId="0" applyNumberFormat="1" applyFont="1" applyFill="1" applyBorder="1" applyAlignment="1">
      <x:alignment wrapText="1"/>
    </x:xf>
    <x:xf numFmtId="0" fontId="11" fillId="3" borderId="6" xfId="0" applyNumberFormat="1" applyFont="1" applyFill="1" applyBorder="1" applyAlignment="1">
      <x:alignment wrapText="1"/>
    </x:xf>
    <x:xf numFmtId="0" fontId="11" fillId="3" borderId="7" xfId="0" applyNumberFormat="1" applyFont="1" applyFill="1" applyBorder="1" applyAlignment="1">
      <x:alignment wrapText="1"/>
    </x:xf>
    <x:xf numFmtId="0" fontId="11" fillId="3" borderId="2" xfId="0" applyNumberFormat="1" applyFont="1" applyFill="1" applyBorder="1" applyAlignment="1">
      <x:alignment vertical="center" wrapText="1"/>
    </x:xf>
    <x:xf numFmtId="0" fontId="11" fillId="3" borderId="3" xfId="0" applyNumberFormat="1" applyFont="1" applyFill="1" applyBorder="1" applyAlignment="1">
      <x:alignment vertical="center" wrapText="1"/>
    </x:xf>
    <x:xf numFmtId="0" fontId="11" fillId="3" borderId="4" xfId="0" applyNumberFormat="1" applyFont="1" applyFill="1" applyBorder="1" applyAlignment="1">
      <x:alignment vertical="center" wrapText="1"/>
    </x:xf>
    <x:xf numFmtId="0" fontId="11" fillId="3" borderId="5" xfId="0" applyNumberFormat="1" applyFont="1" applyFill="1" applyBorder="1" applyAlignment="1">
      <x:alignment vertical="center" wrapText="1"/>
    </x:xf>
    <x:xf numFmtId="0" fontId="11" fillId="3" borderId="6" xfId="0" applyNumberFormat="1" applyFont="1" applyFill="1" applyBorder="1" applyAlignment="1">
      <x:alignment vertical="center" wrapText="1"/>
    </x:xf>
    <x:xf numFmtId="0" fontId="11" fillId="3" borderId="7" xfId="0" applyNumberFormat="1" applyFont="1" applyFill="1" applyBorder="1" applyAlignment="1">
      <x:alignment vertical="center" wrapText="1"/>
    </x:xf>
    <x:xf numFmtId="0" fontId="12" fillId="3" borderId="2" xfId="0" applyNumberFormat="1" applyFont="1" applyFill="1" applyBorder="1" applyAlignment="1">
      <x:alignment vertical="center" wrapText="1"/>
    </x:xf>
    <x:xf numFmtId="0" fontId="12" fillId="3" borderId="5" xfId="0" applyNumberFormat="1" applyFont="1" applyFill="1" applyBorder="1" applyAlignment="1">
      <x:alignment vertical="center" wrapText="1"/>
    </x:xf>
    <x:xf numFmtId="0" fontId="12" fillId="3" borderId="3" xfId="0" applyNumberFormat="1" applyFont="1" applyFill="1" applyBorder="1" applyAlignment="1">
      <x:alignment vertical="center" wrapText="1"/>
    </x:xf>
    <x:xf numFmtId="0" fontId="12" fillId="3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200" fontId="5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5" fillId="0" borderId="1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/>
    </x:xf>
    <x:xf numFmtId="202" fontId="5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5" fillId="0" borderId="1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1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8"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3c26f82fb4970" /><Relationship Type="http://schemas.openxmlformats.org/officeDocument/2006/relationships/theme" Target="/xl/theme/theme1.xml" Id="Rabbd9730a4074bc5" /><Relationship Type="http://schemas.microsoft.com/office/2022/11/relationships/FeaturePropertyBag" Target="/xl/featurePropertyBag/featurePropertyBag.xml" Id="Rca6c2e1f07014029" /><Relationship Type="http://schemas.openxmlformats.org/officeDocument/2006/relationships/sharedStrings" Target="/xl/sharedStrings.xml" Id="R63ff4dda411c4b4a" /><Relationship Type="http://schemas.openxmlformats.org/officeDocument/2006/relationships/worksheet" Target="/xl/worksheets/sheet1.xml" Id="R37048b860b444811" /><Relationship Type="http://schemas.openxmlformats.org/officeDocument/2006/relationships/worksheet" Target="/xl/worksheets/sheet2.xml" Id="Rc665bb92bd9a4813" /><Relationship Type="http://schemas.openxmlformats.org/officeDocument/2006/relationships/worksheet" Target="/xl/worksheets/sheet3.xml" Id="Re63a415384964864" /><Relationship Type="http://schemas.openxmlformats.org/officeDocument/2006/relationships/worksheet" Target="/xl/worksheets/sheet4.xml" Id="Rd24ac68eb62f45a6" /><Relationship Type="http://schemas.openxmlformats.org/officeDocument/2006/relationships/worksheet" Target="/xl/worksheets/sheet5.xml" Id="R969188aa8c2f47a3" /><Relationship Type="http://schemas.openxmlformats.org/officeDocument/2006/relationships/worksheet" Target="/xl/worksheets/sheet6.xml" Id="R124eab55996c4e32" /><Relationship Type="http://schemas.openxmlformats.org/officeDocument/2006/relationships/worksheet" Target="/xl/worksheets/sheet7.xml" Id="R6a326322738748a6" /><Relationship Type="http://schemas.openxmlformats.org/officeDocument/2006/relationships/worksheet" Target="/xl/worksheets/sheet8.xml" Id="R4382c77a9aed4794" /><Relationship Type="http://schemas.openxmlformats.org/officeDocument/2006/relationships/worksheet" Target="/xl/worksheets/sheet9.xml" Id="Redb7e10711c24f81" /><Relationship Type="http://schemas.openxmlformats.org/officeDocument/2006/relationships/worksheet" Target="/xl/worksheets/sheet10.xml" Id="R30c7a1460b4b4d1b" /><Relationship Type="http://schemas.openxmlformats.org/officeDocument/2006/relationships/worksheet" Target="/xl/worksheets/sheet11.xml" Id="Rb5e2637667ac48be" /><Relationship Type="http://schemas.openxmlformats.org/officeDocument/2006/relationships/worksheet" Target="/xl/worksheets/sheet12.xml" Id="R7544ff279566428f" /><Relationship Type="http://schemas.openxmlformats.org/officeDocument/2006/relationships/worksheet" Target="/xl/worksheets/sheet13.xml" Id="Re3d6802bb0244e30" /><Relationship Type="http://schemas.openxmlformats.org/officeDocument/2006/relationships/worksheet" Target="/xl/worksheets/sheet14.xml" Id="R4b945ac04c9d4002" /><Relationship Type="http://schemas.openxmlformats.org/officeDocument/2006/relationships/worksheet" Target="/xl/worksheets/sheet15.xml" Id="Rd0070b33bc794bad" /><Relationship Type="http://schemas.openxmlformats.org/officeDocument/2006/relationships/worksheet" Target="/xl/worksheets/sheet16.xml" Id="R017e5cf2e1f7430a" /><Relationship Type="http://schemas.openxmlformats.org/officeDocument/2006/relationships/worksheet" Target="/xl/worksheets/sheet17.xml" Id="R5656172324524e03" /><Relationship Type="http://schemas.openxmlformats.org/officeDocument/2006/relationships/worksheet" Target="/xl/worksheets/sheet18.xml" Id="R8004446b689f4269" /><Relationship Type="http://schemas.openxmlformats.org/officeDocument/2006/relationships/worksheet" Target="/xl/worksheets/sheet19.xml" Id="Rda392e963340430d" /><Relationship Type="http://schemas.openxmlformats.org/officeDocument/2006/relationships/worksheet" Target="/xl/worksheets/sheet20.xml" Id="Rff611699b4c34e2b" /><Relationship Type="http://schemas.openxmlformats.org/officeDocument/2006/relationships/worksheet" Target="/xl/worksheets/sheet21.xml" Id="R5a4462c7918f4da8" /><Relationship Type="http://schemas.openxmlformats.org/officeDocument/2006/relationships/worksheet" Target="/xl/worksheets/sheet22.xml" Id="R32410391f36e4f17" /><Relationship Type="http://schemas.openxmlformats.org/officeDocument/2006/relationships/worksheet" Target="/xl/worksheets/sheet23.xml" Id="Ref61f4ad2b1046e1" /><Relationship Type="http://schemas.openxmlformats.org/officeDocument/2006/relationships/worksheet" Target="/xl/worksheets/sheet24.xml" Id="Rb0186df4b0d64c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e89e91f98446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Offene Checks nach Schweregrad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Offene Checks</c:v>
          </c:tx>
          <c:spPr>
            <a:solidFill xmlns:a="http://schemas.openxmlformats.org/drawingml/2006/main">
              <a:srgbClr val="0F766E"/>
            </a:solidFill>
          </c:spPr>
          <c:cat>
            <c:strLit>
              <c:ptCount val="3"/>
              <c:pt idx="0">
                <c:v>Fehler</c:v>
              </c:pt>
              <c:pt idx="1">
                <c:v>Warnung</c:v>
              </c:pt>
              <c:pt idx="2">
                <c:v>Hinweis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6</c:v>
              </c:pt>
              <c:pt idx="2">
                <c:v>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2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8</xdr:row>
      <xdr:rowOff>0</xdr:rowOff>
    </xdr:from>
    <xdr:ext cx="40005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e89e91f98446eb"/>
        </a:graphicData>
      </a:graphic>
    </xdr:graphicFrame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00_Dashboard" displayName="T_00_Dashboard" ref="A9:D14" headerRowCount="1">
  <x:tableColumns count="4">
    <x:tableColumn id="1" name="Kennzahl"/>
    <x:tableColumn id="2" name="Wert"/>
    <x:tableColumn id="3" name="Status"/>
    <x:tableColumn id="4" name="Warum"/>
  </x:tableColumns>
  <x:tableStyleInfo name="TableStyleMedium2" showRowStripes="1"/>
</x:table>
</file>

<file path=xl/tables/table2.xml><?xml version="1.0" encoding="utf-8"?>
<x:table xmlns:x="http://schemas.openxmlformats.org/spreadsheetml/2006/main" id="2" name="T_Personen_und_Haushalt" displayName="T_Personen_und_Haushalt" ref="A6:H9" headerRowCount="1">
  <x:tableColumns count="8">
    <x:tableColumn id="1" name="Person_ID"/>
    <x:tableColumn id="2" name="Name_Rolle"/>
    <x:tableColumn id="3" name="Typ"/>
    <x:tableColumn id="4" name="Geburtsdatum"/>
    <x:tableColumn id="5" name="Alter_aktuell"/>
    <x:tableColumn id="6" name="Renteneintritt_alter"/>
    <x:tableColumn id="7" name="Status"/>
    <x:tableColumn id="8" name="Kommentar"/>
  </x:tableColumns>
  <x:tableStyleInfo name="TableStyleMedium2" showRowStripes="1"/>
</x:table>
</file>

<file path=xl/tables/table3.xml><?xml version="1.0" encoding="utf-8"?>
<x:table xmlns:x="http://schemas.openxmlformats.org/spreadsheetml/2006/main" id="3" name="T_Kategorien" displayName="T_Kategorien" ref="A6:G19" headerRowCount="1">
  <x:tableColumns count="7">
    <x:tableColumn id="1" name="Kategorie_ID"/>
    <x:tableColumn id="2" name="Name"/>
    <x:tableColumn id="3" name="Gruppe"/>
    <x:tableColumn id="4" name="Cashflow_Typ"/>
    <x:tableColumn id="5" name="Lebenshaltung_Relevant"/>
    <x:tableColumn id="6" name="Status"/>
    <x:tableColumn id="7" name="Kommentar"/>
  </x:tableColumns>
  <x:tableStyleInfo name="TableStyleMedium2" showRowStripes="1"/>
</x:table>
</file>

<file path=xl/tables/table4.xml><?xml version="1.0" encoding="utf-8"?>
<x:table xmlns:x="http://schemas.openxmlformats.org/spreadsheetml/2006/main" id="4" name="T_Konten" displayName="T_Konten" ref="A6:O7" headerRowCount="1">
  <x:tableColumns count="15">
    <x:tableColumn id="1" name="Konto_ID"/>
    <x:tableColumn id="2" name="Name"/>
    <x:tableColumn id="3" name="Anbieter"/>
    <x:tableColumn id="4" name="Kontoart"/>
    <x:tableColumn id="5" name="Person_ID"/>
    <x:tableColumn id="6" name="Eigentumsanteil"/>
    <x:tableColumn id="7" name="Maskierte_IBAN_Depotnummer"/>
    <x:tableColumn id="8" name="Aktueller_Stand"/>
    <x:tableColumn id="9" name="Standdatum"/>
    <x:tableColumn id="10" name="Quelle_ID"/>
    <x:tableColumn id="11" name="Liquide_relevant"/>
    <x:tableColumn id="12" name="Performance_relevant"/>
    <x:tableColumn id="13" name="Transferfaehig"/>
    <x:tableColumn id="14" name="Status"/>
    <x:tableColumn id="15" name="Kommentar"/>
  </x:tableColumns>
  <x:tableStyleInfo name="TableStyleMedium2" showRowStripes="1"/>
</x:table>
</file>

<file path=xl/tables/table5.xml><?xml version="1.0" encoding="utf-8"?>
<x:table xmlns:x="http://schemas.openxmlformats.org/spreadsheetml/2006/main" id="5" name="T_Immobilien_Platzhalter" displayName="T_Immobilien_Platzhalter" ref="A6:H7" headerRowCount="1">
  <x:tableColumns count="8">
    <x:tableColumn id="1" name="Objekt_ID"/>
    <x:tableColumn id="2" name="Name"/>
    <x:tableColumn id="3" name="Objektart"/>
    <x:tableColumn id="4" name="Person_ID"/>
    <x:tableColumn id="5" name="Quelle_ID"/>
    <x:tableColumn id="6" name="Status"/>
    <x:tableColumn id="7" name="Naechste_Aktion"/>
    <x:tableColumn id="8" name="Kommentar"/>
  </x:tableColumns>
  <x:tableStyleInfo name="TableStyleMedium2" showRowStripes="1"/>
</x:table>
</file>

<file path=xl/tables/table6.xml><?xml version="1.0" encoding="utf-8"?>
<x:table xmlns:x="http://schemas.openxmlformats.org/spreadsheetml/2006/main" id="6" name="T_Immobilien_Details_Platzhalter" displayName="T_Immobilien_Details_Platzhalter" ref="A6:H7" headerRowCount="1">
  <x:tableColumns count="8">
    <x:tableColumn id="1" name="Detail_ID"/>
    <x:tableColumn id="2" name="Objekt_ID"/>
    <x:tableColumn id="3" name="Detailtyp"/>
    <x:tableColumn id="4" name="Wert"/>
    <x:tableColumn id="5" name="Einheit"/>
    <x:tableColumn id="6" name="Quelle_ID"/>
    <x:tableColumn id="7" name="Status"/>
    <x:tableColumn id="8" name="Kommentar"/>
  </x:tableColumns>
  <x:tableStyleInfo name="TableStyleMedium2" showRowStripes="1"/>
</x:table>
</file>

<file path=xl/tables/table7.xml><?xml version="1.0" encoding="utf-8"?>
<x:table xmlns:x="http://schemas.openxmlformats.org/spreadsheetml/2006/main" id="7" name="T_Versicherungen_Platzhalter" displayName="T_Versicherungen_Platzhalter" ref="A6:I7" headerRowCount="1">
  <x:tableColumns count="9">
    <x:tableColumn id="1" name="Vertrag_ID"/>
    <x:tableColumn id="2" name="Name"/>
    <x:tableColumn id="3" name="Typ"/>
    <x:tableColumn id="4" name="Person_ID"/>
    <x:tableColumn id="5" name="Beitrag"/>
    <x:tableColumn id="6" name="Frequenz"/>
    <x:tableColumn id="7" name="Quelle_ID"/>
    <x:tableColumn id="8" name="Status"/>
    <x:tableColumn id="9" name="Kommentar"/>
  </x:tableColumns>
  <x:tableStyleInfo name="TableStyleMedium2" showRowStripes="1"/>
</x:table>
</file>

<file path=xl/tables/table8.xml><?xml version="1.0" encoding="utf-8"?>
<x:table xmlns:x="http://schemas.openxmlformats.org/spreadsheetml/2006/main" id="8" name="T_Rente_Platzhalter" displayName="T_Rente_Platzhalter" ref="A6:H7" headerRowCount="1">
  <x:tableColumns count="8">
    <x:tableColumn id="1" name="Rente_ID"/>
    <x:tableColumn id="2" name="Person_ID"/>
    <x:tableColumn id="3" name="Anspruchsart"/>
    <x:tableColumn id="4" name="Monatswert"/>
    <x:tableColumn id="5" name="Startdatum"/>
    <x:tableColumn id="6" name="Quelle_ID"/>
    <x:tableColumn id="7" name="Status"/>
    <x:tableColumn id="8" name="Kommentar"/>
  </x:tableColumns>
  <x:tableStyleInfo name="TableStyleMedium2" showRowStripes="1"/>
</x:table>
</file>

<file path=xl/tables/table9.xml><?xml version="1.0" encoding="utf-8"?>
<x:table xmlns:x="http://schemas.openxmlformats.org/spreadsheetml/2006/main" id="9" name="T_Importlaeufe" displayName="T_Importlaeufe" ref="A6:P7" headerRowCount="1">
  <x:tableColumns count="16">
    <x:tableColumn id="1" name="Import_ID"/>
    <x:tableColumn id="2" name="Importdatei"/>
    <x:tableColumn id="3" name="Quellkonto_ID"/>
    <x:tableColumn id="4" name="Quelle_ID"/>
    <x:tableColumn id="5" name="Zeitraum_von"/>
    <x:tableColumn id="6" name="Zeitraum_bis"/>
    <x:tableColumn id="7" name="Kontostand_Export"/>
    <x:tableColumn id="8" name="Kontostand_Datum"/>
    <x:tableColumn id="9" name="Importdatum"/>
    <x:tableColumn id="10" name="Zeilen_gesamt"/>
    <x:tableColumn id="11" name="Zeilen_importiert"/>
    <x:tableColumn id="12" name="Duplikate"/>
    <x:tableColumn id="13" name="Parse_Fehler"/>
    <x:tableColumn id="14" name="Status"/>
    <x:tableColumn id="15" name="Lauf_ID"/>
    <x:tableColumn id="16" name="Kommentar"/>
  </x:tableColumns>
  <x:tableStyleInfo name="TableStyleMedium2" showRowStripes="1"/>
</x:table>
</file>

<file path=xl/tables/table10.xml><?xml version="1.0" encoding="utf-8"?>
<x:table xmlns:x="http://schemas.openxmlformats.org/spreadsheetml/2006/main" id="10" name="T_Umsaetze_Roh" displayName="T_Umsaetze_Roh" ref="A12:V16" headerRowCount="1">
  <x:tableColumns count="22">
    <x:tableColumn id="1" name="Rohumsatz_ID"/>
    <x:tableColumn id="2" name="Import_ID"/>
    <x:tableColumn id="3" name="Quellkonto_ID"/>
    <x:tableColumn id="4" name="Importdatei"/>
    <x:tableColumn id="5" name="Importdatum"/>
    <x:tableColumn id="6" name="Zeilennummer_Import"/>
    <x:tableColumn id="7" name="Zeilenhash"/>
    <x:tableColumn id="8" name="Duplikat_Status"/>
    <x:tableColumn id="9" name="Parse_Status"/>
    <x:tableColumn id="10" name="Parse_Hinweis"/>
    <x:tableColumn id="11" name="Buchungsdatum"/>
    <x:tableColumn id="12" name="Wertstellung"/>
    <x:tableColumn id="13" name="Status_Bank"/>
    <x:tableColumn id="14" name="Zahlungspflichtiger"/>
    <x:tableColumn id="15" name="Zahlungsempfaenger"/>
    <x:tableColumn id="16" name="Verwendungszweck"/>
    <x:tableColumn id="17" name="Umsatztyp"/>
    <x:tableColumn id="18" name="IBAN"/>
    <x:tableColumn id="19" name="Betrag"/>
    <x:tableColumn id="20" name="Glaeubiger_ID"/>
    <x:tableColumn id="21" name="Mandatsreferenz"/>
    <x:tableColumn id="22" name="Kundenreferenz"/>
  </x:tableColumns>
  <x:tableStyleInfo name="TableStyleMedium2" showRowStripes="1"/>
</x:table>
</file>

<file path=xl/tables/table11.xml><?xml version="1.0" encoding="utf-8"?>
<x:table xmlns:x="http://schemas.openxmlformats.org/spreadsheetml/2006/main" id="11" name="T_Transferregeln" displayName="T_Transferregeln" ref="A6:R7" headerRowCount="1">
  <x:tableColumns count="18">
    <x:tableColumn id="1" name="Transfer_Regel_ID"/>
    <x:tableColumn id="2" name="Name"/>
    <x:tableColumn id="3" name="Aktiv"/>
    <x:tableColumn id="4" name="Prioritaet"/>
    <x:tableColumn id="5" name="Konto_ID"/>
    <x:tableColumn id="6" name="Zielkonto_ID"/>
    <x:tableColumn id="7" name="Gegenpartei_Muster"/>
    <x:tableColumn id="8" name="IBAN_Muster"/>
    <x:tableColumn id="9" name="Verwendungszweck_Muster"/>
    <x:tableColumn id="10" name="Betrag_Min"/>
    <x:tableColumn id="11" name="Betrag_Max"/>
    <x:tableColumn id="12" name="Datums_Toleranz_Tage"/>
    <x:tableColumn id="13" name="Transfer_Typ"/>
    <x:tableColumn id="14" name="Vorgeschlagene_Cashflow_Wirkung"/>
    <x:tableColumn id="15" name="Lebenshaltung_Relevant_Vorschlag"/>
    <x:tableColumn id="16" name="Status"/>
    <x:tableColumn id="17" name="auto_person_id"/>
    <x:tableColumn id="18" name="Kommentar"/>
  </x:tableColumns>
  <x:tableStyleInfo name="TableStyleMedium2" showRowStripes="1"/>
</x:table>
</file>

<file path=xl/tables/table12.xml><?xml version="1.0" encoding="utf-8"?>
<x:table xmlns:x="http://schemas.openxmlformats.org/spreadsheetml/2006/main" id="12" name="T_Modellumsaetze" displayName="T_Modellumsaetze" ref="A12:Y16" headerRowCount="1">
  <x:tableColumns count="25">
    <x:tableColumn id="1" name="Transaktion_ID"/>
    <x:tableColumn id="2" name="Rohumsatz_ID"/>
    <x:tableColumn id="3" name="Konto_ID"/>
    <x:tableColumn id="4" name="Zielkonto_ID"/>
    <x:tableColumn id="5" name="Kategorie_ID"/>
    <x:tableColumn id="6" name="Person_ID"/>
    <x:tableColumn id="7" name="Regel_ID"/>
    <x:tableColumn id="8" name="Regel_Match_Status"/>
    <x:tableColumn id="9" name="Regel_Match_Hinweis"/>
    <x:tableColumn id="10" name="Erwartetes_Zahldatum"/>
    <x:tableColumn id="11" name="Betragsabweichung"/>
    <x:tableColumn id="12" name="Tage_Abweichung"/>
    <x:tableColumn id="13" name="Betrag"/>
    <x:tableColumn id="14" name="Buchungsmonat"/>
    <x:tableColumn id="15" name="Cashflow_Wirkung"/>
    <x:tableColumn id="16" name="Szenario_Wirkung"/>
    <x:tableColumn id="17" name="Ist_Transfer"/>
    <x:tableColumn id="18" name="Transfer_Status"/>
    <x:tableColumn id="19" name="Transfer_Typ"/>
    <x:tableColumn id="20" name="Gegenbuchung_Transaktion_ID"/>
    <x:tableColumn id="21" name="Transfer_Regel_ID"/>
    <x:tableColumn id="22" name="Lebenshaltung_Relevant"/>
    <x:tableColumn id="23" name="Transfer_Pruefhinweis"/>
    <x:tableColumn id="24" name="Status"/>
    <x:tableColumn id="25" name="Kommentar"/>
  </x:tableColumns>
  <x:tableStyleInfo name="TableStyleMedium2" showRowStripes="1"/>
</x:table>
</file>

<file path=xl/tables/table13.xml><?xml version="1.0" encoding="utf-8"?>
<x:table xmlns:x="http://schemas.openxmlformats.org/spreadsheetml/2006/main" id="13" name="T_Regelzahlungen" displayName="T_Regelzahlungen" ref="A6:AA7" headerRowCount="1">
  <x:tableColumns count="27">
    <x:tableColumn id="1" name="Regel_ID"/>
    <x:tableColumn id="2" name="Name"/>
    <x:tableColumn id="3" name="Typ"/>
    <x:tableColumn id="4" name="Kategorie_ID"/>
    <x:tableColumn id="5" name="Person_ID"/>
    <x:tableColumn id="6" name="Konto_ID"/>
    <x:tableColumn id="7" name="Quelle_ID"/>
    <x:tableColumn id="8" name="Frequenz"/>
    <x:tableColumn id="9" name="Erwarteter_Betrag"/>
    <x:tableColumn id="10" name="Toleranz_Betrag"/>
    <x:tableColumn id="11" name="Toleranz_Prozent"/>
    <x:tableColumn id="12" name="Erwarteter_Tag"/>
    <x:tableColumn id="13" name="Gegenpartei_Muster"/>
    <x:tableColumn id="14" name="IBAN_Muster"/>
    <x:tableColumn id="15" name="Verwendungszweck_Muster"/>
    <x:tableColumn id="16" name="Betrag_Min"/>
    <x:tableColumn id="17" name="Betrag_Max"/>
    <x:tableColumn id="18" name="Betrag_Variabel"/>
    <x:tableColumn id="19" name="Faelligkeitstag"/>
    <x:tableColumn id="20" name="Faelligkeitstoleranz_Tage"/>
    <x:tableColumn id="21" name="Matching_Status"/>
    <x:tableColumn id="22" name="Auto_Matching_Erlaubt"/>
    <x:tableColumn id="23" name="Startdatum"/>
    <x:tableColumn id="24" name="Enddatum"/>
    <x:tableColumn id="25" name="Status"/>
    <x:tableColumn id="26" name="Szenario_Wirkung"/>
    <x:tableColumn id="27" name="Kommentar"/>
  </x:tableColumns>
  <x:tableStyleInfo name="TableStyleMedium2" showRowStripes="1"/>
</x:table>
</file>

<file path=xl/tables/table14.xml><?xml version="1.0" encoding="utf-8"?>
<x:table xmlns:x="http://schemas.openxmlformats.org/spreadsheetml/2006/main" id="14" name="T_Regelzahlung_Vorschlaege" displayName="T_Regelzahlung_Vorschlaege" ref="A12:W13" headerRowCount="1">
  <x:tableColumns count="23">
    <x:tableColumn id="1" name="Vorschlag_ID"/>
    <x:tableColumn id="2" name="Erkannt_am"/>
    <x:tableColumn id="3" name="Lauf_ID"/>
    <x:tableColumn id="4" name="Vorgeschlagener_Name"/>
    <x:tableColumn id="5" name="Vorgeschlagene_Frequenz"/>
    <x:tableColumn id="6" name="Treffer_Anzahl"/>
    <x:tableColumn id="7" name="Erstes_Datum"/>
    <x:tableColumn id="8" name="Letztes_Datum"/>
    <x:tableColumn id="9" name="Median_Betrag"/>
    <x:tableColumn id="10" name="Betrag_Min"/>
    <x:tableColumn id="11" name="Betrag_Max"/>
    <x:tableColumn id="12" name="Betrag_Variabilitaet"/>
    <x:tableColumn id="13" name="Typ"/>
    <x:tableColumn id="14" name="Kategorie_ID_Vorschlag"/>
    <x:tableColumn id="15" name="Person_ID_Vorschlag"/>
    <x:tableColumn id="16" name="Konto_ID"/>
    <x:tableColumn id="17" name="Gegenpartei_Muster"/>
    <x:tableColumn id="18" name="IBAN_Muster"/>
    <x:tableColumn id="19" name="Verwendungszweck_Muster"/>
    <x:tableColumn id="20" name="Konfidenz"/>
    <x:tableColumn id="21" name="Status"/>
    <x:tableColumn id="22" name="Erkennungs_Hinweis"/>
    <x:tableColumn id="23" name="Kommentar"/>
  </x:tableColumns>
  <x:tableStyleInfo name="TableStyleMedium2" showRowStripes="1"/>
</x:table>
</file>

<file path=xl/tables/table15.xml><?xml version="1.0" encoding="utf-8"?>
<x:table xmlns:x="http://schemas.openxmlformats.org/spreadsheetml/2006/main" id="15" name="T_Vermoegen_Sicht" displayName="T_Vermoegen_Sicht" ref="A6:H7" headerRowCount="1">
  <x:tableColumns count="8">
    <x:tableColumn id="1" name="Position_ID"/>
    <x:tableColumn id="2" name="Name"/>
    <x:tableColumn id="3" name="Kategorie"/>
    <x:tableColumn id="4" name="Wert"/>
    <x:tableColumn id="5" name="Einheit"/>
    <x:tableColumn id="6" name="Quelle_ID"/>
    <x:tableColumn id="7" name="Status"/>
    <x:tableColumn id="8" name="Kommentar"/>
  </x:tableColumns>
  <x:tableStyleInfo name="TableStyleMedium2" showRowStripes="1"/>
</x:table>
</file>

<file path=xl/tables/table16.xml><?xml version="1.0" encoding="utf-8"?>
<x:table xmlns:x="http://schemas.openxmlformats.org/spreadsheetml/2006/main" id="16" name="T_Cashflow" displayName="T_Cashflow" ref="A6:H9" headerRowCount="1">
  <x:tableColumns count="8">
    <x:tableColumn id="1" name="Kennzahl_ID"/>
    <x:tableColumn id="2" name="Kennzahl"/>
    <x:tableColumn id="3" name="Monat"/>
    <x:tableColumn id="4" name="Wert"/>
    <x:tableColumn id="5" name="Einheit"/>
    <x:tableColumn id="6" name="Datenbasis"/>
    <x:tableColumn id="7" name="Status"/>
    <x:tableColumn id="8" name="Kommentar"/>
  </x:tableColumns>
  <x:tableStyleInfo name="TableStyleMedium2" showRowStripes="1"/>
</x:table>
</file>

<file path=xl/tables/table17.xml><?xml version="1.0" encoding="utf-8"?>
<x:table xmlns:x="http://schemas.openxmlformats.org/spreadsheetml/2006/main" id="17" name="T_Szenarien" displayName="T_Szenarien" ref="A6:G9" headerRowCount="1">
  <x:tableColumns count="7">
    <x:tableColumn id="1" name="Szenario_ID"/>
    <x:tableColumn id="2" name="Name"/>
    <x:tableColumn id="3" name="Status"/>
    <x:tableColumn id="4" name="Startdatum"/>
    <x:tableColumn id="5" name="Enddatum"/>
    <x:tableColumn id="6" name="Datenstatus"/>
    <x:tableColumn id="7" name="Kommentar"/>
  </x:tableColumns>
  <x:tableStyleInfo name="TableStyleMedium2" showRowStripes="1"/>
</x:table>
</file>

<file path=xl/tables/table18.xml><?xml version="1.0" encoding="utf-8"?>
<x:table xmlns:x="http://schemas.openxmlformats.org/spreadsheetml/2006/main" id="18" name="T_Ereignisse_Platzhalter" displayName="T_Ereignisse_Platzhalter" ref="A6:H7" headerRowCount="1">
  <x:tableColumns count="8">
    <x:tableColumn id="1" name="Ereignis_ID"/>
    <x:tableColumn id="2" name="Name"/>
    <x:tableColumn id="3" name="Typ"/>
    <x:tableColumn id="4" name="Startdatum"/>
    <x:tableColumn id="5" name="Enddatum"/>
    <x:tableColumn id="6" name="Szenario_ID"/>
    <x:tableColumn id="7" name="Status"/>
    <x:tableColumn id="8" name="Kommentar"/>
  </x:tableColumns>
  <x:tableStyleInfo name="TableStyleMedium2" showRowStripes="1"/>
</x:table>
</file>

<file path=xl/tables/table19.xml><?xml version="1.0" encoding="utf-8"?>
<x:table xmlns:x="http://schemas.openxmlformats.org/spreadsheetml/2006/main" id="19" name="T_Annahmen" displayName="T_Annahmen" ref="A6:L9" headerRowCount="1">
  <x:tableColumns count="12">
    <x:tableColumn id="1" name="Annahme_ID"/>
    <x:tableColumn id="2" name="Name"/>
    <x:tableColumn id="3" name="Bereich"/>
    <x:tableColumn id="4" name="Wert"/>
    <x:tableColumn id="5" name="Einheit"/>
    <x:tableColumn id="6" name="Gueltig_ab"/>
    <x:tableColumn id="7" name="Gueltig_bis"/>
    <x:tableColumn id="8" name="Szenario_ID"/>
    <x:tableColumn id="9" name="Status"/>
    <x:tableColumn id="10" name="Quelle_ID"/>
    <x:tableColumn id="11" name="Ersetzt_Annahme_ID"/>
    <x:tableColumn id="12" name="Kommentar"/>
  </x:tableColumns>
  <x:tableStyleInfo name="TableStyleMedium2" showRowStripes="1"/>
</x:table>
</file>

<file path=xl/tables/table20.xml><?xml version="1.0" encoding="utf-8"?>
<x:table xmlns:x="http://schemas.openxmlformats.org/spreadsheetml/2006/main" id="20" name="T_Zeitachse" displayName="T_Zeitachse" ref="A6:G9" headerRowCount="1">
  <x:tableColumns count="7">
    <x:tableColumn id="1" name="Monat_ID"/>
    <x:tableColumn id="2" name="Szenario_ID"/>
    <x:tableColumn id="3" name="Monat"/>
    <x:tableColumn id="4" name="Netto_M"/>
    <x:tableColumn id="5" name="Kumulierte_Liquiditaet"/>
    <x:tableColumn id="6" name="Status"/>
    <x:tableColumn id="7" name="Kommentar"/>
  </x:tableColumns>
  <x:tableStyleInfo name="TableStyleMedium2" showRowStripes="1"/>
</x:table>
</file>

<file path=xl/tables/table21.xml><?xml version="1.0" encoding="utf-8"?>
<x:table xmlns:x="http://schemas.openxmlformats.org/spreadsheetml/2006/main" id="21" name="T_Liquiditaet" displayName="T_Liquiditaet" ref="A6:H9" headerRowCount="1">
  <x:tableColumns count="8">
    <x:tableColumn id="1" name="Kennzahl_ID"/>
    <x:tableColumn id="2" name="Kennzahl"/>
    <x:tableColumn id="3" name="Wert"/>
    <x:tableColumn id="4" name="Einheit"/>
    <x:tableColumn id="5" name="Szenario_ID"/>
    <x:tableColumn id="6" name="Datenbasis"/>
    <x:tableColumn id="7" name="Status"/>
    <x:tableColumn id="8" name="Kommentar"/>
  </x:tableColumns>
  <x:tableStyleInfo name="TableStyleMedium2" showRowStripes="1"/>
</x:table>
</file>

<file path=xl/tables/table22.xml><?xml version="1.0" encoding="utf-8"?>
<x:table xmlns:x="http://schemas.openxmlformats.org/spreadsheetml/2006/main" id="22" name="T_Warnungen_Aktuell" displayName="T_Warnungen_Aktuell" ref="A6:J11" headerRowCount="1">
  <x:tableColumns count="10">
    <x:tableColumn id="1" name="Warnungs_ID"/>
    <x:tableColumn id="2" name="Warnungs_Fingerprint"/>
    <x:tableColumn id="3" name="Check_ID"/>
    <x:tableColumn id="4" name="Schweregrad"/>
    <x:tableColumn id="5" name="Titel"/>
    <x:tableColumn id="6" name="Betroffene_Tabelle"/>
    <x:tableColumn id="7" name="Betroffene_ID"/>
    <x:tableColumn id="8" name="Status"/>
    <x:tableColumn id="9" name="Naechste_Aktion"/>
    <x:tableColumn id="10" name="Kommentar"/>
  </x:tableColumns>
  <x:tableStyleInfo name="TableStyleMedium2" showRowStripes="1"/>
</x:table>
</file>

<file path=xl/tables/table23.xml><?xml version="1.0" encoding="utf-8"?>
<x:table xmlns:x="http://schemas.openxmlformats.org/spreadsheetml/2006/main" id="23" name="T_Warnungen_Bearbeitung" displayName="T_Warnungen_Bearbeitung" ref="A16:E20" headerRowCount="1">
  <x:tableColumns count="5">
    <x:tableColumn id="1" name="Warnungs_Fingerprint"/>
    <x:tableColumn id="2" name="Bearbeitungsstatus"/>
    <x:tableColumn id="3" name="Owner"/>
    <x:tableColumn id="4" name="Faelligkeit"/>
    <x:tableColumn id="5" name="Kommentar"/>
  </x:tableColumns>
  <x:tableStyleInfo name="TableStyleMedium2" showRowStripes="1"/>
</x:table>
</file>

<file path=xl/tables/table24.xml><?xml version="1.0" encoding="utf-8"?>
<x:table xmlns:x="http://schemas.openxmlformats.org/spreadsheetml/2006/main" id="24" name="T_Warnungen_Zusammenfassung" displayName="T_Warnungen_Zusammenfassung" ref="A25:F29" headerRowCount="1">
  <x:tableColumns count="6">
    <x:tableColumn id="1" name="Warnungs_Fingerprint"/>
    <x:tableColumn id="2" name="Titel"/>
    <x:tableColumn id="3" name="Schweregrad"/>
    <x:tableColumn id="4" name="Bearbeitungsstatus"/>
    <x:tableColumn id="5" name="Naechste_Aktion"/>
    <x:tableColumn id="6" name="Status"/>
  </x:tableColumns>
  <x:tableStyleInfo name="TableStyleMedium2" showRowStripes="1"/>
</x:table>
</file>

<file path=xl/tables/table25.xml><?xml version="1.0" encoding="utf-8"?>
<x:table xmlns:x="http://schemas.openxmlformats.org/spreadsheetml/2006/main" id="25" name="T_Agent_Vorschlaege" displayName="T_Agent_Vorschlaege" ref="A6:O7" headerRowCount="1">
  <x:tableColumns count="15">
    <x:tableColumn id="1" name="Vorschlag_ID"/>
    <x:tableColumn id="2" name="Vorschlag_Fingerprint"/>
    <x:tableColumn id="3" name="Lauf_ID"/>
    <x:tableColumn id="4" name="Methodik_ID"/>
    <x:tableColumn id="5" name="Vorschlagstyp"/>
    <x:tableColumn id="6" name="Betroffene_Tabelle"/>
    <x:tableColumn id="7" name="Betroffene_ID"/>
    <x:tableColumn id="8" name="Empfohlene_Aktion"/>
    <x:tableColumn id="9" name="Begruendung"/>
    <x:tableColumn id="10" name="Konfidenz"/>
    <x:tableColumn id="11" name="Prioritaet"/>
    <x:tableColumn id="12" name="Status"/>
    <x:tableColumn id="13" name="Umsetzung_Eindeutig"/>
    <x:tableColumn id="14" name="Umsetzungsstatus"/>
    <x:tableColumn id="15" name="Kommentar"/>
  </x:tableColumns>
  <x:tableStyleInfo name="TableStyleMedium2" showRowStripes="1"/>
</x:table>
</file>

<file path=xl/tables/table26.xml><?xml version="1.0" encoding="utf-8"?>
<x:table xmlns:x="http://schemas.openxmlformats.org/spreadsheetml/2006/main" id="26" name="T_Quellen" displayName="T_Quellen" ref="A6:AC7" headerRowCount="1">
  <x:tableColumns count="29">
    <x:tableColumn id="1" name="Quelle_ID"/>
    <x:tableColumn id="2" name="Quellenart"/>
    <x:tableColumn id="3" name="Eltern_Quelle_ID"/>
    <x:tableColumn id="4" name="Eingangskanal"/>
    <x:tableColumn id="5" name="Originaldateiname"/>
    <x:tableColumn id="6" name="Dateiname_Modell"/>
    <x:tableColumn id="7" name="Dateipfad"/>
    <x:tableColumn id="8" name="Dateihash"/>
    <x:tableColumn id="9" name="Belegtyp"/>
    <x:tableColumn id="10" name="Quelle_Anbieter"/>
    <x:tableColumn id="11" name="Belegdatum"/>
    <x:tableColumn id="12" name="Standdatum"/>
    <x:tableColumn id="13" name="Abrufdatum"/>
    <x:tableColumn id="14" name="Wertname"/>
    <x:tableColumn id="15" name="Wert"/>
    <x:tableColumn id="16" name="Einheit"/>
    <x:tableColumn id="17" name="Zeitraum"/>
    <x:tableColumn id="18" name="Zeitraum_von"/>
    <x:tableColumn id="19" name="Zeitraum_bis"/>
    <x:tableColumn id="20" name="Seite_Abschnitt"/>
    <x:tableColumn id="21" name="Zielblatt"/>
    <x:tableColumn id="22" name="Ziel_ID"/>
    <x:tableColumn id="23" name="Person_ID"/>
    <x:tableColumn id="24" name="Objekt_ID"/>
    <x:tableColumn id="25" name="Szenario_Relevanz"/>
    <x:tableColumn id="26" name="Status"/>
    <x:tableColumn id="27" name="Unsicherheit"/>
    <x:tableColumn id="28" name="Kommentar"/>
    <x:tableColumn id="29" name="Geprueft_am"/>
  </x:tableColumns>
  <x:tableStyleInfo name="TableStyleMedium2" showRowStripes="1"/>
</x:table>
</file>

<file path=xl/tables/table27.xml><?xml version="1.0" encoding="utf-8"?>
<x:table xmlns:x="http://schemas.openxmlformats.org/spreadsheetml/2006/main" id="27" name="T_Build_Verifikation" displayName="T_Build_Verifikation" ref="A6:O7" headerRowCount="1">
  <x:tableColumns count="15">
    <x:tableColumn id="1" name="Build_ID"/>
    <x:tableColumn id="2" name="Builddatum"/>
    <x:tableColumn id="3" name="Spec_Version"/>
    <x:tableColumn id="4" name="Workbook_Dateiname"/>
    <x:tableColumn id="5" name="Workbook_Dateihash"/>
    <x:tableColumn id="6" name="Builder_Version"/>
    <x:tableColumn id="7" name="Verifier"/>
    <x:tableColumn id="8" name="Verifier_Status"/>
    <x:tableColumn id="9" name="Inspector_Pfad"/>
    <x:tableColumn id="10" name="Tests_Gesamt"/>
    <x:tableColumn id="11" name="Tests_Bestanden"/>
    <x:tableColumn id="12" name="Tests_Fehlgeschlagen"/>
    <x:tableColumn id="13" name="Offene_Befunde"/>
    <x:tableColumn id="14" name="Artefakt_ID"/>
    <x:tableColumn id="15" name="Kommentar"/>
  </x:tableColumns>
  <x:tableStyleInfo name="TableStyleMedium2" showRowStripes="1"/>
</x:table>
</file>

<file path=xl/tables/table28.xml><?xml version="1.0" encoding="utf-8"?>
<x:table xmlns:x="http://schemas.openxmlformats.org/spreadsheetml/2006/main" id="28" name="T_Agentenlaeufe" displayName="T_Agentenlaeufe" ref="A12:N13" headerRowCount="1">
  <x:tableColumns count="14">
    <x:tableColumn id="1" name="Lauf_ID"/>
    <x:tableColumn id="2" name="Laufdatum"/>
    <x:tableColumn id="3" name="Agentenrolle"/>
    <x:tableColumn id="4" name="Ausloeser_Typ"/>
    <x:tableColumn id="5" name="Methodik_ID"/>
    <x:tableColumn id="6" name="Erlaubte_Zielbereiche"/>
    <x:tableColumn id="7" name="Geaenderte_Tabellen"/>
    <x:tableColumn id="8" name="Erzeugte_Vorschlaege"/>
    <x:tableColumn id="9" name="Erzeugte_Warnhinweise"/>
    <x:tableColumn id="10" name="Ergebnis"/>
    <x:tableColumn id="11" name="Compliance_Status"/>
    <x:tableColumn id="12" name="Artefakt_ID"/>
    <x:tableColumn id="13" name="Fehler_Hinweis"/>
    <x:tableColumn id="14" name="Kommentar"/>
  </x:tableColumns>
  <x:tableStyleInfo name="TableStyleMedium2" showRowStripes="1"/>
</x:table>
</file>

<file path=xl/tables/table29.xml><?xml version="1.0" encoding="utf-8"?>
<x:table xmlns:x="http://schemas.openxmlformats.org/spreadsheetml/2006/main" id="29" name="T_Artefakt_Referenzen" displayName="T_Artefakt_Referenzen" ref="A18:J19" headerRowCount="1">
  <x:tableColumns count="10">
    <x:tableColumn id="1" name="Artefakt_ID"/>
    <x:tableColumn id="2" name="Artefakt_Typ"/>
    <x:tableColumn id="3" name="Pfad"/>
    <x:tableColumn id="4" name="Dateihash"/>
    <x:tableColumn id="5" name="Erzeugt_am"/>
    <x:tableColumn id="6" name="Erzeugt_durch"/>
    <x:tableColumn id="7" name="Bezug_ID"/>
    <x:tableColumn id="8" name="Aufbewahrung"/>
    <x:tableColumn id="9" name="Status"/>
    <x:tableColumn id="10" name="Kommentar"/>
  </x:tableColumns>
  <x:tableStyleInfo name="TableStyleMedium2" showRowStripes="1"/>
</x:table>
</file>

<file path=xl/tables/table30.xml><?xml version="1.0" encoding="utf-8"?>
<x:table xmlns:x="http://schemas.openxmlformats.org/spreadsheetml/2006/main" id="30" name="T_Checks" displayName="T_Checks" ref="A6:N13" headerRowCount="1">
  <x:tableColumns count="14">
    <x:tableColumn id="1" name="Check_ID"/>
    <x:tableColumn id="2" name="Checkgruppe"/>
    <x:tableColumn id="3" name="Beschreibung"/>
    <x:tableColumn id="4" name="Schweregrad"/>
    <x:tableColumn id="5" name="Status"/>
    <x:tableColumn id="6" name="Betroffene_Quelle_ID"/>
    <x:tableColumn id="7" name="Betroffene_Annahme_ID"/>
    <x:tableColumn id="8" name="Betroffener_Import_ID"/>
    <x:tableColumn id="9" name="Betroffener_Kontrollspur_ID"/>
    <x:tableColumn id="10" name="Betroffene_Tabelle"/>
    <x:tableColumn id="11" name="Betroffene_ID"/>
    <x:tableColumn id="12" name="Ausloeser"/>
    <x:tableColumn id="13" name="Naechste_Aktion"/>
    <x:tableColumn id="14" name="Komment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f125ec599745ed" /><Relationship Type="http://schemas.openxmlformats.org/officeDocument/2006/relationships/table" Target="/xl/tables/table1.xml" Id="R2c0ad40b159745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04df0e8ecc4d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1afeefc6174c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f6abd1bb954a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39235ba99847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2b11ab157f049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86a259e7c1e4e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a4d52f7f5cc43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fc84206b3bb4461" /><Relationship Type="http://schemas.openxmlformats.org/officeDocument/2006/relationships/table" Target="/xl/tables/table10.xml" Id="R2014596f057b414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18262da20f6d483e" /><Relationship Type="http://schemas.openxmlformats.org/officeDocument/2006/relationships/table" Target="/xl/tables/table12.xml" Id="R589a48a383df44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35b853d37f7b4ca3" /><Relationship Type="http://schemas.openxmlformats.org/officeDocument/2006/relationships/table" Target="/xl/tables/table14.xml" Id="R6046f2aaf070481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e974dfff264c40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6.xml" Id="R59aef093d64542a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3fcfee825dc441c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8.xml" Id="R2f29bf0634ec4ab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9.xml" Id="R96631724a0d04a2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0.xml" Id="Rc37d6cd19f0e40a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1.xml" Id="Rf612d80569b1465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2.xml" Id="R9ad129e8fd264105" /><Relationship Type="http://schemas.openxmlformats.org/officeDocument/2006/relationships/table" Target="/xl/tables/table23.xml" Id="Rf58448eafee04481" /><Relationship Type="http://schemas.openxmlformats.org/officeDocument/2006/relationships/table" Target="/xl/tables/table24.xml" Id="Ra9782fc05e5249f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5.xml" Id="Rf96e2b2df6ae4c2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6.xml" Id="R196282754b4b47d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7.xml" Id="Ra3149cb539d844d6" /><Relationship Type="http://schemas.openxmlformats.org/officeDocument/2006/relationships/table" Target="/xl/tables/table28.xml" Id="R37423fdfdc6e485d" /><Relationship Type="http://schemas.openxmlformats.org/officeDocument/2006/relationships/table" Target="/xl/tables/table29.xml" Id="Rb0dec03b4585414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30.xml" Id="Rec5e32f1700942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1.110000610351562" hidden="0" customWidth="1"/>
    <x:col min="3" max="3" width="25.559999465942383" hidden="0" customWidth="1"/>
    <x:col min="4" max="4" width="36.66999816894531" hidden="0" customWidth="1"/>
    <x:col min="6" max="6" width="27.780000686645508" hidden="0" customWidth="1"/>
    <x:col min="7" max="7" width="12.220000267028809" hidden="0" customWidth="1"/>
    <x:col min="8" max="8" width="31.110000610351562" hidden="0" customWidth="1"/>
    <x:col min="10" max="10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</x:cols>
  <x:sheetData>
    <x:row r="1" ht="31.5" customHeight="1">
      <x:c r="A1" s="4" t="str">
        <x:v>Finanzmodell V1 Startmappe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7" t="str">
        <x:v>Struktur-, Referenz- und Sichtbarkeitsnachweis nach Sparring FINAL_ARTIFACT. Liquiditaet, Cashflow-Erwartung, Offen-Anteil und Reichweite sind als Task-3-Einstieg berechnet.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5.5" customHeight="1">
      <x:c r="A4" s="13" t="str">
        <x:v>Modellstatus</x:v>
      </x:c>
      <x:c r="B4" s="14" t="str">
        <x:f>IF(COUNTIFS('99_Checks'!D:D,"Fehler",'99_Checks'!E:E,"offen")&gt;0,"Rot",IF(COUNTIFS('99_Checks'!D:D,"Warnung",'99_Checks'!E:E,"offen")&gt;0,"Gelb","Gruen"))</x:f>
        <x:v>Rot</x:v>
      </x:c>
      <x:c r="C4" s="11" t="str">
        <x:v>Rueckgebunden an offene Build-, Kategorie- und Annahmenchecks</x:v>
      </x:c>
      <x:c r="J4" s="21" t="str">
        <x:v>Schweregrad</x:v>
      </x:c>
      <x:c r="K4" s="21" t="str">
        <x:v>Offene Checks</x:v>
      </x:c>
    </x:row>
    <x:row r="5" ht="48" customHeight="1">
      <x:c r="A5" s="13" t="str">
        <x:v>Kontrollstatus</x:v>
      </x:c>
      <x:c r="B5" s="14" t="str">
        <x:v>nicht_ausgefuehrt</x:v>
      </x:c>
      <x:c r="C5" s="11" t="str">
        <x:v>Build-Verifikation ist als Startzustand nicht ausgefuehrt</x:v>
      </x:c>
      <x:c r="J5" s="18" t="str">
        <x:v>Fehler</x:v>
      </x:c>
      <x:c r="K5" s="18" t="n">
        <x:f>COUNTIFS('99_Checks'!D:D,"Fehler",'99_Checks'!E:E,"offen")</x:f>
        <x:v>1</x:v>
      </x:c>
    </x:row>
    <x:row r="6" ht="48" customHeight="1">
      <x:c r="A6" s="13" t="str">
        <x:v>Naechste Aktion</x:v>
      </x:c>
      <x:c r="B6" s="14" t="str">
        <x:v>Review abschliessen, offene Kategorie und Platzhalterannahme pruefen</x:v>
      </x:c>
      <x:c r="C6" s="11" t="str">
        <x:v>Danach Prognose aus akzeptierten Review-Entscheidungen schaerfen</x:v>
      </x:c>
      <x:c r="J6" s="18" t="str">
        <x:v>Warnung</x:v>
      </x:c>
      <x:c r="K6" s="18" t="n">
        <x:f>COUNTIFS('99_Checks'!D:D,"Warnung",'99_Checks'!E:E,"offen")</x:f>
        <x:v>6</x:v>
      </x:c>
    </x:row>
    <x:row r="7">
      <x:c r="J7" s="18" t="str">
        <x:v>Hinweis</x:v>
      </x:c>
      <x:c r="K7" s="18" t="n">
        <x:f>COUNTIFS('99_Checks'!D:D,"Hinweis",'99_Checks'!E:E,"offen")</x:f>
        <x:v>0</x:v>
      </x:c>
    </x:row>
    <x:row r="9" ht="25.5" customHeight="1">
      <x:c r="A9" s="21" t="str">
        <x:v>Kennzahl</x:v>
      </x:c>
      <x:c r="B9" s="21" t="str">
        <x:v>Wert</x:v>
      </x:c>
      <x:c r="C9" s="21" t="str">
        <x:v>Status</x:v>
      </x:c>
      <x:c r="D9" s="21" t="str">
        <x:v>Warum</x:v>
      </x:c>
      <x:c r="F9" s="21" t="str">
        <x:v>Top-Warnung</x:v>
      </x:c>
      <x:c r="G9" s="21" t="str">
        <x:v>Schweregrad</x:v>
      </x:c>
      <x:c r="H9" s="21" t="str">
        <x:v>Naechste Aktion</x:v>
      </x:c>
    </x:row>
    <x:row r="10">
      <x:c r="A10" s="18" t="str">
        <x:v>Liquiditaet heute</x:v>
      </x:c>
      <x:c r="B10" s="23" t="n">
        <x:v>4250</x:v>
      </x:c>
      <x:c r="C10" s="18" t="str">
        <x:v>berechnet</x:v>
      </x:c>
      <x:c r="D10" s="18" t="str">
        <x:v>Summe liquider Konten</x:v>
      </x:c>
      <x:c r="F10" s="18" t="str">
        <x:v>Workbook-Verifikation noch nicht bestanden</x:v>
      </x:c>
      <x:c r="G10" s="18" t="str">
        <x:v>Fehler</x:v>
      </x:c>
      <x:c r="H10" s="18" t="str">
        <x:v>Build/Verifier ausfuehren</x:v>
      </x:c>
    </x:row>
    <x:row r="11">
      <x:c r="A11" s="18" t="str">
        <x:v>Freie Liquiditaet nach Reserve</x:v>
      </x:c>
      <x:c r="B11" s="23" t="n">
        <x:v>1250</x:v>
      </x:c>
      <x:c r="C11" s="18" t="str">
        <x:v>berechnet</x:v>
      </x:c>
      <x:c r="D11" s="18" t="str">
        <x:v>Liquiditaet minus Sicherheitsreserve</x:v>
      </x:c>
      <x:c r="F11" s="18" t="str">
        <x:v>Buchung mit offener Kategorie</x:v>
      </x:c>
      <x:c r="G11" s="18" t="str">
        <x:v>Warnung</x:v>
      </x:c>
      <x:c r="H11" s="18" t="str">
        <x:v>Kategorie pruefen</x:v>
      </x:c>
    </x:row>
    <x:row r="12">
      <x:c r="A12" s="18" t="str">
        <x:v>Cashflow Monat gesamt</x:v>
      </x:c>
      <x:c r="B12" s="23" t="n">
        <x:v>1038.68</x:v>
      </x:c>
      <x:c r="C12" s="18" t="str">
        <x:v>teilberechnet</x:v>
      </x:c>
      <x:c r="D12" s="18" t="str">
        <x:v>Ist-Cashflow aus Modellbuchungen</x:v>
      </x:c>
      <x:c r="F12" s="18" t="str">
        <x:v>Prognose nutzt unbestaetigte Regelzahlung</x:v>
      </x:c>
      <x:c r="G12" s="18" t="str">
        <x:v>Warnung</x:v>
      </x:c>
      <x:c r="H12" s="18" t="str">
        <x:v>Regelzahlung im Review entscheiden</x:v>
      </x:c>
    </x:row>
    <x:row r="13">
      <x:c r="A13" s="18" t="str">
        <x:v>Reichweite Standardszenario</x:v>
      </x:c>
      <x:c r="B13" s="23" t="n">
        <x:v>0.6</x:v>
      </x:c>
      <x:c r="C13" s="18" t="str">
        <x:v>teilberechnet</x:v>
      </x:c>
      <x:c r="D13" s="18" t="str">
        <x:v>Freie Liquiditaet geteilt durch erwarteten Monatsverbrauch</x:v>
      </x:c>
    </x:row>
    <x:row r="14">
      <x:c r="A14" s="18" t="str">
        <x:v>Offene Checks</x:v>
      </x:c>
      <x:c r="B14" s="24" t="n">
        <x:f>COUNTIF('99_Checks'!E:E,"offen")</x:f>
        <x:v>7</x:v>
      </x:c>
      <x:c r="C14" s="18" t="str">
        <x:v>sichtbar</x:v>
      </x:c>
      <x:c r="D14" s="18" t="str">
        <x:v>Mindestens ein Fehler/Warnung begruendet Rot/Gelb</x:v>
      </x:c>
    </x:row>
    <x:row r="17" ht="25.5" customHeight="1">
      <x:c r="A17" s="21" t="str">
        <x:v>Format</x:v>
      </x:c>
      <x:c r="B17" s="21" t="str">
        <x:v>Bedeutung</x:v>
      </x:c>
    </x:row>
    <x:row r="18">
      <x:c r="A18" s="18" t="str">
        <x:v>Blaue Schrift</x:v>
      </x:c>
      <x:c r="B18" s="18" t="str">
        <x:v>hardcodierte Startdaten / editierbare Inputs</x:v>
      </x:c>
    </x:row>
    <x:row r="19">
      <x:c r="A19" s="25" t="str">
        <x:v>Schwarze Schrift</x:v>
      </x:c>
      <x:c r="B19" s="25" t="str">
        <x:v>Formeln oder berechnete Statusfelder</x:v>
      </x:c>
    </x:row>
    <x:row r="20">
      <x:c r="A20" s="26" t="str">
        <x:v>Gelbe Flaeche</x:v>
      </x:c>
      <x:c r="B20" s="26" t="str">
        <x:v>offen, Platzhalter oder pruefpflichtig</x:v>
      </x:c>
    </x:row>
  </x:sheetData>
  <x:mergeCells>
    <x:mergeCell ref="A1:M1"/>
    <x:mergeCell ref="A2:M2"/>
  </x:mergeCells>
  <x:conditionalFormatting sqref="B4:B6">
    <x:cfRule type="containsText" dxfId="0" priority="1" operator="containsText" text="Rot"/>
    <x:cfRule type="containsText" dxfId="1" priority="2" operator="containsText" text="Gelb"/>
    <x:cfRule type="containsText" dxfId="2" priority="3" operator="containsText" text="offen"/>
    <x:cfRule type="containsText" dxfId="3" priority="4" operator="containsText" text="nicht"/>
  </x:conditionalFormatting>
  <x:conditionalFormatting sqref="G10:G12">
    <x:cfRule type="containsText" dxfId="4" priority="5" operator="containsText" text="Rot"/>
    <x:cfRule type="containsText" dxfId="5" priority="6" operator="containsText" text="Gelb"/>
    <x:cfRule type="containsText" dxfId="6" priority="7" operator="containsText" text="offen"/>
    <x:cfRule type="containsText" dxfId="7" priority="8" operator="containsText" text="nicht"/>
  </x:conditionalFormatting>
  <x:pageMargins left="0.7" right="0.7" top="0.75" bottom="0.75" header="0.3" footer="0.3"/>
  <x:drawing xmlns:r="http://schemas.openxmlformats.org/officeDocument/2006/relationships" r:id="R11f125ec599745ed"/>
  <x:tableParts count="1">
    <x:tablePart xmlns:r="http://schemas.openxmlformats.org/officeDocument/2006/relationships" r:id="R2c0ad40b159745c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01_Personen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Stammdatenanker fuer Personen, Rollen und H...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Personen und Haushalt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Person_ID | Update: manuell | ID: P/HH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Person_ID</x:v>
      </x:c>
      <x:c r="B6" s="21" t="str">
        <x:v>Name_Rolle</x:v>
      </x:c>
      <x:c r="C6" s="21" t="str">
        <x:v>Typ</x:v>
      </x:c>
      <x:c r="D6" s="21" t="str">
        <x:v>Geburtsdatum</x:v>
      </x:c>
      <x:c r="E6" s="21" t="str">
        <x:v>Alter_aktuell</x:v>
      </x:c>
      <x:c r="F6" s="21" t="str">
        <x:v>Renteneintritt_alter</x:v>
      </x:c>
      <x:c r="G6" s="21" t="str">
        <x:v>Status</x:v>
      </x:c>
      <x:c r="H6" s="21" t="str">
        <x:v>Kommentar</x:v>
      </x:c>
    </x:row>
    <x:row r="7">
      <x:c r="A7" s="18" t="str">
        <x:v>P01</x:v>
      </x:c>
      <x:c r="B7" s="18" t="str">
        <x:v>Nutzer</x:v>
      </x:c>
      <x:c r="C7" s="18" t="str">
        <x:v>Person</x:v>
      </x:c>
      <x:c r="D7" s="58" t="str"/>
      <x:c r="E7" s="18" t="str"/>
      <x:c r="F7" s="18" t="n">
        <x:v>67</x:v>
      </x:c>
      <x:c r="G7" s="18" t="str">
        <x:v>offen</x:v>
      </x:c>
      <x:c r="H7" s="18" t="str">
        <x:v>Geburtsdatum und Renteneintrittsalter nachtragen</x:v>
      </x:c>
    </x:row>
    <x:row r="8">
      <x:c r="A8" s="18" t="str">
        <x:v>P02</x:v>
      </x:c>
      <x:c r="B8" s="18" t="str">
        <x:v>Ehefrau</x:v>
      </x:c>
      <x:c r="C8" s="18" t="str">
        <x:v>Person</x:v>
      </x:c>
      <x:c r="D8" s="58" t="str"/>
      <x:c r="E8" s="18" t="str"/>
      <x:c r="F8" s="18" t="n">
        <x:v>67</x:v>
      </x:c>
      <x:c r="G8" s="18" t="str">
        <x:v>offen</x:v>
      </x:c>
      <x:c r="H8" s="18" t="str">
        <x:v>Basisdaten noch offen</x:v>
      </x:c>
    </x:row>
    <x:row r="9">
      <x:c r="A9" s="18" t="str">
        <x:v>HH</x:v>
      </x:c>
      <x:c r="B9" s="18" t="str">
        <x:v>Haushalt / Familie</x:v>
      </x:c>
      <x:c r="C9" s="18" t="str">
        <x:v>Haushalt</x:v>
      </x:c>
      <x:c r="D9" s="58" t="str"/>
      <x:c r="E9" s="18" t="str"/>
      <x:c r="F9" s="18" t="str"/>
      <x:c r="G9" s="18" t="str">
        <x:v>belegt</x:v>
      </x:c>
      <x:c r="H9" s="18" t="str">
        <x:v>Haushaltsanker fuer Auswertungen</x:v>
      </x:c>
    </x:row>
    <x:row r="10">
      <x:c r="D10" s="59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04df0e8ecc4d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25.559999465942383" hidden="0" customWidth="1"/>
  </x:cols>
  <x:sheetData>
    <x:row r="1" ht="25.5" customHeight="1">
      <x:c r="A1" s="29" t="str">
        <x:v>02_Kategorien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Cashflow-Kategorien inklusive offener Pruef...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Kategorien</x:v>
      </x:c>
      <x:c r="B4" s="55"/>
      <x:c r="C4" s="55"/>
      <x:c r="D4" s="55"/>
      <x:c r="E4" s="55"/>
      <x:c r="F4" s="55"/>
      <x:c r="G4" s="55"/>
    </x:row>
    <x:row r="5">
      <x:c r="A5" s="57" t="str">
        <x:v>PK: Kategorie_ID | Update: manuell_mit_audit | ID: KAT</x:v>
      </x:c>
      <x:c r="B5" s="57"/>
      <x:c r="C5" s="57"/>
      <x:c r="D5" s="57"/>
      <x:c r="E5" s="57"/>
      <x:c r="F5" s="57"/>
      <x:c r="G5" s="57"/>
    </x:row>
    <x:row r="6" ht="25.5" customHeight="1">
      <x:c r="A6" s="21" t="str">
        <x:v>Kategorie_ID</x:v>
      </x:c>
      <x:c r="B6" s="21" t="str">
        <x:v>Name</x:v>
      </x:c>
      <x:c r="C6" s="21" t="str">
        <x:v>Gruppe</x:v>
      </x:c>
      <x:c r="D6" s="21" t="str">
        <x:v>Cashflow_Typ</x:v>
      </x:c>
      <x:c r="E6" s="21" t="str">
        <x:v>Lebenshaltung_Relevant</x:v>
      </x:c>
      <x:c r="F6" s="21" t="str">
        <x:v>Status</x:v>
      </x:c>
      <x:c r="G6" s="21" t="str">
        <x:v>Kommentar</x:v>
      </x:c>
    </x:row>
    <x:row r="7">
      <x:c r="A7" s="18" t="str">
        <x:v>KAT001</x:v>
      </x:c>
      <x:c r="B7" s="18" t="str">
        <x:v>Einkommen</x:v>
      </x:c>
      <x:c r="C7" s="18" t="str">
        <x:v>Cashflow</x:v>
      </x:c>
      <x:c r="D7" s="18" t="str">
        <x:v>Einnahme</x:v>
      </x:c>
      <x:c r="E7" s="64" t="b">
        <x:v>1</x:v>
      </x:c>
      <x:c r="F7" s="18" t="str">
        <x:v>belegt</x:v>
      </x:c>
      <x:c r="G7" s="18" t="str">
        <x:v>Lohn, Rente, Kapitalertraege</x:v>
      </x:c>
    </x:row>
    <x:row r="8">
      <x:c r="A8" s="18" t="str">
        <x:v>KAT002</x:v>
      </x:c>
      <x:c r="B8" s="18" t="str">
        <x:v>Wohnen &amp; Immobilien</x:v>
      </x:c>
      <x:c r="C8" s="18" t="str">
        <x:v>Ausgaben</x:v>
      </x:c>
      <x:c r="D8" s="18" t="str">
        <x:v>Ausgabe</x:v>
      </x:c>
      <x:c r="E8" s="64" t="b">
        <x:v>1</x:v>
      </x:c>
      <x:c r="F8" s="18" t="str">
        <x:v>belegt</x:v>
      </x:c>
      <x:c r="G8" s="18" t="str">
        <x:v>Miete, Nebenkosten, Objektkosten</x:v>
      </x:c>
    </x:row>
    <x:row r="9">
      <x:c r="A9" s="18" t="str">
        <x:v>KAT003</x:v>
      </x:c>
      <x:c r="B9" s="18" t="str">
        <x:v>Lebenshaltung</x:v>
      </x:c>
      <x:c r="C9" s="18" t="str">
        <x:v>Ausgaben</x:v>
      </x:c>
      <x:c r="D9" s="18" t="str">
        <x:v>Ausgabe</x:v>
      </x:c>
      <x:c r="E9" s="64" t="b">
        <x:v>1</x:v>
      </x:c>
      <x:c r="F9" s="18" t="str">
        <x:v>belegt</x:v>
      </x:c>
      <x:c r="G9" s="18" t="str">
        <x:v>Lebensmittel, Alltag</x:v>
      </x:c>
    </x:row>
    <x:row r="10">
      <x:c r="A10" s="18" t="str">
        <x:v>KAT004</x:v>
      </x:c>
      <x:c r="B10" s="18" t="str">
        <x:v>Mobilitaet</x:v>
      </x:c>
      <x:c r="C10" s="18" t="str">
        <x:v>Ausgaben</x:v>
      </x:c>
      <x:c r="D10" s="18" t="str">
        <x:v>Ausgabe</x:v>
      </x:c>
      <x:c r="E10" s="64" t="b">
        <x:v>1</x:v>
      </x:c>
      <x:c r="F10" s="18" t="str">
        <x:v>belegt</x:v>
      </x:c>
      <x:c r="G10" s="18" t="str">
        <x:v>Auto, OPNV, Reisen nah</x:v>
      </x:c>
    </x:row>
    <x:row r="11">
      <x:c r="A11" s="18" t="str">
        <x:v>KAT005</x:v>
      </x:c>
      <x:c r="B11" s="18" t="str">
        <x:v>Versicherungen &amp; Vorsorge</x:v>
      </x:c>
      <x:c r="C11" s="18" t="str">
        <x:v>Ausgaben</x:v>
      </x:c>
      <x:c r="D11" s="18" t="str">
        <x:v>Ausgabe</x:v>
      </x:c>
      <x:c r="E11" s="64" t="b">
        <x:v>1</x:v>
      </x:c>
      <x:c r="F11" s="18" t="str">
        <x:v>belegt</x:v>
      </x:c>
      <x:c r="G11" s="18" t="str">
        <x:v>Versicherungen, Vorsorge</x:v>
      </x:c>
    </x:row>
    <x:row r="12">
      <x:c r="A12" s="18" t="str">
        <x:v>KAT006</x:v>
      </x:c>
      <x:c r="B12" s="18" t="str">
        <x:v>Gesundheit</x:v>
      </x:c>
      <x:c r="C12" s="18" t="str">
        <x:v>Ausgaben</x:v>
      </x:c>
      <x:c r="D12" s="18" t="str">
        <x:v>Ausgabe</x:v>
      </x:c>
      <x:c r="E12" s="64" t="b">
        <x:v>1</x:v>
      </x:c>
      <x:c r="F12" s="18" t="str">
        <x:v>belegt</x:v>
      </x:c>
      <x:c r="G12" s="18" t="str">
        <x:v>Gesundheitliche Ausgaben</x:v>
      </x:c>
    </x:row>
    <x:row r="13">
      <x:c r="A13" s="18" t="str">
        <x:v>KAT007</x:v>
      </x:c>
      <x:c r="B13" s="18" t="str">
        <x:v>Familie &amp; Haushalt</x:v>
      </x:c>
      <x:c r="C13" s="18" t="str">
        <x:v>Ausgaben</x:v>
      </x:c>
      <x:c r="D13" s="18" t="str">
        <x:v>Ausgabe</x:v>
      </x:c>
      <x:c r="E13" s="64" t="b">
        <x:v>1</x:v>
      </x:c>
      <x:c r="F13" s="18" t="str">
        <x:v>belegt</x:v>
      </x:c>
      <x:c r="G13" s="18" t="str">
        <x:v>Familien- und Haushaltskosten</x:v>
      </x:c>
    </x:row>
    <x:row r="14">
      <x:c r="A14" s="18" t="str">
        <x:v>KAT008</x:v>
      </x:c>
      <x:c r="B14" s="18" t="str">
        <x:v>Freizeit &amp; Reisen</x:v>
      </x:c>
      <x:c r="C14" s="18" t="str">
        <x:v>Ausgaben</x:v>
      </x:c>
      <x:c r="D14" s="18" t="str">
        <x:v>Ausgabe</x:v>
      </x:c>
      <x:c r="E14" s="64" t="b">
        <x:v>1</x:v>
      </x:c>
      <x:c r="F14" s="18" t="str">
        <x:v>belegt</x:v>
      </x:c>
      <x:c r="G14" s="18" t="str">
        <x:v>Freizeit, Urlaub</x:v>
      </x:c>
    </x:row>
    <x:row r="15">
      <x:c r="A15" s="18" t="str">
        <x:v>KAT009</x:v>
      </x:c>
      <x:c r="B15" s="18" t="str">
        <x:v>Steuern &amp; Abgaben</x:v>
      </x:c>
      <x:c r="C15" s="18" t="str">
        <x:v>Ausgaben</x:v>
      </x:c>
      <x:c r="D15" s="18" t="str">
        <x:v>Ausgabe</x:v>
      </x:c>
      <x:c r="E15" s="64" t="b">
        <x:v>1</x:v>
      </x:c>
      <x:c r="F15" s="18" t="str">
        <x:v>belegt</x:v>
      </x:c>
      <x:c r="G15" s="18" t="str">
        <x:v>Steuern und Abgaben</x:v>
      </x:c>
    </x:row>
    <x:row r="16">
      <x:c r="A16" s="18" t="str">
        <x:v>KAT010</x:v>
      </x:c>
      <x:c r="B16" s="18" t="str">
        <x:v>Sparen &amp; Investieren</x:v>
      </x:c>
      <x:c r="C16" s="18" t="str">
        <x:v>Transfer</x:v>
      </x:c>
      <x:c r="D16" s="18" t="str">
        <x:v>neutral</x:v>
      </x:c>
      <x:c r="E16" s="64" t="b">
        <x:v>0</x:v>
      </x:c>
      <x:c r="F16" s="18" t="str">
        <x:v>belegt</x:v>
      </x:c>
      <x:c r="G16" s="18" t="str">
        <x:v>Depot, Sparen, Anlage</x:v>
      </x:c>
    </x:row>
    <x:row r="17">
      <x:c r="A17" s="18" t="str">
        <x:v>KAT011</x:v>
      </x:c>
      <x:c r="B17" s="18" t="str">
        <x:v>Kredite &amp; Finanzierung</x:v>
      </x:c>
      <x:c r="C17" s="18" t="str">
        <x:v>Ausgaben</x:v>
      </x:c>
      <x:c r="D17" s="18" t="str">
        <x:v>Ausgabe</x:v>
      </x:c>
      <x:c r="E17" s="64" t="b">
        <x:v>1</x:v>
      </x:c>
      <x:c r="F17" s="18" t="str">
        <x:v>belegt</x:v>
      </x:c>
      <x:c r="G17" s="18" t="str">
        <x:v>Kredite, Zinsen, Tilgung</x:v>
      </x:c>
    </x:row>
    <x:row r="18">
      <x:c r="A18" s="18" t="str">
        <x:v>KAT012</x:v>
      </x:c>
      <x:c r="B18" s="18" t="str">
        <x:v>Interne Transfers</x:v>
      </x:c>
      <x:c r="C18" s="18" t="str">
        <x:v>Transfer</x:v>
      </x:c>
      <x:c r="D18" s="18" t="str">
        <x:v>neutral</x:v>
      </x:c>
      <x:c r="E18" s="64" t="b">
        <x:v>0</x:v>
      </x:c>
      <x:c r="F18" s="18" t="str">
        <x:v>belegt</x:v>
      </x:c>
      <x:c r="G18" s="18" t="str">
        <x:v>Umbuchungen zwischen eigenen Konten</x:v>
      </x:c>
    </x:row>
    <x:row r="19">
      <x:c r="A19" s="18" t="str">
        <x:v>KAT013</x:v>
      </x:c>
      <x:c r="B19" s="18" t="str">
        <x:v>Sonstiges / zu pruefen</x:v>
      </x:c>
      <x:c r="C19" s="18" t="str">
        <x:v>Offen</x:v>
      </x:c>
      <x:c r="D19" s="18" t="str">
        <x:v>unbekannt</x:v>
      </x:c>
      <x:c r="E19" s="64" t="b">
        <x:v>1</x:v>
      </x:c>
      <x:c r="F19" s="18" t="str">
        <x:v>offen</x:v>
      </x:c>
      <x:c r="G19" s="18" t="str">
        <x:v>Startkategorie fuer ungepruefte Buchungen</x:v>
      </x:c>
    </x:row>
  </x:sheetData>
  <x:mergeCells>
    <x:mergeCell ref="A1:H1"/>
    <x:mergeCell ref="A4:G4"/>
    <x:mergeCell ref="A5:G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1afeefc6174c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3.329999923706055" hidden="0" customWidth="1"/>
    <x:col min="6" max="6" width="12.220000267028809" hidden="0" customWidth="1"/>
    <x:col min="7" max="7" width="12.220000267028809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13.329999923706055" hidden="0" customWidth="1"/>
    <x:col min="15" max="15" width="25.559999465942383" hidden="0" customWidth="1"/>
  </x:cols>
  <x:sheetData>
    <x:row r="1" ht="25.5" customHeight="1">
      <x:c r="A1" s="29" t="str">
        <x:v>03_Konten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Konten, Liquiditaetsrelevanz und Quellenbezug.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Konten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</x:row>
    <x:row r="5">
      <x:c r="A5" s="57" t="str">
        <x:v>PK: Konto_ID | Update: manuell_importgestuetzt | ID: KTO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</x:row>
    <x:row r="6" ht="25.5" customHeight="1">
      <x:c r="A6" s="21" t="str">
        <x:v>Konto_ID</x:v>
      </x:c>
      <x:c r="B6" s="21" t="str">
        <x:v>Name</x:v>
      </x:c>
      <x:c r="C6" s="21" t="str">
        <x:v>Anbieter</x:v>
      </x:c>
      <x:c r="D6" s="21" t="str">
        <x:v>Kontoart</x:v>
      </x:c>
      <x:c r="E6" s="21" t="str">
        <x:v>Person_ID</x:v>
      </x:c>
      <x:c r="F6" s="21" t="str">
        <x:v>Eigentumsanteil</x:v>
      </x:c>
      <x:c r="G6" s="21" t="str">
        <x:v>Maskierte_IBAN_Depotnummer</x:v>
      </x:c>
      <x:c r="H6" s="21" t="str">
        <x:v>Aktueller_Stand</x:v>
      </x:c>
      <x:c r="I6" s="21" t="str">
        <x:v>Standdatum</x:v>
      </x:c>
      <x:c r="J6" s="21" t="str">
        <x:v>Quelle_ID</x:v>
      </x:c>
      <x:c r="K6" s="21" t="str">
        <x:v>Liquide_relevant</x:v>
      </x:c>
      <x:c r="L6" s="21" t="str">
        <x:v>Performance_relevant</x:v>
      </x:c>
      <x:c r="M6" s="21" t="str">
        <x:v>Transferfaehig</x:v>
      </x:c>
      <x:c r="N6" s="21" t="str">
        <x:v>Status</x:v>
      </x:c>
      <x:c r="O6" s="21" t="str">
        <x:v>Kommentar</x:v>
      </x:c>
    </x:row>
    <x:row r="7">
      <x:c r="A7" s="18" t="str">
        <x:v>KTO001</x:v>
      </x:c>
      <x:c r="B7" s="18" t="str">
        <x:v>Girokonto Startimport</x:v>
      </x:c>
      <x:c r="C7" s="18" t="str">
        <x:v>Bank</x:v>
      </x:c>
      <x:c r="D7" s="18" t="str">
        <x:v>Girokonto</x:v>
      </x:c>
      <x:c r="E7" s="18" t="str">
        <x:v>P01</x:v>
      </x:c>
      <x:c r="F7" s="18" t="n">
        <x:v>1</x:v>
      </x:c>
      <x:c r="G7" s="18" t="str">
        <x:v>DE** **** **** 1234</x:v>
      </x:c>
      <x:c r="H7" s="67" t="n">
        <x:v>4250</x:v>
      </x:c>
      <x:c r="I7" s="58" t="n">
        <x:v>46160</x:v>
      </x:c>
      <x:c r="J7" s="18" t="str">
        <x:v>SRC-20260518-001</x:v>
      </x:c>
      <x:c r="K7" s="64" t="b">
        <x:v>1</x:v>
      </x:c>
      <x:c r="L7" s="64" t="b">
        <x:v>0</x:v>
      </x:c>
      <x:c r="M7" s="64" t="b">
        <x:v>1</x:v>
      </x:c>
      <x:c r="N7" s="18" t="str">
        <x:v>belegt</x:v>
      </x:c>
      <x:c r="O7" s="18" t="str">
        <x:v>Startsaldo aus Import/Quelle; noch nicht verifiziert</x:v>
      </x:c>
    </x:row>
    <x:row r="8">
      <x:c r="H8" s="68"/>
      <x:c r="I8" s="59"/>
    </x:row>
  </x:sheetData>
  <x:mergeCells>
    <x:mergeCell ref="A1:H1"/>
    <x:mergeCell ref="A4:O4"/>
    <x:mergeCell ref="A5:O5"/>
  </x:mergeCells>
  <x:dataValidations count="1">
    <x:dataValidation type="list" allowBlank="1" showDropDown="0" sqref="N7:N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f6abd1bb954a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25.559999465942383" hidden="0" customWidth="1"/>
    <x:col min="8" max="8" width="25.559999465942383" hidden="0" customWidth="1"/>
  </x:cols>
  <x:sheetData>
    <x:row r="1" ht="25.5" customHeight="1">
      <x:c r="A1" s="29" t="str">
        <x:v>04_Immobilien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Sichtbar vorbereitet; keine Wirkung auf V1-...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Immobilien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Objekt_ID | Update: manuell | ID: OBJ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Objekt_ID</x:v>
      </x:c>
      <x:c r="B6" s="21" t="str">
        <x:v>Name</x:v>
      </x:c>
      <x:c r="C6" s="21" t="str">
        <x:v>Objektart</x:v>
      </x:c>
      <x:c r="D6" s="21" t="str">
        <x:v>Person_ID</x:v>
      </x:c>
      <x:c r="E6" s="21" t="str">
        <x:v>Quelle_ID</x:v>
      </x:c>
      <x:c r="F6" s="21" t="str">
        <x:v>Status</x:v>
      </x:c>
      <x:c r="G6" s="21" t="str">
        <x:v>Naechste_Aktion</x:v>
      </x:c>
      <x:c r="H6" s="21" t="str">
        <x:v>Kommentar</x:v>
      </x:c>
    </x:row>
    <x:row r="7">
      <x:c r="A7" s="18" t="str">
        <x:v>OBJ001</x:v>
      </x:c>
      <x:c r="B7" s="18" t="str">
        <x:v>Immobilienstatus offen</x:v>
      </x:c>
      <x:c r="C7" s="18" t="str">
        <x:v>Platzhalter</x:v>
      </x:c>
      <x:c r="D7" s="18" t="str">
        <x:v>HH</x:v>
      </x:c>
      <x:c r="E7" s="18" t="str"/>
      <x:c r="F7" s="18" t="str">
        <x:v>offen</x:v>
      </x:c>
      <x:c r="G7" s="18" t="str">
        <x:v>Objektdaten spaeter erfassen</x:v>
      </x:c>
      <x:c r="H7" s="18" t="str">
        <x:v>Keine V1-Wirkung</x:v>
      </x:c>
    </x:row>
  </x:sheetData>
  <x:mergeCells>
    <x:mergeCell ref="A1:H1"/>
    <x:mergeCell ref="A4:H4"/>
    <x:mergeCell ref="A5:H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39235ba99847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05_Immobilien_Details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Darlehen, Ertraege und Kosten spaeter struk...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Immobilien Details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Detail_ID | Update: manuell | ID: IMD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Detail_ID</x:v>
      </x:c>
      <x:c r="B6" s="21" t="str">
        <x:v>Objekt_ID</x:v>
      </x:c>
      <x:c r="C6" s="21" t="str">
        <x:v>Detailtyp</x:v>
      </x:c>
      <x:c r="D6" s="21" t="str">
        <x:v>Wert</x:v>
      </x:c>
      <x:c r="E6" s="21" t="str">
        <x:v>Einheit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IMD001</x:v>
      </x:c>
      <x:c r="B7" s="18" t="str">
        <x:v>OBJ001</x:v>
      </x:c>
      <x:c r="C7" s="18" t="str">
        <x:v>noch_offen</x:v>
      </x:c>
      <x:c r="D7" s="67" t="str"/>
      <x:c r="E7" s="18" t="str"/>
      <x:c r="F7" s="18" t="str"/>
      <x:c r="G7" s="18" t="str">
        <x:v>offen</x:v>
      </x:c>
      <x:c r="H7" s="18" t="str">
        <x:v>Keine V1-Wirkung</x:v>
      </x:c>
    </x:row>
    <x:row r="8">
      <x:c r="D8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b11ab157f049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13.329999923706055" hidden="0" customWidth="1"/>
    <x:col min="9" max="9" width="25.559999465942383" hidden="0" customWidth="1"/>
  </x:cols>
  <x:sheetData>
    <x:row r="1" ht="25.5" customHeight="1">
      <x:c r="A1" s="29" t="str">
        <x:v>06_Versicherungen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Versicherungs- und Vorsorgevertraege spaete...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Versicherungen Platzhalter</x:v>
      </x:c>
      <x:c r="B4" s="55"/>
      <x:c r="C4" s="55"/>
      <x:c r="D4" s="55"/>
      <x:c r="E4" s="55"/>
      <x:c r="F4" s="55"/>
      <x:c r="G4" s="55"/>
      <x:c r="H4" s="55"/>
      <x:c r="I4" s="55"/>
    </x:row>
    <x:row r="5">
      <x:c r="A5" s="57" t="str">
        <x:v>PK: Vertrag_ID | Update: manuell | ID: VRS</x:v>
      </x:c>
      <x:c r="B5" s="57"/>
      <x:c r="C5" s="57"/>
      <x:c r="D5" s="57"/>
      <x:c r="E5" s="57"/>
      <x:c r="F5" s="57"/>
      <x:c r="G5" s="57"/>
      <x:c r="H5" s="57"/>
      <x:c r="I5" s="57"/>
    </x:row>
    <x:row r="6" ht="25.5" customHeight="1">
      <x:c r="A6" s="21" t="str">
        <x:v>Vertrag_ID</x:v>
      </x:c>
      <x:c r="B6" s="21" t="str">
        <x:v>Name</x:v>
      </x:c>
      <x:c r="C6" s="21" t="str">
        <x:v>Typ</x:v>
      </x:c>
      <x:c r="D6" s="21" t="str">
        <x:v>Person_ID</x:v>
      </x:c>
      <x:c r="E6" s="21" t="str">
        <x:v>Beitrag</x:v>
      </x:c>
      <x:c r="F6" s="21" t="str">
        <x:v>Frequenz</x:v>
      </x:c>
      <x:c r="G6" s="21" t="str">
        <x:v>Quelle_ID</x:v>
      </x:c>
      <x:c r="H6" s="21" t="str">
        <x:v>Status</x:v>
      </x:c>
      <x:c r="I6" s="21" t="str">
        <x:v>Kommentar</x:v>
      </x:c>
    </x:row>
    <x:row r="7">
      <x:c r="A7" s="18" t="str">
        <x:v>VRS001</x:v>
      </x:c>
      <x:c r="B7" s="18" t="str">
        <x:v>Versicherungen offen</x:v>
      </x:c>
      <x:c r="C7" s="18" t="str">
        <x:v>Platzhalter</x:v>
      </x:c>
      <x:c r="D7" s="18" t="str">
        <x:v>HH</x:v>
      </x:c>
      <x:c r="E7" s="18" t="str"/>
      <x:c r="F7" s="18" t="str"/>
      <x:c r="G7" s="18" t="str"/>
      <x:c r="H7" s="18" t="str">
        <x:v>offen</x:v>
      </x:c>
      <x:c r="I7" s="18" t="str">
        <x:v>Keine V1-Wirkung</x:v>
      </x:c>
    </x:row>
  </x:sheetData>
  <x:mergeCells>
    <x:mergeCell ref="A1:H1"/>
    <x:mergeCell ref="A4:I4"/>
    <x:mergeCell ref="A5:I5"/>
  </x:mergeCells>
  <x:dataValidations count="1">
    <x:dataValidation type="list" allowBlank="1" showDropDown="0" sqref="H7:H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6a259e7c1e4e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07_Rente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Rentenansprueche sichtbar vorbereiten, noch...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Rente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Rente_ID | Update: manuell | ID: RTE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Rente_ID</x:v>
      </x:c>
      <x:c r="B6" s="21" t="str">
        <x:v>Person_ID</x:v>
      </x:c>
      <x:c r="C6" s="21" t="str">
        <x:v>Anspruchsart</x:v>
      </x:c>
      <x:c r="D6" s="21" t="str">
        <x:v>Monatswert</x:v>
      </x:c>
      <x:c r="E6" s="21" t="str">
        <x:v>Startdatum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RTE001</x:v>
      </x:c>
      <x:c r="B7" s="18" t="str">
        <x:v>P01</x:v>
      </x:c>
      <x:c r="C7" s="18" t="str">
        <x:v>offen</x:v>
      </x:c>
      <x:c r="D7" s="67" t="str"/>
      <x:c r="E7" s="58" t="str"/>
      <x:c r="F7" s="18" t="str"/>
      <x:c r="G7" s="18" t="str">
        <x:v>offen</x:v>
      </x:c>
      <x:c r="H7" s="18" t="str">
        <x:v>Keine V1-Wirkung</x:v>
      </x:c>
    </x:row>
    <x:row r="8">
      <x:c r="D8" s="68"/>
      <x:c r="E8" s="59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4d52f7f5cc43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25.559999465942383" hidden="0" customWidth="1"/>
    <x:col min="11" max="11" width="12.220000267028809" hidden="0" customWidth="1"/>
    <x:col min="12" max="12" width="13.329999923706055" hidden="0" customWidth="1"/>
    <x:col min="13" max="13" width="12.220000267028809" hidden="0" customWidth="1"/>
    <x:col min="14" max="14" width="12.220000267028809" hidden="0" customWidth="1"/>
    <x:col min="15" max="15" width="12.220000267028809" hidden="0" customWidth="1"/>
    <x:col min="16" max="16" width="12.220000267028809" hidden="0" customWidth="1"/>
    <x:col min="17" max="17" width="12.220000267028809" hidden="0" customWidth="1"/>
    <x:col min="18" max="18" width="12.220000267028809" hidden="0" customWidth="1"/>
    <x:col min="19" max="19" width="13.329999923706055" hidden="0" customWidth="1"/>
    <x:col min="20" max="20" width="13.329999923706055" hidden="0" customWidth="1"/>
    <x:col min="21" max="21" width="12.220000267028809" hidden="0" customWidth="1"/>
    <x:col min="22" max="22" width="12.220000267028809" hidden="0" customWidth="1"/>
  </x:cols>
  <x:sheetData>
    <x:row r="1" ht="25.5" customHeight="1">
      <x:c r="A1" s="29" t="str">
        <x:v>10_Umsaetze_Roh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Importlauf-Metadaten fuer den Girokonto-Sta...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Importlaeufe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</x:row>
    <x:row r="5">
      <x:c r="A5" s="57" t="str">
        <x:v>PK: Import_ID | Update: parser | ID: IMP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</x:row>
    <x:row r="6" ht="25.5" customHeight="1">
      <x:c r="A6" s="21" t="str">
        <x:v>Import_ID</x:v>
      </x:c>
      <x:c r="B6" s="21" t="str">
        <x:v>Importdatei</x:v>
      </x:c>
      <x:c r="C6" s="21" t="str">
        <x:v>Quellkonto_ID</x:v>
      </x:c>
      <x:c r="D6" s="21" t="str">
        <x:v>Quelle_ID</x:v>
      </x:c>
      <x:c r="E6" s="21" t="str">
        <x:v>Zeitraum_von</x:v>
      </x:c>
      <x:c r="F6" s="21" t="str">
        <x:v>Zeitraum_bis</x:v>
      </x:c>
      <x:c r="G6" s="21" t="str">
        <x:v>Kontostand_Export</x:v>
      </x:c>
      <x:c r="H6" s="21" t="str">
        <x:v>Kontostand_Datum</x:v>
      </x:c>
      <x:c r="I6" s="21" t="str">
        <x:v>Importdatum</x:v>
      </x:c>
      <x:c r="J6" s="21" t="str">
        <x:v>Zeilen_gesamt</x:v>
      </x:c>
      <x:c r="K6" s="21" t="str">
        <x:v>Zeilen_importiert</x:v>
      </x:c>
      <x:c r="L6" s="21" t="str">
        <x:v>Duplikate</x:v>
      </x:c>
      <x:c r="M6" s="21" t="str">
        <x:v>Parse_Fehler</x:v>
      </x:c>
      <x:c r="N6" s="21" t="str">
        <x:v>Status</x:v>
      </x:c>
      <x:c r="O6" s="21" t="str">
        <x:v>Lauf_ID</x:v>
      </x:c>
      <x:c r="P6" s="21" t="str">
        <x:v>Kommentar</x:v>
      </x:c>
    </x:row>
    <x:row r="7">
      <x:c r="A7" s="18" t="str">
        <x:v>IMP-20260518-001</x:v>
      </x:c>
      <x:c r="B7" s="18" t="str">
        <x:v>girokonto_startimport.csv</x:v>
      </x:c>
      <x:c r="C7" s="18" t="str">
        <x:v>KTO001</x:v>
      </x:c>
      <x:c r="D7" s="18" t="str">
        <x:v>SRC-20260518-001</x:v>
      </x:c>
      <x:c r="E7" s="58" t="n">
        <x:v>46143</x:v>
      </x:c>
      <x:c r="F7" s="58" t="n">
        <x:v>46160</x:v>
      </x:c>
      <x:c r="G7" s="67" t="n">
        <x:v>4250</x:v>
      </x:c>
      <x:c r="H7" s="58" t="n">
        <x:v>46160</x:v>
      </x:c>
      <x:c r="I7" s="58" t="n">
        <x:v>46163</x:v>
      </x:c>
      <x:c r="J7" s="18" t="n">
        <x:v>4</x:v>
      </x:c>
      <x:c r="K7" s="18" t="n">
        <x:v>4</x:v>
      </x:c>
      <x:c r="L7" s="18" t="n">
        <x:v>0</x:v>
      </x:c>
      <x:c r="M7" s="18" t="n">
        <x:v>0</x:v>
      </x:c>
      <x:c r="N7" s="18" t="str">
        <x:v>importiert_ungeprueft</x:v>
      </x:c>
      <x:c r="O7" s="18" t="str">
        <x:v>RUN-20260521-001</x:v>
      </x:c>
      <x:c r="P7" s="18" t="str">
        <x:v>Startimport als struktureller Slice; Parser noch nicht produktiv</x:v>
      </x:c>
    </x:row>
    <x:row r="8">
      <x:c r="E8" s="59"/>
      <x:c r="F8" s="59"/>
      <x:c r="G8" s="68"/>
      <x:c r="H8" s="59"/>
      <x:c r="I8" s="59"/>
    </x:row>
    <x:row r="10">
      <x:c r="A10" s="55" t="str">
        <x:v>Umsaetze Roh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</x:row>
    <x:row r="11">
      <x:c r="A11" s="57" t="str">
        <x:v>PK: Rohumsatz_ID | Update: parser_append_only | ID: RAW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</x:row>
    <x:row r="12" ht="25.5" customHeight="1">
      <x:c r="A12" s="21" t="str">
        <x:v>Rohumsatz_ID</x:v>
      </x:c>
      <x:c r="B12" s="21" t="str">
        <x:v>Import_ID</x:v>
      </x:c>
      <x:c r="C12" s="21" t="str">
        <x:v>Quellkonto_ID</x:v>
      </x:c>
      <x:c r="D12" s="21" t="str">
        <x:v>Importdatei</x:v>
      </x:c>
      <x:c r="E12" s="21" t="str">
        <x:v>Importdatum</x:v>
      </x:c>
      <x:c r="F12" s="21" t="str">
        <x:v>Zeilennummer_Import</x:v>
      </x:c>
      <x:c r="G12" s="21" t="str">
        <x:v>Zeilenhash</x:v>
      </x:c>
      <x:c r="H12" s="21" t="str">
        <x:v>Duplikat_Status</x:v>
      </x:c>
      <x:c r="I12" s="21" t="str">
        <x:v>Parse_Status</x:v>
      </x:c>
      <x:c r="J12" s="21" t="str">
        <x:v>Parse_Hinweis</x:v>
      </x:c>
      <x:c r="K12" s="21" t="str">
        <x:v>Buchungsdatum</x:v>
      </x:c>
      <x:c r="L12" s="21" t="str">
        <x:v>Wertstellung</x:v>
      </x:c>
      <x:c r="M12" s="21" t="str">
        <x:v>Status_Bank</x:v>
      </x:c>
      <x:c r="N12" s="21" t="str">
        <x:v>Zahlungspflichtiger</x:v>
      </x:c>
      <x:c r="O12" s="21" t="str">
        <x:v>Zahlungsempfaenger</x:v>
      </x:c>
      <x:c r="P12" s="21" t="str">
        <x:v>Verwendungszweck</x:v>
      </x:c>
      <x:c r="Q12" s="21" t="str">
        <x:v>Umsatztyp</x:v>
      </x:c>
      <x:c r="R12" s="21" t="str">
        <x:v>IBAN</x:v>
      </x:c>
      <x:c r="S12" s="21" t="str">
        <x:v>Betrag</x:v>
      </x:c>
      <x:c r="T12" s="21" t="str">
        <x:v>Glaeubiger_ID</x:v>
      </x:c>
      <x:c r="U12" s="21" t="str">
        <x:v>Mandatsreferenz</x:v>
      </x:c>
      <x:c r="V12" s="21" t="str">
        <x:v>Kundenreferenz</x:v>
      </x:c>
    </x:row>
    <x:row r="13">
      <x:c r="A13" s="18" t="str">
        <x:v>RAW-IMP-20260518-001-000001</x:v>
      </x:c>
      <x:c r="B13" s="18" t="str">
        <x:v>IMP-20260518-001</x:v>
      </x:c>
      <x:c r="C13" s="18" t="str">
        <x:v>KTO001</x:v>
      </x:c>
      <x:c r="D13" s="18" t="str">
        <x:v>girokonto_startimport.csv</x:v>
      </x:c>
      <x:c r="E13" s="58" t="n">
        <x:v>46163</x:v>
      </x:c>
      <x:c r="F13" s="18" t="n">
        <x:v>1</x:v>
      </x:c>
      <x:c r="G13" s="18" t="str">
        <x:v>dd8322873e342fe265953aeaca04736e7aacfb5e8ade2c24ffd64e860c3db30e</x:v>
      </x:c>
      <x:c r="H13" s="18" t="str">
        <x:v>neu</x:v>
      </x:c>
      <x:c r="I13" s="18" t="str">
        <x:v>ok</x:v>
      </x:c>
      <x:c r="J13" s="18" t="str"/>
      <x:c r="K13" s="58" t="n">
        <x:v>46144</x:v>
      </x:c>
      <x:c r="L13" s="58" t="n">
        <x:v>46144</x:v>
      </x:c>
      <x:c r="M13" s="18" t="str">
        <x:v>gebucht</x:v>
      </x:c>
      <x:c r="N13" s="18" t="str">
        <x:v>Arbeitgeber GmbH</x:v>
      </x:c>
      <x:c r="O13" s="18" t="str">
        <x:v>P01</x:v>
      </x:c>
      <x:c r="P13" s="18" t="str">
        <x:v>Gehalt Mai</x:v>
      </x:c>
      <x:c r="Q13" s="18" t="str">
        <x:v>Gutschrift</x:v>
      </x:c>
      <x:c r="R13" s="18" t="str">
        <x:v>DE**ARBEIT</x:v>
      </x:c>
      <x:c r="S13" s="67" t="n">
        <x:v>2500</x:v>
      </x:c>
      <x:c r="T13" s="18" t="str"/>
      <x:c r="U13" s="18" t="str"/>
      <x:c r="V13" s="18" t="str"/>
    </x:row>
    <x:row r="14">
      <x:c r="A14" s="18" t="str">
        <x:v>RAW-IMP-20260518-001-000002</x:v>
      </x:c>
      <x:c r="B14" s="18" t="str">
        <x:v>IMP-20260518-001</x:v>
      </x:c>
      <x:c r="C14" s="18" t="str">
        <x:v>KTO001</x:v>
      </x:c>
      <x:c r="D14" s="18" t="str">
        <x:v>girokonto_startimport.csv</x:v>
      </x:c>
      <x:c r="E14" s="58" t="n">
        <x:v>46163</x:v>
      </x:c>
      <x:c r="F14" s="18" t="n">
        <x:v>2</x:v>
      </x:c>
      <x:c r="G14" s="18" t="str">
        <x:v>e6332c504b58e95f465ca9eeef2d1b2640c0a2544292c9f3f3c0e7b7480731e3</x:v>
      </x:c>
      <x:c r="H14" s="18" t="str">
        <x:v>neu</x:v>
      </x:c>
      <x:c r="I14" s="18" t="str">
        <x:v>ok</x:v>
      </x:c>
      <x:c r="J14" s="18" t="str"/>
      <x:c r="K14" s="58" t="n">
        <x:v>46147</x:v>
      </x:c>
      <x:c r="L14" s="58" t="n">
        <x:v>46147</x:v>
      </x:c>
      <x:c r="M14" s="18" t="str">
        <x:v>gebucht</x:v>
      </x:c>
      <x:c r="N14" s="18" t="str">
        <x:v>P01</x:v>
      </x:c>
      <x:c r="O14" s="18" t="str">
        <x:v>Vermieter</x:v>
      </x:c>
      <x:c r="P14" s="18" t="str">
        <x:v>Miete Mai</x:v>
      </x:c>
      <x:c r="Q14" s="18" t="str">
        <x:v>Lastschrift</x:v>
      </x:c>
      <x:c r="R14" s="18" t="str">
        <x:v>DE**MIETE</x:v>
      </x:c>
      <x:c r="S14" s="67" t="n">
        <x:v>-1200</x:v>
      </x:c>
      <x:c r="T14" s="18" t="str"/>
      <x:c r="U14" s="18" t="str"/>
      <x:c r="V14" s="18" t="str"/>
    </x:row>
    <x:row r="15">
      <x:c r="A15" s="18" t="str">
        <x:v>RAW-IMP-20260518-001-000003</x:v>
      </x:c>
      <x:c r="B15" s="18" t="str">
        <x:v>IMP-20260518-001</x:v>
      </x:c>
      <x:c r="C15" s="18" t="str">
        <x:v>KTO001</x:v>
      </x:c>
      <x:c r="D15" s="18" t="str">
        <x:v>girokonto_startimport.csv</x:v>
      </x:c>
      <x:c r="E15" s="58" t="n">
        <x:v>46163</x:v>
      </x:c>
      <x:c r="F15" s="18" t="n">
        <x:v>3</x:v>
      </x:c>
      <x:c r="G15" s="18" t="str">
        <x:v>257a30b3d141b3babc6bf348ce4f5b0ccb25115bb242559c97190811d3f5f1e2</x:v>
      </x:c>
      <x:c r="H15" s="18" t="str">
        <x:v>neu</x:v>
      </x:c>
      <x:c r="I15" s="18" t="str">
        <x:v>ok</x:v>
      </x:c>
      <x:c r="J15" s="18" t="str"/>
      <x:c r="K15" s="58" t="n">
        <x:v>46150</x:v>
      </x:c>
      <x:c r="L15" s="58" t="n">
        <x:v>46150</x:v>
      </x:c>
      <x:c r="M15" s="18" t="str">
        <x:v>gebucht</x:v>
      </x:c>
      <x:c r="N15" s="18" t="str">
        <x:v>P01</x:v>
      </x:c>
      <x:c r="O15" s="18" t="str">
        <x:v>Supermarkt</x:v>
      </x:c>
      <x:c r="P15" s="18" t="str">
        <x:v>Kartenzahlung</x:v>
      </x:c>
      <x:c r="Q15" s="18" t="str">
        <x:v>Kartenzahlung</x:v>
      </x:c>
      <x:c r="R15" s="18" t="str"/>
      <x:c r="S15" s="67" t="n">
        <x:v>-186.42</x:v>
      </x:c>
      <x:c r="T15" s="18" t="str"/>
      <x:c r="U15" s="18" t="str"/>
      <x:c r="V15" s="18" t="str"/>
    </x:row>
    <x:row r="16">
      <x:c r="A16" s="18" t="str">
        <x:v>RAW-IMP-20260518-001-000004</x:v>
      </x:c>
      <x:c r="B16" s="18" t="str">
        <x:v>IMP-20260518-001</x:v>
      </x:c>
      <x:c r="C16" s="18" t="str">
        <x:v>KTO001</x:v>
      </x:c>
      <x:c r="D16" s="18" t="str">
        <x:v>girokonto_startimport.csv</x:v>
      </x:c>
      <x:c r="E16" s="58" t="n">
        <x:v>46163</x:v>
      </x:c>
      <x:c r="F16" s="18" t="n">
        <x:v>4</x:v>
      </x:c>
      <x:c r="G16" s="18" t="str">
        <x:v>42ff5bc420e9bfd01f7ff8b7f3996d7315dfa073d2bcec9cdbc0d84b680c313a</x:v>
      </x:c>
      <x:c r="H16" s="18" t="str">
        <x:v>neu</x:v>
      </x:c>
      <x:c r="I16" s="18" t="str">
        <x:v>ok</x:v>
      </x:c>
      <x:c r="J16" s="18" t="str">
        <x:v>Kategorie offen</x:v>
      </x:c>
      <x:c r="K16" s="58" t="n">
        <x:v>46154</x:v>
      </x:c>
      <x:c r="L16" s="58" t="n">
        <x:v>46154</x:v>
      </x:c>
      <x:c r="M16" s="18" t="str">
        <x:v>gebucht</x:v>
      </x:c>
      <x:c r="N16" s="18" t="str">
        <x:v>P01</x:v>
      </x:c>
      <x:c r="O16" s="18" t="str">
        <x:v>Unklare Gegenpartei</x:v>
      </x:c>
      <x:c r="P16" s="18" t="str">
        <x:v>Online Zahlung</x:v>
      </x:c>
      <x:c r="Q16" s="18" t="str">
        <x:v>Kartenzahlung</x:v>
      </x:c>
      <x:c r="R16" s="18" t="str"/>
      <x:c r="S16" s="67" t="n">
        <x:v>-74.9</x:v>
      </x:c>
      <x:c r="T16" s="18" t="str"/>
      <x:c r="U16" s="18" t="str"/>
      <x:c r="V16" s="18" t="str"/>
    </x:row>
    <x:row r="17">
      <x:c r="E17" s="59"/>
      <x:c r="K17" s="59"/>
      <x:c r="L17" s="59"/>
      <x:c r="S17" s="68"/>
    </x:row>
  </x:sheetData>
  <x:mergeCells>
    <x:mergeCell ref="A1:H1"/>
    <x:mergeCell ref="A4:P4"/>
    <x:mergeCell ref="A5:P5"/>
    <x:mergeCell ref="A10:V10"/>
    <x:mergeCell ref="A11:V11"/>
  </x:mergeCells>
  <x:dataValidations count="1">
    <x:dataValidation type="list" allowBlank="1" showDropDown="0" sqref="N7:N57">
      <x:formula1>"offen,belegt,geprueft,geschaetzt,inaktiv"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8fc84206b3bb4461"/>
    <x:tablePart xmlns:r="http://schemas.openxmlformats.org/officeDocument/2006/relationships" r:id="R2014596f057b41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2.220000267028809" hidden="0" customWidth="1"/>
    <x:col min="9" max="9" width="25.559999465942383" hidden="0" customWidth="1"/>
    <x:col min="10" max="10" width="12.220000267028809" hidden="0" customWidth="1"/>
    <x:col min="11" max="11" width="13.329999923706055" hidden="0" customWidth="1"/>
    <x:col min="12" max="12" width="12.220000267028809" hidden="0" customWidth="1"/>
    <x:col min="13" max="13" width="13.329999923706055" hidden="0" customWidth="1"/>
    <x:col min="14" max="14" width="12.220000267028809" hidden="0" customWidth="1"/>
    <x:col min="15" max="15" width="12.220000267028809" hidden="0" customWidth="1"/>
    <x:col min="16" max="16" width="12.220000267028809" hidden="0" customWidth="1"/>
    <x:col min="17" max="17" width="12.220000267028809" hidden="0" customWidth="1"/>
    <x:col min="18" max="18" width="12.220000267028809" hidden="0" customWidth="1"/>
    <x:col min="19" max="19" width="12.220000267028809" hidden="0" customWidth="1"/>
    <x:col min="20" max="20" width="13.329999923706055" hidden="0" customWidth="1"/>
    <x:col min="21" max="21" width="13.329999923706055" hidden="0" customWidth="1"/>
    <x:col min="22" max="22" width="12.220000267028809" hidden="0" customWidth="1"/>
    <x:col min="23" max="23" width="12.220000267028809" hidden="0" customWidth="1"/>
    <x:col min="24" max="24" width="13.329999923706055" hidden="0" customWidth="1"/>
    <x:col min="25" max="25" width="25.559999465942383" hidden="0" customWidth="1"/>
  </x:cols>
  <x:sheetData>
    <x:row r="1" ht="25.5" customHeight="1">
      <x:c r="A1" s="29" t="str">
        <x:v>11_Umsaetze_Modell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Vorschlagsgetriebene Transferregeln, noch k...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Transferregeln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</x:row>
    <x:row r="5">
      <x:c r="A5" s="57" t="str">
        <x:v>PK: Transfer_Regel_ID | Update: nur_durch_angenommenen_vorschlag | ID: TRF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</x:row>
    <x:row r="6" ht="25.5" customHeight="1">
      <x:c r="A6" s="21" t="str">
        <x:v>Transfer_Regel_ID</x:v>
      </x:c>
      <x:c r="B6" s="21" t="str">
        <x:v>Name</x:v>
      </x:c>
      <x:c r="C6" s="21" t="str">
        <x:v>Aktiv</x:v>
      </x:c>
      <x:c r="D6" s="21" t="str">
        <x:v>Prioritaet</x:v>
      </x:c>
      <x:c r="E6" s="21" t="str">
        <x:v>Konto_ID</x:v>
      </x:c>
      <x:c r="F6" s="21" t="str">
        <x:v>Zielkonto_ID</x:v>
      </x:c>
      <x:c r="G6" s="21" t="str">
        <x:v>Gegenpartei_Muster</x:v>
      </x:c>
      <x:c r="H6" s="21" t="str">
        <x:v>IBAN_Muster</x:v>
      </x:c>
      <x:c r="I6" s="21" t="str">
        <x:v>Verwendungszweck_Muster</x:v>
      </x:c>
      <x:c r="J6" s="21" t="str">
        <x:v>Betrag_Min</x:v>
      </x:c>
      <x:c r="K6" s="21" t="str">
        <x:v>Betrag_Max</x:v>
      </x:c>
      <x:c r="L6" s="21" t="str">
        <x:v>Datums_Toleranz_Tage</x:v>
      </x:c>
      <x:c r="M6" s="21" t="str">
        <x:v>Transfer_Typ</x:v>
      </x:c>
      <x:c r="N6" s="21" t="str">
        <x:v>Vorgeschlagene_Cashflow_Wirkung</x:v>
      </x:c>
      <x:c r="O6" s="21" t="str">
        <x:v>Lebenshaltung_Relevant_Vorschlag</x:v>
      </x:c>
      <x:c r="P6" s="21" t="str">
        <x:v>Status</x:v>
      </x:c>
      <x:c r="Q6" s="21" t="str">
        <x:v>auto_person_id</x:v>
      </x:c>
      <x:c r="R6" s="21" t="str">
        <x:v>Kommentar</x:v>
      </x:c>
    </x:row>
    <x:row r="7">
      <x:c r="A7" s="18" t="str">
        <x:v>TRF-20260521-001</x:v>
      </x:c>
      <x:c r="B7" s="18" t="str">
        <x:v>Interner Transfer Kandidat</x:v>
      </x:c>
      <x:c r="C7" s="64" t="b">
        <x:v>0</x:v>
      </x:c>
      <x:c r="D7" s="18" t="n">
        <x:v>10</x:v>
      </x:c>
      <x:c r="E7" s="18" t="str">
        <x:v>KTO001</x:v>
      </x:c>
      <x:c r="F7" s="18" t="str"/>
      <x:c r="G7" s="18" t="str"/>
      <x:c r="H7" s="18" t="str"/>
      <x:c r="I7" s="18" t="str"/>
      <x:c r="J7" s="67" t="str"/>
      <x:c r="K7" s="67" t="str"/>
      <x:c r="L7" s="58" t="n">
        <x:v>3</x:v>
      </x:c>
      <x:c r="M7" s="18" t="str">
        <x:v>unklar</x:v>
      </x:c>
      <x:c r="N7" s="18" t="str">
        <x:v>neutral</x:v>
      </x:c>
      <x:c r="O7" s="64" t="b">
        <x:v>0</x:v>
      </x:c>
      <x:c r="P7" s="18" t="str">
        <x:v>offen</x:v>
      </x:c>
      <x:c r="Q7" s="18" t="str"/>
      <x:c r="R7" s="18" t="str">
        <x:v>Nur Vorschlag; nicht produktiv angewendet</x:v>
      </x:c>
    </x:row>
    <x:row r="8">
      <x:c r="J8" s="68"/>
      <x:c r="K8" s="68"/>
      <x:c r="L8" s="59"/>
    </x:row>
    <x:row r="10">
      <x:c r="A10" s="55" t="str">
        <x:v>Modellumsaetze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</x:row>
    <x:row r="11">
      <x:c r="A11" s="57" t="str">
        <x:v>PK: Transaktion_ID | Update: parser_vorschlag_manuell | ID: TXN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</x:row>
    <x:row r="12" ht="25.5" customHeight="1">
      <x:c r="A12" s="21" t="str">
        <x:v>Transaktion_ID</x:v>
      </x:c>
      <x:c r="B12" s="21" t="str">
        <x:v>Rohumsatz_ID</x:v>
      </x:c>
      <x:c r="C12" s="21" t="str">
        <x:v>Konto_ID</x:v>
      </x:c>
      <x:c r="D12" s="21" t="str">
        <x:v>Zielkonto_ID</x:v>
      </x:c>
      <x:c r="E12" s="21" t="str">
        <x:v>Kategorie_ID</x:v>
      </x:c>
      <x:c r="F12" s="21" t="str">
        <x:v>Person_ID</x:v>
      </x:c>
      <x:c r="G12" s="21" t="str">
        <x:v>Regel_ID</x:v>
      </x:c>
      <x:c r="H12" s="21" t="str">
        <x:v>Regel_Match_Status</x:v>
      </x:c>
      <x:c r="I12" s="21" t="str">
        <x:v>Regel_Match_Hinweis</x:v>
      </x:c>
      <x:c r="J12" s="21" t="str">
        <x:v>Erwartetes_Zahldatum</x:v>
      </x:c>
      <x:c r="K12" s="21" t="str">
        <x:v>Betragsabweichung</x:v>
      </x:c>
      <x:c r="L12" s="21" t="str">
        <x:v>Tage_Abweichung</x:v>
      </x:c>
      <x:c r="M12" s="21" t="str">
        <x:v>Betrag</x:v>
      </x:c>
      <x:c r="N12" s="21" t="str">
        <x:v>Buchungsmonat</x:v>
      </x:c>
      <x:c r="O12" s="21" t="str">
        <x:v>Cashflow_Wirkung</x:v>
      </x:c>
      <x:c r="P12" s="21" t="str">
        <x:v>Szenario_Wirkung</x:v>
      </x:c>
      <x:c r="Q12" s="21" t="str">
        <x:v>Ist_Transfer</x:v>
      </x:c>
      <x:c r="R12" s="21" t="str">
        <x:v>Transfer_Status</x:v>
      </x:c>
      <x:c r="S12" s="21" t="str">
        <x:v>Transfer_Typ</x:v>
      </x:c>
      <x:c r="T12" s="21" t="str">
        <x:v>Gegenbuchung_Transaktion_ID</x:v>
      </x:c>
      <x:c r="U12" s="21" t="str">
        <x:v>Transfer_Regel_ID</x:v>
      </x:c>
      <x:c r="V12" s="21" t="str">
        <x:v>Lebenshaltung_Relevant</x:v>
      </x:c>
      <x:c r="W12" s="21" t="str">
        <x:v>Transfer_Pruefhinweis</x:v>
      </x:c>
      <x:c r="X12" s="21" t="str">
        <x:v>Status</x:v>
      </x:c>
      <x:c r="Y12" s="21" t="str">
        <x:v>Kommentar</x:v>
      </x:c>
    </x:row>
    <x:row r="13">
      <x:c r="A13" s="18" t="str">
        <x:v>TXN-RAW-IMP-20260518-001-000001</x:v>
      </x:c>
      <x:c r="B13" s="18" t="str">
        <x:v>RAW-IMP-20260518-001-000001</x:v>
      </x:c>
      <x:c r="C13" s="18" t="str">
        <x:v>KTO001</x:v>
      </x:c>
      <x:c r="D13" s="18" t="str"/>
      <x:c r="E13" s="18" t="str">
        <x:v>KAT001</x:v>
      </x:c>
      <x:c r="F13" s="18" t="str">
        <x:v>P01</x:v>
      </x:c>
      <x:c r="G13" s="18" t="str"/>
      <x:c r="H13" s="18" t="str">
        <x:v>kein_match</x:v>
      </x:c>
      <x:c r="I13" s="18" t="str">
        <x:v>Noch keine Regelzahlung bestaetigt</x:v>
      </x:c>
      <x:c r="J13" s="58" t="n">
        <x:v>46144</x:v>
      </x:c>
      <x:c r="K13" s="67" t="str"/>
      <x:c r="L13" s="18" t="str"/>
      <x:c r="M13" s="67" t="n">
        <x:v>2500</x:v>
      </x:c>
      <x:c r="N13" s="18" t="str">
        <x:v>2026-05</x:v>
      </x:c>
      <x:c r="O13" s="18" t="str">
        <x:v>Einnahme</x:v>
      </x:c>
      <x:c r="P13" s="18" t="str">
        <x:v>Ist</x:v>
      </x:c>
      <x:c r="Q13" s="64" t="b">
        <x:v>0</x:v>
      </x:c>
      <x:c r="R13" s="18" t="str">
        <x:v>kein_transfer</x:v>
      </x:c>
      <x:c r="S13" s="18" t="str"/>
      <x:c r="T13" s="18" t="str"/>
      <x:c r="U13" s="18" t="str"/>
      <x:c r="V13" s="64" t="b">
        <x:v>1</x:v>
      </x:c>
      <x:c r="W13" s="18" t="str"/>
      <x:c r="X13" s="18" t="str">
        <x:v>offen</x:v>
      </x:c>
      <x:c r="Y13" s="18" t="str">
        <x:v>Startzuordnung, spaeter pruefen</x:v>
      </x:c>
    </x:row>
    <x:row r="14">
      <x:c r="A14" s="18" t="str">
        <x:v>TXN-RAW-IMP-20260518-001-000002</x:v>
      </x:c>
      <x:c r="B14" s="18" t="str">
        <x:v>RAW-IMP-20260518-001-000002</x:v>
      </x:c>
      <x:c r="C14" s="18" t="str">
        <x:v>KTO001</x:v>
      </x:c>
      <x:c r="D14" s="18" t="str"/>
      <x:c r="E14" s="18" t="str">
        <x:v>KAT002</x:v>
      </x:c>
      <x:c r="F14" s="18" t="str">
        <x:v>HH</x:v>
      </x:c>
      <x:c r="G14" s="18" t="str"/>
      <x:c r="H14" s="18" t="str">
        <x:v>kein_match</x:v>
      </x:c>
      <x:c r="I14" s="18" t="str">
        <x:v>Regelzahlung noch nicht bestaetigt</x:v>
      </x:c>
      <x:c r="J14" s="58" t="n">
        <x:v>46147</x:v>
      </x:c>
      <x:c r="K14" s="67" t="str"/>
      <x:c r="L14" s="18" t="str"/>
      <x:c r="M14" s="67" t="n">
        <x:v>-1200</x:v>
      </x:c>
      <x:c r="N14" s="18" t="str">
        <x:v>2026-05</x:v>
      </x:c>
      <x:c r="O14" s="18" t="str">
        <x:v>Ausgabe</x:v>
      </x:c>
      <x:c r="P14" s="18" t="str">
        <x:v>Ist</x:v>
      </x:c>
      <x:c r="Q14" s="64" t="b">
        <x:v>0</x:v>
      </x:c>
      <x:c r="R14" s="18" t="str">
        <x:v>kein_transfer</x:v>
      </x:c>
      <x:c r="S14" s="18" t="str"/>
      <x:c r="T14" s="18" t="str"/>
      <x:c r="U14" s="18" t="str"/>
      <x:c r="V14" s="64" t="b">
        <x:v>1</x:v>
      </x:c>
      <x:c r="W14" s="18" t="str"/>
      <x:c r="X14" s="18" t="str">
        <x:v>offen</x:v>
      </x:c>
      <x:c r="Y14" s="18" t="str">
        <x:v>Wohnkosten als Kandidat</x:v>
      </x:c>
    </x:row>
    <x:row r="15">
      <x:c r="A15" s="18" t="str">
        <x:v>TXN-RAW-IMP-20260518-001-000003</x:v>
      </x:c>
      <x:c r="B15" s="18" t="str">
        <x:v>RAW-IMP-20260518-001-000003</x:v>
      </x:c>
      <x:c r="C15" s="18" t="str">
        <x:v>KTO001</x:v>
      </x:c>
      <x:c r="D15" s="18" t="str"/>
      <x:c r="E15" s="18" t="str">
        <x:v>KAT003</x:v>
      </x:c>
      <x:c r="F15" s="18" t="str"/>
      <x:c r="G15" s="18" t="str"/>
      <x:c r="H15" s="18" t="str">
        <x:v>kein_match</x:v>
      </x:c>
      <x:c r="I15" s="18" t="str">
        <x:v>Person noch offen</x:v>
      </x:c>
      <x:c r="J15" s="58" t="n">
        <x:v>46150</x:v>
      </x:c>
      <x:c r="K15" s="67" t="str"/>
      <x:c r="L15" s="18" t="str"/>
      <x:c r="M15" s="67" t="n">
        <x:v>-186.42</x:v>
      </x:c>
      <x:c r="N15" s="18" t="str">
        <x:v>2026-05</x:v>
      </x:c>
      <x:c r="O15" s="18" t="str">
        <x:v>Ausgabe</x:v>
      </x:c>
      <x:c r="P15" s="18" t="str">
        <x:v>Ist</x:v>
      </x:c>
      <x:c r="Q15" s="64" t="b">
        <x:v>0</x:v>
      </x:c>
      <x:c r="R15" s="18" t="str">
        <x:v>kein_transfer</x:v>
      </x:c>
      <x:c r="S15" s="18" t="str"/>
      <x:c r="T15" s="18" t="str"/>
      <x:c r="U15" s="18" t="str"/>
      <x:c r="V15" s="64" t="b">
        <x:v>1</x:v>
      </x:c>
      <x:c r="W15" s="18" t="str"/>
      <x:c r="X15" s="18" t="str">
        <x:v>offen</x:v>
      </x:c>
      <x:c r="Y15" s="18" t="str">
        <x:v>Personenzuordnung offen</x:v>
      </x:c>
    </x:row>
    <x:row r="16">
      <x:c r="A16" s="18" t="str">
        <x:v>TXN-RAW-IMP-20260518-001-000004</x:v>
      </x:c>
      <x:c r="B16" s="18" t="str">
        <x:v>RAW-IMP-20260518-001-000004</x:v>
      </x:c>
      <x:c r="C16" s="18" t="str">
        <x:v>KTO001</x:v>
      </x:c>
      <x:c r="D16" s="18" t="str"/>
      <x:c r="E16" s="18" t="str">
        <x:v>KAT013</x:v>
      </x:c>
      <x:c r="F16" s="18" t="str"/>
      <x:c r="G16" s="18" t="str"/>
      <x:c r="H16" s="18" t="str">
        <x:v>kein_match</x:v>
      </x:c>
      <x:c r="I16" s="18" t="str">
        <x:v>Kategorie offen</x:v>
      </x:c>
      <x:c r="J16" s="58" t="n">
        <x:v>46154</x:v>
      </x:c>
      <x:c r="K16" s="67" t="str"/>
      <x:c r="L16" s="18" t="str"/>
      <x:c r="M16" s="67" t="n">
        <x:v>-74.9</x:v>
      </x:c>
      <x:c r="N16" s="18" t="str">
        <x:v>2026-05</x:v>
      </x:c>
      <x:c r="O16" s="18" t="str">
        <x:v>Ausgabe</x:v>
      </x:c>
      <x:c r="P16" s="18" t="str">
        <x:v>Ist</x:v>
      </x:c>
      <x:c r="Q16" s="64" t="b">
        <x:v>0</x:v>
      </x:c>
      <x:c r="R16" s="18" t="str">
        <x:v>unklar</x:v>
      </x:c>
      <x:c r="S16" s="18" t="str"/>
      <x:c r="T16" s="18" t="str"/>
      <x:c r="U16" s="18" t="str"/>
      <x:c r="V16" s="64" t="b">
        <x:v>1</x:v>
      </x:c>
      <x:c r="W16" s="18" t="str">
        <x:v>Offene Kategorie erzeugt Warnung</x:v>
      </x:c>
      <x:c r="X16" s="18" t="str">
        <x:v>offen</x:v>
      </x:c>
      <x:c r="Y16" s="18" t="str">
        <x:v>Thin-Slice-Beleg fuer KAT013</x:v>
      </x:c>
    </x:row>
    <x:row r="17">
      <x:c r="J17" s="59"/>
      <x:c r="K17" s="68"/>
      <x:c r="M17" s="68"/>
    </x:row>
  </x:sheetData>
  <x:mergeCells>
    <x:mergeCell ref="A1:H1"/>
    <x:mergeCell ref="A4:R4"/>
    <x:mergeCell ref="A5:R5"/>
    <x:mergeCell ref="A10:Y10"/>
    <x:mergeCell ref="A11:Y11"/>
  </x:mergeCells>
  <x:dataValidations count="2">
    <x:dataValidation type="list" allowBlank="1" showDropDown="0" sqref="P7:P57">
      <x:formula1>"offen,belegt,geprueft,geschaetzt,inaktiv"</x:formula1>
    </x:dataValidation>
    <x:dataValidation type="list" allowBlank="1" showDropDown="0" sqref="X13:X63">
      <x:formula1>"offen,belegt,geprueft,geschaetzt,inaktiv"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18262da20f6d483e"/>
    <x:tablePart xmlns:r="http://schemas.openxmlformats.org/officeDocument/2006/relationships" r:id="R589a48a383df44b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779999732971191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779999732971191" hidden="0" customWidth="1"/>
    <x:col min="8" max="8" width="12.779999732971191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2.220000267028809" hidden="0" customWidth="1"/>
    <x:col min="18" max="18" width="12.220000267028809" hidden="0" customWidth="1"/>
    <x:col min="19" max="19" width="12.220000267028809" hidden="0" customWidth="1"/>
    <x:col min="20" max="20" width="12.220000267028809" hidden="0" customWidth="1"/>
    <x:col min="21" max="21" width="13.329999923706055" hidden="0" customWidth="1"/>
    <x:col min="22" max="22" width="25.559999465942383" hidden="0" customWidth="1"/>
    <x:col min="23" max="23" width="25.559999465942383" hidden="0" customWidth="1"/>
    <x:col min="24" max="24" width="12.220000267028809" hidden="0" customWidth="1"/>
    <x:col min="25" max="25" width="13.329999923706055" hidden="0" customWidth="1"/>
    <x:col min="26" max="26" width="12.220000267028809" hidden="0" customWidth="1"/>
    <x:col min="27" max="27" width="25.559999465942383" hidden="0" customWidth="1"/>
  </x:cols>
  <x:sheetData>
    <x:row r="1" ht="25.5" customHeight="1">
      <x:c r="A1" s="29" t="str">
        <x:v>12_Regelzahlungen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Wiederkehrende Zahlungen; in V1 noch pruefp...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Regelzahlungen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  <x:c r="AA4" s="55"/>
    </x:row>
    <x:row r="5">
      <x:c r="A5" s="57" t="str">
        <x:v>PK: Regel_ID | Update: manuell_vorschlag | ID: REG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  <x:c r="AA5" s="57"/>
    </x:row>
    <x:row r="6" ht="25.5" customHeight="1">
      <x:c r="A6" s="21" t="str">
        <x:v>Regel_ID</x:v>
      </x:c>
      <x:c r="B6" s="21" t="str">
        <x:v>Name</x:v>
      </x:c>
      <x:c r="C6" s="21" t="str">
        <x:v>Typ</x:v>
      </x:c>
      <x:c r="D6" s="21" t="str">
        <x:v>Kategorie_ID</x:v>
      </x:c>
      <x:c r="E6" s="21" t="str">
        <x:v>Person_ID</x:v>
      </x:c>
      <x:c r="F6" s="21" t="str">
        <x:v>Konto_ID</x:v>
      </x:c>
      <x:c r="G6" s="21" t="str">
        <x:v>Quelle_ID</x:v>
      </x:c>
      <x:c r="H6" s="21" t="str">
        <x:v>Frequenz</x:v>
      </x:c>
      <x:c r="I6" s="21" t="str">
        <x:v>Erwarteter_Betrag</x:v>
      </x:c>
      <x:c r="J6" s="21" t="str">
        <x:v>Toleranz_Betrag</x:v>
      </x:c>
      <x:c r="K6" s="21" t="str">
        <x:v>Toleranz_Prozent</x:v>
      </x:c>
      <x:c r="L6" s="21" t="str">
        <x:v>Erwarteter_Tag</x:v>
      </x:c>
      <x:c r="M6" s="21" t="str">
        <x:v>Gegenpartei_Muster</x:v>
      </x:c>
      <x:c r="N6" s="21" t="str">
        <x:v>IBAN_Muster</x:v>
      </x:c>
      <x:c r="O6" s="21" t="str">
        <x:v>Verwendungszweck_Muster</x:v>
      </x:c>
      <x:c r="P6" s="21" t="str">
        <x:v>Betrag_Min</x:v>
      </x:c>
      <x:c r="Q6" s="21" t="str">
        <x:v>Betrag_Max</x:v>
      </x:c>
      <x:c r="R6" s="21" t="str">
        <x:v>Betrag_Variabel</x:v>
      </x:c>
      <x:c r="S6" s="21" t="str">
        <x:v>Faelligkeitstag</x:v>
      </x:c>
      <x:c r="T6" s="21" t="str">
        <x:v>Faelligkeitstoleranz_Tage</x:v>
      </x:c>
      <x:c r="U6" s="21" t="str">
        <x:v>Matching_Status</x:v>
      </x:c>
      <x:c r="V6" s="21" t="str">
        <x:v>Auto_Matching_Erlaubt</x:v>
      </x:c>
      <x:c r="W6" s="21" t="str">
        <x:v>Startdatum</x:v>
      </x:c>
      <x:c r="X6" s="21" t="str">
        <x:v>Enddatum</x:v>
      </x:c>
      <x:c r="Y6" s="21" t="str">
        <x:v>Status</x:v>
      </x:c>
      <x:c r="Z6" s="21" t="str">
        <x:v>Szenario_Wirkung</x:v>
      </x:c>
      <x:c r="AA6" s="21" t="str">
        <x:v>Kommentar</x:v>
      </x:c>
    </x:row>
    <x:row r="7">
      <x:c r="A7" s="18" t="str">
        <x:v>REG001</x:v>
      </x:c>
      <x:c r="B7" s="18" t="str">
        <x:v>Miete Kandidat</x:v>
      </x:c>
      <x:c r="C7" s="18" t="str">
        <x:v>Ausgabe</x:v>
      </x:c>
      <x:c r="D7" s="18" t="str">
        <x:v>KAT002</x:v>
      </x:c>
      <x:c r="E7" s="18" t="str">
        <x:v>HH</x:v>
      </x:c>
      <x:c r="F7" s="18" t="str">
        <x:v>KTO001</x:v>
      </x:c>
      <x:c r="G7" s="18" t="str">
        <x:v>SRC-20260518-001</x:v>
      </x:c>
      <x:c r="H7" s="18" t="str">
        <x:v>monatlich</x:v>
      </x:c>
      <x:c r="I7" s="67" t="n">
        <x:v>-1200</x:v>
      </x:c>
      <x:c r="J7" s="67" t="n">
        <x:v>50</x:v>
      </x:c>
      <x:c r="K7" s="71" t="n">
        <x:v>0.05</x:v>
      </x:c>
      <x:c r="L7" s="18" t="n">
        <x:v>5</x:v>
      </x:c>
      <x:c r="M7" s="18" t="str">
        <x:v>Vermieter</x:v>
      </x:c>
      <x:c r="N7" s="18" t="str"/>
      <x:c r="O7" s="18" t="str">
        <x:v>Miete</x:v>
      </x:c>
      <x:c r="P7" s="67" t="n">
        <x:v>-1300</x:v>
      </x:c>
      <x:c r="Q7" s="67" t="n">
        <x:v>-1100</x:v>
      </x:c>
      <x:c r="R7" s="74" t="b">
        <x:v>0</x:v>
      </x:c>
      <x:c r="S7" s="18" t="n">
        <x:v>5</x:v>
      </x:c>
      <x:c r="T7" s="18" t="n">
        <x:v>3</x:v>
      </x:c>
      <x:c r="U7" s="18" t="str">
        <x:v>kandidat</x:v>
      </x:c>
      <x:c r="V7" s="64" t="b">
        <x:v>0</x:v>
      </x:c>
      <x:c r="W7" s="58" t="n">
        <x:v>46143</x:v>
      </x:c>
      <x:c r="X7" s="58" t="str"/>
      <x:c r="Y7" s="18" t="str">
        <x:v>offen</x:v>
      </x:c>
      <x:c r="Z7" s="18" t="str">
        <x:v>S01</x:v>
      </x:c>
      <x:c r="AA7" s="18" t="str">
        <x:v>Noch nicht als Regel bestaetigt</x:v>
      </x:c>
    </x:row>
    <x:row r="8">
      <x:c r="I8" s="68"/>
      <x:c r="J8" s="68"/>
      <x:c r="K8" s="72"/>
      <x:c r="P8" s="68"/>
      <x:c r="Q8" s="68"/>
      <x:c r="R8" s="68"/>
      <x:c r="W8" s="59"/>
      <x:c r="X8" s="59"/>
    </x:row>
    <x:row r="10">
      <x:c r="A10" s="55" t="str">
        <x:v>Regelzahlung Vorschlaege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</x:row>
    <x:row r="11">
      <x:c r="A11" s="57" t="str">
        <x:v>PK: Vorschlag_ID | Update: agent_vorschlag | ID: SUG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</x:row>
    <x:row r="12" ht="25.5" customHeight="1">
      <x:c r="A12" s="21" t="str">
        <x:v>Vorschlag_ID</x:v>
      </x:c>
      <x:c r="B12" s="21" t="str">
        <x:v>Erkannt_am</x:v>
      </x:c>
      <x:c r="C12" s="21" t="str">
        <x:v>Lauf_ID</x:v>
      </x:c>
      <x:c r="D12" s="21" t="str">
        <x:v>Vorgeschlagener_Name</x:v>
      </x:c>
      <x:c r="E12" s="21" t="str">
        <x:v>Vorgeschlagene_Frequenz</x:v>
      </x:c>
      <x:c r="F12" s="21" t="str">
        <x:v>Treffer_Anzahl</x:v>
      </x:c>
      <x:c r="G12" s="21" t="str">
        <x:v>Erstes_Datum</x:v>
      </x:c>
      <x:c r="H12" s="21" t="str">
        <x:v>Letztes_Datum</x:v>
      </x:c>
      <x:c r="I12" s="21" t="str">
        <x:v>Median_Betrag</x:v>
      </x:c>
      <x:c r="J12" s="21" t="str">
        <x:v>Betrag_Min</x:v>
      </x:c>
      <x:c r="K12" s="21" t="str">
        <x:v>Betrag_Max</x:v>
      </x:c>
      <x:c r="L12" s="21" t="str">
        <x:v>Betrag_Variabilitaet</x:v>
      </x:c>
      <x:c r="M12" s="21" t="str">
        <x:v>Typ</x:v>
      </x:c>
      <x:c r="N12" s="21" t="str">
        <x:v>Kategorie_ID_Vorschlag</x:v>
      </x:c>
      <x:c r="O12" s="21" t="str">
        <x:v>Person_ID_Vorschlag</x:v>
      </x:c>
      <x:c r="P12" s="21" t="str">
        <x:v>Konto_ID</x:v>
      </x:c>
      <x:c r="Q12" s="21" t="str">
        <x:v>Gegenpartei_Muster</x:v>
      </x:c>
      <x:c r="R12" s="21" t="str">
        <x:v>IBAN_Muster</x:v>
      </x:c>
      <x:c r="S12" s="21" t="str">
        <x:v>Verwendungszweck_Muster</x:v>
      </x:c>
      <x:c r="T12" s="21" t="str">
        <x:v>Konfidenz</x:v>
      </x:c>
      <x:c r="U12" s="21" t="str">
        <x:v>Status</x:v>
      </x:c>
      <x:c r="V12" s="21" t="str">
        <x:v>Erkennungs_Hinweis</x:v>
      </x:c>
      <x:c r="W12" s="21" t="str">
        <x:v>Kommentar</x:v>
      </x:c>
    </x:row>
    <x:row r="13">
      <x:c r="A13" s="18" t="str">
        <x:v>SUG-20260521-001</x:v>
      </x:c>
      <x:c r="B13" s="58" t="n">
        <x:v>46163</x:v>
      </x:c>
      <x:c r="C13" s="18" t="str">
        <x:v>RUN-20260521-001</x:v>
      </x:c>
      <x:c r="D13" s="18" t="str">
        <x:v>Miete monatlich</x:v>
      </x:c>
      <x:c r="E13" s="18" t="str">
        <x:v>monatlich</x:v>
      </x:c>
      <x:c r="F13" s="18" t="n">
        <x:v>1</x:v>
      </x:c>
      <x:c r="G13" s="58" t="n">
        <x:v>46147</x:v>
      </x:c>
      <x:c r="H13" s="58" t="n">
        <x:v>46147</x:v>
      </x:c>
      <x:c r="I13" s="67" t="n">
        <x:v>-1200</x:v>
      </x:c>
      <x:c r="J13" s="67" t="n">
        <x:v>-1200</x:v>
      </x:c>
      <x:c r="K13" s="67" t="n">
        <x:v>-1200</x:v>
      </x:c>
      <x:c r="L13" s="67" t="n">
        <x:v>0</x:v>
      </x:c>
      <x:c r="M13" s="18" t="str">
        <x:v>Ausgabe</x:v>
      </x:c>
      <x:c r="N13" s="18" t="str">
        <x:v>KAT002</x:v>
      </x:c>
      <x:c r="O13" s="18" t="str">
        <x:v>HH</x:v>
      </x:c>
      <x:c r="P13" s="18" t="str">
        <x:v>KTO001</x:v>
      </x:c>
      <x:c r="Q13" s="18" t="str">
        <x:v>Vermieter</x:v>
      </x:c>
      <x:c r="R13" s="18" t="str"/>
      <x:c r="S13" s="18" t="str">
        <x:v>Miete</x:v>
      </x:c>
      <x:c r="T13" s="71" t="n">
        <x:v>0.55</x:v>
      </x:c>
      <x:c r="U13" s="18" t="str">
        <x:v>offen</x:v>
      </x:c>
      <x:c r="V13" s="18" t="str">
        <x:v>Nur ein Treffer, daher nicht automatisch bestaetigt</x:v>
      </x:c>
      <x:c r="W13" s="18" t="str">
        <x:v>Pruefen und ggf. Regelzahlung anlegen</x:v>
      </x:c>
    </x:row>
    <x:row r="14">
      <x:c r="B14" s="59"/>
      <x:c r="G14" s="59"/>
      <x:c r="H14" s="59"/>
      <x:c r="I14" s="68"/>
      <x:c r="J14" s="68"/>
      <x:c r="K14" s="68"/>
      <x:c r="L14" s="68"/>
      <x:c r="T14" s="72"/>
    </x:row>
  </x:sheetData>
  <x:mergeCells>
    <x:mergeCell ref="A1:H1"/>
    <x:mergeCell ref="A4:AA4"/>
    <x:mergeCell ref="A5:AA5"/>
    <x:mergeCell ref="A10:W10"/>
    <x:mergeCell ref="A11:W11"/>
  </x:mergeCells>
  <x:dataValidations count="2">
    <x:dataValidation type="list" allowBlank="1" showDropDown="0" sqref="Y7:Y57">
      <x:formula1>"offen,angenommen,abgelehnt,zurueckgestellt,erledigt,verworfen"</x:formula1>
    </x:dataValidation>
    <x:dataValidation type="list" allowBlank="1" showDropDown="0" sqref="U13:U63">
      <x:formula1>"offen,angenommen,abgelehnt,zurueckgestellt,erledigt,verworfen"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35b853d37f7b4ca3"/>
    <x:tablePart xmlns:r="http://schemas.openxmlformats.org/officeDocument/2006/relationships" r:id="R6046f2aaf07048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20_Vermoegen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Einfache Sicht auf Vermoegensbestand; V1 oh...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Vermoegen Sicht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Position_ID | Update: formel_ab_task3 | ID: VMG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Position_ID</x:v>
      </x:c>
      <x:c r="B6" s="21" t="str">
        <x:v>Name</x:v>
      </x:c>
      <x:c r="C6" s="21" t="str">
        <x:v>Kategorie</x:v>
      </x:c>
      <x:c r="D6" s="21" t="str">
        <x:v>Wert</x:v>
      </x:c>
      <x:c r="E6" s="21" t="str">
        <x:v>Einheit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VMG001</x:v>
      </x:c>
      <x:c r="B7" s="18" t="str">
        <x:v>Liquide Mittel</x:v>
      </x:c>
      <x:c r="C7" s="18" t="str">
        <x:v>Liquiditaet</x:v>
      </x:c>
      <x:c r="D7" s="67" t="n">
        <x:v>4250</x:v>
      </x:c>
      <x:c r="E7" s="18" t="str">
        <x:v>EUR</x:v>
      </x:c>
      <x:c r="F7" s="18" t="str">
        <x:v>SRC-20260518-001</x:v>
      </x:c>
      <x:c r="G7" s="18" t="str">
        <x:v>geschaetzt</x:v>
      </x:c>
      <x:c r="H7" s="18" t="str">
        <x:v>Task-3-Einstieg: Summe liquider Konten</x:v>
      </x:c>
    </x:row>
    <x:row r="8">
      <x:c r="D8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74dfff264c40b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30_Cashflow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Cashflow-Ist, Erwartung und Offen-Anteil fu...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Cashflow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Kennzahl_ID | Update: formel_ab_task3 | ID: CF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Kennzahl_ID</x:v>
      </x:c>
      <x:c r="B6" s="21" t="str">
        <x:v>Kennzahl</x:v>
      </x:c>
      <x:c r="C6" s="21" t="str">
        <x:v>Monat</x:v>
      </x:c>
      <x:c r="D6" s="21" t="str">
        <x:v>Wert</x:v>
      </x:c>
      <x:c r="E6" s="21" t="str">
        <x:v>Einheit</x:v>
      </x:c>
      <x:c r="F6" s="21" t="str">
        <x:v>Datenbasis</x:v>
      </x:c>
      <x:c r="G6" s="21" t="str">
        <x:v>Status</x:v>
      </x:c>
      <x:c r="H6" s="21" t="str">
        <x:v>Kommentar</x:v>
      </x:c>
    </x:row>
    <x:row r="7">
      <x:c r="A7" s="18" t="str">
        <x:v>CF001</x:v>
      </x:c>
      <x:c r="B7" s="18" t="str">
        <x:v>Cashflow_Monat_ist</x:v>
      </x:c>
      <x:c r="C7" s="58" t="str">
        <x:v>2026-05</x:v>
      </x:c>
      <x:c r="D7" s="67" t="n">
        <x:v>1038.68</x:v>
      </x:c>
      <x:c r="E7" s="18" t="str">
        <x:v>EUR</x:v>
      </x:c>
      <x:c r="F7" s="18" t="str">
        <x:v>Umsaetze Modell</x:v>
      </x:c>
      <x:c r="G7" s="18" t="str">
        <x:v>geschaetzt</x:v>
      </x:c>
      <x:c r="H7" s="18" t="str">
        <x:v>Task-3-Einstieg: Summe nicht-transferierter Ist-Buchungen</x:v>
      </x:c>
    </x:row>
    <x:row r="8">
      <x:c r="A8" s="18" t="str">
        <x:v>CF002</x:v>
      </x:c>
      <x:c r="B8" s="18" t="str">
        <x:v>Cashflow_Monat_erwartet</x:v>
      </x:c>
      <x:c r="C8" s="58" t="str">
        <x:v>2026-05</x:v>
      </x:c>
      <x:c r="D8" s="67" t="n">
        <x:v>-2100</x:v>
      </x:c>
      <x:c r="E8" s="18" t="str">
        <x:v>EUR</x:v>
      </x:c>
      <x:c r="F8" s="18" t="str">
        <x:v>Regelzahlungen + Annahmen</x:v>
      </x:c>
      <x:c r="G8" s="18" t="str">
        <x:v>teilberechnet</x:v>
      </x:c>
      <x:c r="H8" s="18" t="str">
        <x:v>Monatliche Regelzahlungen plus variable Ausgaben-Schaetzung</x:v>
      </x:c>
    </x:row>
    <x:row r="9">
      <x:c r="A9" s="18" t="str">
        <x:v>CF003</x:v>
      </x:c>
      <x:c r="B9" s="18" t="str">
        <x:v>Anteil Sonstiges / zu pruefen</x:v>
      </x:c>
      <x:c r="C9" s="58" t="str">
        <x:v>2026-05</x:v>
      </x:c>
      <x:c r="D9" s="67" t="n">
        <x:v>5.13</x:v>
      </x:c>
      <x:c r="E9" s="18" t="str">
        <x:v>%</x:v>
      </x:c>
      <x:c r="F9" s="18" t="str">
        <x:v>KAT013</x:v>
      </x:c>
      <x:c r="G9" s="18" t="str">
        <x:v>teilberechnet</x:v>
      </x:c>
      <x:c r="H9" s="18" t="str">
        <x:v>Anteil offener Kategorie an nicht-transferierten Ausgaben</x:v>
      </x:c>
    </x:row>
    <x:row r="10">
      <x:c r="C10" s="59"/>
      <x:c r="D10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aef093d64542a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25.559999465942383" hidden="0" customWidth="1"/>
  </x:cols>
  <x:sheetData>
    <x:row r="1" ht="25.5" customHeight="1">
      <x:c r="A1" s="29" t="str">
        <x:v>40_Szenarien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Aktives Standardszenario und vorbereitete K...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Szenarien</x:v>
      </x:c>
      <x:c r="B4" s="55"/>
      <x:c r="C4" s="55"/>
      <x:c r="D4" s="55"/>
      <x:c r="E4" s="55"/>
      <x:c r="F4" s="55"/>
      <x:c r="G4" s="55"/>
    </x:row>
    <x:row r="5">
      <x:c r="A5" s="57" t="str">
        <x:v>PK: Szenario_ID | Update: manuell | ID: S</x:v>
      </x:c>
      <x:c r="B5" s="57"/>
      <x:c r="C5" s="57"/>
      <x:c r="D5" s="57"/>
      <x:c r="E5" s="57"/>
      <x:c r="F5" s="57"/>
      <x:c r="G5" s="57"/>
    </x:row>
    <x:row r="6" ht="25.5" customHeight="1">
      <x:c r="A6" s="21" t="str">
        <x:v>Szenario_ID</x:v>
      </x:c>
      <x:c r="B6" s="21" t="str">
        <x:v>Name</x:v>
      </x:c>
      <x:c r="C6" s="21" t="str">
        <x:v>Status</x:v>
      </x:c>
      <x:c r="D6" s="21" t="str">
        <x:v>Startdatum</x:v>
      </x:c>
      <x:c r="E6" s="21" t="str">
        <x:v>Enddatum</x:v>
      </x:c>
      <x:c r="F6" s="21" t="str">
        <x:v>Datenstatus</x:v>
      </x:c>
      <x:c r="G6" s="21" t="str">
        <x:v>Kommentar</x:v>
      </x:c>
    </x:row>
    <x:row r="7">
      <x:c r="A7" s="18" t="str">
        <x:v>S01</x:v>
      </x:c>
      <x:c r="B7" s="18" t="str">
        <x:v>Standard</x:v>
      </x:c>
      <x:c r="C7" s="18" t="str">
        <x:v>aktiv</x:v>
      </x:c>
      <x:c r="D7" s="58" t="n">
        <x:v>46143</x:v>
      </x:c>
      <x:c r="E7" s="58" t="n">
        <x:v>46507</x:v>
      </x:c>
      <x:c r="F7" s="18" t="str">
        <x:v>belegt</x:v>
      </x:c>
      <x:c r="G7" s="18" t="str">
        <x:v>Aktives Standardszenario fuer V1</x:v>
      </x:c>
    </x:row>
    <x:row r="8">
      <x:c r="A8" s="18" t="str">
        <x:v>S02</x:v>
      </x:c>
      <x:c r="B8" s="18" t="str">
        <x:v>Konservativ</x:v>
      </x:c>
      <x:c r="C8" s="18" t="str">
        <x:v>vorbereitet</x:v>
      </x:c>
      <x:c r="D8" s="58" t="str"/>
      <x:c r="E8" s="58" t="str"/>
      <x:c r="F8" s="18" t="str">
        <x:v>offen</x:v>
      </x:c>
      <x:c r="G8" s="18" t="str">
        <x:v>Sichtbarer Platzhalter</x:v>
      </x:c>
    </x:row>
    <x:row r="9">
      <x:c r="A9" s="18" t="str">
        <x:v>S03</x:v>
      </x:c>
      <x:c r="B9" s="18" t="str">
        <x:v>Stressfall</x:v>
      </x:c>
      <x:c r="C9" s="18" t="str">
        <x:v>vorbereitet</x:v>
      </x:c>
      <x:c r="D9" s="58" t="str"/>
      <x:c r="E9" s="58" t="str"/>
      <x:c r="F9" s="18" t="str">
        <x:v>offen</x:v>
      </x:c>
      <x:c r="G9" s="18" t="str">
        <x:v>Sichtbarer Platzhalter</x:v>
      </x:c>
    </x:row>
    <x:row r="10">
      <x:c r="D10" s="59"/>
      <x:c r="E10" s="59"/>
    </x:row>
  </x:sheetData>
  <x:mergeCells>
    <x:mergeCell ref="A1:H1"/>
    <x:mergeCell ref="A4:G4"/>
    <x:mergeCell ref="A5:G5"/>
  </x:mergeCells>
  <x:dataValidations count="2">
    <x:dataValidation type="list" allowBlank="1" showDropDown="0" sqref="C7:C57">
      <x:formula1>"offen,belegt,geprueft,geschaetzt,inaktiv"</x:formula1>
    </x:dataValidation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cfee825dc441c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41_Ereignisse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Ereignisse, Erwerbsstatus und Sozialleistun...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Ereignisse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Ereignis_ID | Update: manuell | ID: EVT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Ereignis_ID</x:v>
      </x:c>
      <x:c r="B6" s="21" t="str">
        <x:v>Name</x:v>
      </x:c>
      <x:c r="C6" s="21" t="str">
        <x:v>Typ</x:v>
      </x:c>
      <x:c r="D6" s="21" t="str">
        <x:v>Startdatum</x:v>
      </x:c>
      <x:c r="E6" s="21" t="str">
        <x:v>Enddatum</x:v>
      </x:c>
      <x:c r="F6" s="21" t="str">
        <x:v>Szenario_ID</x:v>
      </x:c>
      <x:c r="G6" s="21" t="str">
        <x:v>Status</x:v>
      </x:c>
      <x:c r="H6" s="21" t="str">
        <x:v>Kommentar</x:v>
      </x:c>
    </x:row>
    <x:row r="7">
      <x:c r="A7" s="18" t="str">
        <x:v>EVT001</x:v>
      </x:c>
      <x:c r="B7" s="18" t="str">
        <x:v>Erwerbsstatus offen</x:v>
      </x:c>
      <x:c r="C7" s="18" t="str">
        <x:v>Platzhalter</x:v>
      </x:c>
      <x:c r="D7" s="58" t="str"/>
      <x:c r="E7" s="58" t="str"/>
      <x:c r="F7" s="18" t="str">
        <x:v>S01</x:v>
      </x:c>
      <x:c r="G7" s="18" t="str">
        <x:v>offen</x:v>
      </x:c>
      <x:c r="H7" s="18" t="str">
        <x:v>Keine V1-Wirkung</x:v>
      </x:c>
    </x:row>
    <x:row r="8">
      <x:c r="D8" s="59"/>
      <x:c r="E8" s="59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29bf0634ec4ab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2.779999732971191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25.559999465942383" hidden="0" customWidth="1"/>
  </x:cols>
  <x:sheetData>
    <x:row r="1" ht="25.5" customHeight="1">
      <x:c r="A1" s="29" t="str">
        <x:v>42_Annahmen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Modellannahmen mit Status, Quelle und Guelt...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Annahmen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</x:row>
    <x:row r="5">
      <x:c r="A5" s="57" t="str">
        <x:v>PK: Annahme_ID | Update: append_only | ID: ASM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</x:row>
    <x:row r="6" ht="25.5" customHeight="1">
      <x:c r="A6" s="21" t="str">
        <x:v>Annahme_ID</x:v>
      </x:c>
      <x:c r="B6" s="21" t="str">
        <x:v>Name</x:v>
      </x:c>
      <x:c r="C6" s="21" t="str">
        <x:v>Bereich</x:v>
      </x:c>
      <x:c r="D6" s="21" t="str">
        <x:v>Wert</x:v>
      </x:c>
      <x:c r="E6" s="21" t="str">
        <x:v>Einheit</x:v>
      </x:c>
      <x:c r="F6" s="21" t="str">
        <x:v>Gueltig_ab</x:v>
      </x:c>
      <x:c r="G6" s="21" t="str">
        <x:v>Gueltig_bis</x:v>
      </x:c>
      <x:c r="H6" s="21" t="str">
        <x:v>Szenario_ID</x:v>
      </x:c>
      <x:c r="I6" s="21" t="str">
        <x:v>Status</x:v>
      </x:c>
      <x:c r="J6" s="21" t="str">
        <x:v>Quelle_ID</x:v>
      </x:c>
      <x:c r="K6" s="21" t="str">
        <x:v>Ersetzt_Annahme_ID</x:v>
      </x:c>
      <x:c r="L6" s="21" t="str">
        <x:v>Kommentar</x:v>
      </x:c>
    </x:row>
    <x:row r="7">
      <x:c r="A7" s="18" t="str">
        <x:v>ASM001</x:v>
      </x:c>
      <x:c r="B7" s="18" t="str">
        <x:v>Sicherheitsreserve</x:v>
      </x:c>
      <x:c r="C7" s="18" t="str">
        <x:v>Liquiditaet</x:v>
      </x:c>
      <x:c r="D7" s="67" t="n">
        <x:v>3000</x:v>
      </x:c>
      <x:c r="E7" s="18" t="str">
        <x:v>EUR</x:v>
      </x:c>
      <x:c r="F7" s="18" t="n">
        <x:v>46143</x:v>
      </x:c>
      <x:c r="G7" s="58" t="str"/>
      <x:c r="H7" s="18" t="str">
        <x:v>S01</x:v>
      </x:c>
      <x:c r="I7" s="18" t="str">
        <x:v>geschaetzt</x:v>
      </x:c>
      <x:c r="J7" s="18" t="str">
        <x:v>SRC-20260518-001</x:v>
      </x:c>
      <x:c r="K7" s="18" t="str"/>
      <x:c r="L7" s="18" t="str">
        <x:v>Reserve als erste Annahme, bis Zielhoehe bestaetigt ist</x:v>
      </x:c>
    </x:row>
    <x:row r="8">
      <x:c r="A8" s="18" t="str">
        <x:v>ASM002</x:v>
      </x:c>
      <x:c r="B8" s="18" t="str">
        <x:v>Variable Ausgaben-Schaetzung</x:v>
      </x:c>
      <x:c r="C8" s="18" t="str">
        <x:v>Cashflow</x:v>
      </x:c>
      <x:c r="D8" s="67" t="n">
        <x:v>900</x:v>
      </x:c>
      <x:c r="E8" s="18" t="str">
        <x:v>EUR/Monat</x:v>
      </x:c>
      <x:c r="F8" s="18" t="n">
        <x:v>46143</x:v>
      </x:c>
      <x:c r="G8" s="58" t="str"/>
      <x:c r="H8" s="18" t="str">
        <x:v>S01</x:v>
      </x:c>
      <x:c r="I8" s="18" t="str">
        <x:v>platzhalter</x:v>
      </x:c>
      <x:c r="J8" s="18" t="str"/>
      <x:c r="K8" s="18" t="str"/>
      <x:c r="L8" s="18" t="str">
        <x:v>Platzhalter, bis Regelzahlungen und variable Ausgaben stabil erkannt sind</x:v>
      </x:c>
    </x:row>
    <x:row r="9">
      <x:c r="A9" s="18" t="str">
        <x:v>ASM003</x:v>
      </x:c>
      <x:c r="B9" s="18" t="str">
        <x:v>Planungsende</x:v>
      </x:c>
      <x:c r="C9" s="18" t="str">
        <x:v>Zeitachse</x:v>
      </x:c>
      <x:c r="D9" s="67" t="n">
        <x:v>46507</x:v>
      </x:c>
      <x:c r="E9" s="18" t="str">
        <x:v>Datum</x:v>
      </x:c>
      <x:c r="F9" s="18" t="n">
        <x:v>46143</x:v>
      </x:c>
      <x:c r="G9" s="58" t="str"/>
      <x:c r="H9" s="18" t="str">
        <x:v>S01</x:v>
      </x:c>
      <x:c r="I9" s="18" t="str">
        <x:v>geschaetzt</x:v>
      </x:c>
      <x:c r="J9" s="18" t="str"/>
      <x:c r="K9" s="18" t="str"/>
      <x:c r="L9" s="18" t="str">
        <x:v>V1-Horizont fuer spaetere Runway-Rechnung</x:v>
      </x:c>
    </x:row>
    <x:row r="10">
      <x:c r="D10" s="68"/>
      <x:c r="G10" s="59"/>
    </x:row>
  </x:sheetData>
  <x:mergeCells>
    <x:mergeCell ref="A1:H1"/>
    <x:mergeCell ref="A4:L4"/>
    <x:mergeCell ref="A5:L5"/>
  </x:mergeCells>
  <x:dataValidations count="1">
    <x:dataValidation type="list" allowBlank="1" showDropDown="0" sqref="I7:I57">
      <x:formula1>"platzhalter,geschaetzt,belegt,geprueft"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631724a0d04a2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25.559999465942383" hidden="0" customWidth="1"/>
  </x:cols>
  <x:sheetData>
    <x:row r="1" ht="25.5" customHeight="1">
      <x:c r="A1" s="29" t="str">
        <x:v>43_Zeitachse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Monatsachse fuer spaetere Runway-Rechnung.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Zeitachse</x:v>
      </x:c>
      <x:c r="B4" s="55"/>
      <x:c r="C4" s="55"/>
      <x:c r="D4" s="55"/>
      <x:c r="E4" s="55"/>
      <x:c r="F4" s="55"/>
      <x:c r="G4" s="55"/>
    </x:row>
    <x:row r="5">
      <x:c r="A5" s="57" t="str">
        <x:v>PK: Monat_ID | Update: formel_ab_task3 | ID: MON</x:v>
      </x:c>
      <x:c r="B5" s="57"/>
      <x:c r="C5" s="57"/>
      <x:c r="D5" s="57"/>
      <x:c r="E5" s="57"/>
      <x:c r="F5" s="57"/>
      <x:c r="G5" s="57"/>
    </x:row>
    <x:row r="6" ht="25.5" customHeight="1">
      <x:c r="A6" s="21" t="str">
        <x:v>Monat_ID</x:v>
      </x:c>
      <x:c r="B6" s="21" t="str">
        <x:v>Szenario_ID</x:v>
      </x:c>
      <x:c r="C6" s="21" t="str">
        <x:v>Monat</x:v>
      </x:c>
      <x:c r="D6" s="21" t="str">
        <x:v>Netto_M</x:v>
      </x:c>
      <x:c r="E6" s="21" t="str">
        <x:v>Kumulierte_Liquiditaet</x:v>
      </x:c>
      <x:c r="F6" s="21" t="str">
        <x:v>Status</x:v>
      </x:c>
      <x:c r="G6" s="21" t="str">
        <x:v>Kommentar</x:v>
      </x:c>
    </x:row>
    <x:row r="7">
      <x:c r="A7" s="18" t="str">
        <x:v>MON202605</x:v>
      </x:c>
      <x:c r="B7" s="18" t="str">
        <x:v>S01</x:v>
      </x:c>
      <x:c r="C7" s="58" t="n">
        <x:v>46143</x:v>
      </x:c>
      <x:c r="D7" s="18" t="n">
        <x:v>-2100</x:v>
      </x:c>
      <x:c r="E7" s="18" t="n">
        <x:v>2150</x:v>
      </x:c>
      <x:c r="F7" s="18" t="str">
        <x:v>teilberechnet</x:v>
      </x:c>
      <x:c r="G7" s="18" t="str">
        <x:v>Auf Basis CF002; Monatsabschluss noch nicht final</x:v>
      </x:c>
    </x:row>
    <x:row r="8">
      <x:c r="A8" s="18" t="str">
        <x:v>MON202606</x:v>
      </x:c>
      <x:c r="B8" s="18" t="str">
        <x:v>S01</x:v>
      </x:c>
      <x:c r="C8" s="58" t="n">
        <x:v>46174</x:v>
      </x:c>
      <x:c r="D8" s="18" t="n">
        <x:v>-2100</x:v>
      </x:c>
      <x:c r="E8" s="18" t="n">
        <x:v>50</x:v>
      </x:c>
      <x:c r="F8" s="18" t="str">
        <x:v>teilberechnet</x:v>
      </x:c>
      <x:c r="G8" s="18" t="str">
        <x:v>Auf Basis CF002; Szenario noch nicht bestaetigt</x:v>
      </x:c>
    </x:row>
    <x:row r="9">
      <x:c r="A9" s="18" t="str">
        <x:v>MON202607</x:v>
      </x:c>
      <x:c r="B9" s="18" t="str">
        <x:v>S01</x:v>
      </x:c>
      <x:c r="C9" s="58" t="n">
        <x:v>46204</x:v>
      </x:c>
      <x:c r="D9" s="18" t="n">
        <x:v>-2100</x:v>
      </x:c>
      <x:c r="E9" s="18" t="n">
        <x:v>-2050</x:v>
      </x:c>
      <x:c r="F9" s="18" t="str">
        <x:v>teilberechnet</x:v>
      </x:c>
      <x:c r="G9" s="18" t="str">
        <x:v>Auf Basis CF002; Szenario noch nicht bestaetigt</x:v>
      </x:c>
    </x:row>
    <x:row r="10">
      <x:c r="C10" s="59"/>
    </x:row>
  </x:sheetData>
  <x:mergeCells>
    <x:mergeCell ref="A1:H1"/>
    <x:mergeCell ref="A4:G4"/>
    <x:mergeCell ref="A5:G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7d6cd19f0e40a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3.329999923706055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44_Liquiditaet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Zielstellen fuer liquide Mittel, Reserve un...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Liquiditaet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Kennzahl_ID | Update: formel_ab_task3 | ID: LIQ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Kennzahl_ID</x:v>
      </x:c>
      <x:c r="B6" s="21" t="str">
        <x:v>Kennzahl</x:v>
      </x:c>
      <x:c r="C6" s="21" t="str">
        <x:v>Wert</x:v>
      </x:c>
      <x:c r="D6" s="21" t="str">
        <x:v>Einheit</x:v>
      </x:c>
      <x:c r="E6" s="21" t="str">
        <x:v>Szenario_ID</x:v>
      </x:c>
      <x:c r="F6" s="21" t="str">
        <x:v>Datenbasis</x:v>
      </x:c>
      <x:c r="G6" s="21" t="str">
        <x:v>Status</x:v>
      </x:c>
      <x:c r="H6" s="21" t="str">
        <x:v>Kommentar</x:v>
      </x:c>
    </x:row>
    <x:row r="7">
      <x:c r="A7" s="18" t="str">
        <x:v>LIQ001</x:v>
      </x:c>
      <x:c r="B7" s="18" t="str">
        <x:v>Liquiditaet_heute</x:v>
      </x:c>
      <x:c r="C7" s="67" t="n">
        <x:v>4250</x:v>
      </x:c>
      <x:c r="D7" s="18" t="str">
        <x:v>EUR</x:v>
      </x:c>
      <x:c r="E7" s="18" t="str">
        <x:v>S01</x:v>
      </x:c>
      <x:c r="F7" s="18" t="str">
        <x:v>Konten</x:v>
      </x:c>
      <x:c r="G7" s="18" t="str">
        <x:v>geschaetzt</x:v>
      </x:c>
      <x:c r="H7" s="18" t="str">
        <x:v>Task-3-Einstieg: liquide Konten</x:v>
      </x:c>
    </x:row>
    <x:row r="8">
      <x:c r="A8" s="18" t="str">
        <x:v>LIQ002</x:v>
      </x:c>
      <x:c r="B8" s="18" t="str">
        <x:v>Freie Liquiditaet nach Reserve</x:v>
      </x:c>
      <x:c r="C8" s="67" t="n">
        <x:v>1250</x:v>
      </x:c>
      <x:c r="D8" s="18" t="str">
        <x:v>EUR</x:v>
      </x:c>
      <x:c r="E8" s="18" t="str">
        <x:v>S01</x:v>
      </x:c>
      <x:c r="F8" s="18" t="str">
        <x:v>LIQ001 minus Sicherheitsreserve</x:v>
      </x:c>
      <x:c r="G8" s="18" t="str">
        <x:v>geschaetzt</x:v>
      </x:c>
      <x:c r="H8" s="18" t="str">
        <x:v>Task-3-Einstieg: Liquiditaet minus ASM001</x:v>
      </x:c>
    </x:row>
    <x:row r="9">
      <x:c r="A9" s="18" t="str">
        <x:v>LIQ003</x:v>
      </x:c>
      <x:c r="B9" s="18" t="str">
        <x:v>Reichweite</x:v>
      </x:c>
      <x:c r="C9" s="67" t="n">
        <x:v>0.6</x:v>
      </x:c>
      <x:c r="D9" s="18" t="str">
        <x:v>Monate</x:v>
      </x:c>
      <x:c r="E9" s="18" t="str">
        <x:v>S01</x:v>
      </x:c>
      <x:c r="F9" s="18" t="str">
        <x:v>LIQ002 / erwarteter Monatsverbrauch</x:v>
      </x:c>
      <x:c r="G9" s="18" t="str">
        <x:v>teilberechnet</x:v>
      </x:c>
      <x:c r="H9" s="18" t="str">
        <x:v>Auf Basis freier Liquiditaet und CF002</x:v>
      </x:c>
    </x:row>
    <x:row r="10">
      <x:c r="C10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12d80569b14650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25.559999465942383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25.559999465942383" hidden="0" customWidth="1"/>
    <x:col min="10" max="10" width="25.559999465942383" hidden="0" customWidth="1"/>
  </x:cols>
  <x:sheetData>
    <x:row r="1" ht="25.5" customHeight="1">
      <x:c r="A1" s="29" t="str">
        <x:v>60_Warnungen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Aktuelle Befunde, die Nacharbeit ausloesen....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Warnungen Aktuell</x:v>
      </x:c>
      <x:c r="B4" s="55"/>
      <x:c r="C4" s="55"/>
      <x:c r="D4" s="55"/>
      <x:c r="E4" s="55"/>
      <x:c r="F4" s="55"/>
      <x:c r="G4" s="55"/>
      <x:c r="H4" s="55"/>
      <x:c r="I4" s="55"/>
      <x:c r="J4" s="55"/>
    </x:row>
    <x:row r="5">
      <x:c r="A5" s="57" t="str">
        <x:v>PK: Warnungs_ID | Update: berechnet_plus_manuell | ID: WRN</x:v>
      </x:c>
      <x:c r="B5" s="57"/>
      <x:c r="C5" s="57"/>
      <x:c r="D5" s="57"/>
      <x:c r="E5" s="57"/>
      <x:c r="F5" s="57"/>
      <x:c r="G5" s="57"/>
      <x:c r="H5" s="57"/>
      <x:c r="I5" s="57"/>
      <x:c r="J5" s="57"/>
    </x:row>
    <x:row r="6" ht="25.5" customHeight="1">
      <x:c r="A6" s="21" t="str">
        <x:v>Warnungs_ID</x:v>
      </x:c>
      <x:c r="B6" s="21" t="str">
        <x:v>Warnungs_Fingerprint</x:v>
      </x:c>
      <x:c r="C6" s="21" t="str">
        <x:v>Check_ID</x:v>
      </x:c>
      <x:c r="D6" s="21" t="str">
        <x:v>Schweregrad</x:v>
      </x:c>
      <x:c r="E6" s="21" t="str">
        <x:v>Titel</x:v>
      </x:c>
      <x:c r="F6" s="21" t="str">
        <x:v>Betroffene_Tabelle</x:v>
      </x:c>
      <x:c r="G6" s="21" t="str">
        <x:v>Betroffene_ID</x:v>
      </x:c>
      <x:c r="H6" s="21" t="str">
        <x:v>Status</x:v>
      </x:c>
      <x:c r="I6" s="21" t="str">
        <x:v>Naechste_Aktion</x:v>
      </x:c>
      <x:c r="J6" s="21" t="str">
        <x:v>Kommentar</x:v>
      </x:c>
    </x:row>
    <x:row r="7">
      <x:c r="A7" s="18" t="str">
        <x:v>WRN001</x:v>
      </x:c>
      <x:c r="B7" s="18" t="str">
        <x:v>CHK-BLD-01|BLD-20260521-001</x:v>
      </x:c>
      <x:c r="C7" s="18" t="str">
        <x:v>CHK-BLD-01</x:v>
      </x:c>
      <x:c r="D7" s="18" t="str">
        <x:v>Fehler</x:v>
      </x:c>
      <x:c r="E7" s="18" t="str">
        <x:v>Workbook-Verifikation noch nicht bestanden</x:v>
      </x:c>
      <x:c r="F7" s="18" t="str">
        <x:v>98_Build_Verifikation</x:v>
      </x:c>
      <x:c r="G7" s="18" t="str">
        <x:v>BLD-20260521-001</x:v>
      </x:c>
      <x:c r="H7" s="18" t="str">
        <x:v>offen</x:v>
      </x:c>
      <x:c r="I7" s="18" t="str">
        <x:v>Build/Verifier ausfuehren</x:v>
      </x:c>
      <x:c r="J7" s="18" t="str">
        <x:v>Startzustand bewusst rot</x:v>
      </x:c>
    </x:row>
    <x:row r="8">
      <x:c r="A8" s="18" t="str">
        <x:v>WRN002</x:v>
      </x:c>
      <x:c r="B8" s="18" t="str">
        <x:v>CHK003|TXN-RAW-IMP-20260518-001-000004</x:v>
      </x:c>
      <x:c r="C8" s="18" t="str">
        <x:v>CHK003</x:v>
      </x:c>
      <x:c r="D8" s="18" t="str">
        <x:v>Warnung</x:v>
      </x:c>
      <x:c r="E8" s="18" t="str">
        <x:v>Buchung mit offener Kategorie</x:v>
      </x:c>
      <x:c r="F8" s="18" t="str">
        <x:v>11_Umsaetze_Modell</x:v>
      </x:c>
      <x:c r="G8" s="18" t="str">
        <x:v>TXN-RAW-IMP-20260518-001-000004</x:v>
      </x:c>
      <x:c r="H8" s="18" t="str">
        <x:v>offen</x:v>
      </x:c>
      <x:c r="I8" s="18" t="str">
        <x:v>Kategorie pruefen</x:v>
      </x:c>
      <x:c r="J8" s="18" t="str">
        <x:v>Begruendet gelbe/rote Sichtbarkeit</x:v>
      </x:c>
    </x:row>
    <x:row r="9">
      <x:c r="A9" s="18" t="str">
        <x:v>WRN003</x:v>
      </x:c>
      <x:c r="B9" s="18" t="str">
        <x:v>CHK012|ASM002</x:v>
      </x:c>
      <x:c r="C9" s="18" t="str">
        <x:v>CHK012</x:v>
      </x:c>
      <x:c r="D9" s="18" t="str">
        <x:v>Warnung</x:v>
      </x:c>
      <x:c r="E9" s="18" t="str">
        <x:v>Platzhalter-Annahme fuer variable Ausgaben</x:v>
      </x:c>
      <x:c r="F9" s="18" t="str">
        <x:v>42_Annahmen</x:v>
      </x:c>
      <x:c r="G9" s="18" t="str">
        <x:v>ASM002</x:v>
      </x:c>
      <x:c r="H9" s="18" t="str">
        <x:v>offen</x:v>
      </x:c>
      <x:c r="I9" s="18" t="str">
        <x:v>Annahme belegen oder ersetzen</x:v>
      </x:c>
      <x:c r="J9" s="18" t="str">
        <x:v>Dashboardrelevant</x:v>
      </x:c>
    </x:row>
    <x:row r="10">
      <x:c r="A10" s="18" t="str">
        <x:v>WRN004</x:v>
      </x:c>
      <x:c r="B10" s="18" t="str">
        <x:v>CHK015|REG001</x:v>
      </x:c>
      <x:c r="C10" s="18" t="str">
        <x:v>CHK015</x:v>
      </x:c>
      <x:c r="D10" s="18" t="str">
        <x:v>Warnung</x:v>
      </x:c>
      <x:c r="E10" s="18" t="str">
        <x:v>Prognose nutzt unbestaetigte Regelzahlung</x:v>
      </x:c>
      <x:c r="F10" s="18" t="str">
        <x:v>12_Regelzahlungen</x:v>
      </x:c>
      <x:c r="G10" s="18" t="str">
        <x:v>REG001</x:v>
      </x:c>
      <x:c r="H10" s="18" t="str">
        <x:v>offen</x:v>
      </x:c>
      <x:c r="I10" s="18" t="str">
        <x:v>Regelzahlung im Review bestaetigen oder verwerfen</x:v>
      </x:c>
      <x:c r="J10" s="18" t="str">
        <x:v>CF002 und Reichweite bleiben teilberechnet</x:v>
      </x:c>
    </x:row>
    <x:row r="11">
      <x:c r="A11" s="18" t="str">
        <x:v>WRN005</x:v>
      </x:c>
      <x:c r="B11" s="18" t="str">
        <x:v>CHK016|MON202607</x:v>
      </x:c>
      <x:c r="C11" s="18" t="str">
        <x:v>CHK016</x:v>
      </x:c>
      <x:c r="D11" s="18" t="str">
        <x:v>Warnung</x:v>
      </x:c>
      <x:c r="E11" s="18" t="str">
        <x:v>Zeitachse faellt im Standardszenario unter null</x:v>
      </x:c>
      <x:c r="F11" s="18" t="str">
        <x:v>43_Zeitachse</x:v>
      </x:c>
      <x:c r="G11" s="18" t="str">
        <x:v>MON202607</x:v>
      </x:c>
      <x:c r="H11" s="18" t="str">
        <x:v>offen</x:v>
      </x:c>
      <x:c r="I11" s="18" t="str">
        <x:v>Ausgabenannahme und Liquiditaetsreserve pruefen</x:v>
      </x:c>
      <x:c r="J11" s="18" t="str">
        <x:v>Reichweite zeigt nur 0,6 Monate freie Liquiditaet</x:v>
      </x:c>
    </x:row>
    <x:row r="14">
      <x:c r="A14" s="55" t="str">
        <x:v>Warnungen Bearbeitung</x:v>
      </x:c>
      <x:c r="B14" s="55"/>
      <x:c r="C14" s="55"/>
      <x:c r="D14" s="55"/>
      <x:c r="E14" s="55"/>
    </x:row>
    <x:row r="15">
      <x:c r="A15" s="57" t="str">
        <x:v>PK: Warnungs_Fingerprint | Update: manuell | ID: WRN</x:v>
      </x:c>
      <x:c r="B15" s="57"/>
      <x:c r="C15" s="57"/>
      <x:c r="D15" s="57"/>
      <x:c r="E15" s="57"/>
    </x:row>
    <x:row r="16" ht="25.5" customHeight="1">
      <x:c r="A16" s="21" t="str">
        <x:v>Warnungs_Fingerprint</x:v>
      </x:c>
      <x:c r="B16" s="21" t="str">
        <x:v>Bearbeitungsstatus</x:v>
      </x:c>
      <x:c r="C16" s="21" t="str">
        <x:v>Owner</x:v>
      </x:c>
      <x:c r="D16" s="21" t="str">
        <x:v>Faelligkeit</x:v>
      </x:c>
      <x:c r="E16" s="21" t="str">
        <x:v>Kommentar</x:v>
      </x:c>
    </x:row>
    <x:row r="17">
      <x:c r="A17" s="18" t="str">
        <x:v>CHK-BLD-01|BLD-20260521-001</x:v>
      </x:c>
      <x:c r="B17" s="18" t="str">
        <x:v>offen</x:v>
      </x:c>
      <x:c r="C17" s="18" t="str">
        <x:v>Nutzer</x:v>
      </x:c>
      <x:c r="D17" s="18" t="str"/>
      <x:c r="E17" s="18" t="str">
        <x:v>Noch nicht bearbeitet</x:v>
      </x:c>
    </x:row>
    <x:row r="18">
      <x:c r="A18" s="18" t="str">
        <x:v>CHK003|TXN-RAW-IMP-20260518-001-000004</x:v>
      </x:c>
      <x:c r="B18" s="18" t="str">
        <x:v>offen</x:v>
      </x:c>
      <x:c r="C18" s="18" t="str">
        <x:v>Nutzer</x:v>
      </x:c>
      <x:c r="D18" s="18" t="str"/>
      <x:c r="E18" s="18" t="str">
        <x:v>Kategorie offen</x:v>
      </x:c>
    </x:row>
    <x:row r="19">
      <x:c r="A19" s="18" t="str">
        <x:v>CHK015|REG001</x:v>
      </x:c>
      <x:c r="B19" s="18" t="str">
        <x:v>offen</x:v>
      </x:c>
      <x:c r="C19" s="18" t="str">
        <x:v>Nutzer</x:v>
      </x:c>
      <x:c r="D19" s="18" t="str"/>
      <x:c r="E19" s="18" t="str">
        <x:v>Regelzahlung noch nicht final entschieden</x:v>
      </x:c>
    </x:row>
    <x:row r="20">
      <x:c r="A20" s="18" t="str">
        <x:v>CHK016|MON202607</x:v>
      </x:c>
      <x:c r="B20" s="18" t="str">
        <x:v>offen</x:v>
      </x:c>
      <x:c r="C20" s="18" t="str">
        <x:v>Nutzer</x:v>
      </x:c>
      <x:c r="D20" s="18" t="str"/>
      <x:c r="E20" s="18" t="str">
        <x:v>Negative Projektionszeile fachlich pruefen</x:v>
      </x:c>
    </x:row>
    <x:row r="23">
      <x:c r="A23" s="55" t="str">
        <x:v>Warnungen Zusammenfassung</x:v>
      </x:c>
      <x:c r="B23" s="55"/>
      <x:c r="C23" s="55"/>
      <x:c r="D23" s="55"/>
      <x:c r="E23" s="55"/>
      <x:c r="F23" s="55"/>
    </x:row>
    <x:row r="24">
      <x:c r="A24" s="57" t="str">
        <x:v>PK: Warnungs_Fingerprint | Update: sicht | ID: WRN</x:v>
      </x:c>
      <x:c r="B24" s="57"/>
      <x:c r="C24" s="57"/>
      <x:c r="D24" s="57"/>
      <x:c r="E24" s="57"/>
      <x:c r="F24" s="57"/>
    </x:row>
    <x:row r="25" ht="25.5" customHeight="1">
      <x:c r="A25" s="21" t="str">
        <x:v>Warnungs_Fingerprint</x:v>
      </x:c>
      <x:c r="B25" s="21" t="str">
        <x:v>Titel</x:v>
      </x:c>
      <x:c r="C25" s="21" t="str">
        <x:v>Schweregrad</x:v>
      </x:c>
      <x:c r="D25" s="21" t="str">
        <x:v>Bearbeitungsstatus</x:v>
      </x:c>
      <x:c r="E25" s="21" t="str">
        <x:v>Naechste_Aktion</x:v>
      </x:c>
      <x:c r="F25" s="21" t="str">
        <x:v>Status</x:v>
      </x:c>
    </x:row>
    <x:row r="26">
      <x:c r="A26" s="18" t="str">
        <x:v>CHK-BLD-01|BLD-20260521-001</x:v>
      </x:c>
      <x:c r="B26" s="18" t="str">
        <x:v>Workbook-Verifikation noch nicht bestanden</x:v>
      </x:c>
      <x:c r="C26" s="18" t="str">
        <x:v>Fehler</x:v>
      </x:c>
      <x:c r="D26" s="18" t="str">
        <x:v>offen</x:v>
      </x:c>
      <x:c r="E26" s="18" t="str">
        <x:v>Build/Verifier ausfuehren</x:v>
      </x:c>
      <x:c r="F26" s="18" t="str">
        <x:v>offen</x:v>
      </x:c>
    </x:row>
    <x:row r="27">
      <x:c r="A27" s="18" t="str">
        <x:v>CHK003|TXN-RAW-IMP-20260518-001-000004</x:v>
      </x:c>
      <x:c r="B27" s="18" t="str">
        <x:v>Buchung mit offener Kategorie</x:v>
      </x:c>
      <x:c r="C27" s="18" t="str">
        <x:v>Warnung</x:v>
      </x:c>
      <x:c r="D27" s="18" t="str">
        <x:v>offen</x:v>
      </x:c>
      <x:c r="E27" s="18" t="str">
        <x:v>Kategorie pruefen</x:v>
      </x:c>
      <x:c r="F27" s="18" t="str">
        <x:v>offen</x:v>
      </x:c>
    </x:row>
    <x:row r="28">
      <x:c r="A28" s="18" t="str">
        <x:v>CHK015|REG001</x:v>
      </x:c>
      <x:c r="B28" s="18" t="str">
        <x:v>Prognose nutzt unbestaetigte Regelzahlung</x:v>
      </x:c>
      <x:c r="C28" s="18" t="str">
        <x:v>Warnung</x:v>
      </x:c>
      <x:c r="D28" s="18" t="str">
        <x:v>offen</x:v>
      </x:c>
      <x:c r="E28" s="18" t="str">
        <x:v>Regelzahlung im Review bestaetigen oder verwerfen</x:v>
      </x:c>
      <x:c r="F28" s="18" t="str">
        <x:v>offen</x:v>
      </x:c>
    </x:row>
    <x:row r="29">
      <x:c r="A29" s="18" t="str">
        <x:v>CHK016|MON202607</x:v>
      </x:c>
      <x:c r="B29" s="18" t="str">
        <x:v>Zeitachse faellt im Standardszenario unter null</x:v>
      </x:c>
      <x:c r="C29" s="18" t="str">
        <x:v>Warnung</x:v>
      </x:c>
      <x:c r="D29" s="18" t="str">
        <x:v>offen</x:v>
      </x:c>
      <x:c r="E29" s="18" t="str">
        <x:v>Ausgabenannahme und Liquiditaetsreserve pruefen</x:v>
      </x:c>
      <x:c r="F29" s="18" t="str">
        <x:v>offen</x:v>
      </x:c>
    </x:row>
  </x:sheetData>
  <x:mergeCells>
    <x:mergeCell ref="A1:H1"/>
    <x:mergeCell ref="A4:J4"/>
    <x:mergeCell ref="A5:J5"/>
    <x:mergeCell ref="A14:E14"/>
    <x:mergeCell ref="A15:E15"/>
    <x:mergeCell ref="A23:F23"/>
    <x:mergeCell ref="A24:F24"/>
  </x:mergeCells>
  <x:dataValidations count="4">
    <x:dataValidation type="list" allowBlank="1" showDropDown="0" sqref="H7:H57">
      <x:formula1>"offen,belegt,geprueft,geschaetzt,inaktiv"</x:formula1>
    </x:dataValidation>
    <x:dataValidation type="list" allowBlank="1" showDropDown="0" sqref="B17:B67">
      <x:formula1>"offen,in_arbeit,erledigt,verworfen"</x:formula1>
    </x:dataValidation>
    <x:dataValidation type="list" allowBlank="1" showDropDown="0" sqref="D26:D76">
      <x:formula1>"offen,in_arbeit,erledigt,verworfen"</x:formula1>
    </x:dataValidation>
    <x:dataValidation type="list" allowBlank="1" showDropDown="0" sqref="F26:F76">
      <x:formula1>"offen,belegt,geprueft,geschaetzt,inaktiv"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9ad129e8fd264105"/>
    <x:tablePart xmlns:r="http://schemas.openxmlformats.org/officeDocument/2006/relationships" r:id="Rf58448eafee04481"/>
    <x:tablePart xmlns:r="http://schemas.openxmlformats.org/officeDocument/2006/relationships" r:id="Ra9782fc05e5249f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3.329999923706055" hidden="0" customWidth="1"/>
    <x:col min="13" max="13" width="12.220000267028809" hidden="0" customWidth="1"/>
    <x:col min="14" max="14" width="12.220000267028809" hidden="0" customWidth="1"/>
    <x:col min="15" max="15" width="25.559999465942383" hidden="0" customWidth="1"/>
  </x:cols>
  <x:sheetData>
    <x:row r="1" ht="25.5" customHeight="1">
      <x:c r="A1" s="29" t="str">
        <x:v>73_Agent_Vorschlaege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Nur entscheidungspflichtige Vorschlaege, ke...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Agent Vorschlaege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</x:row>
    <x:row r="5">
      <x:c r="A5" s="57" t="str">
        <x:v>PK: Vorschlag_ID | Update: vorschlag_manuell | ID: SUG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</x:row>
    <x:row r="6" ht="25.5" customHeight="1">
      <x:c r="A6" s="21" t="str">
        <x:v>Vorschlag_ID</x:v>
      </x:c>
      <x:c r="B6" s="21" t="str">
        <x:v>Vorschlag_Fingerprint</x:v>
      </x:c>
      <x:c r="C6" s="21" t="str">
        <x:v>Lauf_ID</x:v>
      </x:c>
      <x:c r="D6" s="21" t="str">
        <x:v>Methodik_ID</x:v>
      </x:c>
      <x:c r="E6" s="21" t="str">
        <x:v>Vorschlagstyp</x:v>
      </x:c>
      <x:c r="F6" s="21" t="str">
        <x:v>Betroffene_Tabelle</x:v>
      </x:c>
      <x:c r="G6" s="21" t="str">
        <x:v>Betroffene_ID</x:v>
      </x:c>
      <x:c r="H6" s="21" t="str">
        <x:v>Empfohlene_Aktion</x:v>
      </x:c>
      <x:c r="I6" s="21" t="str">
        <x:v>Begruendung</x:v>
      </x:c>
      <x:c r="J6" s="21" t="str">
        <x:v>Konfidenz</x:v>
      </x:c>
      <x:c r="K6" s="21" t="str">
        <x:v>Prioritaet</x:v>
      </x:c>
      <x:c r="L6" s="21" t="str">
        <x:v>Status</x:v>
      </x:c>
      <x:c r="M6" s="21" t="str">
        <x:v>Umsetzung_Eindeutig</x:v>
      </x:c>
      <x:c r="N6" s="21" t="str">
        <x:v>Umsetzungsstatus</x:v>
      </x:c>
      <x:c r="O6" s="21" t="str">
        <x:v>Kommentar</x:v>
      </x:c>
    </x:row>
    <x:row r="7">
      <x:c r="A7" s="18" t="str">
        <x:v>SUG-20260521-001</x:v>
      </x:c>
      <x:c r="B7" s="18" t="str">
        <x:v>regelzahlung|miete|kto001</x:v>
      </x:c>
      <x:c r="C7" s="18" t="str">
        <x:v>RUN-20260521-001</x:v>
      </x:c>
      <x:c r="D7" s="18" t="str">
        <x:v>pattern_check_v1</x:v>
      </x:c>
      <x:c r="E7" s="18" t="str">
        <x:v>Regelzahlung</x:v>
      </x:c>
      <x:c r="F7" s="18" t="str">
        <x:v>12_Regelzahlung_Vorschlaege</x:v>
      </x:c>
      <x:c r="G7" s="18" t="str">
        <x:v>SUG-20260521-001</x:v>
      </x:c>
      <x:c r="H7" s="18" t="str">
        <x:v>Miete als Regelzahlung pruefen</x:v>
      </x:c>
      <x:c r="I7" s="18" t="str">
        <x:v>Ein Treffer im Startimport; noch zu wenig fuer Auto-Regel</x:v>
      </x:c>
      <x:c r="J7" s="71" t="n">
        <x:v>0.55</x:v>
      </x:c>
      <x:c r="K7" s="18" t="str">
        <x:v>mittel</x:v>
      </x:c>
      <x:c r="L7" s="18" t="str">
        <x:v>offen</x:v>
      </x:c>
      <x:c r="M7" s="64" t="b">
        <x:v>0</x:v>
      </x:c>
      <x:c r="N7" s="18" t="str">
        <x:v>nicht_beauftragt</x:v>
      </x:c>
      <x:c r="O7" s="18" t="str">
        <x:v>Sichtbarer Vorschlag, nicht umgesetzt</x:v>
      </x:c>
    </x:row>
    <x:row r="8">
      <x:c r="J8" s="72"/>
    </x:row>
  </x:sheetData>
  <x:mergeCells>
    <x:mergeCell ref="A1:H1"/>
    <x:mergeCell ref="A4:O4"/>
    <x:mergeCell ref="A5:O5"/>
  </x:mergeCells>
  <x:dataValidations count="2">
    <x:dataValidation type="list" allowBlank="1" showDropDown="0" sqref="L7:L57">
      <x:formula1>"offen,angenommen,abgelehnt,zurueckgestellt,erledigt,verworfen"</x:formula1>
    </x:dataValidation>
    <x:dataValidation type="list" allowBlank="1" showDropDown="0" sqref="N7:N57">
      <x:formula1>"nicht_beauftragt,auftrag_erstellt,umgesetzt,nicht_umsetzbar"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6e2b2df6ae4c20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3.329999923706055" hidden="0" customWidth="1"/>
    <x:col min="13" max="13" width="12.220000267028809" hidden="0" customWidth="1"/>
    <x:col min="14" max="14" width="13.329999923706055" hidden="0" customWidth="1"/>
    <x:col min="15" max="15" width="13.329999923706055" hidden="0" customWidth="1"/>
    <x:col min="16" max="16" width="12.220000267028809" hidden="0" customWidth="1"/>
    <x:col min="17" max="17" width="12.220000267028809" hidden="0" customWidth="1"/>
    <x:col min="18" max="18" width="12.779999732971191" hidden="0" customWidth="1"/>
    <x:col min="19" max="19" width="12.779999732971191" hidden="0" customWidth="1"/>
    <x:col min="20" max="20" width="12.220000267028809" hidden="0" customWidth="1"/>
    <x:col min="21" max="21" width="12.220000267028809" hidden="0" customWidth="1"/>
    <x:col min="22" max="22" width="13.329999923706055" hidden="0" customWidth="1"/>
    <x:col min="23" max="23" width="13.329999923706055" hidden="0" customWidth="1"/>
    <x:col min="24" max="24" width="13.329999923706055" hidden="0" customWidth="1"/>
    <x:col min="25" max="25" width="12.220000267028809" hidden="0" customWidth="1"/>
    <x:col min="26" max="26" width="13.329999923706055" hidden="0" customWidth="1"/>
    <x:col min="27" max="27" width="12.220000267028809" hidden="0" customWidth="1"/>
    <x:col min="28" max="28" width="25.559999465942383" hidden="0" customWidth="1"/>
    <x:col min="29" max="29" width="12.779999732971191" hidden="0" customWidth="1"/>
  </x:cols>
  <x:sheetData>
    <x:row r="1" ht="25.5" customHeight="1">
      <x:c r="A1" s="29" t="str">
        <x:v>90_Quellen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Quellen, Belege und modellkritische Werte.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Quellen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  <x:c r="AA4" s="55"/>
      <x:c r="AB4" s="55"/>
      <x:c r="AC4" s="55"/>
    </x:row>
    <x:row r="5">
      <x:c r="A5" s="57" t="str">
        <x:v>PK: Quelle_ID | Update: append_only | ID: SRC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  <x:c r="AA5" s="57"/>
      <x:c r="AB5" s="57"/>
      <x:c r="AC5" s="57"/>
    </x:row>
    <x:row r="6" ht="25.5" customHeight="1">
      <x:c r="A6" s="21" t="str">
        <x:v>Quelle_ID</x:v>
      </x:c>
      <x:c r="B6" s="21" t="str">
        <x:v>Quellenart</x:v>
      </x:c>
      <x:c r="C6" s="21" t="str">
        <x:v>Eltern_Quelle_ID</x:v>
      </x:c>
      <x:c r="D6" s="21" t="str">
        <x:v>Eingangskanal</x:v>
      </x:c>
      <x:c r="E6" s="21" t="str">
        <x:v>Originaldateiname</x:v>
      </x:c>
      <x:c r="F6" s="21" t="str">
        <x:v>Dateiname_Modell</x:v>
      </x:c>
      <x:c r="G6" s="21" t="str">
        <x:v>Dateipfad</x:v>
      </x:c>
      <x:c r="H6" s="21" t="str">
        <x:v>Dateihash</x:v>
      </x:c>
      <x:c r="I6" s="21" t="str">
        <x:v>Belegtyp</x:v>
      </x:c>
      <x:c r="J6" s="21" t="str">
        <x:v>Quelle_Anbieter</x:v>
      </x:c>
      <x:c r="K6" s="21" t="str">
        <x:v>Belegdatum</x:v>
      </x:c>
      <x:c r="L6" s="21" t="str">
        <x:v>Standdatum</x:v>
      </x:c>
      <x:c r="M6" s="21" t="str">
        <x:v>Abrufdatum</x:v>
      </x:c>
      <x:c r="N6" s="21" t="str">
        <x:v>Wertname</x:v>
      </x:c>
      <x:c r="O6" s="21" t="str">
        <x:v>Wert</x:v>
      </x:c>
      <x:c r="P6" s="21" t="str">
        <x:v>Einheit</x:v>
      </x:c>
      <x:c r="Q6" s="21" t="str">
        <x:v>Zeitraum</x:v>
      </x:c>
      <x:c r="R6" s="21" t="str">
        <x:v>Zeitraum_von</x:v>
      </x:c>
      <x:c r="S6" s="21" t="str">
        <x:v>Zeitraum_bis</x:v>
      </x:c>
      <x:c r="T6" s="21" t="str">
        <x:v>Seite_Abschnitt</x:v>
      </x:c>
      <x:c r="U6" s="21" t="str">
        <x:v>Zielblatt</x:v>
      </x:c>
      <x:c r="V6" s="21" t="str">
        <x:v>Ziel_ID</x:v>
      </x:c>
      <x:c r="W6" s="21" t="str">
        <x:v>Person_ID</x:v>
      </x:c>
      <x:c r="X6" s="21" t="str">
        <x:v>Objekt_ID</x:v>
      </x:c>
      <x:c r="Y6" s="21" t="str">
        <x:v>Szenario_Relevanz</x:v>
      </x:c>
      <x:c r="Z6" s="21" t="str">
        <x:v>Status</x:v>
      </x:c>
      <x:c r="AA6" s="21" t="str">
        <x:v>Unsicherheit</x:v>
      </x:c>
      <x:c r="AB6" s="21" t="str">
        <x:v>Kommentar</x:v>
      </x:c>
      <x:c r="AC6" s="21" t="str">
        <x:v>Geprueft_am</x:v>
      </x:c>
    </x:row>
    <x:row r="7">
      <x:c r="A7" s="18" t="str">
        <x:v>SRC-20260518-001</x:v>
      </x:c>
      <x:c r="B7" s="18" t="str">
        <x:v>Bankexport</x:v>
      </x:c>
      <x:c r="C7" s="18" t="str"/>
      <x:c r="D7" s="18" t="str">
        <x:v>manuell</x:v>
      </x:c>
      <x:c r="E7" s="18" t="str">
        <x:v>girokonto_startimport.csv</x:v>
      </x:c>
      <x:c r="F7" s="18" t="str">
        <x:v>girokonto_startimport.csv</x:v>
      </x:c>
      <x:c r="G7" s="18" t="str">
        <x:v>workbook-build/tests/fixtures/csv/girokonto_test.csv</x:v>
      </x:c>
      <x:c r="H7" s="18" t="str">
        <x:v>nicht_pruefbar</x:v>
      </x:c>
      <x:c r="I7" s="18" t="str">
        <x:v>CSV</x:v>
      </x:c>
      <x:c r="J7" s="18" t="str">
        <x:v>Bank</x:v>
      </x:c>
      <x:c r="K7" s="58" t="n">
        <x:v>46160</x:v>
      </x:c>
      <x:c r="L7" s="58" t="n">
        <x:v>46160</x:v>
      </x:c>
      <x:c r="M7" s="58" t="n">
        <x:v>46163</x:v>
      </x:c>
      <x:c r="N7" s="67" t="str">
        <x:v>Startsaldo</x:v>
      </x:c>
      <x:c r="O7" s="67" t="n">
        <x:v>4250</x:v>
      </x:c>
      <x:c r="P7" s="18" t="str">
        <x:v>EUR</x:v>
      </x:c>
      <x:c r="Q7" s="18" t="str">
        <x:v>Mai 2026</x:v>
      </x:c>
      <x:c r="R7" s="58" t="n">
        <x:v>46143</x:v>
      </x:c>
      <x:c r="S7" s="58" t="n">
        <x:v>46160</x:v>
      </x:c>
      <x:c r="T7" s="18" t="str">
        <x:v>Export</x:v>
      </x:c>
      <x:c r="U7" s="18" t="str">
        <x:v>03_Konten</x:v>
      </x:c>
      <x:c r="V7" s="18" t="str">
        <x:v>KTO001</x:v>
      </x:c>
      <x:c r="W7" s="18" t="str">
        <x:v>P01</x:v>
      </x:c>
      <x:c r="X7" s="18" t="str"/>
      <x:c r="Y7" s="18" t="str">
        <x:v>S01</x:v>
      </x:c>
      <x:c r="Z7" s="18" t="str">
        <x:v>ungeprueft</x:v>
      </x:c>
      <x:c r="AA7" s="18" t="str">
        <x:v>Fixture fehlt oder Hash noch nicht pruefbar</x:v>
      </x:c>
      <x:c r="AB7" s="18" t="str">
        <x:v>Startquelle fuer Thin-Slice</x:v>
      </x:c>
      <x:c r="AC7" s="58" t="str"/>
    </x:row>
    <x:row r="8">
      <x:c r="K8" s="59"/>
      <x:c r="L8" s="59"/>
      <x:c r="M8" s="59"/>
      <x:c r="N8" s="68"/>
      <x:c r="O8" s="68"/>
      <x:c r="R8" s="59"/>
      <x:c r="S8" s="59"/>
      <x:c r="AC8" s="59"/>
    </x:row>
  </x:sheetData>
  <x:mergeCells>
    <x:mergeCell ref="A1:H1"/>
    <x:mergeCell ref="A4:AC4"/>
    <x:mergeCell ref="A5:AC5"/>
  </x:mergeCells>
  <x:dataValidations count="1">
    <x:dataValidation type="list" allowBlank="1" showDropDown="0" sqref="Z7:Z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6282754b4b47d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2.779999732971191" hidden="0" customWidth="1"/>
    <x:col min="6" max="6" width="12.220000267028809" hidden="0" customWidth="1"/>
    <x:col min="7" max="7" width="13.329999923706055" hidden="0" customWidth="1"/>
    <x:col min="8" max="8" width="12.220000267028809" hidden="0" customWidth="1"/>
    <x:col min="9" max="9" width="13.329999923706055" hidden="0" customWidth="1"/>
    <x:col min="10" max="10" width="25.559999465942383" hidden="0" customWidth="1"/>
    <x:col min="11" max="11" width="12.220000267028809" hidden="0" customWidth="1"/>
    <x:col min="12" max="12" width="13.329999923706055" hidden="0" customWidth="1"/>
    <x:col min="13" max="13" width="25.559999465942383" hidden="0" customWidth="1"/>
    <x:col min="14" max="14" width="25.559999465942383" hidden="0" customWidth="1"/>
    <x:col min="15" max="15" width="25.559999465942383" hidden="0" customWidth="1"/>
  </x:cols>
  <x:sheetData>
    <x:row r="1" ht="25.5" customHeight="1">
      <x:c r="A1" s="29" t="str">
        <x:v>98_Kontrollspur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Minimaler Build- und Verifikationsanker. Ve...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Build Verifikation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</x:row>
    <x:row r="5">
      <x:c r="A5" s="57" t="str">
        <x:v>PK: Build_ID | Update: builder | ID: BLD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</x:row>
    <x:row r="6" ht="25.5" customHeight="1">
      <x:c r="A6" s="21" t="str">
        <x:v>Build_ID</x:v>
      </x:c>
      <x:c r="B6" s="21" t="str">
        <x:v>Builddatum</x:v>
      </x:c>
      <x:c r="C6" s="21" t="str">
        <x:v>Spec_Version</x:v>
      </x:c>
      <x:c r="D6" s="21" t="str">
        <x:v>Workbook_Dateiname</x:v>
      </x:c>
      <x:c r="E6" s="21" t="str">
        <x:v>Workbook_Dateihash</x:v>
      </x:c>
      <x:c r="F6" s="21" t="str">
        <x:v>Builder_Version</x:v>
      </x:c>
      <x:c r="G6" s="21" t="str">
        <x:v>Verifier</x:v>
      </x:c>
      <x:c r="H6" s="21" t="str">
        <x:v>Verifier_Status</x:v>
      </x:c>
      <x:c r="I6" s="21" t="str">
        <x:v>Inspector_Pfad</x:v>
      </x:c>
      <x:c r="J6" s="21" t="str">
        <x:v>Tests_Gesamt</x:v>
      </x:c>
      <x:c r="K6" s="21" t="str">
        <x:v>Tests_Bestanden</x:v>
      </x:c>
      <x:c r="L6" s="21" t="str">
        <x:v>Tests_Fehlgeschlagen</x:v>
      </x:c>
      <x:c r="M6" s="21" t="str">
        <x:v>Offene_Befunde</x:v>
      </x:c>
      <x:c r="N6" s="21" t="str">
        <x:v>Artefakt_ID</x:v>
      </x:c>
      <x:c r="O6" s="21" t="str">
        <x:v>Kommentar</x:v>
      </x:c>
    </x:row>
    <x:row r="7">
      <x:c r="A7" s="18" t="str">
        <x:v>BLD-20260521-001</x:v>
      </x:c>
      <x:c r="B7" s="58" t="n">
        <x:v>46163</x:v>
      </x:c>
      <x:c r="C7" s="18" t="str">
        <x:v>V1-Task1-Startmappe</x:v>
      </x:c>
      <x:c r="D7" s="18" t="str">
        <x:v>Finanzmodell_V1_Startmappe.xlsx</x:v>
      </x:c>
      <x:c r="E7" s="18" t="str">
        <x:v>wird_nach_export_pruefbar</x:v>
      </x:c>
      <x:c r="F7" s="18" t="str">
        <x:v>artifact-tool-builder-v1</x:v>
      </x:c>
      <x:c r="G7" s="18" t="str">
        <x:v>artifact-tool</x:v>
      </x:c>
      <x:c r="H7" s="18" t="str">
        <x:v>nicht_ausgefuehrt</x:v>
      </x:c>
      <x:c r="I7" s="18" t="str">
        <x:v>workbook-build/outputs/finanzmodell-v1-startmappe/previews</x:v>
      </x:c>
      <x:c r="J7" s="18" t="n">
        <x:v>0</x:v>
      </x:c>
      <x:c r="K7" s="67" t="n">
        <x:v>0</x:v>
      </x:c>
      <x:c r="L7" s="18" t="n">
        <x:v>0</x:v>
      </x:c>
      <x:c r="M7" s="18" t="n">
        <x:v>1</x:v>
      </x:c>
      <x:c r="N7" s="18" t="str">
        <x:v>ART-20260521-001</x:v>
      </x:c>
      <x:c r="O7" s="18" t="str">
        <x:v>Startmappe: Struktur gebaut, fachliche Finanzformeln noch nicht implementiert</x:v>
      </x:c>
    </x:row>
    <x:row r="8">
      <x:c r="B8" s="59"/>
      <x:c r="K8" s="68"/>
    </x:row>
    <x:row r="10">
      <x:c r="A10" s="55" t="str">
        <x:v>Agentenlaeufe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</x:row>
    <x:row r="11">
      <x:c r="A11" s="57" t="str">
        <x:v>PK: Lauf_ID | Update: builder_append | ID: RUN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</x:row>
    <x:row r="12" ht="25.5" customHeight="1">
      <x:c r="A12" s="21" t="str">
        <x:v>Lauf_ID</x:v>
      </x:c>
      <x:c r="B12" s="21" t="str">
        <x:v>Laufdatum</x:v>
      </x:c>
      <x:c r="C12" s="21" t="str">
        <x:v>Agentenrolle</x:v>
      </x:c>
      <x:c r="D12" s="21" t="str">
        <x:v>Ausloeser_Typ</x:v>
      </x:c>
      <x:c r="E12" s="21" t="str">
        <x:v>Methodik_ID</x:v>
      </x:c>
      <x:c r="F12" s="21" t="str">
        <x:v>Erlaubte_Zielbereiche</x:v>
      </x:c>
      <x:c r="G12" s="21" t="str">
        <x:v>Geaenderte_Tabellen</x:v>
      </x:c>
      <x:c r="H12" s="21" t="str">
        <x:v>Erzeugte_Vorschlaege</x:v>
      </x:c>
      <x:c r="I12" s="21" t="str">
        <x:v>Erzeugte_Warnhinweise</x:v>
      </x:c>
      <x:c r="J12" s="21" t="str">
        <x:v>Ergebnis</x:v>
      </x:c>
      <x:c r="K12" s="21" t="str">
        <x:v>Compliance_Status</x:v>
      </x:c>
      <x:c r="L12" s="21" t="str">
        <x:v>Artefakt_ID</x:v>
      </x:c>
      <x:c r="M12" s="21" t="str">
        <x:v>Fehler_Hinweis</x:v>
      </x:c>
      <x:c r="N12" s="21" t="str">
        <x:v>Kommentar</x:v>
      </x:c>
    </x:row>
    <x:row r="13">
      <x:c r="A13" s="18" t="str">
        <x:v>RUN-20260521-001</x:v>
      </x:c>
      <x:c r="B13" s="58" t="n">
        <x:v>46163</x:v>
      </x:c>
      <x:c r="C13" s="18" t="str">
        <x:v>Builder</x:v>
      </x:c>
      <x:c r="D13" s="18" t="str">
        <x:v>manuell</x:v>
      </x:c>
      <x:c r="E13" s="18" t="str">
        <x:v>sparring_final_artifact_to_xlsx</x:v>
      </x:c>
      <x:c r="F13" s="18" t="str">
        <x:v>Struktur, Seeds, Kontrollspur</x:v>
      </x:c>
      <x:c r="G13" s="18" t="str">
        <x:v>alle V1-Strukturtafeln</x:v>
      </x:c>
      <x:c r="H13" s="18" t="n">
        <x:v>1</x:v>
      </x:c>
      <x:c r="I13" s="18" t="n">
        <x:v>3</x:v>
      </x:c>
      <x:c r="J13" s="18" t="str">
        <x:v>Startmappe erzeugt</x:v>
      </x:c>
      <x:c r="K13" s="18" t="str">
        <x:v>nicht_pruefbar</x:v>
      </x:c>
      <x:c r="L13" s="18" t="str">
        <x:v>ART-20260521-001</x:v>
      </x:c>
      <x:c r="M13" s="18" t="str"/>
      <x:c r="N13" s="18" t="str">
        <x:v>Keine vollstaendige Agentenplattform</x:v>
      </x:c>
    </x:row>
    <x:row r="14">
      <x:c r="B14" s="59"/>
    </x:row>
    <x:row r="16">
      <x:c r="A16" s="55" t="str">
        <x:v>Artefakt Referenzen</x:v>
      </x:c>
      <x:c r="B16" s="55"/>
      <x:c r="C16" s="55"/>
      <x:c r="D16" s="55"/>
      <x:c r="E16" s="55"/>
      <x:c r="F16" s="55"/>
      <x:c r="G16" s="55"/>
      <x:c r="H16" s="55"/>
      <x:c r="I16" s="55"/>
      <x:c r="J16" s="55"/>
    </x:row>
    <x:row r="17">
      <x:c r="A17" s="57" t="str">
        <x:v>PK: Artefakt_ID | Update: builder_append | ID: ART</x:v>
      </x:c>
      <x:c r="B17" s="57"/>
      <x:c r="C17" s="57"/>
      <x:c r="D17" s="57"/>
      <x:c r="E17" s="57"/>
      <x:c r="F17" s="57"/>
      <x:c r="G17" s="57"/>
      <x:c r="H17" s="57"/>
      <x:c r="I17" s="57"/>
      <x:c r="J17" s="57"/>
    </x:row>
    <x:row r="18" ht="25.5" customHeight="1">
      <x:c r="A18" s="21" t="str">
        <x:v>Artefakt_ID</x:v>
      </x:c>
      <x:c r="B18" s="21" t="str">
        <x:v>Artefakt_Typ</x:v>
      </x:c>
      <x:c r="C18" s="21" t="str">
        <x:v>Pfad</x:v>
      </x:c>
      <x:c r="D18" s="21" t="str">
        <x:v>Dateihash</x:v>
      </x:c>
      <x:c r="E18" s="21" t="str">
        <x:v>Erzeugt_am</x:v>
      </x:c>
      <x:c r="F18" s="21" t="str">
        <x:v>Erzeugt_durch</x:v>
      </x:c>
      <x:c r="G18" s="21" t="str">
        <x:v>Bezug_ID</x:v>
      </x:c>
      <x:c r="H18" s="21" t="str">
        <x:v>Aufbewahrung</x:v>
      </x:c>
      <x:c r="I18" s="21" t="str">
        <x:v>Status</x:v>
      </x:c>
      <x:c r="J18" s="21" t="str">
        <x:v>Kommentar</x:v>
      </x:c>
    </x:row>
    <x:row r="19">
      <x:c r="A19" s="18" t="str">
        <x:v>ART-20260521-001</x:v>
      </x:c>
      <x:c r="B19" s="18" t="str">
        <x:v>Sparring FINAL_ARTIFACT</x:v>
      </x:c>
      <x:c r="C19" s="18" t="str">
        <x:v>sparring/finanzmodell-excel-spezifikation/FINAL_ARTIFACT</x:v>
      </x:c>
      <x:c r="D19" s="18" t="str">
        <x:v>nicht_pruefbar</x:v>
      </x:c>
      <x:c r="E19" s="58" t="n">
        <x:v>46163</x:v>
      </x:c>
      <x:c r="F19" s="18" t="str">
        <x:v>Codex</x:v>
      </x:c>
      <x:c r="G19" s="18" t="str">
        <x:v>BLD-20260521-001</x:v>
      </x:c>
      <x:c r="H19" s="18" t="str">
        <x:v>Projektordner</x:v>
      </x:c>
      <x:c r="I19" s="18" t="str">
        <x:v>belegt</x:v>
      </x:c>
      <x:c r="J19" s="18" t="str">
        <x:v>Quelle fuer diese Startmappe</x:v>
      </x:c>
    </x:row>
    <x:row r="20">
      <x:c r="E20" s="59"/>
    </x:row>
  </x:sheetData>
  <x:mergeCells>
    <x:mergeCell ref="A1:H1"/>
    <x:mergeCell ref="A4:O4"/>
    <x:mergeCell ref="A5:O5"/>
    <x:mergeCell ref="A10:N10"/>
    <x:mergeCell ref="A11:N11"/>
    <x:mergeCell ref="A16:J16"/>
    <x:mergeCell ref="A17:J17"/>
  </x:mergeCells>
  <x:dataValidations count="3">
    <x:dataValidation type="list" allowBlank="1" showDropDown="0" sqref="H7:H57">
      <x:formula1>"nicht_ausgefuehrt,bestanden,bestanden_mit_warnung,fehlgeschlagen,nicht_pruefbar"</x:formula1>
    </x:dataValidation>
    <x:dataValidation type="list" allowBlank="1" showDropDown="0" sqref="K13:K63">
      <x:formula1>"nicht_ausgefuehrt,bestanden,bestanden_mit_warnung,fehlgeschlagen,nicht_pruefbar"</x:formula1>
    </x:dataValidation>
    <x:dataValidation type="list" allowBlank="1" showDropDown="0" sqref="I19:I69">
      <x:formula1>"offen,belegt,geprueft,geschaetzt,inaktiv"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a3149cb539d844d6"/>
    <x:tablePart xmlns:r="http://schemas.openxmlformats.org/officeDocument/2006/relationships" r:id="R37423fdfdc6e485d"/>
    <x:tablePart xmlns:r="http://schemas.openxmlformats.org/officeDocument/2006/relationships" r:id="Rb0dec03b4585414f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25.559999465942383" hidden="0" customWidth="1"/>
    <x:col min="4" max="4" width="12.220000267028809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2.220000267028809" hidden="0" customWidth="1"/>
    <x:col min="11" max="11" width="13.329999923706055" hidden="0" customWidth="1"/>
    <x:col min="12" max="12" width="12.220000267028809" hidden="0" customWidth="1"/>
    <x:col min="13" max="13" width="25.559999465942383" hidden="0" customWidth="1"/>
    <x:col min="14" max="14" width="25.559999465942383" hidden="0" customWidth="1"/>
  </x:cols>
  <x:sheetData>
    <x:row r="1" ht="25.5" customHeight="1">
      <x:c r="A1" s="29" t="str">
        <x:v>99_Checks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Live-Pruefungen, Statusbegruendung und Ruec...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Checks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</x:row>
    <x:row r="5">
      <x:c r="A5" s="57" t="str">
        <x:v>PK: Check_ID | Update: berechnet_plus_manuell | ID: CHK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</x:row>
    <x:row r="6" ht="25.5" customHeight="1">
      <x:c r="A6" s="21" t="str">
        <x:v>Check_ID</x:v>
      </x:c>
      <x:c r="B6" s="21" t="str">
        <x:v>Checkgruppe</x:v>
      </x:c>
      <x:c r="C6" s="21" t="str">
        <x:v>Beschreibung</x:v>
      </x:c>
      <x:c r="D6" s="21" t="str">
        <x:v>Schweregrad</x:v>
      </x:c>
      <x:c r="E6" s="21" t="str">
        <x:v>Status</x:v>
      </x:c>
      <x:c r="F6" s="21" t="str">
        <x:v>Betroffene_Quelle_ID</x:v>
      </x:c>
      <x:c r="G6" s="21" t="str">
        <x:v>Betroffene_Annahme_ID</x:v>
      </x:c>
      <x:c r="H6" s="21" t="str">
        <x:v>Betroffener_Import_ID</x:v>
      </x:c>
      <x:c r="I6" s="21" t="str">
        <x:v>Betroffener_Kontrollspur_ID</x:v>
      </x:c>
      <x:c r="J6" s="21" t="str">
        <x:v>Betroffene_Tabelle</x:v>
      </x:c>
      <x:c r="K6" s="21" t="str">
        <x:v>Betroffene_ID</x:v>
      </x:c>
      <x:c r="L6" s="21" t="str">
        <x:v>Ausloeser</x:v>
      </x:c>
      <x:c r="M6" s="21" t="str">
        <x:v>Naechste_Aktion</x:v>
      </x:c>
      <x:c r="N6" s="21" t="str">
        <x:v>Kommentar</x:v>
      </x:c>
    </x:row>
    <x:row r="7">
      <x:c r="A7" s="18" t="str">
        <x:v>CHK-BLD-01</x:v>
      </x:c>
      <x:c r="B7" s="18" t="str">
        <x:v>Build</x:v>
      </x:c>
      <x:c r="C7" s="18" t="str">
        <x:v>letzte Workbook-Verifikation fehlt oder ist fehlgeschlagen</x:v>
      </x:c>
      <x:c r="D7" s="18" t="str">
        <x:v>Fehler</x:v>
      </x:c>
      <x:c r="E7" s="18" t="str">
        <x:v>offen</x:v>
      </x:c>
      <x:c r="F7" s="18" t="str"/>
      <x:c r="G7" s="18" t="str"/>
      <x:c r="H7" s="18" t="str"/>
      <x:c r="I7" s="18" t="str">
        <x:v>BLD-20260521-001</x:v>
      </x:c>
      <x:c r="J7" s="18" t="str">
        <x:v>98_Build_Verifikation</x:v>
      </x:c>
      <x:c r="K7" s="18" t="str">
        <x:v>BLD-20260521-001</x:v>
      </x:c>
      <x:c r="L7" s="18" t="str">
        <x:v>Verifier_Status nicht_ausgefuehrt</x:v>
      </x:c>
      <x:c r="M7" s="18" t="str">
        <x:v>Build und Verifikation ausfuehren</x:v>
      </x:c>
      <x:c r="N7" s="18" t="str">
        <x:v>Begruendet roten Startstatus</x:v>
      </x:c>
    </x:row>
    <x:row r="8">
      <x:c r="A8" s="18" t="str">
        <x:v>CHK003</x:v>
      </x:c>
      <x:c r="B8" s="18" t="str">
        <x:v>Kategorisierung</x:v>
      </x:c>
      <x:c r="C8" s="18" t="str">
        <x:v>Buchungen ohne Kategorie</x:v>
      </x:c>
      <x:c r="D8" s="18" t="str">
        <x:v>Warnung</x:v>
      </x:c>
      <x:c r="E8" s="18" t="str">
        <x:v>offen</x:v>
      </x:c>
      <x:c r="F8" s="18" t="str"/>
      <x:c r="G8" s="18" t="str"/>
      <x:c r="H8" s="18" t="str">
        <x:v>IMP-20260518-001</x:v>
      </x:c>
      <x:c r="I8" s="18" t="str"/>
      <x:c r="J8" s="18" t="str">
        <x:v>11_Umsaetze_Modell</x:v>
      </x:c>
      <x:c r="K8" s="18" t="str">
        <x:v>TXN-RAW-IMP-20260518-001-000004</x:v>
      </x:c>
      <x:c r="L8" s="18" t="str">
        <x:v>Kategorie_ID = KAT013</x:v>
      </x:c>
      <x:c r="M8" s="18" t="str">
        <x:v>Kategorie pruefen</x:v>
      </x:c>
      <x:c r="N8" s="18" t="str">
        <x:v>Mindestens eine offene Kategorie sichtbar</x:v>
      </x:c>
    </x:row>
    <x:row r="9">
      <x:c r="A9" s="18" t="str">
        <x:v>CHK012</x:v>
      </x:c>
      <x:c r="B9" s="18" t="str">
        <x:v>Annahmen</x:v>
      </x:c>
      <x:c r="C9" s="18" t="str">
        <x:v>dashboardrelevante Platzhalter-Annahme</x:v>
      </x:c>
      <x:c r="D9" s="18" t="str">
        <x:v>Warnung</x:v>
      </x:c>
      <x:c r="E9" s="18" t="str">
        <x:v>offen</x:v>
      </x:c>
      <x:c r="F9" s="18" t="str"/>
      <x:c r="G9" s="18" t="str">
        <x:v>ASM002</x:v>
      </x:c>
      <x:c r="H9" s="18" t="str"/>
      <x:c r="I9" s="18" t="str"/>
      <x:c r="J9" s="18" t="str">
        <x:v>42_Annahmen</x:v>
      </x:c>
      <x:c r="K9" s="18" t="str">
        <x:v>ASM002</x:v>
      </x:c>
      <x:c r="L9" s="18" t="str">
        <x:v>Status platzhalter</x:v>
      </x:c>
      <x:c r="M9" s="18" t="str">
        <x:v>Annahme belegen oder ersetzen</x:v>
      </x:c>
      <x:c r="N9" s="18" t="str">
        <x:v>Variable Ausgaben noch nicht belastbar</x:v>
      </x:c>
    </x:row>
    <x:row r="10">
      <x:c r="A10" s="18" t="str">
        <x:v>CHK015</x:v>
      </x:c>
      <x:c r="B10" s="18" t="str">
        <x:v>Prognose</x:v>
      </x:c>
      <x:c r="C10" s="18" t="str">
        <x:v>Cashflow-Prognose nutzt unbestaetigte Regelzahlung</x:v>
      </x:c>
      <x:c r="D10" s="18" t="str">
        <x:v>Warnung</x:v>
      </x:c>
      <x:c r="E10" s="18" t="str">
        <x:v>offen</x:v>
      </x:c>
      <x:c r="F10" s="18" t="str"/>
      <x:c r="G10" s="18" t="str"/>
      <x:c r="H10" s="18" t="str"/>
      <x:c r="I10" s="18" t="str"/>
      <x:c r="J10" s="18" t="str">
        <x:v>12_Regelzahlungen</x:v>
      </x:c>
      <x:c r="K10" s="18" t="str">
        <x:v>REG001</x:v>
      </x:c>
      <x:c r="L10" s="18" t="str">
        <x:v>Status offen und Matching_Status kandidat</x:v>
      </x:c>
      <x:c r="M10" s="18" t="str">
        <x:v>Regelzahlung im Review bestaetigen oder verwerfen</x:v>
      </x:c>
      <x:c r="N10" s="18" t="str">
        <x:v>CF002 und Reichweite bleiben bis dahin teilberechnet</x:v>
      </x:c>
    </x:row>
    <x:row r="11">
      <x:c r="A11" s="18" t="str">
        <x:v>CHK016</x:v>
      </x:c>
      <x:c r="B11" s="18" t="str">
        <x:v>Prognose</x:v>
      </x:c>
      <x:c r="C11" s="18" t="str">
        <x:v>Zeitachse faellt im Standardszenario unter null</x:v>
      </x:c>
      <x:c r="D11" s="18" t="str">
        <x:v>Warnung</x:v>
      </x:c>
      <x:c r="E11" s="18" t="str">
        <x:v>offen</x:v>
      </x:c>
      <x:c r="F11" s="18" t="str"/>
      <x:c r="G11" s="18" t="str">
        <x:v>ASM002</x:v>
      </x:c>
      <x:c r="H11" s="18" t="str"/>
      <x:c r="I11" s="18" t="str"/>
      <x:c r="J11" s="18" t="str">
        <x:v>43_Zeitachse</x:v>
      </x:c>
      <x:c r="K11" s="18" t="str">
        <x:v>MON202607</x:v>
      </x:c>
      <x:c r="L11" s="18" t="str">
        <x:v>Kumulierte_Liquiditaet &lt; 0</x:v>
      </x:c>
      <x:c r="M11" s="18" t="str">
        <x:v>Ausgabenannahme, Regelzahlungen und Reserve pruefen</x:v>
      </x:c>
      <x:c r="N11" s="18" t="str">
        <x:v>Reichweite von 0,6 Monaten ist ein frueher Warnhinweis</x:v>
      </x:c>
    </x:row>
    <x:row r="12">
      <x:c r="A12" s="18" t="str">
        <x:v>CHK010</x:v>
      </x:c>
      <x:c r="B12" s="18" t="str">
        <x:v>Quellen</x:v>
      </x:c>
      <x:c r="C12" s="18" t="str">
        <x:v>kritischer Wert ohne pruefbare Quelle</x:v>
      </x:c>
      <x:c r="D12" s="18" t="str">
        <x:v>Warnung</x:v>
      </x:c>
      <x:c r="E12" s="18" t="str">
        <x:v>offen</x:v>
      </x:c>
      <x:c r="F12" s="18" t="str">
        <x:v>SRC-20260518-001</x:v>
      </x:c>
      <x:c r="G12" s="18" t="str"/>
      <x:c r="H12" s="18" t="str"/>
      <x:c r="I12" s="18" t="str"/>
      <x:c r="J12" s="18" t="str">
        <x:v>90_Quellen</x:v>
      </x:c>
      <x:c r="K12" s="18" t="str">
        <x:v>SRC-20260518-001</x:v>
      </x:c>
      <x:c r="L12" s="18" t="str">
        <x:v>Hash nicht_pruefbar</x:v>
      </x:c>
      <x:c r="M12" s="18" t="str">
        <x:v>Fixture/Quelle pruefen</x:v>
      </x:c>
      <x:c r="N12" s="18" t="str">
        <x:v>Startquelle ist angelegt, aber noch nicht verifiziert</x:v>
      </x:c>
    </x:row>
    <x:row r="13">
      <x:c r="A13" s="18" t="str">
        <x:v>CHK017</x:v>
      </x:c>
      <x:c r="B13" s="18" t="str">
        <x:v>Basisdaten</x:v>
      </x:c>
      <x:c r="C13" s="18" t="str">
        <x:v>Geburtsdatum oder Renteneintrittsalter fehlt</x:v>
      </x:c>
      <x:c r="D13" s="18" t="str">
        <x:v>Warnung</x:v>
      </x:c>
      <x:c r="E13" s="18" t="str">
        <x:v>offen</x:v>
      </x:c>
      <x:c r="F13" s="18" t="str"/>
      <x:c r="G13" s="18" t="str"/>
      <x:c r="H13" s="18" t="str"/>
      <x:c r="I13" s="18" t="str"/>
      <x:c r="J13" s="18" t="str">
        <x:v>01_Personen</x:v>
      </x:c>
      <x:c r="K13" s="18" t="str">
        <x:v>P01</x:v>
      </x:c>
      <x:c r="L13" s="18" t="str">
        <x:v>Geburtsdatum leer</x:v>
      </x:c>
      <x:c r="M13" s="18" t="str">
        <x:v>Personenstammdaten ergaenzen</x:v>
      </x:c>
      <x:c r="N13" s="18" t="str">
        <x:v>Noch keine Renten-/Zeitachsenwirkung</x:v>
      </x:c>
    </x:row>
  </x:sheetData>
  <x:mergeCells>
    <x:mergeCell ref="A1:H1"/>
    <x:mergeCell ref="A4:N4"/>
    <x:mergeCell ref="A5:N5"/>
  </x:mergeCells>
  <x:dataValidations count="1">
    <x:dataValidation type="list" allowBlank="1" showDropDown="0" sqref="E7:E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5e32f1700942e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25.559999465942383" hidden="0" customWidth="1"/>
    <x:col min="3" max="3" width="25.559999465942383" hidden="0" customWidth="1"/>
  </x:cols>
  <x:sheetData>
    <x:row r="1">
      <x:c r="A1" s="76" t="str">
        <x:v>99_Review_Apply_Audit</x:v>
      </x:c>
      <x:c r="B1" s="76"/>
      <x:c r="C1" s="76"/>
    </x:row>
    <x:row r="3">
      <x:c r="A3" s="80" t="str">
        <x:v>Kennzahl</x:v>
      </x:c>
      <x:c r="B3" s="80" t="str">
        <x:v>Wert</x:v>
      </x:c>
      <x:c r="C3" s="80" t="str">
        <x:v>Hinweis</x:v>
      </x:c>
    </x:row>
    <x:row r="4">
      <x:c r="A4" s="85" t="str">
        <x:v>financeWorkbookPath</x:v>
      </x:c>
      <x:c r="B4" s="85" t="str">
        <x:v>./outputs/finanzmodell-v1-startmappe/Finanzmodell_V1_Startmappe.xlsx</x:v>
      </x:c>
      <x:c r="C4" s="85" t="str">
        <x:v>Quelle der Finanzmodell-Kopie</x:v>
      </x:c>
    </x:row>
    <x:row r="5">
      <x:c r="A5" s="85" t="str">
        <x:v>decisionPlanPath</x:v>
      </x:c>
      <x:c r="B5" s="85" t="str">
        <x:v>./outputs/finanzmodell-v1-startmappe/Finanzmodell_V1_Review_Entscheidungsplan.xlsx</x:v>
      </x:c>
      <x:c r="C5" s="85" t="str">
        <x:v>Angewendeter Entscheidungsplan</x:v>
      </x:c>
    </x:row>
    <x:row r="6">
      <x:c r="A6" s="85" t="str">
        <x:v>outputPath</x:v>
      </x:c>
      <x:c r="B6" s="85" t="str">
        <x:v>./outputs/finanzmodell-v1-startmappe/Finanzmodell_V1_Applied_Review_NoOp.xlsx</x:v>
      </x:c>
      <x:c r="C6" s="85" t="str">
        <x:v>Erzeugte Finanzmodell-Kopie</x:v>
      </x:c>
    </x:row>
    <x:row r="7">
      <x:c r="A7" s="85" t="str">
        <x:v>validationValid</x:v>
      </x:c>
      <x:c r="B7" s="86" t="b">
        <x:v>1</x:v>
      </x:c>
      <x:c r="C7" s="85" t="str"/>
    </x:row>
    <x:row r="8">
      <x:c r="A8" s="85" t="str">
        <x:v>validationWarnings</x:v>
      </x:c>
      <x:c r="B8" s="85" t="n">
        <x:v>0</x:v>
      </x:c>
      <x:c r="C8" s="85" t="str"/>
    </x:row>
    <x:row r="9">
      <x:c r="A9" s="85" t="str">
        <x:v>plannedRegularPayments</x:v>
      </x:c>
      <x:c r="B9" s="85" t="n">
        <x:v>0</x:v>
      </x:c>
      <x:c r="C9" s="85" t="str">
        <x:v>Regelzahlungen im Entscheidungsplan</x:v>
      </x:c>
    </x:row>
    <x:row r="10">
      <x:c r="A10" s="85" t="str">
        <x:v>appliedRegularPayments</x:v>
      </x:c>
      <x:c r="B10" s="85" t="n">
        <x:v>0</x:v>
      </x:c>
      <x:c r="C10" s="85" t="str">
        <x:v>Tatsaechlich geschriebene Regelzahlungen</x:v>
      </x:c>
    </x:row>
    <x:row r="11">
      <x:c r="A11" s="85" t="str">
        <x:v>layoutExpansionAllowed</x:v>
      </x:c>
      <x:c r="B11" s="86" t="b">
        <x:v>0</x:v>
      </x:c>
      <x:c r="C11" s="85" t="str">
        <x:v>Explizite Erlaubnis fuer Layout-Erweiterung</x:v>
      </x:c>
    </x:row>
    <x:row r="12">
      <x:c r="A12" s="85" t="str">
        <x:v>layoutExpandedRows</x:v>
      </x:c>
      <x:c r="B12" s="85" t="n">
        <x:v>0</x:v>
      </x:c>
      <x:c r="C12" s="85" t="str">
        <x:v>Eingefuegte/verschobene Zeilen in Kopie</x:v>
      </x:c>
    </x:row>
    <x:row r="13">
      <x:c r="A13" s="85" t="str">
        <x:v>appendRow</x:v>
      </x:c>
      <x:c r="B13" s="85" t="n">
        <x:v>8</x:v>
      </x:c>
      <x:c r="C13" s="85" t="str">
        <x:v>Startzeile fuer Regelzahlungs-Write</x:v>
      </x:c>
    </x:row>
    <x:row r="14">
      <x:c r="A14" s="85" t="str">
        <x:v>availableBlankRows</x:v>
      </x:c>
      <x:c r="B14" s="85" t="n">
        <x:v>2</x:v>
      </x:c>
      <x:c r="C14" s="85" t="str">
        <x:v>Vorhandene sichere Leerzeilen</x:v>
      </x:c>
    </x:row>
    <x:row r="15">
      <x:c r="A15" s="85" t="str">
        <x:v>requiresRowInsertion</x:v>
      </x:c>
      <x:c r="B15" s="86" t="b">
        <x:v>0</x:v>
      </x:c>
      <x:c r="C15" s="85" t="str">
        <x:v>Preflight-Einschaetzung</x:v>
      </x:c>
    </x:row>
  </x:sheetData>
  <x:mergeCells>
    <x:mergeCell ref="A1:C1"/>
  </x:mergeCells>
  <x:pageMargins left="0.7" right="0.7" top="0.75" bottom="0.75" header="0.3" footer="0.3"/>
</x:worksheet>
</file>
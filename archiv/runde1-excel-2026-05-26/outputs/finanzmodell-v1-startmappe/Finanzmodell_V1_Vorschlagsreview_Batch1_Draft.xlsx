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ca76c1011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8f62cb95ca49a9"/>
    <x:sheet xmlns:r="http://schemas.openxmlformats.org/officeDocument/2006/relationships" name="Review_Liste" sheetId="2" r:id="R1305de3d950a4247"/>
    <x:sheet xmlns:r="http://schemas.openxmlformats.org/officeDocument/2006/relationships" name="Regelzahlungen_Roh" sheetId="3" r:id="R96f4298a8b0142d6"/>
    <x:sheet xmlns:r="http://schemas.openxmlformats.org/officeDocument/2006/relationships" name="Agentvorschlaege_Roh" sheetId="4" r:id="R0eda2c86b00a4814"/>
    <x:sheet xmlns:r="http://schemas.openxmlformats.org/officeDocument/2006/relationships" name="Review_Listen" sheetId="5" r:id="Raf097c9fcfc74902"/>
    <x:sheet xmlns:r="http://schemas.openxmlformats.org/officeDocument/2006/relationships" name="Batch1_Draft_Audit" sheetId="6" r:id="Reca912ba720c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0"/>
      <x:color rgb="FFFFFFFF"/>
      <x:name val="Carlito"/>
    </x:font>
    <x:font>
      <x:sz val="10"/>
      <x:color rgb="FF334155"/>
      <x:name val="Aptos"/>
    </x:font>
    <x:font>
      <x:b/>
      <x:sz val="10"/>
      <x:color rgb="FFB91C1C"/>
      <x:name val="Aptos"/>
    </x:font>
    <x:font>
      <x:b/>
      <x:sz val="14"/>
      <x:color rgb="FF12304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e1cbe83274142" /><Relationship Type="http://schemas.openxmlformats.org/officeDocument/2006/relationships/theme" Target="/xl/theme/theme1.xml" Id="R75b0661ea9754afd" /><Relationship Type="http://schemas.microsoft.com/office/2022/11/relationships/FeaturePropertyBag" Target="/xl/featurePropertyBag/featurePropertyBag.xml" Id="R8a42943c51324b00" /><Relationship Type="http://schemas.openxmlformats.org/officeDocument/2006/relationships/sharedStrings" Target="/xl/sharedStrings.xml" Id="R98cc9583e50746c7" /><Relationship Type="http://schemas.openxmlformats.org/officeDocument/2006/relationships/worksheet" Target="/xl/worksheets/sheet1.xml" Id="Re28f62cb95ca49a9" /><Relationship Type="http://schemas.openxmlformats.org/officeDocument/2006/relationships/worksheet" Target="/xl/worksheets/sheet2.xml" Id="R1305de3d950a4247" /><Relationship Type="http://schemas.openxmlformats.org/officeDocument/2006/relationships/worksheet" Target="/xl/worksheets/sheet3.xml" Id="R96f4298a8b0142d6" /><Relationship Type="http://schemas.openxmlformats.org/officeDocument/2006/relationships/worksheet" Target="/xl/worksheets/sheet4.xml" Id="R0eda2c86b00a4814" /><Relationship Type="http://schemas.openxmlformats.org/officeDocument/2006/relationships/worksheet" Target="/xl/worksheets/sheet5.xml" Id="Raf097c9fcfc74902" /><Relationship Type="http://schemas.openxmlformats.org/officeDocument/2006/relationships/worksheet" Target="/xl/worksheets/sheet6.xml" Id="Reca912ba720c4c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109999656677246" hidden="0" customWidth="1"/>
    <x:col min="3" max="3" width="37.77999877929687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31.5" customHeight="1">
      <x:c r="A1" s="4" t="str">
        <x:v>Vorschlagsreview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Arbeitsmappe zur Entscheidung ueber Agentenvorschlaege. Diese Datei setzt nichts um.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3" t="str">
        <x:v>Bereich</x:v>
      </x:c>
      <x:c r="B4" s="13" t="str">
        <x:v>Anzahl</x:v>
      </x:c>
      <x:c r="C4" s="13" t="str">
        <x:v>Naechste Aktion</x:v>
      </x:c>
    </x:row>
    <x:row r="5">
      <x:c r="A5" s="17" t="str">
        <x:v>Regelzahlungen</x:v>
      </x:c>
      <x:c r="B5" s="17" t="n">
        <x:v>50</x:v>
      </x:c>
      <x:c r="C5" s="17" t="str">
        <x:v>annehmen, ablehnen oder zusammenfuehren</x:v>
      </x:c>
    </x:row>
    <x:row r="6">
      <x:c r="A6" s="17" t="str">
        <x:v>Transfers</x:v>
      </x:c>
      <x:c r="B6" s="17" t="n">
        <x:v>11</x:v>
      </x:c>
      <x:c r="C6" s="17" t="str">
        <x:v>bestaetigen oder verwerfen</x:v>
      </x:c>
    </x:row>
    <x:row r="7">
      <x:c r="A7" s="17" t="str">
        <x:v>Kategorie-Mappings</x:v>
      </x:c>
      <x:c r="B7" s="17" t="n">
        <x:v>25</x:v>
      </x:c>
      <x:c r="C7" s="17" t="str">
        <x:v>Zielkategorie festlegen</x:v>
      </x:c>
    </x:row>
    <x:row r="8">
      <x:c r="A8" s="19" t="str">
        <x:v>Alle Vorschlaege</x:v>
      </x:c>
      <x:c r="B8" s="19" t="n">
        <x:v>86</x:v>
      </x:c>
      <x:c r="C8" s="19" t="str">
        <x:v>Priorisiert in Review_Liste bearbeiten</x:v>
      </x:c>
    </x:row>
    <x:row r="10" ht="27" customHeight="1">
      <x:c r="A10" s="13" t="str">
        <x:v>Review-Fortschritt</x:v>
      </x:c>
      <x:c r="B10" s="13" t="str">
        <x:v>Wert</x:v>
      </x:c>
      <x:c r="C10" s="13" t="str">
        <x:v>Hinweis</x:v>
      </x:c>
    </x:row>
    <x:row r="11">
      <x:c r="A11" s="17" t="str">
        <x:v>Offen</x:v>
      </x:c>
      <x:c r="B11" s="17" t="n">
        <x:f>COUNTIF(Review_Liste!$A$2:$A$87,"")</x:f>
        <x:v>0</x:v>
      </x:c>
      <x:c r="C11" s="17" t="str">
        <x:v>Noch nicht entschieden</x:v>
      </x:c>
    </x:row>
    <x:row r="12">
      <x:c r="A12" s="17" t="str">
        <x:v>Angenommen</x:v>
      </x:c>
      <x:c r="B12" s="17" t="n">
        <x:f>COUNTIF(Review_Liste!$A$2:$A$87,"annehmen")</x:f>
        <x:v>0</x:v>
      </x:c>
      <x:c r="C12" s="17" t="str">
        <x:v>Fliessen in Entscheidungsplan, falls vollstaendig</x:v>
      </x:c>
    </x:row>
    <x:row r="13">
      <x:c r="A13" s="17" t="str">
        <x:v>Abgelehnt</x:v>
      </x:c>
      <x:c r="B13" s="17" t="n">
        <x:f>COUNTIF(Review_Liste!$A$2:$A$87,"ablehnen")</x:f>
        <x:v>6</x:v>
      </x:c>
      <x:c r="C13" s="17" t="str">
        <x:v>Bleiben dokumentiert, werden nicht umgesetzt</x:v>
      </x:c>
    </x:row>
    <x:row r="14">
      <x:c r="A14" s="17" t="str">
        <x:v>Zusammengefuehrt</x:v>
      </x:c>
      <x:c r="B14" s="17" t="n">
        <x:f>COUNTIF(Review_Liste!$A$2:$A$87,"zusammenfuehren")</x:f>
        <x:v>0</x:v>
      </x:c>
      <x:c r="C14" s="17" t="str">
        <x:v>Manuell mit anderem Vorschlag zusammenfassen</x:v>
      </x:c>
    </x:row>
    <x:row r="15">
      <x:c r="A15" s="17" t="str">
        <x:v>Zurueckgestellt</x:v>
      </x:c>
      <x:c r="B15" s="17" t="n">
        <x:f>COUNTIF(Review_Liste!$A$2:$A$87,"zurueckstellen")</x:f>
        <x:v>0</x:v>
      </x:c>
      <x:c r="C15" s="17" t="str">
        <x:v>Spaeter pruefen</x:v>
      </x:c>
    </x:row>
    <x:row r="16">
      <x:c r="A16" s="19" t="str">
        <x:v>Unvollstaendige angenommene Entscheidungen</x:v>
      </x:c>
      <x:c r="B16" s="19" t="n">
        <x:f>COUNTIF(Review_Liste!$V$2:$V$87,"unvollstaendig")</x:f>
        <x:v>0</x:v>
      </x:c>
      <x:c r="C16" s="19" t="str">
        <x:v>Vor Plan-Build Zielwerte ergaenzen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10" hidden="0" customWidth="1"/>
    <x:col min="6" max="6" width="24.440000534057617" hidden="0" customWidth="1"/>
    <x:col min="7" max="7" width="24.440000534057617" hidden="0" customWidth="1"/>
    <x:col min="8" max="8" width="12.220000267028809" hidden="0" customWidth="1"/>
    <x:col min="9" max="9" width="8.890000343322754" hidden="0" customWidth="1"/>
    <x:col min="10" max="10" width="12.220000267028809" hidden="0" customWidth="1"/>
    <x:col min="11" max="11" width="12.220000267028809" hidden="0" customWidth="1"/>
    <x:col min="12" max="12" width="18.889999389648438" hidden="0" customWidth="1"/>
    <x:col min="13" max="13" width="24.440000534057617" hidden="0" customWidth="1"/>
    <x:col min="14" max="14" width="24.440000534057617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5.5600004196167" hidden="0" customWidth="1"/>
    <x:col min="19" max="19" width="24.440000534057617" hidden="0" customWidth="1"/>
    <x:col min="20" max="20" width="33.33000183105469" hidden="0" customWidth="1"/>
    <x:col min="21" max="21" width="33.33000183105469" hidden="0" customWidth="1"/>
    <x:col min="22" max="22" width="14.4399995803833" hidden="0" customWidth="1"/>
    <x:col min="23" max="23" width="24.440000534057617" hidden="0" customWidth="1"/>
  </x:cols>
  <x:sheetData>
    <x:row r="1" ht="27" customHeight="1">
      <x:c r="A1" s="13" t="str">
        <x:v>Entscheidung</x:v>
      </x:c>
      <x:c r="B1" s="13" t="str">
        <x:v>Vorschlag_ID</x:v>
      </x:c>
      <x:c r="C1" s="13" t="str">
        <x:v>Typ</x:v>
      </x:c>
      <x:c r="D1" s="13" t="str">
        <x:v>Prioritaet</x:v>
      </x:c>
      <x:c r="E1" s="13" t="str">
        <x:v>Konfidenz</x:v>
      </x:c>
      <x:c r="F1" s="13" t="str">
        <x:v>Empfohlene_Aktion</x:v>
      </x:c>
      <x:c r="G1" s="13" t="str">
        <x:v>Name_oder_Muster</x:v>
      </x:c>
      <x:c r="H1" s="13" t="str">
        <x:v>Betrag</x:v>
      </x:c>
      <x:c r="I1" s="13" t="str">
        <x:v>Treffer</x:v>
      </x:c>
      <x:c r="J1" s="13" t="str">
        <x:v>Erstes_Datum</x:v>
      </x:c>
      <x:c r="K1" s="13" t="str">
        <x:v>Letztes_Datum</x:v>
      </x:c>
      <x:c r="L1" s="13" t="str">
        <x:v>Betroffene_Tabelle</x:v>
      </x:c>
      <x:c r="M1" s="13" t="str">
        <x:v>Betroffene_ID</x:v>
      </x:c>
      <x:c r="N1" s="13" t="str">
        <x:v>Naechste_Entscheidung</x:v>
      </x:c>
      <x:c r="O1" s="13" t="str">
        <x:v>Ziel_Kategorie_ID</x:v>
      </x:c>
      <x:c r="P1" s="13" t="str">
        <x:v>Ziel_Person_ID</x:v>
      </x:c>
      <x:c r="Q1" s="13" t="str">
        <x:v>Ziel_Konto_ID</x:v>
      </x:c>
      <x:c r="R1" s="13" t="str">
        <x:v>Ziel_Transfer_Typ</x:v>
      </x:c>
      <x:c r="S1" s="13" t="str">
        <x:v>Entscheidung_Notiz</x:v>
      </x:c>
      <x:c r="T1" s="13" t="str">
        <x:v>Begruendung</x:v>
      </x:c>
      <x:c r="U1" s="13" t="str">
        <x:v>Kommentar</x:v>
      </x:c>
      <x:c r="V1" s="13" t="str">
        <x:v>Check_Status</x:v>
      </x:c>
      <x:c r="W1" s="13" t="str">
        <x:v>Pflichtfeld_Hinweis</x:v>
      </x:c>
    </x:row>
    <x:row r="2">
      <x:c r="A2" s="17" t="str"/>
      <x:c r="B2" s="17" t="str">
        <x:v>SUG-20260521-001</x:v>
      </x:c>
      <x:c r="C2" s="17" t="str">
        <x:v>neue_Regelzahlung</x:v>
      </x:c>
      <x:c r="D2" s="17" t="str">
        <x:v>hoch</x:v>
      </x:c>
      <x:c r="E2" s="17" t="n">
        <x:v>0.82</x:v>
      </x:c>
      <x:c r="F2" s="17" t="str">
        <x:v>Regelzahlung pruefen</x:v>
      </x:c>
      <x:c r="G2" s="17" t="str">
        <x:v>Stiftung Kath. Altenhilfe im Bistum Hildesheim</x:v>
      </x:c>
      <x:c r="H2" s="17" t="n">
        <x:v>7939.81</x:v>
      </x:c>
      <x:c r="I2" s="17" t="n">
        <x:v>5</x:v>
      </x:c>
      <x:c r="J2" s="17" t="str">
        <x:v>2025-05-28</x:v>
      </x:c>
      <x:c r="K2" s="17" t="str">
        <x:v>2025-09-29</x:v>
      </x:c>
      <x:c r="L2" s="17" t="str">
        <x:v>12_Regelzahlung_Vorschlaege</x:v>
      </x:c>
      <x:c r="M2" s="17" t="str">
        <x:v>SUG-20260521-001</x:v>
      </x:c>
      <x:c r="N2" s="17" t="str">
        <x:v>annehmen / ablehnen / zusammenfuehren</x:v>
      </x:c>
      <x:c r="O2" s="17" t="str">
        <x:v>KAT013</x:v>
      </x:c>
      <x:c r="P2" s="17" t="str"/>
      <x:c r="Q2" s="17" t="str">
        <x:v>KTO001</x:v>
      </x:c>
      <x:c r="R2" s="17" t="str"/>
      <x:c r="S2" s="17" t="str"/>
      <x:c r="T2" s="17" t="str">
        <x:v>Wiederkehrendes Monatsmuster im Import-Draft erkannt</x:v>
      </x:c>
      <x:c r="U2" s="17" t="str">
        <x:v>Gespiegelter Vorschlag; Umsetzung nur nach Nutzerentscheidung</x:v>
      </x:c>
      <x:c r="V2" s="17" t="str">
        <x:f>IF($A2="","offen",IF($A2&lt;&gt;"annehmen","ok",IF(AND($C2="neue_Regelzahlung",OR($O2="",$P2="")),"unvollstaendig",IF(AND($C2="Kategorie_Mapping",$O2=""),"unvollstaendig",IF(AND($C2="neue_Transferregel",$R2=""),"unvollstaendig","ok")))))</x:f>
        <x:v>offen</x:v>
      </x:c>
      <x:c r="W2" s="17" t="str">
        <x:f>IF($A2="","",IF($A2&lt;&gt;"annehmen","",IF(AND($C2="neue_Regelzahlung",$O2=""),"Ziel_Kategorie_ID fehlt",IF(AND($C2="neue_Regelzahlung",$P2=""),"Ziel_Person_ID fehlt",IF(AND($C2="Kategorie_Mapping",$O2=""),"Ziel_Kategorie_ID fehlt",IF(AND($C2="neue_Transferregel",$R2=""),"Ziel_Transfer_Typ fehlt",""))))))</x:f>
      </x:c>
    </x:row>
    <x:row r="3">
      <x:c r="A3" s="17" t="str"/>
      <x:c r="B3" s="17" t="str">
        <x:v>SUG-20260521-002</x:v>
      </x:c>
      <x:c r="C3" s="17" t="str">
        <x:v>neue_Regelzahlung</x:v>
      </x:c>
      <x:c r="D3" s="17" t="str">
        <x:v>hoch</x:v>
      </x:c>
      <x:c r="E3" s="17" t="n">
        <x:v>0.82</x:v>
      </x:c>
      <x:c r="F3" s="17" t="str">
        <x:v>Regelzahlung pruefen</x:v>
      </x:c>
      <x:c r="G3" s="17" t="str">
        <x:v>Caritasverband fur die Diozese Hildesheim e.V.</x:v>
      </x:c>
      <x:c r="H3" s="17" t="n">
        <x:v>7818.53</x:v>
      </x:c>
      <x:c r="I3" s="17" t="n">
        <x:v>3</x:v>
      </x:c>
      <x:c r="J3" s="17" t="str">
        <x:v>2026-01-28</x:v>
      </x:c>
      <x:c r="K3" s="17" t="str">
        <x:v>2026-04-27</x:v>
      </x:c>
      <x:c r="L3" s="17" t="str">
        <x:v>12_Regelzahlung_Vorschlaege</x:v>
      </x:c>
      <x:c r="M3" s="17" t="str">
        <x:v>SUG-20260521-002</x:v>
      </x:c>
      <x:c r="N3" s="17" t="str">
        <x:v>annehmen / ablehnen / zusammenfuehren</x:v>
      </x:c>
      <x:c r="O3" s="17" t="str">
        <x:v>KAT013</x:v>
      </x:c>
      <x:c r="P3" s="17" t="str"/>
      <x:c r="Q3" s="17" t="str">
        <x:v>KTO001</x:v>
      </x:c>
      <x:c r="R3" s="17" t="str"/>
      <x:c r="S3" s="17" t="str"/>
      <x:c r="T3" s="17" t="str">
        <x:v>Wiederkehrendes Monatsmuster im Import-Draft erkannt</x:v>
      </x:c>
      <x:c r="U3" s="17" t="str">
        <x:v>Gespiegelter Vorschlag; Umsetzung nur nach Nutzerentscheidung</x:v>
      </x:c>
      <x:c r="V3" s="17" t="str">
        <x:f>IF($A3="","offen",IF($A3&lt;&gt;"annehmen","ok",IF(AND($C3="neue_Regelzahlung",OR($O3="",$P3="")),"unvollstaendig",IF(AND($C3="Kategorie_Mapping",$O3=""),"unvollstaendig",IF(AND($C3="neue_Transferregel",$R3=""),"unvollstaendig","ok")))))</x:f>
        <x:v>offen</x:v>
      </x:c>
      <x:c r="W3" s="17" t="str">
        <x:f>IF($A3="","",IF($A3&lt;&gt;"annehmen","",IF(AND($C3="neue_Regelzahlung",$O3=""),"Ziel_Kategorie_ID fehlt",IF(AND($C3="neue_Regelzahlung",$P3=""),"Ziel_Person_ID fehlt",IF(AND($C3="Kategorie_Mapping",$O3=""),"Ziel_Kategorie_ID fehlt",IF(AND($C3="neue_Transferregel",$R3=""),"Ziel_Transfer_Typ fehlt",""))))))</x:f>
      </x:c>
    </x:row>
    <x:row r="4">
      <x:c r="A4" s="17" t="str"/>
      <x:c r="B4" s="17" t="str">
        <x:v>SUG-20260521-003</x:v>
      </x:c>
      <x:c r="C4" s="17" t="str">
        <x:v>neue_Regelzahlung</x:v>
      </x:c>
      <x:c r="D4" s="17" t="str">
        <x:v>hoch</x:v>
      </x:c>
      <x:c r="E4" s="17" t="n">
        <x:v>0.82</x:v>
      </x:c>
      <x:c r="F4" s="17" t="str">
        <x:v>Regelzahlung pruefen</x:v>
      </x:c>
      <x:c r="G4" s="17" t="str">
        <x:v>Wolkenmacher GmbH</x:v>
      </x:c>
      <x:c r="H4" s="17" t="n">
        <x:v>7709.94</x:v>
      </x:c>
      <x:c r="I4" s="17" t="n">
        <x:v>3</x:v>
      </x:c>
      <x:c r="J4" s="17" t="str">
        <x:v>2024-01-30</x:v>
      </x:c>
      <x:c r="K4" s="17" t="str">
        <x:v>2024-03-27</x:v>
      </x:c>
      <x:c r="L4" s="17" t="str">
        <x:v>12_Regelzahlung_Vorschlaege</x:v>
      </x:c>
      <x:c r="M4" s="17" t="str">
        <x:v>SUG-20260521-003</x:v>
      </x:c>
      <x:c r="N4" s="17" t="str">
        <x:v>annehmen / ablehnen / zusammenfuehren</x:v>
      </x:c>
      <x:c r="O4" s="17" t="str">
        <x:v>KAT013</x:v>
      </x:c>
      <x:c r="P4" s="17" t="str"/>
      <x:c r="Q4" s="17" t="str">
        <x:v>KTO001</x:v>
      </x:c>
      <x:c r="R4" s="17" t="str"/>
      <x:c r="S4" s="17" t="str"/>
      <x:c r="T4" s="17" t="str">
        <x:v>Wiederkehrendes Monatsmuster im Import-Draft erkannt</x:v>
      </x:c>
      <x:c r="U4" s="17" t="str">
        <x:v>Gespiegelter Vorschlag; Umsetzung nur nach Nutzerentscheidung</x:v>
      </x:c>
      <x:c r="V4" s="17" t="str">
        <x:f>IF($A4="","offen",IF($A4&lt;&gt;"annehmen","ok",IF(AND($C4="neue_Regelzahlung",OR($O4="",$P4="")),"unvollstaendig",IF(AND($C4="Kategorie_Mapping",$O4=""),"unvollstaendig",IF(AND($C4="neue_Transferregel",$R4=""),"unvollstaendig","ok")))))</x:f>
        <x:v>offen</x:v>
      </x:c>
      <x:c r="W4" s="17" t="str">
        <x:f>IF($A4="","",IF($A4&lt;&gt;"annehmen","",IF(AND($C4="neue_Regelzahlung",$O4=""),"Ziel_Kategorie_ID fehlt",IF(AND($C4="neue_Regelzahlung",$P4=""),"Ziel_Person_ID fehlt",IF(AND($C4="Kategorie_Mapping",$O4=""),"Ziel_Kategorie_ID fehlt",IF(AND($C4="neue_Transferregel",$R4=""),"Ziel_Transfer_Typ fehlt",""))))))</x:f>
      </x:c>
    </x:row>
    <x:row r="5">
      <x:c r="A5" s="17" t="str"/>
      <x:c r="B5" s="17" t="str">
        <x:v>SUG-20260521-004</x:v>
      </x:c>
      <x:c r="C5" s="17" t="str">
        <x:v>neue_Regelzahlung</x:v>
      </x:c>
      <x:c r="D5" s="17" t="str">
        <x:v>hoch</x:v>
      </x:c>
      <x:c r="E5" s="17" t="n">
        <x:v>0.82</x:v>
      </x:c>
      <x:c r="F5" s="17" t="str">
        <x:v>Regelzahlung pruefen</x:v>
      </x:c>
      <x:c r="G5" s="17" t="str">
        <x:v>Lars Kohlenberg</x:v>
      </x:c>
      <x:c r="H5" s="17" t="n">
        <x:v>3000</x:v>
      </x:c>
      <x:c r="I5" s="17" t="n">
        <x:v>3</x:v>
      </x:c>
      <x:c r="J5" s="17" t="str">
        <x:v>2025-01-21</x:v>
      </x:c>
      <x:c r="K5" s="17" t="str">
        <x:v>2026-01-27</x:v>
      </x:c>
      <x:c r="L5" s="17" t="str">
        <x:v>12_Regelzahlung_Vorschlaege</x:v>
      </x:c>
      <x:c r="M5" s="17" t="str">
        <x:v>SUG-20260521-004</x:v>
      </x:c>
      <x:c r="N5" s="17" t="str">
        <x:v>annehmen / ablehnen / zusammenfuehren</x:v>
      </x:c>
      <x:c r="O5" s="17" t="str">
        <x:v>KAT013</x:v>
      </x:c>
      <x:c r="P5" s="17" t="str"/>
      <x:c r="Q5" s="17" t="str">
        <x:v>KTO001</x:v>
      </x:c>
      <x:c r="R5" s="17" t="str"/>
      <x:c r="S5" s="17" t="str"/>
      <x:c r="T5" s="17" t="str">
        <x:v>Wiederkehrendes Monatsmuster im Import-Draft erkannt</x:v>
      </x:c>
      <x:c r="U5" s="17" t="str">
        <x:v>Gespiegelter Vorschlag; Umsetzung nur nach Nutzerentscheidung</x:v>
      </x:c>
      <x:c r="V5" s="17" t="str">
        <x:f>IF($A5="","offen",IF($A5&lt;&gt;"annehmen","ok",IF(AND($C5="neue_Regelzahlung",OR($O5="",$P5="")),"unvollstaendig",IF(AND($C5="Kategorie_Mapping",$O5=""),"unvollstaendig",IF(AND($C5="neue_Transferregel",$R5=""),"unvollstaendig","ok")))))</x:f>
        <x:v>offen</x:v>
      </x:c>
      <x:c r="W5" s="17" t="str">
        <x:f>IF($A5="","",IF($A5&lt;&gt;"annehmen","",IF(AND($C5="neue_Regelzahlung",$O5=""),"Ziel_Kategorie_ID fehlt",IF(AND($C5="neue_Regelzahlung",$P5=""),"Ziel_Person_ID fehlt",IF(AND($C5="Kategorie_Mapping",$O5=""),"Ziel_Kategorie_ID fehlt",IF(AND($C5="neue_Transferregel",$R5=""),"Ziel_Transfer_Typ fehlt",""))))))</x:f>
      </x:c>
    </x:row>
    <x:row r="6">
      <x:c r="A6" s="17" t="str"/>
      <x:c r="B6" s="17" t="str">
        <x:v>SUG-20260521-005</x:v>
      </x:c>
      <x:c r="C6" s="17" t="str">
        <x:v>neue_Regelzahlung</x:v>
      </x:c>
      <x:c r="D6" s="17" t="str">
        <x:v>hoch</x:v>
      </x:c>
      <x:c r="E6" s="17" t="n">
        <x:v>0.82</x:v>
      </x:c>
      <x:c r="F6" s="17" t="str">
        <x:v>Regelzahlung pruefen</x:v>
      </x:c>
      <x:c r="G6" s="17" t="str">
        <x:v>KATRIN KOHLENBERG</x:v>
      </x:c>
      <x:c r="H6" s="17" t="n">
        <x:v>-1800</x:v>
      </x:c>
      <x:c r="I6" s="17" t="n">
        <x:v>29</x:v>
      </x:c>
      <x:c r="J6" s="17" t="str">
        <x:v>2024-01-02</x:v>
      </x:c>
      <x:c r="K6" s="17" t="str">
        <x:v>2026-05-04</x:v>
      </x:c>
      <x:c r="L6" s="17" t="str">
        <x:v>12_Regelzahlung_Vorschlaege</x:v>
      </x:c>
      <x:c r="M6" s="17" t="str">
        <x:v>SUG-20260521-005</x:v>
      </x:c>
      <x:c r="N6" s="17" t="str">
        <x:v>annehmen / ablehnen / zusammenfuehren</x:v>
      </x:c>
      <x:c r="O6" s="17" t="str">
        <x:v>KAT013</x:v>
      </x:c>
      <x:c r="P6" s="17" t="str"/>
      <x:c r="Q6" s="17" t="str">
        <x:v>KTO001</x:v>
      </x:c>
      <x:c r="R6" s="17" t="str"/>
      <x:c r="S6" s="17" t="str"/>
      <x:c r="T6" s="17" t="str">
        <x:v>Wiederkehrendes Monatsmuster im Import-Draft erkannt</x:v>
      </x:c>
      <x:c r="U6" s="17" t="str">
        <x:v>Gespiegelter Vorschlag; Umsetzung nur nach Nutzerentscheidung</x:v>
      </x:c>
      <x:c r="V6" s="17" t="str">
        <x:f>IF($A6="","offen",IF($A6&lt;&gt;"annehmen","ok",IF(AND($C6="neue_Regelzahlung",OR($O6="",$P6="")),"unvollstaendig",IF(AND($C6="Kategorie_Mapping",$O6=""),"unvollstaendig",IF(AND($C6="neue_Transferregel",$R6=""),"unvollstaendig","ok")))))</x:f>
        <x:v>offen</x:v>
      </x:c>
      <x:c r="W6" s="17" t="str">
        <x:f>IF($A6="","",IF($A6&lt;&gt;"annehmen","",IF(AND($C6="neue_Regelzahlung",$O6=""),"Ziel_Kategorie_ID fehlt",IF(AND($C6="neue_Regelzahlung",$P6=""),"Ziel_Person_ID fehlt",IF(AND($C6="Kategorie_Mapping",$O6=""),"Ziel_Kategorie_ID fehlt",IF(AND($C6="neue_Transferregel",$R6=""),"Ziel_Transfer_Typ fehlt",""))))))</x:f>
      </x:c>
    </x:row>
    <x:row r="7">
      <x:c r="A7" s="17" t="str"/>
      <x:c r="B7" s="17" t="str">
        <x:v>SUG-20260521-006</x:v>
      </x:c>
      <x:c r="C7" s="17" t="str">
        <x:v>neue_Regelzahlung</x:v>
      </x:c>
      <x:c r="D7" s="17" t="str">
        <x:v>hoch</x:v>
      </x:c>
      <x:c r="E7" s="17" t="n">
        <x:v>0.82</x:v>
      </x:c>
      <x:c r="F7" s="17" t="str">
        <x:v>Regelzahlung pruefen</x:v>
      </x:c>
      <x:c r="G7" s="17" t="str">
        <x:v>LARS KOHLENBERG</x:v>
      </x:c>
      <x:c r="H7" s="17" t="n">
        <x:v>-1400</x:v>
      </x:c>
      <x:c r="I7" s="17" t="n">
        <x:v>29</x:v>
      </x:c>
      <x:c r="J7" s="17" t="str">
        <x:v>2024-01-02</x:v>
      </x:c>
      <x:c r="K7" s="17" t="str">
        <x:v>2026-05-04</x:v>
      </x:c>
      <x:c r="L7" s="17" t="str">
        <x:v>12_Regelzahlung_Vorschlaege</x:v>
      </x:c>
      <x:c r="M7" s="17" t="str">
        <x:v>SUG-20260521-006</x:v>
      </x:c>
      <x:c r="N7" s="17" t="str">
        <x:v>annehmen / ablehnen / zusammenfuehren</x:v>
      </x:c>
      <x:c r="O7" s="17" t="str">
        <x:v>KAT013</x:v>
      </x:c>
      <x:c r="P7" s="17" t="str"/>
      <x:c r="Q7" s="17" t="str">
        <x:v>KTO001</x:v>
      </x:c>
      <x:c r="R7" s="17" t="str"/>
      <x:c r="S7" s="17" t="str"/>
      <x:c r="T7" s="17" t="str">
        <x:v>Wiederkehrendes Monatsmuster im Import-Draft erkannt</x:v>
      </x:c>
      <x:c r="U7" s="17" t="str">
        <x:v>Gespiegelter Vorschlag; Umsetzung nur nach Nutzerentscheidung</x:v>
      </x:c>
      <x:c r="V7" s="17" t="str">
        <x:f>IF($A7="","offen",IF($A7&lt;&gt;"annehmen","ok",IF(AND($C7="neue_Regelzahlung",OR($O7="",$P7="")),"unvollstaendig",IF(AND($C7="Kategorie_Mapping",$O7=""),"unvollstaendig",IF(AND($C7="neue_Transferregel",$R7=""),"unvollstaendig","ok")))))</x:f>
        <x:v>offen</x:v>
      </x:c>
      <x:c r="W7" s="17" t="str">
        <x:f>IF($A7="","",IF($A7&lt;&gt;"annehmen","",IF(AND($C7="neue_Regelzahlung",$O7=""),"Ziel_Kategorie_ID fehlt",IF(AND($C7="neue_Regelzahlung",$P7=""),"Ziel_Person_ID fehlt",IF(AND($C7="Kategorie_Mapping",$O7=""),"Ziel_Kategorie_ID fehlt",IF(AND($C7="neue_Transferregel",$R7=""),"Ziel_Transfer_Typ fehlt",""))))))</x:f>
      </x:c>
    </x:row>
    <x:row r="8">
      <x:c r="A8" s="17" t="str"/>
      <x:c r="B8" s="17" t="str">
        <x:v>SUG-20260521-007</x:v>
      </x:c>
      <x:c r="C8" s="17" t="str">
        <x:v>neue_Regelzahlung</x:v>
      </x:c>
      <x:c r="D8" s="17" t="str">
        <x:v>hoch</x:v>
      </x:c>
      <x:c r="E8" s="17" t="n">
        <x:v>0.82</x:v>
      </x:c>
      <x:c r="F8" s="17" t="str">
        <x:v>Regelzahlung pruefen</x:v>
      </x:c>
      <x:c r="G8" s="17" t="str">
        <x:v>LARS KOHLENBERG</x:v>
      </x:c>
      <x:c r="H8" s="17" t="n">
        <x:v>-1153.94</x:v>
      </x:c>
      <x:c r="I8" s="17" t="n">
        <x:v>29</x:v>
      </x:c>
      <x:c r="J8" s="17" t="str">
        <x:v>2024-01-02</x:v>
      </x:c>
      <x:c r="K8" s="17" t="str">
        <x:v>2026-04-30</x:v>
      </x:c>
      <x:c r="L8" s="17" t="str">
        <x:v>12_Regelzahlung_Vorschlaege</x:v>
      </x:c>
      <x:c r="M8" s="17" t="str">
        <x:v>SUG-20260521-007</x:v>
      </x:c>
      <x:c r="N8" s="17" t="str">
        <x:v>annehmen / ablehnen / zusammenfuehren</x:v>
      </x:c>
      <x:c r="O8" s="17" t="str">
        <x:v>KAT013</x:v>
      </x:c>
      <x:c r="P8" s="17" t="str"/>
      <x:c r="Q8" s="17" t="str">
        <x:v>KTO001</x:v>
      </x:c>
      <x:c r="R8" s="17" t="str"/>
      <x:c r="S8" s="17" t="str"/>
      <x:c r="T8" s="17" t="str">
        <x:v>Wiederkehrendes Monatsmuster im Import-Draft erkannt</x:v>
      </x:c>
      <x:c r="U8" s="17" t="str">
        <x:v>Gespiegelter Vorschlag; Umsetzung nur nach Nutzerentscheidung</x:v>
      </x:c>
      <x:c r="V8" s="17" t="str">
        <x:f>IF($A8="","offen",IF($A8&lt;&gt;"annehmen","ok",IF(AND($C8="neue_Regelzahlung",OR($O8="",$P8="")),"unvollstaendig",IF(AND($C8="Kategorie_Mapping",$O8=""),"unvollstaendig",IF(AND($C8="neue_Transferregel",$R8=""),"unvollstaendig","ok")))))</x:f>
        <x:v>offen</x:v>
      </x:c>
      <x:c r="W8" s="17" t="str">
        <x:f>IF($A8="","",IF($A8&lt;&gt;"annehmen","",IF(AND($C8="neue_Regelzahlung",$O8=""),"Ziel_Kategorie_ID fehlt",IF(AND($C8="neue_Regelzahlung",$P8=""),"Ziel_Person_ID fehlt",IF(AND($C8="Kategorie_Mapping",$O8=""),"Ziel_Kategorie_ID fehlt",IF(AND($C8="neue_Transferregel",$R8=""),"Ziel_Transfer_Typ fehlt",""))))))</x:f>
      </x:c>
    </x:row>
    <x:row r="9">
      <x:c r="A9" s="17" t="str"/>
      <x:c r="B9" s="17" t="str">
        <x:v>SUG-20260521-008</x:v>
      </x:c>
      <x:c r="C9" s="17" t="str">
        <x:v>neue_Regelzahlung</x:v>
      </x:c>
      <x:c r="D9" s="17" t="str">
        <x:v>hoch</x:v>
      </x:c>
      <x:c r="E9" s="17" t="n">
        <x:v>0.82</x:v>
      </x:c>
      <x:c r="F9" s="17" t="str">
        <x:v>Regelzahlung pruefen</x:v>
      </x:c>
      <x:c r="G9" s="17" t="str">
        <x:v>Lars Kohlenberg</x:v>
      </x:c>
      <x:c r="H9" s="17" t="n">
        <x:v>1000</x:v>
      </x:c>
      <x:c r="I9" s="17" t="n">
        <x:v>4</x:v>
      </x:c>
      <x:c r="J9" s="17" t="str">
        <x:v>2024-05-16</x:v>
      </x:c>
      <x:c r="K9" s="17" t="str">
        <x:v>2026-04-09</x:v>
      </x:c>
      <x:c r="L9" s="17" t="str">
        <x:v>12_Regelzahlung_Vorschlaege</x:v>
      </x:c>
      <x:c r="M9" s="17" t="str">
        <x:v>SUG-20260521-008</x:v>
      </x:c>
      <x:c r="N9" s="17" t="str">
        <x:v>annehmen / ablehnen / zusammenfuehren</x:v>
      </x:c>
      <x:c r="O9" s="17" t="str">
        <x:v>KAT013</x:v>
      </x:c>
      <x:c r="P9" s="17" t="str"/>
      <x:c r="Q9" s="17" t="str">
        <x:v>KTO001</x:v>
      </x:c>
      <x:c r="R9" s="17" t="str"/>
      <x:c r="S9" s="17" t="str"/>
      <x:c r="T9" s="17" t="str">
        <x:v>Wiederkehrendes Monatsmuster im Import-Draft erkannt</x:v>
      </x:c>
      <x:c r="U9" s="17" t="str">
        <x:v>Gespiegelter Vorschlag; Umsetzung nur nach Nutzerentscheidung</x:v>
      </x:c>
      <x:c r="V9" s="17" t="str">
        <x:f>IF($A9="","offen",IF($A9&lt;&gt;"annehmen","ok",IF(AND($C9="neue_Regelzahlung",OR($O9="",$P9="")),"unvollstaendig",IF(AND($C9="Kategorie_Mapping",$O9=""),"unvollstaendig",IF(AND($C9="neue_Transferregel",$R9=""),"unvollstaendig","ok")))))</x:f>
        <x:v>offen</x:v>
      </x:c>
      <x:c r="W9" s="17" t="str">
        <x:f>IF($A9="","",IF($A9&lt;&gt;"annehmen","",IF(AND($C9="neue_Regelzahlung",$O9=""),"Ziel_Kategorie_ID fehlt",IF(AND($C9="neue_Regelzahlung",$P9=""),"Ziel_Person_ID fehlt",IF(AND($C9="Kategorie_Mapping",$O9=""),"Ziel_Kategorie_ID fehlt",IF(AND($C9="neue_Transferregel",$R9=""),"Ziel_Transfer_Typ fehlt",""))))))</x:f>
      </x:c>
    </x:row>
    <x:row r="10">
      <x:c r="A10" s="17" t="str"/>
      <x:c r="B10" s="17" t="str">
        <x:v>SUG-20260521-074</x:v>
      </x:c>
      <x:c r="C10" s="17" t="str">
        <x:v>Kategorie_Mapping</x:v>
      </x:c>
      <x:c r="D10" s="17" t="str">
        <x:v>hoch</x:v>
      </x:c>
      <x:c r="E10" s="17" t="n">
        <x:v>0.7</x:v>
      </x:c>
      <x:c r="F10" s="17" t="str">
        <x:v>Kategorie fuer Gegenpartei pruefen</x:v>
      </x:c>
      <x:c r="G10" s="17" t="str"/>
      <x:c r="H10" s="17" t="str"/>
      <x:c r="I10" s="17" t="str"/>
      <x:c r="J10" s="17" t="str"/>
      <x:c r="K10" s="17" t="str"/>
      <x:c r="L10" s="17" t="str">
        <x:v>11_Umsaetze_Modell</x:v>
      </x:c>
      <x:c r="M10" s="17" t="str">
        <x:v>TXN-RAW-IMP-20260516-FULLDRAFT-000123</x:v>
      </x:c>
      <x:c r="N10" s="17" t="str">
        <x:v>Kategorie festlegen</x:v>
      </x:c>
      <x:c r="O10" s="17" t="str"/>
      <x:c r="P10" s="17" t="str"/>
      <x:c r="Q10" s="17" t="str"/>
      <x:c r="R10" s="17" t="str"/>
      <x:c r="S10" s="17" t="str"/>
      <x:c r="T10" s="17" t="str">
        <x:v>Mehrere offene Buchungen mit gleicher Gegenpartei oder relevantem Volumen erkannt</x:v>
      </x:c>
      <x:c r="U10" s="17" t="str">
        <x:v>Kein automatisches Kategorie-Mapping; Nutzerentscheidung erforderlich</x:v>
      </x:c>
      <x:c r="V10" s="17" t="str">
        <x:f>IF($A10="","offen",IF($A10&lt;&gt;"annehmen","ok",IF(AND($C10="neue_Regelzahlung",OR($O10="",$P10="")),"unvollstaendig",IF(AND($C10="Kategorie_Mapping",$O10=""),"unvollstaendig",IF(AND($C10="neue_Transferregel",$R10=""),"unvollstaendig","ok")))))</x:f>
        <x:v>offen</x:v>
      </x:c>
      <x:c r="W10" s="17" t="str">
        <x:f>IF($A10="","",IF($A10&lt;&gt;"annehmen","",IF(AND($C10="neue_Regelzahlung",$O10=""),"Ziel_Kategorie_ID fehlt",IF(AND($C10="neue_Regelzahlung",$P10=""),"Ziel_Person_ID fehlt",IF(AND($C10="Kategorie_Mapping",$O10=""),"Ziel_Kategorie_ID fehlt",IF(AND($C10="neue_Transferregel",$R10=""),"Ziel_Transfer_Typ fehlt",""))))))</x:f>
      </x:c>
    </x:row>
    <x:row r="11">
      <x:c r="A11" s="17" t="str"/>
      <x:c r="B11" s="17" t="str">
        <x:v>SUG-20260521-080</x:v>
      </x:c>
      <x:c r="C11" s="17" t="str">
        <x:v>Kategorie_Mapping</x:v>
      </x:c>
      <x:c r="D11" s="17" t="str">
        <x:v>hoch</x:v>
      </x:c>
      <x:c r="E11" s="17" t="n">
        <x:v>0.7</x:v>
      </x:c>
      <x:c r="F11" s="17" t="str">
        <x:v>Kategorie fuer Gegenpartei pruefen</x:v>
      </x:c>
      <x:c r="G11" s="17" t="str"/>
      <x:c r="H11" s="17" t="str"/>
      <x:c r="I11" s="17" t="str"/>
      <x:c r="J11" s="17" t="str"/>
      <x:c r="K11" s="17" t="str"/>
      <x:c r="L11" s="17" t="str">
        <x:v>11_Umsaetze_Modell</x:v>
      </x:c>
      <x:c r="M11" s="17" t="str">
        <x:v>TXN-RAW-IMP-20260516-FULLDRAFT-000047</x:v>
      </x:c>
      <x:c r="N11" s="17" t="str">
        <x:v>Kategorie festlegen</x:v>
      </x:c>
      <x:c r="O11" s="17" t="str"/>
      <x:c r="P11" s="17" t="str"/>
      <x:c r="Q11" s="17" t="str"/>
      <x:c r="R11" s="17" t="str"/>
      <x:c r="S11" s="17" t="str"/>
      <x:c r="T11" s="17" t="str">
        <x:v>Mehrere offene Buchungen mit gleicher Gegenpartei oder relevantem Volumen erkannt</x:v>
      </x:c>
      <x:c r="U11" s="17" t="str">
        <x:v>Kein automatisches Kategorie-Mapping; Nutzerentscheidung erforderlich</x:v>
      </x:c>
      <x:c r="V11" s="17" t="str">
        <x:f>IF($A11="","offen",IF($A11&lt;&gt;"annehmen","ok",IF(AND($C11="neue_Regelzahlung",OR($O11="",$P11="")),"unvollstaendig",IF(AND($C11="Kategorie_Mapping",$O11=""),"unvollstaendig",IF(AND($C11="neue_Transferregel",$R11=""),"unvollstaendig","ok")))))</x:f>
        <x:v>offen</x:v>
      </x:c>
      <x:c r="W11" s="17" t="str">
        <x:f>IF($A11="","",IF($A11&lt;&gt;"annehmen","",IF(AND($C11="neue_Regelzahlung",$O11=""),"Ziel_Kategorie_ID fehlt",IF(AND($C11="neue_Regelzahlung",$P11=""),"Ziel_Person_ID fehlt",IF(AND($C11="Kategorie_Mapping",$O11=""),"Ziel_Kategorie_ID fehlt",IF(AND($C11="neue_Transferregel",$R11=""),"Ziel_Transfer_Typ fehlt",""))))))</x:f>
      </x:c>
    </x:row>
    <x:row r="12">
      <x:c r="A12" s="17" t="str"/>
      <x:c r="B12" s="17" t="str">
        <x:v>SUG-20260521-082</x:v>
      </x:c>
      <x:c r="C12" s="17" t="str">
        <x:v>Kategorie_Mapping</x:v>
      </x:c>
      <x:c r="D12" s="17" t="str">
        <x:v>hoch</x:v>
      </x:c>
      <x:c r="E12" s="17" t="n">
        <x:v>0.7</x:v>
      </x:c>
      <x:c r="F12" s="17" t="str">
        <x:v>Kategorie fuer Gegenpartei pruefen</x:v>
      </x:c>
      <x:c r="G12" s="17" t="str"/>
      <x:c r="H12" s="17" t="str"/>
      <x:c r="I12" s="17" t="str"/>
      <x:c r="J12" s="17" t="str"/>
      <x:c r="K12" s="17" t="str"/>
      <x:c r="L12" s="17" t="str">
        <x:v>11_Umsaetze_Modell</x:v>
      </x:c>
      <x:c r="M12" s="17" t="str">
        <x:v>TXN-RAW-IMP-20260516-FULLDRAFT-000305</x:v>
      </x:c>
      <x:c r="N12" s="17" t="str">
        <x:v>Kategorie festlegen</x:v>
      </x:c>
      <x:c r="O12" s="17" t="str"/>
      <x:c r="P12" s="17" t="str"/>
      <x:c r="Q12" s="17" t="str"/>
      <x:c r="R12" s="17" t="str"/>
      <x:c r="S12" s="17" t="str"/>
      <x:c r="T12" s="17" t="str">
        <x:v>Mehrere offene Buchungen mit gleicher Gegenpartei oder relevantem Volumen erkannt</x:v>
      </x:c>
      <x:c r="U12" s="17" t="str">
        <x:v>Kein automatisches Kategorie-Mapping; Nutzerentscheidung erforderlich</x:v>
      </x:c>
      <x:c r="V12" s="17" t="str">
        <x:f>IF($A12="","offen",IF($A12&lt;&gt;"annehmen","ok",IF(AND($C12="neue_Regelzahlung",OR($O12="",$P12="")),"unvollstaendig",IF(AND($C12="Kategorie_Mapping",$O12=""),"unvollstaendig",IF(AND($C12="neue_Transferregel",$R12=""),"unvollstaendig","ok")))))</x:f>
        <x:v>offen</x:v>
      </x:c>
      <x:c r="W12" s="17" t="str">
        <x:f>IF($A12="","",IF($A12&lt;&gt;"annehmen","",IF(AND($C12="neue_Regelzahlung",$O12=""),"Ziel_Kategorie_ID fehlt",IF(AND($C12="neue_Regelzahlung",$P12=""),"Ziel_Person_ID fehlt",IF(AND($C12="Kategorie_Mapping",$O12=""),"Ziel_Kategorie_ID fehlt",IF(AND($C12="neue_Transferregel",$R12=""),"Ziel_Transfer_Typ fehlt",""))))))</x:f>
      </x:c>
    </x:row>
    <x:row r="13">
      <x:c r="A13" s="17" t="str"/>
      <x:c r="B13" s="17" t="str">
        <x:v>SUG-20260521-062</x:v>
      </x:c>
      <x:c r="C13" s="17" t="str">
        <x:v>Kategorie_Mapping</x:v>
      </x:c>
      <x:c r="D13" s="17" t="str">
        <x:v>hoch</x:v>
      </x:c>
      <x:c r="E13" s="17" t="n">
        <x:v>0.58</x:v>
      </x:c>
      <x:c r="F13" s="17" t="str">
        <x:v>Kategorie fuer Gegenpartei pruefen</x:v>
      </x:c>
      <x:c r="G13" s="17" t="str"/>
      <x:c r="H13" s="17" t="str"/>
      <x:c r="I13" s="17" t="str"/>
      <x:c r="J13" s="17" t="str"/>
      <x:c r="K13" s="17" t="str"/>
      <x:c r="L13" s="17" t="str">
        <x:v>11_Umsaetze_Modell</x:v>
      </x:c>
      <x:c r="M13" s="17" t="str">
        <x:v>TXN-RAW-IMP-20260516-FULLDRAFT-000607</x:v>
      </x:c>
      <x:c r="N13" s="17" t="str">
        <x:v>Kategorie festlegen</x:v>
      </x:c>
      <x:c r="O13" s="17" t="str"/>
      <x:c r="P13" s="17" t="str"/>
      <x:c r="Q13" s="17" t="str"/>
      <x:c r="R13" s="17" t="str"/>
      <x:c r="S13" s="17" t="str"/>
      <x:c r="T13" s="17" t="str">
        <x:v>Mehrere offene Buchungen mit gleicher Gegenpartei oder relevantem Volumen erkannt</x:v>
      </x:c>
      <x:c r="U13" s="17" t="str">
        <x:v>Kein automatisches Kategorie-Mapping; Nutzerentscheidung erforderlich</x:v>
      </x:c>
      <x:c r="V13" s="17" t="str">
        <x:f>IF($A13="","offen",IF($A13&lt;&gt;"annehmen","ok",IF(AND($C13="neue_Regelzahlung",OR($O13="",$P13="")),"unvollstaendig",IF(AND($C13="Kategorie_Mapping",$O13=""),"unvollstaendig",IF(AND($C13="neue_Transferregel",$R13=""),"unvollstaendig","ok")))))</x:f>
        <x:v>offen</x:v>
      </x:c>
      <x:c r="W13" s="17" t="str">
        <x:f>IF($A13="","",IF($A13&lt;&gt;"annehmen","",IF(AND($C13="neue_Regelzahlung",$O13=""),"Ziel_Kategorie_ID fehlt",IF(AND($C13="neue_Regelzahlung",$P13=""),"Ziel_Person_ID fehlt",IF(AND($C13="Kategorie_Mapping",$O13=""),"Ziel_Kategorie_ID fehlt",IF(AND($C13="neue_Transferregel",$R13=""),"Ziel_Transfer_Typ fehlt",""))))))</x:f>
      </x:c>
    </x:row>
    <x:row r="14">
      <x:c r="A14" s="17" t="str"/>
      <x:c r="B14" s="17" t="str">
        <x:v>SUG-20260521-063</x:v>
      </x:c>
      <x:c r="C14" s="17" t="str">
        <x:v>Kategorie_Mapping</x:v>
      </x:c>
      <x:c r="D14" s="17" t="str">
        <x:v>hoch</x:v>
      </x:c>
      <x:c r="E14" s="17" t="n">
        <x:v>0.58</x:v>
      </x:c>
      <x:c r="F14" s="17" t="str">
        <x:v>Kategorie fuer Gegenpartei pruefen</x:v>
      </x:c>
      <x:c r="G14" s="17" t="str"/>
      <x:c r="H14" s="17" t="str"/>
      <x:c r="I14" s="17" t="str"/>
      <x:c r="J14" s="17" t="str"/>
      <x:c r="K14" s="17" t="str"/>
      <x:c r="L14" s="17" t="str">
        <x:v>11_Umsaetze_Modell</x:v>
      </x:c>
      <x:c r="M14" s="17" t="str">
        <x:v>TXN-RAW-IMP-20260516-FULLDRAFT-001426</x:v>
      </x:c>
      <x:c r="N14" s="17" t="str">
        <x:v>Kategorie festlegen</x:v>
      </x:c>
      <x:c r="O14" s="17" t="str"/>
      <x:c r="P14" s="17" t="str"/>
      <x:c r="Q14" s="17" t="str"/>
      <x:c r="R14" s="17" t="str"/>
      <x:c r="S14" s="17" t="str"/>
      <x:c r="T14" s="17" t="str">
        <x:v>Mehrere offene Buchungen mit gleicher Gegenpartei oder relevantem Volumen erkannt</x:v>
      </x:c>
      <x:c r="U14" s="17" t="str">
        <x:v>Kein automatisches Kategorie-Mapping; Nutzerentscheidung erforderlich</x:v>
      </x:c>
      <x:c r="V14" s="17" t="str">
        <x:f>IF($A14="","offen",IF($A14&lt;&gt;"annehmen","ok",IF(AND($C14="neue_Regelzahlung",OR($O14="",$P14="")),"unvollstaendig",IF(AND($C14="Kategorie_Mapping",$O14=""),"unvollstaendig",IF(AND($C14="neue_Transferregel",$R14=""),"unvollstaendig","ok")))))</x:f>
        <x:v>offen</x:v>
      </x:c>
      <x:c r="W14" s="17" t="str">
        <x:f>IF($A14="","",IF($A14&lt;&gt;"annehmen","",IF(AND($C14="neue_Regelzahlung",$O14=""),"Ziel_Kategorie_ID fehlt",IF(AND($C14="neue_Regelzahlung",$P14=""),"Ziel_Person_ID fehlt",IF(AND($C14="Kategorie_Mapping",$O14=""),"Ziel_Kategorie_ID fehlt",IF(AND($C14="neue_Transferregel",$R14=""),"Ziel_Transfer_Typ fehlt",""))))))</x:f>
      </x:c>
    </x:row>
    <x:row r="15">
      <x:c r="A15" s="17" t="str"/>
      <x:c r="B15" s="17" t="str">
        <x:v>SUG-20260521-064</x:v>
      </x:c>
      <x:c r="C15" s="17" t="str">
        <x:v>Kategorie_Mapping</x:v>
      </x:c>
      <x:c r="D15" s="17" t="str">
        <x:v>hoch</x:v>
      </x:c>
      <x:c r="E15" s="17" t="n">
        <x:v>0.58</x:v>
      </x:c>
      <x:c r="F15" s="17" t="str">
        <x:v>Kategorie fuer Gegenpartei pruefen</x:v>
      </x:c>
      <x:c r="G15" s="17" t="str"/>
      <x:c r="H15" s="17" t="str"/>
      <x:c r="I15" s="17" t="str"/>
      <x:c r="J15" s="17" t="str"/>
      <x:c r="K15" s="17" t="str"/>
      <x:c r="L15" s="17" t="str">
        <x:v>11_Umsaetze_Modell</x:v>
      </x:c>
      <x:c r="M15" s="17" t="str">
        <x:v>TXN-RAW-IMP-20260516-FULLDRAFT-000648</x:v>
      </x:c>
      <x:c r="N15" s="17" t="str">
        <x:v>Kategorie festlegen</x:v>
      </x:c>
      <x:c r="O15" s="17" t="str"/>
      <x:c r="P15" s="17" t="str"/>
      <x:c r="Q15" s="17" t="str"/>
      <x:c r="R15" s="17" t="str"/>
      <x:c r="S15" s="17" t="str"/>
      <x:c r="T15" s="17" t="str">
        <x:v>Mehrere offene Buchungen mit gleicher Gegenpartei oder relevantem Volumen erkannt</x:v>
      </x:c>
      <x:c r="U15" s="17" t="str">
        <x:v>Kein automatisches Kategorie-Mapping; Nutzerentscheidung erforderlich</x:v>
      </x:c>
      <x:c r="V15" s="17" t="str">
        <x:f>IF($A15="","offen",IF($A15&lt;&gt;"annehmen","ok",IF(AND($C15="neue_Regelzahlung",OR($O15="",$P15="")),"unvollstaendig",IF(AND($C15="Kategorie_Mapping",$O15=""),"unvollstaendig",IF(AND($C15="neue_Transferregel",$R15=""),"unvollstaendig","ok")))))</x:f>
        <x:v>offen</x:v>
      </x:c>
      <x:c r="W15" s="17" t="str">
        <x:f>IF($A15="","",IF($A15&lt;&gt;"annehmen","",IF(AND($C15="neue_Regelzahlung",$O15=""),"Ziel_Kategorie_ID fehlt",IF(AND($C15="neue_Regelzahlung",$P15=""),"Ziel_Person_ID fehlt",IF(AND($C15="Kategorie_Mapping",$O15=""),"Ziel_Kategorie_ID fehlt",IF(AND($C15="neue_Transferregel",$R15=""),"Ziel_Transfer_Typ fehlt",""))))))</x:f>
      </x:c>
    </x:row>
    <x:row r="16">
      <x:c r="A16" s="17" t="str"/>
      <x:c r="B16" s="17" t="str">
        <x:v>SUG-20260521-065</x:v>
      </x:c>
      <x:c r="C16" s="17" t="str">
        <x:v>Kategorie_Mapping</x:v>
      </x:c>
      <x:c r="D16" s="17" t="str">
        <x:v>hoch</x:v>
      </x:c>
      <x:c r="E16" s="17" t="n">
        <x:v>0.58</x:v>
      </x:c>
      <x:c r="F16" s="17" t="str">
        <x:v>Kategorie fuer Gegenpartei pruefen</x:v>
      </x:c>
      <x:c r="G16" s="17" t="str"/>
      <x:c r="H16" s="17" t="str"/>
      <x:c r="I16" s="17" t="str"/>
      <x:c r="J16" s="17" t="str"/>
      <x:c r="K16" s="17" t="str"/>
      <x:c r="L16" s="17" t="str">
        <x:v>11_Umsaetze_Modell</x:v>
      </x:c>
      <x:c r="M16" s="17" t="str">
        <x:v>TXN-RAW-IMP-20260516-FULLDRAFT-001804</x:v>
      </x:c>
      <x:c r="N16" s="17" t="str">
        <x:v>Kategorie festlegen</x:v>
      </x:c>
      <x:c r="O16" s="17" t="str"/>
      <x:c r="P16" s="17" t="str"/>
      <x:c r="Q16" s="17" t="str"/>
      <x:c r="R16" s="17" t="str"/>
      <x:c r="S16" s="17" t="str"/>
      <x:c r="T16" s="17" t="str">
        <x:v>Mehrere offene Buchungen mit gleicher Gegenpartei oder relevantem Volumen erkannt</x:v>
      </x:c>
      <x:c r="U16" s="17" t="str">
        <x:v>Kein automatisches Kategorie-Mapping; Nutzerentscheidung erforderlich</x:v>
      </x:c>
      <x:c r="V16" s="17" t="str">
        <x:f>IF($A16="","offen",IF($A16&lt;&gt;"annehmen","ok",IF(AND($C16="neue_Regelzahlung",OR($O16="",$P16="")),"unvollstaendig",IF(AND($C16="Kategorie_Mapping",$O16=""),"unvollstaendig",IF(AND($C16="neue_Transferregel",$R16=""),"unvollstaendig","ok")))))</x:f>
        <x:v>offen</x:v>
      </x:c>
      <x:c r="W16" s="17" t="str">
        <x:f>IF($A16="","",IF($A16&lt;&gt;"annehmen","",IF(AND($C16="neue_Regelzahlung",$O16=""),"Ziel_Kategorie_ID fehlt",IF(AND($C16="neue_Regelzahlung",$P16=""),"Ziel_Person_ID fehlt",IF(AND($C16="Kategorie_Mapping",$O16=""),"Ziel_Kategorie_ID fehlt",IF(AND($C16="neue_Transferregel",$R16=""),"Ziel_Transfer_Typ fehlt",""))))))</x:f>
      </x:c>
    </x:row>
    <x:row r="17">
      <x:c r="A17" s="17" t="str"/>
      <x:c r="B17" s="17" t="str">
        <x:v>SUG-20260521-066</x:v>
      </x:c>
      <x:c r="C17" s="17" t="str">
        <x:v>Kategorie_Mapping</x:v>
      </x:c>
      <x:c r="D17" s="17" t="str">
        <x:v>hoch</x:v>
      </x:c>
      <x:c r="E17" s="17" t="n">
        <x:v>0.58</x:v>
      </x:c>
      <x:c r="F17" s="17" t="str">
        <x:v>Kategorie fuer Gegenpartei pruefen</x:v>
      </x:c>
      <x:c r="G17" s="17" t="str"/>
      <x:c r="H17" s="17" t="str"/>
      <x:c r="I17" s="17" t="str"/>
      <x:c r="J17" s="17" t="str"/>
      <x:c r="K17" s="17" t="str"/>
      <x:c r="L17" s="17" t="str">
        <x:v>11_Umsaetze_Modell</x:v>
      </x:c>
      <x:c r="M17" s="17" t="str">
        <x:v>TXN-RAW-IMP-20260516-FULLDRAFT-001974</x:v>
      </x:c>
      <x:c r="N17" s="17" t="str">
        <x:v>Kategorie festlegen</x:v>
      </x:c>
      <x:c r="O17" s="17" t="str"/>
      <x:c r="P17" s="17" t="str"/>
      <x:c r="Q17" s="17" t="str"/>
      <x:c r="R17" s="17" t="str"/>
      <x:c r="S17" s="17" t="str"/>
      <x:c r="T17" s="17" t="str">
        <x:v>Mehrere offene Buchungen mit gleicher Gegenpartei oder relevantem Volumen erkannt</x:v>
      </x:c>
      <x:c r="U17" s="17" t="str">
        <x:v>Kein automatisches Kategorie-Mapping; Nutzerentscheidung erforderlich</x:v>
      </x:c>
      <x:c r="V17" s="17" t="str">
        <x:f>IF($A17="","offen",IF($A17&lt;&gt;"annehmen","ok",IF(AND($C17="neue_Regelzahlung",OR($O17="",$P17="")),"unvollstaendig",IF(AND($C17="Kategorie_Mapping",$O17=""),"unvollstaendig",IF(AND($C17="neue_Transferregel",$R17=""),"unvollstaendig","ok")))))</x:f>
        <x:v>offen</x:v>
      </x:c>
      <x:c r="W17" s="17" t="str">
        <x:f>IF($A17="","",IF($A17&lt;&gt;"annehmen","",IF(AND($C17="neue_Regelzahlung",$O17=""),"Ziel_Kategorie_ID fehlt",IF(AND($C17="neue_Regelzahlung",$P17=""),"Ziel_Person_ID fehlt",IF(AND($C17="Kategorie_Mapping",$O17=""),"Ziel_Kategorie_ID fehlt",IF(AND($C17="neue_Transferregel",$R17=""),"Ziel_Transfer_Typ fehlt",""))))))</x:f>
      </x:c>
    </x:row>
    <x:row r="18">
      <x:c r="A18" s="17" t="str"/>
      <x:c r="B18" s="17" t="str">
        <x:v>SUG-20260521-067</x:v>
      </x:c>
      <x:c r="C18" s="17" t="str">
        <x:v>Kategorie_Mapping</x:v>
      </x:c>
      <x:c r="D18" s="17" t="str">
        <x:v>hoch</x:v>
      </x:c>
      <x:c r="E18" s="17" t="n">
        <x:v>0.58</x:v>
      </x:c>
      <x:c r="F18" s="17" t="str">
        <x:v>Kategorie fuer Gegenpartei pruefen</x:v>
      </x:c>
      <x:c r="G18" s="17" t="str"/>
      <x:c r="H18" s="17" t="str"/>
      <x:c r="I18" s="17" t="str"/>
      <x:c r="J18" s="17" t="str"/>
      <x:c r="K18" s="17" t="str"/>
      <x:c r="L18" s="17" t="str">
        <x:v>11_Umsaetze_Modell</x:v>
      </x:c>
      <x:c r="M18" s="17" t="str">
        <x:v>TXN-RAW-IMP-20260516-FULLDRAFT-000593</x:v>
      </x:c>
      <x:c r="N18" s="17" t="str">
        <x:v>Kategorie festlegen</x:v>
      </x:c>
      <x:c r="O18" s="17" t="str"/>
      <x:c r="P18" s="17" t="str"/>
      <x:c r="Q18" s="17" t="str"/>
      <x:c r="R18" s="17" t="str"/>
      <x:c r="S18" s="17" t="str"/>
      <x:c r="T18" s="17" t="str">
        <x:v>Mehrere offene Buchungen mit gleicher Gegenpartei oder relevantem Volumen erkannt</x:v>
      </x:c>
      <x:c r="U18" s="17" t="str">
        <x:v>Kein automatisches Kategorie-Mapping; Nutzerentscheidung erforderlich</x:v>
      </x:c>
      <x:c r="V18" s="17" t="str">
        <x:f>IF($A18="","offen",IF($A18&lt;&gt;"annehmen","ok",IF(AND($C18="neue_Regelzahlung",OR($O18="",$P18="")),"unvollstaendig",IF(AND($C18="Kategorie_Mapping",$O18=""),"unvollstaendig",IF(AND($C18="neue_Transferregel",$R18=""),"unvollstaendig","ok")))))</x:f>
        <x:v>offen</x:v>
      </x:c>
      <x:c r="W18" s="17" t="str">
        <x:f>IF($A18="","",IF($A18&lt;&gt;"annehmen","",IF(AND($C18="neue_Regelzahlung",$O18=""),"Ziel_Kategorie_ID fehlt",IF(AND($C18="neue_Regelzahlung",$P18=""),"Ziel_Person_ID fehlt",IF(AND($C18="Kategorie_Mapping",$O18=""),"Ziel_Kategorie_ID fehlt",IF(AND($C18="neue_Transferregel",$R18=""),"Ziel_Transfer_Typ fehlt",""))))))</x:f>
      </x:c>
    </x:row>
    <x:row r="19">
      <x:c r="A19" s="17" t="str"/>
      <x:c r="B19" s="17" t="str">
        <x:v>SUG-20260521-068</x:v>
      </x:c>
      <x:c r="C19" s="17" t="str">
        <x:v>Kategorie_Mapping</x:v>
      </x:c>
      <x:c r="D19" s="17" t="str">
        <x:v>hoch</x:v>
      </x:c>
      <x:c r="E19" s="17" t="n">
        <x:v>0.58</x:v>
      </x:c>
      <x:c r="F19" s="17" t="str">
        <x:v>Kategorie fuer Gegenpartei pruefen</x:v>
      </x:c>
      <x:c r="G19" s="17" t="str"/>
      <x:c r="H19" s="17" t="str"/>
      <x:c r="I19" s="17" t="str"/>
      <x:c r="J19" s="17" t="str"/>
      <x:c r="K19" s="17" t="str"/>
      <x:c r="L19" s="17" t="str">
        <x:v>11_Umsaetze_Modell</x:v>
      </x:c>
      <x:c r="M19" s="17" t="str">
        <x:v>TXN-RAW-IMP-20260516-FULLDRAFT-002052</x:v>
      </x:c>
      <x:c r="N19" s="17" t="str">
        <x:v>Kategorie festlegen</x:v>
      </x:c>
      <x:c r="O19" s="17" t="str"/>
      <x:c r="P19" s="17" t="str"/>
      <x:c r="Q19" s="17" t="str"/>
      <x:c r="R19" s="17" t="str"/>
      <x:c r="S19" s="17" t="str"/>
      <x:c r="T19" s="17" t="str">
        <x:v>Mehrere offene Buchungen mit gleicher Gegenpartei oder relevantem Volumen erkannt</x:v>
      </x:c>
      <x:c r="U19" s="17" t="str">
        <x:v>Kein automatisches Kategorie-Mapping; Nutzerentscheidung erforderlich</x:v>
      </x:c>
      <x:c r="V19" s="17" t="str">
        <x:f>IF($A19="","offen",IF($A19&lt;&gt;"annehmen","ok",IF(AND($C19="neue_Regelzahlung",OR($O19="",$P19="")),"unvollstaendig",IF(AND($C19="Kategorie_Mapping",$O19=""),"unvollstaendig",IF(AND($C19="neue_Transferregel",$R19=""),"unvollstaendig","ok")))))</x:f>
        <x:v>offen</x:v>
      </x:c>
      <x:c r="W19" s="17" t="str">
        <x:f>IF($A19="","",IF($A19&lt;&gt;"annehmen","",IF(AND($C19="neue_Regelzahlung",$O19=""),"Ziel_Kategorie_ID fehlt",IF(AND($C19="neue_Regelzahlung",$P19=""),"Ziel_Person_ID fehlt",IF(AND($C19="Kategorie_Mapping",$O19=""),"Ziel_Kategorie_ID fehlt",IF(AND($C19="neue_Transferregel",$R19=""),"Ziel_Transfer_Typ fehlt",""))))))</x:f>
      </x:c>
    </x:row>
    <x:row r="20">
      <x:c r="A20" s="17" t="str"/>
      <x:c r="B20" s="17" t="str">
        <x:v>SUG-20260521-069</x:v>
      </x:c>
      <x:c r="C20" s="17" t="str">
        <x:v>Kategorie_Mapping</x:v>
      </x:c>
      <x:c r="D20" s="17" t="str">
        <x:v>hoch</x:v>
      </x:c>
      <x:c r="E20" s="17" t="n">
        <x:v>0.58</x:v>
      </x:c>
      <x:c r="F20" s="17" t="str">
        <x:v>Kategorie fuer Gegenpartei pruefen</x:v>
      </x:c>
      <x:c r="G20" s="17" t="str"/>
      <x:c r="H20" s="17" t="str"/>
      <x:c r="I20" s="17" t="str"/>
      <x:c r="J20" s="17" t="str"/>
      <x:c r="K20" s="17" t="str"/>
      <x:c r="L20" s="17" t="str">
        <x:v>11_Umsaetze_Modell</x:v>
      </x:c>
      <x:c r="M20" s="17" t="str">
        <x:v>TXN-RAW-IMP-20260516-FULLDRAFT-001092</x:v>
      </x:c>
      <x:c r="N20" s="17" t="str">
        <x:v>Kategorie festlegen</x:v>
      </x:c>
      <x:c r="O20" s="17" t="str"/>
      <x:c r="P20" s="17" t="str"/>
      <x:c r="Q20" s="17" t="str"/>
      <x:c r="R20" s="17" t="str"/>
      <x:c r="S20" s="17" t="str"/>
      <x:c r="T20" s="17" t="str">
        <x:v>Mehrere offene Buchungen mit gleicher Gegenpartei oder relevantem Volumen erkannt</x:v>
      </x:c>
      <x:c r="U20" s="17" t="str">
        <x:v>Kein automatisches Kategorie-Mapping; Nutzerentscheidung erforderlich</x:v>
      </x:c>
      <x:c r="V20" s="17" t="str">
        <x:f>IF($A20="","offen",IF($A20&lt;&gt;"annehmen","ok",IF(AND($C20="neue_Regelzahlung",OR($O20="",$P20="")),"unvollstaendig",IF(AND($C20="Kategorie_Mapping",$O20=""),"unvollstaendig",IF(AND($C20="neue_Transferregel",$R20=""),"unvollstaendig","ok")))))</x:f>
        <x:v>offen</x:v>
      </x:c>
      <x:c r="W20" s="17" t="str">
        <x:f>IF($A20="","",IF($A20&lt;&gt;"annehmen","",IF(AND($C20="neue_Regelzahlung",$O20=""),"Ziel_Kategorie_ID fehlt",IF(AND($C20="neue_Regelzahlung",$P20=""),"Ziel_Person_ID fehlt",IF(AND($C20="Kategorie_Mapping",$O20=""),"Ziel_Kategorie_ID fehlt",IF(AND($C20="neue_Transferregel",$R20=""),"Ziel_Transfer_Typ fehlt",""))))))</x:f>
      </x:c>
    </x:row>
    <x:row r="21">
      <x:c r="A21" s="17" t="str"/>
      <x:c r="B21" s="17" t="str">
        <x:v>SUG-20260521-070</x:v>
      </x:c>
      <x:c r="C21" s="17" t="str">
        <x:v>Kategorie_Mapping</x:v>
      </x:c>
      <x:c r="D21" s="17" t="str">
        <x:v>hoch</x:v>
      </x:c>
      <x:c r="E21" s="17" t="n">
        <x:v>0.58</x:v>
      </x:c>
      <x:c r="F21" s="17" t="str">
        <x:v>Kategorie fuer Gegenpartei pruefen</x:v>
      </x:c>
      <x:c r="G21" s="17" t="str"/>
      <x:c r="H21" s="17" t="str"/>
      <x:c r="I21" s="17" t="str"/>
      <x:c r="J21" s="17" t="str"/>
      <x:c r="K21" s="17" t="str"/>
      <x:c r="L21" s="17" t="str">
        <x:v>11_Umsaetze_Modell</x:v>
      </x:c>
      <x:c r="M21" s="17" t="str">
        <x:v>TXN-RAW-IMP-20260516-FULLDRAFT-002180</x:v>
      </x:c>
      <x:c r="N21" s="17" t="str">
        <x:v>Kategorie festlegen</x:v>
      </x:c>
      <x:c r="O21" s="17" t="str"/>
      <x:c r="P21" s="17" t="str"/>
      <x:c r="Q21" s="17" t="str"/>
      <x:c r="R21" s="17" t="str"/>
      <x:c r="S21" s="17" t="str"/>
      <x:c r="T21" s="17" t="str">
        <x:v>Mehrere offene Buchungen mit gleicher Gegenpartei oder relevantem Volumen erkannt</x:v>
      </x:c>
      <x:c r="U21" s="17" t="str">
        <x:v>Kein automatisches Kategorie-Mapping; Nutzerentscheidung erforderlich</x:v>
      </x:c>
      <x:c r="V21" s="17" t="str">
        <x:f>IF($A21="","offen",IF($A21&lt;&gt;"annehmen","ok",IF(AND($C21="neue_Regelzahlung",OR($O21="",$P21="")),"unvollstaendig",IF(AND($C21="Kategorie_Mapping",$O21=""),"unvollstaendig",IF(AND($C21="neue_Transferregel",$R21=""),"unvollstaendig","ok")))))</x:f>
        <x:v>offen</x:v>
      </x:c>
      <x:c r="W21" s="17" t="str">
        <x:f>IF($A21="","",IF($A21&lt;&gt;"annehmen","",IF(AND($C21="neue_Regelzahlung",$O21=""),"Ziel_Kategorie_ID fehlt",IF(AND($C21="neue_Regelzahlung",$P21=""),"Ziel_Person_ID fehlt",IF(AND($C21="Kategorie_Mapping",$O21=""),"Ziel_Kategorie_ID fehlt",IF(AND($C21="neue_Transferregel",$R21=""),"Ziel_Transfer_Typ fehlt",""))))))</x:f>
      </x:c>
    </x:row>
    <x:row r="22">
      <x:c r="A22" s="17" t="str"/>
      <x:c r="B22" s="17" t="str">
        <x:v>SUG-20260521-071</x:v>
      </x:c>
      <x:c r="C22" s="17" t="str">
        <x:v>Kategorie_Mapping</x:v>
      </x:c>
      <x:c r="D22" s="17" t="str">
        <x:v>hoch</x:v>
      </x:c>
      <x:c r="E22" s="17" t="n">
        <x:v>0.58</x:v>
      </x:c>
      <x:c r="F22" s="17" t="str">
        <x:v>Kategorie fuer Gegenpartei pruefen</x:v>
      </x:c>
      <x:c r="G22" s="17" t="str"/>
      <x:c r="H22" s="17" t="str"/>
      <x:c r="I22" s="17" t="str"/>
      <x:c r="J22" s="17" t="str"/>
      <x:c r="K22" s="17" t="str"/>
      <x:c r="L22" s="17" t="str">
        <x:v>11_Umsaetze_Modell</x:v>
      </x:c>
      <x:c r="M22" s="17" t="str">
        <x:v>TXN-RAW-IMP-20260516-FULLDRAFT-002088</x:v>
      </x:c>
      <x:c r="N22" s="17" t="str">
        <x:v>Kategorie festlegen</x:v>
      </x:c>
      <x:c r="O22" s="17" t="str"/>
      <x:c r="P22" s="17" t="str"/>
      <x:c r="Q22" s="17" t="str"/>
      <x:c r="R22" s="17" t="str"/>
      <x:c r="S22" s="17" t="str"/>
      <x:c r="T22" s="17" t="str">
        <x:v>Mehrere offene Buchungen mit gleicher Gegenpartei oder relevantem Volumen erkannt</x:v>
      </x:c>
      <x:c r="U22" s="17" t="str">
        <x:v>Kein automatisches Kategorie-Mapping; Nutzerentscheidung erforderlich</x:v>
      </x:c>
      <x:c r="V22" s="17" t="str">
        <x:f>IF($A22="","offen",IF($A22&lt;&gt;"annehmen","ok",IF(AND($C22="neue_Regelzahlung",OR($O22="",$P22="")),"unvollstaendig",IF(AND($C22="Kategorie_Mapping",$O22=""),"unvollstaendig",IF(AND($C22="neue_Transferregel",$R22=""),"unvollstaendig","ok")))))</x:f>
        <x:v>offen</x:v>
      </x:c>
      <x:c r="W22" s="17" t="str">
        <x:f>IF($A22="","",IF($A22&lt;&gt;"annehmen","",IF(AND($C22="neue_Regelzahlung",$O22=""),"Ziel_Kategorie_ID fehlt",IF(AND($C22="neue_Regelzahlung",$P22=""),"Ziel_Person_ID fehlt",IF(AND($C22="Kategorie_Mapping",$O22=""),"Ziel_Kategorie_ID fehlt",IF(AND($C22="neue_Transferregel",$R22=""),"Ziel_Transfer_Typ fehlt",""))))))</x:f>
      </x:c>
    </x:row>
    <x:row r="23">
      <x:c r="A23" s="17" t="str"/>
      <x:c r="B23" s="17" t="str">
        <x:v>SUG-20260521-072</x:v>
      </x:c>
      <x:c r="C23" s="17" t="str">
        <x:v>Kategorie_Mapping</x:v>
      </x:c>
      <x:c r="D23" s="17" t="str">
        <x:v>hoch</x:v>
      </x:c>
      <x:c r="E23" s="17" t="n">
        <x:v>0.58</x:v>
      </x:c>
      <x:c r="F23" s="17" t="str">
        <x:v>Kategorie fuer Gegenpartei pruefen</x:v>
      </x:c>
      <x:c r="G23" s="17" t="str"/>
      <x:c r="H23" s="17" t="str"/>
      <x:c r="I23" s="17" t="str"/>
      <x:c r="J23" s="17" t="str"/>
      <x:c r="K23" s="17" t="str"/>
      <x:c r="L23" s="17" t="str">
        <x:v>11_Umsaetze_Modell</x:v>
      </x:c>
      <x:c r="M23" s="17" t="str">
        <x:v>TXN-RAW-IMP-20260516-FULLDRAFT-001733</x:v>
      </x:c>
      <x:c r="N23" s="17" t="str">
        <x:v>Kategorie festlegen</x:v>
      </x:c>
      <x:c r="O23" s="17" t="str"/>
      <x:c r="P23" s="17" t="str"/>
      <x:c r="Q23" s="17" t="str"/>
      <x:c r="R23" s="17" t="str"/>
      <x:c r="S23" s="17" t="str"/>
      <x:c r="T23" s="17" t="str">
        <x:v>Mehrere offene Buchungen mit gleicher Gegenpartei oder relevantem Volumen erkannt</x:v>
      </x:c>
      <x:c r="U23" s="17" t="str">
        <x:v>Kein automatisches Kategorie-Mapping; Nutzerentscheidung erforderlich</x:v>
      </x:c>
      <x:c r="V23" s="17" t="str">
        <x:f>IF($A23="","offen",IF($A23&lt;&gt;"annehmen","ok",IF(AND($C23="neue_Regelzahlung",OR($O23="",$P23="")),"unvollstaendig",IF(AND($C23="Kategorie_Mapping",$O23=""),"unvollstaendig",IF(AND($C23="neue_Transferregel",$R23=""),"unvollstaendig","ok")))))</x:f>
        <x:v>offen</x:v>
      </x:c>
      <x:c r="W23" s="17" t="str">
        <x:f>IF($A23="","",IF($A23&lt;&gt;"annehmen","",IF(AND($C23="neue_Regelzahlung",$O23=""),"Ziel_Kategorie_ID fehlt",IF(AND($C23="neue_Regelzahlung",$P23=""),"Ziel_Person_ID fehlt",IF(AND($C23="Kategorie_Mapping",$O23=""),"Ziel_Kategorie_ID fehlt",IF(AND($C23="neue_Transferregel",$R23=""),"Ziel_Transfer_Typ fehlt",""))))))</x:f>
      </x:c>
    </x:row>
    <x:row r="24">
      <x:c r="A24" s="17" t="str"/>
      <x:c r="B24" s="17" t="str">
        <x:v>SUG-20260521-073</x:v>
      </x:c>
      <x:c r="C24" s="17" t="str">
        <x:v>Kategorie_Mapping</x:v>
      </x:c>
      <x:c r="D24" s="17" t="str">
        <x:v>hoch</x:v>
      </x:c>
      <x:c r="E24" s="17" t="n">
        <x:v>0.58</x:v>
      </x:c>
      <x:c r="F24" s="17" t="str">
        <x:v>Kategorie fuer Gegenpartei pruefen</x:v>
      </x:c>
      <x:c r="G24" s="17" t="str"/>
      <x:c r="H24" s="17" t="str"/>
      <x:c r="I24" s="17" t="str"/>
      <x:c r="J24" s="17" t="str"/>
      <x:c r="K24" s="17" t="str"/>
      <x:c r="L24" s="17" t="str">
        <x:v>11_Umsaetze_Modell</x:v>
      </x:c>
      <x:c r="M24" s="17" t="str">
        <x:v>TXN-RAW-IMP-20260516-FULLDRAFT-002082</x:v>
      </x:c>
      <x:c r="N24" s="17" t="str">
        <x:v>Kategorie festlegen</x:v>
      </x:c>
      <x:c r="O24" s="17" t="str"/>
      <x:c r="P24" s="17" t="str"/>
      <x:c r="Q24" s="17" t="str"/>
      <x:c r="R24" s="17" t="str"/>
      <x:c r="S24" s="17" t="str"/>
      <x:c r="T24" s="17" t="str">
        <x:v>Mehrere offene Buchungen mit gleicher Gegenpartei oder relevantem Volumen erkannt</x:v>
      </x:c>
      <x:c r="U24" s="17" t="str">
        <x:v>Kein automatisches Kategorie-Mapping; Nutzerentscheidung erforderlich</x:v>
      </x:c>
      <x:c r="V24" s="17" t="str">
        <x:f>IF($A24="","offen",IF($A24&lt;&gt;"annehmen","ok",IF(AND($C24="neue_Regelzahlung",OR($O24="",$P24="")),"unvollstaendig",IF(AND($C24="Kategorie_Mapping",$O24=""),"unvollstaendig",IF(AND($C24="neue_Transferregel",$R24=""),"unvollstaendig","ok")))))</x:f>
        <x:v>offen</x:v>
      </x:c>
      <x:c r="W24" s="17" t="str">
        <x:f>IF($A24="","",IF($A24&lt;&gt;"annehmen","",IF(AND($C24="neue_Regelzahlung",$O24=""),"Ziel_Kategorie_ID fehlt",IF(AND($C24="neue_Regelzahlung",$P24=""),"Ziel_Person_ID fehlt",IF(AND($C24="Kategorie_Mapping",$O24=""),"Ziel_Kategorie_ID fehlt",IF(AND($C24="neue_Transferregel",$R24=""),"Ziel_Transfer_Typ fehlt",""))))))</x:f>
      </x:c>
    </x:row>
    <x:row r="25">
      <x:c r="A25" s="17" t="str"/>
      <x:c r="B25" s="17" t="str">
        <x:v>SUG-20260521-075</x:v>
      </x:c>
      <x:c r="C25" s="17" t="str">
        <x:v>Kategorie_Mapping</x:v>
      </x:c>
      <x:c r="D25" s="17" t="str">
        <x:v>hoch</x:v>
      </x:c>
      <x:c r="E25" s="17" t="n">
        <x:v>0.58</x:v>
      </x:c>
      <x:c r="F25" s="17" t="str">
        <x:v>Kategorie fuer Gegenpartei pruefen</x:v>
      </x:c>
      <x:c r="G25" s="17" t="str"/>
      <x:c r="H25" s="17" t="str"/>
      <x:c r="I25" s="17" t="str"/>
      <x:c r="J25" s="17" t="str"/>
      <x:c r="K25" s="17" t="str"/>
      <x:c r="L25" s="17" t="str">
        <x:v>11_Umsaetze_Modell</x:v>
      </x:c>
      <x:c r="M25" s="17" t="str">
        <x:v>TXN-RAW-IMP-20260516-FULLDRAFT-000758</x:v>
      </x:c>
      <x:c r="N25" s="17" t="str">
        <x:v>Kategorie festlegen</x:v>
      </x:c>
      <x:c r="O25" s="17" t="str"/>
      <x:c r="P25" s="17" t="str"/>
      <x:c r="Q25" s="17" t="str"/>
      <x:c r="R25" s="17" t="str"/>
      <x:c r="S25" s="17" t="str"/>
      <x:c r="T25" s="17" t="str">
        <x:v>Mehrere offene Buchungen mit gleicher Gegenpartei oder relevantem Volumen erkannt</x:v>
      </x:c>
      <x:c r="U25" s="17" t="str">
        <x:v>Kein automatisches Kategorie-Mapping; Nutzerentscheidung erforderlich</x:v>
      </x:c>
      <x:c r="V25" s="17" t="str">
        <x:f>IF($A25="","offen",IF($A25&lt;&gt;"annehmen","ok",IF(AND($C25="neue_Regelzahlung",OR($O25="",$P25="")),"unvollstaendig",IF(AND($C25="Kategorie_Mapping",$O25=""),"unvollstaendig",IF(AND($C25="neue_Transferregel",$R25=""),"unvollstaendig","ok")))))</x:f>
        <x:v>offen</x:v>
      </x:c>
      <x:c r="W25" s="17" t="str">
        <x:f>IF($A25="","",IF($A25&lt;&gt;"annehmen","",IF(AND($C25="neue_Regelzahlung",$O25=""),"Ziel_Kategorie_ID fehlt",IF(AND($C25="neue_Regelzahlung",$P25=""),"Ziel_Person_ID fehlt",IF(AND($C25="Kategorie_Mapping",$O25=""),"Ziel_Kategorie_ID fehlt",IF(AND($C25="neue_Transferregel",$R25=""),"Ziel_Transfer_Typ fehlt",""))))))</x:f>
      </x:c>
    </x:row>
    <x:row r="26">
      <x:c r="A26" s="17" t="str"/>
      <x:c r="B26" s="17" t="str">
        <x:v>SUG-20260521-076</x:v>
      </x:c>
      <x:c r="C26" s="17" t="str">
        <x:v>Kategorie_Mapping</x:v>
      </x:c>
      <x:c r="D26" s="17" t="str">
        <x:v>hoch</x:v>
      </x:c>
      <x:c r="E26" s="17" t="n">
        <x:v>0.58</x:v>
      </x:c>
      <x:c r="F26" s="17" t="str">
        <x:v>Kategorie fuer Gegenpartei pruefen</x:v>
      </x:c>
      <x:c r="G26" s="17" t="str"/>
      <x:c r="H26" s="17" t="str"/>
      <x:c r="I26" s="17" t="str"/>
      <x:c r="J26" s="17" t="str"/>
      <x:c r="K26" s="17" t="str"/>
      <x:c r="L26" s="17" t="str">
        <x:v>11_Umsaetze_Modell</x:v>
      </x:c>
      <x:c r="M26" s="17" t="str">
        <x:v>TXN-RAW-IMP-20260516-FULLDRAFT-000973</x:v>
      </x:c>
      <x:c r="N26" s="17" t="str">
        <x:v>Kategorie festlegen</x:v>
      </x:c>
      <x:c r="O26" s="17" t="str"/>
      <x:c r="P26" s="17" t="str"/>
      <x:c r="Q26" s="17" t="str"/>
      <x:c r="R26" s="17" t="str"/>
      <x:c r="S26" s="17" t="str"/>
      <x:c r="T26" s="17" t="str">
        <x:v>Mehrere offene Buchungen mit gleicher Gegenpartei oder relevantem Volumen erkannt</x:v>
      </x:c>
      <x:c r="U26" s="17" t="str">
        <x:v>Kein automatisches Kategorie-Mapping; Nutzerentscheidung erforderlich</x:v>
      </x:c>
      <x:c r="V26" s="17" t="str">
        <x:f>IF($A26="","offen",IF($A26&lt;&gt;"annehmen","ok",IF(AND($C26="neue_Regelzahlung",OR($O26="",$P26="")),"unvollstaendig",IF(AND($C26="Kategorie_Mapping",$O26=""),"unvollstaendig",IF(AND($C26="neue_Transferregel",$R26=""),"unvollstaendig","ok")))))</x:f>
        <x:v>offen</x:v>
      </x:c>
      <x:c r="W26" s="17" t="str">
        <x:f>IF($A26="","",IF($A26&lt;&gt;"annehmen","",IF(AND($C26="neue_Regelzahlung",$O26=""),"Ziel_Kategorie_ID fehlt",IF(AND($C26="neue_Regelzahlung",$P26=""),"Ziel_Person_ID fehlt",IF(AND($C26="Kategorie_Mapping",$O26=""),"Ziel_Kategorie_ID fehlt",IF(AND($C26="neue_Transferregel",$R26=""),"Ziel_Transfer_Typ fehlt",""))))))</x:f>
      </x:c>
    </x:row>
    <x:row r="27">
      <x:c r="A27" s="17" t="str"/>
      <x:c r="B27" s="17" t="str">
        <x:v>SUG-20260521-077</x:v>
      </x:c>
      <x:c r="C27" s="17" t="str">
        <x:v>Kategorie_Mapping</x:v>
      </x:c>
      <x:c r="D27" s="17" t="str">
        <x:v>hoch</x:v>
      </x:c>
      <x:c r="E27" s="17" t="n">
        <x:v>0.58</x:v>
      </x:c>
      <x:c r="F27" s="17" t="str">
        <x:v>Kategorie fuer Gegenpartei pruefen</x:v>
      </x:c>
      <x:c r="G27" s="17" t="str"/>
      <x:c r="H27" s="17" t="str"/>
      <x:c r="I27" s="17" t="str"/>
      <x:c r="J27" s="17" t="str"/>
      <x:c r="K27" s="17" t="str"/>
      <x:c r="L27" s="17" t="str">
        <x:v>11_Umsaetze_Modell</x:v>
      </x:c>
      <x:c r="M27" s="17" t="str">
        <x:v>TXN-RAW-IMP-20260516-FULLDRAFT-001642</x:v>
      </x:c>
      <x:c r="N27" s="17" t="str">
        <x:v>Kategorie festlegen</x:v>
      </x:c>
      <x:c r="O27" s="17" t="str"/>
      <x:c r="P27" s="17" t="str"/>
      <x:c r="Q27" s="17" t="str"/>
      <x:c r="R27" s="17" t="str"/>
      <x:c r="S27" s="17" t="str"/>
      <x:c r="T27" s="17" t="str">
        <x:v>Mehrere offene Buchungen mit gleicher Gegenpartei oder relevantem Volumen erkannt</x:v>
      </x:c>
      <x:c r="U27" s="17" t="str">
        <x:v>Kein automatisches Kategorie-Mapping; Nutzerentscheidung erforderlich</x:v>
      </x:c>
      <x:c r="V27" s="17" t="str">
        <x:f>IF($A27="","offen",IF($A27&lt;&gt;"annehmen","ok",IF(AND($C27="neue_Regelzahlung",OR($O27="",$P27="")),"unvollstaendig",IF(AND($C27="Kategorie_Mapping",$O27=""),"unvollstaendig",IF(AND($C27="neue_Transferregel",$R27=""),"unvollstaendig","ok")))))</x:f>
        <x:v>offen</x:v>
      </x:c>
      <x:c r="W27" s="17" t="str">
        <x:f>IF($A27="","",IF($A27&lt;&gt;"annehmen","",IF(AND($C27="neue_Regelzahlung",$O27=""),"Ziel_Kategorie_ID fehlt",IF(AND($C27="neue_Regelzahlung",$P27=""),"Ziel_Person_ID fehlt",IF(AND($C27="Kategorie_Mapping",$O27=""),"Ziel_Kategorie_ID fehlt",IF(AND($C27="neue_Transferregel",$R27=""),"Ziel_Transfer_Typ fehlt",""))))))</x:f>
      </x:c>
    </x:row>
    <x:row r="28">
      <x:c r="A28" s="17" t="str"/>
      <x:c r="B28" s="17" t="str">
        <x:v>SUG-20260521-078</x:v>
      </x:c>
      <x:c r="C28" s="17" t="str">
        <x:v>Kategorie_Mapping</x:v>
      </x:c>
      <x:c r="D28" s="17" t="str">
        <x:v>hoch</x:v>
      </x:c>
      <x:c r="E28" s="17" t="n">
        <x:v>0.58</x:v>
      </x:c>
      <x:c r="F28" s="17" t="str">
        <x:v>Kategorie fuer Gegenpartei pruefen</x:v>
      </x:c>
      <x:c r="G28" s="17" t="str"/>
      <x:c r="H28" s="17" t="str"/>
      <x:c r="I28" s="17" t="str"/>
      <x:c r="J28" s="17" t="str"/>
      <x:c r="K28" s="17" t="str"/>
      <x:c r="L28" s="17" t="str">
        <x:v>11_Umsaetze_Modell</x:v>
      </x:c>
      <x:c r="M28" s="17" t="str">
        <x:v>TXN-RAW-IMP-20260516-FULLDRAFT-002201</x:v>
      </x:c>
      <x:c r="N28" s="17" t="str">
        <x:v>Kategorie festlegen</x:v>
      </x:c>
      <x:c r="O28" s="17" t="str"/>
      <x:c r="P28" s="17" t="str"/>
      <x:c r="Q28" s="17" t="str"/>
      <x:c r="R28" s="17" t="str"/>
      <x:c r="S28" s="17" t="str"/>
      <x:c r="T28" s="17" t="str">
        <x:v>Mehrere offene Buchungen mit gleicher Gegenpartei oder relevantem Volumen erkannt</x:v>
      </x:c>
      <x:c r="U28" s="17" t="str">
        <x:v>Kein automatisches Kategorie-Mapping; Nutzerentscheidung erforderlich</x:v>
      </x:c>
      <x:c r="V28" s="17" t="str">
        <x:f>IF($A28="","offen",IF($A28&lt;&gt;"annehmen","ok",IF(AND($C28="neue_Regelzahlung",OR($O28="",$P28="")),"unvollstaendig",IF(AND($C28="Kategorie_Mapping",$O28=""),"unvollstaendig",IF(AND($C28="neue_Transferregel",$R28=""),"unvollstaendig","ok")))))</x:f>
        <x:v>offen</x:v>
      </x:c>
      <x:c r="W28" s="17" t="str">
        <x:f>IF($A28="","",IF($A28&lt;&gt;"annehmen","",IF(AND($C28="neue_Regelzahlung",$O28=""),"Ziel_Kategorie_ID fehlt",IF(AND($C28="neue_Regelzahlung",$P28=""),"Ziel_Person_ID fehlt",IF(AND($C28="Kategorie_Mapping",$O28=""),"Ziel_Kategorie_ID fehlt",IF(AND($C28="neue_Transferregel",$R28=""),"Ziel_Transfer_Typ fehlt",""))))))</x:f>
      </x:c>
    </x:row>
    <x:row r="29">
      <x:c r="A29" s="17" t="str"/>
      <x:c r="B29" s="17" t="str">
        <x:v>SUG-20260521-079</x:v>
      </x:c>
      <x:c r="C29" s="17" t="str">
        <x:v>Kategorie_Mapping</x:v>
      </x:c>
      <x:c r="D29" s="17" t="str">
        <x:v>hoch</x:v>
      </x:c>
      <x:c r="E29" s="17" t="n">
        <x:v>0.58</x:v>
      </x:c>
      <x:c r="F29" s="17" t="str">
        <x:v>Kategorie fuer Gegenpartei pruefen</x:v>
      </x:c>
      <x:c r="G29" s="17" t="str"/>
      <x:c r="H29" s="17" t="str"/>
      <x:c r="I29" s="17" t="str"/>
      <x:c r="J29" s="17" t="str"/>
      <x:c r="K29" s="17" t="str"/>
      <x:c r="L29" s="17" t="str">
        <x:v>11_Umsaetze_Modell</x:v>
      </x:c>
      <x:c r="M29" s="17" t="str">
        <x:v>TXN-RAW-IMP-20260516-FULLDRAFT-000028</x:v>
      </x:c>
      <x:c r="N29" s="17" t="str">
        <x:v>Kategorie festlegen</x:v>
      </x:c>
      <x:c r="O29" s="17" t="str"/>
      <x:c r="P29" s="17" t="str"/>
      <x:c r="Q29" s="17" t="str"/>
      <x:c r="R29" s="17" t="str"/>
      <x:c r="S29" s="17" t="str"/>
      <x:c r="T29" s="17" t="str">
        <x:v>Mehrere offene Buchungen mit gleicher Gegenpartei oder relevantem Volumen erkannt</x:v>
      </x:c>
      <x:c r="U29" s="17" t="str">
        <x:v>Kein automatisches Kategorie-Mapping; Nutzerentscheidung erforderlich</x:v>
      </x:c>
      <x:c r="V29" s="17" t="str">
        <x:f>IF($A29="","offen",IF($A29&lt;&gt;"annehmen","ok",IF(AND($C29="neue_Regelzahlung",OR($O29="",$P29="")),"unvollstaendig",IF(AND($C29="Kategorie_Mapping",$O29=""),"unvollstaendig",IF(AND($C29="neue_Transferregel",$R29=""),"unvollstaendig","ok")))))</x:f>
        <x:v>offen</x:v>
      </x:c>
      <x:c r="W29" s="17" t="str">
        <x:f>IF($A29="","",IF($A29&lt;&gt;"annehmen","",IF(AND($C29="neue_Regelzahlung",$O29=""),"Ziel_Kategorie_ID fehlt",IF(AND($C29="neue_Regelzahlung",$P29=""),"Ziel_Person_ID fehlt",IF(AND($C29="Kategorie_Mapping",$O29=""),"Ziel_Kategorie_ID fehlt",IF(AND($C29="neue_Transferregel",$R29=""),"Ziel_Transfer_Typ fehlt",""))))))</x:f>
      </x:c>
    </x:row>
    <x:row r="30">
      <x:c r="A30" s="17" t="str"/>
      <x:c r="B30" s="17" t="str">
        <x:v>SUG-20260521-081</x:v>
      </x:c>
      <x:c r="C30" s="17" t="str">
        <x:v>Kategorie_Mapping</x:v>
      </x:c>
      <x:c r="D30" s="17" t="str">
        <x:v>hoch</x:v>
      </x:c>
      <x:c r="E30" s="17" t="n">
        <x:v>0.58</x:v>
      </x:c>
      <x:c r="F30" s="17" t="str">
        <x:v>Kategorie fuer Gegenpartei pruefen</x:v>
      </x:c>
      <x:c r="G30" s="17" t="str"/>
      <x:c r="H30" s="17" t="str"/>
      <x:c r="I30" s="17" t="str"/>
      <x:c r="J30" s="17" t="str"/>
      <x:c r="K30" s="17" t="str"/>
      <x:c r="L30" s="17" t="str">
        <x:v>11_Umsaetze_Modell</x:v>
      </x:c>
      <x:c r="M30" s="17" t="str">
        <x:v>TXN-RAW-IMP-20260516-FULLDRAFT-000627</x:v>
      </x:c>
      <x:c r="N30" s="17" t="str">
        <x:v>Kategorie festlegen</x:v>
      </x:c>
      <x:c r="O30" s="17" t="str"/>
      <x:c r="P30" s="17" t="str"/>
      <x:c r="Q30" s="17" t="str"/>
      <x:c r="R30" s="17" t="str"/>
      <x:c r="S30" s="17" t="str"/>
      <x:c r="T30" s="17" t="str">
        <x:v>Mehrere offene Buchungen mit gleicher Gegenpartei oder relevantem Volumen erkannt</x:v>
      </x:c>
      <x:c r="U30" s="17" t="str">
        <x:v>Kein automatisches Kategorie-Mapping; Nutzerentscheidung erforderlich</x:v>
      </x:c>
      <x:c r="V30" s="17" t="str">
        <x:f>IF($A30="","offen",IF($A30&lt;&gt;"annehmen","ok",IF(AND($C30="neue_Regelzahlung",OR($O30="",$P30="")),"unvollstaendig",IF(AND($C30="Kategorie_Mapping",$O30=""),"unvollstaendig",IF(AND($C30="neue_Transferregel",$R30=""),"unvollstaendig","ok")))))</x:f>
        <x:v>offen</x:v>
      </x:c>
      <x:c r="W30" s="17" t="str">
        <x:f>IF($A30="","",IF($A30&lt;&gt;"annehmen","",IF(AND($C30="neue_Regelzahlung",$O30=""),"Ziel_Kategorie_ID fehlt",IF(AND($C30="neue_Regelzahlung",$P30=""),"Ziel_Person_ID fehlt",IF(AND($C30="Kategorie_Mapping",$O30=""),"Ziel_Kategorie_ID fehlt",IF(AND($C30="neue_Transferregel",$R30=""),"Ziel_Transfer_Typ fehlt",""))))))</x:f>
      </x:c>
    </x:row>
    <x:row r="31">
      <x:c r="A31" s="17" t="str"/>
      <x:c r="B31" s="17" t="str">
        <x:v>SUG-20260521-083</x:v>
      </x:c>
      <x:c r="C31" s="17" t="str">
        <x:v>Kategorie_Mapping</x:v>
      </x:c>
      <x:c r="D31" s="17" t="str">
        <x:v>hoch</x:v>
      </x:c>
      <x:c r="E31" s="17" t="n">
        <x:v>0.58</x:v>
      </x:c>
      <x:c r="F31" s="17" t="str">
        <x:v>Kategorie fuer Gegenpartei pruefen</x:v>
      </x:c>
      <x:c r="G31" s="17" t="str"/>
      <x:c r="H31" s="17" t="str"/>
      <x:c r="I31" s="17" t="str"/>
      <x:c r="J31" s="17" t="str"/>
      <x:c r="K31" s="17" t="str"/>
      <x:c r="L31" s="17" t="str">
        <x:v>11_Umsaetze_Modell</x:v>
      </x:c>
      <x:c r="M31" s="17" t="str">
        <x:v>TXN-RAW-IMP-20260516-FULLDRAFT-001071</x:v>
      </x:c>
      <x:c r="N31" s="17" t="str">
        <x:v>Kategorie festlegen</x:v>
      </x:c>
      <x:c r="O31" s="17" t="str"/>
      <x:c r="P31" s="17" t="str"/>
      <x:c r="Q31" s="17" t="str"/>
      <x:c r="R31" s="17" t="str"/>
      <x:c r="S31" s="17" t="str"/>
      <x:c r="T31" s="17" t="str">
        <x:v>Mehrere offene Buchungen mit gleicher Gegenpartei oder relevantem Volumen erkannt</x:v>
      </x:c>
      <x:c r="U31" s="17" t="str">
        <x:v>Kein automatisches Kategorie-Mapping; Nutzerentscheidung erforderlich</x:v>
      </x:c>
      <x:c r="V31" s="17" t="str">
        <x:f>IF($A31="","offen",IF($A31&lt;&gt;"annehmen","ok",IF(AND($C31="neue_Regelzahlung",OR($O31="",$P31="")),"unvollstaendig",IF(AND($C31="Kategorie_Mapping",$O31=""),"unvollstaendig",IF(AND($C31="neue_Transferregel",$R31=""),"unvollstaendig","ok")))))</x:f>
        <x:v>offen</x:v>
      </x:c>
      <x:c r="W31" s="17" t="str">
        <x:f>IF($A31="","",IF($A31&lt;&gt;"annehmen","",IF(AND($C31="neue_Regelzahlung",$O31=""),"Ziel_Kategorie_ID fehlt",IF(AND($C31="neue_Regelzahlung",$P31=""),"Ziel_Person_ID fehlt",IF(AND($C31="Kategorie_Mapping",$O31=""),"Ziel_Kategorie_ID fehlt",IF(AND($C31="neue_Transferregel",$R31=""),"Ziel_Transfer_Typ fehlt",""))))))</x:f>
      </x:c>
    </x:row>
    <x:row r="32">
      <x:c r="A32" s="17" t="str"/>
      <x:c r="B32" s="17" t="str">
        <x:v>SUG-20260521-084</x:v>
      </x:c>
      <x:c r="C32" s="17" t="str">
        <x:v>Kategorie_Mapping</x:v>
      </x:c>
      <x:c r="D32" s="17" t="str">
        <x:v>hoch</x:v>
      </x:c>
      <x:c r="E32" s="17" t="n">
        <x:v>0.58</x:v>
      </x:c>
      <x:c r="F32" s="17" t="str">
        <x:v>Kategorie fuer Gegenpartei pruefen</x:v>
      </x:c>
      <x:c r="G32" s="17" t="str"/>
      <x:c r="H32" s="17" t="str"/>
      <x:c r="I32" s="17" t="str"/>
      <x:c r="J32" s="17" t="str"/>
      <x:c r="K32" s="17" t="str"/>
      <x:c r="L32" s="17" t="str">
        <x:v>11_Umsaetze_Modell</x:v>
      </x:c>
      <x:c r="M32" s="17" t="str">
        <x:v>TXN-RAW-IMP-20260516-FULLDRAFT-000346</x:v>
      </x:c>
      <x:c r="N32" s="17" t="str">
        <x:v>Kategorie festlegen</x:v>
      </x:c>
      <x:c r="O32" s="17" t="str"/>
      <x:c r="P32" s="17" t="str"/>
      <x:c r="Q32" s="17" t="str"/>
      <x:c r="R32" s="17" t="str"/>
      <x:c r="S32" s="17" t="str"/>
      <x:c r="T32" s="17" t="str">
        <x:v>Mehrere offene Buchungen mit gleicher Gegenpartei oder relevantem Volumen erkannt</x:v>
      </x:c>
      <x:c r="U32" s="17" t="str">
        <x:v>Kein automatisches Kategorie-Mapping; Nutzerentscheidung erforderlich</x:v>
      </x:c>
      <x:c r="V32" s="17" t="str">
        <x:f>IF($A32="","offen",IF($A32&lt;&gt;"annehmen","ok",IF(AND($C32="neue_Regelzahlung",OR($O32="",$P32="")),"unvollstaendig",IF(AND($C32="Kategorie_Mapping",$O32=""),"unvollstaendig",IF(AND($C32="neue_Transferregel",$R32=""),"unvollstaendig","ok")))))</x:f>
        <x:v>offen</x:v>
      </x:c>
      <x:c r="W32" s="17" t="str">
        <x:f>IF($A32="","",IF($A32&lt;&gt;"annehmen","",IF(AND($C32="neue_Regelzahlung",$O32=""),"Ziel_Kategorie_ID fehlt",IF(AND($C32="neue_Regelzahlung",$P32=""),"Ziel_Person_ID fehlt",IF(AND($C32="Kategorie_Mapping",$O32=""),"Ziel_Kategorie_ID fehlt",IF(AND($C32="neue_Transferregel",$R32=""),"Ziel_Transfer_Typ fehlt",""))))))</x:f>
      </x:c>
    </x:row>
    <x:row r="33">
      <x:c r="A33" s="17" t="str"/>
      <x:c r="B33" s="17" t="str">
        <x:v>SUG-20260521-085</x:v>
      </x:c>
      <x:c r="C33" s="17" t="str">
        <x:v>Kategorie_Mapping</x:v>
      </x:c>
      <x:c r="D33" s="17" t="str">
        <x:v>hoch</x:v>
      </x:c>
      <x:c r="E33" s="17" t="n">
        <x:v>0.58</x:v>
      </x:c>
      <x:c r="F33" s="17" t="str">
        <x:v>Kategorie fuer Gegenpartei pruefen</x:v>
      </x:c>
      <x:c r="G33" s="17" t="str"/>
      <x:c r="H33" s="17" t="str"/>
      <x:c r="I33" s="17" t="str"/>
      <x:c r="J33" s="17" t="str"/>
      <x:c r="K33" s="17" t="str"/>
      <x:c r="L33" s="17" t="str">
        <x:v>11_Umsaetze_Modell</x:v>
      </x:c>
      <x:c r="M33" s="17" t="str">
        <x:v>TXN-RAW-IMP-20260516-FULLDRAFT-002242</x:v>
      </x:c>
      <x:c r="N33" s="17" t="str">
        <x:v>Kategorie festlegen</x:v>
      </x:c>
      <x:c r="O33" s="17" t="str"/>
      <x:c r="P33" s="17" t="str"/>
      <x:c r="Q33" s="17" t="str"/>
      <x:c r="R33" s="17" t="str"/>
      <x:c r="S33" s="17" t="str"/>
      <x:c r="T33" s="17" t="str">
        <x:v>Mehrere offene Buchungen mit gleicher Gegenpartei oder relevantem Volumen erkannt</x:v>
      </x:c>
      <x:c r="U33" s="17" t="str">
        <x:v>Kein automatisches Kategorie-Mapping; Nutzerentscheidung erforderlich</x:v>
      </x:c>
      <x:c r="V33" s="17" t="str">
        <x:f>IF($A33="","offen",IF($A33&lt;&gt;"annehmen","ok",IF(AND($C33="neue_Regelzahlung",OR($O33="",$P33="")),"unvollstaendig",IF(AND($C33="Kategorie_Mapping",$O33=""),"unvollstaendig",IF(AND($C33="neue_Transferregel",$R33=""),"unvollstaendig","ok")))))</x:f>
        <x:v>offen</x:v>
      </x:c>
      <x:c r="W33" s="17" t="str">
        <x:f>IF($A33="","",IF($A33&lt;&gt;"annehmen","",IF(AND($C33="neue_Regelzahlung",$O33=""),"Ziel_Kategorie_ID fehlt",IF(AND($C33="neue_Regelzahlung",$P33=""),"Ziel_Person_ID fehlt",IF(AND($C33="Kategorie_Mapping",$O33=""),"Ziel_Kategorie_ID fehlt",IF(AND($C33="neue_Transferregel",$R33=""),"Ziel_Transfer_Typ fehlt",""))))))</x:f>
      </x:c>
    </x:row>
    <x:row r="34">
      <x:c r="A34" s="17" t="str"/>
      <x:c r="B34" s="17" t="str">
        <x:v>SUG-20260521-086</x:v>
      </x:c>
      <x:c r="C34" s="17" t="str">
        <x:v>Kategorie_Mapping</x:v>
      </x:c>
      <x:c r="D34" s="17" t="str">
        <x:v>hoch</x:v>
      </x:c>
      <x:c r="E34" s="17" t="n">
        <x:v>0.58</x:v>
      </x:c>
      <x:c r="F34" s="17" t="str">
        <x:v>Kategorie fuer Gegenpartei pruefen</x:v>
      </x:c>
      <x:c r="G34" s="17" t="str"/>
      <x:c r="H34" s="17" t="str"/>
      <x:c r="I34" s="17" t="str"/>
      <x:c r="J34" s="17" t="str"/>
      <x:c r="K34" s="17" t="str"/>
      <x:c r="L34" s="17" t="str">
        <x:v>11_Umsaetze_Modell</x:v>
      </x:c>
      <x:c r="M34" s="17" t="str">
        <x:v>TXN-RAW-IMP-20260516-FULLDRAFT-001429</x:v>
      </x:c>
      <x:c r="N34" s="17" t="str">
        <x:v>Kategorie festlegen</x:v>
      </x:c>
      <x:c r="O34" s="17" t="str"/>
      <x:c r="P34" s="17" t="str"/>
      <x:c r="Q34" s="17" t="str"/>
      <x:c r="R34" s="17" t="str"/>
      <x:c r="S34" s="17" t="str"/>
      <x:c r="T34" s="17" t="str">
        <x:v>Mehrere offene Buchungen mit gleicher Gegenpartei oder relevantem Volumen erkannt</x:v>
      </x:c>
      <x:c r="U34" s="17" t="str">
        <x:v>Kein automatisches Kategorie-Mapping; Nutzerentscheidung erforderlich</x:v>
      </x:c>
      <x:c r="V34" s="17" t="str">
        <x:f>IF($A34="","offen",IF($A34&lt;&gt;"annehmen","ok",IF(AND($C34="neue_Regelzahlung",OR($O34="",$P34="")),"unvollstaendig",IF(AND($C34="Kategorie_Mapping",$O34=""),"unvollstaendig",IF(AND($C34="neue_Transferregel",$R34=""),"unvollstaendig","ok")))))</x:f>
        <x:v>offen</x:v>
      </x:c>
      <x:c r="W34" s="17" t="str">
        <x:f>IF($A34="","",IF($A34&lt;&gt;"annehmen","",IF(AND($C34="neue_Regelzahlung",$O34=""),"Ziel_Kategorie_ID fehlt",IF(AND($C34="neue_Regelzahlung",$P34=""),"Ziel_Person_ID fehlt",IF(AND($C34="Kategorie_Mapping",$O34=""),"Ziel_Kategorie_ID fehlt",IF(AND($C34="neue_Transferregel",$R34=""),"Ziel_Transfer_Typ fehlt",""))))))</x:f>
      </x:c>
    </x:row>
    <x:row r="35">
      <x:c r="A35" s="17" t="str"/>
      <x:c r="B35" s="17" t="str">
        <x:v>SUG-20260521-009</x:v>
      </x:c>
      <x:c r="C35" s="17" t="str">
        <x:v>neue_Regelzahlung</x:v>
      </x:c>
      <x:c r="D35" s="17" t="str">
        <x:v>normal</x:v>
      </x:c>
      <x:c r="E35" s="17" t="n">
        <x:v>0.82</x:v>
      </x:c>
      <x:c r="F35" s="17" t="str">
        <x:v>Regelzahlung pruefen</x:v>
      </x:c>
      <x:c r="G35" s="17" t="str">
        <x:v>WILLI KOHLENBERG</x:v>
      </x:c>
      <x:c r="H35" s="17" t="n">
        <x:v>750</x:v>
      </x:c>
      <x:c r="I35" s="17" t="n">
        <x:v>29</x:v>
      </x:c>
      <x:c r="J35" s="17" t="str">
        <x:v>2024-01-02</x:v>
      </x:c>
      <x:c r="K35" s="17" t="str">
        <x:v>2026-05-04</x:v>
      </x:c>
      <x:c r="L35" s="17" t="str">
        <x:v>12_Regelzahlung_Vorschlaege</x:v>
      </x:c>
      <x:c r="M35" s="17" t="str">
        <x:v>SUG-20260521-009</x:v>
      </x:c>
      <x:c r="N35" s="17" t="str">
        <x:v>annehmen / ablehnen / zusammenfuehren</x:v>
      </x:c>
      <x:c r="O35" s="17" t="str">
        <x:v>KAT013</x:v>
      </x:c>
      <x:c r="P35" s="17" t="str"/>
      <x:c r="Q35" s="17" t="str">
        <x:v>KTO001</x:v>
      </x:c>
      <x:c r="R35" s="17" t="str"/>
      <x:c r="S35" s="17" t="str"/>
      <x:c r="T35" s="17" t="str">
        <x:v>Wiederkehrendes Monatsmuster im Import-Draft erkannt</x:v>
      </x:c>
      <x:c r="U35" s="17" t="str">
        <x:v>Gespiegelter Vorschlag; Umsetzung nur nach Nutzerentscheidung</x:v>
      </x:c>
      <x:c r="V35" s="17" t="str">
        <x:f>IF($A35="","offen",IF($A35&lt;&gt;"annehmen","ok",IF(AND($C35="neue_Regelzahlung",OR($O35="",$P35="")),"unvollstaendig",IF(AND($C35="Kategorie_Mapping",$O35=""),"unvollstaendig",IF(AND($C35="neue_Transferregel",$R35=""),"unvollstaendig","ok")))))</x:f>
        <x:v>offen</x:v>
      </x:c>
      <x:c r="W35" s="17" t="str">
        <x:f>IF($A35="","",IF($A35&lt;&gt;"annehmen","",IF(AND($C35="neue_Regelzahlung",$O35=""),"Ziel_Kategorie_ID fehlt",IF(AND($C35="neue_Regelzahlung",$P35=""),"Ziel_Person_ID fehlt",IF(AND($C35="Kategorie_Mapping",$O35=""),"Ziel_Kategorie_ID fehlt",IF(AND($C35="neue_Transferregel",$R35=""),"Ziel_Transfer_Typ fehlt",""))))))</x:f>
      </x:c>
    </x:row>
    <x:row r="36">
      <x:c r="A36" s="17" t="str"/>
      <x:c r="B36" s="17" t="str">
        <x:v>SUG-20260521-010</x:v>
      </x:c>
      <x:c r="C36" s="17" t="str">
        <x:v>neue_Regelzahlung</x:v>
      </x:c>
      <x:c r="D36" s="17" t="str">
        <x:v>normal</x:v>
      </x:c>
      <x:c r="E36" s="17" t="n">
        <x:v>0.82</x:v>
      </x:c>
      <x:c r="F36" s="17" t="str">
        <x:v>Regelzahlung pruefen</x:v>
      </x:c>
      <x:c r="G36" s="17" t="str">
        <x:v>Lars und Katrin Kohlenberg</x:v>
      </x:c>
      <x:c r="H36" s="17" t="n">
        <x:v>-600</x:v>
      </x:c>
      <x:c r="I36" s="17" t="n">
        <x:v>22</x:v>
      </x:c>
      <x:c r="J36" s="17" t="str">
        <x:v>2024-03-01</x:v>
      </x:c>
      <x:c r="K36" s="17" t="str">
        <x:v>2026-05-04</x:v>
      </x:c>
      <x:c r="L36" s="17" t="str">
        <x:v>12_Regelzahlung_Vorschlaege</x:v>
      </x:c>
      <x:c r="M36" s="17" t="str">
        <x:v>SUG-20260521-010</x:v>
      </x:c>
      <x:c r="N36" s="17" t="str">
        <x:v>annehmen / ablehnen / zusammenfuehren</x:v>
      </x:c>
      <x:c r="O36" s="17" t="str">
        <x:v>KAT013</x:v>
      </x:c>
      <x:c r="P36" s="17" t="str"/>
      <x:c r="Q36" s="17" t="str">
        <x:v>KTO001</x:v>
      </x:c>
      <x:c r="R36" s="17" t="str"/>
      <x:c r="S36" s="17" t="str"/>
      <x:c r="T36" s="17" t="str">
        <x:v>Wiederkehrendes Monatsmuster im Import-Draft erkannt</x:v>
      </x:c>
      <x:c r="U36" s="17" t="str">
        <x:v>Gespiegelter Vorschlag; Umsetzung nur nach Nutzerentscheidung</x:v>
      </x:c>
      <x:c r="V36" s="17" t="str">
        <x:f>IF($A36="","offen",IF($A36&lt;&gt;"annehmen","ok",IF(AND($C36="neue_Regelzahlung",OR($O36="",$P36="")),"unvollstaendig",IF(AND($C36="Kategorie_Mapping",$O36=""),"unvollstaendig",IF(AND($C36="neue_Transferregel",$R36=""),"unvollstaendig","ok")))))</x:f>
        <x:v>offen</x:v>
      </x:c>
      <x:c r="W36" s="17" t="str">
        <x:f>IF($A36="","",IF($A36&lt;&gt;"annehmen","",IF(AND($C36="neue_Regelzahlung",$O36=""),"Ziel_Kategorie_ID fehlt",IF(AND($C36="neue_Regelzahlung",$P36=""),"Ziel_Person_ID fehlt",IF(AND($C36="Kategorie_Mapping",$O36=""),"Ziel_Kategorie_ID fehlt",IF(AND($C36="neue_Transferregel",$R36=""),"Ziel_Transfer_Typ fehlt",""))))))</x:f>
      </x:c>
    </x:row>
    <x:row r="37">
      <x:c r="A37" s="17" t="str"/>
      <x:c r="B37" s="17" t="str">
        <x:v>SUG-20260521-011</x:v>
      </x:c>
      <x:c r="C37" s="17" t="str">
        <x:v>neue_Regelzahlung</x:v>
      </x:c>
      <x:c r="D37" s="17" t="str">
        <x:v>normal</x:v>
      </x:c>
      <x:c r="E37" s="17" t="n">
        <x:v>0.82</x:v>
      </x:c>
      <x:c r="F37" s="17" t="str">
        <x:v>Regelzahlung pruefen</x:v>
      </x:c>
      <x:c r="G37" s="17" t="str">
        <x:v>Lars Kohlenberg</x:v>
      </x:c>
      <x:c r="H37" s="17" t="n">
        <x:v>500</x:v>
      </x:c>
      <x:c r="I37" s="17" t="n">
        <x:v>6</x:v>
      </x:c>
      <x:c r="J37" s="17" t="str">
        <x:v>2024-03-21</x:v>
      </x:c>
      <x:c r="K37" s="17" t="str">
        <x:v>2026-04-20</x:v>
      </x:c>
      <x:c r="L37" s="17" t="str">
        <x:v>12_Regelzahlung_Vorschlaege</x:v>
      </x:c>
      <x:c r="M37" s="17" t="str">
        <x:v>SUG-20260521-011</x:v>
      </x:c>
      <x:c r="N37" s="17" t="str">
        <x:v>annehmen / ablehnen / zusammenfuehren</x:v>
      </x:c>
      <x:c r="O37" s="17" t="str">
        <x:v>KAT013</x:v>
      </x:c>
      <x:c r="P37" s="17" t="str"/>
      <x:c r="Q37" s="17" t="str">
        <x:v>KTO001</x:v>
      </x:c>
      <x:c r="R37" s="17" t="str"/>
      <x:c r="S37" s="17" t="str"/>
      <x:c r="T37" s="17" t="str">
        <x:v>Wiederkehrendes Monatsmuster im Import-Draft erkannt</x:v>
      </x:c>
      <x:c r="U37" s="17" t="str">
        <x:v>Gespiegelter Vorschlag; Umsetzung nur nach Nutzerentscheidung</x:v>
      </x:c>
      <x:c r="V37" s="17" t="str">
        <x:f>IF($A37="","offen",IF($A37&lt;&gt;"annehmen","ok",IF(AND($C37="neue_Regelzahlung",OR($O37="",$P37="")),"unvollstaendig",IF(AND($C37="Kategorie_Mapping",$O37=""),"unvollstaendig",IF(AND($C37="neue_Transferregel",$R37=""),"unvollstaendig","ok")))))</x:f>
        <x:v>offen</x:v>
      </x:c>
      <x:c r="W37" s="17" t="str">
        <x:f>IF($A37="","",IF($A37&lt;&gt;"annehmen","",IF(AND($C37="neue_Regelzahlung",$O37=""),"Ziel_Kategorie_ID fehlt",IF(AND($C37="neue_Regelzahlung",$P37=""),"Ziel_Person_ID fehlt",IF(AND($C37="Kategorie_Mapping",$O37=""),"Ziel_Kategorie_ID fehlt",IF(AND($C37="neue_Transferregel",$R37=""),"Ziel_Transfer_Typ fehlt",""))))))</x:f>
      </x:c>
    </x:row>
    <x:row r="38">
      <x:c r="A38" s="17" t="str"/>
      <x:c r="B38" s="17" t="str">
        <x:v>SUG-20260521-012</x:v>
      </x:c>
      <x:c r="C38" s="17" t="str">
        <x:v>neue_Regelzahlung</x:v>
      </x:c>
      <x:c r="D38" s="17" t="str">
        <x:v>normal</x:v>
      </x:c>
      <x:c r="E38" s="17" t="n">
        <x:v>0.82</x:v>
      </x:c>
      <x:c r="F38" s="17" t="str">
        <x:v>Regelzahlung pruefen</x:v>
      </x:c>
      <x:c r="G38" s="17" t="str">
        <x:v>NORD.LB...Braunschweigi/GEBHARDSHG</x:v>
      </x:c>
      <x:c r="H38" s="17" t="n">
        <x:v>-500</x:v>
      </x:c>
      <x:c r="I38" s="17" t="n">
        <x:v>6</x:v>
      </x:c>
      <x:c r="J38" s="17" t="str">
        <x:v>2024-04-02</x:v>
      </x:c>
      <x:c r="K38" s="17" t="str">
        <x:v>2025-09-15</x:v>
      </x:c>
      <x:c r="L38" s="17" t="str">
        <x:v>12_Regelzahlung_Vorschlaege</x:v>
      </x:c>
      <x:c r="M38" s="17" t="str">
        <x:v>SUG-20260521-012</x:v>
      </x:c>
      <x:c r="N38" s="17" t="str">
        <x:v>annehmen / ablehnen / zusammenfuehren</x:v>
      </x:c>
      <x:c r="O38" s="17" t="str">
        <x:v>KAT013</x:v>
      </x:c>
      <x:c r="P38" s="17" t="str"/>
      <x:c r="Q38" s="17" t="str">
        <x:v>KTO001</x:v>
      </x:c>
      <x:c r="R38" s="17" t="str"/>
      <x:c r="S38" s="17" t="str"/>
      <x:c r="T38" s="17" t="str">
        <x:v>Wiederkehrendes Monatsmuster im Import-Draft erkannt</x:v>
      </x:c>
      <x:c r="U38" s="17" t="str">
        <x:v>Gespiegelter Vorschlag; Umsetzung nur nach Nutzerentscheidung</x:v>
      </x:c>
      <x:c r="V38" s="17" t="str">
        <x:f>IF($A38="","offen",IF($A38&lt;&gt;"annehmen","ok",IF(AND($C38="neue_Regelzahlung",OR($O38="",$P38="")),"unvollstaendig",IF(AND($C38="Kategorie_Mapping",$O38=""),"unvollstaendig",IF(AND($C38="neue_Transferregel",$R38=""),"unvollstaendig","ok")))))</x:f>
        <x:v>offen</x:v>
      </x:c>
      <x:c r="W38" s="17" t="str">
        <x:f>IF($A38="","",IF($A38&lt;&gt;"annehmen","",IF(AND($C38="neue_Regelzahlung",$O38=""),"Ziel_Kategorie_ID fehlt",IF(AND($C38="neue_Regelzahlung",$P38=""),"Ziel_Person_ID fehlt",IF(AND($C38="Kategorie_Mapping",$O38=""),"Ziel_Kategorie_ID fehlt",IF(AND($C38="neue_Transferregel",$R38=""),"Ziel_Transfer_Typ fehlt",""))))))</x:f>
      </x:c>
    </x:row>
    <x:row r="39">
      <x:c r="A39" s="17" t="str"/>
      <x:c r="B39" s="17" t="str">
        <x:v>SUG-20260521-013</x:v>
      </x:c>
      <x:c r="C39" s="17" t="str">
        <x:v>neue_Regelzahlung</x:v>
      </x:c>
      <x:c r="D39" s="17" t="str">
        <x:v>normal</x:v>
      </x:c>
      <x:c r="E39" s="17" t="n">
        <x:v>0.82</x:v>
      </x:c>
      <x:c r="F39" s="17" t="str">
        <x:v>Regelzahlung pruefen</x:v>
      </x:c>
      <x:c r="G39" s="17" t="str">
        <x:v>Heidelberger Lebensversicherung AG Donrhofstrasse 36, 63263 Neu-Isenburg</x:v>
      </x:c>
      <x:c r="H39" s="17" t="n">
        <x:v>-452.71</x:v>
      </x:c>
      <x:c r="I39" s="17" t="n">
        <x:v>12</x:v>
      </x:c>
      <x:c r="J39" s="17" t="str">
        <x:v>2025-06-02</x:v>
      </x:c>
      <x:c r="K39" s="17" t="str">
        <x:v>2026-05-04</x:v>
      </x:c>
      <x:c r="L39" s="17" t="str">
        <x:v>12_Regelzahlung_Vorschlaege</x:v>
      </x:c>
      <x:c r="M39" s="17" t="str">
        <x:v>SUG-20260521-013</x:v>
      </x:c>
      <x:c r="N39" s="17" t="str">
        <x:v>annehmen / ablehnen / zusammenfuehren</x:v>
      </x:c>
      <x:c r="O39" s="17" t="str">
        <x:v>KAT013</x:v>
      </x:c>
      <x:c r="P39" s="17" t="str"/>
      <x:c r="Q39" s="17" t="str">
        <x:v>KTO001</x:v>
      </x:c>
      <x:c r="R39" s="17" t="str"/>
      <x:c r="S39" s="17" t="str"/>
      <x:c r="T39" s="17" t="str">
        <x:v>Wiederkehrendes Monatsmuster im Import-Draft erkannt</x:v>
      </x:c>
      <x:c r="U39" s="17" t="str">
        <x:v>Gespiegelter Vorschlag; Umsetzung nur nach Nutzerentscheidung</x:v>
      </x:c>
      <x:c r="V39" s="17" t="str">
        <x:f>IF($A39="","offen",IF($A39&lt;&gt;"annehmen","ok",IF(AND($C39="neue_Regelzahlung",OR($O39="",$P39="")),"unvollstaendig",IF(AND($C39="Kategorie_Mapping",$O39=""),"unvollstaendig",IF(AND($C39="neue_Transferregel",$R39=""),"unvollstaendig","ok")))))</x:f>
        <x:v>offen</x:v>
      </x:c>
      <x:c r="W39" s="17" t="str">
        <x:f>IF($A39="","",IF($A39&lt;&gt;"annehmen","",IF(AND($C39="neue_Regelzahlung",$O39=""),"Ziel_Kategorie_ID fehlt",IF(AND($C39="neue_Regelzahlung",$P39=""),"Ziel_Person_ID fehlt",IF(AND($C39="Kategorie_Mapping",$O39=""),"Ziel_Kategorie_ID fehlt",IF(AND($C39="neue_Transferregel",$R39=""),"Ziel_Transfer_Typ fehlt",""))))))</x:f>
      </x:c>
    </x:row>
    <x:row r="40">
      <x:c r="A40" s="17" t="str"/>
      <x:c r="B40" s="17" t="str">
        <x:v>SUG-20260521-014</x:v>
      </x:c>
      <x:c r="C40" s="17" t="str">
        <x:v>neue_Regelzahlung</x:v>
      </x:c>
      <x:c r="D40" s="17" t="str">
        <x:v>normal</x:v>
      </x:c>
      <x:c r="E40" s="17" t="n">
        <x:v>0.82</x:v>
      </x:c>
      <x:c r="F40" s="17" t="str">
        <x:v>Regelzahlung pruefen</x:v>
      </x:c>
      <x:c r="G40" s="17" t="str">
        <x:v>Heidelberger Lebensversicherung AG Im Breitspiel 2-4, 69126 Heidelberg</x:v>
      </x:c>
      <x:c r="H40" s="17" t="n">
        <x:v>-452.71</x:v>
      </x:c>
      <x:c r="I40" s="17" t="n">
        <x:v>17</x:v>
      </x:c>
      <x:c r="J40" s="17" t="str">
        <x:v>2024-01-02</x:v>
      </x:c>
      <x:c r="K40" s="17" t="str">
        <x:v>2025-05-02</x:v>
      </x:c>
      <x:c r="L40" s="17" t="str">
        <x:v>12_Regelzahlung_Vorschlaege</x:v>
      </x:c>
      <x:c r="M40" s="17" t="str">
        <x:v>SUG-20260521-014</x:v>
      </x:c>
      <x:c r="N40" s="17" t="str">
        <x:v>annehmen / ablehnen / zusammenfuehren</x:v>
      </x:c>
      <x:c r="O40" s="17" t="str">
        <x:v>KAT013</x:v>
      </x:c>
      <x:c r="P40" s="17" t="str"/>
      <x:c r="Q40" s="17" t="str">
        <x:v>KTO001</x:v>
      </x:c>
      <x:c r="R40" s="17" t="str"/>
      <x:c r="S40" s="17" t="str"/>
      <x:c r="T40" s="17" t="str">
        <x:v>Wiederkehrendes Monatsmuster im Import-Draft erkannt</x:v>
      </x:c>
      <x:c r="U40" s="17" t="str">
        <x:v>Gespiegelter Vorschlag; Umsetzung nur nach Nutzerentscheidung</x:v>
      </x:c>
      <x:c r="V40" s="17" t="str">
        <x:f>IF($A40="","offen",IF($A40&lt;&gt;"annehmen","ok",IF(AND($C40="neue_Regelzahlung",OR($O40="",$P40="")),"unvollstaendig",IF(AND($C40="Kategorie_Mapping",$O40=""),"unvollstaendig",IF(AND($C40="neue_Transferregel",$R40=""),"unvollstaendig","ok")))))</x:f>
        <x:v>offen</x:v>
      </x:c>
      <x:c r="W40" s="17" t="str">
        <x:f>IF($A40="","",IF($A40&lt;&gt;"annehmen","",IF(AND($C40="neue_Regelzahlung",$O40=""),"Ziel_Kategorie_ID fehlt",IF(AND($C40="neue_Regelzahlung",$P40=""),"Ziel_Person_ID fehlt",IF(AND($C40="Kategorie_Mapping",$O40=""),"Ziel_Kategorie_ID fehlt",IF(AND($C40="neue_Transferregel",$R40=""),"Ziel_Transfer_Typ fehlt",""))))))</x:f>
      </x:c>
    </x:row>
    <x:row r="41">
      <x:c r="A41" s="17" t="str"/>
      <x:c r="B41" s="17" t="str">
        <x:v>SUG-20260521-015</x:v>
      </x:c>
      <x:c r="C41" s="17" t="str">
        <x:v>neue_Regelzahlung</x:v>
      </x:c>
      <x:c r="D41" s="17" t="str">
        <x:v>normal</x:v>
      </x:c>
      <x:c r="E41" s="17" t="n">
        <x:v>0.82</x:v>
      </x:c>
      <x:c r="F41" s="17" t="str">
        <x:v>Regelzahlung pruefen</x:v>
      </x:c>
      <x:c r="G41" s="17" t="str">
        <x:v>WEVG Salzgitter GmbH + Co. KG</x:v>
      </x:c>
      <x:c r="H41" s="17" t="n">
        <x:v>-422</x:v>
      </x:c>
      <x:c r="I41" s="17" t="n">
        <x:v>9</x:v>
      </x:c>
      <x:c r="J41" s="17" t="str">
        <x:v>2024-04-30</x:v>
      </x:c>
      <x:c r="K41" s="17" t="str">
        <x:v>2024-12-30</x:v>
      </x:c>
      <x:c r="L41" s="17" t="str">
        <x:v>12_Regelzahlung_Vorschlaege</x:v>
      </x:c>
      <x:c r="M41" s="17" t="str">
        <x:v>SUG-20260521-015</x:v>
      </x:c>
      <x:c r="N41" s="17" t="str">
        <x:v>annehmen / ablehnen / zusammenfuehren</x:v>
      </x:c>
      <x:c r="O41" s="17" t="str">
        <x:v>KAT013</x:v>
      </x:c>
      <x:c r="P41" s="17" t="str"/>
      <x:c r="Q41" s="17" t="str">
        <x:v>KTO001</x:v>
      </x:c>
      <x:c r="R41" s="17" t="str"/>
      <x:c r="S41" s="17" t="str"/>
      <x:c r="T41" s="17" t="str">
        <x:v>Wiederkehrendes Monatsmuster im Import-Draft erkannt</x:v>
      </x:c>
      <x:c r="U41" s="17" t="str">
        <x:v>Gespiegelter Vorschlag; Umsetzung nur nach Nutzerentscheidung</x:v>
      </x:c>
      <x:c r="V41" s="17" t="str">
        <x:f>IF($A41="","offen",IF($A41&lt;&gt;"annehmen","ok",IF(AND($C41="neue_Regelzahlung",OR($O41="",$P41="")),"unvollstaendig",IF(AND($C41="Kategorie_Mapping",$O41=""),"unvollstaendig",IF(AND($C41="neue_Transferregel",$R41=""),"unvollstaendig","ok")))))</x:f>
        <x:v>offen</x:v>
      </x:c>
      <x:c r="W41" s="17" t="str">
        <x:f>IF($A41="","",IF($A41&lt;&gt;"annehmen","",IF(AND($C41="neue_Regelzahlung",$O41=""),"Ziel_Kategorie_ID fehlt",IF(AND($C41="neue_Regelzahlung",$P41=""),"Ziel_Person_ID fehlt",IF(AND($C41="Kategorie_Mapping",$O41=""),"Ziel_Kategorie_ID fehlt",IF(AND($C41="neue_Transferregel",$R41=""),"Ziel_Transfer_Typ fehlt",""))))))</x:f>
      </x:c>
    </x:row>
    <x:row r="42">
      <x:c r="A42" s="17" t="str"/>
      <x:c r="B42" s="17" t="str">
        <x:v>SUG-20260521-016</x:v>
      </x:c>
      <x:c r="C42" s="17" t="str">
        <x:v>neue_Regelzahlung</x:v>
      </x:c>
      <x:c r="D42" s="17" t="str">
        <x:v>normal</x:v>
      </x:c>
      <x:c r="E42" s="17" t="n">
        <x:v>0.82</x:v>
      </x:c>
      <x:c r="F42" s="17" t="str">
        <x:v>Regelzahlung pruefen</x:v>
      </x:c>
      <x:c r="G42" s="17" t="str">
        <x:v>Lars Kohlenberg</x:v>
      </x:c>
      <x:c r="H42" s="17" t="n">
        <x:v>400</x:v>
      </x:c>
      <x:c r="I42" s="17" t="n">
        <x:v>4</x:v>
      </x:c>
      <x:c r="J42" s="17" t="str">
        <x:v>2025-03-11</x:v>
      </x:c>
      <x:c r="K42" s="17" t="str">
        <x:v>2026-04-17</x:v>
      </x:c>
      <x:c r="L42" s="17" t="str">
        <x:v>12_Regelzahlung_Vorschlaege</x:v>
      </x:c>
      <x:c r="M42" s="17" t="str">
        <x:v>SUG-20260521-016</x:v>
      </x:c>
      <x:c r="N42" s="17" t="str">
        <x:v>annehmen / ablehnen / zusammenfuehren</x:v>
      </x:c>
      <x:c r="O42" s="17" t="str">
        <x:v>KAT013</x:v>
      </x:c>
      <x:c r="P42" s="17" t="str"/>
      <x:c r="Q42" s="17" t="str">
        <x:v>KTO001</x:v>
      </x:c>
      <x:c r="R42" s="17" t="str"/>
      <x:c r="S42" s="17" t="str"/>
      <x:c r="T42" s="17" t="str">
        <x:v>Wiederkehrendes Monatsmuster im Import-Draft erkannt</x:v>
      </x:c>
      <x:c r="U42" s="17" t="str">
        <x:v>Gespiegelter Vorschlag; Umsetzung nur nach Nutzerentscheidung</x:v>
      </x:c>
      <x:c r="V42" s="17" t="str">
        <x:f>IF($A42="","offen",IF($A42&lt;&gt;"annehmen","ok",IF(AND($C42="neue_Regelzahlung",OR($O42="",$P42="")),"unvollstaendig",IF(AND($C42="Kategorie_Mapping",$O42=""),"unvollstaendig",IF(AND($C42="neue_Transferregel",$R42=""),"unvollstaendig","ok")))))</x:f>
        <x:v>offen</x:v>
      </x:c>
      <x:c r="W42" s="17" t="str">
        <x:f>IF($A42="","",IF($A42&lt;&gt;"annehmen","",IF(AND($C42="neue_Regelzahlung",$O42=""),"Ziel_Kategorie_ID fehlt",IF(AND($C42="neue_Regelzahlung",$P42=""),"Ziel_Person_ID fehlt",IF(AND($C42="Kategorie_Mapping",$O42=""),"Ziel_Kategorie_ID fehlt",IF(AND($C42="neue_Transferregel",$R42=""),"Ziel_Transfer_Typ fehlt",""))))))</x:f>
      </x:c>
    </x:row>
    <x:row r="43">
      <x:c r="A43" s="17" t="str"/>
      <x:c r="B43" s="17" t="str">
        <x:v>SUG-20260521-017</x:v>
      </x:c>
      <x:c r="C43" s="17" t="str">
        <x:v>neue_Regelzahlung</x:v>
      </x:c>
      <x:c r="D43" s="17" t="str">
        <x:v>normal</x:v>
      </x:c>
      <x:c r="E43" s="17" t="n">
        <x:v>0.82</x:v>
      </x:c>
      <x:c r="F43" s="17" t="str">
        <x:v>Regelzahlung pruefen</x:v>
      </x:c>
      <x:c r="G43" s="17" t="str">
        <x:v>WEVG Salzgitter GmbH + Co. KG</x:v>
      </x:c>
      <x:c r="H43" s="17" t="n">
        <x:v>-393</x:v>
      </x:c>
      <x:c r="I43" s="17" t="n">
        <x:v>10</x:v>
      </x:c>
      <x:c r="J43" s="17" t="str">
        <x:v>2025-02-28</x:v>
      </x:c>
      <x:c r="K43" s="17" t="str">
        <x:v>2025-12-01</x:v>
      </x:c>
      <x:c r="L43" s="17" t="str">
        <x:v>12_Regelzahlung_Vorschlaege</x:v>
      </x:c>
      <x:c r="M43" s="17" t="str">
        <x:v>SUG-20260521-017</x:v>
      </x:c>
      <x:c r="N43" s="17" t="str">
        <x:v>annehmen / ablehnen / zusammenfuehren</x:v>
      </x:c>
      <x:c r="O43" s="17" t="str">
        <x:v>KAT013</x:v>
      </x:c>
      <x:c r="P43" s="17" t="str"/>
      <x:c r="Q43" s="17" t="str">
        <x:v>KTO001</x:v>
      </x:c>
      <x:c r="R43" s="17" t="str"/>
      <x:c r="S43" s="17" t="str"/>
      <x:c r="T43" s="17" t="str">
        <x:v>Wiederkehrendes Monatsmuster im Import-Draft erkannt</x:v>
      </x:c>
      <x:c r="U43" s="17" t="str">
        <x:v>Gespiegelter Vorschlag; Umsetzung nur nach Nutzerentscheidung</x:v>
      </x:c>
      <x:c r="V43" s="17" t="str">
        <x:f>IF($A43="","offen",IF($A43&lt;&gt;"annehmen","ok",IF(AND($C43="neue_Regelzahlung",OR($O43="",$P43="")),"unvollstaendig",IF(AND($C43="Kategorie_Mapping",$O43=""),"unvollstaendig",IF(AND($C43="neue_Transferregel",$R43=""),"unvollstaendig","ok")))))</x:f>
        <x:v>offen</x:v>
      </x:c>
      <x:c r="W43" s="17" t="str">
        <x:f>IF($A43="","",IF($A43&lt;&gt;"annehmen","",IF(AND($C43="neue_Regelzahlung",$O43=""),"Ziel_Kategorie_ID fehlt",IF(AND($C43="neue_Regelzahlung",$P43=""),"Ziel_Person_ID fehlt",IF(AND($C43="Kategorie_Mapping",$O43=""),"Ziel_Kategorie_ID fehlt",IF(AND($C43="neue_Transferregel",$R43=""),"Ziel_Transfer_Typ fehlt",""))))))</x:f>
      </x:c>
    </x:row>
    <x:row r="44">
      <x:c r="A44" s="17" t="str"/>
      <x:c r="B44" s="17" t="str">
        <x:v>SUG-20260521-018</x:v>
      </x:c>
      <x:c r="C44" s="17" t="str">
        <x:v>neue_Regelzahlung</x:v>
      </x:c>
      <x:c r="D44" s="17" t="str">
        <x:v>normal</x:v>
      </x:c>
      <x:c r="E44" s="17" t="n">
        <x:v>0.82</x:v>
      </x:c>
      <x:c r="F44" s="17" t="str">
        <x:v>Regelzahlung pruefen</x:v>
      </x:c>
      <x:c r="G44" s="17" t="str">
        <x:v>Allianz Lebensversic</x:v>
      </x:c>
      <x:c r="H44" s="17" t="n">
        <x:v>-162.17</x:v>
      </x:c>
      <x:c r="I44" s="17" t="n">
        <x:v>4</x:v>
      </x:c>
      <x:c r="J44" s="17" t="str">
        <x:v>2026-02-02</x:v>
      </x:c>
      <x:c r="K44" s="17" t="str">
        <x:v>2026-05-04</x:v>
      </x:c>
      <x:c r="L44" s="17" t="str">
        <x:v>12_Regelzahlung_Vorschlaege</x:v>
      </x:c>
      <x:c r="M44" s="17" t="str">
        <x:v>SUG-20260521-018</x:v>
      </x:c>
      <x:c r="N44" s="17" t="str">
        <x:v>annehmen / ablehnen / zusammenfuehren</x:v>
      </x:c>
      <x:c r="O44" s="17" t="str">
        <x:v>KAT013</x:v>
      </x:c>
      <x:c r="P44" s="17" t="str"/>
      <x:c r="Q44" s="17" t="str">
        <x:v>KTO001</x:v>
      </x:c>
      <x:c r="R44" s="17" t="str"/>
      <x:c r="S44" s="17" t="str"/>
      <x:c r="T44" s="17" t="str">
        <x:v>Wiederkehrendes Monatsmuster im Import-Draft erkannt</x:v>
      </x:c>
      <x:c r="U44" s="17" t="str">
        <x:v>Gespiegelter Vorschlag; Umsetzung nur nach Nutzerentscheidung</x:v>
      </x:c>
      <x:c r="V44" s="17" t="str">
        <x:f>IF($A44="","offen",IF($A44&lt;&gt;"annehmen","ok",IF(AND($C44="neue_Regelzahlung",OR($O44="",$P44="")),"unvollstaendig",IF(AND($C44="Kategorie_Mapping",$O44=""),"unvollstaendig",IF(AND($C44="neue_Transferregel",$R44=""),"unvollstaendig","ok")))))</x:f>
        <x:v>offen</x:v>
      </x:c>
      <x:c r="W44" s="17" t="str">
        <x:f>IF($A44="","",IF($A44&lt;&gt;"annehmen","",IF(AND($C44="neue_Regelzahlung",$O44=""),"Ziel_Kategorie_ID fehlt",IF(AND($C44="neue_Regelzahlung",$P44=""),"Ziel_Person_ID fehlt",IF(AND($C44="Kategorie_Mapping",$O44=""),"Ziel_Kategorie_ID fehlt",IF(AND($C44="neue_Transferregel",$R44=""),"Ziel_Transfer_Typ fehlt",""))))))</x:f>
      </x:c>
    </x:row>
    <x:row r="45">
      <x:c r="A45" s="17" t="str"/>
      <x:c r="B45" s="17" t="str">
        <x:v>SUG-20260521-019</x:v>
      </x:c>
      <x:c r="C45" s="17" t="str">
        <x:v>neue_Regelzahlung</x:v>
      </x:c>
      <x:c r="D45" s="17" t="str">
        <x:v>normal</x:v>
      </x:c>
      <x:c r="E45" s="17" t="n">
        <x:v>0.82</x:v>
      </x:c>
      <x:c r="F45" s="17" t="str">
        <x:v>Regelzahlung pruefen</x:v>
      </x:c>
      <x:c r="G45" s="17" t="str">
        <x:v>Allianz Lebensvers. AG</x:v>
      </x:c>
      <x:c r="H45" s="17" t="n">
        <x:v>-162.17</x:v>
      </x:c>
      <x:c r="I45" s="17" t="n">
        <x:v>23</x:v>
      </x:c>
      <x:c r="J45" s="17" t="str">
        <x:v>2024-01-02</x:v>
      </x:c>
      <x:c r="K45" s="17" t="str">
        <x:v>2026-01-02</x:v>
      </x:c>
      <x:c r="L45" s="17" t="str">
        <x:v>12_Regelzahlung_Vorschlaege</x:v>
      </x:c>
      <x:c r="M45" s="17" t="str">
        <x:v>SUG-20260521-019</x:v>
      </x:c>
      <x:c r="N45" s="17" t="str">
        <x:v>annehmen / ablehnen / zusammenfuehren</x:v>
      </x:c>
      <x:c r="O45" s="17" t="str">
        <x:v>KAT013</x:v>
      </x:c>
      <x:c r="P45" s="17" t="str"/>
      <x:c r="Q45" s="17" t="str">
        <x:v>KTO001</x:v>
      </x:c>
      <x:c r="R45" s="17" t="str"/>
      <x:c r="S45" s="17" t="str"/>
      <x:c r="T45" s="17" t="str">
        <x:v>Wiederkehrendes Monatsmuster im Import-Draft erkannt</x:v>
      </x:c>
      <x:c r="U45" s="17" t="str">
        <x:v>Gespiegelter Vorschlag; Umsetzung nur nach Nutzerentscheidung</x:v>
      </x:c>
      <x:c r="V45" s="17" t="str">
        <x:f>IF($A45="","offen",IF($A45&lt;&gt;"annehmen","ok",IF(AND($C45="neue_Regelzahlung",OR($O45="",$P45="")),"unvollstaendig",IF(AND($C45="Kategorie_Mapping",$O45=""),"unvollstaendig",IF(AND($C45="neue_Transferregel",$R45=""),"unvollstaendig","ok")))))</x:f>
        <x:v>offen</x:v>
      </x:c>
      <x:c r="W45" s="17" t="str">
        <x:f>IF($A45="","",IF($A45&lt;&gt;"annehmen","",IF(AND($C45="neue_Regelzahlung",$O45=""),"Ziel_Kategorie_ID fehlt",IF(AND($C45="neue_Regelzahlung",$P45=""),"Ziel_Person_ID fehlt",IF(AND($C45="Kategorie_Mapping",$O45=""),"Ziel_Kategorie_ID fehlt",IF(AND($C45="neue_Transferregel",$R45=""),"Ziel_Transfer_Typ fehlt",""))))))</x:f>
      </x:c>
    </x:row>
    <x:row r="46">
      <x:c r="A46" s="17" t="str"/>
      <x:c r="B46" s="17" t="str">
        <x:v>SUG-20260521-020</x:v>
      </x:c>
      <x:c r="C46" s="17" t="str">
        <x:v>neue_Regelzahlung</x:v>
      </x:c>
      <x:c r="D46" s="17" t="str">
        <x:v>normal</x:v>
      </x:c>
      <x:c r="E46" s="17" t="n">
        <x:v>0.82</x:v>
      </x:c>
      <x:c r="F46" s="17" t="str">
        <x:v>Regelzahlung pruefen</x:v>
      </x:c>
      <x:c r="G46" s="17" t="str">
        <x:v>IDEAL Lebensversicherung aG</x:v>
      </x:c>
      <x:c r="H46" s="17" t="n">
        <x:v>-100.52</x:v>
      </x:c>
      <x:c r="I46" s="17" t="n">
        <x:v>6</x:v>
      </x:c>
      <x:c r="J46" s="17" t="str">
        <x:v>2025-12-01</x:v>
      </x:c>
      <x:c r="K46" s="17" t="str">
        <x:v>2026-05-04</x:v>
      </x:c>
      <x:c r="L46" s="17" t="str">
        <x:v>12_Regelzahlung_Vorschlaege</x:v>
      </x:c>
      <x:c r="M46" s="17" t="str">
        <x:v>SUG-20260521-020</x:v>
      </x:c>
      <x:c r="N46" s="17" t="str">
        <x:v>annehmen / ablehnen / zusammenfuehren</x:v>
      </x:c>
      <x:c r="O46" s="17" t="str">
        <x:v>KAT013</x:v>
      </x:c>
      <x:c r="P46" s="17" t="str"/>
      <x:c r="Q46" s="17" t="str">
        <x:v>KTO001</x:v>
      </x:c>
      <x:c r="R46" s="17" t="str"/>
      <x:c r="S46" s="17" t="str"/>
      <x:c r="T46" s="17" t="str">
        <x:v>Wiederkehrendes Monatsmuster im Import-Draft erkannt</x:v>
      </x:c>
      <x:c r="U46" s="17" t="str">
        <x:v>Gespiegelter Vorschlag; Umsetzung nur nach Nutzerentscheidung</x:v>
      </x:c>
      <x:c r="V46" s="17" t="str">
        <x:f>IF($A46="","offen",IF($A46&lt;&gt;"annehmen","ok",IF(AND($C46="neue_Regelzahlung",OR($O46="",$P46="")),"unvollstaendig",IF(AND($C46="Kategorie_Mapping",$O46=""),"unvollstaendig",IF(AND($C46="neue_Transferregel",$R46=""),"unvollstaendig","ok")))))</x:f>
        <x:v>offen</x:v>
      </x:c>
      <x:c r="W46" s="17" t="str">
        <x:f>IF($A46="","",IF($A46&lt;&gt;"annehmen","",IF(AND($C46="neue_Regelzahlung",$O46=""),"Ziel_Kategorie_ID fehlt",IF(AND($C46="neue_Regelzahlung",$P46=""),"Ziel_Person_ID fehlt",IF(AND($C46="Kategorie_Mapping",$O46=""),"Ziel_Kategorie_ID fehlt",IF(AND($C46="neue_Transferregel",$R46=""),"Ziel_Transfer_Typ fehlt",""))))))</x:f>
      </x:c>
    </x:row>
    <x:row r="47">
      <x:c r="A47" s="17" t="str"/>
      <x:c r="B47" s="17" t="str">
        <x:v>SUG-20260521-021</x:v>
      </x:c>
      <x:c r="C47" s="17" t="str">
        <x:v>neue_Regelzahlung</x:v>
      </x:c>
      <x:c r="D47" s="17" t="str">
        <x:v>normal</x:v>
      </x:c>
      <x:c r="E47" s="17" t="n">
        <x:v>0.82</x:v>
      </x:c>
      <x:c r="F47" s="17" t="str">
        <x:v>Regelzahlung pruefen</x:v>
      </x:c>
      <x:c r="G47" s="17" t="str">
        <x:v>NORD.LB...Braunschweigi/GEBHARDSHG</x:v>
      </x:c>
      <x:c r="H47" s="17" t="n">
        <x:v>-100</x:v>
      </x:c>
      <x:c r="I47" s="17" t="n">
        <x:v>3</x:v>
      </x:c>
      <x:c r="J47" s="17" t="str">
        <x:v>2024-04-15</x:v>
      </x:c>
      <x:c r="K47" s="17" t="str">
        <x:v>2025-05-30</x:v>
      </x:c>
      <x:c r="L47" s="17" t="str">
        <x:v>12_Regelzahlung_Vorschlaege</x:v>
      </x:c>
      <x:c r="M47" s="17" t="str">
        <x:v>SUG-20260521-021</x:v>
      </x:c>
      <x:c r="N47" s="17" t="str">
        <x:v>annehmen / ablehnen / zusammenfuehren</x:v>
      </x:c>
      <x:c r="O47" s="17" t="str">
        <x:v>KAT013</x:v>
      </x:c>
      <x:c r="P47" s="17" t="str"/>
      <x:c r="Q47" s="17" t="str">
        <x:v>KTO001</x:v>
      </x:c>
      <x:c r="R47" s="17" t="str"/>
      <x:c r="S47" s="17" t="str"/>
      <x:c r="T47" s="17" t="str">
        <x:v>Wiederkehrendes Monatsmuster im Import-Draft erkannt</x:v>
      </x:c>
      <x:c r="U47" s="17" t="str">
        <x:v>Gespiegelter Vorschlag; Umsetzung nur nach Nutzerentscheidung</x:v>
      </x:c>
      <x:c r="V47" s="17" t="str">
        <x:f>IF($A47="","offen",IF($A47&lt;&gt;"annehmen","ok",IF(AND($C47="neue_Regelzahlung",OR($O47="",$P47="")),"unvollstaendig",IF(AND($C47="Kategorie_Mapping",$O47=""),"unvollstaendig",IF(AND($C47="neue_Transferregel",$R47=""),"unvollstaendig","ok")))))</x:f>
        <x:v>offen</x:v>
      </x:c>
      <x:c r="W47" s="17" t="str">
        <x:f>IF($A47="","",IF($A47&lt;&gt;"annehmen","",IF(AND($C47="neue_Regelzahlung",$O47=""),"Ziel_Kategorie_ID fehlt",IF(AND($C47="neue_Regelzahlung",$P47=""),"Ziel_Person_ID fehlt",IF(AND($C47="Kategorie_Mapping",$O47=""),"Ziel_Kategorie_ID fehlt",IF(AND($C47="neue_Transferregel",$R47=""),"Ziel_Transfer_Typ fehlt",""))))))</x:f>
      </x:c>
    </x:row>
    <x:row r="48">
      <x:c r="A48" s="17" t="str"/>
      <x:c r="B48" s="17" t="str">
        <x:v>SUG-20260521-022</x:v>
      </x:c>
      <x:c r="C48" s="17" t="str">
        <x:v>neue_Regelzahlung</x:v>
      </x:c>
      <x:c r="D48" s="17" t="str">
        <x:v>normal</x:v>
      </x:c>
      <x:c r="E48" s="17" t="n">
        <x:v>0.82</x:v>
      </x:c>
      <x:c r="F48" s="17" t="str">
        <x:v>Regelzahlung pruefen</x:v>
      </x:c>
      <x:c r="G48" s="17" t="str">
        <x:v>Lars und Katrin Kohlenberg</x:v>
      </x:c>
      <x:c r="H48" s="17" t="n">
        <x:v>-100</x:v>
      </x:c>
      <x:c r="I48" s="17" t="n">
        <x:v>5</x:v>
      </x:c>
      <x:c r="J48" s="17" t="str">
        <x:v>2024-04-02</x:v>
      </x:c>
      <x:c r="K48" s="17" t="str">
        <x:v>2024-08-01</x:v>
      </x:c>
      <x:c r="L48" s="17" t="str">
        <x:v>12_Regelzahlung_Vorschlaege</x:v>
      </x:c>
      <x:c r="M48" s="17" t="str">
        <x:v>SUG-20260521-022</x:v>
      </x:c>
      <x:c r="N48" s="17" t="str">
        <x:v>annehmen / ablehnen / zusammenfuehren</x:v>
      </x:c>
      <x:c r="O48" s="17" t="str">
        <x:v>KAT013</x:v>
      </x:c>
      <x:c r="P48" s="17" t="str"/>
      <x:c r="Q48" s="17" t="str">
        <x:v>KTO001</x:v>
      </x:c>
      <x:c r="R48" s="17" t="str"/>
      <x:c r="S48" s="17" t="str"/>
      <x:c r="T48" s="17" t="str">
        <x:v>Wiederkehrendes Monatsmuster im Import-Draft erkannt</x:v>
      </x:c>
      <x:c r="U48" s="17" t="str">
        <x:v>Gespiegelter Vorschlag; Umsetzung nur nach Nutzerentscheidung</x:v>
      </x:c>
      <x:c r="V48" s="17" t="str">
        <x:f>IF($A48="","offen",IF($A48&lt;&gt;"annehmen","ok",IF(AND($C48="neue_Regelzahlung",OR($O48="",$P48="")),"unvollstaendig",IF(AND($C48="Kategorie_Mapping",$O48=""),"unvollstaendig",IF(AND($C48="neue_Transferregel",$R48=""),"unvollstaendig","ok")))))</x:f>
        <x:v>offen</x:v>
      </x:c>
      <x:c r="W48" s="17" t="str">
        <x:f>IF($A48="","",IF($A48&lt;&gt;"annehmen","",IF(AND($C48="neue_Regelzahlung",$O48=""),"Ziel_Kategorie_ID fehlt",IF(AND($C48="neue_Regelzahlung",$P48=""),"Ziel_Person_ID fehlt",IF(AND($C48="Kategorie_Mapping",$O48=""),"Ziel_Kategorie_ID fehlt",IF(AND($C48="neue_Transferregel",$R48=""),"Ziel_Transfer_Typ fehlt",""))))))</x:f>
      </x:c>
    </x:row>
    <x:row r="49">
      <x:c r="A49" s="17" t="str"/>
      <x:c r="B49" s="17" t="str">
        <x:v>SUG-20260521-023</x:v>
      </x:c>
      <x:c r="C49" s="17" t="str">
        <x:v>neue_Regelzahlung</x:v>
      </x:c>
      <x:c r="D49" s="17" t="str">
        <x:v>normal</x:v>
      </x:c>
      <x:c r="E49" s="17" t="n">
        <x:v>0.82</x:v>
      </x:c>
      <x:c r="F49" s="17" t="str">
        <x:v>Regelzahlung pruefen</x:v>
      </x:c>
      <x:c r="G49" s="17" t="str">
        <x:v>TANZSCHULE KWIATKOWSKI GBR</x:v>
      </x:c>
      <x:c r="H49" s="17" t="n">
        <x:v>-98</x:v>
      </x:c>
      <x:c r="I49" s="17" t="n">
        <x:v>4</x:v>
      </x:c>
      <x:c r="J49" s="17" t="str">
        <x:v>2026-02-16</x:v>
      </x:c>
      <x:c r="K49" s="17" t="str">
        <x:v>2026-05-15</x:v>
      </x:c>
      <x:c r="L49" s="17" t="str">
        <x:v>12_Regelzahlung_Vorschlaege</x:v>
      </x:c>
      <x:c r="M49" s="17" t="str">
        <x:v>SUG-20260521-023</x:v>
      </x:c>
      <x:c r="N49" s="17" t="str">
        <x:v>annehmen / ablehnen / zusammenfuehren</x:v>
      </x:c>
      <x:c r="O49" s="17" t="str">
        <x:v>KAT013</x:v>
      </x:c>
      <x:c r="P49" s="17" t="str"/>
      <x:c r="Q49" s="17" t="str">
        <x:v>KTO001</x:v>
      </x:c>
      <x:c r="R49" s="17" t="str"/>
      <x:c r="S49" s="17" t="str"/>
      <x:c r="T49" s="17" t="str">
        <x:v>Wiederkehrendes Monatsmuster im Import-Draft erkannt</x:v>
      </x:c>
      <x:c r="U49" s="17" t="str">
        <x:v>Gespiegelter Vorschlag; Umsetzung nur nach Nutzerentscheidung</x:v>
      </x:c>
      <x:c r="V49" s="17" t="str">
        <x:f>IF($A49="","offen",IF($A49&lt;&gt;"annehmen","ok",IF(AND($C49="neue_Regelzahlung",OR($O49="",$P49="")),"unvollstaendig",IF(AND($C49="Kategorie_Mapping",$O49=""),"unvollstaendig",IF(AND($C49="neue_Transferregel",$R49=""),"unvollstaendig","ok")))))</x:f>
        <x:v>offen</x:v>
      </x:c>
      <x:c r="W49" s="17" t="str">
        <x:f>IF($A49="","",IF($A49&lt;&gt;"annehmen","",IF(AND($C49="neue_Regelzahlung",$O49=""),"Ziel_Kategorie_ID fehlt",IF(AND($C49="neue_Regelzahlung",$P49=""),"Ziel_Person_ID fehlt",IF(AND($C49="Kategorie_Mapping",$O49=""),"Ziel_Kategorie_ID fehlt",IF(AND($C49="neue_Transferregel",$R49=""),"Ziel_Transfer_Typ fehlt",""))))))</x:f>
      </x:c>
    </x:row>
    <x:row r="50">
      <x:c r="A50" s="17" t="str"/>
      <x:c r="B50" s="17" t="str">
        <x:v>SUG-20260521-024</x:v>
      </x:c>
      <x:c r="C50" s="17" t="str">
        <x:v>neue_Regelzahlung</x:v>
      </x:c>
      <x:c r="D50" s="17" t="str">
        <x:v>normal</x:v>
      </x:c>
      <x:c r="E50" s="17" t="n">
        <x:v>0.82</x:v>
      </x:c>
      <x:c r="F50" s="17" t="str">
        <x:v>Regelzahlung pruefen</x:v>
      </x:c>
      <x:c r="G50" s="17" t="str">
        <x:v>IDEAL Lebensversicherung aG</x:v>
      </x:c>
      <x:c r="H50" s="17" t="n">
        <x:v>-97.12</x:v>
      </x:c>
      <x:c r="I50" s="17" t="n">
        <x:v>23</x:v>
      </x:c>
      <x:c r="J50" s="17" t="str">
        <x:v>2024-01-02</x:v>
      </x:c>
      <x:c r="K50" s="17" t="str">
        <x:v>2025-11-03</x:v>
      </x:c>
      <x:c r="L50" s="17" t="str">
        <x:v>12_Regelzahlung_Vorschlaege</x:v>
      </x:c>
      <x:c r="M50" s="17" t="str">
        <x:v>SUG-20260521-024</x:v>
      </x:c>
      <x:c r="N50" s="17" t="str">
        <x:v>annehmen / ablehnen / zusammenfuehren</x:v>
      </x:c>
      <x:c r="O50" s="17" t="str">
        <x:v>KAT013</x:v>
      </x:c>
      <x:c r="P50" s="17" t="str"/>
      <x:c r="Q50" s="17" t="str">
        <x:v>KTO001</x:v>
      </x:c>
      <x:c r="R50" s="17" t="str"/>
      <x:c r="S50" s="17" t="str"/>
      <x:c r="T50" s="17" t="str">
        <x:v>Wiederkehrendes Monatsmuster im Import-Draft erkannt</x:v>
      </x:c>
      <x:c r="U50" s="17" t="str">
        <x:v>Gespiegelter Vorschlag; Umsetzung nur nach Nutzerentscheidung</x:v>
      </x:c>
      <x:c r="V50" s="17" t="str">
        <x:f>IF($A50="","offen",IF($A50&lt;&gt;"annehmen","ok",IF(AND($C50="neue_Regelzahlung",OR($O50="",$P50="")),"unvollstaendig",IF(AND($C50="Kategorie_Mapping",$O50=""),"unvollstaendig",IF(AND($C50="neue_Transferregel",$R50=""),"unvollstaendig","ok")))))</x:f>
        <x:v>offen</x:v>
      </x:c>
      <x:c r="W50" s="17" t="str">
        <x:f>IF($A50="","",IF($A50&lt;&gt;"annehmen","",IF(AND($C50="neue_Regelzahlung",$O50=""),"Ziel_Kategorie_ID fehlt",IF(AND($C50="neue_Regelzahlung",$P50=""),"Ziel_Person_ID fehlt",IF(AND($C50="Kategorie_Mapping",$O50=""),"Ziel_Kategorie_ID fehlt",IF(AND($C50="neue_Transferregel",$R50=""),"Ziel_Transfer_Typ fehlt",""))))))</x:f>
      </x:c>
    </x:row>
    <x:row r="51">
      <x:c r="A51" s="17" t="str"/>
      <x:c r="B51" s="17" t="str">
        <x:v>SUG-20260521-025</x:v>
      </x:c>
      <x:c r="C51" s="17" t="str">
        <x:v>neue_Regelzahlung</x:v>
      </x:c>
      <x:c r="D51" s="17" t="str">
        <x:v>normal</x:v>
      </x:c>
      <x:c r="E51" s="17" t="n">
        <x:v>0.82</x:v>
      </x:c>
      <x:c r="F51" s="17" t="str">
        <x:v>Regelzahlung pruefen</x:v>
      </x:c>
      <x:c r="G51" s="17" t="str">
        <x:v>VOLKSWOHL BUND Lebensversicherung a.G.</x:v>
      </x:c>
      <x:c r="H51" s="17" t="n">
        <x:v>-73.09</x:v>
      </x:c>
      <x:c r="I51" s="17" t="n">
        <x:v>7</x:v>
      </x:c>
      <x:c r="J51" s="17" t="str">
        <x:v>2025-11-03</x:v>
      </x:c>
      <x:c r="K51" s="17" t="str">
        <x:v>2026-05-04</x:v>
      </x:c>
      <x:c r="L51" s="17" t="str">
        <x:v>12_Regelzahlung_Vorschlaege</x:v>
      </x:c>
      <x:c r="M51" s="17" t="str">
        <x:v>SUG-20260521-025</x:v>
      </x:c>
      <x:c r="N51" s="17" t="str">
        <x:v>annehmen / ablehnen / zusammenfuehren</x:v>
      </x:c>
      <x:c r="O51" s="17" t="str">
        <x:v>KAT013</x:v>
      </x:c>
      <x:c r="P51" s="17" t="str"/>
      <x:c r="Q51" s="17" t="str">
        <x:v>KTO001</x:v>
      </x:c>
      <x:c r="R51" s="17" t="str"/>
      <x:c r="S51" s="17" t="str"/>
      <x:c r="T51" s="17" t="str">
        <x:v>Wiederkehrendes Monatsmuster im Import-Draft erkannt</x:v>
      </x:c>
      <x:c r="U51" s="17" t="str">
        <x:v>Gespiegelter Vorschlag; Umsetzung nur nach Nutzerentscheidung</x:v>
      </x:c>
      <x:c r="V51" s="17" t="str">
        <x:f>IF($A51="","offen",IF($A51&lt;&gt;"annehmen","ok",IF(AND($C51="neue_Regelzahlung",OR($O51="",$P51="")),"unvollstaendig",IF(AND($C51="Kategorie_Mapping",$O51=""),"unvollstaendig",IF(AND($C51="neue_Transferregel",$R51=""),"unvollstaendig","ok")))))</x:f>
        <x:v>offen</x:v>
      </x:c>
      <x:c r="W51" s="17" t="str">
        <x:f>IF($A51="","",IF($A51&lt;&gt;"annehmen","",IF(AND($C51="neue_Regelzahlung",$O51=""),"Ziel_Kategorie_ID fehlt",IF(AND($C51="neue_Regelzahlung",$P51=""),"Ziel_Person_ID fehlt",IF(AND($C51="Kategorie_Mapping",$O51=""),"Ziel_Kategorie_ID fehlt",IF(AND($C51="neue_Transferregel",$R51=""),"Ziel_Transfer_Typ fehlt",""))))))</x:f>
      </x:c>
    </x:row>
    <x:row r="52">
      <x:c r="A52" s="17" t="str"/>
      <x:c r="B52" s="17" t="str">
        <x:v>SUG-20260521-026</x:v>
      </x:c>
      <x:c r="C52" s="17" t="str">
        <x:v>neue_Regelzahlung</x:v>
      </x:c>
      <x:c r="D52" s="17" t="str">
        <x:v>normal</x:v>
      </x:c>
      <x:c r="E52" s="17" t="n">
        <x:v>0.82</x:v>
      </x:c>
      <x:c r="F52" s="17" t="str">
        <x:v>Regelzahlung pruefen</x:v>
      </x:c>
      <x:c r="G52" s="17" t="str">
        <x:v>WEVG Salzgitter GmbH + Co. KG</x:v>
      </x:c>
      <x:c r="H52" s="17" t="n">
        <x:v>-70</x:v>
      </x:c>
      <x:c r="I52" s="17" t="n">
        <x:v>3</x:v>
      </x:c>
      <x:c r="J52" s="17" t="str">
        <x:v>2024-01-31</x:v>
      </x:c>
      <x:c r="K52" s="17" t="str">
        <x:v>2024-04-02</x:v>
      </x:c>
      <x:c r="L52" s="17" t="str">
        <x:v>12_Regelzahlung_Vorschlaege</x:v>
      </x:c>
      <x:c r="M52" s="17" t="str">
        <x:v>SUG-20260521-026</x:v>
      </x:c>
      <x:c r="N52" s="17" t="str">
        <x:v>annehmen / ablehnen / zusammenfuehren</x:v>
      </x:c>
      <x:c r="O52" s="17" t="str">
        <x:v>KAT013</x:v>
      </x:c>
      <x:c r="P52" s="17" t="str"/>
      <x:c r="Q52" s="17" t="str">
        <x:v>KTO001</x:v>
      </x:c>
      <x:c r="R52" s="17" t="str"/>
      <x:c r="S52" s="17" t="str"/>
      <x:c r="T52" s="17" t="str">
        <x:v>Wiederkehrendes Monatsmuster im Import-Draft erkannt</x:v>
      </x:c>
      <x:c r="U52" s="17" t="str">
        <x:v>Gespiegelter Vorschlag; Umsetzung nur nach Nutzerentscheidung</x:v>
      </x:c>
      <x:c r="V52" s="17" t="str">
        <x:f>IF($A52="","offen",IF($A52&lt;&gt;"annehmen","ok",IF(AND($C52="neue_Regelzahlung",OR($O52="",$P52="")),"unvollstaendig",IF(AND($C52="Kategorie_Mapping",$O52=""),"unvollstaendig",IF(AND($C52="neue_Transferregel",$R52=""),"unvollstaendig","ok")))))</x:f>
        <x:v>offen</x:v>
      </x:c>
      <x:c r="W52" s="17" t="str">
        <x:f>IF($A52="","",IF($A52&lt;&gt;"annehmen","",IF(AND($C52="neue_Regelzahlung",$O52=""),"Ziel_Kategorie_ID fehlt",IF(AND($C52="neue_Regelzahlung",$P52=""),"Ziel_Person_ID fehlt",IF(AND($C52="Kategorie_Mapping",$O52=""),"Ziel_Kategorie_ID fehlt",IF(AND($C52="neue_Transferregel",$R52=""),"Ziel_Transfer_Typ fehlt",""))))))</x:f>
      </x:c>
    </x:row>
    <x:row r="53">
      <x:c r="A53" s="17" t="str"/>
      <x:c r="B53" s="17" t="str">
        <x:v>SUG-20260521-027</x:v>
      </x:c>
      <x:c r="C53" s="17" t="str">
        <x:v>neue_Regelzahlung</x:v>
      </x:c>
      <x:c r="D53" s="17" t="str">
        <x:v>normal</x:v>
      </x:c>
      <x:c r="E53" s="17" t="n">
        <x:v>0.82</x:v>
      </x:c>
      <x:c r="F53" s="17" t="str">
        <x:v>Regelzahlung pruefen</x:v>
      </x:c>
      <x:c r="G53" s="17" t="str">
        <x:v>VOLKSWOHL BUND Lebensversicherung a.G.</x:v>
      </x:c>
      <x:c r="H53" s="17" t="n">
        <x:v>-68.46</x:v>
      </x:c>
      <x:c r="I53" s="17" t="n">
        <x:v>12</x:v>
      </x:c>
      <x:c r="J53" s="17" t="str">
        <x:v>2024-11-04</x:v>
      </x:c>
      <x:c r="K53" s="17" t="str">
        <x:v>2025-10-01</x:v>
      </x:c>
      <x:c r="L53" s="17" t="str">
        <x:v>12_Regelzahlung_Vorschlaege</x:v>
      </x:c>
      <x:c r="M53" s="17" t="str">
        <x:v>SUG-20260521-027</x:v>
      </x:c>
      <x:c r="N53" s="17" t="str">
        <x:v>annehmen / ablehnen / zusammenfuehren</x:v>
      </x:c>
      <x:c r="O53" s="17" t="str">
        <x:v>KAT013</x:v>
      </x:c>
      <x:c r="P53" s="17" t="str"/>
      <x:c r="Q53" s="17" t="str">
        <x:v>KTO001</x:v>
      </x:c>
      <x:c r="R53" s="17" t="str"/>
      <x:c r="S53" s="17" t="str"/>
      <x:c r="T53" s="17" t="str">
        <x:v>Wiederkehrendes Monatsmuster im Import-Draft erkannt</x:v>
      </x:c>
      <x:c r="U53" s="17" t="str">
        <x:v>Gespiegelter Vorschlag; Umsetzung nur nach Nutzerentscheidung</x:v>
      </x:c>
      <x:c r="V53" s="17" t="str">
        <x:f>IF($A53="","offen",IF($A53&lt;&gt;"annehmen","ok",IF(AND($C53="neue_Regelzahlung",OR($O53="",$P53="")),"unvollstaendig",IF(AND($C53="Kategorie_Mapping",$O53=""),"unvollstaendig",IF(AND($C53="neue_Transferregel",$R53=""),"unvollstaendig","ok")))))</x:f>
        <x:v>offen</x:v>
      </x:c>
      <x:c r="W53" s="17" t="str">
        <x:f>IF($A53="","",IF($A53&lt;&gt;"annehmen","",IF(AND($C53="neue_Regelzahlung",$O53=""),"Ziel_Kategorie_ID fehlt",IF(AND($C53="neue_Regelzahlung",$P53=""),"Ziel_Person_ID fehlt",IF(AND($C53="Kategorie_Mapping",$O53=""),"Ziel_Kategorie_ID fehlt",IF(AND($C53="neue_Transferregel",$R53=""),"Ziel_Transfer_Typ fehlt",""))))))</x:f>
      </x:c>
    </x:row>
    <x:row r="54">
      <x:c r="A54" s="17" t="str"/>
      <x:c r="B54" s="17" t="str">
        <x:v>SUG-20260521-028</x:v>
      </x:c>
      <x:c r="C54" s="17" t="str">
        <x:v>neue_Regelzahlung</x:v>
      </x:c>
      <x:c r="D54" s="17" t="str">
        <x:v>normal</x:v>
      </x:c>
      <x:c r="E54" s="17" t="n">
        <x:v>0.82</x:v>
      </x:c>
      <x:c r="F54" s="17" t="str">
        <x:v>Regelzahlung pruefen</x:v>
      </x:c>
      <x:c r="G54" s="17" t="str">
        <x:v>VOLKSWOHL BUND Lebensversicherung a.G.</x:v>
      </x:c>
      <x:c r="H54" s="17" t="n">
        <x:v>-66.15</x:v>
      </x:c>
      <x:c r="I54" s="17" t="n">
        <x:v>10</x:v>
      </x:c>
      <x:c r="J54" s="17" t="str">
        <x:v>2024-01-02</x:v>
      </x:c>
      <x:c r="K54" s="17" t="str">
        <x:v>2024-10-01</x:v>
      </x:c>
      <x:c r="L54" s="17" t="str">
        <x:v>12_Regelzahlung_Vorschlaege</x:v>
      </x:c>
      <x:c r="M54" s="17" t="str">
        <x:v>SUG-20260521-028</x:v>
      </x:c>
      <x:c r="N54" s="17" t="str">
        <x:v>annehmen / ablehnen / zusammenfuehren</x:v>
      </x:c>
      <x:c r="O54" s="17" t="str">
        <x:v>KAT013</x:v>
      </x:c>
      <x:c r="P54" s="17" t="str"/>
      <x:c r="Q54" s="17" t="str">
        <x:v>KTO001</x:v>
      </x:c>
      <x:c r="R54" s="17" t="str"/>
      <x:c r="S54" s="17" t="str"/>
      <x:c r="T54" s="17" t="str">
        <x:v>Wiederkehrendes Monatsmuster im Import-Draft erkannt</x:v>
      </x:c>
      <x:c r="U54" s="17" t="str">
        <x:v>Gespiegelter Vorschlag; Umsetzung nur nach Nutzerentscheidung</x:v>
      </x:c>
      <x:c r="V54" s="17" t="str">
        <x:f>IF($A54="","offen",IF($A54&lt;&gt;"annehmen","ok",IF(AND($C54="neue_Regelzahlung",OR($O54="",$P54="")),"unvollstaendig",IF(AND($C54="Kategorie_Mapping",$O54=""),"unvollstaendig",IF(AND($C54="neue_Transferregel",$R54=""),"unvollstaendig","ok")))))</x:f>
        <x:v>offen</x:v>
      </x:c>
      <x:c r="W54" s="17" t="str">
        <x:f>IF($A54="","",IF($A54&lt;&gt;"annehmen","",IF(AND($C54="neue_Regelzahlung",$O54=""),"Ziel_Kategorie_ID fehlt",IF(AND($C54="neue_Regelzahlung",$P54=""),"Ziel_Person_ID fehlt",IF(AND($C54="Kategorie_Mapping",$O54=""),"Ziel_Kategorie_ID fehlt",IF(AND($C54="neue_Transferregel",$R54=""),"Ziel_Transfer_Typ fehlt",""))))))</x:f>
      </x:c>
    </x:row>
    <x:row r="55">
      <x:c r="A55" s="17" t="str"/>
      <x:c r="B55" s="17" t="str">
        <x:v>SUG-20260521-029</x:v>
      </x:c>
      <x:c r="C55" s="17" t="str">
        <x:v>neue_Regelzahlung</x:v>
      </x:c>
      <x:c r="D55" s="17" t="str">
        <x:v>normal</x:v>
      </x:c>
      <x:c r="E55" s="17" t="n">
        <x:v>0.82</x:v>
      </x:c>
      <x:c r="F55" s="17" t="str">
        <x:v>Regelzahlung pruefen</x:v>
      </x:c>
      <x:c r="G55" s="17" t="str">
        <x:v>Telekom Deutschland GmbH</x:v>
      </x:c>
      <x:c r="H55" s="17" t="n">
        <x:v>-65.93</x:v>
      </x:c>
      <x:c r="I55" s="17" t="n">
        <x:v>5</x:v>
      </x:c>
      <x:c r="J55" s="17" t="str">
        <x:v>2026-01-07</x:v>
      </x:c>
      <x:c r="K55" s="17" t="str">
        <x:v>2026-05-06</x:v>
      </x:c>
      <x:c r="L55" s="17" t="str">
        <x:v>12_Regelzahlung_Vorschlaege</x:v>
      </x:c>
      <x:c r="M55" s="17" t="str">
        <x:v>SUG-20260521-029</x:v>
      </x:c>
      <x:c r="N55" s="17" t="str">
        <x:v>annehmen / ablehnen / zusammenfuehren</x:v>
      </x:c>
      <x:c r="O55" s="17" t="str">
        <x:v>KAT013</x:v>
      </x:c>
      <x:c r="P55" s="17" t="str"/>
      <x:c r="Q55" s="17" t="str">
        <x:v>KTO001</x:v>
      </x:c>
      <x:c r="R55" s="17" t="str"/>
      <x:c r="S55" s="17" t="str"/>
      <x:c r="T55" s="17" t="str">
        <x:v>Wiederkehrendes Monatsmuster im Import-Draft erkannt</x:v>
      </x:c>
      <x:c r="U55" s="17" t="str">
        <x:v>Gespiegelter Vorschlag; Umsetzung nur nach Nutzerentscheidung</x:v>
      </x:c>
      <x:c r="V55" s="17" t="str">
        <x:f>IF($A55="","offen",IF($A55&lt;&gt;"annehmen","ok",IF(AND($C55="neue_Regelzahlung",OR($O55="",$P55="")),"unvollstaendig",IF(AND($C55="Kategorie_Mapping",$O55=""),"unvollstaendig",IF(AND($C55="neue_Transferregel",$R55=""),"unvollstaendig","ok")))))</x:f>
        <x:v>offen</x:v>
      </x:c>
      <x:c r="W55" s="17" t="str">
        <x:f>IF($A55="","",IF($A55&lt;&gt;"annehmen","",IF(AND($C55="neue_Regelzahlung",$O55=""),"Ziel_Kategorie_ID fehlt",IF(AND($C55="neue_Regelzahlung",$P55=""),"Ziel_Person_ID fehlt",IF(AND($C55="Kategorie_Mapping",$O55=""),"Ziel_Kategorie_ID fehlt",IF(AND($C55="neue_Transferregel",$R55=""),"Ziel_Transfer_Typ fehlt",""))))))</x:f>
      </x:c>
    </x:row>
    <x:row r="56">
      <x:c r="A56" s="17" t="str"/>
      <x:c r="B56" s="17" t="str">
        <x:v>SUG-20260521-030</x:v>
      </x:c>
      <x:c r="C56" s="17" t="str">
        <x:v>neue_Regelzahlung</x:v>
      </x:c>
      <x:c r="D56" s="17" t="str">
        <x:v>normal</x:v>
      </x:c>
      <x:c r="E56" s="17" t="n">
        <x:v>0.82</x:v>
      </x:c>
      <x:c r="F56" s="17" t="str">
        <x:v>Regelzahlung pruefen</x:v>
      </x:c>
      <x:c r="G56" s="17" t="str">
        <x:v>Telekom Deutschland GmbH Landgrabenweg 151</x:v>
      </x:c>
      <x:c r="H56" s="17" t="n">
        <x:v>-61.94</x:v>
      </x:c>
      <x:c r="I56" s="17" t="n">
        <x:v>8</x:v>
      </x:c>
      <x:c r="J56" s="17" t="str">
        <x:v>2024-02-06</x:v>
      </x:c>
      <x:c r="K56" s="17" t="str">
        <x:v>2024-10-07</x:v>
      </x:c>
      <x:c r="L56" s="17" t="str">
        <x:v>12_Regelzahlung_Vorschlaege</x:v>
      </x:c>
      <x:c r="M56" s="17" t="str">
        <x:v>SUG-20260521-030</x:v>
      </x:c>
      <x:c r="N56" s="17" t="str">
        <x:v>annehmen / ablehnen / zusammenfuehren</x:v>
      </x:c>
      <x:c r="O56" s="17" t="str">
        <x:v>KAT013</x:v>
      </x:c>
      <x:c r="P56" s="17" t="str"/>
      <x:c r="Q56" s="17" t="str">
        <x:v>KTO001</x:v>
      </x:c>
      <x:c r="R56" s="17" t="str"/>
      <x:c r="S56" s="17" t="str"/>
      <x:c r="T56" s="17" t="str">
        <x:v>Wiederkehrendes Monatsmuster im Import-Draft erkannt</x:v>
      </x:c>
      <x:c r="U56" s="17" t="str">
        <x:v>Gespiegelter Vorschlag; Umsetzung nur nach Nutzerentscheidung</x:v>
      </x:c>
      <x:c r="V56" s="17" t="str">
        <x:f>IF($A56="","offen",IF($A56&lt;&gt;"annehmen","ok",IF(AND($C56="neue_Regelzahlung",OR($O56="",$P56="")),"unvollstaendig",IF(AND($C56="Kategorie_Mapping",$O56=""),"unvollstaendig",IF(AND($C56="neue_Transferregel",$R56=""),"unvollstaendig","ok")))))</x:f>
        <x:v>offen</x:v>
      </x:c>
      <x:c r="W56" s="17" t="str">
        <x:f>IF($A56="","",IF($A56&lt;&gt;"annehmen","",IF(AND($C56="neue_Regelzahlung",$O56=""),"Ziel_Kategorie_ID fehlt",IF(AND($C56="neue_Regelzahlung",$P56=""),"Ziel_Person_ID fehlt",IF(AND($C56="Kategorie_Mapping",$O56=""),"Ziel_Kategorie_ID fehlt",IF(AND($C56="neue_Transferregel",$R56=""),"Ziel_Transfer_Typ fehlt",""))))))</x:f>
      </x:c>
    </x:row>
    <x:row r="57">
      <x:c r="A57" s="17" t="str"/>
      <x:c r="B57" s="17" t="str">
        <x:v>SUG-20260521-031</x:v>
      </x:c>
      <x:c r="C57" s="17" t="str">
        <x:v>neue_Regelzahlung</x:v>
      </x:c>
      <x:c r="D57" s="17" t="str">
        <x:v>normal</x:v>
      </x:c>
      <x:c r="E57" s="17" t="n">
        <x:v>0.82</x:v>
      </x:c>
      <x:c r="F57" s="17" t="str">
        <x:v>Regelzahlung pruefen</x:v>
      </x:c>
      <x:c r="G57" s="17" t="str">
        <x:v>Telekom Deutschland GmbH</x:v>
      </x:c>
      <x:c r="H57" s="17" t="n">
        <x:v>-61.93</x:v>
      </x:c>
      <x:c r="I57" s="17" t="n">
        <x:v>13</x:v>
      </x:c>
      <x:c r="J57" s="17" t="str">
        <x:v>2024-12-03</x:v>
      </x:c>
      <x:c r="K57" s="17" t="str">
        <x:v>2025-12-03</x:v>
      </x:c>
      <x:c r="L57" s="17" t="str">
        <x:v>12_Regelzahlung_Vorschlaege</x:v>
      </x:c>
      <x:c r="M57" s="17" t="str">
        <x:v>SUG-20260521-031</x:v>
      </x:c>
      <x:c r="N57" s="17" t="str">
        <x:v>annehmen / ablehnen / zusammenfuehren</x:v>
      </x:c>
      <x:c r="O57" s="17" t="str">
        <x:v>KAT013</x:v>
      </x:c>
      <x:c r="P57" s="17" t="str"/>
      <x:c r="Q57" s="17" t="str">
        <x:v>KTO001</x:v>
      </x:c>
      <x:c r="R57" s="17" t="str"/>
      <x:c r="S57" s="17" t="str"/>
      <x:c r="T57" s="17" t="str">
        <x:v>Wiederkehrendes Monatsmuster im Import-Draft erkannt</x:v>
      </x:c>
      <x:c r="U57" s="17" t="str">
        <x:v>Gespiegelter Vorschlag; Umsetzung nur nach Nutzerentscheidung</x:v>
      </x:c>
      <x:c r="V57" s="17" t="str">
        <x:f>IF($A57="","offen",IF($A57&lt;&gt;"annehmen","ok",IF(AND($C57="neue_Regelzahlung",OR($O57="",$P57="")),"unvollstaendig",IF(AND($C57="Kategorie_Mapping",$O57=""),"unvollstaendig",IF(AND($C57="neue_Transferregel",$R57=""),"unvollstaendig","ok")))))</x:f>
        <x:v>offen</x:v>
      </x:c>
      <x:c r="W57" s="17" t="str">
        <x:f>IF($A57="","",IF($A57&lt;&gt;"annehmen","",IF(AND($C57="neue_Regelzahlung",$O57=""),"Ziel_Kategorie_ID fehlt",IF(AND($C57="neue_Regelzahlung",$P57=""),"Ziel_Person_ID fehlt",IF(AND($C57="Kategorie_Mapping",$O57=""),"Ziel_Kategorie_ID fehlt",IF(AND($C57="neue_Transferregel",$R57=""),"Ziel_Transfer_Typ fehlt",""))))))</x:f>
      </x:c>
    </x:row>
    <x:row r="58">
      <x:c r="A58" s="17" t="str"/>
      <x:c r="B58" s="17" t="str">
        <x:v>SUG-20260521-032</x:v>
      </x:c>
      <x:c r="C58" s="17" t="str">
        <x:v>neue_Regelzahlung</x:v>
      </x:c>
      <x:c r="D58" s="17" t="str">
        <x:v>normal</x:v>
      </x:c>
      <x:c r="E58" s="17" t="n">
        <x:v>0.82</x:v>
      </x:c>
      <x:c r="F58" s="17" t="str">
        <x:v>Regelzahlung pruefen</x:v>
      </x:c>
      <x:c r="G58" s="17" t="str">
        <x:v>FUNKE Medien Nieders.GmbH</x:v>
      </x:c>
      <x:c r="H58" s="17" t="n">
        <x:v>-60.5</x:v>
      </x:c>
      <x:c r="I58" s="17" t="n">
        <x:v>8</x:v>
      </x:c>
      <x:c r="J58" s="17" t="str">
        <x:v>2025-08-04</x:v>
      </x:c>
      <x:c r="K58" s="17" t="str">
        <x:v>2026-03-03</x:v>
      </x:c>
      <x:c r="L58" s="17" t="str">
        <x:v>12_Regelzahlung_Vorschlaege</x:v>
      </x:c>
      <x:c r="M58" s="17" t="str">
        <x:v>SUG-20260521-032</x:v>
      </x:c>
      <x:c r="N58" s="17" t="str">
        <x:v>annehmen / ablehnen / zusammenfuehren</x:v>
      </x:c>
      <x:c r="O58" s="17" t="str">
        <x:v>KAT013</x:v>
      </x:c>
      <x:c r="P58" s="17" t="str"/>
      <x:c r="Q58" s="17" t="str">
        <x:v>KTO001</x:v>
      </x:c>
      <x:c r="R58" s="17" t="str"/>
      <x:c r="S58" s="17" t="str"/>
      <x:c r="T58" s="17" t="str">
        <x:v>Wiederkehrendes Monatsmuster im Import-Draft erkannt</x:v>
      </x:c>
      <x:c r="U58" s="17" t="str">
        <x:v>Gespiegelter Vorschlag; Umsetzung nur nach Nutzerentscheidung</x:v>
      </x:c>
      <x:c r="V58" s="17" t="str">
        <x:f>IF($A58="","offen",IF($A58&lt;&gt;"annehmen","ok",IF(AND($C58="neue_Regelzahlung",OR($O58="",$P58="")),"unvollstaendig",IF(AND($C58="Kategorie_Mapping",$O58=""),"unvollstaendig",IF(AND($C58="neue_Transferregel",$R58=""),"unvollstaendig","ok")))))</x:f>
        <x:v>offen</x:v>
      </x:c>
      <x:c r="W58" s="17" t="str">
        <x:f>IF($A58="","",IF($A58&lt;&gt;"annehmen","",IF(AND($C58="neue_Regelzahlung",$O58=""),"Ziel_Kategorie_ID fehlt",IF(AND($C58="neue_Regelzahlung",$P58=""),"Ziel_Person_ID fehlt",IF(AND($C58="Kategorie_Mapping",$O58=""),"Ziel_Kategorie_ID fehlt",IF(AND($C58="neue_Transferregel",$R58=""),"Ziel_Transfer_Typ fehlt",""))))))</x:f>
      </x:c>
    </x:row>
    <x:row r="59">
      <x:c r="A59" s="17" t="str"/>
      <x:c r="B59" s="17" t="str">
        <x:v>SUG-20260521-033</x:v>
      </x:c>
      <x:c r="C59" s="17" t="str">
        <x:v>neue_Regelzahlung</x:v>
      </x:c>
      <x:c r="D59" s="17" t="str">
        <x:v>normal</x:v>
      </x:c>
      <x:c r="E59" s="17" t="n">
        <x:v>0.82</x:v>
      </x:c>
      <x:c r="F59" s="17" t="str">
        <x:v>Regelzahlung pruefen</x:v>
      </x:c>
      <x:c r="G59" s="17" t="str">
        <x:v>FUNKE Medien Nieders.GmbH</x:v>
      </x:c>
      <x:c r="H59" s="17" t="n">
        <x:v>-57.5</x:v>
      </x:c>
      <x:c r="I59" s="17" t="n">
        <x:v>11</x:v>
      </x:c>
      <x:c r="J59" s="17" t="str">
        <x:v>2024-09-03</x:v>
      </x:c>
      <x:c r="K59" s="17" t="str">
        <x:v>2025-07-02</x:v>
      </x:c>
      <x:c r="L59" s="17" t="str">
        <x:v>12_Regelzahlung_Vorschlaege</x:v>
      </x:c>
      <x:c r="M59" s="17" t="str">
        <x:v>SUG-20260521-033</x:v>
      </x:c>
      <x:c r="N59" s="17" t="str">
        <x:v>annehmen / ablehnen / zusammenfuehren</x:v>
      </x:c>
      <x:c r="O59" s="17" t="str">
        <x:v>KAT013</x:v>
      </x:c>
      <x:c r="P59" s="17" t="str"/>
      <x:c r="Q59" s="17" t="str">
        <x:v>KTO001</x:v>
      </x:c>
      <x:c r="R59" s="17" t="str"/>
      <x:c r="S59" s="17" t="str"/>
      <x:c r="T59" s="17" t="str">
        <x:v>Wiederkehrendes Monatsmuster im Import-Draft erkannt</x:v>
      </x:c>
      <x:c r="U59" s="17" t="str">
        <x:v>Gespiegelter Vorschlag; Umsetzung nur nach Nutzerentscheidung</x:v>
      </x:c>
      <x:c r="V59" s="17" t="str">
        <x:f>IF($A59="","offen",IF($A59&lt;&gt;"annehmen","ok",IF(AND($C59="neue_Regelzahlung",OR($O59="",$P59="")),"unvollstaendig",IF(AND($C59="Kategorie_Mapping",$O59=""),"unvollstaendig",IF(AND($C59="neue_Transferregel",$R59=""),"unvollstaendig","ok")))))</x:f>
        <x:v>offen</x:v>
      </x:c>
      <x:c r="W59" s="17" t="str">
        <x:f>IF($A59="","",IF($A59&lt;&gt;"annehmen","",IF(AND($C59="neue_Regelzahlung",$O59=""),"Ziel_Kategorie_ID fehlt",IF(AND($C59="neue_Regelzahlung",$P59=""),"Ziel_Person_ID fehlt",IF(AND($C59="Kategorie_Mapping",$O59=""),"Ziel_Kategorie_ID fehlt",IF(AND($C59="neue_Transferregel",$R59=""),"Ziel_Transfer_Typ fehlt",""))))))</x:f>
      </x:c>
    </x:row>
    <x:row r="60">
      <x:c r="A60" s="17" t="str"/>
      <x:c r="B60" s="17" t="str">
        <x:v>SUG-20260521-034</x:v>
      </x:c>
      <x:c r="C60" s="17" t="str">
        <x:v>neue_Regelzahlung</x:v>
      </x:c>
      <x:c r="D60" s="17" t="str">
        <x:v>normal</x:v>
      </x:c>
      <x:c r="E60" s="17" t="n">
        <x:v>0.82</x:v>
      </x:c>
      <x:c r="F60" s="17" t="str">
        <x:v>Regelzahlung pruefen</x:v>
      </x:c>
      <x:c r="G60" s="17" t="str">
        <x:v>VPV-LEBENSVERSICHERUNGS-AG</x:v>
      </x:c>
      <x:c r="H60" s="17" t="n">
        <x:v>-56.83</x:v>
      </x:c>
      <x:c r="I60" s="17" t="n">
        <x:v>11</x:v>
      </x:c>
      <x:c r="J60" s="17" t="str">
        <x:v>2025-07-01</x:v>
      </x:c>
      <x:c r="K60" s="17" t="str">
        <x:v>2026-05-05</x:v>
      </x:c>
      <x:c r="L60" s="17" t="str">
        <x:v>12_Regelzahlung_Vorschlaege</x:v>
      </x:c>
      <x:c r="M60" s="17" t="str">
        <x:v>SUG-20260521-034</x:v>
      </x:c>
      <x:c r="N60" s="17" t="str">
        <x:v>annehmen / ablehnen / zusammenfuehren</x:v>
      </x:c>
      <x:c r="O60" s="17" t="str">
        <x:v>KAT013</x:v>
      </x:c>
      <x:c r="P60" s="17" t="str"/>
      <x:c r="Q60" s="17" t="str">
        <x:v>KTO001</x:v>
      </x:c>
      <x:c r="R60" s="17" t="str"/>
      <x:c r="S60" s="17" t="str"/>
      <x:c r="T60" s="17" t="str">
        <x:v>Wiederkehrendes Monatsmuster im Import-Draft erkannt</x:v>
      </x:c>
      <x:c r="U60" s="17" t="str">
        <x:v>Gespiegelter Vorschlag; Umsetzung nur nach Nutzerentscheidung</x:v>
      </x:c>
      <x:c r="V60" s="17" t="str">
        <x:f>IF($A60="","offen",IF($A60&lt;&gt;"annehmen","ok",IF(AND($C60="neue_Regelzahlung",OR($O60="",$P60="")),"unvollstaendig",IF(AND($C60="Kategorie_Mapping",$O60=""),"unvollstaendig",IF(AND($C60="neue_Transferregel",$R60=""),"unvollstaendig","ok")))))</x:f>
        <x:v>offen</x:v>
      </x:c>
      <x:c r="W60" s="17" t="str">
        <x:f>IF($A60="","",IF($A60&lt;&gt;"annehmen","",IF(AND($C60="neue_Regelzahlung",$O60=""),"Ziel_Kategorie_ID fehlt",IF(AND($C60="neue_Regelzahlung",$P60=""),"Ziel_Person_ID fehlt",IF(AND($C60="Kategorie_Mapping",$O60=""),"Ziel_Kategorie_ID fehlt",IF(AND($C60="neue_Transferregel",$R60=""),"Ziel_Transfer_Typ fehlt",""))))))</x:f>
      </x:c>
    </x:row>
    <x:row r="61">
      <x:c r="A61" s="17" t="str"/>
      <x:c r="B61" s="17" t="str">
        <x:v>SUG-20260521-035</x:v>
      </x:c>
      <x:c r="C61" s="17" t="str">
        <x:v>neue_Regelzahlung</x:v>
      </x:c>
      <x:c r="D61" s="17" t="str">
        <x:v>normal</x:v>
      </x:c>
      <x:c r="E61" s="17" t="n">
        <x:v>0.82</x:v>
      </x:c>
      <x:c r="F61" s="17" t="str">
        <x:v>Regelzahlung pruefen</x:v>
      </x:c>
      <x:c r="G61" s="17" t="str">
        <x:v>REWE.Salzgitter.Ge/Salzgitter</x:v>
      </x:c>
      <x:c r="H61" s="17" t="n">
        <x:v>-55.25</x:v>
      </x:c>
      <x:c r="I61" s="17" t="n">
        <x:v>3</x:v>
      </x:c>
      <x:c r="J61" s="17" t="str">
        <x:v>2024-12-09</x:v>
      </x:c>
      <x:c r="K61" s="17" t="str">
        <x:v>2026-05-12</x:v>
      </x:c>
      <x:c r="L61" s="17" t="str">
        <x:v>12_Regelzahlung_Vorschlaege</x:v>
      </x:c>
      <x:c r="M61" s="17" t="str">
        <x:v>SUG-20260521-035</x:v>
      </x:c>
      <x:c r="N61" s="17" t="str">
        <x:v>annehmen / ablehnen / zusammenfuehren</x:v>
      </x:c>
      <x:c r="O61" s="17" t="str">
        <x:v>KAT013</x:v>
      </x:c>
      <x:c r="P61" s="17" t="str"/>
      <x:c r="Q61" s="17" t="str">
        <x:v>KTO001</x:v>
      </x:c>
      <x:c r="R61" s="17" t="str"/>
      <x:c r="S61" s="17" t="str"/>
      <x:c r="T61" s="17" t="str">
        <x:v>Wiederkehrendes Monatsmuster im Import-Draft erkannt</x:v>
      </x:c>
      <x:c r="U61" s="17" t="str">
        <x:v>Gespiegelter Vorschlag; Umsetzung nur nach Nutzerentscheidung</x:v>
      </x:c>
      <x:c r="V61" s="17" t="str">
        <x:f>IF($A61="","offen",IF($A61&lt;&gt;"annehmen","ok",IF(AND($C61="neue_Regelzahlung",OR($O61="",$P61="")),"unvollstaendig",IF(AND($C61="Kategorie_Mapping",$O61=""),"unvollstaendig",IF(AND($C61="neue_Transferregel",$R61=""),"unvollstaendig","ok")))))</x:f>
        <x:v>offen</x:v>
      </x:c>
      <x:c r="W61" s="17" t="str">
        <x:f>IF($A61="","",IF($A61&lt;&gt;"annehmen","",IF(AND($C61="neue_Regelzahlung",$O61=""),"Ziel_Kategorie_ID fehlt",IF(AND($C61="neue_Regelzahlung",$P61=""),"Ziel_Person_ID fehlt",IF(AND($C61="Kategorie_Mapping",$O61=""),"Ziel_Kategorie_ID fehlt",IF(AND($C61="neue_Transferregel",$R61=""),"Ziel_Transfer_Typ fehlt",""))))))</x:f>
      </x:c>
    </x:row>
    <x:row r="62">
      <x:c r="A62" s="17" t="str"/>
      <x:c r="B62" s="17" t="str">
        <x:v>SUG-20260521-036</x:v>
      </x:c>
      <x:c r="C62" s="17" t="str">
        <x:v>neue_Regelzahlung</x:v>
      </x:c>
      <x:c r="D62" s="17" t="str">
        <x:v>normal</x:v>
      </x:c>
      <x:c r="E62" s="17" t="n">
        <x:v>0.82</x:v>
      </x:c>
      <x:c r="F62" s="17" t="str">
        <x:v>Regelzahlung pruefen</x:v>
      </x:c>
      <x:c r="G62" s="17" t="str">
        <x:v>FUNKE Medien Nieders.GmbH</x:v>
      </x:c>
      <x:c r="H62" s="17" t="n">
        <x:v>-54.5</x:v>
      </x:c>
      <x:c r="I62" s="17" t="n">
        <x:v>8</x:v>
      </x:c>
      <x:c r="J62" s="17" t="str">
        <x:v>2024-01-03</x:v>
      </x:c>
      <x:c r="K62" s="17" t="str">
        <x:v>2024-08-02</x:v>
      </x:c>
      <x:c r="L62" s="17" t="str">
        <x:v>12_Regelzahlung_Vorschlaege</x:v>
      </x:c>
      <x:c r="M62" s="17" t="str">
        <x:v>SUG-20260521-036</x:v>
      </x:c>
      <x:c r="N62" s="17" t="str">
        <x:v>annehmen / ablehnen / zusammenfuehren</x:v>
      </x:c>
      <x:c r="O62" s="17" t="str">
        <x:v>KAT013</x:v>
      </x:c>
      <x:c r="P62" s="17" t="str"/>
      <x:c r="Q62" s="17" t="str">
        <x:v>KTO001</x:v>
      </x:c>
      <x:c r="R62" s="17" t="str"/>
      <x:c r="S62" s="17" t="str"/>
      <x:c r="T62" s="17" t="str">
        <x:v>Wiederkehrendes Monatsmuster im Import-Draft erkannt</x:v>
      </x:c>
      <x:c r="U62" s="17" t="str">
        <x:v>Gespiegelter Vorschlag; Umsetzung nur nach Nutzerentscheidung</x:v>
      </x:c>
      <x:c r="V62" s="17" t="str">
        <x:f>IF($A62="","offen",IF($A62&lt;&gt;"annehmen","ok",IF(AND($C62="neue_Regelzahlung",OR($O62="",$P62="")),"unvollstaendig",IF(AND($C62="Kategorie_Mapping",$O62=""),"unvollstaendig",IF(AND($C62="neue_Transferregel",$R62=""),"unvollstaendig","ok")))))</x:f>
        <x:v>offen</x:v>
      </x:c>
      <x:c r="W62" s="17" t="str">
        <x:f>IF($A62="","",IF($A62&lt;&gt;"annehmen","",IF(AND($C62="neue_Regelzahlung",$O62=""),"Ziel_Kategorie_ID fehlt",IF(AND($C62="neue_Regelzahlung",$P62=""),"Ziel_Person_ID fehlt",IF(AND($C62="Kategorie_Mapping",$O62=""),"Ziel_Kategorie_ID fehlt",IF(AND($C62="neue_Transferregel",$R62=""),"Ziel_Transfer_Typ fehlt",""))))))</x:f>
      </x:c>
    </x:row>
    <x:row r="63">
      <x:c r="A63" s="17" t="str"/>
      <x:c r="B63" s="17" t="str">
        <x:v>SUG-20260521-037</x:v>
      </x:c>
      <x:c r="C63" s="17" t="str">
        <x:v>neue_Regelzahlung</x:v>
      </x:c>
      <x:c r="D63" s="17" t="str">
        <x:v>normal</x:v>
      </x:c>
      <x:c r="E63" s="17" t="n">
        <x:v>0.82</x:v>
      </x:c>
      <x:c r="F63" s="17" t="str">
        <x:v>Regelzahlung pruefen</x:v>
      </x:c>
      <x:c r="G63" s="17" t="str">
        <x:v>VPV-LEBENSVERSICHERUNGS-AG</x:v>
      </x:c>
      <x:c r="H63" s="17" t="n">
        <x:v>-53.3</x:v>
      </x:c>
      <x:c r="I63" s="17" t="n">
        <x:v>12</x:v>
      </x:c>
      <x:c r="J63" s="17" t="str">
        <x:v>2024-07-02</x:v>
      </x:c>
      <x:c r="K63" s="17" t="str">
        <x:v>2025-06-03</x:v>
      </x:c>
      <x:c r="L63" s="17" t="str">
        <x:v>12_Regelzahlung_Vorschlaege</x:v>
      </x:c>
      <x:c r="M63" s="17" t="str">
        <x:v>SUG-20260521-037</x:v>
      </x:c>
      <x:c r="N63" s="17" t="str">
        <x:v>annehmen / ablehnen / zusammenfuehren</x:v>
      </x:c>
      <x:c r="O63" s="17" t="str">
        <x:v>KAT013</x:v>
      </x:c>
      <x:c r="P63" s="17" t="str"/>
      <x:c r="Q63" s="17" t="str">
        <x:v>KTO001</x:v>
      </x:c>
      <x:c r="R63" s="17" t="str"/>
      <x:c r="S63" s="17" t="str"/>
      <x:c r="T63" s="17" t="str">
        <x:v>Wiederkehrendes Monatsmuster im Import-Draft erkannt</x:v>
      </x:c>
      <x:c r="U63" s="17" t="str">
        <x:v>Gespiegelter Vorschlag; Umsetzung nur nach Nutzerentscheidung</x:v>
      </x:c>
      <x:c r="V63" s="17" t="str">
        <x:f>IF($A63="","offen",IF($A63&lt;&gt;"annehmen","ok",IF(AND($C63="neue_Regelzahlung",OR($O63="",$P63="")),"unvollstaendig",IF(AND($C63="Kategorie_Mapping",$O63=""),"unvollstaendig",IF(AND($C63="neue_Transferregel",$R63=""),"unvollstaendig","ok")))))</x:f>
        <x:v>offen</x:v>
      </x:c>
      <x:c r="W63" s="17" t="str">
        <x:f>IF($A63="","",IF($A63&lt;&gt;"annehmen","",IF(AND($C63="neue_Regelzahlung",$O63=""),"Ziel_Kategorie_ID fehlt",IF(AND($C63="neue_Regelzahlung",$P63=""),"Ziel_Person_ID fehlt",IF(AND($C63="Kategorie_Mapping",$O63=""),"Ziel_Kategorie_ID fehlt",IF(AND($C63="neue_Transferregel",$R63=""),"Ziel_Transfer_Typ fehlt",""))))))</x:f>
      </x:c>
    </x:row>
    <x:row r="64">
      <x:c r="A64" s="17" t="str"/>
      <x:c r="B64" s="17" t="str">
        <x:v>SUG-20260521-038</x:v>
      </x:c>
      <x:c r="C64" s="17" t="str">
        <x:v>neue_Regelzahlung</x:v>
      </x:c>
      <x:c r="D64" s="17" t="str">
        <x:v>normal</x:v>
      </x:c>
      <x:c r="E64" s="17" t="n">
        <x:v>0.82</x:v>
      </x:c>
      <x:c r="F64" s="17" t="str">
        <x:v>Regelzahlung pruefen</x:v>
      </x:c>
      <x:c r="G64" s="17" t="str">
        <x:v>VPV-LEBENSVERSICHERUNGS-AG</x:v>
      </x:c>
      <x:c r="H64" s="17" t="n">
        <x:v>-51.54</x:v>
      </x:c>
      <x:c r="I64" s="17" t="n">
        <x:v>6</x:v>
      </x:c>
      <x:c r="J64" s="17" t="str">
        <x:v>2024-01-03</x:v>
      </x:c>
      <x:c r="K64" s="17" t="str">
        <x:v>2024-06-04</x:v>
      </x:c>
      <x:c r="L64" s="17" t="str">
        <x:v>12_Regelzahlung_Vorschlaege</x:v>
      </x:c>
      <x:c r="M64" s="17" t="str">
        <x:v>SUG-20260521-038</x:v>
      </x:c>
      <x:c r="N64" s="17" t="str">
        <x:v>annehmen / ablehnen / zusammenfuehren</x:v>
      </x:c>
      <x:c r="O64" s="17" t="str">
        <x:v>KAT013</x:v>
      </x:c>
      <x:c r="P64" s="17" t="str"/>
      <x:c r="Q64" s="17" t="str">
        <x:v>KTO001</x:v>
      </x:c>
      <x:c r="R64" s="17" t="str"/>
      <x:c r="S64" s="17" t="str"/>
      <x:c r="T64" s="17" t="str">
        <x:v>Wiederkehrendes Monatsmuster im Import-Draft erkannt</x:v>
      </x:c>
      <x:c r="U64" s="17" t="str">
        <x:v>Gespiegelter Vorschlag; Umsetzung nur nach Nutzerentscheidung</x:v>
      </x:c>
      <x:c r="V64" s="17" t="str">
        <x:f>IF($A64="","offen",IF($A64&lt;&gt;"annehmen","ok",IF(AND($C64="neue_Regelzahlung",OR($O64="",$P64="")),"unvollstaendig",IF(AND($C64="Kategorie_Mapping",$O64=""),"unvollstaendig",IF(AND($C64="neue_Transferregel",$R64=""),"unvollstaendig","ok")))))</x:f>
        <x:v>offen</x:v>
      </x:c>
      <x:c r="W64" s="17" t="str">
        <x:f>IF($A64="","",IF($A64&lt;&gt;"annehmen","",IF(AND($C64="neue_Regelzahlung",$O64=""),"Ziel_Kategorie_ID fehlt",IF(AND($C64="neue_Regelzahlung",$P64=""),"Ziel_Person_ID fehlt",IF(AND($C64="Kategorie_Mapping",$O64=""),"Ziel_Kategorie_ID fehlt",IF(AND($C64="neue_Transferregel",$R64=""),"Ziel_Transfer_Typ fehlt",""))))))</x:f>
      </x:c>
    </x:row>
    <x:row r="65">
      <x:c r="A65" s="17" t="str"/>
      <x:c r="B65" s="17" t="str">
        <x:v>SUG-20260521-039</x:v>
      </x:c>
      <x:c r="C65" s="17" t="str">
        <x:v>neue_Regelzahlung</x:v>
      </x:c>
      <x:c r="D65" s="17" t="str">
        <x:v>normal</x:v>
      </x:c>
      <x:c r="E65" s="17" t="n">
        <x:v>0.82</x:v>
      </x:c>
      <x:c r="F65" s="17" t="str">
        <x:v>Regelzahlung pruefen</x:v>
      </x:c>
      <x:c r="G65" s="17" t="str">
        <x:v>Iman Firat</x:v>
      </x:c>
      <x:c r="H65" s="17" t="n">
        <x:v>-49.9</x:v>
      </x:c>
      <x:c r="I65" s="17" t="n">
        <x:v>25</x:v>
      </x:c>
      <x:c r="J65" s="17" t="str">
        <x:v>2024-01-08</x:v>
      </x:c>
      <x:c r="K65" s="17" t="str">
        <x:v>2026-01-06</x:v>
      </x:c>
      <x:c r="L65" s="17" t="str">
        <x:v>12_Regelzahlung_Vorschlaege</x:v>
      </x:c>
      <x:c r="M65" s="17" t="str">
        <x:v>SUG-20260521-039</x:v>
      </x:c>
      <x:c r="N65" s="17" t="str">
        <x:v>annehmen / ablehnen / zusammenfuehren</x:v>
      </x:c>
      <x:c r="O65" s="17" t="str">
        <x:v>KAT013</x:v>
      </x:c>
      <x:c r="P65" s="17" t="str"/>
      <x:c r="Q65" s="17" t="str">
        <x:v>KTO001</x:v>
      </x:c>
      <x:c r="R65" s="17" t="str"/>
      <x:c r="S65" s="17" t="str"/>
      <x:c r="T65" s="17" t="str">
        <x:v>Wiederkehrendes Monatsmuster im Import-Draft erkannt</x:v>
      </x:c>
      <x:c r="U65" s="17" t="str">
        <x:v>Gespiegelter Vorschlag; Umsetzung nur nach Nutzerentscheidung</x:v>
      </x:c>
      <x:c r="V65" s="17" t="str">
        <x:f>IF($A65="","offen",IF($A65&lt;&gt;"annehmen","ok",IF(AND($C65="neue_Regelzahlung",OR($O65="",$P65="")),"unvollstaendig",IF(AND($C65="Kategorie_Mapping",$O65=""),"unvollstaendig",IF(AND($C65="neue_Transferregel",$R65=""),"unvollstaendig","ok")))))</x:f>
        <x:v>offen</x:v>
      </x:c>
      <x:c r="W65" s="17" t="str">
        <x:f>IF($A65="","",IF($A65&lt;&gt;"annehmen","",IF(AND($C65="neue_Regelzahlung",$O65=""),"Ziel_Kategorie_ID fehlt",IF(AND($C65="neue_Regelzahlung",$P65=""),"Ziel_Person_ID fehlt",IF(AND($C65="Kategorie_Mapping",$O65=""),"Ziel_Kategorie_ID fehlt",IF(AND($C65="neue_Transferregel",$R65=""),"Ziel_Transfer_Typ fehlt",""))))))</x:f>
      </x:c>
    </x:row>
    <x:row r="66">
      <x:c r="A66" s="17" t="str"/>
      <x:c r="B66" s="17" t="str">
        <x:v>SUG-20260521-040</x:v>
      </x:c>
      <x:c r="C66" s="17" t="str">
        <x:v>neue_Regelzahlung</x:v>
      </x:c>
      <x:c r="D66" s="17" t="str">
        <x:v>normal</x:v>
      </x:c>
      <x:c r="E66" s="17" t="n">
        <x:v>0.82</x:v>
      </x:c>
      <x:c r="F66" s="17" t="str">
        <x:v>Regelzahlung pruefen</x:v>
      </x:c>
      <x:c r="G66" s="17" t="str">
        <x:v>TANZSCHULE KWIATKOWSKI GBR</x:v>
      </x:c>
      <x:c r="H66" s="17" t="n">
        <x:v>-49</x:v>
      </x:c>
      <x:c r="I66" s="17" t="n">
        <x:v>9</x:v>
      </x:c>
      <x:c r="J66" s="17" t="str">
        <x:v>2025-10-01</x:v>
      </x:c>
      <x:c r="K66" s="17" t="str">
        <x:v>2026-05-04</x:v>
      </x:c>
      <x:c r="L66" s="17" t="str">
        <x:v>12_Regelzahlung_Vorschlaege</x:v>
      </x:c>
      <x:c r="M66" s="17" t="str">
        <x:v>SUG-20260521-040</x:v>
      </x:c>
      <x:c r="N66" s="17" t="str">
        <x:v>annehmen / ablehnen / zusammenfuehren</x:v>
      </x:c>
      <x:c r="O66" s="17" t="str">
        <x:v>KAT013</x:v>
      </x:c>
      <x:c r="P66" s="17" t="str"/>
      <x:c r="Q66" s="17" t="str">
        <x:v>KTO001</x:v>
      </x:c>
      <x:c r="R66" s="17" t="str"/>
      <x:c r="S66" s="17" t="str"/>
      <x:c r="T66" s="17" t="str">
        <x:v>Wiederkehrendes Monatsmuster im Import-Draft erkannt</x:v>
      </x:c>
      <x:c r="U66" s="17" t="str">
        <x:v>Gespiegelter Vorschlag; Umsetzung nur nach Nutzerentscheidung</x:v>
      </x:c>
      <x:c r="V66" s="17" t="str">
        <x:f>IF($A66="","offen",IF($A66&lt;&gt;"annehmen","ok",IF(AND($C66="neue_Regelzahlung",OR($O66="",$P66="")),"unvollstaendig",IF(AND($C66="Kategorie_Mapping",$O66=""),"unvollstaendig",IF(AND($C66="neue_Transferregel",$R66=""),"unvollstaendig","ok")))))</x:f>
        <x:v>offen</x:v>
      </x:c>
      <x:c r="W66" s="17" t="str">
        <x:f>IF($A66="","",IF($A66&lt;&gt;"annehmen","",IF(AND($C66="neue_Regelzahlung",$O66=""),"Ziel_Kategorie_ID fehlt",IF(AND($C66="neue_Regelzahlung",$P66=""),"Ziel_Person_ID fehlt",IF(AND($C66="Kategorie_Mapping",$O66=""),"Ziel_Kategorie_ID fehlt",IF(AND($C66="neue_Transferregel",$R66=""),"Ziel_Transfer_Typ fehlt",""))))))</x:f>
      </x:c>
    </x:row>
    <x:row r="67">
      <x:c r="A67" s="17" t="str"/>
      <x:c r="B67" s="17" t="str">
        <x:v>SUG-20260521-041</x:v>
      </x:c>
      <x:c r="C67" s="17" t="str">
        <x:v>neue_Regelzahlung</x:v>
      </x:c>
      <x:c r="D67" s="17" t="str">
        <x:v>normal</x:v>
      </x:c>
      <x:c r="E67" s="17" t="n">
        <x:v>0.82</x:v>
      </x:c>
      <x:c r="F67" s="17" t="str">
        <x:v>Regelzahlung pruefen</x:v>
      </x:c>
      <x:c r="G67" s="17" t="str">
        <x:v>REWE.Salzgitter.Ge/Salzgitter</x:v>
      </x:c>
      <x:c r="H67" s="17" t="n">
        <x:v>-36.03</x:v>
      </x:c>
      <x:c r="I67" s="17" t="n">
        <x:v>3</x:v>
      </x:c>
      <x:c r="J67" s="17" t="str">
        <x:v>2025-03-17</x:v>
      </x:c>
      <x:c r="K67" s="17" t="str">
        <x:v>2025-10-06</x:v>
      </x:c>
      <x:c r="L67" s="17" t="str">
        <x:v>12_Regelzahlung_Vorschlaege</x:v>
      </x:c>
      <x:c r="M67" s="17" t="str">
        <x:v>SUG-20260521-041</x:v>
      </x:c>
      <x:c r="N67" s="17" t="str">
        <x:v>annehmen / ablehnen / zusammenfuehren</x:v>
      </x:c>
      <x:c r="O67" s="17" t="str">
        <x:v>KAT013</x:v>
      </x:c>
      <x:c r="P67" s="17" t="str"/>
      <x:c r="Q67" s="17" t="str">
        <x:v>KTO001</x:v>
      </x:c>
      <x:c r="R67" s="17" t="str"/>
      <x:c r="S67" s="17" t="str"/>
      <x:c r="T67" s="17" t="str">
        <x:v>Wiederkehrendes Monatsmuster im Import-Draft erkannt</x:v>
      </x:c>
      <x:c r="U67" s="17" t="str">
        <x:v>Gespiegelter Vorschlag; Umsetzung nur nach Nutzerentscheidung</x:v>
      </x:c>
      <x:c r="V67" s="17" t="str">
        <x:f>IF($A67="","offen",IF($A67&lt;&gt;"annehmen","ok",IF(AND($C67="neue_Regelzahlung",OR($O67="",$P67="")),"unvollstaendig",IF(AND($C67="Kategorie_Mapping",$O67=""),"unvollstaendig",IF(AND($C67="neue_Transferregel",$R67=""),"unvollstaendig","ok")))))</x:f>
        <x:v>offen</x:v>
      </x:c>
      <x:c r="W67" s="17" t="str">
        <x:f>IF($A67="","",IF($A67&lt;&gt;"annehmen","",IF(AND($C67="neue_Regelzahlung",$O67=""),"Ziel_Kategorie_ID fehlt",IF(AND($C67="neue_Regelzahlung",$P67=""),"Ziel_Person_ID fehlt",IF(AND($C67="Kategorie_Mapping",$O67=""),"Ziel_Kategorie_ID fehlt",IF(AND($C67="neue_Transferregel",$R67=""),"Ziel_Transfer_Typ fehlt",""))))))</x:f>
      </x:c>
    </x:row>
    <x:row r="68">
      <x:c r="A68" s="17" t="str"/>
      <x:c r="B68" s="17" t="str">
        <x:v>SUG-20260521-042</x:v>
      </x:c>
      <x:c r="C68" s="17" t="str">
        <x:v>neue_Regelzahlung</x:v>
      </x:c>
      <x:c r="D68" s="17" t="str">
        <x:v>normal</x:v>
      </x:c>
      <x:c r="E68" s="17" t="n">
        <x:v>0.82</x:v>
      </x:c>
      <x:c r="F68" s="17" t="str">
        <x:v>Regelzahlung pruefen</x:v>
      </x:c>
      <x:c r="G68" s="17" t="str">
        <x:v>REWE.Salzgitter.Ge/Salzgitter</x:v>
      </x:c>
      <x:c r="H68" s="17" t="n">
        <x:v>-30.04</x:v>
      </x:c>
      <x:c r="I68" s="17" t="n">
        <x:v>3</x:v>
      </x:c>
      <x:c r="J68" s="17" t="str">
        <x:v>2024-11-15</x:v>
      </x:c>
      <x:c r="K68" s="17" t="str">
        <x:v>2025-08-04</x:v>
      </x:c>
      <x:c r="L68" s="17" t="str">
        <x:v>12_Regelzahlung_Vorschlaege</x:v>
      </x:c>
      <x:c r="M68" s="17" t="str">
        <x:v>SUG-20260521-042</x:v>
      </x:c>
      <x:c r="N68" s="17" t="str">
        <x:v>annehmen / ablehnen / zusammenfuehren</x:v>
      </x:c>
      <x:c r="O68" s="17" t="str">
        <x:v>KAT013</x:v>
      </x:c>
      <x:c r="P68" s="17" t="str"/>
      <x:c r="Q68" s="17" t="str">
        <x:v>KTO001</x:v>
      </x:c>
      <x:c r="R68" s="17" t="str"/>
      <x:c r="S68" s="17" t="str"/>
      <x:c r="T68" s="17" t="str">
        <x:v>Wiederkehrendes Monatsmuster im Import-Draft erkannt</x:v>
      </x:c>
      <x:c r="U68" s="17" t="str">
        <x:v>Gespiegelter Vorschlag; Umsetzung nur nach Nutzerentscheidung</x:v>
      </x:c>
      <x:c r="V68" s="17" t="str">
        <x:f>IF($A68="","offen",IF($A68&lt;&gt;"annehmen","ok",IF(AND($C68="neue_Regelzahlung",OR($O68="",$P68="")),"unvollstaendig",IF(AND($C68="Kategorie_Mapping",$O68=""),"unvollstaendig",IF(AND($C68="neue_Transferregel",$R68=""),"unvollstaendig","ok")))))</x:f>
        <x:v>offen</x:v>
      </x:c>
      <x:c r="W68" s="17" t="str">
        <x:f>IF($A68="","",IF($A68&lt;&gt;"annehmen","",IF(AND($C68="neue_Regelzahlung",$O68=""),"Ziel_Kategorie_ID fehlt",IF(AND($C68="neue_Regelzahlung",$P68=""),"Ziel_Person_ID fehlt",IF(AND($C68="Kategorie_Mapping",$O68=""),"Ziel_Kategorie_ID fehlt",IF(AND($C68="neue_Transferregel",$R68=""),"Ziel_Transfer_Typ fehlt",""))))))</x:f>
      </x:c>
    </x:row>
    <x:row r="69">
      <x:c r="A69" s="17" t="str"/>
      <x:c r="B69" s="17" t="str">
        <x:v>SUG-20260521-043</x:v>
      </x:c>
      <x:c r="C69" s="17" t="str">
        <x:v>neue_Regelzahlung</x:v>
      </x:c>
      <x:c r="D69" s="17" t="str">
        <x:v>normal</x:v>
      </x:c>
      <x:c r="E69" s="17" t="n">
        <x:v>0.82</x:v>
      </x:c>
      <x:c r="F69" s="17" t="str">
        <x:v>Regelzahlung pruefen</x:v>
      </x:c>
      <x:c r="G69" s="17" t="str">
        <x:v>PAYPAL..VRB/1743473445</x:v>
      </x:c>
      <x:c r="H69" s="17" t="n">
        <x:v>-30</x:v>
      </x:c>
      <x:c r="I69" s="17" t="n">
        <x:v>6</x:v>
      </x:c>
      <x:c r="J69" s="17" t="str">
        <x:v>2025-11-26</x:v>
      </x:c>
      <x:c r="K69" s="17" t="str">
        <x:v>2026-05-05</x:v>
      </x:c>
      <x:c r="L69" s="17" t="str">
        <x:v>12_Regelzahlung_Vorschlaege</x:v>
      </x:c>
      <x:c r="M69" s="17" t="str">
        <x:v>SUG-20260521-043</x:v>
      </x:c>
      <x:c r="N69" s="17" t="str">
        <x:v>annehmen / ablehnen / zusammenfuehren</x:v>
      </x:c>
      <x:c r="O69" s="17" t="str">
        <x:v>KAT013</x:v>
      </x:c>
      <x:c r="P69" s="17" t="str"/>
      <x:c r="Q69" s="17" t="str">
        <x:v>KTO001</x:v>
      </x:c>
      <x:c r="R69" s="17" t="str"/>
      <x:c r="S69" s="17" t="str"/>
      <x:c r="T69" s="17" t="str">
        <x:v>Wiederkehrendes Monatsmuster im Import-Draft erkannt</x:v>
      </x:c>
      <x:c r="U69" s="17" t="str">
        <x:v>Gespiegelter Vorschlag; Umsetzung nur nach Nutzerentscheidung</x:v>
      </x:c>
      <x:c r="V69" s="17" t="str">
        <x:f>IF($A69="","offen",IF($A69&lt;&gt;"annehmen","ok",IF(AND($C69="neue_Regelzahlung",OR($O69="",$P69="")),"unvollstaendig",IF(AND($C69="Kategorie_Mapping",$O69=""),"unvollstaendig",IF(AND($C69="neue_Transferregel",$R69=""),"unvollstaendig","ok")))))</x:f>
        <x:v>offen</x:v>
      </x:c>
      <x:c r="W69" s="17" t="str">
        <x:f>IF($A69="","",IF($A69&lt;&gt;"annehmen","",IF(AND($C69="neue_Regelzahlung",$O69=""),"Ziel_Kategorie_ID fehlt",IF(AND($C69="neue_Regelzahlung",$P69=""),"Ziel_Person_ID fehlt",IF(AND($C69="Kategorie_Mapping",$O69=""),"Ziel_Kategorie_ID fehlt",IF(AND($C69="neue_Transferregel",$R69=""),"Ziel_Transfer_Typ fehlt",""))))))</x:f>
      </x:c>
    </x:row>
    <x:row r="70">
      <x:c r="A70" s="17" t="str"/>
      <x:c r="B70" s="17" t="str">
        <x:v>SUG-20260521-044</x:v>
      </x:c>
      <x:c r="C70" s="17" t="str">
        <x:v>neue_Regelzahlung</x:v>
      </x:c>
      <x:c r="D70" s="17" t="str">
        <x:v>normal</x:v>
      </x:c>
      <x:c r="E70" s="17" t="n">
        <x:v>0.82</x:v>
      </x:c>
      <x:c r="F70" s="17" t="str">
        <x:v>Regelzahlung pruefen</x:v>
      </x:c>
      <x:c r="G70" s="17" t="str">
        <x:v>PAYPAL..VRB/4029357733</x:v>
      </x:c>
      <x:c r="H70" s="17" t="n">
        <x:v>-30</x:v>
      </x:c>
      <x:c r="I70" s="17" t="n">
        <x:v>3</x:v>
      </x:c>
      <x:c r="J70" s="17" t="str">
        <x:v>2025-08-12</x:v>
      </x:c>
      <x:c r="K70" s="17" t="str">
        <x:v>2025-10-27</x:v>
      </x:c>
      <x:c r="L70" s="17" t="str">
        <x:v>12_Regelzahlung_Vorschlaege</x:v>
      </x:c>
      <x:c r="M70" s="17" t="str">
        <x:v>SUG-20260521-044</x:v>
      </x:c>
      <x:c r="N70" s="17" t="str">
        <x:v>annehmen / ablehnen / zusammenfuehren</x:v>
      </x:c>
      <x:c r="O70" s="17" t="str">
        <x:v>KAT013</x:v>
      </x:c>
      <x:c r="P70" s="17" t="str"/>
      <x:c r="Q70" s="17" t="str">
        <x:v>KTO001</x:v>
      </x:c>
      <x:c r="R70" s="17" t="str"/>
      <x:c r="S70" s="17" t="str"/>
      <x:c r="T70" s="17" t="str">
        <x:v>Wiederkehrendes Monatsmuster im Import-Draft erkannt</x:v>
      </x:c>
      <x:c r="U70" s="17" t="str">
        <x:v>Gespiegelter Vorschlag; Umsetzung nur nach Nutzerentscheidung</x:v>
      </x:c>
      <x:c r="V70" s="17" t="str">
        <x:f>IF($A70="","offen",IF($A70&lt;&gt;"annehmen","ok",IF(AND($C70="neue_Regelzahlung",OR($O70="",$P70="")),"unvollstaendig",IF(AND($C70="Kategorie_Mapping",$O70=""),"unvollstaendig",IF(AND($C70="neue_Transferregel",$R70=""),"unvollstaendig","ok")))))</x:f>
        <x:v>offen</x:v>
      </x:c>
      <x:c r="W70" s="17" t="str">
        <x:f>IF($A70="","",IF($A70&lt;&gt;"annehmen","",IF(AND($C70="neue_Regelzahlung",$O70=""),"Ziel_Kategorie_ID fehlt",IF(AND($C70="neue_Regelzahlung",$P70=""),"Ziel_Person_ID fehlt",IF(AND($C70="Kategorie_Mapping",$O70=""),"Ziel_Kategorie_ID fehlt",IF(AND($C70="neue_Transferregel",$R70=""),"Ziel_Transfer_Typ fehlt",""))))))</x:f>
      </x:c>
    </x:row>
    <x:row r="71">
      <x:c r="A71" s="17" t="str"/>
      <x:c r="B71" s="17" t="str">
        <x:v>SUG-20260521-045</x:v>
      </x:c>
      <x:c r="C71" s="17" t="str">
        <x:v>neue_Regelzahlung</x:v>
      </x:c>
      <x:c r="D71" s="17" t="str">
        <x:v>normal</x:v>
      </x:c>
      <x:c r="E71" s="17" t="n">
        <x:v>0.82</x:v>
      </x:c>
      <x:c r="F71" s="17" t="str">
        <x:v>Regelzahlung pruefen</x:v>
      </x:c>
      <x:c r="G71" s="17" t="str">
        <x:v>REWE.Salzgitter.Ge/Salzgitter</x:v>
      </x:c>
      <x:c r="H71" s="17" t="n">
        <x:v>-27.61</x:v>
      </x:c>
      <x:c r="I71" s="17" t="n">
        <x:v>3</x:v>
      </x:c>
      <x:c r="J71" s="17" t="str">
        <x:v>2025-09-22</x:v>
      </x:c>
      <x:c r="K71" s="17" t="str">
        <x:v>2026-04-27</x:v>
      </x:c>
      <x:c r="L71" s="17" t="str">
        <x:v>12_Regelzahlung_Vorschlaege</x:v>
      </x:c>
      <x:c r="M71" s="17" t="str">
        <x:v>SUG-20260521-045</x:v>
      </x:c>
      <x:c r="N71" s="17" t="str">
        <x:v>annehmen / ablehnen / zusammenfuehren</x:v>
      </x:c>
      <x:c r="O71" s="17" t="str">
        <x:v>KAT013</x:v>
      </x:c>
      <x:c r="P71" s="17" t="str"/>
      <x:c r="Q71" s="17" t="str">
        <x:v>KTO001</x:v>
      </x:c>
      <x:c r="R71" s="17" t="str"/>
      <x:c r="S71" s="17" t="str"/>
      <x:c r="T71" s="17" t="str">
        <x:v>Wiederkehrendes Monatsmuster im Import-Draft erkannt</x:v>
      </x:c>
      <x:c r="U71" s="17" t="str">
        <x:v>Gespiegelter Vorschlag; Umsetzung nur nach Nutzerentscheidung</x:v>
      </x:c>
      <x:c r="V71" s="17" t="str">
        <x:f>IF($A71="","offen",IF($A71&lt;&gt;"annehmen","ok",IF(AND($C71="neue_Regelzahlung",OR($O71="",$P71="")),"unvollstaendig",IF(AND($C71="Kategorie_Mapping",$O71=""),"unvollstaendig",IF(AND($C71="neue_Transferregel",$R71=""),"unvollstaendig","ok")))))</x:f>
        <x:v>offen</x:v>
      </x:c>
      <x:c r="W71" s="17" t="str">
        <x:f>IF($A71="","",IF($A71&lt;&gt;"annehmen","",IF(AND($C71="neue_Regelzahlung",$O71=""),"Ziel_Kategorie_ID fehlt",IF(AND($C71="neue_Regelzahlung",$P71=""),"Ziel_Person_ID fehlt",IF(AND($C71="Kategorie_Mapping",$O71=""),"Ziel_Kategorie_ID fehlt",IF(AND($C71="neue_Transferregel",$R71=""),"Ziel_Transfer_Typ fehlt",""))))))</x:f>
      </x:c>
    </x:row>
    <x:row r="72">
      <x:c r="A72" s="17" t="str"/>
      <x:c r="B72" s="17" t="str">
        <x:v>SUG-20260521-046</x:v>
      </x:c>
      <x:c r="C72" s="17" t="str">
        <x:v>neue_Regelzahlung</x:v>
      </x:c>
      <x:c r="D72" s="17" t="str">
        <x:v>normal</x:v>
      </x:c>
      <x:c r="E72" s="17" t="n">
        <x:v>0.82</x:v>
      </x:c>
      <x:c r="F72" s="17" t="str">
        <x:v>Regelzahlung pruefen</x:v>
      </x:c>
      <x:c r="G72" s="17" t="str">
        <x:v>REWE.Salzgitter.Ge/Salzgitter</x:v>
      </x:c>
      <x:c r="H72" s="17" t="n">
        <x:v>-26.18</x:v>
      </x:c>
      <x:c r="I72" s="17" t="n">
        <x:v>3</x:v>
      </x:c>
      <x:c r="J72" s="17" t="str">
        <x:v>2024-06-10</x:v>
      </x:c>
      <x:c r="K72" s="17" t="str">
        <x:v>2026-04-01</x:v>
      </x:c>
      <x:c r="L72" s="17" t="str">
        <x:v>12_Regelzahlung_Vorschlaege</x:v>
      </x:c>
      <x:c r="M72" s="17" t="str">
        <x:v>SUG-20260521-046</x:v>
      </x:c>
      <x:c r="N72" s="17" t="str">
        <x:v>annehmen / ablehnen / zusammenfuehren</x:v>
      </x:c>
      <x:c r="O72" s="17" t="str">
        <x:v>KAT013</x:v>
      </x:c>
      <x:c r="P72" s="17" t="str"/>
      <x:c r="Q72" s="17" t="str">
        <x:v>KTO001</x:v>
      </x:c>
      <x:c r="R72" s="17" t="str"/>
      <x:c r="S72" s="17" t="str"/>
      <x:c r="T72" s="17" t="str">
        <x:v>Wiederkehrendes Monatsmuster im Import-Draft erkannt</x:v>
      </x:c>
      <x:c r="U72" s="17" t="str">
        <x:v>Gespiegelter Vorschlag; Umsetzung nur nach Nutzerentscheidung</x:v>
      </x:c>
      <x:c r="V72" s="17" t="str">
        <x:f>IF($A72="","offen",IF($A72&lt;&gt;"annehmen","ok",IF(AND($C72="neue_Regelzahlung",OR($O72="",$P72="")),"unvollstaendig",IF(AND($C72="Kategorie_Mapping",$O72=""),"unvollstaendig",IF(AND($C72="neue_Transferregel",$R72=""),"unvollstaendig","ok")))))</x:f>
        <x:v>offen</x:v>
      </x:c>
      <x:c r="W72" s="17" t="str">
        <x:f>IF($A72="","",IF($A72&lt;&gt;"annehmen","",IF(AND($C72="neue_Regelzahlung",$O72=""),"Ziel_Kategorie_ID fehlt",IF(AND($C72="neue_Regelzahlung",$P72=""),"Ziel_Person_ID fehlt",IF(AND($C72="Kategorie_Mapping",$O72=""),"Ziel_Kategorie_ID fehlt",IF(AND($C72="neue_Transferregel",$R72=""),"Ziel_Transfer_Typ fehlt",""))))))</x:f>
      </x:c>
    </x:row>
    <x:row r="73">
      <x:c r="A73" s="17" t="str"/>
      <x:c r="B73" s="17" t="str">
        <x:v>SUG-20260521-047</x:v>
      </x:c>
      <x:c r="C73" s="17" t="str">
        <x:v>neue_Regelzahlung</x:v>
      </x:c>
      <x:c r="D73" s="17" t="str">
        <x:v>normal</x:v>
      </x:c>
      <x:c r="E73" s="17" t="n">
        <x:v>0.82</x:v>
      </x:c>
      <x:c r="F73" s="17" t="str">
        <x:v>Regelzahlung pruefen</x:v>
      </x:c>
      <x:c r="G73" s="17" t="str">
        <x:v>1+1 Mail + Media GmbH Elgendorfer Str. 57, 56410 Montabaur</x:v>
      </x:c>
      <x:c r="H73" s="17" t="n">
        <x:v>-23.94</x:v>
      </x:c>
      <x:c r="I73" s="17" t="n">
        <x:v>4</x:v>
      </x:c>
      <x:c r="J73" s="17" t="str">
        <x:v>2024-05-21</x:v>
      </x:c>
      <x:c r="K73" s="17" t="str">
        <x:v>2025-11-19</x:v>
      </x:c>
      <x:c r="L73" s="17" t="str">
        <x:v>12_Regelzahlung_Vorschlaege</x:v>
      </x:c>
      <x:c r="M73" s="17" t="str">
        <x:v>SUG-20260521-047</x:v>
      </x:c>
      <x:c r="N73" s="17" t="str">
        <x:v>annehmen / ablehnen / zusammenfuehren</x:v>
      </x:c>
      <x:c r="O73" s="17" t="str">
        <x:v>KAT013</x:v>
      </x:c>
      <x:c r="P73" s="17" t="str"/>
      <x:c r="Q73" s="17" t="str">
        <x:v>KTO001</x:v>
      </x:c>
      <x:c r="R73" s="17" t="str"/>
      <x:c r="S73" s="17" t="str"/>
      <x:c r="T73" s="17" t="str">
        <x:v>Wiederkehrendes Monatsmuster im Import-Draft erkannt</x:v>
      </x:c>
      <x:c r="U73" s="17" t="str">
        <x:v>Gespiegelter Vorschlag; Umsetzung nur nach Nutzerentscheidung</x:v>
      </x:c>
      <x:c r="V73" s="17" t="str">
        <x:f>IF($A73="","offen",IF($A73&lt;&gt;"annehmen","ok",IF(AND($C73="neue_Regelzahlung",OR($O73="",$P73="")),"unvollstaendig",IF(AND($C73="Kategorie_Mapping",$O73=""),"unvollstaendig",IF(AND($C73="neue_Transferregel",$R73=""),"unvollstaendig","ok")))))</x:f>
        <x:v>offen</x:v>
      </x:c>
      <x:c r="W73" s="17" t="str">
        <x:f>IF($A73="","",IF($A73&lt;&gt;"annehmen","",IF(AND($C73="neue_Regelzahlung",$O73=""),"Ziel_Kategorie_ID fehlt",IF(AND($C73="neue_Regelzahlung",$P73=""),"Ziel_Person_ID fehlt",IF(AND($C73="Kategorie_Mapping",$O73=""),"Ziel_Kategorie_ID fehlt",IF(AND($C73="neue_Transferregel",$R73=""),"Ziel_Transfer_Typ fehlt",""))))))</x:f>
      </x:c>
    </x:row>
    <x:row r="74">
      <x:c r="A74" s="17" t="str"/>
      <x:c r="B74" s="17" t="str">
        <x:v>SUG-20260521-048</x:v>
      </x:c>
      <x:c r="C74" s="17" t="str">
        <x:v>neue_Regelzahlung</x:v>
      </x:c>
      <x:c r="D74" s="17" t="str">
        <x:v>normal</x:v>
      </x:c>
      <x:c r="E74" s="17" t="n">
        <x:v>0.82</x:v>
      </x:c>
      <x:c r="F74" s="17" t="str">
        <x:v>Regelzahlung pruefen</x:v>
      </x:c>
      <x:c r="G74" s="17" t="str">
        <x:v>VHV Allg. Versicherung AG</x:v>
      </x:c>
      <x:c r="H74" s="17" t="n">
        <x:v>-23.63</x:v>
      </x:c>
      <x:c r="I74" s="17" t="n">
        <x:v>8</x:v>
      </x:c>
      <x:c r="J74" s="17" t="str">
        <x:v>2024-04-03</x:v>
      </x:c>
      <x:c r="K74" s="17" t="str">
        <x:v>2026-01-14</x:v>
      </x:c>
      <x:c r="L74" s="17" t="str">
        <x:v>12_Regelzahlung_Vorschlaege</x:v>
      </x:c>
      <x:c r="M74" s="17" t="str">
        <x:v>SUG-20260521-048</x:v>
      </x:c>
      <x:c r="N74" s="17" t="str">
        <x:v>annehmen / ablehnen / zusammenfuehren</x:v>
      </x:c>
      <x:c r="O74" s="17" t="str">
        <x:v>KAT013</x:v>
      </x:c>
      <x:c r="P74" s="17" t="str"/>
      <x:c r="Q74" s="17" t="str">
        <x:v>KTO001</x:v>
      </x:c>
      <x:c r="R74" s="17" t="str"/>
      <x:c r="S74" s="17" t="str"/>
      <x:c r="T74" s="17" t="str">
        <x:v>Wiederkehrendes Monatsmuster im Import-Draft erkannt</x:v>
      </x:c>
      <x:c r="U74" s="17" t="str">
        <x:v>Gespiegelter Vorschlag; Umsetzung nur nach Nutzerentscheidung</x:v>
      </x:c>
      <x:c r="V74" s="17" t="str">
        <x:f>IF($A74="","offen",IF($A74&lt;&gt;"annehmen","ok",IF(AND($C74="neue_Regelzahlung",OR($O74="",$P74="")),"unvollstaendig",IF(AND($C74="Kategorie_Mapping",$O74=""),"unvollstaendig",IF(AND($C74="neue_Transferregel",$R74=""),"unvollstaendig","ok")))))</x:f>
        <x:v>offen</x:v>
      </x:c>
      <x:c r="W74" s="17" t="str">
        <x:f>IF($A74="","",IF($A74&lt;&gt;"annehmen","",IF(AND($C74="neue_Regelzahlung",$O74=""),"Ziel_Kategorie_ID fehlt",IF(AND($C74="neue_Regelzahlung",$P74=""),"Ziel_Person_ID fehlt",IF(AND($C74="Kategorie_Mapping",$O74=""),"Ziel_Kategorie_ID fehlt",IF(AND($C74="neue_Transferregel",$R74=""),"Ziel_Transfer_Typ fehlt",""))))))</x:f>
      </x:c>
    </x:row>
    <x:row r="75">
      <x:c r="A75" s="17" t="str"/>
      <x:c r="B75" s="17" t="str">
        <x:v>SUG-20260521-049</x:v>
      </x:c>
      <x:c r="C75" s="17" t="str">
        <x:v>neue_Regelzahlung</x:v>
      </x:c>
      <x:c r="D75" s="17" t="str">
        <x:v>normal</x:v>
      </x:c>
      <x:c r="E75" s="17" t="n">
        <x:v>0.82</x:v>
      </x:c>
      <x:c r="F75" s="17" t="str">
        <x:v>Regelzahlung pruefen</x:v>
      </x:c>
      <x:c r="G75" s="17" t="str">
        <x:v>CLAUDE.AI.SUBSCRIPTION/ANTHROPIC.COM</x:v>
      </x:c>
      <x:c r="H75" s="17" t="n">
        <x:v>-21.42</x:v>
      </x:c>
      <x:c r="I75" s="17" t="n">
        <x:v>3</x:v>
      </x:c>
      <x:c r="J75" s="17" t="str">
        <x:v>2026-02-17</x:v>
      </x:c>
      <x:c r="K75" s="17" t="str">
        <x:v>2026-04-17</x:v>
      </x:c>
      <x:c r="L75" s="17" t="str">
        <x:v>12_Regelzahlung_Vorschlaege</x:v>
      </x:c>
      <x:c r="M75" s="17" t="str">
        <x:v>SUG-20260521-049</x:v>
      </x:c>
      <x:c r="N75" s="17" t="str">
        <x:v>annehmen / ablehnen / zusammenfuehren</x:v>
      </x:c>
      <x:c r="O75" s="17" t="str">
        <x:v>KAT013</x:v>
      </x:c>
      <x:c r="P75" s="17" t="str"/>
      <x:c r="Q75" s="17" t="str">
        <x:v>KTO001</x:v>
      </x:c>
      <x:c r="R75" s="17" t="str"/>
      <x:c r="S75" s="17" t="str"/>
      <x:c r="T75" s="17" t="str">
        <x:v>Wiederkehrendes Monatsmuster im Import-Draft erkannt</x:v>
      </x:c>
      <x:c r="U75" s="17" t="str">
        <x:v>Gespiegelter Vorschlag; Umsetzung nur nach Nutzerentscheidung</x:v>
      </x:c>
      <x:c r="V75" s="17" t="str">
        <x:f>IF($A75="","offen",IF($A75&lt;&gt;"annehmen","ok",IF(AND($C75="neue_Regelzahlung",OR($O75="",$P75="")),"unvollstaendig",IF(AND($C75="Kategorie_Mapping",$O75=""),"unvollstaendig",IF(AND($C75="neue_Transferregel",$R75=""),"unvollstaendig","ok")))))</x:f>
        <x:v>offen</x:v>
      </x:c>
      <x:c r="W75" s="17" t="str">
        <x:f>IF($A75="","",IF($A75&lt;&gt;"annehmen","",IF(AND($C75="neue_Regelzahlung",$O75=""),"Ziel_Kategorie_ID fehlt",IF(AND($C75="neue_Regelzahlung",$P75=""),"Ziel_Person_ID fehlt",IF(AND($C75="Kategorie_Mapping",$O75=""),"Ziel_Kategorie_ID fehlt",IF(AND($C75="neue_Transferregel",$R75=""),"Ziel_Transfer_Typ fehlt",""))))))</x:f>
      </x:c>
    </x:row>
    <x:row r="76">
      <x:c r="A76" s="17" t="str"/>
      <x:c r="B76" s="17" t="str">
        <x:v>SUG-20260521-050</x:v>
      </x:c>
      <x:c r="C76" s="17" t="str">
        <x:v>neue_Regelzahlung</x:v>
      </x:c>
      <x:c r="D76" s="17" t="str">
        <x:v>normal</x:v>
      </x:c>
      <x:c r="E76" s="17" t="n">
        <x:v>0.82</x:v>
      </x:c>
      <x:c r="F76" s="17" t="str">
        <x:v>Regelzahlung pruefen</x:v>
      </x:c>
      <x:c r="G76" s="17" t="str">
        <x:v>BOSPORUS.GRILL/SALZGITTER</x:v>
      </x:c>
      <x:c r="H76" s="17" t="n">
        <x:v>-21</x:v>
      </x:c>
      <x:c r="I76" s="17" t="n">
        <x:v>7</x:v>
      </x:c>
      <x:c r="J76" s="17" t="str">
        <x:v>2024-10-02</x:v>
      </x:c>
      <x:c r="K76" s="17" t="str">
        <x:v>2026-04-14</x:v>
      </x:c>
      <x:c r="L76" s="17" t="str">
        <x:v>12_Regelzahlung_Vorschlaege</x:v>
      </x:c>
      <x:c r="M76" s="17" t="str">
        <x:v>SUG-20260521-050</x:v>
      </x:c>
      <x:c r="N76" s="17" t="str">
        <x:v>annehmen / ablehnen / zusammenfuehren</x:v>
      </x:c>
      <x:c r="O76" s="17" t="str">
        <x:v>KAT013</x:v>
      </x:c>
      <x:c r="P76" s="17" t="str"/>
      <x:c r="Q76" s="17" t="str">
        <x:v>KTO001</x:v>
      </x:c>
      <x:c r="R76" s="17" t="str"/>
      <x:c r="S76" s="17" t="str"/>
      <x:c r="T76" s="17" t="str">
        <x:v>Wiederkehrendes Monatsmuster im Import-Draft erkannt</x:v>
      </x:c>
      <x:c r="U76" s="17" t="str">
        <x:v>Gespiegelter Vorschlag; Umsetzung nur nach Nutzerentscheidung</x:v>
      </x:c>
      <x:c r="V76" s="17" t="str">
        <x:f>IF($A76="","offen",IF($A76&lt;&gt;"annehmen","ok",IF(AND($C76="neue_Regelzahlung",OR($O76="",$P76="")),"unvollstaendig",IF(AND($C76="Kategorie_Mapping",$O76=""),"unvollstaendig",IF(AND($C76="neue_Transferregel",$R76=""),"unvollstaendig","ok")))))</x:f>
        <x:v>offen</x:v>
      </x:c>
      <x:c r="W76" s="17" t="str">
        <x:f>IF($A76="","",IF($A76&lt;&gt;"annehmen","",IF(AND($C76="neue_Regelzahlung",$O76=""),"Ziel_Kategorie_ID fehlt",IF(AND($C76="neue_Regelzahlung",$P76=""),"Ziel_Person_ID fehlt",IF(AND($C76="Kategorie_Mapping",$O76=""),"Ziel_Kategorie_ID fehlt",IF(AND($C76="neue_Transferregel",$R76=""),"Ziel_Transfer_Typ fehlt",""))))))</x:f>
      </x:c>
    </x:row>
    <x:row r="77">
      <x:c r="A77" s="17" t="str"/>
      <x:c r="B77" s="17" t="str">
        <x:v>SUG-20260521-051</x:v>
      </x:c>
      <x:c r="C77" s="17" t="str">
        <x:v>neue_Transferregel</x:v>
      </x:c>
      <x:c r="D77" s="17" t="str">
        <x:v>normal</x:v>
      </x:c>
      <x:c r="E77" s="17" t="n">
        <x:v>0.62</x:v>
      </x:c>
      <x:c r="F77" s="17" t="str">
        <x:v>Transferregel pruefen</x:v>
      </x:c>
      <x:c r="G77" s="17" t="str"/>
      <x:c r="H77" s="17" t="str"/>
      <x:c r="I77" s="17" t="str"/>
      <x:c r="J77" s="17" t="str"/>
      <x:c r="K77" s="17" t="str"/>
      <x:c r="L77" s="17" t="str">
        <x:v>11_Umsaetze_Modell</x:v>
      </x:c>
      <x:c r="M77" s="17" t="str">
        <x:v>TXN-RAW-IMP-20260516-FULLDRAFT-000646</x:v>
      </x:c>
      <x:c r="N77" s="17" t="str">
        <x:v>Transfer bestaetigen oder verwerfen</x:v>
      </x:c>
      <x:c r="O77" s="17" t="str"/>
      <x:c r="P77" s="17" t="str"/>
      <x:c r="Q77" s="17" t="str"/>
      <x:c r="R77" s="17" t="str">
        <x:v>Eigenumbuchung</x:v>
      </x:c>
      <x:c r="S77" s="17" t="str">
        <x:v>Bitte bestaetigen: Wahrscheinlich Eigenumbuchung: Übertrag ESt</x:v>
      </x:c>
      <x:c r="T77" s="17" t="str">
        <x:v>Transfer-Signal im Verwendungszweck oder Gegenparteitext erkannt</x:v>
      </x:c>
      <x:c r="U77" s="17" t="str">
        <x:v>Keine automatische Neutralisierung; nur Transferkandidat</x:v>
      </x:c>
      <x:c r="V77" s="17" t="str">
        <x:f>IF($A77="","offen",IF($A77&lt;&gt;"annehmen","ok",IF(AND($C77="neue_Regelzahlung",OR($O77="",$P77="")),"unvollstaendig",IF(AND($C77="Kategorie_Mapping",$O77=""),"unvollstaendig",IF(AND($C77="neue_Transferregel",$R77=""),"unvollstaendig","ok")))))</x:f>
        <x:v>offen</x:v>
      </x:c>
      <x:c r="W77" s="17" t="str">
        <x:f>IF($A77="","",IF($A77&lt;&gt;"annehmen","",IF(AND($C77="neue_Regelzahlung",$O77=""),"Ziel_Kategorie_ID fehlt",IF(AND($C77="neue_Regelzahlung",$P77=""),"Ziel_Person_ID fehlt",IF(AND($C77="Kategorie_Mapping",$O77=""),"Ziel_Kategorie_ID fehlt",IF(AND($C77="neue_Transferregel",$R77=""),"Ziel_Transfer_Typ fehlt",""))))))</x:f>
      </x:c>
    </x:row>
    <x:row r="78">
      <x:c r="A78" s="17" t="str"/>
      <x:c r="B78" s="17" t="str">
        <x:v>SUG-20260521-052</x:v>
      </x:c>
      <x:c r="C78" s="17" t="str">
        <x:v>neue_Transferregel</x:v>
      </x:c>
      <x:c r="D78" s="17" t="str">
        <x:v>normal</x:v>
      </x:c>
      <x:c r="E78" s="17" t="n">
        <x:v>0.62</x:v>
      </x:c>
      <x:c r="F78" s="17" t="str">
        <x:v>Transferregel pruefen</x:v>
      </x:c>
      <x:c r="G78" s="17" t="str"/>
      <x:c r="H78" s="17" t="str"/>
      <x:c r="I78" s="17" t="str"/>
      <x:c r="J78" s="17" t="str"/>
      <x:c r="K78" s="17" t="str"/>
      <x:c r="L78" s="17" t="str">
        <x:v>11_Umsaetze_Modell</x:v>
      </x:c>
      <x:c r="M78" s="17" t="str">
        <x:v>TXN-RAW-IMP-20260516-FULLDRAFT-000001</x:v>
      </x:c>
      <x:c r="N78" s="17" t="str">
        <x:v>Transfer bestaetigen oder verwerfen</x:v>
      </x:c>
      <x:c r="O78" s="17" t="str"/>
      <x:c r="P78" s="17" t="str"/>
      <x:c r="Q78" s="17" t="str"/>
      <x:c r="R78" s="17" t="str">
        <x:v>Eigenumbuchung</x:v>
      </x:c>
      <x:c r="S78" s="17" t="str">
        <x:v>Bitte bestaetigen: Wahrscheinlich Eigenumbuchung: Übertrag</x:v>
      </x:c>
      <x:c r="T78" s="17" t="str">
        <x:v>Transfer-Signal im Verwendungszweck oder Gegenparteitext erkannt</x:v>
      </x:c>
      <x:c r="U78" s="17" t="str">
        <x:v>Keine automatische Neutralisierung; nur Transferkandidat</x:v>
      </x:c>
      <x:c r="V78" s="17" t="str">
        <x:f>IF($A78="","offen",IF($A78&lt;&gt;"annehmen","ok",IF(AND($C78="neue_Regelzahlung",OR($O78="",$P78="")),"unvollstaendig",IF(AND($C78="Kategorie_Mapping",$O78=""),"unvollstaendig",IF(AND($C78="neue_Transferregel",$R78=""),"unvollstaendig","ok")))))</x:f>
        <x:v>offen</x:v>
      </x:c>
      <x:c r="W78" s="17" t="str">
        <x:f>IF($A78="","",IF($A78&lt;&gt;"annehmen","",IF(AND($C78="neue_Regelzahlung",$O78=""),"Ziel_Kategorie_ID fehlt",IF(AND($C78="neue_Regelzahlung",$P78=""),"Ziel_Person_ID fehlt",IF(AND($C78="Kategorie_Mapping",$O78=""),"Ziel_Kategorie_ID fehlt",IF(AND($C78="neue_Transferregel",$R78=""),"Ziel_Transfer_Typ fehlt",""))))))</x:f>
      </x:c>
    </x:row>
    <x:row r="79">
      <x:c r="A79" s="17" t="str"/>
      <x:c r="B79" s="17" t="str">
        <x:v>SUG-20260521-053</x:v>
      </x:c>
      <x:c r="C79" s="17" t="str">
        <x:v>neue_Transferregel</x:v>
      </x:c>
      <x:c r="D79" s="17" t="str">
        <x:v>normal</x:v>
      </x:c>
      <x:c r="E79" s="17" t="n">
        <x:v>0.62</x:v>
      </x:c>
      <x:c r="F79" s="17" t="str">
        <x:v>Transferregel pruefen</x:v>
      </x:c>
      <x:c r="G79" s="17" t="str"/>
      <x:c r="H79" s="17" t="str"/>
      <x:c r="I79" s="17" t="str"/>
      <x:c r="J79" s="17" t="str"/>
      <x:c r="K79" s="17" t="str"/>
      <x:c r="L79" s="17" t="str">
        <x:v>11_Umsaetze_Modell</x:v>
      </x:c>
      <x:c r="M79" s="17" t="str">
        <x:v>TXN-RAW-IMP-20260516-FULLDRAFT-000229</x:v>
      </x:c>
      <x:c r="N79" s="17" t="str">
        <x:v>Transfer bestaetigen oder verwerfen</x:v>
      </x:c>
      <x:c r="O79" s="17" t="str"/>
      <x:c r="P79" s="17" t="str"/>
      <x:c r="Q79" s="17" t="str"/>
      <x:c r="R79" s="17" t="str">
        <x:v>Eigenumbuchung</x:v>
      </x:c>
      <x:c r="S79" s="17" t="str">
        <x:v>Bitte bestaetigen: Wahrscheinlich Eigenumbuchung: Übertrag</x:v>
      </x:c>
      <x:c r="T79" s="17" t="str">
        <x:v>Transfer-Signal im Verwendungszweck oder Gegenparteitext erkannt</x:v>
      </x:c>
      <x:c r="U79" s="17" t="str">
        <x:v>Keine automatische Neutralisierung; nur Transferkandidat</x:v>
      </x:c>
      <x:c r="V79" s="17" t="str">
        <x:f>IF($A79="","offen",IF($A79&lt;&gt;"annehmen","ok",IF(AND($C79="neue_Regelzahlung",OR($O79="",$P79="")),"unvollstaendig",IF(AND($C79="Kategorie_Mapping",$O79=""),"unvollstaendig",IF(AND($C79="neue_Transferregel",$R79=""),"unvollstaendig","ok")))))</x:f>
        <x:v>offen</x:v>
      </x:c>
      <x:c r="W79" s="17" t="str">
        <x:f>IF($A79="","",IF($A79&lt;&gt;"annehmen","",IF(AND($C79="neue_Regelzahlung",$O79=""),"Ziel_Kategorie_ID fehlt",IF(AND($C79="neue_Regelzahlung",$P79=""),"Ziel_Person_ID fehlt",IF(AND($C79="Kategorie_Mapping",$O79=""),"Ziel_Kategorie_ID fehlt",IF(AND($C79="neue_Transferregel",$R79=""),"Ziel_Transfer_Typ fehlt",""))))))</x:f>
      </x:c>
    </x:row>
    <x:row r="80">
      <x:c r="A80" s="17" t="str"/>
      <x:c r="B80" s="17" t="str">
        <x:v>SUG-20260521-054</x:v>
      </x:c>
      <x:c r="C80" s="17" t="str">
        <x:v>neue_Transferregel</x:v>
      </x:c>
      <x:c r="D80" s="17" t="str">
        <x:v>normal</x:v>
      </x:c>
      <x:c r="E80" s="17" t="n">
        <x:v>0.62</x:v>
      </x:c>
      <x:c r="F80" s="17" t="str">
        <x:v>Transferregel pruefen</x:v>
      </x:c>
      <x:c r="G80" s="17" t="str"/>
      <x:c r="H80" s="17" t="str"/>
      <x:c r="I80" s="17" t="str"/>
      <x:c r="J80" s="17" t="str"/>
      <x:c r="K80" s="17" t="str"/>
      <x:c r="L80" s="17" t="str">
        <x:v>11_Umsaetze_Modell</x:v>
      </x:c>
      <x:c r="M80" s="17" t="str">
        <x:v>TXN-RAW-IMP-20260516-FULLDRAFT-002410</x:v>
      </x:c>
      <x:c r="N80" s="17" t="str">
        <x:v>Transfer bestaetigen oder verwerfen</x:v>
      </x:c>
      <x:c r="O80" s="17" t="str"/>
      <x:c r="P80" s="17" t="str"/>
      <x:c r="Q80" s="17" t="str"/>
      <x:c r="R80" s="17" t="str">
        <x:v>Eigenumbuchung</x:v>
      </x:c>
      <x:c r="S80" s="17" t="str">
        <x:v>Bitte bestaetigen: Wahrscheinlich Eigenumbuchung: Übertrag Führerschein Oma und Opa</x:v>
      </x:c>
      <x:c r="T80" s="17" t="str">
        <x:v>Transfer-Signal im Verwendungszweck oder Gegenparteitext erkannt</x:v>
      </x:c>
      <x:c r="U80" s="17" t="str">
        <x:v>Keine automatische Neutralisierung; nur Transferkandidat</x:v>
      </x:c>
      <x:c r="V80" s="17" t="str">
        <x:f>IF($A80="","offen",IF($A80&lt;&gt;"annehmen","ok",IF(AND($C80="neue_Regelzahlung",OR($O80="",$P80="")),"unvollstaendig",IF(AND($C80="Kategorie_Mapping",$O80=""),"unvollstaendig",IF(AND($C80="neue_Transferregel",$R80=""),"unvollstaendig","ok")))))</x:f>
        <x:v>offen</x:v>
      </x:c>
      <x:c r="W80" s="17" t="str">
        <x:f>IF($A80="","",IF($A80&lt;&gt;"annehmen","",IF(AND($C80="neue_Regelzahlung",$O80=""),"Ziel_Kategorie_ID fehlt",IF(AND($C80="neue_Regelzahlung",$P80=""),"Ziel_Person_ID fehlt",IF(AND($C80="Kategorie_Mapping",$O80=""),"Ziel_Kategorie_ID fehlt",IF(AND($C80="neue_Transferregel",$R80=""),"Ziel_Transfer_Typ fehlt",""))))))</x:f>
      </x:c>
    </x:row>
    <x:row r="81">
      <x:c r="A81" s="17" t="str"/>
      <x:c r="B81" s="17" t="str">
        <x:v>SUG-20260521-055</x:v>
      </x:c>
      <x:c r="C81" s="17" t="str">
        <x:v>neue_Transferregel</x:v>
      </x:c>
      <x:c r="D81" s="17" t="str">
        <x:v>normal</x:v>
      </x:c>
      <x:c r="E81" s="17" t="n">
        <x:v>0.62</x:v>
      </x:c>
      <x:c r="F81" s="17" t="str">
        <x:v>Transferregel pruefen</x:v>
      </x:c>
      <x:c r="G81" s="17" t="str"/>
      <x:c r="H81" s="17" t="str"/>
      <x:c r="I81" s="17" t="str"/>
      <x:c r="J81" s="17" t="str"/>
      <x:c r="K81" s="17" t="str"/>
      <x:c r="L81" s="17" t="str">
        <x:v>11_Umsaetze_Modell</x:v>
      </x:c>
      <x:c r="M81" s="17" t="str">
        <x:v>TXN-RAW-IMP-20260516-FULLDRAFT-001235</x:v>
      </x:c>
      <x:c r="N81" s="17" t="str">
        <x:v>Transfer bestaetigen oder verwerfen</x:v>
      </x:c>
      <x:c r="O81" s="17" t="str"/>
      <x:c r="P81" s="17" t="str"/>
      <x:c r="Q81" s="17" t="str"/>
      <x:c r="R81" s="17" t="str">
        <x:v>Eigenumbuchung</x:v>
      </x:c>
      <x:c r="S81" s="17" t="str">
        <x:v>Bitte bestaetigen: Wahrscheinlich Eigenumbuchung: Übertrag</x:v>
      </x:c>
      <x:c r="T81" s="17" t="str">
        <x:v>Transfer-Signal im Verwendungszweck oder Gegenparteitext erkannt</x:v>
      </x:c>
      <x:c r="U81" s="17" t="str">
        <x:v>Keine automatische Neutralisierung; nur Transferkandidat</x:v>
      </x:c>
      <x:c r="V81" s="17" t="str">
        <x:f>IF($A81="","offen",IF($A81&lt;&gt;"annehmen","ok",IF(AND($C81="neue_Regelzahlung",OR($O81="",$P81="")),"unvollstaendig",IF(AND($C81="Kategorie_Mapping",$O81=""),"unvollstaendig",IF(AND($C81="neue_Transferregel",$R81=""),"unvollstaendig","ok")))))</x:f>
        <x:v>offen</x:v>
      </x:c>
      <x:c r="W81" s="17" t="str">
        <x:f>IF($A81="","",IF($A81&lt;&gt;"annehmen","",IF(AND($C81="neue_Regelzahlung",$O81=""),"Ziel_Kategorie_ID fehlt",IF(AND($C81="neue_Regelzahlung",$P81=""),"Ziel_Person_ID fehlt",IF(AND($C81="Kategorie_Mapping",$O81=""),"Ziel_Kategorie_ID fehlt",IF(AND($C81="neue_Transferregel",$R81=""),"Ziel_Transfer_Typ fehlt",""))))))</x:f>
      </x:c>
    </x:row>
    <x:row r="82">
      <x:c r="A82" s="17" t="str">
        <x:v>ablehnen</x:v>
      </x:c>
      <x:c r="B82" s="17" t="str">
        <x:v>SUG-20260521-056</x:v>
      </x:c>
      <x:c r="C82" s="17" t="str">
        <x:v>neue_Transferregel</x:v>
      </x:c>
      <x:c r="D82" s="17" t="str">
        <x:v>normal</x:v>
      </x:c>
      <x:c r="E82" s="17" t="n">
        <x:v>0.62</x:v>
      </x:c>
      <x:c r="F82" s="17" t="str">
        <x:v>Transferregel pruefen</x:v>
      </x:c>
      <x:c r="G82" s="17" t="str"/>
      <x:c r="H82" s="17" t="str"/>
      <x:c r="I82" s="17" t="str"/>
      <x:c r="J82" s="17" t="str"/>
      <x:c r="K82" s="17" t="str"/>
      <x:c r="L82" s="17" t="str">
        <x:v>11_Umsaetze_Modell</x:v>
      </x:c>
      <x:c r="M82" s="17" t="str">
        <x:v>TXN-RAW-IMP-20260516-FULLDRAFT-001216</x:v>
      </x:c>
      <x:c r="N82" s="17" t="str">
        <x:v>Transfer bestaetigen oder verwerfen</x:v>
      </x:c>
      <x:c r="O82" s="17" t="str"/>
      <x:c r="P82" s="17" t="str"/>
      <x:c r="Q82" s="17" t="str"/>
      <x:c r="R82" s="17" t="str"/>
      <x:c r="S82" s="17" t="str">
        <x:v>Batch1-Draft: Kartenzahlung SPAR.KOEBMAND, kein Transfer</x:v>
      </x:c>
      <x:c r="T82" s="17" t="str">
        <x:v>Transfer-Signal im Verwendungszweck oder Gegenparteitext erkannt</x:v>
      </x:c>
      <x:c r="U82" s="17" t="str">
        <x:v>Keine automatische Neutralisierung; nur Transferkandidat</x:v>
      </x:c>
      <x:c r="V82" s="17" t="str">
        <x:f>IF($A82="","offen",IF($A82&lt;&gt;"annehmen","ok",IF(AND($C82="neue_Regelzahlung",OR($O82="",$P82="")),"unvollstaendig",IF(AND($C82="Kategorie_Mapping",$O82=""),"unvollstaendig",IF(AND($C82="neue_Transferregel",$R82=""),"unvollstaendig","ok")))))</x:f>
        <x:v>ok</x:v>
      </x:c>
      <x:c r="W82" s="17" t="str">
        <x:f>IF($A82="","",IF($A82&lt;&gt;"annehmen","",IF(AND($C82="neue_Regelzahlung",$O82=""),"Ziel_Kategorie_ID fehlt",IF(AND($C82="neue_Regelzahlung",$P82=""),"Ziel_Person_ID fehlt",IF(AND($C82="Kategorie_Mapping",$O82=""),"Ziel_Kategorie_ID fehlt",IF(AND($C82="neue_Transferregel",$R82=""),"Ziel_Transfer_Typ fehlt",""))))))</x:f>
      </x:c>
    </x:row>
    <x:row r="83">
      <x:c r="A83" s="17" t="str">
        <x:v>ablehnen</x:v>
      </x:c>
      <x:c r="B83" s="17" t="str">
        <x:v>SUG-20260521-057</x:v>
      </x:c>
      <x:c r="C83" s="17" t="str">
        <x:v>neue_Transferregel</x:v>
      </x:c>
      <x:c r="D83" s="17" t="str">
        <x:v>normal</x:v>
      </x:c>
      <x:c r="E83" s="17" t="n">
        <x:v>0.62</x:v>
      </x:c>
      <x:c r="F83" s="17" t="str">
        <x:v>Transferregel pruefen</x:v>
      </x:c>
      <x:c r="G83" s="17" t="str"/>
      <x:c r="H83" s="17" t="str"/>
      <x:c r="I83" s="17" t="str"/>
      <x:c r="J83" s="17" t="str"/>
      <x:c r="K83" s="17" t="str"/>
      <x:c r="L83" s="17" t="str">
        <x:v>11_Umsaetze_Modell</x:v>
      </x:c>
      <x:c r="M83" s="17" t="str">
        <x:v>TXN-RAW-IMP-20260516-FULLDRAFT-001215</x:v>
      </x:c>
      <x:c r="N83" s="17" t="str">
        <x:v>Transfer bestaetigen oder verwerfen</x:v>
      </x:c>
      <x:c r="O83" s="17" t="str"/>
      <x:c r="P83" s="17" t="str"/>
      <x:c r="Q83" s="17" t="str"/>
      <x:c r="R83" s="17" t="str"/>
      <x:c r="S83" s="17" t="str">
        <x:v>Batch1-Draft: Kartenzahlung SPAR.KOEBMAND, kein Transfer</x:v>
      </x:c>
      <x:c r="T83" s="17" t="str">
        <x:v>Transfer-Signal im Verwendungszweck oder Gegenparteitext erkannt</x:v>
      </x:c>
      <x:c r="U83" s="17" t="str">
        <x:v>Keine automatische Neutralisierung; nur Transferkandidat</x:v>
      </x:c>
      <x:c r="V83" s="17" t="str">
        <x:f>IF($A83="","offen",IF($A83&lt;&gt;"annehmen","ok",IF(AND($C83="neue_Regelzahlung",OR($O83="",$P83="")),"unvollstaendig",IF(AND($C83="Kategorie_Mapping",$O83=""),"unvollstaendig",IF(AND($C83="neue_Transferregel",$R83=""),"unvollstaendig","ok")))))</x:f>
        <x:v>ok</x:v>
      </x:c>
      <x:c r="W83" s="17" t="str">
        <x:f>IF($A83="","",IF($A83&lt;&gt;"annehmen","",IF(AND($C83="neue_Regelzahlung",$O83=""),"Ziel_Kategorie_ID fehlt",IF(AND($C83="neue_Regelzahlung",$P83=""),"Ziel_Person_ID fehlt",IF(AND($C83="Kategorie_Mapping",$O83=""),"Ziel_Kategorie_ID fehlt",IF(AND($C83="neue_Transferregel",$R83=""),"Ziel_Transfer_Typ fehlt",""))))))</x:f>
      </x:c>
    </x:row>
    <x:row r="84">
      <x:c r="A84" s="17" t="str">
        <x:v>ablehnen</x:v>
      </x:c>
      <x:c r="B84" s="17" t="str">
        <x:v>SUG-20260521-058</x:v>
      </x:c>
      <x:c r="C84" s="17" t="str">
        <x:v>neue_Transferregel</x:v>
      </x:c>
      <x:c r="D84" s="17" t="str">
        <x:v>normal</x:v>
      </x:c>
      <x:c r="E84" s="17" t="n">
        <x:v>0.62</x:v>
      </x:c>
      <x:c r="F84" s="17" t="str">
        <x:v>Transferregel pruefen</x:v>
      </x:c>
      <x:c r="G84" s="17" t="str"/>
      <x:c r="H84" s="17" t="str"/>
      <x:c r="I84" s="17" t="str"/>
      <x:c r="J84" s="17" t="str"/>
      <x:c r="K84" s="17" t="str"/>
      <x:c r="L84" s="17" t="str">
        <x:v>11_Umsaetze_Modell</x:v>
      </x:c>
      <x:c r="M84" s="17" t="str">
        <x:v>TXN-RAW-IMP-20260516-FULLDRAFT-001202</x:v>
      </x:c>
      <x:c r="N84" s="17" t="str">
        <x:v>Transfer bestaetigen oder verwerfen</x:v>
      </x:c>
      <x:c r="O84" s="17" t="str"/>
      <x:c r="P84" s="17" t="str"/>
      <x:c r="Q84" s="17" t="str"/>
      <x:c r="R84" s="17" t="str"/>
      <x:c r="S84" s="17" t="str">
        <x:v>Batch1-Draft: Kartenzahlung SPAR.KOEBMAND, kein Transfer</x:v>
      </x:c>
      <x:c r="T84" s="17" t="str">
        <x:v>Transfer-Signal im Verwendungszweck oder Gegenparteitext erkannt</x:v>
      </x:c>
      <x:c r="U84" s="17" t="str">
        <x:v>Keine automatische Neutralisierung; nur Transferkandidat</x:v>
      </x:c>
      <x:c r="V84" s="17" t="str">
        <x:f>IF($A84="","offen",IF($A84&lt;&gt;"annehmen","ok",IF(AND($C84="neue_Regelzahlung",OR($O84="",$P84="")),"unvollstaendig",IF(AND($C84="Kategorie_Mapping",$O84=""),"unvollstaendig",IF(AND($C84="neue_Transferregel",$R84=""),"unvollstaendig","ok")))))</x:f>
        <x:v>ok</x:v>
      </x:c>
      <x:c r="W84" s="17" t="str">
        <x:f>IF($A84="","",IF($A84&lt;&gt;"annehmen","",IF(AND($C84="neue_Regelzahlung",$O84=""),"Ziel_Kategorie_ID fehlt",IF(AND($C84="neue_Regelzahlung",$P84=""),"Ziel_Person_ID fehlt",IF(AND($C84="Kategorie_Mapping",$O84=""),"Ziel_Kategorie_ID fehlt",IF(AND($C84="neue_Transferregel",$R84=""),"Ziel_Transfer_Typ fehlt",""))))))</x:f>
      </x:c>
    </x:row>
    <x:row r="85">
      <x:c r="A85" s="17" t="str">
        <x:v>ablehnen</x:v>
      </x:c>
      <x:c r="B85" s="17" t="str">
        <x:v>SUG-20260521-059</x:v>
      </x:c>
      <x:c r="C85" s="17" t="str">
        <x:v>neue_Transferregel</x:v>
      </x:c>
      <x:c r="D85" s="17" t="str">
        <x:v>normal</x:v>
      </x:c>
      <x:c r="E85" s="17" t="n">
        <x:v>0.62</x:v>
      </x:c>
      <x:c r="F85" s="17" t="str">
        <x:v>Transferregel pruefen</x:v>
      </x:c>
      <x:c r="G85" s="17" t="str"/>
      <x:c r="H85" s="17" t="str"/>
      <x:c r="I85" s="17" t="str"/>
      <x:c r="J85" s="17" t="str"/>
      <x:c r="K85" s="17" t="str"/>
      <x:c r="L85" s="17" t="str">
        <x:v>11_Umsaetze_Modell</x:v>
      </x:c>
      <x:c r="M85" s="17" t="str">
        <x:v>TXN-RAW-IMP-20260516-FULLDRAFT-001218</x:v>
      </x:c>
      <x:c r="N85" s="17" t="str">
        <x:v>Transfer bestaetigen oder verwerfen</x:v>
      </x:c>
      <x:c r="O85" s="17" t="str"/>
      <x:c r="P85" s="17" t="str"/>
      <x:c r="Q85" s="17" t="str"/>
      <x:c r="R85" s="17" t="str"/>
      <x:c r="S85" s="17" t="str">
        <x:v>Batch1-Draft: Kartenzahlung SPAR.KOEBMAND, kein Transfer</x:v>
      </x:c>
      <x:c r="T85" s="17" t="str">
        <x:v>Transfer-Signal im Verwendungszweck oder Gegenparteitext erkannt</x:v>
      </x:c>
      <x:c r="U85" s="17" t="str">
        <x:v>Keine automatische Neutralisierung; nur Transferkandidat</x:v>
      </x:c>
      <x:c r="V85" s="17" t="str">
        <x:f>IF($A85="","offen",IF($A85&lt;&gt;"annehmen","ok",IF(AND($C85="neue_Regelzahlung",OR($O85="",$P85="")),"unvollstaendig",IF(AND($C85="Kategorie_Mapping",$O85=""),"unvollstaendig",IF(AND($C85="neue_Transferregel",$R85=""),"unvollstaendig","ok")))))</x:f>
        <x:v>ok</x:v>
      </x:c>
      <x:c r="W85" s="17" t="str">
        <x:f>IF($A85="","",IF($A85&lt;&gt;"annehmen","",IF(AND($C85="neue_Regelzahlung",$O85=""),"Ziel_Kategorie_ID fehlt",IF(AND($C85="neue_Regelzahlung",$P85=""),"Ziel_Person_ID fehlt",IF(AND($C85="Kategorie_Mapping",$O85=""),"Ziel_Kategorie_ID fehlt",IF(AND($C85="neue_Transferregel",$R85=""),"Ziel_Transfer_Typ fehlt",""))))))</x:f>
      </x:c>
    </x:row>
    <x:row r="86">
      <x:c r="A86" s="17" t="str">
        <x:v>ablehnen</x:v>
      </x:c>
      <x:c r="B86" s="17" t="str">
        <x:v>SUG-20260521-060</x:v>
      </x:c>
      <x:c r="C86" s="17" t="str">
        <x:v>neue_Transferregel</x:v>
      </x:c>
      <x:c r="D86" s="17" t="str">
        <x:v>normal</x:v>
      </x:c>
      <x:c r="E86" s="17" t="n">
        <x:v>0.62</x:v>
      </x:c>
      <x:c r="F86" s="17" t="str">
        <x:v>Transferregel pruefen</x:v>
      </x:c>
      <x:c r="G86" s="17" t="str"/>
      <x:c r="H86" s="17" t="str"/>
      <x:c r="I86" s="17" t="str"/>
      <x:c r="J86" s="17" t="str"/>
      <x:c r="K86" s="17" t="str"/>
      <x:c r="L86" s="17" t="str">
        <x:v>11_Umsaetze_Modell</x:v>
      </x:c>
      <x:c r="M86" s="17" t="str">
        <x:v>TXN-RAW-IMP-20260516-FULLDRAFT-001193</x:v>
      </x:c>
      <x:c r="N86" s="17" t="str">
        <x:v>Transfer bestaetigen oder verwerfen</x:v>
      </x:c>
      <x:c r="O86" s="17" t="str"/>
      <x:c r="P86" s="17" t="str"/>
      <x:c r="Q86" s="17" t="str"/>
      <x:c r="R86" s="17" t="str"/>
      <x:c r="S86" s="17" t="str">
        <x:v>Batch1-Draft: Kartenzahlung SPAR.KOEBMAND, kein Transfer</x:v>
      </x:c>
      <x:c r="T86" s="17" t="str">
        <x:v>Transfer-Signal im Verwendungszweck oder Gegenparteitext erkannt</x:v>
      </x:c>
      <x:c r="U86" s="17" t="str">
        <x:v>Keine automatische Neutralisierung; nur Transferkandidat</x:v>
      </x:c>
      <x:c r="V86" s="17" t="str">
        <x:f>IF($A86="","offen",IF($A86&lt;&gt;"annehmen","ok",IF(AND($C86="neue_Regelzahlung",OR($O86="",$P86="")),"unvollstaendig",IF(AND($C86="Kategorie_Mapping",$O86=""),"unvollstaendig",IF(AND($C86="neue_Transferregel",$R86=""),"unvollstaendig","ok")))))</x:f>
        <x:v>ok</x:v>
      </x:c>
      <x:c r="W86" s="17" t="str">
        <x:f>IF($A86="","",IF($A86&lt;&gt;"annehmen","",IF(AND($C86="neue_Regelzahlung",$O86=""),"Ziel_Kategorie_ID fehlt",IF(AND($C86="neue_Regelzahlung",$P86=""),"Ziel_Person_ID fehlt",IF(AND($C86="Kategorie_Mapping",$O86=""),"Ziel_Kategorie_ID fehlt",IF(AND($C86="neue_Transferregel",$R86=""),"Ziel_Transfer_Typ fehlt",""))))))</x:f>
      </x:c>
    </x:row>
    <x:row r="87">
      <x:c r="A87" s="17" t="str">
        <x:v>ablehnen</x:v>
      </x:c>
      <x:c r="B87" s="17" t="str">
        <x:v>SUG-20260521-061</x:v>
      </x:c>
      <x:c r="C87" s="17" t="str">
        <x:v>neue_Transferregel</x:v>
      </x:c>
      <x:c r="D87" s="17" t="str">
        <x:v>normal</x:v>
      </x:c>
      <x:c r="E87" s="17" t="n">
        <x:v>0.62</x:v>
      </x:c>
      <x:c r="F87" s="17" t="str">
        <x:v>Transferregel pruefen</x:v>
      </x:c>
      <x:c r="G87" s="17" t="str"/>
      <x:c r="H87" s="17" t="str"/>
      <x:c r="I87" s="17" t="str"/>
      <x:c r="J87" s="17" t="str"/>
      <x:c r="K87" s="17" t="str"/>
      <x:c r="L87" s="17" t="str">
        <x:v>11_Umsaetze_Modell</x:v>
      </x:c>
      <x:c r="M87" s="17" t="str">
        <x:v>TXN-RAW-IMP-20260516-FULLDRAFT-001200</x:v>
      </x:c>
      <x:c r="N87" s="17" t="str">
        <x:v>Transfer bestaetigen oder verwerfen</x:v>
      </x:c>
      <x:c r="O87" s="17" t="str"/>
      <x:c r="P87" s="17" t="str"/>
      <x:c r="Q87" s="17" t="str"/>
      <x:c r="R87" s="17" t="str"/>
      <x:c r="S87" s="17" t="str">
        <x:v>Batch1-Draft: Kartenzahlung SPAR.KOEBMAND, kein Transfer</x:v>
      </x:c>
      <x:c r="T87" s="17" t="str">
        <x:v>Transfer-Signal im Verwendungszweck oder Gegenparteitext erkannt</x:v>
      </x:c>
      <x:c r="U87" s="17" t="str">
        <x:v>Keine automatische Neutralisierung; nur Transferkandidat</x:v>
      </x:c>
      <x:c r="V87" s="17" t="str">
        <x:f>IF($A87="","offen",IF($A87&lt;&gt;"annehmen","ok",IF(AND($C87="neue_Regelzahlung",OR($O87="",$P87="")),"unvollstaendig",IF(AND($C87="Kategorie_Mapping",$O87=""),"unvollstaendig",IF(AND($C87="neue_Transferregel",$R87=""),"unvollstaendig","ok")))))</x:f>
        <x:v>ok</x:v>
      </x:c>
      <x:c r="W87" s="17" t="str">
        <x:f>IF($A87="","",IF($A87&lt;&gt;"annehmen","",IF(AND($C87="neue_Regelzahlung",$O87=""),"Ziel_Kategorie_ID fehlt",IF(AND($C87="neue_Regelzahlung",$P87=""),"Ziel_Person_ID fehlt",IF(AND($C87="Kategorie_Mapping",$O87=""),"Ziel_Kategorie_ID fehlt",IF(AND($C87="neue_Transferregel",$R87=""),"Ziel_Transfer_Typ fehlt",""))))))</x:f>
      </x:c>
    </x:row>
  </x:sheetData>
  <x:dataValidations count="5">
    <x:dataValidation type="list" allowBlank="1" showDropDown="0" sqref="A2:A87">
      <x:formula1>Review_Listen!$A$2:$A$5</x:formula1>
    </x:dataValidation>
    <x:dataValidation type="list" allowBlank="1" showDropDown="0" sqref="O2:O87">
      <x:formula1>Review_Listen!$B$2:$B$14</x:formula1>
    </x:dataValidation>
    <x:dataValidation type="list" allowBlank="1" showDropDown="0" sqref="P2:P87">
      <x:formula1>Review_Listen!$D$2:$D$4</x:formula1>
    </x:dataValidation>
    <x:dataValidation type="list" allowBlank="1" showDropDown="0" sqref="Q2:Q87">
      <x:formula1>Review_Listen!$F$2:$F$2</x:formula1>
    </x:dataValidation>
    <x:dataValidation type="list" allowBlank="1" showDropDown="0" sqref="R2:R87">
      <x:formula1>Review_Listen!$H$2:$H$5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8.889999389648438" hidden="0" customWidth="1"/>
    <x:col min="23" max="23" width="28.889999389648438" hidden="0" customWidth="1"/>
  </x:cols>
  <x:sheetData>
    <x:row r="1">
      <x:c r="A1" s="20" t="str">
        <x:v>Regelzahlungsvorschlaege Roh</x:v>
      </x:c>
    </x:row>
    <x:row r="3" ht="27" customHeight="1">
      <x:c r="A3" s="13" t="str">
        <x:v>Vorschlag_ID</x:v>
      </x:c>
      <x:c r="B3" s="13" t="str">
        <x:v>Erkannt_am</x:v>
      </x:c>
      <x:c r="C3" s="13" t="str">
        <x:v>Lauf_ID</x:v>
      </x:c>
      <x:c r="D3" s="13" t="str">
        <x:v>Vorgeschlagener_Name</x:v>
      </x:c>
      <x:c r="E3" s="13" t="str">
        <x:v>Vorgeschlagene_Frequenz</x:v>
      </x:c>
      <x:c r="F3" s="13" t="str">
        <x:v>Treffer_Anzahl</x:v>
      </x:c>
      <x:c r="G3" s="13" t="str">
        <x:v>Erstes_Datum</x:v>
      </x:c>
      <x:c r="H3" s="13" t="str">
        <x:v>Letztes_Datum</x:v>
      </x:c>
      <x:c r="I3" s="13" t="str">
        <x:v>Median_Betrag</x:v>
      </x:c>
      <x:c r="J3" s="13" t="str">
        <x:v>Betrag_Min</x:v>
      </x:c>
      <x:c r="K3" s="13" t="str">
        <x:v>Betrag_Max</x:v>
      </x:c>
      <x:c r="L3" s="13" t="str">
        <x:v>Betrag_Variabilitaet</x:v>
      </x:c>
      <x:c r="M3" s="13" t="str">
        <x:v>Typ</x:v>
      </x:c>
      <x:c r="N3" s="13" t="str">
        <x:v>Kategorie_ID_Vorschlag</x:v>
      </x:c>
      <x:c r="O3" s="13" t="str">
        <x:v>Person_ID_Vorschlag</x:v>
      </x:c>
      <x:c r="P3" s="13" t="str">
        <x:v>Konto_ID</x:v>
      </x:c>
      <x:c r="Q3" s="13" t="str">
        <x:v>Gegenpartei_Muster</x:v>
      </x:c>
      <x:c r="R3" s="13" t="str">
        <x:v>IBAN_Muster</x:v>
      </x:c>
      <x:c r="S3" s="13" t="str">
        <x:v>Verwendungszweck_Muster</x:v>
      </x:c>
      <x:c r="T3" s="13" t="str">
        <x:v>Konfidenz</x:v>
      </x:c>
      <x:c r="U3" s="13" t="str">
        <x:v>Status</x:v>
      </x:c>
      <x:c r="V3" s="13" t="str">
        <x:v>Erkennungs_Hinweis</x:v>
      </x:c>
      <x:c r="W3" s="13" t="str">
        <x:v>Kommentar</x:v>
      </x:c>
    </x:row>
    <x:row r="4">
      <x:c r="A4" s="17" t="str">
        <x:v>SUG-20260521-001</x:v>
      </x:c>
      <x:c r="B4" s="17" t="str">
        <x:v>2026-05-21</x:v>
      </x:c>
      <x:c r="C4" s="17" t="str">
        <x:v>RUN-20260521-ANALYSIS</x:v>
      </x:c>
      <x:c r="D4" s="17" t="str">
        <x:v>Stiftung Kath. Altenhilfe im Bistum Hildesheim</x:v>
      </x:c>
      <x:c r="E4" s="17" t="str">
        <x:v>monatlich</x:v>
      </x:c>
      <x:c r="F4" s="17" t="str">
        <x:v>1900-01-04</x:v>
      </x:c>
      <x:c r="G4" s="17" t="str">
        <x:v>2025-05-28</x:v>
      </x:c>
      <x:c r="H4" s="17" t="str">
        <x:v>2025-09-29</x:v>
      </x:c>
      <x:c r="I4" s="17" t="str">
        <x:v>1921-09-26</x:v>
      </x:c>
      <x:c r="J4" s="17" t="str">
        <x:v>1921-09-26</x:v>
      </x:c>
      <x:c r="K4" s="17" t="str">
        <x:v>1921-09-26</x:v>
      </x:c>
      <x:c r="L4" s="17" t="str">
        <x:v>1899-12-30</x:v>
      </x:c>
      <x:c r="M4" s="17" t="str">
        <x:v>Einnahme</x:v>
      </x:c>
      <x:c r="N4" s="17" t="str">
        <x:v>KAT013</x:v>
      </x:c>
      <x:c r="O4" s="17" t="str"/>
      <x:c r="P4" s="17" t="str">
        <x:v>KTO001</x:v>
      </x:c>
      <x:c r="Q4" s="17" t="str">
        <x:v>Stiftung Kath. Altenhilfe im Bistum Hildesheim</x:v>
      </x:c>
      <x:c r="R4" s="17" t="str">
        <x:v>DE92400602650023150301</x:v>
      </x:c>
      <x:c r="S4" s="17" t="str">
        <x:v>GEHALT 5/25</x:v>
      </x:c>
      <x:c r="T4" s="17" t="str">
        <x:v>1899-12-31</x:v>
      </x:c>
      <x:c r="U4" s="17" t="str">
        <x:v>offen</x:v>
      </x:c>
      <x:c r="V4" s="17" t="str">
        <x:v>5 Treffer in 5 Monaten</x:v>
      </x:c>
      <x:c r="W4" s="17" t="str">
        <x:v>Analyse-Draft; keine Regelzahlung aktiviert</x:v>
      </x:c>
    </x:row>
    <x:row r="5">
      <x:c r="A5" s="17" t="str">
        <x:v>SUG-20260521-002</x:v>
      </x:c>
      <x:c r="B5" s="17" t="str">
        <x:v>2026-05-21</x:v>
      </x:c>
      <x:c r="C5" s="17" t="str">
        <x:v>RUN-20260521-ANALYSIS</x:v>
      </x:c>
      <x:c r="D5" s="17" t="str">
        <x:v>Caritasverband fur die Diozese Hildesheim e.V.</x:v>
      </x:c>
      <x:c r="E5" s="17" t="str">
        <x:v>monatlich</x:v>
      </x:c>
      <x:c r="F5" s="17" t="str">
        <x:v>1900-01-02</x:v>
      </x:c>
      <x:c r="G5" s="17" t="str">
        <x:v>2026-01-28</x:v>
      </x:c>
      <x:c r="H5" s="17" t="str">
        <x:v>2026-04-27</x:v>
      </x:c>
      <x:c r="I5" s="17" t="str">
        <x:v>1921-05-28</x:v>
      </x:c>
      <x:c r="J5" s="17" t="str">
        <x:v>1921-05-28</x:v>
      </x:c>
      <x:c r="K5" s="17" t="str">
        <x:v>1921-05-28</x:v>
      </x:c>
      <x:c r="L5" s="17" t="str">
        <x:v>1899-12-30</x:v>
      </x:c>
      <x:c r="M5" s="17" t="str">
        <x:v>Einnahme</x:v>
      </x:c>
      <x:c r="N5" s="17" t="str">
        <x:v>KAT013</x:v>
      </x:c>
      <x:c r="O5" s="17" t="str"/>
      <x:c r="P5" s="17" t="str">
        <x:v>KTO001</x:v>
      </x:c>
      <x:c r="Q5" s="17" t="str">
        <x:v>Caritasverband fur die Diozese Hildesheim e.V.</x:v>
      </x:c>
      <x:c r="R5" s="17" t="str">
        <x:v>DE46400602650023003301</x:v>
      </x:c>
      <x:c r="S5" s="17" t="str">
        <x:v>GEHALT 1/26</x:v>
      </x:c>
      <x:c r="T5" s="17" t="str">
        <x:v>1899-12-31</x:v>
      </x:c>
      <x:c r="U5" s="17" t="str">
        <x:v>offen</x:v>
      </x:c>
      <x:c r="V5" s="17" t="str">
        <x:v>3 Treffer in 3 Monaten</x:v>
      </x:c>
      <x:c r="W5" s="17" t="str">
        <x:v>Analyse-Draft; keine Regelzahlung aktiviert</x:v>
      </x:c>
    </x:row>
    <x:row r="6">
      <x:c r="A6" s="17" t="str">
        <x:v>SUG-20260521-003</x:v>
      </x:c>
      <x:c r="B6" s="17" t="str">
        <x:v>2026-05-21</x:v>
      </x:c>
      <x:c r="C6" s="17" t="str">
        <x:v>RUN-20260521-ANALYSIS</x:v>
      </x:c>
      <x:c r="D6" s="17" t="str">
        <x:v>Wolkenmacher GmbH</x:v>
      </x:c>
      <x:c r="E6" s="17" t="str">
        <x:v>monatlich</x:v>
      </x:c>
      <x:c r="F6" s="17" t="str">
        <x:v>1900-01-02</x:v>
      </x:c>
      <x:c r="G6" s="17" t="str">
        <x:v>2024-01-30</x:v>
      </x:c>
      <x:c r="H6" s="17" t="str">
        <x:v>2024-03-27</x:v>
      </x:c>
      <x:c r="I6" s="17" t="str">
        <x:v>1921-02-08</x:v>
      </x:c>
      <x:c r="J6" s="17" t="str">
        <x:v>1921-02-08</x:v>
      </x:c>
      <x:c r="K6" s="17" t="str">
        <x:v>1921-02-08</x:v>
      </x:c>
      <x:c r="L6" s="17" t="str">
        <x:v>1899-12-30</x:v>
      </x:c>
      <x:c r="M6" s="17" t="str">
        <x:v>Einnahme</x:v>
      </x:c>
      <x:c r="N6" s="17" t="str">
        <x:v>KAT013</x:v>
      </x:c>
      <x:c r="O6" s="17" t="str"/>
      <x:c r="P6" s="17" t="str">
        <x:v>KTO001</x:v>
      </x:c>
      <x:c r="Q6" s="17" t="str">
        <x:v>Wolkenmacher GmbH</x:v>
      </x:c>
      <x:c r="R6" s="17" t="str">
        <x:v>DE30270700300031340300</x:v>
      </x:c>
      <x:c r="S6" s="17" t="str">
        <x:v>Lohn-Gehalt Abrechnung 01/2024</x:v>
      </x:c>
      <x:c r="T6" s="17" t="str">
        <x:v>1899-12-31</x:v>
      </x:c>
      <x:c r="U6" s="17" t="str">
        <x:v>offen</x:v>
      </x:c>
      <x:c r="V6" s="17" t="str">
        <x:v>3 Treffer in 3 Monaten</x:v>
      </x:c>
      <x:c r="W6" s="17" t="str">
        <x:v>Analyse-Draft; keine Regelzahlung aktiviert</x:v>
      </x:c>
    </x:row>
    <x:row r="7">
      <x:c r="A7" s="17" t="str">
        <x:v>SUG-20260521-004</x:v>
      </x:c>
      <x:c r="B7" s="17" t="str">
        <x:v>2026-05-21</x:v>
      </x:c>
      <x:c r="C7" s="17" t="str">
        <x:v>RUN-20260521-ANALYSIS</x:v>
      </x:c>
      <x:c r="D7" s="17" t="str">
        <x:v>Lars Kohlenberg</x:v>
      </x:c>
      <x:c r="E7" s="17" t="str">
        <x:v>monatlich</x:v>
      </x:c>
      <x:c r="F7" s="17" t="str">
        <x:v>1900-01-02</x:v>
      </x:c>
      <x:c r="G7" s="17" t="str">
        <x:v>2025-01-21</x:v>
      </x:c>
      <x:c r="H7" s="17" t="str">
        <x:v>2026-01-27</x:v>
      </x:c>
      <x:c r="I7" s="17" t="str">
        <x:v>1908-03-18</x:v>
      </x:c>
      <x:c r="J7" s="17" t="str">
        <x:v>1908-03-18</x:v>
      </x:c>
      <x:c r="K7" s="17" t="str">
        <x:v>1908-03-18</x:v>
      </x:c>
      <x:c r="L7" s="17" t="str">
        <x:v>1899-12-30</x:v>
      </x:c>
      <x:c r="M7" s="17" t="str">
        <x:v>Einnahme</x:v>
      </x:c>
      <x:c r="N7" s="17" t="str">
        <x:v>KAT013</x:v>
      </x:c>
      <x:c r="O7" s="17" t="str"/>
      <x:c r="P7" s="17" t="str">
        <x:v>KTO001</x:v>
      </x:c>
      <x:c r="Q7" s="17" t="str">
        <x:v>Lars Kohlenberg</x:v>
      </x:c>
      <x:c r="R7" s="17" t="str">
        <x:v>DE91270200001510365800</x:v>
      </x:c>
      <x:c r="S7" s="17" t="str">
        <x:v>Uebertrag Kueche 2. Teil</x:v>
      </x:c>
      <x:c r="T7" s="17" t="str">
        <x:v>1899-12-31</x:v>
      </x:c>
      <x:c r="U7" s="17" t="str">
        <x:v>offen</x:v>
      </x:c>
      <x:c r="V7" s="17" t="str">
        <x:v>3 Treffer in 3 Monaten</x:v>
      </x:c>
      <x:c r="W7" s="17" t="str">
        <x:v>Analyse-Draft; keine Regelzahlung aktiviert</x:v>
      </x:c>
    </x:row>
    <x:row r="8">
      <x:c r="A8" s="17" t="str">
        <x:v>SUG-20260521-005</x:v>
      </x:c>
      <x:c r="B8" s="17" t="str">
        <x:v>2026-05-21</x:v>
      </x:c>
      <x:c r="C8" s="17" t="str">
        <x:v>RUN-20260521-ANALYSIS</x:v>
      </x:c>
      <x:c r="D8" s="17" t="str">
        <x:v>KATRIN KOHLENBERG</x:v>
      </x:c>
      <x:c r="E8" s="17" t="str">
        <x:v>monatlich</x:v>
      </x:c>
      <x:c r="F8" s="17" t="str">
        <x:v>1900-01-28</x:v>
      </x:c>
      <x:c r="G8" s="17" t="str">
        <x:v>2024-01-02</x:v>
      </x:c>
      <x:c r="H8" s="17" t="str">
        <x:v>2026-05-04</x:v>
      </x:c>
      <x:c r="I8" s="17" t="str">
        <x:v>1895-01-25</x:v>
      </x:c>
      <x:c r="J8" s="17" t="str">
        <x:v>1895-01-25</x:v>
      </x:c>
      <x:c r="K8" s="17" t="str">
        <x:v>1895-01-25</x:v>
      </x:c>
      <x:c r="L8" s="17" t="str">
        <x:v>1899-12-30</x:v>
      </x:c>
      <x:c r="M8" s="17" t="str">
        <x:v>Ausgabe</x:v>
      </x:c>
      <x:c r="N8" s="17" t="str">
        <x:v>KAT013</x:v>
      </x:c>
      <x:c r="O8" s="17" t="str"/>
      <x:c r="P8" s="17" t="str">
        <x:v>KTO001</x:v>
      </x:c>
      <x:c r="Q8" s="17" t="str">
        <x:v>KATRIN KOHLENBERG</x:v>
      </x:c>
      <x:c r="R8" s="17" t="str">
        <x:v>DE32270727240307336800</x:v>
      </x:c>
      <x:c r="S8" s="17" t="str">
        <x:v>Apanage</x:v>
      </x:c>
      <x:c r="T8" s="17" t="str">
        <x:v>1899-12-31</x:v>
      </x:c>
      <x:c r="U8" s="17" t="str">
        <x:v>offen</x:v>
      </x:c>
      <x:c r="V8" s="17" t="str">
        <x:v>29 Treffer in 29 Monaten</x:v>
      </x:c>
      <x:c r="W8" s="17" t="str">
        <x:v>Analyse-Draft; keine Regelzahlung aktiviert</x:v>
      </x:c>
    </x:row>
    <x:row r="9">
      <x:c r="A9" s="17" t="str">
        <x:v>SUG-20260521-006</x:v>
      </x:c>
      <x:c r="B9" s="17" t="str">
        <x:v>2026-05-21</x:v>
      </x:c>
      <x:c r="C9" s="17" t="str">
        <x:v>RUN-20260521-ANALYSIS</x:v>
      </x:c>
      <x:c r="D9" s="17" t="str">
        <x:v>LARS KOHLENBERG</x:v>
      </x:c>
      <x:c r="E9" s="17" t="str">
        <x:v>monatlich</x:v>
      </x:c>
      <x:c r="F9" s="17" t="str">
        <x:v>1900-01-28</x:v>
      </x:c>
      <x:c r="G9" s="17" t="str">
        <x:v>2024-01-02</x:v>
      </x:c>
      <x:c r="H9" s="17" t="str">
        <x:v>2026-05-04</x:v>
      </x:c>
      <x:c r="I9" s="17" t="str">
        <x:v>1896-02-29</x:v>
      </x:c>
      <x:c r="J9" s="17" t="str">
        <x:v>1896-02-29</x:v>
      </x:c>
      <x:c r="K9" s="17" t="str">
        <x:v>1896-02-29</x:v>
      </x:c>
      <x:c r="L9" s="17" t="str">
        <x:v>1899-12-30</x:v>
      </x:c>
      <x:c r="M9" s="17" t="str">
        <x:v>Ausgabe</x:v>
      </x:c>
      <x:c r="N9" s="17" t="str">
        <x:v>KAT013</x:v>
      </x:c>
      <x:c r="O9" s="17" t="str"/>
      <x:c r="P9" s="17" t="str">
        <x:v>KTO001</x:v>
      </x:c>
      <x:c r="Q9" s="17" t="str">
        <x:v>LARS KOHLENBERG</x:v>
      </x:c>
      <x:c r="R9" s="17" t="str">
        <x:v>DE91270200001510365800</x:v>
      </x:c>
      <x:c r="S9" s="17" t="str">
        <x:v>Sparrate 650,- + 750 EUR Mieteinnahmen</x:v>
      </x:c>
      <x:c r="T9" s="17" t="str">
        <x:v>1899-12-31</x:v>
      </x:c>
      <x:c r="U9" s="17" t="str">
        <x:v>offen</x:v>
      </x:c>
      <x:c r="V9" s="17" t="str">
        <x:v>29 Treffer in 29 Monaten</x:v>
      </x:c>
      <x:c r="W9" s="17" t="str">
        <x:v>Analyse-Draft; keine Regelzahlung aktiviert</x:v>
      </x:c>
    </x:row>
    <x:row r="10">
      <x:c r="A10" s="17" t="str">
        <x:v>SUG-20260521-007</x:v>
      </x:c>
      <x:c r="B10" s="17" t="str">
        <x:v>2026-05-21</x:v>
      </x:c>
      <x:c r="C10" s="17" t="str">
        <x:v>RUN-20260521-ANALYSIS</x:v>
      </x:c>
      <x:c r="D10" s="17" t="str">
        <x:v>LARS KOHLENBERG</x:v>
      </x:c>
      <x:c r="E10" s="17" t="str">
        <x:v>monatlich</x:v>
      </x:c>
      <x:c r="F10" s="17" t="str">
        <x:v>1900-01-28</x:v>
      </x:c>
      <x:c r="G10" s="17" t="str">
        <x:v>2024-01-02</x:v>
      </x:c>
      <x:c r="H10" s="17" t="str">
        <x:v>2026-04-30</x:v>
      </x:c>
      <x:c r="I10" s="17" t="str">
        <x:v>1896-11-01</x:v>
      </x:c>
      <x:c r="J10" s="17" t="str">
        <x:v>1896-11-01</x:v>
      </x:c>
      <x:c r="K10" s="17" t="str">
        <x:v>1896-11-01</x:v>
      </x:c>
      <x:c r="L10" s="17" t="str">
        <x:v>1899-12-30</x:v>
      </x:c>
      <x:c r="M10" s="17" t="str">
        <x:v>Ausgabe</x:v>
      </x:c>
      <x:c r="N10" s="17" t="str">
        <x:v>KAT013</x:v>
      </x:c>
      <x:c r="O10" s="17" t="str"/>
      <x:c r="P10" s="17" t="str">
        <x:v>KTO001</x:v>
      </x:c>
      <x:c r="Q10" s="17" t="str">
        <x:v>LARS KOHLENBERG</x:v>
      </x:c>
      <x:c r="R10" s="17" t="str">
        <x:v>DE33269910668923736000</x:v>
      </x:c>
      <x:c r="S10" s="17" t="str">
        <x:v>Zins und Tilgung zu 2/3</x:v>
      </x:c>
      <x:c r="T10" s="17" t="str">
        <x:v>1899-12-31</x:v>
      </x:c>
      <x:c r="U10" s="17" t="str">
        <x:v>offen</x:v>
      </x:c>
      <x:c r="V10" s="17" t="str">
        <x:v>29 Treffer in 20 Monaten</x:v>
      </x:c>
      <x:c r="W10" s="17" t="str">
        <x:v>Analyse-Draft; keine Regelzahlung aktiviert</x:v>
      </x:c>
    </x:row>
    <x:row r="11">
      <x:c r="A11" s="17" t="str">
        <x:v>SUG-20260521-008</x:v>
      </x:c>
      <x:c r="B11" s="17" t="str">
        <x:v>2026-05-21</x:v>
      </x:c>
      <x:c r="C11" s="17" t="str">
        <x:v>RUN-20260521-ANALYSIS</x:v>
      </x:c>
      <x:c r="D11" s="17" t="str">
        <x:v>Lars Kohlenberg</x:v>
      </x:c>
      <x:c r="E11" s="17" t="str">
        <x:v>monatlich</x:v>
      </x:c>
      <x:c r="F11" s="17" t="str">
        <x:v>1900-01-03</x:v>
      </x:c>
      <x:c r="G11" s="17" t="str">
        <x:v>2024-05-16</x:v>
      </x:c>
      <x:c r="H11" s="17" t="str">
        <x:v>2026-04-09</x:v>
      </x:c>
      <x:c r="I11" s="17" t="str">
        <x:v>1902-09-26</x:v>
      </x:c>
      <x:c r="J11" s="17" t="str">
        <x:v>1902-09-26</x:v>
      </x:c>
      <x:c r="K11" s="17" t="str">
        <x:v>1902-09-26</x:v>
      </x:c>
      <x:c r="L11" s="17" t="str">
        <x:v>1899-12-30</x:v>
      </x:c>
      <x:c r="M11" s="17" t="str">
        <x:v>Einnahme</x:v>
      </x:c>
      <x:c r="N11" s="17" t="str">
        <x:v>KAT013</x:v>
      </x:c>
      <x:c r="O11" s="17" t="str"/>
      <x:c r="P11" s="17" t="str">
        <x:v>KTO001</x:v>
      </x:c>
      <x:c r="Q11" s="17" t="str">
        <x:v>Lars Kohlenberg</x:v>
      </x:c>
      <x:c r="R11" s="17" t="str">
        <x:v>DE91270200001510365800</x:v>
      </x:c>
      <x:c r="S11" s="17" t="str">
        <x:v>Uebertrag</x:v>
      </x:c>
      <x:c r="T11" s="17" t="str">
        <x:v>1899-12-31</x:v>
      </x:c>
      <x:c r="U11" s="17" t="str">
        <x:v>offen</x:v>
      </x:c>
      <x:c r="V11" s="17" t="str">
        <x:v>4 Treffer in 3 Monaten</x:v>
      </x:c>
      <x:c r="W11" s="17" t="str">
        <x:v>Analyse-Draft; keine Regelzahlung aktiviert</x:v>
      </x:c>
    </x:row>
    <x:row r="12">
      <x:c r="A12" s="17" t="str">
        <x:v>SUG-20260521-009</x:v>
      </x:c>
      <x:c r="B12" s="17" t="str">
        <x:v>2026-05-21</x:v>
      </x:c>
      <x:c r="C12" s="17" t="str">
        <x:v>RUN-20260521-ANALYSIS</x:v>
      </x:c>
      <x:c r="D12" s="17" t="str">
        <x:v>WILLI KOHLENBERG</x:v>
      </x:c>
      <x:c r="E12" s="17" t="str">
        <x:v>monatlich</x:v>
      </x:c>
      <x:c r="F12" s="17" t="str">
        <x:v>1900-01-28</x:v>
      </x:c>
      <x:c r="G12" s="17" t="str">
        <x:v>2024-01-02</x:v>
      </x:c>
      <x:c r="H12" s="17" t="str">
        <x:v>2026-05-04</x:v>
      </x:c>
      <x:c r="I12" s="17" t="str">
        <x:v>1902-01-19</x:v>
      </x:c>
      <x:c r="J12" s="17" t="str">
        <x:v>1902-01-19</x:v>
      </x:c>
      <x:c r="K12" s="17" t="str">
        <x:v>1902-01-19</x:v>
      </x:c>
      <x:c r="L12" s="17" t="str">
        <x:v>1899-12-30</x:v>
      </x:c>
      <x:c r="M12" s="17" t="str">
        <x:v>Einnahme</x:v>
      </x:c>
      <x:c r="N12" s="17" t="str">
        <x:v>KAT013</x:v>
      </x:c>
      <x:c r="O12" s="17" t="str"/>
      <x:c r="P12" s="17" t="str">
        <x:v>KTO001</x:v>
      </x:c>
      <x:c r="Q12" s="17" t="str">
        <x:v>WILLI KOHLENBERG</x:v>
      </x:c>
      <x:c r="R12" s="17" t="str">
        <x:v>DE84270800600651520400</x:v>
      </x:c>
      <x:c r="S12" s="17" t="str">
        <x:v>MIETE 2/3 HAUS</x:v>
      </x:c>
      <x:c r="T12" s="17" t="str">
        <x:v>1899-12-31</x:v>
      </x:c>
      <x:c r="U12" s="17" t="str">
        <x:v>offen</x:v>
      </x:c>
      <x:c r="V12" s="17" t="str">
        <x:v>29 Treffer in 29 Monaten</x:v>
      </x:c>
      <x:c r="W12" s="17" t="str">
        <x:v>Analyse-Draft; keine Regelzahlung aktiviert</x:v>
      </x:c>
    </x:row>
    <x:row r="13">
      <x:c r="A13" s="17" t="str">
        <x:v>SUG-20260521-010</x:v>
      </x:c>
      <x:c r="B13" s="17" t="str">
        <x:v>2026-05-21</x:v>
      </x:c>
      <x:c r="C13" s="17" t="str">
        <x:v>RUN-20260521-ANALYSIS</x:v>
      </x:c>
      <x:c r="D13" s="17" t="str">
        <x:v>Lars und Katrin Kohlenberg</x:v>
      </x:c>
      <x:c r="E13" s="17" t="str">
        <x:v>monatlich</x:v>
      </x:c>
      <x:c r="F13" s="17" t="str">
        <x:v>1900-01-21</x:v>
      </x:c>
      <x:c r="G13" s="17" t="str">
        <x:v>2024-03-01</x:v>
      </x:c>
      <x:c r="H13" s="17" t="str">
        <x:v>2026-05-04</x:v>
      </x:c>
      <x:c r="I13" s="17" t="str">
        <x:v>1898-05-09</x:v>
      </x:c>
      <x:c r="J13" s="17" t="str">
        <x:v>1898-05-09</x:v>
      </x:c>
      <x:c r="K13" s="17" t="str">
        <x:v>1898-05-09</x:v>
      </x:c>
      <x:c r="L13" s="17" t="str">
        <x:v>1899-12-30</x:v>
      </x:c>
      <x:c r="M13" s="17" t="str">
        <x:v>Ausgabe</x:v>
      </x:c>
      <x:c r="N13" s="17" t="str">
        <x:v>KAT013</x:v>
      </x:c>
      <x:c r="O13" s="17" t="str"/>
      <x:c r="P13" s="17" t="str">
        <x:v>KTO001</x:v>
      </x:c>
      <x:c r="Q13" s="17" t="str">
        <x:v>Lars und Katrin Kohlenberg</x:v>
      </x:c>
      <x:c r="R13" s="17" t="str">
        <x:v>DE27672300000506966162</x:v>
      </x:c>
      <x:c r="S13" s="17" t="str">
        <x:v>10009544 VERMOEGENSDEPOT SAMMELBUCHUNG SPARPLAN WKN A1C9ED, 847809</x:v>
      </x:c>
      <x:c r="T13" s="17" t="str">
        <x:v>1899-12-31</x:v>
      </x:c>
      <x:c r="U13" s="17" t="str">
        <x:v>offen</x:v>
      </x:c>
      <x:c r="V13" s="17" t="str">
        <x:v>22 Treffer in 22 Monaten</x:v>
      </x:c>
      <x:c r="W13" s="17" t="str">
        <x:v>Analyse-Draft; keine Regelzahlung aktiviert</x:v>
      </x:c>
    </x:row>
    <x:row r="14">
      <x:c r="A14" s="17" t="str">
        <x:v>SUG-20260521-011</x:v>
      </x:c>
      <x:c r="B14" s="17" t="str">
        <x:v>2026-05-21</x:v>
      </x:c>
      <x:c r="C14" s="17" t="str">
        <x:v>RUN-20260521-ANALYSIS</x:v>
      </x:c>
      <x:c r="D14" s="17" t="str">
        <x:v>Lars Kohlenberg</x:v>
      </x:c>
      <x:c r="E14" s="17" t="str">
        <x:v>monatlich</x:v>
      </x:c>
      <x:c r="F14" s="17" t="str">
        <x:v>1900-01-05</x:v>
      </x:c>
      <x:c r="G14" s="17" t="str">
        <x:v>2024-03-21</x:v>
      </x:c>
      <x:c r="H14" s="17" t="str">
        <x:v>2026-04-20</x:v>
      </x:c>
      <x:c r="I14" s="17" t="str">
        <x:v>1901-05-14</x:v>
      </x:c>
      <x:c r="J14" s="17" t="str">
        <x:v>1901-05-14</x:v>
      </x:c>
      <x:c r="K14" s="17" t="str">
        <x:v>1901-05-14</x:v>
      </x:c>
      <x:c r="L14" s="17" t="str">
        <x:v>1899-12-30</x:v>
      </x:c>
      <x:c r="M14" s="17" t="str">
        <x:v>Einnahme</x:v>
      </x:c>
      <x:c r="N14" s="17" t="str">
        <x:v>KAT013</x:v>
      </x:c>
      <x:c r="O14" s="17" t="str"/>
      <x:c r="P14" s="17" t="str">
        <x:v>KTO001</x:v>
      </x:c>
      <x:c r="Q14" s="17" t="str">
        <x:v>Lars Kohlenberg</x:v>
      </x:c>
      <x:c r="R14" s="17" t="str">
        <x:v>DE91270200001510365800</x:v>
      </x:c>
      <x:c r="S14" s="17" t="str">
        <x:v>Uebertrag</x:v>
      </x:c>
      <x:c r="T14" s="17" t="str">
        <x:v>1899-12-31</x:v>
      </x:c>
      <x:c r="U14" s="17" t="str">
        <x:v>offen</x:v>
      </x:c>
      <x:c r="V14" s="17" t="str">
        <x:v>6 Treffer in 6 Monaten</x:v>
      </x:c>
      <x:c r="W14" s="17" t="str">
        <x:v>Analyse-Draft; keine Regelzahlung aktiviert</x:v>
      </x:c>
    </x:row>
    <x:row r="15">
      <x:c r="A15" s="17" t="str">
        <x:v>SUG-20260521-012</x:v>
      </x:c>
      <x:c r="B15" s="17" t="str">
        <x:v>2026-05-21</x:v>
      </x:c>
      <x:c r="C15" s="17" t="str">
        <x:v>RUN-20260521-ANALYSIS</x:v>
      </x:c>
      <x:c r="D15" s="17" t="str">
        <x:v>NORD.LB...Braunschweigi/GEBHARDSHG</x:v>
      </x:c>
      <x:c r="E15" s="17" t="str">
        <x:v>monatlich</x:v>
      </x:c>
      <x:c r="F15" s="17" t="str">
        <x:v>1900-01-05</x:v>
      </x:c>
      <x:c r="G15" s="17" t="str">
        <x:v>2024-04-02</x:v>
      </x:c>
      <x:c r="H15" s="17" t="str">
        <x:v>2025-09-15</x:v>
      </x:c>
      <x:c r="I15" s="17" t="str">
        <x:v>1898-08-17</x:v>
      </x:c>
      <x:c r="J15" s="17" t="str">
        <x:v>1898-08-17</x:v>
      </x:c>
      <x:c r="K15" s="17" t="str">
        <x:v>1898-08-17</x:v>
      </x:c>
      <x:c r="L15" s="17" t="str">
        <x:v>1899-12-30</x:v>
      </x:c>
      <x:c r="M15" s="17" t="str">
        <x:v>Ausgabe</x:v>
      </x:c>
      <x:c r="N15" s="17" t="str">
        <x:v>KAT013</x:v>
      </x:c>
      <x:c r="O15" s="17" t="str"/>
      <x:c r="P15" s="17" t="str">
        <x:v>KTO001</x:v>
      </x:c>
      <x:c r="Q15" s="17" t="str">
        <x:v>NORD.LB...Braunschweigi/GEBHARDSHG</x:v>
      </x:c>
      <x:c r="R15" s="17" t="str">
        <x:v>DE96120300009005290904</x:v>
      </x:c>
      <x:c r="S15" s="17" t="str">
        <x:v>VISA Debitkartenumsatz vom 29.03.2024</x:v>
      </x:c>
      <x:c r="T15" s="17" t="str">
        <x:v>1899-12-31</x:v>
      </x:c>
      <x:c r="U15" s="17" t="str">
        <x:v>offen</x:v>
      </x:c>
      <x:c r="V15" s="17" t="str">
        <x:v>6 Treffer in 6 Monaten</x:v>
      </x:c>
      <x:c r="W15" s="17" t="str">
        <x:v>Analyse-Draft; keine Regelzahlung aktiviert</x:v>
      </x:c>
    </x:row>
    <x:row r="16">
      <x:c r="A16" s="17" t="str">
        <x:v>SUG-20260521-013</x:v>
      </x:c>
      <x:c r="B16" s="17" t="str">
        <x:v>2026-05-21</x:v>
      </x:c>
      <x:c r="C16" s="17" t="str">
        <x:v>RUN-20260521-ANALYSIS</x:v>
      </x:c>
      <x:c r="D16" s="17" t="str">
        <x:v>Heidelberger Lebensversicherung AG Donrhofstrasse 36, 63263 Neu-Isenburg</x:v>
      </x:c>
      <x:c r="E16" s="17" t="str">
        <x:v>monatlich</x:v>
      </x:c>
      <x:c r="F16" s="17" t="str">
        <x:v>1900-01-11</x:v>
      </x:c>
      <x:c r="G16" s="17" t="str">
        <x:v>2025-06-02</x:v>
      </x:c>
      <x:c r="H16" s="17" t="str">
        <x:v>2026-05-04</x:v>
      </x:c>
      <x:c r="I16" s="17" t="str">
        <x:v>1898-10-03</x:v>
      </x:c>
      <x:c r="J16" s="17" t="str">
        <x:v>1898-10-03</x:v>
      </x:c>
      <x:c r="K16" s="17" t="str">
        <x:v>1898-10-03</x:v>
      </x:c>
      <x:c r="L16" s="17" t="str">
        <x:v>1899-12-30</x:v>
      </x:c>
      <x:c r="M16" s="17" t="str">
        <x:v>Ausgabe</x:v>
      </x:c>
      <x:c r="N16" s="17" t="str">
        <x:v>KAT013</x:v>
      </x:c>
      <x:c r="O16" s="17" t="str"/>
      <x:c r="P16" s="17" t="str">
        <x:v>KTO001</x:v>
      </x:c>
      <x:c r="Q16" s="17" t="str">
        <x:v>Heidelberger Lebensversicherung AG Donrhofstrasse 36, 63263 Neu-Isenburg</x:v>
      </x:c>
      <x:c r="R16" s="17" t="str">
        <x:v>DE38600501010002662604</x:v>
      </x:c>
      <x:c r="S16" s="17" t="str">
        <x:v>60012826 , 06.25</x:v>
      </x:c>
      <x:c r="T16" s="17" t="str">
        <x:v>1899-12-31</x:v>
      </x:c>
      <x:c r="U16" s="17" t="str">
        <x:v>offen</x:v>
      </x:c>
      <x:c r="V16" s="17" t="str">
        <x:v>12 Treffer in 12 Monaten</x:v>
      </x:c>
      <x:c r="W16" s="17" t="str">
        <x:v>Analyse-Draft; keine Regelzahlung aktiviert</x:v>
      </x:c>
    </x:row>
    <x:row r="17">
      <x:c r="A17" s="17" t="str">
        <x:v>SUG-20260521-014</x:v>
      </x:c>
      <x:c r="B17" s="17" t="str">
        <x:v>2026-05-21</x:v>
      </x:c>
      <x:c r="C17" s="17" t="str">
        <x:v>RUN-20260521-ANALYSIS</x:v>
      </x:c>
      <x:c r="D17" s="17" t="str">
        <x:v>Heidelberger Lebensversicherung AG Im Breitspiel 2-4, 69126 Heidelberg</x:v>
      </x:c>
      <x:c r="E17" s="17" t="str">
        <x:v>monatlich</x:v>
      </x:c>
      <x:c r="F17" s="17" t="str">
        <x:v>1900-01-16</x:v>
      </x:c>
      <x:c r="G17" s="17" t="str">
        <x:v>2024-01-02</x:v>
      </x:c>
      <x:c r="H17" s="17" t="str">
        <x:v>2025-05-02</x:v>
      </x:c>
      <x:c r="I17" s="17" t="str">
        <x:v>1898-10-03</x:v>
      </x:c>
      <x:c r="J17" s="17" t="str">
        <x:v>1898-10-03</x:v>
      </x:c>
      <x:c r="K17" s="17" t="str">
        <x:v>1898-10-03</x:v>
      </x:c>
      <x:c r="L17" s="17" t="str">
        <x:v>1899-12-30</x:v>
      </x:c>
      <x:c r="M17" s="17" t="str">
        <x:v>Ausgabe</x:v>
      </x:c>
      <x:c r="N17" s="17" t="str">
        <x:v>KAT013</x:v>
      </x:c>
      <x:c r="O17" s="17" t="str"/>
      <x:c r="P17" s="17" t="str">
        <x:v>KTO001</x:v>
      </x:c>
      <x:c r="Q17" s="17" t="str">
        <x:v>Heidelberger Lebensversicherung AG Im Breitspiel 2-4, 69126 Heidelberg</x:v>
      </x:c>
      <x:c r="R17" s="17" t="str">
        <x:v>DE38600501010002662604</x:v>
      </x:c>
      <x:c r="S17" s="17" t="str">
        <x:v>60012826 , 01.24</x:v>
      </x:c>
      <x:c r="T17" s="17" t="str">
        <x:v>1899-12-31</x:v>
      </x:c>
      <x:c r="U17" s="17" t="str">
        <x:v>offen</x:v>
      </x:c>
      <x:c r="V17" s="17" t="str">
        <x:v>17 Treffer in 17 Monaten</x:v>
      </x:c>
      <x:c r="W17" s="17" t="str">
        <x:v>Analyse-Draft; keine Regelzahlung aktiviert</x:v>
      </x:c>
    </x:row>
    <x:row r="18">
      <x:c r="A18" s="17" t="str">
        <x:v>SUG-20260521-015</x:v>
      </x:c>
      <x:c r="B18" s="17" t="str">
        <x:v>2026-05-21</x:v>
      </x:c>
      <x:c r="C18" s="17" t="str">
        <x:v>RUN-20260521-ANALYSIS</x:v>
      </x:c>
      <x:c r="D18" s="17" t="str">
        <x:v>WEVG Salzgitter GmbH + Co. KG</x:v>
      </x:c>
      <x:c r="E18" s="17" t="str">
        <x:v>monatlich</x:v>
      </x:c>
      <x:c r="F18" s="17" t="str">
        <x:v>1900-01-08</x:v>
      </x:c>
      <x:c r="G18" s="17" t="str">
        <x:v>2024-04-30</x:v>
      </x:c>
      <x:c r="H18" s="17" t="str">
        <x:v>2024-12-30</x:v>
      </x:c>
      <x:c r="I18" s="17" t="str">
        <x:v>1898-11-03</x:v>
      </x:c>
      <x:c r="J18" s="17" t="str">
        <x:v>1898-11-03</x:v>
      </x:c>
      <x:c r="K18" s="17" t="str">
        <x:v>1898-11-03</x:v>
      </x:c>
      <x:c r="L18" s="17" t="str">
        <x:v>1899-12-30</x:v>
      </x:c>
      <x:c r="M18" s="17" t="str">
        <x:v>Ausgabe</x:v>
      </x:c>
      <x:c r="N18" s="17" t="str">
        <x:v>KAT013</x:v>
      </x:c>
      <x:c r="O18" s="17" t="str"/>
      <x:c r="P18" s="17" t="str">
        <x:v>KTO001</x:v>
      </x:c>
      <x:c r="Q18" s="17" t="str">
        <x:v>WEVG Salzgitter GmbH + Co. KG</x:v>
      </x:c>
      <x:c r="R18" s="17" t="str">
        <x:v>DE19300700100394127500</x:v>
      </x:c>
      <x:c r="S18" s="17" t="str">
        <x:v>Kd-Nr 79288 Einz 30.04.24 41710/352.00/Johannes-Wosni 100833/70.00/Johannes-Wosni</x:v>
      </x:c>
      <x:c r="T18" s="17" t="str">
        <x:v>1899-12-31</x:v>
      </x:c>
      <x:c r="U18" s="17" t="str">
        <x:v>offen</x:v>
      </x:c>
      <x:c r="V18" s="17" t="str">
        <x:v>9 Treffer in 6 Monaten</x:v>
      </x:c>
      <x:c r="W18" s="17" t="str">
        <x:v>Analyse-Draft; keine Regelzahlung aktiviert</x:v>
      </x:c>
    </x:row>
    <x:row r="19">
      <x:c r="A19" s="17" t="str">
        <x:v>SUG-20260521-016</x:v>
      </x:c>
      <x:c r="B19" s="17" t="str">
        <x:v>2026-05-21</x:v>
      </x:c>
      <x:c r="C19" s="17" t="str">
        <x:v>RUN-20260521-ANALYSIS</x:v>
      </x:c>
      <x:c r="D19" s="17" t="str">
        <x:v>Lars Kohlenberg</x:v>
      </x:c>
      <x:c r="E19" s="17" t="str">
        <x:v>monatlich</x:v>
      </x:c>
      <x:c r="F19" s="17" t="str">
        <x:v>1900-01-03</x:v>
      </x:c>
      <x:c r="G19" s="17" t="str">
        <x:v>2025-03-11</x:v>
      </x:c>
      <x:c r="H19" s="17" t="str">
        <x:v>2026-04-17</x:v>
      </x:c>
      <x:c r="I19" s="17" t="str">
        <x:v>1901-02-03</x:v>
      </x:c>
      <x:c r="J19" s="17" t="str">
        <x:v>1901-02-03</x:v>
      </x:c>
      <x:c r="K19" s="17" t="str">
        <x:v>1901-02-03</x:v>
      </x:c>
      <x:c r="L19" s="17" t="str">
        <x:v>1899-12-30</x:v>
      </x:c>
      <x:c r="M19" s="17" t="str">
        <x:v>Einnahme</x:v>
      </x:c>
      <x:c r="N19" s="17" t="str">
        <x:v>KAT013</x:v>
      </x:c>
      <x:c r="O19" s="17" t="str"/>
      <x:c r="P19" s="17" t="str">
        <x:v>KTO001</x:v>
      </x:c>
      <x:c r="Q19" s="17" t="str">
        <x:v>Lars Kohlenberg</x:v>
      </x:c>
      <x:c r="R19" s="17" t="str">
        <x:v>DE91270200001510365800</x:v>
      </x:c>
      <x:c r="S19" s="17" t="str">
        <x:v>Uebertrag</x:v>
      </x:c>
      <x:c r="T19" s="17" t="str">
        <x:v>1899-12-31</x:v>
      </x:c>
      <x:c r="U19" s="17" t="str">
        <x:v>offen</x:v>
      </x:c>
      <x:c r="V19" s="17" t="str">
        <x:v>4 Treffer in 3 Monaten</x:v>
      </x:c>
      <x:c r="W19" s="17" t="str">
        <x:v>Analyse-Draft; keine Regelzahlung aktiviert</x:v>
      </x:c>
    </x:row>
    <x:row r="20">
      <x:c r="A20" s="17" t="str">
        <x:v>SUG-20260521-017</x:v>
      </x:c>
      <x:c r="B20" s="17" t="str">
        <x:v>2026-05-21</x:v>
      </x:c>
      <x:c r="C20" s="17" t="str">
        <x:v>RUN-20260521-ANALYSIS</x:v>
      </x:c>
      <x:c r="D20" s="17" t="str">
        <x:v>WEVG Salzgitter GmbH + Co. KG</x:v>
      </x:c>
      <x:c r="E20" s="17" t="str">
        <x:v>monatlich</x:v>
      </x:c>
      <x:c r="F20" s="17" t="str">
        <x:v>1900-01-09</x:v>
      </x:c>
      <x:c r="G20" s="17" t="str">
        <x:v>2025-02-28</x:v>
      </x:c>
      <x:c r="H20" s="17" t="str">
        <x:v>2025-12-01</x:v>
      </x:c>
      <x:c r="I20" s="17" t="str">
        <x:v>1898-12-02</x:v>
      </x:c>
      <x:c r="J20" s="17" t="str">
        <x:v>1898-12-02</x:v>
      </x:c>
      <x:c r="K20" s="17" t="str">
        <x:v>1898-12-02</x:v>
      </x:c>
      <x:c r="L20" s="17" t="str">
        <x:v>1899-12-30</x:v>
      </x:c>
      <x:c r="M20" s="17" t="str">
        <x:v>Ausgabe</x:v>
      </x:c>
      <x:c r="N20" s="17" t="str">
        <x:v>KAT013</x:v>
      </x:c>
      <x:c r="O20" s="17" t="str"/>
      <x:c r="P20" s="17" t="str">
        <x:v>KTO001</x:v>
      </x:c>
      <x:c r="Q20" s="17" t="str">
        <x:v>WEVG Salzgitter GmbH + Co. KG</x:v>
      </x:c>
      <x:c r="R20" s="17" t="str">
        <x:v>DE19300700100394127500</x:v>
      </x:c>
      <x:c r="S20" s="17" t="str">
        <x:v>Kd-Nr 79288 Einz 28.02.25 41710/317.00/Johannes-Wosni 100833/76.00/Johannes-Wosni</x:v>
      </x:c>
      <x:c r="T20" s="17" t="str">
        <x:v>1899-12-31</x:v>
      </x:c>
      <x:c r="U20" s="17" t="str">
        <x:v>offen</x:v>
      </x:c>
      <x:c r="V20" s="17" t="str">
        <x:v>10 Treffer in 8 Monaten</x:v>
      </x:c>
      <x:c r="W20" s="17" t="str">
        <x:v>Analyse-Draft; keine Regelzahlung aktiviert</x:v>
      </x:c>
    </x:row>
    <x:row r="21">
      <x:c r="A21" s="17" t="str">
        <x:v>SUG-20260521-018</x:v>
      </x:c>
      <x:c r="B21" s="17" t="str">
        <x:v>2026-05-21</x:v>
      </x:c>
      <x:c r="C21" s="17" t="str">
        <x:v>RUN-20260521-ANALYSIS</x:v>
      </x:c>
      <x:c r="D21" s="17" t="str">
        <x:v>Allianz Lebensversic</x:v>
      </x:c>
      <x:c r="E21" s="17" t="str">
        <x:v>monatlich</x:v>
      </x:c>
      <x:c r="F21" s="17" t="str">
        <x:v>1900-01-03</x:v>
      </x:c>
      <x:c r="G21" s="17" t="str">
        <x:v>2026-02-02</x:v>
      </x:c>
      <x:c r="H21" s="17" t="str">
        <x:v>2026-05-04</x:v>
      </x:c>
      <x:c r="I21" s="17" t="str">
        <x:v>1899-07-21</x:v>
      </x:c>
      <x:c r="J21" s="17" t="str">
        <x:v>1899-07-21</x:v>
      </x:c>
      <x:c r="K21" s="17" t="str">
        <x:v>1899-07-21</x:v>
      </x:c>
      <x:c r="L21" s="17" t="str">
        <x:v>1899-12-30</x:v>
      </x:c>
      <x:c r="M21" s="17" t="str">
        <x:v>Ausgabe</x:v>
      </x:c>
      <x:c r="N21" s="17" t="str">
        <x:v>KAT013</x:v>
      </x:c>
      <x:c r="O21" s="17" t="str"/>
      <x:c r="P21" s="17" t="str">
        <x:v>KTO001</x:v>
      </x:c>
      <x:c r="Q21" s="17" t="str">
        <x:v>Allianz Lebensversic</x:v>
      </x:c>
      <x:c r="R21" s="17" t="str">
        <x:v>DE52700202700015152448</x:v>
      </x:c>
      <x:c r="S21" s="17" t="str">
        <x:v>Vertrag AL-1356867060 bisheriger Vertrag 33 029 619 6 01.02.26 - 28.02.26 RiesRent InvAlphaBal</x:v>
      </x:c>
      <x:c r="T21" s="17" t="str">
        <x:v>1899-12-31</x:v>
      </x:c>
      <x:c r="U21" s="17" t="str">
        <x:v>offen</x:v>
      </x:c>
      <x:c r="V21" s="17" t="str">
        <x:v>4 Treffer in 4 Monaten</x:v>
      </x:c>
      <x:c r="W21" s="17" t="str">
        <x:v>Analyse-Draft; keine Regelzahlung aktiviert</x:v>
      </x:c>
    </x:row>
    <x:row r="22">
      <x:c r="A22" s="17" t="str">
        <x:v>SUG-20260521-019</x:v>
      </x:c>
      <x:c r="B22" s="17" t="str">
        <x:v>2026-05-21</x:v>
      </x:c>
      <x:c r="C22" s="17" t="str">
        <x:v>RUN-20260521-ANALYSIS</x:v>
      </x:c>
      <x:c r="D22" s="17" t="str">
        <x:v>Allianz Lebensvers. AG</x:v>
      </x:c>
      <x:c r="E22" s="17" t="str">
        <x:v>monatlich</x:v>
      </x:c>
      <x:c r="F22" s="17" t="str">
        <x:v>1900-01-22</x:v>
      </x:c>
      <x:c r="G22" s="17" t="str">
        <x:v>2024-01-02</x:v>
      </x:c>
      <x:c r="H22" s="17" t="str">
        <x:v>2026-01-02</x:v>
      </x:c>
      <x:c r="I22" s="17" t="str">
        <x:v>1899-07-21</x:v>
      </x:c>
      <x:c r="J22" s="17" t="str">
        <x:v>1899-07-21</x:v>
      </x:c>
      <x:c r="K22" s="17" t="str">
        <x:v>1899-07-21</x:v>
      </x:c>
      <x:c r="L22" s="17" t="str">
        <x:v>1899-12-30</x:v>
      </x:c>
      <x:c r="M22" s="17" t="str">
        <x:v>Ausgabe</x:v>
      </x:c>
      <x:c r="N22" s="17" t="str">
        <x:v>KAT013</x:v>
      </x:c>
      <x:c r="O22" s="17" t="str"/>
      <x:c r="P22" s="17" t="str">
        <x:v>KTO001</x:v>
      </x:c>
      <x:c r="Q22" s="17" t="str">
        <x:v>Allianz Lebensvers. AG</x:v>
      </x:c>
      <x:c r="R22" s="17" t="str">
        <x:v>DE77700202700062328142</x:v>
      </x:c>
      <x:c r="S22" s="17" t="str">
        <x:v>330296196 0124</x:v>
      </x:c>
      <x:c r="T22" s="17" t="str">
        <x:v>1899-12-31</x:v>
      </x:c>
      <x:c r="U22" s="17" t="str">
        <x:v>offen</x:v>
      </x:c>
      <x:c r="V22" s="17" t="str">
        <x:v>23 Treffer in 23 Monaten</x:v>
      </x:c>
      <x:c r="W22" s="17" t="str">
        <x:v>Analyse-Draft; keine Regelzahlung aktiviert</x:v>
      </x:c>
    </x:row>
    <x:row r="23">
      <x:c r="A23" s="17" t="str">
        <x:v>SUG-20260521-020</x:v>
      </x:c>
      <x:c r="B23" s="17" t="str">
        <x:v>2026-05-21</x:v>
      </x:c>
      <x:c r="C23" s="17" t="str">
        <x:v>RUN-20260521-ANALYSIS</x:v>
      </x:c>
      <x:c r="D23" s="17" t="str">
        <x:v>IDEAL Lebensversicherung aG</x:v>
      </x:c>
      <x:c r="E23" s="17" t="str">
        <x:v>monatlich</x:v>
      </x:c>
      <x:c r="F23" s="17" t="str">
        <x:v>1900-01-05</x:v>
      </x:c>
      <x:c r="G23" s="17" t="str">
        <x:v>2025-12-01</x:v>
      </x:c>
      <x:c r="H23" s="17" t="str">
        <x:v>2026-05-04</x:v>
      </x:c>
      <x:c r="I23" s="17" t="str">
        <x:v>1899-09-20</x:v>
      </x:c>
      <x:c r="J23" s="17" t="str">
        <x:v>1899-09-20</x:v>
      </x:c>
      <x:c r="K23" s="17" t="str">
        <x:v>1899-09-20</x:v>
      </x:c>
      <x:c r="L23" s="17" t="str">
        <x:v>1899-12-30</x:v>
      </x:c>
      <x:c r="M23" s="17" t="str">
        <x:v>Ausgabe</x:v>
      </x:c>
      <x:c r="N23" s="17" t="str">
        <x:v>KAT013</x:v>
      </x:c>
      <x:c r="O23" s="17" t="str"/>
      <x:c r="P23" s="17" t="str">
        <x:v>KTO001</x:v>
      </x:c>
      <x:c r="Q23" s="17" t="str">
        <x:v>IDEAL Lebensversicherung aG</x:v>
      </x:c>
      <x:c r="R23" s="17" t="str">
        <x:v>DE36100700000460303100</x:v>
      </x:c>
      <x:c r="S23" s="17" t="str">
        <x:v>2011216280009 LV 121</x:v>
      </x:c>
      <x:c r="T23" s="17" t="str">
        <x:v>1899-12-31</x:v>
      </x:c>
      <x:c r="U23" s="17" t="str">
        <x:v>offen</x:v>
      </x:c>
      <x:c r="V23" s="17" t="str">
        <x:v>6 Treffer in 6 Monaten</x:v>
      </x:c>
      <x:c r="W23" s="17" t="str">
        <x:v>Analyse-Draft; keine Regelzahlung aktiviert</x:v>
      </x:c>
    </x:row>
    <x:row r="24">
      <x:c r="A24" s="17" t="str">
        <x:v>SUG-20260521-021</x:v>
      </x:c>
      <x:c r="B24" s="17" t="str">
        <x:v>2026-05-21</x:v>
      </x:c>
      <x:c r="C24" s="17" t="str">
        <x:v>RUN-20260521-ANALYSIS</x:v>
      </x:c>
      <x:c r="D24" s="17" t="str">
        <x:v>NORD.LB...Braunschweigi/GEBHARDSHG</x:v>
      </x:c>
      <x:c r="E24" s="17" t="str">
        <x:v>monatlich</x:v>
      </x:c>
      <x:c r="F24" s="17" t="str">
        <x:v>1900-01-02</x:v>
      </x:c>
      <x:c r="G24" s="17" t="str">
        <x:v>2024-04-15</x:v>
      </x:c>
      <x:c r="H24" s="17" t="str">
        <x:v>2025-05-30</x:v>
      </x:c>
      <x:c r="I24" s="17" t="str">
        <x:v>1899-09-21</x:v>
      </x:c>
      <x:c r="J24" s="17" t="str">
        <x:v>1899-09-21</x:v>
      </x:c>
      <x:c r="K24" s="17" t="str">
        <x:v>1899-09-21</x:v>
      </x:c>
      <x:c r="L24" s="17" t="str">
        <x:v>1899-12-30</x:v>
      </x:c>
      <x:c r="M24" s="17" t="str">
        <x:v>Ausgabe</x:v>
      </x:c>
      <x:c r="N24" s="17" t="str">
        <x:v>KAT013</x:v>
      </x:c>
      <x:c r="O24" s="17" t="str"/>
      <x:c r="P24" s="17" t="str">
        <x:v>KTO001</x:v>
      </x:c>
      <x:c r="Q24" s="17" t="str">
        <x:v>NORD.LB...Braunschweigi/GEBHARDSHG</x:v>
      </x:c>
      <x:c r="R24" s="17" t="str">
        <x:v>DE96120300009005290904</x:v>
      </x:c>
      <x:c r="S24" s="17" t="str">
        <x:v>VISA Debitkartenumsatz vom 12.04.2024</x:v>
      </x:c>
      <x:c r="T24" s="17" t="str">
        <x:v>1899-12-31</x:v>
      </x:c>
      <x:c r="U24" s="17" t="str">
        <x:v>offen</x:v>
      </x:c>
      <x:c r="V24" s="17" t="str">
        <x:v>3 Treffer in 3 Monaten</x:v>
      </x:c>
      <x:c r="W24" s="17" t="str">
        <x:v>Analyse-Draft; keine Regelzahlung aktiviert</x:v>
      </x:c>
    </x:row>
    <x:row r="25">
      <x:c r="A25" s="17" t="str">
        <x:v>SUG-20260521-022</x:v>
      </x:c>
      <x:c r="B25" s="17" t="str">
        <x:v>2026-05-21</x:v>
      </x:c>
      <x:c r="C25" s="17" t="str">
        <x:v>RUN-20260521-ANALYSIS</x:v>
      </x:c>
      <x:c r="D25" s="17" t="str">
        <x:v>Lars und Katrin Kohlenberg</x:v>
      </x:c>
      <x:c r="E25" s="17" t="str">
        <x:v>monatlich</x:v>
      </x:c>
      <x:c r="F25" s="17" t="str">
        <x:v>1900-01-04</x:v>
      </x:c>
      <x:c r="G25" s="17" t="str">
        <x:v>2024-04-02</x:v>
      </x:c>
      <x:c r="H25" s="17" t="str">
        <x:v>2024-08-01</x:v>
      </x:c>
      <x:c r="I25" s="17" t="str">
        <x:v>1899-09-21</x:v>
      </x:c>
      <x:c r="J25" s="17" t="str">
        <x:v>1899-09-21</x:v>
      </x:c>
      <x:c r="K25" s="17" t="str">
        <x:v>1899-09-21</x:v>
      </x:c>
      <x:c r="L25" s="17" t="str">
        <x:v>1899-12-30</x:v>
      </x:c>
      <x:c r="M25" s="17" t="str">
        <x:v>Ausgabe</x:v>
      </x:c>
      <x:c r="N25" s="17" t="str">
        <x:v>KAT013</x:v>
      </x:c>
      <x:c r="O25" s="17" t="str"/>
      <x:c r="P25" s="17" t="str">
        <x:v>KTO001</x:v>
      </x:c>
      <x:c r="Q25" s="17" t="str">
        <x:v>Lars und Katrin Kohlenberg</x:v>
      </x:c>
      <x:c r="R25" s="17" t="str">
        <x:v>DE27672300000506966162</x:v>
      </x:c>
      <x:c r="S25" s="17" t="str">
        <x:v>10120059 VERMOEGENSDEPOT SPARPLAN WKN A1C9ED</x:v>
      </x:c>
      <x:c r="T25" s="17" t="str">
        <x:v>1899-12-31</x:v>
      </x:c>
      <x:c r="U25" s="17" t="str">
        <x:v>offen</x:v>
      </x:c>
      <x:c r="V25" s="17" t="str">
        <x:v>5 Treffer in 5 Monaten</x:v>
      </x:c>
      <x:c r="W25" s="17" t="str">
        <x:v>Analyse-Draft; keine Regelzahlung aktiviert</x:v>
      </x:c>
    </x:row>
    <x:row r="26">
      <x:c r="A26" s="17" t="str">
        <x:v>SUG-20260521-023</x:v>
      </x:c>
      <x:c r="B26" s="17" t="str">
        <x:v>2026-05-21</x:v>
      </x:c>
      <x:c r="C26" s="17" t="str">
        <x:v>RUN-20260521-ANALYSIS</x:v>
      </x:c>
      <x:c r="D26" s="17" t="str">
        <x:v>TANZSCHULE KWIATKOWSKI GBR</x:v>
      </x:c>
      <x:c r="E26" s="17" t="str">
        <x:v>monatlich</x:v>
      </x:c>
      <x:c r="F26" s="17" t="str">
        <x:v>1900-01-03</x:v>
      </x:c>
      <x:c r="G26" s="17" t="str">
        <x:v>2026-02-16</x:v>
      </x:c>
      <x:c r="H26" s="17" t="str">
        <x:v>2026-05-15</x:v>
      </x:c>
      <x:c r="I26" s="17" t="str">
        <x:v>1899-09-23</x:v>
      </x:c>
      <x:c r="J26" s="17" t="str">
        <x:v>1899-09-23</x:v>
      </x:c>
      <x:c r="K26" s="17" t="str">
        <x:v>1899-09-23</x:v>
      </x:c>
      <x:c r="L26" s="17" t="str">
        <x:v>1899-12-30</x:v>
      </x:c>
      <x:c r="M26" s="17" t="str">
        <x:v>Ausgabe</x:v>
      </x:c>
      <x:c r="N26" s="17" t="str">
        <x:v>KAT013</x:v>
      </x:c>
      <x:c r="O26" s="17" t="str"/>
      <x:c r="P26" s="17" t="str">
        <x:v>KTO001</x:v>
      </x:c>
      <x:c r="Q26" s="17" t="str">
        <x:v>TANZSCHULE KWIATKOWSKI GBR</x:v>
      </x:c>
      <x:c r="R26" s="17" t="str">
        <x:v>DE61259501300096212535</x:v>
      </x:c>
      <x:c r="S26" s="17" t="str">
        <x:v>R-SB0000076257-A0000004652,SB2143 2-2026 - 2.2026,Lars Kohlenberg</x:v>
      </x:c>
      <x:c r="T26" s="17" t="str">
        <x:v>1899-12-31</x:v>
      </x:c>
      <x:c r="U26" s="17" t="str">
        <x:v>offen</x:v>
      </x:c>
      <x:c r="V26" s="17" t="str">
        <x:v>4 Treffer in 4 Monaten</x:v>
      </x:c>
      <x:c r="W26" s="17" t="str">
        <x:v>Analyse-Draft; keine Regelzahlung aktiviert</x:v>
      </x:c>
    </x:row>
    <x:row r="27">
      <x:c r="A27" s="17" t="str">
        <x:v>SUG-20260521-024</x:v>
      </x:c>
      <x:c r="B27" s="17" t="str">
        <x:v>2026-05-21</x:v>
      </x:c>
      <x:c r="C27" s="17" t="str">
        <x:v>RUN-20260521-ANALYSIS</x:v>
      </x:c>
      <x:c r="D27" s="17" t="str">
        <x:v>IDEAL Lebensversicherung aG</x:v>
      </x:c>
      <x:c r="E27" s="17" t="str">
        <x:v>monatlich</x:v>
      </x:c>
      <x:c r="F27" s="17" t="str">
        <x:v>1900-01-22</x:v>
      </x:c>
      <x:c r="G27" s="17" t="str">
        <x:v>2024-01-02</x:v>
      </x:c>
      <x:c r="H27" s="17" t="str">
        <x:v>2025-11-03</x:v>
      </x:c>
      <x:c r="I27" s="17" t="str">
        <x:v>1899-09-24</x:v>
      </x:c>
      <x:c r="J27" s="17" t="str">
        <x:v>1899-09-24</x:v>
      </x:c>
      <x:c r="K27" s="17" t="str">
        <x:v>1899-09-24</x:v>
      </x:c>
      <x:c r="L27" s="17" t="str">
        <x:v>1899-12-30</x:v>
      </x:c>
      <x:c r="M27" s="17" t="str">
        <x:v>Ausgabe</x:v>
      </x:c>
      <x:c r="N27" s="17" t="str">
        <x:v>KAT013</x:v>
      </x:c>
      <x:c r="O27" s="17" t="str"/>
      <x:c r="P27" s="17" t="str">
        <x:v>KTO001</x:v>
      </x:c>
      <x:c r="Q27" s="17" t="str">
        <x:v>IDEAL Lebensversicherung aG</x:v>
      </x:c>
      <x:c r="R27" s="17" t="str">
        <x:v>DE36100700000460303100</x:v>
      </x:c>
      <x:c r="S27" s="17" t="str">
        <x:v>2011216280009 LV 011</x:v>
      </x:c>
      <x:c r="T27" s="17" t="str">
        <x:v>1899-12-31</x:v>
      </x:c>
      <x:c r="U27" s="17" t="str">
        <x:v>offen</x:v>
      </x:c>
      <x:c r="V27" s="17" t="str">
        <x:v>23 Treffer in 23 Monaten</x:v>
      </x:c>
      <x:c r="W27" s="17" t="str">
        <x:v>Analyse-Draft; keine Regelzahlung aktiviert</x:v>
      </x:c>
    </x:row>
    <x:row r="28">
      <x:c r="A28" s="17" t="str">
        <x:v>SUG-20260521-025</x:v>
      </x:c>
      <x:c r="B28" s="17" t="str">
        <x:v>2026-05-21</x:v>
      </x:c>
      <x:c r="C28" s="17" t="str">
        <x:v>RUN-20260521-ANALYSIS</x:v>
      </x:c>
      <x:c r="D28" s="17" t="str">
        <x:v>VOLKSWOHL BUND Lebensversicherung a.G.</x:v>
      </x:c>
      <x:c r="E28" s="17" t="str">
        <x:v>monatlich</x:v>
      </x:c>
      <x:c r="F28" s="17" t="str">
        <x:v>1900-01-06</x:v>
      </x:c>
      <x:c r="G28" s="17" t="str">
        <x:v>2025-11-03</x:v>
      </x:c>
      <x:c r="H28" s="17" t="str">
        <x:v>2026-05-04</x:v>
      </x:c>
      <x:c r="I28" s="17" t="str">
        <x:v>1899-10-18</x:v>
      </x:c>
      <x:c r="J28" s="17" t="str">
        <x:v>1899-10-18</x:v>
      </x:c>
      <x:c r="K28" s="17" t="str">
        <x:v>1899-10-18</x:v>
      </x:c>
      <x:c r="L28" s="17" t="str">
        <x:v>1899-12-30</x:v>
      </x:c>
      <x:c r="M28" s="17" t="str">
        <x:v>Ausgabe</x:v>
      </x:c>
      <x:c r="N28" s="17" t="str">
        <x:v>KAT013</x:v>
      </x:c>
      <x:c r="O28" s="17" t="str"/>
      <x:c r="P28" s="17" t="str">
        <x:v>KTO001</x:v>
      </x:c>
      <x:c r="Q28" s="17" t="str">
        <x:v>VOLKSWOHL BUND Lebensversicherung a.G.</x:v>
      </x:c>
      <x:c r="R28" s="17" t="str">
        <x:v>DE76440400370361155500</x:v>
      </x:c>
      <x:c r="S28" s="17" t="str">
        <x:v>009893595 LA000750566/ 009893595 LEBEN 73,09</x:v>
      </x:c>
      <x:c r="T28" s="17" t="str">
        <x:v>1899-12-31</x:v>
      </x:c>
      <x:c r="U28" s="17" t="str">
        <x:v>offen</x:v>
      </x:c>
      <x:c r="V28" s="17" t="str">
        <x:v>7 Treffer in 7 Monaten</x:v>
      </x:c>
      <x:c r="W28" s="17" t="str">
        <x:v>Analyse-Draft; keine Regelzahlung aktiviert</x:v>
      </x:c>
    </x:row>
    <x:row r="29">
      <x:c r="A29" s="17" t="str">
        <x:v>SUG-20260521-026</x:v>
      </x:c>
      <x:c r="B29" s="17" t="str">
        <x:v>2026-05-21</x:v>
      </x:c>
      <x:c r="C29" s="17" t="str">
        <x:v>RUN-20260521-ANALYSIS</x:v>
      </x:c>
      <x:c r="D29" s="17" t="str">
        <x:v>WEVG Salzgitter GmbH + Co. KG</x:v>
      </x:c>
      <x:c r="E29" s="17" t="str">
        <x:v>monatlich</x:v>
      </x:c>
      <x:c r="F29" s="17" t="str">
        <x:v>1900-01-02</x:v>
      </x:c>
      <x:c r="G29" s="17" t="str">
        <x:v>2024-01-31</x:v>
      </x:c>
      <x:c r="H29" s="17" t="str">
        <x:v>2024-04-02</x:v>
      </x:c>
      <x:c r="I29" s="17" t="str">
        <x:v>1899-10-21</x:v>
      </x:c>
      <x:c r="J29" s="17" t="str">
        <x:v>1899-10-21</x:v>
      </x:c>
      <x:c r="K29" s="17" t="str">
        <x:v>1899-10-21</x:v>
      </x:c>
      <x:c r="L29" s="17" t="str">
        <x:v>1899-12-30</x:v>
      </x:c>
      <x:c r="M29" s="17" t="str">
        <x:v>Ausgabe</x:v>
      </x:c>
      <x:c r="N29" s="17" t="str">
        <x:v>KAT013</x:v>
      </x:c>
      <x:c r="O29" s="17" t="str"/>
      <x:c r="P29" s="17" t="str">
        <x:v>KTO001</x:v>
      </x:c>
      <x:c r="Q29" s="17" t="str">
        <x:v>WEVG Salzgitter GmbH + Co. KG</x:v>
      </x:c>
      <x:c r="R29" s="17" t="str">
        <x:v>DE19300700100394127500</x:v>
      </x:c>
      <x:c r="S29" s="17" t="str">
        <x:v>Kd-Nr 79288 Einz 31.01.24 100833/70.00/Johannes-Wosni</x:v>
      </x:c>
      <x:c r="T29" s="17" t="str">
        <x:v>1899-12-31</x:v>
      </x:c>
      <x:c r="U29" s="17" t="str">
        <x:v>offen</x:v>
      </x:c>
      <x:c r="V29" s="17" t="str">
        <x:v>3 Treffer in 3 Monaten</x:v>
      </x:c>
      <x:c r="W29" s="17" t="str">
        <x:v>Analyse-Draft; keine Regelzahlung aktiviert</x:v>
      </x:c>
    </x:row>
    <x:row r="30">
      <x:c r="A30" s="17" t="str">
        <x:v>SUG-20260521-027</x:v>
      </x:c>
      <x:c r="B30" s="17" t="str">
        <x:v>2026-05-21</x:v>
      </x:c>
      <x:c r="C30" s="17" t="str">
        <x:v>RUN-20260521-ANALYSIS</x:v>
      </x:c>
      <x:c r="D30" s="17" t="str">
        <x:v>VOLKSWOHL BUND Lebensversicherung a.G.</x:v>
      </x:c>
      <x:c r="E30" s="17" t="str">
        <x:v>monatlich</x:v>
      </x:c>
      <x:c r="F30" s="17" t="str">
        <x:v>1900-01-11</x:v>
      </x:c>
      <x:c r="G30" s="17" t="str">
        <x:v>2024-11-04</x:v>
      </x:c>
      <x:c r="H30" s="17" t="str">
        <x:v>2025-10-01</x:v>
      </x:c>
      <x:c r="I30" s="17" t="str">
        <x:v>1899-10-23</x:v>
      </x:c>
      <x:c r="J30" s="17" t="str">
        <x:v>1899-10-23</x:v>
      </x:c>
      <x:c r="K30" s="17" t="str">
        <x:v>1899-10-23</x:v>
      </x:c>
      <x:c r="L30" s="17" t="str">
        <x:v>1899-12-30</x:v>
      </x:c>
      <x:c r="M30" s="17" t="str">
        <x:v>Ausgabe</x:v>
      </x:c>
      <x:c r="N30" s="17" t="str">
        <x:v>KAT013</x:v>
      </x:c>
      <x:c r="O30" s="17" t="str"/>
      <x:c r="P30" s="17" t="str">
        <x:v>KTO001</x:v>
      </x:c>
      <x:c r="Q30" s="17" t="str">
        <x:v>VOLKSWOHL BUND Lebensversicherung a.G.</x:v>
      </x:c>
      <x:c r="R30" s="17" t="str">
        <x:v>DE76440400370361155500</x:v>
      </x:c>
      <x:c r="S30" s="17" t="str">
        <x:v>009893595 LA000750566/ 009893595 LEBEN 68,46</x:v>
      </x:c>
      <x:c r="T30" s="17" t="str">
        <x:v>1899-12-31</x:v>
      </x:c>
      <x:c r="U30" s="17" t="str">
        <x:v>offen</x:v>
      </x:c>
      <x:c r="V30" s="17" t="str">
        <x:v>12 Treffer in 12 Monaten</x:v>
      </x:c>
      <x:c r="W30" s="17" t="str">
        <x:v>Analyse-Draft; keine Regelzahlung aktiviert</x:v>
      </x:c>
    </x:row>
    <x:row r="31">
      <x:c r="A31" s="17" t="str">
        <x:v>SUG-20260521-028</x:v>
      </x:c>
      <x:c r="B31" s="17" t="str">
        <x:v>2026-05-21</x:v>
      </x:c>
      <x:c r="C31" s="17" t="str">
        <x:v>RUN-20260521-ANALYSIS</x:v>
      </x:c>
      <x:c r="D31" s="17" t="str">
        <x:v>VOLKSWOHL BUND Lebensversicherung a.G.</x:v>
      </x:c>
      <x:c r="E31" s="17" t="str">
        <x:v>monatlich</x:v>
      </x:c>
      <x:c r="F31" s="17" t="str">
        <x:v>1900-01-09</x:v>
      </x:c>
      <x:c r="G31" s="17" t="str">
        <x:v>2024-01-02</x:v>
      </x:c>
      <x:c r="H31" s="17" t="str">
        <x:v>2024-10-01</x:v>
      </x:c>
      <x:c r="I31" s="17" t="str">
        <x:v>1899-10-25</x:v>
      </x:c>
      <x:c r="J31" s="17" t="str">
        <x:v>1899-10-25</x:v>
      </x:c>
      <x:c r="K31" s="17" t="str">
        <x:v>1899-10-25</x:v>
      </x:c>
      <x:c r="L31" s="17" t="str">
        <x:v>1899-12-30</x:v>
      </x:c>
      <x:c r="M31" s="17" t="str">
        <x:v>Ausgabe</x:v>
      </x:c>
      <x:c r="N31" s="17" t="str">
        <x:v>KAT013</x:v>
      </x:c>
      <x:c r="O31" s="17" t="str"/>
      <x:c r="P31" s="17" t="str">
        <x:v>KTO001</x:v>
      </x:c>
      <x:c r="Q31" s="17" t="str">
        <x:v>VOLKSWOHL BUND Lebensversicherung a.G.</x:v>
      </x:c>
      <x:c r="R31" s="17" t="str">
        <x:v>DE76440400370361155500</x:v>
      </x:c>
      <x:c r="S31" s="17" t="str">
        <x:v>009893595 LA000750566/ 009893595 LEBEN 66,15</x:v>
      </x:c>
      <x:c r="T31" s="17" t="str">
        <x:v>1899-12-31</x:v>
      </x:c>
      <x:c r="U31" s="17" t="str">
        <x:v>offen</x:v>
      </x:c>
      <x:c r="V31" s="17" t="str">
        <x:v>10 Treffer in 10 Monaten</x:v>
      </x:c>
      <x:c r="W31" s="17" t="str">
        <x:v>Analyse-Draft; keine Regelzahlung aktiviert</x:v>
      </x:c>
    </x:row>
    <x:row r="32">
      <x:c r="A32" s="17" t="str">
        <x:v>SUG-20260521-029</x:v>
      </x:c>
      <x:c r="B32" s="17" t="str">
        <x:v>2026-05-21</x:v>
      </x:c>
      <x:c r="C32" s="17" t="str">
        <x:v>RUN-20260521-ANALYSIS</x:v>
      </x:c>
      <x:c r="D32" s="17" t="str">
        <x:v>Telekom Deutschland GmbH</x:v>
      </x:c>
      <x:c r="E32" s="17" t="str">
        <x:v>monatlich</x:v>
      </x:c>
      <x:c r="F32" s="17" t="str">
        <x:v>1900-01-04</x:v>
      </x:c>
      <x:c r="G32" s="17" t="str">
        <x:v>2026-01-07</x:v>
      </x:c>
      <x:c r="H32" s="17" t="str">
        <x:v>2026-05-06</x:v>
      </x:c>
      <x:c r="I32" s="17" t="str">
        <x:v>1899-10-25</x:v>
      </x:c>
      <x:c r="J32" s="17" t="str">
        <x:v>1899-10-25</x:v>
      </x:c>
      <x:c r="K32" s="17" t="str">
        <x:v>1899-10-25</x:v>
      </x:c>
      <x:c r="L32" s="17" t="str">
        <x:v>1899-12-30</x:v>
      </x:c>
      <x:c r="M32" s="17" t="str">
        <x:v>Ausgabe</x:v>
      </x:c>
      <x:c r="N32" s="17" t="str">
        <x:v>KAT013</x:v>
      </x:c>
      <x:c r="O32" s="17" t="str"/>
      <x:c r="P32" s="17" t="str">
        <x:v>KTO001</x:v>
      </x:c>
      <x:c r="Q32" s="17" t="str">
        <x:v>Telekom Deutschland GmbH</x:v>
      </x:c>
      <x:c r="R32" s="17" t="str">
        <x:v>DE07512108001095000911</x:v>
      </x:c>
      <x:c r="S32" s="17" t="str">
        <x:v>Festnetz Vertragskonto 4763666565 RG 7208574499/22.12.2025</x:v>
      </x:c>
      <x:c r="T32" s="17" t="str">
        <x:v>1899-12-31</x:v>
      </x:c>
      <x:c r="U32" s="17" t="str">
        <x:v>offen</x:v>
      </x:c>
      <x:c r="V32" s="17" t="str">
        <x:v>5 Treffer in 5 Monaten</x:v>
      </x:c>
      <x:c r="W32" s="17" t="str">
        <x:v>Analyse-Draft; keine Regelzahlung aktiviert</x:v>
      </x:c>
    </x:row>
    <x:row r="33">
      <x:c r="A33" s="17" t="str">
        <x:v>SUG-20260521-030</x:v>
      </x:c>
      <x:c r="B33" s="17" t="str">
        <x:v>2026-05-21</x:v>
      </x:c>
      <x:c r="C33" s="17" t="str">
        <x:v>RUN-20260521-ANALYSIS</x:v>
      </x:c>
      <x:c r="D33" s="17" t="str">
        <x:v>Telekom Deutschland GmbH Landgrabenweg 151</x:v>
      </x:c>
      <x:c r="E33" s="17" t="str">
        <x:v>monatlich</x:v>
      </x:c>
      <x:c r="F33" s="17" t="str">
        <x:v>1900-01-07</x:v>
      </x:c>
      <x:c r="G33" s="17" t="str">
        <x:v>2024-02-06</x:v>
      </x:c>
      <x:c r="H33" s="17" t="str">
        <x:v>2024-10-07</x:v>
      </x:c>
      <x:c r="I33" s="17" t="str">
        <x:v>1899-10-29</x:v>
      </x:c>
      <x:c r="J33" s="17" t="str">
        <x:v>1899-10-29</x:v>
      </x:c>
      <x:c r="K33" s="17" t="str">
        <x:v>1899-10-29</x:v>
      </x:c>
      <x:c r="L33" s="17" t="str">
        <x:v>1899-12-30</x:v>
      </x:c>
      <x:c r="M33" s="17" t="str">
        <x:v>Ausgabe</x:v>
      </x:c>
      <x:c r="N33" s="17" t="str">
        <x:v>KAT013</x:v>
      </x:c>
      <x:c r="O33" s="17" t="str"/>
      <x:c r="P33" s="17" t="str">
        <x:v>KTO001</x:v>
      </x:c>
      <x:c r="Q33" s="17" t="str">
        <x:v>Telekom Deutschland GmbH Landgrabenweg 151</x:v>
      </x:c>
      <x:c r="R33" s="17" t="str">
        <x:v>DE08250100300000289304</x:v>
      </x:c>
      <x:c r="S33" s="17" t="str">
        <x:v>Festnetz Vertragskonto 4763666565 RG 7528785620/26.01.2024</x:v>
      </x:c>
      <x:c r="T33" s="17" t="str">
        <x:v>1899-12-31</x:v>
      </x:c>
      <x:c r="U33" s="17" t="str">
        <x:v>offen</x:v>
      </x:c>
      <x:c r="V33" s="17" t="str">
        <x:v>8 Treffer in 8 Monaten</x:v>
      </x:c>
      <x:c r="W33" s="17" t="str">
        <x:v>Analyse-Draft; keine Regelzahlung aktiviert</x:v>
      </x:c>
    </x:row>
    <x:row r="34">
      <x:c r="A34" s="17" t="str">
        <x:v>SUG-20260521-031</x:v>
      </x:c>
      <x:c r="B34" s="17" t="str">
        <x:v>2026-05-21</x:v>
      </x:c>
      <x:c r="C34" s="17" t="str">
        <x:v>RUN-20260521-ANALYSIS</x:v>
      </x:c>
      <x:c r="D34" s="17" t="str">
        <x:v>Telekom Deutschland GmbH</x:v>
      </x:c>
      <x:c r="E34" s="17" t="str">
        <x:v>monatlich</x:v>
      </x:c>
      <x:c r="F34" s="17" t="str">
        <x:v>1900-01-12</x:v>
      </x:c>
      <x:c r="G34" s="17" t="str">
        <x:v>2024-12-03</x:v>
      </x:c>
      <x:c r="H34" s="17" t="str">
        <x:v>2025-12-03</x:v>
      </x:c>
      <x:c r="I34" s="17" t="str">
        <x:v>1899-10-29</x:v>
      </x:c>
      <x:c r="J34" s="17" t="str">
        <x:v>1899-10-29</x:v>
      </x:c>
      <x:c r="K34" s="17" t="str">
        <x:v>1899-10-29</x:v>
      </x:c>
      <x:c r="L34" s="17" t="str">
        <x:v>1899-12-30</x:v>
      </x:c>
      <x:c r="M34" s="17" t="str">
        <x:v>Ausgabe</x:v>
      </x:c>
      <x:c r="N34" s="17" t="str">
        <x:v>KAT013</x:v>
      </x:c>
      <x:c r="O34" s="17" t="str"/>
      <x:c r="P34" s="17" t="str">
        <x:v>KTO001</x:v>
      </x:c>
      <x:c r="Q34" s="17" t="str">
        <x:v>Telekom Deutschland GmbH</x:v>
      </x:c>
      <x:c r="R34" s="17" t="str">
        <x:v>DE07512108001095000911</x:v>
      </x:c>
      <x:c r="S34" s="17" t="str">
        <x:v>Festnetz Vertragskonto 4763666565 RG 7695023070/22.11.2024</x:v>
      </x:c>
      <x:c r="T34" s="17" t="str">
        <x:v>1899-12-31</x:v>
      </x:c>
      <x:c r="U34" s="17" t="str">
        <x:v>offen</x:v>
      </x:c>
      <x:c r="V34" s="17" t="str">
        <x:v>13 Treffer in 13 Monaten</x:v>
      </x:c>
      <x:c r="W34" s="17" t="str">
        <x:v>Analyse-Draft; keine Regelzahlung aktiviert</x:v>
      </x:c>
    </x:row>
    <x:row r="35">
      <x:c r="A35" s="17" t="str">
        <x:v>SUG-20260521-032</x:v>
      </x:c>
      <x:c r="B35" s="17" t="str">
        <x:v>2026-05-21</x:v>
      </x:c>
      <x:c r="C35" s="17" t="str">
        <x:v>RUN-20260521-ANALYSIS</x:v>
      </x:c>
      <x:c r="D35" s="17" t="str">
        <x:v>FUNKE Medien Nieders.GmbH</x:v>
      </x:c>
      <x:c r="E35" s="17" t="str">
        <x:v>monatlich</x:v>
      </x:c>
      <x:c r="F35" s="17" t="str">
        <x:v>1900-01-07</x:v>
      </x:c>
      <x:c r="G35" s="17" t="str">
        <x:v>2025-08-04</x:v>
      </x:c>
      <x:c r="H35" s="17" t="str">
        <x:v>2026-03-03</x:v>
      </x:c>
      <x:c r="I35" s="17" t="str">
        <x:v>1899-10-31</x:v>
      </x:c>
      <x:c r="J35" s="17" t="str">
        <x:v>1899-10-31</x:v>
      </x:c>
      <x:c r="K35" s="17" t="str">
        <x:v>1899-10-31</x:v>
      </x:c>
      <x:c r="L35" s="17" t="str">
        <x:v>1899-12-30</x:v>
      </x:c>
      <x:c r="M35" s="17" t="str">
        <x:v>Ausgabe</x:v>
      </x:c>
      <x:c r="N35" s="17" t="str">
        <x:v>KAT013</x:v>
      </x:c>
      <x:c r="O35" s="17" t="str"/>
      <x:c r="P35" s="17" t="str">
        <x:v>KTO001</x:v>
      </x:c>
      <x:c r="Q35" s="17" t="str">
        <x:v>FUNKE Medien Nieders.GmbH</x:v>
      </x:c>
      <x:c r="R35" s="17" t="str">
        <x:v>DE67250500000000146910</x:v>
      </x:c>
      <x:c r="S35" s="17" t="str">
        <x:v>SZ/00001050/VA/01.08.25-31.08.25/Rg-Nr.:6316537460/Kd-Nr:0053112791</x:v>
      </x:c>
      <x:c r="T35" s="17" t="str">
        <x:v>1899-12-31</x:v>
      </x:c>
      <x:c r="U35" s="17" t="str">
        <x:v>offen</x:v>
      </x:c>
      <x:c r="V35" s="17" t="str">
        <x:v>8 Treffer in 8 Monaten</x:v>
      </x:c>
      <x:c r="W35" s="17" t="str">
        <x:v>Analyse-Draft; keine Regelzahlung aktiviert</x:v>
      </x:c>
    </x:row>
    <x:row r="36">
      <x:c r="A36" s="17" t="str">
        <x:v>SUG-20260521-033</x:v>
      </x:c>
      <x:c r="B36" s="17" t="str">
        <x:v>2026-05-21</x:v>
      </x:c>
      <x:c r="C36" s="17" t="str">
        <x:v>RUN-20260521-ANALYSIS</x:v>
      </x:c>
      <x:c r="D36" s="17" t="str">
        <x:v>FUNKE Medien Nieders.GmbH</x:v>
      </x:c>
      <x:c r="E36" s="17" t="str">
        <x:v>monatlich</x:v>
      </x:c>
      <x:c r="F36" s="17" t="str">
        <x:v>1900-01-10</x:v>
      </x:c>
      <x:c r="G36" s="17" t="str">
        <x:v>2024-09-03</x:v>
      </x:c>
      <x:c r="H36" s="17" t="str">
        <x:v>2025-07-02</x:v>
      </x:c>
      <x:c r="I36" s="17" t="str">
        <x:v>1899-11-03</x:v>
      </x:c>
      <x:c r="J36" s="17" t="str">
        <x:v>1899-11-03</x:v>
      </x:c>
      <x:c r="K36" s="17" t="str">
        <x:v>1899-11-03</x:v>
      </x:c>
      <x:c r="L36" s="17" t="str">
        <x:v>1899-12-30</x:v>
      </x:c>
      <x:c r="M36" s="17" t="str">
        <x:v>Ausgabe</x:v>
      </x:c>
      <x:c r="N36" s="17" t="str">
        <x:v>KAT013</x:v>
      </x:c>
      <x:c r="O36" s="17" t="str"/>
      <x:c r="P36" s="17" t="str">
        <x:v>KTO001</x:v>
      </x:c>
      <x:c r="Q36" s="17" t="str">
        <x:v>FUNKE Medien Nieders.GmbH</x:v>
      </x:c>
      <x:c r="R36" s="17" t="str">
        <x:v>DE67250500000000146910</x:v>
      </x:c>
      <x:c r="S36" s="17" t="str">
        <x:v>SZ/00001050/VA/01.09.24-30.09.24/Rg-Nr.:6315805098/Kd-Nr:0053112791/Steuer:3.76</x:v>
      </x:c>
      <x:c r="T36" s="17" t="str">
        <x:v>1899-12-31</x:v>
      </x:c>
      <x:c r="U36" s="17" t="str">
        <x:v>offen</x:v>
      </x:c>
      <x:c r="V36" s="17" t="str">
        <x:v>11 Treffer in 11 Monaten</x:v>
      </x:c>
      <x:c r="W36" s="17" t="str">
        <x:v>Analyse-Draft; keine Regelzahlung aktiviert</x:v>
      </x:c>
    </x:row>
    <x:row r="37">
      <x:c r="A37" s="17" t="str">
        <x:v>SUG-20260521-034</x:v>
      </x:c>
      <x:c r="B37" s="17" t="str">
        <x:v>2026-05-21</x:v>
      </x:c>
      <x:c r="C37" s="17" t="str">
        <x:v>RUN-20260521-ANALYSIS</x:v>
      </x:c>
      <x:c r="D37" s="17" t="str">
        <x:v>VPV-LEBENSVERSICHERUNGS-AG</x:v>
      </x:c>
      <x:c r="E37" s="17" t="str">
        <x:v>monatlich</x:v>
      </x:c>
      <x:c r="F37" s="17" t="str">
        <x:v>1900-01-10</x:v>
      </x:c>
      <x:c r="G37" s="17" t="str">
        <x:v>2025-07-01</x:v>
      </x:c>
      <x:c r="H37" s="17" t="str">
        <x:v>2026-05-05</x:v>
      </x:c>
      <x:c r="I37" s="17" t="str">
        <x:v>1899-11-03</x:v>
      </x:c>
      <x:c r="J37" s="17" t="str">
        <x:v>1899-11-03</x:v>
      </x:c>
      <x:c r="K37" s="17" t="str">
        <x:v>1899-11-03</x:v>
      </x:c>
      <x:c r="L37" s="17" t="str">
        <x:v>1899-12-30</x:v>
      </x:c>
      <x:c r="M37" s="17" t="str">
        <x:v>Ausgabe</x:v>
      </x:c>
      <x:c r="N37" s="17" t="str">
        <x:v>KAT013</x:v>
      </x:c>
      <x:c r="O37" s="17" t="str"/>
      <x:c r="P37" s="17" t="str">
        <x:v>KTO001</x:v>
      </x:c>
      <x:c r="Q37" s="17" t="str">
        <x:v>VPV-LEBENSVERSICHERUNGS-AG</x:v>
      </x:c>
      <x:c r="R37" s="17" t="str">
        <x:v>DE78600501010001166338</x:v>
      </x:c>
      <x:c r="S37" s="17" t="str">
        <x:v>VNR 301667726</x:v>
      </x:c>
      <x:c r="T37" s="17" t="str">
        <x:v>1899-12-31</x:v>
      </x:c>
      <x:c r="U37" s="17" t="str">
        <x:v>offen</x:v>
      </x:c>
      <x:c r="V37" s="17" t="str">
        <x:v>11 Treffer in 11 Monaten</x:v>
      </x:c>
      <x:c r="W37" s="17" t="str">
        <x:v>Analyse-Draft; keine Regelzahlung aktiviert</x:v>
      </x:c>
    </x:row>
    <x:row r="38">
      <x:c r="A38" s="17" t="str">
        <x:v>SUG-20260521-035</x:v>
      </x:c>
      <x:c r="B38" s="17" t="str">
        <x:v>2026-05-21</x:v>
      </x:c>
      <x:c r="C38" s="17" t="str">
        <x:v>RUN-20260521-ANALYSIS</x:v>
      </x:c>
      <x:c r="D38" s="17" t="str">
        <x:v>REWE.Salzgitter.Ge/Salzgitter</x:v>
      </x:c>
      <x:c r="E38" s="17" t="str">
        <x:v>monatlich</x:v>
      </x:c>
      <x:c r="F38" s="17" t="str">
        <x:v>1900-01-02</x:v>
      </x:c>
      <x:c r="G38" s="17" t="str">
        <x:v>2024-12-09</x:v>
      </x:c>
      <x:c r="H38" s="17" t="str">
        <x:v>2026-05-12</x:v>
      </x:c>
      <x:c r="I38" s="17" t="str">
        <x:v>1899-11-05</x:v>
      </x:c>
      <x:c r="J38" s="17" t="str">
        <x:v>1899-11-05</x:v>
      </x:c>
      <x:c r="K38" s="17" t="str">
        <x:v>1899-11-05</x:v>
      </x:c>
      <x:c r="L38" s="17" t="str">
        <x:v>1899-12-30</x:v>
      </x:c>
      <x:c r="M38" s="17" t="str">
        <x:v>Ausgabe</x:v>
      </x:c>
      <x:c r="N38" s="17" t="str">
        <x:v>KAT013</x:v>
      </x:c>
      <x:c r="O38" s="17" t="str"/>
      <x:c r="P38" s="17" t="str">
        <x:v>KTO001</x:v>
      </x:c>
      <x:c r="Q38" s="17" t="str">
        <x:v>REWE.Salzgitter.Ge/Salzgitter</x:v>
      </x:c>
      <x:c r="R38" s="17" t="str">
        <x:v>DE96120300009005290904</x:v>
      </x:c>
      <x:c r="S38" s="17" t="str">
        <x:v>VISA Debitkartenumsatz vom 07.12.2024</x:v>
      </x:c>
      <x:c r="T38" s="17" t="str">
        <x:v>1899-12-31</x:v>
      </x:c>
      <x:c r="U38" s="17" t="str">
        <x:v>offen</x:v>
      </x:c>
      <x:c r="V38" s="17" t="str">
        <x:v>3 Treffer in 3 Monaten</x:v>
      </x:c>
      <x:c r="W38" s="17" t="str">
        <x:v>Analyse-Draft; keine Regelzahlung aktiviert</x:v>
      </x:c>
    </x:row>
    <x:row r="39">
      <x:c r="A39" s="17" t="str">
        <x:v>SUG-20260521-036</x:v>
      </x:c>
      <x:c r="B39" s="17" t="str">
        <x:v>2026-05-21</x:v>
      </x:c>
      <x:c r="C39" s="17" t="str">
        <x:v>RUN-20260521-ANALYSIS</x:v>
      </x:c>
      <x:c r="D39" s="17" t="str">
        <x:v>FUNKE Medien Nieders.GmbH</x:v>
      </x:c>
      <x:c r="E39" s="17" t="str">
        <x:v>monatlich</x:v>
      </x:c>
      <x:c r="F39" s="17" t="str">
        <x:v>1900-01-07</x:v>
      </x:c>
      <x:c r="G39" s="17" t="str">
        <x:v>2024-01-03</x:v>
      </x:c>
      <x:c r="H39" s="17" t="str">
        <x:v>2024-08-02</x:v>
      </x:c>
      <x:c r="I39" s="17" t="str">
        <x:v>1899-11-06</x:v>
      </x:c>
      <x:c r="J39" s="17" t="str">
        <x:v>1899-11-06</x:v>
      </x:c>
      <x:c r="K39" s="17" t="str">
        <x:v>1899-11-06</x:v>
      </x:c>
      <x:c r="L39" s="17" t="str">
        <x:v>1899-12-30</x:v>
      </x:c>
      <x:c r="M39" s="17" t="str">
        <x:v>Ausgabe</x:v>
      </x:c>
      <x:c r="N39" s="17" t="str">
        <x:v>KAT013</x:v>
      </x:c>
      <x:c r="O39" s="17" t="str"/>
      <x:c r="P39" s="17" t="str">
        <x:v>KTO001</x:v>
      </x:c>
      <x:c r="Q39" s="17" t="str">
        <x:v>FUNKE Medien Nieders.GmbH</x:v>
      </x:c>
      <x:c r="R39" s="17" t="str">
        <x:v>DE67250500000000146910</x:v>
      </x:c>
      <x:c r="S39" s="17" t="str">
        <x:v>SZ/00001050/VA/01.01.24-31.01.24/Rg-Nr.:6315240338/Kd-Nr:0053112791/Steuer:3.57</x:v>
      </x:c>
      <x:c r="T39" s="17" t="str">
        <x:v>1899-12-31</x:v>
      </x:c>
      <x:c r="U39" s="17" t="str">
        <x:v>offen</x:v>
      </x:c>
      <x:c r="V39" s="17" t="str">
        <x:v>8 Treffer in 8 Monaten</x:v>
      </x:c>
      <x:c r="W39" s="17" t="str">
        <x:v>Analyse-Draft; keine Regelzahlung aktiviert</x:v>
      </x:c>
    </x:row>
    <x:row r="40">
      <x:c r="A40" s="17" t="str">
        <x:v>SUG-20260521-037</x:v>
      </x:c>
      <x:c r="B40" s="17" t="str">
        <x:v>2026-05-21</x:v>
      </x:c>
      <x:c r="C40" s="17" t="str">
        <x:v>RUN-20260521-ANALYSIS</x:v>
      </x:c>
      <x:c r="D40" s="17" t="str">
        <x:v>VPV-LEBENSVERSICHERUNGS-AG</x:v>
      </x:c>
      <x:c r="E40" s="17" t="str">
        <x:v>monatlich</x:v>
      </x:c>
      <x:c r="F40" s="17" t="str">
        <x:v>1900-01-11</x:v>
      </x:c>
      <x:c r="G40" s="17" t="str">
        <x:v>2024-07-02</x:v>
      </x:c>
      <x:c r="H40" s="17" t="str">
        <x:v>2025-06-03</x:v>
      </x:c>
      <x:c r="I40" s="17" t="str">
        <x:v>1899-11-07</x:v>
      </x:c>
      <x:c r="J40" s="17" t="str">
        <x:v>1899-11-07</x:v>
      </x:c>
      <x:c r="K40" s="17" t="str">
        <x:v>1899-11-07</x:v>
      </x:c>
      <x:c r="L40" s="17" t="str">
        <x:v>1899-12-30</x:v>
      </x:c>
      <x:c r="M40" s="17" t="str">
        <x:v>Ausgabe</x:v>
      </x:c>
      <x:c r="N40" s="17" t="str">
        <x:v>KAT013</x:v>
      </x:c>
      <x:c r="O40" s="17" t="str"/>
      <x:c r="P40" s="17" t="str">
        <x:v>KTO001</x:v>
      </x:c>
      <x:c r="Q40" s="17" t="str">
        <x:v>VPV-LEBENSVERSICHERUNGS-AG</x:v>
      </x:c>
      <x:c r="R40" s="17" t="str">
        <x:v>DE78600501010001166338</x:v>
      </x:c>
      <x:c r="S40" s="17" t="str">
        <x:v>VNR 301667726</x:v>
      </x:c>
      <x:c r="T40" s="17" t="str">
        <x:v>1899-12-31</x:v>
      </x:c>
      <x:c r="U40" s="17" t="str">
        <x:v>offen</x:v>
      </x:c>
      <x:c r="V40" s="17" t="str">
        <x:v>12 Treffer in 12 Monaten</x:v>
      </x:c>
      <x:c r="W40" s="17" t="str">
        <x:v>Analyse-Draft; keine Regelzahlung aktiviert</x:v>
      </x:c>
    </x:row>
    <x:row r="41">
      <x:c r="A41" s="17" t="str">
        <x:v>SUG-20260521-038</x:v>
      </x:c>
      <x:c r="B41" s="17" t="str">
        <x:v>2026-05-21</x:v>
      </x:c>
      <x:c r="C41" s="17" t="str">
        <x:v>RUN-20260521-ANALYSIS</x:v>
      </x:c>
      <x:c r="D41" s="17" t="str">
        <x:v>VPV-LEBENSVERSICHERUNGS-AG</x:v>
      </x:c>
      <x:c r="E41" s="17" t="str">
        <x:v>monatlich</x:v>
      </x:c>
      <x:c r="F41" s="17" t="str">
        <x:v>1900-01-05</x:v>
      </x:c>
      <x:c r="G41" s="17" t="str">
        <x:v>2024-01-03</x:v>
      </x:c>
      <x:c r="H41" s="17" t="str">
        <x:v>2024-06-04</x:v>
      </x:c>
      <x:c r="I41" s="17" t="str">
        <x:v>1899-11-08</x:v>
      </x:c>
      <x:c r="J41" s="17" t="str">
        <x:v>1899-11-08</x:v>
      </x:c>
      <x:c r="K41" s="17" t="str">
        <x:v>1899-11-08</x:v>
      </x:c>
      <x:c r="L41" s="17" t="str">
        <x:v>1899-12-30</x:v>
      </x:c>
      <x:c r="M41" s="17" t="str">
        <x:v>Ausgabe</x:v>
      </x:c>
      <x:c r="N41" s="17" t="str">
        <x:v>KAT013</x:v>
      </x:c>
      <x:c r="O41" s="17" t="str"/>
      <x:c r="P41" s="17" t="str">
        <x:v>KTO001</x:v>
      </x:c>
      <x:c r="Q41" s="17" t="str">
        <x:v>VPV-LEBENSVERSICHERUNGS-AG</x:v>
      </x:c>
      <x:c r="R41" s="17" t="str">
        <x:v>DE78600501010001166338</x:v>
      </x:c>
      <x:c r="S41" s="17" t="str">
        <x:v>VNR 301667726</x:v>
      </x:c>
      <x:c r="T41" s="17" t="str">
        <x:v>1899-12-31</x:v>
      </x:c>
      <x:c r="U41" s="17" t="str">
        <x:v>offen</x:v>
      </x:c>
      <x:c r="V41" s="17" t="str">
        <x:v>6 Treffer in 6 Monaten</x:v>
      </x:c>
      <x:c r="W41" s="17" t="str">
        <x:v>Analyse-Draft; keine Regelzahlung aktiviert</x:v>
      </x:c>
    </x:row>
    <x:row r="42">
      <x:c r="A42" s="17" t="str">
        <x:v>SUG-20260521-039</x:v>
      </x:c>
      <x:c r="B42" s="17" t="str">
        <x:v>2026-05-21</x:v>
      </x:c>
      <x:c r="C42" s="17" t="str">
        <x:v>RUN-20260521-ANALYSIS</x:v>
      </x:c>
      <x:c r="D42" s="17" t="str">
        <x:v>Iman Firat</x:v>
      </x:c>
      <x:c r="E42" s="17" t="str">
        <x:v>monatlich</x:v>
      </x:c>
      <x:c r="F42" s="17" t="str">
        <x:v>1900-01-24</x:v>
      </x:c>
      <x:c r="G42" s="17" t="str">
        <x:v>2024-01-08</x:v>
      </x:c>
      <x:c r="H42" s="17" t="str">
        <x:v>2026-01-06</x:v>
      </x:c>
      <x:c r="I42" s="17" t="str">
        <x:v>1899-11-10</x:v>
      </x:c>
      <x:c r="J42" s="17" t="str">
        <x:v>1899-11-10</x:v>
      </x:c>
      <x:c r="K42" s="17" t="str">
        <x:v>1899-11-10</x:v>
      </x:c>
      <x:c r="L42" s="17" t="str">
        <x:v>1899-12-30</x:v>
      </x:c>
      <x:c r="M42" s="17" t="str">
        <x:v>Ausgabe</x:v>
      </x:c>
      <x:c r="N42" s="17" t="str">
        <x:v>KAT013</x:v>
      </x:c>
      <x:c r="O42" s="17" t="str"/>
      <x:c r="P42" s="17" t="str">
        <x:v>KTO001</x:v>
      </x:c>
      <x:c r="Q42" s="17" t="str">
        <x:v>Iman Firat</x:v>
      </x:c>
      <x:c r="R42" s="17" t="str">
        <x:v>DE67269910662694298000</x:v>
      </x:c>
      <x:c r="S42" s="17" t="str">
        <x:v>2230 Lea Kohlenberg</x:v>
      </x:c>
      <x:c r="T42" s="17" t="str">
        <x:v>1899-12-31</x:v>
      </x:c>
      <x:c r="U42" s="17" t="str">
        <x:v>offen</x:v>
      </x:c>
      <x:c r="V42" s="17" t="str">
        <x:v>25 Treffer in 25 Monaten</x:v>
      </x:c>
      <x:c r="W42" s="17" t="str">
        <x:v>Analyse-Draft; keine Regelzahlung aktiviert</x:v>
      </x:c>
    </x:row>
    <x:row r="43">
      <x:c r="A43" s="17" t="str">
        <x:v>SUG-20260521-040</x:v>
      </x:c>
      <x:c r="B43" s="17" t="str">
        <x:v>2026-05-21</x:v>
      </x:c>
      <x:c r="C43" s="17" t="str">
        <x:v>RUN-20260521-ANALYSIS</x:v>
      </x:c>
      <x:c r="D43" s="17" t="str">
        <x:v>TANZSCHULE KWIATKOWSKI GBR</x:v>
      </x:c>
      <x:c r="E43" s="17" t="str">
        <x:v>monatlich</x:v>
      </x:c>
      <x:c r="F43" s="17" t="str">
        <x:v>1900-01-08</x:v>
      </x:c>
      <x:c r="G43" s="17" t="str">
        <x:v>2025-10-01</x:v>
      </x:c>
      <x:c r="H43" s="17" t="str">
        <x:v>2026-05-04</x:v>
      </x:c>
      <x:c r="I43" s="17" t="str">
        <x:v>1899-11-11</x:v>
      </x:c>
      <x:c r="J43" s="17" t="str">
        <x:v>1899-11-11</x:v>
      </x:c>
      <x:c r="K43" s="17" t="str">
        <x:v>1899-11-11</x:v>
      </x:c>
      <x:c r="L43" s="17" t="str">
        <x:v>1899-12-30</x:v>
      </x:c>
      <x:c r="M43" s="17" t="str">
        <x:v>Ausgabe</x:v>
      </x:c>
      <x:c r="N43" s="17" t="str">
        <x:v>KAT013</x:v>
      </x:c>
      <x:c r="O43" s="17" t="str"/>
      <x:c r="P43" s="17" t="str">
        <x:v>KTO001</x:v>
      </x:c>
      <x:c r="Q43" s="17" t="str">
        <x:v>TANZSCHULE KWIATKOWSKI GBR</x:v>
      </x:c>
      <x:c r="R43" s="17" t="str">
        <x:v>DE61259501300096212535</x:v>
      </x:c>
      <x:c r="S43" s="17" t="str">
        <x:v>R-SB0000074090-A0000004560,SB2151 9-2025 - 10.2025,Jan Kohlenberg</x:v>
      </x:c>
      <x:c r="T43" s="17" t="str">
        <x:v>1899-12-31</x:v>
      </x:c>
      <x:c r="U43" s="17" t="str">
        <x:v>offen</x:v>
      </x:c>
      <x:c r="V43" s="17" t="str">
        <x:v>9 Treffer in 7 Monaten</x:v>
      </x:c>
      <x:c r="W43" s="17" t="str">
        <x:v>Analyse-Draft; keine Regelzahlung aktiviert</x:v>
      </x:c>
    </x:row>
    <x:row r="44">
      <x:c r="A44" s="17" t="str">
        <x:v>SUG-20260521-041</x:v>
      </x:c>
      <x:c r="B44" s="17" t="str">
        <x:v>2026-05-21</x:v>
      </x:c>
      <x:c r="C44" s="17" t="str">
        <x:v>RUN-20260521-ANALYSIS</x:v>
      </x:c>
      <x:c r="D44" s="17" t="str">
        <x:v>REWE.Salzgitter.Ge/Salzgitter</x:v>
      </x:c>
      <x:c r="E44" s="17" t="str">
        <x:v>monatlich</x:v>
      </x:c>
      <x:c r="F44" s="17" t="str">
        <x:v>1900-01-02</x:v>
      </x:c>
      <x:c r="G44" s="17" t="str">
        <x:v>2025-03-17</x:v>
      </x:c>
      <x:c r="H44" s="17" t="str">
        <x:v>2025-10-06</x:v>
      </x:c>
      <x:c r="I44" s="17" t="str">
        <x:v>1899-11-24</x:v>
      </x:c>
      <x:c r="J44" s="17" t="str">
        <x:v>1899-11-24</x:v>
      </x:c>
      <x:c r="K44" s="17" t="str">
        <x:v>1899-11-24</x:v>
      </x:c>
      <x:c r="L44" s="17" t="str">
        <x:v>1899-12-30</x:v>
      </x:c>
      <x:c r="M44" s="17" t="str">
        <x:v>Ausgabe</x:v>
      </x:c>
      <x:c r="N44" s="17" t="str">
        <x:v>KAT013</x:v>
      </x:c>
      <x:c r="O44" s="17" t="str"/>
      <x:c r="P44" s="17" t="str">
        <x:v>KTO001</x:v>
      </x:c>
      <x:c r="Q44" s="17" t="str">
        <x:v>REWE.Salzgitter.Ge/Salzgitter</x:v>
      </x:c>
      <x:c r="R44" s="17" t="str">
        <x:v>DE96120300009005290904</x:v>
      </x:c>
      <x:c r="S44" s="17" t="str">
        <x:v>VISA Debitkartenumsatz vom 14.03.2025</x:v>
      </x:c>
      <x:c r="T44" s="17" t="str">
        <x:v>1899-12-31</x:v>
      </x:c>
      <x:c r="U44" s="17" t="str">
        <x:v>offen</x:v>
      </x:c>
      <x:c r="V44" s="17" t="str">
        <x:v>3 Treffer in 3 Monaten</x:v>
      </x:c>
      <x:c r="W44" s="17" t="str">
        <x:v>Analyse-Draft; keine Regelzahlung aktiviert</x:v>
      </x:c>
    </x:row>
    <x:row r="45">
      <x:c r="A45" s="17" t="str">
        <x:v>SUG-20260521-042</x:v>
      </x:c>
      <x:c r="B45" s="17" t="str">
        <x:v>2026-05-21</x:v>
      </x:c>
      <x:c r="C45" s="17" t="str">
        <x:v>RUN-20260521-ANALYSIS</x:v>
      </x:c>
      <x:c r="D45" s="17" t="str">
        <x:v>REWE.Salzgitter.Ge/Salzgitter</x:v>
      </x:c>
      <x:c r="E45" s="17" t="str">
        <x:v>monatlich</x:v>
      </x:c>
      <x:c r="F45" s="17" t="str">
        <x:v>1900-01-02</x:v>
      </x:c>
      <x:c r="G45" s="17" t="str">
        <x:v>2024-11-15</x:v>
      </x:c>
      <x:c r="H45" s="17" t="str">
        <x:v>2025-08-04</x:v>
      </x:c>
      <x:c r="I45" s="17" t="str">
        <x:v>1899-11-30</x:v>
      </x:c>
      <x:c r="J45" s="17" t="str">
        <x:v>1899-11-30</x:v>
      </x:c>
      <x:c r="K45" s="17" t="str">
        <x:v>1899-11-30</x:v>
      </x:c>
      <x:c r="L45" s="17" t="str">
        <x:v>1899-12-30</x:v>
      </x:c>
      <x:c r="M45" s="17" t="str">
        <x:v>Ausgabe</x:v>
      </x:c>
      <x:c r="N45" s="17" t="str">
        <x:v>KAT013</x:v>
      </x:c>
      <x:c r="O45" s="17" t="str"/>
      <x:c r="P45" s="17" t="str">
        <x:v>KTO001</x:v>
      </x:c>
      <x:c r="Q45" s="17" t="str">
        <x:v>REWE.Salzgitter.Ge/Salzgitter</x:v>
      </x:c>
      <x:c r="R45" s="17" t="str">
        <x:v>DE96120300009005290904</x:v>
      </x:c>
      <x:c r="S45" s="17" t="str">
        <x:v>VISA Debitkartenumsatz vom 14.11.2024</x:v>
      </x:c>
      <x:c r="T45" s="17" t="str">
        <x:v>1899-12-31</x:v>
      </x:c>
      <x:c r="U45" s="17" t="str">
        <x:v>offen</x:v>
      </x:c>
      <x:c r="V45" s="17" t="str">
        <x:v>3 Treffer in 3 Monaten</x:v>
      </x:c>
      <x:c r="W45" s="17" t="str">
        <x:v>Analyse-Draft; keine Regelzahlung aktiviert</x:v>
      </x:c>
    </x:row>
    <x:row r="46">
      <x:c r="A46" s="17" t="str">
        <x:v>SUG-20260521-043</x:v>
      </x:c>
      <x:c r="B46" s="17" t="str">
        <x:v>2026-05-21</x:v>
      </x:c>
      <x:c r="C46" s="17" t="str">
        <x:v>RUN-20260521-ANALYSIS</x:v>
      </x:c>
      <x:c r="D46" s="17" t="str">
        <x:v>PAYPAL..VRB/1743473445</x:v>
      </x:c>
      <x:c r="E46" s="17" t="str">
        <x:v>monatlich</x:v>
      </x:c>
      <x:c r="F46" s="17" t="str">
        <x:v>1900-01-05</x:v>
      </x:c>
      <x:c r="G46" s="17" t="str">
        <x:v>2025-11-26</x:v>
      </x:c>
      <x:c r="H46" s="17" t="str">
        <x:v>2026-05-05</x:v>
      </x:c>
      <x:c r="I46" s="17" t="str">
        <x:v>1899-11-30</x:v>
      </x:c>
      <x:c r="J46" s="17" t="str">
        <x:v>1899-11-30</x:v>
      </x:c>
      <x:c r="K46" s="17" t="str">
        <x:v>1899-11-30</x:v>
      </x:c>
      <x:c r="L46" s="17" t="str">
        <x:v>1899-12-30</x:v>
      </x:c>
      <x:c r="M46" s="17" t="str">
        <x:v>Ausgabe</x:v>
      </x:c>
      <x:c r="N46" s="17" t="str">
        <x:v>KAT013</x:v>
      </x:c>
      <x:c r="O46" s="17" t="str"/>
      <x:c r="P46" s="17" t="str">
        <x:v>KTO001</x:v>
      </x:c>
      <x:c r="Q46" s="17" t="str">
        <x:v>PAYPAL..VRB/1743473445</x:v>
      </x:c>
      <x:c r="R46" s="17" t="str">
        <x:v>DE96120300009005290904</x:v>
      </x:c>
      <x:c r="S46" s="17" t="str">
        <x:v>VISA Debitkartenumsatz vom 25.11.2025</x:v>
      </x:c>
      <x:c r="T46" s="17" t="str">
        <x:v>1899-12-31</x:v>
      </x:c>
      <x:c r="U46" s="17" t="str">
        <x:v>offen</x:v>
      </x:c>
      <x:c r="V46" s="17" t="str">
        <x:v>6 Treffer in 6 Monaten</x:v>
      </x:c>
      <x:c r="W46" s="17" t="str">
        <x:v>Analyse-Draft; keine Regelzahlung aktiviert</x:v>
      </x:c>
    </x:row>
    <x:row r="47">
      <x:c r="A47" s="17" t="str">
        <x:v>SUG-20260521-044</x:v>
      </x:c>
      <x:c r="B47" s="17" t="str">
        <x:v>2026-05-21</x:v>
      </x:c>
      <x:c r="C47" s="17" t="str">
        <x:v>RUN-20260521-ANALYSIS</x:v>
      </x:c>
      <x:c r="D47" s="17" t="str">
        <x:v>PAYPAL..VRB/4029357733</x:v>
      </x:c>
      <x:c r="E47" s="17" t="str">
        <x:v>monatlich</x:v>
      </x:c>
      <x:c r="F47" s="17" t="str">
        <x:v>1900-01-02</x:v>
      </x:c>
      <x:c r="G47" s="17" t="str">
        <x:v>2025-08-12</x:v>
      </x:c>
      <x:c r="H47" s="17" t="str">
        <x:v>2025-10-27</x:v>
      </x:c>
      <x:c r="I47" s="17" t="str">
        <x:v>1899-11-30</x:v>
      </x:c>
      <x:c r="J47" s="17" t="str">
        <x:v>1899-11-30</x:v>
      </x:c>
      <x:c r="K47" s="17" t="str">
        <x:v>1899-11-30</x:v>
      </x:c>
      <x:c r="L47" s="17" t="str">
        <x:v>1899-12-30</x:v>
      </x:c>
      <x:c r="M47" s="17" t="str">
        <x:v>Ausgabe</x:v>
      </x:c>
      <x:c r="N47" s="17" t="str">
        <x:v>KAT013</x:v>
      </x:c>
      <x:c r="O47" s="17" t="str"/>
      <x:c r="P47" s="17" t="str">
        <x:v>KTO001</x:v>
      </x:c>
      <x:c r="Q47" s="17" t="str">
        <x:v>PAYPAL..VRB/4029357733</x:v>
      </x:c>
      <x:c r="R47" s="17" t="str">
        <x:v>DE96120300009005290904</x:v>
      </x:c>
      <x:c r="S47" s="17" t="str">
        <x:v>VISA Debitkartenumsatz vom 11.08.2025</x:v>
      </x:c>
      <x:c r="T47" s="17" t="str">
        <x:v>1899-12-31</x:v>
      </x:c>
      <x:c r="U47" s="17" t="str">
        <x:v>offen</x:v>
      </x:c>
      <x:c r="V47" s="17" t="str">
        <x:v>3 Treffer in 3 Monaten</x:v>
      </x:c>
      <x:c r="W47" s="17" t="str">
        <x:v>Analyse-Draft; keine Regelzahlung aktiviert</x:v>
      </x:c>
    </x:row>
    <x:row r="48">
      <x:c r="A48" s="17" t="str">
        <x:v>SUG-20260521-045</x:v>
      </x:c>
      <x:c r="B48" s="17" t="str">
        <x:v>2026-05-21</x:v>
      </x:c>
      <x:c r="C48" s="17" t="str">
        <x:v>RUN-20260521-ANALYSIS</x:v>
      </x:c>
      <x:c r="D48" s="17" t="str">
        <x:v>REWE.Salzgitter.Ge/Salzgitter</x:v>
      </x:c>
      <x:c r="E48" s="17" t="str">
        <x:v>monatlich</x:v>
      </x:c>
      <x:c r="F48" s="17" t="str">
        <x:v>1900-01-02</x:v>
      </x:c>
      <x:c r="G48" s="17" t="str">
        <x:v>2025-09-22</x:v>
      </x:c>
      <x:c r="H48" s="17" t="str">
        <x:v>2026-04-27</x:v>
      </x:c>
      <x:c r="I48" s="17" t="str">
        <x:v>1899-12-02</x:v>
      </x:c>
      <x:c r="J48" s="17" t="str">
        <x:v>1899-12-02</x:v>
      </x:c>
      <x:c r="K48" s="17" t="str">
        <x:v>1899-12-02</x:v>
      </x:c>
      <x:c r="L48" s="17" t="str">
        <x:v>1899-12-30</x:v>
      </x:c>
      <x:c r="M48" s="17" t="str">
        <x:v>Ausgabe</x:v>
      </x:c>
      <x:c r="N48" s="17" t="str">
        <x:v>KAT013</x:v>
      </x:c>
      <x:c r="O48" s="17" t="str"/>
      <x:c r="P48" s="17" t="str">
        <x:v>KTO001</x:v>
      </x:c>
      <x:c r="Q48" s="17" t="str">
        <x:v>REWE.Salzgitter.Ge/Salzgitter</x:v>
      </x:c>
      <x:c r="R48" s="17" t="str">
        <x:v>DE96120300009005290904</x:v>
      </x:c>
      <x:c r="S48" s="17" t="str">
        <x:v>VISA Debitkartenumsatz vom 19.09.2025</x:v>
      </x:c>
      <x:c r="T48" s="17" t="str">
        <x:v>1899-12-31</x:v>
      </x:c>
      <x:c r="U48" s="17" t="str">
        <x:v>offen</x:v>
      </x:c>
      <x:c r="V48" s="17" t="str">
        <x:v>3 Treffer in 3 Monaten</x:v>
      </x:c>
      <x:c r="W48" s="17" t="str">
        <x:v>Analyse-Draft; keine Regelzahlung aktiviert</x:v>
      </x:c>
    </x:row>
    <x:row r="49">
      <x:c r="A49" s="17" t="str">
        <x:v>SUG-20260521-046</x:v>
      </x:c>
      <x:c r="B49" s="17" t="str">
        <x:v>2026-05-21</x:v>
      </x:c>
      <x:c r="C49" s="17" t="str">
        <x:v>RUN-20260521-ANALYSIS</x:v>
      </x:c>
      <x:c r="D49" s="17" t="str">
        <x:v>REWE.Salzgitter.Ge/Salzgitter</x:v>
      </x:c>
      <x:c r="E49" s="17" t="str">
        <x:v>monatlich</x:v>
      </x:c>
      <x:c r="F49" s="17" t="str">
        <x:v>1900-01-02</x:v>
      </x:c>
      <x:c r="G49" s="17" t="str">
        <x:v>2024-06-10</x:v>
      </x:c>
      <x:c r="H49" s="17" t="str">
        <x:v>2026-04-01</x:v>
      </x:c>
      <x:c r="I49" s="17" t="str">
        <x:v>1899-12-04</x:v>
      </x:c>
      <x:c r="J49" s="17" t="str">
        <x:v>1899-12-04</x:v>
      </x:c>
      <x:c r="K49" s="17" t="str">
        <x:v>1899-12-04</x:v>
      </x:c>
      <x:c r="L49" s="17" t="str">
        <x:v>1899-12-30</x:v>
      </x:c>
      <x:c r="M49" s="17" t="str">
        <x:v>Ausgabe</x:v>
      </x:c>
      <x:c r="N49" s="17" t="str">
        <x:v>KAT013</x:v>
      </x:c>
      <x:c r="O49" s="17" t="str"/>
      <x:c r="P49" s="17" t="str">
        <x:v>KTO001</x:v>
      </x:c>
      <x:c r="Q49" s="17" t="str">
        <x:v>REWE.Salzgitter.Ge/Salzgitter</x:v>
      </x:c>
      <x:c r="R49" s="17" t="str">
        <x:v>DE96120300009005290904</x:v>
      </x:c>
      <x:c r="S49" s="17" t="str">
        <x:v>VISA Debitkartenumsatz vom 07.06.2024</x:v>
      </x:c>
      <x:c r="T49" s="17" t="str">
        <x:v>1899-12-31</x:v>
      </x:c>
      <x:c r="U49" s="17" t="str">
        <x:v>offen</x:v>
      </x:c>
      <x:c r="V49" s="17" t="str">
        <x:v>3 Treffer in 3 Monaten</x:v>
      </x:c>
      <x:c r="W49" s="17" t="str">
        <x:v>Analyse-Draft; keine Regelzahlung aktiviert</x:v>
      </x:c>
    </x:row>
    <x:row r="50">
      <x:c r="A50" s="17" t="str">
        <x:v>SUG-20260521-047</x:v>
      </x:c>
      <x:c r="B50" s="17" t="str">
        <x:v>2026-05-21</x:v>
      </x:c>
      <x:c r="C50" s="17" t="str">
        <x:v>RUN-20260521-ANALYSIS</x:v>
      </x:c>
      <x:c r="D50" s="17" t="str">
        <x:v>1+1 Mail + Media GmbH Elgendorfer Str. 57, 56410 Montabaur</x:v>
      </x:c>
      <x:c r="E50" s="17" t="str">
        <x:v>monatlich</x:v>
      </x:c>
      <x:c r="F50" s="17" t="str">
        <x:v>1900-01-03</x:v>
      </x:c>
      <x:c r="G50" s="17" t="str">
        <x:v>2024-05-21</x:v>
      </x:c>
      <x:c r="H50" s="17" t="str">
        <x:v>2025-11-19</x:v>
      </x:c>
      <x:c r="I50" s="17" t="str">
        <x:v>1899-12-06</x:v>
      </x:c>
      <x:c r="J50" s="17" t="str">
        <x:v>1899-12-06</x:v>
      </x:c>
      <x:c r="K50" s="17" t="str">
        <x:v>1899-12-06</x:v>
      </x:c>
      <x:c r="L50" s="17" t="str">
        <x:v>1899-12-30</x:v>
      </x:c>
      <x:c r="M50" s="17" t="str">
        <x:v>Ausgabe</x:v>
      </x:c>
      <x:c r="N50" s="17" t="str">
        <x:v>KAT013</x:v>
      </x:c>
      <x:c r="O50" s="17" t="str"/>
      <x:c r="P50" s="17" t="str">
        <x:v>KTO001</x:v>
      </x:c>
      <x:c r="Q50" s="17" t="str">
        <x:v>1+1 Mail + Media GmbH Elgendorfer Str. 57, 56410 Montabaur</x:v>
      </x:c>
      <x:c r="R50" s="17" t="str">
        <x:v>DE76700800000881679702</x:v>
      </x:c>
      <x:c r="S50" s="17" t="str">
        <x:v>GMX / WEB.DE / KD-Nr. K7440512/ RG-Nr. 201537448745</x:v>
      </x:c>
      <x:c r="T50" s="17" t="str">
        <x:v>1899-12-31</x:v>
      </x:c>
      <x:c r="U50" s="17" t="str">
        <x:v>offen</x:v>
      </x:c>
      <x:c r="V50" s="17" t="str">
        <x:v>4 Treffer in 4 Monaten</x:v>
      </x:c>
      <x:c r="W50" s="17" t="str">
        <x:v>Analyse-Draft; keine Regelzahlung aktiviert</x:v>
      </x:c>
    </x:row>
    <x:row r="51">
      <x:c r="A51" s="17" t="str">
        <x:v>SUG-20260521-048</x:v>
      </x:c>
      <x:c r="B51" s="17" t="str">
        <x:v>2026-05-21</x:v>
      </x:c>
      <x:c r="C51" s="17" t="str">
        <x:v>RUN-20260521-ANALYSIS</x:v>
      </x:c>
      <x:c r="D51" s="17" t="str">
        <x:v>VHV Allg. Versicherung AG</x:v>
      </x:c>
      <x:c r="E51" s="17" t="str">
        <x:v>monatlich</x:v>
      </x:c>
      <x:c r="F51" s="17" t="str">
        <x:v>1900-01-07</x:v>
      </x:c>
      <x:c r="G51" s="17" t="str">
        <x:v>2024-04-03</x:v>
      </x:c>
      <x:c r="H51" s="17" t="str">
        <x:v>2026-01-14</x:v>
      </x:c>
      <x:c r="I51" s="17" t="str">
        <x:v>1899-12-06</x:v>
      </x:c>
      <x:c r="J51" s="17" t="str">
        <x:v>1899-12-06</x:v>
      </x:c>
      <x:c r="K51" s="17" t="str">
        <x:v>1899-12-06</x:v>
      </x:c>
      <x:c r="L51" s="17" t="str">
        <x:v>1899-12-30</x:v>
      </x:c>
      <x:c r="M51" s="17" t="str">
        <x:v>Ausgabe</x:v>
      </x:c>
      <x:c r="N51" s="17" t="str">
        <x:v>KAT013</x:v>
      </x:c>
      <x:c r="O51" s="17" t="str"/>
      <x:c r="P51" s="17" t="str">
        <x:v>KTO001</x:v>
      </x:c>
      <x:c r="Q51" s="17" t="str">
        <x:v>VHV Allg. Versicherung AG</x:v>
      </x:c>
      <x:c r="R51" s="17" t="str">
        <x:v>DE65250500000101411551</x:v>
      </x:c>
      <x:c r="S51" s="17" t="str">
        <x:v>VHV Versicherung HAFTPFLICHTVERSICHERUNG H 306-298548/0000 Abrechnung: 01.04.24 - 01.07.24</x:v>
      </x:c>
      <x:c r="T51" s="17" t="str">
        <x:v>1899-12-31</x:v>
      </x:c>
      <x:c r="U51" s="17" t="str">
        <x:v>offen</x:v>
      </x:c>
      <x:c r="V51" s="17" t="str">
        <x:v>8 Treffer in 8 Monaten</x:v>
      </x:c>
      <x:c r="W51" s="17" t="str">
        <x:v>Analyse-Draft; keine Regelzahlung aktiviert</x:v>
      </x:c>
    </x:row>
    <x:row r="52">
      <x:c r="A52" s="17" t="str">
        <x:v>SUG-20260521-049</x:v>
      </x:c>
      <x:c r="B52" s="17" t="str">
        <x:v>2026-05-21</x:v>
      </x:c>
      <x:c r="C52" s="17" t="str">
        <x:v>RUN-20260521-ANALYSIS</x:v>
      </x:c>
      <x:c r="D52" s="17" t="str">
        <x:v>CLAUDE.AI.SUBSCRIPTION/ANTHROPIC.COM</x:v>
      </x:c>
      <x:c r="E52" s="17" t="str">
        <x:v>monatlich</x:v>
      </x:c>
      <x:c r="F52" s="17" t="str">
        <x:v>1900-01-02</x:v>
      </x:c>
      <x:c r="G52" s="17" t="str">
        <x:v>2026-02-17</x:v>
      </x:c>
      <x:c r="H52" s="17" t="str">
        <x:v>2026-04-17</x:v>
      </x:c>
      <x:c r="I52" s="17" t="str">
        <x:v>1899-12-09</x:v>
      </x:c>
      <x:c r="J52" s="17" t="str">
        <x:v>1899-12-09</x:v>
      </x:c>
      <x:c r="K52" s="17" t="str">
        <x:v>1899-12-09</x:v>
      </x:c>
      <x:c r="L52" s="17" t="str">
        <x:v>1899-12-30</x:v>
      </x:c>
      <x:c r="M52" s="17" t="str">
        <x:v>Ausgabe</x:v>
      </x:c>
      <x:c r="N52" s="17" t="str">
        <x:v>KAT013</x:v>
      </x:c>
      <x:c r="O52" s="17" t="str"/>
      <x:c r="P52" s="17" t="str">
        <x:v>KTO001</x:v>
      </x:c>
      <x:c r="Q52" s="17" t="str">
        <x:v>CLAUDE.AI.SUBSCRIPTION/ANTHROPIC.COM</x:v>
      </x:c>
      <x:c r="R52" s="17" t="str">
        <x:v>DE96120300009005290904</x:v>
      </x:c>
      <x:c r="S52" s="17" t="str">
        <x:v>VISA Debitkartenumsatz vom 16.02.2026</x:v>
      </x:c>
      <x:c r="T52" s="17" t="str">
        <x:v>1899-12-31</x:v>
      </x:c>
      <x:c r="U52" s="17" t="str">
        <x:v>offen</x:v>
      </x:c>
      <x:c r="V52" s="17" t="str">
        <x:v>3 Treffer in 3 Monaten</x:v>
      </x:c>
      <x:c r="W52" s="17" t="str">
        <x:v>Analyse-Draft; keine Regelzahlung aktiviert</x:v>
      </x:c>
    </x:row>
    <x:row r="53">
      <x:c r="A53" s="17" t="str">
        <x:v>SUG-20260521-050</x:v>
      </x:c>
      <x:c r="B53" s="17" t="str">
        <x:v>2026-05-21</x:v>
      </x:c>
      <x:c r="C53" s="17" t="str">
        <x:v>RUN-20260521-ANALYSIS</x:v>
      </x:c>
      <x:c r="D53" s="17" t="str">
        <x:v>BOSPORUS.GRILL/SALZGITTER</x:v>
      </x:c>
      <x:c r="E53" s="17" t="str">
        <x:v>monatlich</x:v>
      </x:c>
      <x:c r="F53" s="17" t="str">
        <x:v>1900-01-06</x:v>
      </x:c>
      <x:c r="G53" s="17" t="str">
        <x:v>2024-10-02</x:v>
      </x:c>
      <x:c r="H53" s="17" t="str">
        <x:v>2026-04-14</x:v>
      </x:c>
      <x:c r="I53" s="17" t="str">
        <x:v>1899-12-09</x:v>
      </x:c>
      <x:c r="J53" s="17" t="str">
        <x:v>1899-12-09</x:v>
      </x:c>
      <x:c r="K53" s="17" t="str">
        <x:v>1899-12-09</x:v>
      </x:c>
      <x:c r="L53" s="17" t="str">
        <x:v>1899-12-30</x:v>
      </x:c>
      <x:c r="M53" s="17" t="str">
        <x:v>Ausgabe</x:v>
      </x:c>
      <x:c r="N53" s="17" t="str">
        <x:v>KAT013</x:v>
      </x:c>
      <x:c r="O53" s="17" t="str"/>
      <x:c r="P53" s="17" t="str">
        <x:v>KTO001</x:v>
      </x:c>
      <x:c r="Q53" s="17" t="str">
        <x:v>BOSPORUS.GRILL/SALZGITTER</x:v>
      </x:c>
      <x:c r="R53" s="17" t="str">
        <x:v>DE96120300009005290904</x:v>
      </x:c>
      <x:c r="S53" s="17" t="str">
        <x:v>VISA Debitkartenumsatz vom 01.10.2024</x:v>
      </x:c>
      <x:c r="T53" s="17" t="str">
        <x:v>1899-12-31</x:v>
      </x:c>
      <x:c r="U53" s="17" t="str">
        <x:v>offen</x:v>
      </x:c>
      <x:c r="V53" s="17" t="str">
        <x:v>7 Treffer in 6 Monaten</x:v>
      </x:c>
      <x:c r="W53" s="17" t="str">
        <x:v>Analyse-Draft; keine Regelzahlung aktiviert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.88999938964843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8.889999389648438" hidden="0" customWidth="1"/>
  </x:cols>
  <x:sheetData>
    <x:row r="1">
      <x:c r="A1" s="20" t="str">
        <x:v>Agentvorschlaege Roh</x:v>
      </x:c>
    </x:row>
    <x:row r="3" ht="27" customHeight="1">
      <x:c r="A3" s="13" t="str">
        <x:v>Vorschlag_ID</x:v>
      </x:c>
      <x:c r="B3" s="13" t="str">
        <x:v>Vorschlag_Fingerprint</x:v>
      </x:c>
      <x:c r="C3" s="13" t="str">
        <x:v>Lauf_ID</x:v>
      </x:c>
      <x:c r="D3" s="13" t="str">
        <x:v>Methodik_ID</x:v>
      </x:c>
      <x:c r="E3" s="13" t="str">
        <x:v>Vorschlagstyp</x:v>
      </x:c>
      <x:c r="F3" s="13" t="str">
        <x:v>Betroffene_Tabelle</x:v>
      </x:c>
      <x:c r="G3" s="13" t="str">
        <x:v>Betroffene_ID</x:v>
      </x:c>
      <x:c r="H3" s="13" t="str">
        <x:v>Empfohlene_Aktion</x:v>
      </x:c>
      <x:c r="I3" s="13" t="str">
        <x:v>Begruendung</x:v>
      </x:c>
      <x:c r="J3" s="13" t="str">
        <x:v>Konfidenz</x:v>
      </x:c>
      <x:c r="K3" s="13" t="str">
        <x:v>Prioritaet</x:v>
      </x:c>
      <x:c r="L3" s="13" t="str">
        <x:v>Status</x:v>
      </x:c>
      <x:c r="M3" s="13" t="str">
        <x:v>Umsetzung_Eindeutig</x:v>
      </x:c>
      <x:c r="N3" s="13" t="str">
        <x:v>Umsetzungsstatus</x:v>
      </x:c>
      <x:c r="O3" s="13" t="str">
        <x:v>Kommentar</x:v>
      </x:c>
    </x:row>
    <x:row r="4">
      <x:c r="A4" s="17" t="str">
        <x:v>SUG-20260521-001</x:v>
      </x:c>
      <x:c r="B4" s="17" t="str">
        <x:v>neue_Regelzahlung|a403f1224e86367a</x:v>
      </x:c>
      <x:c r="C4" s="17" t="str">
        <x:v>RUN-20260521-ANALYSIS</x:v>
      </x:c>
      <x:c r="D4" s="17" t="str">
        <x:v>METH_ANALYSE_REGELZAHLUNGEN</x:v>
      </x:c>
      <x:c r="E4" s="17" t="str">
        <x:v>neue_Regelzahlung</x:v>
      </x:c>
      <x:c r="F4" s="17" t="str">
        <x:v>12_Regelzahlung_Vorschlaege</x:v>
      </x:c>
      <x:c r="G4" s="17" t="str">
        <x:v>SUG-20260521-001</x:v>
      </x:c>
      <x:c r="H4" s="17" t="str">
        <x:v>Regelzahlung pruefen</x:v>
      </x:c>
      <x:c r="I4" s="17" t="str">
        <x:v>Wiederkehrendes Monatsmuster im Import-Draft erkannt</x:v>
      </x:c>
      <x:c r="J4" s="17" t="str">
        <x:v>1899-12-31</x:v>
      </x:c>
      <x:c r="K4" s="17" t="str">
        <x:v>hoch</x:v>
      </x:c>
      <x:c r="L4" s="17" t="str">
        <x:v>offen</x:v>
      </x:c>
      <x:c r="M4" s="25" t="b">
        <x:v>0</x:v>
      </x:c>
      <x:c r="N4" s="17" t="str">
        <x:v>nicht_beauftragt</x:v>
      </x:c>
      <x:c r="O4" s="17" t="str">
        <x:v>Gespiegelter Vorschlag; Umsetzung nur nach Nutzerentscheidung</x:v>
      </x:c>
    </x:row>
    <x:row r="5">
      <x:c r="A5" s="17" t="str">
        <x:v>SUG-20260521-002</x:v>
      </x:c>
      <x:c r="B5" s="17" t="str">
        <x:v>neue_Regelzahlung|66f236949fedfda0</x:v>
      </x:c>
      <x:c r="C5" s="17" t="str">
        <x:v>RUN-20260521-ANALYSIS</x:v>
      </x:c>
      <x:c r="D5" s="17" t="str">
        <x:v>METH_ANALYSE_REGELZAHLUNGEN</x:v>
      </x:c>
      <x:c r="E5" s="17" t="str">
        <x:v>neue_Regelzahlung</x:v>
      </x:c>
      <x:c r="F5" s="17" t="str">
        <x:v>12_Regelzahlung_Vorschlaege</x:v>
      </x:c>
      <x:c r="G5" s="17" t="str">
        <x:v>SUG-20260521-002</x:v>
      </x:c>
      <x:c r="H5" s="17" t="str">
        <x:v>Regelzahlung pruefen</x:v>
      </x:c>
      <x:c r="I5" s="17" t="str">
        <x:v>Wiederkehrendes Monatsmuster im Import-Draft erkannt</x:v>
      </x:c>
      <x:c r="J5" s="17" t="str">
        <x:v>1899-12-31</x:v>
      </x:c>
      <x:c r="K5" s="17" t="str">
        <x:v>hoch</x:v>
      </x:c>
      <x:c r="L5" s="17" t="str">
        <x:v>offen</x:v>
      </x:c>
      <x:c r="M5" s="25" t="b">
        <x:v>0</x:v>
      </x:c>
      <x:c r="N5" s="17" t="str">
        <x:v>nicht_beauftragt</x:v>
      </x:c>
      <x:c r="O5" s="17" t="str">
        <x:v>Gespiegelter Vorschlag; Umsetzung nur nach Nutzerentscheidung</x:v>
      </x:c>
    </x:row>
    <x:row r="6">
      <x:c r="A6" s="17" t="str">
        <x:v>SUG-20260521-003</x:v>
      </x:c>
      <x:c r="B6" s="17" t="str">
        <x:v>neue_Regelzahlung|9cb98e6d243d5e31</x:v>
      </x:c>
      <x:c r="C6" s="17" t="str">
        <x:v>RUN-20260521-ANALYSIS</x:v>
      </x:c>
      <x:c r="D6" s="17" t="str">
        <x:v>METH_ANALYSE_REGELZAHLUNGEN</x:v>
      </x:c>
      <x:c r="E6" s="17" t="str">
        <x:v>neue_Regelzahlung</x:v>
      </x:c>
      <x:c r="F6" s="17" t="str">
        <x:v>12_Regelzahlung_Vorschlaege</x:v>
      </x:c>
      <x:c r="G6" s="17" t="str">
        <x:v>SUG-20260521-003</x:v>
      </x:c>
      <x:c r="H6" s="17" t="str">
        <x:v>Regelzahlung pruefen</x:v>
      </x:c>
      <x:c r="I6" s="17" t="str">
        <x:v>Wiederkehrendes Monatsmuster im Import-Draft erkannt</x:v>
      </x:c>
      <x:c r="J6" s="17" t="str">
        <x:v>1899-12-31</x:v>
      </x:c>
      <x:c r="K6" s="17" t="str">
        <x:v>hoch</x:v>
      </x:c>
      <x:c r="L6" s="17" t="str">
        <x:v>offen</x:v>
      </x:c>
      <x:c r="M6" s="25" t="b">
        <x:v>0</x:v>
      </x:c>
      <x:c r="N6" s="17" t="str">
        <x:v>nicht_beauftragt</x:v>
      </x:c>
      <x:c r="O6" s="17" t="str">
        <x:v>Gespiegelter Vorschlag; Umsetzung nur nach Nutzerentscheidung</x:v>
      </x:c>
    </x:row>
    <x:row r="7">
      <x:c r="A7" s="17" t="str">
        <x:v>SUG-20260521-004</x:v>
      </x:c>
      <x:c r="B7" s="17" t="str">
        <x:v>neue_Regelzahlung|e69a7a2cb76460df</x:v>
      </x:c>
      <x:c r="C7" s="17" t="str">
        <x:v>RUN-20260521-ANALYSIS</x:v>
      </x:c>
      <x:c r="D7" s="17" t="str">
        <x:v>METH_ANALYSE_REGELZAHLUNGEN</x:v>
      </x:c>
      <x:c r="E7" s="17" t="str">
        <x:v>neue_Regelzahlung</x:v>
      </x:c>
      <x:c r="F7" s="17" t="str">
        <x:v>12_Regelzahlung_Vorschlaege</x:v>
      </x:c>
      <x:c r="G7" s="17" t="str">
        <x:v>SUG-20260521-004</x:v>
      </x:c>
      <x:c r="H7" s="17" t="str">
        <x:v>Regelzahlung pruefen</x:v>
      </x:c>
      <x:c r="I7" s="17" t="str">
        <x:v>Wiederkehrendes Monatsmuster im Import-Draft erkannt</x:v>
      </x:c>
      <x:c r="J7" s="17" t="str">
        <x:v>1899-12-31</x:v>
      </x:c>
      <x:c r="K7" s="17" t="str">
        <x:v>hoch</x:v>
      </x:c>
      <x:c r="L7" s="17" t="str">
        <x:v>offen</x:v>
      </x:c>
      <x:c r="M7" s="25" t="b">
        <x:v>0</x:v>
      </x:c>
      <x:c r="N7" s="17" t="str">
        <x:v>nicht_beauftragt</x:v>
      </x:c>
      <x:c r="O7" s="17" t="str">
        <x:v>Gespiegelter Vorschlag; Umsetzung nur nach Nutzerentscheidung</x:v>
      </x:c>
    </x:row>
    <x:row r="8">
      <x:c r="A8" s="17" t="str">
        <x:v>SUG-20260521-005</x:v>
      </x:c>
      <x:c r="B8" s="17" t="str">
        <x:v>neue_Regelzahlung|eeca5b3dc8a28937</x:v>
      </x:c>
      <x:c r="C8" s="17" t="str">
        <x:v>RUN-20260521-ANALYSIS</x:v>
      </x:c>
      <x:c r="D8" s="17" t="str">
        <x:v>METH_ANALYSE_REGELZAHLUNGEN</x:v>
      </x:c>
      <x:c r="E8" s="17" t="str">
        <x:v>neue_Regelzahlung</x:v>
      </x:c>
      <x:c r="F8" s="17" t="str">
        <x:v>12_Regelzahlung_Vorschlaege</x:v>
      </x:c>
      <x:c r="G8" s="17" t="str">
        <x:v>SUG-20260521-005</x:v>
      </x:c>
      <x:c r="H8" s="17" t="str">
        <x:v>Regelzahlung pruefen</x:v>
      </x:c>
      <x:c r="I8" s="17" t="str">
        <x:v>Wiederkehrendes Monatsmuster im Import-Draft erkannt</x:v>
      </x:c>
      <x:c r="J8" s="17" t="str">
        <x:v>1899-12-31</x:v>
      </x:c>
      <x:c r="K8" s="17" t="str">
        <x:v>hoch</x:v>
      </x:c>
      <x:c r="L8" s="17" t="str">
        <x:v>offen</x:v>
      </x:c>
      <x:c r="M8" s="25" t="b">
        <x:v>0</x:v>
      </x:c>
      <x:c r="N8" s="17" t="str">
        <x:v>nicht_beauftragt</x:v>
      </x:c>
      <x:c r="O8" s="17" t="str">
        <x:v>Gespiegelter Vorschlag; Umsetzung nur nach Nutzerentscheidung</x:v>
      </x:c>
    </x:row>
    <x:row r="9">
      <x:c r="A9" s="17" t="str">
        <x:v>SUG-20260521-006</x:v>
      </x:c>
      <x:c r="B9" s="17" t="str">
        <x:v>neue_Regelzahlung|07f63c598142f2f0</x:v>
      </x:c>
      <x:c r="C9" s="17" t="str">
        <x:v>RUN-20260521-ANALYSIS</x:v>
      </x:c>
      <x:c r="D9" s="17" t="str">
        <x:v>METH_ANALYSE_REGELZAHLUNGEN</x:v>
      </x:c>
      <x:c r="E9" s="17" t="str">
        <x:v>neue_Regelzahlung</x:v>
      </x:c>
      <x:c r="F9" s="17" t="str">
        <x:v>12_Regelzahlung_Vorschlaege</x:v>
      </x:c>
      <x:c r="G9" s="17" t="str">
        <x:v>SUG-20260521-006</x:v>
      </x:c>
      <x:c r="H9" s="17" t="str">
        <x:v>Regelzahlung pruefen</x:v>
      </x:c>
      <x:c r="I9" s="17" t="str">
        <x:v>Wiederkehrendes Monatsmuster im Import-Draft erkannt</x:v>
      </x:c>
      <x:c r="J9" s="17" t="str">
        <x:v>1899-12-31</x:v>
      </x:c>
      <x:c r="K9" s="17" t="str">
        <x:v>hoch</x:v>
      </x:c>
      <x:c r="L9" s="17" t="str">
        <x:v>offen</x:v>
      </x:c>
      <x:c r="M9" s="25" t="b">
        <x:v>0</x:v>
      </x:c>
      <x:c r="N9" s="17" t="str">
        <x:v>nicht_beauftragt</x:v>
      </x:c>
      <x:c r="O9" s="17" t="str">
        <x:v>Gespiegelter Vorschlag; Umsetzung nur nach Nutzerentscheidung</x:v>
      </x:c>
    </x:row>
    <x:row r="10">
      <x:c r="A10" s="17" t="str">
        <x:v>SUG-20260521-007</x:v>
      </x:c>
      <x:c r="B10" s="17" t="str">
        <x:v>neue_Regelzahlung|ccf6db546db6b236</x:v>
      </x:c>
      <x:c r="C10" s="17" t="str">
        <x:v>RUN-20260521-ANALYSIS</x:v>
      </x:c>
      <x:c r="D10" s="17" t="str">
        <x:v>METH_ANALYSE_REGELZAHLUNGEN</x:v>
      </x:c>
      <x:c r="E10" s="17" t="str">
        <x:v>neue_Regelzahlung</x:v>
      </x:c>
      <x:c r="F10" s="17" t="str">
        <x:v>12_Regelzahlung_Vorschlaege</x:v>
      </x:c>
      <x:c r="G10" s="17" t="str">
        <x:v>SUG-20260521-007</x:v>
      </x:c>
      <x:c r="H10" s="17" t="str">
        <x:v>Regelzahlung pruefen</x:v>
      </x:c>
      <x:c r="I10" s="17" t="str">
        <x:v>Wiederkehrendes Monatsmuster im Import-Draft erkannt</x:v>
      </x:c>
      <x:c r="J10" s="17" t="str">
        <x:v>1899-12-31</x:v>
      </x:c>
      <x:c r="K10" s="17" t="str">
        <x:v>hoch</x:v>
      </x:c>
      <x:c r="L10" s="17" t="str">
        <x:v>offen</x:v>
      </x:c>
      <x:c r="M10" s="25" t="b">
        <x:v>0</x:v>
      </x:c>
      <x:c r="N10" s="17" t="str">
        <x:v>nicht_beauftragt</x:v>
      </x:c>
      <x:c r="O10" s="17" t="str">
        <x:v>Gespiegelter Vorschlag; Umsetzung nur nach Nutzerentscheidung</x:v>
      </x:c>
    </x:row>
    <x:row r="11">
      <x:c r="A11" s="17" t="str">
        <x:v>SUG-20260521-008</x:v>
      </x:c>
      <x:c r="B11" s="17" t="str">
        <x:v>neue_Regelzahlung|b57839b00d5a6a40</x:v>
      </x:c>
      <x:c r="C11" s="17" t="str">
        <x:v>RUN-20260521-ANALYSIS</x:v>
      </x:c>
      <x:c r="D11" s="17" t="str">
        <x:v>METH_ANALYSE_REGELZAHLUNGEN</x:v>
      </x:c>
      <x:c r="E11" s="17" t="str">
        <x:v>neue_Regelzahlung</x:v>
      </x:c>
      <x:c r="F11" s="17" t="str">
        <x:v>12_Regelzahlung_Vorschlaege</x:v>
      </x:c>
      <x:c r="G11" s="17" t="str">
        <x:v>SUG-20260521-008</x:v>
      </x:c>
      <x:c r="H11" s="17" t="str">
        <x:v>Regelzahlung pruefen</x:v>
      </x:c>
      <x:c r="I11" s="17" t="str">
        <x:v>Wiederkehrendes Monatsmuster im Import-Draft erkannt</x:v>
      </x:c>
      <x:c r="J11" s="17" t="str">
        <x:v>1899-12-31</x:v>
      </x:c>
      <x:c r="K11" s="17" t="str">
        <x:v>hoch</x:v>
      </x:c>
      <x:c r="L11" s="17" t="str">
        <x:v>offen</x:v>
      </x:c>
      <x:c r="M11" s="25" t="b">
        <x:v>0</x:v>
      </x:c>
      <x:c r="N11" s="17" t="str">
        <x:v>nicht_beauftragt</x:v>
      </x:c>
      <x:c r="O11" s="17" t="str">
        <x:v>Gespiegelter Vorschlag; Umsetzung nur nach Nutzerentscheidung</x:v>
      </x:c>
    </x:row>
    <x:row r="12">
      <x:c r="A12" s="17" t="str">
        <x:v>SUG-20260521-009</x:v>
      </x:c>
      <x:c r="B12" s="17" t="str">
        <x:v>neue_Regelzahlung|1f3a3f30c803aae1</x:v>
      </x:c>
      <x:c r="C12" s="17" t="str">
        <x:v>RUN-20260521-ANALYSIS</x:v>
      </x:c>
      <x:c r="D12" s="17" t="str">
        <x:v>METH_ANALYSE_REGELZAHLUNGEN</x:v>
      </x:c>
      <x:c r="E12" s="17" t="str">
        <x:v>neue_Regelzahlung</x:v>
      </x:c>
      <x:c r="F12" s="17" t="str">
        <x:v>12_Regelzahlung_Vorschlaege</x:v>
      </x:c>
      <x:c r="G12" s="17" t="str">
        <x:v>SUG-20260521-009</x:v>
      </x:c>
      <x:c r="H12" s="17" t="str">
        <x:v>Regelzahlung pruefen</x:v>
      </x:c>
      <x:c r="I12" s="17" t="str">
        <x:v>Wiederkehrendes Monatsmuster im Import-Draft erkannt</x:v>
      </x:c>
      <x:c r="J12" s="17" t="str">
        <x:v>1899-12-31</x:v>
      </x:c>
      <x:c r="K12" s="17" t="str">
        <x:v>normal</x:v>
      </x:c>
      <x:c r="L12" s="17" t="str">
        <x:v>offen</x:v>
      </x:c>
      <x:c r="M12" s="25" t="b">
        <x:v>0</x:v>
      </x:c>
      <x:c r="N12" s="17" t="str">
        <x:v>nicht_beauftragt</x:v>
      </x:c>
      <x:c r="O12" s="17" t="str">
        <x:v>Gespiegelter Vorschlag; Umsetzung nur nach Nutzerentscheidung</x:v>
      </x:c>
    </x:row>
    <x:row r="13">
      <x:c r="A13" s="17" t="str">
        <x:v>SUG-20260521-010</x:v>
      </x:c>
      <x:c r="B13" s="17" t="str">
        <x:v>neue_Regelzahlung|0f74eb2de3dd3d15</x:v>
      </x:c>
      <x:c r="C13" s="17" t="str">
        <x:v>RUN-20260521-ANALYSIS</x:v>
      </x:c>
      <x:c r="D13" s="17" t="str">
        <x:v>METH_ANALYSE_REGELZAHLUNGEN</x:v>
      </x:c>
      <x:c r="E13" s="17" t="str">
        <x:v>neue_Regelzahlung</x:v>
      </x:c>
      <x:c r="F13" s="17" t="str">
        <x:v>12_Regelzahlung_Vorschlaege</x:v>
      </x:c>
      <x:c r="G13" s="17" t="str">
        <x:v>SUG-20260521-010</x:v>
      </x:c>
      <x:c r="H13" s="17" t="str">
        <x:v>Regelzahlung pruefen</x:v>
      </x:c>
      <x:c r="I13" s="17" t="str">
        <x:v>Wiederkehrendes Monatsmuster im Import-Draft erkannt</x:v>
      </x:c>
      <x:c r="J13" s="17" t="str">
        <x:v>1899-12-31</x:v>
      </x:c>
      <x:c r="K13" s="17" t="str">
        <x:v>normal</x:v>
      </x:c>
      <x:c r="L13" s="17" t="str">
        <x:v>offen</x:v>
      </x:c>
      <x:c r="M13" s="25" t="b">
        <x:v>0</x:v>
      </x:c>
      <x:c r="N13" s="17" t="str">
        <x:v>nicht_beauftragt</x:v>
      </x:c>
      <x:c r="O13" s="17" t="str">
        <x:v>Gespiegelter Vorschlag; Umsetzung nur nach Nutzerentscheidung</x:v>
      </x:c>
    </x:row>
    <x:row r="14">
      <x:c r="A14" s="17" t="str">
        <x:v>SUG-20260521-011</x:v>
      </x:c>
      <x:c r="B14" s="17" t="str">
        <x:v>neue_Regelzahlung|13d1e636d0d87719</x:v>
      </x:c>
      <x:c r="C14" s="17" t="str">
        <x:v>RUN-20260521-ANALYSIS</x:v>
      </x:c>
      <x:c r="D14" s="17" t="str">
        <x:v>METH_ANALYSE_REGELZAHLUNGEN</x:v>
      </x:c>
      <x:c r="E14" s="17" t="str">
        <x:v>neue_Regelzahlung</x:v>
      </x:c>
      <x:c r="F14" s="17" t="str">
        <x:v>12_Regelzahlung_Vorschlaege</x:v>
      </x:c>
      <x:c r="G14" s="17" t="str">
        <x:v>SUG-20260521-011</x:v>
      </x:c>
      <x:c r="H14" s="17" t="str">
        <x:v>Regelzahlung pruefen</x:v>
      </x:c>
      <x:c r="I14" s="17" t="str">
        <x:v>Wiederkehrendes Monatsmuster im Import-Draft erkannt</x:v>
      </x:c>
      <x:c r="J14" s="17" t="str">
        <x:v>1899-12-31</x:v>
      </x:c>
      <x:c r="K14" s="17" t="str">
        <x:v>normal</x:v>
      </x:c>
      <x:c r="L14" s="17" t="str">
        <x:v>offen</x:v>
      </x:c>
      <x:c r="M14" s="25" t="b">
        <x:v>0</x:v>
      </x:c>
      <x:c r="N14" s="17" t="str">
        <x:v>nicht_beauftragt</x:v>
      </x:c>
      <x:c r="O14" s="17" t="str">
        <x:v>Gespiegelter Vorschlag; Umsetzung nur nach Nutzerentscheidung</x:v>
      </x:c>
    </x:row>
    <x:row r="15">
      <x:c r="A15" s="17" t="str">
        <x:v>SUG-20260521-012</x:v>
      </x:c>
      <x:c r="B15" s="17" t="str">
        <x:v>neue_Regelzahlung|3474abed0e1168b4</x:v>
      </x:c>
      <x:c r="C15" s="17" t="str">
        <x:v>RUN-20260521-ANALYSIS</x:v>
      </x:c>
      <x:c r="D15" s="17" t="str">
        <x:v>METH_ANALYSE_REGELZAHLUNGEN</x:v>
      </x:c>
      <x:c r="E15" s="17" t="str">
        <x:v>neue_Regelzahlung</x:v>
      </x:c>
      <x:c r="F15" s="17" t="str">
        <x:v>12_Regelzahlung_Vorschlaege</x:v>
      </x:c>
      <x:c r="G15" s="17" t="str">
        <x:v>SUG-20260521-012</x:v>
      </x:c>
      <x:c r="H15" s="17" t="str">
        <x:v>Regelzahlung pruefen</x:v>
      </x:c>
      <x:c r="I15" s="17" t="str">
        <x:v>Wiederkehrendes Monatsmuster im Import-Draft erkannt</x:v>
      </x:c>
      <x:c r="J15" s="17" t="str">
        <x:v>1899-12-31</x:v>
      </x:c>
      <x:c r="K15" s="17" t="str">
        <x:v>normal</x:v>
      </x:c>
      <x:c r="L15" s="17" t="str">
        <x:v>offen</x:v>
      </x:c>
      <x:c r="M15" s="25" t="b">
        <x:v>0</x:v>
      </x:c>
      <x:c r="N15" s="17" t="str">
        <x:v>nicht_beauftragt</x:v>
      </x:c>
      <x:c r="O15" s="17" t="str">
        <x:v>Gespiegelter Vorschlag; Umsetzung nur nach Nutzerentscheidung</x:v>
      </x:c>
    </x:row>
    <x:row r="16">
      <x:c r="A16" s="17" t="str">
        <x:v>SUG-20260521-013</x:v>
      </x:c>
      <x:c r="B16" s="17" t="str">
        <x:v>neue_Regelzahlung|3b32975f1d7d9606</x:v>
      </x:c>
      <x:c r="C16" s="17" t="str">
        <x:v>RUN-20260521-ANALYSIS</x:v>
      </x:c>
      <x:c r="D16" s="17" t="str">
        <x:v>METH_ANALYSE_REGELZAHLUNGEN</x:v>
      </x:c>
      <x:c r="E16" s="17" t="str">
        <x:v>neue_Regelzahlung</x:v>
      </x:c>
      <x:c r="F16" s="17" t="str">
        <x:v>12_Regelzahlung_Vorschlaege</x:v>
      </x:c>
      <x:c r="G16" s="17" t="str">
        <x:v>SUG-20260521-013</x:v>
      </x:c>
      <x:c r="H16" s="17" t="str">
        <x:v>Regelzahlung pruefen</x:v>
      </x:c>
      <x:c r="I16" s="17" t="str">
        <x:v>Wiederkehrendes Monatsmuster im Import-Draft erkannt</x:v>
      </x:c>
      <x:c r="J16" s="17" t="str">
        <x:v>1899-12-31</x:v>
      </x:c>
      <x:c r="K16" s="17" t="str">
        <x:v>normal</x:v>
      </x:c>
      <x:c r="L16" s="17" t="str">
        <x:v>offen</x:v>
      </x:c>
      <x:c r="M16" s="25" t="b">
        <x:v>0</x:v>
      </x:c>
      <x:c r="N16" s="17" t="str">
        <x:v>nicht_beauftragt</x:v>
      </x:c>
      <x:c r="O16" s="17" t="str">
        <x:v>Gespiegelter Vorschlag; Umsetzung nur nach Nutzerentscheidung</x:v>
      </x:c>
    </x:row>
    <x:row r="17">
      <x:c r="A17" s="17" t="str">
        <x:v>SUG-20260521-014</x:v>
      </x:c>
      <x:c r="B17" s="17" t="str">
        <x:v>neue_Regelzahlung|31399b8e11a2b6ff</x:v>
      </x:c>
      <x:c r="C17" s="17" t="str">
        <x:v>RUN-20260521-ANALYSIS</x:v>
      </x:c>
      <x:c r="D17" s="17" t="str">
        <x:v>METH_ANALYSE_REGELZAHLUNGEN</x:v>
      </x:c>
      <x:c r="E17" s="17" t="str">
        <x:v>neue_Regelzahlung</x:v>
      </x:c>
      <x:c r="F17" s="17" t="str">
        <x:v>12_Regelzahlung_Vorschlaege</x:v>
      </x:c>
      <x:c r="G17" s="17" t="str">
        <x:v>SUG-20260521-014</x:v>
      </x:c>
      <x:c r="H17" s="17" t="str">
        <x:v>Regelzahlung pruefen</x:v>
      </x:c>
      <x:c r="I17" s="17" t="str">
        <x:v>Wiederkehrendes Monatsmuster im Import-Draft erkannt</x:v>
      </x:c>
      <x:c r="J17" s="17" t="str">
        <x:v>1899-12-31</x:v>
      </x:c>
      <x:c r="K17" s="17" t="str">
        <x:v>normal</x:v>
      </x:c>
      <x:c r="L17" s="17" t="str">
        <x:v>offen</x:v>
      </x:c>
      <x:c r="M17" s="25" t="b">
        <x:v>0</x:v>
      </x:c>
      <x:c r="N17" s="17" t="str">
        <x:v>nicht_beauftragt</x:v>
      </x:c>
      <x:c r="O17" s="17" t="str">
        <x:v>Gespiegelter Vorschlag; Umsetzung nur nach Nutzerentscheidung</x:v>
      </x:c>
    </x:row>
    <x:row r="18">
      <x:c r="A18" s="17" t="str">
        <x:v>SUG-20260521-015</x:v>
      </x:c>
      <x:c r="B18" s="17" t="str">
        <x:v>neue_Regelzahlung|34b7069dcfe209a9</x:v>
      </x:c>
      <x:c r="C18" s="17" t="str">
        <x:v>RUN-20260521-ANALYSIS</x:v>
      </x:c>
      <x:c r="D18" s="17" t="str">
        <x:v>METH_ANALYSE_REGELZAHLUNGEN</x:v>
      </x:c>
      <x:c r="E18" s="17" t="str">
        <x:v>neue_Regelzahlung</x:v>
      </x:c>
      <x:c r="F18" s="17" t="str">
        <x:v>12_Regelzahlung_Vorschlaege</x:v>
      </x:c>
      <x:c r="G18" s="17" t="str">
        <x:v>SUG-20260521-015</x:v>
      </x:c>
      <x:c r="H18" s="17" t="str">
        <x:v>Regelzahlung pruefen</x:v>
      </x:c>
      <x:c r="I18" s="17" t="str">
        <x:v>Wiederkehrendes Monatsmuster im Import-Draft erkannt</x:v>
      </x:c>
      <x:c r="J18" s="17" t="str">
        <x:v>1899-12-31</x:v>
      </x:c>
      <x:c r="K18" s="17" t="str">
        <x:v>normal</x:v>
      </x:c>
      <x:c r="L18" s="17" t="str">
        <x:v>offen</x:v>
      </x:c>
      <x:c r="M18" s="25" t="b">
        <x:v>0</x:v>
      </x:c>
      <x:c r="N18" s="17" t="str">
        <x:v>nicht_beauftragt</x:v>
      </x:c>
      <x:c r="O18" s="17" t="str">
        <x:v>Gespiegelter Vorschlag; Umsetzung nur nach Nutzerentscheidung</x:v>
      </x:c>
    </x:row>
    <x:row r="19">
      <x:c r="A19" s="17" t="str">
        <x:v>SUG-20260521-016</x:v>
      </x:c>
      <x:c r="B19" s="17" t="str">
        <x:v>neue_Regelzahlung|b3238681efe65115</x:v>
      </x:c>
      <x:c r="C19" s="17" t="str">
        <x:v>RUN-20260521-ANALYSIS</x:v>
      </x:c>
      <x:c r="D19" s="17" t="str">
        <x:v>METH_ANALYSE_REGELZAHLUNGEN</x:v>
      </x:c>
      <x:c r="E19" s="17" t="str">
        <x:v>neue_Regelzahlung</x:v>
      </x:c>
      <x:c r="F19" s="17" t="str">
        <x:v>12_Regelzahlung_Vorschlaege</x:v>
      </x:c>
      <x:c r="G19" s="17" t="str">
        <x:v>SUG-20260521-016</x:v>
      </x:c>
      <x:c r="H19" s="17" t="str">
        <x:v>Regelzahlung pruefen</x:v>
      </x:c>
      <x:c r="I19" s="17" t="str">
        <x:v>Wiederkehrendes Monatsmuster im Import-Draft erkannt</x:v>
      </x:c>
      <x:c r="J19" s="17" t="str">
        <x:v>1899-12-31</x:v>
      </x:c>
      <x:c r="K19" s="17" t="str">
        <x:v>normal</x:v>
      </x:c>
      <x:c r="L19" s="17" t="str">
        <x:v>offen</x:v>
      </x:c>
      <x:c r="M19" s="25" t="b">
        <x:v>0</x:v>
      </x:c>
      <x:c r="N19" s="17" t="str">
        <x:v>nicht_beauftragt</x:v>
      </x:c>
      <x:c r="O19" s="17" t="str">
        <x:v>Gespiegelter Vorschlag; Umsetzung nur nach Nutzerentscheidung</x:v>
      </x:c>
    </x:row>
    <x:row r="20">
      <x:c r="A20" s="17" t="str">
        <x:v>SUG-20260521-017</x:v>
      </x:c>
      <x:c r="B20" s="17" t="str">
        <x:v>neue_Regelzahlung|167ec9cb0bbc6cd2</x:v>
      </x:c>
      <x:c r="C20" s="17" t="str">
        <x:v>RUN-20260521-ANALYSIS</x:v>
      </x:c>
      <x:c r="D20" s="17" t="str">
        <x:v>METH_ANALYSE_REGELZAHLUNGEN</x:v>
      </x:c>
      <x:c r="E20" s="17" t="str">
        <x:v>neue_Regelzahlung</x:v>
      </x:c>
      <x:c r="F20" s="17" t="str">
        <x:v>12_Regelzahlung_Vorschlaege</x:v>
      </x:c>
      <x:c r="G20" s="17" t="str">
        <x:v>SUG-20260521-017</x:v>
      </x:c>
      <x:c r="H20" s="17" t="str">
        <x:v>Regelzahlung pruefen</x:v>
      </x:c>
      <x:c r="I20" s="17" t="str">
        <x:v>Wiederkehrendes Monatsmuster im Import-Draft erkannt</x:v>
      </x:c>
      <x:c r="J20" s="17" t="str">
        <x:v>1899-12-31</x:v>
      </x:c>
      <x:c r="K20" s="17" t="str">
        <x:v>normal</x:v>
      </x:c>
      <x:c r="L20" s="17" t="str">
        <x:v>offen</x:v>
      </x:c>
      <x:c r="M20" s="25" t="b">
        <x:v>0</x:v>
      </x:c>
      <x:c r="N20" s="17" t="str">
        <x:v>nicht_beauftragt</x:v>
      </x:c>
      <x:c r="O20" s="17" t="str">
        <x:v>Gespiegelter Vorschlag; Umsetzung nur nach Nutzerentscheidung</x:v>
      </x:c>
    </x:row>
    <x:row r="21">
      <x:c r="A21" s="17" t="str">
        <x:v>SUG-20260521-018</x:v>
      </x:c>
      <x:c r="B21" s="17" t="str">
        <x:v>neue_Regelzahlung|a3d36d3e183e8f35</x:v>
      </x:c>
      <x:c r="C21" s="17" t="str">
        <x:v>RUN-20260521-ANALYSIS</x:v>
      </x:c>
      <x:c r="D21" s="17" t="str">
        <x:v>METH_ANALYSE_REGELZAHLUNGEN</x:v>
      </x:c>
      <x:c r="E21" s="17" t="str">
        <x:v>neue_Regelzahlung</x:v>
      </x:c>
      <x:c r="F21" s="17" t="str">
        <x:v>12_Regelzahlung_Vorschlaege</x:v>
      </x:c>
      <x:c r="G21" s="17" t="str">
        <x:v>SUG-20260521-018</x:v>
      </x:c>
      <x:c r="H21" s="17" t="str">
        <x:v>Regelzahlung pruefen</x:v>
      </x:c>
      <x:c r="I21" s="17" t="str">
        <x:v>Wiederkehrendes Monatsmuster im Import-Draft erkannt</x:v>
      </x:c>
      <x:c r="J21" s="17" t="str">
        <x:v>1899-12-31</x:v>
      </x:c>
      <x:c r="K21" s="17" t="str">
        <x:v>normal</x:v>
      </x:c>
      <x:c r="L21" s="17" t="str">
        <x:v>offen</x:v>
      </x:c>
      <x:c r="M21" s="25" t="b">
        <x:v>0</x:v>
      </x:c>
      <x:c r="N21" s="17" t="str">
        <x:v>nicht_beauftragt</x:v>
      </x:c>
      <x:c r="O21" s="17" t="str">
        <x:v>Gespiegelter Vorschlag; Umsetzung nur nach Nutzerentscheidung</x:v>
      </x:c>
    </x:row>
    <x:row r="22">
      <x:c r="A22" s="17" t="str">
        <x:v>SUG-20260521-019</x:v>
      </x:c>
      <x:c r="B22" s="17" t="str">
        <x:v>neue_Regelzahlung|5d5b5b5dbfb876be</x:v>
      </x:c>
      <x:c r="C22" s="17" t="str">
        <x:v>RUN-20260521-ANALYSIS</x:v>
      </x:c>
      <x:c r="D22" s="17" t="str">
        <x:v>METH_ANALYSE_REGELZAHLUNGEN</x:v>
      </x:c>
      <x:c r="E22" s="17" t="str">
        <x:v>neue_Regelzahlung</x:v>
      </x:c>
      <x:c r="F22" s="17" t="str">
        <x:v>12_Regelzahlung_Vorschlaege</x:v>
      </x:c>
      <x:c r="G22" s="17" t="str">
        <x:v>SUG-20260521-019</x:v>
      </x:c>
      <x:c r="H22" s="17" t="str">
        <x:v>Regelzahlung pruefen</x:v>
      </x:c>
      <x:c r="I22" s="17" t="str">
        <x:v>Wiederkehrendes Monatsmuster im Import-Draft erkannt</x:v>
      </x:c>
      <x:c r="J22" s="17" t="str">
        <x:v>1899-12-31</x:v>
      </x:c>
      <x:c r="K22" s="17" t="str">
        <x:v>normal</x:v>
      </x:c>
      <x:c r="L22" s="17" t="str">
        <x:v>offen</x:v>
      </x:c>
      <x:c r="M22" s="25" t="b">
        <x:v>0</x:v>
      </x:c>
      <x:c r="N22" s="17" t="str">
        <x:v>nicht_beauftragt</x:v>
      </x:c>
      <x:c r="O22" s="17" t="str">
        <x:v>Gespiegelter Vorschlag; Umsetzung nur nach Nutzerentscheidung</x:v>
      </x:c>
    </x:row>
    <x:row r="23">
      <x:c r="A23" s="17" t="str">
        <x:v>SUG-20260521-020</x:v>
      </x:c>
      <x:c r="B23" s="17" t="str">
        <x:v>neue_Regelzahlung|06c35972850e14fa</x:v>
      </x:c>
      <x:c r="C23" s="17" t="str">
        <x:v>RUN-20260521-ANALYSIS</x:v>
      </x:c>
      <x:c r="D23" s="17" t="str">
        <x:v>METH_ANALYSE_REGELZAHLUNGEN</x:v>
      </x:c>
      <x:c r="E23" s="17" t="str">
        <x:v>neue_Regelzahlung</x:v>
      </x:c>
      <x:c r="F23" s="17" t="str">
        <x:v>12_Regelzahlung_Vorschlaege</x:v>
      </x:c>
      <x:c r="G23" s="17" t="str">
        <x:v>SUG-20260521-020</x:v>
      </x:c>
      <x:c r="H23" s="17" t="str">
        <x:v>Regelzahlung pruefen</x:v>
      </x:c>
      <x:c r="I23" s="17" t="str">
        <x:v>Wiederkehrendes Monatsmuster im Import-Draft erkannt</x:v>
      </x:c>
      <x:c r="J23" s="17" t="str">
        <x:v>1899-12-31</x:v>
      </x:c>
      <x:c r="K23" s="17" t="str">
        <x:v>normal</x:v>
      </x:c>
      <x:c r="L23" s="17" t="str">
        <x:v>offen</x:v>
      </x:c>
      <x:c r="M23" s="25" t="b">
        <x:v>0</x:v>
      </x:c>
      <x:c r="N23" s="17" t="str">
        <x:v>nicht_beauftragt</x:v>
      </x:c>
      <x:c r="O23" s="17" t="str">
        <x:v>Gespiegelter Vorschlag; Umsetzung nur nach Nutzerentscheidung</x:v>
      </x:c>
    </x:row>
    <x:row r="24">
      <x:c r="A24" s="17" t="str">
        <x:v>SUG-20260521-021</x:v>
      </x:c>
      <x:c r="B24" s="17" t="str">
        <x:v>neue_Regelzahlung|3d246452b01bab91</x:v>
      </x:c>
      <x:c r="C24" s="17" t="str">
        <x:v>RUN-20260521-ANALYSIS</x:v>
      </x:c>
      <x:c r="D24" s="17" t="str">
        <x:v>METH_ANALYSE_REGELZAHLUNGEN</x:v>
      </x:c>
      <x:c r="E24" s="17" t="str">
        <x:v>neue_Regelzahlung</x:v>
      </x:c>
      <x:c r="F24" s="17" t="str">
        <x:v>12_Regelzahlung_Vorschlaege</x:v>
      </x:c>
      <x:c r="G24" s="17" t="str">
        <x:v>SUG-20260521-021</x:v>
      </x:c>
      <x:c r="H24" s="17" t="str">
        <x:v>Regelzahlung pruefen</x:v>
      </x:c>
      <x:c r="I24" s="17" t="str">
        <x:v>Wiederkehrendes Monatsmuster im Import-Draft erkannt</x:v>
      </x:c>
      <x:c r="J24" s="17" t="str">
        <x:v>1899-12-31</x:v>
      </x:c>
      <x:c r="K24" s="17" t="str">
        <x:v>normal</x:v>
      </x:c>
      <x:c r="L24" s="17" t="str">
        <x:v>offen</x:v>
      </x:c>
      <x:c r="M24" s="25" t="b">
        <x:v>0</x:v>
      </x:c>
      <x:c r="N24" s="17" t="str">
        <x:v>nicht_beauftragt</x:v>
      </x:c>
      <x:c r="O24" s="17" t="str">
        <x:v>Gespiegelter Vorschlag; Umsetzung nur nach Nutzerentscheidung</x:v>
      </x:c>
    </x:row>
    <x:row r="25">
      <x:c r="A25" s="17" t="str">
        <x:v>SUG-20260521-022</x:v>
      </x:c>
      <x:c r="B25" s="17" t="str">
        <x:v>neue_Regelzahlung|35431db0808e1287</x:v>
      </x:c>
      <x:c r="C25" s="17" t="str">
        <x:v>RUN-20260521-ANALYSIS</x:v>
      </x:c>
      <x:c r="D25" s="17" t="str">
        <x:v>METH_ANALYSE_REGELZAHLUNGEN</x:v>
      </x:c>
      <x:c r="E25" s="17" t="str">
        <x:v>neue_Regelzahlung</x:v>
      </x:c>
      <x:c r="F25" s="17" t="str">
        <x:v>12_Regelzahlung_Vorschlaege</x:v>
      </x:c>
      <x:c r="G25" s="17" t="str">
        <x:v>SUG-20260521-022</x:v>
      </x:c>
      <x:c r="H25" s="17" t="str">
        <x:v>Regelzahlung pruefen</x:v>
      </x:c>
      <x:c r="I25" s="17" t="str">
        <x:v>Wiederkehrendes Monatsmuster im Import-Draft erkannt</x:v>
      </x:c>
      <x:c r="J25" s="17" t="str">
        <x:v>1899-12-31</x:v>
      </x:c>
      <x:c r="K25" s="17" t="str">
        <x:v>normal</x:v>
      </x:c>
      <x:c r="L25" s="17" t="str">
        <x:v>offen</x:v>
      </x:c>
      <x:c r="M25" s="25" t="b">
        <x:v>0</x:v>
      </x:c>
      <x:c r="N25" s="17" t="str">
        <x:v>nicht_beauftragt</x:v>
      </x:c>
      <x:c r="O25" s="17" t="str">
        <x:v>Gespiegelter Vorschlag; Umsetzung nur nach Nutzerentscheidung</x:v>
      </x:c>
    </x:row>
    <x:row r="26">
      <x:c r="A26" s="17" t="str">
        <x:v>SUG-20260521-023</x:v>
      </x:c>
      <x:c r="B26" s="17" t="str">
        <x:v>neue_Regelzahlung|d1c2c9f4db94e253</x:v>
      </x:c>
      <x:c r="C26" s="17" t="str">
        <x:v>RUN-20260521-ANALYSIS</x:v>
      </x:c>
      <x:c r="D26" s="17" t="str">
        <x:v>METH_ANALYSE_REGELZAHLUNGEN</x:v>
      </x:c>
      <x:c r="E26" s="17" t="str">
        <x:v>neue_Regelzahlung</x:v>
      </x:c>
      <x:c r="F26" s="17" t="str">
        <x:v>12_Regelzahlung_Vorschlaege</x:v>
      </x:c>
      <x:c r="G26" s="17" t="str">
        <x:v>SUG-20260521-023</x:v>
      </x:c>
      <x:c r="H26" s="17" t="str">
        <x:v>Regelzahlung pruefen</x:v>
      </x:c>
      <x:c r="I26" s="17" t="str">
        <x:v>Wiederkehrendes Monatsmuster im Import-Draft erkannt</x:v>
      </x:c>
      <x:c r="J26" s="17" t="str">
        <x:v>1899-12-31</x:v>
      </x:c>
      <x:c r="K26" s="17" t="str">
        <x:v>normal</x:v>
      </x:c>
      <x:c r="L26" s="17" t="str">
        <x:v>offen</x:v>
      </x:c>
      <x:c r="M26" s="25" t="b">
        <x:v>0</x:v>
      </x:c>
      <x:c r="N26" s="17" t="str">
        <x:v>nicht_beauftragt</x:v>
      </x:c>
      <x:c r="O26" s="17" t="str">
        <x:v>Gespiegelter Vorschlag; Umsetzung nur nach Nutzerentscheidung</x:v>
      </x:c>
    </x:row>
    <x:row r="27">
      <x:c r="A27" s="17" t="str">
        <x:v>SUG-20260521-024</x:v>
      </x:c>
      <x:c r="B27" s="17" t="str">
        <x:v>neue_Regelzahlung|5b0ea842c600a470</x:v>
      </x:c>
      <x:c r="C27" s="17" t="str">
        <x:v>RUN-20260521-ANALYSIS</x:v>
      </x:c>
      <x:c r="D27" s="17" t="str">
        <x:v>METH_ANALYSE_REGELZAHLUNGEN</x:v>
      </x:c>
      <x:c r="E27" s="17" t="str">
        <x:v>neue_Regelzahlung</x:v>
      </x:c>
      <x:c r="F27" s="17" t="str">
        <x:v>12_Regelzahlung_Vorschlaege</x:v>
      </x:c>
      <x:c r="G27" s="17" t="str">
        <x:v>SUG-20260521-024</x:v>
      </x:c>
      <x:c r="H27" s="17" t="str">
        <x:v>Regelzahlung pruefen</x:v>
      </x:c>
      <x:c r="I27" s="17" t="str">
        <x:v>Wiederkehrendes Monatsmuster im Import-Draft erkannt</x:v>
      </x:c>
      <x:c r="J27" s="17" t="str">
        <x:v>1899-12-31</x:v>
      </x:c>
      <x:c r="K27" s="17" t="str">
        <x:v>normal</x:v>
      </x:c>
      <x:c r="L27" s="17" t="str">
        <x:v>offen</x:v>
      </x:c>
      <x:c r="M27" s="25" t="b">
        <x:v>0</x:v>
      </x:c>
      <x:c r="N27" s="17" t="str">
        <x:v>nicht_beauftragt</x:v>
      </x:c>
      <x:c r="O27" s="17" t="str">
        <x:v>Gespiegelter Vorschlag; Umsetzung nur nach Nutzerentscheidung</x:v>
      </x:c>
    </x:row>
    <x:row r="28">
      <x:c r="A28" s="17" t="str">
        <x:v>SUG-20260521-025</x:v>
      </x:c>
      <x:c r="B28" s="17" t="str">
        <x:v>neue_Regelzahlung|8d3475993fb3cc3f</x:v>
      </x:c>
      <x:c r="C28" s="17" t="str">
        <x:v>RUN-20260521-ANALYSIS</x:v>
      </x:c>
      <x:c r="D28" s="17" t="str">
        <x:v>METH_ANALYSE_REGELZAHLUNGEN</x:v>
      </x:c>
      <x:c r="E28" s="17" t="str">
        <x:v>neue_Regelzahlung</x:v>
      </x:c>
      <x:c r="F28" s="17" t="str">
        <x:v>12_Regelzahlung_Vorschlaege</x:v>
      </x:c>
      <x:c r="G28" s="17" t="str">
        <x:v>SUG-20260521-025</x:v>
      </x:c>
      <x:c r="H28" s="17" t="str">
        <x:v>Regelzahlung pruefen</x:v>
      </x:c>
      <x:c r="I28" s="17" t="str">
        <x:v>Wiederkehrendes Monatsmuster im Import-Draft erkannt</x:v>
      </x:c>
      <x:c r="J28" s="17" t="str">
        <x:v>1899-12-31</x:v>
      </x:c>
      <x:c r="K28" s="17" t="str">
        <x:v>normal</x:v>
      </x:c>
      <x:c r="L28" s="17" t="str">
        <x:v>offen</x:v>
      </x:c>
      <x:c r="M28" s="25" t="b">
        <x:v>0</x:v>
      </x:c>
      <x:c r="N28" s="17" t="str">
        <x:v>nicht_beauftragt</x:v>
      </x:c>
      <x:c r="O28" s="17" t="str">
        <x:v>Gespiegelter Vorschlag; Umsetzung nur nach Nutzerentscheidung</x:v>
      </x:c>
    </x:row>
    <x:row r="29">
      <x:c r="A29" s="17" t="str">
        <x:v>SUG-20260521-026</x:v>
      </x:c>
      <x:c r="B29" s="17" t="str">
        <x:v>neue_Regelzahlung|3c2b081bf9d18793</x:v>
      </x:c>
      <x:c r="C29" s="17" t="str">
        <x:v>RUN-20260521-ANALYSIS</x:v>
      </x:c>
      <x:c r="D29" s="17" t="str">
        <x:v>METH_ANALYSE_REGELZAHLUNGEN</x:v>
      </x:c>
      <x:c r="E29" s="17" t="str">
        <x:v>neue_Regelzahlung</x:v>
      </x:c>
      <x:c r="F29" s="17" t="str">
        <x:v>12_Regelzahlung_Vorschlaege</x:v>
      </x:c>
      <x:c r="G29" s="17" t="str">
        <x:v>SUG-20260521-026</x:v>
      </x:c>
      <x:c r="H29" s="17" t="str">
        <x:v>Regelzahlung pruefen</x:v>
      </x:c>
      <x:c r="I29" s="17" t="str">
        <x:v>Wiederkehrendes Monatsmuster im Import-Draft erkannt</x:v>
      </x:c>
      <x:c r="J29" s="17" t="str">
        <x:v>1899-12-31</x:v>
      </x:c>
      <x:c r="K29" s="17" t="str">
        <x:v>normal</x:v>
      </x:c>
      <x:c r="L29" s="17" t="str">
        <x:v>offen</x:v>
      </x:c>
      <x:c r="M29" s="25" t="b">
        <x:v>0</x:v>
      </x:c>
      <x:c r="N29" s="17" t="str">
        <x:v>nicht_beauftragt</x:v>
      </x:c>
      <x:c r="O29" s="17" t="str">
        <x:v>Gespiegelter Vorschlag; Umsetzung nur nach Nutzerentscheidung</x:v>
      </x:c>
    </x:row>
    <x:row r="30">
      <x:c r="A30" s="17" t="str">
        <x:v>SUG-20260521-027</x:v>
      </x:c>
      <x:c r="B30" s="17" t="str">
        <x:v>neue_Regelzahlung|3645cc72cae22652</x:v>
      </x:c>
      <x:c r="C30" s="17" t="str">
        <x:v>RUN-20260521-ANALYSIS</x:v>
      </x:c>
      <x:c r="D30" s="17" t="str">
        <x:v>METH_ANALYSE_REGELZAHLUNGEN</x:v>
      </x:c>
      <x:c r="E30" s="17" t="str">
        <x:v>neue_Regelzahlung</x:v>
      </x:c>
      <x:c r="F30" s="17" t="str">
        <x:v>12_Regelzahlung_Vorschlaege</x:v>
      </x:c>
      <x:c r="G30" s="17" t="str">
        <x:v>SUG-20260521-027</x:v>
      </x:c>
      <x:c r="H30" s="17" t="str">
        <x:v>Regelzahlung pruefen</x:v>
      </x:c>
      <x:c r="I30" s="17" t="str">
        <x:v>Wiederkehrendes Monatsmuster im Import-Draft erkannt</x:v>
      </x:c>
      <x:c r="J30" s="17" t="str">
        <x:v>1899-12-31</x:v>
      </x:c>
      <x:c r="K30" s="17" t="str">
        <x:v>normal</x:v>
      </x:c>
      <x:c r="L30" s="17" t="str">
        <x:v>offen</x:v>
      </x:c>
      <x:c r="M30" s="25" t="b">
        <x:v>0</x:v>
      </x:c>
      <x:c r="N30" s="17" t="str">
        <x:v>nicht_beauftragt</x:v>
      </x:c>
      <x:c r="O30" s="17" t="str">
        <x:v>Gespiegelter Vorschlag; Umsetzung nur nach Nutzerentscheidung</x:v>
      </x:c>
    </x:row>
    <x:row r="31">
      <x:c r="A31" s="17" t="str">
        <x:v>SUG-20260521-028</x:v>
      </x:c>
      <x:c r="B31" s="17" t="str">
        <x:v>neue_Regelzahlung|d17b7bb45786e7b0</x:v>
      </x:c>
      <x:c r="C31" s="17" t="str">
        <x:v>RUN-20260521-ANALYSIS</x:v>
      </x:c>
      <x:c r="D31" s="17" t="str">
        <x:v>METH_ANALYSE_REGELZAHLUNGEN</x:v>
      </x:c>
      <x:c r="E31" s="17" t="str">
        <x:v>neue_Regelzahlung</x:v>
      </x:c>
      <x:c r="F31" s="17" t="str">
        <x:v>12_Regelzahlung_Vorschlaege</x:v>
      </x:c>
      <x:c r="G31" s="17" t="str">
        <x:v>SUG-20260521-028</x:v>
      </x:c>
      <x:c r="H31" s="17" t="str">
        <x:v>Regelzahlung pruefen</x:v>
      </x:c>
      <x:c r="I31" s="17" t="str">
        <x:v>Wiederkehrendes Monatsmuster im Import-Draft erkannt</x:v>
      </x:c>
      <x:c r="J31" s="17" t="str">
        <x:v>1899-12-31</x:v>
      </x:c>
      <x:c r="K31" s="17" t="str">
        <x:v>normal</x:v>
      </x:c>
      <x:c r="L31" s="17" t="str">
        <x:v>offen</x:v>
      </x:c>
      <x:c r="M31" s="25" t="b">
        <x:v>0</x:v>
      </x:c>
      <x:c r="N31" s="17" t="str">
        <x:v>nicht_beauftragt</x:v>
      </x:c>
      <x:c r="O31" s="17" t="str">
        <x:v>Gespiegelter Vorschlag; Umsetzung nur nach Nutzerentscheidung</x:v>
      </x:c>
    </x:row>
    <x:row r="32">
      <x:c r="A32" s="17" t="str">
        <x:v>SUG-20260521-029</x:v>
      </x:c>
      <x:c r="B32" s="17" t="str">
        <x:v>neue_Regelzahlung|2f7c5712d45c53af</x:v>
      </x:c>
      <x:c r="C32" s="17" t="str">
        <x:v>RUN-20260521-ANALYSIS</x:v>
      </x:c>
      <x:c r="D32" s="17" t="str">
        <x:v>METH_ANALYSE_REGELZAHLUNGEN</x:v>
      </x:c>
      <x:c r="E32" s="17" t="str">
        <x:v>neue_Regelzahlung</x:v>
      </x:c>
      <x:c r="F32" s="17" t="str">
        <x:v>12_Regelzahlung_Vorschlaege</x:v>
      </x:c>
      <x:c r="G32" s="17" t="str">
        <x:v>SUG-20260521-029</x:v>
      </x:c>
      <x:c r="H32" s="17" t="str">
        <x:v>Regelzahlung pruefen</x:v>
      </x:c>
      <x:c r="I32" s="17" t="str">
        <x:v>Wiederkehrendes Monatsmuster im Import-Draft erkannt</x:v>
      </x:c>
      <x:c r="J32" s="17" t="str">
        <x:v>1899-12-31</x:v>
      </x:c>
      <x:c r="K32" s="17" t="str">
        <x:v>normal</x:v>
      </x:c>
      <x:c r="L32" s="17" t="str">
        <x:v>offen</x:v>
      </x:c>
      <x:c r="M32" s="25" t="b">
        <x:v>0</x:v>
      </x:c>
      <x:c r="N32" s="17" t="str">
        <x:v>nicht_beauftragt</x:v>
      </x:c>
      <x:c r="O32" s="17" t="str">
        <x:v>Gespiegelter Vorschlag; Umsetzung nur nach Nutzerentscheidung</x:v>
      </x:c>
    </x:row>
    <x:row r="33">
      <x:c r="A33" s="17" t="str">
        <x:v>SUG-20260521-030</x:v>
      </x:c>
      <x:c r="B33" s="17" t="str">
        <x:v>neue_Regelzahlung|eb9778fb6dfebe47</x:v>
      </x:c>
      <x:c r="C33" s="17" t="str">
        <x:v>RUN-20260521-ANALYSIS</x:v>
      </x:c>
      <x:c r="D33" s="17" t="str">
        <x:v>METH_ANALYSE_REGELZAHLUNGEN</x:v>
      </x:c>
      <x:c r="E33" s="17" t="str">
        <x:v>neue_Regelzahlung</x:v>
      </x:c>
      <x:c r="F33" s="17" t="str">
        <x:v>12_Regelzahlung_Vorschlaege</x:v>
      </x:c>
      <x:c r="G33" s="17" t="str">
        <x:v>SUG-20260521-030</x:v>
      </x:c>
      <x:c r="H33" s="17" t="str">
        <x:v>Regelzahlung pruefen</x:v>
      </x:c>
      <x:c r="I33" s="17" t="str">
        <x:v>Wiederkehrendes Monatsmuster im Import-Draft erkannt</x:v>
      </x:c>
      <x:c r="J33" s="17" t="str">
        <x:v>1899-12-31</x:v>
      </x:c>
      <x:c r="K33" s="17" t="str">
        <x:v>normal</x:v>
      </x:c>
      <x:c r="L33" s="17" t="str">
        <x:v>offen</x:v>
      </x:c>
      <x:c r="M33" s="25" t="b">
        <x:v>0</x:v>
      </x:c>
      <x:c r="N33" s="17" t="str">
        <x:v>nicht_beauftragt</x:v>
      </x:c>
      <x:c r="O33" s="17" t="str">
        <x:v>Gespiegelter Vorschlag; Umsetzung nur nach Nutzerentscheidung</x:v>
      </x:c>
    </x:row>
    <x:row r="34">
      <x:c r="A34" s="17" t="str">
        <x:v>SUG-20260521-031</x:v>
      </x:c>
      <x:c r="B34" s="17" t="str">
        <x:v>neue_Regelzahlung|7afbd2e342d1d384</x:v>
      </x:c>
      <x:c r="C34" s="17" t="str">
        <x:v>RUN-20260521-ANALYSIS</x:v>
      </x:c>
      <x:c r="D34" s="17" t="str">
        <x:v>METH_ANALYSE_REGELZAHLUNGEN</x:v>
      </x:c>
      <x:c r="E34" s="17" t="str">
        <x:v>neue_Regelzahlung</x:v>
      </x:c>
      <x:c r="F34" s="17" t="str">
        <x:v>12_Regelzahlung_Vorschlaege</x:v>
      </x:c>
      <x:c r="G34" s="17" t="str">
        <x:v>SUG-20260521-031</x:v>
      </x:c>
      <x:c r="H34" s="17" t="str">
        <x:v>Regelzahlung pruefen</x:v>
      </x:c>
      <x:c r="I34" s="17" t="str">
        <x:v>Wiederkehrendes Monatsmuster im Import-Draft erkannt</x:v>
      </x:c>
      <x:c r="J34" s="17" t="str">
        <x:v>1899-12-31</x:v>
      </x:c>
      <x:c r="K34" s="17" t="str">
        <x:v>normal</x:v>
      </x:c>
      <x:c r="L34" s="17" t="str">
        <x:v>offen</x:v>
      </x:c>
      <x:c r="M34" s="25" t="b">
        <x:v>0</x:v>
      </x:c>
      <x:c r="N34" s="17" t="str">
        <x:v>nicht_beauftragt</x:v>
      </x:c>
      <x:c r="O34" s="17" t="str">
        <x:v>Gespiegelter Vorschlag; Umsetzung nur nach Nutzerentscheidung</x:v>
      </x:c>
    </x:row>
    <x:row r="35">
      <x:c r="A35" s="17" t="str">
        <x:v>SUG-20260521-032</x:v>
      </x:c>
      <x:c r="B35" s="17" t="str">
        <x:v>neue_Regelzahlung|4d7f82456213b036</x:v>
      </x:c>
      <x:c r="C35" s="17" t="str">
        <x:v>RUN-20260521-ANALYSIS</x:v>
      </x:c>
      <x:c r="D35" s="17" t="str">
        <x:v>METH_ANALYSE_REGELZAHLUNGEN</x:v>
      </x:c>
      <x:c r="E35" s="17" t="str">
        <x:v>neue_Regelzahlung</x:v>
      </x:c>
      <x:c r="F35" s="17" t="str">
        <x:v>12_Regelzahlung_Vorschlaege</x:v>
      </x:c>
      <x:c r="G35" s="17" t="str">
        <x:v>SUG-20260521-032</x:v>
      </x:c>
      <x:c r="H35" s="17" t="str">
        <x:v>Regelzahlung pruefen</x:v>
      </x:c>
      <x:c r="I35" s="17" t="str">
        <x:v>Wiederkehrendes Monatsmuster im Import-Draft erkannt</x:v>
      </x:c>
      <x:c r="J35" s="17" t="str">
        <x:v>1899-12-31</x:v>
      </x:c>
      <x:c r="K35" s="17" t="str">
        <x:v>normal</x:v>
      </x:c>
      <x:c r="L35" s="17" t="str">
        <x:v>offen</x:v>
      </x:c>
      <x:c r="M35" s="25" t="b">
        <x:v>0</x:v>
      </x:c>
      <x:c r="N35" s="17" t="str">
        <x:v>nicht_beauftragt</x:v>
      </x:c>
      <x:c r="O35" s="17" t="str">
        <x:v>Gespiegelter Vorschlag; Umsetzung nur nach Nutzerentscheidung</x:v>
      </x:c>
    </x:row>
    <x:row r="36">
      <x:c r="A36" s="17" t="str">
        <x:v>SUG-20260521-033</x:v>
      </x:c>
      <x:c r="B36" s="17" t="str">
        <x:v>neue_Regelzahlung|fd6133b3bb42a488</x:v>
      </x:c>
      <x:c r="C36" s="17" t="str">
        <x:v>RUN-20260521-ANALYSIS</x:v>
      </x:c>
      <x:c r="D36" s="17" t="str">
        <x:v>METH_ANALYSE_REGELZAHLUNGEN</x:v>
      </x:c>
      <x:c r="E36" s="17" t="str">
        <x:v>neue_Regelzahlung</x:v>
      </x:c>
      <x:c r="F36" s="17" t="str">
        <x:v>12_Regelzahlung_Vorschlaege</x:v>
      </x:c>
      <x:c r="G36" s="17" t="str">
        <x:v>SUG-20260521-033</x:v>
      </x:c>
      <x:c r="H36" s="17" t="str">
        <x:v>Regelzahlung pruefen</x:v>
      </x:c>
      <x:c r="I36" s="17" t="str">
        <x:v>Wiederkehrendes Monatsmuster im Import-Draft erkannt</x:v>
      </x:c>
      <x:c r="J36" s="17" t="str">
        <x:v>1899-12-31</x:v>
      </x:c>
      <x:c r="K36" s="17" t="str">
        <x:v>normal</x:v>
      </x:c>
      <x:c r="L36" s="17" t="str">
        <x:v>offen</x:v>
      </x:c>
      <x:c r="M36" s="25" t="b">
        <x:v>0</x:v>
      </x:c>
      <x:c r="N36" s="17" t="str">
        <x:v>nicht_beauftragt</x:v>
      </x:c>
      <x:c r="O36" s="17" t="str">
        <x:v>Gespiegelter Vorschlag; Umsetzung nur nach Nutzerentscheidung</x:v>
      </x:c>
    </x:row>
    <x:row r="37">
      <x:c r="A37" s="17" t="str">
        <x:v>SUG-20260521-034</x:v>
      </x:c>
      <x:c r="B37" s="17" t="str">
        <x:v>neue_Regelzahlung|fe916aa390bf8579</x:v>
      </x:c>
      <x:c r="C37" s="17" t="str">
        <x:v>RUN-20260521-ANALYSIS</x:v>
      </x:c>
      <x:c r="D37" s="17" t="str">
        <x:v>METH_ANALYSE_REGELZAHLUNGEN</x:v>
      </x:c>
      <x:c r="E37" s="17" t="str">
        <x:v>neue_Regelzahlung</x:v>
      </x:c>
      <x:c r="F37" s="17" t="str">
        <x:v>12_Regelzahlung_Vorschlaege</x:v>
      </x:c>
      <x:c r="G37" s="17" t="str">
        <x:v>SUG-20260521-034</x:v>
      </x:c>
      <x:c r="H37" s="17" t="str">
        <x:v>Regelzahlung pruefen</x:v>
      </x:c>
      <x:c r="I37" s="17" t="str">
        <x:v>Wiederkehrendes Monatsmuster im Import-Draft erkannt</x:v>
      </x:c>
      <x:c r="J37" s="17" t="str">
        <x:v>1899-12-31</x:v>
      </x:c>
      <x:c r="K37" s="17" t="str">
        <x:v>normal</x:v>
      </x:c>
      <x:c r="L37" s="17" t="str">
        <x:v>offen</x:v>
      </x:c>
      <x:c r="M37" s="25" t="b">
        <x:v>0</x:v>
      </x:c>
      <x:c r="N37" s="17" t="str">
        <x:v>nicht_beauftragt</x:v>
      </x:c>
      <x:c r="O37" s="17" t="str">
        <x:v>Gespiegelter Vorschlag; Umsetzung nur nach Nutzerentscheidung</x:v>
      </x:c>
    </x:row>
    <x:row r="38">
      <x:c r="A38" s="17" t="str">
        <x:v>SUG-20260521-035</x:v>
      </x:c>
      <x:c r="B38" s="17" t="str">
        <x:v>neue_Regelzahlung|ab1cc8866494e59e</x:v>
      </x:c>
      <x:c r="C38" s="17" t="str">
        <x:v>RUN-20260521-ANALYSIS</x:v>
      </x:c>
      <x:c r="D38" s="17" t="str">
        <x:v>METH_ANALYSE_REGELZAHLUNGEN</x:v>
      </x:c>
      <x:c r="E38" s="17" t="str">
        <x:v>neue_Regelzahlung</x:v>
      </x:c>
      <x:c r="F38" s="17" t="str">
        <x:v>12_Regelzahlung_Vorschlaege</x:v>
      </x:c>
      <x:c r="G38" s="17" t="str">
        <x:v>SUG-20260521-035</x:v>
      </x:c>
      <x:c r="H38" s="17" t="str">
        <x:v>Regelzahlung pruefen</x:v>
      </x:c>
      <x:c r="I38" s="17" t="str">
        <x:v>Wiederkehrendes Monatsmuster im Import-Draft erkannt</x:v>
      </x:c>
      <x:c r="J38" s="17" t="str">
        <x:v>1899-12-31</x:v>
      </x:c>
      <x:c r="K38" s="17" t="str">
        <x:v>normal</x:v>
      </x:c>
      <x:c r="L38" s="17" t="str">
        <x:v>offen</x:v>
      </x:c>
      <x:c r="M38" s="25" t="b">
        <x:v>0</x:v>
      </x:c>
      <x:c r="N38" s="17" t="str">
        <x:v>nicht_beauftragt</x:v>
      </x:c>
      <x:c r="O38" s="17" t="str">
        <x:v>Gespiegelter Vorschlag; Umsetzung nur nach Nutzerentscheidung</x:v>
      </x:c>
    </x:row>
    <x:row r="39">
      <x:c r="A39" s="17" t="str">
        <x:v>SUG-20260521-036</x:v>
      </x:c>
      <x:c r="B39" s="17" t="str">
        <x:v>neue_Regelzahlung|a6a0bcdeafd4d818</x:v>
      </x:c>
      <x:c r="C39" s="17" t="str">
        <x:v>RUN-20260521-ANALYSIS</x:v>
      </x:c>
      <x:c r="D39" s="17" t="str">
        <x:v>METH_ANALYSE_REGELZAHLUNGEN</x:v>
      </x:c>
      <x:c r="E39" s="17" t="str">
        <x:v>neue_Regelzahlung</x:v>
      </x:c>
      <x:c r="F39" s="17" t="str">
        <x:v>12_Regelzahlung_Vorschlaege</x:v>
      </x:c>
      <x:c r="G39" s="17" t="str">
        <x:v>SUG-20260521-036</x:v>
      </x:c>
      <x:c r="H39" s="17" t="str">
        <x:v>Regelzahlung pruefen</x:v>
      </x:c>
      <x:c r="I39" s="17" t="str">
        <x:v>Wiederkehrendes Monatsmuster im Import-Draft erkannt</x:v>
      </x:c>
      <x:c r="J39" s="17" t="str">
        <x:v>1899-12-31</x:v>
      </x:c>
      <x:c r="K39" s="17" t="str">
        <x:v>normal</x:v>
      </x:c>
      <x:c r="L39" s="17" t="str">
        <x:v>offen</x:v>
      </x:c>
      <x:c r="M39" s="25" t="b">
        <x:v>0</x:v>
      </x:c>
      <x:c r="N39" s="17" t="str">
        <x:v>nicht_beauftragt</x:v>
      </x:c>
      <x:c r="O39" s="17" t="str">
        <x:v>Gespiegelter Vorschlag; Umsetzung nur nach Nutzerentscheidung</x:v>
      </x:c>
    </x:row>
    <x:row r="40">
      <x:c r="A40" s="17" t="str">
        <x:v>SUG-20260521-037</x:v>
      </x:c>
      <x:c r="B40" s="17" t="str">
        <x:v>neue_Regelzahlung|175c9dc3b56da455</x:v>
      </x:c>
      <x:c r="C40" s="17" t="str">
        <x:v>RUN-20260521-ANALYSIS</x:v>
      </x:c>
      <x:c r="D40" s="17" t="str">
        <x:v>METH_ANALYSE_REGELZAHLUNGEN</x:v>
      </x:c>
      <x:c r="E40" s="17" t="str">
        <x:v>neue_Regelzahlung</x:v>
      </x:c>
      <x:c r="F40" s="17" t="str">
        <x:v>12_Regelzahlung_Vorschlaege</x:v>
      </x:c>
      <x:c r="G40" s="17" t="str">
        <x:v>SUG-20260521-037</x:v>
      </x:c>
      <x:c r="H40" s="17" t="str">
        <x:v>Regelzahlung pruefen</x:v>
      </x:c>
      <x:c r="I40" s="17" t="str">
        <x:v>Wiederkehrendes Monatsmuster im Import-Draft erkannt</x:v>
      </x:c>
      <x:c r="J40" s="17" t="str">
        <x:v>1899-12-31</x:v>
      </x:c>
      <x:c r="K40" s="17" t="str">
        <x:v>normal</x:v>
      </x:c>
      <x:c r="L40" s="17" t="str">
        <x:v>offen</x:v>
      </x:c>
      <x:c r="M40" s="25" t="b">
        <x:v>0</x:v>
      </x:c>
      <x:c r="N40" s="17" t="str">
        <x:v>nicht_beauftragt</x:v>
      </x:c>
      <x:c r="O40" s="17" t="str">
        <x:v>Gespiegelter Vorschlag; Umsetzung nur nach Nutzerentscheidung</x:v>
      </x:c>
    </x:row>
    <x:row r="41">
      <x:c r="A41" s="17" t="str">
        <x:v>SUG-20260521-038</x:v>
      </x:c>
      <x:c r="B41" s="17" t="str">
        <x:v>neue_Regelzahlung|ecb5e77da19d5f7e</x:v>
      </x:c>
      <x:c r="C41" s="17" t="str">
        <x:v>RUN-20260521-ANALYSIS</x:v>
      </x:c>
      <x:c r="D41" s="17" t="str">
        <x:v>METH_ANALYSE_REGELZAHLUNGEN</x:v>
      </x:c>
      <x:c r="E41" s="17" t="str">
        <x:v>neue_Regelzahlung</x:v>
      </x:c>
      <x:c r="F41" s="17" t="str">
        <x:v>12_Regelzahlung_Vorschlaege</x:v>
      </x:c>
      <x:c r="G41" s="17" t="str">
        <x:v>SUG-20260521-038</x:v>
      </x:c>
      <x:c r="H41" s="17" t="str">
        <x:v>Regelzahlung pruefen</x:v>
      </x:c>
      <x:c r="I41" s="17" t="str">
        <x:v>Wiederkehrendes Monatsmuster im Import-Draft erkannt</x:v>
      </x:c>
      <x:c r="J41" s="17" t="str">
        <x:v>1899-12-31</x:v>
      </x:c>
      <x:c r="K41" s="17" t="str">
        <x:v>normal</x:v>
      </x:c>
      <x:c r="L41" s="17" t="str">
        <x:v>offen</x:v>
      </x:c>
      <x:c r="M41" s="25" t="b">
        <x:v>0</x:v>
      </x:c>
      <x:c r="N41" s="17" t="str">
        <x:v>nicht_beauftragt</x:v>
      </x:c>
      <x:c r="O41" s="17" t="str">
        <x:v>Gespiegelter Vorschlag; Umsetzung nur nach Nutzerentscheidung</x:v>
      </x:c>
    </x:row>
    <x:row r="42">
      <x:c r="A42" s="17" t="str">
        <x:v>SUG-20260521-039</x:v>
      </x:c>
      <x:c r="B42" s="17" t="str">
        <x:v>neue_Regelzahlung|bf9163b7502a6bca</x:v>
      </x:c>
      <x:c r="C42" s="17" t="str">
        <x:v>RUN-20260521-ANALYSIS</x:v>
      </x:c>
      <x:c r="D42" s="17" t="str">
        <x:v>METH_ANALYSE_REGELZAHLUNGEN</x:v>
      </x:c>
      <x:c r="E42" s="17" t="str">
        <x:v>neue_Regelzahlung</x:v>
      </x:c>
      <x:c r="F42" s="17" t="str">
        <x:v>12_Regelzahlung_Vorschlaege</x:v>
      </x:c>
      <x:c r="G42" s="17" t="str">
        <x:v>SUG-20260521-039</x:v>
      </x:c>
      <x:c r="H42" s="17" t="str">
        <x:v>Regelzahlung pruefen</x:v>
      </x:c>
      <x:c r="I42" s="17" t="str">
        <x:v>Wiederkehrendes Monatsmuster im Import-Draft erkannt</x:v>
      </x:c>
      <x:c r="J42" s="17" t="str">
        <x:v>1899-12-31</x:v>
      </x:c>
      <x:c r="K42" s="17" t="str">
        <x:v>normal</x:v>
      </x:c>
      <x:c r="L42" s="17" t="str">
        <x:v>offen</x:v>
      </x:c>
      <x:c r="M42" s="25" t="b">
        <x:v>0</x:v>
      </x:c>
      <x:c r="N42" s="17" t="str">
        <x:v>nicht_beauftragt</x:v>
      </x:c>
      <x:c r="O42" s="17" t="str">
        <x:v>Gespiegelter Vorschlag; Umsetzung nur nach Nutzerentscheidung</x:v>
      </x:c>
    </x:row>
    <x:row r="43">
      <x:c r="A43" s="17" t="str">
        <x:v>SUG-20260521-040</x:v>
      </x:c>
      <x:c r="B43" s="17" t="str">
        <x:v>neue_Regelzahlung|22439768f19519e2</x:v>
      </x:c>
      <x:c r="C43" s="17" t="str">
        <x:v>RUN-20260521-ANALYSIS</x:v>
      </x:c>
      <x:c r="D43" s="17" t="str">
        <x:v>METH_ANALYSE_REGELZAHLUNGEN</x:v>
      </x:c>
      <x:c r="E43" s="17" t="str">
        <x:v>neue_Regelzahlung</x:v>
      </x:c>
      <x:c r="F43" s="17" t="str">
        <x:v>12_Regelzahlung_Vorschlaege</x:v>
      </x:c>
      <x:c r="G43" s="17" t="str">
        <x:v>SUG-20260521-040</x:v>
      </x:c>
      <x:c r="H43" s="17" t="str">
        <x:v>Regelzahlung pruefen</x:v>
      </x:c>
      <x:c r="I43" s="17" t="str">
        <x:v>Wiederkehrendes Monatsmuster im Import-Draft erkannt</x:v>
      </x:c>
      <x:c r="J43" s="17" t="str">
        <x:v>1899-12-31</x:v>
      </x:c>
      <x:c r="K43" s="17" t="str">
        <x:v>normal</x:v>
      </x:c>
      <x:c r="L43" s="17" t="str">
        <x:v>offen</x:v>
      </x:c>
      <x:c r="M43" s="25" t="b">
        <x:v>0</x:v>
      </x:c>
      <x:c r="N43" s="17" t="str">
        <x:v>nicht_beauftragt</x:v>
      </x:c>
      <x:c r="O43" s="17" t="str">
        <x:v>Gespiegelter Vorschlag; Umsetzung nur nach Nutzerentscheidung</x:v>
      </x:c>
    </x:row>
    <x:row r="44">
      <x:c r="A44" s="17" t="str">
        <x:v>SUG-20260521-041</x:v>
      </x:c>
      <x:c r="B44" s="17" t="str">
        <x:v>neue_Regelzahlung|a710e1663a0b56f2</x:v>
      </x:c>
      <x:c r="C44" s="17" t="str">
        <x:v>RUN-20260521-ANALYSIS</x:v>
      </x:c>
      <x:c r="D44" s="17" t="str">
        <x:v>METH_ANALYSE_REGELZAHLUNGEN</x:v>
      </x:c>
      <x:c r="E44" s="17" t="str">
        <x:v>neue_Regelzahlung</x:v>
      </x:c>
      <x:c r="F44" s="17" t="str">
        <x:v>12_Regelzahlung_Vorschlaege</x:v>
      </x:c>
      <x:c r="G44" s="17" t="str">
        <x:v>SUG-20260521-041</x:v>
      </x:c>
      <x:c r="H44" s="17" t="str">
        <x:v>Regelzahlung pruefen</x:v>
      </x:c>
      <x:c r="I44" s="17" t="str">
        <x:v>Wiederkehrendes Monatsmuster im Import-Draft erkannt</x:v>
      </x:c>
      <x:c r="J44" s="17" t="str">
        <x:v>1899-12-31</x:v>
      </x:c>
      <x:c r="K44" s="17" t="str">
        <x:v>normal</x:v>
      </x:c>
      <x:c r="L44" s="17" t="str">
        <x:v>offen</x:v>
      </x:c>
      <x:c r="M44" s="25" t="b">
        <x:v>0</x:v>
      </x:c>
      <x:c r="N44" s="17" t="str">
        <x:v>nicht_beauftragt</x:v>
      </x:c>
      <x:c r="O44" s="17" t="str">
        <x:v>Gespiegelter Vorschlag; Umsetzung nur nach Nutzerentscheidung</x:v>
      </x:c>
    </x:row>
    <x:row r="45">
      <x:c r="A45" s="17" t="str">
        <x:v>SUG-20260521-042</x:v>
      </x:c>
      <x:c r="B45" s="17" t="str">
        <x:v>neue_Regelzahlung|e1c6cd71df21e599</x:v>
      </x:c>
      <x:c r="C45" s="17" t="str">
        <x:v>RUN-20260521-ANALYSIS</x:v>
      </x:c>
      <x:c r="D45" s="17" t="str">
        <x:v>METH_ANALYSE_REGELZAHLUNGEN</x:v>
      </x:c>
      <x:c r="E45" s="17" t="str">
        <x:v>neue_Regelzahlung</x:v>
      </x:c>
      <x:c r="F45" s="17" t="str">
        <x:v>12_Regelzahlung_Vorschlaege</x:v>
      </x:c>
      <x:c r="G45" s="17" t="str">
        <x:v>SUG-20260521-042</x:v>
      </x:c>
      <x:c r="H45" s="17" t="str">
        <x:v>Regelzahlung pruefen</x:v>
      </x:c>
      <x:c r="I45" s="17" t="str">
        <x:v>Wiederkehrendes Monatsmuster im Import-Draft erkannt</x:v>
      </x:c>
      <x:c r="J45" s="17" t="str">
        <x:v>1899-12-31</x:v>
      </x:c>
      <x:c r="K45" s="17" t="str">
        <x:v>normal</x:v>
      </x:c>
      <x:c r="L45" s="17" t="str">
        <x:v>offen</x:v>
      </x:c>
      <x:c r="M45" s="25" t="b">
        <x:v>0</x:v>
      </x:c>
      <x:c r="N45" s="17" t="str">
        <x:v>nicht_beauftragt</x:v>
      </x:c>
      <x:c r="O45" s="17" t="str">
        <x:v>Gespiegelter Vorschlag; Umsetzung nur nach Nutzerentscheidung</x:v>
      </x:c>
    </x:row>
    <x:row r="46">
      <x:c r="A46" s="17" t="str">
        <x:v>SUG-20260521-043</x:v>
      </x:c>
      <x:c r="B46" s="17" t="str">
        <x:v>neue_Regelzahlung|e5ea2f9241f97251</x:v>
      </x:c>
      <x:c r="C46" s="17" t="str">
        <x:v>RUN-20260521-ANALYSIS</x:v>
      </x:c>
      <x:c r="D46" s="17" t="str">
        <x:v>METH_ANALYSE_REGELZAHLUNGEN</x:v>
      </x:c>
      <x:c r="E46" s="17" t="str">
        <x:v>neue_Regelzahlung</x:v>
      </x:c>
      <x:c r="F46" s="17" t="str">
        <x:v>12_Regelzahlung_Vorschlaege</x:v>
      </x:c>
      <x:c r="G46" s="17" t="str">
        <x:v>SUG-20260521-043</x:v>
      </x:c>
      <x:c r="H46" s="17" t="str">
        <x:v>Regelzahlung pruefen</x:v>
      </x:c>
      <x:c r="I46" s="17" t="str">
        <x:v>Wiederkehrendes Monatsmuster im Import-Draft erkannt</x:v>
      </x:c>
      <x:c r="J46" s="17" t="str">
        <x:v>1899-12-31</x:v>
      </x:c>
      <x:c r="K46" s="17" t="str">
        <x:v>normal</x:v>
      </x:c>
      <x:c r="L46" s="17" t="str">
        <x:v>offen</x:v>
      </x:c>
      <x:c r="M46" s="25" t="b">
        <x:v>0</x:v>
      </x:c>
      <x:c r="N46" s="17" t="str">
        <x:v>nicht_beauftragt</x:v>
      </x:c>
      <x:c r="O46" s="17" t="str">
        <x:v>Gespiegelter Vorschlag; Umsetzung nur nach Nutzerentscheidung</x:v>
      </x:c>
    </x:row>
    <x:row r="47">
      <x:c r="A47" s="17" t="str">
        <x:v>SUG-20260521-044</x:v>
      </x:c>
      <x:c r="B47" s="17" t="str">
        <x:v>neue_Regelzahlung|1492f7bf48031679</x:v>
      </x:c>
      <x:c r="C47" s="17" t="str">
        <x:v>RUN-20260521-ANALYSIS</x:v>
      </x:c>
      <x:c r="D47" s="17" t="str">
        <x:v>METH_ANALYSE_REGELZAHLUNGEN</x:v>
      </x:c>
      <x:c r="E47" s="17" t="str">
        <x:v>neue_Regelzahlung</x:v>
      </x:c>
      <x:c r="F47" s="17" t="str">
        <x:v>12_Regelzahlung_Vorschlaege</x:v>
      </x:c>
      <x:c r="G47" s="17" t="str">
        <x:v>SUG-20260521-044</x:v>
      </x:c>
      <x:c r="H47" s="17" t="str">
        <x:v>Regelzahlung pruefen</x:v>
      </x:c>
      <x:c r="I47" s="17" t="str">
        <x:v>Wiederkehrendes Monatsmuster im Import-Draft erkannt</x:v>
      </x:c>
      <x:c r="J47" s="17" t="str">
        <x:v>1899-12-31</x:v>
      </x:c>
      <x:c r="K47" s="17" t="str">
        <x:v>normal</x:v>
      </x:c>
      <x:c r="L47" s="17" t="str">
        <x:v>offen</x:v>
      </x:c>
      <x:c r="M47" s="25" t="b">
        <x:v>0</x:v>
      </x:c>
      <x:c r="N47" s="17" t="str">
        <x:v>nicht_beauftragt</x:v>
      </x:c>
      <x:c r="O47" s="17" t="str">
        <x:v>Gespiegelter Vorschlag; Umsetzung nur nach Nutzerentscheidung</x:v>
      </x:c>
    </x:row>
    <x:row r="48">
      <x:c r="A48" s="17" t="str">
        <x:v>SUG-20260521-045</x:v>
      </x:c>
      <x:c r="B48" s="17" t="str">
        <x:v>neue_Regelzahlung|6247577aa0e613a3</x:v>
      </x:c>
      <x:c r="C48" s="17" t="str">
        <x:v>RUN-20260521-ANALYSIS</x:v>
      </x:c>
      <x:c r="D48" s="17" t="str">
        <x:v>METH_ANALYSE_REGELZAHLUNGEN</x:v>
      </x:c>
      <x:c r="E48" s="17" t="str">
        <x:v>neue_Regelzahlung</x:v>
      </x:c>
      <x:c r="F48" s="17" t="str">
        <x:v>12_Regelzahlung_Vorschlaege</x:v>
      </x:c>
      <x:c r="G48" s="17" t="str">
        <x:v>SUG-20260521-045</x:v>
      </x:c>
      <x:c r="H48" s="17" t="str">
        <x:v>Regelzahlung pruefen</x:v>
      </x:c>
      <x:c r="I48" s="17" t="str">
        <x:v>Wiederkehrendes Monatsmuster im Import-Draft erkannt</x:v>
      </x:c>
      <x:c r="J48" s="17" t="str">
        <x:v>1899-12-31</x:v>
      </x:c>
      <x:c r="K48" s="17" t="str">
        <x:v>normal</x:v>
      </x:c>
      <x:c r="L48" s="17" t="str">
        <x:v>offen</x:v>
      </x:c>
      <x:c r="M48" s="25" t="b">
        <x:v>0</x:v>
      </x:c>
      <x:c r="N48" s="17" t="str">
        <x:v>nicht_beauftragt</x:v>
      </x:c>
      <x:c r="O48" s="17" t="str">
        <x:v>Gespiegelter Vorschlag; Umsetzung nur nach Nutzerentscheidung</x:v>
      </x:c>
    </x:row>
    <x:row r="49">
      <x:c r="A49" s="17" t="str">
        <x:v>SUG-20260521-046</x:v>
      </x:c>
      <x:c r="B49" s="17" t="str">
        <x:v>neue_Regelzahlung|800fe3423dc630cf</x:v>
      </x:c>
      <x:c r="C49" s="17" t="str">
        <x:v>RUN-20260521-ANALYSIS</x:v>
      </x:c>
      <x:c r="D49" s="17" t="str">
        <x:v>METH_ANALYSE_REGELZAHLUNGEN</x:v>
      </x:c>
      <x:c r="E49" s="17" t="str">
        <x:v>neue_Regelzahlung</x:v>
      </x:c>
      <x:c r="F49" s="17" t="str">
        <x:v>12_Regelzahlung_Vorschlaege</x:v>
      </x:c>
      <x:c r="G49" s="17" t="str">
        <x:v>SUG-20260521-046</x:v>
      </x:c>
      <x:c r="H49" s="17" t="str">
        <x:v>Regelzahlung pruefen</x:v>
      </x:c>
      <x:c r="I49" s="17" t="str">
        <x:v>Wiederkehrendes Monatsmuster im Import-Draft erkannt</x:v>
      </x:c>
      <x:c r="J49" s="17" t="str">
        <x:v>1899-12-31</x:v>
      </x:c>
      <x:c r="K49" s="17" t="str">
        <x:v>normal</x:v>
      </x:c>
      <x:c r="L49" s="17" t="str">
        <x:v>offen</x:v>
      </x:c>
      <x:c r="M49" s="25" t="b">
        <x:v>0</x:v>
      </x:c>
      <x:c r="N49" s="17" t="str">
        <x:v>nicht_beauftragt</x:v>
      </x:c>
      <x:c r="O49" s="17" t="str">
        <x:v>Gespiegelter Vorschlag; Umsetzung nur nach Nutzerentscheidung</x:v>
      </x:c>
    </x:row>
    <x:row r="50">
      <x:c r="A50" s="17" t="str">
        <x:v>SUG-20260521-047</x:v>
      </x:c>
      <x:c r="B50" s="17" t="str">
        <x:v>neue_Regelzahlung|3b6b13aac64978a7</x:v>
      </x:c>
      <x:c r="C50" s="17" t="str">
        <x:v>RUN-20260521-ANALYSIS</x:v>
      </x:c>
      <x:c r="D50" s="17" t="str">
        <x:v>METH_ANALYSE_REGELZAHLUNGEN</x:v>
      </x:c>
      <x:c r="E50" s="17" t="str">
        <x:v>neue_Regelzahlung</x:v>
      </x:c>
      <x:c r="F50" s="17" t="str">
        <x:v>12_Regelzahlung_Vorschlaege</x:v>
      </x:c>
      <x:c r="G50" s="17" t="str">
        <x:v>SUG-20260521-047</x:v>
      </x:c>
      <x:c r="H50" s="17" t="str">
        <x:v>Regelzahlung pruefen</x:v>
      </x:c>
      <x:c r="I50" s="17" t="str">
        <x:v>Wiederkehrendes Monatsmuster im Import-Draft erkannt</x:v>
      </x:c>
      <x:c r="J50" s="17" t="str">
        <x:v>1899-12-31</x:v>
      </x:c>
      <x:c r="K50" s="17" t="str">
        <x:v>normal</x:v>
      </x:c>
      <x:c r="L50" s="17" t="str">
        <x:v>offen</x:v>
      </x:c>
      <x:c r="M50" s="25" t="b">
        <x:v>0</x:v>
      </x:c>
      <x:c r="N50" s="17" t="str">
        <x:v>nicht_beauftragt</x:v>
      </x:c>
      <x:c r="O50" s="17" t="str">
        <x:v>Gespiegelter Vorschlag; Umsetzung nur nach Nutzerentscheidung</x:v>
      </x:c>
    </x:row>
    <x:row r="51">
      <x:c r="A51" s="17" t="str">
        <x:v>SUG-20260521-048</x:v>
      </x:c>
      <x:c r="B51" s="17" t="str">
        <x:v>neue_Regelzahlung|e98fbab4d1606737</x:v>
      </x:c>
      <x:c r="C51" s="17" t="str">
        <x:v>RUN-20260521-ANALYSIS</x:v>
      </x:c>
      <x:c r="D51" s="17" t="str">
        <x:v>METH_ANALYSE_REGELZAHLUNGEN</x:v>
      </x:c>
      <x:c r="E51" s="17" t="str">
        <x:v>neue_Regelzahlung</x:v>
      </x:c>
      <x:c r="F51" s="17" t="str">
        <x:v>12_Regelzahlung_Vorschlaege</x:v>
      </x:c>
      <x:c r="G51" s="17" t="str">
        <x:v>SUG-20260521-048</x:v>
      </x:c>
      <x:c r="H51" s="17" t="str">
        <x:v>Regelzahlung pruefen</x:v>
      </x:c>
      <x:c r="I51" s="17" t="str">
        <x:v>Wiederkehrendes Monatsmuster im Import-Draft erkannt</x:v>
      </x:c>
      <x:c r="J51" s="17" t="str">
        <x:v>1899-12-31</x:v>
      </x:c>
      <x:c r="K51" s="17" t="str">
        <x:v>normal</x:v>
      </x:c>
      <x:c r="L51" s="17" t="str">
        <x:v>offen</x:v>
      </x:c>
      <x:c r="M51" s="25" t="b">
        <x:v>0</x:v>
      </x:c>
      <x:c r="N51" s="17" t="str">
        <x:v>nicht_beauftragt</x:v>
      </x:c>
      <x:c r="O51" s="17" t="str">
        <x:v>Gespiegelter Vorschlag; Umsetzung nur nach Nutzerentscheidung</x:v>
      </x:c>
    </x:row>
    <x:row r="52">
      <x:c r="A52" s="17" t="str">
        <x:v>SUG-20260521-049</x:v>
      </x:c>
      <x:c r="B52" s="17" t="str">
        <x:v>neue_Regelzahlung|a0c32df8d4b195a8</x:v>
      </x:c>
      <x:c r="C52" s="17" t="str">
        <x:v>RUN-20260521-ANALYSIS</x:v>
      </x:c>
      <x:c r="D52" s="17" t="str">
        <x:v>METH_ANALYSE_REGELZAHLUNGEN</x:v>
      </x:c>
      <x:c r="E52" s="17" t="str">
        <x:v>neue_Regelzahlung</x:v>
      </x:c>
      <x:c r="F52" s="17" t="str">
        <x:v>12_Regelzahlung_Vorschlaege</x:v>
      </x:c>
      <x:c r="G52" s="17" t="str">
        <x:v>SUG-20260521-049</x:v>
      </x:c>
      <x:c r="H52" s="17" t="str">
        <x:v>Regelzahlung pruefen</x:v>
      </x:c>
      <x:c r="I52" s="17" t="str">
        <x:v>Wiederkehrendes Monatsmuster im Import-Draft erkannt</x:v>
      </x:c>
      <x:c r="J52" s="17" t="str">
        <x:v>1899-12-31</x:v>
      </x:c>
      <x:c r="K52" s="17" t="str">
        <x:v>normal</x:v>
      </x:c>
      <x:c r="L52" s="17" t="str">
        <x:v>offen</x:v>
      </x:c>
      <x:c r="M52" s="25" t="b">
        <x:v>0</x:v>
      </x:c>
      <x:c r="N52" s="17" t="str">
        <x:v>nicht_beauftragt</x:v>
      </x:c>
      <x:c r="O52" s="17" t="str">
        <x:v>Gespiegelter Vorschlag; Umsetzung nur nach Nutzerentscheidung</x:v>
      </x:c>
    </x:row>
    <x:row r="53">
      <x:c r="A53" s="17" t="str">
        <x:v>SUG-20260521-050</x:v>
      </x:c>
      <x:c r="B53" s="17" t="str">
        <x:v>neue_Regelzahlung|2d106fe25dabeb02</x:v>
      </x:c>
      <x:c r="C53" s="17" t="str">
        <x:v>RUN-20260521-ANALYSIS</x:v>
      </x:c>
      <x:c r="D53" s="17" t="str">
        <x:v>METH_ANALYSE_REGELZAHLUNGEN</x:v>
      </x:c>
      <x:c r="E53" s="17" t="str">
        <x:v>neue_Regelzahlung</x:v>
      </x:c>
      <x:c r="F53" s="17" t="str">
        <x:v>12_Regelzahlung_Vorschlaege</x:v>
      </x:c>
      <x:c r="G53" s="17" t="str">
        <x:v>SUG-20260521-050</x:v>
      </x:c>
      <x:c r="H53" s="17" t="str">
        <x:v>Regelzahlung pruefen</x:v>
      </x:c>
      <x:c r="I53" s="17" t="str">
        <x:v>Wiederkehrendes Monatsmuster im Import-Draft erkannt</x:v>
      </x:c>
      <x:c r="J53" s="17" t="str">
        <x:v>1899-12-31</x:v>
      </x:c>
      <x:c r="K53" s="17" t="str">
        <x:v>normal</x:v>
      </x:c>
      <x:c r="L53" s="17" t="str">
        <x:v>offen</x:v>
      </x:c>
      <x:c r="M53" s="25" t="b">
        <x:v>0</x:v>
      </x:c>
      <x:c r="N53" s="17" t="str">
        <x:v>nicht_beauftragt</x:v>
      </x:c>
      <x:c r="O53" s="17" t="str">
        <x:v>Gespiegelter Vorschlag; Umsetzung nur nach Nutzerentscheidung</x:v>
      </x:c>
    </x:row>
    <x:row r="54">
      <x:c r="A54" s="17" t="str">
        <x:v>SUG-20260521-051</x:v>
      </x:c>
      <x:c r="B54" s="17" t="str">
        <x:v>neue_Transferregel|31f71090a4cbb746</x:v>
      </x:c>
      <x:c r="C54" s="17" t="str">
        <x:v>RUN-20260521-ANALYSIS</x:v>
      </x:c>
      <x:c r="D54" s="17" t="str">
        <x:v>METH_ANALYSE_TRANSFERS</x:v>
      </x:c>
      <x:c r="E54" s="17" t="str">
        <x:v>neue_Transferregel</x:v>
      </x:c>
      <x:c r="F54" s="17" t="str">
        <x:v>11_Umsaetze_Modell</x:v>
      </x:c>
      <x:c r="G54" s="17" t="str">
        <x:v>TXN-RAW-IMP-20260516-FULLDRAFT-000646</x:v>
      </x:c>
      <x:c r="H54" s="17" t="str">
        <x:v>Transferregel pruefen</x:v>
      </x:c>
      <x:c r="I54" s="17" t="str">
        <x:v>Transfer-Signal im Verwendungszweck oder Gegenparteitext erkannt</x:v>
      </x:c>
      <x:c r="J54" s="17" t="str">
        <x:v>1899-12-31</x:v>
      </x:c>
      <x:c r="K54" s="17" t="str">
        <x:v>normal</x:v>
      </x:c>
      <x:c r="L54" s="17" t="str">
        <x:v>offen</x:v>
      </x:c>
      <x:c r="M54" s="25" t="b">
        <x:v>0</x:v>
      </x:c>
      <x:c r="N54" s="17" t="str">
        <x:v>nicht_beauftragt</x:v>
      </x:c>
      <x:c r="O54" s="17" t="str">
        <x:v>Keine automatische Neutralisierung; nur Transferkandidat</x:v>
      </x:c>
    </x:row>
    <x:row r="55">
      <x:c r="A55" s="17" t="str">
        <x:v>SUG-20260521-052</x:v>
      </x:c>
      <x:c r="B55" s="17" t="str">
        <x:v>neue_Transferregel|bbe3ad1754d5408a</x:v>
      </x:c>
      <x:c r="C55" s="17" t="str">
        <x:v>RUN-20260521-ANALYSIS</x:v>
      </x:c>
      <x:c r="D55" s="17" t="str">
        <x:v>METH_ANALYSE_TRANSFERS</x:v>
      </x:c>
      <x:c r="E55" s="17" t="str">
        <x:v>neue_Transferregel</x:v>
      </x:c>
      <x:c r="F55" s="17" t="str">
        <x:v>11_Umsaetze_Modell</x:v>
      </x:c>
      <x:c r="G55" s="17" t="str">
        <x:v>TXN-RAW-IMP-20260516-FULLDRAFT-000001</x:v>
      </x:c>
      <x:c r="H55" s="17" t="str">
        <x:v>Transferregel pruefen</x:v>
      </x:c>
      <x:c r="I55" s="17" t="str">
        <x:v>Transfer-Signal im Verwendungszweck oder Gegenparteitext erkannt</x:v>
      </x:c>
      <x:c r="J55" s="17" t="str">
        <x:v>1899-12-31</x:v>
      </x:c>
      <x:c r="K55" s="17" t="str">
        <x:v>normal</x:v>
      </x:c>
      <x:c r="L55" s="17" t="str">
        <x:v>offen</x:v>
      </x:c>
      <x:c r="M55" s="25" t="b">
        <x:v>0</x:v>
      </x:c>
      <x:c r="N55" s="17" t="str">
        <x:v>nicht_beauftragt</x:v>
      </x:c>
      <x:c r="O55" s="17" t="str">
        <x:v>Keine automatische Neutralisierung; nur Transferkandidat</x:v>
      </x:c>
    </x:row>
    <x:row r="56">
      <x:c r="A56" s="17" t="str">
        <x:v>SUG-20260521-053</x:v>
      </x:c>
      <x:c r="B56" s="17" t="str">
        <x:v>neue_Transferregel|a85f500ebd20ff45</x:v>
      </x:c>
      <x:c r="C56" s="17" t="str">
        <x:v>RUN-20260521-ANALYSIS</x:v>
      </x:c>
      <x:c r="D56" s="17" t="str">
        <x:v>METH_ANALYSE_TRANSFERS</x:v>
      </x:c>
      <x:c r="E56" s="17" t="str">
        <x:v>neue_Transferregel</x:v>
      </x:c>
      <x:c r="F56" s="17" t="str">
        <x:v>11_Umsaetze_Modell</x:v>
      </x:c>
      <x:c r="G56" s="17" t="str">
        <x:v>TXN-RAW-IMP-20260516-FULLDRAFT-000229</x:v>
      </x:c>
      <x:c r="H56" s="17" t="str">
        <x:v>Transferregel pruefen</x:v>
      </x:c>
      <x:c r="I56" s="17" t="str">
        <x:v>Transfer-Signal im Verwendungszweck oder Gegenparteitext erkannt</x:v>
      </x:c>
      <x:c r="J56" s="17" t="str">
        <x:v>1899-12-31</x:v>
      </x:c>
      <x:c r="K56" s="17" t="str">
        <x:v>normal</x:v>
      </x:c>
      <x:c r="L56" s="17" t="str">
        <x:v>offen</x:v>
      </x:c>
      <x:c r="M56" s="25" t="b">
        <x:v>0</x:v>
      </x:c>
      <x:c r="N56" s="17" t="str">
        <x:v>nicht_beauftragt</x:v>
      </x:c>
      <x:c r="O56" s="17" t="str">
        <x:v>Keine automatische Neutralisierung; nur Transferkandidat</x:v>
      </x:c>
    </x:row>
    <x:row r="57">
      <x:c r="A57" s="17" t="str">
        <x:v>SUG-20260521-054</x:v>
      </x:c>
      <x:c r="B57" s="17" t="str">
        <x:v>neue_Transferregel|1cebb20a6ce309bb</x:v>
      </x:c>
      <x:c r="C57" s="17" t="str">
        <x:v>RUN-20260521-ANALYSIS</x:v>
      </x:c>
      <x:c r="D57" s="17" t="str">
        <x:v>METH_ANALYSE_TRANSFERS</x:v>
      </x:c>
      <x:c r="E57" s="17" t="str">
        <x:v>neue_Transferregel</x:v>
      </x:c>
      <x:c r="F57" s="17" t="str">
        <x:v>11_Umsaetze_Modell</x:v>
      </x:c>
      <x:c r="G57" s="17" t="str">
        <x:v>TXN-RAW-IMP-20260516-FULLDRAFT-002410</x:v>
      </x:c>
      <x:c r="H57" s="17" t="str">
        <x:v>Transferregel pruefen</x:v>
      </x:c>
      <x:c r="I57" s="17" t="str">
        <x:v>Transfer-Signal im Verwendungszweck oder Gegenparteitext erkannt</x:v>
      </x:c>
      <x:c r="J57" s="17" t="str">
        <x:v>1899-12-31</x:v>
      </x:c>
      <x:c r="K57" s="17" t="str">
        <x:v>normal</x:v>
      </x:c>
      <x:c r="L57" s="17" t="str">
        <x:v>offen</x:v>
      </x:c>
      <x:c r="M57" s="25" t="b">
        <x:v>0</x:v>
      </x:c>
      <x:c r="N57" s="17" t="str">
        <x:v>nicht_beauftragt</x:v>
      </x:c>
      <x:c r="O57" s="17" t="str">
        <x:v>Keine automatische Neutralisierung; nur Transferkandidat</x:v>
      </x:c>
    </x:row>
    <x:row r="58">
      <x:c r="A58" s="17" t="str">
        <x:v>SUG-20260521-055</x:v>
      </x:c>
      <x:c r="B58" s="17" t="str">
        <x:v>neue_Transferregel|8581ad9718b27ccd</x:v>
      </x:c>
      <x:c r="C58" s="17" t="str">
        <x:v>RUN-20260521-ANALYSIS</x:v>
      </x:c>
      <x:c r="D58" s="17" t="str">
        <x:v>METH_ANALYSE_TRANSFERS</x:v>
      </x:c>
      <x:c r="E58" s="17" t="str">
        <x:v>neue_Transferregel</x:v>
      </x:c>
      <x:c r="F58" s="17" t="str">
        <x:v>11_Umsaetze_Modell</x:v>
      </x:c>
      <x:c r="G58" s="17" t="str">
        <x:v>TXN-RAW-IMP-20260516-FULLDRAFT-001235</x:v>
      </x:c>
      <x:c r="H58" s="17" t="str">
        <x:v>Transferregel pruefen</x:v>
      </x:c>
      <x:c r="I58" s="17" t="str">
        <x:v>Transfer-Signal im Verwendungszweck oder Gegenparteitext erkannt</x:v>
      </x:c>
      <x:c r="J58" s="17" t="str">
        <x:v>1899-12-31</x:v>
      </x:c>
      <x:c r="K58" s="17" t="str">
        <x:v>normal</x:v>
      </x:c>
      <x:c r="L58" s="17" t="str">
        <x:v>offen</x:v>
      </x:c>
      <x:c r="M58" s="25" t="b">
        <x:v>0</x:v>
      </x:c>
      <x:c r="N58" s="17" t="str">
        <x:v>nicht_beauftragt</x:v>
      </x:c>
      <x:c r="O58" s="17" t="str">
        <x:v>Keine automatische Neutralisierung; nur Transferkandidat</x:v>
      </x:c>
    </x:row>
    <x:row r="59">
      <x:c r="A59" s="17" t="str">
        <x:v>SUG-20260521-056</x:v>
      </x:c>
      <x:c r="B59" s="17" t="str">
        <x:v>neue_Transferregel|babaad1823d364d6</x:v>
      </x:c>
      <x:c r="C59" s="17" t="str">
        <x:v>RUN-20260521-ANALYSIS</x:v>
      </x:c>
      <x:c r="D59" s="17" t="str">
        <x:v>METH_ANALYSE_TRANSFERS</x:v>
      </x:c>
      <x:c r="E59" s="17" t="str">
        <x:v>neue_Transferregel</x:v>
      </x:c>
      <x:c r="F59" s="17" t="str">
        <x:v>11_Umsaetze_Modell</x:v>
      </x:c>
      <x:c r="G59" s="17" t="str">
        <x:v>TXN-RAW-IMP-20260516-FULLDRAFT-001216</x:v>
      </x:c>
      <x:c r="H59" s="17" t="str">
        <x:v>Transferregel pruefen</x:v>
      </x:c>
      <x:c r="I59" s="17" t="str">
        <x:v>Transfer-Signal im Verwendungszweck oder Gegenparteitext erkannt</x:v>
      </x:c>
      <x:c r="J59" s="17" t="str">
        <x:v>1899-12-31</x:v>
      </x:c>
      <x:c r="K59" s="17" t="str">
        <x:v>normal</x:v>
      </x:c>
      <x:c r="L59" s="17" t="str">
        <x:v>offen</x:v>
      </x:c>
      <x:c r="M59" s="25" t="b">
        <x:v>0</x:v>
      </x:c>
      <x:c r="N59" s="17" t="str">
        <x:v>nicht_beauftragt</x:v>
      </x:c>
      <x:c r="O59" s="17" t="str">
        <x:v>Keine automatische Neutralisierung; nur Transferkandidat</x:v>
      </x:c>
    </x:row>
    <x:row r="60">
      <x:c r="A60" s="17" t="str">
        <x:v>SUG-20260521-057</x:v>
      </x:c>
      <x:c r="B60" s="17" t="str">
        <x:v>neue_Transferregel|69d5bdebebecc427</x:v>
      </x:c>
      <x:c r="C60" s="17" t="str">
        <x:v>RUN-20260521-ANALYSIS</x:v>
      </x:c>
      <x:c r="D60" s="17" t="str">
        <x:v>METH_ANALYSE_TRANSFERS</x:v>
      </x:c>
      <x:c r="E60" s="17" t="str">
        <x:v>neue_Transferregel</x:v>
      </x:c>
      <x:c r="F60" s="17" t="str">
        <x:v>11_Umsaetze_Modell</x:v>
      </x:c>
      <x:c r="G60" s="17" t="str">
        <x:v>TXN-RAW-IMP-20260516-FULLDRAFT-001215</x:v>
      </x:c>
      <x:c r="H60" s="17" t="str">
        <x:v>Transferregel pruefen</x:v>
      </x:c>
      <x:c r="I60" s="17" t="str">
        <x:v>Transfer-Signal im Verwendungszweck oder Gegenparteitext erkannt</x:v>
      </x:c>
      <x:c r="J60" s="17" t="str">
        <x:v>1899-12-31</x:v>
      </x:c>
      <x:c r="K60" s="17" t="str">
        <x:v>normal</x:v>
      </x:c>
      <x:c r="L60" s="17" t="str">
        <x:v>offen</x:v>
      </x:c>
      <x:c r="M60" s="25" t="b">
        <x:v>0</x:v>
      </x:c>
      <x:c r="N60" s="17" t="str">
        <x:v>nicht_beauftragt</x:v>
      </x:c>
      <x:c r="O60" s="17" t="str">
        <x:v>Keine automatische Neutralisierung; nur Transferkandidat</x:v>
      </x:c>
    </x:row>
    <x:row r="61">
      <x:c r="A61" s="17" t="str">
        <x:v>SUG-20260521-058</x:v>
      </x:c>
      <x:c r="B61" s="17" t="str">
        <x:v>neue_Transferregel|fc0b69fbd91e1437</x:v>
      </x:c>
      <x:c r="C61" s="17" t="str">
        <x:v>RUN-20260521-ANALYSIS</x:v>
      </x:c>
      <x:c r="D61" s="17" t="str">
        <x:v>METH_ANALYSE_TRANSFERS</x:v>
      </x:c>
      <x:c r="E61" s="17" t="str">
        <x:v>neue_Transferregel</x:v>
      </x:c>
      <x:c r="F61" s="17" t="str">
        <x:v>11_Umsaetze_Modell</x:v>
      </x:c>
      <x:c r="G61" s="17" t="str">
        <x:v>TXN-RAW-IMP-20260516-FULLDRAFT-001202</x:v>
      </x:c>
      <x:c r="H61" s="17" t="str">
        <x:v>Transferregel pruefen</x:v>
      </x:c>
      <x:c r="I61" s="17" t="str">
        <x:v>Transfer-Signal im Verwendungszweck oder Gegenparteitext erkannt</x:v>
      </x:c>
      <x:c r="J61" s="17" t="str">
        <x:v>1899-12-31</x:v>
      </x:c>
      <x:c r="K61" s="17" t="str">
        <x:v>normal</x:v>
      </x:c>
      <x:c r="L61" s="17" t="str">
        <x:v>offen</x:v>
      </x:c>
      <x:c r="M61" s="25" t="b">
        <x:v>0</x:v>
      </x:c>
      <x:c r="N61" s="17" t="str">
        <x:v>nicht_beauftragt</x:v>
      </x:c>
      <x:c r="O61" s="17" t="str">
        <x:v>Keine automatische Neutralisierung; nur Transferkandidat</x:v>
      </x:c>
    </x:row>
    <x:row r="62">
      <x:c r="A62" s="17" t="str">
        <x:v>SUG-20260521-059</x:v>
      </x:c>
      <x:c r="B62" s="17" t="str">
        <x:v>neue_Transferregel|6dbb73eb411b8a9d</x:v>
      </x:c>
      <x:c r="C62" s="17" t="str">
        <x:v>RUN-20260521-ANALYSIS</x:v>
      </x:c>
      <x:c r="D62" s="17" t="str">
        <x:v>METH_ANALYSE_TRANSFERS</x:v>
      </x:c>
      <x:c r="E62" s="17" t="str">
        <x:v>neue_Transferregel</x:v>
      </x:c>
      <x:c r="F62" s="17" t="str">
        <x:v>11_Umsaetze_Modell</x:v>
      </x:c>
      <x:c r="G62" s="17" t="str">
        <x:v>TXN-RAW-IMP-20260516-FULLDRAFT-001218</x:v>
      </x:c>
      <x:c r="H62" s="17" t="str">
        <x:v>Transferregel pruefen</x:v>
      </x:c>
      <x:c r="I62" s="17" t="str">
        <x:v>Transfer-Signal im Verwendungszweck oder Gegenparteitext erkannt</x:v>
      </x:c>
      <x:c r="J62" s="17" t="str">
        <x:v>1899-12-31</x:v>
      </x:c>
      <x:c r="K62" s="17" t="str">
        <x:v>normal</x:v>
      </x:c>
      <x:c r="L62" s="17" t="str">
        <x:v>offen</x:v>
      </x:c>
      <x:c r="M62" s="25" t="b">
        <x:v>0</x:v>
      </x:c>
      <x:c r="N62" s="17" t="str">
        <x:v>nicht_beauftragt</x:v>
      </x:c>
      <x:c r="O62" s="17" t="str">
        <x:v>Keine automatische Neutralisierung; nur Transferkandidat</x:v>
      </x:c>
    </x:row>
    <x:row r="63">
      <x:c r="A63" s="17" t="str">
        <x:v>SUG-20260521-060</x:v>
      </x:c>
      <x:c r="B63" s="17" t="str">
        <x:v>neue_Transferregel|ed42aac4ba680a09</x:v>
      </x:c>
      <x:c r="C63" s="17" t="str">
        <x:v>RUN-20260521-ANALYSIS</x:v>
      </x:c>
      <x:c r="D63" s="17" t="str">
        <x:v>METH_ANALYSE_TRANSFERS</x:v>
      </x:c>
      <x:c r="E63" s="17" t="str">
        <x:v>neue_Transferregel</x:v>
      </x:c>
      <x:c r="F63" s="17" t="str">
        <x:v>11_Umsaetze_Modell</x:v>
      </x:c>
      <x:c r="G63" s="17" t="str">
        <x:v>TXN-RAW-IMP-20260516-FULLDRAFT-001193</x:v>
      </x:c>
      <x:c r="H63" s="17" t="str">
        <x:v>Transferregel pruefen</x:v>
      </x:c>
      <x:c r="I63" s="17" t="str">
        <x:v>Transfer-Signal im Verwendungszweck oder Gegenparteitext erkannt</x:v>
      </x:c>
      <x:c r="J63" s="17" t="str">
        <x:v>1899-12-31</x:v>
      </x:c>
      <x:c r="K63" s="17" t="str">
        <x:v>normal</x:v>
      </x:c>
      <x:c r="L63" s="17" t="str">
        <x:v>offen</x:v>
      </x:c>
      <x:c r="M63" s="25" t="b">
        <x:v>0</x:v>
      </x:c>
      <x:c r="N63" s="17" t="str">
        <x:v>nicht_beauftragt</x:v>
      </x:c>
      <x:c r="O63" s="17" t="str">
        <x:v>Keine automatische Neutralisierung; nur Transferkandidat</x:v>
      </x:c>
    </x:row>
    <x:row r="64">
      <x:c r="A64" s="17" t="str">
        <x:v>SUG-20260521-061</x:v>
      </x:c>
      <x:c r="B64" s="17" t="str">
        <x:v>neue_Transferregel|0674bf88b304db18</x:v>
      </x:c>
      <x:c r="C64" s="17" t="str">
        <x:v>RUN-20260521-ANALYSIS</x:v>
      </x:c>
      <x:c r="D64" s="17" t="str">
        <x:v>METH_ANALYSE_TRANSFERS</x:v>
      </x:c>
      <x:c r="E64" s="17" t="str">
        <x:v>neue_Transferregel</x:v>
      </x:c>
      <x:c r="F64" s="17" t="str">
        <x:v>11_Umsaetze_Modell</x:v>
      </x:c>
      <x:c r="G64" s="17" t="str">
        <x:v>TXN-RAW-IMP-20260516-FULLDRAFT-001200</x:v>
      </x:c>
      <x:c r="H64" s="17" t="str">
        <x:v>Transferregel pruefen</x:v>
      </x:c>
      <x:c r="I64" s="17" t="str">
        <x:v>Transfer-Signal im Verwendungszweck oder Gegenparteitext erkannt</x:v>
      </x:c>
      <x:c r="J64" s="17" t="str">
        <x:v>1899-12-31</x:v>
      </x:c>
      <x:c r="K64" s="17" t="str">
        <x:v>normal</x:v>
      </x:c>
      <x:c r="L64" s="17" t="str">
        <x:v>offen</x:v>
      </x:c>
      <x:c r="M64" s="25" t="b">
        <x:v>0</x:v>
      </x:c>
      <x:c r="N64" s="17" t="str">
        <x:v>nicht_beauftragt</x:v>
      </x:c>
      <x:c r="O64" s="17" t="str">
        <x:v>Keine automatische Neutralisierung; nur Transferkandidat</x:v>
      </x:c>
    </x:row>
    <x:row r="65">
      <x:c r="A65" s="17" t="str">
        <x:v>SUG-20260521-062</x:v>
      </x:c>
      <x:c r="B65" s="17" t="str">
        <x:v>Kategorie_Mapping|68597caa6eacb977</x:v>
      </x:c>
      <x:c r="C65" s="17" t="str">
        <x:v>RUN-20260521-ANALYSIS</x:v>
      </x:c>
      <x:c r="D65" s="17" t="str">
        <x:v>METH_ANALYSE_KATEGORIEN</x:v>
      </x:c>
      <x:c r="E65" s="17" t="str">
        <x:v>Kategorie_Mapping</x:v>
      </x:c>
      <x:c r="F65" s="17" t="str">
        <x:v>11_Umsaetze_Modell</x:v>
      </x:c>
      <x:c r="G65" s="17" t="str">
        <x:v>TXN-RAW-IMP-20260516-FULLDRAFT-000607</x:v>
      </x:c>
      <x:c r="H65" s="17" t="str">
        <x:v>Kategorie fuer Gegenpartei pruefen</x:v>
      </x:c>
      <x:c r="I65" s="17" t="str">
        <x:v>Mehrere offene Buchungen mit gleicher Gegenpartei oder relevantem Volumen erkannt</x:v>
      </x:c>
      <x:c r="J65" s="17" t="str">
        <x:v>1899-12-31</x:v>
      </x:c>
      <x:c r="K65" s="17" t="str">
        <x:v>hoch</x:v>
      </x:c>
      <x:c r="L65" s="17" t="str">
        <x:v>offen</x:v>
      </x:c>
      <x:c r="M65" s="25" t="b">
        <x:v>0</x:v>
      </x:c>
      <x:c r="N65" s="17" t="str">
        <x:v>nicht_beauftragt</x:v>
      </x:c>
      <x:c r="O65" s="17" t="str">
        <x:v>Kein automatisches Kategorie-Mapping; Nutzerentscheidung erforderlich</x:v>
      </x:c>
    </x:row>
    <x:row r="66">
      <x:c r="A66" s="17" t="str">
        <x:v>SUG-20260521-063</x:v>
      </x:c>
      <x:c r="B66" s="17" t="str">
        <x:v>Kategorie_Mapping|add90f9ba7d1ba04</x:v>
      </x:c>
      <x:c r="C66" s="17" t="str">
        <x:v>RUN-20260521-ANALYSIS</x:v>
      </x:c>
      <x:c r="D66" s="17" t="str">
        <x:v>METH_ANALYSE_KATEGORIEN</x:v>
      </x:c>
      <x:c r="E66" s="17" t="str">
        <x:v>Kategorie_Mapping</x:v>
      </x:c>
      <x:c r="F66" s="17" t="str">
        <x:v>11_Umsaetze_Modell</x:v>
      </x:c>
      <x:c r="G66" s="17" t="str">
        <x:v>TXN-RAW-IMP-20260516-FULLDRAFT-001426</x:v>
      </x:c>
      <x:c r="H66" s="17" t="str">
        <x:v>Kategorie fuer Gegenpartei pruefen</x:v>
      </x:c>
      <x:c r="I66" s="17" t="str">
        <x:v>Mehrere offene Buchungen mit gleicher Gegenpartei oder relevantem Volumen erkannt</x:v>
      </x:c>
      <x:c r="J66" s="17" t="str">
        <x:v>1899-12-31</x:v>
      </x:c>
      <x:c r="K66" s="17" t="str">
        <x:v>hoch</x:v>
      </x:c>
      <x:c r="L66" s="17" t="str">
        <x:v>offen</x:v>
      </x:c>
      <x:c r="M66" s="25" t="b">
        <x:v>0</x:v>
      </x:c>
      <x:c r="N66" s="17" t="str">
        <x:v>nicht_beauftragt</x:v>
      </x:c>
      <x:c r="O66" s="17" t="str">
        <x:v>Kein automatisches Kategorie-Mapping; Nutzerentscheidung erforderlich</x:v>
      </x:c>
    </x:row>
    <x:row r="67">
      <x:c r="A67" s="17" t="str">
        <x:v>SUG-20260521-064</x:v>
      </x:c>
      <x:c r="B67" s="17" t="str">
        <x:v>Kategorie_Mapping|d7184211f734a8d9</x:v>
      </x:c>
      <x:c r="C67" s="17" t="str">
        <x:v>RUN-20260521-ANALYSIS</x:v>
      </x:c>
      <x:c r="D67" s="17" t="str">
        <x:v>METH_ANALYSE_KATEGORIEN</x:v>
      </x:c>
      <x:c r="E67" s="17" t="str">
        <x:v>Kategorie_Mapping</x:v>
      </x:c>
      <x:c r="F67" s="17" t="str">
        <x:v>11_Umsaetze_Modell</x:v>
      </x:c>
      <x:c r="G67" s="17" t="str">
        <x:v>TXN-RAW-IMP-20260516-FULLDRAFT-000648</x:v>
      </x:c>
      <x:c r="H67" s="17" t="str">
        <x:v>Kategorie fuer Gegenpartei pruefen</x:v>
      </x:c>
      <x:c r="I67" s="17" t="str">
        <x:v>Mehrere offene Buchungen mit gleicher Gegenpartei oder relevantem Volumen erkannt</x:v>
      </x:c>
      <x:c r="J67" s="17" t="str">
        <x:v>1899-12-31</x:v>
      </x:c>
      <x:c r="K67" s="17" t="str">
        <x:v>hoch</x:v>
      </x:c>
      <x:c r="L67" s="17" t="str">
        <x:v>offen</x:v>
      </x:c>
      <x:c r="M67" s="25" t="b">
        <x:v>0</x:v>
      </x:c>
      <x:c r="N67" s="17" t="str">
        <x:v>nicht_beauftragt</x:v>
      </x:c>
      <x:c r="O67" s="17" t="str">
        <x:v>Kein automatisches Kategorie-Mapping; Nutzerentscheidung erforderlich</x:v>
      </x:c>
    </x:row>
    <x:row r="68">
      <x:c r="A68" s="17" t="str">
        <x:v>SUG-20260521-065</x:v>
      </x:c>
      <x:c r="B68" s="17" t="str">
        <x:v>Kategorie_Mapping|e28cef3babf162b0</x:v>
      </x:c>
      <x:c r="C68" s="17" t="str">
        <x:v>RUN-20260521-ANALYSIS</x:v>
      </x:c>
      <x:c r="D68" s="17" t="str">
        <x:v>METH_ANALYSE_KATEGORIEN</x:v>
      </x:c>
      <x:c r="E68" s="17" t="str">
        <x:v>Kategorie_Mapping</x:v>
      </x:c>
      <x:c r="F68" s="17" t="str">
        <x:v>11_Umsaetze_Modell</x:v>
      </x:c>
      <x:c r="G68" s="17" t="str">
        <x:v>TXN-RAW-IMP-20260516-FULLDRAFT-001804</x:v>
      </x:c>
      <x:c r="H68" s="17" t="str">
        <x:v>Kategorie fuer Gegenpartei pruefen</x:v>
      </x:c>
      <x:c r="I68" s="17" t="str">
        <x:v>Mehrere offene Buchungen mit gleicher Gegenpartei oder relevantem Volumen erkannt</x:v>
      </x:c>
      <x:c r="J68" s="17" t="str">
        <x:v>1899-12-31</x:v>
      </x:c>
      <x:c r="K68" s="17" t="str">
        <x:v>hoch</x:v>
      </x:c>
      <x:c r="L68" s="17" t="str">
        <x:v>offen</x:v>
      </x:c>
      <x:c r="M68" s="25" t="b">
        <x:v>0</x:v>
      </x:c>
      <x:c r="N68" s="17" t="str">
        <x:v>nicht_beauftragt</x:v>
      </x:c>
      <x:c r="O68" s="17" t="str">
        <x:v>Kein automatisches Kategorie-Mapping; Nutzerentscheidung erforderlich</x:v>
      </x:c>
    </x:row>
    <x:row r="69">
      <x:c r="A69" s="17" t="str">
        <x:v>SUG-20260521-066</x:v>
      </x:c>
      <x:c r="B69" s="17" t="str">
        <x:v>Kategorie_Mapping|d301bc8219a10a2b</x:v>
      </x:c>
      <x:c r="C69" s="17" t="str">
        <x:v>RUN-20260521-ANALYSIS</x:v>
      </x:c>
      <x:c r="D69" s="17" t="str">
        <x:v>METH_ANALYSE_KATEGORIEN</x:v>
      </x:c>
      <x:c r="E69" s="17" t="str">
        <x:v>Kategorie_Mapping</x:v>
      </x:c>
      <x:c r="F69" s="17" t="str">
        <x:v>11_Umsaetze_Modell</x:v>
      </x:c>
      <x:c r="G69" s="17" t="str">
        <x:v>TXN-RAW-IMP-20260516-FULLDRAFT-001974</x:v>
      </x:c>
      <x:c r="H69" s="17" t="str">
        <x:v>Kategorie fuer Gegenpartei pruefen</x:v>
      </x:c>
      <x:c r="I69" s="17" t="str">
        <x:v>Mehrere offene Buchungen mit gleicher Gegenpartei oder relevantem Volumen erkannt</x:v>
      </x:c>
      <x:c r="J69" s="17" t="str">
        <x:v>1899-12-31</x:v>
      </x:c>
      <x:c r="K69" s="17" t="str">
        <x:v>hoch</x:v>
      </x:c>
      <x:c r="L69" s="17" t="str">
        <x:v>offen</x:v>
      </x:c>
      <x:c r="M69" s="25" t="b">
        <x:v>0</x:v>
      </x:c>
      <x:c r="N69" s="17" t="str">
        <x:v>nicht_beauftragt</x:v>
      </x:c>
      <x:c r="O69" s="17" t="str">
        <x:v>Kein automatisches Kategorie-Mapping; Nutzerentscheidung erforderlich</x:v>
      </x:c>
    </x:row>
    <x:row r="70">
      <x:c r="A70" s="17" t="str">
        <x:v>SUG-20260521-067</x:v>
      </x:c>
      <x:c r="B70" s="17" t="str">
        <x:v>Kategorie_Mapping|e5bb13577f5cfd2b</x:v>
      </x:c>
      <x:c r="C70" s="17" t="str">
        <x:v>RUN-20260521-ANALYSIS</x:v>
      </x:c>
      <x:c r="D70" s="17" t="str">
        <x:v>METH_ANALYSE_KATEGORIEN</x:v>
      </x:c>
      <x:c r="E70" s="17" t="str">
        <x:v>Kategorie_Mapping</x:v>
      </x:c>
      <x:c r="F70" s="17" t="str">
        <x:v>11_Umsaetze_Modell</x:v>
      </x:c>
      <x:c r="G70" s="17" t="str">
        <x:v>TXN-RAW-IMP-20260516-FULLDRAFT-000593</x:v>
      </x:c>
      <x:c r="H70" s="17" t="str">
        <x:v>Kategorie fuer Gegenpartei pruefen</x:v>
      </x:c>
      <x:c r="I70" s="17" t="str">
        <x:v>Mehrere offene Buchungen mit gleicher Gegenpartei oder relevantem Volumen erkannt</x:v>
      </x:c>
      <x:c r="J70" s="17" t="str">
        <x:v>1899-12-31</x:v>
      </x:c>
      <x:c r="K70" s="17" t="str">
        <x:v>hoch</x:v>
      </x:c>
      <x:c r="L70" s="17" t="str">
        <x:v>offen</x:v>
      </x:c>
      <x:c r="M70" s="25" t="b">
        <x:v>0</x:v>
      </x:c>
      <x:c r="N70" s="17" t="str">
        <x:v>nicht_beauftragt</x:v>
      </x:c>
      <x:c r="O70" s="17" t="str">
        <x:v>Kein automatisches Kategorie-Mapping; Nutzerentscheidung erforderlich</x:v>
      </x:c>
    </x:row>
    <x:row r="71">
      <x:c r="A71" s="17" t="str">
        <x:v>SUG-20260521-068</x:v>
      </x:c>
      <x:c r="B71" s="17" t="str">
        <x:v>Kategorie_Mapping|d0387032701ca9cc</x:v>
      </x:c>
      <x:c r="C71" s="17" t="str">
        <x:v>RUN-20260521-ANALYSIS</x:v>
      </x:c>
      <x:c r="D71" s="17" t="str">
        <x:v>METH_ANALYSE_KATEGORIEN</x:v>
      </x:c>
      <x:c r="E71" s="17" t="str">
        <x:v>Kategorie_Mapping</x:v>
      </x:c>
      <x:c r="F71" s="17" t="str">
        <x:v>11_Umsaetze_Modell</x:v>
      </x:c>
      <x:c r="G71" s="17" t="str">
        <x:v>TXN-RAW-IMP-20260516-FULLDRAFT-002052</x:v>
      </x:c>
      <x:c r="H71" s="17" t="str">
        <x:v>Kategorie fuer Gegenpartei pruefen</x:v>
      </x:c>
      <x:c r="I71" s="17" t="str">
        <x:v>Mehrere offene Buchungen mit gleicher Gegenpartei oder relevantem Volumen erkannt</x:v>
      </x:c>
      <x:c r="J71" s="17" t="str">
        <x:v>1899-12-31</x:v>
      </x:c>
      <x:c r="K71" s="17" t="str">
        <x:v>hoch</x:v>
      </x:c>
      <x:c r="L71" s="17" t="str">
        <x:v>offen</x:v>
      </x:c>
      <x:c r="M71" s="25" t="b">
        <x:v>0</x:v>
      </x:c>
      <x:c r="N71" s="17" t="str">
        <x:v>nicht_beauftragt</x:v>
      </x:c>
      <x:c r="O71" s="17" t="str">
        <x:v>Kein automatisches Kategorie-Mapping; Nutzerentscheidung erforderlich</x:v>
      </x:c>
    </x:row>
    <x:row r="72">
      <x:c r="A72" s="17" t="str">
        <x:v>SUG-20260521-069</x:v>
      </x:c>
      <x:c r="B72" s="17" t="str">
        <x:v>Kategorie_Mapping|997ae3261e67bc01</x:v>
      </x:c>
      <x:c r="C72" s="17" t="str">
        <x:v>RUN-20260521-ANALYSIS</x:v>
      </x:c>
      <x:c r="D72" s="17" t="str">
        <x:v>METH_ANALYSE_KATEGORIEN</x:v>
      </x:c>
      <x:c r="E72" s="17" t="str">
        <x:v>Kategorie_Mapping</x:v>
      </x:c>
      <x:c r="F72" s="17" t="str">
        <x:v>11_Umsaetze_Modell</x:v>
      </x:c>
      <x:c r="G72" s="17" t="str">
        <x:v>TXN-RAW-IMP-20260516-FULLDRAFT-001092</x:v>
      </x:c>
      <x:c r="H72" s="17" t="str">
        <x:v>Kategorie fuer Gegenpartei pruefen</x:v>
      </x:c>
      <x:c r="I72" s="17" t="str">
        <x:v>Mehrere offene Buchungen mit gleicher Gegenpartei oder relevantem Volumen erkannt</x:v>
      </x:c>
      <x:c r="J72" s="17" t="str">
        <x:v>1899-12-31</x:v>
      </x:c>
      <x:c r="K72" s="17" t="str">
        <x:v>hoch</x:v>
      </x:c>
      <x:c r="L72" s="17" t="str">
        <x:v>offen</x:v>
      </x:c>
      <x:c r="M72" s="25" t="b">
        <x:v>0</x:v>
      </x:c>
      <x:c r="N72" s="17" t="str">
        <x:v>nicht_beauftragt</x:v>
      </x:c>
      <x:c r="O72" s="17" t="str">
        <x:v>Kein automatisches Kategorie-Mapping; Nutzerentscheidung erforderlich</x:v>
      </x:c>
    </x:row>
    <x:row r="73">
      <x:c r="A73" s="17" t="str">
        <x:v>SUG-20260521-070</x:v>
      </x:c>
      <x:c r="B73" s="17" t="str">
        <x:v>Kategorie_Mapping|3867eff5809a6475</x:v>
      </x:c>
      <x:c r="C73" s="17" t="str">
        <x:v>RUN-20260521-ANALYSIS</x:v>
      </x:c>
      <x:c r="D73" s="17" t="str">
        <x:v>METH_ANALYSE_KATEGORIEN</x:v>
      </x:c>
      <x:c r="E73" s="17" t="str">
        <x:v>Kategorie_Mapping</x:v>
      </x:c>
      <x:c r="F73" s="17" t="str">
        <x:v>11_Umsaetze_Modell</x:v>
      </x:c>
      <x:c r="G73" s="17" t="str">
        <x:v>TXN-RAW-IMP-20260516-FULLDRAFT-002180</x:v>
      </x:c>
      <x:c r="H73" s="17" t="str">
        <x:v>Kategorie fuer Gegenpartei pruefen</x:v>
      </x:c>
      <x:c r="I73" s="17" t="str">
        <x:v>Mehrere offene Buchungen mit gleicher Gegenpartei oder relevantem Volumen erkannt</x:v>
      </x:c>
      <x:c r="J73" s="17" t="str">
        <x:v>1899-12-31</x:v>
      </x:c>
      <x:c r="K73" s="17" t="str">
        <x:v>hoch</x:v>
      </x:c>
      <x:c r="L73" s="17" t="str">
        <x:v>offen</x:v>
      </x:c>
      <x:c r="M73" s="25" t="b">
        <x:v>0</x:v>
      </x:c>
      <x:c r="N73" s="17" t="str">
        <x:v>nicht_beauftragt</x:v>
      </x:c>
      <x:c r="O73" s="17" t="str">
        <x:v>Kein automatisches Kategorie-Mapping; Nutzerentscheidung erforderlich</x:v>
      </x:c>
    </x:row>
    <x:row r="74">
      <x:c r="A74" s="17" t="str">
        <x:v>SUG-20260521-071</x:v>
      </x:c>
      <x:c r="B74" s="17" t="str">
        <x:v>Kategorie_Mapping|250e2fa9d64114b5</x:v>
      </x:c>
      <x:c r="C74" s="17" t="str">
        <x:v>RUN-20260521-ANALYSIS</x:v>
      </x:c>
      <x:c r="D74" s="17" t="str">
        <x:v>METH_ANALYSE_KATEGORIEN</x:v>
      </x:c>
      <x:c r="E74" s="17" t="str">
        <x:v>Kategorie_Mapping</x:v>
      </x:c>
      <x:c r="F74" s="17" t="str">
        <x:v>11_Umsaetze_Modell</x:v>
      </x:c>
      <x:c r="G74" s="17" t="str">
        <x:v>TXN-RAW-IMP-20260516-FULLDRAFT-002088</x:v>
      </x:c>
      <x:c r="H74" s="17" t="str">
        <x:v>Kategorie fuer Gegenpartei pruefen</x:v>
      </x:c>
      <x:c r="I74" s="17" t="str">
        <x:v>Mehrere offene Buchungen mit gleicher Gegenpartei oder relevantem Volumen erkannt</x:v>
      </x:c>
      <x:c r="J74" s="17" t="str">
        <x:v>1899-12-31</x:v>
      </x:c>
      <x:c r="K74" s="17" t="str">
        <x:v>hoch</x:v>
      </x:c>
      <x:c r="L74" s="17" t="str">
        <x:v>offen</x:v>
      </x:c>
      <x:c r="M74" s="25" t="b">
        <x:v>0</x:v>
      </x:c>
      <x:c r="N74" s="17" t="str">
        <x:v>nicht_beauftragt</x:v>
      </x:c>
      <x:c r="O74" s="17" t="str">
        <x:v>Kein automatisches Kategorie-Mapping; Nutzerentscheidung erforderlich</x:v>
      </x:c>
    </x:row>
    <x:row r="75">
      <x:c r="A75" s="17" t="str">
        <x:v>SUG-20260521-072</x:v>
      </x:c>
      <x:c r="B75" s="17" t="str">
        <x:v>Kategorie_Mapping|c391f9a53f48a198</x:v>
      </x:c>
      <x:c r="C75" s="17" t="str">
        <x:v>RUN-20260521-ANALYSIS</x:v>
      </x:c>
      <x:c r="D75" s="17" t="str">
        <x:v>METH_ANALYSE_KATEGORIEN</x:v>
      </x:c>
      <x:c r="E75" s="17" t="str">
        <x:v>Kategorie_Mapping</x:v>
      </x:c>
      <x:c r="F75" s="17" t="str">
        <x:v>11_Umsaetze_Modell</x:v>
      </x:c>
      <x:c r="G75" s="17" t="str">
        <x:v>TXN-RAW-IMP-20260516-FULLDRAFT-001733</x:v>
      </x:c>
      <x:c r="H75" s="17" t="str">
        <x:v>Kategorie fuer Gegenpartei pruefen</x:v>
      </x:c>
      <x:c r="I75" s="17" t="str">
        <x:v>Mehrere offene Buchungen mit gleicher Gegenpartei oder relevantem Volumen erkannt</x:v>
      </x:c>
      <x:c r="J75" s="17" t="str">
        <x:v>1899-12-31</x:v>
      </x:c>
      <x:c r="K75" s="17" t="str">
        <x:v>hoch</x:v>
      </x:c>
      <x:c r="L75" s="17" t="str">
        <x:v>offen</x:v>
      </x:c>
      <x:c r="M75" s="25" t="b">
        <x:v>0</x:v>
      </x:c>
      <x:c r="N75" s="17" t="str">
        <x:v>nicht_beauftragt</x:v>
      </x:c>
      <x:c r="O75" s="17" t="str">
        <x:v>Kein automatisches Kategorie-Mapping; Nutzerentscheidung erforderlich</x:v>
      </x:c>
    </x:row>
    <x:row r="76">
      <x:c r="A76" s="17" t="str">
        <x:v>SUG-20260521-073</x:v>
      </x:c>
      <x:c r="B76" s="17" t="str">
        <x:v>Kategorie_Mapping|e1ac58df7c416c7c</x:v>
      </x:c>
      <x:c r="C76" s="17" t="str">
        <x:v>RUN-20260521-ANALYSIS</x:v>
      </x:c>
      <x:c r="D76" s="17" t="str">
        <x:v>METH_ANALYSE_KATEGORIEN</x:v>
      </x:c>
      <x:c r="E76" s="17" t="str">
        <x:v>Kategorie_Mapping</x:v>
      </x:c>
      <x:c r="F76" s="17" t="str">
        <x:v>11_Umsaetze_Modell</x:v>
      </x:c>
      <x:c r="G76" s="17" t="str">
        <x:v>TXN-RAW-IMP-20260516-FULLDRAFT-002082</x:v>
      </x:c>
      <x:c r="H76" s="17" t="str">
        <x:v>Kategorie fuer Gegenpartei pruefen</x:v>
      </x:c>
      <x:c r="I76" s="17" t="str">
        <x:v>Mehrere offene Buchungen mit gleicher Gegenpartei oder relevantem Volumen erkannt</x:v>
      </x:c>
      <x:c r="J76" s="17" t="str">
        <x:v>1899-12-31</x:v>
      </x:c>
      <x:c r="K76" s="17" t="str">
        <x:v>hoch</x:v>
      </x:c>
      <x:c r="L76" s="17" t="str">
        <x:v>offen</x:v>
      </x:c>
      <x:c r="M76" s="25" t="b">
        <x:v>0</x:v>
      </x:c>
      <x:c r="N76" s="17" t="str">
        <x:v>nicht_beauftragt</x:v>
      </x:c>
      <x:c r="O76" s="17" t="str">
        <x:v>Kein automatisches Kategorie-Mapping; Nutzerentscheidung erforderlich</x:v>
      </x:c>
    </x:row>
    <x:row r="77">
      <x:c r="A77" s="17" t="str">
        <x:v>SUG-20260521-074</x:v>
      </x:c>
      <x:c r="B77" s="17" t="str">
        <x:v>Kategorie_Mapping|f0ee204b37bc33c1</x:v>
      </x:c>
      <x:c r="C77" s="17" t="str">
        <x:v>RUN-20260521-ANALYSIS</x:v>
      </x:c>
      <x:c r="D77" s="17" t="str">
        <x:v>METH_ANALYSE_KATEGORIEN</x:v>
      </x:c>
      <x:c r="E77" s="17" t="str">
        <x:v>Kategorie_Mapping</x:v>
      </x:c>
      <x:c r="F77" s="17" t="str">
        <x:v>11_Umsaetze_Modell</x:v>
      </x:c>
      <x:c r="G77" s="17" t="str">
        <x:v>TXN-RAW-IMP-20260516-FULLDRAFT-000123</x:v>
      </x:c>
      <x:c r="H77" s="17" t="str">
        <x:v>Kategorie fuer Gegenpartei pruefen</x:v>
      </x:c>
      <x:c r="I77" s="17" t="str">
        <x:v>Mehrere offene Buchungen mit gleicher Gegenpartei oder relevantem Volumen erkannt</x:v>
      </x:c>
      <x:c r="J77" s="17" t="str">
        <x:v>1899-12-31</x:v>
      </x:c>
      <x:c r="K77" s="17" t="str">
        <x:v>hoch</x:v>
      </x:c>
      <x:c r="L77" s="17" t="str">
        <x:v>offen</x:v>
      </x:c>
      <x:c r="M77" s="25" t="b">
        <x:v>0</x:v>
      </x:c>
      <x:c r="N77" s="17" t="str">
        <x:v>nicht_beauftragt</x:v>
      </x:c>
      <x:c r="O77" s="17" t="str">
        <x:v>Kein automatisches Kategorie-Mapping; Nutzerentscheidung erforderlich</x:v>
      </x:c>
    </x:row>
    <x:row r="78">
      <x:c r="A78" s="17" t="str">
        <x:v>SUG-20260521-075</x:v>
      </x:c>
      <x:c r="B78" s="17" t="str">
        <x:v>Kategorie_Mapping|91e9367731de8be2</x:v>
      </x:c>
      <x:c r="C78" s="17" t="str">
        <x:v>RUN-20260521-ANALYSIS</x:v>
      </x:c>
      <x:c r="D78" s="17" t="str">
        <x:v>METH_ANALYSE_KATEGORIEN</x:v>
      </x:c>
      <x:c r="E78" s="17" t="str">
        <x:v>Kategorie_Mapping</x:v>
      </x:c>
      <x:c r="F78" s="17" t="str">
        <x:v>11_Umsaetze_Modell</x:v>
      </x:c>
      <x:c r="G78" s="17" t="str">
        <x:v>TXN-RAW-IMP-20260516-FULLDRAFT-000758</x:v>
      </x:c>
      <x:c r="H78" s="17" t="str">
        <x:v>Kategorie fuer Gegenpartei pruefen</x:v>
      </x:c>
      <x:c r="I78" s="17" t="str">
        <x:v>Mehrere offene Buchungen mit gleicher Gegenpartei oder relevantem Volumen erkannt</x:v>
      </x:c>
      <x:c r="J78" s="17" t="str">
        <x:v>1899-12-31</x:v>
      </x:c>
      <x:c r="K78" s="17" t="str">
        <x:v>hoch</x:v>
      </x:c>
      <x:c r="L78" s="17" t="str">
        <x:v>offen</x:v>
      </x:c>
      <x:c r="M78" s="25" t="b">
        <x:v>0</x:v>
      </x:c>
      <x:c r="N78" s="17" t="str">
        <x:v>nicht_beauftragt</x:v>
      </x:c>
      <x:c r="O78" s="17" t="str">
        <x:v>Kein automatisches Kategorie-Mapping; Nutzerentscheidung erforderlich</x:v>
      </x:c>
    </x:row>
    <x:row r="79">
      <x:c r="A79" s="17" t="str">
        <x:v>SUG-20260521-076</x:v>
      </x:c>
      <x:c r="B79" s="17" t="str">
        <x:v>Kategorie_Mapping|3b2304f8b5d1a1fb</x:v>
      </x:c>
      <x:c r="C79" s="17" t="str">
        <x:v>RUN-20260521-ANALYSIS</x:v>
      </x:c>
      <x:c r="D79" s="17" t="str">
        <x:v>METH_ANALYSE_KATEGORIEN</x:v>
      </x:c>
      <x:c r="E79" s="17" t="str">
        <x:v>Kategorie_Mapping</x:v>
      </x:c>
      <x:c r="F79" s="17" t="str">
        <x:v>11_Umsaetze_Modell</x:v>
      </x:c>
      <x:c r="G79" s="17" t="str">
        <x:v>TXN-RAW-IMP-20260516-FULLDRAFT-000973</x:v>
      </x:c>
      <x:c r="H79" s="17" t="str">
        <x:v>Kategorie fuer Gegenpartei pruefen</x:v>
      </x:c>
      <x:c r="I79" s="17" t="str">
        <x:v>Mehrere offene Buchungen mit gleicher Gegenpartei oder relevantem Volumen erkannt</x:v>
      </x:c>
      <x:c r="J79" s="17" t="str">
        <x:v>1899-12-31</x:v>
      </x:c>
      <x:c r="K79" s="17" t="str">
        <x:v>hoch</x:v>
      </x:c>
      <x:c r="L79" s="17" t="str">
        <x:v>offen</x:v>
      </x:c>
      <x:c r="M79" s="25" t="b">
        <x:v>0</x:v>
      </x:c>
      <x:c r="N79" s="17" t="str">
        <x:v>nicht_beauftragt</x:v>
      </x:c>
      <x:c r="O79" s="17" t="str">
        <x:v>Kein automatisches Kategorie-Mapping; Nutzerentscheidung erforderlich</x:v>
      </x:c>
    </x:row>
    <x:row r="80">
      <x:c r="A80" s="17" t="str">
        <x:v>SUG-20260521-077</x:v>
      </x:c>
      <x:c r="B80" s="17" t="str">
        <x:v>Kategorie_Mapping|ef9d3d782bcabb98</x:v>
      </x:c>
      <x:c r="C80" s="17" t="str">
        <x:v>RUN-20260521-ANALYSIS</x:v>
      </x:c>
      <x:c r="D80" s="17" t="str">
        <x:v>METH_ANALYSE_KATEGORIEN</x:v>
      </x:c>
      <x:c r="E80" s="17" t="str">
        <x:v>Kategorie_Mapping</x:v>
      </x:c>
      <x:c r="F80" s="17" t="str">
        <x:v>11_Umsaetze_Modell</x:v>
      </x:c>
      <x:c r="G80" s="17" t="str">
        <x:v>TXN-RAW-IMP-20260516-FULLDRAFT-001642</x:v>
      </x:c>
      <x:c r="H80" s="17" t="str">
        <x:v>Kategorie fuer Gegenpartei pruefen</x:v>
      </x:c>
      <x:c r="I80" s="17" t="str">
        <x:v>Mehrere offene Buchungen mit gleicher Gegenpartei oder relevantem Volumen erkannt</x:v>
      </x:c>
      <x:c r="J80" s="17" t="str">
        <x:v>1899-12-31</x:v>
      </x:c>
      <x:c r="K80" s="17" t="str">
        <x:v>hoch</x:v>
      </x:c>
      <x:c r="L80" s="17" t="str">
        <x:v>offen</x:v>
      </x:c>
      <x:c r="M80" s="25" t="b">
        <x:v>0</x:v>
      </x:c>
      <x:c r="N80" s="17" t="str">
        <x:v>nicht_beauftragt</x:v>
      </x:c>
      <x:c r="O80" s="17" t="str">
        <x:v>Kein automatisches Kategorie-Mapping; Nutzerentscheidung erforderlich</x:v>
      </x:c>
    </x:row>
    <x:row r="81">
      <x:c r="A81" s="17" t="str">
        <x:v>SUG-20260521-078</x:v>
      </x:c>
      <x:c r="B81" s="17" t="str">
        <x:v>Kategorie_Mapping|c41417b910f7f0f8</x:v>
      </x:c>
      <x:c r="C81" s="17" t="str">
        <x:v>RUN-20260521-ANALYSIS</x:v>
      </x:c>
      <x:c r="D81" s="17" t="str">
        <x:v>METH_ANALYSE_KATEGORIEN</x:v>
      </x:c>
      <x:c r="E81" s="17" t="str">
        <x:v>Kategorie_Mapping</x:v>
      </x:c>
      <x:c r="F81" s="17" t="str">
        <x:v>11_Umsaetze_Modell</x:v>
      </x:c>
      <x:c r="G81" s="17" t="str">
        <x:v>TXN-RAW-IMP-20260516-FULLDRAFT-002201</x:v>
      </x:c>
      <x:c r="H81" s="17" t="str">
        <x:v>Kategorie fuer Gegenpartei pruefen</x:v>
      </x:c>
      <x:c r="I81" s="17" t="str">
        <x:v>Mehrere offene Buchungen mit gleicher Gegenpartei oder relevantem Volumen erkannt</x:v>
      </x:c>
      <x:c r="J81" s="17" t="str">
        <x:v>1899-12-31</x:v>
      </x:c>
      <x:c r="K81" s="17" t="str">
        <x:v>hoch</x:v>
      </x:c>
      <x:c r="L81" s="17" t="str">
        <x:v>offen</x:v>
      </x:c>
      <x:c r="M81" s="25" t="b">
        <x:v>0</x:v>
      </x:c>
      <x:c r="N81" s="17" t="str">
        <x:v>nicht_beauftragt</x:v>
      </x:c>
      <x:c r="O81" s="17" t="str">
        <x:v>Kein automatisches Kategorie-Mapping; Nutzerentscheidung erforderlich</x:v>
      </x:c>
    </x:row>
    <x:row r="82">
      <x:c r="A82" s="17" t="str">
        <x:v>SUG-20260521-079</x:v>
      </x:c>
      <x:c r="B82" s="17" t="str">
        <x:v>Kategorie_Mapping|a8c5a05ee3275bf1</x:v>
      </x:c>
      <x:c r="C82" s="17" t="str">
        <x:v>RUN-20260521-ANALYSIS</x:v>
      </x:c>
      <x:c r="D82" s="17" t="str">
        <x:v>METH_ANALYSE_KATEGORIEN</x:v>
      </x:c>
      <x:c r="E82" s="17" t="str">
        <x:v>Kategorie_Mapping</x:v>
      </x:c>
      <x:c r="F82" s="17" t="str">
        <x:v>11_Umsaetze_Modell</x:v>
      </x:c>
      <x:c r="G82" s="17" t="str">
        <x:v>TXN-RAW-IMP-20260516-FULLDRAFT-000028</x:v>
      </x:c>
      <x:c r="H82" s="17" t="str">
        <x:v>Kategorie fuer Gegenpartei pruefen</x:v>
      </x:c>
      <x:c r="I82" s="17" t="str">
        <x:v>Mehrere offene Buchungen mit gleicher Gegenpartei oder relevantem Volumen erkannt</x:v>
      </x:c>
      <x:c r="J82" s="17" t="str">
        <x:v>1899-12-31</x:v>
      </x:c>
      <x:c r="K82" s="17" t="str">
        <x:v>hoch</x:v>
      </x:c>
      <x:c r="L82" s="17" t="str">
        <x:v>offen</x:v>
      </x:c>
      <x:c r="M82" s="25" t="b">
        <x:v>0</x:v>
      </x:c>
      <x:c r="N82" s="17" t="str">
        <x:v>nicht_beauftragt</x:v>
      </x:c>
      <x:c r="O82" s="17" t="str">
        <x:v>Kein automatisches Kategorie-Mapping; Nutzerentscheidung erforderlich</x:v>
      </x:c>
    </x:row>
    <x:row r="83">
      <x:c r="A83" s="17" t="str">
        <x:v>SUG-20260521-080</x:v>
      </x:c>
      <x:c r="B83" s="17" t="str">
        <x:v>Kategorie_Mapping|bd69ea4d43168772</x:v>
      </x:c>
      <x:c r="C83" s="17" t="str">
        <x:v>RUN-20260521-ANALYSIS</x:v>
      </x:c>
      <x:c r="D83" s="17" t="str">
        <x:v>METH_ANALYSE_KATEGORIEN</x:v>
      </x:c>
      <x:c r="E83" s="17" t="str">
        <x:v>Kategorie_Mapping</x:v>
      </x:c>
      <x:c r="F83" s="17" t="str">
        <x:v>11_Umsaetze_Modell</x:v>
      </x:c>
      <x:c r="G83" s="17" t="str">
        <x:v>TXN-RAW-IMP-20260516-FULLDRAFT-000047</x:v>
      </x:c>
      <x:c r="H83" s="17" t="str">
        <x:v>Kategorie fuer Gegenpartei pruefen</x:v>
      </x:c>
      <x:c r="I83" s="17" t="str">
        <x:v>Mehrere offene Buchungen mit gleicher Gegenpartei oder relevantem Volumen erkannt</x:v>
      </x:c>
      <x:c r="J83" s="17" t="str">
        <x:v>1899-12-31</x:v>
      </x:c>
      <x:c r="K83" s="17" t="str">
        <x:v>hoch</x:v>
      </x:c>
      <x:c r="L83" s="17" t="str">
        <x:v>offen</x:v>
      </x:c>
      <x:c r="M83" s="25" t="b">
        <x:v>0</x:v>
      </x:c>
      <x:c r="N83" s="17" t="str">
        <x:v>nicht_beauftragt</x:v>
      </x:c>
      <x:c r="O83" s="17" t="str">
        <x:v>Kein automatisches Kategorie-Mapping; Nutzerentscheidung erforderlich</x:v>
      </x:c>
    </x:row>
    <x:row r="84">
      <x:c r="A84" s="17" t="str">
        <x:v>SUG-20260521-081</x:v>
      </x:c>
      <x:c r="B84" s="17" t="str">
        <x:v>Kategorie_Mapping|8fb1d434ac27f661</x:v>
      </x:c>
      <x:c r="C84" s="17" t="str">
        <x:v>RUN-20260521-ANALYSIS</x:v>
      </x:c>
      <x:c r="D84" s="17" t="str">
        <x:v>METH_ANALYSE_KATEGORIEN</x:v>
      </x:c>
      <x:c r="E84" s="17" t="str">
        <x:v>Kategorie_Mapping</x:v>
      </x:c>
      <x:c r="F84" s="17" t="str">
        <x:v>11_Umsaetze_Modell</x:v>
      </x:c>
      <x:c r="G84" s="17" t="str">
        <x:v>TXN-RAW-IMP-20260516-FULLDRAFT-000627</x:v>
      </x:c>
      <x:c r="H84" s="17" t="str">
        <x:v>Kategorie fuer Gegenpartei pruefen</x:v>
      </x:c>
      <x:c r="I84" s="17" t="str">
        <x:v>Mehrere offene Buchungen mit gleicher Gegenpartei oder relevantem Volumen erkannt</x:v>
      </x:c>
      <x:c r="J84" s="17" t="str">
        <x:v>1899-12-31</x:v>
      </x:c>
      <x:c r="K84" s="17" t="str">
        <x:v>hoch</x:v>
      </x:c>
      <x:c r="L84" s="17" t="str">
        <x:v>offen</x:v>
      </x:c>
      <x:c r="M84" s="25" t="b">
        <x:v>0</x:v>
      </x:c>
      <x:c r="N84" s="17" t="str">
        <x:v>nicht_beauftragt</x:v>
      </x:c>
      <x:c r="O84" s="17" t="str">
        <x:v>Kein automatisches Kategorie-Mapping; Nutzerentscheidung erforderlich</x:v>
      </x:c>
    </x:row>
    <x:row r="85">
      <x:c r="A85" s="17" t="str">
        <x:v>SUG-20260521-082</x:v>
      </x:c>
      <x:c r="B85" s="17" t="str">
        <x:v>Kategorie_Mapping|2e8c3faef7463ab7</x:v>
      </x:c>
      <x:c r="C85" s="17" t="str">
        <x:v>RUN-20260521-ANALYSIS</x:v>
      </x:c>
      <x:c r="D85" s="17" t="str">
        <x:v>METH_ANALYSE_KATEGORIEN</x:v>
      </x:c>
      <x:c r="E85" s="17" t="str">
        <x:v>Kategorie_Mapping</x:v>
      </x:c>
      <x:c r="F85" s="17" t="str">
        <x:v>11_Umsaetze_Modell</x:v>
      </x:c>
      <x:c r="G85" s="17" t="str">
        <x:v>TXN-RAW-IMP-20260516-FULLDRAFT-000305</x:v>
      </x:c>
      <x:c r="H85" s="17" t="str">
        <x:v>Kategorie fuer Gegenpartei pruefen</x:v>
      </x:c>
      <x:c r="I85" s="17" t="str">
        <x:v>Mehrere offene Buchungen mit gleicher Gegenpartei oder relevantem Volumen erkannt</x:v>
      </x:c>
      <x:c r="J85" s="17" t="str">
        <x:v>1899-12-31</x:v>
      </x:c>
      <x:c r="K85" s="17" t="str">
        <x:v>hoch</x:v>
      </x:c>
      <x:c r="L85" s="17" t="str">
        <x:v>offen</x:v>
      </x:c>
      <x:c r="M85" s="25" t="b">
        <x:v>0</x:v>
      </x:c>
      <x:c r="N85" s="17" t="str">
        <x:v>nicht_beauftragt</x:v>
      </x:c>
      <x:c r="O85" s="17" t="str">
        <x:v>Kein automatisches Kategorie-Mapping; Nutzerentscheidung erforderlich</x:v>
      </x:c>
    </x:row>
    <x:row r="86">
      <x:c r="A86" s="17" t="str">
        <x:v>SUG-20260521-083</x:v>
      </x:c>
      <x:c r="B86" s="17" t="str">
        <x:v>Kategorie_Mapping|d45ca76d2d3c22a6</x:v>
      </x:c>
      <x:c r="C86" s="17" t="str">
        <x:v>RUN-20260521-ANALYSIS</x:v>
      </x:c>
      <x:c r="D86" s="17" t="str">
        <x:v>METH_ANALYSE_KATEGORIEN</x:v>
      </x:c>
      <x:c r="E86" s="17" t="str">
        <x:v>Kategorie_Mapping</x:v>
      </x:c>
      <x:c r="F86" s="17" t="str">
        <x:v>11_Umsaetze_Modell</x:v>
      </x:c>
      <x:c r="G86" s="17" t="str">
        <x:v>TXN-RAW-IMP-20260516-FULLDRAFT-001071</x:v>
      </x:c>
      <x:c r="H86" s="17" t="str">
        <x:v>Kategorie fuer Gegenpartei pruefen</x:v>
      </x:c>
      <x:c r="I86" s="17" t="str">
        <x:v>Mehrere offene Buchungen mit gleicher Gegenpartei oder relevantem Volumen erkannt</x:v>
      </x:c>
      <x:c r="J86" s="17" t="str">
        <x:v>1899-12-31</x:v>
      </x:c>
      <x:c r="K86" s="17" t="str">
        <x:v>hoch</x:v>
      </x:c>
      <x:c r="L86" s="17" t="str">
        <x:v>offen</x:v>
      </x:c>
      <x:c r="M86" s="25" t="b">
        <x:v>0</x:v>
      </x:c>
      <x:c r="N86" s="17" t="str">
        <x:v>nicht_beauftragt</x:v>
      </x:c>
      <x:c r="O86" s="17" t="str">
        <x:v>Kein automatisches Kategorie-Mapping; Nutzerentscheidung erforderlich</x:v>
      </x:c>
    </x:row>
    <x:row r="87">
      <x:c r="A87" s="17" t="str">
        <x:v>SUG-20260521-084</x:v>
      </x:c>
      <x:c r="B87" s="17" t="str">
        <x:v>Kategorie_Mapping|299f749ef5bd3c2d</x:v>
      </x:c>
      <x:c r="C87" s="17" t="str">
        <x:v>RUN-20260521-ANALYSIS</x:v>
      </x:c>
      <x:c r="D87" s="17" t="str">
        <x:v>METH_ANALYSE_KATEGORIEN</x:v>
      </x:c>
      <x:c r="E87" s="17" t="str">
        <x:v>Kategorie_Mapping</x:v>
      </x:c>
      <x:c r="F87" s="17" t="str">
        <x:v>11_Umsaetze_Modell</x:v>
      </x:c>
      <x:c r="G87" s="17" t="str">
        <x:v>TXN-RAW-IMP-20260516-FULLDRAFT-000346</x:v>
      </x:c>
      <x:c r="H87" s="17" t="str">
        <x:v>Kategorie fuer Gegenpartei pruefen</x:v>
      </x:c>
      <x:c r="I87" s="17" t="str">
        <x:v>Mehrere offene Buchungen mit gleicher Gegenpartei oder relevantem Volumen erkannt</x:v>
      </x:c>
      <x:c r="J87" s="17" t="str">
        <x:v>1899-12-31</x:v>
      </x:c>
      <x:c r="K87" s="17" t="str">
        <x:v>hoch</x:v>
      </x:c>
      <x:c r="L87" s="17" t="str">
        <x:v>offen</x:v>
      </x:c>
      <x:c r="M87" s="25" t="b">
        <x:v>0</x:v>
      </x:c>
      <x:c r="N87" s="17" t="str">
        <x:v>nicht_beauftragt</x:v>
      </x:c>
      <x:c r="O87" s="17" t="str">
        <x:v>Kein automatisches Kategorie-Mapping; Nutzerentscheidung erforderlich</x:v>
      </x:c>
    </x:row>
    <x:row r="88">
      <x:c r="A88" s="17" t="str">
        <x:v>SUG-20260521-085</x:v>
      </x:c>
      <x:c r="B88" s="17" t="str">
        <x:v>Kategorie_Mapping|398b10d569c6bd74</x:v>
      </x:c>
      <x:c r="C88" s="17" t="str">
        <x:v>RUN-20260521-ANALYSIS</x:v>
      </x:c>
      <x:c r="D88" s="17" t="str">
        <x:v>METH_ANALYSE_KATEGORIEN</x:v>
      </x:c>
      <x:c r="E88" s="17" t="str">
        <x:v>Kategorie_Mapping</x:v>
      </x:c>
      <x:c r="F88" s="17" t="str">
        <x:v>11_Umsaetze_Modell</x:v>
      </x:c>
      <x:c r="G88" s="17" t="str">
        <x:v>TXN-RAW-IMP-20260516-FULLDRAFT-002242</x:v>
      </x:c>
      <x:c r="H88" s="17" t="str">
        <x:v>Kategorie fuer Gegenpartei pruefen</x:v>
      </x:c>
      <x:c r="I88" s="17" t="str">
        <x:v>Mehrere offene Buchungen mit gleicher Gegenpartei oder relevantem Volumen erkannt</x:v>
      </x:c>
      <x:c r="J88" s="17" t="str">
        <x:v>1899-12-31</x:v>
      </x:c>
      <x:c r="K88" s="17" t="str">
        <x:v>hoch</x:v>
      </x:c>
      <x:c r="L88" s="17" t="str">
        <x:v>offen</x:v>
      </x:c>
      <x:c r="M88" s="25" t="b">
        <x:v>0</x:v>
      </x:c>
      <x:c r="N88" s="17" t="str">
        <x:v>nicht_beauftragt</x:v>
      </x:c>
      <x:c r="O88" s="17" t="str">
        <x:v>Kein automatisches Kategorie-Mapping; Nutzerentscheidung erforderlich</x:v>
      </x:c>
    </x:row>
    <x:row r="89">
      <x:c r="A89" s="17" t="str">
        <x:v>SUG-20260521-086</x:v>
      </x:c>
      <x:c r="B89" s="17" t="str">
        <x:v>Kategorie_Mapping|2594d0003e49f68e</x:v>
      </x:c>
      <x:c r="C89" s="17" t="str">
        <x:v>RUN-20260521-ANALYSIS</x:v>
      </x:c>
      <x:c r="D89" s="17" t="str">
        <x:v>METH_ANALYSE_KATEGORIEN</x:v>
      </x:c>
      <x:c r="E89" s="17" t="str">
        <x:v>Kategorie_Mapping</x:v>
      </x:c>
      <x:c r="F89" s="17" t="str">
        <x:v>11_Umsaetze_Modell</x:v>
      </x:c>
      <x:c r="G89" s="17" t="str">
        <x:v>TXN-RAW-IMP-20260516-FULLDRAFT-001429</x:v>
      </x:c>
      <x:c r="H89" s="17" t="str">
        <x:v>Kategorie fuer Gegenpartei pruefen</x:v>
      </x:c>
      <x:c r="I89" s="17" t="str">
        <x:v>Mehrere offene Buchungen mit gleicher Gegenpartei oder relevantem Volumen erkannt</x:v>
      </x:c>
      <x:c r="J89" s="17" t="str">
        <x:v>1899-12-31</x:v>
      </x:c>
      <x:c r="K89" s="17" t="str">
        <x:v>hoch</x:v>
      </x:c>
      <x:c r="L89" s="17" t="str">
        <x:v>offen</x:v>
      </x:c>
      <x:c r="M89" s="25" t="b">
        <x:v>0</x:v>
      </x:c>
      <x:c r="N89" s="17" t="str">
        <x:v>nicht_beauftragt</x:v>
      </x:c>
      <x:c r="O89" s="17" t="str">
        <x:v>Kein automatisches Kategorie-Mapping; Nutzerentscheidung erforderlich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26.670000076293945" hidden="0" customWidth="1"/>
    <x:col min="4" max="4" width="11.109999656677246" hidden="0" customWidth="1"/>
    <x:col min="5" max="5" width="24.440000534057617" hidden="0" customWidth="1"/>
    <x:col min="6" max="6" width="12.220000267028809" hidden="0" customWidth="1"/>
    <x:col min="7" max="7" width="26.670000076293945" hidden="0" customWidth="1"/>
    <x:col min="8" max="8" width="18.889999389648438" hidden="0" customWidth="1"/>
  </x:cols>
  <x:sheetData>
    <x:row r="1" ht="27" customHeight="1">
      <x:c r="A1" s="13" t="str">
        <x:v>Entscheidung</x:v>
      </x:c>
      <x:c r="B1" s="13" t="str">
        <x:v>Kategorie_ID</x:v>
      </x:c>
      <x:c r="C1" s="13" t="str">
        <x:v>Kategorie_Label</x:v>
      </x:c>
      <x:c r="D1" s="13" t="str">
        <x:v>Person_ID</x:v>
      </x:c>
      <x:c r="E1" s="13" t="str">
        <x:v>Person_Label</x:v>
      </x:c>
      <x:c r="F1" s="13" t="str">
        <x:v>Konto_ID</x:v>
      </x:c>
      <x:c r="G1" s="13" t="str">
        <x:v>Konto_Label</x:v>
      </x:c>
      <x:c r="H1" s="13" t="str">
        <x:v>Transfer_Typ</x:v>
      </x:c>
    </x:row>
    <x:row r="2">
      <x:c r="A2" s="17" t="str">
        <x:v>annehmen</x:v>
      </x:c>
      <x:c r="B2" s="17" t="str">
        <x:v>KAT001</x:v>
      </x:c>
      <x:c r="C2" s="17" t="str">
        <x:v>Einkommen | Cashflow | Einnahme</x:v>
      </x:c>
      <x:c r="D2" s="17" t="str">
        <x:v>P01</x:v>
      </x:c>
      <x:c r="E2" s="17" t="str">
        <x:v>Nutzer | Person</x:v>
      </x:c>
      <x:c r="F2" s="17" t="str">
        <x:v>KTO001</x:v>
      </x:c>
      <x:c r="G2" s="17" t="str">
        <x:v>Girokonto Startimport | Girokonto | P01</x:v>
      </x:c>
      <x:c r="H2" s="17" t="str">
        <x:v>Eigenumbuchung</x:v>
      </x:c>
    </x:row>
    <x:row r="3">
      <x:c r="A3" s="17" t="str">
        <x:v>ablehnen</x:v>
      </x:c>
      <x:c r="B3" s="17" t="str">
        <x:v>KAT002</x:v>
      </x:c>
      <x:c r="C3" s="17" t="str">
        <x:v>Wohnen &amp; Immobilien | Ausgaben | Ausgabe</x:v>
      </x:c>
      <x:c r="D3" s="17" t="str">
        <x:v>P02</x:v>
      </x:c>
      <x:c r="E3" s="17" t="str">
        <x:v>Ehefrau | Person</x:v>
      </x:c>
      <x:c r="F3" s="17" t="str"/>
      <x:c r="G3" s="17" t="str"/>
      <x:c r="H3" s="17" t="str">
        <x:v>Sparen_Investieren</x:v>
      </x:c>
    </x:row>
    <x:row r="4">
      <x:c r="A4" s="17" t="str">
        <x:v>zusammenfuehren</x:v>
      </x:c>
      <x:c r="B4" s="17" t="str">
        <x:v>KAT003</x:v>
      </x:c>
      <x:c r="C4" s="17" t="str">
        <x:v>Lebenshaltung | Ausgaben | Ausgabe</x:v>
      </x:c>
      <x:c r="D4" s="17" t="str">
        <x:v>HH</x:v>
      </x:c>
      <x:c r="E4" s="17" t="str">
        <x:v>Haushalt / Familie | Haushalt</x:v>
      </x:c>
      <x:c r="F4" s="17" t="str"/>
      <x:c r="G4" s="17" t="str"/>
      <x:c r="H4" s="17" t="str">
        <x:v>Kredit_Tilgung</x:v>
      </x:c>
    </x:row>
    <x:row r="5">
      <x:c r="A5" s="17" t="str">
        <x:v>zurueckstellen</x:v>
      </x:c>
      <x:c r="B5" s="17" t="str">
        <x:v>KAT004</x:v>
      </x:c>
      <x:c r="C5" s="17" t="str">
        <x:v>Mobilitaet | Ausgaben | Ausgabe</x:v>
      </x:c>
      <x:c r="D5" s="17" t="str"/>
      <x:c r="E5" s="17" t="str"/>
      <x:c r="F5" s="17" t="str"/>
      <x:c r="G5" s="17" t="str"/>
      <x:c r="H5" s="17" t="str">
        <x:v>Sonstiger_Transfer</x:v>
      </x:c>
    </x:row>
    <x:row r="6">
      <x:c r="A6" s="17" t="str"/>
      <x:c r="B6" s="17" t="str">
        <x:v>KAT005</x:v>
      </x:c>
      <x:c r="C6" s="17" t="str">
        <x:v>Versicherungen &amp; Vorsorge | Ausgaben | Ausgabe</x:v>
      </x:c>
      <x:c r="D6" s="17" t="str"/>
      <x:c r="E6" s="17" t="str"/>
      <x:c r="F6" s="17" t="str"/>
      <x:c r="G6" s="17" t="str"/>
      <x:c r="H6" s="17" t="str"/>
    </x:row>
    <x:row r="7">
      <x:c r="A7" s="17" t="str"/>
      <x:c r="B7" s="17" t="str">
        <x:v>KAT006</x:v>
      </x:c>
      <x:c r="C7" s="17" t="str">
        <x:v>Gesundheit | Ausgaben | Ausgabe</x:v>
      </x:c>
      <x:c r="D7" s="17" t="str"/>
      <x:c r="E7" s="17" t="str"/>
      <x:c r="F7" s="17" t="str"/>
      <x:c r="G7" s="17" t="str"/>
      <x:c r="H7" s="17" t="str"/>
    </x:row>
    <x:row r="8">
      <x:c r="A8" s="17" t="str"/>
      <x:c r="B8" s="17" t="str">
        <x:v>KAT007</x:v>
      </x:c>
      <x:c r="C8" s="17" t="str">
        <x:v>Familie &amp; Haushalt | Ausgaben | Ausgabe</x:v>
      </x:c>
      <x:c r="D8" s="17" t="str"/>
      <x:c r="E8" s="17" t="str"/>
      <x:c r="F8" s="17" t="str"/>
      <x:c r="G8" s="17" t="str"/>
      <x:c r="H8" s="17" t="str"/>
    </x:row>
    <x:row r="9">
      <x:c r="A9" s="17" t="str"/>
      <x:c r="B9" s="17" t="str">
        <x:v>KAT008</x:v>
      </x:c>
      <x:c r="C9" s="17" t="str">
        <x:v>Freizeit &amp; Reisen | Ausgaben | Ausgabe</x:v>
      </x:c>
      <x:c r="D9" s="17" t="str"/>
      <x:c r="E9" s="17" t="str"/>
      <x:c r="F9" s="17" t="str"/>
      <x:c r="G9" s="17" t="str"/>
      <x:c r="H9" s="17" t="str"/>
    </x:row>
    <x:row r="10">
      <x:c r="A10" s="17" t="str"/>
      <x:c r="B10" s="17" t="str">
        <x:v>KAT009</x:v>
      </x:c>
      <x:c r="C10" s="17" t="str">
        <x:v>Steuern &amp; Abgaben | Ausgaben | Ausgabe</x:v>
      </x:c>
      <x:c r="D10" s="17" t="str"/>
      <x:c r="E10" s="17" t="str"/>
      <x:c r="F10" s="17" t="str"/>
      <x:c r="G10" s="17" t="str"/>
      <x:c r="H10" s="17" t="str"/>
    </x:row>
    <x:row r="11">
      <x:c r="A11" s="17" t="str"/>
      <x:c r="B11" s="17" t="str">
        <x:v>KAT010</x:v>
      </x:c>
      <x:c r="C11" s="17" t="str">
        <x:v>Sparen &amp; Investieren | Transfer | neutral</x:v>
      </x:c>
      <x:c r="D11" s="17" t="str"/>
      <x:c r="E11" s="17" t="str"/>
      <x:c r="F11" s="17" t="str"/>
      <x:c r="G11" s="17" t="str"/>
      <x:c r="H11" s="17" t="str"/>
    </x:row>
    <x:row r="12">
      <x:c r="A12" s="17" t="str"/>
      <x:c r="B12" s="17" t="str">
        <x:v>KAT011</x:v>
      </x:c>
      <x:c r="C12" s="17" t="str">
        <x:v>Kredite &amp; Finanzierung | Ausgaben | Ausgabe</x:v>
      </x:c>
      <x:c r="D12" s="17" t="str"/>
      <x:c r="E12" s="17" t="str"/>
      <x:c r="F12" s="17" t="str"/>
      <x:c r="G12" s="17" t="str"/>
      <x:c r="H12" s="17" t="str"/>
    </x:row>
    <x:row r="13">
      <x:c r="A13" s="17" t="str"/>
      <x:c r="B13" s="17" t="str">
        <x:v>KAT012</x:v>
      </x:c>
      <x:c r="C13" s="17" t="str">
        <x:v>Interne Transfers | Transfer | neutral</x:v>
      </x:c>
      <x:c r="D13" s="17" t="str"/>
      <x:c r="E13" s="17" t="str"/>
      <x:c r="F13" s="17" t="str"/>
      <x:c r="G13" s="17" t="str"/>
      <x:c r="H13" s="17" t="str"/>
    </x:row>
    <x:row r="14">
      <x:c r="A14" s="17" t="str"/>
      <x:c r="B14" s="17" t="str">
        <x:v>KAT013</x:v>
      </x:c>
      <x:c r="C14" s="17" t="str">
        <x:v>Sonstiges / zu pruefen | Offen | unbekannt</x:v>
      </x:c>
      <x:c r="D14" s="17" t="str"/>
      <x:c r="E14" s="17" t="str"/>
      <x:c r="F14" s="17" t="str"/>
      <x:c r="G14" s="17" t="str"/>
      <x:c r="H14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40" hidden="0" customWidth="1"/>
  </x:cols>
  <x:sheetData>
    <x:row r="1">
      <x:c r="A1" s="27" t="str">
        <x:v>Batch1 Draft Audit</x:v>
      </x:c>
      <x:c r="B1" s="27"/>
      <x:c r="C1" s="27"/>
      <x:c r="D1" s="27"/>
    </x:row>
    <x:row r="3">
      <x:c r="A3" s="30" t="str">
        <x:v>Kennzahl</x:v>
      </x:c>
      <x:c r="B3" s="30" t="str">
        <x:v>Wert</x:v>
      </x:c>
      <x:c r="C3" s="30" t="str">
        <x:v>Hinweis</x:v>
      </x:c>
    </x:row>
    <x:row r="4">
      <x:c r="A4" s="33" t="str">
        <x:v>Quelle</x:v>
      </x:c>
      <x:c r="B4" s="33" t="str">
        <x:v>./outputs/finanzmodell-v1-startmappe/Finanzmodell_V1_Vorschlagsreview.xlsx</x:v>
      </x:c>
      <x:c r="C4" s="33" t="str">
        <x:v>Review-Arbeitsmappe</x:v>
      </x:c>
    </x:row>
    <x:row r="5">
      <x:c r="A5" s="33" t="str">
        <x:v>Output</x:v>
      </x:c>
      <x:c r="B5" s="33" t="str">
        <x:v>./outputs/finanzmodell-v1-startmappe/Finanzmodell_V1_Vorschlagsreview_Batch1_Draft.xlsx</x:v>
      </x:c>
      <x:c r="C5" s="33" t="str">
        <x:v>Vorbefuellte Review-Kopie</x:v>
      </x:c>
    </x:row>
    <x:row r="6">
      <x:c r="A6" s="33" t="str">
        <x:v>Abgelehnte False-Positive-Transfers</x:v>
      </x:c>
      <x:c r="B6" s="33" t="n">
        <x:v>6</x:v>
      </x:c>
      <x:c r="C6" s="33" t="str">
        <x:v>SPAR.KOEBMAND Kartenzahlungen</x:v>
      </x:c>
    </x:row>
    <x:row r="7">
      <x:c r="A7" s="33" t="str">
        <x:v>Zur Bestaetigung markierte Uebertraege</x:v>
      </x:c>
      <x:c r="B7" s="33" t="n">
        <x:v>5</x:v>
      </x:c>
      <x:c r="C7" s="33" t="str">
        <x:v>Entscheidung bleibt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  <x:row r="11">
      <x:c r="A11" s="34" t="str">
        <x:v>Vorschlag_ID</x:v>
      </x:c>
      <x:c r="B11" s="34" t="str">
        <x:v>Vorschlag</x:v>
      </x:c>
      <x:c r="C11" s="34" t="str">
        <x:v>Empfohlene_Entscheidung</x:v>
      </x:c>
      <x:c r="D11" s="34" t="str">
        <x:v>Ziel_Transfer_Typ</x:v>
      </x:c>
    </x:row>
    <x:row r="12">
      <x:c r="A12" s="33" t="str">
        <x:v>SUG-20260521-051</x:v>
      </x:c>
      <x:c r="B12" s="33" t="str">
        <x:v>Wahrscheinlich Eigenumbuchung: Übertrag ESt</x:v>
      </x:c>
      <x:c r="C12" s="33" t="str">
        <x:v>annehmen, falls eigenes Konto bzw. Familien-Umbuchung bestaetigt</x:v>
      </x:c>
      <x:c r="D12" s="33" t="str">
        <x:v>Eigenumbuchung</x:v>
      </x:c>
    </x:row>
    <x:row r="13">
      <x:c r="A13" s="33" t="str">
        <x:v>SUG-20260521-052</x:v>
      </x:c>
      <x:c r="B13" s="33" t="str">
        <x:v>Wahrscheinlich Eigenumbuchung: Übertrag</x:v>
      </x:c>
      <x:c r="C13" s="33" t="str">
        <x:v>annehmen, falls eigenes Konto bzw. Familien-Umbuchung bestaetigt</x:v>
      </x:c>
      <x:c r="D13" s="33" t="str">
        <x:v>Eigenumbuchung</x:v>
      </x:c>
    </x:row>
    <x:row r="14">
      <x:c r="A14" s="33" t="str">
        <x:v>SUG-20260521-053</x:v>
      </x:c>
      <x:c r="B14" s="33" t="str">
        <x:v>Wahrscheinlich Eigenumbuchung: Übertrag</x:v>
      </x:c>
      <x:c r="C14" s="33" t="str">
        <x:v>annehmen, falls eigenes Konto bzw. Familien-Umbuchung bestaetigt</x:v>
      </x:c>
      <x:c r="D14" s="33" t="str">
        <x:v>Eigenumbuchung</x:v>
      </x:c>
    </x:row>
    <x:row r="15">
      <x:c r="A15" s="33" t="str">
        <x:v>SUG-20260521-054</x:v>
      </x:c>
      <x:c r="B15" s="33" t="str">
        <x:v>Wahrscheinlich Eigenumbuchung: Übertrag Führerschein Oma und Opa</x:v>
      </x:c>
      <x:c r="C15" s="33" t="str">
        <x:v>annehmen, falls eigenes Konto bzw. Familien-Umbuchung bestaetigt</x:v>
      </x:c>
      <x:c r="D15" s="33" t="str">
        <x:v>Eigenumbuchung</x:v>
      </x:c>
    </x:row>
    <x:row r="16">
      <x:c r="A16" s="33" t="str">
        <x:v>SUG-20260521-055</x:v>
      </x:c>
      <x:c r="B16" s="33" t="str">
        <x:v>Wahrscheinlich Eigenumbuchung: Übertrag</x:v>
      </x:c>
      <x:c r="C16" s="33" t="str">
        <x:v>annehmen, falls eigenes Konto bzw. Familien-Umbuchung bestaetigt</x:v>
      </x:c>
      <x:c r="D16" s="33" t="str">
        <x:v>Eigenumbuchung</x:v>
      </x:c>
    </x:row>
  </x:sheetData>
  <x:mergeCells>
    <x:mergeCell ref="A1:D1"/>
  </x:mergeCells>
  <x:pageMargins left="0.7" right="0.7" top="0.75" bottom="0.75" header="0.3" footer="0.3"/>
</x:worksheet>
</file>